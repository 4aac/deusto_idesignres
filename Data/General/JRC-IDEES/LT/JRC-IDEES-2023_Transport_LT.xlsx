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LT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28" i="8"/>
  <c r="X88" i="8"/>
  <c r="X87" i="8"/>
  <c r="X86" i="8"/>
  <c r="X84" i="8"/>
  <c r="Y12" i="3"/>
  <c r="X12" i="3"/>
  <c r="X17" i="9"/>
  <c r="X51" i="3" s="1"/>
  <c r="Y49" i="9"/>
  <c r="Y40" i="3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44" i="11"/>
  <c r="Y67" i="11"/>
  <c r="X101" i="11"/>
  <c r="Y18" i="11"/>
  <c r="X25" i="3"/>
  <c r="Y24" i="3"/>
  <c r="X24" i="3"/>
  <c r="Y23" i="3"/>
  <c r="X8" i="11"/>
  <c r="X16" i="3"/>
  <c r="X15" i="3"/>
  <c r="Y14" i="3"/>
  <c r="Y25" i="12"/>
  <c r="Y75" i="12" s="1"/>
  <c r="X35" i="12"/>
  <c r="Y54" i="3"/>
  <c r="X54" i="3"/>
  <c r="Y53" i="3"/>
  <c r="X4" i="12"/>
  <c r="Y45" i="3"/>
  <c r="X45" i="3"/>
  <c r="Y39" i="12"/>
  <c r="X48" i="13"/>
  <c r="Y76" i="3"/>
  <c r="X76" i="3"/>
  <c r="Y24" i="13"/>
  <c r="X5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X10" i="19"/>
  <c r="Y4" i="19"/>
  <c r="X3" i="20"/>
  <c r="Y90" i="3"/>
  <c r="X90" i="3"/>
  <c r="Y85" i="3"/>
  <c r="X85" i="3"/>
  <c r="X83" i="3"/>
  <c r="Y44" i="3"/>
  <c r="X44" i="3"/>
  <c r="Y42" i="3"/>
  <c r="Y31" i="3"/>
  <c r="Y30" i="3"/>
  <c r="Y25" i="3"/>
  <c r="Y10" i="3"/>
  <c r="X27" i="9" l="1"/>
  <c r="X55" i="3"/>
  <c r="X207" i="3" s="1"/>
  <c r="Y55" i="3"/>
  <c r="Y207" i="3" s="1"/>
  <c r="X75" i="3"/>
  <c r="X227" i="3" s="1"/>
  <c r="X29" i="9"/>
  <c r="Y57" i="8"/>
  <c r="Y79" i="8" s="1"/>
  <c r="Y75" i="3"/>
  <c r="Y29" i="9"/>
  <c r="X91" i="8"/>
  <c r="X41" i="12"/>
  <c r="Y44" i="12"/>
  <c r="X25" i="9"/>
  <c r="X90" i="8"/>
  <c r="Y91" i="8"/>
  <c r="Y41" i="12"/>
  <c r="X31" i="9"/>
  <c r="Y53" i="9"/>
  <c r="X46" i="3"/>
  <c r="X198" i="3" s="1"/>
  <c r="X84" i="3"/>
  <c r="X82" i="3" s="1"/>
  <c r="Y69" i="11"/>
  <c r="Y43" i="9"/>
  <c r="X53" i="3"/>
  <c r="Y15" i="14"/>
  <c r="Y21" i="14" s="1"/>
  <c r="X19" i="12"/>
  <c r="X69" i="12" s="1"/>
  <c r="Y7" i="18"/>
  <c r="Y21" i="18" s="1"/>
  <c r="X240" i="3"/>
  <c r="X98" i="11"/>
  <c r="X43" i="8"/>
  <c r="X88" i="11"/>
  <c r="Y88" i="11"/>
  <c r="Y25" i="9"/>
  <c r="Y31" i="9"/>
  <c r="Y42" i="9"/>
  <c r="Y48" i="11"/>
  <c r="Y43" i="11" s="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243" i="3" s="1"/>
  <c r="Y39" i="13"/>
  <c r="Y79" i="11"/>
  <c r="X4" i="9"/>
  <c r="X57" i="8"/>
  <c r="X79" i="8" s="1"/>
  <c r="X7" i="15"/>
  <c r="X22" i="15" s="1"/>
  <c r="X13" i="14"/>
  <c r="X19" i="14" s="1"/>
  <c r="Y15" i="3"/>
  <c r="X23" i="3"/>
  <c r="X235" i="3" s="1"/>
  <c r="X14" i="20"/>
  <c r="Y15" i="18"/>
  <c r="Y29" i="13"/>
  <c r="X18" i="11"/>
  <c r="X120" i="11" s="1"/>
  <c r="X237" i="3"/>
  <c r="Y194" i="3"/>
  <c r="Y196" i="3"/>
  <c r="Y206" i="3"/>
  <c r="Y65" i="10"/>
  <c r="X46" i="10"/>
  <c r="X36" i="9"/>
  <c r="X47" i="9"/>
  <c r="X10" i="8"/>
  <c r="X21" i="3" s="1"/>
  <c r="X203" i="3" s="1"/>
  <c r="X26" i="8"/>
  <c r="X61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8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3" i="19" s="1"/>
  <c r="Y10" i="19"/>
  <c r="Y11" i="20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96" i="11" s="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Y47" i="13"/>
  <c r="Y27" i="13"/>
  <c r="Y83" i="3"/>
  <c r="Y235" i="3" s="1"/>
  <c r="Y10" i="13"/>
  <c r="Y37" i="13"/>
  <c r="X228" i="3"/>
  <c r="X55" i="10"/>
  <c r="X81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5" i="19"/>
  <c r="X21" i="19"/>
  <c r="X61" i="3"/>
  <c r="X3" i="18"/>
  <c r="X18" i="18" s="1"/>
  <c r="X30" i="3"/>
  <c r="X14" i="18"/>
  <c r="X18" i="20"/>
  <c r="X21" i="20"/>
  <c r="X14" i="14"/>
  <c r="X20" i="14" s="1"/>
  <c r="X4" i="14"/>
  <c r="Y91" i="3"/>
  <c r="Y243" i="3" s="1"/>
  <c r="Y19" i="20"/>
  <c r="Y3" i="20"/>
  <c r="Y23" i="20" s="1"/>
  <c r="Y15" i="20"/>
  <c r="Y28" i="11"/>
  <c r="Y80" i="11" s="1"/>
  <c r="Y101" i="11"/>
  <c r="X4" i="10"/>
  <c r="X23" i="10"/>
  <c r="X7" i="18"/>
  <c r="X13" i="20" s="1"/>
  <c r="X110" i="11"/>
  <c r="X111" i="11"/>
  <c r="Y120" i="11"/>
  <c r="Y123" i="11"/>
  <c r="Y121" i="11"/>
  <c r="Y28" i="3"/>
  <c r="Y84" i="3"/>
  <c r="Y192" i="3"/>
  <c r="Y237" i="3"/>
  <c r="Y242" i="3"/>
  <c r="X23" i="20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15" i="15"/>
  <c r="X37" i="13"/>
  <c r="X27" i="13"/>
  <c r="X10" i="13"/>
  <c r="X30" i="12"/>
  <c r="X20" i="12"/>
  <c r="X70" i="12" s="1"/>
  <c r="X5" i="12"/>
  <c r="X19" i="13" s="1"/>
  <c r="X40" i="12"/>
  <c r="X117" i="11"/>
  <c r="X11" i="10"/>
  <c r="X9" i="10" s="1"/>
  <c r="X34" i="10"/>
  <c r="X45" i="10"/>
  <c r="X56" i="10"/>
  <c r="Y28" i="9"/>
  <c r="Y39" i="9"/>
  <c r="Y13" i="9"/>
  <c r="Y50" i="9"/>
  <c r="X22" i="20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Y25" i="19" l="1"/>
  <c r="X24" i="19"/>
  <c r="X43" i="3"/>
  <c r="X22" i="10"/>
  <c r="X86" i="3"/>
  <c r="X238" i="3" s="1"/>
  <c r="Y27" i="14"/>
  <c r="X80" i="11"/>
  <c r="X25" i="8"/>
  <c r="X21" i="15"/>
  <c r="Y73" i="3"/>
  <c r="X23" i="15"/>
  <c r="X122" i="11"/>
  <c r="Y3" i="19"/>
  <c r="Y28" i="19" s="1"/>
  <c r="X96" i="8"/>
  <c r="X13" i="11"/>
  <c r="X4" i="8"/>
  <c r="X108" i="8" s="1"/>
  <c r="X116" i="11"/>
  <c r="X192" i="3"/>
  <c r="Y23" i="18"/>
  <c r="Y13" i="18"/>
  <c r="Y20" i="16"/>
  <c r="Y57" i="3"/>
  <c r="Y209" i="3" s="1"/>
  <c r="X3" i="16"/>
  <c r="X28" i="16" s="1"/>
  <c r="Y10" i="17"/>
  <c r="Y3" i="16"/>
  <c r="Y19" i="16" s="1"/>
  <c r="X11" i="17"/>
  <c r="Y20" i="14"/>
  <c r="X236" i="3"/>
  <c r="Y227" i="3"/>
  <c r="X52" i="3"/>
  <c r="Y52" i="3"/>
  <c r="Y204" i="3" s="1"/>
  <c r="Y3" i="12"/>
  <c r="Y52" i="12" s="1"/>
  <c r="X22" i="3"/>
  <c r="X234" i="3" s="1"/>
  <c r="X43" i="11"/>
  <c r="Y197" i="3"/>
  <c r="Y25" i="14"/>
  <c r="X25" i="14"/>
  <c r="X36" i="8"/>
  <c r="X41" i="9"/>
  <c r="X29" i="19"/>
  <c r="X9" i="20"/>
  <c r="X118" i="11"/>
  <c r="Y22" i="13"/>
  <c r="X89" i="3"/>
  <c r="X181" i="3" s="1"/>
  <c r="Y22" i="18"/>
  <c r="X112" i="8"/>
  <c r="Y36" i="8"/>
  <c r="X233" i="3"/>
  <c r="X22" i="17"/>
  <c r="X44" i="10"/>
  <c r="Y13" i="15"/>
  <c r="X205" i="3"/>
  <c r="Y13" i="3"/>
  <c r="X100" i="8"/>
  <c r="Y17" i="15"/>
  <c r="Y198" i="3"/>
  <c r="X111" i="8"/>
  <c r="X76" i="11"/>
  <c r="X10" i="20"/>
  <c r="X41" i="3"/>
  <c r="X39" i="3" s="1"/>
  <c r="X60" i="3"/>
  <c r="X212" i="3" s="1"/>
  <c r="X11" i="9"/>
  <c r="X46" i="9" s="1"/>
  <c r="X20" i="19"/>
  <c r="Y18" i="15"/>
  <c r="X113" i="8"/>
  <c r="X224" i="3"/>
  <c r="Y111" i="11"/>
  <c r="Y42" i="13"/>
  <c r="Y12" i="14"/>
  <c r="Y24" i="14" s="1"/>
  <c r="X13" i="3"/>
  <c r="X37" i="9"/>
  <c r="X3" i="12"/>
  <c r="X51" i="12" s="1"/>
  <c r="Y23" i="10"/>
  <c r="Y22" i="10"/>
  <c r="Y117" i="11"/>
  <c r="X121" i="11"/>
  <c r="Y119" i="11"/>
  <c r="Y118" i="11"/>
  <c r="X53" i="11"/>
  <c r="Y76" i="11"/>
  <c r="X21" i="16"/>
  <c r="X10" i="17"/>
  <c r="X123" i="11"/>
  <c r="Y112" i="11"/>
  <c r="X21" i="14"/>
  <c r="Y13" i="11"/>
  <c r="X25" i="16"/>
  <c r="X57" i="3"/>
  <c r="X209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X85" i="8"/>
  <c r="X15" i="8"/>
  <c r="X49" i="10"/>
  <c r="X8" i="10"/>
  <c r="X60" i="10" s="1"/>
  <c r="Y44" i="10"/>
  <c r="Y55" i="10"/>
  <c r="Y33" i="10"/>
  <c r="Y81" i="3"/>
  <c r="X106" i="8"/>
  <c r="X110" i="8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Y95" i="11" s="1"/>
  <c r="X213" i="3"/>
  <c r="X73" i="3"/>
  <c r="X226" i="3"/>
  <c r="X13" i="18"/>
  <c r="X17" i="18"/>
  <c r="X19" i="18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32" i="12"/>
  <c r="X22" i="12"/>
  <c r="X72" i="12" s="1"/>
  <c r="X42" i="12"/>
  <c r="Y121" i="3"/>
  <c r="X96" i="11"/>
  <c r="X23" i="11"/>
  <c r="Y21" i="16"/>
  <c r="Y11" i="17"/>
  <c r="Y25" i="16"/>
  <c r="Y58" i="3"/>
  <c r="Y21" i="20"/>
  <c r="Y13" i="20"/>
  <c r="Y17" i="20"/>
  <c r="Y22" i="20"/>
  <c r="Y13" i="17"/>
  <c r="Y21" i="17"/>
  <c r="Y17" i="17"/>
  <c r="X33" i="10"/>
  <c r="Y82" i="3"/>
  <c r="Y234" i="3" s="1"/>
  <c r="Y26" i="8"/>
  <c r="X56" i="8"/>
  <c r="X78" i="8" s="1"/>
  <c r="Y110" i="11"/>
  <c r="Y90" i="11"/>
  <c r="X21" i="18"/>
  <c r="X22" i="18"/>
  <c r="X23" i="19"/>
  <c r="X27" i="19"/>
  <c r="X19" i="19"/>
  <c r="Y86" i="3"/>
  <c r="Y22" i="17"/>
  <c r="Y53" i="12"/>
  <c r="Y49" i="12"/>
  <c r="X23" i="18"/>
  <c r="X28" i="19"/>
  <c r="Y48" i="12" l="1"/>
  <c r="Y17" i="12"/>
  <c r="Y67" i="12" s="1"/>
  <c r="Y56" i="3"/>
  <c r="Y51" i="12"/>
  <c r="Y55" i="12"/>
  <c r="Y47" i="12"/>
  <c r="Y19" i="19"/>
  <c r="Y23" i="19"/>
  <c r="Y54" i="12"/>
  <c r="Y50" i="12"/>
  <c r="Y29" i="19"/>
  <c r="Y27" i="19"/>
  <c r="Y225" i="3"/>
  <c r="X94" i="8"/>
  <c r="X62" i="10"/>
  <c r="X105" i="8"/>
  <c r="X95" i="11"/>
  <c r="X109" i="8"/>
  <c r="X107" i="8"/>
  <c r="X195" i="3"/>
  <c r="Y29" i="16"/>
  <c r="X9" i="17"/>
  <c r="X204" i="3"/>
  <c r="Y27" i="16"/>
  <c r="X29" i="16"/>
  <c r="X19" i="16"/>
  <c r="Y23" i="16"/>
  <c r="X38" i="10"/>
  <c r="Y9" i="20"/>
  <c r="X27" i="16"/>
  <c r="Y9" i="17"/>
  <c r="X23" i="16"/>
  <c r="Y28" i="16"/>
  <c r="X182" i="3"/>
  <c r="X56" i="3"/>
  <c r="X208" i="3" s="1"/>
  <c r="Y18" i="14"/>
  <c r="Y195" i="3"/>
  <c r="X225" i="3"/>
  <c r="X59" i="3"/>
  <c r="X153" i="3" s="1"/>
  <c r="X193" i="3"/>
  <c r="Y37" i="12"/>
  <c r="X10" i="9"/>
  <c r="X57" i="9" s="1"/>
  <c r="X35" i="9"/>
  <c r="X183" i="3"/>
  <c r="X24" i="9"/>
  <c r="X49" i="12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08" i="3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191" i="3"/>
  <c r="X211" i="3"/>
  <c r="X62" i="9"/>
  <c r="X58" i="9"/>
  <c r="X65" i="9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X61" i="9" l="1"/>
  <c r="X56" i="9"/>
  <c r="X64" i="9"/>
  <c r="X45" i="9"/>
  <c r="X63" i="9"/>
  <c r="X60" i="9"/>
  <c r="X151" i="3"/>
  <c r="X152" i="3"/>
  <c r="X59" i="9"/>
  <c r="Y153" i="3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4" i="1"/>
  <c r="B26" i="1"/>
  <c r="B25" i="1"/>
  <c r="S242" i="3" l="1"/>
  <c r="C242" i="3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I21" i="18"/>
  <c r="N3" i="18"/>
  <c r="N17" i="18" s="1"/>
  <c r="U14" i="18"/>
  <c r="E21" i="20"/>
  <c r="P14" i="18"/>
  <c r="J14" i="20"/>
  <c r="O3" i="20"/>
  <c r="O23" i="20" s="1"/>
  <c r="O3" i="18"/>
  <c r="O18" i="18" s="1"/>
  <c r="N3" i="20"/>
  <c r="F24" i="19"/>
  <c r="F20" i="19"/>
  <c r="Q14" i="20"/>
  <c r="Q3" i="20"/>
  <c r="Q22" i="20" s="1"/>
  <c r="C19" i="20"/>
  <c r="E14" i="18"/>
  <c r="M14" i="18"/>
  <c r="E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R25" i="19" l="1"/>
  <c r="W23" i="20"/>
  <c r="L10" i="20"/>
  <c r="M22" i="20"/>
  <c r="I22" i="18"/>
  <c r="E23" i="18"/>
  <c r="Q21" i="19"/>
  <c r="J11" i="20"/>
  <c r="E22" i="18"/>
  <c r="E13" i="20"/>
  <c r="Q25" i="19"/>
  <c r="L20" i="19"/>
  <c r="W24" i="19"/>
  <c r="U19" i="18"/>
  <c r="N13" i="20"/>
  <c r="F22" i="20"/>
  <c r="M23" i="20"/>
  <c r="P10" i="20"/>
  <c r="R21" i="19"/>
  <c r="G18" i="18"/>
  <c r="H25" i="19"/>
  <c r="H20" i="19"/>
  <c r="K23" i="18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N241" i="3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3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27" i="19" l="1"/>
  <c r="U121" i="3"/>
  <c r="H23" i="19"/>
  <c r="N19" i="19"/>
  <c r="F182" i="3"/>
  <c r="E23" i="19"/>
  <c r="U122" i="3"/>
  <c r="E27" i="19"/>
  <c r="F183" i="3"/>
  <c r="Q9" i="20"/>
  <c r="N9" i="20"/>
  <c r="M28" i="19"/>
  <c r="W9" i="20"/>
  <c r="N29" i="19"/>
  <c r="M9" i="20"/>
  <c r="M29" i="19"/>
  <c r="W29" i="19"/>
  <c r="M19" i="19"/>
  <c r="M27" i="19"/>
  <c r="H27" i="19"/>
  <c r="Q23" i="19"/>
  <c r="H19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K79" i="8"/>
  <c r="V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9" i="1"/>
  <c r="B20" i="1"/>
  <c r="B8" i="1"/>
  <c r="B17" i="1"/>
  <c r="B18" i="1"/>
  <c r="B15" i="1"/>
  <c r="B22" i="1"/>
  <c r="B21" i="1"/>
  <c r="B16" i="1"/>
  <c r="B12" i="1"/>
  <c r="B6" i="1"/>
  <c r="B4" i="1"/>
  <c r="B7" i="1"/>
  <c r="B13" i="1"/>
  <c r="B11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/>
  <c r="P150" i="4"/>
  <c r="P8" i="3"/>
  <c r="O180" i="4"/>
  <c r="P208" i="4"/>
  <c r="P206" i="4"/>
  <c r="P102" i="5"/>
  <c r="P209" i="4"/>
  <c r="P96" i="6"/>
  <c r="O179" i="4" l="1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K16" i="4"/>
  <c r="K14" i="4"/>
  <c r="L13" i="4" l="1"/>
  <c r="L150" i="4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L243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P7" i="4"/>
  <c r="H24" i="4"/>
  <c r="L11" i="4"/>
  <c r="I22" i="4"/>
  <c r="H47" i="4"/>
  <c r="L33" i="4"/>
  <c r="J20" i="4" l="1"/>
  <c r="J19" i="4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J253" i="4" s="1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H226" i="4" s="1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 s="1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 s="1"/>
  <c r="X265" i="4" s="1"/>
  <c r="X184" i="4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D131" i="5" l="1"/>
  <c r="D77" i="5"/>
  <c r="D132" i="7" s="1"/>
  <c r="D49" i="3"/>
  <c r="D104" i="5"/>
  <c r="C187" i="3"/>
  <c r="C34" i="3"/>
  <c r="C127" i="3" s="1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X241" i="4"/>
  <c r="I69" i="7"/>
  <c r="I60" i="7" s="1"/>
  <c r="X238" i="4" l="1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 s="1"/>
  <c r="Y267" i="4" s="1"/>
  <c r="G127" i="6"/>
  <c r="G73" i="6"/>
  <c r="G215" i="7" s="1"/>
  <c r="G100" i="6"/>
  <c r="G34" i="6"/>
  <c r="Y186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Y268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Y265" i="4" l="1"/>
  <c r="Y184" i="4"/>
  <c r="F70" i="6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 s="1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 s="1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<sst xmlns="http://schemas.openxmlformats.org/spreadsheetml/2006/main" count="2657" uniqueCount="1169">
  <si>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</si>
  <si>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</si>
  <si>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</si>
  <si>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</si>
  <si>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</si>
  <si>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</si>
  <si>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</si>
  <si>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</si>
  <si>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</si>
  <si>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</si>
  <si>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</si>
  <si>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</si>
  <si>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</si>
  <si>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</si>
  <si>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</si>
  <si>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</si>
  <si>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</si>
  <si>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</si>
  <si>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</si>
  <si>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</si>
  <si>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</si>
  <si>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</si>
  <si>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</si>
  <si>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</si>
  <si>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</si>
  <si>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</si>
  <si>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</si>
  <si>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</si>
  <si>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</si>
  <si>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</si>
  <si>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</si>
  <si>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</si>
  <si>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</si>
  <si>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</si>
  <si>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</si>
  <si>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</si>
  <si>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</si>
  <si>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</si>
  <si>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</si>
  <si>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</si>
  <si>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</si>
  <si>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</si>
  <si>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</si>
  <si>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</si>
  <si>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</si>
  <si>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</si>
  <si>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</si>
  <si>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</si>
  <si>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</si>
  <si>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</si>
  <si>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</si>
  <si>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</si>
  <si>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</si>
  <si>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</si>
  <si>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</si>
  <si>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</si>
  <si>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</si>
  <si>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</si>
  <si>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</si>
  <si>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</si>
  <si>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</si>
  <si>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</si>
  <si>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</si>
  <si>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</si>
  <si>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</si>
  <si>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</si>
  <si>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</si>
  <si>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</si>
  <si>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</si>
  <si>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</si>
  <si>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</si>
  <si>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</si>
  <si>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</si>
  <si>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</si>
  <si>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</si>
  <si>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</si>
  <si>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</si>
  <si>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</si>
  <si>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</si>
  <si>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</si>
  <si>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</si>
  <si>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</si>
  <si>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</si>
  <si>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</si>
  <si>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</si>
  <si>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</si>
  <si>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</si>
  <si>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</si>
  <si>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</si>
  <si>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</si>
  <si>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</si>
  <si>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</si>
  <si>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</si>
  <si>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</si>
  <si>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</si>
  <si>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</si>
  <si>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</si>
  <si>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</si>
  <si>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</si>
  <si>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</si>
  <si>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</si>
  <si>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</si>
  <si>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</si>
  <si>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</si>
  <si>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</si>
  <si>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</si>
  <si>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</si>
  <si>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</si>
  <si>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</si>
  <si>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</si>
  <si>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</si>
  <si>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</si>
  <si>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</si>
  <si>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</si>
  <si>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</si>
  <si>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</si>
  <si>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</si>
  <si>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</si>
  <si>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</si>
  <si>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</si>
  <si>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</si>
  <si>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</si>
  <si>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</si>
  <si>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</si>
  <si>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</si>
  <si>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</si>
  <si>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</si>
  <si>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</si>
  <si>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</si>
  <si>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</si>
  <si>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</si>
  <si>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</si>
  <si>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</si>
  <si>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</si>
  <si>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</si>
  <si>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</si>
  <si>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</si>
  <si>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</si>
  <si>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</si>
  <si>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</si>
  <si>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</si>
  <si>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</si>
  <si>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</si>
  <si>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</si>
  <si>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</si>
  <si>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</si>
  <si>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</si>
  <si>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</si>
  <si>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</si>
  <si>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</si>
  <si>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</si>
  <si>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</si>
  <si>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</si>
  <si>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</si>
  <si>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</si>
  <si>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</si>
  <si>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</si>
  <si>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</si>
  <si>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</si>
  <si>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</si>
  <si>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</si>
  <si>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</si>
  <si>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</si>
  <si>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</si>
  <si>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</si>
  <si>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</si>
  <si>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</si>
  <si>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</si>
  <si>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</si>
  <si>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</si>
  <si>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</si>
  <si>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</si>
  <si>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</si>
  <si>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</si>
  <si>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</si>
  <si>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</si>
  <si>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</si>
  <si>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</si>
  <si>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</si>
  <si>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</si>
  <si>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</si>
  <si>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</si>
  <si>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</si>
  <si>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</si>
  <si>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</si>
  <si>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</si>
  <si>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</si>
  <si>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LT</t>
  </si>
  <si>
    <t>Lithuania</t>
  </si>
  <si>
    <t>Aviation - LT - Lithuania</t>
  </si>
  <si>
    <t>Activity.Mpkm.LT.Tr.Avia.Passenger</t>
  </si>
  <si>
    <t>Activity.Mpkm.LT.Tr.Avia.Passenger.Domestic</t>
  </si>
  <si>
    <t>Activity.Mpkm.LT.Tr.Avia.Passenger.IntraEEAwCHUK</t>
  </si>
  <si>
    <t>Activity.Mpkm.LT.Tr.Avia.Passenger.ExtraEEAwCHUK</t>
  </si>
  <si>
    <t>Activity.Mtkm.LT.Tr.Avia.Freight</t>
  </si>
  <si>
    <t>Activity.Mtkm.LT.Tr.Avia.Freight.Domestic</t>
  </si>
  <si>
    <t>Activity.Mtkm.LT.Tr.Avia.Freight.IntraEEAwCHUK</t>
  </si>
  <si>
    <t>Activity.Mtkm.LT.Tr.Avia.Freight.ExtraEEAwCHUK</t>
  </si>
  <si>
    <t>VehicleKm.Mkm.LT.Tr.Avia</t>
  </si>
  <si>
    <t>VehicleKm.Mkm.LT.Tr.Avia.Passenger</t>
  </si>
  <si>
    <t>VehicleKm.Mkm.LT.Tr.Avia.Passenger.Domestic</t>
  </si>
  <si>
    <t>VehicleKm.Mkm.LT.Tr.Avia.Passenger.IntraEEAwCHUK</t>
  </si>
  <si>
    <t>VehicleKm.Mkm.LT.Tr.Avia.Passenger.ExtraEEAwCHUK</t>
  </si>
  <si>
    <t>VehicleKm.Mkm.LT.Tr.Avia.Freight</t>
  </si>
  <si>
    <t>VehicleKm.Mkm.LT.Tr.Avia.Freight.Domestic</t>
  </si>
  <si>
    <t>VehicleKm.Mkm.LT.Tr.Avia.Freight.IntraEEAwCHUK</t>
  </si>
  <si>
    <t>VehicleKm.Mkm.LT.Tr.Avia.Freight.ExtraEEAwCHUK</t>
  </si>
  <si>
    <t>Flights.number.LT.Tr.Avia</t>
  </si>
  <si>
    <t>Flights.number.LT.Tr.Avia.Passenger</t>
  </si>
  <si>
    <t>Flights.number.LT.Tr.Avia.Passenger.Domestic</t>
  </si>
  <si>
    <t>Flights.number.LT.Tr.Avia.Passenger.IntraEEAwCHUK</t>
  </si>
  <si>
    <t>Flights.number.LT.Tr.Avia.Passenger.ExtraEEAwCHUK</t>
  </si>
  <si>
    <t>Flights.number.LT.Tr.Avia.Freight</t>
  </si>
  <si>
    <t>Flights.number.LT.Tr.Avia.Freight.Domestic</t>
  </si>
  <si>
    <t>Flights.number.LT.Tr.Avia.Freight.IntraEEAwCHUK</t>
  </si>
  <si>
    <t>Flights.number.LT.Tr.Avia.Freight.ExtraEEAwCHUK</t>
  </si>
  <si>
    <t>VolCarried.passenger.LT.Tr.Avia.Passenger</t>
  </si>
  <si>
    <t>VolCarried.passenger.LT.Tr.Avia.Passenger.Domestic</t>
  </si>
  <si>
    <t>VolCarried.passenger.LT.Tr.Avia.Passenger.IntraEEAwCHUK</t>
  </si>
  <si>
    <t>VolCarried.passenger.LT.Tr.Avia.Passenger.ExtraEEAwCHUK</t>
  </si>
  <si>
    <t>VolCarried.t.LT.Tr.Avia.Freight</t>
  </si>
  <si>
    <t>VolCarried.t.LT.Tr.Avia.Freight.Domestic</t>
  </si>
  <si>
    <t>VolCarried.t.LT.Tr.Avia.Freight.IntraEEAwCHUK</t>
  </si>
  <si>
    <t>VolCarried.t.LT.Tr.Avia.Freight.ExtraEEAwCHUK</t>
  </si>
  <si>
    <t>Stock.number.LT.Tr.Avia</t>
  </si>
  <si>
    <t>Stock.number.LT.Tr.Avia.Passenger</t>
  </si>
  <si>
    <t>Stock.number.LT.Tr.Avia.Passenger.Domestic</t>
  </si>
  <si>
    <t>Stock.number.LT.Tr.Avia.Passenger.IntraEEAwCHUK</t>
  </si>
  <si>
    <t>Stock.number.LT.Tr.Avia.Passenger.ExtraEEAwCHUK</t>
  </si>
  <si>
    <t>Stock.number.LT.Tr.Avia.Freight</t>
  </si>
  <si>
    <t>Stock.number.LT.Tr.Avia.Freight.Domestic</t>
  </si>
  <si>
    <t>Stock.number.LT.Tr.Avia.Freight.IntraEEAwCHUK</t>
  </si>
  <si>
    <t>Stock.number.LT.Tr.Avia.Freight.ExtraEEAwCHUK</t>
  </si>
  <si>
    <t>StockNew.number.LT.Tr.Avia</t>
  </si>
  <si>
    <t>StockNew.number.LT.Tr.Avia.Passenger</t>
  </si>
  <si>
    <t>StockNew.number.LT.Tr.Avia.Passenger.Domestic</t>
  </si>
  <si>
    <t>StockNew.number.LT.Tr.Avia.Passenger.IntraEEAwCHUK</t>
  </si>
  <si>
    <t>StockNew.number.LT.Tr.Avia.Passenger.ExtraEEAwCHUK</t>
  </si>
  <si>
    <t>StockNew.number.LT.Tr.Avia.Freight</t>
  </si>
  <si>
    <t>StockNew.number.LT.Tr.Avia.Freight.Domestic</t>
  </si>
  <si>
    <t>StockNew.number.LT.Tr.Avia.Freight.IntraEEAwCHUK</t>
  </si>
  <si>
    <t>StockNew.number.LT.Tr.Avia.Freight.ExtraEEAwCHUK</t>
  </si>
  <si>
    <t>Load.passenger_per_movement.LT.Tr.Avia.Passenger</t>
  </si>
  <si>
    <t>Load.passenger_per_movement.LT.Tr.Avia.Passenger.Domestic</t>
  </si>
  <si>
    <t>Load.passenger_per_movement.LT.Tr.Avia.Passenger.IntraEEAwCHUK</t>
  </si>
  <si>
    <t>Load.passenger_per_movement.LT.Tr.Avia.Passenger.ExtraEEAwCHUK</t>
  </si>
  <si>
    <t>Load.t_per_movement.LT.Tr.Avia.Freight</t>
  </si>
  <si>
    <t>Load.t_per_movement.LT.Tr.Avia.Freight.Domestic</t>
  </si>
  <si>
    <t>Load.t_per_movement.LT.Tr.Avia.Freight.IntraEEAwCHUK</t>
  </si>
  <si>
    <t>Load.t_per_movement.LT.Tr.Avia.Freight.ExtraEEAwCHUK</t>
  </si>
  <si>
    <t>VehicleKm_per_flight.km.LT.Tr.Avia</t>
  </si>
  <si>
    <t>VehicleKm_per_flight.km.LT.Tr.Avia.Passenger</t>
  </si>
  <si>
    <t>VehicleKm_per_flight.km.LT.Tr.Avia.Passenger.Domestic</t>
  </si>
  <si>
    <t>VehicleKm_per_flight.km.LT.Tr.Avia.Passenger.IntraEEAwCHUK</t>
  </si>
  <si>
    <t>VehicleKm_per_flight.km.LT.Tr.Avia.Passenger.ExtraEEAwCHUK</t>
  </si>
  <si>
    <t>VehicleKm_per_flight.km.LT.Tr.Avia.Freight</t>
  </si>
  <si>
    <t>VehicleKm_per_flight.km.LT.Tr.Avia.Freight.Domestic</t>
  </si>
  <si>
    <t>VehicleKm_per_flight.km.LT.Tr.Avia.Freight.IntraEEAwCHUK</t>
  </si>
  <si>
    <t>VehicleKm_per_flight.km.LT.Tr.Avia.Freight.ExtraEEAwCHUK</t>
  </si>
  <si>
    <t>Activity_per_flight.pkm.LT.Tr.Avia.Passenger</t>
  </si>
  <si>
    <t>Activity_per_flight.pkm.LT.Tr.Avia.Passenger.Domestic</t>
  </si>
  <si>
    <t>Activity_per_flight.pkm.LT.Tr.Avia.Passenger.IntraEEAwCHUK</t>
  </si>
  <si>
    <t>Activity_per_flight.pkm.LT.Tr.Avia.Passenger.ExtraEEAwCHUK</t>
  </si>
  <si>
    <t>Activity_per_flight.tkm.LT.Tr.Avia.Freight</t>
  </si>
  <si>
    <t>Activity_per_flight.tkm.LT.Tr.Avia.Freight.Domestic</t>
  </si>
  <si>
    <t>Activity_per_flight.tkm.LT.Tr.Avia.Freight.IntraEEAwCHUK</t>
  </si>
  <si>
    <t>Activity_per_flight.tkm.LT.Tr.Avia.Freight.ExtraEEAwCHUK</t>
  </si>
  <si>
    <t>Flights_per_vehicle.number.LT.Tr.Avia</t>
  </si>
  <si>
    <t>Flights_per_vehicle.number.LT.Tr.Avia.Passenger</t>
  </si>
  <si>
    <t>Flights_per_vehicle.number.LT.Tr.Avia.Passenger.Domestic</t>
  </si>
  <si>
    <t>Flights_per_vehicle.number.LT.Tr.Avia.Passenger.IntraEEAwCHUK</t>
  </si>
  <si>
    <t>Flights_per_vehicle.number.LT.Tr.Avia.Passenger.ExtraEEAwCHUK</t>
  </si>
  <si>
    <t>Flights_per_vehicle.number.LT.Tr.Avia.Freight</t>
  </si>
  <si>
    <t>Flights_per_vehicle.number.LT.Tr.Avia.Freight.Domestic</t>
  </si>
  <si>
    <t>Flights_per_vehicle.number.LT.Tr.Avia.Freight.IntraEEAwCHUK</t>
  </si>
  <si>
    <t>Flights_per_vehicle.number.LT.Tr.Avia.Freight.ExtraEEAwCHUK</t>
  </si>
  <si>
    <t>Aviation / energy consumption - LT - Lithuania</t>
  </si>
  <si>
    <t>FEC.ktoe.LT.Tr.Avia</t>
  </si>
  <si>
    <t>FEC.ktoe.LT.Tr.Avia.Domestic</t>
  </si>
  <si>
    <t>FEC.ktoe.LT.Tr.Avia.International</t>
  </si>
  <si>
    <t>FEC.ktoe.LT.Tr.Avia.Passenger</t>
  </si>
  <si>
    <t>FEC.ktoe.LT.Tr.Avia.Passenger.Domestic</t>
  </si>
  <si>
    <t>FEC.ktoe.LT.Tr.Avia.Passenger.IntraEEAwCHUK</t>
  </si>
  <si>
    <t>FEC.ktoe.LT.Tr.Avia.Passenger.ExtraEEAwCHUK</t>
  </si>
  <si>
    <t>FEC.ktoe.LT.Tr.Avia.Freight</t>
  </si>
  <si>
    <t>FEC.ktoe.LT.Tr.Avia.Freight.Domestic</t>
  </si>
  <si>
    <t>FEC.ktoe.LT.Tr.Avia.Freight.IntraEEAwCHUK</t>
  </si>
  <si>
    <t>FEC.ktoe.LT.Tr.Avia.Freight.ExtraEEAwCHUK</t>
  </si>
  <si>
    <t>Eff.kgoe_per_100km.LT.Tr.Avia</t>
  </si>
  <si>
    <t>Eff.kgoe_per_100km.LT.Tr.Avia.Passenger</t>
  </si>
  <si>
    <t>Eff.kgoe_per_100km.LT.Tr.Avia.Passenger.Domestic</t>
  </si>
  <si>
    <t>Eff.kgoe_per_100km.LT.Tr.Avia.Passenger.IntraEEAwCHUK</t>
  </si>
  <si>
    <t>Eff.kgoe_per_100km.LT.Tr.Avia.Passenger.ExtraEEAwCHUK</t>
  </si>
  <si>
    <t>Eff.kgoe_per_100km.LT.Tr.Avia.Freight</t>
  </si>
  <si>
    <t>Eff.kgoe_per_100km.LT.Tr.Avia.Freight.Domestic</t>
  </si>
  <si>
    <t>Eff.kgoe_per_100km.LT.Tr.Avia.Freight.IntraEEAwCHUK</t>
  </si>
  <si>
    <t>Eff.kgoe_per_100km.LT.Tr.Avia.Freight.ExtraEEAwCHUK</t>
  </si>
  <si>
    <t>Eff.kgoe_per_kpkm.LT.Tr.Avia.Passenger</t>
  </si>
  <si>
    <t>Eff.kgoe_per_kpkm.LT.Tr.Avia.Passenger.Domestic</t>
  </si>
  <si>
    <t>Eff.kgoe_per_kpkm.LT.Tr.Avia.Passenger.IntraEEAwCHUK</t>
  </si>
  <si>
    <t>Eff.kgoe_per_kpkm.LT.Tr.Avia.Passenger.ExtraEEAwCHUK</t>
  </si>
  <si>
    <t>Eff.kgoe_per_ktkm.LT.Tr.Avia.Freight</t>
  </si>
  <si>
    <t>Eff.kgoe_per_ktkm.LT.Tr.Avia.Freight.Domestic</t>
  </si>
  <si>
    <t>Eff.kgoe_per_ktkm.LT.Tr.Avia.Freight.IntraEEAwCHUK</t>
  </si>
  <si>
    <t>Eff.kgoe_per_ktkm.LT.Tr.Avia.Freight.ExtraEEAwCHUK</t>
  </si>
  <si>
    <t>FEC_per_flight.kgoe.LT.Tr.Avia</t>
  </si>
  <si>
    <t>FEC_per_flight.kgoe.LT.Tr.Avia.Passenger</t>
  </si>
  <si>
    <t>FEC_per_flight.kgoe.LT.Tr.Avia.Passenger.Domestic</t>
  </si>
  <si>
    <t>FEC_per_flight.kgoe.LT.Tr.Avia.Passenger.IntraEEAwCHUK</t>
  </si>
  <si>
    <t>FEC_per_flight.kgoe.LT.Tr.Avia.Passenger.ExtraEEAwCHUK</t>
  </si>
  <si>
    <t>FEC_per_flight.kgoe.LT.Tr.Avia.Freight</t>
  </si>
  <si>
    <t>FEC_per_flight.kgoe.LT.Tr.Avia.Freight.Domestic</t>
  </si>
  <si>
    <t>FEC_per_flight.kgoe.LT.Tr.Avia.Freight.IntraEEAwCHUK</t>
  </si>
  <si>
    <t>FEC_per_flight.kgoe.LT.Tr.Avia.Freight.ExtraEEAwCHUK</t>
  </si>
  <si>
    <t>Eff_theor.kgoe_per_100km.LT.Tr.Avia</t>
  </si>
  <si>
    <t>Eff_theor.kgoe_per_100km.LT.Tr.Avia.Passenger</t>
  </si>
  <si>
    <t>Eff_theor.kgoe_per_100km.LT.Tr.Avia.Passenger.Domestic</t>
  </si>
  <si>
    <t>Eff_theor.kgoe_per_100km.LT.Tr.Avia.Passenger.IntraEEAwCHUK</t>
  </si>
  <si>
    <t>Eff_theor.kgoe_per_100km.LT.Tr.Avia.Passenger.ExtraEEAwCHUK</t>
  </si>
  <si>
    <t>Eff_theor.kgoe_per_100km.LT.Tr.Avia.Freight</t>
  </si>
  <si>
    <t>Eff_theor.kgoe_per_100km.LT.Tr.Avia.Freight.Domestic</t>
  </si>
  <si>
    <t>Eff_theor.kgoe_per_100km.LT.Tr.Avia.Freight.IntraEEAwCHUK</t>
  </si>
  <si>
    <t>Eff_theor.kgoe_per_100km.LT.Tr.Avia.Freight.ExtraEEAwCHUK</t>
  </si>
  <si>
    <t>Aviation / CO2 emissions - LT - Lithuania</t>
  </si>
  <si>
    <t>EMI.ktCO2.LT.Tr.Avia</t>
  </si>
  <si>
    <t>EMI.ktCO2.LT.Tr.Avia.Domestic</t>
  </si>
  <si>
    <t>EMI.ktCO2.LT.Tr.Avia.International</t>
  </si>
  <si>
    <t>EMI.ktCO2.LT.Tr.Avia.Passenger</t>
  </si>
  <si>
    <t>EMI.ktCO2.LT.Tr.Avia.Passenger.Domestic</t>
  </si>
  <si>
    <t>EMI.ktCO2.LT.Tr.Avia.Passenger.IntraEEAwCHUK</t>
  </si>
  <si>
    <t>EMI.ktCO2.LT.Tr.Avia.Passenger.ExtraEEAwCHUK</t>
  </si>
  <si>
    <t>EMI.ktCO2.LT.Tr.Avia.Freight</t>
  </si>
  <si>
    <t>EMI.ktCO2.LT.Tr.Avia.Freight.Domestic</t>
  </si>
  <si>
    <t>EMI.ktCO2.LT.Tr.Avia.Freight.IntraEEAwCHUK</t>
  </si>
  <si>
    <t>EMI.ktCO2.LT.Tr.Avia.Freight.ExtraEEAwCHUK</t>
  </si>
  <si>
    <t>EMIint.gCO2_per_km.LT.Tr.Avia</t>
  </si>
  <si>
    <t>EMIint.gCO2_per_km.LT.Tr.Avia.Passenger</t>
  </si>
  <si>
    <t>EMIint.gCO2_per_km.LT.Tr.Avia.Passenger.Domestic</t>
  </si>
  <si>
    <t>EMIint.gCO2_per_km.LT.Tr.Avia.Passenger.IntraEEAwCHUK</t>
  </si>
  <si>
    <t>EMIint.gCO2_per_km.LT.Tr.Avia.Passenger.ExtraEEAwCHUK</t>
  </si>
  <si>
    <t>EMIint.gCO2_per_km.LT.Tr.Avia.Freight</t>
  </si>
  <si>
    <t>EMIint.gCO2_per_km.LT.Tr.Avia.Freight.Domestic</t>
  </si>
  <si>
    <t>EMIint.gCO2_per_km.LT.Tr.Avia.Freight.IntraEEAwCHUK</t>
  </si>
  <si>
    <t>EMIint.gCO2_per_km.LT.Tr.Avia.Freight.ExtraEEAwCHUK</t>
  </si>
  <si>
    <t>EMIint.gCO2_per_pkm.LT.Tr.Avia.Passenger</t>
  </si>
  <si>
    <t>EMIint.gCO2_per_pkm.LT.Tr.Avia.Passenger.Domestic</t>
  </si>
  <si>
    <t>EMIint.gCO2_per_pkm.LT.Tr.Avia.Passenger.IntraEEAwCHUK</t>
  </si>
  <si>
    <t>EMIint.gCO2_per_pkm.LT.Tr.Avia.Passenger.ExtraEEAwCHUK</t>
  </si>
  <si>
    <t>EMIint.gCO2_per_tkm.LT.Tr.Avia.Freight</t>
  </si>
  <si>
    <t>EMIint.gCO2_per_tkm.LT.Tr.Avia.Freight.Domestic</t>
  </si>
  <si>
    <t>EMIint.gCO2_per_tkm.LT.Tr.Avia.Freight.IntraEEAwCHUK</t>
  </si>
  <si>
    <t>EMIint.gCO2_per_tkm.LT.Tr.Avia.Freight.ExtraEEAwCHUK</t>
  </si>
  <si>
    <t>EMI_per_flight.kgCO2.LT.Tr.Avia</t>
  </si>
  <si>
    <t>EMI_per_flight.kgCO2.LT.Tr.Avia.Passenger</t>
  </si>
  <si>
    <t>EMI_per_flight.kgCO2.LT.Tr.Avia.Passenger.Domestic</t>
  </si>
  <si>
    <t>EMI_per_flight.kgCO2.LT.Tr.Avia.Passenger.IntraEEAwCHUK</t>
  </si>
  <si>
    <t>EMI_per_flight.kgCO2.LT.Tr.Avia.Passenger.ExtraEEAwCHUK</t>
  </si>
  <si>
    <t>EMI_per_flight.kgCO2.LT.Tr.Avia.Freight</t>
  </si>
  <si>
    <t>EMI_per_flight.kgCO2.LT.Tr.Avia.Freight.Domestic</t>
  </si>
  <si>
    <t>EMI_per_flight.kgCO2.LT.Tr.Avia.Freight.IntraEEAwCHUK</t>
  </si>
  <si>
    <t>EMI_per_flight.kgCO2.LT.Tr.Avia.Freight.ExtraEEAwCHUK</t>
  </si>
  <si>
    <t>Aviation / passenger transport specific data - LT - Lithuania</t>
  </si>
  <si>
    <t>TrCap.seats.LT.Tr.Avia.Passenger</t>
  </si>
  <si>
    <t>TrCap.seats.LT.Tr.Avia.Passenger.Domestic</t>
  </si>
  <si>
    <t>TrCap.seats.LT.Tr.Avia.Passenger.IntraEEAwCHUK</t>
  </si>
  <si>
    <t>TrCap.seats.LT.Tr.Avia.Passenger.ExtraEEAwCHUK</t>
  </si>
  <si>
    <t>TrCap_per_flight.seats.LT.Tr.Avia.Passenger</t>
  </si>
  <si>
    <t>TrCap_per_flight.seats.LT.Tr.Avia.Passenger.Domestic</t>
  </si>
  <si>
    <t>TrCap_per_flight.seats.LT.Tr.Avia.Passenger.IntraEEAwCHUK</t>
  </si>
  <si>
    <t>TrCap_per_flight.seats.LT.Tr.Avia.Passenger.ExtraEEAwCHUK</t>
  </si>
  <si>
    <t>Transport overview - LT - Lithuania</t>
  </si>
  <si>
    <t>Activity.Mpkm.LT.Tr</t>
  </si>
  <si>
    <t>Activity.Mpkm.LT.Tr.Road.Passenger</t>
  </si>
  <si>
    <t>Activity.Mpkm.LT.Tr.Road.Passenger.P2W</t>
  </si>
  <si>
    <t>Activity.Mpkm.LT.Tr.Road.Passenger.Car</t>
  </si>
  <si>
    <t>Activity.Mpkm.LT.Tr.Road.Passenger.Bus</t>
  </si>
  <si>
    <t>Activity.Mpkm.LT.Tr.Rail.Passenger</t>
  </si>
  <si>
    <t>Activity.Mpkm.LT.Tr.Rail.Passenger.MTU</t>
  </si>
  <si>
    <t>Activity.Mpkm.LT.Tr.Rail.Passenger.CPT</t>
  </si>
  <si>
    <t>Activity.Mpkm.LT.Tr.Rail.Passenger.HST</t>
  </si>
  <si>
    <t>Activity.Mtkm.LT.Tr</t>
  </si>
  <si>
    <t>Activity.Mtkm.LT.Tr.Road.Freight</t>
  </si>
  <si>
    <t>Activity.Mtkm.LT.Tr.Road.Freight.LCV</t>
  </si>
  <si>
    <t>Activity.Mtkm.LT.Tr.Road.Freight.HGV_All</t>
  </si>
  <si>
    <t>Activity.Mtkm.LT.Tr.Rail.Freight</t>
  </si>
  <si>
    <t>Activity.Mtkm.LT.Tr.DNavi.Freight</t>
  </si>
  <si>
    <t>Activity.Mtkm.LT.Tr.DNavi.Freight.DCS</t>
  </si>
  <si>
    <t>Activity.Mtkm.LT.Tr.DNavi.Freight.IWW</t>
  </si>
  <si>
    <t>Activity.Mtkm.LT.MBunk.Freight</t>
  </si>
  <si>
    <t>Activity.Mtkm.LT.MBunk.Freight.IntraEEA</t>
  </si>
  <si>
    <t>Activity.Mtkm.LT.MBunk.Freight.ExtraEEA</t>
  </si>
  <si>
    <t>FEC.ktoe.LT.Tr.Road.Passenger</t>
  </si>
  <si>
    <t>FEC.ktoe.LT.Tr.Road.Passenger.P2W</t>
  </si>
  <si>
    <t>FEC.ktoe.LT.Tr.Road.Passenger.Car</t>
  </si>
  <si>
    <t>FEC.ktoe.LT.Tr.Road.Passenger.Bus</t>
  </si>
  <si>
    <t>FEC.ktoe.LT.Tr.Rail.Passenger</t>
  </si>
  <si>
    <t>FEC.ktoe.LT.Tr.Rail.Passenger.MTU</t>
  </si>
  <si>
    <t>FEC.ktoe.LT.Tr.Rail.Passenger.CPT</t>
  </si>
  <si>
    <t>FEC.ktoe.LT.Tr.Rail.Passenger.HST</t>
  </si>
  <si>
    <t>FEC.ktoe.LT.Tr.Road.Freight</t>
  </si>
  <si>
    <t>FEC.ktoe.LT.Tr.Road.Freight.LCV</t>
  </si>
  <si>
    <t>FEC.ktoe.LT.Tr.Road.Freight.HGV_All</t>
  </si>
  <si>
    <t>FEC.ktoe.LT.Tr.Rail.Freight</t>
  </si>
  <si>
    <t>EMI.ktCO2.LT.Tr.Road.Passenger</t>
  </si>
  <si>
    <t>EMI.ktCO2.LT.Tr.Road.Passenger.P2W</t>
  </si>
  <si>
    <t>EMI.ktCO2.LT.Tr.Road.Passenger.Car</t>
  </si>
  <si>
    <t>EMI.ktCO2.LT.Tr.Road.Passenger.Bus</t>
  </si>
  <si>
    <t>EMI.ktCO2.LT.Tr.Rail.Passenger</t>
  </si>
  <si>
    <t>EMI.ktCO2.LT.Tr.Rail.Passenger.MTU</t>
  </si>
  <si>
    <t>EMI.ktCO2.LT.Tr.Rail.Passenger.CPT</t>
  </si>
  <si>
    <t>EMI.ktCO2.LT.Tr.Rail.Passenger.HST</t>
  </si>
  <si>
    <t>EMI.ktCO2.LT.Tr.Road.Freight</t>
  </si>
  <si>
    <t>EMI.ktCO2.LT.Tr.Road.Freight.LCV</t>
  </si>
  <si>
    <t>EMI.ktCO2.LT.Tr.Road.Freight.HGV_All</t>
  </si>
  <si>
    <t>EMI.ktCO2.LT.Tr.Rail.Freight</t>
  </si>
  <si>
    <t>Eff.kgoe_per_kpkm.LT.Tr</t>
  </si>
  <si>
    <t>Eff.kgoe_per_kpkm.LT.Tr.Road.Passenger</t>
  </si>
  <si>
    <t>Eff.kgoe_per_kpkm.LT.Tr.Road.Passenger.P2W</t>
  </si>
  <si>
    <t>Eff.kgoe_per_kpkm.LT.Tr.Road.Passenger.Car</t>
  </si>
  <si>
    <t>Eff.kgoe_per_kpkm.LT.Tr.Road.Passenger.Bus</t>
  </si>
  <si>
    <t>Eff.kgoe_per_kpkm.LT.Tr.Rail.Passenger</t>
  </si>
  <si>
    <t>Eff.kgoe_per_kpkm.LT.Tr.Rail.Passenger.MTU</t>
  </si>
  <si>
    <t>Eff.kgoe_per_kpkm.LT.Tr.Rail.Passenger.CPT</t>
  </si>
  <si>
    <t>Eff.kgoe_per_kpkm.LT.Tr.Rail.Passenger.HST</t>
  </si>
  <si>
    <t>Eff.kgoe_per_ktkm.LT.Tr</t>
  </si>
  <si>
    <t>Eff.kgoe_per_ktkm.LT.Tr.Road.Freight</t>
  </si>
  <si>
    <t>Eff.kgoe_per_ktkm.LT.Tr.Road.Freight.LCV</t>
  </si>
  <si>
    <t>Eff.kgoe_per_ktkm.LT.Tr.Road.Freight.HGV_All</t>
  </si>
  <si>
    <t>Eff.kgoe_per_ktkm.LT.Tr.Rail.Freight</t>
  </si>
  <si>
    <t>Eff.kgoe_per_ktkm.LT.Tr.DNavi.Freight</t>
  </si>
  <si>
    <t>Eff.kgoe_per_ktkm.LT.Tr.DNavi.Freight.DCS</t>
  </si>
  <si>
    <t>Eff.kgoe_per_ktkm.LT.Tr.DNavi.Freight.IWW</t>
  </si>
  <si>
    <t>Eff.kgoe_per_ktkm.LT.MBunk.Freight</t>
  </si>
  <si>
    <t>Eff.kgoe_per_ktkm.LT.MBunk.Freight.IntraEEA</t>
  </si>
  <si>
    <t>Eff.kgoe_per_ktkm.LT.MBunk.Freight.ExtraEEA</t>
  </si>
  <si>
    <t>EMIint.gCO2_per_pkm.LT.Tr</t>
  </si>
  <si>
    <t>EMIint.gCO2_per_pkm.LT.Tr.Road.Passenger</t>
  </si>
  <si>
    <t>EMIint.gCO2_per_pkm.LT.Tr.Road.Passenger.P2W</t>
  </si>
  <si>
    <t>EMIint.gCO2_per_pkm.LT.Tr.Road.Passenger.Car</t>
  </si>
  <si>
    <t>EMIint.gCO2_per_pkm.LT.Tr.Road.Passenger.Bus</t>
  </si>
  <si>
    <t>EMIint.gCO2_per_pkm.LT.Tr.Rail.Passenger</t>
  </si>
  <si>
    <t>EMIint.gCO2_per_pkm.LT.Tr.Rail.Passenger.MTU</t>
  </si>
  <si>
    <t>EMIint.gCO2_per_pkm.LT.Tr.Rail.Passenger.CPT</t>
  </si>
  <si>
    <t>EMIint.gCO2_per_pkm.LT.Tr.Rail.Passenger.HST</t>
  </si>
  <si>
    <t>EMIint.gCO2_per_tkm.LT.Tr</t>
  </si>
  <si>
    <t>EMIint.gCO2_per_tkm.LT.Tr.Road.Freight</t>
  </si>
  <si>
    <t>EMIint.gCO2_per_tkm.LT.Tr.Road.Freight.LCV</t>
  </si>
  <si>
    <t>EMIint.gCO2_per_tkm.LT.Tr.Road.Freight.HGV_All</t>
  </si>
  <si>
    <t>EMIint.gCO2_per_tkm.LT.Tr.Rail.Freight</t>
  </si>
  <si>
    <t>EMIint.gCO2_per_tkm.LT.Tr.DNavi.Freight</t>
  </si>
  <si>
    <t>EMIint.gCO2_per_tkm.LT.Tr.DNavi.Freight.DCS</t>
  </si>
  <si>
    <t>EMIint.gCO2_per_tkm.LT.Tr.DNavi.Freight.IWW</t>
  </si>
  <si>
    <t>EMIint.gCO2_per_tkm.LT.MBunk.Freight</t>
  </si>
  <si>
    <t>EMIint.gCO2_per_tkm.LT.MBunk.Freight.IntraEEA</t>
  </si>
  <si>
    <t>EMIint.gCO2_per_tkm.LT.MBunk.Freight.ExtraEEA</t>
  </si>
  <si>
    <t>Road transport - LT - Lithuania</t>
  </si>
  <si>
    <t>Activity.Mpkm.LT.Tr.Road.Passenger.Car.ICE.Gasoline</t>
  </si>
  <si>
    <t>Activity.Mpkm.LT.Tr.Road.Passenger.Car.ICE.Diesel</t>
  </si>
  <si>
    <t>Activity.Mpkm.LT.Tr.Road.Passenger.Car.ICE.LPG</t>
  </si>
  <si>
    <t>Activity.Mpkm.LT.Tr.Road.Passenger.Car.ICE.NGas</t>
  </si>
  <si>
    <t>Activity.Mpkm.LT.Tr.Road.Passenger.Car.PHEV.Gasoline</t>
  </si>
  <si>
    <t>Activity.Mpkm.LT.Tr.Road.Passenger.Car.BEV</t>
  </si>
  <si>
    <t>Activity.Mpkm.LT.Tr.Road.Passenger.Bus.ICE.Gasoline</t>
  </si>
  <si>
    <t>Activity.Mpkm.LT.Tr.Road.Passenger.Bus.ICE.Diesel</t>
  </si>
  <si>
    <t>Activity.Mpkm.LT.Tr.Road.Passenger.Bus.ICE.LPG</t>
  </si>
  <si>
    <t>Activity.Mpkm.LT.Tr.Road.Passenger.Bus.ICE.NGas</t>
  </si>
  <si>
    <t>Activity.Mpkm.LT.Tr.Road.Passenger.Bus.BEV</t>
  </si>
  <si>
    <t>Activity.Mtkm.LT.Tr.Road.Freight.LCV.ICE.Gasoline</t>
  </si>
  <si>
    <t>Activity.Mtkm.LT.Tr.Road.Freight.LCV.ICE.Diesel</t>
  </si>
  <si>
    <t>Activity.Mtkm.LT.Tr.Road.Freight.LCV.ICE.LPG</t>
  </si>
  <si>
    <t>Activity.Mtkm.LT.Tr.Road.Freight.LCV.ICE.NGas</t>
  </si>
  <si>
    <t>Activity.Mtkm.LT.Tr.Road.Freight.LCV.BEV</t>
  </si>
  <si>
    <t>Activity.Mtkm.LT.Tr.Road.Freight.HGV_Domestic</t>
  </si>
  <si>
    <t>Activity.Mtkm.LT.Tr.Road.Freight.HGV_International</t>
  </si>
  <si>
    <t>VehicleKm.Mkm.LT.Tr.Road</t>
  </si>
  <si>
    <t>VehicleKm.Mkm.LT.Tr.Road.Passenger</t>
  </si>
  <si>
    <t>VehicleKm.Mkm.LT.Tr.Road.Passenger.P2W</t>
  </si>
  <si>
    <t>VehicleKm.Mkm.LT.Tr.Road.Passenger.Car</t>
  </si>
  <si>
    <t>VehicleKm.Mkm.LT.Tr.Road.Passenger.Car.ICE.Gasoline</t>
  </si>
  <si>
    <t>VehicleKm.Mkm.LT.Tr.Road.Passenger.Car.ICE.Diesel</t>
  </si>
  <si>
    <t>VehicleKm.Mkm.LT.Tr.Road.Passenger.Car.ICE.LPG</t>
  </si>
  <si>
    <t>VehicleKm.Mkm.LT.Tr.Road.Passenger.Car.ICE.NGas</t>
  </si>
  <si>
    <t>VehicleKm.Mkm.LT.Tr.Road.Passenger.Car.PHEV.Gasoline</t>
  </si>
  <si>
    <t>VehicleKm.Mkm.LT.Tr.Road.Passenger.Car.BEV</t>
  </si>
  <si>
    <t>VehicleKm.Mkm.LT.Tr.Road.Passenger.Bus</t>
  </si>
  <si>
    <t>VehicleKm.Mkm.LT.Tr.Road.Passenger.Bus.ICE.Gasoline</t>
  </si>
  <si>
    <t>VehicleKm.Mkm.LT.Tr.Road.Passenger.Bus.ICE.Diesel</t>
  </si>
  <si>
    <t>VehicleKm.Mkm.LT.Tr.Road.Passenger.Bus.ICE.LPG</t>
  </si>
  <si>
    <t>VehicleKm.Mkm.LT.Tr.Road.Passenger.Bus.ICE.NGas</t>
  </si>
  <si>
    <t>VehicleKm.Mkm.LT.Tr.Road.Passenger.Bus.BEV</t>
  </si>
  <si>
    <t>VehicleKm.Mkm.LT.Tr.Road.Freight</t>
  </si>
  <si>
    <t>VehicleKm.Mkm.LT.Tr.Road.Freight.LCV</t>
  </si>
  <si>
    <t>VehicleKm.Mkm.LT.Tr.Road.Freight.LCV.ICE.Gasoline</t>
  </si>
  <si>
    <t>VehicleKm.Mkm.LT.Tr.Road.Freight.LCV.ICE.Diesel</t>
  </si>
  <si>
    <t>VehicleKm.Mkm.LT.Tr.Road.Freight.LCV.ICE.LPG</t>
  </si>
  <si>
    <t>VehicleKm.Mkm.LT.Tr.Road.Freight.LCV.ICE.NGas</t>
  </si>
  <si>
    <t>VehicleKm.Mkm.LT.Tr.Road.Freight.LCV.BEV</t>
  </si>
  <si>
    <t>VehicleKm.Mkm.LT.Tr.Road.Freight.HGV_All</t>
  </si>
  <si>
    <t>VehicleKm.Mkm.LT.Tr.Road.Freight.HGV_Domestic</t>
  </si>
  <si>
    <t>VehicleKm.Mkm.LT.Tr.Road.Freight.HGV_International</t>
  </si>
  <si>
    <t>Stock.number.LT.Tr.Road</t>
  </si>
  <si>
    <t>Stock.number.LT.Tr.Road.Passenger</t>
  </si>
  <si>
    <t>Stock.number.LT.Tr.Road.Passenger.P2W</t>
  </si>
  <si>
    <t>Stock.number.LT.Tr.Road.Passenger.Car</t>
  </si>
  <si>
    <t>Stock.number.LT.Tr.Road.Passenger.Car.ICE.Gasoline</t>
  </si>
  <si>
    <t>Stock.number.LT.Tr.Road.Passenger.Car.ICE.Diesel</t>
  </si>
  <si>
    <t>Stock.number.LT.Tr.Road.Passenger.Car.ICE.LPG</t>
  </si>
  <si>
    <t>Stock.number.LT.Tr.Road.Passenger.Car.ICE.NGas</t>
  </si>
  <si>
    <t>Stock.number.LT.Tr.Road.Passenger.Car.PHEV.Gasoline</t>
  </si>
  <si>
    <t>Stock.number.LT.Tr.Road.Passenger.Car.BEV</t>
  </si>
  <si>
    <t>Stock.number.LT.Tr.Road.Passenger.Bus</t>
  </si>
  <si>
    <t>Stock.number.LT.Tr.Road.Passenger.Bus.ICE.Gasoline</t>
  </si>
  <si>
    <t>Stock.number.LT.Tr.Road.Passenger.Bus.ICE.Diesel</t>
  </si>
  <si>
    <t>Stock.number.LT.Tr.Road.Passenger.Bus.ICE.LPG</t>
  </si>
  <si>
    <t>Stock.number.LT.Tr.Road.Passenger.Bus.ICE.NGas</t>
  </si>
  <si>
    <t>Stock.number.LT.Tr.Road.Passenger.Bus.BEV</t>
  </si>
  <si>
    <t>Stock.number.LT.Tr.Road.Freight</t>
  </si>
  <si>
    <t>Stock.number.LT.Tr.Road.Freight.LCV</t>
  </si>
  <si>
    <t>Stock.number.LT.Tr.Road.Freight.LCV.ICE.Gasoline</t>
  </si>
  <si>
    <t>Stock.number.LT.Tr.Road.Freight.LCV.ICE.Diesel</t>
  </si>
  <si>
    <t>Stock.number.LT.Tr.Road.Freight.LCV.ICE.LPG</t>
  </si>
  <si>
    <t>Stock.number.LT.Tr.Road.Freight.LCV.ICE.NGas</t>
  </si>
  <si>
    <t>Stock.number.LT.Tr.Road.Freight.LCV.BEV</t>
  </si>
  <si>
    <t>Stock.number.LT.Tr.Road.Freight.HGV_All</t>
  </si>
  <si>
    <t>Stock.number.LT.Tr.Road.Freight.HGV_Domestic</t>
  </si>
  <si>
    <t>Stock.number.LT.Tr.Road.Freight.HGV_International</t>
  </si>
  <si>
    <t>StockNew.number.LT.Tr.Road</t>
  </si>
  <si>
    <t>StockNew.number.LT.Tr.Road.Passenger</t>
  </si>
  <si>
    <t>StockNew.number.LT.Tr.Road.Passenger.P2W</t>
  </si>
  <si>
    <t>StockNew.number.LT.Tr.Road.Passenger.Car</t>
  </si>
  <si>
    <t>StockNew.number.LT.Tr.Road.Passenger.Car.ICE.Gasoline</t>
  </si>
  <si>
    <t>StockNew.number.LT.Tr.Road.Passenger.Car.ICE.Diesel</t>
  </si>
  <si>
    <t>StockNew.number.LT.Tr.Road.Passenger.Car.ICE.LPG</t>
  </si>
  <si>
    <t>StockNew.number.LT.Tr.Road.Passenger.Car.ICE.NGas</t>
  </si>
  <si>
    <t>StockNew.number.LT.Tr.Road.Passenger.Car.PHEV.Gasoline</t>
  </si>
  <si>
    <t>StockNew.number.LT.Tr.Road.Passenger.Car.BEV</t>
  </si>
  <si>
    <t>StockNew.number.LT.Tr.Road.Passenger.Bus</t>
  </si>
  <si>
    <t>StockNew.number.LT.Tr.Road.Passenger.Bus.ICE.Gasoline</t>
  </si>
  <si>
    <t>StockNew.number.LT.Tr.Road.Passenger.Bus.ICE.Diesel</t>
  </si>
  <si>
    <t>StockNew.number.LT.Tr.Road.Passenger.Bus.ICE.LPG</t>
  </si>
  <si>
    <t>StockNew.number.LT.Tr.Road.Passenger.Bus.ICE.NGas</t>
  </si>
  <si>
    <t>StockNew.number.LT.Tr.Road.Passenger.Bus.BEV</t>
  </si>
  <si>
    <t>StockNew.number.LT.Tr.Road.Freight</t>
  </si>
  <si>
    <t>StockNew.number.LT.Tr.Road.Freight.LCV</t>
  </si>
  <si>
    <t>StockNew.number.LT.Tr.Road.Freight.LCV.ICE.Gasoline</t>
  </si>
  <si>
    <t>StockNew.number.LT.Tr.Road.Freight.LCV.ICE.Diesel</t>
  </si>
  <si>
    <t>StockNew.number.LT.Tr.Road.Freight.LCV.ICE.LPG</t>
  </si>
  <si>
    <t>StockNew.number.LT.Tr.Road.Freight.LCV.ICE.NGas</t>
  </si>
  <si>
    <t>StockNew.number.LT.Tr.Road.Freight.LCV.BEV</t>
  </si>
  <si>
    <t>StockNew.number.LT.Tr.Road.Freight.HGV_All</t>
  </si>
  <si>
    <t>StockNew.number.LT.Tr.Road.Freight.HGV_Domestic</t>
  </si>
  <si>
    <t>StockNew.number.LT.Tr.Road.Freight.HGV_International</t>
  </si>
  <si>
    <t>Load.passenger_per_movement.LT.Tr.Road.Passenger</t>
  </si>
  <si>
    <t>Load.passenger_per_movement.LT.Tr.Road.Passenger.P2W</t>
  </si>
  <si>
    <t>Load.passenger_per_movement.LT.Tr.Road.Passenger.Car</t>
  </si>
  <si>
    <t>Load.passenger_per_movement.LT.Tr.Road.Passenger.Car.ICE.Gasoline</t>
  </si>
  <si>
    <t>Load.passenger_per_movement.LT.Tr.Road.Passenger.Car.ICE.Diesel</t>
  </si>
  <si>
    <t>Load.passenger_per_movement.LT.Tr.Road.Passenger.Car.ICE.LPG</t>
  </si>
  <si>
    <t>Load.passenger_per_movement.LT.Tr.Road.Passenger.Car.ICE.NGas</t>
  </si>
  <si>
    <t>Load.passenger_per_movement.LT.Tr.Road.Passenger.Car.PHEV.Gasoline</t>
  </si>
  <si>
    <t>Load.passenger_per_movement.LT.Tr.Road.Passenger.Car.BEV</t>
  </si>
  <si>
    <t>Load.passenger_per_movement.LT.Tr.Road.Passenger.Bus</t>
  </si>
  <si>
    <t>Load.passenger_per_movement.LT.Tr.Road.Passenger.Bus.ICE.Gasoline</t>
  </si>
  <si>
    <t>Load.passenger_per_movement.LT.Tr.Road.Passenger.Bus.ICE.Diesel</t>
  </si>
  <si>
    <t>Load.passenger_per_movement.LT.Tr.Road.Passenger.Bus.ICE.LPG</t>
  </si>
  <si>
    <t>Load.passenger_per_movement.LT.Tr.Road.Passenger.Bus.ICE.NGas</t>
  </si>
  <si>
    <t>Load.passenger_per_movement.LT.Tr.Road.Passenger.Bus.BEV</t>
  </si>
  <si>
    <t>Load.t_per_movement.LT.Tr.Road.Freight</t>
  </si>
  <si>
    <t>Load.t_per_movement.LT.Tr.Road.Freight.LCV</t>
  </si>
  <si>
    <t>Load.t_per_movement.LT.Tr.Road.Freight.LCV.ICE.Gasoline</t>
  </si>
  <si>
    <t>Load.t_per_movement.LT.Tr.Road.Freight.LCV.ICE.Diesel</t>
  </si>
  <si>
    <t>Load.t_per_movement.LT.Tr.Road.Freight.LCV.ICE.LPG</t>
  </si>
  <si>
    <t>Load.t_per_movement.LT.Tr.Road.Freight.LCV.ICE.NGas</t>
  </si>
  <si>
    <t>Load.t_per_movement.LT.Tr.Road.Freight.LCV.BEV</t>
  </si>
  <si>
    <t>Load.t_per_movement.LT.Tr.Road.Freight.HGV_All</t>
  </si>
  <si>
    <t>Load.t_per_movement.LT.Tr.Road.Freight.HGV_Domestic</t>
  </si>
  <si>
    <t>Load.t_per_movement.LT.Tr.Road.Freight.HGV_International</t>
  </si>
  <si>
    <t>VehicleKm_per_vehicle.km.LT.Tr.Road</t>
  </si>
  <si>
    <t>VehicleKm_per_vehicle.km.LT.Tr.Road.Passenger</t>
  </si>
  <si>
    <t>VehicleKm_per_vehicle.km.LT.Tr.Road.Passenger.P2W</t>
  </si>
  <si>
    <t>VehicleKm_per_vehicle.km.LT.Tr.Road.Passenger.Car</t>
  </si>
  <si>
    <t>VehicleKm_per_vehicle.km.LT.Tr.Road.Passenger.Car.ICE.Gasoline</t>
  </si>
  <si>
    <t>VehicleKm_per_vehicle.km.LT.Tr.Road.Passenger.Car.ICE.Diesel</t>
  </si>
  <si>
    <t>VehicleKm_per_vehicle.km.LT.Tr.Road.Passenger.Car.ICE.LPG</t>
  </si>
  <si>
    <t>VehicleKm_per_vehicle.km.LT.Tr.Road.Passenger.Car.ICE.NGas</t>
  </si>
  <si>
    <t>VehicleKm_per_vehicle.km.LT.Tr.Road.Passenger.Car.PHEV.Gasoline</t>
  </si>
  <si>
    <t>VehicleKm_per_vehicle.km.LT.Tr.Road.Passenger.Car.BEV</t>
  </si>
  <si>
    <t>VehicleKm_per_vehicle.km.LT.Tr.Road.Passenger.Bus</t>
  </si>
  <si>
    <t>VehicleKm_per_vehicle.km.LT.Tr.Road.Passenger.Bus.ICE.Gasoline</t>
  </si>
  <si>
    <t>VehicleKm_per_vehicle.km.LT.Tr.Road.Passenger.Bus.ICE.Diesel</t>
  </si>
  <si>
    <t>VehicleKm_per_vehicle.km.LT.Tr.Road.Passenger.Bus.ICE.LPG</t>
  </si>
  <si>
    <t>VehicleKm_per_vehicle.km.LT.Tr.Road.Passenger.Bus.ICE.NGas</t>
  </si>
  <si>
    <t>VehicleKm_per_vehicle.km.LT.Tr.Road.Passenger.Bus.BEV</t>
  </si>
  <si>
    <t>VehicleKm_per_vehicle.km.LT.Tr.Road.Freight</t>
  </si>
  <si>
    <t>VehicleKm_per_vehicle.km.LT.Tr.Road.Freight.LCV</t>
  </si>
  <si>
    <t>VehicleKm_per_vehicle.km.LT.Tr.Road.Freight.LCV.ICE.Gasoline</t>
  </si>
  <si>
    <t>VehicleKm_per_vehicle.km.LT.Tr.Road.Freight.LCV.ICE.Diesel</t>
  </si>
  <si>
    <t>VehicleKm_per_vehicle.km.LT.Tr.Road.Freight.LCV.ICE.LPG</t>
  </si>
  <si>
    <t>VehicleKm_per_vehicle.km.LT.Tr.Road.Freight.LCV.ICE.NGas</t>
  </si>
  <si>
    <t>VehicleKm_per_vehicle.km.LT.Tr.Road.Freight.LCV.BEV</t>
  </si>
  <si>
    <t>VehicleKm_per_vehicle.km.LT.Tr.Road.Freight.HGV_All</t>
  </si>
  <si>
    <t>VehicleKm_per_vehicle.km.LT.Tr.Road.Freight.HGV_Domestic</t>
  </si>
  <si>
    <t>VehicleKm_per_vehicle.km.LT.Tr.Road.Freight.HGV_International</t>
  </si>
  <si>
    <t>Activity_per_vehicle.pkm.LT.Tr.Road.Passenger</t>
  </si>
  <si>
    <t>Activity_per_vehicle.pkm.LT.Tr.Road.Passenger.P2W</t>
  </si>
  <si>
    <t>Activity_per_vehicle.pkm.LT.Tr.Road.Passenger.Car</t>
  </si>
  <si>
    <t>Activity_per_vehicle.pkm.LT.Tr.Road.Passenger.Car.ICE.Gasoline</t>
  </si>
  <si>
    <t>Activity_per_vehicle.pkm.LT.Tr.Road.Passenger.Car.ICE.Diesel</t>
  </si>
  <si>
    <t>Activity_per_vehicle.pkm.LT.Tr.Road.Passenger.Car.ICE.LPG</t>
  </si>
  <si>
    <t>Activity_per_vehicle.pkm.LT.Tr.Road.Passenger.Car.ICE.NGas</t>
  </si>
  <si>
    <t>Activity_per_vehicle.pkm.LT.Tr.Road.Passenger.Car.PHEV.Gasoline</t>
  </si>
  <si>
    <t>Activity_per_vehicle.pkm.LT.Tr.Road.Passenger.Car.BEV</t>
  </si>
  <si>
    <t>Activity_per_vehicle.pkm.LT.Tr.Road.Passenger.Bus</t>
  </si>
  <si>
    <t>Activity_per_vehicle.pkm.LT.Tr.Road.Passenger.Bus.ICE.Gasoline</t>
  </si>
  <si>
    <t>Activity_per_vehicle.pkm.LT.Tr.Road.Passenger.Bus.ICE.Diesel</t>
  </si>
  <si>
    <t>Activity_per_vehicle.pkm.LT.Tr.Road.Passenger.Bus.ICE.LPG</t>
  </si>
  <si>
    <t>Activity_per_vehicle.pkm.LT.Tr.Road.Passenger.Bus.ICE.NGas</t>
  </si>
  <si>
    <t>Activity_per_vehicle.pkm.LT.Tr.Road.Passenger.Bus.BEV</t>
  </si>
  <si>
    <t>Activity_per_vehicle.tkm.LT.Tr.Road.Freight</t>
  </si>
  <si>
    <t>Activity_per_vehicle.tkm.LT.Tr.Road.Freight.LCV</t>
  </si>
  <si>
    <t>Activity_per_vehicle.tkm.LT.Tr.Road.Freight.LCV.ICE.Gasoline</t>
  </si>
  <si>
    <t>Activity_per_vehicle.tkm.LT.Tr.Road.Freight.LCV.ICE.Diesel</t>
  </si>
  <si>
    <t>Activity_per_vehicle.tkm.LT.Tr.Road.Freight.LCV.ICE.LPG</t>
  </si>
  <si>
    <t>Activity_per_vehicle.tkm.LT.Tr.Road.Freight.LCV.ICE.NGas</t>
  </si>
  <si>
    <t>Activity_per_vehicle.tkm.LT.Tr.Road.Freight.LCV.BEV</t>
  </si>
  <si>
    <t>Activity_per_vehicle.tkm.LT.Tr.Road.Freight.HGV_All</t>
  </si>
  <si>
    <t>Activity_per_vehicle.tkm.LT.Tr.Road.Freight.HGV_Domestic</t>
  </si>
  <si>
    <t>Activity_per_vehicle.tkm.LT.Tr.Road.Freight.HGV_International</t>
  </si>
  <si>
    <t>Road transport / energy consumption - LT - Lithuania</t>
  </si>
  <si>
    <t>FEC.ktoe.LT.ES.Tr.Road</t>
  </si>
  <si>
    <t>FEC.ktoe.LT.ES.Tr.Road.LPG</t>
  </si>
  <si>
    <t>FEC.ktoe.LT.ES.Tr.Road.Gasoline</t>
  </si>
  <si>
    <t>FEC.ktoe.LT.ES.Tr.Road.Diesel</t>
  </si>
  <si>
    <t>FEC.ktoe.LT.ES.Tr.Road.NG</t>
  </si>
  <si>
    <t>FEC.ktoe.LT.ES.Tr.Road.Biogas</t>
  </si>
  <si>
    <t>FEC.ktoe.LT.ES.Tr.Road.Biogasoline</t>
  </si>
  <si>
    <t>FEC.ktoe.LT.ES.Tr.Road.Biodiesel</t>
  </si>
  <si>
    <t>FEC.ktoe.LT.ES.Tr.Road.OthLiqBio</t>
  </si>
  <si>
    <t>FEC.ktoe.LT.ES.Tr.Road.Elec</t>
  </si>
  <si>
    <t>FEC.ktoe.LT.Tr.Road</t>
  </si>
  <si>
    <t>FEC.ktoe.LT.Tr.Road.Passenger.P2W.Total.Total.Biogasoline</t>
  </si>
  <si>
    <t>FEC.ktoe.LT.Tr.Road.Passenger.Car.ICE.Gasoline</t>
  </si>
  <si>
    <t>FEC.ktoe.LT.Tr.Road.Passenger.Car.ICE.Gasoline.Biogasoline</t>
  </si>
  <si>
    <t>FEC.ktoe.LT.Tr.Road.Passenger.Car.ICE.Diesel</t>
  </si>
  <si>
    <t>FEC.ktoe.LT.Tr.Road.Passenger.Car.ICE.Diesel.BioDiesel_OthLiqBio</t>
  </si>
  <si>
    <t>FEC.ktoe.LT.Tr.Road.Passenger.Car.ICE.LPG</t>
  </si>
  <si>
    <t>FEC.ktoe.LT.Tr.Road.Passenger.Car.ICE.NGas</t>
  </si>
  <si>
    <t>FEC.ktoe.LT.Tr.Road.Passenger.Car.ICE.NGas.Biogas</t>
  </si>
  <si>
    <t>FEC.ktoe.LT.Tr.Road.Passenger.Car.PHEV.Gasoline</t>
  </si>
  <si>
    <t>FEC.ktoe.LT.Tr.Road.Passenger.Car.PHEV.Gasoline.Biogasoline</t>
  </si>
  <si>
    <t>FEC.ktoe.LT.Tr.Road.Passenger.Car.PHEV.Gasoline.Elec</t>
  </si>
  <si>
    <t>FEC.ktoe.LT.Tr.Road.Passenger.Car.BEV</t>
  </si>
  <si>
    <t>FEC.ktoe.LT.Tr.Road.Passenger.Bus.ICE.Gasoline</t>
  </si>
  <si>
    <t>FEC.ktoe.LT.Tr.Road.Passenger.Bus.ICE.Gasoline.Biogasoline</t>
  </si>
  <si>
    <t>FEC.ktoe.LT.Tr.Road.Passenger.Bus.ICE.Diesel</t>
  </si>
  <si>
    <t>FEC.ktoe.LT.Tr.Road.Passenger.Bus.ICE.Diesel.BioDiesel_OthLiqBio</t>
  </si>
  <si>
    <t>FEC.ktoe.LT.Tr.Road.Passenger.Bus.ICE.LPG</t>
  </si>
  <si>
    <t>FEC.ktoe.LT.Tr.Road.Passenger.Bus.ICE.NGas</t>
  </si>
  <si>
    <t>FEC.ktoe.LT.Tr.Road.Passenger.Bus.ICE.NGas.Biogas</t>
  </si>
  <si>
    <t>FEC.ktoe.LT.Tr.Road.Passenger.Bus.BEV</t>
  </si>
  <si>
    <t>FEC.ktoe.LT.Tr.Road.Freight.LCV.ICE.Gasoline</t>
  </si>
  <si>
    <t>FEC.ktoe.LT.Tr.Road.Freight.LCV.ICE.Gasoline.Biogasoline</t>
  </si>
  <si>
    <t>FEC.ktoe.LT.Tr.Road.Freight.LCV.ICE.Diesel</t>
  </si>
  <si>
    <t>FEC.ktoe.LT.Tr.Road.Freight.LCV.ICE.Diesel.BioDiesel_OthLiqBio</t>
  </si>
  <si>
    <t>FEC.ktoe.LT.Tr.Road.Freight.LCV.ICE.LPG</t>
  </si>
  <si>
    <t>FEC.ktoe.LT.Tr.Road.Freight.LCV.ICE.NGas</t>
  </si>
  <si>
    <t>FEC.ktoe.LT.Tr.Road.Freight.LCV.ICE.NGas.Biogas</t>
  </si>
  <si>
    <t>FEC.ktoe.LT.Tr.Road.Freight.LCV.BEV</t>
  </si>
  <si>
    <t>FEC.ktoe.LT.Tr.Road.Freight.HGV_Domestic</t>
  </si>
  <si>
    <t>FEC.ktoe.LT.Tr.Road.Freight.HGV_Domestic.Total.Total.BioDiesel_OthLiqBio</t>
  </si>
  <si>
    <t>FEC.ktoe.LT.Tr.Road.Freight.HGV_International</t>
  </si>
  <si>
    <t>FEC.ktoe.LT.Tr.Road.Freight.HGV_International.Total.Total.BioDiesel_OthLiqBio</t>
  </si>
  <si>
    <t>Eff.kgoe_per_100km.LT.Tr.Road</t>
  </si>
  <si>
    <t>Eff.kgoe_per_100km.LT.Tr.Road.Passenger</t>
  </si>
  <si>
    <t>Eff.kgoe_per_100km.LT.Tr.Road.Passenger.P2W</t>
  </si>
  <si>
    <t>Eff.kgoe_per_100km.LT.Tr.Road.Passenger.Car</t>
  </si>
  <si>
    <t>Eff.kgoe_per_100km.LT.Tr.Road.Passenger.Car.ICE.Gasoline</t>
  </si>
  <si>
    <t>Eff.kgoe_per_100km.LT.Tr.Road.Passenger.Car.ICE.Diesel</t>
  </si>
  <si>
    <t>Eff.kgoe_per_100km.LT.Tr.Road.Passenger.Car.ICE.LPG</t>
  </si>
  <si>
    <t>Eff.kgoe_per_100km.LT.Tr.Road.Passenger.Car.ICE.NGas</t>
  </si>
  <si>
    <t>Eff.kgoe_per_100km.LT.Tr.Road.Passenger.Car.PHEV.Gasoline</t>
  </si>
  <si>
    <t>Eff.kgoe_per_100km.LT.Tr.Road.Passenger.Car.BEV</t>
  </si>
  <si>
    <t>Eff.kgoe_per_100km.LT.Tr.Road.Passenger.Bus</t>
  </si>
  <si>
    <t>Eff.kgoe_per_100km.LT.Tr.Road.Passenger.Bus.ICE.Gasoline</t>
  </si>
  <si>
    <t>Eff.kgoe_per_100km.LT.Tr.Road.Passenger.Bus.ICE.Diesel</t>
  </si>
  <si>
    <t>Eff.kgoe_per_100km.LT.Tr.Road.Passenger.Bus.ICE.LPG</t>
  </si>
  <si>
    <t>Eff.kgoe_per_100km.LT.Tr.Road.Passenger.Bus.ICE.NGas</t>
  </si>
  <si>
    <t>Eff.kgoe_per_100km.LT.Tr.Road.Passenger.Bus.BEV</t>
  </si>
  <si>
    <t>Eff.kgoe_per_100km.LT.Tr.Road.Freight</t>
  </si>
  <si>
    <t>Eff.kgoe_per_100km.LT.Tr.Road.Freight.LCV</t>
  </si>
  <si>
    <t>Eff.kgoe_per_100km.LT.Tr.Road.Freight.LCV.ICE.Gasoline</t>
  </si>
  <si>
    <t>Eff.kgoe_per_100km.LT.Tr.Road.Freight.LCV.ICE.Diesel</t>
  </si>
  <si>
    <t>Eff.kgoe_per_100km.LT.Tr.Road.Freight.LCV.ICE.LPG</t>
  </si>
  <si>
    <t>Eff.kgoe_per_100km.LT.Tr.Road.Freight.LCV.ICE.NGas</t>
  </si>
  <si>
    <t>Eff.kgoe_per_100km.LT.Tr.Road.Freight.LCV.BEV</t>
  </si>
  <si>
    <t>Eff.kgoe_per_100km.LT.Tr.Road.Freight.HGV_All</t>
  </si>
  <si>
    <t>Eff.kgoe_per_100km.LT.Tr.Road.Freight.HGV_Domestic</t>
  </si>
  <si>
    <t>Eff.kgoe_per_100km.LT.Tr.Road.Freight.HGV_International</t>
  </si>
  <si>
    <t>Eff.kgoe_per_kpkm.LT.Tr.Road.Passenger.Car.ICE.Gasoline</t>
  </si>
  <si>
    <t>Eff.kgoe_per_kpkm.LT.Tr.Road.Passenger.Car.ICE.Diesel</t>
  </si>
  <si>
    <t>Eff.kgoe_per_kpkm.LT.Tr.Road.Passenger.Car.ICE.LPG</t>
  </si>
  <si>
    <t>Eff.kgoe_per_kpkm.LT.Tr.Road.Passenger.Car.ICE.NGas</t>
  </si>
  <si>
    <t>Eff.kgoe_per_kpkm.LT.Tr.Road.Passenger.Car.PHEV.Gasoline</t>
  </si>
  <si>
    <t>Eff.kgoe_per_kpkm.LT.Tr.Road.Passenger.Car.BEV</t>
  </si>
  <si>
    <t>Eff.kgoe_per_kpkm.LT.Tr.Road.Passenger.Bus.ICE.Gasoline</t>
  </si>
  <si>
    <t>Eff.kgoe_per_kpkm.LT.Tr.Road.Passenger.Bus.ICE.Diesel</t>
  </si>
  <si>
    <t>Eff.kgoe_per_kpkm.LT.Tr.Road.Passenger.Bus.ICE.LPG</t>
  </si>
  <si>
    <t>Eff.kgoe_per_kpkm.LT.Tr.Road.Passenger.Bus.ICE.NGas</t>
  </si>
  <si>
    <t>Eff.kgoe_per_kpkm.LT.Tr.Road.Passenger.Bus.BEV</t>
  </si>
  <si>
    <t>Eff.kgoe_per_ktkm.LT.Tr.Road.Freight.LCV.ICE.Gasoline</t>
  </si>
  <si>
    <t>Eff.kgoe_per_ktkm.LT.Tr.Road.Freight.LCV.ICE.Diesel</t>
  </si>
  <si>
    <t>Eff.kgoe_per_ktkm.LT.Tr.Road.Freight.LCV.ICE.LPG</t>
  </si>
  <si>
    <t>Eff.kgoe_per_ktkm.LT.Tr.Road.Freight.LCV.ICE.NGas</t>
  </si>
  <si>
    <t>Eff.kgoe_per_ktkm.LT.Tr.Road.Freight.LCV.BEV</t>
  </si>
  <si>
    <t>Eff.kgoe_per_ktkm.LT.Tr.Road.Freight.HGV_Domestic</t>
  </si>
  <si>
    <t>Eff.kgoe_per_ktkm.LT.Tr.Road.Freight.HGV_International</t>
  </si>
  <si>
    <t>FEC_per_vehicle.kgoe.LT.Tr.Road.Passenger.P2W</t>
  </si>
  <si>
    <t>FEC_per_vehicle.kgoe.LT.Tr.Road.Passenger.Car</t>
  </si>
  <si>
    <t>FEC_per_vehicle.kgoe.LT.Tr.Road.Passenger.Car.ICE.Gasoline</t>
  </si>
  <si>
    <t>FEC_per_vehicle.kgoe.LT.Tr.Road.Passenger.Car.ICE.Diesel</t>
  </si>
  <si>
    <t>FEC_per_vehicle.kgoe.LT.Tr.Road.Passenger.Car.ICE.LPG</t>
  </si>
  <si>
    <t>FEC_per_vehicle.kgoe.LT.Tr.Road.Passenger.Car.ICE.NGas</t>
  </si>
  <si>
    <t>FEC_per_vehicle.kgoe.LT.Tr.Road.Passenger.Car.PHEV.Gasoline</t>
  </si>
  <si>
    <t>FEC_per_vehicle.kgoe.LT.Tr.Road.Passenger.Car.BEV</t>
  </si>
  <si>
    <t>FEC_per_vehicle.kgoe.LT.Tr.Road.Passenger.Bus</t>
  </si>
  <si>
    <t>FEC_per_vehicle.kgoe.LT.Tr.Road.Passenger.Bus.ICE.Gasoline</t>
  </si>
  <si>
    <t>FEC_per_vehicle.kgoe.LT.Tr.Road.Passenger.Bus.ICE.Diesel</t>
  </si>
  <si>
    <t>FEC_per_vehicle.kgoe.LT.Tr.Road.Passenger.Bus.ICE.LPG</t>
  </si>
  <si>
    <t>FEC_per_vehicle.kgoe.LT.Tr.Road.Passenger.Bus.ICE.NGas</t>
  </si>
  <si>
    <t>FEC_per_vehicle.kgoe.LT.Tr.Road.Passenger.Bus.BEV</t>
  </si>
  <si>
    <t>FEC_per_vehicle.kgoe.LT.Tr.Road.Freight.LCV</t>
  </si>
  <si>
    <t>FEC_per_vehicle.kgoe.LT.Tr.Road.Freight.LCV.ICE.Gasoline</t>
  </si>
  <si>
    <t>FEC_per_vehicle.kgoe.LT.Tr.Road.Freight.LCV.ICE.Diesel</t>
  </si>
  <si>
    <t>FEC_per_vehicle.kgoe.LT.Tr.Road.Freight.LCV.ICE.LPG</t>
  </si>
  <si>
    <t>FEC_per_vehicle.kgoe.LT.Tr.Road.Freight.LCV.ICE.NGas</t>
  </si>
  <si>
    <t>FEC_per_vehicle.kgoe.LT.Tr.Road.Freight.LCV.BEV</t>
  </si>
  <si>
    <t>FEC_per_vehicle.kgoe.LT.Tr.Road.Freight.HGV_All</t>
  </si>
  <si>
    <t>FEC_per_vehicle.kgoe.LT.Tr.Road.Freight.HGV_Domestic</t>
  </si>
  <si>
    <t>FEC_per_vehicle.kgoe.LT.Tr.Road.Freight.HGV_International</t>
  </si>
  <si>
    <t>Road transport / CO2 emissions - LT - Lithuania</t>
  </si>
  <si>
    <t>EMI.ktCO2.LT.ES.Tr.Road</t>
  </si>
  <si>
    <t>EMI.ktCO2.LT.ES.Tr.Road.LPG</t>
  </si>
  <si>
    <t>EMI.ktCO2.LT.ES.Tr.Road.Gasoline</t>
  </si>
  <si>
    <t>EMI.ktCO2.LT.ES.Tr.Road.Diesel</t>
  </si>
  <si>
    <t>EMI.ktCO2.LT.ES.Tr.Road.NG</t>
  </si>
  <si>
    <t>EMI.ktCO2.LT.ES.Tr.Road.Biogas</t>
  </si>
  <si>
    <t>EMI.ktCO2.LT.ES.Tr.Road.Biogasoline</t>
  </si>
  <si>
    <t>EMI.ktCO2.LT.ES.Tr.Road.Biodiesel</t>
  </si>
  <si>
    <t>EMI.ktCO2.LT.ES.Tr.Road.OthLiqBio</t>
  </si>
  <si>
    <t>EMI.ktCO2.LT.ES.Tr.Road.Elec</t>
  </si>
  <si>
    <t>EMI.ktCO2.LT.Tr.Road</t>
  </si>
  <si>
    <t>EMI.ktCO2.LT.Tr.Road.Passenger.Car.ICE.Gasoline</t>
  </si>
  <si>
    <t>EMI.ktCO2.LT.Tr.Road.Passenger.Car.ICE.Diesel</t>
  </si>
  <si>
    <t>EMI.ktCO2.LT.Tr.Road.Passenger.Car.ICE.LPG</t>
  </si>
  <si>
    <t>EMI.ktCO2.LT.Tr.Road.Passenger.Car.ICE.NGas</t>
  </si>
  <si>
    <t>EMI.ktCO2.LT.Tr.Road.Passenger.Car.PHEV.Gasoline</t>
  </si>
  <si>
    <t>EMI.ktCO2.LT.Tr.Road.Passenger.Car.BEV</t>
  </si>
  <si>
    <t>EMI.ktCO2.LT.Tr.Road.Passenger.Bus.ICE.Gasoline</t>
  </si>
  <si>
    <t>EMI.ktCO2.LT.Tr.Road.Passenger.Bus.ICE.Diesel</t>
  </si>
  <si>
    <t>EMI.ktCO2.LT.Tr.Road.Passenger.Bus.ICE.LPG</t>
  </si>
  <si>
    <t>EMI.ktCO2.LT.Tr.Road.Passenger.Bus.ICE.NGas</t>
  </si>
  <si>
    <t>EMI.ktCO2.LT.Tr.Road.Passenger.Bus.BEV</t>
  </si>
  <si>
    <t>EMI.ktCO2.LT.Tr.Road.Freight.LCV.ICE.Gasoline</t>
  </si>
  <si>
    <t>EMI.ktCO2.LT.Tr.Road.Freight.LCV.ICE.Diesel</t>
  </si>
  <si>
    <t>EMI.ktCO2.LT.Tr.Road.Freight.LCV.ICE.LPG</t>
  </si>
  <si>
    <t>EMI.ktCO2.LT.Tr.Road.Freight.LCV.ICE.NGas</t>
  </si>
  <si>
    <t>EMI.ktCO2.LT.Tr.Road.Freight.LCV.BEV</t>
  </si>
  <si>
    <t>EMI.ktCO2.LT.Tr.Road.Freight.HGV_Domestic</t>
  </si>
  <si>
    <t>EMI.ktCO2.LT.Tr.Road.Freight.HGV_International</t>
  </si>
  <si>
    <t>EMIint.gCO2_per_km.LT.Tr.Road</t>
  </si>
  <si>
    <t>EMIint.gCO2_per_km.LT.Tr.Road.Passenger</t>
  </si>
  <si>
    <t>EMIint.gCO2_per_km.LT.Tr.Road.Passenger.P2W</t>
  </si>
  <si>
    <t>EMIint.gCO2_per_km.LT.Tr.Road.Passenger.Car</t>
  </si>
  <si>
    <t>EMIint.gCO2_per_km.LT.Tr.Road.Passenger.Car.ICE.Gasoline</t>
  </si>
  <si>
    <t>EMIint.gCO2_per_km.LT.Tr.Road.Passenger.Car.ICE.Diesel</t>
  </si>
  <si>
    <t>EMIint.gCO2_per_km.LT.Tr.Road.Passenger.Car.ICE.LPG</t>
  </si>
  <si>
    <t>EMIint.gCO2_per_km.LT.Tr.Road.Passenger.Car.ICE.NGas</t>
  </si>
  <si>
    <t>EMIint.gCO2_per_km.LT.Tr.Road.Passenger.Car.PHEV.Gasoline</t>
  </si>
  <si>
    <t>EMIint.gCO2_per_km.LT.Tr.Road.Passenger.Car.BEV</t>
  </si>
  <si>
    <t>EMIint.gCO2_per_km.LT.Tr.Road.Passenger.Bus</t>
  </si>
  <si>
    <t>EMIint.gCO2_per_km.LT.Tr.Road.Passenger.Bus.ICE.Gasoline</t>
  </si>
  <si>
    <t>EMIint.gCO2_per_km.LT.Tr.Road.Passenger.Bus.ICE.Diesel</t>
  </si>
  <si>
    <t>EMIint.gCO2_per_km.LT.Tr.Road.Passenger.Bus.ICE.LPG</t>
  </si>
  <si>
    <t>EMIint.gCO2_per_km.LT.Tr.Road.Passenger.Bus.ICE.NGas</t>
  </si>
  <si>
    <t>EMIint.gCO2_per_km.LT.Tr.Road.Passenger.Bus.BEV</t>
  </si>
  <si>
    <t>EMIint.gCO2_per_km.LT.Tr.Road.Freight</t>
  </si>
  <si>
    <t>EMIint.gCO2_per_km.LT.Tr.Road.Freight.LCV</t>
  </si>
  <si>
    <t>EMIint.gCO2_per_km.LT.Tr.Road.Freight.LCV.ICE.Gasoline</t>
  </si>
  <si>
    <t>EMIint.gCO2_per_km.LT.Tr.Road.Freight.LCV.ICE.Diesel</t>
  </si>
  <si>
    <t>EMIint.gCO2_per_km.LT.Tr.Road.Freight.LCV.ICE.LPG</t>
  </si>
  <si>
    <t>EMIint.gCO2_per_km.LT.Tr.Road.Freight.LCV.ICE.NGas</t>
  </si>
  <si>
    <t>EMIint.gCO2_per_km.LT.Tr.Road.Freight.LCV.BEV</t>
  </si>
  <si>
    <t>EMIint.gCO2_per_km.LT.Tr.Road.Freight.HGV_All</t>
  </si>
  <si>
    <t>EMIint.gCO2_per_km.LT.Tr.Road.Freight.HGV_Domestic</t>
  </si>
  <si>
    <t>EMIint.gCO2_per_km.LT.Tr.Road.Freight.HGV_International</t>
  </si>
  <si>
    <t>EMIint.gCO2_per_pkm.LT.Tr.Road.Passenger.Car.ICE.Gasoline</t>
  </si>
  <si>
    <t>EMIint.gCO2_per_pkm.LT.Tr.Road.Passenger.Car.ICE.Diesel</t>
  </si>
  <si>
    <t>EMIint.gCO2_per_pkm.LT.Tr.Road.Passenger.Car.ICE.LPG</t>
  </si>
  <si>
    <t>EMIint.gCO2_per_pkm.LT.Tr.Road.Passenger.Car.ICE.NGas</t>
  </si>
  <si>
    <t>EMIint.gCO2_per_pkm.LT.Tr.Road.Passenger.Car.PHEV.Gasoline</t>
  </si>
  <si>
    <t>EMIint.gCO2_per_pkm.LT.Tr.Road.Passenger.Car.BEV</t>
  </si>
  <si>
    <t>EMIint.gCO2_per_pkm.LT.Tr.Road.Passenger.Bus.ICE.Gasoline</t>
  </si>
  <si>
    <t>EMIint.gCO2_per_pkm.LT.Tr.Road.Passenger.Bus.ICE.Diesel</t>
  </si>
  <si>
    <t>EMIint.gCO2_per_pkm.LT.Tr.Road.Passenger.Bus.ICE.LPG</t>
  </si>
  <si>
    <t>EMIint.gCO2_per_pkm.LT.Tr.Road.Passenger.Bus.ICE.NGas</t>
  </si>
  <si>
    <t>EMIint.gCO2_per_pkm.LT.Tr.Road.Passenger.Bus.BEV</t>
  </si>
  <si>
    <t>EMIint.gCO2_per_tkm.LT.Tr.Road.Freight.LCV.ICE.Gasoline</t>
  </si>
  <si>
    <t>EMIint.gCO2_per_tkm.LT.Tr.Road.Freight.LCV.ICE.Diesel</t>
  </si>
  <si>
    <t>EMIint.gCO2_per_tkm.LT.Tr.Road.Freight.LCV.ICE.LPG</t>
  </si>
  <si>
    <t>EMIint.gCO2_per_tkm.LT.Tr.Road.Freight.LCV.ICE.NGas</t>
  </si>
  <si>
    <t>EMIint.gCO2_per_tkm.LT.Tr.Road.Freight.LCV.BEV</t>
  </si>
  <si>
    <t>EMIint.gCO2_per_tkm.LT.Tr.Road.Freight.HGV_Domestic</t>
  </si>
  <si>
    <t>EMIint.gCO2_per_tkm.LT.Tr.Road.Freight.HGV_International</t>
  </si>
  <si>
    <t>EMI_per_vehicle.kgCO2.LT.Tr.Road.Passenger.P2W</t>
  </si>
  <si>
    <t>EMI_per_vehicle.kgCO2.LT.Tr.Road.Passenger.Car</t>
  </si>
  <si>
    <t>EMI_per_vehicle.kgCO2.LT.Tr.Road.Passenger.Car.ICE.Gasoline</t>
  </si>
  <si>
    <t>EMI_per_vehicle.kgCO2.LT.Tr.Road.Passenger.Car.ICE.Diesel</t>
  </si>
  <si>
    <t>EMI_per_vehicle.kgCO2.LT.Tr.Road.Passenger.Car.ICE.LPG</t>
  </si>
  <si>
    <t>EMI_per_vehicle.kgCO2.LT.Tr.Road.Passenger.Car.ICE.NGas</t>
  </si>
  <si>
    <t>EMI_per_vehicle.kgCO2.LT.Tr.Road.Passenger.Car.PHEV.Gasoline</t>
  </si>
  <si>
    <t>EMI_per_vehicle.kgCO2.LT.Tr.Road.Passenger.Car.BEV</t>
  </si>
  <si>
    <t>EMI_per_vehicle.kgCO2.LT.Tr.Road.Passenger.Bus</t>
  </si>
  <si>
    <t>EMI_per_vehicle.kgCO2.LT.Tr.Road.Passenger.Bus.ICE.Gasoline</t>
  </si>
  <si>
    <t>EMI_per_vehicle.kgCO2.LT.Tr.Road.Passenger.Bus.ICE.Diesel</t>
  </si>
  <si>
    <t>EMI_per_vehicle.kgCO2.LT.Tr.Road.Passenger.Bus.ICE.LPG</t>
  </si>
  <si>
    <t>EMI_per_vehicle.kgCO2.LT.Tr.Road.Passenger.Bus.ICE.NGas</t>
  </si>
  <si>
    <t>EMI_per_vehicle.kgCO2.LT.Tr.Road.Passenger.Bus.BEV</t>
  </si>
  <si>
    <t>EMI_per_vehicle.kgCO2.LT.Tr.Road.Freight.LCV</t>
  </si>
  <si>
    <t>EMI_per_vehicle.kgCO2.LT.Tr.Road.Freight.LCV.ICE.Gasoline</t>
  </si>
  <si>
    <t>EMI_per_vehicle.kgCO2.LT.Tr.Road.Freight.LCV.ICE.Diesel</t>
  </si>
  <si>
    <t>EMI_per_vehicle.kgCO2.LT.Tr.Road.Freight.LCV.ICE.LPG</t>
  </si>
  <si>
    <t>EMI_per_vehicle.kgCO2.LT.Tr.Road.Freight.LCV.ICE.NGas</t>
  </si>
  <si>
    <t>EMI_per_vehicle.kgCO2.LT.Tr.Road.Freight.LCV.BEV</t>
  </si>
  <si>
    <t>EMI_per_vehicle.kgCO2.LT.Tr.Road.Freight.HGV_All</t>
  </si>
  <si>
    <t>EMI_per_vehicle.kgCO2.LT.Tr.Road.Freight.HGV_Domestic</t>
  </si>
  <si>
    <t>EMI_per_vehicle.kgCO2.LT.Tr.Road.Freight.HGV_International</t>
  </si>
  <si>
    <t>Road transport / technologies - LT - Lithuania</t>
  </si>
  <si>
    <t>Stock.number.LT.Tr.Road.Freight.HGV_all</t>
  </si>
  <si>
    <t>StockVin.number.LT.Tr.Road</t>
  </si>
  <si>
    <t>StockVin.number.LT.Tr.Road.Passenger</t>
  </si>
  <si>
    <t>StockVin.number.LT.Tr.Road.Passenger.P2W</t>
  </si>
  <si>
    <t>StockVin.number.LT.Tr.Road.Passenger.Car</t>
  </si>
  <si>
    <t>StockVin.number.LT.Tr.Road.Passenger.Car.ICE.Gasoline</t>
  </si>
  <si>
    <t>StockVin.number.LT.Tr.Road.Passenger.Car.ICE.Diesel</t>
  </si>
  <si>
    <t>StockVin.number.LT.Tr.Road.Passenger.Car.ICE.LPG</t>
  </si>
  <si>
    <t>StockVin.number.LT.Tr.Road.Passenger.Car.ICE.NGas</t>
  </si>
  <si>
    <t>StockVin.number.LT.Tr.Road.Passenger.Car.PHEV.Gasoline</t>
  </si>
  <si>
    <t>StockVin.number.LT.Tr.Road.Passenger.Car.BEV</t>
  </si>
  <si>
    <t>StockVin.number.LT.Tr.Road.Passenger.Bus</t>
  </si>
  <si>
    <t>StockVin.number.LT.Tr.Road.Passenger.Bus.ICE.Gasoline</t>
  </si>
  <si>
    <t>StockVin.number.LT.Tr.Road.Passenger.Bus.ICE.Diesel</t>
  </si>
  <si>
    <t>StockVin.number.LT.Tr.Road.Passenger.Bus.ICE.LPG</t>
  </si>
  <si>
    <t>StockVin.number.LT.Tr.Road.Passenger.Bus.ICE.NGas</t>
  </si>
  <si>
    <t>StockVin.number.LT.Tr.Road.Passenger.Bus.BEV</t>
  </si>
  <si>
    <t>StockVin.number.LT.Tr.Road.Freight</t>
  </si>
  <si>
    <t>StockVin.number.LT.Tr.Road.Freight.LCV</t>
  </si>
  <si>
    <t>StockVin.number.LT.Tr.Road.Freight.LCV.ICE.Gasoline</t>
  </si>
  <si>
    <t>StockVin.number.LT.Tr.Road.Freight.LCV.ICE.Diesel</t>
  </si>
  <si>
    <t>StockVin.number.LT.Tr.Road.Freight.LCV.ICE.LPG</t>
  </si>
  <si>
    <t>StockVin.number.LT.Tr.Road.Freight.LCV.ICE.NGas</t>
  </si>
  <si>
    <t>StockVin.number.LT.Tr.Road.Freight.LCV.BEV</t>
  </si>
  <si>
    <t>StockVin.number.LT.Tr.Road.Freight.HGV_All</t>
  </si>
  <si>
    <t>StockVin.number.LT.Tr.Road.Freight.HGV_Domestic</t>
  </si>
  <si>
    <t>StockVin.number.LT.Tr.Road.Freight.HGV_International</t>
  </si>
  <si>
    <t>Eff_test_stock.kgoe_per_100km.LT.Tr.Road.Passenger.P2W</t>
  </si>
  <si>
    <t>Eff_test_stock.kgoe_per_100km.LT.Tr.Road.Passenger.Car</t>
  </si>
  <si>
    <t>Eff_test_stock.kgoe_per_100km.LT.Tr.Road.Passenger.Car.ICE.Gasoline</t>
  </si>
  <si>
    <t>Eff_test_stock.kgoe_per_100km.LT.Tr.Road.Passenger.Car.ICE.Diesel</t>
  </si>
  <si>
    <t>Eff_test_stock.kgoe_per_100km.LT.Tr.Road.Passenger.Car.ICE.LPG</t>
  </si>
  <si>
    <t>Eff_test_stock.kgoe_per_100km.LT.Tr.Road.Passenger.Car.ICE.NGas</t>
  </si>
  <si>
    <t>Eff_test_stock.kgoe_per_100km.LT.Tr.Road.Passenger.Car.PHEV.Gasoline</t>
  </si>
  <si>
    <t>Eff_test_stock.kgoe_per_100km.LT.Tr.Road.Passenger.Car.BEV</t>
  </si>
  <si>
    <t>Eff_test_stock.kgoe_per_100km.LT.Tr.Road.Passenger.Bus</t>
  </si>
  <si>
    <t>Eff_test_stock.kgoe_per_100km.LT.Tr.Road.Passenger.Bus.ICE.Gasoline</t>
  </si>
  <si>
    <t>Eff_test_stock.kgoe_per_100km.LT.Tr.Road.Passenger.Bus.ICE.Diesel</t>
  </si>
  <si>
    <t>Eff_test_stock.kgoe_per_100km.LT.Tr.Road.Passenger.Bus.ICE.LPG</t>
  </si>
  <si>
    <t>Eff_test_stock.kgoe_per_100km.LT.Tr.Road.Passenger.Bus.ICE.NGas</t>
  </si>
  <si>
    <t>Eff_test_stock.kgoe_per_100km.LT.Tr.Road.Passenger.Bus.BEV</t>
  </si>
  <si>
    <t>Eff_test_stock.kgoe_per_100km.LT.Tr.Road.Freight.LCV</t>
  </si>
  <si>
    <t>Eff_test_stock.kgoe_per_100km.LT.Tr.Road.Freight.LCV.ICE.Gasoline</t>
  </si>
  <si>
    <t>Eff_test_stock.kgoe_per_100km.LT.Tr.Road.Freight.LCV.ICE.Diesel</t>
  </si>
  <si>
    <t>Eff_test_stock.kgoe_per_100km.LT.Tr.Road.Freight.LCV.ICE.LPG</t>
  </si>
  <si>
    <t>Eff_test_stock.kgoe_per_100km.LT.Tr.Road.Freight.LCV.ICE.NGas</t>
  </si>
  <si>
    <t>Eff_test_stock.kgoe_per_100km.LT.Tr.Road.Freight.LCV.BEV</t>
  </si>
  <si>
    <t>Eff_test_stock.kgoe_per_100km.LT.Tr.Road.Freight.HGV_All</t>
  </si>
  <si>
    <t>Eff_test_stock.kgoe_per_100km.LT.Tr.Road.Freight.HGV_Domestic</t>
  </si>
  <si>
    <t>Eff_test_stock.kgoe_per_100km.LT.Tr.Road.Freight.HGV_International</t>
  </si>
  <si>
    <t>Eff_test_new.kgoe_per_100km.LT.Tr.Road.Passenger.P2W</t>
  </si>
  <si>
    <t>Eff_test_new.kgoe_per_100km.LT.Tr.Road.Passenger.Car</t>
  </si>
  <si>
    <t>Eff_test_new.kgoe_per_100km.LT.Tr.Road.Passenger.Car.ICE.Gasoline</t>
  </si>
  <si>
    <t>Eff_test_new.kgoe_per_100km.LT.Tr.Road.Passenger.Car.ICE.Diesel</t>
  </si>
  <si>
    <t>Eff_test_new.kgoe_per_100km.LT.Tr.Road.Passenger.Car.ICE.LPG</t>
  </si>
  <si>
    <t>Eff_test_new.kgoe_per_100km.LT.Tr.Road.Passenger.Car.ICE.NGas</t>
  </si>
  <si>
    <t>Eff_test_new.kgoe_per_100km.LT.Tr.Road.Passenger.Car.PHEV.Gasoline</t>
  </si>
  <si>
    <t>Eff_test_new.kgoe_per_100km.LT.Tr.Road.Passenger.Car.BEV</t>
  </si>
  <si>
    <t>Eff_test_new.kgoe_per_100km.LT.Tr.Road.Passenger.Bus</t>
  </si>
  <si>
    <t>Eff_test_new.kgoe_per_100km.LT.Tr.Road.Passenger.Bus.ICE.Gasoline</t>
  </si>
  <si>
    <t>Eff_test_new.kgoe_per_100km.LT.Tr.Road.Passenger.Bus.ICE.Diesel</t>
  </si>
  <si>
    <t>Eff_test_new.kgoe_per_100km.LT.Tr.Road.Passenger.Bus.ICE.LPG</t>
  </si>
  <si>
    <t>Eff_test_new.kgoe_per_100km.LT.Tr.Road.Passenger.Bus.ICE.NGas</t>
  </si>
  <si>
    <t>Eff_test_new.kgoe_per_100km.LT.Tr.Road.Passenger.Bus.BEV</t>
  </si>
  <si>
    <t>Eff_test_new.kgoe_per_100km.LT.Tr.Road.Freight.LCV</t>
  </si>
  <si>
    <t>Eff_test_new.kgoe_per_100km.LT.Tr.Road.Freight.LCV.ICE.Gasoline</t>
  </si>
  <si>
    <t>Eff_test_new.kgoe_per_100km.LT.Tr.Road.Freight.LCV.ICE.Diesel</t>
  </si>
  <si>
    <t>Eff_test_new.kgoe_per_100km.LT.Tr.Road.Freight.LCV.ICE.LPG</t>
  </si>
  <si>
    <t>Eff_test_new.kgoe_per_100km.LT.Tr.Road.Freight.LCV.ICE.NGas</t>
  </si>
  <si>
    <t>Eff_test_new.kgoe_per_100km.LT.Tr.Road.Freight.LCV.BEV</t>
  </si>
  <si>
    <t>Eff_test_new.kgoe_per_100km.LT.Tr.Road.Freight.HGV_All</t>
  </si>
  <si>
    <t>Eff_test_new.kgoe_per_100km.LT.Tr.Road.Freight.HGV_Domestic</t>
  </si>
  <si>
    <t>Eff_test_new.kgoe_per_100km.LT.Tr.Road.Freight.HGV_International</t>
  </si>
  <si>
    <t>EMIint_test_stock.gCO2_per_km.LT.Tr.Road.Passenger.P2W</t>
  </si>
  <si>
    <t>EMIint_test_stock.gCO2_per_km.LT.Tr.Road.Passenger.Car</t>
  </si>
  <si>
    <t>EMIint_test_stock.gCO2_per_km.LT.Tr.Road.Passenger.Car.ICE.Gasoline</t>
  </si>
  <si>
    <t>EMIint_test_stock.gCO2_per_km.LT.Tr.Road.Passenger.Car.ICE.Diesel</t>
  </si>
  <si>
    <t>EMIint_test_stock.gCO2_per_km.LT.Tr.Road.Passenger.Car.ICE.LPG</t>
  </si>
  <si>
    <t>EMIint_test_stock.gCO2_per_km.LT.Tr.Road.Passenger.Car.ICE.NGas</t>
  </si>
  <si>
    <t>EMIint_test_stock.gCO2_per_km.LT.Tr.Road.Passenger.Car.PHEV.Gasoline</t>
  </si>
  <si>
    <t>EMIint_test_stock.gCO2_per_km.LT.Tr.Road.Passenger.Car.BEV</t>
  </si>
  <si>
    <t>EMIint_test_stock.gCO2_per_km.LT.Tr.Road.Passenger.Bus</t>
  </si>
  <si>
    <t>EMIint_test_stock.gCO2_per_km.LT.Tr.Road.Passenger.Bus.ICE.Gasoline</t>
  </si>
  <si>
    <t>EMIint_test_stock.gCO2_per_km.LT.Tr.Road.Passenger.Bus.ICE.Diesel</t>
  </si>
  <si>
    <t>EMIint_test_stock.gCO2_per_km.LT.Tr.Road.Passenger.Bus.ICE.LPG</t>
  </si>
  <si>
    <t>EMIint_test_stock.gCO2_per_km.LT.Tr.Road.Passenger.Bus.ICE.NGas</t>
  </si>
  <si>
    <t>EMIint_test_stock.gCO2_per_km.LT.Tr.Road.Passenger.Bus.BEV</t>
  </si>
  <si>
    <t>EMIint_test_stock.gCO2_per_km.LT.Tr.Road.Freight.LCV</t>
  </si>
  <si>
    <t>EMIint_test_stock.gCO2_per_km.LT.Tr.Road.Freight.LCV.ICE.Gasoline</t>
  </si>
  <si>
    <t>EMIint_test_stock.gCO2_per_km.LT.Tr.Road.Freight.LCV.ICE.Diesel</t>
  </si>
  <si>
    <t>EMIint_test_stock.gCO2_per_km.LT.Tr.Road.Freight.LCV.ICE.LPG</t>
  </si>
  <si>
    <t>EMIint_test_stock.gCO2_per_km.LT.Tr.Road.Freight.LCV.ICE.NGas</t>
  </si>
  <si>
    <t>EMIint_test_stock.gCO2_per_km.LT.Tr.Road.Freight.LCV.BEV</t>
  </si>
  <si>
    <t>EMIint_test_stock.gCO2_per_km.LT.Tr.Road.Freight.HGV_All</t>
  </si>
  <si>
    <t>EMIint_test_stock.gCO2_per_km.LT.Tr.Road.Freight.HGV_Domestic</t>
  </si>
  <si>
    <t>EMIint_test_stock.gCO2_per_km.LT.Tr.Road.Freight.HGV_International</t>
  </si>
  <si>
    <t>EMIint_test_new.gCO2_per_km.LT.Tr.Road.Passenger.P2W</t>
  </si>
  <si>
    <t>EMIint_test_new.gCO2_per_km.LT.Tr.Road.Passenger.Car</t>
  </si>
  <si>
    <t>EMIint_test_new.gCO2_per_km.LT.Tr.Road.Passenger.Car.ICE.Gasoline</t>
  </si>
  <si>
    <t>EMIint_test_new.gCO2_per_km.LT.Tr.Road.Passenger.Car.ICE.Diesel</t>
  </si>
  <si>
    <t>EMIint_test_new.gCO2_per_km.LT.Tr.Road.Passenger.Car.ICE.LPG</t>
  </si>
  <si>
    <t>EMIint_test_new.gCO2_per_km.LT.Tr.Road.Passenger.Car.ICE.NGas</t>
  </si>
  <si>
    <t>EMIint_test_new.gCO2_per_km.LT.Tr.Road.Passenger.Car.PHEV.Gasoline</t>
  </si>
  <si>
    <t>EMIint_test_new.gCO2_per_km.LT.Tr.Road.Passenger.Car.BEV</t>
  </si>
  <si>
    <t>EMIint_test_new.gCO2_per_km.LT.Tr.Road.Passenger.Bus</t>
  </si>
  <si>
    <t>EMIint_test_new.gCO2_per_km.LT.Tr.Road.Passenger.Bus.ICE.Gasoline</t>
  </si>
  <si>
    <t>EMIint_test_new.gCO2_per_km.LT.Tr.Road.Passenger.Bus.ICE.Diesel</t>
  </si>
  <si>
    <t>EMIint_test_new.gCO2_per_km.LT.Tr.Road.Passenger.Bus.ICE.LPG</t>
  </si>
  <si>
    <t>EMIint_test_new.gCO2_per_km.LT.Tr.Road.Passenger.Bus.ICE.NGas</t>
  </si>
  <si>
    <t>EMIint_test_new.gCO2_per_km.LT.Tr.Road.Passenger.Bus.BEV</t>
  </si>
  <si>
    <t>EMIint_test_new.gCO2_per_km.LT.Tr.Road.Freight.LCV</t>
  </si>
  <si>
    <t>EMIint_test_new.gCO2_per_km.LT.Tr.Road.Freight.LCV.ICE.Gasoline</t>
  </si>
  <si>
    <t>EMIint_test_new.gCO2_per_km.LT.Tr.Road.Freight.LCV.ICE.Diesel</t>
  </si>
  <si>
    <t>EMIint_test_new.gCO2_per_km.LT.Tr.Road.Freight.LCV.ICE.LPG</t>
  </si>
  <si>
    <t>EMIint_test_new.gCO2_per_km.LT.Tr.Road.Freight.LCV.ICE.NGas</t>
  </si>
  <si>
    <t>EMIint_test_new.gCO2_per_km.LT.Tr.Road.Freight.LCV.BEV</t>
  </si>
  <si>
    <t>EMIint_test_new.gCO2_per_km.LT.Tr.Road.Freight.HGV_All</t>
  </si>
  <si>
    <t>EMIint_test_new.gCO2_per_km.LT.Tr.Road.Freight.HGV_Domestic</t>
  </si>
  <si>
    <t>EMIint_test_new.gCO2_per_km.LT.Tr.Road.Freight.HGV_International</t>
  </si>
  <si>
    <t>FEC.ktoe.LT.MBunk</t>
  </si>
  <si>
    <t>FEC.ktoe.LT.MBunk.IntraEEA</t>
  </si>
  <si>
    <t>FEC.ktoe.LT.MBunk.ExtraEEA</t>
  </si>
  <si>
    <t>EMI.ktCO2.LT.MBunk</t>
  </si>
  <si>
    <t>EMI.ktCO2.LT.MBunk.IntraEEA</t>
  </si>
  <si>
    <t>EMI.ktCO2.LT.MBunk.ExtraEEA</t>
  </si>
  <si>
    <t>International maritime bunkers - LT - Lithuania</t>
  </si>
  <si>
    <t>VehicleKm.Mkm.LT.MBunk.Freight</t>
  </si>
  <si>
    <t>VehicleKm.Mkm.LT.MBunk.Freight.IntraEEA</t>
  </si>
  <si>
    <t>VehicleKm.Mkm.LT.MBunk.Freight.ExtraEEA</t>
  </si>
  <si>
    <t>Load.t_per_movement.LT.MBunk.Freight</t>
  </si>
  <si>
    <t>Load.t_per_movement.LT.MBunk.Freight.IntraEEA</t>
  </si>
  <si>
    <t>Load.t_per_movement.LT.MBunk.Freight.ExtraEEA</t>
  </si>
  <si>
    <t>International maritime bunkers / energy consumption - LT - Lithuania</t>
  </si>
  <si>
    <t>FEC.ktoe.LT.ES.MBunk</t>
  </si>
  <si>
    <t>FEC.ktoe.LT.ES.MBunk.IntraEEA</t>
  </si>
  <si>
    <t>FEC.ktoe.LT.ES.MBunk.IntraEEA.Diesel</t>
  </si>
  <si>
    <t>FEC.ktoe.LT.ES.MBunk.IntraEEA.RFO_Other</t>
  </si>
  <si>
    <t>FEC.ktoe.LT.ES.MBunk.IntraEEA.LiqBio</t>
  </si>
  <si>
    <t>FEC.ktoe.LT.ES.MBunk.IntraEEA.NG</t>
  </si>
  <si>
    <t>FEC.ktoe.LT.ES.MBunk.IntraEEA.Biogas</t>
  </si>
  <si>
    <t>FEC.ktoe.LT.ES.MBunk.ExtraEEA</t>
  </si>
  <si>
    <t>FEC.ktoe.LT.ES.MBunk.ExtraEEA.Diesel</t>
  </si>
  <si>
    <t>FEC.ktoe.LT.ES.MBunk.ExtraEEA.RFO_Other</t>
  </si>
  <si>
    <t>FEC.ktoe.LT.ES.MBunk.ExtraEEA.LiqBio</t>
  </si>
  <si>
    <t>FEC.ktoe.LT.ES.MBunk.ExtraEEA.NG</t>
  </si>
  <si>
    <t>FEC.ktoe.LT.ES.MBunk.ExtraEEA.Biogas</t>
  </si>
  <si>
    <t>Eff.kgoe_per_100km.LT.MBunk.Freight</t>
  </si>
  <si>
    <t>Eff.kgoe_per_100km.LT.MBunk.Freight.IntraEEA</t>
  </si>
  <si>
    <t>Eff.kgoe_per_100km.LT.MBunk.Freight.ExtraEEA</t>
  </si>
  <si>
    <t>International maritime bunkers / CO2 emissions - LT - Lithuania</t>
  </si>
  <si>
    <t>EMI.ktCO2.LT.ES.MBunk</t>
  </si>
  <si>
    <t>EMI.ktCO2.LT.ES.MBunk.IntraEEA</t>
  </si>
  <si>
    <t>EMI.ktCO2.LT.ES.MBunk.ExtraEEA</t>
  </si>
  <si>
    <t>EMIint.gCO2_per_km.LT.MBunk.Freight</t>
  </si>
  <si>
    <t>EMIint.gCO2_per_km.LT.MBunk.Freight.IntraEEA</t>
  </si>
  <si>
    <t>EMIint.gCO2_per_km.LT.MBunk.Freight.ExtraEEA</t>
  </si>
  <si>
    <t>FEC.ktoe.LT.Tr.DNavi</t>
  </si>
  <si>
    <t>FEC.ktoe.LT.Tr.Dnavi.DCS</t>
  </si>
  <si>
    <t>FEC.ktoe.LT.Tr.Dnavi.IWW</t>
  </si>
  <si>
    <t>EMI.ktCO2.LT.Tr.DNavi</t>
  </si>
  <si>
    <t>EMI.ktCO2.LT.Tr.Dnavi.DCS</t>
  </si>
  <si>
    <t>EMI.ktCO2.LT.Tr.Dnavi.IWW</t>
  </si>
  <si>
    <t>Domestic navigation - LT - Lithuania</t>
  </si>
  <si>
    <t>VehicleKm.Mkm.LT.Tr.DNavi.Freight</t>
  </si>
  <si>
    <t>VehicleKm.Mkm.LT.Tr.DNavi.Freight.DCS</t>
  </si>
  <si>
    <t>VehicleKm.Mkm.LT.Tr.DNavi.Freight.IWW</t>
  </si>
  <si>
    <t>Load.t_per_movement.LT.Tr.DNavi.Freight</t>
  </si>
  <si>
    <t>Load.t_per_movement.LT.Tr.DNavi.Freight.DCS</t>
  </si>
  <si>
    <t>Load.t_per_movement.LT.Tr.DNavi.Freight.IWW</t>
  </si>
  <si>
    <t>Domestic navigation / energy consumption - LT - Lithuania</t>
  </si>
  <si>
    <t>FEC.ktoe.LT.ES.Tr.DNavi</t>
  </si>
  <si>
    <t>FEC.ktoe.LT.ES.Tr.DNavi.DCS</t>
  </si>
  <si>
    <t>FEC.ktoe.LT.ES.Tr.DNavi.DCS.Diesel</t>
  </si>
  <si>
    <t>FEC.ktoe.LT.ES.Tr.DNavi.DCS.RFO_Other</t>
  </si>
  <si>
    <t>FEC.ktoe.LT.ES.Tr.DNavi.DCS.LiqBio</t>
  </si>
  <si>
    <t>FEC.ktoe.LT.ES.Tr.DNavi.DCS.NG</t>
  </si>
  <si>
    <t>FEC.ktoe.LT.ES.Tr.DNavi.DCS.Biogas</t>
  </si>
  <si>
    <t>FEC.ktoe.LT.ES.Tr.DNavi.IWW</t>
  </si>
  <si>
    <t>FEC.ktoe.LT.ES.Tr.DNavi.IWW.Diesel</t>
  </si>
  <si>
    <t>FEC.ktoe.LT.ES.Tr.DNavi.IWW.RFO_Other</t>
  </si>
  <si>
    <t>FEC.ktoe.LT.ES.Tr.DNavi.IWW.LiqBio</t>
  </si>
  <si>
    <t>FEC.ktoe.LT.ES.Tr.DNavi.IWW.NG</t>
  </si>
  <si>
    <t>FEC.ktoe.LT.ES.Tr.DNavi.IWW.Biogas</t>
  </si>
  <si>
    <t>Eff.kgoe_per_100km.LT.Tr.DNavi.Freight</t>
  </si>
  <si>
    <t>Eff.kgoe_per_100km.LT.Tr.DNavi.Freight.DCS</t>
  </si>
  <si>
    <t>Eff.kgoe_per_100km.LT.Tr.DNavi.Freight.IWW</t>
  </si>
  <si>
    <t>Domestic navigation / CO2 emissions - LT - Lithuania</t>
  </si>
  <si>
    <t>EMI.ktCO2.LT.ES.Tr.DNavi</t>
  </si>
  <si>
    <t>EMI.ktCO2.LT.ES.Tr.DNavi.DCS</t>
  </si>
  <si>
    <t>EMI.ktCO2.LT.ES.Tr.DNavi.IWW</t>
  </si>
  <si>
    <t>EMIint.gCO2_per_km.LT.Tr.DNavi.Freight</t>
  </si>
  <si>
    <t>EMIint.gCO2_per_km.LT.Tr.DNavi.Freight.DCS</t>
  </si>
  <si>
    <t>EMIint.gCO2_per_km.LT.Tr.DNavi.Freight.IWW</t>
  </si>
  <si>
    <t>Rail, metro and tram - LT - Lithuania</t>
  </si>
  <si>
    <t>Activity.Mpkm.LT.Tr.Rail.Passenger.CPT.Diesel</t>
  </si>
  <si>
    <t>Activity.Mpkm.LT.Tr.Rail.Passenger.CPT.Elc</t>
  </si>
  <si>
    <t>Activity.Mtkm.LT.Tr.Rail.Freight.Diesel</t>
  </si>
  <si>
    <t>Activity.Mtkm.LT.Tr.Rail.Freight.Elc</t>
  </si>
  <si>
    <t>VehicleKm.Mkm.LT.Tr.Rail</t>
  </si>
  <si>
    <t>VehicleKm.Mkm.LT.Tr.Rail.Passenger</t>
  </si>
  <si>
    <t>VehicleKm.Mkm.LT.Tr.Rail.Passenger.MTU</t>
  </si>
  <si>
    <t>VehicleKm.Mkm.LT.Tr.Rail.Passenger.CPT</t>
  </si>
  <si>
    <t>VehicleKm.Mkm.LT.Tr.Rail.Passenger.CPT.Diesel</t>
  </si>
  <si>
    <t>VehicleKm.Mkm.LT.Tr.Rail.Passenger.CPT.Elc</t>
  </si>
  <si>
    <t>VehicleKm.Mkm.LT.Tr.Rail.Passenger.HST</t>
  </si>
  <si>
    <t>VehicleKm.Mkm.LT.Tr.Rail.Freight</t>
  </si>
  <si>
    <t>VehicleKm.Mkm.LT.Tr.Rail.Freight.Diesel</t>
  </si>
  <si>
    <t>VehicleKm.Mkm.LT.Tr.Rail.Freight.Elc</t>
  </si>
  <si>
    <t>Stock.number.LT.Tr.Rail</t>
  </si>
  <si>
    <t>Stock.number.LT.Tr.Rail.Passenger</t>
  </si>
  <si>
    <t>Stock.number.LT.Tr.Rail.Passenger.MTU</t>
  </si>
  <si>
    <t>Stock.number.LT.Tr.Rail.Passenger.CPT</t>
  </si>
  <si>
    <t>Stock.number.LT.Tr.Rail.Passenger.CPT.Diesel</t>
  </si>
  <si>
    <t>Stock.number.LT.Tr.Rail.Passenger.CPT.Elc</t>
  </si>
  <si>
    <t>Stock.number.LT.Tr.Rail.Passenger.HST</t>
  </si>
  <si>
    <t>Stock.number.LT.Tr.Rail.Freight</t>
  </si>
  <si>
    <t>Stock.number.LT.Tr.Rail.Freight.Diesel</t>
  </si>
  <si>
    <t>Stock.number.LT.Tr.Rail.Freight.Elc</t>
  </si>
  <si>
    <t>StockNew.number.LT.Tr.Rail</t>
  </si>
  <si>
    <t>StockNew.number.LT.Tr.Rail.Passenger</t>
  </si>
  <si>
    <t>StockNew.number.LT.Tr.Rail.Passenger.MTU</t>
  </si>
  <si>
    <t>StockNew.number.LT.Tr.Rail.Passenger.CPT</t>
  </si>
  <si>
    <t>StockNew.number.LT.Tr.Rail.Passenger.CPT.Diesel</t>
  </si>
  <si>
    <t>StockNew.number.LT.Tr.Rail.Passenger.CPT.Elc</t>
  </si>
  <si>
    <t>StockNew.number.LT.Tr.Rail.Passenger.HST</t>
  </si>
  <si>
    <t>StockNew.number.LT.Tr.Rail.Freight</t>
  </si>
  <si>
    <t>StockNew.number.LT.Tr.Rail.Freight.Diesel</t>
  </si>
  <si>
    <t>StockNew.number.LT.Tr.Rail.Freight.Elc</t>
  </si>
  <si>
    <t>Load.passenger_per_movement.LT.Tr.Rail.Passenger</t>
  </si>
  <si>
    <t>Load.passenger_per_movement.LT.Tr.Rail.Passenger.MTU</t>
  </si>
  <si>
    <t>Load.passenger_per_movement.LT.Tr.Rail.Passenger.CPT</t>
  </si>
  <si>
    <t>Load.passenger_per_movement.LT.Tr.Rail.Passenger.CPT.Diesel</t>
  </si>
  <si>
    <t>Load.passenger_per_movement.LT.Tr.Rail.Passenger.CPT.Elc</t>
  </si>
  <si>
    <t>Load.passenger_per_movement.LT.Tr.Rail.Passenger.HST</t>
  </si>
  <si>
    <t>Load.t_per_movement.LT.Tr.Rail.Freight</t>
  </si>
  <si>
    <t>Load.t_per_movement.LT.Tr.Rail.Freight.Diesel</t>
  </si>
  <si>
    <t>Load.t_per_movement.LT.Tr.Rail.Freight.Elc</t>
  </si>
  <si>
    <t>TrCap.seats.LT.Tr.Rail.Passenger</t>
  </si>
  <si>
    <t>TrCap.seats.LT.Tr.Rail.Passenger.MTU</t>
  </si>
  <si>
    <t>TrCap.seats.LT.Tr.Rail.Passenger.CPT</t>
  </si>
  <si>
    <t>TrCap.seats.LT.Tr.Rail.Passenger.CPT.Diesel</t>
  </si>
  <si>
    <t>TrCap.seats.LT.Tr.Rail.Passenger.CPT.Elc</t>
  </si>
  <si>
    <t>TrCap.seats.LT.Tr.Rail.Passenger.HST</t>
  </si>
  <si>
    <t>TrCap.t.LT.Tr.Rail.Freight</t>
  </si>
  <si>
    <t>TrCap.t.LT.Tr.Rail.Freight.Diesel</t>
  </si>
  <si>
    <t>TrCap.t.LT.Tr.Rail.Freight.Elc</t>
  </si>
  <si>
    <t>VehicleKm_per_vehicle.km.LT.Tr.Rail</t>
  </si>
  <si>
    <t>VehicleKm_per_vehicle.km.LT.Tr.Rail.Passenger</t>
  </si>
  <si>
    <t>VehicleKm_per_vehicle.km.LT.Tr.Rail.Passenger.MTU</t>
  </si>
  <si>
    <t>VehicleKm_per_vehicle.km.LT.Tr.Rail.Passenger.CPT</t>
  </si>
  <si>
    <t>VehicleKm_per_vehicle.km.LT.Tr.Rail.Passenger.CPT.Diesel</t>
  </si>
  <si>
    <t>VehicleKm_per_vehicle.km.LT.Tr.Rail.Passenger.CPT.Elc</t>
  </si>
  <si>
    <t>VehicleKm_per_vehicle.km.LT.Tr.Rail.Passenger.HST</t>
  </si>
  <si>
    <t>VehicleKm_per_vehicle.km.LT.Tr.Rail.Freight</t>
  </si>
  <si>
    <t>VehicleKm_per_vehicle.km.LT.Tr.Rail.Freight.Diesel</t>
  </si>
  <si>
    <t>VehicleKm_per_vehicle.km.LT.Tr.Rail.Freight.Elc</t>
  </si>
  <si>
    <t>Activity_per_vehicle.pkm.LT.Tr.Rail.Passenger</t>
  </si>
  <si>
    <t>Activity_per_vehicle.pkm.LT.Tr.Rail.Passenger.MTU</t>
  </si>
  <si>
    <t>Activity_per_vehicle.pkm.LT.Tr.Rail.Passenger.CPT</t>
  </si>
  <si>
    <t>Activity_per_vehicle.pkm.LT.Tr.Rail.Passenger.CPT.Diesel</t>
  </si>
  <si>
    <t>Activity_per_vehicle.pkm.LT.Tr.Rail.Passenger.CPT.Elc</t>
  </si>
  <si>
    <t>Activity_per_vehicle.pkm.LT.Tr.Rail.Passenger.HST</t>
  </si>
  <si>
    <t>Activity_per_vehicle.tkm.LT.Tr.Rail.Freight</t>
  </si>
  <si>
    <t>Activity_per_vehicle.tkm.LT.Tr.Rail.Freight.Diesel</t>
  </si>
  <si>
    <t>Activity_per_vehicle.tkm.LT.Tr.Rail.Freight.Elc</t>
  </si>
  <si>
    <t>Rail, metro and tram / energy consumption - LT - Lithuania</t>
  </si>
  <si>
    <t>FEC.ktoe.LT.ES.Tr.Rail</t>
  </si>
  <si>
    <t>FEC.ktoe.LT.ES.Tr.Rail.Diesel</t>
  </si>
  <si>
    <t>FEC.ktoe.LT.ES.Tr.Rail.LiqBio</t>
  </si>
  <si>
    <t>FEC.ktoe.LT.ES.Tr.Rail.Elec</t>
  </si>
  <si>
    <t>FEC.ktoe.LT.Tr.Rail</t>
  </si>
  <si>
    <t>FEC.ktoe.LT.Tr.Rail.Passenger.CPT.Diesel</t>
  </si>
  <si>
    <t>FEC.ktoe.LT.Tr.Rail.Passenger.CPT.Elc</t>
  </si>
  <si>
    <t>FEC.ktoe.LT.Tr.Rail.Freight.Diesel</t>
  </si>
  <si>
    <t>FEC.ktoe.LT.Tr.Rail.Freight.Elc</t>
  </si>
  <si>
    <t>Eff.kgoe_per_100km.LT.Tr.Rail</t>
  </si>
  <si>
    <t>Eff.kgoe_per_100km.LT.Tr.Rail.Passenger</t>
  </si>
  <si>
    <t>Eff.kgoe_per_100km.LT.Tr.Rail.Passenger.MTU</t>
  </si>
  <si>
    <t>Eff.kgoe_per_100km.LT.Tr.Rail.Passenger.CPT</t>
  </si>
  <si>
    <t>Eff.kgoe_per_100km.LT.Tr.Rail.Passenger.CPT.Diesel</t>
  </si>
  <si>
    <t>Eff.kgoe_per_100km.LT.Tr.Rail.Passenger.CPT.Elc</t>
  </si>
  <si>
    <t>Eff.kgoe_per_100km.LT.Tr.Rail.Passenger.HST</t>
  </si>
  <si>
    <t>Eff.kgoe_per_100km.LT.Tr.Rail.Freight</t>
  </si>
  <si>
    <t>Eff.kgoe_per_100km.LT.Tr.Rail.Freight.Diesel</t>
  </si>
  <si>
    <t>Eff.kgoe_per_100km.LT.Tr.Rail.Freight.Elc</t>
  </si>
  <si>
    <t>Eff.kgoe_per_kpkm.LT.Tr.Rail.Passenger.CPT.Diesel</t>
  </si>
  <si>
    <t>Eff.kgoe_per_kpkm.LT.Tr.Rail.Passenger.CPT.Elc</t>
  </si>
  <si>
    <t>Eff.kgoe_per_ktkm.LT.Tr.Rail.Freight.Diesel</t>
  </si>
  <si>
    <t>Eff.kgoe_per_ktkm.LT.Tr.Rail.Freight.Elc</t>
  </si>
  <si>
    <t>FEC_per_vehicle.kgoe.LT.Tr.Rail</t>
  </si>
  <si>
    <t>FEC_per_vehicle.kgoe.LT.Tr.Rail.Passenger</t>
  </si>
  <si>
    <t>FEC_per_vehicle.kgoe.LT.Tr.Rail.Passenger.MTU</t>
  </si>
  <si>
    <t>FEC_per_vehicle.kgoe.LT.Tr.Rail.Passenger.CPT</t>
  </si>
  <si>
    <t>FEC_per_vehicle.kgoe.LT.Tr.Rail.Passenger.CPT.Diesel</t>
  </si>
  <si>
    <t>FEC_per_vehicle.kgoe.LT.Tr.Rail.Passenger.CPT.Elc</t>
  </si>
  <si>
    <t>FEC_per_vehicle.kgoe.LT.Tr.Rail.Passenger.HST</t>
  </si>
  <si>
    <t>FEC_per_vehicle.kgoe.LT.Tr.Rail.Freight</t>
  </si>
  <si>
    <t>FEC_per_vehicle.kgoe.LT.Tr.Rail.Freight.Diesel</t>
  </si>
  <si>
    <t>FEC_per_vehicle.kgoe.LT.Tr.Rail.Freight.Elc</t>
  </si>
  <si>
    <t>Rail, metro and tram / CO2 emissions - LT - Lithuania</t>
  </si>
  <si>
    <t>EMI.ktCO2.LT.ES.Tr.Rail</t>
  </si>
  <si>
    <t>EMI.ktCO2.LT.ES.Tr.Rail.Diesel</t>
  </si>
  <si>
    <t>EMI.ktCO2.LT.ES.Tr.Rail.Elec</t>
  </si>
  <si>
    <t>EMI.ktCO2.LT.Tr.Rail</t>
  </si>
  <si>
    <t>EMI.ktCO2.LT.Tr.Rail.Passenger.CPT.Diesel</t>
  </si>
  <si>
    <t>EMI.ktCO2.LT.Tr.Rail.Passenger.CPT.Elc</t>
  </si>
  <si>
    <t>EMI.ktCO2.LT.Tr.Rail.Freight.Diesel</t>
  </si>
  <si>
    <t>EMI.ktCO2.LT.Tr.Rail.Freight.Elc</t>
  </si>
  <si>
    <t>EMIint.gCO2_per_km.LT.Tr.Rail</t>
  </si>
  <si>
    <t>EMIint.gCO2_per_km.LT.Tr.Rail.Passenger</t>
  </si>
  <si>
    <t>EMIint.gCO2_per_km.LT.Tr.Rail.Passenger.MTU</t>
  </si>
  <si>
    <t>EMIint.gCO2_per_km.LT.Tr.Rail.Passenger.CPT</t>
  </si>
  <si>
    <t>EMIint.gCO2_per_km.LT.Tr.Rail.Passenger.CPT.Diesel</t>
  </si>
  <si>
    <t>EMIint.gCO2_per_km.LT.Tr.Rail.Passenger.CPT.Elc</t>
  </si>
  <si>
    <t>EMIint.gCO2_per_km.LT.Tr.Rail.Passenger.HST</t>
  </si>
  <si>
    <t>EMIint.gCO2_per_km.LT.Tr.Rail.Freight</t>
  </si>
  <si>
    <t>EMIint.gCO2_per_km.LT.Tr.Rail.Freight.Diesel</t>
  </si>
  <si>
    <t>EMIint.gCO2_per_km.LT.Tr.Rail.Freight.Elc</t>
  </si>
  <si>
    <t>EMIint.gCO2_per_pkm.LT.Tr.Rail.Passenger.CPT.Diesel</t>
  </si>
  <si>
    <t>EMIint.gCO2_per_pkm.LT.Tr.Rail.Passenger.CPT.Elc</t>
  </si>
  <si>
    <t>EMIint.gCO2_per_tkm.LT.Tr.Rail.Freight.Diesel</t>
  </si>
  <si>
    <t>EMIint.gCO2_per_tkm.LT.Tr.Rail.Freight.Elc</t>
  </si>
  <si>
    <t>EMI_per_vehicle.tCO2.LT.Tr.Rail</t>
  </si>
  <si>
    <t>EMI_per_vehicle.tCO2.LT.Tr.Rail.Passenger</t>
  </si>
  <si>
    <t>EMI_per_vehicle.tCO2.LT.Tr.Rail.Passenger.MTU</t>
  </si>
  <si>
    <t>EMI_per_vehicle.tCO2.LT.Tr.Rail.Passenger.CPT</t>
  </si>
  <si>
    <t>EMI_per_vehicle.tCO2.LT.Tr.Rail.Passenger.CPT.Diesel</t>
  </si>
  <si>
    <t>EMI_per_vehicle.tCO2.LT.Tr.Rail.Passenger.CPT.Elc</t>
  </si>
  <si>
    <t>EMI_per_vehicle.tCO2.LT.Tr.Rail.Passenger.HST</t>
  </si>
  <si>
    <t>EMI_per_vehicle.tCO2.LT.Tr.Rail.Freight</t>
  </si>
  <si>
    <t>EMI_per_vehicle.tCO2.LT.Tr.Rail.Freight.Diesel</t>
  </si>
  <si>
    <t>EMI_per_vehicle.tCO2.LT.Tr.Rail.Freight.Elc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</si>
</sst>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45967.477060185185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30045.754261214584</v>
      </c>
      <c r="C4" s="28">
        <f t="shared" si="0"/>
        <v>30261.37880194245</v>
      </c>
      <c r="D4" s="28">
        <f t="shared" si="0"/>
        <v>30338.501291198903</v>
      </c>
      <c r="E4" s="28">
        <f t="shared" si="0"/>
        <v>33368.551707392413</v>
      </c>
      <c r="F4" s="28">
        <f t="shared" si="0"/>
        <v>36018.837011565272</v>
      </c>
      <c r="G4" s="28">
        <f t="shared" si="0"/>
        <v>40130.585857440099</v>
      </c>
      <c r="H4" s="28">
        <f t="shared" si="0"/>
        <v>45059.485087411689</v>
      </c>
      <c r="I4" s="28">
        <f t="shared" si="0"/>
        <v>44928.759336717623</v>
      </c>
      <c r="J4" s="28">
        <f t="shared" si="0"/>
        <v>43630.238089107021</v>
      </c>
      <c r="K4" s="28">
        <f t="shared" si="0"/>
        <v>40353.967621352327</v>
      </c>
      <c r="L4" s="28">
        <f t="shared" si="0"/>
        <v>37130.346105323937</v>
      </c>
      <c r="M4" s="28">
        <f t="shared" si="0"/>
        <v>34801.309760198565</v>
      </c>
      <c r="N4" s="28">
        <f t="shared" si="0"/>
        <v>39511.099135423632</v>
      </c>
      <c r="O4" s="28">
        <f t="shared" si="0"/>
        <v>39019.184927728129</v>
      </c>
      <c r="P4" s="28">
        <f t="shared" si="0"/>
        <v>30366.576849300738</v>
      </c>
      <c r="Q4" s="28">
        <f t="shared" si="0"/>
        <v>30943.56730898374</v>
      </c>
      <c r="R4" s="28">
        <f t="shared" ref="R4:V4" si="1">R5+R9+R13</f>
        <v>32195.449102665712</v>
      </c>
      <c r="S4" s="28">
        <f t="shared" si="1"/>
        <v>38187.98259155816</v>
      </c>
      <c r="T4" s="28">
        <f t="shared" si="1"/>
        <v>37906.983549837911</v>
      </c>
      <c r="U4" s="28">
        <f t="shared" si="1"/>
        <v>39417.1349338992</v>
      </c>
      <c r="V4" s="28">
        <f t="shared" si="1"/>
        <v>31719.822953265288</v>
      </c>
      <c r="W4" s="28">
        <f t="shared" ref="W4:Y4" si="2">W5+W9+W13</f>
        <v>34586.434943298518</v>
      </c>
      <c r="X4" s="28">
        <f t="shared" si="2"/>
        <v>39761.351823134988</v>
      </c>
      <c r="Y4" s="28">
        <f t="shared" si="2"/>
        <v>42947.749886335878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28819.644401633152</v>
      </c>
      <c r="C5" s="137">
        <f t="shared" si="3"/>
        <v>28898.475243934754</v>
      </c>
      <c r="D5" s="137">
        <f t="shared" si="3"/>
        <v>29080.636237266208</v>
      </c>
      <c r="E5" s="137">
        <f t="shared" si="3"/>
        <v>32056.874709931191</v>
      </c>
      <c r="F5" s="137">
        <f t="shared" si="3"/>
        <v>34621.787937396017</v>
      </c>
      <c r="G5" s="137">
        <f t="shared" si="3"/>
        <v>38555.105980960579</v>
      </c>
      <c r="H5" s="137">
        <f t="shared" si="3"/>
        <v>43243.282519118598</v>
      </c>
      <c r="I5" s="137">
        <f t="shared" si="3"/>
        <v>42824.458653500405</v>
      </c>
      <c r="J5" s="137">
        <f t="shared" si="3"/>
        <v>41511.693324925152</v>
      </c>
      <c r="K5" s="137">
        <f t="shared" si="3"/>
        <v>38936.47963904772</v>
      </c>
      <c r="L5" s="137">
        <f t="shared" si="3"/>
        <v>35367.833639474149</v>
      </c>
      <c r="M5" s="137">
        <f t="shared" si="3"/>
        <v>32761.02988012596</v>
      </c>
      <c r="N5" s="137">
        <f t="shared" si="3"/>
        <v>37029.603847710649</v>
      </c>
      <c r="O5" s="137">
        <f t="shared" si="3"/>
        <v>36275.123298868086</v>
      </c>
      <c r="P5" s="137">
        <f t="shared" si="3"/>
        <v>27409.213566373073</v>
      </c>
      <c r="Q5" s="137">
        <f t="shared" si="3"/>
        <v>27710.849068679407</v>
      </c>
      <c r="R5" s="137">
        <f t="shared" ref="R5:V5" si="4">R6+R7+R8</f>
        <v>28593.061689863331</v>
      </c>
      <c r="S5" s="137">
        <f t="shared" si="4"/>
        <v>34202.825552398361</v>
      </c>
      <c r="T5" s="137">
        <f t="shared" si="4"/>
        <v>33057.013900125618</v>
      </c>
      <c r="U5" s="137">
        <f t="shared" si="4"/>
        <v>34407.952895953305</v>
      </c>
      <c r="V5" s="137">
        <f t="shared" si="4"/>
        <v>30165.227410190626</v>
      </c>
      <c r="W5" s="137">
        <f t="shared" ref="W5:Y5" si="5">W6+W7+W8</f>
        <v>32423.092914723671</v>
      </c>
      <c r="X5" s="137">
        <f t="shared" si="5"/>
        <v>35072.681701808076</v>
      </c>
      <c r="Y5" s="137">
        <f t="shared" si="5"/>
        <v>37502.48134104412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64.64440163315011</v>
      </c>
      <c r="C6" s="102">
        <f>TrRoad_act!C$5</f>
        <v>65.475243934753195</v>
      </c>
      <c r="D6" s="102">
        <f>TrRoad_act!D$5</f>
        <v>67.636237266206209</v>
      </c>
      <c r="E6" s="102">
        <f>TrRoad_act!E$5</f>
        <v>69.874709931191887</v>
      </c>
      <c r="F6" s="102">
        <f>TrRoad_act!F$5</f>
        <v>72.7879373960198</v>
      </c>
      <c r="G6" s="102">
        <f>TrRoad_act!G$5</f>
        <v>71.105980960578876</v>
      </c>
      <c r="H6" s="102">
        <f>TrRoad_act!H$5</f>
        <v>75.282519118601499</v>
      </c>
      <c r="I6" s="102">
        <f>TrRoad_act!I$5</f>
        <v>85.358653500406007</v>
      </c>
      <c r="J6" s="102">
        <f>TrRoad_act!J$5</f>
        <v>99.493324925154099</v>
      </c>
      <c r="K6" s="102">
        <f>TrRoad_act!K$5</f>
        <v>106.77963904772632</v>
      </c>
      <c r="L6" s="102">
        <f>TrRoad_act!L$5</f>
        <v>105.23363947414654</v>
      </c>
      <c r="M6" s="102">
        <f>TrRoad_act!M$5</f>
        <v>105.02988012596042</v>
      </c>
      <c r="N6" s="102">
        <f>TrRoad_act!N$5</f>
        <v>103.60384771064821</v>
      </c>
      <c r="O6" s="102">
        <f>TrRoad_act!O$5</f>
        <v>103.12329886808224</v>
      </c>
      <c r="P6" s="102">
        <f>TrRoad_act!P$5</f>
        <v>99.913566373071077</v>
      </c>
      <c r="Q6" s="102">
        <f>TrRoad_act!Q$5</f>
        <v>100.30606867940422</v>
      </c>
      <c r="R6" s="102">
        <f>TrRoad_act!R$5</f>
        <v>107.76168986333282</v>
      </c>
      <c r="S6" s="102">
        <f>TrRoad_act!S$5</f>
        <v>102.82555239835891</v>
      </c>
      <c r="T6" s="102">
        <f>TrRoad_act!T$5</f>
        <v>99.013900125615663</v>
      </c>
      <c r="U6" s="102">
        <f>TrRoad_act!U$5</f>
        <v>106.0798594073961</v>
      </c>
      <c r="V6" s="102">
        <f>TrRoad_act!V$5</f>
        <v>96.614896430805942</v>
      </c>
      <c r="W6" s="102">
        <f>TrRoad_act!W$5</f>
        <v>102.19708643796913</v>
      </c>
      <c r="X6" s="102">
        <f>TrRoad_act!X$5</f>
        <v>106.6207373609401</v>
      </c>
      <c r="Y6" s="102">
        <f>TrRoad_act!Y$5</f>
        <v>118.29243296733083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26000</v>
      </c>
      <c r="C7" s="102">
        <f>TrRoad_act!C$6</f>
        <v>26000</v>
      </c>
      <c r="D7" s="102">
        <f>TrRoad_act!D$6</f>
        <v>26000</v>
      </c>
      <c r="E7" s="102">
        <f>TrRoad_act!E$6</f>
        <v>29000</v>
      </c>
      <c r="F7" s="102">
        <f>TrRoad_act!F$6</f>
        <v>31000</v>
      </c>
      <c r="G7" s="102">
        <f>TrRoad_act!G$6</f>
        <v>34793</v>
      </c>
      <c r="H7" s="102">
        <f>TrRoad_act!H$6</f>
        <v>39472</v>
      </c>
      <c r="I7" s="102">
        <f>TrRoad_act!I$6</f>
        <v>39119</v>
      </c>
      <c r="J7" s="102">
        <f>TrRoad_act!J$6</f>
        <v>37991</v>
      </c>
      <c r="K7" s="102">
        <f>TrRoad_act!K$6</f>
        <v>36055</v>
      </c>
      <c r="L7" s="102">
        <f>TrRoad_act!L$6</f>
        <v>32569</v>
      </c>
      <c r="M7" s="102">
        <f>TrRoad_act!M$6</f>
        <v>29908</v>
      </c>
      <c r="N7" s="102">
        <f>TrRoad_act!N$6</f>
        <v>34191</v>
      </c>
      <c r="O7" s="102">
        <f>TrRoad_act!O$6</f>
        <v>33325</v>
      </c>
      <c r="P7" s="102">
        <f>TrRoad_act!P$6</f>
        <v>24336.000000000004</v>
      </c>
      <c r="Q7" s="102">
        <f>TrRoad_act!Q$6</f>
        <v>24865</v>
      </c>
      <c r="R7" s="102">
        <f>TrRoad_act!R$6</f>
        <v>25854</v>
      </c>
      <c r="S7" s="102">
        <f>TrRoad_act!S$6</f>
        <v>31361.000000000004</v>
      </c>
      <c r="T7" s="102">
        <f>TrRoad_act!T$6</f>
        <v>30119.000000000004</v>
      </c>
      <c r="U7" s="102">
        <f>TrRoad_act!U$6</f>
        <v>31400.873036545909</v>
      </c>
      <c r="V7" s="102">
        <f>TrRoad_act!V$6</f>
        <v>28535.21251375982</v>
      </c>
      <c r="W7" s="102">
        <f>TrRoad_act!W$6</f>
        <v>30866.895828285702</v>
      </c>
      <c r="X7" s="102">
        <f>TrRoad_act!X$6</f>
        <v>32843.76096444713</v>
      </c>
      <c r="Y7" s="102">
        <f>TrRoad_act!Y$6</f>
        <v>34804.188908076787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2755</v>
      </c>
      <c r="C8" s="102">
        <f>TrRoad_act!C$13</f>
        <v>2833</v>
      </c>
      <c r="D8" s="102">
        <f>TrRoad_act!D$13</f>
        <v>3013</v>
      </c>
      <c r="E8" s="102">
        <f>TrRoad_act!E$13</f>
        <v>2987</v>
      </c>
      <c r="F8" s="102">
        <f>TrRoad_act!F$13</f>
        <v>3549</v>
      </c>
      <c r="G8" s="102">
        <f>TrRoad_act!G$13</f>
        <v>3690.9999999999995</v>
      </c>
      <c r="H8" s="102">
        <f>TrRoad_act!H$13</f>
        <v>3695.9999999999995</v>
      </c>
      <c r="I8" s="102">
        <f>TrRoad_act!I$13</f>
        <v>3620.1</v>
      </c>
      <c r="J8" s="102">
        <f>TrRoad_act!J$13</f>
        <v>3421.2000000000003</v>
      </c>
      <c r="K8" s="102">
        <f>TrRoad_act!K$13</f>
        <v>2774.6999999999994</v>
      </c>
      <c r="L8" s="102">
        <f>TrRoad_act!L$13</f>
        <v>2693.599999999999</v>
      </c>
      <c r="M8" s="102">
        <f>TrRoad_act!M$13</f>
        <v>2747.9999999999995</v>
      </c>
      <c r="N8" s="102">
        <f>TrRoad_act!N$13</f>
        <v>2735</v>
      </c>
      <c r="O8" s="102">
        <f>TrRoad_act!O$13</f>
        <v>2847</v>
      </c>
      <c r="P8" s="102">
        <f>TrRoad_act!P$13</f>
        <v>2973.3</v>
      </c>
      <c r="Q8" s="102">
        <f>TrRoad_act!Q$13</f>
        <v>2745.5430000000001</v>
      </c>
      <c r="R8" s="102">
        <f>TrRoad_act!R$13</f>
        <v>2631.3</v>
      </c>
      <c r="S8" s="102">
        <f>TrRoad_act!S$13</f>
        <v>2739.0000000000005</v>
      </c>
      <c r="T8" s="102">
        <f>TrRoad_act!T$13</f>
        <v>2839</v>
      </c>
      <c r="U8" s="102">
        <f>TrRoad_act!U$13</f>
        <v>2901</v>
      </c>
      <c r="V8" s="102">
        <f>TrRoad_act!V$13</f>
        <v>1533.4</v>
      </c>
      <c r="W8" s="102">
        <f>TrRoad_act!W$13</f>
        <v>1454</v>
      </c>
      <c r="X8" s="102">
        <f>TrRoad_act!X$13</f>
        <v>2122.3000000000002</v>
      </c>
      <c r="Y8" s="102">
        <f>TrRoad_act!Y$13</f>
        <v>2580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611</v>
      </c>
      <c r="C9" s="110">
        <f t="shared" si="6"/>
        <v>533</v>
      </c>
      <c r="D9" s="110">
        <f t="shared" si="6"/>
        <v>498</v>
      </c>
      <c r="E9" s="110">
        <f t="shared" si="6"/>
        <v>432</v>
      </c>
      <c r="F9" s="110">
        <f t="shared" si="6"/>
        <v>444</v>
      </c>
      <c r="G9" s="110">
        <f t="shared" si="6"/>
        <v>280</v>
      </c>
      <c r="H9" s="110">
        <f t="shared" si="6"/>
        <v>268</v>
      </c>
      <c r="I9" s="110">
        <f t="shared" si="6"/>
        <v>246</v>
      </c>
      <c r="J9" s="110">
        <f t="shared" si="6"/>
        <v>258</v>
      </c>
      <c r="K9" s="110">
        <f t="shared" si="6"/>
        <v>231</v>
      </c>
      <c r="L9" s="110">
        <f t="shared" si="6"/>
        <v>244</v>
      </c>
      <c r="M9" s="110">
        <f t="shared" si="6"/>
        <v>269</v>
      </c>
      <c r="N9" s="110">
        <f t="shared" si="6"/>
        <v>278</v>
      </c>
      <c r="O9" s="110">
        <f t="shared" si="6"/>
        <v>278</v>
      </c>
      <c r="P9" s="110">
        <f t="shared" si="6"/>
        <v>270</v>
      </c>
      <c r="Q9" s="110">
        <f t="shared" si="6"/>
        <v>262</v>
      </c>
      <c r="R9" s="110">
        <f t="shared" ref="R9:V9" si="7">R10+R11+R12</f>
        <v>280</v>
      </c>
      <c r="S9" s="110">
        <f t="shared" si="7"/>
        <v>315</v>
      </c>
      <c r="T9" s="110">
        <f t="shared" si="7"/>
        <v>354</v>
      </c>
      <c r="U9" s="110">
        <f t="shared" si="7"/>
        <v>359</v>
      </c>
      <c r="V9" s="110">
        <f t="shared" si="7"/>
        <v>237</v>
      </c>
      <c r="W9" s="110">
        <f t="shared" ref="W9:Y9" si="8">W10+W11+W12</f>
        <v>287</v>
      </c>
      <c r="X9" s="110">
        <f t="shared" si="8"/>
        <v>382</v>
      </c>
      <c r="Y9" s="110">
        <f t="shared" si="8"/>
        <v>392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0</v>
      </c>
      <c r="E10" s="102">
        <f>TrRail_act!E$5</f>
        <v>0</v>
      </c>
      <c r="F10" s="102">
        <f>TrRail_act!F$5</f>
        <v>0</v>
      </c>
      <c r="G10" s="102">
        <f>TrRail_act!G$5</f>
        <v>0</v>
      </c>
      <c r="H10" s="102">
        <f>TrRail_act!H$5</f>
        <v>0</v>
      </c>
      <c r="I10" s="102">
        <f>TrRail_act!I$5</f>
        <v>0</v>
      </c>
      <c r="J10" s="102">
        <f>TrRail_act!J$5</f>
        <v>0</v>
      </c>
      <c r="K10" s="102">
        <f>TrRail_act!K$5</f>
        <v>0</v>
      </c>
      <c r="L10" s="102">
        <f>TrRail_act!L$5</f>
        <v>0</v>
      </c>
      <c r="M10" s="102">
        <f>TrRail_act!M$5</f>
        <v>0</v>
      </c>
      <c r="N10" s="102">
        <f>TrRail_act!N$5</f>
        <v>0</v>
      </c>
      <c r="O10" s="102">
        <f>TrRail_act!O$5</f>
        <v>0</v>
      </c>
      <c r="P10" s="102">
        <f>TrRail_act!P$5</f>
        <v>0</v>
      </c>
      <c r="Q10" s="102">
        <f>TrRail_act!Q$5</f>
        <v>0</v>
      </c>
      <c r="R10" s="102">
        <f>TrRail_act!R$5</f>
        <v>0</v>
      </c>
      <c r="S10" s="102">
        <f>TrRail_act!S$5</f>
        <v>0</v>
      </c>
      <c r="T10" s="102">
        <f>TrRail_act!T$5</f>
        <v>0</v>
      </c>
      <c r="U10" s="102">
        <f>TrRail_act!U$5</f>
        <v>0</v>
      </c>
      <c r="V10" s="102">
        <f>TrRail_act!V$5</f>
        <v>0</v>
      </c>
      <c r="W10" s="102">
        <f>TrRail_act!W$5</f>
        <v>0</v>
      </c>
      <c r="X10" s="102">
        <f>TrRail_act!X$5</f>
        <v>0</v>
      </c>
      <c r="Y10" s="102">
        <f>TrRail_act!Y$5</f>
        <v>0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611</v>
      </c>
      <c r="C11" s="102">
        <f>TrRail_act!C$6</f>
        <v>533</v>
      </c>
      <c r="D11" s="102">
        <f>TrRail_act!D$6</f>
        <v>498</v>
      </c>
      <c r="E11" s="102">
        <f>TrRail_act!E$6</f>
        <v>432</v>
      </c>
      <c r="F11" s="102">
        <f>TrRail_act!F$6</f>
        <v>444</v>
      </c>
      <c r="G11" s="102">
        <f>TrRail_act!G$6</f>
        <v>280</v>
      </c>
      <c r="H11" s="102">
        <f>TrRail_act!H$6</f>
        <v>268</v>
      </c>
      <c r="I11" s="102">
        <f>TrRail_act!I$6</f>
        <v>246</v>
      </c>
      <c r="J11" s="102">
        <f>TrRail_act!J$6</f>
        <v>258</v>
      </c>
      <c r="K11" s="102">
        <f>TrRail_act!K$6</f>
        <v>231</v>
      </c>
      <c r="L11" s="102">
        <f>TrRail_act!L$6</f>
        <v>244</v>
      </c>
      <c r="M11" s="102">
        <f>TrRail_act!M$6</f>
        <v>269</v>
      </c>
      <c r="N11" s="102">
        <f>TrRail_act!N$6</f>
        <v>278</v>
      </c>
      <c r="O11" s="102">
        <f>TrRail_act!O$6</f>
        <v>278</v>
      </c>
      <c r="P11" s="102">
        <f>TrRail_act!P$6</f>
        <v>270</v>
      </c>
      <c r="Q11" s="102">
        <f>TrRail_act!Q$6</f>
        <v>262</v>
      </c>
      <c r="R11" s="102">
        <f>TrRail_act!R$6</f>
        <v>280</v>
      </c>
      <c r="S11" s="102">
        <f>TrRail_act!S$6</f>
        <v>315</v>
      </c>
      <c r="T11" s="102">
        <f>TrRail_act!T$6</f>
        <v>354</v>
      </c>
      <c r="U11" s="102">
        <f>TrRail_act!U$6</f>
        <v>359</v>
      </c>
      <c r="V11" s="102">
        <f>TrRail_act!V$6</f>
        <v>237</v>
      </c>
      <c r="W11" s="102">
        <f>TrRail_act!W$6</f>
        <v>287</v>
      </c>
      <c r="X11" s="102">
        <f>TrRail_act!X$6</f>
        <v>382</v>
      </c>
      <c r="Y11" s="102">
        <f>TrRail_act!Y$6</f>
        <v>392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X12" s="102">
        <f>TrRail_act!X$9</f>
        <v>0</v>
      </c>
      <c r="Y12" s="102">
        <f>TrRail_act!Y$9</f>
        <v>0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615.10985958143181</v>
      </c>
      <c r="C13" s="110">
        <f t="shared" ref="C13:V13" si="10">C14+C15+C16</f>
        <v>829.90355800769714</v>
      </c>
      <c r="D13" s="110">
        <f t="shared" si="10"/>
        <v>759.86505393269613</v>
      </c>
      <c r="E13" s="110">
        <f t="shared" si="10"/>
        <v>879.67699746122469</v>
      </c>
      <c r="F13" s="110">
        <f t="shared" si="10"/>
        <v>953.04907416925448</v>
      </c>
      <c r="G13" s="110">
        <f t="shared" si="10"/>
        <v>1295.4798764795214</v>
      </c>
      <c r="H13" s="110">
        <f t="shared" si="10"/>
        <v>1548.2025682930889</v>
      </c>
      <c r="I13" s="110">
        <f t="shared" si="10"/>
        <v>1858.3006832172157</v>
      </c>
      <c r="J13" s="110">
        <f t="shared" si="10"/>
        <v>1860.5447641818705</v>
      </c>
      <c r="K13" s="110">
        <f t="shared" si="10"/>
        <v>1186.487982304604</v>
      </c>
      <c r="L13" s="110">
        <f t="shared" si="10"/>
        <v>1518.5124658497882</v>
      </c>
      <c r="M13" s="110">
        <f t="shared" si="10"/>
        <v>1771.2798800726016</v>
      </c>
      <c r="N13" s="110">
        <f t="shared" si="10"/>
        <v>2203.4952877129858</v>
      </c>
      <c r="O13" s="110">
        <f t="shared" si="10"/>
        <v>2466.0616288600454</v>
      </c>
      <c r="P13" s="110">
        <f t="shared" si="10"/>
        <v>2687.3632829276644</v>
      </c>
      <c r="Q13" s="110">
        <f t="shared" si="10"/>
        <v>2970.7182403043334</v>
      </c>
      <c r="R13" s="110">
        <f t="shared" si="10"/>
        <v>3322.3874128023813</v>
      </c>
      <c r="S13" s="110">
        <f t="shared" si="10"/>
        <v>3670.1570391597975</v>
      </c>
      <c r="T13" s="110">
        <f t="shared" si="10"/>
        <v>4495.9696497122914</v>
      </c>
      <c r="U13" s="110">
        <f t="shared" si="10"/>
        <v>4650.182037945895</v>
      </c>
      <c r="V13" s="110">
        <f t="shared" si="10"/>
        <v>1317.5955430746621</v>
      </c>
      <c r="W13" s="110">
        <f t="shared" ref="W13:Y13" si="11">W14+W15+W16</f>
        <v>1876.3420285748489</v>
      </c>
      <c r="X13" s="110">
        <f t="shared" si="11"/>
        <v>4306.6701213269098</v>
      </c>
      <c r="Y13" s="110">
        <f t="shared" si="11"/>
        <v>5053.2685452917613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X14" s="102">
        <f>TrAvia_act!X$5</f>
        <v>0</v>
      </c>
      <c r="Y14" s="102">
        <f>TrAvia_act!Y$5</f>
        <v>0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456.25278329440022</v>
      </c>
      <c r="C15" s="102">
        <f>TrAvia_act!C$6</f>
        <v>620.04693280887602</v>
      </c>
      <c r="D15" s="102">
        <f>TrAvia_act!D$6</f>
        <v>571.76002360391089</v>
      </c>
      <c r="E15" s="102">
        <f>TrAvia_act!E$6</f>
        <v>665.98380524342201</v>
      </c>
      <c r="F15" s="102">
        <f>TrAvia_act!F$6</f>
        <v>722.65341919854939</v>
      </c>
      <c r="G15" s="102">
        <f>TrAvia_act!G$6</f>
        <v>1024.3829244816761</v>
      </c>
      <c r="H15" s="102">
        <f>TrAvia_act!H$6</f>
        <v>1229.9521435063748</v>
      </c>
      <c r="I15" s="102">
        <f>TrAvia_act!I$6</f>
        <v>1431.2711787338328</v>
      </c>
      <c r="J15" s="102">
        <f>TrAvia_act!J$6</f>
        <v>1515.9305817434383</v>
      </c>
      <c r="K15" s="102">
        <f>TrAvia_act!K$6</f>
        <v>938.71574584468931</v>
      </c>
      <c r="L15" s="102">
        <f>TrAvia_act!L$6</f>
        <v>1298.393311085056</v>
      </c>
      <c r="M15" s="102">
        <f>TrAvia_act!M$6</f>
        <v>1605.4008142782636</v>
      </c>
      <c r="N15" s="102">
        <f>TrAvia_act!N$6</f>
        <v>1984.7169559765182</v>
      </c>
      <c r="O15" s="102">
        <f>TrAvia_act!O$6</f>
        <v>2149.1762969434844</v>
      </c>
      <c r="P15" s="102">
        <f>TrAvia_act!P$6</f>
        <v>2269.648890884951</v>
      </c>
      <c r="Q15" s="102">
        <f>TrAvia_act!Q$6</f>
        <v>2520.8034591613705</v>
      </c>
      <c r="R15" s="102">
        <f>TrAvia_act!R$6</f>
        <v>2840.213250569745</v>
      </c>
      <c r="S15" s="102">
        <f>TrAvia_act!S$6</f>
        <v>3025.5794664217219</v>
      </c>
      <c r="T15" s="102">
        <f>TrAvia_act!T$6</f>
        <v>3515.4840284652155</v>
      </c>
      <c r="U15" s="102">
        <f>TrAvia_act!U$6</f>
        <v>3470.4597807346436</v>
      </c>
      <c r="V15" s="102">
        <f>TrAvia_act!V$6</f>
        <v>1061.8444325908165</v>
      </c>
      <c r="W15" s="102">
        <f>TrAvia_act!W$6</f>
        <v>1358.6035863166851</v>
      </c>
      <c r="X15" s="102">
        <f>TrAvia_act!X$6</f>
        <v>3206.5759444990981</v>
      </c>
      <c r="Y15" s="102">
        <f>TrAvia_act!Y$6</f>
        <v>3657.1320930042848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158.85707628703162</v>
      </c>
      <c r="C16" s="102">
        <f>TrAvia_act!C$7</f>
        <v>209.85662519882112</v>
      </c>
      <c r="D16" s="102">
        <f>TrAvia_act!D$7</f>
        <v>188.10503032878523</v>
      </c>
      <c r="E16" s="102">
        <f>TrAvia_act!E$7</f>
        <v>213.6931922178027</v>
      </c>
      <c r="F16" s="102">
        <f>TrAvia_act!F$7</f>
        <v>230.39565497070515</v>
      </c>
      <c r="G16" s="102">
        <f>TrAvia_act!G$7</f>
        <v>271.09695199784534</v>
      </c>
      <c r="H16" s="102">
        <f>TrAvia_act!H$7</f>
        <v>318.25042478671418</v>
      </c>
      <c r="I16" s="102">
        <f>TrAvia_act!I$7</f>
        <v>427.02950448338288</v>
      </c>
      <c r="J16" s="102">
        <f>TrAvia_act!J$7</f>
        <v>344.61418243843212</v>
      </c>
      <c r="K16" s="102">
        <f>TrAvia_act!K$7</f>
        <v>247.77223645991467</v>
      </c>
      <c r="L16" s="102">
        <f>TrAvia_act!L$7</f>
        <v>220.11915476473214</v>
      </c>
      <c r="M16" s="102">
        <f>TrAvia_act!M$7</f>
        <v>165.87906579433803</v>
      </c>
      <c r="N16" s="102">
        <f>TrAvia_act!N$7</f>
        <v>218.77833173646758</v>
      </c>
      <c r="O16" s="102">
        <f>TrAvia_act!O$7</f>
        <v>316.88533191656097</v>
      </c>
      <c r="P16" s="102">
        <f>TrAvia_act!P$7</f>
        <v>417.71439204271354</v>
      </c>
      <c r="Q16" s="102">
        <f>TrAvia_act!Q$7</f>
        <v>449.91478114296274</v>
      </c>
      <c r="R16" s="102">
        <f>TrAvia_act!R$7</f>
        <v>482.17416223263632</v>
      </c>
      <c r="S16" s="102">
        <f>TrAvia_act!S$7</f>
        <v>644.57757273807567</v>
      </c>
      <c r="T16" s="102">
        <f>TrAvia_act!T$7</f>
        <v>980.48562124707541</v>
      </c>
      <c r="U16" s="102">
        <f>TrAvia_act!U$7</f>
        <v>1179.7222572112512</v>
      </c>
      <c r="V16" s="102">
        <f>TrAvia_act!V$7</f>
        <v>255.75111048384557</v>
      </c>
      <c r="W16" s="102">
        <f>TrAvia_act!W$7</f>
        <v>517.73844225816379</v>
      </c>
      <c r="X16" s="102">
        <f>TrAvia_act!X$7</f>
        <v>1100.0941768278119</v>
      </c>
      <c r="Y16" s="102">
        <f>TrAvia_act!Y$7</f>
        <v>1396.1364522874769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12322.519768099097</v>
      </c>
      <c r="C17" s="28">
        <f t="shared" si="12"/>
        <v>11178.429641331675</v>
      </c>
      <c r="D17" s="28">
        <f t="shared" si="12"/>
        <v>13308.400403290079</v>
      </c>
      <c r="E17" s="28">
        <f t="shared" si="12"/>
        <v>15469.113188663079</v>
      </c>
      <c r="F17" s="28">
        <f t="shared" si="12"/>
        <v>16175.619510215372</v>
      </c>
      <c r="G17" s="28">
        <f t="shared" si="12"/>
        <v>17027.021275225979</v>
      </c>
      <c r="H17" s="28">
        <f t="shared" si="12"/>
        <v>18206.613881659909</v>
      </c>
      <c r="I17" s="28">
        <f t="shared" si="12"/>
        <v>20475.871214003044</v>
      </c>
      <c r="J17" s="28">
        <f t="shared" si="12"/>
        <v>20451.54677818136</v>
      </c>
      <c r="K17" s="28">
        <f t="shared" si="12"/>
        <v>17140.193771380811</v>
      </c>
      <c r="L17" s="28">
        <f t="shared" si="12"/>
        <v>18696.196824965682</v>
      </c>
      <c r="M17" s="28">
        <f t="shared" si="12"/>
        <v>20749.354575221048</v>
      </c>
      <c r="N17" s="28">
        <f t="shared" si="12"/>
        <v>20443.101186553897</v>
      </c>
      <c r="O17" s="28">
        <f t="shared" si="12"/>
        <v>20315.566184181345</v>
      </c>
      <c r="P17" s="28">
        <f t="shared" si="12"/>
        <v>21314.822551781232</v>
      </c>
      <c r="Q17" s="28">
        <f t="shared" si="12"/>
        <v>21619.831027520846</v>
      </c>
      <c r="R17" s="28">
        <f t="shared" ref="R17:V17" si="13">R18+R21+R22+R26</f>
        <v>21497.834109443185</v>
      </c>
      <c r="S17" s="28">
        <f t="shared" si="13"/>
        <v>23437.735240606449</v>
      </c>
      <c r="T17" s="28">
        <f t="shared" si="13"/>
        <v>25168.286536508138</v>
      </c>
      <c r="U17" s="28">
        <f t="shared" si="13"/>
        <v>24326.40420667026</v>
      </c>
      <c r="V17" s="28">
        <f t="shared" si="13"/>
        <v>24813.068102244502</v>
      </c>
      <c r="W17" s="28">
        <f t="shared" ref="W17:Y17" si="14">W18+W21+W22+W26</f>
        <v>23587.09384726455</v>
      </c>
      <c r="X17" s="28">
        <f t="shared" si="14"/>
        <v>16168.573078694615</v>
      </c>
      <c r="Y17" s="28">
        <f t="shared" si="14"/>
        <v>16382.314476013076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3170.3548082863053</v>
      </c>
      <c r="C18" s="137">
        <f t="shared" si="15"/>
        <v>3269.2417180521697</v>
      </c>
      <c r="D18" s="137">
        <f t="shared" si="15"/>
        <v>3373.6543292066658</v>
      </c>
      <c r="E18" s="137">
        <f t="shared" si="15"/>
        <v>3846.2192960540337</v>
      </c>
      <c r="F18" s="137">
        <f t="shared" si="15"/>
        <v>4400.3986231162826</v>
      </c>
      <c r="G18" s="137">
        <f t="shared" si="15"/>
        <v>4406.0478887695526</v>
      </c>
      <c r="H18" s="137">
        <f t="shared" si="15"/>
        <v>5147.8973988135158</v>
      </c>
      <c r="I18" s="137">
        <f t="shared" si="15"/>
        <v>5936.3397112028906</v>
      </c>
      <c r="J18" s="137">
        <f t="shared" si="15"/>
        <v>5537.0768902938498</v>
      </c>
      <c r="K18" s="137">
        <f t="shared" si="15"/>
        <v>5096.6760924487089</v>
      </c>
      <c r="L18" s="137">
        <f t="shared" si="15"/>
        <v>5108.3795051096658</v>
      </c>
      <c r="M18" s="137">
        <f t="shared" si="15"/>
        <v>5487.1598401323517</v>
      </c>
      <c r="N18" s="137">
        <f t="shared" si="15"/>
        <v>6089.5021847706385</v>
      </c>
      <c r="O18" s="137">
        <f t="shared" si="15"/>
        <v>6801.2451011483836</v>
      </c>
      <c r="P18" s="137">
        <f t="shared" si="15"/>
        <v>6834.2687812403055</v>
      </c>
      <c r="Q18" s="137">
        <f t="shared" si="15"/>
        <v>7402.3734282668138</v>
      </c>
      <c r="R18" s="137">
        <f t="shared" ref="R18:V18" si="16">R19+R20</f>
        <v>7562.7306973300083</v>
      </c>
      <c r="S18" s="137">
        <f t="shared" si="16"/>
        <v>7832.0220489533949</v>
      </c>
      <c r="T18" s="137">
        <f t="shared" si="16"/>
        <v>8111.7022927630833</v>
      </c>
      <c r="U18" s="137">
        <f t="shared" si="16"/>
        <v>7955.5144688818709</v>
      </c>
      <c r="V18" s="137">
        <f t="shared" si="16"/>
        <v>8811.9077392861982</v>
      </c>
      <c r="W18" s="137">
        <f t="shared" ref="W18:Y18" si="17">W19+W20</f>
        <v>8875.6304080298869</v>
      </c>
      <c r="X18" s="137">
        <f t="shared" si="17"/>
        <v>8666.2714140303833</v>
      </c>
      <c r="Y18" s="137">
        <f t="shared" si="17"/>
        <v>9964.023848892246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38.337756679881863</v>
      </c>
      <c r="C19" s="102">
        <f>TrRoad_act!C$20</f>
        <v>39.448320290456635</v>
      </c>
      <c r="D19" s="102">
        <f>TrRoad_act!D$20</f>
        <v>42.938658074051723</v>
      </c>
      <c r="E19" s="102">
        <f>TrRoad_act!E$20</f>
        <v>46.26175304061438</v>
      </c>
      <c r="F19" s="102">
        <f>TrRoad_act!F$20</f>
        <v>49.39151381327828</v>
      </c>
      <c r="G19" s="102">
        <f>TrRoad_act!G$20</f>
        <v>54.69468099296143</v>
      </c>
      <c r="H19" s="102">
        <f>TrRoad_act!H$20</f>
        <v>68.986936777904731</v>
      </c>
      <c r="I19" s="102">
        <f>TrRoad_act!I$20</f>
        <v>79.208725875274013</v>
      </c>
      <c r="J19" s="102">
        <f>TrRoad_act!J$20</f>
        <v>84.093585720661522</v>
      </c>
      <c r="K19" s="102">
        <f>TrRoad_act!K$20</f>
        <v>93.732499524195319</v>
      </c>
      <c r="L19" s="102">
        <f>TrRoad_act!L$20</f>
        <v>85.539263052798077</v>
      </c>
      <c r="M19" s="102">
        <f>TrRoad_act!M$20</f>
        <v>94.836648083696161</v>
      </c>
      <c r="N19" s="102">
        <f>TrRoad_act!N$20</f>
        <v>105.321447861628</v>
      </c>
      <c r="O19" s="102">
        <f>TrRoad_act!O$20</f>
        <v>110.20783978327152</v>
      </c>
      <c r="P19" s="102">
        <f>TrRoad_act!P$20</f>
        <v>120.39165751863615</v>
      </c>
      <c r="Q19" s="102">
        <f>TrRoad_act!Q$20</f>
        <v>125.05303659512465</v>
      </c>
      <c r="R19" s="102">
        <f>TrRoad_act!R$20</f>
        <v>131.49279998554701</v>
      </c>
      <c r="S19" s="102">
        <f>TrRoad_act!S$20</f>
        <v>131.40947181039618</v>
      </c>
      <c r="T19" s="102">
        <f>TrRoad_act!T$20</f>
        <v>133.70229276308334</v>
      </c>
      <c r="U19" s="102">
        <f>TrRoad_act!U$20</f>
        <v>139.51446888187118</v>
      </c>
      <c r="V19" s="102">
        <f>TrRoad_act!V$20</f>
        <v>144.90773928619848</v>
      </c>
      <c r="W19" s="102">
        <f>TrRoad_act!W$20</f>
        <v>150.63040802988644</v>
      </c>
      <c r="X19" s="102">
        <f>TrRoad_act!X$20</f>
        <v>143.27141403038311</v>
      </c>
      <c r="Y19" s="102">
        <f>TrRoad_act!Y$20</f>
        <v>145.02384889224589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3132.0170516064236</v>
      </c>
      <c r="C20" s="102">
        <f>TrRoad_act!C$26</f>
        <v>3229.7933977617131</v>
      </c>
      <c r="D20" s="102">
        <f>TrRoad_act!D$26</f>
        <v>3330.7156711326143</v>
      </c>
      <c r="E20" s="102">
        <f>TrRoad_act!E$26</f>
        <v>3799.9575430134196</v>
      </c>
      <c r="F20" s="102">
        <f>TrRoad_act!F$26</f>
        <v>4351.0071093030047</v>
      </c>
      <c r="G20" s="102">
        <f>TrRoad_act!G$26</f>
        <v>4351.3532077765913</v>
      </c>
      <c r="H20" s="102">
        <f>TrRoad_act!H$26</f>
        <v>5078.9104620356111</v>
      </c>
      <c r="I20" s="102">
        <f>TrRoad_act!I$26</f>
        <v>5857.1309853276171</v>
      </c>
      <c r="J20" s="102">
        <f>TrRoad_act!J$26</f>
        <v>5452.9833045731884</v>
      </c>
      <c r="K20" s="102">
        <f>TrRoad_act!K$26</f>
        <v>5002.9435929245137</v>
      </c>
      <c r="L20" s="102">
        <f>TrRoad_act!L$26</f>
        <v>5022.8402420568682</v>
      </c>
      <c r="M20" s="102">
        <f>TrRoad_act!M$26</f>
        <v>5392.323192048656</v>
      </c>
      <c r="N20" s="102">
        <f>TrRoad_act!N$26</f>
        <v>5984.1807369090102</v>
      </c>
      <c r="O20" s="102">
        <f>TrRoad_act!O$26</f>
        <v>6691.0372613651125</v>
      </c>
      <c r="P20" s="102">
        <f>TrRoad_act!P$26</f>
        <v>6713.8771237216697</v>
      </c>
      <c r="Q20" s="102">
        <f>TrRoad_act!Q$26</f>
        <v>7277.3203916716893</v>
      </c>
      <c r="R20" s="102">
        <f>TrRoad_act!R$26</f>
        <v>7431.2378973444611</v>
      </c>
      <c r="S20" s="102">
        <f>TrRoad_act!S$26</f>
        <v>7700.6125771429988</v>
      </c>
      <c r="T20" s="102">
        <f>TrRoad_act!T$26</f>
        <v>7978</v>
      </c>
      <c r="U20" s="102">
        <f>TrRoad_act!U$26</f>
        <v>7816</v>
      </c>
      <c r="V20" s="102">
        <f>TrRoad_act!V$26</f>
        <v>8667</v>
      </c>
      <c r="W20" s="102">
        <f>TrRoad_act!W$26</f>
        <v>8725</v>
      </c>
      <c r="X20" s="102">
        <f>TrRoad_act!X$26</f>
        <v>8523</v>
      </c>
      <c r="Y20" s="102">
        <f>TrRoad_act!Y$26</f>
        <v>9819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8918.0000000000018</v>
      </c>
      <c r="C21" s="110">
        <f>TrRail_act!C$10</f>
        <v>7741</v>
      </c>
      <c r="D21" s="110">
        <f>TrRail_act!D$10</f>
        <v>9766.9999999999982</v>
      </c>
      <c r="E21" s="110">
        <f>TrRail_act!E$10</f>
        <v>11457</v>
      </c>
      <c r="F21" s="110">
        <f>TrRail_act!F$10</f>
        <v>11637</v>
      </c>
      <c r="G21" s="110">
        <f>TrRail_act!G$10</f>
        <v>12456.999999999998</v>
      </c>
      <c r="H21" s="110">
        <f>TrRail_act!H$10</f>
        <v>12896</v>
      </c>
      <c r="I21" s="110">
        <f>TrRail_act!I$10</f>
        <v>14373</v>
      </c>
      <c r="J21" s="110">
        <f>TrRail_act!J$10</f>
        <v>14748.000000000002</v>
      </c>
      <c r="K21" s="110">
        <f>TrRail_act!K$10</f>
        <v>11887.999999999998</v>
      </c>
      <c r="L21" s="110">
        <f>TrRail_act!L$10</f>
        <v>13431</v>
      </c>
      <c r="M21" s="110">
        <f>TrRail_act!M$10</f>
        <v>15088</v>
      </c>
      <c r="N21" s="110">
        <f>TrRail_act!N$10</f>
        <v>14172</v>
      </c>
      <c r="O21" s="110">
        <f>TrRail_act!O$10</f>
        <v>13344</v>
      </c>
      <c r="P21" s="110">
        <f>TrRail_act!P$10</f>
        <v>14307</v>
      </c>
      <c r="Q21" s="110">
        <f>TrRail_act!Q$10</f>
        <v>14035.999999999998</v>
      </c>
      <c r="R21" s="110">
        <f>TrRail_act!R$10</f>
        <v>13790</v>
      </c>
      <c r="S21" s="110">
        <f>TrRail_act!S$10</f>
        <v>15414</v>
      </c>
      <c r="T21" s="110">
        <f>TrRail_act!T$10</f>
        <v>16885</v>
      </c>
      <c r="U21" s="110">
        <f>TrRail_act!U$10</f>
        <v>16181.000000000002</v>
      </c>
      <c r="V21" s="110">
        <f>TrRail_act!V$10</f>
        <v>15865</v>
      </c>
      <c r="W21" s="110">
        <f>TrRail_act!W$10</f>
        <v>14566</v>
      </c>
      <c r="X21" s="110">
        <f>TrRail_act!X$10</f>
        <v>7375</v>
      </c>
      <c r="Y21" s="110">
        <f>TrRail_act!Y$10</f>
        <v>6307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4.9143598127909716</v>
      </c>
      <c r="C22" s="110">
        <f t="shared" ref="C22:V22" si="19">C23+C24+C25</f>
        <v>5.2833232795051668</v>
      </c>
      <c r="D22" s="110">
        <f t="shared" si="19"/>
        <v>4.8620740834166378</v>
      </c>
      <c r="E22" s="110">
        <f t="shared" si="19"/>
        <v>2.8596926090442869</v>
      </c>
      <c r="F22" s="110">
        <f t="shared" si="19"/>
        <v>2.9288870990918809</v>
      </c>
      <c r="G22" s="110">
        <f t="shared" si="19"/>
        <v>3.6279864564298263</v>
      </c>
      <c r="H22" s="110">
        <f t="shared" si="19"/>
        <v>5.046382846394347</v>
      </c>
      <c r="I22" s="110">
        <f t="shared" si="19"/>
        <v>6.5685028001523369</v>
      </c>
      <c r="J22" s="110">
        <f t="shared" si="19"/>
        <v>4.4918878875091002</v>
      </c>
      <c r="K22" s="110">
        <f t="shared" si="19"/>
        <v>2.539678932106475</v>
      </c>
      <c r="L22" s="110">
        <f t="shared" si="19"/>
        <v>3.839319856016834</v>
      </c>
      <c r="M22" s="110">
        <f t="shared" si="19"/>
        <v>4.2397350886962082</v>
      </c>
      <c r="N22" s="110">
        <f t="shared" si="19"/>
        <v>19.38900178326157</v>
      </c>
      <c r="O22" s="110">
        <f t="shared" si="19"/>
        <v>13.630083032963828</v>
      </c>
      <c r="P22" s="110">
        <f t="shared" si="19"/>
        <v>12.088770540927374</v>
      </c>
      <c r="Q22" s="110">
        <f t="shared" si="19"/>
        <v>12.858599254035564</v>
      </c>
      <c r="R22" s="110">
        <f t="shared" si="19"/>
        <v>11.510412113176981</v>
      </c>
      <c r="S22" s="110">
        <f t="shared" si="19"/>
        <v>10.834191653052738</v>
      </c>
      <c r="T22" s="110">
        <f t="shared" si="19"/>
        <v>13.526243745054082</v>
      </c>
      <c r="U22" s="110">
        <f t="shared" si="19"/>
        <v>15.649737788385078</v>
      </c>
      <c r="V22" s="110">
        <f t="shared" si="19"/>
        <v>15.090362958303821</v>
      </c>
      <c r="W22" s="110">
        <f t="shared" ref="W22:Y22" si="20">W23+W24+W25</f>
        <v>14.859439234662368</v>
      </c>
      <c r="X22" s="110">
        <f t="shared" si="20"/>
        <v>16.818664664231228</v>
      </c>
      <c r="Y22" s="110">
        <f t="shared" si="20"/>
        <v>17.929627120828741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X23" s="102">
        <f>TrAvia_act!X$9</f>
        <v>0</v>
      </c>
      <c r="Y23" s="102">
        <f>TrAvia_act!Y$9</f>
        <v>0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4.3979382740740913</v>
      </c>
      <c r="C24" s="102">
        <f>TrAvia_act!C$10</f>
        <v>4.7421545249659749</v>
      </c>
      <c r="D24" s="102">
        <f>TrAvia_act!D$10</f>
        <v>4.3511140343313217</v>
      </c>
      <c r="E24" s="102">
        <f>TrAvia_act!E$10</f>
        <v>2.3954204821803677</v>
      </c>
      <c r="F24" s="102">
        <f>TrAvia_act!F$10</f>
        <v>2.3656218936126123</v>
      </c>
      <c r="G24" s="102">
        <f>TrAvia_act!G$10</f>
        <v>2.8907689701255039</v>
      </c>
      <c r="H24" s="102">
        <f>TrAvia_act!H$10</f>
        <v>3.2568414170907305</v>
      </c>
      <c r="I24" s="102">
        <f>TrAvia_act!I$10</f>
        <v>3.6060111116001696</v>
      </c>
      <c r="J24" s="102">
        <f>TrAvia_act!J$10</f>
        <v>3.2771341184886991</v>
      </c>
      <c r="K24" s="102">
        <f>TrAvia_act!K$10</f>
        <v>2.3518406648713852</v>
      </c>
      <c r="L24" s="102">
        <f>TrAvia_act!L$10</f>
        <v>3.5483679366515957</v>
      </c>
      <c r="M24" s="102">
        <f>TrAvia_act!M$10</f>
        <v>3.754202995592963</v>
      </c>
      <c r="N24" s="102">
        <f>TrAvia_act!N$10</f>
        <v>4.0248030015442371</v>
      </c>
      <c r="O24" s="102">
        <f>TrAvia_act!O$10</f>
        <v>6.6153695549884981</v>
      </c>
      <c r="P24" s="102">
        <f>TrAvia_act!P$10</f>
        <v>7.9154531276649589</v>
      </c>
      <c r="Q24" s="102">
        <f>TrAvia_act!Q$10</f>
        <v>8.6319447209443041</v>
      </c>
      <c r="R24" s="102">
        <f>TrAvia_act!R$10</f>
        <v>8.4258694684757351</v>
      </c>
      <c r="S24" s="102">
        <f>TrAvia_act!S$10</f>
        <v>9.1555472397721758</v>
      </c>
      <c r="T24" s="102">
        <f>TrAvia_act!T$10</f>
        <v>10.233020149484036</v>
      </c>
      <c r="U24" s="102">
        <f>TrAvia_act!U$10</f>
        <v>10.656328675087988</v>
      </c>
      <c r="V24" s="102">
        <f>TrAvia_act!V$10</f>
        <v>9.7754012099460699</v>
      </c>
      <c r="W24" s="102">
        <f>TrAvia_act!W$10</f>
        <v>9.4943946869264515</v>
      </c>
      <c r="X24" s="102">
        <f>TrAvia_act!X$10</f>
        <v>9.406052386849554</v>
      </c>
      <c r="Y24" s="102">
        <f>TrAvia_act!Y$10</f>
        <v>10.373719025613344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0.51642153871688068</v>
      </c>
      <c r="C25" s="102">
        <f>TrAvia_act!C$11</f>
        <v>0.54116875453919178</v>
      </c>
      <c r="D25" s="102">
        <f>TrAvia_act!D$11</f>
        <v>0.51096004908531645</v>
      </c>
      <c r="E25" s="102">
        <f>TrAvia_act!E$11</f>
        <v>0.464272126863919</v>
      </c>
      <c r="F25" s="102">
        <f>TrAvia_act!F$11</f>
        <v>0.56326520547926839</v>
      </c>
      <c r="G25" s="102">
        <f>TrAvia_act!G$11</f>
        <v>0.73721748630432216</v>
      </c>
      <c r="H25" s="102">
        <f>TrAvia_act!H$11</f>
        <v>1.7895414293036163</v>
      </c>
      <c r="I25" s="102">
        <f>TrAvia_act!I$11</f>
        <v>2.9624916885521673</v>
      </c>
      <c r="J25" s="102">
        <f>TrAvia_act!J$11</f>
        <v>1.2147537690204011</v>
      </c>
      <c r="K25" s="102">
        <f>TrAvia_act!K$11</f>
        <v>0.18783826723508987</v>
      </c>
      <c r="L25" s="102">
        <f>TrAvia_act!L$11</f>
        <v>0.29095191936523829</v>
      </c>
      <c r="M25" s="102">
        <f>TrAvia_act!M$11</f>
        <v>0.48553209310324513</v>
      </c>
      <c r="N25" s="102">
        <f>TrAvia_act!N$11</f>
        <v>15.364198781717334</v>
      </c>
      <c r="O25" s="102">
        <f>TrAvia_act!O$11</f>
        <v>7.01471347797533</v>
      </c>
      <c r="P25" s="102">
        <f>TrAvia_act!P$11</f>
        <v>4.1733174132624145</v>
      </c>
      <c r="Q25" s="102">
        <f>TrAvia_act!Q$11</f>
        <v>4.2266545330912608</v>
      </c>
      <c r="R25" s="102">
        <f>TrAvia_act!R$11</f>
        <v>3.0845426447012465</v>
      </c>
      <c r="S25" s="102">
        <f>TrAvia_act!S$11</f>
        <v>1.6786444132805611</v>
      </c>
      <c r="T25" s="102">
        <f>TrAvia_act!T$11</f>
        <v>3.2932235955700451</v>
      </c>
      <c r="U25" s="102">
        <f>TrAvia_act!U$11</f>
        <v>4.9934091132970915</v>
      </c>
      <c r="V25" s="102">
        <f>TrAvia_act!V$11</f>
        <v>5.314961748357752</v>
      </c>
      <c r="W25" s="102">
        <f>TrAvia_act!W$11</f>
        <v>5.3650445477359163</v>
      </c>
      <c r="X25" s="102">
        <f>TrAvia_act!X$11</f>
        <v>7.4126122773816761</v>
      </c>
      <c r="Y25" s="102">
        <f>TrAvia_act!Y$11</f>
        <v>7.5559080952153961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229.25059999999999</v>
      </c>
      <c r="C26" s="110">
        <f t="shared" si="21"/>
        <v>162.90459999999999</v>
      </c>
      <c r="D26" s="110">
        <f t="shared" si="21"/>
        <v>162.88399999999999</v>
      </c>
      <c r="E26" s="110">
        <f t="shared" si="21"/>
        <v>163.0342</v>
      </c>
      <c r="F26" s="110">
        <f t="shared" si="21"/>
        <v>135.292</v>
      </c>
      <c r="G26" s="110">
        <f t="shared" si="21"/>
        <v>160.34539999999998</v>
      </c>
      <c r="H26" s="110">
        <f t="shared" si="21"/>
        <v>157.67009999999999</v>
      </c>
      <c r="I26" s="110">
        <f t="shared" si="21"/>
        <v>159.96299999999999</v>
      </c>
      <c r="J26" s="110">
        <f t="shared" si="21"/>
        <v>161.97800000000001</v>
      </c>
      <c r="K26" s="110">
        <f t="shared" si="21"/>
        <v>152.97800000000001</v>
      </c>
      <c r="L26" s="110">
        <f t="shared" si="21"/>
        <v>152.97800000000001</v>
      </c>
      <c r="M26" s="110">
        <f t="shared" si="21"/>
        <v>169.95500000000001</v>
      </c>
      <c r="N26" s="110">
        <f t="shared" si="21"/>
        <v>162.21</v>
      </c>
      <c r="O26" s="110">
        <f t="shared" si="21"/>
        <v>156.691</v>
      </c>
      <c r="P26" s="110">
        <f t="shared" si="21"/>
        <v>161.465</v>
      </c>
      <c r="Q26" s="110">
        <f t="shared" si="21"/>
        <v>168.59899999999999</v>
      </c>
      <c r="R26" s="110">
        <f t="shared" ref="R26:V26" si="22">R27+R28</f>
        <v>133.59299999999999</v>
      </c>
      <c r="S26" s="110">
        <f t="shared" si="22"/>
        <v>180.87899999999999</v>
      </c>
      <c r="T26" s="110">
        <f t="shared" si="22"/>
        <v>158.05799999999999</v>
      </c>
      <c r="U26" s="110">
        <f t="shared" si="22"/>
        <v>174.24</v>
      </c>
      <c r="V26" s="110">
        <f t="shared" si="22"/>
        <v>121.07000000000001</v>
      </c>
      <c r="W26" s="110">
        <f t="shared" ref="W26:Y26" si="23">W27+W28</f>
        <v>130.60399999999998</v>
      </c>
      <c r="X26" s="110">
        <f t="shared" si="23"/>
        <v>110.483</v>
      </c>
      <c r="Y26" s="110">
        <f t="shared" si="23"/>
        <v>93.361000000000004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227.767</v>
      </c>
      <c r="C27" s="102">
        <f>TrNavi_act!C4</f>
        <v>162.369</v>
      </c>
      <c r="D27" s="102">
        <f>TrNavi_act!D4</f>
        <v>162.369</v>
      </c>
      <c r="E27" s="102">
        <f>TrNavi_act!E4</f>
        <v>162.369</v>
      </c>
      <c r="F27" s="102">
        <f>TrNavi_act!F4</f>
        <v>134.67099999999999</v>
      </c>
      <c r="G27" s="102">
        <f>TrNavi_act!G4</f>
        <v>159.02099999999999</v>
      </c>
      <c r="H27" s="102">
        <f>TrNavi_act!H4</f>
        <v>155.875</v>
      </c>
      <c r="I27" s="102">
        <f>TrNavi_act!I4</f>
        <v>149.96299999999999</v>
      </c>
      <c r="J27" s="102">
        <f>TrNavi_act!J4</f>
        <v>149.97800000000001</v>
      </c>
      <c r="K27" s="102">
        <f>TrNavi_act!K4</f>
        <v>149.97800000000001</v>
      </c>
      <c r="L27" s="102">
        <f>TrNavi_act!L4</f>
        <v>149.97800000000001</v>
      </c>
      <c r="M27" s="102">
        <f>TrNavi_act!M4</f>
        <v>166.95500000000001</v>
      </c>
      <c r="N27" s="102">
        <f>TrNavi_act!N4</f>
        <v>161.21</v>
      </c>
      <c r="O27" s="102">
        <f>TrNavi_act!O4</f>
        <v>156.691</v>
      </c>
      <c r="P27" s="102">
        <f>TrNavi_act!P4</f>
        <v>161.465</v>
      </c>
      <c r="Q27" s="102">
        <f>TrNavi_act!Q4</f>
        <v>168.59899999999999</v>
      </c>
      <c r="R27" s="102">
        <f>TrNavi_act!R4</f>
        <v>133.59299999999999</v>
      </c>
      <c r="S27" s="102">
        <f>TrNavi_act!S4</f>
        <v>180.87899999999999</v>
      </c>
      <c r="T27" s="102">
        <f>TrNavi_act!T4</f>
        <v>158.05799999999999</v>
      </c>
      <c r="U27" s="102">
        <f>TrNavi_act!U4</f>
        <v>174.24</v>
      </c>
      <c r="V27" s="102">
        <f>TrNavi_act!V4</f>
        <v>121.06</v>
      </c>
      <c r="W27" s="102">
        <f>TrNavi_act!W4</f>
        <v>127.604</v>
      </c>
      <c r="X27" s="102">
        <f>TrNavi_act!X4</f>
        <v>101.483</v>
      </c>
      <c r="Y27" s="102">
        <f>TrNavi_act!Y4</f>
        <v>81.361000000000004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1.4835999999999998</v>
      </c>
      <c r="C28" s="169">
        <f>TrNavi_act!C5</f>
        <v>0.53560000000000008</v>
      </c>
      <c r="D28" s="169">
        <f>TrNavi_act!D5</f>
        <v>0.51500000000000001</v>
      </c>
      <c r="E28" s="169">
        <f>TrNavi_act!E5</f>
        <v>0.6651999999999999</v>
      </c>
      <c r="F28" s="169">
        <f>TrNavi_act!F5</f>
        <v>0.621</v>
      </c>
      <c r="G28" s="169">
        <f>TrNavi_act!G5</f>
        <v>1.3244</v>
      </c>
      <c r="H28" s="169">
        <f>TrNavi_act!H5</f>
        <v>1.7950999999999999</v>
      </c>
      <c r="I28" s="169">
        <f>TrNavi_act!I5</f>
        <v>10</v>
      </c>
      <c r="J28" s="169">
        <f>TrNavi_act!J5</f>
        <v>12</v>
      </c>
      <c r="K28" s="169">
        <f>TrNavi_act!K5</f>
        <v>3</v>
      </c>
      <c r="L28" s="169">
        <f>TrNavi_act!L5</f>
        <v>3</v>
      </c>
      <c r="M28" s="169">
        <f>TrNavi_act!M5</f>
        <v>3</v>
      </c>
      <c r="N28" s="169">
        <f>TrNavi_act!N5</f>
        <v>1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0.01</v>
      </c>
      <c r="W28" s="169">
        <f>TrNavi_act!W5</f>
        <v>3</v>
      </c>
      <c r="X28" s="169">
        <f>TrNavi_act!X5</f>
        <v>9</v>
      </c>
      <c r="Y28" s="169">
        <f>TrNavi_act!Y5</f>
        <v>12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36996.781946999996</v>
      </c>
      <c r="C29" s="28">
        <f t="shared" si="24"/>
        <v>39455.121976000002</v>
      </c>
      <c r="D29" s="28">
        <f t="shared" si="24"/>
        <v>43451.863495999998</v>
      </c>
      <c r="E29" s="28">
        <f t="shared" si="24"/>
        <v>43412.033990999997</v>
      </c>
      <c r="F29" s="28">
        <f t="shared" si="24"/>
        <v>44965.029962000001</v>
      </c>
      <c r="G29" s="28">
        <f t="shared" si="24"/>
        <v>52914.668848000001</v>
      </c>
      <c r="H29" s="28">
        <f t="shared" si="24"/>
        <v>59414.611768000002</v>
      </c>
      <c r="I29" s="28">
        <f t="shared" si="24"/>
        <v>68018.431718000007</v>
      </c>
      <c r="J29" s="28">
        <f t="shared" si="24"/>
        <v>90089.391537000003</v>
      </c>
      <c r="K29" s="28">
        <f t="shared" si="24"/>
        <v>92230.708299999984</v>
      </c>
      <c r="L29" s="28">
        <f t="shared" si="24"/>
        <v>99034.870553000015</v>
      </c>
      <c r="M29" s="28">
        <f t="shared" si="24"/>
        <v>116685.56220700001</v>
      </c>
      <c r="N29" s="28">
        <f t="shared" si="24"/>
        <v>105168.19001000001</v>
      </c>
      <c r="O29" s="28">
        <f t="shared" si="24"/>
        <v>106837.258619</v>
      </c>
      <c r="P29" s="28">
        <f t="shared" si="24"/>
        <v>125752.423891</v>
      </c>
      <c r="Q29" s="28">
        <f t="shared" si="24"/>
        <v>138986.10666399999</v>
      </c>
      <c r="R29" s="28">
        <f t="shared" si="24"/>
        <v>149340.60113400003</v>
      </c>
      <c r="S29" s="28">
        <f t="shared" si="24"/>
        <v>164493.89346300001</v>
      </c>
      <c r="T29" s="28">
        <f t="shared" si="24"/>
        <v>167432.28626600001</v>
      </c>
      <c r="U29" s="28">
        <f t="shared" si="24"/>
        <v>162680.71166299999</v>
      </c>
      <c r="V29" s="28">
        <f t="shared" si="24"/>
        <v>165973.07236300001</v>
      </c>
      <c r="W29" s="28">
        <f t="shared" si="24"/>
        <v>166647.20517299999</v>
      </c>
      <c r="X29" s="28">
        <f t="shared" ref="X29:Y29" si="25">X30+X31</f>
        <v>107127.46605099998</v>
      </c>
      <c r="Y29" s="28">
        <f t="shared" si="25"/>
        <v>93785.210298999998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14706.173085</v>
      </c>
      <c r="C30" s="102">
        <f>MBunk_act!C$4</f>
        <v>15479.542592</v>
      </c>
      <c r="D30" s="102">
        <f>MBunk_act!D$4</f>
        <v>17041.777635999999</v>
      </c>
      <c r="E30" s="102">
        <f>MBunk_act!E$4</f>
        <v>17058.988451999998</v>
      </c>
      <c r="F30" s="102">
        <f>MBunk_act!F$4</f>
        <v>17664.083149000002</v>
      </c>
      <c r="G30" s="102">
        <f>MBunk_act!G$4</f>
        <v>19895.224925999999</v>
      </c>
      <c r="H30" s="102">
        <f>MBunk_act!H$4</f>
        <v>14148.462991</v>
      </c>
      <c r="I30" s="102">
        <f>MBunk_act!I$4</f>
        <v>12259.310439000001</v>
      </c>
      <c r="J30" s="102">
        <f>MBunk_act!J$4</f>
        <v>13843.452320999999</v>
      </c>
      <c r="K30" s="102">
        <f>MBunk_act!K$4</f>
        <v>11973.543959999999</v>
      </c>
      <c r="L30" s="102">
        <f>MBunk_act!L$4</f>
        <v>12982.884872999999</v>
      </c>
      <c r="M30" s="102">
        <f>MBunk_act!M$4</f>
        <v>16591.168522</v>
      </c>
      <c r="N30" s="102">
        <f>MBunk_act!N$4</f>
        <v>15928.674920000001</v>
      </c>
      <c r="O30" s="102">
        <f>MBunk_act!O$4</f>
        <v>14227.734057000001</v>
      </c>
      <c r="P30" s="102">
        <f>MBunk_act!P$4</f>
        <v>15198.145814</v>
      </c>
      <c r="Q30" s="102">
        <f>MBunk_act!Q$4</f>
        <v>15325.501630000001</v>
      </c>
      <c r="R30" s="102">
        <f>MBunk_act!R$4</f>
        <v>14724.365444999999</v>
      </c>
      <c r="S30" s="102">
        <f>MBunk_act!S$4</f>
        <v>16312.351367000001</v>
      </c>
      <c r="T30" s="102">
        <f>MBunk_act!T$4</f>
        <v>16904.872963999998</v>
      </c>
      <c r="U30" s="102">
        <f>MBunk_act!U$4</f>
        <v>16749.036705999999</v>
      </c>
      <c r="V30" s="102">
        <f>MBunk_act!V$4</f>
        <v>16978.764808</v>
      </c>
      <c r="W30" s="102">
        <f>MBunk_act!W$4</f>
        <v>14740.78226</v>
      </c>
      <c r="X30" s="102">
        <f>MBunk_act!X$4</f>
        <v>14222.687378999999</v>
      </c>
      <c r="Y30" s="102">
        <f>MBunk_act!Y$4</f>
        <v>13993.312916999999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22290.608861999997</v>
      </c>
      <c r="C31" s="86">
        <f>MBunk_act!C$5</f>
        <v>23975.579384000001</v>
      </c>
      <c r="D31" s="86">
        <f>MBunk_act!D$5</f>
        <v>26410.085859999999</v>
      </c>
      <c r="E31" s="86">
        <f>MBunk_act!E$5</f>
        <v>26353.045538999999</v>
      </c>
      <c r="F31" s="86">
        <f>MBunk_act!F$5</f>
        <v>27300.946812999999</v>
      </c>
      <c r="G31" s="86">
        <f>MBunk_act!G$5</f>
        <v>33019.443921999999</v>
      </c>
      <c r="H31" s="86">
        <f>MBunk_act!H$5</f>
        <v>45266.148777000002</v>
      </c>
      <c r="I31" s="86">
        <f>MBunk_act!I$5</f>
        <v>55759.121278999999</v>
      </c>
      <c r="J31" s="86">
        <f>MBunk_act!J$5</f>
        <v>76245.939215999999</v>
      </c>
      <c r="K31" s="86">
        <f>MBunk_act!K$5</f>
        <v>80257.164339999988</v>
      </c>
      <c r="L31" s="86">
        <f>MBunk_act!L$5</f>
        <v>86051.985680000013</v>
      </c>
      <c r="M31" s="86">
        <f>MBunk_act!M$5</f>
        <v>100094.393685</v>
      </c>
      <c r="N31" s="86">
        <f>MBunk_act!N$5</f>
        <v>89239.515090000001</v>
      </c>
      <c r="O31" s="86">
        <f>MBunk_act!O$5</f>
        <v>92609.524562000006</v>
      </c>
      <c r="P31" s="86">
        <f>MBunk_act!P$5</f>
        <v>110554.278077</v>
      </c>
      <c r="Q31" s="86">
        <f>MBunk_act!Q$5</f>
        <v>123660.60503399999</v>
      </c>
      <c r="R31" s="86">
        <f>MBunk_act!R$5</f>
        <v>134616.23568900002</v>
      </c>
      <c r="S31" s="86">
        <f>MBunk_act!S$5</f>
        <v>148181.54209600002</v>
      </c>
      <c r="T31" s="86">
        <f>MBunk_act!T$5</f>
        <v>150527.413302</v>
      </c>
      <c r="U31" s="86">
        <f>MBunk_act!U$5</f>
        <v>145931.67495700001</v>
      </c>
      <c r="V31" s="86">
        <f>MBunk_act!V$5</f>
        <v>148994.30755500001</v>
      </c>
      <c r="W31" s="86">
        <f>MBunk_act!W$5</f>
        <v>151906.42291299999</v>
      </c>
      <c r="X31" s="86">
        <f>MBunk_act!X$5</f>
        <v>92904.778671999986</v>
      </c>
      <c r="Y31" s="86">
        <f>MBunk_act!Y$5</f>
        <v>79791.897381999996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767.05992849431755</v>
      </c>
      <c r="C34" s="28">
        <f t="shared" si="26"/>
        <v>800.53767962190273</v>
      </c>
      <c r="D34" s="28">
        <f t="shared" si="26"/>
        <v>829.22584467956165</v>
      </c>
      <c r="E34" s="28">
        <f t="shared" si="26"/>
        <v>895.0699968012284</v>
      </c>
      <c r="F34" s="28">
        <f t="shared" si="26"/>
        <v>967.21657229108303</v>
      </c>
      <c r="G34" s="28">
        <f t="shared" si="26"/>
        <v>1069.061378277421</v>
      </c>
      <c r="H34" s="28">
        <f t="shared" si="26"/>
        <v>1181.5808568922123</v>
      </c>
      <c r="I34" s="28">
        <f t="shared" si="26"/>
        <v>1321.8760283786594</v>
      </c>
      <c r="J34" s="28">
        <f t="shared" si="26"/>
        <v>1306.42138849869</v>
      </c>
      <c r="K34" s="28">
        <f t="shared" si="26"/>
        <v>1166.4516448295844</v>
      </c>
      <c r="L34" s="28">
        <f t="shared" si="26"/>
        <v>1160.0827482156187</v>
      </c>
      <c r="M34" s="28">
        <f t="shared" si="26"/>
        <v>1097.8458950055883</v>
      </c>
      <c r="N34" s="28">
        <f t="shared" si="26"/>
        <v>1210.8639071953212</v>
      </c>
      <c r="O34" s="28">
        <f t="shared" si="26"/>
        <v>1192.6977116565365</v>
      </c>
      <c r="P34" s="28">
        <f t="shared" si="26"/>
        <v>1182.6340767253057</v>
      </c>
      <c r="Q34" s="28">
        <f t="shared" si="26"/>
        <v>1246.6061185834064</v>
      </c>
      <c r="R34" s="28">
        <f t="shared" ref="R34:V34" si="27">R35+R39+R43</f>
        <v>1398.8485300423572</v>
      </c>
      <c r="S34" s="28">
        <f t="shared" si="27"/>
        <v>1476.1784002792967</v>
      </c>
      <c r="T34" s="28">
        <f t="shared" si="27"/>
        <v>1582.8781756272047</v>
      </c>
      <c r="U34" s="28">
        <f t="shared" si="27"/>
        <v>1630.86262152462</v>
      </c>
      <c r="V34" s="28">
        <f t="shared" si="27"/>
        <v>1501.8273432596177</v>
      </c>
      <c r="W34" s="28">
        <f t="shared" ref="W34:Y34" si="28">W35+W39+W43</f>
        <v>1508.8735315333558</v>
      </c>
      <c r="X34" s="28">
        <f t="shared" si="28"/>
        <v>1575.20333515522</v>
      </c>
      <c r="Y34" s="28">
        <f t="shared" si="28"/>
        <v>1621.838801647212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733.60104636429628</v>
      </c>
      <c r="C35" s="137">
        <f t="shared" si="29"/>
        <v>760.83110116668456</v>
      </c>
      <c r="D35" s="137">
        <f t="shared" si="29"/>
        <v>793.14862368492038</v>
      </c>
      <c r="E35" s="137">
        <f t="shared" si="29"/>
        <v>855.84765721368012</v>
      </c>
      <c r="F35" s="137">
        <f t="shared" si="29"/>
        <v>925.70140635005896</v>
      </c>
      <c r="G35" s="137">
        <f t="shared" si="29"/>
        <v>1018.3155592376236</v>
      </c>
      <c r="H35" s="137">
        <f t="shared" si="29"/>
        <v>1125.2099809276529</v>
      </c>
      <c r="I35" s="137">
        <f t="shared" si="29"/>
        <v>1252.6555029660979</v>
      </c>
      <c r="J35" s="137">
        <f t="shared" si="29"/>
        <v>1226.6076321372443</v>
      </c>
      <c r="K35" s="137">
        <f t="shared" si="29"/>
        <v>1126.7990592060889</v>
      </c>
      <c r="L35" s="137">
        <f t="shared" si="29"/>
        <v>1107.9080880385127</v>
      </c>
      <c r="M35" s="137">
        <f t="shared" si="29"/>
        <v>1038.2545932168193</v>
      </c>
      <c r="N35" s="137">
        <f t="shared" si="29"/>
        <v>1144.4101791925884</v>
      </c>
      <c r="O35" s="137">
        <f t="shared" si="29"/>
        <v>1119.3457567468313</v>
      </c>
      <c r="P35" s="137">
        <f t="shared" si="29"/>
        <v>1102.2275325868077</v>
      </c>
      <c r="Q35" s="137">
        <f t="shared" si="29"/>
        <v>1161.9173371859554</v>
      </c>
      <c r="R35" s="137">
        <f t="shared" ref="R35:V35" si="30">R36+R37+R38</f>
        <v>1299.960121593384</v>
      </c>
      <c r="S35" s="137">
        <f t="shared" si="30"/>
        <v>1366.877921633137</v>
      </c>
      <c r="T35" s="137">
        <f t="shared" si="30"/>
        <v>1452.8423546764425</v>
      </c>
      <c r="U35" s="137">
        <f t="shared" si="30"/>
        <v>1503.5124133974241</v>
      </c>
      <c r="V35" s="137">
        <f t="shared" si="30"/>
        <v>1445.2176462256894</v>
      </c>
      <c r="W35" s="137">
        <f t="shared" ref="W35:Y35" si="31">W36+W37+W38</f>
        <v>1443.9991644668089</v>
      </c>
      <c r="X35" s="137">
        <f t="shared" si="31"/>
        <v>1470.3056619437505</v>
      </c>
      <c r="Y35" s="137">
        <f t="shared" si="31"/>
        <v>1513.3315411080348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2.993306056541333</v>
      </c>
      <c r="C36" s="102">
        <f>TrRoad_ene!C$19</f>
        <v>3.0105460502969206</v>
      </c>
      <c r="D36" s="102">
        <f>TrRoad_ene!D$19</f>
        <v>3.0787562054415281</v>
      </c>
      <c r="E36" s="102">
        <f>TrRoad_ene!E$19</f>
        <v>2.9922109323602801</v>
      </c>
      <c r="F36" s="102">
        <f>TrRoad_ene!F$19</f>
        <v>3.0833898614521358</v>
      </c>
      <c r="G36" s="102">
        <f>TrRoad_ene!G$19</f>
        <v>2.9768390835107188</v>
      </c>
      <c r="H36" s="102">
        <f>TrRoad_ene!H$19</f>
        <v>3.0916604659861853</v>
      </c>
      <c r="I36" s="102">
        <f>TrRoad_ene!I$19</f>
        <v>3.4152839896710288</v>
      </c>
      <c r="J36" s="102">
        <f>TrRoad_ene!J$19</f>
        <v>3.8636442317677835</v>
      </c>
      <c r="K36" s="102">
        <f>TrRoad_ene!K$19</f>
        <v>4.0583864370752742</v>
      </c>
      <c r="L36" s="102">
        <f>TrRoad_ene!L$19</f>
        <v>3.9652973748236451</v>
      </c>
      <c r="M36" s="102">
        <f>TrRoad_ene!M$19</f>
        <v>3.9077168442519468</v>
      </c>
      <c r="N36" s="102">
        <f>TrRoad_ene!N$19</f>
        <v>3.8309585605152829</v>
      </c>
      <c r="O36" s="102">
        <f>TrRoad_ene!O$19</f>
        <v>3.7676980648291667</v>
      </c>
      <c r="P36" s="102">
        <f>TrRoad_ene!P$19</f>
        <v>3.5931963010551344</v>
      </c>
      <c r="Q36" s="102">
        <f>TrRoad_ene!Q$19</f>
        <v>3.719993587114204</v>
      </c>
      <c r="R36" s="102">
        <f>TrRoad_ene!R$19</f>
        <v>3.933194478193315</v>
      </c>
      <c r="S36" s="102">
        <f>TrRoad_ene!S$19</f>
        <v>3.6772935158882101</v>
      </c>
      <c r="T36" s="102">
        <f>TrRoad_ene!T$19</f>
        <v>3.4616917032587264</v>
      </c>
      <c r="U36" s="102">
        <f>TrRoad_ene!U$19</f>
        <v>3.5658754899264928</v>
      </c>
      <c r="V36" s="102">
        <f>TrRoad_ene!V$19</f>
        <v>3.1443579787852274</v>
      </c>
      <c r="W36" s="102">
        <f>TrRoad_ene!W$19</f>
        <v>3.2537986093696323</v>
      </c>
      <c r="X36" s="102">
        <f>TrRoad_ene!X$19</f>
        <v>3.3310895402606393</v>
      </c>
      <c r="Y36" s="102">
        <f>TrRoad_ene!Y$19</f>
        <v>3.6345732783915361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671.61013507841074</v>
      </c>
      <c r="C37" s="102">
        <f>TrRoad_ene!C$21</f>
        <v>700.95679796285322</v>
      </c>
      <c r="D37" s="102">
        <f>TrRoad_ene!D$21</f>
        <v>731.77284858052815</v>
      </c>
      <c r="E37" s="102">
        <f>TrRoad_ene!E$21</f>
        <v>794.79566181295365</v>
      </c>
      <c r="F37" s="102">
        <f>TrRoad_ene!F$21</f>
        <v>860.53283606630202</v>
      </c>
      <c r="G37" s="102">
        <f>TrRoad_ene!G$21</f>
        <v>954.89648168539634</v>
      </c>
      <c r="H37" s="102">
        <f>TrRoad_ene!H$21</f>
        <v>1063.6592321797389</v>
      </c>
      <c r="I37" s="102">
        <f>TrRoad_ene!I$21</f>
        <v>1193.7789695086385</v>
      </c>
      <c r="J37" s="102">
        <f>TrRoad_ene!J$21</f>
        <v>1170.5165004885173</v>
      </c>
      <c r="K37" s="102">
        <f>TrRoad_ene!K$21</f>
        <v>1071.0336533435045</v>
      </c>
      <c r="L37" s="102">
        <f>TrRoad_ene!L$21</f>
        <v>1053.5498366190654</v>
      </c>
      <c r="M37" s="102">
        <f>TrRoad_ene!M$21</f>
        <v>982.90095299133122</v>
      </c>
      <c r="N37" s="102">
        <f>TrRoad_ene!N$21</f>
        <v>1089.9390158291528</v>
      </c>
      <c r="O37" s="102">
        <f>TrRoad_ene!O$21</f>
        <v>1064.5825484960446</v>
      </c>
      <c r="P37" s="102">
        <f>TrRoad_ene!P$21</f>
        <v>1045.9950917122983</v>
      </c>
      <c r="Q37" s="102">
        <f>TrRoad_ene!Q$21</f>
        <v>1103.9150097122294</v>
      </c>
      <c r="R37" s="102">
        <f>TrRoad_ene!R$21</f>
        <v>1243.8490337231158</v>
      </c>
      <c r="S37" s="102">
        <f>TrRoad_ene!S$21</f>
        <v>1309.6185938920617</v>
      </c>
      <c r="T37" s="102">
        <f>TrRoad_ene!T$21</f>
        <v>1394.4333178982088</v>
      </c>
      <c r="U37" s="102">
        <f>TrRoad_ene!U$21</f>
        <v>1438.3330944612003</v>
      </c>
      <c r="V37" s="102">
        <f>TrRoad_ene!V$21</f>
        <v>1396.0474956164442</v>
      </c>
      <c r="W37" s="102">
        <f>TrRoad_ene!W$21</f>
        <v>1396.5999107745401</v>
      </c>
      <c r="X37" s="102">
        <f>TrRoad_ene!X$21</f>
        <v>1419.7954032934783</v>
      </c>
      <c r="Y37" s="102">
        <f>TrRoad_ene!Y$21</f>
        <v>1456.1130010850502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58.997605229344238</v>
      </c>
      <c r="C38" s="102">
        <f>TrRoad_ene!C$33</f>
        <v>56.86375715353438</v>
      </c>
      <c r="D38" s="102">
        <f>TrRoad_ene!D$33</f>
        <v>58.297018898950654</v>
      </c>
      <c r="E38" s="102">
        <f>TrRoad_ene!E$33</f>
        <v>58.059784468366168</v>
      </c>
      <c r="F38" s="102">
        <f>TrRoad_ene!F$33</f>
        <v>62.085180422304802</v>
      </c>
      <c r="G38" s="102">
        <f>TrRoad_ene!G$33</f>
        <v>60.442238468716532</v>
      </c>
      <c r="H38" s="102">
        <f>TrRoad_ene!H$33</f>
        <v>58.459088281927848</v>
      </c>
      <c r="I38" s="102">
        <f>TrRoad_ene!I$33</f>
        <v>55.461249467788349</v>
      </c>
      <c r="J38" s="102">
        <f>TrRoad_ene!J$33</f>
        <v>52.227487416959377</v>
      </c>
      <c r="K38" s="102">
        <f>TrRoad_ene!K$33</f>
        <v>51.707019425509053</v>
      </c>
      <c r="L38" s="102">
        <f>TrRoad_ene!L$33</f>
        <v>50.392954044623544</v>
      </c>
      <c r="M38" s="102">
        <f>TrRoad_ene!M$33</f>
        <v>51.445923381236192</v>
      </c>
      <c r="N38" s="102">
        <f>TrRoad_ene!N$33</f>
        <v>50.640204802920394</v>
      </c>
      <c r="O38" s="102">
        <f>TrRoad_ene!O$33</f>
        <v>50.995510185957556</v>
      </c>
      <c r="P38" s="102">
        <f>TrRoad_ene!P$33</f>
        <v>52.639244573454235</v>
      </c>
      <c r="Q38" s="102">
        <f>TrRoad_ene!Q$33</f>
        <v>54.282333886611667</v>
      </c>
      <c r="R38" s="102">
        <f>TrRoad_ene!R$33</f>
        <v>52.177893392074765</v>
      </c>
      <c r="S38" s="102">
        <f>TrRoad_ene!S$33</f>
        <v>53.582034225187037</v>
      </c>
      <c r="T38" s="102">
        <f>TrRoad_ene!T$33</f>
        <v>54.947345074974898</v>
      </c>
      <c r="U38" s="102">
        <f>TrRoad_ene!U$33</f>
        <v>61.613443446297516</v>
      </c>
      <c r="V38" s="102">
        <f>TrRoad_ene!V$33</f>
        <v>46.02579263046016</v>
      </c>
      <c r="W38" s="102">
        <f>TrRoad_ene!W$33</f>
        <v>44.145455082899076</v>
      </c>
      <c r="X38" s="102">
        <f>TrRoad_ene!X$33</f>
        <v>47.179169110011628</v>
      </c>
      <c r="Y38" s="102">
        <f>TrRoad_ene!Y$33</f>
        <v>53.583966744592928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10.220261464427242</v>
      </c>
      <c r="C39" s="110">
        <f t="shared" si="32"/>
        <v>9.0368339199923771</v>
      </c>
      <c r="D39" s="110">
        <f t="shared" si="32"/>
        <v>8.5470616120297063</v>
      </c>
      <c r="E39" s="110">
        <f t="shared" si="32"/>
        <v>7.3993320517237642</v>
      </c>
      <c r="F39" s="110">
        <f t="shared" si="32"/>
        <v>7.5223030882952893</v>
      </c>
      <c r="G39" s="110">
        <f t="shared" si="32"/>
        <v>4.6841226965839917</v>
      </c>
      <c r="H39" s="110">
        <f t="shared" si="32"/>
        <v>4.2894944101994472</v>
      </c>
      <c r="I39" s="110">
        <f t="shared" si="32"/>
        <v>3.9340864378340776</v>
      </c>
      <c r="J39" s="110">
        <f t="shared" si="32"/>
        <v>4.2191452638110842</v>
      </c>
      <c r="K39" s="110">
        <f t="shared" si="32"/>
        <v>3.8783612413549409</v>
      </c>
      <c r="L39" s="110">
        <f t="shared" si="32"/>
        <v>4.1354316335133392</v>
      </c>
      <c r="M39" s="110">
        <f t="shared" si="32"/>
        <v>4.3571751915564469</v>
      </c>
      <c r="N39" s="110">
        <f t="shared" si="32"/>
        <v>4.4187076390712114</v>
      </c>
      <c r="O39" s="110">
        <f t="shared" si="32"/>
        <v>4.1760945379243131</v>
      </c>
      <c r="P39" s="110">
        <f t="shared" si="32"/>
        <v>3.9014924645906124</v>
      </c>
      <c r="Q39" s="110">
        <f t="shared" si="32"/>
        <v>3.9412075460259555</v>
      </c>
      <c r="R39" s="110">
        <f t="shared" ref="R39:V39" si="33">R40+R41+R42</f>
        <v>3.7531579158533619</v>
      </c>
      <c r="S39" s="110">
        <f t="shared" si="33"/>
        <v>4.4423636502004831</v>
      </c>
      <c r="T39" s="110">
        <f t="shared" si="33"/>
        <v>5.1550247623922916</v>
      </c>
      <c r="U39" s="110">
        <f t="shared" si="33"/>
        <v>5.1452691154578476</v>
      </c>
      <c r="V39" s="110">
        <f t="shared" si="33"/>
        <v>4.2506504439528676</v>
      </c>
      <c r="W39" s="110">
        <f t="shared" ref="W39:Y39" si="34">W40+W41+W42</f>
        <v>4.6584880289288417</v>
      </c>
      <c r="X39" s="110">
        <f t="shared" si="34"/>
        <v>4.5566719757569967</v>
      </c>
      <c r="Y39" s="110">
        <f t="shared" si="34"/>
        <v>4.755352352202344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0</v>
      </c>
      <c r="E40" s="102">
        <f>TrRail_ene!E$12</f>
        <v>0</v>
      </c>
      <c r="F40" s="102">
        <f>TrRail_ene!F$12</f>
        <v>0</v>
      </c>
      <c r="G40" s="102">
        <f>TrRail_ene!G$12</f>
        <v>0</v>
      </c>
      <c r="H40" s="102">
        <f>TrRail_ene!H$12</f>
        <v>0</v>
      </c>
      <c r="I40" s="102">
        <f>TrRail_ene!I$12</f>
        <v>0</v>
      </c>
      <c r="J40" s="102">
        <f>TrRail_ene!J$12</f>
        <v>0</v>
      </c>
      <c r="K40" s="102">
        <f>TrRail_ene!K$12</f>
        <v>0</v>
      </c>
      <c r="L40" s="102">
        <f>TrRail_ene!L$12</f>
        <v>0</v>
      </c>
      <c r="M40" s="102">
        <f>TrRail_ene!M$12</f>
        <v>0</v>
      </c>
      <c r="N40" s="102">
        <f>TrRail_ene!N$12</f>
        <v>0</v>
      </c>
      <c r="O40" s="102">
        <f>TrRail_ene!O$12</f>
        <v>0</v>
      </c>
      <c r="P40" s="102">
        <f>TrRail_ene!P$12</f>
        <v>0</v>
      </c>
      <c r="Q40" s="102">
        <f>TrRail_ene!Q$12</f>
        <v>0</v>
      </c>
      <c r="R40" s="102">
        <f>TrRail_ene!R$12</f>
        <v>0</v>
      </c>
      <c r="S40" s="102">
        <f>TrRail_ene!S$12</f>
        <v>0</v>
      </c>
      <c r="T40" s="102">
        <f>TrRail_ene!T$12</f>
        <v>0</v>
      </c>
      <c r="U40" s="102">
        <f>TrRail_ene!U$12</f>
        <v>0</v>
      </c>
      <c r="V40" s="102">
        <f>TrRail_ene!V$12</f>
        <v>0</v>
      </c>
      <c r="W40" s="102">
        <f>TrRail_ene!W$12</f>
        <v>0</v>
      </c>
      <c r="X40" s="102">
        <f>TrRail_ene!X$12</f>
        <v>0</v>
      </c>
      <c r="Y40" s="102">
        <f>TrRail_ene!Y$12</f>
        <v>0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10.220261464427242</v>
      </c>
      <c r="C41" s="102">
        <f>TrRail_ene!C$13</f>
        <v>9.0368339199923771</v>
      </c>
      <c r="D41" s="102">
        <f>TrRail_ene!D$13</f>
        <v>8.5470616120297063</v>
      </c>
      <c r="E41" s="102">
        <f>TrRail_ene!E$13</f>
        <v>7.3993320517237642</v>
      </c>
      <c r="F41" s="102">
        <f>TrRail_ene!F$13</f>
        <v>7.5223030882952893</v>
      </c>
      <c r="G41" s="102">
        <f>TrRail_ene!G$13</f>
        <v>4.6841226965839917</v>
      </c>
      <c r="H41" s="102">
        <f>TrRail_ene!H$13</f>
        <v>4.2894944101994472</v>
      </c>
      <c r="I41" s="102">
        <f>TrRail_ene!I$13</f>
        <v>3.9340864378340776</v>
      </c>
      <c r="J41" s="102">
        <f>TrRail_ene!J$13</f>
        <v>4.2191452638110842</v>
      </c>
      <c r="K41" s="102">
        <f>TrRail_ene!K$13</f>
        <v>3.8783612413549409</v>
      </c>
      <c r="L41" s="102">
        <f>TrRail_ene!L$13</f>
        <v>4.1354316335133392</v>
      </c>
      <c r="M41" s="102">
        <f>TrRail_ene!M$13</f>
        <v>4.3571751915564469</v>
      </c>
      <c r="N41" s="102">
        <f>TrRail_ene!N$13</f>
        <v>4.4187076390712114</v>
      </c>
      <c r="O41" s="102">
        <f>TrRail_ene!O$13</f>
        <v>4.1760945379243131</v>
      </c>
      <c r="P41" s="102">
        <f>TrRail_ene!P$13</f>
        <v>3.9014924645906124</v>
      </c>
      <c r="Q41" s="102">
        <f>TrRail_ene!Q$13</f>
        <v>3.9412075460259555</v>
      </c>
      <c r="R41" s="102">
        <f>TrRail_ene!R$13</f>
        <v>3.7531579158533619</v>
      </c>
      <c r="S41" s="102">
        <f>TrRail_ene!S$13</f>
        <v>4.4423636502004831</v>
      </c>
      <c r="T41" s="102">
        <f>TrRail_ene!T$13</f>
        <v>5.1550247623922916</v>
      </c>
      <c r="U41" s="102">
        <f>TrRail_ene!U$13</f>
        <v>5.1452691154578476</v>
      </c>
      <c r="V41" s="102">
        <f>TrRail_ene!V$13</f>
        <v>4.2506504439528676</v>
      </c>
      <c r="W41" s="102">
        <f>TrRail_ene!W$13</f>
        <v>4.6584880289288417</v>
      </c>
      <c r="X41" s="102">
        <f>TrRail_ene!X$13</f>
        <v>4.5566719757569967</v>
      </c>
      <c r="Y41" s="102">
        <f>TrRail_ene!Y$13</f>
        <v>4.755352352202344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X42" s="102">
        <f>TrRail_ene!X$16</f>
        <v>0</v>
      </c>
      <c r="Y42" s="102">
        <f>TrRail_ene!Y$16</f>
        <v>0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23.238620665594016</v>
      </c>
      <c r="C43" s="110">
        <f t="shared" si="35"/>
        <v>30.669744535225707</v>
      </c>
      <c r="D43" s="110">
        <f t="shared" si="35"/>
        <v>27.53015938261165</v>
      </c>
      <c r="E43" s="110">
        <f t="shared" si="35"/>
        <v>31.823007535824601</v>
      </c>
      <c r="F43" s="110">
        <f t="shared" si="35"/>
        <v>33.992862852728742</v>
      </c>
      <c r="G43" s="110">
        <f t="shared" si="35"/>
        <v>46.06169634321337</v>
      </c>
      <c r="H43" s="110">
        <f t="shared" si="35"/>
        <v>52.081381554360007</v>
      </c>
      <c r="I43" s="110">
        <f t="shared" si="35"/>
        <v>65.286438974727332</v>
      </c>
      <c r="J43" s="110">
        <f t="shared" si="35"/>
        <v>75.594611097634669</v>
      </c>
      <c r="K43" s="110">
        <f t="shared" si="35"/>
        <v>35.774224382140531</v>
      </c>
      <c r="L43" s="110">
        <f t="shared" si="35"/>
        <v>48.039228543592806</v>
      </c>
      <c r="M43" s="110">
        <f t="shared" si="35"/>
        <v>55.234126597212374</v>
      </c>
      <c r="N43" s="110">
        <f t="shared" si="35"/>
        <v>62.035020363661445</v>
      </c>
      <c r="O43" s="110">
        <f t="shared" si="35"/>
        <v>69.175860371781056</v>
      </c>
      <c r="P43" s="110">
        <f t="shared" si="35"/>
        <v>76.505051673907445</v>
      </c>
      <c r="Q43" s="110">
        <f t="shared" si="35"/>
        <v>80.747573851425102</v>
      </c>
      <c r="R43" s="110">
        <f t="shared" ref="R43:V43" si="36">R44+R45+R46</f>
        <v>95.135250533120001</v>
      </c>
      <c r="S43" s="110">
        <f t="shared" si="36"/>
        <v>104.85811499595924</v>
      </c>
      <c r="T43" s="110">
        <f t="shared" si="36"/>
        <v>124.88079618836991</v>
      </c>
      <c r="U43" s="110">
        <f t="shared" si="36"/>
        <v>122.20493901173801</v>
      </c>
      <c r="V43" s="110">
        <f t="shared" si="36"/>
        <v>52.359046589975463</v>
      </c>
      <c r="W43" s="110">
        <f t="shared" ref="W43:Y43" si="37">W44+W45+W46</f>
        <v>60.215879037618222</v>
      </c>
      <c r="X43" s="110">
        <f t="shared" si="37"/>
        <v>100.34100123571251</v>
      </c>
      <c r="Y43" s="110">
        <f t="shared" si="37"/>
        <v>103.75190818697489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X44" s="102">
        <f>TrAvia_ene!X$7</f>
        <v>0</v>
      </c>
      <c r="Y44" s="102">
        <f>TrAvia_ene!Y$7</f>
        <v>0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19.691935179707766</v>
      </c>
      <c r="C45" s="102">
        <f>TrAvia_ene!C$8</f>
        <v>25.987710090126757</v>
      </c>
      <c r="D45" s="102">
        <f>TrAvia_ene!D$8</f>
        <v>23.327604398215005</v>
      </c>
      <c r="E45" s="102">
        <f>TrAvia_ene!E$8</f>
        <v>26.968965559747282</v>
      </c>
      <c r="F45" s="102">
        <f>TrAvia_ene!F$8</f>
        <v>28.806108560085239</v>
      </c>
      <c r="G45" s="102">
        <f>TrAvia_ene!G$8</f>
        <v>39.960746777561042</v>
      </c>
      <c r="H45" s="102">
        <f>TrAvia_ene!H$8</f>
        <v>45.5844596789196</v>
      </c>
      <c r="I45" s="102">
        <f>TrAvia_ene!I$8</f>
        <v>57.297080153447837</v>
      </c>
      <c r="J45" s="102">
        <f>TrAvia_ene!J$8</f>
        <v>66.309591755438163</v>
      </c>
      <c r="K45" s="102">
        <f>TrAvia_ene!K$8</f>
        <v>30.740191531993496</v>
      </c>
      <c r="L45" s="102">
        <f>TrAvia_ene!L$8</f>
        <v>41.902795532221838</v>
      </c>
      <c r="M45" s="102">
        <f>TrAvia_ene!M$8</f>
        <v>48.47221384220434</v>
      </c>
      <c r="N45" s="102">
        <f>TrAvia_ene!N$8</f>
        <v>55.15085051992574</v>
      </c>
      <c r="O45" s="102">
        <f>TrAvia_ene!O$8</f>
        <v>61.681095340527335</v>
      </c>
      <c r="P45" s="102">
        <f>TrAvia_ene!P$8</f>
        <v>68.261000410159383</v>
      </c>
      <c r="Q45" s="102">
        <f>TrAvia_ene!Q$8</f>
        <v>72.451603536239986</v>
      </c>
      <c r="R45" s="102">
        <f>TrAvia_ene!R$8</f>
        <v>86.329867493888429</v>
      </c>
      <c r="S45" s="102">
        <f>TrAvia_ene!S$8</f>
        <v>95.38751975032568</v>
      </c>
      <c r="T45" s="102">
        <f>TrAvia_ene!T$8</f>
        <v>114.06312587798408</v>
      </c>
      <c r="U45" s="102">
        <f>TrAvia_ene!U$8</f>
        <v>111.41713531652978</v>
      </c>
      <c r="V45" s="102">
        <f>TrAvia_ene!V$8</f>
        <v>45.83065734091857</v>
      </c>
      <c r="W45" s="102">
        <f>TrAvia_ene!W$8</f>
        <v>53.513632251409334</v>
      </c>
      <c r="X45" s="102">
        <f>TrAvia_ene!X$8</f>
        <v>92.04970103266848</v>
      </c>
      <c r="Y45" s="102">
        <f>TrAvia_ene!Y$8</f>
        <v>94.299858663688696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3.5466854858862509</v>
      </c>
      <c r="C46" s="102">
        <f>TrAvia_ene!C$9</f>
        <v>4.6820344450989486</v>
      </c>
      <c r="D46" s="102">
        <f>TrAvia_ene!D$9</f>
        <v>4.2025549843966434</v>
      </c>
      <c r="E46" s="102">
        <f>TrAvia_ene!E$9</f>
        <v>4.8540419760773208</v>
      </c>
      <c r="F46" s="102">
        <f>TrAvia_ene!F$9</f>
        <v>5.1867542926435037</v>
      </c>
      <c r="G46" s="102">
        <f>TrAvia_ene!G$9</f>
        <v>6.100949565652332</v>
      </c>
      <c r="H46" s="102">
        <f>TrAvia_ene!H$9</f>
        <v>6.4969218754404094</v>
      </c>
      <c r="I46" s="102">
        <f>TrAvia_ene!I$9</f>
        <v>7.9893588212794979</v>
      </c>
      <c r="J46" s="102">
        <f>TrAvia_ene!J$9</f>
        <v>9.2850193421965024</v>
      </c>
      <c r="K46" s="102">
        <f>TrAvia_ene!K$9</f>
        <v>5.0340328501470317</v>
      </c>
      <c r="L46" s="102">
        <f>TrAvia_ene!L$9</f>
        <v>6.1364330113709666</v>
      </c>
      <c r="M46" s="102">
        <f>TrAvia_ene!M$9</f>
        <v>6.7619127550080309</v>
      </c>
      <c r="N46" s="102">
        <f>TrAvia_ene!N$9</f>
        <v>6.8841698437357071</v>
      </c>
      <c r="O46" s="102">
        <f>TrAvia_ene!O$9</f>
        <v>7.4947650312537144</v>
      </c>
      <c r="P46" s="102">
        <f>TrAvia_ene!P$9</f>
        <v>8.244051263748057</v>
      </c>
      <c r="Q46" s="102">
        <f>TrAvia_ene!Q$9</f>
        <v>8.2959703151851123</v>
      </c>
      <c r="R46" s="102">
        <f>TrAvia_ene!R$9</f>
        <v>8.8053830392315788</v>
      </c>
      <c r="S46" s="102">
        <f>TrAvia_ene!S$9</f>
        <v>9.4705952456335556</v>
      </c>
      <c r="T46" s="102">
        <f>TrAvia_ene!T$9</f>
        <v>10.817670310385841</v>
      </c>
      <c r="U46" s="102">
        <f>TrAvia_ene!U$9</f>
        <v>10.787803695208227</v>
      </c>
      <c r="V46" s="102">
        <f>TrAvia_ene!V$9</f>
        <v>6.5283892490568949</v>
      </c>
      <c r="W46" s="102">
        <f>TrAvia_ene!W$9</f>
        <v>6.7022467862088853</v>
      </c>
      <c r="X46" s="102">
        <f>TrAvia_ene!X$9</f>
        <v>8.2913002030440328</v>
      </c>
      <c r="Y46" s="102">
        <f>TrAvia_ene!Y$9</f>
        <v>9.4520495232861972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280.55253926148634</v>
      </c>
      <c r="C47" s="28">
        <f t="shared" si="38"/>
        <v>338.63308564035003</v>
      </c>
      <c r="D47" s="28">
        <f t="shared" si="38"/>
        <v>347.36435308484073</v>
      </c>
      <c r="E47" s="28">
        <f t="shared" si="38"/>
        <v>308.9258759416777</v>
      </c>
      <c r="F47" s="28">
        <f t="shared" si="38"/>
        <v>352.97721769861039</v>
      </c>
      <c r="G47" s="28">
        <f t="shared" si="38"/>
        <v>339.84516124347459</v>
      </c>
      <c r="H47" s="28">
        <f t="shared" si="38"/>
        <v>331.64767178614397</v>
      </c>
      <c r="I47" s="28">
        <f t="shared" si="38"/>
        <v>483.29687524854842</v>
      </c>
      <c r="J47" s="28">
        <f t="shared" si="38"/>
        <v>507.16743777064545</v>
      </c>
      <c r="K47" s="28">
        <f t="shared" si="38"/>
        <v>308.30357845823244</v>
      </c>
      <c r="L47" s="28">
        <f t="shared" si="38"/>
        <v>359.00208064274875</v>
      </c>
      <c r="M47" s="28">
        <f t="shared" si="38"/>
        <v>419.89831874230708</v>
      </c>
      <c r="N47" s="28">
        <f t="shared" si="38"/>
        <v>327.58877134406606</v>
      </c>
      <c r="O47" s="28">
        <f t="shared" si="38"/>
        <v>354.99039123598686</v>
      </c>
      <c r="P47" s="28">
        <f t="shared" si="38"/>
        <v>534.76692787230456</v>
      </c>
      <c r="Q47" s="28">
        <f t="shared" si="38"/>
        <v>565.55417611048733</v>
      </c>
      <c r="R47" s="28">
        <f t="shared" ref="R47:V47" si="39">R48+R51+R52+R56</f>
        <v>540.47045954730174</v>
      </c>
      <c r="S47" s="28">
        <f t="shared" si="39"/>
        <v>566.04658692685837</v>
      </c>
      <c r="T47" s="28">
        <f t="shared" si="39"/>
        <v>608.73425740914854</v>
      </c>
      <c r="U47" s="28">
        <f t="shared" si="39"/>
        <v>630.24098937259987</v>
      </c>
      <c r="V47" s="28">
        <f t="shared" si="39"/>
        <v>664.9496737464226</v>
      </c>
      <c r="W47" s="28">
        <f t="shared" ref="W47:Y47" si="40">W48+W51+W52+W56</f>
        <v>687.45152239866547</v>
      </c>
      <c r="X47" s="28">
        <f t="shared" si="40"/>
        <v>623.64604671854272</v>
      </c>
      <c r="Y47" s="28">
        <f t="shared" si="40"/>
        <v>625.09179493129909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215.08768966321873</v>
      </c>
      <c r="C48" s="137">
        <f t="shared" si="41"/>
        <v>280.23364517897312</v>
      </c>
      <c r="D48" s="137">
        <f t="shared" si="41"/>
        <v>283.37708568739265</v>
      </c>
      <c r="E48" s="137">
        <f t="shared" si="41"/>
        <v>236.77297907178843</v>
      </c>
      <c r="F48" s="137">
        <f t="shared" si="41"/>
        <v>280.8356338545957</v>
      </c>
      <c r="G48" s="137">
        <f t="shared" si="41"/>
        <v>263.77240762635023</v>
      </c>
      <c r="H48" s="137">
        <f t="shared" si="41"/>
        <v>257.05268360624945</v>
      </c>
      <c r="I48" s="137">
        <f t="shared" si="41"/>
        <v>406.64396987865069</v>
      </c>
      <c r="J48" s="137">
        <f t="shared" si="41"/>
        <v>428.56975819056072</v>
      </c>
      <c r="K48" s="137">
        <f t="shared" si="41"/>
        <v>248.17903596478899</v>
      </c>
      <c r="L48" s="137">
        <f t="shared" si="41"/>
        <v>294.91448802535791</v>
      </c>
      <c r="M48" s="137">
        <f t="shared" si="41"/>
        <v>355.06864030751615</v>
      </c>
      <c r="N48" s="137">
        <f t="shared" si="41"/>
        <v>265.84060768729745</v>
      </c>
      <c r="O48" s="137">
        <f t="shared" si="41"/>
        <v>298.00898415085135</v>
      </c>
      <c r="P48" s="137">
        <f t="shared" si="41"/>
        <v>474.59694578552308</v>
      </c>
      <c r="Q48" s="137">
        <f t="shared" si="41"/>
        <v>509.63762646752571</v>
      </c>
      <c r="R48" s="137">
        <f t="shared" ref="R48:V48" si="42">R49+R50</f>
        <v>486.34511047262936</v>
      </c>
      <c r="S48" s="137">
        <f t="shared" si="42"/>
        <v>507.04740951110927</v>
      </c>
      <c r="T48" s="137">
        <f t="shared" si="42"/>
        <v>543.54995798157881</v>
      </c>
      <c r="U48" s="137">
        <f t="shared" si="42"/>
        <v>570.50547093057821</v>
      </c>
      <c r="V48" s="137">
        <f t="shared" si="42"/>
        <v>607.07519193254359</v>
      </c>
      <c r="W48" s="137">
        <f t="shared" ref="W48:Y48" si="43">W49+W50</f>
        <v>631.31772093554787</v>
      </c>
      <c r="X48" s="137">
        <f t="shared" si="43"/>
        <v>593.62695294806895</v>
      </c>
      <c r="Y48" s="137">
        <f t="shared" si="43"/>
        <v>595.31934781785378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33.329073206796515</v>
      </c>
      <c r="C49" s="102">
        <f>TrRoad_ene!C$43</f>
        <v>33.307329301522799</v>
      </c>
      <c r="D49" s="102">
        <f>TrRoad_ene!D$43</f>
        <v>33.478703464757608</v>
      </c>
      <c r="E49" s="102">
        <f>TrRoad_ene!E$43</f>
        <v>34.252346488932631</v>
      </c>
      <c r="F49" s="102">
        <f>TrRoad_ene!F$43</f>
        <v>36.180097490237841</v>
      </c>
      <c r="G49" s="102">
        <f>TrRoad_ene!G$43</f>
        <v>37.9966074014295</v>
      </c>
      <c r="H49" s="102">
        <f>TrRoad_ene!H$43</f>
        <v>45.496043318353379</v>
      </c>
      <c r="I49" s="102">
        <f>TrRoad_ene!I$43</f>
        <v>52.939571331536229</v>
      </c>
      <c r="J49" s="102">
        <f>TrRoad_ene!J$43</f>
        <v>54.241565295603458</v>
      </c>
      <c r="K49" s="102">
        <f>TrRoad_ene!K$43</f>
        <v>56.18519325869952</v>
      </c>
      <c r="L49" s="102">
        <f>TrRoad_ene!L$43</f>
        <v>52.843270924570575</v>
      </c>
      <c r="M49" s="102">
        <f>TrRoad_ene!M$43</f>
        <v>58.112687180540391</v>
      </c>
      <c r="N49" s="102">
        <f>TrRoad_ene!N$43</f>
        <v>63.572285699190537</v>
      </c>
      <c r="O49" s="102">
        <f>TrRoad_ene!O$43</f>
        <v>66.201632877382877</v>
      </c>
      <c r="P49" s="102">
        <f>TrRoad_ene!P$43</f>
        <v>74.501510607720064</v>
      </c>
      <c r="Q49" s="102">
        <f>TrRoad_ene!Q$43</f>
        <v>78.040332374896494</v>
      </c>
      <c r="R49" s="102">
        <f>TrRoad_ene!R$43</f>
        <v>82.968360781556683</v>
      </c>
      <c r="S49" s="102">
        <f>TrRoad_ene!S$43</f>
        <v>84.88221948464178</v>
      </c>
      <c r="T49" s="102">
        <f>TrRoad_ene!T$43</f>
        <v>86.572362342146789</v>
      </c>
      <c r="U49" s="102">
        <f>TrRoad_ene!U$43</f>
        <v>90.273575456728224</v>
      </c>
      <c r="V49" s="102">
        <f>TrRoad_ene!V$43</f>
        <v>93.479858810929983</v>
      </c>
      <c r="W49" s="102">
        <f>TrRoad_ene!W$43</f>
        <v>96.575319178344415</v>
      </c>
      <c r="X49" s="102">
        <f>TrRoad_ene!X$43</f>
        <v>92.112525447347309</v>
      </c>
      <c r="Y49" s="102">
        <f>TrRoad_ene!Y$43</f>
        <v>91.399763256418723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181.7586164564222</v>
      </c>
      <c r="C50" s="102">
        <f>TrRoad_ene!C$52</f>
        <v>246.92631587745035</v>
      </c>
      <c r="D50" s="102">
        <f>TrRoad_ene!D$52</f>
        <v>249.89838222263504</v>
      </c>
      <c r="E50" s="102">
        <f>TrRoad_ene!E$52</f>
        <v>202.5206325828558</v>
      </c>
      <c r="F50" s="102">
        <f>TrRoad_ene!F$52</f>
        <v>244.65553636435789</v>
      </c>
      <c r="G50" s="102">
        <f>TrRoad_ene!G$52</f>
        <v>225.77580022492072</v>
      </c>
      <c r="H50" s="102">
        <f>TrRoad_ene!H$52</f>
        <v>211.55664028789607</v>
      </c>
      <c r="I50" s="102">
        <f>TrRoad_ene!I$52</f>
        <v>353.70439854711447</v>
      </c>
      <c r="J50" s="102">
        <f>TrRoad_ene!J$52</f>
        <v>374.32819289495728</v>
      </c>
      <c r="K50" s="102">
        <f>TrRoad_ene!K$52</f>
        <v>191.99384270608948</v>
      </c>
      <c r="L50" s="102">
        <f>TrRoad_ene!L$52</f>
        <v>242.07121710078735</v>
      </c>
      <c r="M50" s="102">
        <f>TrRoad_ene!M$52</f>
        <v>296.95595312697577</v>
      </c>
      <c r="N50" s="102">
        <f>TrRoad_ene!N$52</f>
        <v>202.26832198810689</v>
      </c>
      <c r="O50" s="102">
        <f>TrRoad_ene!O$52</f>
        <v>231.80735127346847</v>
      </c>
      <c r="P50" s="102">
        <f>TrRoad_ene!P$52</f>
        <v>400.09543517780298</v>
      </c>
      <c r="Q50" s="102">
        <f>TrRoad_ene!Q$52</f>
        <v>431.59729409262923</v>
      </c>
      <c r="R50" s="102">
        <f>TrRoad_ene!R$52</f>
        <v>403.37674969107269</v>
      </c>
      <c r="S50" s="102">
        <f>TrRoad_ene!S$52</f>
        <v>422.16519002646749</v>
      </c>
      <c r="T50" s="102">
        <f>TrRoad_ene!T$52</f>
        <v>456.97759563943202</v>
      </c>
      <c r="U50" s="102">
        <f>TrRoad_ene!U$52</f>
        <v>480.23189547385005</v>
      </c>
      <c r="V50" s="102">
        <f>TrRoad_ene!V$52</f>
        <v>513.59533312161363</v>
      </c>
      <c r="W50" s="102">
        <f>TrRoad_ene!W$52</f>
        <v>534.74240175720342</v>
      </c>
      <c r="X50" s="102">
        <f>TrRoad_ene!X$52</f>
        <v>501.51442750072158</v>
      </c>
      <c r="Y50" s="102">
        <f>TrRoad_ene!Y$52</f>
        <v>503.91958456143504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61.906393737636378</v>
      </c>
      <c r="C51" s="110">
        <f>TrRail_ene!C$17</f>
        <v>54.829632116121125</v>
      </c>
      <c r="D51" s="110">
        <f>TrRail_ene!D$17</f>
        <v>59.406506745665908</v>
      </c>
      <c r="E51" s="110">
        <f>TrRail_ene!E$17</f>
        <v>67.792671387657137</v>
      </c>
      <c r="F51" s="110">
        <f>TrRail_ene!F$17</f>
        <v>66.733930789606703</v>
      </c>
      <c r="G51" s="110">
        <f>TrRail_ene!G$17</f>
        <v>70.593865265582807</v>
      </c>
      <c r="H51" s="110">
        <f>TrRail_ene!H$17</f>
        <v>67.923145314650071</v>
      </c>
      <c r="I51" s="110">
        <f>TrRail_ene!I$17</f>
        <v>70.820857672226097</v>
      </c>
      <c r="J51" s="110">
        <f>TrRail_ene!J$17</f>
        <v>71.73648672243138</v>
      </c>
      <c r="K51" s="110">
        <f>TrRail_ene!K$17</f>
        <v>54.675207116340658</v>
      </c>
      <c r="L51" s="110">
        <f>TrRail_ene!L$17</f>
        <v>57.504207231490959</v>
      </c>
      <c r="M51" s="110">
        <f>TrRail_ene!M$17</f>
        <v>59.253916811882931</v>
      </c>
      <c r="N51" s="110">
        <f>TrRail_ene!N$17</f>
        <v>55.757302679071515</v>
      </c>
      <c r="O51" s="110">
        <f>TrRail_ene!O$17</f>
        <v>50.91539299431988</v>
      </c>
      <c r="P51" s="110">
        <f>TrRail_ene!P$17</f>
        <v>54.217080192331139</v>
      </c>
      <c r="Q51" s="110">
        <f>TrRail_ene!Q$17</f>
        <v>49.956814809949975</v>
      </c>
      <c r="R51" s="110">
        <f>TrRail_ene!R$17</f>
        <v>49.207117234619552</v>
      </c>
      <c r="S51" s="110">
        <f>TrRail_ene!S$17</f>
        <v>52.470448043694617</v>
      </c>
      <c r="T51" s="110">
        <f>TrRail_ene!T$17</f>
        <v>59.242653655492468</v>
      </c>
      <c r="U51" s="110">
        <f>TrRail_ene!U$17</f>
        <v>53.293853842409746</v>
      </c>
      <c r="V51" s="110">
        <f>TrRail_ene!V$17</f>
        <v>52.27428506765505</v>
      </c>
      <c r="W51" s="110">
        <f>TrRail_ene!W$17</f>
        <v>50.535836992567283</v>
      </c>
      <c r="X51" s="110">
        <f>TrRail_ene!X$17</f>
        <v>25.661728712119185</v>
      </c>
      <c r="Y51" s="110">
        <f>TrRail_ene!Y$17</f>
        <v>26.032695799130419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0.49310762331397567</v>
      </c>
      <c r="C52" s="110">
        <f t="shared" si="44"/>
        <v>0.50446010793851381</v>
      </c>
      <c r="D52" s="110">
        <f t="shared" si="44"/>
        <v>0.49365833020005045</v>
      </c>
      <c r="E52" s="110">
        <f t="shared" si="44"/>
        <v>0.27312316065003034</v>
      </c>
      <c r="F52" s="110">
        <f t="shared" si="44"/>
        <v>0.29871066403824026</v>
      </c>
      <c r="G52" s="110">
        <f t="shared" si="44"/>
        <v>0.36994596117183481</v>
      </c>
      <c r="H52" s="110">
        <f t="shared" si="44"/>
        <v>0.54114639060989145</v>
      </c>
      <c r="I52" s="110">
        <f t="shared" si="44"/>
        <v>0.68853952914193506</v>
      </c>
      <c r="J52" s="110">
        <f t="shared" si="44"/>
        <v>0.68896585851321912</v>
      </c>
      <c r="K52" s="110">
        <f t="shared" si="44"/>
        <v>0.30582720857312806</v>
      </c>
      <c r="L52" s="110">
        <f t="shared" si="44"/>
        <v>0.41115838675971017</v>
      </c>
      <c r="M52" s="110">
        <f t="shared" si="44"/>
        <v>0.43225345437833373</v>
      </c>
      <c r="N52" s="110">
        <f t="shared" si="44"/>
        <v>0.84735280916743561</v>
      </c>
      <c r="O52" s="110">
        <f t="shared" si="44"/>
        <v>0.9225059222860108</v>
      </c>
      <c r="P52" s="110">
        <f t="shared" si="44"/>
        <v>0.80939372592057468</v>
      </c>
      <c r="Q52" s="110">
        <f t="shared" si="44"/>
        <v>0.84124816061274332</v>
      </c>
      <c r="R52" s="110">
        <f t="shared" si="44"/>
        <v>0.82347689594277473</v>
      </c>
      <c r="S52" s="110">
        <f t="shared" si="44"/>
        <v>1.000784402149077</v>
      </c>
      <c r="T52" s="110">
        <f t="shared" si="44"/>
        <v>1.1302958150694518</v>
      </c>
      <c r="U52" s="110">
        <f t="shared" si="44"/>
        <v>1.1184487784598018</v>
      </c>
      <c r="V52" s="110">
        <f t="shared" si="44"/>
        <v>1.8081073223203146</v>
      </c>
      <c r="W52" s="110">
        <f t="shared" ref="W52:Y52" si="45">W53+W54+W55</f>
        <v>1.6008879443250486</v>
      </c>
      <c r="X52" s="110">
        <f t="shared" si="45"/>
        <v>1.180236941415602</v>
      </c>
      <c r="Y52" s="110">
        <f t="shared" si="45"/>
        <v>1.177498519817894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X53" s="102">
        <f>TrAvia_ene!X$11</f>
        <v>0</v>
      </c>
      <c r="Y53" s="102">
        <f>TrAvia_ene!Y$11</f>
        <v>0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0.48364111315341612</v>
      </c>
      <c r="C54" s="102">
        <f>TrAvia_ene!C$12</f>
        <v>0.49495852420311265</v>
      </c>
      <c r="D54" s="102">
        <f>TrAvia_ene!D$12</f>
        <v>0.48418124775854038</v>
      </c>
      <c r="E54" s="102">
        <f>TrAvia_ene!E$12</f>
        <v>0.26356618343856064</v>
      </c>
      <c r="F54" s="102">
        <f>TrAvia_ene!F$12</f>
        <v>0.28677899582402067</v>
      </c>
      <c r="G54" s="102">
        <f>TrAvia_ene!G$12</f>
        <v>0.35311198791343673</v>
      </c>
      <c r="H54" s="102">
        <f>TrAvia_ene!H$12</f>
        <v>0.50179665171623444</v>
      </c>
      <c r="I54" s="102">
        <f>TrAvia_ene!I$12</f>
        <v>0.61435327185619493</v>
      </c>
      <c r="J54" s="102">
        <f>TrAvia_ene!J$12</f>
        <v>0.64314337135491995</v>
      </c>
      <c r="K54" s="102">
        <f>TrAvia_ene!K$12</f>
        <v>0.30030346617383941</v>
      </c>
      <c r="L54" s="102">
        <f>TrAvia_ene!L$12</f>
        <v>0.40060688227061803</v>
      </c>
      <c r="M54" s="102">
        <f>TrAvia_ene!M$12</f>
        <v>0.4118811836682692</v>
      </c>
      <c r="N54" s="102">
        <f>TrAvia_ene!N$12</f>
        <v>0.41369553013091398</v>
      </c>
      <c r="O54" s="102">
        <f>TrAvia_ene!O$12</f>
        <v>0.72462271008003365</v>
      </c>
      <c r="P54" s="102">
        <f>TrAvia_ene!P$12</f>
        <v>0.71965060701571237</v>
      </c>
      <c r="Q54" s="102">
        <f>TrAvia_ene!Q$12</f>
        <v>0.76018828805041561</v>
      </c>
      <c r="R54" s="102">
        <f>TrAvia_ene!R$12</f>
        <v>0.77001667631595627</v>
      </c>
      <c r="S54" s="102">
        <f>TrAvia_ene!S$12</f>
        <v>0.97312733204511126</v>
      </c>
      <c r="T54" s="102">
        <f>TrAvia_ene!T$12</f>
        <v>1.0847998917170425</v>
      </c>
      <c r="U54" s="102">
        <f>TrAvia_ene!U$12</f>
        <v>1.0657637384600807</v>
      </c>
      <c r="V54" s="102">
        <f>TrAvia_ene!V$12</f>
        <v>1.6772437110212406</v>
      </c>
      <c r="W54" s="102">
        <f>TrAvia_ene!W$12</f>
        <v>1.4945150252758599</v>
      </c>
      <c r="X54" s="102">
        <f>TrAvia_ene!X$12</f>
        <v>1.0806220264594328</v>
      </c>
      <c r="Y54" s="102">
        <f>TrAvia_ene!Y$12</f>
        <v>1.0712006325215855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9.4665101605595388E-3</v>
      </c>
      <c r="C55" s="102">
        <f>TrAvia_ene!C$13</f>
        <v>9.501583735401135E-3</v>
      </c>
      <c r="D55" s="102">
        <f>TrAvia_ene!D$13</f>
        <v>9.4770824415100572E-3</v>
      </c>
      <c r="E55" s="102">
        <f>TrAvia_ene!E$13</f>
        <v>9.5569772114696989E-3</v>
      </c>
      <c r="F55" s="102">
        <f>TrAvia_ene!F$13</f>
        <v>1.193166821421961E-2</v>
      </c>
      <c r="G55" s="102">
        <f>TrAvia_ene!G$13</f>
        <v>1.6833973258398062E-2</v>
      </c>
      <c r="H55" s="102">
        <f>TrAvia_ene!H$13</f>
        <v>3.9349738893657046E-2</v>
      </c>
      <c r="I55" s="102">
        <f>TrAvia_ene!I$13</f>
        <v>7.4186257285740118E-2</v>
      </c>
      <c r="J55" s="102">
        <f>TrAvia_ene!J$13</f>
        <v>4.5822487158299188E-2</v>
      </c>
      <c r="K55" s="102">
        <f>TrAvia_ene!K$13</f>
        <v>5.5237423992886368E-3</v>
      </c>
      <c r="L55" s="102">
        <f>TrAvia_ene!L$13</f>
        <v>1.0551504489092117E-2</v>
      </c>
      <c r="M55" s="102">
        <f>TrAvia_ene!M$13</f>
        <v>2.0372270710064533E-2</v>
      </c>
      <c r="N55" s="102">
        <f>TrAvia_ene!N$13</f>
        <v>0.43365727903652157</v>
      </c>
      <c r="O55" s="102">
        <f>TrAvia_ene!O$13</f>
        <v>0.19788321220597715</v>
      </c>
      <c r="P55" s="102">
        <f>TrAvia_ene!P$13</f>
        <v>8.9743118904862265E-2</v>
      </c>
      <c r="Q55" s="102">
        <f>TrAvia_ene!Q$13</f>
        <v>8.1059872562327731E-2</v>
      </c>
      <c r="R55" s="102">
        <f>TrAvia_ene!R$13</f>
        <v>5.3460219626818413E-2</v>
      </c>
      <c r="S55" s="102">
        <f>TrAvia_ene!S$13</f>
        <v>2.7657070103965807E-2</v>
      </c>
      <c r="T55" s="102">
        <f>TrAvia_ene!T$13</f>
        <v>4.5495923352409373E-2</v>
      </c>
      <c r="U55" s="102">
        <f>TrAvia_ene!U$13</f>
        <v>5.268503999972126E-2</v>
      </c>
      <c r="V55" s="102">
        <f>TrAvia_ene!V$13</f>
        <v>0.13086361129907398</v>
      </c>
      <c r="W55" s="102">
        <f>TrAvia_ene!W$13</f>
        <v>0.10637291904918865</v>
      </c>
      <c r="X55" s="102">
        <f>TrAvia_ene!X$13</f>
        <v>9.9614914956169059E-2</v>
      </c>
      <c r="Y55" s="102">
        <f>TrAvia_ene!Y$13</f>
        <v>0.10629788729630851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3.065348237317282</v>
      </c>
      <c r="C56" s="110">
        <f t="shared" si="46"/>
        <v>3.065348237317282</v>
      </c>
      <c r="D56" s="110">
        <f t="shared" si="46"/>
        <v>4.0871023215821154</v>
      </c>
      <c r="E56" s="110">
        <f t="shared" si="46"/>
        <v>4.0871023215821154</v>
      </c>
      <c r="F56" s="110">
        <f t="shared" si="46"/>
        <v>5.1089423903697329</v>
      </c>
      <c r="G56" s="110">
        <f t="shared" si="46"/>
        <v>5.1089423903697329</v>
      </c>
      <c r="H56" s="110">
        <f t="shared" si="46"/>
        <v>6.1306964746345649</v>
      </c>
      <c r="I56" s="110">
        <f t="shared" si="46"/>
        <v>5.1435081685296655</v>
      </c>
      <c r="J56" s="110">
        <f t="shared" si="46"/>
        <v>6.1722269991401557</v>
      </c>
      <c r="K56" s="110">
        <f t="shared" si="46"/>
        <v>5.1435081685296646</v>
      </c>
      <c r="L56" s="110">
        <f t="shared" si="46"/>
        <v>6.1722269991401548</v>
      </c>
      <c r="M56" s="110">
        <f t="shared" si="46"/>
        <v>5.1435081685296646</v>
      </c>
      <c r="N56" s="110">
        <f t="shared" si="46"/>
        <v>5.1435081685296646</v>
      </c>
      <c r="O56" s="110">
        <f t="shared" si="46"/>
        <v>5.1435081685296646</v>
      </c>
      <c r="P56" s="110">
        <f t="shared" si="46"/>
        <v>5.1435081685296646</v>
      </c>
      <c r="Q56" s="110">
        <f t="shared" si="46"/>
        <v>5.1184866723989666</v>
      </c>
      <c r="R56" s="110">
        <f t="shared" ref="R56:V56" si="47">R57+R58</f>
        <v>4.0947549441100586</v>
      </c>
      <c r="S56" s="110">
        <f t="shared" si="47"/>
        <v>5.5279449699054171</v>
      </c>
      <c r="T56" s="110">
        <f t="shared" si="47"/>
        <v>4.8113499570077387</v>
      </c>
      <c r="U56" s="110">
        <f t="shared" si="47"/>
        <v>5.3232158211521918</v>
      </c>
      <c r="V56" s="110">
        <f t="shared" si="47"/>
        <v>3.7920894239036964</v>
      </c>
      <c r="W56" s="110">
        <f t="shared" ref="W56:Y56" si="48">W57+W58</f>
        <v>3.9970765262252792</v>
      </c>
      <c r="X56" s="110">
        <f t="shared" si="48"/>
        <v>3.1771281169389516</v>
      </c>
      <c r="Y56" s="110">
        <f t="shared" si="48"/>
        <v>2.5622527944969899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3.0541881771082831</v>
      </c>
      <c r="C57" s="102">
        <f>TrNavi_ene!C4</f>
        <v>3.0577353373506702</v>
      </c>
      <c r="D57" s="102">
        <f>TrNavi_ene!D4</f>
        <v>4.0732875603504874</v>
      </c>
      <c r="E57" s="102">
        <f>TrNavi_ene!E4</f>
        <v>4.0724019338442359</v>
      </c>
      <c r="F57" s="102">
        <f>TrNavi_ene!F4</f>
        <v>5.0747305102274893</v>
      </c>
      <c r="G57" s="102">
        <f>TrNavi_ene!G4</f>
        <v>5.0638991701395648</v>
      </c>
      <c r="H57" s="102">
        <f>TrNavi_ene!H4</f>
        <v>6.0335028845300211</v>
      </c>
      <c r="I57" s="102">
        <f>TrNavi_ene!I4</f>
        <v>4.7177171682262209</v>
      </c>
      <c r="J57" s="102">
        <f>TrNavi_ene!J4</f>
        <v>5.516760017885475</v>
      </c>
      <c r="K57" s="102">
        <f>TrNavi_ene!K4</f>
        <v>5.0236122114896995</v>
      </c>
      <c r="L57" s="102">
        <f>TrNavi_ene!L4</f>
        <v>6.0333025105228977</v>
      </c>
      <c r="M57" s="102">
        <f>TrNavi_ene!M4</f>
        <v>5.0555581815008761</v>
      </c>
      <c r="N57" s="102">
        <f>TrNavi_ene!N4</f>
        <v>5.111615070958992</v>
      </c>
      <c r="O57" s="102">
        <f>TrNavi_ene!O4</f>
        <v>5.1435081685296646</v>
      </c>
      <c r="P57" s="102">
        <f>TrNavi_ene!P4</f>
        <v>5.1435081685296646</v>
      </c>
      <c r="Q57" s="102">
        <f>TrNavi_ene!Q4</f>
        <v>5.1184866723989666</v>
      </c>
      <c r="R57" s="102">
        <f>TrNavi_ene!R4</f>
        <v>4.0947549441100586</v>
      </c>
      <c r="S57" s="102">
        <f>TrNavi_ene!S4</f>
        <v>5.5279449699054171</v>
      </c>
      <c r="T57" s="102">
        <f>TrNavi_ene!T4</f>
        <v>4.8113499570077387</v>
      </c>
      <c r="U57" s="102">
        <f>TrNavi_ene!U4</f>
        <v>5.3232158211521918</v>
      </c>
      <c r="V57" s="102">
        <f>TrNavi_ene!V4</f>
        <v>3.7919956393581336</v>
      </c>
      <c r="W57" s="102">
        <f>TrNavi_ene!W4</f>
        <v>3.9695472868730972</v>
      </c>
      <c r="X57" s="102">
        <f>TrNavi_ene!X4</f>
        <v>3.0936080209216921</v>
      </c>
      <c r="Y57" s="102">
        <f>TrNavi_ene!Y4</f>
        <v>2.4465712519508593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1.1160060208999149E-2</v>
      </c>
      <c r="C58" s="169">
        <f>TrNavi_ene!C10</f>
        <v>7.6128999666117718E-3</v>
      </c>
      <c r="D58" s="169">
        <f>TrNavi_ene!D10</f>
        <v>1.3814761231627875E-2</v>
      </c>
      <c r="E58" s="169">
        <f>TrNavi_ene!E10</f>
        <v>1.4700387737879168E-2</v>
      </c>
      <c r="F58" s="169">
        <f>TrNavi_ene!F10</f>
        <v>3.4211880142243356E-2</v>
      </c>
      <c r="G58" s="169">
        <f>TrNavi_ene!G10</f>
        <v>4.5043220230167852E-2</v>
      </c>
      <c r="H58" s="169">
        <f>TrNavi_ene!H10</f>
        <v>9.7193590104544078E-2</v>
      </c>
      <c r="I58" s="169">
        <f>TrNavi_ene!I10</f>
        <v>0.42579100030344469</v>
      </c>
      <c r="J58" s="169">
        <f>TrNavi_ene!J10</f>
        <v>0.65546698125468028</v>
      </c>
      <c r="K58" s="169">
        <f>TrNavi_ene!K10</f>
        <v>0.11989595703996524</v>
      </c>
      <c r="L58" s="169">
        <f>TrNavi_ene!L10</f>
        <v>0.13892448861725692</v>
      </c>
      <c r="M58" s="169">
        <f>TrNavi_ene!M10</f>
        <v>8.7949987028788396E-2</v>
      </c>
      <c r="N58" s="169">
        <f>TrNavi_ene!N10</f>
        <v>3.1893097570672789E-2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9.3784545563025822E-5</v>
      </c>
      <c r="W58" s="169">
        <f>TrNavi_ene!W10</f>
        <v>2.7529239352181913E-2</v>
      </c>
      <c r="X58" s="169">
        <f>TrNavi_ene!X10</f>
        <v>8.3520096017259321E-2</v>
      </c>
      <c r="Y58" s="169">
        <f>TrNavi_ene!Y10</f>
        <v>0.1156815425461306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91.232416165090271</v>
      </c>
      <c r="C59" s="28">
        <f t="shared" ref="C59:W59" si="49">C60+C61</f>
        <v>98.804815133275994</v>
      </c>
      <c r="D59" s="28">
        <f t="shared" si="49"/>
        <v>108.42072226999139</v>
      </c>
      <c r="E59" s="28">
        <f t="shared" si="49"/>
        <v>108.15322441960447</v>
      </c>
      <c r="F59" s="28">
        <f t="shared" si="49"/>
        <v>112.10662080825452</v>
      </c>
      <c r="G59" s="28">
        <f t="shared" si="49"/>
        <v>141.57497850386932</v>
      </c>
      <c r="H59" s="28">
        <f t="shared" si="49"/>
        <v>136.5998280309544</v>
      </c>
      <c r="I59" s="28">
        <f t="shared" si="49"/>
        <v>117.7380911435942</v>
      </c>
      <c r="J59" s="28">
        <f t="shared" si="49"/>
        <v>89.033619948409296</v>
      </c>
      <c r="K59" s="28">
        <f t="shared" si="49"/>
        <v>125.53645743766126</v>
      </c>
      <c r="L59" s="28">
        <f t="shared" si="49"/>
        <v>139.15279449699057</v>
      </c>
      <c r="M59" s="28">
        <f t="shared" si="49"/>
        <v>140.26036113499575</v>
      </c>
      <c r="N59" s="28">
        <f t="shared" si="49"/>
        <v>120.21736887360275</v>
      </c>
      <c r="O59" s="28">
        <f t="shared" si="49"/>
        <v>86.514789337919183</v>
      </c>
      <c r="P59" s="28">
        <f t="shared" si="49"/>
        <v>11.058297506448838</v>
      </c>
      <c r="Q59" s="28">
        <f t="shared" si="49"/>
        <v>75.75434221840068</v>
      </c>
      <c r="R59" s="28">
        <f t="shared" si="49"/>
        <v>162.18675838349094</v>
      </c>
      <c r="S59" s="28">
        <f t="shared" si="49"/>
        <v>174.72287188306103</v>
      </c>
      <c r="T59" s="28">
        <f t="shared" si="49"/>
        <v>201.22321582115222</v>
      </c>
      <c r="U59" s="28">
        <f t="shared" si="49"/>
        <v>194.47506448839209</v>
      </c>
      <c r="V59" s="28">
        <f t="shared" si="49"/>
        <v>181.92871883061051</v>
      </c>
      <c r="W59" s="28">
        <f t="shared" si="49"/>
        <v>188.39776440240757</v>
      </c>
      <c r="X59" s="28">
        <f t="shared" ref="X59:Y59" si="50">X60+X61</f>
        <v>154.42699914015475</v>
      </c>
      <c r="Y59" s="28">
        <f t="shared" si="50"/>
        <v>123.73112639724849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51.340663310145189</v>
      </c>
      <c r="C60" s="102">
        <f>MBunk_ene!C$4</f>
        <v>55.567267944870942</v>
      </c>
      <c r="D60" s="102">
        <f>MBunk_ene!D$4</f>
        <v>60.759159199416366</v>
      </c>
      <c r="E60" s="102">
        <f>MBunk_ene!E$4</f>
        <v>60.632513148988508</v>
      </c>
      <c r="F60" s="102">
        <f>MBunk_ene!F$4</f>
        <v>62.879956294258946</v>
      </c>
      <c r="G60" s="102">
        <f>MBunk_ene!G$4</f>
        <v>80.160590145183988</v>
      </c>
      <c r="H60" s="102">
        <f>MBunk_ene!H$4</f>
        <v>65.847628377200451</v>
      </c>
      <c r="I60" s="102">
        <f>MBunk_ene!I$4</f>
        <v>49.757222058413134</v>
      </c>
      <c r="J60" s="102">
        <f>MBunk_ene!J$4</f>
        <v>35.784728883595307</v>
      </c>
      <c r="K60" s="102">
        <f>MBunk_ene!K$4</f>
        <v>46.213630635523643</v>
      </c>
      <c r="L60" s="102">
        <f>MBunk_ene!L$4</f>
        <v>51.835173951406212</v>
      </c>
      <c r="M60" s="102">
        <f>MBunk_ene!M$4</f>
        <v>55.432270804904199</v>
      </c>
      <c r="N60" s="102">
        <f>MBunk_ene!N$4</f>
        <v>48.862504594896166</v>
      </c>
      <c r="O60" s="102">
        <f>MBunk_ene!O$4</f>
        <v>32.529469438212438</v>
      </c>
      <c r="P60" s="102">
        <f>MBunk_ene!P$4</f>
        <v>3.9824707715192931</v>
      </c>
      <c r="Q60" s="102">
        <f>MBunk_ene!Q$4</f>
        <v>26.107873572069476</v>
      </c>
      <c r="R60" s="102">
        <f>MBunk_ene!R$4</f>
        <v>52.210827266499614</v>
      </c>
      <c r="S60" s="102">
        <f>MBunk_ene!S$4</f>
        <v>56.354337732345492</v>
      </c>
      <c r="T60" s="102">
        <f>MBunk_ene!T$4</f>
        <v>65.721960461568287</v>
      </c>
      <c r="U60" s="102">
        <f>MBunk_ene!U$4</f>
        <v>64.911834714659008</v>
      </c>
      <c r="V60" s="102">
        <f>MBunk_ene!V$4</f>
        <v>53.075176974738774</v>
      </c>
      <c r="W60" s="102">
        <f>MBunk_ene!W$4</f>
        <v>51.637732417273774</v>
      </c>
      <c r="X60" s="102">
        <f>MBunk_ene!X$4</f>
        <v>56.49240246746556</v>
      </c>
      <c r="Y60" s="102">
        <f>MBunk_ene!Y$4</f>
        <v>47.916558736199349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39.891752854945082</v>
      </c>
      <c r="C61" s="86">
        <f>MBunk_ene!C$10</f>
        <v>43.237547188405053</v>
      </c>
      <c r="D61" s="86">
        <f>MBunk_ene!D$10</f>
        <v>47.661563070575028</v>
      </c>
      <c r="E61" s="86">
        <f>MBunk_ene!E$10</f>
        <v>47.520711270615962</v>
      </c>
      <c r="F61" s="86">
        <f>MBunk_ene!F$10</f>
        <v>49.226664513995573</v>
      </c>
      <c r="G61" s="86">
        <f>MBunk_ene!G$10</f>
        <v>61.414388358685336</v>
      </c>
      <c r="H61" s="86">
        <f>MBunk_ene!H$10</f>
        <v>70.752199653753948</v>
      </c>
      <c r="I61" s="86">
        <f>MBunk_ene!I$10</f>
        <v>67.98086908518107</v>
      </c>
      <c r="J61" s="86">
        <f>MBunk_ene!J$10</f>
        <v>53.248891064813982</v>
      </c>
      <c r="K61" s="86">
        <f>MBunk_ene!K$10</f>
        <v>79.322826802137612</v>
      </c>
      <c r="L61" s="86">
        <f>MBunk_ene!L$10</f>
        <v>87.317620545584347</v>
      </c>
      <c r="M61" s="86">
        <f>MBunk_ene!M$10</f>
        <v>84.828090330091541</v>
      </c>
      <c r="N61" s="86">
        <f>MBunk_ene!N$10</f>
        <v>71.354864278706586</v>
      </c>
      <c r="O61" s="86">
        <f>MBunk_ene!O$10</f>
        <v>53.985319899706738</v>
      </c>
      <c r="P61" s="86">
        <f>MBunk_ene!P$10</f>
        <v>7.0758267349295449</v>
      </c>
      <c r="Q61" s="86">
        <f>MBunk_ene!Q$10</f>
        <v>49.646468646331201</v>
      </c>
      <c r="R61" s="86">
        <f>MBunk_ene!R$10</f>
        <v>109.97593111699132</v>
      </c>
      <c r="S61" s="86">
        <f>MBunk_ene!S$10</f>
        <v>118.36853415071553</v>
      </c>
      <c r="T61" s="86">
        <f>MBunk_ene!T$10</f>
        <v>135.50125535958392</v>
      </c>
      <c r="U61" s="86">
        <f>MBunk_ene!U$10</f>
        <v>129.5632297737331</v>
      </c>
      <c r="V61" s="86">
        <f>MBunk_ene!V$10</f>
        <v>128.85354185587173</v>
      </c>
      <c r="W61" s="86">
        <f>MBunk_ene!W$10</f>
        <v>136.76003198513379</v>
      </c>
      <c r="X61" s="86">
        <f>MBunk_ene!X$10</f>
        <v>97.934596672689196</v>
      </c>
      <c r="Y61" s="86">
        <f>MBunk_ene!Y$10</f>
        <v>75.814567661049139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2242.987534024247</v>
      </c>
      <c r="C64" s="28">
        <f t="shared" si="51"/>
        <v>2344.1720333717794</v>
      </c>
      <c r="D64" s="28">
        <f t="shared" si="51"/>
        <v>2423.788982851695</v>
      </c>
      <c r="E64" s="28">
        <f t="shared" si="51"/>
        <v>2617.0677564994726</v>
      </c>
      <c r="F64" s="28">
        <f t="shared" si="51"/>
        <v>2824.5438256071056</v>
      </c>
      <c r="G64" s="28">
        <f t="shared" si="51"/>
        <v>3126.0756005972717</v>
      </c>
      <c r="H64" s="28">
        <f t="shared" si="51"/>
        <v>3428.9220596487794</v>
      </c>
      <c r="I64" s="28">
        <f t="shared" si="51"/>
        <v>3782.0804077887869</v>
      </c>
      <c r="J64" s="28">
        <f t="shared" si="51"/>
        <v>3727.7442569093901</v>
      </c>
      <c r="K64" s="28">
        <f t="shared" si="51"/>
        <v>3325.1353791561105</v>
      </c>
      <c r="L64" s="28">
        <f t="shared" si="51"/>
        <v>3341.4932152755273</v>
      </c>
      <c r="M64" s="28">
        <f t="shared" si="51"/>
        <v>3165.8221362348449</v>
      </c>
      <c r="N64" s="28">
        <f t="shared" si="51"/>
        <v>3484.8945956662837</v>
      </c>
      <c r="O64" s="28">
        <f t="shared" si="51"/>
        <v>3428.4199466362079</v>
      </c>
      <c r="P64" s="28">
        <f t="shared" si="51"/>
        <v>3405.5471431191913</v>
      </c>
      <c r="Q64" s="28">
        <f t="shared" si="51"/>
        <v>3589.5482745177055</v>
      </c>
      <c r="R64" s="28">
        <f t="shared" ref="R64:V64" si="52">R65+R69+R73</f>
        <v>4078.6767829496898</v>
      </c>
      <c r="S64" s="28">
        <f t="shared" si="52"/>
        <v>4286.387236613652</v>
      </c>
      <c r="T64" s="28">
        <f t="shared" si="52"/>
        <v>4597.1410236925103</v>
      </c>
      <c r="U64" s="28">
        <f t="shared" si="52"/>
        <v>4742.8994222880328</v>
      </c>
      <c r="V64" s="28">
        <f t="shared" si="52"/>
        <v>4297.8882699064416</v>
      </c>
      <c r="W64" s="28">
        <f t="shared" ref="W64:Y64" si="53">W65+W69+W73</f>
        <v>4263.9144077472274</v>
      </c>
      <c r="X64" s="28">
        <f t="shared" si="53"/>
        <v>4450.544825407369</v>
      </c>
      <c r="Y64" s="28">
        <f t="shared" si="53"/>
        <v>4574.0596702602024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2143.1918891311443</v>
      </c>
      <c r="C65" s="137">
        <f t="shared" si="54"/>
        <v>2225.4111357898773</v>
      </c>
      <c r="D65" s="137">
        <f t="shared" si="54"/>
        <v>2315.9986861548336</v>
      </c>
      <c r="E65" s="137">
        <f t="shared" si="54"/>
        <v>2500.182157278</v>
      </c>
      <c r="F65" s="137">
        <f t="shared" si="54"/>
        <v>2701.0115433067731</v>
      </c>
      <c r="G65" s="137">
        <f t="shared" si="54"/>
        <v>2975.0176220123012</v>
      </c>
      <c r="H65" s="137">
        <f t="shared" si="54"/>
        <v>3260.9672695062814</v>
      </c>
      <c r="I65" s="137">
        <f t="shared" si="54"/>
        <v>3575.4769361823651</v>
      </c>
      <c r="J65" s="137">
        <f t="shared" si="54"/>
        <v>3489.75914806538</v>
      </c>
      <c r="K65" s="137">
        <f t="shared" si="54"/>
        <v>3208.3459615473175</v>
      </c>
      <c r="L65" s="137">
        <f t="shared" si="54"/>
        <v>3186.9848027839207</v>
      </c>
      <c r="M65" s="137">
        <f t="shared" si="54"/>
        <v>2988.7001545561134</v>
      </c>
      <c r="N65" s="137">
        <f t="shared" si="54"/>
        <v>3287.8579433870414</v>
      </c>
      <c r="O65" s="137">
        <f t="shared" si="54"/>
        <v>3210.2261391169654</v>
      </c>
      <c r="P65" s="137">
        <f t="shared" si="54"/>
        <v>3166.4987875389247</v>
      </c>
      <c r="Q65" s="137">
        <f t="shared" si="54"/>
        <v>3337.4903831062493</v>
      </c>
      <c r="R65" s="137">
        <f t="shared" ref="R65:V65" si="55">R66+R67+R68</f>
        <v>3784.1348825859359</v>
      </c>
      <c r="S65" s="137">
        <f t="shared" si="55"/>
        <v>3960.4247948885691</v>
      </c>
      <c r="T65" s="137">
        <f t="shared" si="55"/>
        <v>4209.9872123386767</v>
      </c>
      <c r="U65" s="137">
        <f t="shared" si="55"/>
        <v>4363.4333283672522</v>
      </c>
      <c r="V65" s="137">
        <f t="shared" si="55"/>
        <v>4131.072858488732</v>
      </c>
      <c r="W65" s="137">
        <f t="shared" ref="W65:Y65" si="56">W66+W67+W68</f>
        <v>4072.3004453419035</v>
      </c>
      <c r="X65" s="137">
        <f t="shared" si="56"/>
        <v>4138.4485804074038</v>
      </c>
      <c r="Y65" s="137">
        <f t="shared" si="56"/>
        <v>4251.1972493094945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8.6849350416863871</v>
      </c>
      <c r="C66" s="102">
        <f>TrRoad_emi!C$19</f>
        <v>8.7349560629445229</v>
      </c>
      <c r="D66" s="102">
        <f>TrRoad_emi!D$19</f>
        <v>8.9328645812932148</v>
      </c>
      <c r="E66" s="102">
        <f>TrRoad_emi!E$19</f>
        <v>8.6817575910029721</v>
      </c>
      <c r="F66" s="102">
        <f>TrRoad_emi!F$19</f>
        <v>8.9463089136459679</v>
      </c>
      <c r="G66" s="102">
        <f>TrRoad_emi!G$19</f>
        <v>8.6212995322469546</v>
      </c>
      <c r="H66" s="102">
        <f>TrRoad_emi!H$19</f>
        <v>8.84643850817036</v>
      </c>
      <c r="I66" s="102">
        <f>TrRoad_emi!I$19</f>
        <v>9.6567962720472167</v>
      </c>
      <c r="J66" s="102">
        <f>TrRoad_emi!J$19</f>
        <v>10.827190745821589</v>
      </c>
      <c r="K66" s="102">
        <f>TrRoad_emi!K$19</f>
        <v>11.356096485797487</v>
      </c>
      <c r="L66" s="102">
        <f>TrRoad_emi!L$19</f>
        <v>11.117998142952315</v>
      </c>
      <c r="M66" s="102">
        <f>TrRoad_emi!M$19</f>
        <v>10.928039982759293</v>
      </c>
      <c r="N66" s="102">
        <f>TrRoad_emi!N$19</f>
        <v>10.726193121098868</v>
      </c>
      <c r="O66" s="102">
        <f>TrRoad_emi!O$19</f>
        <v>10.605612828942737</v>
      </c>
      <c r="P66" s="102">
        <f>TrRoad_emi!P$19</f>
        <v>10.138991902182465</v>
      </c>
      <c r="Q66" s="102">
        <f>TrRoad_emi!Q$19</f>
        <v>10.295091768586513</v>
      </c>
      <c r="R66" s="102">
        <f>TrRoad_emi!R$19</f>
        <v>11.080596929199048</v>
      </c>
      <c r="S66" s="102">
        <f>TrRoad_emi!S$19</f>
        <v>10.270061431004102</v>
      </c>
      <c r="T66" s="102">
        <f>TrRoad_emi!T$19</f>
        <v>9.7097012305449848</v>
      </c>
      <c r="U66" s="102">
        <f>TrRoad_emi!U$19</f>
        <v>9.9467773580235317</v>
      </c>
      <c r="V66" s="102">
        <f>TrRoad_emi!V$19</f>
        <v>8.5550137364032501</v>
      </c>
      <c r="W66" s="102">
        <f>TrRoad_emi!W$19</f>
        <v>8.8267578437945371</v>
      </c>
      <c r="X66" s="102">
        <f>TrRoad_emi!X$19</f>
        <v>8.990621939499988</v>
      </c>
      <c r="Y66" s="102">
        <f>TrRoad_emi!Y$19</f>
        <v>9.8544719860317578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1951.4716744709622</v>
      </c>
      <c r="C67" s="102">
        <f>TrRoad_emi!C$20</f>
        <v>2040.2609904951735</v>
      </c>
      <c r="D67" s="102">
        <f>TrRoad_emi!D$20</f>
        <v>2126.225372329814</v>
      </c>
      <c r="E67" s="102">
        <f>TrRoad_emi!E$20</f>
        <v>2311.4027531929419</v>
      </c>
      <c r="F67" s="102">
        <f>TrRoad_emi!F$20</f>
        <v>2500.3618297855237</v>
      </c>
      <c r="G67" s="102">
        <f>TrRoad_emi!G$20</f>
        <v>2781.7464368392339</v>
      </c>
      <c r="H67" s="102">
        <f>TrRoad_emi!H$20</f>
        <v>3077.6999248563607</v>
      </c>
      <c r="I67" s="102">
        <f>TrRoad_emi!I$20</f>
        <v>3405.7267685504589</v>
      </c>
      <c r="J67" s="102">
        <f>TrRoad_emi!J$20</f>
        <v>3329.0973687286992</v>
      </c>
      <c r="K67" s="102">
        <f>TrRoad_emi!K$20</f>
        <v>3049.7474664241231</v>
      </c>
      <c r="L67" s="102">
        <f>TrRoad_emi!L$20</f>
        <v>3031.6269031776023</v>
      </c>
      <c r="M67" s="102">
        <f>TrRoad_emi!M$20</f>
        <v>2830.7390484342395</v>
      </c>
      <c r="N67" s="102">
        <f>TrRoad_emi!N$20</f>
        <v>3133.9345626038016</v>
      </c>
      <c r="O67" s="102">
        <f>TrRoad_emi!O$20</f>
        <v>3070.7155244448281</v>
      </c>
      <c r="P67" s="102">
        <f>TrRoad_emi!P$20</f>
        <v>3023.0681724092397</v>
      </c>
      <c r="Q67" s="102">
        <f>TrRoad_emi!Q$20</f>
        <v>3191.6240950811871</v>
      </c>
      <c r="R67" s="102">
        <f>TrRoad_emi!R$20</f>
        <v>3641.6279037794725</v>
      </c>
      <c r="S67" s="102">
        <f>TrRoad_emi!S$20</f>
        <v>3815.9415815092384</v>
      </c>
      <c r="T67" s="102">
        <f>TrRoad_emi!T$20</f>
        <v>4062.606042087074</v>
      </c>
      <c r="U67" s="102">
        <f>TrRoad_emi!U$20</f>
        <v>4198.4123002237457</v>
      </c>
      <c r="V67" s="102">
        <f>TrRoad_emi!V$20</f>
        <v>4008.3849610418565</v>
      </c>
      <c r="W67" s="102">
        <f>TrRoad_emi!W$20</f>
        <v>3959.3925121402631</v>
      </c>
      <c r="X67" s="102">
        <f>TrRoad_emi!X$20</f>
        <v>4017.5232759576811</v>
      </c>
      <c r="Y67" s="102">
        <f>TrRoad_emi!Y$20</f>
        <v>4113.1248174581433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183.03527961849585</v>
      </c>
      <c r="C68" s="102">
        <f>TrRoad_emi!C$27</f>
        <v>176.41518923175954</v>
      </c>
      <c r="D68" s="102">
        <f>TrRoad_emi!D$27</f>
        <v>180.84044924372631</v>
      </c>
      <c r="E68" s="102">
        <f>TrRoad_emi!E$27</f>
        <v>180.09764649405491</v>
      </c>
      <c r="F68" s="102">
        <f>TrRoad_emi!F$27</f>
        <v>191.70340460760309</v>
      </c>
      <c r="G68" s="102">
        <f>TrRoad_emi!G$27</f>
        <v>184.64988564082012</v>
      </c>
      <c r="H68" s="102">
        <f>TrRoad_emi!H$27</f>
        <v>174.42090614175049</v>
      </c>
      <c r="I68" s="102">
        <f>TrRoad_emi!I$27</f>
        <v>160.09337135985896</v>
      </c>
      <c r="J68" s="102">
        <f>TrRoad_emi!J$27</f>
        <v>149.83458859085937</v>
      </c>
      <c r="K68" s="102">
        <f>TrRoad_emi!K$27</f>
        <v>147.24239863739692</v>
      </c>
      <c r="L68" s="102">
        <f>TrRoad_emi!L$27</f>
        <v>144.23990146336595</v>
      </c>
      <c r="M68" s="102">
        <f>TrRoad_emi!M$27</f>
        <v>147.0330661391146</v>
      </c>
      <c r="N68" s="102">
        <f>TrRoad_emi!N$27</f>
        <v>143.19718766214106</v>
      </c>
      <c r="O68" s="102">
        <f>TrRoad_emi!O$27</f>
        <v>128.90500184319447</v>
      </c>
      <c r="P68" s="102">
        <f>TrRoad_emi!P$27</f>
        <v>133.2916232275025</v>
      </c>
      <c r="Q68" s="102">
        <f>TrRoad_emi!Q$27</f>
        <v>135.57119625647573</v>
      </c>
      <c r="R68" s="102">
        <f>TrRoad_emi!R$27</f>
        <v>131.42638187726405</v>
      </c>
      <c r="S68" s="102">
        <f>TrRoad_emi!S$27</f>
        <v>134.21315194832653</v>
      </c>
      <c r="T68" s="102">
        <f>TrRoad_emi!T$27</f>
        <v>137.6714690210577</v>
      </c>
      <c r="U68" s="102">
        <f>TrRoad_emi!U$27</f>
        <v>155.07425078548263</v>
      </c>
      <c r="V68" s="102">
        <f>TrRoad_emi!V$27</f>
        <v>114.13288371047224</v>
      </c>
      <c r="W68" s="102">
        <f>TrRoad_emi!W$27</f>
        <v>104.08117535784612</v>
      </c>
      <c r="X68" s="102">
        <f>TrRoad_emi!X$27</f>
        <v>111.93468251022261</v>
      </c>
      <c r="Y68" s="102">
        <f>TrRoad_emi!Y$27</f>
        <v>128.21795986531922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29.840211308154611</v>
      </c>
      <c r="C69" s="110">
        <f t="shared" si="57"/>
        <v>26.435483445862047</v>
      </c>
      <c r="D69" s="110">
        <f t="shared" si="57"/>
        <v>24.916004629919268</v>
      </c>
      <c r="E69" s="110">
        <f t="shared" si="57"/>
        <v>21.088506864710382</v>
      </c>
      <c r="F69" s="110">
        <f t="shared" si="57"/>
        <v>21.203254520425368</v>
      </c>
      <c r="G69" s="110">
        <f t="shared" si="57"/>
        <v>12.398030315388871</v>
      </c>
      <c r="H69" s="110">
        <f t="shared" si="57"/>
        <v>11.173728100697675</v>
      </c>
      <c r="I69" s="110">
        <f t="shared" si="57"/>
        <v>10.071103725561475</v>
      </c>
      <c r="J69" s="110">
        <f t="shared" si="57"/>
        <v>10.421955586378468</v>
      </c>
      <c r="K69" s="110">
        <f t="shared" si="57"/>
        <v>9.0979408283709073</v>
      </c>
      <c r="L69" s="110">
        <f t="shared" si="57"/>
        <v>9.8954808459264942</v>
      </c>
      <c r="M69" s="110">
        <f t="shared" si="57"/>
        <v>10.850182229178323</v>
      </c>
      <c r="N69" s="110">
        <f t="shared" si="57"/>
        <v>10.292059756324955</v>
      </c>
      <c r="O69" s="110">
        <f t="shared" si="57"/>
        <v>9.9530786241544558</v>
      </c>
      <c r="P69" s="110">
        <f t="shared" si="57"/>
        <v>8.7444946798279695</v>
      </c>
      <c r="Q69" s="110">
        <f t="shared" si="57"/>
        <v>8.9827269688314981</v>
      </c>
      <c r="R69" s="110">
        <f t="shared" ref="R69:V69" si="58">R70+R71+R72</f>
        <v>8.155380439598261</v>
      </c>
      <c r="S69" s="110">
        <f t="shared" si="58"/>
        <v>10.307093458088847</v>
      </c>
      <c r="T69" s="110">
        <f t="shared" si="58"/>
        <v>11.224001684658063</v>
      </c>
      <c r="U69" s="110">
        <f t="shared" si="58"/>
        <v>11.591441728306764</v>
      </c>
      <c r="V69" s="110">
        <f t="shared" si="58"/>
        <v>9.198491764677815</v>
      </c>
      <c r="W69" s="110">
        <f t="shared" ref="W69:Y69" si="59">W70+W71+W72</f>
        <v>10.345547752294701</v>
      </c>
      <c r="X69" s="110">
        <f t="shared" si="59"/>
        <v>10.038805842888127</v>
      </c>
      <c r="Y69" s="110">
        <f t="shared" si="59"/>
        <v>10.537097217901518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29.840211308154611</v>
      </c>
      <c r="C71" s="102">
        <f>TrRail_emi!C$11</f>
        <v>26.435483445862047</v>
      </c>
      <c r="D71" s="102">
        <f>TrRail_emi!D$11</f>
        <v>24.916004629919268</v>
      </c>
      <c r="E71" s="102">
        <f>TrRail_emi!E$11</f>
        <v>21.088506864710382</v>
      </c>
      <c r="F71" s="102">
        <f>TrRail_emi!F$11</f>
        <v>21.203254520425368</v>
      </c>
      <c r="G71" s="102">
        <f>TrRail_emi!G$11</f>
        <v>12.398030315388871</v>
      </c>
      <c r="H71" s="102">
        <f>TrRail_emi!H$11</f>
        <v>11.173728100697675</v>
      </c>
      <c r="I71" s="102">
        <f>TrRail_emi!I$11</f>
        <v>10.071103725561475</v>
      </c>
      <c r="J71" s="102">
        <f>TrRail_emi!J$11</f>
        <v>10.421955586378468</v>
      </c>
      <c r="K71" s="102">
        <f>TrRail_emi!K$11</f>
        <v>9.0979408283709073</v>
      </c>
      <c r="L71" s="102">
        <f>TrRail_emi!L$11</f>
        <v>9.8954808459264942</v>
      </c>
      <c r="M71" s="102">
        <f>TrRail_emi!M$11</f>
        <v>10.850182229178323</v>
      </c>
      <c r="N71" s="102">
        <f>TrRail_emi!N$11</f>
        <v>10.292059756324955</v>
      </c>
      <c r="O71" s="102">
        <f>TrRail_emi!O$11</f>
        <v>9.9530786241544558</v>
      </c>
      <c r="P71" s="102">
        <f>TrRail_emi!P$11</f>
        <v>8.7444946798279695</v>
      </c>
      <c r="Q71" s="102">
        <f>TrRail_emi!Q$11</f>
        <v>8.9827269688314981</v>
      </c>
      <c r="R71" s="102">
        <f>TrRail_emi!R$11</f>
        <v>8.155380439598261</v>
      </c>
      <c r="S71" s="102">
        <f>TrRail_emi!S$11</f>
        <v>10.307093458088847</v>
      </c>
      <c r="T71" s="102">
        <f>TrRail_emi!T$11</f>
        <v>11.224001684658063</v>
      </c>
      <c r="U71" s="102">
        <f>TrRail_emi!U$11</f>
        <v>11.591441728306764</v>
      </c>
      <c r="V71" s="102">
        <f>TrRail_emi!V$11</f>
        <v>9.198491764677815</v>
      </c>
      <c r="W71" s="102">
        <f>TrRail_emi!W$11</f>
        <v>10.345547752294701</v>
      </c>
      <c r="X71" s="102">
        <f>TrRail_emi!X$11</f>
        <v>10.038805842888127</v>
      </c>
      <c r="Y71" s="102">
        <f>TrRail_emi!Y$11</f>
        <v>10.537097217901518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69.955433584947784</v>
      </c>
      <c r="C73" s="110">
        <f t="shared" si="60"/>
        <v>92.325414136039697</v>
      </c>
      <c r="D73" s="110">
        <f t="shared" si="60"/>
        <v>82.874292066942161</v>
      </c>
      <c r="E73" s="110">
        <f t="shared" si="60"/>
        <v>95.797092356762121</v>
      </c>
      <c r="F73" s="110">
        <f t="shared" si="60"/>
        <v>102.32902777990759</v>
      </c>
      <c r="G73" s="110">
        <f t="shared" si="60"/>
        <v>138.65994826958161</v>
      </c>
      <c r="H73" s="110">
        <f t="shared" si="60"/>
        <v>156.78106204180023</v>
      </c>
      <c r="I73" s="110">
        <f t="shared" si="60"/>
        <v>196.53236788086039</v>
      </c>
      <c r="J73" s="110">
        <f t="shared" si="60"/>
        <v>227.56315325763171</v>
      </c>
      <c r="K73" s="110">
        <f t="shared" si="60"/>
        <v>107.69147678042199</v>
      </c>
      <c r="L73" s="110">
        <f t="shared" si="60"/>
        <v>144.61293164568011</v>
      </c>
      <c r="M73" s="110">
        <f t="shared" si="60"/>
        <v>166.2717994495531</v>
      </c>
      <c r="N73" s="110">
        <f t="shared" si="60"/>
        <v>186.7445925229174</v>
      </c>
      <c r="O73" s="110">
        <f t="shared" si="60"/>
        <v>208.24072889508798</v>
      </c>
      <c r="P73" s="110">
        <f t="shared" si="60"/>
        <v>230.30386090043902</v>
      </c>
      <c r="Q73" s="110">
        <f t="shared" si="60"/>
        <v>243.07516444262447</v>
      </c>
      <c r="R73" s="110">
        <f t="shared" ref="R73:V73" si="61">R74+R75+R76</f>
        <v>286.38651992415606</v>
      </c>
      <c r="S73" s="110">
        <f t="shared" si="61"/>
        <v>315.65534826699405</v>
      </c>
      <c r="T73" s="110">
        <f t="shared" si="61"/>
        <v>375.92980966917509</v>
      </c>
      <c r="U73" s="110">
        <f t="shared" si="61"/>
        <v>367.87465219247383</v>
      </c>
      <c r="V73" s="110">
        <f t="shared" si="61"/>
        <v>157.61691965303186</v>
      </c>
      <c r="W73" s="110">
        <f t="shared" ref="W73:Y73" si="62">W74+W75+W76</f>
        <v>181.26841465302925</v>
      </c>
      <c r="X73" s="110">
        <f t="shared" si="62"/>
        <v>302.05743915707671</v>
      </c>
      <c r="Y73" s="110">
        <f t="shared" si="62"/>
        <v>312.32532373280594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X74" s="102">
        <f>TrAvia_emi!X$7</f>
        <v>0</v>
      </c>
      <c r="Y74" s="102">
        <f>TrAvia_emi!Y$7</f>
        <v>0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59.278813637277935</v>
      </c>
      <c r="C75" s="102">
        <f>TrAvia_emi!C$8</f>
        <v>78.231042771241434</v>
      </c>
      <c r="D75" s="102">
        <f>TrAvia_emi!D$8</f>
        <v>70.223302133907083</v>
      </c>
      <c r="E75" s="102">
        <f>TrAvia_emi!E$8</f>
        <v>81.18492513899038</v>
      </c>
      <c r="F75" s="102">
        <f>TrAvia_emi!F$8</f>
        <v>86.715293614623363</v>
      </c>
      <c r="G75" s="102">
        <f>TrAvia_emi!G$8</f>
        <v>120.2942036633624</v>
      </c>
      <c r="H75" s="102">
        <f>TrAvia_emi!H$8</f>
        <v>137.22331834848072</v>
      </c>
      <c r="I75" s="102">
        <f>TrAvia_emi!I$8</f>
        <v>172.48192751906154</v>
      </c>
      <c r="J75" s="102">
        <f>TrAvia_emi!J$8</f>
        <v>199.61237410963963</v>
      </c>
      <c r="K75" s="102">
        <f>TrAvia_emi!K$8</f>
        <v>92.537481378522159</v>
      </c>
      <c r="L75" s="102">
        <f>TrAvia_emi!L$8</f>
        <v>126.14037089636636</v>
      </c>
      <c r="M75" s="102">
        <f>TrAvia_emi!M$8</f>
        <v>145.91635127355508</v>
      </c>
      <c r="N75" s="102">
        <f>TrAvia_emi!N$8</f>
        <v>166.02111270795723</v>
      </c>
      <c r="O75" s="102">
        <f>TrAvia_emi!O$8</f>
        <v>185.67916876966663</v>
      </c>
      <c r="P75" s="102">
        <f>TrAvia_emi!P$8</f>
        <v>205.48671753590662</v>
      </c>
      <c r="Q75" s="102">
        <f>TrAvia_emi!Q$8</f>
        <v>218.10172867989581</v>
      </c>
      <c r="R75" s="102">
        <f>TrAvia_emi!R$8</f>
        <v>259.87959435163327</v>
      </c>
      <c r="S75" s="102">
        <f>TrAvia_emi!S$8</f>
        <v>287.1459282695871</v>
      </c>
      <c r="T75" s="102">
        <f>TrAvia_emi!T$8</f>
        <v>343.36527721125373</v>
      </c>
      <c r="U75" s="102">
        <f>TrAvia_emi!U$8</f>
        <v>335.40002748099448</v>
      </c>
      <c r="V75" s="102">
        <f>TrAvia_emi!V$8</f>
        <v>137.96444943541479</v>
      </c>
      <c r="W75" s="102">
        <f>TrAvia_emi!W$8</f>
        <v>161.09257949183421</v>
      </c>
      <c r="X75" s="102">
        <f>TrAvia_emi!X$8</f>
        <v>277.0980618758914</v>
      </c>
      <c r="Y75" s="102">
        <f>TrAvia_emi!Y$8</f>
        <v>283.87173209400186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10.676619947669852</v>
      </c>
      <c r="C76" s="102">
        <f>TrAvia_emi!C$9</f>
        <v>14.094371364798263</v>
      </c>
      <c r="D76" s="102">
        <f>TrAvia_emi!D$9</f>
        <v>12.650989933035071</v>
      </c>
      <c r="E76" s="102">
        <f>TrAvia_emi!E$9</f>
        <v>14.61216721777174</v>
      </c>
      <c r="F76" s="102">
        <f>TrAvia_emi!F$9</f>
        <v>15.613734165284235</v>
      </c>
      <c r="G76" s="102">
        <f>TrAvia_emi!G$9</f>
        <v>18.365744606219224</v>
      </c>
      <c r="H76" s="102">
        <f>TrAvia_emi!H$9</f>
        <v>19.557743693319523</v>
      </c>
      <c r="I76" s="102">
        <f>TrAvia_emi!I$9</f>
        <v>24.050440361798838</v>
      </c>
      <c r="J76" s="102">
        <f>TrAvia_emi!J$9</f>
        <v>27.95077914799208</v>
      </c>
      <c r="K76" s="102">
        <f>TrAvia_emi!K$9</f>
        <v>15.15399540189984</v>
      </c>
      <c r="L76" s="102">
        <f>TrAvia_emi!L$9</f>
        <v>18.472560749313736</v>
      </c>
      <c r="M76" s="102">
        <f>TrAvia_emi!M$9</f>
        <v>20.355448175998024</v>
      </c>
      <c r="N76" s="102">
        <f>TrAvia_emi!N$9</f>
        <v>20.723479814960164</v>
      </c>
      <c r="O76" s="102">
        <f>TrAvia_emi!O$9</f>
        <v>22.561560125421348</v>
      </c>
      <c r="P76" s="102">
        <f>TrAvia_emi!P$9</f>
        <v>24.817143364532409</v>
      </c>
      <c r="Q76" s="102">
        <f>TrAvia_emi!Q$9</f>
        <v>24.973435762728645</v>
      </c>
      <c r="R76" s="102">
        <f>TrAvia_emi!R$9</f>
        <v>26.506925572522782</v>
      </c>
      <c r="S76" s="102">
        <f>TrAvia_emi!S$9</f>
        <v>28.509419997406955</v>
      </c>
      <c r="T76" s="102">
        <f>TrAvia_emi!T$9</f>
        <v>32.564532457921366</v>
      </c>
      <c r="U76" s="102">
        <f>TrAvia_emi!U$9</f>
        <v>32.474624711479329</v>
      </c>
      <c r="V76" s="102">
        <f>TrAvia_emi!V$9</f>
        <v>19.652470217617068</v>
      </c>
      <c r="W76" s="102">
        <f>TrAvia_emi!W$9</f>
        <v>20.175835161195039</v>
      </c>
      <c r="X76" s="102">
        <f>TrAvia_emi!X$9</f>
        <v>24.959377281185322</v>
      </c>
      <c r="Y76" s="102">
        <f>TrAvia_emi!Y$9</f>
        <v>28.453591638804067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869.42024105575263</v>
      </c>
      <c r="C77" s="28">
        <f t="shared" si="63"/>
        <v>1049.6466491082206</v>
      </c>
      <c r="D77" s="28">
        <f t="shared" si="63"/>
        <v>1076.7658541083053</v>
      </c>
      <c r="E77" s="28">
        <f t="shared" si="63"/>
        <v>957.5587379005276</v>
      </c>
      <c r="F77" s="28">
        <f t="shared" si="63"/>
        <v>1093.0492745528943</v>
      </c>
      <c r="G77" s="28">
        <f t="shared" si="63"/>
        <v>1050.4267372827278</v>
      </c>
      <c r="H77" s="28">
        <f t="shared" si="63"/>
        <v>1013.3421361112203</v>
      </c>
      <c r="I77" s="28">
        <f t="shared" si="63"/>
        <v>1444.5023387312128</v>
      </c>
      <c r="J77" s="28">
        <f t="shared" si="63"/>
        <v>1511.1611852106096</v>
      </c>
      <c r="K77" s="28">
        <f t="shared" si="63"/>
        <v>919.45544208388947</v>
      </c>
      <c r="L77" s="28">
        <f t="shared" si="63"/>
        <v>1078.6086759644729</v>
      </c>
      <c r="M77" s="28">
        <f t="shared" si="63"/>
        <v>1261.3050992051558</v>
      </c>
      <c r="N77" s="28">
        <f t="shared" si="63"/>
        <v>967.74721605371622</v>
      </c>
      <c r="O77" s="28">
        <f t="shared" si="63"/>
        <v>1051.8950305237929</v>
      </c>
      <c r="P77" s="28">
        <f t="shared" si="63"/>
        <v>1584.2484456008101</v>
      </c>
      <c r="Q77" s="28">
        <f t="shared" si="63"/>
        <v>1680.8646768422964</v>
      </c>
      <c r="R77" s="28">
        <f t="shared" si="63"/>
        <v>1619.6470709703094</v>
      </c>
      <c r="S77" s="28">
        <f t="shared" si="63"/>
        <v>1686.6124297863466</v>
      </c>
      <c r="T77" s="28">
        <f t="shared" si="63"/>
        <v>1812.4583389474899</v>
      </c>
      <c r="U77" s="28">
        <f t="shared" si="63"/>
        <v>1883.2976443919683</v>
      </c>
      <c r="V77" s="28">
        <f t="shared" si="63"/>
        <v>1960.5066712135604</v>
      </c>
      <c r="W77" s="28">
        <f t="shared" si="63"/>
        <v>1997.9979288527713</v>
      </c>
      <c r="X77" s="28">
        <f t="shared" si="63"/>
        <v>1820.3434336726311</v>
      </c>
      <c r="Y77" s="28">
        <f t="shared" si="63"/>
        <v>1827.8253488486737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666.36628086885514</v>
      </c>
      <c r="C78" s="137">
        <f t="shared" si="64"/>
        <v>868.51359273012235</v>
      </c>
      <c r="D78" s="137">
        <f t="shared" si="64"/>
        <v>878.29602344516672</v>
      </c>
      <c r="E78" s="137">
        <f t="shared" si="64"/>
        <v>733.73539144200004</v>
      </c>
      <c r="F78" s="137">
        <f t="shared" si="64"/>
        <v>869.26338269322719</v>
      </c>
      <c r="G78" s="137">
        <f t="shared" si="64"/>
        <v>814.45127186769832</v>
      </c>
      <c r="H78" s="137">
        <f t="shared" si="64"/>
        <v>781.96708717371826</v>
      </c>
      <c r="I78" s="137">
        <f t="shared" si="64"/>
        <v>1206.7563451376348</v>
      </c>
      <c r="J78" s="137">
        <f t="shared" si="64"/>
        <v>1267.3817268146199</v>
      </c>
      <c r="K78" s="137">
        <f t="shared" si="64"/>
        <v>732.95210073268242</v>
      </c>
      <c r="L78" s="137">
        <f t="shared" si="64"/>
        <v>879.81999541607934</v>
      </c>
      <c r="M78" s="137">
        <f t="shared" si="64"/>
        <v>1060.2161007238874</v>
      </c>
      <c r="N78" s="137">
        <f t="shared" si="64"/>
        <v>783.99935077295856</v>
      </c>
      <c r="O78" s="137">
        <f t="shared" si="64"/>
        <v>880.34801656303534</v>
      </c>
      <c r="P78" s="137">
        <f t="shared" si="64"/>
        <v>1405.450317101077</v>
      </c>
      <c r="Q78" s="137">
        <f t="shared" si="64"/>
        <v>1512.6389381737522</v>
      </c>
      <c r="R78" s="137">
        <f t="shared" ref="R78:V78" si="65">R79+R80</f>
        <v>1456.9995718940638</v>
      </c>
      <c r="S78" s="137">
        <f t="shared" si="65"/>
        <v>1509.0680484714298</v>
      </c>
      <c r="T78" s="137">
        <f t="shared" si="65"/>
        <v>1615.7501070613232</v>
      </c>
      <c r="U78" s="137">
        <f t="shared" si="65"/>
        <v>1703.1896494727487</v>
      </c>
      <c r="V78" s="137">
        <f t="shared" si="65"/>
        <v>1788.1107027512699</v>
      </c>
      <c r="W78" s="137">
        <f t="shared" ref="W78:Y78" si="66">W79+W80</f>
        <v>1836.2756590180952</v>
      </c>
      <c r="X78" s="137">
        <f t="shared" si="66"/>
        <v>1732.3944540725961</v>
      </c>
      <c r="Y78" s="137">
        <f t="shared" si="66"/>
        <v>1740.3826373593811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102.47493211246156</v>
      </c>
      <c r="C79" s="102">
        <f>TrRoad_emi!C$34</f>
        <v>102.44474813718195</v>
      </c>
      <c r="D79" s="102">
        <f>TrRoad_emi!D$34</f>
        <v>103.00658434807802</v>
      </c>
      <c r="E79" s="102">
        <f>TrRoad_emi!E$34</f>
        <v>105.43157352905563</v>
      </c>
      <c r="F79" s="102">
        <f>TrRoad_emi!F$34</f>
        <v>111.29342615930663</v>
      </c>
      <c r="G79" s="102">
        <f>TrRoad_emi!G$34</f>
        <v>116.64719055045038</v>
      </c>
      <c r="H79" s="102">
        <f>TrRoad_emi!H$34</f>
        <v>137.6304129175476</v>
      </c>
      <c r="I79" s="102">
        <f>TrRoad_emi!I$34</f>
        <v>156.38289974606656</v>
      </c>
      <c r="J79" s="102">
        <f>TrRoad_emi!J$34</f>
        <v>159.6700209491957</v>
      </c>
      <c r="K79" s="102">
        <f>TrRoad_emi!K$34</f>
        <v>165.33828631187035</v>
      </c>
      <c r="L79" s="102">
        <f>TrRoad_emi!L$34</f>
        <v>157.00562317812086</v>
      </c>
      <c r="M79" s="102">
        <f>TrRoad_emi!M$34</f>
        <v>172.92508703812649</v>
      </c>
      <c r="N79" s="102">
        <f>TrRoad_emi!N$34</f>
        <v>187.12331818486666</v>
      </c>
      <c r="O79" s="102">
        <f>TrRoad_emi!O$34</f>
        <v>195.26697452458558</v>
      </c>
      <c r="P79" s="102">
        <f>TrRoad_emi!P$34</f>
        <v>220.34440862212242</v>
      </c>
      <c r="Q79" s="102">
        <f>TrRoad_emi!Q$34</f>
        <v>231.29315974168517</v>
      </c>
      <c r="R79" s="102">
        <f>TrRoad_emi!R$34</f>
        <v>248.28851920999702</v>
      </c>
      <c r="S79" s="102">
        <f>TrRoad_emi!S$34</f>
        <v>252.37603777590559</v>
      </c>
      <c r="T79" s="102">
        <f>TrRoad_emi!T$34</f>
        <v>257.1338850105094</v>
      </c>
      <c r="U79" s="102">
        <f>TrRoad_emi!U$34</f>
        <v>269.16735952378957</v>
      </c>
      <c r="V79" s="102">
        <f>TrRoad_emi!V$34</f>
        <v>274.99618788363148</v>
      </c>
      <c r="W79" s="102">
        <f>TrRoad_emi!W$34</f>
        <v>280.62994396304191</v>
      </c>
      <c r="X79" s="102">
        <f>TrRoad_emi!X$34</f>
        <v>268.56307462392175</v>
      </c>
      <c r="Y79" s="102">
        <f>TrRoad_emi!Y$34</f>
        <v>266.99581388963276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563.89134875639354</v>
      </c>
      <c r="C80" s="102">
        <f>TrRoad_emi!C$40</f>
        <v>766.06884459294042</v>
      </c>
      <c r="D80" s="102">
        <f>TrRoad_emi!D$40</f>
        <v>775.28943909708869</v>
      </c>
      <c r="E80" s="102">
        <f>TrRoad_emi!E$40</f>
        <v>628.3038179129444</v>
      </c>
      <c r="F80" s="102">
        <f>TrRoad_emi!F$40</f>
        <v>757.96995653392059</v>
      </c>
      <c r="G80" s="102">
        <f>TrRoad_emi!G$40</f>
        <v>697.80408131724789</v>
      </c>
      <c r="H80" s="102">
        <f>TrRoad_emi!H$40</f>
        <v>644.33667425617068</v>
      </c>
      <c r="I80" s="102">
        <f>TrRoad_emi!I$40</f>
        <v>1050.3734453915681</v>
      </c>
      <c r="J80" s="102">
        <f>TrRoad_emi!J$40</f>
        <v>1107.7117058654242</v>
      </c>
      <c r="K80" s="102">
        <f>TrRoad_emi!K$40</f>
        <v>567.6138144208121</v>
      </c>
      <c r="L80" s="102">
        <f>TrRoad_emi!L$40</f>
        <v>722.81437223795842</v>
      </c>
      <c r="M80" s="102">
        <f>TrRoad_emi!M$40</f>
        <v>887.29101368576084</v>
      </c>
      <c r="N80" s="102">
        <f>TrRoad_emi!N$40</f>
        <v>596.8760325880919</v>
      </c>
      <c r="O80" s="102">
        <f>TrRoad_emi!O$40</f>
        <v>685.08104203844982</v>
      </c>
      <c r="P80" s="102">
        <f>TrRoad_emi!P$40</f>
        <v>1185.1059084789545</v>
      </c>
      <c r="Q80" s="102">
        <f>TrRoad_emi!Q$40</f>
        <v>1281.3457784320669</v>
      </c>
      <c r="R80" s="102">
        <f>TrRoad_emi!R$40</f>
        <v>1208.7110526840668</v>
      </c>
      <c r="S80" s="102">
        <f>TrRoad_emi!S$40</f>
        <v>1256.6920106955242</v>
      </c>
      <c r="T80" s="102">
        <f>TrRoad_emi!T$40</f>
        <v>1358.6162220508138</v>
      </c>
      <c r="U80" s="102">
        <f>TrRoad_emi!U$40</f>
        <v>1434.022289948959</v>
      </c>
      <c r="V80" s="102">
        <f>TrRoad_emi!V$40</f>
        <v>1513.1145148676383</v>
      </c>
      <c r="W80" s="102">
        <f>TrRoad_emi!W$40</f>
        <v>1555.6457150550532</v>
      </c>
      <c r="X80" s="102">
        <f>TrRoad_emi!X$40</f>
        <v>1463.8313794486744</v>
      </c>
      <c r="Y80" s="102">
        <f>TrRoad_emi!Y$40</f>
        <v>1473.3868234697484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192.05955977184539</v>
      </c>
      <c r="C81" s="110">
        <f>TrRail_emi!C$15</f>
        <v>170.10448147413797</v>
      </c>
      <c r="D81" s="110">
        <f>TrRail_emi!D$15</f>
        <v>184.30386337008073</v>
      </c>
      <c r="E81" s="110">
        <f>TrRail_emi!E$15</f>
        <v>210.32125821528959</v>
      </c>
      <c r="F81" s="110">
        <f>TrRail_emi!F$15</f>
        <v>207.0366014795747</v>
      </c>
      <c r="G81" s="110">
        <f>TrRail_emi!G$15</f>
        <v>219.01173476461111</v>
      </c>
      <c r="H81" s="110">
        <f>TrRail_emi!H$15</f>
        <v>210.72604297930229</v>
      </c>
      <c r="I81" s="110">
        <f>TrRail_emi!I$15</f>
        <v>219.71596027443849</v>
      </c>
      <c r="J81" s="110">
        <f>TrRail_emi!J$15</f>
        <v>222.5566250536215</v>
      </c>
      <c r="K81" s="110">
        <f>TrRail_emi!K$15</f>
        <v>169.62539045162904</v>
      </c>
      <c r="L81" s="110">
        <f>TrRail_emi!L$15</f>
        <v>178.40213359407352</v>
      </c>
      <c r="M81" s="110">
        <f>TrRail_emi!M$15</f>
        <v>183.83046549082167</v>
      </c>
      <c r="N81" s="110">
        <f>TrRail_emi!N$15</f>
        <v>165.23975488367509</v>
      </c>
      <c r="O81" s="110">
        <f>TrRail_emi!O$15</f>
        <v>152.81266945584554</v>
      </c>
      <c r="P81" s="110">
        <f>TrRail_emi!P$15</f>
        <v>160.40428668017205</v>
      </c>
      <c r="Q81" s="110">
        <f>TrRail_emi!Q$15</f>
        <v>149.81363231116853</v>
      </c>
      <c r="R81" s="110">
        <f>TrRail_emi!R$15</f>
        <v>147.46493428040174</v>
      </c>
      <c r="S81" s="110">
        <f>TrRail_emi!S$15</f>
        <v>157.38171042191118</v>
      </c>
      <c r="T81" s="110">
        <f>TrRail_emi!T$15</f>
        <v>178.3788694353419</v>
      </c>
      <c r="U81" s="110">
        <f>TrRail_emi!U$15</f>
        <v>160.22627343169327</v>
      </c>
      <c r="V81" s="110">
        <f>TrRail_emi!V$15</f>
        <v>155.18835683532222</v>
      </c>
      <c r="W81" s="110">
        <f>TrRail_emi!W$15</f>
        <v>144.50249676770531</v>
      </c>
      <c r="X81" s="110">
        <f>TrRail_emi!X$15</f>
        <v>74.53931947711186</v>
      </c>
      <c r="Y81" s="110">
        <f>TrRail_emi!Y$15</f>
        <v>75.94889562209849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1.4844064150521954</v>
      </c>
      <c r="C82" s="110">
        <f t="shared" si="67"/>
        <v>1.5185809039603015</v>
      </c>
      <c r="D82" s="110">
        <f t="shared" si="67"/>
        <v>1.4860642130578494</v>
      </c>
      <c r="E82" s="110">
        <f t="shared" si="67"/>
        <v>0.82218516323786428</v>
      </c>
      <c r="F82" s="110">
        <f t="shared" si="67"/>
        <v>0.89921146009242414</v>
      </c>
      <c r="G82" s="110">
        <f t="shared" si="67"/>
        <v>1.1136517304184175</v>
      </c>
      <c r="H82" s="110">
        <f t="shared" si="67"/>
        <v>1.6290179581997504</v>
      </c>
      <c r="I82" s="110">
        <f t="shared" si="67"/>
        <v>2.072716879139636</v>
      </c>
      <c r="J82" s="110">
        <f t="shared" si="67"/>
        <v>2.0740002623682421</v>
      </c>
      <c r="K82" s="110">
        <f t="shared" si="67"/>
        <v>0.9206344595780066</v>
      </c>
      <c r="L82" s="110">
        <f t="shared" si="67"/>
        <v>1.2377138743199143</v>
      </c>
      <c r="M82" s="110">
        <f t="shared" si="67"/>
        <v>1.3012165504468785</v>
      </c>
      <c r="N82" s="110">
        <f t="shared" si="67"/>
        <v>2.5507939570825755</v>
      </c>
      <c r="O82" s="110">
        <f t="shared" si="67"/>
        <v>2.7770280649120638</v>
      </c>
      <c r="P82" s="110">
        <f t="shared" si="67"/>
        <v>2.4365253795609854</v>
      </c>
      <c r="Q82" s="110">
        <f t="shared" si="67"/>
        <v>2.5324170773756194</v>
      </c>
      <c r="R82" s="110">
        <f t="shared" si="67"/>
        <v>2.4789200758439773</v>
      </c>
      <c r="S82" s="110">
        <f t="shared" si="67"/>
        <v>3.0126704930058668</v>
      </c>
      <c r="T82" s="110">
        <f t="shared" si="67"/>
        <v>3.4025398908250715</v>
      </c>
      <c r="U82" s="110">
        <f t="shared" si="67"/>
        <v>3.3668766475263046</v>
      </c>
      <c r="V82" s="110">
        <f t="shared" si="67"/>
        <v>5.4429621069682099</v>
      </c>
      <c r="W82" s="110">
        <f t="shared" ref="W82:Y82" si="68">W83+W84+W85</f>
        <v>4.8191677069707799</v>
      </c>
      <c r="X82" s="110">
        <f t="shared" si="68"/>
        <v>3.5528781229232478</v>
      </c>
      <c r="Y82" s="110">
        <f t="shared" si="68"/>
        <v>3.5446346271941898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X83" s="102">
        <f>TrAvia_emi!X$11</f>
        <v>0</v>
      </c>
      <c r="Y83" s="102">
        <f>TrAvia_emi!Y$11</f>
        <v>0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1.4559092924239696</v>
      </c>
      <c r="C84" s="102">
        <f>TrAvia_emi!C$12</f>
        <v>1.4899781990270531</v>
      </c>
      <c r="D84" s="102">
        <f>TrAvia_emi!D$12</f>
        <v>1.4575352645950133</v>
      </c>
      <c r="E84" s="102">
        <f>TrAvia_emi!E$12</f>
        <v>0.79341570681398665</v>
      </c>
      <c r="F84" s="102">
        <f>TrAvia_emi!F$12</f>
        <v>0.86329344949581122</v>
      </c>
      <c r="G84" s="102">
        <f>TrAvia_emi!G$12</f>
        <v>1.0629762658461077</v>
      </c>
      <c r="H84" s="102">
        <f>TrAvia_emi!H$12</f>
        <v>1.5105630771905767</v>
      </c>
      <c r="I84" s="102">
        <f>TrAvia_emi!I$12</f>
        <v>1.8493933063188053</v>
      </c>
      <c r="J84" s="102">
        <f>TrAvia_emi!J$12</f>
        <v>1.936060407708732</v>
      </c>
      <c r="K84" s="102">
        <f>TrAvia_emi!K$12</f>
        <v>0.90400628701499797</v>
      </c>
      <c r="L84" s="102">
        <f>TrAvia_emi!L$12</f>
        <v>1.205950583282559</v>
      </c>
      <c r="M84" s="102">
        <f>TrAvia_emi!M$12</f>
        <v>1.2398897165034806</v>
      </c>
      <c r="N84" s="102">
        <f>TrAvia_emi!N$12</f>
        <v>1.2453514603519675</v>
      </c>
      <c r="O84" s="102">
        <f>TrAvia_emi!O$12</f>
        <v>2.1813384106828582</v>
      </c>
      <c r="P84" s="102">
        <f>TrAvia_emi!P$12</f>
        <v>2.1663708430849846</v>
      </c>
      <c r="Q84" s="102">
        <f>TrAvia_emi!Q$12</f>
        <v>2.2884017972504167</v>
      </c>
      <c r="R84" s="102">
        <f>TrAvia_emi!R$12</f>
        <v>2.3179882848673454</v>
      </c>
      <c r="S84" s="102">
        <f>TrAvia_emi!S$12</f>
        <v>2.9294141604268535</v>
      </c>
      <c r="T84" s="102">
        <f>TrAvia_emi!T$12</f>
        <v>3.2655830941948185</v>
      </c>
      <c r="U84" s="102">
        <f>TrAvia_emi!U$12</f>
        <v>3.2082783869127756</v>
      </c>
      <c r="V84" s="102">
        <f>TrAvia_emi!V$12</f>
        <v>5.0490221739293837</v>
      </c>
      <c r="W84" s="102">
        <f>TrAvia_emi!W$12</f>
        <v>4.4989523301261523</v>
      </c>
      <c r="X84" s="102">
        <f>TrAvia_emi!X$12</f>
        <v>3.2530064279734745</v>
      </c>
      <c r="Y84" s="102">
        <f>TrAvia_emi!Y$12</f>
        <v>3.2246451191255492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2.8497122628225856E-2</v>
      </c>
      <c r="C85" s="102">
        <f>TrAvia_emi!C$13</f>
        <v>2.8602704933248412E-2</v>
      </c>
      <c r="D85" s="102">
        <f>TrAvia_emi!D$13</f>
        <v>2.8528948462836184E-2</v>
      </c>
      <c r="E85" s="102">
        <f>TrAvia_emi!E$13</f>
        <v>2.8769456423877585E-2</v>
      </c>
      <c r="F85" s="102">
        <f>TrAvia_emi!F$13</f>
        <v>3.591801059661287E-2</v>
      </c>
      <c r="G85" s="102">
        <f>TrAvia_emi!G$13</f>
        <v>5.0675464572309675E-2</v>
      </c>
      <c r="H85" s="102">
        <f>TrAvia_emi!H$13</f>
        <v>0.11845488100917365</v>
      </c>
      <c r="I85" s="102">
        <f>TrAvia_emi!I$13</f>
        <v>0.2233235728208306</v>
      </c>
      <c r="J85" s="102">
        <f>TrAvia_emi!J$13</f>
        <v>0.13793985465950989</v>
      </c>
      <c r="K85" s="102">
        <f>TrAvia_emi!K$13</f>
        <v>1.6628172563008668E-2</v>
      </c>
      <c r="L85" s="102">
        <f>TrAvia_emi!L$13</f>
        <v>3.1763291037355319E-2</v>
      </c>
      <c r="M85" s="102">
        <f>TrAvia_emi!M$13</f>
        <v>6.1326833943397802E-2</v>
      </c>
      <c r="N85" s="102">
        <f>TrAvia_emi!N$13</f>
        <v>1.3054424967306082</v>
      </c>
      <c r="O85" s="102">
        <f>TrAvia_emi!O$13</f>
        <v>0.59568965422920539</v>
      </c>
      <c r="P85" s="102">
        <f>TrAvia_emi!P$13</f>
        <v>0.27015453647600091</v>
      </c>
      <c r="Q85" s="102">
        <f>TrAvia_emi!Q$13</f>
        <v>0.24401528012520279</v>
      </c>
      <c r="R85" s="102">
        <f>TrAvia_emi!R$13</f>
        <v>0.16093179097663204</v>
      </c>
      <c r="S85" s="102">
        <f>TrAvia_emi!S$13</f>
        <v>8.3256332579013229E-2</v>
      </c>
      <c r="T85" s="102">
        <f>TrAvia_emi!T$13</f>
        <v>0.13695679663025284</v>
      </c>
      <c r="U85" s="102">
        <f>TrAvia_emi!U$13</f>
        <v>0.15859826061352891</v>
      </c>
      <c r="V85" s="102">
        <f>TrAvia_emi!V$13</f>
        <v>0.39393993303882646</v>
      </c>
      <c r="W85" s="102">
        <f>TrAvia_emi!W$13</f>
        <v>0.32021537684462781</v>
      </c>
      <c r="X85" s="102">
        <f>TrAvia_emi!X$13</f>
        <v>0.29987169494977334</v>
      </c>
      <c r="Y85" s="102">
        <f>TrAvia_emi!Y$13</f>
        <v>0.31998950806864074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9.5099939999999972</v>
      </c>
      <c r="C86" s="110">
        <f t="shared" si="69"/>
        <v>9.5099939999999989</v>
      </c>
      <c r="D86" s="110">
        <f t="shared" si="69"/>
        <v>12.679903080000001</v>
      </c>
      <c r="E86" s="110">
        <f t="shared" si="69"/>
        <v>12.679903080000001</v>
      </c>
      <c r="F86" s="110">
        <f t="shared" si="69"/>
        <v>15.850078919999998</v>
      </c>
      <c r="G86" s="110">
        <f t="shared" si="69"/>
        <v>15.850078919999998</v>
      </c>
      <c r="H86" s="110">
        <f t="shared" si="69"/>
        <v>19.019988000000001</v>
      </c>
      <c r="I86" s="110">
        <f t="shared" si="69"/>
        <v>15.957316440000003</v>
      </c>
      <c r="J86" s="110">
        <f t="shared" si="69"/>
        <v>19.148833079999999</v>
      </c>
      <c r="K86" s="110">
        <f t="shared" si="69"/>
        <v>15.95731644</v>
      </c>
      <c r="L86" s="110">
        <f t="shared" si="69"/>
        <v>19.148833079999996</v>
      </c>
      <c r="M86" s="110">
        <f t="shared" si="69"/>
        <v>15.95731644</v>
      </c>
      <c r="N86" s="110">
        <f t="shared" si="69"/>
        <v>15.957316440000001</v>
      </c>
      <c r="O86" s="110">
        <f t="shared" si="69"/>
        <v>15.957316440000001</v>
      </c>
      <c r="P86" s="110">
        <f t="shared" si="69"/>
        <v>15.957316440000001</v>
      </c>
      <c r="Q86" s="110">
        <f t="shared" si="69"/>
        <v>15.879689279999996</v>
      </c>
      <c r="R86" s="110">
        <f t="shared" ref="R86:V86" si="70">R87+R88</f>
        <v>12.703644719999996</v>
      </c>
      <c r="S86" s="110">
        <f t="shared" si="70"/>
        <v>17.1500004</v>
      </c>
      <c r="T86" s="110">
        <f t="shared" si="70"/>
        <v>14.926822560000002</v>
      </c>
      <c r="U86" s="110">
        <f t="shared" si="70"/>
        <v>16.514844839999999</v>
      </c>
      <c r="V86" s="110">
        <f t="shared" si="70"/>
        <v>11.764649519999999</v>
      </c>
      <c r="W86" s="110">
        <f t="shared" ref="W86:Y86" si="71">W87+W88</f>
        <v>12.400605359999998</v>
      </c>
      <c r="X86" s="110">
        <f t="shared" si="71"/>
        <v>9.8567820000000026</v>
      </c>
      <c r="Y86" s="110">
        <f t="shared" si="71"/>
        <v>7.9491812399999988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9.4753708193984671</v>
      </c>
      <c r="C87" s="102">
        <f>TrNavi_emi!C$4</f>
        <v>9.4863755960210625</v>
      </c>
      <c r="D87" s="102">
        <f>TrNavi_emi!D$4</f>
        <v>12.637043905037487</v>
      </c>
      <c r="E87" s="102">
        <f>TrNavi_emi!E$4</f>
        <v>12.634296320714714</v>
      </c>
      <c r="F87" s="102">
        <f>TrNavi_emi!F$4</f>
        <v>15.743939339863356</v>
      </c>
      <c r="G87" s="102">
        <f>TrNavi_emi!G$4</f>
        <v>15.710335986745385</v>
      </c>
      <c r="H87" s="102">
        <f>TrNavi_emi!H$4</f>
        <v>18.718452778820168</v>
      </c>
      <c r="I87" s="102">
        <f>TrNavi_emi!I$4</f>
        <v>14.636334435787791</v>
      </c>
      <c r="J87" s="102">
        <f>TrNavi_emi!J$4</f>
        <v>17.115299994576233</v>
      </c>
      <c r="K87" s="102">
        <f>TrNavi_emi!K$4</f>
        <v>15.58534896883522</v>
      </c>
      <c r="L87" s="102">
        <f>TrNavi_emi!L$4</f>
        <v>18.717831134733434</v>
      </c>
      <c r="M87" s="102">
        <f>TrNavi_emi!M$4</f>
        <v>15.684458746782131</v>
      </c>
      <c r="N87" s="102">
        <f>TrNavi_emi!N$4</f>
        <v>15.858370694506512</v>
      </c>
      <c r="O87" s="102">
        <f>TrNavi_emi!O$4</f>
        <v>15.957316440000001</v>
      </c>
      <c r="P87" s="102">
        <f>TrNavi_emi!P$4</f>
        <v>15.957316440000001</v>
      </c>
      <c r="Q87" s="102">
        <f>TrNavi_emi!Q$4</f>
        <v>15.879689279999996</v>
      </c>
      <c r="R87" s="102">
        <f>TrNavi_emi!R$4</f>
        <v>12.703644719999996</v>
      </c>
      <c r="S87" s="102">
        <f>TrNavi_emi!S$4</f>
        <v>17.1500004</v>
      </c>
      <c r="T87" s="102">
        <f>TrNavi_emi!T$4</f>
        <v>14.926822560000002</v>
      </c>
      <c r="U87" s="102">
        <f>TrNavi_emi!U$4</f>
        <v>16.514844839999999</v>
      </c>
      <c r="V87" s="102">
        <f>TrNavi_emi!V$4</f>
        <v>11.764358561062695</v>
      </c>
      <c r="W87" s="102">
        <f>TrNavi_emi!W$4</f>
        <v>12.31519813028409</v>
      </c>
      <c r="X87" s="102">
        <f>TrNavi_emi!X$4</f>
        <v>9.5976676839382513</v>
      </c>
      <c r="Y87" s="102">
        <f>TrNavi_emi!Y$4</f>
        <v>7.5902886475918834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3.4623180601530891E-2</v>
      </c>
      <c r="C88" s="169">
        <f>TrNavi_emi!C$5</f>
        <v>2.3618403978935734E-2</v>
      </c>
      <c r="D88" s="169">
        <f>TrNavi_emi!D$5</f>
        <v>4.2859174962513479E-2</v>
      </c>
      <c r="E88" s="169">
        <f>TrNavi_emi!E$5</f>
        <v>4.5606759285285806E-2</v>
      </c>
      <c r="F88" s="169">
        <f>TrNavi_emi!F$5</f>
        <v>0.10613958013664247</v>
      </c>
      <c r="G88" s="169">
        <f>TrNavi_emi!G$5</f>
        <v>0.13974293325461307</v>
      </c>
      <c r="H88" s="169">
        <f>TrNavi_emi!H$5</f>
        <v>0.3015352211798315</v>
      </c>
      <c r="I88" s="169">
        <f>TrNavi_emi!I$5</f>
        <v>1.3209820042122127</v>
      </c>
      <c r="J88" s="169">
        <f>TrNavi_emi!J$5</f>
        <v>2.0335330854237674</v>
      </c>
      <c r="K88" s="169">
        <f>TrNavi_emi!K$5</f>
        <v>0.37196747116478052</v>
      </c>
      <c r="L88" s="169">
        <f>TrNavi_emi!L$5</f>
        <v>0.43100194526656382</v>
      </c>
      <c r="M88" s="169">
        <f>TrNavi_emi!M$5</f>
        <v>0.27285769321786929</v>
      </c>
      <c r="N88" s="169">
        <f>TrNavi_emi!N$5</f>
        <v>9.8945745493489598E-2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2.9095893730418789E-4</v>
      </c>
      <c r="W88" s="169">
        <f>TrNavi_emi!W$5</f>
        <v>8.5407229715908986E-2</v>
      </c>
      <c r="X88" s="169">
        <f>TrNavi_emi!X$5</f>
        <v>0.25911431606175045</v>
      </c>
      <c r="Y88" s="169">
        <f>TrNavi_emi!Y$5</f>
        <v>0.35889259240811544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292.54041108000001</v>
      </c>
      <c r="C89" s="28">
        <f t="shared" si="72"/>
        <v>317.22057000000001</v>
      </c>
      <c r="D89" s="28">
        <f t="shared" si="72"/>
        <v>348.24054708000006</v>
      </c>
      <c r="E89" s="28">
        <f t="shared" si="72"/>
        <v>347.93839008000003</v>
      </c>
      <c r="F89" s="28">
        <f t="shared" si="72"/>
        <v>360.46734804000005</v>
      </c>
      <c r="G89" s="28">
        <f t="shared" si="72"/>
        <v>456.24436488000003</v>
      </c>
      <c r="H89" s="28">
        <f t="shared" si="72"/>
        <v>440.54549784000005</v>
      </c>
      <c r="I89" s="28">
        <f t="shared" si="72"/>
        <v>379.55025144000024</v>
      </c>
      <c r="J89" s="28">
        <f t="shared" si="72"/>
        <v>286.53102432000003</v>
      </c>
      <c r="K89" s="28">
        <f t="shared" si="72"/>
        <v>404.53724160000019</v>
      </c>
      <c r="L89" s="28">
        <f t="shared" si="72"/>
        <v>448.37785008000009</v>
      </c>
      <c r="M89" s="28">
        <f t="shared" si="72"/>
        <v>451.68274728000017</v>
      </c>
      <c r="N89" s="28">
        <f t="shared" si="72"/>
        <v>386.73176328</v>
      </c>
      <c r="O89" s="28">
        <f t="shared" si="72"/>
        <v>278.51066460000004</v>
      </c>
      <c r="P89" s="28">
        <f t="shared" si="72"/>
        <v>34.698286440000004</v>
      </c>
      <c r="Q89" s="28">
        <f t="shared" si="72"/>
        <v>239.83073136000002</v>
      </c>
      <c r="R89" s="28">
        <f t="shared" si="72"/>
        <v>516.1033411200001</v>
      </c>
      <c r="S89" s="28">
        <f t="shared" si="72"/>
        <v>555.86488680000002</v>
      </c>
      <c r="T89" s="28">
        <f t="shared" si="72"/>
        <v>640.29878459999998</v>
      </c>
      <c r="U89" s="28">
        <f t="shared" si="72"/>
        <v>619.05317256000001</v>
      </c>
      <c r="V89" s="28">
        <f t="shared" si="72"/>
        <v>578.97739980000006</v>
      </c>
      <c r="W89" s="28">
        <f t="shared" si="72"/>
        <v>595.73527704000014</v>
      </c>
      <c r="X89" s="28">
        <f t="shared" ref="X89:Y89" si="73">X90+X91</f>
        <v>489.86994995999999</v>
      </c>
      <c r="Y89" s="28">
        <f t="shared" si="73"/>
        <v>394.13574756000003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163.67805542689848</v>
      </c>
      <c r="C90" s="102">
        <f>MBunk_emi!C$4</f>
        <v>177.49729456634134</v>
      </c>
      <c r="D90" s="102">
        <f>MBunk_emi!D$4</f>
        <v>194.20272119471389</v>
      </c>
      <c r="E90" s="102">
        <f>MBunk_emi!E$4</f>
        <v>194.28159122724972</v>
      </c>
      <c r="F90" s="102">
        <f>MBunk_emi!F$4</f>
        <v>201.31941951108107</v>
      </c>
      <c r="G90" s="102">
        <f>MBunk_emi!G$4</f>
        <v>257.55330746660144</v>
      </c>
      <c r="H90" s="102">
        <f>MBunk_emi!H$4</f>
        <v>211.62791117682352</v>
      </c>
      <c r="I90" s="102">
        <f>MBunk_emi!I$4</f>
        <v>159.66748522839637</v>
      </c>
      <c r="J90" s="102">
        <f>MBunk_emi!J$4</f>
        <v>114.41453770000459</v>
      </c>
      <c r="K90" s="102">
        <f>MBunk_emi!K$4</f>
        <v>148.05152465247369</v>
      </c>
      <c r="L90" s="102">
        <f>MBunk_emi!L$4</f>
        <v>166.03978021133634</v>
      </c>
      <c r="M90" s="102">
        <f>MBunk_emi!M$4</f>
        <v>177.43544052099497</v>
      </c>
      <c r="N90" s="102">
        <f>MBunk_emi!N$4</f>
        <v>156.11975164587304</v>
      </c>
      <c r="O90" s="102">
        <f>MBunk_emi!O$4</f>
        <v>104.01027520581871</v>
      </c>
      <c r="P90" s="102">
        <f>MBunk_emi!P$4</f>
        <v>12.35529219201196</v>
      </c>
      <c r="Q90" s="102">
        <f>MBunk_emi!Q$4</f>
        <v>80.997557798011499</v>
      </c>
      <c r="R90" s="102">
        <f>MBunk_emi!R$4</f>
        <v>162.41370020378071</v>
      </c>
      <c r="S90" s="102">
        <f>MBunk_emi!S$4</f>
        <v>175.21579559019565</v>
      </c>
      <c r="T90" s="102">
        <f>MBunk_emi!T$4</f>
        <v>204.5110490210902</v>
      </c>
      <c r="U90" s="102">
        <f>MBunk_emi!U$4</f>
        <v>202.21546325756563</v>
      </c>
      <c r="V90" s="102">
        <f>MBunk_emi!V$4</f>
        <v>164.75893145334328</v>
      </c>
      <c r="W90" s="102">
        <f>MBunk_emi!W$4</f>
        <v>160.2018718407196</v>
      </c>
      <c r="X90" s="102">
        <f>MBunk_emi!X$4</f>
        <v>175.42373935963883</v>
      </c>
      <c r="Y90" s="102">
        <f>MBunk_emi!Y$4</f>
        <v>149.96250462513024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128.86235565310153</v>
      </c>
      <c r="C91" s="86">
        <f>MBunk_emi!C$5</f>
        <v>139.72327543365867</v>
      </c>
      <c r="D91" s="86">
        <f>MBunk_emi!D$5</f>
        <v>154.03782588528617</v>
      </c>
      <c r="E91" s="86">
        <f>MBunk_emi!E$5</f>
        <v>153.65679885275031</v>
      </c>
      <c r="F91" s="86">
        <f>MBunk_emi!F$5</f>
        <v>159.14792852891895</v>
      </c>
      <c r="G91" s="86">
        <f>MBunk_emi!G$5</f>
        <v>198.69105741339857</v>
      </c>
      <c r="H91" s="86">
        <f>MBunk_emi!H$5</f>
        <v>228.91758666317654</v>
      </c>
      <c r="I91" s="86">
        <f>MBunk_emi!I$5</f>
        <v>219.88276621160384</v>
      </c>
      <c r="J91" s="86">
        <f>MBunk_emi!J$5</f>
        <v>172.11648661999544</v>
      </c>
      <c r="K91" s="86">
        <f>MBunk_emi!K$5</f>
        <v>256.4857169475265</v>
      </c>
      <c r="L91" s="86">
        <f>MBunk_emi!L$5</f>
        <v>282.33806986866375</v>
      </c>
      <c r="M91" s="86">
        <f>MBunk_emi!M$5</f>
        <v>274.2473067590052</v>
      </c>
      <c r="N91" s="86">
        <f>MBunk_emi!N$5</f>
        <v>230.61201163412699</v>
      </c>
      <c r="O91" s="86">
        <f>MBunk_emi!O$5</f>
        <v>174.50038939418133</v>
      </c>
      <c r="P91" s="86">
        <f>MBunk_emi!P$5</f>
        <v>22.342994247988045</v>
      </c>
      <c r="Q91" s="86">
        <f>MBunk_emi!Q$5</f>
        <v>158.8331735619885</v>
      </c>
      <c r="R91" s="86">
        <f>MBunk_emi!R$5</f>
        <v>353.68964091621933</v>
      </c>
      <c r="S91" s="86">
        <f>MBunk_emi!S$5</f>
        <v>380.6490912098044</v>
      </c>
      <c r="T91" s="86">
        <f>MBunk_emi!T$5</f>
        <v>435.7877355789098</v>
      </c>
      <c r="U91" s="86">
        <f>MBunk_emi!U$5</f>
        <v>416.8377093024344</v>
      </c>
      <c r="V91" s="86">
        <f>MBunk_emi!V$5</f>
        <v>414.21846834665678</v>
      </c>
      <c r="W91" s="86">
        <f>MBunk_emi!W$5</f>
        <v>435.53340519928054</v>
      </c>
      <c r="X91" s="86">
        <f>MBunk_emi!X$5</f>
        <v>314.44621060036116</v>
      </c>
      <c r="Y91" s="86">
        <f>MBunk_emi!Y$5</f>
        <v>244.17324293486979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0.95919190948172695</v>
      </c>
      <c r="C97" s="139">
        <f t="shared" si="75"/>
        <v>0.95496227825811386</v>
      </c>
      <c r="D97" s="139">
        <f t="shared" si="75"/>
        <v>0.95853898510479163</v>
      </c>
      <c r="E97" s="139">
        <f t="shared" si="75"/>
        <v>0.96069122181378241</v>
      </c>
      <c r="F97" s="139">
        <f t="shared" si="75"/>
        <v>0.96121337638634252</v>
      </c>
      <c r="G97" s="139">
        <f t="shared" si="75"/>
        <v>0.96074116928977182</v>
      </c>
      <c r="H97" s="139">
        <f t="shared" si="75"/>
        <v>0.95969322408434521</v>
      </c>
      <c r="I97" s="139">
        <f t="shared" si="75"/>
        <v>0.95316361470285482</v>
      </c>
      <c r="J97" s="139">
        <f t="shared" si="75"/>
        <v>0.95144319955680468</v>
      </c>
      <c r="K97" s="139">
        <f t="shared" si="75"/>
        <v>0.96487364029219824</v>
      </c>
      <c r="L97" s="139">
        <f t="shared" si="75"/>
        <v>0.95253175230712239</v>
      </c>
      <c r="M97" s="139">
        <f t="shared" si="75"/>
        <v>0.94137347432808338</v>
      </c>
      <c r="N97" s="139">
        <f t="shared" si="75"/>
        <v>0.93719498211862695</v>
      </c>
      <c r="O97" s="139">
        <f t="shared" si="75"/>
        <v>0.92967404024603195</v>
      </c>
      <c r="P97" s="139">
        <f t="shared" si="75"/>
        <v>0.9026112394029765</v>
      </c>
      <c r="Q97" s="139">
        <f t="shared" si="75"/>
        <v>0.89552858569846305</v>
      </c>
      <c r="R97" s="139">
        <f t="shared" si="75"/>
        <v>0.88810880067816445</v>
      </c>
      <c r="S97" s="139">
        <f t="shared" si="75"/>
        <v>0.89564368765474511</v>
      </c>
      <c r="T97" s="139">
        <f t="shared" si="75"/>
        <v>0.87205603834618406</v>
      </c>
      <c r="U97" s="139">
        <f t="shared" si="75"/>
        <v>0.87291866731699108</v>
      </c>
      <c r="V97" s="139">
        <f t="shared" si="75"/>
        <v>0.95098977868302925</v>
      </c>
      <c r="W97" s="139">
        <f t="shared" si="75"/>
        <v>0.93745114140496233</v>
      </c>
      <c r="X97" s="139">
        <f t="shared" si="75"/>
        <v>0.88207971041369804</v>
      </c>
      <c r="Y97" s="139">
        <f t="shared" si="75"/>
        <v>0.87321178502475616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2.151531995873313E-3</v>
      </c>
      <c r="C98" s="140">
        <f t="shared" si="76"/>
        <v>2.1636569953828542E-3</v>
      </c>
      <c r="D98" s="140">
        <f t="shared" si="76"/>
        <v>2.2293862381998169E-3</v>
      </c>
      <c r="E98" s="140">
        <f t="shared" si="76"/>
        <v>2.0940288491967112E-3</v>
      </c>
      <c r="F98" s="140">
        <f t="shared" si="76"/>
        <v>2.0208297500735059E-3</v>
      </c>
      <c r="G98" s="140">
        <f t="shared" si="76"/>
        <v>1.7718650112205133E-3</v>
      </c>
      <c r="H98" s="140">
        <f t="shared" si="76"/>
        <v>1.6707363382550779E-3</v>
      </c>
      <c r="I98" s="140">
        <f t="shared" si="76"/>
        <v>1.8998666947530737E-3</v>
      </c>
      <c r="J98" s="140">
        <f t="shared" si="76"/>
        <v>2.2803754754204329E-3</v>
      </c>
      <c r="K98" s="140">
        <f t="shared" si="76"/>
        <v>2.6460753512431937E-3</v>
      </c>
      <c r="L98" s="140">
        <f t="shared" si="76"/>
        <v>2.8341680192164329E-3</v>
      </c>
      <c r="M98" s="140">
        <f t="shared" si="76"/>
        <v>3.0179864163066821E-3</v>
      </c>
      <c r="N98" s="140">
        <f t="shared" si="76"/>
        <v>2.6221454218610259E-3</v>
      </c>
      <c r="O98" s="140">
        <f t="shared" si="76"/>
        <v>2.6428870582276037E-3</v>
      </c>
      <c r="P98" s="140">
        <f t="shared" si="76"/>
        <v>3.2902479218816466E-3</v>
      </c>
      <c r="Q98" s="140">
        <f t="shared" si="76"/>
        <v>3.2415806386448115E-3</v>
      </c>
      <c r="R98" s="140">
        <f t="shared" si="76"/>
        <v>3.3471093855438837E-3</v>
      </c>
      <c r="S98" s="140">
        <f t="shared" si="76"/>
        <v>2.6926154622551215E-3</v>
      </c>
      <c r="T98" s="140">
        <f t="shared" si="76"/>
        <v>2.6120226631970839E-3</v>
      </c>
      <c r="U98" s="140">
        <f t="shared" si="76"/>
        <v>2.6912118190550215E-3</v>
      </c>
      <c r="V98" s="140">
        <f t="shared" si="76"/>
        <v>3.0458838491360576E-3</v>
      </c>
      <c r="W98" s="140">
        <f t="shared" si="76"/>
        <v>2.9548314709368704E-3</v>
      </c>
      <c r="X98" s="140">
        <f t="shared" si="76"/>
        <v>2.6815169120810232E-3</v>
      </c>
      <c r="Y98" s="140">
        <f t="shared" si="76"/>
        <v>2.7543336561379754E-3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0.86534688974551188</v>
      </c>
      <c r="C99" s="140">
        <f t="shared" si="77"/>
        <v>0.85918094380851817</v>
      </c>
      <c r="D99" s="140">
        <f t="shared" si="77"/>
        <v>0.85699684867236714</v>
      </c>
      <c r="E99" s="140">
        <f t="shared" si="77"/>
        <v>0.86908177059345937</v>
      </c>
      <c r="F99" s="140">
        <f t="shared" si="77"/>
        <v>0.86066077008666952</v>
      </c>
      <c r="G99" s="140">
        <f t="shared" si="77"/>
        <v>0.86699456926940111</v>
      </c>
      <c r="H99" s="140">
        <f t="shared" si="77"/>
        <v>0.87599758238310033</v>
      </c>
      <c r="I99" s="140">
        <f t="shared" si="77"/>
        <v>0.87068952220165918</v>
      </c>
      <c r="J99" s="140">
        <f t="shared" si="77"/>
        <v>0.8707493166186745</v>
      </c>
      <c r="K99" s="140">
        <f t="shared" si="77"/>
        <v>0.8934685267706457</v>
      </c>
      <c r="L99" s="140">
        <f t="shared" si="77"/>
        <v>0.87715314873755224</v>
      </c>
      <c r="M99" s="140">
        <f t="shared" si="77"/>
        <v>0.85939294256692234</v>
      </c>
      <c r="N99" s="140">
        <f t="shared" si="77"/>
        <v>0.86535178084545106</v>
      </c>
      <c r="O99" s="140">
        <f t="shared" si="77"/>
        <v>0.85406704578081327</v>
      </c>
      <c r="P99" s="140">
        <f t="shared" si="77"/>
        <v>0.80140741976850105</v>
      </c>
      <c r="Q99" s="140">
        <f t="shared" si="77"/>
        <v>0.80355958159940499</v>
      </c>
      <c r="R99" s="140">
        <f t="shared" si="77"/>
        <v>0.80303274905580824</v>
      </c>
      <c r="S99" s="140">
        <f t="shared" si="77"/>
        <v>0.82122693768412547</v>
      </c>
      <c r="T99" s="140">
        <f t="shared" si="77"/>
        <v>0.79455016409842483</v>
      </c>
      <c r="U99" s="140">
        <f t="shared" si="77"/>
        <v>0.7966300211622126</v>
      </c>
      <c r="V99" s="140">
        <f t="shared" si="77"/>
        <v>0.89960188478360847</v>
      </c>
      <c r="W99" s="140">
        <f t="shared" si="77"/>
        <v>0.8924567067663759</v>
      </c>
      <c r="X99" s="140">
        <f t="shared" si="77"/>
        <v>0.82602224166174143</v>
      </c>
      <c r="Y99" s="140">
        <f t="shared" si="77"/>
        <v>0.81038445553465377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9.1693487740341736E-2</v>
      </c>
      <c r="C100" s="140">
        <f t="shared" si="78"/>
        <v>9.3617677454212775E-2</v>
      </c>
      <c r="D100" s="140">
        <f t="shared" si="78"/>
        <v>9.9312750194224697E-2</v>
      </c>
      <c r="E100" s="140">
        <f t="shared" si="78"/>
        <v>8.9515422371126321E-2</v>
      </c>
      <c r="F100" s="140">
        <f t="shared" si="78"/>
        <v>9.8531776549599673E-2</v>
      </c>
      <c r="G100" s="140">
        <f t="shared" si="78"/>
        <v>9.1974735009150099E-2</v>
      </c>
      <c r="H100" s="140">
        <f t="shared" si="78"/>
        <v>8.2024905362989925E-2</v>
      </c>
      <c r="I100" s="140">
        <f t="shared" si="78"/>
        <v>8.0574225806442551E-2</v>
      </c>
      <c r="J100" s="140">
        <f t="shared" si="78"/>
        <v>7.8413507462709836E-2</v>
      </c>
      <c r="K100" s="140">
        <f t="shared" si="78"/>
        <v>6.8759038170309525E-2</v>
      </c>
      <c r="L100" s="140">
        <f t="shared" si="78"/>
        <v>7.2544435550353698E-2</v>
      </c>
      <c r="M100" s="140">
        <f t="shared" si="78"/>
        <v>7.8962545344854293E-2</v>
      </c>
      <c r="N100" s="140">
        <f t="shared" si="78"/>
        <v>6.9221055851314925E-2</v>
      </c>
      <c r="O100" s="140">
        <f t="shared" si="78"/>
        <v>7.2964107406991011E-2</v>
      </c>
      <c r="P100" s="140">
        <f t="shared" si="78"/>
        <v>9.791357171259385E-2</v>
      </c>
      <c r="Q100" s="140">
        <f t="shared" si="78"/>
        <v>8.8727423460413235E-2</v>
      </c>
      <c r="R100" s="140">
        <f t="shared" si="78"/>
        <v>8.1728942236812416E-2</v>
      </c>
      <c r="S100" s="140">
        <f t="shared" si="78"/>
        <v>7.1724134508364526E-2</v>
      </c>
      <c r="T100" s="140">
        <f t="shared" si="78"/>
        <v>7.489385158456216E-2</v>
      </c>
      <c r="U100" s="140">
        <f t="shared" si="78"/>
        <v>7.3597434335723522E-2</v>
      </c>
      <c r="V100" s="140">
        <f t="shared" si="78"/>
        <v>4.8342010050284642E-2</v>
      </c>
      <c r="W100" s="140">
        <f t="shared" si="78"/>
        <v>4.2039603167649625E-2</v>
      </c>
      <c r="X100" s="140">
        <f t="shared" si="78"/>
        <v>5.3375951839875528E-2</v>
      </c>
      <c r="Y100" s="140">
        <f t="shared" si="78"/>
        <v>6.0072995833964395E-2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2.033565190901953E-2</v>
      </c>
      <c r="C101" s="124">
        <f t="shared" si="79"/>
        <v>1.7613209348074622E-2</v>
      </c>
      <c r="D101" s="124">
        <f t="shared" si="79"/>
        <v>1.6414785793801491E-2</v>
      </c>
      <c r="E101" s="124">
        <f t="shared" si="79"/>
        <v>1.2946321548150843E-2</v>
      </c>
      <c r="F101" s="124">
        <f t="shared" si="79"/>
        <v>1.2326883287692943E-2</v>
      </c>
      <c r="G101" s="124">
        <f t="shared" si="79"/>
        <v>6.9772218375946981E-3</v>
      </c>
      <c r="H101" s="124">
        <f t="shared" si="79"/>
        <v>5.9476933542427762E-3</v>
      </c>
      <c r="I101" s="124">
        <f t="shared" si="79"/>
        <v>5.4753348107469046E-3</v>
      </c>
      <c r="J101" s="124">
        <f t="shared" si="79"/>
        <v>5.9133300962759079E-3</v>
      </c>
      <c r="K101" s="124">
        <f t="shared" si="79"/>
        <v>5.7243441876028058E-3</v>
      </c>
      <c r="L101" s="124">
        <f t="shared" si="79"/>
        <v>6.5714442657730581E-3</v>
      </c>
      <c r="M101" s="124">
        <f t="shared" si="79"/>
        <v>7.7295941403805711E-3</v>
      </c>
      <c r="N101" s="124">
        <f t="shared" si="79"/>
        <v>7.0359976331501092E-3</v>
      </c>
      <c r="O101" s="124">
        <f t="shared" si="79"/>
        <v>7.1247003368962065E-3</v>
      </c>
      <c r="P101" s="124">
        <f t="shared" si="79"/>
        <v>8.891354509265913E-3</v>
      </c>
      <c r="Q101" s="124">
        <f t="shared" si="79"/>
        <v>8.4670263574922223E-3</v>
      </c>
      <c r="R101" s="124">
        <f t="shared" si="79"/>
        <v>8.696881323417123E-3</v>
      </c>
      <c r="S101" s="124">
        <f t="shared" si="79"/>
        <v>8.2486682621886898E-3</v>
      </c>
      <c r="T101" s="124">
        <f t="shared" si="79"/>
        <v>9.3386486301285689E-3</v>
      </c>
      <c r="U101" s="124">
        <f t="shared" si="79"/>
        <v>9.1077142111426201E-3</v>
      </c>
      <c r="V101" s="124">
        <f t="shared" si="79"/>
        <v>7.471668437405413E-3</v>
      </c>
      <c r="W101" s="124">
        <f t="shared" si="79"/>
        <v>8.2980509691302894E-3</v>
      </c>
      <c r="X101" s="124">
        <f t="shared" si="79"/>
        <v>9.6073192304728123E-3</v>
      </c>
      <c r="Y101" s="124">
        <f t="shared" si="79"/>
        <v>9.127369909656605E-3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0</v>
      </c>
      <c r="C102" s="140">
        <f t="shared" si="80"/>
        <v>0</v>
      </c>
      <c r="D102" s="140">
        <f t="shared" si="80"/>
        <v>0</v>
      </c>
      <c r="E102" s="140">
        <f t="shared" si="80"/>
        <v>0</v>
      </c>
      <c r="F102" s="140">
        <f t="shared" si="80"/>
        <v>0</v>
      </c>
      <c r="G102" s="140">
        <f t="shared" si="80"/>
        <v>0</v>
      </c>
      <c r="H102" s="140">
        <f t="shared" si="80"/>
        <v>0</v>
      </c>
      <c r="I102" s="140">
        <f t="shared" si="80"/>
        <v>0</v>
      </c>
      <c r="J102" s="140">
        <f t="shared" si="80"/>
        <v>0</v>
      </c>
      <c r="K102" s="140">
        <f t="shared" si="80"/>
        <v>0</v>
      </c>
      <c r="L102" s="140">
        <f t="shared" si="80"/>
        <v>0</v>
      </c>
      <c r="M102" s="140">
        <f t="shared" si="80"/>
        <v>0</v>
      </c>
      <c r="N102" s="140">
        <f t="shared" si="80"/>
        <v>0</v>
      </c>
      <c r="O102" s="140">
        <f t="shared" si="80"/>
        <v>0</v>
      </c>
      <c r="P102" s="140">
        <f t="shared" si="80"/>
        <v>0</v>
      </c>
      <c r="Q102" s="140">
        <f t="shared" si="80"/>
        <v>0</v>
      </c>
      <c r="R102" s="140">
        <f t="shared" si="80"/>
        <v>0</v>
      </c>
      <c r="S102" s="140">
        <f t="shared" si="80"/>
        <v>0</v>
      </c>
      <c r="T102" s="140">
        <f t="shared" si="80"/>
        <v>0</v>
      </c>
      <c r="U102" s="140">
        <f t="shared" si="80"/>
        <v>0</v>
      </c>
      <c r="V102" s="140">
        <f t="shared" si="80"/>
        <v>0</v>
      </c>
      <c r="W102" s="140">
        <f t="shared" si="80"/>
        <v>0</v>
      </c>
      <c r="X102" s="140">
        <f t="shared" si="80"/>
        <v>0</v>
      </c>
      <c r="Y102" s="140">
        <f t="shared" si="80"/>
        <v>0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2.033565190901953E-2</v>
      </c>
      <c r="C103" s="140">
        <f t="shared" si="81"/>
        <v>1.7613209348074622E-2</v>
      </c>
      <c r="D103" s="140">
        <f t="shared" si="81"/>
        <v>1.6414785793801491E-2</v>
      </c>
      <c r="E103" s="140">
        <f t="shared" si="81"/>
        <v>1.2946321548150843E-2</v>
      </c>
      <c r="F103" s="140">
        <f t="shared" si="81"/>
        <v>1.2326883287692943E-2</v>
      </c>
      <c r="G103" s="140">
        <f t="shared" si="81"/>
        <v>6.9772218375946981E-3</v>
      </c>
      <c r="H103" s="140">
        <f t="shared" si="81"/>
        <v>5.9476933542427762E-3</v>
      </c>
      <c r="I103" s="140">
        <f t="shared" si="81"/>
        <v>5.4753348107469046E-3</v>
      </c>
      <c r="J103" s="140">
        <f t="shared" si="81"/>
        <v>5.9133300962759079E-3</v>
      </c>
      <c r="K103" s="140">
        <f t="shared" si="81"/>
        <v>5.7243441876028058E-3</v>
      </c>
      <c r="L103" s="140">
        <f t="shared" si="81"/>
        <v>6.5714442657730581E-3</v>
      </c>
      <c r="M103" s="140">
        <f t="shared" si="81"/>
        <v>7.7295941403805711E-3</v>
      </c>
      <c r="N103" s="140">
        <f t="shared" si="81"/>
        <v>7.0359976331501092E-3</v>
      </c>
      <c r="O103" s="140">
        <f t="shared" si="81"/>
        <v>7.1247003368962065E-3</v>
      </c>
      <c r="P103" s="140">
        <f t="shared" si="81"/>
        <v>8.891354509265913E-3</v>
      </c>
      <c r="Q103" s="140">
        <f t="shared" si="81"/>
        <v>8.4670263574922223E-3</v>
      </c>
      <c r="R103" s="140">
        <f t="shared" si="81"/>
        <v>8.696881323417123E-3</v>
      </c>
      <c r="S103" s="140">
        <f t="shared" si="81"/>
        <v>8.2486682621886898E-3</v>
      </c>
      <c r="T103" s="140">
        <f t="shared" si="81"/>
        <v>9.3386486301285689E-3</v>
      </c>
      <c r="U103" s="140">
        <f t="shared" si="81"/>
        <v>9.1077142111426201E-3</v>
      </c>
      <c r="V103" s="140">
        <f t="shared" si="81"/>
        <v>7.471668437405413E-3</v>
      </c>
      <c r="W103" s="140">
        <f t="shared" si="81"/>
        <v>8.2980509691302894E-3</v>
      </c>
      <c r="X103" s="140">
        <f t="shared" si="81"/>
        <v>9.6073192304728123E-3</v>
      </c>
      <c r="Y103" s="140">
        <f t="shared" si="81"/>
        <v>9.127369909656605E-3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0</v>
      </c>
      <c r="G104" s="140">
        <f t="shared" si="82"/>
        <v>0</v>
      </c>
      <c r="H104" s="140">
        <f t="shared" si="82"/>
        <v>0</v>
      </c>
      <c r="I104" s="140">
        <f t="shared" si="82"/>
        <v>0</v>
      </c>
      <c r="J104" s="140">
        <f t="shared" si="82"/>
        <v>0</v>
      </c>
      <c r="K104" s="140">
        <f t="shared" si="82"/>
        <v>0</v>
      </c>
      <c r="L104" s="140">
        <f t="shared" si="82"/>
        <v>0</v>
      </c>
      <c r="M104" s="140">
        <f t="shared" si="82"/>
        <v>0</v>
      </c>
      <c r="N104" s="140">
        <f t="shared" si="82"/>
        <v>0</v>
      </c>
      <c r="O104" s="140">
        <f t="shared" si="82"/>
        <v>0</v>
      </c>
      <c r="P104" s="140">
        <f t="shared" si="82"/>
        <v>0</v>
      </c>
      <c r="Q104" s="140">
        <f t="shared" si="82"/>
        <v>0</v>
      </c>
      <c r="R104" s="140">
        <f t="shared" si="82"/>
        <v>0</v>
      </c>
      <c r="S104" s="140">
        <f t="shared" si="82"/>
        <v>0</v>
      </c>
      <c r="T104" s="140">
        <f t="shared" si="82"/>
        <v>0</v>
      </c>
      <c r="U104" s="140">
        <f t="shared" si="82"/>
        <v>0</v>
      </c>
      <c r="V104" s="140">
        <f t="shared" si="82"/>
        <v>0</v>
      </c>
      <c r="W104" s="140">
        <f t="shared" si="82"/>
        <v>0</v>
      </c>
      <c r="X104" s="140">
        <f t="shared" si="82"/>
        <v>0</v>
      </c>
      <c r="Y104" s="140">
        <f t="shared" si="82"/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2.0472438609253484E-2</v>
      </c>
      <c r="C105" s="124">
        <f t="shared" si="83"/>
        <v>2.7424512393811561E-2</v>
      </c>
      <c r="D105" s="124">
        <f t="shared" si="83"/>
        <v>2.5046229101406879E-2</v>
      </c>
      <c r="E105" s="124">
        <f t="shared" si="83"/>
        <v>2.636245663806687E-2</v>
      </c>
      <c r="F105" s="124">
        <f t="shared" si="83"/>
        <v>2.6459740325964449E-2</v>
      </c>
      <c r="G105" s="124">
        <f t="shared" si="83"/>
        <v>3.2281608872633566E-2</v>
      </c>
      <c r="H105" s="124">
        <f t="shared" si="83"/>
        <v>3.4359082561411951E-2</v>
      </c>
      <c r="I105" s="124">
        <f t="shared" si="83"/>
        <v>4.1361050486398279E-2</v>
      </c>
      <c r="J105" s="124">
        <f t="shared" si="83"/>
        <v>4.2643470346919447E-2</v>
      </c>
      <c r="K105" s="124">
        <f t="shared" si="83"/>
        <v>2.9402015520198874E-2</v>
      </c>
      <c r="L105" s="124">
        <f t="shared" si="83"/>
        <v>4.08968034271045E-2</v>
      </c>
      <c r="M105" s="124">
        <f t="shared" si="83"/>
        <v>5.0896931531535995E-2</v>
      </c>
      <c r="N105" s="124">
        <f t="shared" si="83"/>
        <v>5.5769020248222972E-2</v>
      </c>
      <c r="O105" s="124">
        <f t="shared" si="83"/>
        <v>6.3201259417071845E-2</v>
      </c>
      <c r="P105" s="124">
        <f t="shared" si="83"/>
        <v>8.8497406087757538E-2</v>
      </c>
      <c r="Q105" s="124">
        <f t="shared" si="83"/>
        <v>9.6004387944044672E-2</v>
      </c>
      <c r="R105" s="124">
        <f t="shared" si="83"/>
        <v>0.10319431799841844</v>
      </c>
      <c r="S105" s="124">
        <f t="shared" si="83"/>
        <v>9.6107644083066143E-2</v>
      </c>
      <c r="T105" s="124">
        <f t="shared" si="83"/>
        <v>0.11860531302368732</v>
      </c>
      <c r="U105" s="124">
        <f t="shared" si="83"/>
        <v>0.11797361847186624</v>
      </c>
      <c r="V105" s="124">
        <f t="shared" si="83"/>
        <v>4.1538552879565392E-2</v>
      </c>
      <c r="W105" s="124">
        <f t="shared" si="83"/>
        <v>5.4250807625907387E-2</v>
      </c>
      <c r="X105" s="124">
        <f t="shared" si="83"/>
        <v>0.10831297035582906</v>
      </c>
      <c r="Y105" s="124">
        <f t="shared" si="83"/>
        <v>0.11766084506558733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0</v>
      </c>
      <c r="C106" s="140">
        <f t="shared" si="84"/>
        <v>0</v>
      </c>
      <c r="D106" s="140">
        <f t="shared" si="84"/>
        <v>0</v>
      </c>
      <c r="E106" s="140">
        <f t="shared" si="84"/>
        <v>0</v>
      </c>
      <c r="F106" s="140">
        <f t="shared" si="84"/>
        <v>0</v>
      </c>
      <c r="G106" s="140">
        <f t="shared" si="84"/>
        <v>0</v>
      </c>
      <c r="H106" s="140">
        <f t="shared" si="84"/>
        <v>0</v>
      </c>
      <c r="I106" s="140">
        <f t="shared" si="84"/>
        <v>0</v>
      </c>
      <c r="J106" s="140">
        <f t="shared" si="84"/>
        <v>0</v>
      </c>
      <c r="K106" s="140">
        <f t="shared" si="84"/>
        <v>0</v>
      </c>
      <c r="L106" s="140">
        <f t="shared" si="84"/>
        <v>0</v>
      </c>
      <c r="M106" s="140">
        <f t="shared" si="84"/>
        <v>0</v>
      </c>
      <c r="N106" s="140">
        <f t="shared" si="84"/>
        <v>0</v>
      </c>
      <c r="O106" s="140">
        <f t="shared" si="84"/>
        <v>0</v>
      </c>
      <c r="P106" s="140">
        <f t="shared" si="84"/>
        <v>0</v>
      </c>
      <c r="Q106" s="140">
        <f t="shared" si="84"/>
        <v>0</v>
      </c>
      <c r="R106" s="140">
        <f t="shared" si="84"/>
        <v>0</v>
      </c>
      <c r="S106" s="140">
        <f t="shared" si="84"/>
        <v>0</v>
      </c>
      <c r="T106" s="140">
        <f t="shared" si="84"/>
        <v>0</v>
      </c>
      <c r="U106" s="140">
        <f t="shared" si="84"/>
        <v>0</v>
      </c>
      <c r="V106" s="140">
        <f t="shared" si="84"/>
        <v>0</v>
      </c>
      <c r="W106" s="140">
        <f t="shared" si="84"/>
        <v>0</v>
      </c>
      <c r="X106" s="140">
        <f t="shared" si="84"/>
        <v>0</v>
      </c>
      <c r="Y106" s="140">
        <f t="shared" si="84"/>
        <v>0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1.5185266421597779E-2</v>
      </c>
      <c r="C107" s="140">
        <f t="shared" si="85"/>
        <v>2.0489711882165654E-2</v>
      </c>
      <c r="D107" s="140">
        <f t="shared" si="85"/>
        <v>1.884602070866884E-2</v>
      </c>
      <c r="E107" s="140">
        <f t="shared" si="85"/>
        <v>1.9958427056811133E-2</v>
      </c>
      <c r="F107" s="140">
        <f t="shared" si="85"/>
        <v>2.0063208008812526E-2</v>
      </c>
      <c r="G107" s="140">
        <f t="shared" si="85"/>
        <v>2.5526238966973824E-2</v>
      </c>
      <c r="H107" s="140">
        <f t="shared" si="85"/>
        <v>2.7296187276005683E-2</v>
      </c>
      <c r="I107" s="140">
        <f t="shared" si="85"/>
        <v>3.185645897780532E-2</v>
      </c>
      <c r="J107" s="140">
        <f t="shared" si="85"/>
        <v>3.4744953228250074E-2</v>
      </c>
      <c r="K107" s="140">
        <f t="shared" si="85"/>
        <v>2.3262043391936275E-2</v>
      </c>
      <c r="L107" s="140">
        <f t="shared" si="85"/>
        <v>3.4968521634622891E-2</v>
      </c>
      <c r="M107" s="140">
        <f t="shared" si="85"/>
        <v>4.6130471104116964E-2</v>
      </c>
      <c r="N107" s="140">
        <f t="shared" si="85"/>
        <v>5.0231884189653492E-2</v>
      </c>
      <c r="O107" s="140">
        <f t="shared" si="85"/>
        <v>5.5079989521160382E-2</v>
      </c>
      <c r="P107" s="140">
        <f t="shared" si="85"/>
        <v>7.4741677408964022E-2</v>
      </c>
      <c r="Q107" s="140">
        <f t="shared" si="85"/>
        <v>8.1464539430446153E-2</v>
      </c>
      <c r="R107" s="140">
        <f t="shared" si="85"/>
        <v>8.8217848476435184E-2</v>
      </c>
      <c r="S107" s="140">
        <f t="shared" si="85"/>
        <v>7.922857561715127E-2</v>
      </c>
      <c r="T107" s="140">
        <f t="shared" si="85"/>
        <v>9.2739746064026976E-2</v>
      </c>
      <c r="U107" s="140">
        <f t="shared" si="85"/>
        <v>8.8044445304166621E-2</v>
      </c>
      <c r="V107" s="140">
        <f t="shared" si="85"/>
        <v>3.3475736423727691E-2</v>
      </c>
      <c r="W107" s="140">
        <f t="shared" si="85"/>
        <v>3.9281400021251071E-2</v>
      </c>
      <c r="X107" s="140">
        <f t="shared" si="85"/>
        <v>8.0645546428161533E-2</v>
      </c>
      <c r="Y107" s="140">
        <f t="shared" si="85"/>
        <v>8.5153054646241816E-2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5.287172187655704E-3</v>
      </c>
      <c r="C108" s="140">
        <f t="shared" si="86"/>
        <v>6.9348005116459076E-3</v>
      </c>
      <c r="D108" s="140">
        <f t="shared" si="86"/>
        <v>6.2002083927380379E-3</v>
      </c>
      <c r="E108" s="140">
        <f t="shared" si="86"/>
        <v>6.4040295812557392E-3</v>
      </c>
      <c r="F108" s="140">
        <f t="shared" si="86"/>
        <v>6.3965323171519253E-3</v>
      </c>
      <c r="G108" s="140">
        <f t="shared" si="86"/>
        <v>6.7553699056597432E-3</v>
      </c>
      <c r="H108" s="140">
        <f t="shared" si="86"/>
        <v>7.0628952854062703E-3</v>
      </c>
      <c r="I108" s="140">
        <f t="shared" si="86"/>
        <v>9.5045915085929574E-3</v>
      </c>
      <c r="J108" s="140">
        <f t="shared" si="86"/>
        <v>7.8985171186693685E-3</v>
      </c>
      <c r="K108" s="140">
        <f t="shared" si="86"/>
        <v>6.1399721282625989E-3</v>
      </c>
      <c r="L108" s="140">
        <f t="shared" si="86"/>
        <v>5.9282817924816043E-3</v>
      </c>
      <c r="M108" s="140">
        <f t="shared" si="86"/>
        <v>4.7664604274190274E-3</v>
      </c>
      <c r="N108" s="140">
        <f t="shared" si="86"/>
        <v>5.5371360585694798E-3</v>
      </c>
      <c r="O108" s="140">
        <f t="shared" si="86"/>
        <v>8.1212698959114687E-3</v>
      </c>
      <c r="P108" s="140">
        <f t="shared" si="86"/>
        <v>1.375572867879352E-2</v>
      </c>
      <c r="Q108" s="140">
        <f t="shared" si="86"/>
        <v>1.4539848513598512E-2</v>
      </c>
      <c r="R108" s="140">
        <f t="shared" si="86"/>
        <v>1.497646952198326E-2</v>
      </c>
      <c r="S108" s="140">
        <f t="shared" si="86"/>
        <v>1.6879068465914877E-2</v>
      </c>
      <c r="T108" s="140">
        <f t="shared" si="86"/>
        <v>2.5865566959660337E-2</v>
      </c>
      <c r="U108" s="140">
        <f t="shared" si="86"/>
        <v>2.9929173167699618E-2</v>
      </c>
      <c r="V108" s="140">
        <f t="shared" si="86"/>
        <v>8.0628164558376944E-3</v>
      </c>
      <c r="W108" s="140">
        <f t="shared" si="86"/>
        <v>1.4969407604656317E-2</v>
      </c>
      <c r="X108" s="140">
        <f t="shared" si="86"/>
        <v>2.766742392766753E-2</v>
      </c>
      <c r="Y108" s="140">
        <f t="shared" si="86"/>
        <v>3.2507790419345518E-2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0.25728137328647777</v>
      </c>
      <c r="C110" s="139">
        <f t="shared" si="88"/>
        <v>0.29245983764699068</v>
      </c>
      <c r="D110" s="139">
        <f t="shared" si="88"/>
        <v>0.25349810848587312</v>
      </c>
      <c r="E110" s="139">
        <f t="shared" si="88"/>
        <v>0.24863864199227856</v>
      </c>
      <c r="F110" s="139">
        <f t="shared" si="88"/>
        <v>0.27203895469581879</v>
      </c>
      <c r="G110" s="139">
        <f t="shared" si="88"/>
        <v>0.25876797929302386</v>
      </c>
      <c r="H110" s="139">
        <f t="shared" si="88"/>
        <v>0.28274875450613879</v>
      </c>
      <c r="I110" s="139">
        <f t="shared" si="88"/>
        <v>0.28991878534297211</v>
      </c>
      <c r="J110" s="139">
        <f t="shared" si="88"/>
        <v>0.2707412280522985</v>
      </c>
      <c r="K110" s="139">
        <f t="shared" si="88"/>
        <v>0.29735230303864418</v>
      </c>
      <c r="L110" s="139">
        <f t="shared" si="88"/>
        <v>0.27323094386170932</v>
      </c>
      <c r="M110" s="139">
        <f t="shared" si="88"/>
        <v>0.26444966373484874</v>
      </c>
      <c r="N110" s="139">
        <f t="shared" si="88"/>
        <v>0.29787565639874175</v>
      </c>
      <c r="O110" s="139">
        <f t="shared" si="88"/>
        <v>0.33477999281379384</v>
      </c>
      <c r="P110" s="139">
        <f t="shared" si="88"/>
        <v>0.32063456144837488</v>
      </c>
      <c r="Q110" s="139">
        <f t="shared" si="88"/>
        <v>0.34238812592216855</v>
      </c>
      <c r="R110" s="139">
        <f t="shared" si="88"/>
        <v>0.35179035519713059</v>
      </c>
      <c r="S110" s="139">
        <f t="shared" si="88"/>
        <v>0.33416292011799098</v>
      </c>
      <c r="T110" s="139">
        <f t="shared" si="88"/>
        <v>0.32229855143283448</v>
      </c>
      <c r="U110" s="139">
        <f t="shared" si="88"/>
        <v>0.32703207598188644</v>
      </c>
      <c r="V110" s="139">
        <f t="shared" si="88"/>
        <v>0.35513172748230615</v>
      </c>
      <c r="W110" s="139">
        <f t="shared" si="88"/>
        <v>0.37629181727528566</v>
      </c>
      <c r="X110" s="139">
        <f t="shared" si="88"/>
        <v>0.53599481981808028</v>
      </c>
      <c r="Y110" s="139">
        <f t="shared" si="88"/>
        <v>0.60821832369788364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3.1111945771944939E-3</v>
      </c>
      <c r="C111" s="140">
        <f t="shared" si="89"/>
        <v>3.5289679817457078E-3</v>
      </c>
      <c r="D111" s="140">
        <f t="shared" si="89"/>
        <v>3.2264326870896148E-3</v>
      </c>
      <c r="E111" s="140">
        <f t="shared" si="89"/>
        <v>2.9905885668041038E-3</v>
      </c>
      <c r="F111" s="140">
        <f t="shared" si="89"/>
        <v>3.0534542298108649E-3</v>
      </c>
      <c r="G111" s="140">
        <f t="shared" si="89"/>
        <v>3.2122283815162224E-3</v>
      </c>
      <c r="H111" s="140">
        <f t="shared" si="89"/>
        <v>3.7891140673553488E-3</v>
      </c>
      <c r="I111" s="140">
        <f t="shared" si="89"/>
        <v>3.8683934396454268E-3</v>
      </c>
      <c r="J111" s="140">
        <f t="shared" si="89"/>
        <v>4.1118447730504369E-3</v>
      </c>
      <c r="K111" s="140">
        <f t="shared" si="89"/>
        <v>5.4685787555506871E-3</v>
      </c>
      <c r="L111" s="140">
        <f t="shared" si="89"/>
        <v>4.5752226430658093E-3</v>
      </c>
      <c r="M111" s="140">
        <f t="shared" si="89"/>
        <v>4.5705830386141462E-3</v>
      </c>
      <c r="N111" s="140">
        <f t="shared" si="89"/>
        <v>5.1519310549077262E-3</v>
      </c>
      <c r="O111" s="140">
        <f t="shared" si="89"/>
        <v>5.4247978512695612E-3</v>
      </c>
      <c r="P111" s="140">
        <f t="shared" si="89"/>
        <v>5.6482599011163379E-3</v>
      </c>
      <c r="Q111" s="140">
        <f t="shared" si="89"/>
        <v>5.7841819594213794E-3</v>
      </c>
      <c r="R111" s="140">
        <f t="shared" si="89"/>
        <v>6.1165603621337458E-3</v>
      </c>
      <c r="S111" s="140">
        <f t="shared" si="89"/>
        <v>5.6067478560268939E-3</v>
      </c>
      <c r="T111" s="140">
        <f t="shared" si="89"/>
        <v>5.3123319527191484E-3</v>
      </c>
      <c r="U111" s="140">
        <f t="shared" si="89"/>
        <v>5.7351044443969459E-3</v>
      </c>
      <c r="V111" s="140">
        <f t="shared" si="89"/>
        <v>5.8399766884567831E-3</v>
      </c>
      <c r="W111" s="140">
        <f t="shared" si="89"/>
        <v>6.3861368002890023E-3</v>
      </c>
      <c r="X111" s="140">
        <f t="shared" si="89"/>
        <v>8.861104398827398E-3</v>
      </c>
      <c r="Y111" s="140">
        <f t="shared" si="89"/>
        <v>8.8524639851462542E-3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0.25417017870928327</v>
      </c>
      <c r="C112" s="140">
        <f t="shared" si="90"/>
        <v>0.28893086966524495</v>
      </c>
      <c r="D112" s="140">
        <f t="shared" si="90"/>
        <v>0.25027167579878351</v>
      </c>
      <c r="E112" s="140">
        <f t="shared" si="90"/>
        <v>0.24564805342547447</v>
      </c>
      <c r="F112" s="140">
        <f t="shared" si="90"/>
        <v>0.26898550046600794</v>
      </c>
      <c r="G112" s="140">
        <f t="shared" si="90"/>
        <v>0.25555575091150762</v>
      </c>
      <c r="H112" s="140">
        <f t="shared" si="90"/>
        <v>0.27895964043878341</v>
      </c>
      <c r="I112" s="140">
        <f t="shared" si="90"/>
        <v>0.28605039190332671</v>
      </c>
      <c r="J112" s="140">
        <f t="shared" si="90"/>
        <v>0.26662938327924807</v>
      </c>
      <c r="K112" s="140">
        <f t="shared" si="90"/>
        <v>0.2918837242830935</v>
      </c>
      <c r="L112" s="140">
        <f t="shared" si="90"/>
        <v>0.26865572121864351</v>
      </c>
      <c r="M112" s="140">
        <f t="shared" si="90"/>
        <v>0.25987908069623461</v>
      </c>
      <c r="N112" s="140">
        <f t="shared" si="90"/>
        <v>0.29272372534383401</v>
      </c>
      <c r="O112" s="140">
        <f t="shared" si="90"/>
        <v>0.3293551949625243</v>
      </c>
      <c r="P112" s="140">
        <f t="shared" si="90"/>
        <v>0.31498630154725854</v>
      </c>
      <c r="Q112" s="140">
        <f t="shared" si="90"/>
        <v>0.33660394396274718</v>
      </c>
      <c r="R112" s="140">
        <f t="shared" si="90"/>
        <v>0.34567379483499688</v>
      </c>
      <c r="S112" s="140">
        <f t="shared" si="90"/>
        <v>0.3285561722619641</v>
      </c>
      <c r="T112" s="140">
        <f t="shared" si="90"/>
        <v>0.31698621948011529</v>
      </c>
      <c r="U112" s="140">
        <f t="shared" si="90"/>
        <v>0.32129697153748954</v>
      </c>
      <c r="V112" s="140">
        <f t="shared" si="90"/>
        <v>0.34929175079384939</v>
      </c>
      <c r="W112" s="140">
        <f t="shared" si="90"/>
        <v>0.36990568047499667</v>
      </c>
      <c r="X112" s="140">
        <f t="shared" si="90"/>
        <v>0.5271337154192528</v>
      </c>
      <c r="Y112" s="140">
        <f t="shared" si="90"/>
        <v>0.59936585971273737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0.72371561724633493</v>
      </c>
      <c r="C113" s="124">
        <f t="shared" si="91"/>
        <v>0.69249440649320237</v>
      </c>
      <c r="D113" s="124">
        <f t="shared" si="91"/>
        <v>0.73389736587617382</v>
      </c>
      <c r="E113" s="124">
        <f t="shared" si="91"/>
        <v>0.74063715613617365</v>
      </c>
      <c r="F113" s="124">
        <f t="shared" si="91"/>
        <v>0.71941603180335056</v>
      </c>
      <c r="G113" s="124">
        <f t="shared" si="91"/>
        <v>0.73160183443975124</v>
      </c>
      <c r="H113" s="124">
        <f t="shared" si="91"/>
        <v>0.70831402718934711</v>
      </c>
      <c r="I113" s="124">
        <f t="shared" si="91"/>
        <v>0.70194815398968657</v>
      </c>
      <c r="J113" s="124">
        <f t="shared" si="91"/>
        <v>0.72111905079638472</v>
      </c>
      <c r="K113" s="124">
        <f t="shared" si="91"/>
        <v>0.69357442270282477</v>
      </c>
      <c r="L113" s="124">
        <f t="shared" si="91"/>
        <v>0.71838139733665607</v>
      </c>
      <c r="M113" s="124">
        <f t="shared" si="91"/>
        <v>0.72715514814220494</v>
      </c>
      <c r="N113" s="124">
        <f t="shared" si="91"/>
        <v>0.69324120008374235</v>
      </c>
      <c r="O113" s="124">
        <f t="shared" si="91"/>
        <v>0.65683623478779862</v>
      </c>
      <c r="P113" s="124">
        <f t="shared" si="91"/>
        <v>0.67122304045662329</v>
      </c>
      <c r="Q113" s="124">
        <f t="shared" si="91"/>
        <v>0.64921876503719889</v>
      </c>
      <c r="R113" s="124">
        <f t="shared" si="91"/>
        <v>0.64145996893438562</v>
      </c>
      <c r="S113" s="124">
        <f t="shared" si="91"/>
        <v>0.65765739913704924</v>
      </c>
      <c r="T113" s="124">
        <f t="shared" si="91"/>
        <v>0.67088397040884273</v>
      </c>
      <c r="U113" s="124">
        <f t="shared" si="91"/>
        <v>0.66516201336337233</v>
      </c>
      <c r="V113" s="124">
        <f t="shared" si="91"/>
        <v>0.63938082685409259</v>
      </c>
      <c r="W113" s="124">
        <f t="shared" si="91"/>
        <v>0.61754110507722648</v>
      </c>
      <c r="X113" s="124">
        <f t="shared" si="91"/>
        <v>0.45613177885920331</v>
      </c>
      <c r="Y113" s="124">
        <f t="shared" si="91"/>
        <v>0.38498833661352833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3.9881127442078942E-4</v>
      </c>
      <c r="C114" s="124">
        <f t="shared" si="92"/>
        <v>4.7263555338491803E-4</v>
      </c>
      <c r="D114" s="124">
        <f t="shared" si="92"/>
        <v>3.6533872862847173E-4</v>
      </c>
      <c r="E114" s="124">
        <f t="shared" si="92"/>
        <v>1.8486467673790654E-4</v>
      </c>
      <c r="F114" s="124">
        <f t="shared" si="92"/>
        <v>1.8106800158363047E-4</v>
      </c>
      <c r="G114" s="124">
        <f t="shared" si="92"/>
        <v>2.1307229243370263E-4</v>
      </c>
      <c r="H114" s="124">
        <f t="shared" si="92"/>
        <v>2.7717305805434396E-4</v>
      </c>
      <c r="I114" s="124">
        <f t="shared" si="92"/>
        <v>3.2079234780790512E-4</v>
      </c>
      <c r="J114" s="124">
        <f t="shared" si="92"/>
        <v>2.1963560684325599E-4</v>
      </c>
      <c r="K114" s="124">
        <f t="shared" si="92"/>
        <v>1.4817095804056822E-4</v>
      </c>
      <c r="L114" s="124">
        <f t="shared" si="92"/>
        <v>2.053529865972558E-4</v>
      </c>
      <c r="M114" s="124">
        <f t="shared" si="92"/>
        <v>2.0433093826249972E-4</v>
      </c>
      <c r="N114" s="124">
        <f t="shared" si="92"/>
        <v>9.4843740224767646E-4</v>
      </c>
      <c r="O114" s="124">
        <f t="shared" si="92"/>
        <v>6.7091819688376944E-4</v>
      </c>
      <c r="P114" s="124">
        <f t="shared" si="92"/>
        <v>5.6715323393190264E-4</v>
      </c>
      <c r="Q114" s="124">
        <f t="shared" si="92"/>
        <v>5.9475947049110976E-4</v>
      </c>
      <c r="R114" s="124">
        <f t="shared" si="92"/>
        <v>5.3542194318640182E-4</v>
      </c>
      <c r="S114" s="124">
        <f t="shared" si="92"/>
        <v>4.6225420424931825E-4</v>
      </c>
      <c r="T114" s="124">
        <f t="shared" si="92"/>
        <v>5.3743204669231008E-4</v>
      </c>
      <c r="U114" s="124">
        <f t="shared" si="92"/>
        <v>6.4332310091657296E-4</v>
      </c>
      <c r="V114" s="124">
        <f t="shared" si="92"/>
        <v>6.0816191275188576E-4</v>
      </c>
      <c r="W114" s="124">
        <f t="shared" si="92"/>
        <v>6.2998177439250959E-4</v>
      </c>
      <c r="X114" s="124">
        <f t="shared" si="92"/>
        <v>1.0402071093331816E-3</v>
      </c>
      <c r="Y114" s="124">
        <f t="shared" si="92"/>
        <v>1.0944501857220012E-3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0</v>
      </c>
      <c r="C115" s="140">
        <f t="shared" si="93"/>
        <v>0</v>
      </c>
      <c r="D115" s="140">
        <f t="shared" si="93"/>
        <v>0</v>
      </c>
      <c r="E115" s="140">
        <f t="shared" si="93"/>
        <v>0</v>
      </c>
      <c r="F115" s="140">
        <f t="shared" si="93"/>
        <v>0</v>
      </c>
      <c r="G115" s="140">
        <f t="shared" si="93"/>
        <v>0</v>
      </c>
      <c r="H115" s="140">
        <f t="shared" si="93"/>
        <v>0</v>
      </c>
      <c r="I115" s="140">
        <f t="shared" si="93"/>
        <v>0</v>
      </c>
      <c r="J115" s="140">
        <f t="shared" si="93"/>
        <v>0</v>
      </c>
      <c r="K115" s="140">
        <f t="shared" si="93"/>
        <v>0</v>
      </c>
      <c r="L115" s="140">
        <f t="shared" si="93"/>
        <v>0</v>
      </c>
      <c r="M115" s="140">
        <f t="shared" si="93"/>
        <v>0</v>
      </c>
      <c r="N115" s="140">
        <f t="shared" si="93"/>
        <v>0</v>
      </c>
      <c r="O115" s="140">
        <f t="shared" si="93"/>
        <v>0</v>
      </c>
      <c r="P115" s="140">
        <f t="shared" si="93"/>
        <v>0</v>
      </c>
      <c r="Q115" s="140">
        <f t="shared" si="93"/>
        <v>0</v>
      </c>
      <c r="R115" s="140">
        <f t="shared" ref="R115:V116" si="94">IF(R23=0,0,R23/R$17)</f>
        <v>0</v>
      </c>
      <c r="S115" s="140">
        <f t="shared" si="94"/>
        <v>0</v>
      </c>
      <c r="T115" s="140">
        <f t="shared" si="94"/>
        <v>0</v>
      </c>
      <c r="U115" s="140">
        <f t="shared" si="94"/>
        <v>0</v>
      </c>
      <c r="V115" s="140">
        <f t="shared" si="94"/>
        <v>0</v>
      </c>
      <c r="W115" s="140">
        <f t="shared" ref="W115:Y120" si="95">IF(W23=0,0,W23/W$17)</f>
        <v>0</v>
      </c>
      <c r="X115" s="140">
        <f t="shared" si="95"/>
        <v>0</v>
      </c>
      <c r="Y115" s="140">
        <f t="shared" si="95"/>
        <v>0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3.5690251319049241E-4</v>
      </c>
      <c r="C116" s="140">
        <f t="shared" si="96"/>
        <v>4.2422367694940798E-4</v>
      </c>
      <c r="D116" s="140">
        <f t="shared" si="96"/>
        <v>3.2694492970437281E-4</v>
      </c>
      <c r="E116" s="140">
        <f t="shared" si="96"/>
        <v>1.5485182976978349E-4</v>
      </c>
      <c r="F116" s="140">
        <f t="shared" si="96"/>
        <v>1.4624613864826962E-4</v>
      </c>
      <c r="G116" s="140">
        <f t="shared" si="96"/>
        <v>1.6977537781852207E-4</v>
      </c>
      <c r="H116" s="140">
        <f t="shared" si="96"/>
        <v>1.7888232475624964E-4</v>
      </c>
      <c r="I116" s="140">
        <f t="shared" si="96"/>
        <v>1.761102652928433E-4</v>
      </c>
      <c r="J116" s="140">
        <f t="shared" si="96"/>
        <v>1.6023893713432445E-4</v>
      </c>
      <c r="K116" s="140">
        <f t="shared" si="96"/>
        <v>1.3721202316850596E-4</v>
      </c>
      <c r="L116" s="140">
        <f t="shared" si="96"/>
        <v>1.8979089543566082E-4</v>
      </c>
      <c r="M116" s="140">
        <f t="shared" si="96"/>
        <v>1.8093107339715739E-4</v>
      </c>
      <c r="N116" s="140">
        <f t="shared" si="96"/>
        <v>1.9687829966773745E-4</v>
      </c>
      <c r="O116" s="140">
        <f t="shared" si="96"/>
        <v>3.2563057780489208E-4</v>
      </c>
      <c r="P116" s="140">
        <f t="shared" si="96"/>
        <v>3.7135909100043069E-4</v>
      </c>
      <c r="Q116" s="140">
        <f t="shared" si="96"/>
        <v>3.9926050809353309E-4</v>
      </c>
      <c r="R116" s="140">
        <f t="shared" si="94"/>
        <v>3.9194038923086533E-4</v>
      </c>
      <c r="S116" s="140">
        <f t="shared" si="94"/>
        <v>3.9063276147560395E-4</v>
      </c>
      <c r="T116" s="140">
        <f t="shared" si="94"/>
        <v>4.0658390211190635E-4</v>
      </c>
      <c r="U116" s="140">
        <f t="shared" si="94"/>
        <v>4.3805605565684218E-4</v>
      </c>
      <c r="V116" s="140">
        <f t="shared" si="94"/>
        <v>3.9396180954590705E-4</v>
      </c>
      <c r="W116" s="140">
        <f t="shared" si="95"/>
        <v>4.0252498880982484E-4</v>
      </c>
      <c r="X116" s="140">
        <f t="shared" si="95"/>
        <v>5.8174907217037862E-4</v>
      </c>
      <c r="Y116" s="140">
        <f t="shared" si="95"/>
        <v>6.3322670559172239E-4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4.1908761230297072E-5</v>
      </c>
      <c r="C117" s="140">
        <f t="shared" si="97"/>
        <v>4.8411876435510031E-5</v>
      </c>
      <c r="D117" s="140">
        <f t="shared" si="97"/>
        <v>3.8393798924098932E-5</v>
      </c>
      <c r="E117" s="140">
        <f t="shared" si="97"/>
        <v>3.001284696812305E-5</v>
      </c>
      <c r="F117" s="140">
        <f t="shared" si="97"/>
        <v>3.482186293536084E-5</v>
      </c>
      <c r="G117" s="140">
        <f t="shared" si="97"/>
        <v>4.3296914615180569E-5</v>
      </c>
      <c r="H117" s="140">
        <f t="shared" si="97"/>
        <v>9.8290733298094348E-5</v>
      </c>
      <c r="I117" s="140">
        <f t="shared" si="97"/>
        <v>1.4468208251506182E-4</v>
      </c>
      <c r="J117" s="140">
        <f t="shared" si="97"/>
        <v>5.9396669708931532E-5</v>
      </c>
      <c r="K117" s="140">
        <f t="shared" si="97"/>
        <v>1.095893487206228E-5</v>
      </c>
      <c r="L117" s="140">
        <f t="shared" si="97"/>
        <v>1.5562091161594964E-5</v>
      </c>
      <c r="M117" s="140">
        <f t="shared" si="97"/>
        <v>2.3399864865342331E-5</v>
      </c>
      <c r="N117" s="140">
        <f t="shared" si="97"/>
        <v>7.5155910257993907E-4</v>
      </c>
      <c r="O117" s="140">
        <f t="shared" si="97"/>
        <v>3.4528761907887736E-4</v>
      </c>
      <c r="P117" s="140">
        <f t="shared" si="97"/>
        <v>1.9579414293147186E-4</v>
      </c>
      <c r="Q117" s="140">
        <f t="shared" si="97"/>
        <v>1.9549896239757676E-4</v>
      </c>
      <c r="R117" s="140">
        <f t="shared" ref="R117:V120" si="98">IF(R25=0,0,R25/R$17)</f>
        <v>1.4348155395553654E-4</v>
      </c>
      <c r="S117" s="140">
        <f t="shared" si="98"/>
        <v>7.162144277371427E-5</v>
      </c>
      <c r="T117" s="140">
        <f t="shared" si="98"/>
        <v>1.3084814458040373E-4</v>
      </c>
      <c r="U117" s="140">
        <f t="shared" si="98"/>
        <v>2.0526704525973086E-4</v>
      </c>
      <c r="V117" s="140">
        <f t="shared" si="98"/>
        <v>2.1420010320597876E-4</v>
      </c>
      <c r="W117" s="140">
        <f t="shared" si="95"/>
        <v>2.2745678558268477E-4</v>
      </c>
      <c r="X117" s="140">
        <f t="shared" si="95"/>
        <v>4.5845803716280324E-4</v>
      </c>
      <c r="Y117" s="140">
        <f t="shared" si="95"/>
        <v>4.6122348013027882E-4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1.8604198192766607E-2</v>
      </c>
      <c r="C118" s="124">
        <f t="shared" si="99"/>
        <v>1.4573120306421978E-2</v>
      </c>
      <c r="D118" s="124">
        <f t="shared" si="99"/>
        <v>1.2239186909324736E-2</v>
      </c>
      <c r="E118" s="124">
        <f t="shared" si="99"/>
        <v>1.0539337194809824E-2</v>
      </c>
      <c r="F118" s="124">
        <f t="shared" si="99"/>
        <v>8.3639454992471343E-3</v>
      </c>
      <c r="G118" s="124">
        <f t="shared" si="99"/>
        <v>9.4171139747913375E-3</v>
      </c>
      <c r="H118" s="124">
        <f t="shared" si="99"/>
        <v>8.6600452464599149E-3</v>
      </c>
      <c r="I118" s="124">
        <f t="shared" si="99"/>
        <v>7.8122683195333076E-3</v>
      </c>
      <c r="J118" s="124">
        <f t="shared" si="99"/>
        <v>7.9200855444736089E-3</v>
      </c>
      <c r="K118" s="124">
        <f t="shared" si="99"/>
        <v>8.9251033004906413E-3</v>
      </c>
      <c r="L118" s="124">
        <f t="shared" si="99"/>
        <v>8.1823058150373752E-3</v>
      </c>
      <c r="M118" s="124">
        <f t="shared" si="99"/>
        <v>8.190857184683752E-3</v>
      </c>
      <c r="N118" s="124">
        <f t="shared" si="99"/>
        <v>7.9347061152684056E-3</v>
      </c>
      <c r="O118" s="124">
        <f t="shared" si="99"/>
        <v>7.7128542015239025E-3</v>
      </c>
      <c r="P118" s="124">
        <f t="shared" si="99"/>
        <v>7.5752448610700131E-3</v>
      </c>
      <c r="Q118" s="124">
        <f t="shared" si="99"/>
        <v>7.7983495701415429E-3</v>
      </c>
      <c r="R118" s="124">
        <f t="shared" si="98"/>
        <v>6.2142539252974154E-3</v>
      </c>
      <c r="S118" s="124">
        <f t="shared" si="98"/>
        <v>7.7174265407104143E-3</v>
      </c>
      <c r="T118" s="124">
        <f t="shared" si="98"/>
        <v>6.2800461116304922E-3</v>
      </c>
      <c r="U118" s="124">
        <f t="shared" si="98"/>
        <v>7.1625875538244852E-3</v>
      </c>
      <c r="V118" s="124">
        <f t="shared" si="98"/>
        <v>4.8792837508493539E-3</v>
      </c>
      <c r="W118" s="124">
        <f t="shared" si="95"/>
        <v>5.5370958730952954E-3</v>
      </c>
      <c r="X118" s="124">
        <f t="shared" si="95"/>
        <v>6.8331942133832355E-3</v>
      </c>
      <c r="Y118" s="124">
        <f t="shared" si="95"/>
        <v>5.6988895028659611E-3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1.8483800739330113E-2</v>
      </c>
      <c r="C119" s="140">
        <f t="shared" si="100"/>
        <v>1.4525206599650535E-2</v>
      </c>
      <c r="D119" s="140">
        <f t="shared" si="100"/>
        <v>1.2200489546426588E-2</v>
      </c>
      <c r="E119" s="140">
        <f t="shared" si="100"/>
        <v>1.0496335376160808E-2</v>
      </c>
      <c r="F119" s="140">
        <f t="shared" si="100"/>
        <v>8.3255543885012474E-3</v>
      </c>
      <c r="G119" s="140">
        <f t="shared" si="100"/>
        <v>9.3393317262939462E-3</v>
      </c>
      <c r="H119" s="140">
        <f t="shared" si="100"/>
        <v>8.5614492081373655E-3</v>
      </c>
      <c r="I119" s="140">
        <f t="shared" si="100"/>
        <v>7.3238886117550526E-3</v>
      </c>
      <c r="J119" s="140">
        <f t="shared" si="100"/>
        <v>7.3333328587157701E-3</v>
      </c>
      <c r="K119" s="140">
        <f t="shared" si="100"/>
        <v>8.750076107682055E-3</v>
      </c>
      <c r="L119" s="140">
        <f t="shared" si="100"/>
        <v>8.0218453733718279E-3</v>
      </c>
      <c r="M119" s="140">
        <f t="shared" si="100"/>
        <v>8.0462743742100908E-3</v>
      </c>
      <c r="N119" s="140">
        <f t="shared" si="100"/>
        <v>7.8857898578535215E-3</v>
      </c>
      <c r="O119" s="140">
        <f t="shared" si="100"/>
        <v>7.7128542015239025E-3</v>
      </c>
      <c r="P119" s="140">
        <f t="shared" si="100"/>
        <v>7.5752448610700131E-3</v>
      </c>
      <c r="Q119" s="140">
        <f t="shared" si="100"/>
        <v>7.7983495701415429E-3</v>
      </c>
      <c r="R119" s="140">
        <f t="shared" si="98"/>
        <v>6.2142539252974154E-3</v>
      </c>
      <c r="S119" s="140">
        <f t="shared" si="98"/>
        <v>7.7174265407104143E-3</v>
      </c>
      <c r="T119" s="140">
        <f t="shared" si="98"/>
        <v>6.2800461116304922E-3</v>
      </c>
      <c r="U119" s="140">
        <f t="shared" si="98"/>
        <v>7.1625875538244852E-3</v>
      </c>
      <c r="V119" s="140">
        <f t="shared" si="98"/>
        <v>4.8788807374066465E-3</v>
      </c>
      <c r="W119" s="140">
        <f t="shared" si="95"/>
        <v>5.4099076735050393E-3</v>
      </c>
      <c r="X119" s="140">
        <f t="shared" si="95"/>
        <v>6.276558822233021E-3</v>
      </c>
      <c r="Y119" s="140">
        <f t="shared" si="95"/>
        <v>4.966392271319689E-3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1.2039745343649497E-4</v>
      </c>
      <c r="C120" s="127">
        <f t="shared" si="101"/>
        <v>4.7913706771445453E-5</v>
      </c>
      <c r="D120" s="127">
        <f t="shared" si="101"/>
        <v>3.869736289814985E-5</v>
      </c>
      <c r="E120" s="127">
        <f t="shared" si="101"/>
        <v>4.3001818649016554E-5</v>
      </c>
      <c r="F120" s="127">
        <f t="shared" si="101"/>
        <v>3.8391110745886459E-5</v>
      </c>
      <c r="G120" s="127">
        <f t="shared" si="101"/>
        <v>7.7782248497391563E-5</v>
      </c>
      <c r="H120" s="127">
        <f t="shared" si="101"/>
        <v>9.8596038322549387E-5</v>
      </c>
      <c r="I120" s="127">
        <f t="shared" si="101"/>
        <v>4.8837970777825554E-4</v>
      </c>
      <c r="J120" s="127">
        <f t="shared" si="101"/>
        <v>5.8675268575783936E-4</v>
      </c>
      <c r="K120" s="127">
        <f t="shared" si="101"/>
        <v>1.7502719280858636E-4</v>
      </c>
      <c r="L120" s="127">
        <f t="shared" si="101"/>
        <v>1.604604416655475E-4</v>
      </c>
      <c r="M120" s="127">
        <f t="shared" si="101"/>
        <v>1.4458281047366217E-4</v>
      </c>
      <c r="N120" s="127">
        <f t="shared" si="101"/>
        <v>4.8916257414884442E-5</v>
      </c>
      <c r="O120" s="127">
        <f t="shared" si="101"/>
        <v>0</v>
      </c>
      <c r="P120" s="127">
        <f t="shared" si="101"/>
        <v>0</v>
      </c>
      <c r="Q120" s="127">
        <f t="shared" si="101"/>
        <v>0</v>
      </c>
      <c r="R120" s="127">
        <f t="shared" si="98"/>
        <v>0</v>
      </c>
      <c r="S120" s="127">
        <f t="shared" si="98"/>
        <v>0</v>
      </c>
      <c r="T120" s="127">
        <f t="shared" si="98"/>
        <v>0</v>
      </c>
      <c r="U120" s="127">
        <f t="shared" si="98"/>
        <v>0</v>
      </c>
      <c r="V120" s="127">
        <f t="shared" si="98"/>
        <v>4.0301344270664518E-7</v>
      </c>
      <c r="W120" s="127">
        <f t="shared" si="95"/>
        <v>1.2718819959025673E-4</v>
      </c>
      <c r="X120" s="127">
        <f t="shared" si="95"/>
        <v>5.566353911502142E-4</v>
      </c>
      <c r="Y120" s="127">
        <f t="shared" si="95"/>
        <v>7.3249723154627242E-4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0.39749870964635342</v>
      </c>
      <c r="C122" s="140">
        <f t="shared" si="103"/>
        <v>0.39233290424031608</v>
      </c>
      <c r="D122" s="140">
        <f t="shared" si="103"/>
        <v>0.39219900517198292</v>
      </c>
      <c r="E122" s="140">
        <f t="shared" si="103"/>
        <v>0.3929552910498641</v>
      </c>
      <c r="F122" s="140">
        <f t="shared" si="103"/>
        <v>0.3928404621086195</v>
      </c>
      <c r="G122" s="140">
        <f t="shared" si="103"/>
        <v>0.37598694953851103</v>
      </c>
      <c r="H122" s="140">
        <f t="shared" si="103"/>
        <v>0.23813103494215193</v>
      </c>
      <c r="I122" s="140">
        <f t="shared" si="103"/>
        <v>0.18023512347103657</v>
      </c>
      <c r="J122" s="140">
        <f t="shared" si="103"/>
        <v>0.15366351226064667</v>
      </c>
      <c r="K122" s="140">
        <f t="shared" si="103"/>
        <v>0.12982166331254338</v>
      </c>
      <c r="L122" s="140">
        <f t="shared" si="103"/>
        <v>0.13109407626328962</v>
      </c>
      <c r="M122" s="140">
        <f t="shared" si="103"/>
        <v>0.14218698704615479</v>
      </c>
      <c r="N122" s="140">
        <f t="shared" si="103"/>
        <v>0.15145905732983908</v>
      </c>
      <c r="O122" s="140">
        <f t="shared" si="103"/>
        <v>0.13317202482458432</v>
      </c>
      <c r="P122" s="140">
        <f t="shared" si="103"/>
        <v>0.12085767688401368</v>
      </c>
      <c r="Q122" s="140">
        <f t="shared" si="103"/>
        <v>0.11026642876650629</v>
      </c>
      <c r="R122" s="140">
        <f t="shared" si="103"/>
        <v>9.8595862968223563E-2</v>
      </c>
      <c r="S122" s="140">
        <f t="shared" si="103"/>
        <v>9.9166911449324865E-2</v>
      </c>
      <c r="T122" s="140">
        <f t="shared" si="103"/>
        <v>0.10096543110653815</v>
      </c>
      <c r="U122" s="140">
        <f t="shared" si="103"/>
        <v>0.10295650009631345</v>
      </c>
      <c r="V122" s="140">
        <f t="shared" si="103"/>
        <v>0.10229830999853827</v>
      </c>
      <c r="W122" s="140">
        <f t="shared" si="103"/>
        <v>8.8455022361144803E-2</v>
      </c>
      <c r="X122" s="140">
        <f t="shared" si="103"/>
        <v>0.13276415380000708</v>
      </c>
      <c r="Y122" s="140">
        <f t="shared" si="103"/>
        <v>0.14920596619005722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0.60250129035364663</v>
      </c>
      <c r="C123" s="127">
        <f t="shared" si="104"/>
        <v>0.60766709575968392</v>
      </c>
      <c r="D123" s="127">
        <f t="shared" si="104"/>
        <v>0.60780099482801708</v>
      </c>
      <c r="E123" s="127">
        <f t="shared" si="104"/>
        <v>0.60704470895013585</v>
      </c>
      <c r="F123" s="127">
        <f t="shared" si="104"/>
        <v>0.60715953789138055</v>
      </c>
      <c r="G123" s="127">
        <f t="shared" si="104"/>
        <v>0.62401305046148892</v>
      </c>
      <c r="H123" s="127">
        <f t="shared" si="104"/>
        <v>0.76186896505784807</v>
      </c>
      <c r="I123" s="127">
        <f t="shared" si="104"/>
        <v>0.81976487652896335</v>
      </c>
      <c r="J123" s="127">
        <f t="shared" si="104"/>
        <v>0.84633648773935322</v>
      </c>
      <c r="K123" s="127">
        <f t="shared" si="104"/>
        <v>0.8701783366874567</v>
      </c>
      <c r="L123" s="127">
        <f t="shared" si="104"/>
        <v>0.86890592373671038</v>
      </c>
      <c r="M123" s="127">
        <f t="shared" si="104"/>
        <v>0.85781301295384516</v>
      </c>
      <c r="N123" s="127">
        <f t="shared" si="104"/>
        <v>0.84854094267016089</v>
      </c>
      <c r="O123" s="127">
        <f t="shared" si="104"/>
        <v>0.86682797517541577</v>
      </c>
      <c r="P123" s="127">
        <f t="shared" si="104"/>
        <v>0.87914232311598628</v>
      </c>
      <c r="Q123" s="127">
        <f t="shared" si="104"/>
        <v>0.88973357123349373</v>
      </c>
      <c r="R123" s="127">
        <f t="shared" si="104"/>
        <v>0.90140413703177646</v>
      </c>
      <c r="S123" s="127">
        <f t="shared" si="104"/>
        <v>0.90083308855067512</v>
      </c>
      <c r="T123" s="127">
        <f t="shared" si="104"/>
        <v>0.89903456889346178</v>
      </c>
      <c r="U123" s="127">
        <f t="shared" si="104"/>
        <v>0.89704349990368659</v>
      </c>
      <c r="V123" s="127">
        <f t="shared" si="104"/>
        <v>0.89770169000146172</v>
      </c>
      <c r="W123" s="127">
        <f t="shared" si="104"/>
        <v>0.91154497763885511</v>
      </c>
      <c r="X123" s="127">
        <f t="shared" si="104"/>
        <v>0.86723584619999294</v>
      </c>
      <c r="Y123" s="127">
        <f t="shared" si="104"/>
        <v>0.85079403380994278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0.95638035453670667</v>
      </c>
      <c r="C127" s="139">
        <f t="shared" ref="C127:Y127" si="107">IF(C35=0,0,C35/C$34)</f>
        <v>0.95040011299159366</v>
      </c>
      <c r="D127" s="139">
        <f t="shared" si="107"/>
        <v>0.95649288884793182</v>
      </c>
      <c r="E127" s="139">
        <f t="shared" si="107"/>
        <v>0.95617958402390901</v>
      </c>
      <c r="F127" s="139">
        <f t="shared" si="107"/>
        <v>0.9570776937344182</v>
      </c>
      <c r="G127" s="139">
        <f t="shared" si="107"/>
        <v>0.95253236149867826</v>
      </c>
      <c r="H127" s="139">
        <f t="shared" si="107"/>
        <v>0.95229198608309729</v>
      </c>
      <c r="I127" s="139">
        <f t="shared" si="107"/>
        <v>0.94763463144311377</v>
      </c>
      <c r="J127" s="139">
        <f t="shared" si="107"/>
        <v>0.93890657557806378</v>
      </c>
      <c r="K127" s="139">
        <f t="shared" si="107"/>
        <v>0.96600580418463156</v>
      </c>
      <c r="L127" s="139">
        <f t="shared" si="107"/>
        <v>0.95502505294785356</v>
      </c>
      <c r="M127" s="139">
        <f t="shared" si="107"/>
        <v>0.94571979358863878</v>
      </c>
      <c r="N127" s="139">
        <f t="shared" si="107"/>
        <v>0.94511874736058732</v>
      </c>
      <c r="O127" s="139">
        <f t="shared" si="107"/>
        <v>0.93849912329602214</v>
      </c>
      <c r="P127" s="139">
        <f t="shared" si="107"/>
        <v>0.93201063141936313</v>
      </c>
      <c r="Q127" s="139">
        <f t="shared" si="107"/>
        <v>0.93206452291948638</v>
      </c>
      <c r="R127" s="139">
        <f t="shared" si="107"/>
        <v>0.92930727929064705</v>
      </c>
      <c r="S127" s="139">
        <f t="shared" si="107"/>
        <v>0.92595713456755646</v>
      </c>
      <c r="T127" s="139">
        <f t="shared" si="107"/>
        <v>0.9178484971534614</v>
      </c>
      <c r="U127" s="139">
        <f t="shared" si="107"/>
        <v>0.92191236315898772</v>
      </c>
      <c r="V127" s="139">
        <f t="shared" si="107"/>
        <v>0.96230612174695085</v>
      </c>
      <c r="W127" s="139">
        <f t="shared" si="107"/>
        <v>0.95700476831837589</v>
      </c>
      <c r="X127" s="139">
        <f t="shared" si="107"/>
        <v>0.93340690000435222</v>
      </c>
      <c r="Y127" s="139">
        <f t="shared" si="107"/>
        <v>0.93309614961180332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3.9023105566431734E-3</v>
      </c>
      <c r="C128" s="140">
        <f t="shared" ref="C128:Y128" si="108">IF(C36=0,0,C36/C$34)</f>
        <v>3.7606550284039271E-3</v>
      </c>
      <c r="D128" s="140">
        <f t="shared" si="108"/>
        <v>3.7128078257513235E-3</v>
      </c>
      <c r="E128" s="140">
        <f t="shared" si="108"/>
        <v>3.342990987357128E-3</v>
      </c>
      <c r="F128" s="140">
        <f t="shared" si="108"/>
        <v>3.1879001557514591E-3</v>
      </c>
      <c r="G128" s="140">
        <f t="shared" si="108"/>
        <v>2.7845352418467318E-3</v>
      </c>
      <c r="H128" s="140">
        <f t="shared" si="108"/>
        <v>2.6165458317578489E-3</v>
      </c>
      <c r="I128" s="140">
        <f t="shared" si="108"/>
        <v>2.5836643651523275E-3</v>
      </c>
      <c r="J128" s="140">
        <f t="shared" si="108"/>
        <v>2.9574257324490043E-3</v>
      </c>
      <c r="K128" s="140">
        <f t="shared" si="108"/>
        <v>3.479258188768034E-3</v>
      </c>
      <c r="L128" s="140">
        <f t="shared" si="108"/>
        <v>3.4181159757119628E-3</v>
      </c>
      <c r="M128" s="140">
        <f t="shared" si="108"/>
        <v>3.5594402292974422E-3</v>
      </c>
      <c r="N128" s="140">
        <f t="shared" si="108"/>
        <v>3.1638225714306647E-3</v>
      </c>
      <c r="O128" s="140">
        <f t="shared" si="108"/>
        <v>3.1589714879189422E-3</v>
      </c>
      <c r="P128" s="140">
        <f t="shared" si="108"/>
        <v>3.0382993114866398E-3</v>
      </c>
      <c r="Q128" s="140">
        <f t="shared" si="108"/>
        <v>2.984097006792696E-3</v>
      </c>
      <c r="R128" s="140">
        <f t="shared" si="108"/>
        <v>2.811737220808473E-3</v>
      </c>
      <c r="S128" s="140">
        <f t="shared" si="108"/>
        <v>2.4910901793390667E-3</v>
      </c>
      <c r="T128" s="140">
        <f t="shared" si="108"/>
        <v>2.1869602832113436E-3</v>
      </c>
      <c r="U128" s="140">
        <f t="shared" si="108"/>
        <v>2.1864965465901208E-3</v>
      </c>
      <c r="V128" s="140">
        <f t="shared" si="108"/>
        <v>2.0936880613457234E-3</v>
      </c>
      <c r="W128" s="140">
        <f t="shared" si="108"/>
        <v>2.1564422341367731E-3</v>
      </c>
      <c r="X128" s="140">
        <f t="shared" si="108"/>
        <v>2.1147044739670989E-3</v>
      </c>
      <c r="Y128" s="140">
        <f t="shared" si="108"/>
        <v>2.2410200537193344E-3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0.87556409887912179</v>
      </c>
      <c r="C129" s="140">
        <f t="shared" ref="C129:Y129" si="109">IF(C37=0,0,C37/C$34)</f>
        <v>0.8756075020652595</v>
      </c>
      <c r="D129" s="140">
        <f t="shared" si="109"/>
        <v>0.88247713608505252</v>
      </c>
      <c r="E129" s="140">
        <f t="shared" si="109"/>
        <v>0.88797039857594173</v>
      </c>
      <c r="F129" s="140">
        <f t="shared" si="109"/>
        <v>0.88970026023016213</v>
      </c>
      <c r="G129" s="140">
        <f t="shared" si="109"/>
        <v>0.89321015714179242</v>
      </c>
      <c r="H129" s="140">
        <f t="shared" si="109"/>
        <v>0.90020012255223036</v>
      </c>
      <c r="I129" s="140">
        <f t="shared" si="109"/>
        <v>0.90309449893940685</v>
      </c>
      <c r="J129" s="140">
        <f t="shared" si="109"/>
        <v>0.89597162966969524</v>
      </c>
      <c r="K129" s="140">
        <f t="shared" si="109"/>
        <v>0.91819807369724249</v>
      </c>
      <c r="L129" s="140">
        <f t="shared" si="109"/>
        <v>0.90816783392355682</v>
      </c>
      <c r="M129" s="140">
        <f t="shared" si="109"/>
        <v>0.89529956568843205</v>
      </c>
      <c r="N129" s="140">
        <f t="shared" si="109"/>
        <v>0.90013337531361215</v>
      </c>
      <c r="O129" s="140">
        <f t="shared" si="109"/>
        <v>0.89258371009821691</v>
      </c>
      <c r="P129" s="140">
        <f t="shared" si="109"/>
        <v>0.88446216145626511</v>
      </c>
      <c r="Q129" s="140">
        <f t="shared" si="109"/>
        <v>0.88553633201052673</v>
      </c>
      <c r="R129" s="140">
        <f t="shared" si="109"/>
        <v>0.88919493927298332</v>
      </c>
      <c r="S129" s="140">
        <f t="shared" si="109"/>
        <v>0.88716824039985853</v>
      </c>
      <c r="T129" s="140">
        <f t="shared" si="109"/>
        <v>0.88094797146702342</v>
      </c>
      <c r="U129" s="140">
        <f t="shared" si="109"/>
        <v>0.88194620164668902</v>
      </c>
      <c r="V129" s="140">
        <f t="shared" si="109"/>
        <v>0.92956590641532377</v>
      </c>
      <c r="W129" s="140">
        <f t="shared" si="109"/>
        <v>0.92559109931186856</v>
      </c>
      <c r="X129" s="140">
        <f t="shared" si="109"/>
        <v>0.90134103426944068</v>
      </c>
      <c r="Y129" s="140">
        <f t="shared" si="109"/>
        <v>0.89781610823847402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7.6913945100941739E-2</v>
      </c>
      <c r="C130" s="140">
        <f t="shared" ref="C130:Y130" si="110">IF(C38=0,0,C38/C$34)</f>
        <v>7.103195589793021E-2</v>
      </c>
      <c r="D130" s="140">
        <f t="shared" si="110"/>
        <v>7.0302944937127965E-2</v>
      </c>
      <c r="E130" s="140">
        <f t="shared" si="110"/>
        <v>6.4866194460610135E-2</v>
      </c>
      <c r="F130" s="140">
        <f t="shared" si="110"/>
        <v>6.4189533348504621E-2</v>
      </c>
      <c r="G130" s="140">
        <f t="shared" si="110"/>
        <v>5.6537669115039151E-2</v>
      </c>
      <c r="H130" s="140">
        <f t="shared" si="110"/>
        <v>4.9475317699109171E-2</v>
      </c>
      <c r="I130" s="140">
        <f t="shared" si="110"/>
        <v>4.1956468138554623E-2</v>
      </c>
      <c r="J130" s="140">
        <f t="shared" si="110"/>
        <v>3.9977520175919677E-2</v>
      </c>
      <c r="K130" s="140">
        <f t="shared" si="110"/>
        <v>4.4328472298620927E-2</v>
      </c>
      <c r="L130" s="140">
        <f t="shared" si="110"/>
        <v>4.343910304858465E-2</v>
      </c>
      <c r="M130" s="140">
        <f t="shared" si="110"/>
        <v>4.6860787670909239E-2</v>
      </c>
      <c r="N130" s="140">
        <f t="shared" si="110"/>
        <v>4.1821549475544617E-2</v>
      </c>
      <c r="O130" s="140">
        <f t="shared" si="110"/>
        <v>4.2756441709886364E-2</v>
      </c>
      <c r="P130" s="140">
        <f t="shared" si="110"/>
        <v>4.4510170651611392E-2</v>
      </c>
      <c r="Q130" s="140">
        <f t="shared" si="110"/>
        <v>4.354409390216691E-2</v>
      </c>
      <c r="R130" s="140">
        <f t="shared" si="110"/>
        <v>3.7300602796855223E-2</v>
      </c>
      <c r="S130" s="140">
        <f t="shared" si="110"/>
        <v>3.6297803988358843E-2</v>
      </c>
      <c r="T130" s="140">
        <f t="shared" si="110"/>
        <v>3.4713565403226558E-2</v>
      </c>
      <c r="U130" s="140">
        <f t="shared" si="110"/>
        <v>3.7779664965708691E-2</v>
      </c>
      <c r="V130" s="140">
        <f t="shared" si="110"/>
        <v>3.0646527270281415E-2</v>
      </c>
      <c r="W130" s="140">
        <f t="shared" si="110"/>
        <v>2.9257226772370602E-2</v>
      </c>
      <c r="X130" s="140">
        <f t="shared" si="110"/>
        <v>2.9951161260944516E-2</v>
      </c>
      <c r="Y130" s="140">
        <f t="shared" si="110"/>
        <v>3.3039021319609972E-2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1.3323941304675981E-2</v>
      </c>
      <c r="C131" s="124">
        <f t="shared" ref="C131:Y131" si="111">IF(C39=0,0,C39/C$34)</f>
        <v>1.1288455434428159E-2</v>
      </c>
      <c r="D131" s="124">
        <f t="shared" si="111"/>
        <v>1.030727836917885E-2</v>
      </c>
      <c r="E131" s="124">
        <f t="shared" si="111"/>
        <v>8.266763580688943E-3</v>
      </c>
      <c r="F131" s="124">
        <f t="shared" si="111"/>
        <v>7.7772686115963885E-3</v>
      </c>
      <c r="G131" s="124">
        <f t="shared" si="111"/>
        <v>4.3815283123701653E-3</v>
      </c>
      <c r="H131" s="124">
        <f t="shared" si="111"/>
        <v>3.6303012063699583E-3</v>
      </c>
      <c r="I131" s="124">
        <f t="shared" si="111"/>
        <v>2.9761387250961894E-3</v>
      </c>
      <c r="J131" s="124">
        <f t="shared" si="111"/>
        <v>3.2295439289000243E-3</v>
      </c>
      <c r="K131" s="124">
        <f t="shared" si="111"/>
        <v>3.3249224333869059E-3</v>
      </c>
      <c r="L131" s="124">
        <f t="shared" si="111"/>
        <v>3.5647729783709423E-3</v>
      </c>
      <c r="M131" s="124">
        <f t="shared" si="111"/>
        <v>3.9688404459846957E-3</v>
      </c>
      <c r="N131" s="124">
        <f t="shared" si="111"/>
        <v>3.6492190516323993E-3</v>
      </c>
      <c r="O131" s="124">
        <f t="shared" si="111"/>
        <v>3.5013855540345926E-3</v>
      </c>
      <c r="P131" s="124">
        <f t="shared" si="111"/>
        <v>3.2989853255317829E-3</v>
      </c>
      <c r="Q131" s="124">
        <f t="shared" si="111"/>
        <v>3.1615499773934904E-3</v>
      </c>
      <c r="R131" s="124">
        <f t="shared" si="111"/>
        <v>2.683033820495001E-3</v>
      </c>
      <c r="S131" s="124">
        <f t="shared" si="111"/>
        <v>3.0093677358779781E-3</v>
      </c>
      <c r="T131" s="124">
        <f t="shared" si="111"/>
        <v>3.2567413220854144E-3</v>
      </c>
      <c r="U131" s="124">
        <f t="shared" si="111"/>
        <v>3.1549371771411178E-3</v>
      </c>
      <c r="V131" s="124">
        <f t="shared" si="111"/>
        <v>2.8303189864203097E-3</v>
      </c>
      <c r="W131" s="124">
        <f t="shared" si="111"/>
        <v>3.0873946235870195E-3</v>
      </c>
      <c r="X131" s="124">
        <f t="shared" si="111"/>
        <v>2.8927516048637518E-3</v>
      </c>
      <c r="Y131" s="124">
        <f t="shared" si="111"/>
        <v>2.9320745979024522E-3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0</v>
      </c>
      <c r="C132" s="140">
        <f t="shared" ref="C132:Y132" si="112">IF(C40=0,0,C40/C$34)</f>
        <v>0</v>
      </c>
      <c r="D132" s="140">
        <f t="shared" si="112"/>
        <v>0</v>
      </c>
      <c r="E132" s="140">
        <f t="shared" si="112"/>
        <v>0</v>
      </c>
      <c r="F132" s="140">
        <f t="shared" si="112"/>
        <v>0</v>
      </c>
      <c r="G132" s="140">
        <f t="shared" si="112"/>
        <v>0</v>
      </c>
      <c r="H132" s="140">
        <f t="shared" si="112"/>
        <v>0</v>
      </c>
      <c r="I132" s="140">
        <f t="shared" si="112"/>
        <v>0</v>
      </c>
      <c r="J132" s="140">
        <f t="shared" si="112"/>
        <v>0</v>
      </c>
      <c r="K132" s="140">
        <f t="shared" si="112"/>
        <v>0</v>
      </c>
      <c r="L132" s="140">
        <f t="shared" si="112"/>
        <v>0</v>
      </c>
      <c r="M132" s="140">
        <f t="shared" si="112"/>
        <v>0</v>
      </c>
      <c r="N132" s="140">
        <f t="shared" si="112"/>
        <v>0</v>
      </c>
      <c r="O132" s="140">
        <f t="shared" si="112"/>
        <v>0</v>
      </c>
      <c r="P132" s="140">
        <f t="shared" si="112"/>
        <v>0</v>
      </c>
      <c r="Q132" s="140">
        <f t="shared" si="112"/>
        <v>0</v>
      </c>
      <c r="R132" s="140">
        <f t="shared" si="112"/>
        <v>0</v>
      </c>
      <c r="S132" s="140">
        <f t="shared" si="112"/>
        <v>0</v>
      </c>
      <c r="T132" s="140">
        <f t="shared" si="112"/>
        <v>0</v>
      </c>
      <c r="U132" s="140">
        <f t="shared" si="112"/>
        <v>0</v>
      </c>
      <c r="V132" s="140">
        <f t="shared" si="112"/>
        <v>0</v>
      </c>
      <c r="W132" s="140">
        <f t="shared" si="112"/>
        <v>0</v>
      </c>
      <c r="X132" s="140">
        <f t="shared" si="112"/>
        <v>0</v>
      </c>
      <c r="Y132" s="140">
        <f t="shared" si="112"/>
        <v>0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1.3323941304675981E-2</v>
      </c>
      <c r="C133" s="140">
        <f t="shared" ref="C133:Y133" si="113">IF(C41=0,0,C41/C$34)</f>
        <v>1.1288455434428159E-2</v>
      </c>
      <c r="D133" s="140">
        <f t="shared" si="113"/>
        <v>1.030727836917885E-2</v>
      </c>
      <c r="E133" s="140">
        <f t="shared" si="113"/>
        <v>8.266763580688943E-3</v>
      </c>
      <c r="F133" s="140">
        <f t="shared" si="113"/>
        <v>7.7772686115963885E-3</v>
      </c>
      <c r="G133" s="140">
        <f t="shared" si="113"/>
        <v>4.3815283123701653E-3</v>
      </c>
      <c r="H133" s="140">
        <f t="shared" si="113"/>
        <v>3.6303012063699583E-3</v>
      </c>
      <c r="I133" s="140">
        <f t="shared" si="113"/>
        <v>2.9761387250961894E-3</v>
      </c>
      <c r="J133" s="140">
        <f t="shared" si="113"/>
        <v>3.2295439289000243E-3</v>
      </c>
      <c r="K133" s="140">
        <f t="shared" si="113"/>
        <v>3.3249224333869059E-3</v>
      </c>
      <c r="L133" s="140">
        <f t="shared" si="113"/>
        <v>3.5647729783709423E-3</v>
      </c>
      <c r="M133" s="140">
        <f t="shared" si="113"/>
        <v>3.9688404459846957E-3</v>
      </c>
      <c r="N133" s="140">
        <f t="shared" si="113"/>
        <v>3.6492190516323993E-3</v>
      </c>
      <c r="O133" s="140">
        <f t="shared" si="113"/>
        <v>3.5013855540345926E-3</v>
      </c>
      <c r="P133" s="140">
        <f t="shared" si="113"/>
        <v>3.2989853255317829E-3</v>
      </c>
      <c r="Q133" s="140">
        <f t="shared" si="113"/>
        <v>3.1615499773934904E-3</v>
      </c>
      <c r="R133" s="140">
        <f t="shared" si="113"/>
        <v>2.683033820495001E-3</v>
      </c>
      <c r="S133" s="140">
        <f t="shared" si="113"/>
        <v>3.0093677358779781E-3</v>
      </c>
      <c r="T133" s="140">
        <f t="shared" si="113"/>
        <v>3.2567413220854144E-3</v>
      </c>
      <c r="U133" s="140">
        <f t="shared" si="113"/>
        <v>3.1549371771411178E-3</v>
      </c>
      <c r="V133" s="140">
        <f t="shared" si="113"/>
        <v>2.8303189864203097E-3</v>
      </c>
      <c r="W133" s="140">
        <f t="shared" si="113"/>
        <v>3.0873946235870195E-3</v>
      </c>
      <c r="X133" s="140">
        <f t="shared" si="113"/>
        <v>2.8927516048637518E-3</v>
      </c>
      <c r="Y133" s="140">
        <f t="shared" si="113"/>
        <v>2.9320745979024522E-3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0</v>
      </c>
      <c r="G134" s="140">
        <f t="shared" si="114"/>
        <v>0</v>
      </c>
      <c r="H134" s="140">
        <f t="shared" si="114"/>
        <v>0</v>
      </c>
      <c r="I134" s="140">
        <f t="shared" si="114"/>
        <v>0</v>
      </c>
      <c r="J134" s="140">
        <f t="shared" si="114"/>
        <v>0</v>
      </c>
      <c r="K134" s="140">
        <f t="shared" si="114"/>
        <v>0</v>
      </c>
      <c r="L134" s="140">
        <f t="shared" si="114"/>
        <v>0</v>
      </c>
      <c r="M134" s="140">
        <f t="shared" si="114"/>
        <v>0</v>
      </c>
      <c r="N134" s="140">
        <f t="shared" si="114"/>
        <v>0</v>
      </c>
      <c r="O134" s="140">
        <f t="shared" si="114"/>
        <v>0</v>
      </c>
      <c r="P134" s="140">
        <f t="shared" si="114"/>
        <v>0</v>
      </c>
      <c r="Q134" s="140">
        <f t="shared" si="114"/>
        <v>0</v>
      </c>
      <c r="R134" s="140">
        <f t="shared" si="114"/>
        <v>0</v>
      </c>
      <c r="S134" s="140">
        <f t="shared" si="114"/>
        <v>0</v>
      </c>
      <c r="T134" s="140">
        <f t="shared" si="114"/>
        <v>0</v>
      </c>
      <c r="U134" s="140">
        <f t="shared" si="114"/>
        <v>0</v>
      </c>
      <c r="V134" s="140">
        <f t="shared" si="114"/>
        <v>0</v>
      </c>
      <c r="W134" s="140">
        <f t="shared" si="114"/>
        <v>0</v>
      </c>
      <c r="X134" s="140">
        <f t="shared" si="114"/>
        <v>0</v>
      </c>
      <c r="Y134" s="140">
        <f t="shared" si="114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3.0295704158617341E-2</v>
      </c>
      <c r="C135" s="124">
        <f t="shared" ref="C135:Y135" si="115">IF(C43=0,0,C43/C$34)</f>
        <v>3.8311431573978073E-2</v>
      </c>
      <c r="D135" s="124">
        <f t="shared" si="115"/>
        <v>3.3199832782889384E-2</v>
      </c>
      <c r="E135" s="124">
        <f t="shared" si="115"/>
        <v>3.555365239540216E-2</v>
      </c>
      <c r="F135" s="124">
        <f t="shared" si="115"/>
        <v>3.5145037653985335E-2</v>
      </c>
      <c r="G135" s="124">
        <f t="shared" si="115"/>
        <v>4.3086110188951546E-2</v>
      </c>
      <c r="H135" s="124">
        <f t="shared" si="115"/>
        <v>4.4077712710532721E-2</v>
      </c>
      <c r="I135" s="124">
        <f t="shared" si="115"/>
        <v>4.938922983178997E-2</v>
      </c>
      <c r="J135" s="124">
        <f t="shared" si="115"/>
        <v>5.7863880493036243E-2</v>
      </c>
      <c r="K135" s="124">
        <f t="shared" si="115"/>
        <v>3.0669273381981516E-2</v>
      </c>
      <c r="L135" s="124">
        <f t="shared" si="115"/>
        <v>4.1410174073775639E-2</v>
      </c>
      <c r="M135" s="124">
        <f t="shared" si="115"/>
        <v>5.0311365965376421E-2</v>
      </c>
      <c r="N135" s="124">
        <f t="shared" si="115"/>
        <v>5.1232033587780189E-2</v>
      </c>
      <c r="O135" s="124">
        <f t="shared" si="115"/>
        <v>5.7999491149943419E-2</v>
      </c>
      <c r="P135" s="124">
        <f t="shared" si="115"/>
        <v>6.4690383255105136E-2</v>
      </c>
      <c r="Q135" s="124">
        <f t="shared" si="115"/>
        <v>6.4773927103120132E-2</v>
      </c>
      <c r="R135" s="124">
        <f t="shared" si="115"/>
        <v>6.8009686888858015E-2</v>
      </c>
      <c r="S135" s="124">
        <f t="shared" si="115"/>
        <v>7.1033497696565542E-2</v>
      </c>
      <c r="T135" s="124">
        <f t="shared" si="115"/>
        <v>7.8894761524453239E-2</v>
      </c>
      <c r="U135" s="124">
        <f t="shared" si="115"/>
        <v>7.4932699663871213E-2</v>
      </c>
      <c r="V135" s="124">
        <f t="shared" si="115"/>
        <v>3.4863559266628874E-2</v>
      </c>
      <c r="W135" s="124">
        <f t="shared" si="115"/>
        <v>3.9907837058037132E-2</v>
      </c>
      <c r="X135" s="124">
        <f t="shared" si="115"/>
        <v>6.3700348390784062E-2</v>
      </c>
      <c r="Y135" s="124">
        <f t="shared" si="115"/>
        <v>6.3971775790294214E-2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0</v>
      </c>
      <c r="C136" s="140">
        <f t="shared" ref="C136:Y136" si="116">IF(C44=0,0,C44/C$34)</f>
        <v>0</v>
      </c>
      <c r="D136" s="140">
        <f t="shared" si="116"/>
        <v>0</v>
      </c>
      <c r="E136" s="140">
        <f t="shared" si="116"/>
        <v>0</v>
      </c>
      <c r="F136" s="140">
        <f t="shared" si="116"/>
        <v>0</v>
      </c>
      <c r="G136" s="140">
        <f t="shared" si="116"/>
        <v>0</v>
      </c>
      <c r="H136" s="140">
        <f t="shared" si="116"/>
        <v>0</v>
      </c>
      <c r="I136" s="140">
        <f t="shared" si="116"/>
        <v>0</v>
      </c>
      <c r="J136" s="140">
        <f t="shared" si="116"/>
        <v>0</v>
      </c>
      <c r="K136" s="140">
        <f t="shared" si="116"/>
        <v>0</v>
      </c>
      <c r="L136" s="140">
        <f t="shared" si="116"/>
        <v>0</v>
      </c>
      <c r="M136" s="140">
        <f t="shared" si="116"/>
        <v>0</v>
      </c>
      <c r="N136" s="140">
        <f t="shared" si="116"/>
        <v>0</v>
      </c>
      <c r="O136" s="140">
        <f t="shared" si="116"/>
        <v>0</v>
      </c>
      <c r="P136" s="140">
        <f t="shared" si="116"/>
        <v>0</v>
      </c>
      <c r="Q136" s="140">
        <f t="shared" si="116"/>
        <v>0</v>
      </c>
      <c r="R136" s="140">
        <f t="shared" si="116"/>
        <v>0</v>
      </c>
      <c r="S136" s="140">
        <f t="shared" si="116"/>
        <v>0</v>
      </c>
      <c r="T136" s="140">
        <f t="shared" si="116"/>
        <v>0</v>
      </c>
      <c r="U136" s="140">
        <f t="shared" si="116"/>
        <v>0</v>
      </c>
      <c r="V136" s="140">
        <f t="shared" si="116"/>
        <v>0</v>
      </c>
      <c r="W136" s="140">
        <f t="shared" si="116"/>
        <v>0</v>
      </c>
      <c r="X136" s="140">
        <f t="shared" si="116"/>
        <v>0</v>
      </c>
      <c r="Y136" s="140">
        <f t="shared" si="116"/>
        <v>0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2.5671964403565693E-2</v>
      </c>
      <c r="C137" s="140">
        <f t="shared" ref="C137:Y137" si="117">IF(C45=0,0,C45/C$34)</f>
        <v>3.2462819367104448E-2</v>
      </c>
      <c r="D137" s="140">
        <f t="shared" si="117"/>
        <v>2.8131786470342719E-2</v>
      </c>
      <c r="E137" s="140">
        <f t="shared" si="117"/>
        <v>3.0130565940237167E-2</v>
      </c>
      <c r="F137" s="140">
        <f t="shared" si="117"/>
        <v>2.9782480351687009E-2</v>
      </c>
      <c r="G137" s="140">
        <f t="shared" si="117"/>
        <v>3.7379282040802757E-2</v>
      </c>
      <c r="H137" s="140">
        <f t="shared" si="117"/>
        <v>3.8579213105073153E-2</v>
      </c>
      <c r="I137" s="140">
        <f t="shared" si="117"/>
        <v>4.3345275141818927E-2</v>
      </c>
      <c r="J137" s="140">
        <f t="shared" si="117"/>
        <v>5.075666422733606E-2</v>
      </c>
      <c r="K137" s="140">
        <f t="shared" si="117"/>
        <v>2.6353592682776456E-2</v>
      </c>
      <c r="L137" s="140">
        <f t="shared" si="117"/>
        <v>3.6120522951207247E-2</v>
      </c>
      <c r="M137" s="140">
        <f t="shared" si="117"/>
        <v>4.4152111022793053E-2</v>
      </c>
      <c r="N137" s="140">
        <f t="shared" si="117"/>
        <v>4.5546696199467697E-2</v>
      </c>
      <c r="O137" s="140">
        <f t="shared" si="117"/>
        <v>5.1715614725929615E-2</v>
      </c>
      <c r="P137" s="140">
        <f t="shared" si="117"/>
        <v>5.771946010483054E-2</v>
      </c>
      <c r="Q137" s="140">
        <f t="shared" si="117"/>
        <v>5.8119082247543516E-2</v>
      </c>
      <c r="R137" s="140">
        <f t="shared" si="117"/>
        <v>6.1714950289345732E-2</v>
      </c>
      <c r="S137" s="140">
        <f t="shared" si="117"/>
        <v>6.4617880692657545E-2</v>
      </c>
      <c r="T137" s="140">
        <f t="shared" si="117"/>
        <v>7.2060584089351884E-2</v>
      </c>
      <c r="U137" s="140">
        <f t="shared" si="117"/>
        <v>6.8317915835468063E-2</v>
      </c>
      <c r="V137" s="140">
        <f t="shared" si="117"/>
        <v>3.0516595364049062E-2</v>
      </c>
      <c r="W137" s="140">
        <f t="shared" si="117"/>
        <v>3.5465949354302355E-2</v>
      </c>
      <c r="X137" s="140">
        <f t="shared" si="117"/>
        <v>5.8436710346095058E-2</v>
      </c>
      <c r="Y137" s="140">
        <f t="shared" si="117"/>
        <v>5.8143792445903716E-2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4.6237397550516488E-3</v>
      </c>
      <c r="C138" s="140">
        <f t="shared" ref="C138:Y138" si="118">IF(C46=0,0,C46/C$34)</f>
        <v>5.8486122068736263E-3</v>
      </c>
      <c r="D138" s="140">
        <f t="shared" si="118"/>
        <v>5.0680463125466618E-3</v>
      </c>
      <c r="E138" s="140">
        <f t="shared" si="118"/>
        <v>5.4230864551649991E-3</v>
      </c>
      <c r="F138" s="140">
        <f t="shared" si="118"/>
        <v>5.3625573022983257E-3</v>
      </c>
      <c r="G138" s="140">
        <f t="shared" si="118"/>
        <v>5.7068281481487942E-3</v>
      </c>
      <c r="H138" s="140">
        <f t="shared" si="118"/>
        <v>5.4984996054595692E-3</v>
      </c>
      <c r="I138" s="140">
        <f t="shared" si="118"/>
        <v>6.0439546899710463E-3</v>
      </c>
      <c r="J138" s="140">
        <f t="shared" si="118"/>
        <v>7.1072162657001793E-3</v>
      </c>
      <c r="K138" s="140">
        <f t="shared" si="118"/>
        <v>4.315680699205059E-3</v>
      </c>
      <c r="L138" s="140">
        <f t="shared" si="118"/>
        <v>5.2896511225683862E-3</v>
      </c>
      <c r="M138" s="140">
        <f t="shared" si="118"/>
        <v>6.1592549425833676E-3</v>
      </c>
      <c r="N138" s="140">
        <f t="shared" si="118"/>
        <v>5.6853373883124919E-3</v>
      </c>
      <c r="O138" s="140">
        <f t="shared" si="118"/>
        <v>6.2838764240137962E-3</v>
      </c>
      <c r="P138" s="140">
        <f t="shared" si="118"/>
        <v>6.970923150274597E-3</v>
      </c>
      <c r="Q138" s="140">
        <f t="shared" si="118"/>
        <v>6.6548448555766139E-3</v>
      </c>
      <c r="R138" s="140">
        <f t="shared" si="118"/>
        <v>6.2947365995122797E-3</v>
      </c>
      <c r="S138" s="140">
        <f t="shared" si="118"/>
        <v>6.415617003907993E-3</v>
      </c>
      <c r="T138" s="140">
        <f t="shared" si="118"/>
        <v>6.8341774351013546E-3</v>
      </c>
      <c r="U138" s="140">
        <f t="shared" si="118"/>
        <v>6.6147838284031524E-3</v>
      </c>
      <c r="V138" s="140">
        <f t="shared" si="118"/>
        <v>4.3469639025798092E-3</v>
      </c>
      <c r="W138" s="140">
        <f t="shared" si="118"/>
        <v>4.441887703734779E-3</v>
      </c>
      <c r="X138" s="140">
        <f t="shared" si="118"/>
        <v>5.2636380446890122E-3</v>
      </c>
      <c r="Y138" s="140">
        <f t="shared" si="118"/>
        <v>5.8279833443904989E-3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0.76665743332569969</v>
      </c>
      <c r="C140" s="139">
        <f t="shared" ref="C140:Y140" si="121">IF(C48=0,0,C48/C$47)</f>
        <v>0.82754360711404074</v>
      </c>
      <c r="D140" s="139">
        <f t="shared" si="121"/>
        <v>0.81579207299426104</v>
      </c>
      <c r="E140" s="139">
        <f t="shared" si="121"/>
        <v>0.76643945202081076</v>
      </c>
      <c r="F140" s="139">
        <f t="shared" si="121"/>
        <v>0.79561971643843377</v>
      </c>
      <c r="G140" s="139">
        <f t="shared" si="121"/>
        <v>0.77615466602855732</v>
      </c>
      <c r="H140" s="139">
        <f t="shared" si="121"/>
        <v>0.77507760637018575</v>
      </c>
      <c r="I140" s="139">
        <f t="shared" si="121"/>
        <v>0.84139581839738375</v>
      </c>
      <c r="J140" s="139">
        <f t="shared" si="121"/>
        <v>0.84502617138518132</v>
      </c>
      <c r="K140" s="139">
        <f t="shared" si="121"/>
        <v>0.80498266418406539</v>
      </c>
      <c r="L140" s="139">
        <f t="shared" si="121"/>
        <v>0.82148406353899139</v>
      </c>
      <c r="M140" s="139">
        <f t="shared" si="121"/>
        <v>0.84560624431893205</v>
      </c>
      <c r="N140" s="139">
        <f t="shared" si="121"/>
        <v>0.81150708126099169</v>
      </c>
      <c r="O140" s="139">
        <f t="shared" si="121"/>
        <v>0.83948464946687529</v>
      </c>
      <c r="P140" s="139">
        <f t="shared" si="121"/>
        <v>0.88748372617921256</v>
      </c>
      <c r="Q140" s="139">
        <f t="shared" si="121"/>
        <v>0.90112963177547523</v>
      </c>
      <c r="R140" s="139">
        <f t="shared" si="121"/>
        <v>0.89985512044449611</v>
      </c>
      <c r="S140" s="139">
        <f t="shared" si="121"/>
        <v>0.89576974973727264</v>
      </c>
      <c r="T140" s="139">
        <f t="shared" si="121"/>
        <v>0.89291829951380997</v>
      </c>
      <c r="U140" s="139">
        <f t="shared" si="121"/>
        <v>0.90521797304632956</v>
      </c>
      <c r="V140" s="139">
        <f t="shared" si="121"/>
        <v>0.91296411728754479</v>
      </c>
      <c r="W140" s="139">
        <f t="shared" si="121"/>
        <v>0.91834507651207931</v>
      </c>
      <c r="X140" s="139">
        <f t="shared" si="121"/>
        <v>0.95186517427886197</v>
      </c>
      <c r="Y140" s="139">
        <f t="shared" si="121"/>
        <v>0.95237107996799497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0.11879797379318127</v>
      </c>
      <c r="C141" s="140">
        <f t="shared" ref="C141:Y141" si="122">IF(C49=0,0,C49/C$47)</f>
        <v>9.835816615065579E-2</v>
      </c>
      <c r="D141" s="140">
        <f t="shared" si="122"/>
        <v>9.6379214411159583E-2</v>
      </c>
      <c r="E141" s="140">
        <f t="shared" si="122"/>
        <v>0.11087561501451938</v>
      </c>
      <c r="F141" s="140">
        <f t="shared" si="122"/>
        <v>0.10249980926851268</v>
      </c>
      <c r="G141" s="140">
        <f t="shared" si="122"/>
        <v>0.11180564484838337</v>
      </c>
      <c r="H141" s="140">
        <f t="shared" si="122"/>
        <v>0.13718185649646455</v>
      </c>
      <c r="I141" s="140">
        <f t="shared" si="122"/>
        <v>0.109538410121751</v>
      </c>
      <c r="J141" s="140">
        <f t="shared" si="122"/>
        <v>0.10695001543086631</v>
      </c>
      <c r="K141" s="140">
        <f t="shared" si="122"/>
        <v>0.18223983496938631</v>
      </c>
      <c r="L141" s="140">
        <f t="shared" si="122"/>
        <v>0.14719488764511127</v>
      </c>
      <c r="M141" s="140">
        <f t="shared" si="122"/>
        <v>0.13839704658642449</v>
      </c>
      <c r="N141" s="140">
        <f t="shared" si="122"/>
        <v>0.19406124769893485</v>
      </c>
      <c r="O141" s="140">
        <f t="shared" si="122"/>
        <v>0.18648852056779766</v>
      </c>
      <c r="P141" s="140">
        <f t="shared" si="122"/>
        <v>0.13931585280365366</v>
      </c>
      <c r="Q141" s="140">
        <f t="shared" si="122"/>
        <v>0.13798913644596703</v>
      </c>
      <c r="R141" s="140">
        <f t="shared" si="122"/>
        <v>0.15351137017007555</v>
      </c>
      <c r="S141" s="140">
        <f t="shared" si="122"/>
        <v>0.14995624290480852</v>
      </c>
      <c r="T141" s="140">
        <f t="shared" si="122"/>
        <v>0.14221700403491325</v>
      </c>
      <c r="U141" s="140">
        <f t="shared" si="122"/>
        <v>0.14323659834723679</v>
      </c>
      <c r="V141" s="140">
        <f t="shared" si="122"/>
        <v>0.14058185529177109</v>
      </c>
      <c r="W141" s="140">
        <f t="shared" si="122"/>
        <v>0.14048309739917728</v>
      </c>
      <c r="X141" s="140">
        <f t="shared" si="122"/>
        <v>0.14770000697032967</v>
      </c>
      <c r="Y141" s="140">
        <f t="shared" si="122"/>
        <v>0.14621814587482154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0.64785945953251844</v>
      </c>
      <c r="C142" s="140">
        <f t="shared" ref="C142:Y142" si="123">IF(C50=0,0,C50/C$47)</f>
        <v>0.729185440963385</v>
      </c>
      <c r="D142" s="140">
        <f t="shared" si="123"/>
        <v>0.71941285858310144</v>
      </c>
      <c r="E142" s="140">
        <f t="shared" si="123"/>
        <v>0.65556383700629139</v>
      </c>
      <c r="F142" s="140">
        <f t="shared" si="123"/>
        <v>0.69311990716992111</v>
      </c>
      <c r="G142" s="140">
        <f t="shared" si="123"/>
        <v>0.66434902118017392</v>
      </c>
      <c r="H142" s="140">
        <f t="shared" si="123"/>
        <v>0.63789574987372122</v>
      </c>
      <c r="I142" s="140">
        <f t="shared" si="123"/>
        <v>0.73185740827563284</v>
      </c>
      <c r="J142" s="140">
        <f t="shared" si="123"/>
        <v>0.73807615595431508</v>
      </c>
      <c r="K142" s="140">
        <f t="shared" si="123"/>
        <v>0.62274282921467916</v>
      </c>
      <c r="L142" s="140">
        <f t="shared" si="123"/>
        <v>0.67428917589388015</v>
      </c>
      <c r="M142" s="140">
        <f t="shared" si="123"/>
        <v>0.70720919773250768</v>
      </c>
      <c r="N142" s="140">
        <f t="shared" si="123"/>
        <v>0.61744583356205673</v>
      </c>
      <c r="O142" s="140">
        <f t="shared" si="123"/>
        <v>0.65299612889907765</v>
      </c>
      <c r="P142" s="140">
        <f t="shared" si="123"/>
        <v>0.7481678733755589</v>
      </c>
      <c r="Q142" s="140">
        <f t="shared" si="123"/>
        <v>0.76314049532950823</v>
      </c>
      <c r="R142" s="140">
        <f t="shared" si="123"/>
        <v>0.74634375027442057</v>
      </c>
      <c r="S142" s="140">
        <f t="shared" si="123"/>
        <v>0.74581350683246417</v>
      </c>
      <c r="T142" s="140">
        <f t="shared" si="123"/>
        <v>0.75070129547889675</v>
      </c>
      <c r="U142" s="140">
        <f t="shared" si="123"/>
        <v>0.76198137469909288</v>
      </c>
      <c r="V142" s="140">
        <f t="shared" si="123"/>
        <v>0.77238226199577376</v>
      </c>
      <c r="W142" s="140">
        <f t="shared" si="123"/>
        <v>0.777861979112902</v>
      </c>
      <c r="X142" s="140">
        <f t="shared" si="123"/>
        <v>0.80416516730853216</v>
      </c>
      <c r="Y142" s="140">
        <f t="shared" si="123"/>
        <v>0.80615293409317346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0.22065882526173505</v>
      </c>
      <c r="C143" s="124">
        <f t="shared" ref="C143:Y143" si="124">IF(C51=0,0,C51/C$47)</f>
        <v>0.16191457492240938</v>
      </c>
      <c r="D143" s="124">
        <f t="shared" si="124"/>
        <v>0.17102073433296819</v>
      </c>
      <c r="E143" s="124">
        <f t="shared" si="124"/>
        <v>0.2194464001469911</v>
      </c>
      <c r="F143" s="124">
        <f t="shared" si="124"/>
        <v>0.18906016434915487</v>
      </c>
      <c r="G143" s="124">
        <f t="shared" si="124"/>
        <v>0.20772361450515808</v>
      </c>
      <c r="H143" s="124">
        <f t="shared" si="124"/>
        <v>0.20480513235277251</v>
      </c>
      <c r="I143" s="124">
        <f t="shared" si="124"/>
        <v>0.14653696578485959</v>
      </c>
      <c r="J143" s="124">
        <f t="shared" si="124"/>
        <v>0.14144537164641971</v>
      </c>
      <c r="K143" s="124">
        <f t="shared" si="124"/>
        <v>0.17734210997407482</v>
      </c>
      <c r="L143" s="124">
        <f t="shared" si="124"/>
        <v>0.16017792188985869</v>
      </c>
      <c r="M143" s="124">
        <f t="shared" si="124"/>
        <v>0.14111491798624526</v>
      </c>
      <c r="N143" s="124">
        <f t="shared" si="124"/>
        <v>0.17020517049563244</v>
      </c>
      <c r="O143" s="124">
        <f t="shared" si="124"/>
        <v>0.14342752438184408</v>
      </c>
      <c r="P143" s="124">
        <f t="shared" si="124"/>
        <v>0.10138450484970431</v>
      </c>
      <c r="Q143" s="124">
        <f t="shared" si="124"/>
        <v>8.8332500970146402E-2</v>
      </c>
      <c r="R143" s="124">
        <f t="shared" si="124"/>
        <v>9.1044970849721282E-2</v>
      </c>
      <c r="S143" s="124">
        <f t="shared" si="124"/>
        <v>9.2696342060047746E-2</v>
      </c>
      <c r="T143" s="124">
        <f t="shared" si="124"/>
        <v>9.7321044338192567E-2</v>
      </c>
      <c r="U143" s="124">
        <f t="shared" si="124"/>
        <v>8.4561072258190276E-2</v>
      </c>
      <c r="V143" s="124">
        <f t="shared" si="124"/>
        <v>7.8613896857989529E-2</v>
      </c>
      <c r="W143" s="124">
        <f t="shared" si="124"/>
        <v>7.3511855521443806E-2</v>
      </c>
      <c r="X143" s="124">
        <f t="shared" si="124"/>
        <v>4.1147905686477575E-2</v>
      </c>
      <c r="Y143" s="124">
        <f t="shared" si="124"/>
        <v>4.1646196622996068E-2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1.7576302271653274E-3</v>
      </c>
      <c r="C144" s="124">
        <f t="shared" ref="C144:Y144" si="125">IF(C52=0,0,C52/C$47)</f>
        <v>1.4896952758900904E-3</v>
      </c>
      <c r="D144" s="124">
        <f t="shared" si="125"/>
        <v>1.4211542601191398E-3</v>
      </c>
      <c r="E144" s="124">
        <f t="shared" si="125"/>
        <v>8.8410580634428121E-4</v>
      </c>
      <c r="F144" s="124">
        <f t="shared" si="125"/>
        <v>8.4626046402035604E-4</v>
      </c>
      <c r="G144" s="124">
        <f t="shared" si="125"/>
        <v>1.0885721009480408E-3</v>
      </c>
      <c r="H144" s="124">
        <f t="shared" si="125"/>
        <v>1.6316906061648409E-3</v>
      </c>
      <c r="I144" s="124">
        <f t="shared" si="125"/>
        <v>1.4246720068029305E-3</v>
      </c>
      <c r="J144" s="124">
        <f t="shared" si="125"/>
        <v>1.3584583851473282E-3</v>
      </c>
      <c r="K144" s="124">
        <f t="shared" si="125"/>
        <v>9.9196775497226402E-4</v>
      </c>
      <c r="L144" s="124">
        <f t="shared" si="125"/>
        <v>1.1452813477392165E-3</v>
      </c>
      <c r="M144" s="124">
        <f t="shared" si="125"/>
        <v>1.0294241131353732E-3</v>
      </c>
      <c r="N144" s="124">
        <f t="shared" si="125"/>
        <v>2.5866356947792392E-3</v>
      </c>
      <c r="O144" s="124">
        <f t="shared" si="125"/>
        <v>2.5986785700708075E-3</v>
      </c>
      <c r="P144" s="124">
        <f t="shared" si="125"/>
        <v>1.513544843060765E-3</v>
      </c>
      <c r="Q144" s="124">
        <f t="shared" si="125"/>
        <v>1.4874758177868994E-3</v>
      </c>
      <c r="R144" s="124">
        <f t="shared" si="125"/>
        <v>1.5236297958495628E-3</v>
      </c>
      <c r="S144" s="124">
        <f t="shared" si="125"/>
        <v>1.768024797362471E-3</v>
      </c>
      <c r="T144" s="124">
        <f t="shared" si="125"/>
        <v>1.856796789916402E-3</v>
      </c>
      <c r="U144" s="124">
        <f t="shared" si="125"/>
        <v>1.7746366823478256E-3</v>
      </c>
      <c r="V144" s="124">
        <f t="shared" si="125"/>
        <v>2.7191641619029247E-3</v>
      </c>
      <c r="W144" s="124">
        <f t="shared" si="125"/>
        <v>2.3287284879946269E-3</v>
      </c>
      <c r="X144" s="124">
        <f t="shared" si="125"/>
        <v>1.8924788309421512E-3</v>
      </c>
      <c r="Y144" s="124">
        <f t="shared" si="125"/>
        <v>1.8837209660499661E-3</v>
      </c>
      <c r="DA144" s="176"/>
    </row>
    <row r="145" spans="1:105" ht="11.45" customHeight="1" x14ac:dyDescent="0.25">
      <c r="A145" s="128" t="s">
        <v>27</v>
      </c>
      <c r="B145" s="140">
        <f t="shared" si="119"/>
        <v>0</v>
      </c>
      <c r="C145" s="140">
        <f t="shared" ref="C145:Y145" si="126">IF(C53=0,0,C53/C$47)</f>
        <v>0</v>
      </c>
      <c r="D145" s="140">
        <f t="shared" si="126"/>
        <v>0</v>
      </c>
      <c r="E145" s="140">
        <f t="shared" si="126"/>
        <v>0</v>
      </c>
      <c r="F145" s="140">
        <f t="shared" si="126"/>
        <v>0</v>
      </c>
      <c r="G145" s="140">
        <f t="shared" si="126"/>
        <v>0</v>
      </c>
      <c r="H145" s="140">
        <f t="shared" si="126"/>
        <v>0</v>
      </c>
      <c r="I145" s="140">
        <f t="shared" si="126"/>
        <v>0</v>
      </c>
      <c r="J145" s="140">
        <f t="shared" si="126"/>
        <v>0</v>
      </c>
      <c r="K145" s="140">
        <f t="shared" si="126"/>
        <v>0</v>
      </c>
      <c r="L145" s="140">
        <f t="shared" si="126"/>
        <v>0</v>
      </c>
      <c r="M145" s="140">
        <f t="shared" si="126"/>
        <v>0</v>
      </c>
      <c r="N145" s="140">
        <f t="shared" si="126"/>
        <v>0</v>
      </c>
      <c r="O145" s="140">
        <f t="shared" si="126"/>
        <v>0</v>
      </c>
      <c r="P145" s="140">
        <f t="shared" si="126"/>
        <v>0</v>
      </c>
      <c r="Q145" s="140">
        <f t="shared" si="126"/>
        <v>0</v>
      </c>
      <c r="R145" s="140">
        <f t="shared" si="126"/>
        <v>0</v>
      </c>
      <c r="S145" s="140">
        <f t="shared" si="126"/>
        <v>0</v>
      </c>
      <c r="T145" s="140">
        <f t="shared" si="126"/>
        <v>0</v>
      </c>
      <c r="U145" s="140">
        <f t="shared" si="126"/>
        <v>0</v>
      </c>
      <c r="V145" s="140">
        <f t="shared" si="126"/>
        <v>0</v>
      </c>
      <c r="W145" s="140">
        <f t="shared" si="126"/>
        <v>0</v>
      </c>
      <c r="X145" s="140">
        <f t="shared" si="126"/>
        <v>0</v>
      </c>
      <c r="Y145" s="140">
        <f t="shared" si="126"/>
        <v>0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1.723887847982167E-3</v>
      </c>
      <c r="C146" s="140">
        <f t="shared" ref="C146:Y146" si="127">IF(C54=0,0,C54/C$47)</f>
        <v>1.4616366362050937E-3</v>
      </c>
      <c r="D146" s="140">
        <f t="shared" si="127"/>
        <v>1.3938714305560401E-3</v>
      </c>
      <c r="E146" s="140">
        <f t="shared" si="127"/>
        <v>8.5316965642696582E-4</v>
      </c>
      <c r="F146" s="140">
        <f t="shared" si="127"/>
        <v>8.1245752259537305E-4</v>
      </c>
      <c r="G146" s="140">
        <f t="shared" si="127"/>
        <v>1.0390378565974562E-3</v>
      </c>
      <c r="H146" s="140">
        <f t="shared" si="127"/>
        <v>1.5130413821804467E-3</v>
      </c>
      <c r="I146" s="140">
        <f t="shared" si="127"/>
        <v>1.2711716200115037E-3</v>
      </c>
      <c r="J146" s="140">
        <f t="shared" si="127"/>
        <v>1.2681085642682101E-3</v>
      </c>
      <c r="K146" s="140">
        <f t="shared" si="127"/>
        <v>9.7405118576826099E-4</v>
      </c>
      <c r="L146" s="140">
        <f t="shared" si="127"/>
        <v>1.1158901406737838E-3</v>
      </c>
      <c r="M146" s="140">
        <f t="shared" si="127"/>
        <v>9.8090696076599902E-4</v>
      </c>
      <c r="N146" s="140">
        <f t="shared" si="127"/>
        <v>1.262850153360141E-3</v>
      </c>
      <c r="O146" s="140">
        <f t="shared" si="127"/>
        <v>2.0412459829041579E-3</v>
      </c>
      <c r="P146" s="140">
        <f t="shared" si="127"/>
        <v>1.3457275861822847E-3</v>
      </c>
      <c r="Q146" s="140">
        <f t="shared" si="127"/>
        <v>1.3441475992247015E-3</v>
      </c>
      <c r="R146" s="140">
        <f t="shared" si="127"/>
        <v>1.4247155653260356E-3</v>
      </c>
      <c r="S146" s="140">
        <f t="shared" si="127"/>
        <v>1.719164737532202E-3</v>
      </c>
      <c r="T146" s="140">
        <f t="shared" si="127"/>
        <v>1.7820582274013798E-3</v>
      </c>
      <c r="U146" s="140">
        <f t="shared" si="127"/>
        <v>1.6910416117508326E-3</v>
      </c>
      <c r="V146" s="140">
        <f t="shared" si="127"/>
        <v>2.5223618827743865E-3</v>
      </c>
      <c r="W146" s="140">
        <f t="shared" si="127"/>
        <v>2.1739933312841858E-3</v>
      </c>
      <c r="X146" s="140">
        <f t="shared" si="127"/>
        <v>1.7327489401165524E-3</v>
      </c>
      <c r="Y146" s="140">
        <f t="shared" si="127"/>
        <v>1.7136693221822183E-3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3.3742379183160297E-5</v>
      </c>
      <c r="C147" s="140">
        <f t="shared" ref="C147:Y147" si="128">IF(C55=0,0,C55/C$47)</f>
        <v>2.8058639684996476E-5</v>
      </c>
      <c r="D147" s="140">
        <f t="shared" si="128"/>
        <v>2.728282956309959E-5</v>
      </c>
      <c r="E147" s="140">
        <f t="shared" si="128"/>
        <v>3.0936149917315334E-5</v>
      </c>
      <c r="F147" s="140">
        <f t="shared" si="128"/>
        <v>3.3802941424983033E-5</v>
      </c>
      <c r="G147" s="140">
        <f t="shared" si="128"/>
        <v>4.9534244350584509E-5</v>
      </c>
      <c r="H147" s="140">
        <f t="shared" si="128"/>
        <v>1.1864922398439419E-4</v>
      </c>
      <c r="I147" s="140">
        <f t="shared" si="128"/>
        <v>1.5350038679142679E-4</v>
      </c>
      <c r="J147" s="140">
        <f t="shared" si="128"/>
        <v>9.0349820879118286E-5</v>
      </c>
      <c r="K147" s="140">
        <f t="shared" si="128"/>
        <v>1.7916569204002826E-5</v>
      </c>
      <c r="L147" s="140">
        <f t="shared" si="128"/>
        <v>2.9391207065432479E-5</v>
      </c>
      <c r="M147" s="140">
        <f t="shared" si="128"/>
        <v>4.851715236937412E-5</v>
      </c>
      <c r="N147" s="140">
        <f t="shared" si="128"/>
        <v>1.323785541419098E-3</v>
      </c>
      <c r="O147" s="140">
        <f t="shared" si="128"/>
        <v>5.5743258716664924E-4</v>
      </c>
      <c r="P147" s="140">
        <f t="shared" si="128"/>
        <v>1.6781725687848028E-4</v>
      </c>
      <c r="Q147" s="140">
        <f t="shared" si="128"/>
        <v>1.4332821856219798E-4</v>
      </c>
      <c r="R147" s="140">
        <f t="shared" si="128"/>
        <v>9.8914230523527061E-5</v>
      </c>
      <c r="S147" s="140">
        <f t="shared" si="128"/>
        <v>4.8860059830268903E-5</v>
      </c>
      <c r="T147" s="140">
        <f t="shared" si="128"/>
        <v>7.4738562515022384E-5</v>
      </c>
      <c r="U147" s="140">
        <f t="shared" si="128"/>
        <v>8.3595070596993097E-5</v>
      </c>
      <c r="V147" s="140">
        <f t="shared" si="128"/>
        <v>1.9680227912853836E-4</v>
      </c>
      <c r="W147" s="140">
        <f t="shared" si="128"/>
        <v>1.5473515671044088E-4</v>
      </c>
      <c r="X147" s="140">
        <f t="shared" si="128"/>
        <v>1.597298908255987E-4</v>
      </c>
      <c r="Y147" s="140">
        <f t="shared" si="128"/>
        <v>1.700516438677478E-4</v>
      </c>
      <c r="DA147" s="175"/>
    </row>
    <row r="148" spans="1:105" ht="11.45" customHeight="1" x14ac:dyDescent="0.25">
      <c r="A148" s="109" t="s">
        <v>141</v>
      </c>
      <c r="B148" s="124">
        <f t="shared" si="119"/>
        <v>1.0926111185399941E-2</v>
      </c>
      <c r="C148" s="124">
        <f t="shared" ref="C148:Y148" si="129">IF(C56=0,0,C56/C$47)</f>
        <v>9.0521226876598745E-3</v>
      </c>
      <c r="D148" s="124">
        <f t="shared" si="129"/>
        <v>1.1766038412651617E-2</v>
      </c>
      <c r="E148" s="124">
        <f t="shared" si="129"/>
        <v>1.3230042025853872E-2</v>
      </c>
      <c r="F148" s="124">
        <f t="shared" si="129"/>
        <v>1.4473858748390961E-2</v>
      </c>
      <c r="G148" s="124">
        <f t="shared" si="129"/>
        <v>1.5033147365336603E-2</v>
      </c>
      <c r="H148" s="124">
        <f t="shared" si="129"/>
        <v>1.8485570670876941E-2</v>
      </c>
      <c r="I148" s="124">
        <f t="shared" si="129"/>
        <v>1.0642543810953626E-2</v>
      </c>
      <c r="J148" s="124">
        <f t="shared" si="129"/>
        <v>1.2169998583251712E-2</v>
      </c>
      <c r="K148" s="124">
        <f t="shared" si="129"/>
        <v>1.668325808688751E-2</v>
      </c>
      <c r="L148" s="124">
        <f t="shared" si="129"/>
        <v>1.7192733223410701E-2</v>
      </c>
      <c r="M148" s="124">
        <f t="shared" si="129"/>
        <v>1.2249413581687265E-2</v>
      </c>
      <c r="N148" s="124">
        <f t="shared" si="129"/>
        <v>1.5701112548596619E-2</v>
      </c>
      <c r="O148" s="124">
        <f t="shared" si="129"/>
        <v>1.4489147581209927E-2</v>
      </c>
      <c r="P148" s="124">
        <f t="shared" si="129"/>
        <v>9.6182241280221206E-3</v>
      </c>
      <c r="Q148" s="124">
        <f t="shared" si="129"/>
        <v>9.0503914365915906E-3</v>
      </c>
      <c r="R148" s="124">
        <f t="shared" si="129"/>
        <v>7.5762789099330739E-3</v>
      </c>
      <c r="S148" s="124">
        <f t="shared" si="129"/>
        <v>9.7658834053171491E-3</v>
      </c>
      <c r="T148" s="124">
        <f t="shared" si="129"/>
        <v>7.90385935808092E-3</v>
      </c>
      <c r="U148" s="124">
        <f t="shared" si="129"/>
        <v>8.4463180131324252E-3</v>
      </c>
      <c r="V148" s="124">
        <f t="shared" si="129"/>
        <v>5.7028216925628615E-3</v>
      </c>
      <c r="W148" s="124">
        <f t="shared" si="129"/>
        <v>5.8143394784822408E-3</v>
      </c>
      <c r="X148" s="124">
        <f t="shared" si="129"/>
        <v>5.094441203718267E-3</v>
      </c>
      <c r="Y148" s="124">
        <f t="shared" si="129"/>
        <v>4.0990024429589499E-3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1.0886332325303446E-2</v>
      </c>
      <c r="C149" s="140">
        <f t="shared" ref="C149:Y149" si="130">IF(C57=0,0,C57/C$47)</f>
        <v>9.0296414231602288E-3</v>
      </c>
      <c r="D149" s="140">
        <f t="shared" si="130"/>
        <v>1.1726268179727764E-2</v>
      </c>
      <c r="E149" s="140">
        <f t="shared" si="130"/>
        <v>1.3182456540523226E-2</v>
      </c>
      <c r="F149" s="140">
        <f t="shared" si="130"/>
        <v>1.4376934985533678E-2</v>
      </c>
      <c r="G149" s="140">
        <f t="shared" si="130"/>
        <v>1.4900606945854515E-2</v>
      </c>
      <c r="H149" s="140">
        <f t="shared" si="130"/>
        <v>1.8192507886564024E-2</v>
      </c>
      <c r="I149" s="140">
        <f t="shared" si="130"/>
        <v>9.761530458478565E-3</v>
      </c>
      <c r="J149" s="140">
        <f t="shared" si="130"/>
        <v>1.0877591120864309E-2</v>
      </c>
      <c r="K149" s="140">
        <f t="shared" si="130"/>
        <v>1.6294368805616299E-2</v>
      </c>
      <c r="L149" s="140">
        <f t="shared" si="130"/>
        <v>1.6805759174768616E-2</v>
      </c>
      <c r="M149" s="140">
        <f t="shared" si="130"/>
        <v>1.2039958141874552E-2</v>
      </c>
      <c r="N149" s="140">
        <f t="shared" si="130"/>
        <v>1.5603755433943947E-2</v>
      </c>
      <c r="O149" s="140">
        <f t="shared" si="130"/>
        <v>1.4489147581209927E-2</v>
      </c>
      <c r="P149" s="140">
        <f t="shared" si="130"/>
        <v>9.6182241280221206E-3</v>
      </c>
      <c r="Q149" s="140">
        <f t="shared" si="130"/>
        <v>9.0503914365915906E-3</v>
      </c>
      <c r="R149" s="140">
        <f t="shared" si="130"/>
        <v>7.5762789099330739E-3</v>
      </c>
      <c r="S149" s="140">
        <f t="shared" si="130"/>
        <v>9.7658834053171491E-3</v>
      </c>
      <c r="T149" s="140">
        <f t="shared" si="130"/>
        <v>7.90385935808092E-3</v>
      </c>
      <c r="U149" s="140">
        <f t="shared" si="130"/>
        <v>8.4463180131324252E-3</v>
      </c>
      <c r="V149" s="140">
        <f t="shared" si="130"/>
        <v>5.702680652497326E-3</v>
      </c>
      <c r="W149" s="140">
        <f t="shared" si="130"/>
        <v>5.7742941248024255E-3</v>
      </c>
      <c r="X149" s="140">
        <f t="shared" si="130"/>
        <v>4.9605189308894416E-3</v>
      </c>
      <c r="Y149" s="140">
        <f t="shared" si="130"/>
        <v>3.913939155479957E-3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3.9778860096495223E-5</v>
      </c>
      <c r="C150" s="127">
        <f t="shared" ref="C150:Y150" si="131">IF(C58=0,0,C58/C$47)</f>
        <v>2.2481264499645372E-5</v>
      </c>
      <c r="D150" s="127">
        <f t="shared" si="131"/>
        <v>3.9770232923853701E-5</v>
      </c>
      <c r="E150" s="127">
        <f t="shared" si="131"/>
        <v>4.7585485330644372E-5</v>
      </c>
      <c r="F150" s="127">
        <f t="shared" si="131"/>
        <v>9.6923762857282112E-5</v>
      </c>
      <c r="G150" s="127">
        <f t="shared" si="131"/>
        <v>1.3254041948208768E-4</v>
      </c>
      <c r="H150" s="127">
        <f t="shared" si="131"/>
        <v>2.9306278431291786E-4</v>
      </c>
      <c r="I150" s="127">
        <f t="shared" si="131"/>
        <v>8.8101335247506047E-4</v>
      </c>
      <c r="J150" s="127">
        <f t="shared" si="131"/>
        <v>1.2924074623874016E-3</v>
      </c>
      <c r="K150" s="127">
        <f t="shared" si="131"/>
        <v>3.8888928127121363E-4</v>
      </c>
      <c r="L150" s="127">
        <f t="shared" si="131"/>
        <v>3.8697404864208542E-4</v>
      </c>
      <c r="M150" s="127">
        <f t="shared" si="131"/>
        <v>2.0945543981271231E-4</v>
      </c>
      <c r="N150" s="127">
        <f t="shared" si="131"/>
        <v>9.7357114652673826E-5</v>
      </c>
      <c r="O150" s="127">
        <f t="shared" si="131"/>
        <v>0</v>
      </c>
      <c r="P150" s="127">
        <f t="shared" si="131"/>
        <v>0</v>
      </c>
      <c r="Q150" s="127">
        <f t="shared" si="131"/>
        <v>0</v>
      </c>
      <c r="R150" s="127">
        <f t="shared" si="131"/>
        <v>0</v>
      </c>
      <c r="S150" s="127">
        <f t="shared" si="131"/>
        <v>0</v>
      </c>
      <c r="T150" s="127">
        <f t="shared" si="131"/>
        <v>0</v>
      </c>
      <c r="U150" s="127">
        <f t="shared" si="131"/>
        <v>0</v>
      </c>
      <c r="V150" s="127">
        <f t="shared" si="131"/>
        <v>1.4104006553553163E-7</v>
      </c>
      <c r="W150" s="127">
        <f t="shared" si="131"/>
        <v>4.0045353679815131E-5</v>
      </c>
      <c r="X150" s="127">
        <f t="shared" si="131"/>
        <v>1.339222728288258E-4</v>
      </c>
      <c r="Y150" s="127">
        <f t="shared" si="131"/>
        <v>1.8506328747899277E-4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0.56274584701605757</v>
      </c>
      <c r="C152" s="140">
        <f t="shared" si="133"/>
        <v>0.56239433138878181</v>
      </c>
      <c r="D152" s="140">
        <f t="shared" si="133"/>
        <v>0.56040171959113805</v>
      </c>
      <c r="E152" s="140">
        <f t="shared" si="133"/>
        <v>0.56061678673352533</v>
      </c>
      <c r="F152" s="140">
        <f t="shared" si="133"/>
        <v>0.56089422587991378</v>
      </c>
      <c r="G152" s="140">
        <f t="shared" si="133"/>
        <v>0.56620591429574652</v>
      </c>
      <c r="H152" s="140">
        <f t="shared" si="133"/>
        <v>0.48204766672384797</v>
      </c>
      <c r="I152" s="140">
        <f t="shared" si="133"/>
        <v>0.42260938303924833</v>
      </c>
      <c r="J152" s="140">
        <f t="shared" si="133"/>
        <v>0.40192377783056377</v>
      </c>
      <c r="K152" s="140">
        <f t="shared" si="133"/>
        <v>0.36812916007664431</v>
      </c>
      <c r="L152" s="140">
        <f t="shared" si="133"/>
        <v>0.37250544725874868</v>
      </c>
      <c r="M152" s="140">
        <f t="shared" si="133"/>
        <v>0.39520981092835311</v>
      </c>
      <c r="N152" s="140">
        <f t="shared" si="133"/>
        <v>0.40645128946608783</v>
      </c>
      <c r="O152" s="140">
        <f t="shared" si="133"/>
        <v>0.37599894407827988</v>
      </c>
      <c r="P152" s="140">
        <f t="shared" si="133"/>
        <v>0.36013416795820929</v>
      </c>
      <c r="Q152" s="140">
        <f t="shared" si="133"/>
        <v>0.3446386412649477</v>
      </c>
      <c r="R152" s="140">
        <f t="shared" si="133"/>
        <v>0.3219179406930805</v>
      </c>
      <c r="S152" s="140">
        <f t="shared" si="133"/>
        <v>0.32253555086973656</v>
      </c>
      <c r="T152" s="140">
        <f t="shared" si="133"/>
        <v>0.32661221615691777</v>
      </c>
      <c r="U152" s="140">
        <f t="shared" si="133"/>
        <v>0.33377973101807862</v>
      </c>
      <c r="V152" s="140">
        <f t="shared" si="133"/>
        <v>0.29173611135114852</v>
      </c>
      <c r="W152" s="140">
        <f t="shared" si="133"/>
        <v>0.27408888094329154</v>
      </c>
      <c r="X152" s="140">
        <f t="shared" si="133"/>
        <v>0.36581946668661369</v>
      </c>
      <c r="Y152" s="140">
        <f t="shared" si="133"/>
        <v>0.38726357814249163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0.43725415298394243</v>
      </c>
      <c r="C153" s="127">
        <f t="shared" si="134"/>
        <v>0.43760566861121819</v>
      </c>
      <c r="D153" s="127">
        <f t="shared" si="134"/>
        <v>0.43959828040886206</v>
      </c>
      <c r="E153" s="127">
        <f t="shared" si="134"/>
        <v>0.43938321326647461</v>
      </c>
      <c r="F153" s="127">
        <f t="shared" si="134"/>
        <v>0.43910577412008628</v>
      </c>
      <c r="G153" s="127">
        <f t="shared" si="134"/>
        <v>0.43379408570425354</v>
      </c>
      <c r="H153" s="127">
        <f t="shared" si="134"/>
        <v>0.51795233327615209</v>
      </c>
      <c r="I153" s="127">
        <f t="shared" si="134"/>
        <v>0.57739061696075167</v>
      </c>
      <c r="J153" s="127">
        <f t="shared" si="134"/>
        <v>0.59807622216943612</v>
      </c>
      <c r="K153" s="127">
        <f t="shared" si="134"/>
        <v>0.63187083992335569</v>
      </c>
      <c r="L153" s="127">
        <f t="shared" si="134"/>
        <v>0.62749455274125132</v>
      </c>
      <c r="M153" s="127">
        <f t="shared" si="134"/>
        <v>0.60479018907164683</v>
      </c>
      <c r="N153" s="127">
        <f t="shared" si="134"/>
        <v>0.59354871053391223</v>
      </c>
      <c r="O153" s="127">
        <f t="shared" si="134"/>
        <v>0.62400105592172006</v>
      </c>
      <c r="P153" s="127">
        <f t="shared" si="134"/>
        <v>0.63986583204179071</v>
      </c>
      <c r="Q153" s="127">
        <f t="shared" si="134"/>
        <v>0.65536135873505219</v>
      </c>
      <c r="R153" s="127">
        <f t="shared" si="134"/>
        <v>0.67808205930691945</v>
      </c>
      <c r="S153" s="127">
        <f t="shared" si="134"/>
        <v>0.67746444913026338</v>
      </c>
      <c r="T153" s="127">
        <f t="shared" si="134"/>
        <v>0.67338778384308218</v>
      </c>
      <c r="U153" s="127">
        <f t="shared" si="134"/>
        <v>0.66622026898192144</v>
      </c>
      <c r="V153" s="127">
        <f t="shared" si="134"/>
        <v>0.70826388864885148</v>
      </c>
      <c r="W153" s="127">
        <f t="shared" si="134"/>
        <v>0.72591111905670846</v>
      </c>
      <c r="X153" s="127">
        <f t="shared" si="134"/>
        <v>0.63418053331338642</v>
      </c>
      <c r="Y153" s="127">
        <f t="shared" si="134"/>
        <v>0.61273642185750832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0.95550771309278981</v>
      </c>
      <c r="C157" s="139">
        <f t="shared" ref="C157:W157" si="138">IF(C65=0,0,C65/C$64)</f>
        <v>0.94933780631659515</v>
      </c>
      <c r="D157" s="139">
        <f t="shared" si="138"/>
        <v>0.95552818440075538</v>
      </c>
      <c r="E157" s="139">
        <f t="shared" si="138"/>
        <v>0.95533719028436004</v>
      </c>
      <c r="F157" s="139">
        <f t="shared" si="138"/>
        <v>0.95626469620318932</v>
      </c>
      <c r="G157" s="139">
        <f t="shared" si="138"/>
        <v>0.95167807888071898</v>
      </c>
      <c r="H157" s="139">
        <f t="shared" si="138"/>
        <v>0.95101819545011723</v>
      </c>
      <c r="I157" s="139">
        <f t="shared" si="138"/>
        <v>0.94537306209012784</v>
      </c>
      <c r="J157" s="139">
        <f t="shared" si="138"/>
        <v>0.93615841311997094</v>
      </c>
      <c r="K157" s="139">
        <f t="shared" si="138"/>
        <v>0.96487679318535502</v>
      </c>
      <c r="L157" s="139">
        <f t="shared" si="138"/>
        <v>0.95376066849835983</v>
      </c>
      <c r="M157" s="139">
        <f t="shared" si="138"/>
        <v>0.94405182159431578</v>
      </c>
      <c r="N157" s="139">
        <f t="shared" si="138"/>
        <v>0.94345979573549466</v>
      </c>
      <c r="O157" s="139">
        <f t="shared" si="138"/>
        <v>0.93635732759829404</v>
      </c>
      <c r="P157" s="139">
        <f t="shared" si="138"/>
        <v>0.92980618222735312</v>
      </c>
      <c r="Q157" s="139">
        <f t="shared" si="138"/>
        <v>0.92978005249272688</v>
      </c>
      <c r="R157" s="139">
        <f t="shared" si="138"/>
        <v>0.92778493711611487</v>
      </c>
      <c r="S157" s="139">
        <f t="shared" si="138"/>
        <v>0.92395403781049867</v>
      </c>
      <c r="T157" s="139">
        <f t="shared" si="138"/>
        <v>0.91578378619264889</v>
      </c>
      <c r="U157" s="139">
        <f t="shared" si="138"/>
        <v>0.91999280184235455</v>
      </c>
      <c r="V157" s="139">
        <f t="shared" si="138"/>
        <v>0.96118665704137984</v>
      </c>
      <c r="W157" s="139">
        <f t="shared" si="138"/>
        <v>0.95506148949491687</v>
      </c>
      <c r="X157" s="139">
        <f t="shared" ref="X157:Y157" si="139">IF(X65=0,0,X65/X$64)</f>
        <v>0.9298745980001677</v>
      </c>
      <c r="Y157" s="139">
        <f t="shared" si="139"/>
        <v>0.92941447112071862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3.8720389257377395E-3</v>
      </c>
      <c r="C158" s="140">
        <f t="shared" ref="C158:W158" si="140">IF(C66=0,0,C66/C$64)</f>
        <v>3.7262436112167293E-3</v>
      </c>
      <c r="D158" s="140">
        <f t="shared" si="140"/>
        <v>3.685495991810023E-3</v>
      </c>
      <c r="E158" s="140">
        <f t="shared" si="140"/>
        <v>3.3173606489330962E-3</v>
      </c>
      <c r="F158" s="140">
        <f t="shared" si="140"/>
        <v>3.1673464693800792E-3</v>
      </c>
      <c r="G158" s="140">
        <f t="shared" si="140"/>
        <v>2.7578666141662598E-3</v>
      </c>
      <c r="H158" s="140">
        <f t="shared" si="140"/>
        <v>2.5799473870445717E-3</v>
      </c>
      <c r="I158" s="140">
        <f t="shared" si="140"/>
        <v>2.5533027410416993E-3</v>
      </c>
      <c r="J158" s="140">
        <f t="shared" si="140"/>
        <v>2.9044886128530263E-3</v>
      </c>
      <c r="K158" s="140">
        <f t="shared" si="140"/>
        <v>3.415228311299482E-3</v>
      </c>
      <c r="L158" s="140">
        <f t="shared" si="140"/>
        <v>3.3272544418545425E-3</v>
      </c>
      <c r="M158" s="140">
        <f t="shared" si="140"/>
        <v>3.4518805897782237E-3</v>
      </c>
      <c r="N158" s="140">
        <f t="shared" si="140"/>
        <v>3.0779103432389773E-3</v>
      </c>
      <c r="O158" s="140">
        <f t="shared" si="140"/>
        <v>3.093440416874376E-3</v>
      </c>
      <c r="P158" s="140">
        <f t="shared" si="140"/>
        <v>2.9771991037234654E-3</v>
      </c>
      <c r="Q158" s="140">
        <f t="shared" si="140"/>
        <v>2.8680744710056225E-3</v>
      </c>
      <c r="R158" s="140">
        <f t="shared" si="140"/>
        <v>2.7167136595672055E-3</v>
      </c>
      <c r="S158" s="140">
        <f t="shared" si="140"/>
        <v>2.3959714473015497E-3</v>
      </c>
      <c r="T158" s="140">
        <f t="shared" si="140"/>
        <v>2.1121173312943029E-3</v>
      </c>
      <c r="U158" s="140">
        <f t="shared" si="140"/>
        <v>2.0971933984687123E-3</v>
      </c>
      <c r="V158" s="140">
        <f t="shared" si="140"/>
        <v>1.9905156204978497E-3</v>
      </c>
      <c r="W158" s="140">
        <f t="shared" si="140"/>
        <v>2.0701067140927944E-3</v>
      </c>
      <c r="X158" s="140">
        <f t="shared" ref="X158:Y158" si="141">IF(X66=0,0,X66/X$64)</f>
        <v>2.0201171524380848E-3</v>
      </c>
      <c r="Y158" s="140">
        <f t="shared" si="141"/>
        <v>2.1544257610157437E-3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0.87003233182029205</v>
      </c>
      <c r="C159" s="140">
        <f t="shared" ref="C159:W159" si="142">IF(C67=0,0,C67/C$64)</f>
        <v>0.87035463329904572</v>
      </c>
      <c r="D159" s="140">
        <f t="shared" si="142"/>
        <v>0.87723204758040274</v>
      </c>
      <c r="E159" s="140">
        <f t="shared" si="142"/>
        <v>0.88320325198023109</v>
      </c>
      <c r="F159" s="140">
        <f t="shared" si="142"/>
        <v>0.88522677790212634</v>
      </c>
      <c r="G159" s="140">
        <f t="shared" si="142"/>
        <v>0.88985257947944385</v>
      </c>
      <c r="H159" s="140">
        <f t="shared" si="142"/>
        <v>0.89757068586493505</v>
      </c>
      <c r="I159" s="140">
        <f t="shared" si="142"/>
        <v>0.90049031256361756</v>
      </c>
      <c r="J159" s="140">
        <f t="shared" si="142"/>
        <v>0.89305948565495152</v>
      </c>
      <c r="K159" s="140">
        <f t="shared" si="142"/>
        <v>0.91717993966252331</v>
      </c>
      <c r="L159" s="140">
        <f t="shared" si="142"/>
        <v>0.90726711319317332</v>
      </c>
      <c r="M159" s="140">
        <f t="shared" si="142"/>
        <v>0.89415606013826021</v>
      </c>
      <c r="N159" s="140">
        <f t="shared" si="142"/>
        <v>0.89929106220345201</v>
      </c>
      <c r="O159" s="140">
        <f t="shared" si="142"/>
        <v>0.89566493377150569</v>
      </c>
      <c r="P159" s="140">
        <f t="shared" si="142"/>
        <v>0.88768942121892536</v>
      </c>
      <c r="Q159" s="140">
        <f t="shared" si="142"/>
        <v>0.88914366126194977</v>
      </c>
      <c r="R159" s="140">
        <f t="shared" si="142"/>
        <v>0.89284542452659255</v>
      </c>
      <c r="S159" s="140">
        <f t="shared" si="142"/>
        <v>0.89024658083013586</v>
      </c>
      <c r="T159" s="140">
        <f t="shared" si="142"/>
        <v>0.88372447596221715</v>
      </c>
      <c r="U159" s="140">
        <f t="shared" si="142"/>
        <v>0.88519952173018679</v>
      </c>
      <c r="V159" s="140">
        <f t="shared" si="142"/>
        <v>0.93264056888317226</v>
      </c>
      <c r="W159" s="140">
        <f t="shared" si="142"/>
        <v>0.9285816115225789</v>
      </c>
      <c r="X159" s="140">
        <f t="shared" ref="X159:Y159" si="143">IF(X67=0,0,X67/X$64)</f>
        <v>0.90270369888701152</v>
      </c>
      <c r="Y159" s="140">
        <f t="shared" si="143"/>
        <v>0.89922850027537171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8.1603342346760102E-2</v>
      </c>
      <c r="C160" s="140">
        <f t="shared" ref="C160:W160" si="144">IF(C68=0,0,C68/C$64)</f>
        <v>7.5256929406332759E-2</v>
      </c>
      <c r="D160" s="140">
        <f t="shared" si="144"/>
        <v>7.461064082854256E-2</v>
      </c>
      <c r="E160" s="140">
        <f t="shared" si="144"/>
        <v>6.8816577655195763E-2</v>
      </c>
      <c r="F160" s="140">
        <f t="shared" si="144"/>
        <v>6.7870571831682755E-2</v>
      </c>
      <c r="G160" s="140">
        <f t="shared" si="144"/>
        <v>5.9067632787108762E-2</v>
      </c>
      <c r="H160" s="140">
        <f t="shared" si="144"/>
        <v>5.0867562198137636E-2</v>
      </c>
      <c r="I160" s="140">
        <f t="shared" si="144"/>
        <v>4.2329446785468634E-2</v>
      </c>
      <c r="J160" s="140">
        <f t="shared" si="144"/>
        <v>4.019443885216651E-2</v>
      </c>
      <c r="K160" s="140">
        <f t="shared" si="144"/>
        <v>4.4281625211532206E-2</v>
      </c>
      <c r="L160" s="140">
        <f t="shared" si="144"/>
        <v>4.316630086333198E-2</v>
      </c>
      <c r="M160" s="140">
        <f t="shared" si="144"/>
        <v>4.6443880866277286E-2</v>
      </c>
      <c r="N160" s="140">
        <f t="shared" si="144"/>
        <v>4.109082318880377E-2</v>
      </c>
      <c r="O160" s="140">
        <f t="shared" si="144"/>
        <v>3.7598953409913954E-2</v>
      </c>
      <c r="P160" s="140">
        <f t="shared" si="144"/>
        <v>3.9139561904704308E-2</v>
      </c>
      <c r="Q160" s="140">
        <f t="shared" si="144"/>
        <v>3.7768316759771443E-2</v>
      </c>
      <c r="R160" s="140">
        <f t="shared" si="144"/>
        <v>3.2222798929955117E-2</v>
      </c>
      <c r="S160" s="140">
        <f t="shared" si="144"/>
        <v>3.1311485533061199E-2</v>
      </c>
      <c r="T160" s="140">
        <f t="shared" si="144"/>
        <v>2.9947192899137425E-2</v>
      </c>
      <c r="U160" s="140">
        <f t="shared" si="144"/>
        <v>3.2696086713699044E-2</v>
      </c>
      <c r="V160" s="140">
        <f t="shared" si="144"/>
        <v>2.655557253770972E-2</v>
      </c>
      <c r="W160" s="140">
        <f t="shared" si="144"/>
        <v>2.4409771258245259E-2</v>
      </c>
      <c r="X160" s="140">
        <f t="shared" ref="X160:Y160" si="145">IF(X68=0,0,X68/X$64)</f>
        <v>2.5150781960718026E-2</v>
      </c>
      <c r="Y160" s="140">
        <f t="shared" si="145"/>
        <v>2.8031545084331037E-2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1.3303779381518414E-2</v>
      </c>
      <c r="C161" s="124">
        <f t="shared" ref="C161:W161" si="146">IF(C69=0,0,C69/C$64)</f>
        <v>1.1277108961938311E-2</v>
      </c>
      <c r="D161" s="124">
        <f t="shared" si="146"/>
        <v>1.0279774685915309E-2</v>
      </c>
      <c r="E161" s="124">
        <f t="shared" si="146"/>
        <v>8.058066823962505E-3</v>
      </c>
      <c r="F161" s="124">
        <f t="shared" si="146"/>
        <v>7.5067890001203836E-3</v>
      </c>
      <c r="G161" s="124">
        <f t="shared" si="146"/>
        <v>3.9660046330997527E-3</v>
      </c>
      <c r="H161" s="124">
        <f t="shared" si="146"/>
        <v>3.2586707735906329E-3</v>
      </c>
      <c r="I161" s="124">
        <f t="shared" si="146"/>
        <v>2.6628475970053738E-3</v>
      </c>
      <c r="J161" s="124">
        <f t="shared" si="146"/>
        <v>2.7957807371203989E-3</v>
      </c>
      <c r="K161" s="124">
        <f t="shared" si="146"/>
        <v>2.7361114032836411E-3</v>
      </c>
      <c r="L161" s="124">
        <f t="shared" si="146"/>
        <v>2.9613948640355233E-3</v>
      </c>
      <c r="M161" s="124">
        <f t="shared" si="146"/>
        <v>3.4272873718934165E-3</v>
      </c>
      <c r="N161" s="124">
        <f t="shared" si="146"/>
        <v>2.9533345912739709E-3</v>
      </c>
      <c r="O161" s="124">
        <f t="shared" si="146"/>
        <v>2.903109531234618E-3</v>
      </c>
      <c r="P161" s="124">
        <f t="shared" si="146"/>
        <v>2.5677209306868547E-3</v>
      </c>
      <c r="Q161" s="124">
        <f t="shared" si="146"/>
        <v>2.5024672415189693E-3</v>
      </c>
      <c r="R161" s="124">
        <f t="shared" si="146"/>
        <v>1.9995162337184042E-3</v>
      </c>
      <c r="S161" s="124">
        <f t="shared" si="146"/>
        <v>2.4046108970387139E-3</v>
      </c>
      <c r="T161" s="124">
        <f t="shared" si="146"/>
        <v>2.4415178100502849E-3</v>
      </c>
      <c r="U161" s="124">
        <f t="shared" si="146"/>
        <v>2.4439568913976486E-3</v>
      </c>
      <c r="V161" s="124">
        <f t="shared" si="146"/>
        <v>2.140235200874138E-3</v>
      </c>
      <c r="W161" s="124">
        <f t="shared" si="146"/>
        <v>2.42630286703166E-3</v>
      </c>
      <c r="X161" s="124">
        <f t="shared" ref="X161:Y161" si="147">IF(X69=0,0,X69/X$64)</f>
        <v>2.2556352619073445E-3</v>
      </c>
      <c r="Y161" s="124">
        <f t="shared" si="147"/>
        <v>2.3036641359123547E-3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1.3303779381518414E-2</v>
      </c>
      <c r="C163" s="140">
        <f t="shared" ref="C163:W163" si="150">IF(C71=0,0,C71/C$64)</f>
        <v>1.1277108961938311E-2</v>
      </c>
      <c r="D163" s="140">
        <f t="shared" si="150"/>
        <v>1.0279774685915309E-2</v>
      </c>
      <c r="E163" s="140">
        <f t="shared" si="150"/>
        <v>8.058066823962505E-3</v>
      </c>
      <c r="F163" s="140">
        <f t="shared" si="150"/>
        <v>7.5067890001203836E-3</v>
      </c>
      <c r="G163" s="140">
        <f t="shared" si="150"/>
        <v>3.9660046330997527E-3</v>
      </c>
      <c r="H163" s="140">
        <f t="shared" si="150"/>
        <v>3.2586707735906329E-3</v>
      </c>
      <c r="I163" s="140">
        <f t="shared" si="150"/>
        <v>2.6628475970053738E-3</v>
      </c>
      <c r="J163" s="140">
        <f t="shared" si="150"/>
        <v>2.7957807371203989E-3</v>
      </c>
      <c r="K163" s="140">
        <f t="shared" si="150"/>
        <v>2.7361114032836411E-3</v>
      </c>
      <c r="L163" s="140">
        <f t="shared" si="150"/>
        <v>2.9613948640355233E-3</v>
      </c>
      <c r="M163" s="140">
        <f t="shared" si="150"/>
        <v>3.4272873718934165E-3</v>
      </c>
      <c r="N163" s="140">
        <f t="shared" si="150"/>
        <v>2.9533345912739709E-3</v>
      </c>
      <c r="O163" s="140">
        <f t="shared" si="150"/>
        <v>2.903109531234618E-3</v>
      </c>
      <c r="P163" s="140">
        <f t="shared" si="150"/>
        <v>2.5677209306868547E-3</v>
      </c>
      <c r="Q163" s="140">
        <f t="shared" si="150"/>
        <v>2.5024672415189693E-3</v>
      </c>
      <c r="R163" s="140">
        <f t="shared" si="150"/>
        <v>1.9995162337184042E-3</v>
      </c>
      <c r="S163" s="140">
        <f t="shared" si="150"/>
        <v>2.4046108970387139E-3</v>
      </c>
      <c r="T163" s="140">
        <f t="shared" si="150"/>
        <v>2.4415178100502849E-3</v>
      </c>
      <c r="U163" s="140">
        <f t="shared" si="150"/>
        <v>2.4439568913976486E-3</v>
      </c>
      <c r="V163" s="140">
        <f t="shared" si="150"/>
        <v>2.140235200874138E-3</v>
      </c>
      <c r="W163" s="140">
        <f t="shared" si="150"/>
        <v>2.42630286703166E-3</v>
      </c>
      <c r="X163" s="140">
        <f t="shared" ref="X163:Y163" si="151">IF(X71=0,0,X71/X$64)</f>
        <v>2.2556352619073445E-3</v>
      </c>
      <c r="Y163" s="140">
        <f t="shared" si="151"/>
        <v>2.3036641359123547E-3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3.1188507525691651E-2</v>
      </c>
      <c r="C165" s="124">
        <f t="shared" ref="C165:W165" si="154">IF(C73=0,0,C73/C$64)</f>
        <v>3.9385084721466401E-2</v>
      </c>
      <c r="D165" s="124">
        <f t="shared" si="154"/>
        <v>3.4192040913329384E-2</v>
      </c>
      <c r="E165" s="124">
        <f t="shared" si="154"/>
        <v>3.6604742891677373E-2</v>
      </c>
      <c r="F165" s="124">
        <f t="shared" si="154"/>
        <v>3.6228514796690418E-2</v>
      </c>
      <c r="G165" s="124">
        <f t="shared" si="154"/>
        <v>4.4355916486181292E-2</v>
      </c>
      <c r="H165" s="124">
        <f t="shared" si="154"/>
        <v>4.5723133776292113E-2</v>
      </c>
      <c r="I165" s="124">
        <f t="shared" si="154"/>
        <v>5.1964090312866737E-2</v>
      </c>
      <c r="J165" s="124">
        <f t="shared" si="154"/>
        <v>6.1045806142908658E-2</v>
      </c>
      <c r="K165" s="124">
        <f t="shared" si="154"/>
        <v>3.2387095411361304E-2</v>
      </c>
      <c r="L165" s="124">
        <f t="shared" si="154"/>
        <v>4.3277936637604653E-2</v>
      </c>
      <c r="M165" s="124">
        <f t="shared" si="154"/>
        <v>5.2520891033790797E-2</v>
      </c>
      <c r="N165" s="124">
        <f t="shared" si="154"/>
        <v>5.3586869673231348E-2</v>
      </c>
      <c r="O165" s="124">
        <f t="shared" si="154"/>
        <v>6.0739562870471352E-2</v>
      </c>
      <c r="P165" s="124">
        <f t="shared" si="154"/>
        <v>6.7626096841960109E-2</v>
      </c>
      <c r="Q165" s="124">
        <f t="shared" si="154"/>
        <v>6.7717480265754124E-2</v>
      </c>
      <c r="R165" s="124">
        <f t="shared" si="154"/>
        <v>7.0215546650166771E-2</v>
      </c>
      <c r="S165" s="124">
        <f t="shared" si="154"/>
        <v>7.3641351292462617E-2</v>
      </c>
      <c r="T165" s="124">
        <f t="shared" si="154"/>
        <v>8.1774695997300764E-2</v>
      </c>
      <c r="U165" s="124">
        <f t="shared" si="154"/>
        <v>7.7563241266247765E-2</v>
      </c>
      <c r="V165" s="124">
        <f t="shared" si="154"/>
        <v>3.6673107757746091E-2</v>
      </c>
      <c r="W165" s="124">
        <f t="shared" si="154"/>
        <v>4.2512207638051434E-2</v>
      </c>
      <c r="X165" s="124">
        <f t="shared" ref="X165:Y165" si="155">IF(X73=0,0,X73/X$64)</f>
        <v>6.7869766737924872E-2</v>
      </c>
      <c r="Y165" s="124">
        <f t="shared" si="155"/>
        <v>6.8281864743368947E-2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0</v>
      </c>
      <c r="C166" s="140">
        <f t="shared" ref="C166:W166" si="156">IF(C74=0,0,C74/C$64)</f>
        <v>0</v>
      </c>
      <c r="D166" s="140">
        <f t="shared" si="156"/>
        <v>0</v>
      </c>
      <c r="E166" s="140">
        <f t="shared" si="156"/>
        <v>0</v>
      </c>
      <c r="F166" s="140">
        <f t="shared" si="156"/>
        <v>0</v>
      </c>
      <c r="G166" s="140">
        <f t="shared" si="156"/>
        <v>0</v>
      </c>
      <c r="H166" s="140">
        <f t="shared" si="156"/>
        <v>0</v>
      </c>
      <c r="I166" s="140">
        <f t="shared" si="156"/>
        <v>0</v>
      </c>
      <c r="J166" s="140">
        <f t="shared" si="156"/>
        <v>0</v>
      </c>
      <c r="K166" s="140">
        <f t="shared" si="156"/>
        <v>0</v>
      </c>
      <c r="L166" s="140">
        <f t="shared" si="156"/>
        <v>0</v>
      </c>
      <c r="M166" s="140">
        <f t="shared" si="156"/>
        <v>0</v>
      </c>
      <c r="N166" s="140">
        <f t="shared" si="156"/>
        <v>0</v>
      </c>
      <c r="O166" s="140">
        <f t="shared" si="156"/>
        <v>0</v>
      </c>
      <c r="P166" s="140">
        <f t="shared" si="156"/>
        <v>0</v>
      </c>
      <c r="Q166" s="140">
        <f t="shared" si="156"/>
        <v>0</v>
      </c>
      <c r="R166" s="140">
        <f t="shared" si="156"/>
        <v>0</v>
      </c>
      <c r="S166" s="140">
        <f t="shared" si="156"/>
        <v>0</v>
      </c>
      <c r="T166" s="140">
        <f t="shared" si="156"/>
        <v>0</v>
      </c>
      <c r="U166" s="140">
        <f t="shared" si="156"/>
        <v>0</v>
      </c>
      <c r="V166" s="140">
        <f t="shared" si="156"/>
        <v>0</v>
      </c>
      <c r="W166" s="140">
        <f t="shared" si="156"/>
        <v>0</v>
      </c>
      <c r="X166" s="140">
        <f t="shared" ref="X166:Y166" si="157">IF(X74=0,0,X74/X$64)</f>
        <v>0</v>
      </c>
      <c r="Y166" s="140">
        <f t="shared" si="157"/>
        <v>0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2.6428507844144408E-2</v>
      </c>
      <c r="C167" s="140">
        <f t="shared" ref="C167:W167" si="158">IF(C75=0,0,C75/C$64)</f>
        <v>3.3372568931605458E-2</v>
      </c>
      <c r="D167" s="140">
        <f t="shared" si="158"/>
        <v>2.8972531284999183E-2</v>
      </c>
      <c r="E167" s="140">
        <f t="shared" si="158"/>
        <v>3.1021331005805289E-2</v>
      </c>
      <c r="F167" s="140">
        <f t="shared" si="158"/>
        <v>3.070063662261811E-2</v>
      </c>
      <c r="G167" s="140">
        <f t="shared" si="158"/>
        <v>3.8480900346869039E-2</v>
      </c>
      <c r="H167" s="140">
        <f t="shared" si="158"/>
        <v>4.0019375174289128E-2</v>
      </c>
      <c r="I167" s="140">
        <f t="shared" si="158"/>
        <v>4.5605039798692168E-2</v>
      </c>
      <c r="J167" s="140">
        <f t="shared" si="158"/>
        <v>5.3547765177199919E-2</v>
      </c>
      <c r="K167" s="140">
        <f t="shared" si="158"/>
        <v>2.7829688366555271E-2</v>
      </c>
      <c r="L167" s="140">
        <f t="shared" si="158"/>
        <v>3.7749701337030935E-2</v>
      </c>
      <c r="M167" s="140">
        <f t="shared" si="158"/>
        <v>4.6091139992815694E-2</v>
      </c>
      <c r="N167" s="140">
        <f t="shared" si="158"/>
        <v>4.7640210672201214E-2</v>
      </c>
      <c r="O167" s="140">
        <f t="shared" si="158"/>
        <v>5.4158817081858844E-2</v>
      </c>
      <c r="P167" s="140">
        <f t="shared" si="158"/>
        <v>6.0338826303164395E-2</v>
      </c>
      <c r="Q167" s="140">
        <f t="shared" si="158"/>
        <v>6.0760216049525098E-2</v>
      </c>
      <c r="R167" s="140">
        <f t="shared" si="158"/>
        <v>6.3716643456039918E-2</v>
      </c>
      <c r="S167" s="140">
        <f t="shared" si="158"/>
        <v>6.6990197669690527E-2</v>
      </c>
      <c r="T167" s="140">
        <f t="shared" si="158"/>
        <v>7.4691047205564354E-2</v>
      </c>
      <c r="U167" s="140">
        <f t="shared" si="158"/>
        <v>7.071624287558545E-2</v>
      </c>
      <c r="V167" s="140">
        <f t="shared" si="158"/>
        <v>3.2100520248847249E-2</v>
      </c>
      <c r="W167" s="140">
        <f t="shared" si="158"/>
        <v>3.7780443997454671E-2</v>
      </c>
      <c r="X167" s="140">
        <f t="shared" ref="X167:Y167" si="159">IF(X75=0,0,X75/X$64)</f>
        <v>6.2261604532997367E-2</v>
      </c>
      <c r="Y167" s="140">
        <f t="shared" si="159"/>
        <v>6.2061221881229499E-2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4.7599996815472431E-3</v>
      </c>
      <c r="C168" s="140">
        <f t="shared" ref="C168:W168" si="160">IF(C76=0,0,C76/C$64)</f>
        <v>6.0125157898609453E-3</v>
      </c>
      <c r="D168" s="140">
        <f t="shared" si="160"/>
        <v>5.2195096283301941E-3</v>
      </c>
      <c r="E168" s="140">
        <f t="shared" si="160"/>
        <v>5.5834118858720822E-3</v>
      </c>
      <c r="F168" s="140">
        <f t="shared" si="160"/>
        <v>5.5278781740723138E-3</v>
      </c>
      <c r="G168" s="140">
        <f t="shared" si="160"/>
        <v>5.8750161393122556E-3</v>
      </c>
      <c r="H168" s="140">
        <f t="shared" si="160"/>
        <v>5.7037586020029863E-3</v>
      </c>
      <c r="I168" s="140">
        <f t="shared" si="160"/>
        <v>6.3590505141745664E-3</v>
      </c>
      <c r="J168" s="140">
        <f t="shared" si="160"/>
        <v>7.498040965708737E-3</v>
      </c>
      <c r="K168" s="140">
        <f t="shared" si="160"/>
        <v>4.5574070448060333E-3</v>
      </c>
      <c r="L168" s="140">
        <f t="shared" si="160"/>
        <v>5.5282353005737155E-3</v>
      </c>
      <c r="M168" s="140">
        <f t="shared" si="160"/>
        <v>6.4297510409751044E-3</v>
      </c>
      <c r="N168" s="140">
        <f t="shared" si="160"/>
        <v>5.9466590010301308E-3</v>
      </c>
      <c r="O168" s="140">
        <f t="shared" si="160"/>
        <v>6.5807457886125093E-3</v>
      </c>
      <c r="P168" s="140">
        <f t="shared" si="160"/>
        <v>7.2872705387957183E-3</v>
      </c>
      <c r="Q168" s="140">
        <f t="shared" si="160"/>
        <v>6.9572642162290168E-3</v>
      </c>
      <c r="R168" s="140">
        <f t="shared" si="160"/>
        <v>6.4989031941268547E-3</v>
      </c>
      <c r="S168" s="140">
        <f t="shared" si="160"/>
        <v>6.6511536227720934E-3</v>
      </c>
      <c r="T168" s="140">
        <f t="shared" si="160"/>
        <v>7.0836487917364174E-3</v>
      </c>
      <c r="U168" s="140">
        <f t="shared" si="160"/>
        <v>6.8469983906623037E-3</v>
      </c>
      <c r="V168" s="140">
        <f t="shared" si="160"/>
        <v>4.5725875088988462E-3</v>
      </c>
      <c r="W168" s="140">
        <f t="shared" si="160"/>
        <v>4.7317636405967691E-3</v>
      </c>
      <c r="X168" s="140">
        <f t="shared" ref="X168:Y168" si="161">IF(X76=0,0,X76/X$64)</f>
        <v>5.6081622049275123E-3</v>
      </c>
      <c r="Y168" s="140">
        <f t="shared" si="161"/>
        <v>6.2206428621394529E-3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0.76644900751295442</v>
      </c>
      <c r="C170" s="139">
        <f t="shared" ref="C170:W170" si="165">IF(C78=0,0,C78/C$77)</f>
        <v>0.82743425463036646</v>
      </c>
      <c r="D170" s="139">
        <f t="shared" si="165"/>
        <v>0.81567967640699746</v>
      </c>
      <c r="E170" s="139">
        <f t="shared" si="165"/>
        <v>0.76625627483775449</v>
      </c>
      <c r="F170" s="139">
        <f t="shared" si="165"/>
        <v>0.79526458955731394</v>
      </c>
      <c r="G170" s="139">
        <f t="shared" si="165"/>
        <v>0.77535276184471735</v>
      </c>
      <c r="H170" s="139">
        <f t="shared" si="165"/>
        <v>0.77167134308120067</v>
      </c>
      <c r="I170" s="139">
        <f t="shared" si="165"/>
        <v>0.83541321656674938</v>
      </c>
      <c r="J170" s="139">
        <f t="shared" si="165"/>
        <v>0.83868070409576179</v>
      </c>
      <c r="K170" s="139">
        <f t="shared" si="165"/>
        <v>0.79715891296645258</v>
      </c>
      <c r="L170" s="139">
        <f t="shared" si="165"/>
        <v>0.81569897871381369</v>
      </c>
      <c r="M170" s="139">
        <f t="shared" si="165"/>
        <v>0.8405706925247588</v>
      </c>
      <c r="N170" s="139">
        <f t="shared" si="165"/>
        <v>0.81012824192866661</v>
      </c>
      <c r="O170" s="139">
        <f t="shared" si="165"/>
        <v>0.83691622359377871</v>
      </c>
      <c r="P170" s="139">
        <f t="shared" si="165"/>
        <v>0.88714009535800697</v>
      </c>
      <c r="Q170" s="139">
        <f t="shared" si="165"/>
        <v>0.89991714324999905</v>
      </c>
      <c r="R170" s="139">
        <f t="shared" si="165"/>
        <v>0.89957843162782025</v>
      </c>
      <c r="S170" s="139">
        <f t="shared" si="165"/>
        <v>0.89473314782969593</v>
      </c>
      <c r="T170" s="139">
        <f t="shared" si="165"/>
        <v>0.89146882570531427</v>
      </c>
      <c r="U170" s="139">
        <f t="shared" si="165"/>
        <v>0.90436562406609478</v>
      </c>
      <c r="V170" s="139">
        <f t="shared" si="165"/>
        <v>0.91206560477778087</v>
      </c>
      <c r="W170" s="139">
        <f t="shared" si="165"/>
        <v>0.91905783910019601</v>
      </c>
      <c r="X170" s="139">
        <f t="shared" ref="X170:Y170" si="166">IF(X78=0,0,X78/X$77)</f>
        <v>0.95168550177227063</v>
      </c>
      <c r="Y170" s="139">
        <f t="shared" si="166"/>
        <v>0.95216024794471099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0.11786582284767652</v>
      </c>
      <c r="C171" s="140">
        <f t="shared" ref="C171:W171" si="167">IF(C79=0,0,C79/C$77)</f>
        <v>9.7599271358812953E-2</v>
      </c>
      <c r="D171" s="140">
        <f t="shared" si="167"/>
        <v>9.5662937262604927E-2</v>
      </c>
      <c r="E171" s="140">
        <f t="shared" si="167"/>
        <v>0.110104549575953</v>
      </c>
      <c r="F171" s="140">
        <f t="shared" si="167"/>
        <v>0.10181922146632465</v>
      </c>
      <c r="G171" s="140">
        <f t="shared" si="167"/>
        <v>0.11104743092526041</v>
      </c>
      <c r="H171" s="140">
        <f t="shared" si="167"/>
        <v>0.13581830658469909</v>
      </c>
      <c r="I171" s="140">
        <f t="shared" si="167"/>
        <v>0.10826074527745411</v>
      </c>
      <c r="J171" s="140">
        <f t="shared" si="167"/>
        <v>0.10566048315153263</v>
      </c>
      <c r="K171" s="140">
        <f t="shared" si="167"/>
        <v>0.17982196716041099</v>
      </c>
      <c r="L171" s="140">
        <f t="shared" si="167"/>
        <v>0.14556310057280894</v>
      </c>
      <c r="M171" s="140">
        <f t="shared" si="167"/>
        <v>0.13710012521720535</v>
      </c>
      <c r="N171" s="140">
        <f t="shared" si="167"/>
        <v>0.19335970703994265</v>
      </c>
      <c r="O171" s="140">
        <f t="shared" si="167"/>
        <v>0.18563351746927834</v>
      </c>
      <c r="P171" s="140">
        <f t="shared" si="167"/>
        <v>0.13908450359158095</v>
      </c>
      <c r="Q171" s="140">
        <f t="shared" si="167"/>
        <v>0.13760367680293978</v>
      </c>
      <c r="R171" s="140">
        <f t="shared" si="167"/>
        <v>0.15329791512002094</v>
      </c>
      <c r="S171" s="140">
        <f t="shared" si="167"/>
        <v>0.14963487361935046</v>
      </c>
      <c r="T171" s="140">
        <f t="shared" si="167"/>
        <v>0.14187023198548621</v>
      </c>
      <c r="U171" s="140">
        <f t="shared" si="167"/>
        <v>0.14292343025294418</v>
      </c>
      <c r="V171" s="140">
        <f t="shared" si="167"/>
        <v>0.14026791743249101</v>
      </c>
      <c r="W171" s="140">
        <f t="shared" si="167"/>
        <v>0.14045557300661296</v>
      </c>
      <c r="X171" s="140">
        <f t="shared" ref="X171:Y171" si="168">IF(X79=0,0,X79/X$77)</f>
        <v>0.14753428922040426</v>
      </c>
      <c r="Y171" s="140">
        <f t="shared" si="168"/>
        <v>0.1460729352822524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0.64858318466527776</v>
      </c>
      <c r="C172" s="140">
        <f t="shared" ref="C172:W172" si="169">IF(C80=0,0,C80/C$77)</f>
        <v>0.72983498327155361</v>
      </c>
      <c r="D172" s="140">
        <f t="shared" si="169"/>
        <v>0.72001673914439246</v>
      </c>
      <c r="E172" s="140">
        <f t="shared" si="169"/>
        <v>0.65615172526180154</v>
      </c>
      <c r="F172" s="140">
        <f t="shared" si="169"/>
        <v>0.69344536809098933</v>
      </c>
      <c r="G172" s="140">
        <f t="shared" si="169"/>
        <v>0.66430533091945687</v>
      </c>
      <c r="H172" s="140">
        <f t="shared" si="169"/>
        <v>0.6358530364965016</v>
      </c>
      <c r="I172" s="140">
        <f t="shared" si="169"/>
        <v>0.72715247128929528</v>
      </c>
      <c r="J172" s="140">
        <f t="shared" si="169"/>
        <v>0.73302022094422914</v>
      </c>
      <c r="K172" s="140">
        <f t="shared" si="169"/>
        <v>0.61733694580604159</v>
      </c>
      <c r="L172" s="140">
        <f t="shared" si="169"/>
        <v>0.67013587814100473</v>
      </c>
      <c r="M172" s="140">
        <f t="shared" si="169"/>
        <v>0.70347056730755342</v>
      </c>
      <c r="N172" s="140">
        <f t="shared" si="169"/>
        <v>0.61676853488872396</v>
      </c>
      <c r="O172" s="140">
        <f t="shared" si="169"/>
        <v>0.65128270612450045</v>
      </c>
      <c r="P172" s="140">
        <f t="shared" si="169"/>
        <v>0.748055591766426</v>
      </c>
      <c r="Q172" s="140">
        <f t="shared" si="169"/>
        <v>0.76231346644705922</v>
      </c>
      <c r="R172" s="140">
        <f t="shared" si="169"/>
        <v>0.74628051650779925</v>
      </c>
      <c r="S172" s="140">
        <f t="shared" si="169"/>
        <v>0.74509827421034536</v>
      </c>
      <c r="T172" s="140">
        <f t="shared" si="169"/>
        <v>0.74959859371982795</v>
      </c>
      <c r="U172" s="140">
        <f t="shared" si="169"/>
        <v>0.76144219381315059</v>
      </c>
      <c r="V172" s="140">
        <f t="shared" si="169"/>
        <v>0.77179768734528975</v>
      </c>
      <c r="W172" s="140">
        <f t="shared" si="169"/>
        <v>0.77860226609358296</v>
      </c>
      <c r="X172" s="140">
        <f t="shared" ref="X172:Y172" si="170">IF(X80=0,0,X80/X$77)</f>
        <v>0.80415121255186639</v>
      </c>
      <c r="Y172" s="140">
        <f t="shared" si="170"/>
        <v>0.8060873126624587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0.22090532368860427</v>
      </c>
      <c r="C173" s="124">
        <f t="shared" ref="C173:W173" si="171">IF(C81=0,0,C81/C$77)</f>
        <v>0.1620588048546229</v>
      </c>
      <c r="D173" s="124">
        <f t="shared" si="171"/>
        <v>0.17116429042292303</v>
      </c>
      <c r="E173" s="124">
        <f t="shared" si="171"/>
        <v>0.21964319251728037</v>
      </c>
      <c r="F173" s="124">
        <f t="shared" si="171"/>
        <v>0.18941195634959995</v>
      </c>
      <c r="G173" s="124">
        <f t="shared" si="171"/>
        <v>0.20849786757252253</v>
      </c>
      <c r="H173" s="124">
        <f t="shared" si="171"/>
        <v>0.20795152542257836</v>
      </c>
      <c r="I173" s="124">
        <f t="shared" si="171"/>
        <v>0.15210495295385074</v>
      </c>
      <c r="J173" s="124">
        <f t="shared" si="171"/>
        <v>0.14727523922115821</v>
      </c>
      <c r="K173" s="124">
        <f t="shared" si="171"/>
        <v>0.18448462284064954</v>
      </c>
      <c r="L173" s="124">
        <f t="shared" si="171"/>
        <v>0.16540023974362109</v>
      </c>
      <c r="M173" s="124">
        <f t="shared" si="171"/>
        <v>0.14574623190429278</v>
      </c>
      <c r="N173" s="124">
        <f t="shared" si="171"/>
        <v>0.17074681501796563</v>
      </c>
      <c r="O173" s="124">
        <f t="shared" si="171"/>
        <v>0.14527368703296584</v>
      </c>
      <c r="P173" s="124">
        <f t="shared" si="171"/>
        <v>0.10124945183035376</v>
      </c>
      <c r="Q173" s="124">
        <f t="shared" si="171"/>
        <v>8.9128907505279492E-2</v>
      </c>
      <c r="R173" s="124">
        <f t="shared" si="171"/>
        <v>9.1047572599910559E-2</v>
      </c>
      <c r="S173" s="124">
        <f t="shared" si="171"/>
        <v>9.3312315053819248E-2</v>
      </c>
      <c r="T173" s="124">
        <f t="shared" si="171"/>
        <v>9.8418190146609408E-2</v>
      </c>
      <c r="U173" s="124">
        <f t="shared" si="171"/>
        <v>8.5077509605988533E-2</v>
      </c>
      <c r="V173" s="124">
        <f t="shared" si="171"/>
        <v>7.9157270471954116E-2</v>
      </c>
      <c r="W173" s="124">
        <f t="shared" si="171"/>
        <v>7.2323646927240345E-2</v>
      </c>
      <c r="X173" s="124">
        <f t="shared" ref="X173:Y173" si="172">IF(X81=0,0,X81/X$77)</f>
        <v>4.0947943172857867E-2</v>
      </c>
      <c r="Y173" s="124">
        <f t="shared" si="172"/>
        <v>4.1551505820803851E-2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1.7073520317972516E-3</v>
      </c>
      <c r="C174" s="124">
        <f t="shared" ref="C174:W174" si="173">IF(C82=0,0,C82/C$77)</f>
        <v>1.4467543961108125E-3</v>
      </c>
      <c r="D174" s="124">
        <f t="shared" si="173"/>
        <v>1.3801182563394838E-3</v>
      </c>
      <c r="E174" s="124">
        <f t="shared" si="173"/>
        <v>8.5862634916843497E-4</v>
      </c>
      <c r="F174" s="124">
        <f t="shared" si="173"/>
        <v>8.2266324220400908E-4</v>
      </c>
      <c r="G174" s="124">
        <f t="shared" si="173"/>
        <v>1.0601898170444915E-3</v>
      </c>
      <c r="H174" s="124">
        <f t="shared" si="173"/>
        <v>1.6075695465020672E-3</v>
      </c>
      <c r="I174" s="124">
        <f t="shared" si="173"/>
        <v>1.4349003276520958E-3</v>
      </c>
      <c r="J174" s="124">
        <f t="shared" si="173"/>
        <v>1.3724546942219073E-3</v>
      </c>
      <c r="K174" s="124">
        <f t="shared" si="173"/>
        <v>1.0012822997615251E-3</v>
      </c>
      <c r="L174" s="124">
        <f t="shared" si="173"/>
        <v>1.1475096593425529E-3</v>
      </c>
      <c r="M174" s="124">
        <f t="shared" si="173"/>
        <v>1.0316429793765789E-3</v>
      </c>
      <c r="N174" s="124">
        <f t="shared" si="173"/>
        <v>2.6358060398088399E-3</v>
      </c>
      <c r="O174" s="124">
        <f t="shared" si="173"/>
        <v>2.6400239418654142E-3</v>
      </c>
      <c r="P174" s="124">
        <f t="shared" si="173"/>
        <v>1.5379692410788246E-3</v>
      </c>
      <c r="Q174" s="124">
        <f t="shared" si="173"/>
        <v>1.5066156795757438E-3</v>
      </c>
      <c r="R174" s="124">
        <f t="shared" si="173"/>
        <v>1.5305310152284527E-3</v>
      </c>
      <c r="S174" s="124">
        <f t="shared" si="173"/>
        <v>1.7862257148119677E-3</v>
      </c>
      <c r="T174" s="124">
        <f t="shared" si="173"/>
        <v>1.8773065386986801E-3</v>
      </c>
      <c r="U174" s="124">
        <f t="shared" si="173"/>
        <v>1.7877559914929522E-3</v>
      </c>
      <c r="V174" s="124">
        <f t="shared" si="173"/>
        <v>2.7763037927328233E-3</v>
      </c>
      <c r="W174" s="124">
        <f t="shared" si="173"/>
        <v>2.4119983496368757E-3</v>
      </c>
      <c r="X174" s="124">
        <f t="shared" ref="X174:Y174" si="174">IF(X82=0,0,X82/X$77)</f>
        <v>1.9517625395308752E-3</v>
      </c>
      <c r="Y174" s="124">
        <f t="shared" si="174"/>
        <v>1.9392633051220757E-3</v>
      </c>
      <c r="DA174" s="176"/>
    </row>
    <row r="175" spans="1:105" ht="11.45" customHeight="1" x14ac:dyDescent="0.25">
      <c r="A175" s="128" t="s">
        <v>27</v>
      </c>
      <c r="B175" s="140">
        <f t="shared" si="162"/>
        <v>0</v>
      </c>
      <c r="C175" s="140">
        <f t="shared" ref="C175:W175" si="175">IF(C83=0,0,C83/C$77)</f>
        <v>0</v>
      </c>
      <c r="D175" s="140">
        <f t="shared" si="175"/>
        <v>0</v>
      </c>
      <c r="E175" s="140">
        <f t="shared" si="175"/>
        <v>0</v>
      </c>
      <c r="F175" s="140">
        <f t="shared" si="175"/>
        <v>0</v>
      </c>
      <c r="G175" s="140">
        <f t="shared" si="175"/>
        <v>0</v>
      </c>
      <c r="H175" s="140">
        <f t="shared" si="175"/>
        <v>0</v>
      </c>
      <c r="I175" s="140">
        <f t="shared" si="175"/>
        <v>0</v>
      </c>
      <c r="J175" s="140">
        <f t="shared" si="175"/>
        <v>0</v>
      </c>
      <c r="K175" s="140">
        <f t="shared" si="175"/>
        <v>0</v>
      </c>
      <c r="L175" s="140">
        <f t="shared" si="175"/>
        <v>0</v>
      </c>
      <c r="M175" s="140">
        <f t="shared" si="175"/>
        <v>0</v>
      </c>
      <c r="N175" s="140">
        <f t="shared" si="175"/>
        <v>0</v>
      </c>
      <c r="O175" s="140">
        <f t="shared" si="175"/>
        <v>0</v>
      </c>
      <c r="P175" s="140">
        <f t="shared" si="175"/>
        <v>0</v>
      </c>
      <c r="Q175" s="140">
        <f t="shared" si="175"/>
        <v>0</v>
      </c>
      <c r="R175" s="140">
        <f t="shared" si="175"/>
        <v>0</v>
      </c>
      <c r="S175" s="140">
        <f t="shared" si="175"/>
        <v>0</v>
      </c>
      <c r="T175" s="140">
        <f t="shared" si="175"/>
        <v>0</v>
      </c>
      <c r="U175" s="140">
        <f t="shared" si="175"/>
        <v>0</v>
      </c>
      <c r="V175" s="140">
        <f t="shared" si="175"/>
        <v>0</v>
      </c>
      <c r="W175" s="140">
        <f t="shared" si="175"/>
        <v>0</v>
      </c>
      <c r="X175" s="140">
        <f t="shared" ref="X175:Y175" si="176">IF(X83=0,0,X83/X$77)</f>
        <v>0</v>
      </c>
      <c r="Y175" s="140">
        <f t="shared" si="176"/>
        <v>0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1.6745748760760766E-3</v>
      </c>
      <c r="C176" s="140">
        <f t="shared" ref="C176:W176" si="177">IF(C84=0,0,C84/C$77)</f>
        <v>1.4195045545021632E-3</v>
      </c>
      <c r="D176" s="140">
        <f t="shared" si="177"/>
        <v>1.3536232218303689E-3</v>
      </c>
      <c r="E176" s="140">
        <f t="shared" si="177"/>
        <v>8.2858176257006558E-4</v>
      </c>
      <c r="F176" s="140">
        <f t="shared" si="177"/>
        <v>7.8980286579389256E-4</v>
      </c>
      <c r="G176" s="140">
        <f t="shared" si="177"/>
        <v>1.0119470764765979E-3</v>
      </c>
      <c r="H176" s="140">
        <f t="shared" si="177"/>
        <v>1.4906742978116757E-3</v>
      </c>
      <c r="I176" s="140">
        <f t="shared" si="177"/>
        <v>1.2802978968820713E-3</v>
      </c>
      <c r="J176" s="140">
        <f t="shared" si="177"/>
        <v>1.281173991667146E-3</v>
      </c>
      <c r="K176" s="140">
        <f t="shared" si="177"/>
        <v>9.8319749455843468E-4</v>
      </c>
      <c r="L176" s="140">
        <f t="shared" si="177"/>
        <v>1.1180612674047139E-3</v>
      </c>
      <c r="M176" s="140">
        <f t="shared" si="177"/>
        <v>9.8302125099219008E-4</v>
      </c>
      <c r="N176" s="140">
        <f t="shared" si="177"/>
        <v>1.2868561538521052E-3</v>
      </c>
      <c r="O176" s="140">
        <f t="shared" si="177"/>
        <v>2.0737225173472463E-3</v>
      </c>
      <c r="P176" s="140">
        <f t="shared" si="177"/>
        <v>1.3674438811037688E-3</v>
      </c>
      <c r="Q176" s="140">
        <f t="shared" si="177"/>
        <v>1.3614432076408738E-3</v>
      </c>
      <c r="R176" s="140">
        <f t="shared" si="177"/>
        <v>1.4311687567086259E-3</v>
      </c>
      <c r="S176" s="140">
        <f t="shared" si="177"/>
        <v>1.7368626654778894E-3</v>
      </c>
      <c r="T176" s="140">
        <f t="shared" si="177"/>
        <v>1.8017424312721973E-3</v>
      </c>
      <c r="U176" s="140">
        <f t="shared" si="177"/>
        <v>1.7035429298530151E-3</v>
      </c>
      <c r="V176" s="140">
        <f t="shared" si="177"/>
        <v>2.5753659745539259E-3</v>
      </c>
      <c r="W176" s="140">
        <f t="shared" si="177"/>
        <v>2.2517302271226084E-3</v>
      </c>
      <c r="X176" s="140">
        <f t="shared" ref="X176:Y176" si="178">IF(X84=0,0,X84/X$77)</f>
        <v>1.7870289571734145E-3</v>
      </c>
      <c r="Y176" s="140">
        <f t="shared" si="178"/>
        <v>1.7641976139332548E-3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3.2777155721174936E-5</v>
      </c>
      <c r="C177" s="140">
        <f t="shared" ref="C177:W177" si="179">IF(C85=0,0,C85/C$77)</f>
        <v>2.7249841608649216E-5</v>
      </c>
      <c r="D177" s="140">
        <f t="shared" si="179"/>
        <v>2.6495034509114949E-5</v>
      </c>
      <c r="E177" s="140">
        <f t="shared" si="179"/>
        <v>3.004458659836927E-5</v>
      </c>
      <c r="F177" s="140">
        <f t="shared" si="179"/>
        <v>3.2860376410116489E-5</v>
      </c>
      <c r="G177" s="140">
        <f t="shared" si="179"/>
        <v>4.8242740567893708E-5</v>
      </c>
      <c r="H177" s="140">
        <f t="shared" si="179"/>
        <v>1.1689524869039149E-4</v>
      </c>
      <c r="I177" s="140">
        <f t="shared" si="179"/>
        <v>1.5460243077002435E-4</v>
      </c>
      <c r="J177" s="140">
        <f t="shared" si="179"/>
        <v>9.1280702554761092E-5</v>
      </c>
      <c r="K177" s="140">
        <f t="shared" si="179"/>
        <v>1.8084805203090573E-5</v>
      </c>
      <c r="L177" s="140">
        <f t="shared" si="179"/>
        <v>2.9448391937838941E-5</v>
      </c>
      <c r="M177" s="140">
        <f t="shared" si="179"/>
        <v>4.8621728384388917E-5</v>
      </c>
      <c r="N177" s="140">
        <f t="shared" si="179"/>
        <v>1.348949885956735E-3</v>
      </c>
      <c r="O177" s="140">
        <f t="shared" si="179"/>
        <v>5.6630142451816765E-4</v>
      </c>
      <c r="P177" s="140">
        <f t="shared" si="179"/>
        <v>1.7052535997505591E-4</v>
      </c>
      <c r="Q177" s="140">
        <f t="shared" si="179"/>
        <v>1.4517247193487012E-4</v>
      </c>
      <c r="R177" s="140">
        <f t="shared" si="179"/>
        <v>9.9362258519826736E-5</v>
      </c>
      <c r="S177" s="140">
        <f t="shared" si="179"/>
        <v>4.9363049334078375E-5</v>
      </c>
      <c r="T177" s="140">
        <f t="shared" si="179"/>
        <v>7.5564107426482881E-5</v>
      </c>
      <c r="U177" s="140">
        <f t="shared" si="179"/>
        <v>8.4213061639936958E-5</v>
      </c>
      <c r="V177" s="140">
        <f t="shared" si="179"/>
        <v>2.0093781817889775E-4</v>
      </c>
      <c r="W177" s="140">
        <f t="shared" si="179"/>
        <v>1.6026812251426707E-4</v>
      </c>
      <c r="X177" s="140">
        <f t="shared" ref="X177:Y177" si="180">IF(X85=0,0,X85/X$77)</f>
        <v>1.6473358235746078E-4</v>
      </c>
      <c r="Y177" s="140">
        <f t="shared" si="180"/>
        <v>1.7506569118882091E-4</v>
      </c>
      <c r="DA177" s="175"/>
    </row>
    <row r="178" spans="1:105" ht="11.45" customHeight="1" x14ac:dyDescent="0.25">
      <c r="A178" s="109" t="s">
        <v>141</v>
      </c>
      <c r="B178" s="124">
        <f t="shared" si="162"/>
        <v>1.0938316766644219E-2</v>
      </c>
      <c r="C178" s="124">
        <f t="shared" ref="C178:W178" si="181">IF(C86=0,0,C86/C$77)</f>
        <v>9.0601861188998097E-3</v>
      </c>
      <c r="D178" s="124">
        <f t="shared" si="181"/>
        <v>1.1775914913740018E-2</v>
      </c>
      <c r="E178" s="124">
        <f t="shared" si="181"/>
        <v>1.3241906295796557E-2</v>
      </c>
      <c r="F178" s="124">
        <f t="shared" si="181"/>
        <v>1.4500790850882165E-2</v>
      </c>
      <c r="G178" s="124">
        <f t="shared" si="181"/>
        <v>1.5089180765715665E-2</v>
      </c>
      <c r="H178" s="124">
        <f t="shared" si="181"/>
        <v>1.876956194971887E-2</v>
      </c>
      <c r="I178" s="124">
        <f t="shared" si="181"/>
        <v>1.1046930151747769E-2</v>
      </c>
      <c r="J178" s="124">
        <f t="shared" si="181"/>
        <v>1.2671601988858149E-2</v>
      </c>
      <c r="K178" s="124">
        <f t="shared" si="181"/>
        <v>1.7355181893136354E-2</v>
      </c>
      <c r="L178" s="124">
        <f t="shared" si="181"/>
        <v>1.7753271883222566E-2</v>
      </c>
      <c r="M178" s="124">
        <f t="shared" si="181"/>
        <v>1.265143259157195E-2</v>
      </c>
      <c r="N178" s="124">
        <f t="shared" si="181"/>
        <v>1.6489137013558992E-2</v>
      </c>
      <c r="O178" s="124">
        <f t="shared" si="181"/>
        <v>1.5170065431390078E-2</v>
      </c>
      <c r="P178" s="124">
        <f t="shared" si="181"/>
        <v>1.0072483570560394E-2</v>
      </c>
      <c r="Q178" s="124">
        <f t="shared" si="181"/>
        <v>9.4473335651456929E-3</v>
      </c>
      <c r="R178" s="124">
        <f t="shared" si="181"/>
        <v>7.8434647570408099E-3</v>
      </c>
      <c r="S178" s="124">
        <f t="shared" si="181"/>
        <v>1.0168311401673054E-2</v>
      </c>
      <c r="T178" s="124">
        <f t="shared" si="181"/>
        <v>8.2356776093778436E-3</v>
      </c>
      <c r="U178" s="124">
        <f t="shared" si="181"/>
        <v>8.7691103364236911E-3</v>
      </c>
      <c r="V178" s="124">
        <f t="shared" si="181"/>
        <v>6.0008209575321877E-3</v>
      </c>
      <c r="W178" s="124">
        <f t="shared" si="181"/>
        <v>6.2065156229267416E-3</v>
      </c>
      <c r="X178" s="124">
        <f t="shared" ref="X178:Y178" si="182">IF(X86=0,0,X86/X$77)</f>
        <v>5.4147925153406173E-3</v>
      </c>
      <c r="Y178" s="124">
        <f t="shared" si="182"/>
        <v>4.3489829293630799E-3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1.0898493469501416E-2</v>
      </c>
      <c r="C179" s="140">
        <f t="shared" ref="C179:W179" si="183">IF(C87=0,0,C87/C$77)</f>
        <v>9.0376848285855845E-3</v>
      </c>
      <c r="D179" s="140">
        <f t="shared" si="183"/>
        <v>1.1736111297383696E-2</v>
      </c>
      <c r="E179" s="140">
        <f t="shared" si="183"/>
        <v>1.3194278137355559E-2</v>
      </c>
      <c r="F179" s="140">
        <f t="shared" si="183"/>
        <v>1.4403686738004859E-2</v>
      </c>
      <c r="G179" s="140">
        <f t="shared" si="183"/>
        <v>1.4956146325240449E-2</v>
      </c>
      <c r="H179" s="140">
        <f t="shared" si="183"/>
        <v>1.847199688217219E-2</v>
      </c>
      <c r="I179" s="140">
        <f t="shared" si="183"/>
        <v>1.013244080216838E-2</v>
      </c>
      <c r="J179" s="140">
        <f t="shared" si="183"/>
        <v>1.1325926156706363E-2</v>
      </c>
      <c r="K179" s="140">
        <f t="shared" si="183"/>
        <v>1.6950629965832797E-2</v>
      </c>
      <c r="L179" s="140">
        <f t="shared" si="183"/>
        <v>1.7353681230123871E-2</v>
      </c>
      <c r="M179" s="140">
        <f t="shared" si="183"/>
        <v>1.243510293953945E-2</v>
      </c>
      <c r="N179" s="140">
        <f t="shared" si="183"/>
        <v>1.6386893634449132E-2</v>
      </c>
      <c r="O179" s="140">
        <f t="shared" si="183"/>
        <v>1.5170065431390078E-2</v>
      </c>
      <c r="P179" s="140">
        <f t="shared" si="183"/>
        <v>1.0072483570560394E-2</v>
      </c>
      <c r="Q179" s="140">
        <f t="shared" si="183"/>
        <v>9.4473335651456929E-3</v>
      </c>
      <c r="R179" s="140">
        <f t="shared" si="183"/>
        <v>7.8434647570408099E-3</v>
      </c>
      <c r="S179" s="140">
        <f t="shared" si="183"/>
        <v>1.0168311401673054E-2</v>
      </c>
      <c r="T179" s="140">
        <f t="shared" si="183"/>
        <v>8.2356776093778436E-3</v>
      </c>
      <c r="U179" s="140">
        <f t="shared" si="183"/>
        <v>8.7691103364236911E-3</v>
      </c>
      <c r="V179" s="140">
        <f t="shared" si="183"/>
        <v>6.0006725474596404E-3</v>
      </c>
      <c r="W179" s="140">
        <f t="shared" si="183"/>
        <v>6.1637692173962073E-3</v>
      </c>
      <c r="X179" s="140">
        <f t="shared" ref="X179:Y179" si="184">IF(X87=0,0,X87/X$77)</f>
        <v>5.272448872229836E-3</v>
      </c>
      <c r="Y179" s="140">
        <f t="shared" si="184"/>
        <v>4.1526334298695004E-3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3.9823297142803277E-5</v>
      </c>
      <c r="C180" s="127">
        <f t="shared" ref="C180:W180" si="185">IF(C88=0,0,C88/C$77)</f>
        <v>2.2501290314223287E-5</v>
      </c>
      <c r="D180" s="127">
        <f t="shared" si="185"/>
        <v>3.980361635632117E-5</v>
      </c>
      <c r="E180" s="127">
        <f t="shared" si="185"/>
        <v>4.7628158440995287E-5</v>
      </c>
      <c r="F180" s="127">
        <f t="shared" si="185"/>
        <v>9.7104112877306715E-5</v>
      </c>
      <c r="G180" s="127">
        <f t="shared" si="185"/>
        <v>1.3303444047521473E-4</v>
      </c>
      <c r="H180" s="127">
        <f t="shared" si="185"/>
        <v>2.9756506754667926E-4</v>
      </c>
      <c r="I180" s="127">
        <f t="shared" si="185"/>
        <v>9.1448934957938876E-4</v>
      </c>
      <c r="J180" s="127">
        <f t="shared" si="185"/>
        <v>1.3456758321517869E-3</v>
      </c>
      <c r="K180" s="127">
        <f t="shared" si="185"/>
        <v>4.0455192730355589E-4</v>
      </c>
      <c r="L180" s="127">
        <f t="shared" si="185"/>
        <v>3.9959065309869629E-4</v>
      </c>
      <c r="M180" s="127">
        <f t="shared" si="185"/>
        <v>2.1632965203250004E-4</v>
      </c>
      <c r="N180" s="127">
        <f t="shared" si="185"/>
        <v>1.0224337910985782E-4</v>
      </c>
      <c r="O180" s="127">
        <f t="shared" si="185"/>
        <v>0</v>
      </c>
      <c r="P180" s="127">
        <f t="shared" si="185"/>
        <v>0</v>
      </c>
      <c r="Q180" s="127">
        <f t="shared" si="185"/>
        <v>0</v>
      </c>
      <c r="R180" s="127">
        <f t="shared" si="185"/>
        <v>0</v>
      </c>
      <c r="S180" s="127">
        <f t="shared" si="185"/>
        <v>0</v>
      </c>
      <c r="T180" s="127">
        <f t="shared" si="185"/>
        <v>0</v>
      </c>
      <c r="U180" s="127">
        <f t="shared" si="185"/>
        <v>0</v>
      </c>
      <c r="V180" s="127">
        <f t="shared" si="185"/>
        <v>1.4841007254725805E-7</v>
      </c>
      <c r="W180" s="127">
        <f t="shared" si="185"/>
        <v>4.2746405530534704E-5</v>
      </c>
      <c r="X180" s="127">
        <f t="shared" ref="X180:Y180" si="186">IF(X88=0,0,X88/X$77)</f>
        <v>1.423436431107809E-4</v>
      </c>
      <c r="Y180" s="127">
        <f t="shared" si="186"/>
        <v>1.9634949949358006E-4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0.5595057955331102</v>
      </c>
      <c r="C182" s="140">
        <f t="shared" ref="C182:W182" si="189">IF(C90=0,0,C90/C$89)</f>
        <v>0.55953904428814727</v>
      </c>
      <c r="D182" s="140">
        <f t="shared" si="189"/>
        <v>0.55766832100140362</v>
      </c>
      <c r="E182" s="140">
        <f t="shared" si="189"/>
        <v>0.55837929003056941</v>
      </c>
      <c r="F182" s="140">
        <f t="shared" si="189"/>
        <v>0.55849557693847274</v>
      </c>
      <c r="G182" s="140">
        <f t="shared" si="189"/>
        <v>0.56450737212796542</v>
      </c>
      <c r="H182" s="140">
        <f t="shared" si="189"/>
        <v>0.4803769694944966</v>
      </c>
      <c r="I182" s="140">
        <f t="shared" si="189"/>
        <v>0.42067548268674193</v>
      </c>
      <c r="J182" s="140">
        <f t="shared" si="189"/>
        <v>0.39930942197807368</v>
      </c>
      <c r="K182" s="140">
        <f t="shared" si="189"/>
        <v>0.36597749089035569</v>
      </c>
      <c r="L182" s="140">
        <f t="shared" si="189"/>
        <v>0.37031218241871522</v>
      </c>
      <c r="M182" s="140">
        <f t="shared" si="189"/>
        <v>0.39283200784067573</v>
      </c>
      <c r="N182" s="140">
        <f t="shared" si="189"/>
        <v>0.40369001584397873</v>
      </c>
      <c r="O182" s="140">
        <f t="shared" si="189"/>
        <v>0.37345167861058165</v>
      </c>
      <c r="P182" s="140">
        <f t="shared" si="189"/>
        <v>0.35607787760287907</v>
      </c>
      <c r="Q182" s="140">
        <f t="shared" si="189"/>
        <v>0.33772801900199106</v>
      </c>
      <c r="R182" s="140">
        <f t="shared" si="189"/>
        <v>0.31469220844671419</v>
      </c>
      <c r="S182" s="140">
        <f t="shared" si="189"/>
        <v>0.31521292269219775</v>
      </c>
      <c r="T182" s="140">
        <f t="shared" si="189"/>
        <v>0.31939940218510637</v>
      </c>
      <c r="U182" s="140">
        <f t="shared" si="189"/>
        <v>0.3266528179176183</v>
      </c>
      <c r="V182" s="140">
        <f t="shared" si="189"/>
        <v>0.28456884761003975</v>
      </c>
      <c r="W182" s="140">
        <f t="shared" si="189"/>
        <v>0.26891452968289298</v>
      </c>
      <c r="X182" s="140">
        <f t="shared" ref="X182:Y182" si="190">IF(X90=0,0,X90/X$89)</f>
        <v>0.35810267474859997</v>
      </c>
      <c r="Y182" s="140">
        <f t="shared" si="190"/>
        <v>0.38048440303502579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0.44049420446688986</v>
      </c>
      <c r="C183" s="127">
        <f t="shared" ref="C183:W183" si="191">IF(C91=0,0,C91/C$89)</f>
        <v>0.44046095571185268</v>
      </c>
      <c r="D183" s="127">
        <f t="shared" si="191"/>
        <v>0.44233167899859638</v>
      </c>
      <c r="E183" s="127">
        <f t="shared" si="191"/>
        <v>0.44162070996943065</v>
      </c>
      <c r="F183" s="127">
        <f t="shared" si="191"/>
        <v>0.44150442306152721</v>
      </c>
      <c r="G183" s="127">
        <f t="shared" si="191"/>
        <v>0.43549262787203447</v>
      </c>
      <c r="H183" s="127">
        <f t="shared" si="191"/>
        <v>0.5196230305055034</v>
      </c>
      <c r="I183" s="127">
        <f t="shared" si="191"/>
        <v>0.57932451731325796</v>
      </c>
      <c r="J183" s="127">
        <f t="shared" si="191"/>
        <v>0.60069057802192627</v>
      </c>
      <c r="K183" s="127">
        <f t="shared" si="191"/>
        <v>0.63402250910964431</v>
      </c>
      <c r="L183" s="127">
        <f t="shared" si="191"/>
        <v>0.62968781758128478</v>
      </c>
      <c r="M183" s="127">
        <f t="shared" si="191"/>
        <v>0.60716799215932427</v>
      </c>
      <c r="N183" s="127">
        <f t="shared" si="191"/>
        <v>0.59630998415602132</v>
      </c>
      <c r="O183" s="127">
        <f t="shared" si="191"/>
        <v>0.62654832138941841</v>
      </c>
      <c r="P183" s="127">
        <f t="shared" si="191"/>
        <v>0.64392212239712099</v>
      </c>
      <c r="Q183" s="127">
        <f t="shared" si="191"/>
        <v>0.66227198099800888</v>
      </c>
      <c r="R183" s="127">
        <f t="shared" si="191"/>
        <v>0.68530779155328569</v>
      </c>
      <c r="S183" s="127">
        <f t="shared" si="191"/>
        <v>0.68478707730780231</v>
      </c>
      <c r="T183" s="127">
        <f t="shared" si="191"/>
        <v>0.68060059781489368</v>
      </c>
      <c r="U183" s="127">
        <f t="shared" si="191"/>
        <v>0.67334718208238176</v>
      </c>
      <c r="V183" s="127">
        <f t="shared" si="191"/>
        <v>0.71543115238996025</v>
      </c>
      <c r="W183" s="127">
        <f t="shared" si="191"/>
        <v>0.73108547031710702</v>
      </c>
      <c r="X183" s="127">
        <f t="shared" ref="X183:Y183" si="192">IF(X91=0,0,X91/X$89)</f>
        <v>0.64189732525139997</v>
      </c>
      <c r="Y183" s="127">
        <f t="shared" si="192"/>
        <v>0.61951559696497416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25.529727821960478</v>
      </c>
      <c r="C186" s="32">
        <f t="shared" si="193"/>
        <v>26.454104581993366</v>
      </c>
      <c r="D186" s="32">
        <f t="shared" si="193"/>
        <v>27.332459066464082</v>
      </c>
      <c r="E186" s="32">
        <f t="shared" si="193"/>
        <v>26.823759228451504</v>
      </c>
      <c r="F186" s="32">
        <f t="shared" si="193"/>
        <v>26.853076127375235</v>
      </c>
      <c r="G186" s="32">
        <f t="shared" si="193"/>
        <v>26.639565693736817</v>
      </c>
      <c r="H186" s="32">
        <f t="shared" si="193"/>
        <v>26.222688843426479</v>
      </c>
      <c r="I186" s="32">
        <f t="shared" si="193"/>
        <v>29.421600949892426</v>
      </c>
      <c r="J186" s="32">
        <f t="shared" si="193"/>
        <v>29.943026802433582</v>
      </c>
      <c r="K186" s="32">
        <f t="shared" si="193"/>
        <v>28.90550083636348</v>
      </c>
      <c r="L186" s="32">
        <f t="shared" si="193"/>
        <v>31.243520998294173</v>
      </c>
      <c r="M186" s="32">
        <f t="shared" si="193"/>
        <v>31.546108539316204</v>
      </c>
      <c r="N186" s="32">
        <f t="shared" si="193"/>
        <v>30.646171169399903</v>
      </c>
      <c r="O186" s="32">
        <f t="shared" si="193"/>
        <v>30.566956072139067</v>
      </c>
      <c r="P186" s="32">
        <f t="shared" si="193"/>
        <v>38.945254929270654</v>
      </c>
      <c r="Q186" s="32">
        <f t="shared" si="193"/>
        <v>40.28643841014037</v>
      </c>
      <c r="R186" s="32">
        <f t="shared" si="193"/>
        <v>43.448641625767401</v>
      </c>
      <c r="S186" s="32">
        <f t="shared" si="193"/>
        <v>38.655574348293037</v>
      </c>
      <c r="T186" s="32">
        <f t="shared" si="193"/>
        <v>41.756901430738431</v>
      </c>
      <c r="U186" s="32">
        <f t="shared" si="193"/>
        <v>41.374458703289946</v>
      </c>
      <c r="V186" s="32">
        <f t="shared" si="193"/>
        <v>47.346649616309328</v>
      </c>
      <c r="W186" s="32">
        <f t="shared" si="193"/>
        <v>43.626165402910821</v>
      </c>
      <c r="X186" s="32">
        <f t="shared" si="193"/>
        <v>39.616443177334176</v>
      </c>
      <c r="Y186" s="32">
        <f t="shared" si="193"/>
        <v>37.763068052215026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25.454895839128557</v>
      </c>
      <c r="C187" s="141">
        <f t="shared" si="194"/>
        <v>26.327724724036042</v>
      </c>
      <c r="D187" s="141">
        <f t="shared" si="194"/>
        <v>27.274115229587636</v>
      </c>
      <c r="E187" s="141">
        <f t="shared" si="194"/>
        <v>26.697788382612959</v>
      </c>
      <c r="F187" s="141">
        <f t="shared" si="194"/>
        <v>26.737539032470981</v>
      </c>
      <c r="G187" s="141">
        <f t="shared" si="194"/>
        <v>26.411950721662958</v>
      </c>
      <c r="H187" s="141">
        <f t="shared" si="194"/>
        <v>26.020457175751591</v>
      </c>
      <c r="I187" s="141">
        <f t="shared" si="194"/>
        <v>29.250936085416406</v>
      </c>
      <c r="J187" s="141">
        <f t="shared" si="194"/>
        <v>29.548484629046531</v>
      </c>
      <c r="K187" s="141">
        <f t="shared" si="194"/>
        <v>28.939417986727047</v>
      </c>
      <c r="L187" s="141">
        <f t="shared" si="194"/>
        <v>31.32530251448517</v>
      </c>
      <c r="M187" s="141">
        <f t="shared" si="194"/>
        <v>31.69175685306104</v>
      </c>
      <c r="N187" s="141">
        <f t="shared" si="194"/>
        <v>30.905277407210001</v>
      </c>
      <c r="O187" s="141">
        <f t="shared" si="194"/>
        <v>30.857117907625661</v>
      </c>
      <c r="P187" s="141">
        <f t="shared" si="194"/>
        <v>40.213759870114366</v>
      </c>
      <c r="Q187" s="141">
        <f t="shared" si="194"/>
        <v>41.930051811340185</v>
      </c>
      <c r="R187" s="141">
        <f t="shared" si="194"/>
        <v>45.464180635620401</v>
      </c>
      <c r="S187" s="141">
        <f t="shared" si="194"/>
        <v>39.96388893482191</v>
      </c>
      <c r="T187" s="141">
        <f t="shared" si="194"/>
        <v>43.949594451146766</v>
      </c>
      <c r="U187" s="141">
        <f t="shared" si="194"/>
        <v>43.696654024838871</v>
      </c>
      <c r="V187" s="141">
        <f t="shared" si="194"/>
        <v>47.910053074469971</v>
      </c>
      <c r="W187" s="141">
        <f t="shared" si="194"/>
        <v>44.536132572690917</v>
      </c>
      <c r="X187" s="141">
        <f t="shared" si="194"/>
        <v>41.921677801670718</v>
      </c>
      <c r="Y187" s="141">
        <f t="shared" si="194"/>
        <v>40.352837652152587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46.304180732123051</v>
      </c>
      <c r="C188" s="97">
        <f t="shared" si="195"/>
        <v>45.979913466179113</v>
      </c>
      <c r="D188" s="97">
        <f t="shared" si="195"/>
        <v>45.519330020148807</v>
      </c>
      <c r="E188" s="97">
        <f t="shared" si="195"/>
        <v>42.822516691758963</v>
      </c>
      <c r="F188" s="97">
        <f t="shared" si="195"/>
        <v>42.361275394798341</v>
      </c>
      <c r="G188" s="97">
        <f t="shared" si="195"/>
        <v>41.864819854761258</v>
      </c>
      <c r="H188" s="97">
        <f t="shared" si="195"/>
        <v>41.067441713999038</v>
      </c>
      <c r="I188" s="97">
        <f t="shared" si="195"/>
        <v>40.010987165522522</v>
      </c>
      <c r="J188" s="97">
        <f t="shared" si="195"/>
        <v>38.833200465199944</v>
      </c>
      <c r="K188" s="97">
        <f t="shared" si="195"/>
        <v>38.007118897089867</v>
      </c>
      <c r="L188" s="97">
        <f t="shared" si="195"/>
        <v>37.680891724721036</v>
      </c>
      <c r="M188" s="97">
        <f t="shared" si="195"/>
        <v>37.205763155832351</v>
      </c>
      <c r="N188" s="97">
        <f t="shared" si="195"/>
        <v>36.976991155913836</v>
      </c>
      <c r="O188" s="97">
        <f t="shared" si="195"/>
        <v>36.535856651064812</v>
      </c>
      <c r="P188" s="97">
        <f t="shared" si="195"/>
        <v>35.963047176580218</v>
      </c>
      <c r="Q188" s="97">
        <f t="shared" si="195"/>
        <v>37.086425937038321</v>
      </c>
      <c r="R188" s="97">
        <f t="shared" si="195"/>
        <v>36.499005195459823</v>
      </c>
      <c r="S188" s="97">
        <f t="shared" si="195"/>
        <v>35.76244843929377</v>
      </c>
      <c r="T188" s="97">
        <f t="shared" si="195"/>
        <v>34.961674056541476</v>
      </c>
      <c r="U188" s="97">
        <f t="shared" si="195"/>
        <v>33.615009577189099</v>
      </c>
      <c r="V188" s="97">
        <f t="shared" si="195"/>
        <v>32.545270915206814</v>
      </c>
      <c r="W188" s="97">
        <f t="shared" si="195"/>
        <v>31.838467443439303</v>
      </c>
      <c r="X188" s="97">
        <f t="shared" si="195"/>
        <v>31.242417026098764</v>
      </c>
      <c r="Y188" s="97">
        <f t="shared" si="195"/>
        <v>30.725323566515087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25.831159041477335</v>
      </c>
      <c r="C189" s="97">
        <f t="shared" si="196"/>
        <v>26.959876844725123</v>
      </c>
      <c r="D189" s="97">
        <f t="shared" si="196"/>
        <v>28.145109560789546</v>
      </c>
      <c r="E189" s="97">
        <f t="shared" si="196"/>
        <v>27.406746959067366</v>
      </c>
      <c r="F189" s="97">
        <f t="shared" si="196"/>
        <v>27.759123744074259</v>
      </c>
      <c r="G189" s="97">
        <f t="shared" si="196"/>
        <v>27.445074632408712</v>
      </c>
      <c r="H189" s="97">
        <f t="shared" si="196"/>
        <v>26.947183628388196</v>
      </c>
      <c r="I189" s="97">
        <f t="shared" si="196"/>
        <v>30.516602405701537</v>
      </c>
      <c r="J189" s="97">
        <f t="shared" si="196"/>
        <v>30.81036299356472</v>
      </c>
      <c r="K189" s="97">
        <f t="shared" si="196"/>
        <v>29.705551333892789</v>
      </c>
      <c r="L189" s="97">
        <f t="shared" si="196"/>
        <v>32.348240247445901</v>
      </c>
      <c r="M189" s="97">
        <f t="shared" si="196"/>
        <v>32.86414848840883</v>
      </c>
      <c r="N189" s="97">
        <f t="shared" si="196"/>
        <v>31.877950800770751</v>
      </c>
      <c r="O189" s="97">
        <f t="shared" si="196"/>
        <v>31.945462820586489</v>
      </c>
      <c r="P189" s="97">
        <f t="shared" si="196"/>
        <v>42.981389370163463</v>
      </c>
      <c r="Q189" s="97">
        <f t="shared" si="196"/>
        <v>44.396340627879724</v>
      </c>
      <c r="R189" s="97">
        <f t="shared" si="196"/>
        <v>48.110506448639114</v>
      </c>
      <c r="S189" s="97">
        <f t="shared" si="196"/>
        <v>41.759465383503766</v>
      </c>
      <c r="T189" s="97">
        <f t="shared" si="196"/>
        <v>46.297463989448808</v>
      </c>
      <c r="U189" s="97">
        <f t="shared" si="196"/>
        <v>45.805512884536562</v>
      </c>
      <c r="V189" s="97">
        <f t="shared" si="196"/>
        <v>48.923676140251743</v>
      </c>
      <c r="W189" s="97">
        <f t="shared" si="196"/>
        <v>45.245881495305035</v>
      </c>
      <c r="X189" s="97">
        <f t="shared" si="196"/>
        <v>43.22877044533314</v>
      </c>
      <c r="Y189" s="97">
        <f t="shared" si="196"/>
        <v>41.837291624030328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21.414738740233844</v>
      </c>
      <c r="C190" s="97">
        <f t="shared" si="197"/>
        <v>20.071922750982836</v>
      </c>
      <c r="D190" s="97">
        <f t="shared" si="197"/>
        <v>19.348496149668321</v>
      </c>
      <c r="E190" s="97">
        <f t="shared" si="197"/>
        <v>19.437490615455697</v>
      </c>
      <c r="F190" s="97">
        <f t="shared" si="197"/>
        <v>17.493711023472752</v>
      </c>
      <c r="G190" s="97">
        <f t="shared" si="197"/>
        <v>16.375572600573431</v>
      </c>
      <c r="H190" s="97">
        <f t="shared" si="197"/>
        <v>15.816852890131996</v>
      </c>
      <c r="I190" s="97">
        <f t="shared" si="197"/>
        <v>15.320363931324646</v>
      </c>
      <c r="J190" s="97">
        <f t="shared" si="197"/>
        <v>15.265838716520337</v>
      </c>
      <c r="K190" s="97">
        <f t="shared" si="197"/>
        <v>18.635174766824907</v>
      </c>
      <c r="L190" s="97">
        <f t="shared" si="197"/>
        <v>18.708402897469398</v>
      </c>
      <c r="M190" s="97">
        <f t="shared" si="197"/>
        <v>18.721223937858881</v>
      </c>
      <c r="N190" s="97">
        <f t="shared" si="197"/>
        <v>18.515614187539448</v>
      </c>
      <c r="O190" s="97">
        <f t="shared" si="197"/>
        <v>17.912016222675646</v>
      </c>
      <c r="P190" s="97">
        <f t="shared" si="197"/>
        <v>17.703980282330821</v>
      </c>
      <c r="Q190" s="97">
        <f t="shared" si="197"/>
        <v>19.771074023102777</v>
      </c>
      <c r="R190" s="97">
        <f t="shared" si="197"/>
        <v>19.829701437340766</v>
      </c>
      <c r="S190" s="97">
        <f t="shared" si="197"/>
        <v>19.562626588239148</v>
      </c>
      <c r="T190" s="97">
        <f t="shared" si="197"/>
        <v>19.354471671354315</v>
      </c>
      <c r="U190" s="97">
        <f t="shared" si="197"/>
        <v>21.238691294828513</v>
      </c>
      <c r="V190" s="97">
        <f t="shared" si="197"/>
        <v>30.015516258288873</v>
      </c>
      <c r="W190" s="97">
        <f t="shared" si="197"/>
        <v>30.361385889201564</v>
      </c>
      <c r="X190" s="97">
        <f t="shared" si="197"/>
        <v>22.23020737408077</v>
      </c>
      <c r="Y190" s="97">
        <f t="shared" si="197"/>
        <v>20.76897935836935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16.727105506427566</v>
      </c>
      <c r="C191" s="130">
        <f t="shared" si="198"/>
        <v>16.954660262649863</v>
      </c>
      <c r="D191" s="130">
        <f t="shared" si="198"/>
        <v>17.162774321344795</v>
      </c>
      <c r="E191" s="130">
        <f t="shared" si="198"/>
        <v>17.128083453064271</v>
      </c>
      <c r="F191" s="130">
        <f t="shared" si="198"/>
        <v>16.942124072737137</v>
      </c>
      <c r="G191" s="130">
        <f t="shared" si="198"/>
        <v>16.729009630657114</v>
      </c>
      <c r="H191" s="130">
        <f t="shared" si="198"/>
        <v>16.005576157460624</v>
      </c>
      <c r="I191" s="130">
        <f t="shared" si="198"/>
        <v>15.992221292008447</v>
      </c>
      <c r="J191" s="130">
        <f t="shared" si="198"/>
        <v>16.353276216322033</v>
      </c>
      <c r="K191" s="130">
        <f t="shared" si="198"/>
        <v>16.789442603268142</v>
      </c>
      <c r="L191" s="130">
        <f t="shared" si="198"/>
        <v>16.948490301284178</v>
      </c>
      <c r="M191" s="130">
        <f t="shared" si="198"/>
        <v>16.1976772920314</v>
      </c>
      <c r="N191" s="130">
        <f t="shared" si="198"/>
        <v>15.894631795220183</v>
      </c>
      <c r="O191" s="130">
        <f t="shared" si="198"/>
        <v>15.021922798288895</v>
      </c>
      <c r="P191" s="130">
        <f t="shared" si="198"/>
        <v>14.449972091076344</v>
      </c>
      <c r="Q191" s="130">
        <f t="shared" si="198"/>
        <v>15.042776893228837</v>
      </c>
      <c r="R191" s="130">
        <f t="shared" si="198"/>
        <v>13.404135413762006</v>
      </c>
      <c r="S191" s="130">
        <f t="shared" si="198"/>
        <v>14.102741746668199</v>
      </c>
      <c r="T191" s="130">
        <f t="shared" si="198"/>
        <v>14.562216842916078</v>
      </c>
      <c r="U191" s="130">
        <f t="shared" si="198"/>
        <v>14.332225948350549</v>
      </c>
      <c r="V191" s="130">
        <f t="shared" si="198"/>
        <v>17.9352339407294</v>
      </c>
      <c r="W191" s="130">
        <f t="shared" si="198"/>
        <v>16.231665606023839</v>
      </c>
      <c r="X191" s="130">
        <f t="shared" si="198"/>
        <v>11.928460669520934</v>
      </c>
      <c r="Y191" s="130">
        <f t="shared" si="198"/>
        <v>12.131000898475367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0</v>
      </c>
      <c r="C192" s="97">
        <f t="shared" si="199"/>
        <v>0</v>
      </c>
      <c r="D192" s="97">
        <f t="shared" si="199"/>
        <v>0</v>
      </c>
      <c r="E192" s="97">
        <f t="shared" si="199"/>
        <v>0</v>
      </c>
      <c r="F192" s="97">
        <f t="shared" si="199"/>
        <v>0</v>
      </c>
      <c r="G192" s="97">
        <f t="shared" si="199"/>
        <v>0</v>
      </c>
      <c r="H192" s="97">
        <f t="shared" si="199"/>
        <v>0</v>
      </c>
      <c r="I192" s="97">
        <f t="shared" si="199"/>
        <v>0</v>
      </c>
      <c r="J192" s="97">
        <f t="shared" si="199"/>
        <v>0</v>
      </c>
      <c r="K192" s="97">
        <f t="shared" si="199"/>
        <v>0</v>
      </c>
      <c r="L192" s="97">
        <f t="shared" si="199"/>
        <v>0</v>
      </c>
      <c r="M192" s="97">
        <f t="shared" si="199"/>
        <v>0</v>
      </c>
      <c r="N192" s="97">
        <f t="shared" si="199"/>
        <v>0</v>
      </c>
      <c r="O192" s="97">
        <f t="shared" si="199"/>
        <v>0</v>
      </c>
      <c r="P192" s="97">
        <f t="shared" si="199"/>
        <v>0</v>
      </c>
      <c r="Q192" s="97">
        <f t="shared" si="199"/>
        <v>0</v>
      </c>
      <c r="R192" s="97">
        <f t="shared" si="199"/>
        <v>0</v>
      </c>
      <c r="S192" s="97">
        <f t="shared" si="199"/>
        <v>0</v>
      </c>
      <c r="T192" s="97">
        <f t="shared" si="199"/>
        <v>0</v>
      </c>
      <c r="U192" s="97">
        <f t="shared" si="199"/>
        <v>0</v>
      </c>
      <c r="V192" s="97">
        <f t="shared" si="199"/>
        <v>0</v>
      </c>
      <c r="W192" s="97">
        <f t="shared" si="199"/>
        <v>0</v>
      </c>
      <c r="X192" s="97">
        <f t="shared" si="199"/>
        <v>0</v>
      </c>
      <c r="Y192" s="97">
        <f t="shared" si="199"/>
        <v>0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16.727105506427566</v>
      </c>
      <c r="C193" s="97">
        <f t="shared" si="200"/>
        <v>16.954660262649863</v>
      </c>
      <c r="D193" s="97">
        <f t="shared" si="200"/>
        <v>17.162774321344795</v>
      </c>
      <c r="E193" s="97">
        <f t="shared" si="200"/>
        <v>17.128083453064271</v>
      </c>
      <c r="F193" s="97">
        <f t="shared" si="200"/>
        <v>16.942124072737137</v>
      </c>
      <c r="G193" s="97">
        <f t="shared" si="200"/>
        <v>16.729009630657114</v>
      </c>
      <c r="H193" s="97">
        <f t="shared" si="200"/>
        <v>16.005576157460624</v>
      </c>
      <c r="I193" s="97">
        <f t="shared" si="200"/>
        <v>15.992221292008447</v>
      </c>
      <c r="J193" s="97">
        <f t="shared" si="200"/>
        <v>16.353276216322033</v>
      </c>
      <c r="K193" s="97">
        <f t="shared" si="200"/>
        <v>16.789442603268142</v>
      </c>
      <c r="L193" s="97">
        <f t="shared" si="200"/>
        <v>16.948490301284178</v>
      </c>
      <c r="M193" s="97">
        <f t="shared" si="200"/>
        <v>16.1976772920314</v>
      </c>
      <c r="N193" s="97">
        <f t="shared" si="200"/>
        <v>15.894631795220183</v>
      </c>
      <c r="O193" s="97">
        <f t="shared" si="200"/>
        <v>15.021922798288895</v>
      </c>
      <c r="P193" s="97">
        <f t="shared" si="200"/>
        <v>14.449972091076344</v>
      </c>
      <c r="Q193" s="97">
        <f t="shared" si="200"/>
        <v>15.042776893228837</v>
      </c>
      <c r="R193" s="97">
        <f t="shared" si="200"/>
        <v>13.404135413762006</v>
      </c>
      <c r="S193" s="97">
        <f t="shared" si="200"/>
        <v>14.102741746668199</v>
      </c>
      <c r="T193" s="97">
        <f t="shared" si="200"/>
        <v>14.562216842916078</v>
      </c>
      <c r="U193" s="97">
        <f t="shared" si="200"/>
        <v>14.332225948350549</v>
      </c>
      <c r="V193" s="97">
        <f t="shared" si="200"/>
        <v>17.9352339407294</v>
      </c>
      <c r="W193" s="97">
        <f t="shared" si="200"/>
        <v>16.231665606023839</v>
      </c>
      <c r="X193" s="97">
        <f t="shared" si="200"/>
        <v>11.928460669520934</v>
      </c>
      <c r="Y193" s="97">
        <f t="shared" si="200"/>
        <v>12.131000898475367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0</v>
      </c>
      <c r="G194" s="97">
        <f t="shared" si="201"/>
        <v>0</v>
      </c>
      <c r="H194" s="97">
        <f t="shared" si="201"/>
        <v>0</v>
      </c>
      <c r="I194" s="97">
        <f t="shared" si="201"/>
        <v>0</v>
      </c>
      <c r="J194" s="97">
        <f t="shared" si="201"/>
        <v>0</v>
      </c>
      <c r="K194" s="97">
        <f t="shared" si="201"/>
        <v>0</v>
      </c>
      <c r="L194" s="97">
        <f t="shared" si="201"/>
        <v>0</v>
      </c>
      <c r="M194" s="97">
        <f t="shared" si="201"/>
        <v>0</v>
      </c>
      <c r="N194" s="97">
        <f t="shared" si="201"/>
        <v>0</v>
      </c>
      <c r="O194" s="97">
        <f t="shared" si="201"/>
        <v>0</v>
      </c>
      <c r="P194" s="97">
        <f t="shared" si="201"/>
        <v>0</v>
      </c>
      <c r="Q194" s="97">
        <f t="shared" si="201"/>
        <v>0</v>
      </c>
      <c r="R194" s="97">
        <f t="shared" si="201"/>
        <v>0</v>
      </c>
      <c r="S194" s="97">
        <f t="shared" si="201"/>
        <v>0</v>
      </c>
      <c r="T194" s="97">
        <f t="shared" si="201"/>
        <v>0</v>
      </c>
      <c r="U194" s="97">
        <f t="shared" si="201"/>
        <v>0</v>
      </c>
      <c r="V194" s="97">
        <f t="shared" si="201"/>
        <v>0</v>
      </c>
      <c r="W194" s="97">
        <f t="shared" si="201"/>
        <v>0</v>
      </c>
      <c r="X194" s="97">
        <f t="shared" si="201"/>
        <v>0</v>
      </c>
      <c r="Y194" s="97">
        <f t="shared" si="201"/>
        <v>0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37.779626360415307</v>
      </c>
      <c r="C195" s="130">
        <f t="shared" si="202"/>
        <v>36.955793524795631</v>
      </c>
      <c r="D195" s="130">
        <f t="shared" si="202"/>
        <v>36.230327003628844</v>
      </c>
      <c r="E195" s="130">
        <f t="shared" si="202"/>
        <v>36.175786825922238</v>
      </c>
      <c r="F195" s="130">
        <f t="shared" si="202"/>
        <v>35.667484260828168</v>
      </c>
      <c r="G195" s="130">
        <f t="shared" si="202"/>
        <v>35.555701929069293</v>
      </c>
      <c r="H195" s="130">
        <f t="shared" si="202"/>
        <v>33.639901277117971</v>
      </c>
      <c r="I195" s="130">
        <f t="shared" si="202"/>
        <v>35.132333300173492</v>
      </c>
      <c r="J195" s="130">
        <f t="shared" si="202"/>
        <v>40.630364048712131</v>
      </c>
      <c r="K195" s="130">
        <f t="shared" si="202"/>
        <v>30.15135839189335</v>
      </c>
      <c r="L195" s="130">
        <f t="shared" si="202"/>
        <v>31.635715625626524</v>
      </c>
      <c r="M195" s="130">
        <f t="shared" si="202"/>
        <v>31.183172811147397</v>
      </c>
      <c r="N195" s="130">
        <f t="shared" si="202"/>
        <v>28.153007954942247</v>
      </c>
      <c r="O195" s="130">
        <f t="shared" si="202"/>
        <v>28.051148260945162</v>
      </c>
      <c r="P195" s="130">
        <f t="shared" si="202"/>
        <v>28.46844420325688</v>
      </c>
      <c r="Q195" s="130">
        <f t="shared" si="202"/>
        <v>27.181162035465526</v>
      </c>
      <c r="R195" s="130">
        <f t="shared" si="202"/>
        <v>28.634604792484126</v>
      </c>
      <c r="S195" s="130">
        <f t="shared" si="202"/>
        <v>28.570470930029799</v>
      </c>
      <c r="T195" s="130">
        <f t="shared" si="202"/>
        <v>27.77616530315354</v>
      </c>
      <c r="U195" s="130">
        <f t="shared" si="202"/>
        <v>26.279603253062987</v>
      </c>
      <c r="V195" s="130">
        <f t="shared" si="202"/>
        <v>39.738330070389829</v>
      </c>
      <c r="W195" s="130">
        <f t="shared" si="202"/>
        <v>32.092165565013971</v>
      </c>
      <c r="X195" s="130">
        <f t="shared" si="202"/>
        <v>23.298975405340975</v>
      </c>
      <c r="Y195" s="130">
        <f t="shared" si="202"/>
        <v>20.531643481255863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0</v>
      </c>
      <c r="C196" s="97">
        <f t="shared" si="203"/>
        <v>0</v>
      </c>
      <c r="D196" s="97">
        <f t="shared" si="203"/>
        <v>0</v>
      </c>
      <c r="E196" s="97">
        <f t="shared" si="203"/>
        <v>0</v>
      </c>
      <c r="F196" s="97">
        <f t="shared" si="203"/>
        <v>0</v>
      </c>
      <c r="G196" s="97">
        <f t="shared" si="203"/>
        <v>0</v>
      </c>
      <c r="H196" s="97">
        <f t="shared" si="203"/>
        <v>0</v>
      </c>
      <c r="I196" s="97">
        <f t="shared" si="203"/>
        <v>0</v>
      </c>
      <c r="J196" s="97">
        <f t="shared" si="203"/>
        <v>0</v>
      </c>
      <c r="K196" s="97">
        <f t="shared" si="203"/>
        <v>0</v>
      </c>
      <c r="L196" s="97">
        <f t="shared" si="203"/>
        <v>0</v>
      </c>
      <c r="M196" s="97">
        <f t="shared" si="203"/>
        <v>0</v>
      </c>
      <c r="N196" s="97">
        <f t="shared" si="203"/>
        <v>0</v>
      </c>
      <c r="O196" s="97">
        <f t="shared" si="203"/>
        <v>0</v>
      </c>
      <c r="P196" s="97">
        <f t="shared" si="203"/>
        <v>0</v>
      </c>
      <c r="Q196" s="97">
        <f t="shared" si="203"/>
        <v>0</v>
      </c>
      <c r="R196" s="97">
        <f t="shared" si="203"/>
        <v>0</v>
      </c>
      <c r="S196" s="97">
        <f t="shared" si="203"/>
        <v>0</v>
      </c>
      <c r="T196" s="97">
        <f t="shared" si="203"/>
        <v>0</v>
      </c>
      <c r="U196" s="97">
        <f t="shared" si="203"/>
        <v>0</v>
      </c>
      <c r="V196" s="97">
        <f t="shared" si="203"/>
        <v>0</v>
      </c>
      <c r="W196" s="97">
        <f t="shared" si="203"/>
        <v>0</v>
      </c>
      <c r="X196" s="97">
        <f t="shared" si="203"/>
        <v>0</v>
      </c>
      <c r="Y196" s="97">
        <f t="shared" si="203"/>
        <v>0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43.160142580437501</v>
      </c>
      <c r="C197" s="97">
        <f t="shared" si="204"/>
        <v>41.912488740811554</v>
      </c>
      <c r="D197" s="97">
        <f t="shared" si="204"/>
        <v>40.799642219084731</v>
      </c>
      <c r="E197" s="97">
        <f t="shared" si="204"/>
        <v>40.494926974823251</v>
      </c>
      <c r="F197" s="97">
        <f t="shared" si="204"/>
        <v>39.861582045833714</v>
      </c>
      <c r="G197" s="97">
        <f t="shared" si="204"/>
        <v>39.009579154963603</v>
      </c>
      <c r="H197" s="97">
        <f t="shared" si="204"/>
        <v>37.061978321340547</v>
      </c>
      <c r="I197" s="97">
        <f t="shared" si="204"/>
        <v>40.032302057626445</v>
      </c>
      <c r="J197" s="97">
        <f t="shared" si="204"/>
        <v>43.741839206896245</v>
      </c>
      <c r="K197" s="97">
        <f t="shared" si="204"/>
        <v>32.74707137711043</v>
      </c>
      <c r="L197" s="97">
        <f t="shared" si="204"/>
        <v>32.27280607076144</v>
      </c>
      <c r="M197" s="97">
        <f t="shared" si="204"/>
        <v>30.193216180718011</v>
      </c>
      <c r="N197" s="97">
        <f t="shared" si="204"/>
        <v>27.787766086167426</v>
      </c>
      <c r="O197" s="97">
        <f t="shared" si="204"/>
        <v>28.699876984614505</v>
      </c>
      <c r="P197" s="97">
        <f t="shared" si="204"/>
        <v>30.075577189185402</v>
      </c>
      <c r="Q197" s="97">
        <f t="shared" si="204"/>
        <v>28.741472593957575</v>
      </c>
      <c r="R197" s="97">
        <f t="shared" si="204"/>
        <v>30.395558318225124</v>
      </c>
      <c r="S197" s="97">
        <f t="shared" si="204"/>
        <v>31.52702509021789</v>
      </c>
      <c r="T197" s="97">
        <f t="shared" si="204"/>
        <v>32.44592350709145</v>
      </c>
      <c r="U197" s="97">
        <f t="shared" si="204"/>
        <v>32.104430639142706</v>
      </c>
      <c r="V197" s="97">
        <f t="shared" si="204"/>
        <v>43.161367083778352</v>
      </c>
      <c r="W197" s="97">
        <f t="shared" si="204"/>
        <v>39.38870233405634</v>
      </c>
      <c r="X197" s="97">
        <f t="shared" si="204"/>
        <v>28.706540130627605</v>
      </c>
      <c r="Y197" s="97">
        <f t="shared" si="204"/>
        <v>25.785193497405952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22.326266911005629</v>
      </c>
      <c r="C198" s="97">
        <f t="shared" si="205"/>
        <v>22.310634418442223</v>
      </c>
      <c r="D198" s="97">
        <f t="shared" si="205"/>
        <v>22.34153428566518</v>
      </c>
      <c r="E198" s="97">
        <f t="shared" si="205"/>
        <v>22.715005217058721</v>
      </c>
      <c r="F198" s="97">
        <f t="shared" si="205"/>
        <v>22.51237894787122</v>
      </c>
      <c r="G198" s="97">
        <f t="shared" si="205"/>
        <v>22.504677830906864</v>
      </c>
      <c r="H198" s="97">
        <f t="shared" si="205"/>
        <v>20.414495533806534</v>
      </c>
      <c r="I198" s="97">
        <f t="shared" si="205"/>
        <v>18.709149455480752</v>
      </c>
      <c r="J198" s="97">
        <f t="shared" si="205"/>
        <v>26.943230474431623</v>
      </c>
      <c r="K198" s="97">
        <f t="shared" si="205"/>
        <v>20.317178881990891</v>
      </c>
      <c r="L198" s="97">
        <f t="shared" si="205"/>
        <v>27.87777836930962</v>
      </c>
      <c r="M198" s="97">
        <f t="shared" si="205"/>
        <v>40.764111629321917</v>
      </c>
      <c r="N198" s="97">
        <f t="shared" si="205"/>
        <v>31.466415293942944</v>
      </c>
      <c r="O198" s="97">
        <f t="shared" si="205"/>
        <v>23.651347274184214</v>
      </c>
      <c r="P198" s="97">
        <f t="shared" si="205"/>
        <v>19.7360958128181</v>
      </c>
      <c r="Q198" s="97">
        <f t="shared" si="205"/>
        <v>18.438981475803136</v>
      </c>
      <c r="R198" s="97">
        <f t="shared" si="205"/>
        <v>18.261830950168608</v>
      </c>
      <c r="S198" s="97">
        <f t="shared" si="205"/>
        <v>14.692716045647986</v>
      </c>
      <c r="T198" s="97">
        <f t="shared" si="205"/>
        <v>11.032971902868798</v>
      </c>
      <c r="U198" s="97">
        <f t="shared" si="205"/>
        <v>9.1443588770712427</v>
      </c>
      <c r="V198" s="97">
        <f t="shared" si="205"/>
        <v>25.526337839574147</v>
      </c>
      <c r="W198" s="97">
        <f t="shared" si="205"/>
        <v>12.945236897952604</v>
      </c>
      <c r="X198" s="97">
        <f t="shared" si="205"/>
        <v>7.5369003651600979</v>
      </c>
      <c r="Y198" s="97">
        <f t="shared" si="205"/>
        <v>6.7701473647505166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22.76746514035133</v>
      </c>
      <c r="C199" s="32">
        <f t="shared" si="206"/>
        <v>30.293439821660765</v>
      </c>
      <c r="D199" s="32">
        <f t="shared" si="206"/>
        <v>26.101134813990566</v>
      </c>
      <c r="E199" s="32">
        <f t="shared" si="206"/>
        <v>19.970496832881256</v>
      </c>
      <c r="F199" s="32">
        <f t="shared" si="206"/>
        <v>21.821557899262839</v>
      </c>
      <c r="G199" s="32">
        <f t="shared" si="206"/>
        <v>19.959167005795862</v>
      </c>
      <c r="H199" s="32">
        <f t="shared" si="206"/>
        <v>18.215779932600373</v>
      </c>
      <c r="I199" s="32">
        <f t="shared" si="206"/>
        <v>23.603238670403005</v>
      </c>
      <c r="J199" s="32">
        <f t="shared" si="206"/>
        <v>24.798488020070675</v>
      </c>
      <c r="K199" s="32">
        <f t="shared" si="206"/>
        <v>17.987169956795395</v>
      </c>
      <c r="L199" s="32">
        <f t="shared" si="206"/>
        <v>19.201877472928654</v>
      </c>
      <c r="M199" s="32">
        <f t="shared" si="206"/>
        <v>20.236693012309459</v>
      </c>
      <c r="N199" s="32">
        <f t="shared" si="206"/>
        <v>16.024416665292058</v>
      </c>
      <c r="O199" s="32">
        <f t="shared" si="206"/>
        <v>17.473812347518969</v>
      </c>
      <c r="P199" s="32">
        <f t="shared" si="206"/>
        <v>25.088969264143149</v>
      </c>
      <c r="Q199" s="32">
        <f t="shared" si="206"/>
        <v>26.159047005990391</v>
      </c>
      <c r="R199" s="32">
        <f t="shared" si="206"/>
        <v>25.14069355991046</v>
      </c>
      <c r="S199" s="32">
        <f t="shared" si="206"/>
        <v>24.151078639465506</v>
      </c>
      <c r="T199" s="32">
        <f t="shared" si="206"/>
        <v>24.186559403880846</v>
      </c>
      <c r="U199" s="32">
        <f t="shared" si="206"/>
        <v>25.907692070650903</v>
      </c>
      <c r="V199" s="32">
        <f t="shared" si="206"/>
        <v>26.798365724320629</v>
      </c>
      <c r="W199" s="32">
        <f t="shared" si="206"/>
        <v>29.145240479822434</v>
      </c>
      <c r="X199" s="32">
        <f t="shared" si="206"/>
        <v>38.571495683828978</v>
      </c>
      <c r="Y199" s="32">
        <f t="shared" si="206"/>
        <v>38.156500770788902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67.843412699754452</v>
      </c>
      <c r="C200" s="141">
        <f t="shared" si="207"/>
        <v>85.718239685849142</v>
      </c>
      <c r="D200" s="141">
        <f t="shared" si="207"/>
        <v>83.997072027835884</v>
      </c>
      <c r="E200" s="141">
        <f t="shared" si="207"/>
        <v>61.55992699498487</v>
      </c>
      <c r="F200" s="141">
        <f t="shared" si="207"/>
        <v>63.820498529224835</v>
      </c>
      <c r="G200" s="141">
        <f t="shared" si="207"/>
        <v>59.865987452989799</v>
      </c>
      <c r="H200" s="141">
        <f t="shared" si="207"/>
        <v>49.93352891327919</v>
      </c>
      <c r="I200" s="141">
        <f t="shared" si="207"/>
        <v>68.500791676602304</v>
      </c>
      <c r="J200" s="141">
        <f t="shared" si="207"/>
        <v>77.400001242860966</v>
      </c>
      <c r="K200" s="141">
        <f t="shared" si="207"/>
        <v>48.694292410006938</v>
      </c>
      <c r="L200" s="141">
        <f t="shared" si="207"/>
        <v>57.731515000083519</v>
      </c>
      <c r="M200" s="141">
        <f t="shared" si="207"/>
        <v>64.709002590118047</v>
      </c>
      <c r="N200" s="141">
        <f t="shared" si="207"/>
        <v>43.655556664737503</v>
      </c>
      <c r="O200" s="141">
        <f t="shared" si="207"/>
        <v>43.816827613010567</v>
      </c>
      <c r="P200" s="141">
        <f t="shared" si="207"/>
        <v>69.44370509516186</v>
      </c>
      <c r="Q200" s="141">
        <f t="shared" si="207"/>
        <v>68.847867701650372</v>
      </c>
      <c r="R200" s="141">
        <f t="shared" si="207"/>
        <v>64.308135505120077</v>
      </c>
      <c r="S200" s="141">
        <f t="shared" si="207"/>
        <v>64.740293929441478</v>
      </c>
      <c r="T200" s="141">
        <f t="shared" si="207"/>
        <v>67.008124603698917</v>
      </c>
      <c r="U200" s="141">
        <f t="shared" si="207"/>
        <v>71.711951899794784</v>
      </c>
      <c r="V200" s="141">
        <f t="shared" si="207"/>
        <v>68.892595099017598</v>
      </c>
      <c r="W200" s="141">
        <f t="shared" si="207"/>
        <v>71.129338639922111</v>
      </c>
      <c r="X200" s="141">
        <f t="shared" si="207"/>
        <v>68.498541597371172</v>
      </c>
      <c r="Y200" s="141">
        <f t="shared" si="207"/>
        <v>59.746881063922643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869.3537674906861</v>
      </c>
      <c r="C201" s="97">
        <f t="shared" si="208"/>
        <v>844.32820095461784</v>
      </c>
      <c r="D201" s="97">
        <f t="shared" si="208"/>
        <v>779.68676634049575</v>
      </c>
      <c r="E201" s="97">
        <f t="shared" si="208"/>
        <v>740.40312434467444</v>
      </c>
      <c r="F201" s="97">
        <f t="shared" si="208"/>
        <v>732.51647291100608</v>
      </c>
      <c r="G201" s="97">
        <f t="shared" si="208"/>
        <v>694.70388548969174</v>
      </c>
      <c r="H201" s="97">
        <f t="shared" si="208"/>
        <v>659.4878022316384</v>
      </c>
      <c r="I201" s="97">
        <f t="shared" si="208"/>
        <v>668.35529478024307</v>
      </c>
      <c r="J201" s="97">
        <f t="shared" si="208"/>
        <v>645.01429961353745</v>
      </c>
      <c r="K201" s="97">
        <f t="shared" si="208"/>
        <v>599.42062298462815</v>
      </c>
      <c r="L201" s="97">
        <f t="shared" si="208"/>
        <v>617.76626356897305</v>
      </c>
      <c r="M201" s="97">
        <f t="shared" si="208"/>
        <v>612.76614425737841</v>
      </c>
      <c r="N201" s="97">
        <f t="shared" si="208"/>
        <v>603.60246644835547</v>
      </c>
      <c r="O201" s="97">
        <f t="shared" si="208"/>
        <v>600.69803570754357</v>
      </c>
      <c r="P201" s="97">
        <f t="shared" si="208"/>
        <v>618.82618898396277</v>
      </c>
      <c r="Q201" s="97">
        <f t="shared" si="208"/>
        <v>624.05787576004366</v>
      </c>
      <c r="R201" s="97">
        <f t="shared" si="208"/>
        <v>630.97265242413368</v>
      </c>
      <c r="S201" s="97">
        <f t="shared" si="208"/>
        <v>645.93684393704802</v>
      </c>
      <c r="T201" s="97">
        <f t="shared" si="208"/>
        <v>647.50095569079406</v>
      </c>
      <c r="U201" s="97">
        <f t="shared" si="208"/>
        <v>647.05529240242527</v>
      </c>
      <c r="V201" s="97">
        <f t="shared" si="208"/>
        <v>645.09914564537917</v>
      </c>
      <c r="W201" s="97">
        <f t="shared" si="208"/>
        <v>641.14092527176183</v>
      </c>
      <c r="X201" s="97">
        <f t="shared" si="208"/>
        <v>642.92326610117277</v>
      </c>
      <c r="Y201" s="97">
        <f t="shared" si="208"/>
        <v>630.23953614918616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58.032447927828976</v>
      </c>
      <c r="C202" s="97">
        <f t="shared" si="209"/>
        <v>76.452665996708447</v>
      </c>
      <c r="D202" s="97">
        <f t="shared" si="209"/>
        <v>75.028434395799621</v>
      </c>
      <c r="E202" s="97">
        <f t="shared" si="209"/>
        <v>53.295498776087399</v>
      </c>
      <c r="F202" s="97">
        <f t="shared" si="209"/>
        <v>56.229633787831176</v>
      </c>
      <c r="G202" s="97">
        <f t="shared" si="209"/>
        <v>51.886341890477162</v>
      </c>
      <c r="H202" s="97">
        <f t="shared" si="209"/>
        <v>41.6539417005404</v>
      </c>
      <c r="I202" s="97">
        <f t="shared" si="209"/>
        <v>60.388678251034555</v>
      </c>
      <c r="J202" s="97">
        <f t="shared" si="209"/>
        <v>68.646495319548094</v>
      </c>
      <c r="K202" s="97">
        <f t="shared" si="209"/>
        <v>38.37617577332265</v>
      </c>
      <c r="L202" s="97">
        <f t="shared" si="209"/>
        <v>48.194090481694964</v>
      </c>
      <c r="M202" s="97">
        <f t="shared" si="209"/>
        <v>55.070132584941739</v>
      </c>
      <c r="N202" s="97">
        <f t="shared" si="209"/>
        <v>33.800503507616966</v>
      </c>
      <c r="O202" s="97">
        <f t="shared" si="209"/>
        <v>34.6444567887782</v>
      </c>
      <c r="P202" s="97">
        <f t="shared" si="209"/>
        <v>59.592308260181575</v>
      </c>
      <c r="Q202" s="97">
        <f t="shared" si="209"/>
        <v>59.307172264472207</v>
      </c>
      <c r="R202" s="97">
        <f t="shared" si="209"/>
        <v>54.28123218006769</v>
      </c>
      <c r="S202" s="97">
        <f t="shared" si="209"/>
        <v>54.822286642434207</v>
      </c>
      <c r="T202" s="97">
        <f t="shared" si="209"/>
        <v>57.279718681302583</v>
      </c>
      <c r="U202" s="97">
        <f t="shared" si="209"/>
        <v>61.442156534525338</v>
      </c>
      <c r="V202" s="97">
        <f t="shared" si="209"/>
        <v>59.258720794001803</v>
      </c>
      <c r="W202" s="97">
        <f t="shared" si="209"/>
        <v>61.288527422029048</v>
      </c>
      <c r="X202" s="97">
        <f t="shared" si="209"/>
        <v>58.84247653416891</v>
      </c>
      <c r="Y202" s="97">
        <f t="shared" si="209"/>
        <v>51.320866133153586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6.9417351129890523</v>
      </c>
      <c r="C203" s="130">
        <f t="shared" si="210"/>
        <v>7.0830166795144196</v>
      </c>
      <c r="D203" s="130">
        <f t="shared" si="210"/>
        <v>6.0823698930752457</v>
      </c>
      <c r="E203" s="130">
        <f t="shared" si="210"/>
        <v>5.9171398610157233</v>
      </c>
      <c r="F203" s="130">
        <f t="shared" si="210"/>
        <v>5.73463356445877</v>
      </c>
      <c r="G203" s="130">
        <f t="shared" si="210"/>
        <v>5.6670037140228633</v>
      </c>
      <c r="H203" s="130">
        <f t="shared" si="210"/>
        <v>5.2669932781211291</v>
      </c>
      <c r="I203" s="130">
        <f t="shared" si="210"/>
        <v>4.927353904698121</v>
      </c>
      <c r="J203" s="130">
        <f t="shared" si="210"/>
        <v>4.8641501710354875</v>
      </c>
      <c r="K203" s="130">
        <f t="shared" si="210"/>
        <v>4.5991930616033532</v>
      </c>
      <c r="L203" s="130">
        <f t="shared" si="210"/>
        <v>4.2814538925985381</v>
      </c>
      <c r="M203" s="130">
        <f t="shared" si="210"/>
        <v>3.9272214217843935</v>
      </c>
      <c r="N203" s="130">
        <f t="shared" si="210"/>
        <v>3.9343284419327906</v>
      </c>
      <c r="O203" s="130">
        <f t="shared" si="210"/>
        <v>3.8156019929796074</v>
      </c>
      <c r="P203" s="130">
        <f t="shared" si="210"/>
        <v>3.7895491851772656</v>
      </c>
      <c r="Q203" s="130">
        <f t="shared" si="210"/>
        <v>3.5591917077479325</v>
      </c>
      <c r="R203" s="130">
        <f t="shared" si="210"/>
        <v>3.5683188712559502</v>
      </c>
      <c r="S203" s="130">
        <f t="shared" si="210"/>
        <v>3.4040773351300517</v>
      </c>
      <c r="T203" s="130">
        <f t="shared" si="210"/>
        <v>3.5085966038195124</v>
      </c>
      <c r="U203" s="130">
        <f t="shared" si="210"/>
        <v>3.2936069366794229</v>
      </c>
      <c r="V203" s="130">
        <f t="shared" si="210"/>
        <v>3.2949439059347654</v>
      </c>
      <c r="W203" s="130">
        <f t="shared" si="210"/>
        <v>3.4694382117648832</v>
      </c>
      <c r="X203" s="130">
        <f t="shared" si="210"/>
        <v>3.4795564355415847</v>
      </c>
      <c r="Y203" s="130">
        <f t="shared" si="210"/>
        <v>4.1275877277834816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100.34015458748617</v>
      </c>
      <c r="C204" s="130">
        <f t="shared" si="211"/>
        <v>95.481590137668292</v>
      </c>
      <c r="D204" s="130">
        <f t="shared" si="211"/>
        <v>101.53245749253389</v>
      </c>
      <c r="E204" s="130">
        <f t="shared" si="211"/>
        <v>95.507873743572901</v>
      </c>
      <c r="F204" s="130">
        <f t="shared" si="211"/>
        <v>101.98777007514468</v>
      </c>
      <c r="G204" s="130">
        <f t="shared" si="211"/>
        <v>101.9700502233643</v>
      </c>
      <c r="H204" s="130">
        <f t="shared" si="211"/>
        <v>107.23450976307552</v>
      </c>
      <c r="I204" s="130">
        <f t="shared" si="211"/>
        <v>104.82442500077283</v>
      </c>
      <c r="J204" s="130">
        <f t="shared" si="211"/>
        <v>153.38002099942736</v>
      </c>
      <c r="K204" s="130">
        <f t="shared" si="211"/>
        <v>120.41963442972184</v>
      </c>
      <c r="L204" s="130">
        <f t="shared" si="211"/>
        <v>107.09146468100558</v>
      </c>
      <c r="M204" s="130">
        <f t="shared" si="211"/>
        <v>101.95293935481689</v>
      </c>
      <c r="N204" s="130">
        <f t="shared" si="211"/>
        <v>43.702755749857694</v>
      </c>
      <c r="O204" s="130">
        <f t="shared" si="211"/>
        <v>67.681606931884858</v>
      </c>
      <c r="P204" s="130">
        <f t="shared" si="211"/>
        <v>66.954180591013454</v>
      </c>
      <c r="Q204" s="130">
        <f t="shared" si="211"/>
        <v>65.423001681052042</v>
      </c>
      <c r="R204" s="130">
        <f t="shared" si="211"/>
        <v>71.541912474190937</v>
      </c>
      <c r="S204" s="130">
        <f t="shared" si="211"/>
        <v>92.372780009580794</v>
      </c>
      <c r="T204" s="130">
        <f t="shared" si="211"/>
        <v>83.563170705300095</v>
      </c>
      <c r="U204" s="130">
        <f t="shared" si="211"/>
        <v>71.467573040737605</v>
      </c>
      <c r="V204" s="130">
        <f t="shared" si="211"/>
        <v>119.81867681488481</v>
      </c>
      <c r="W204" s="130">
        <f t="shared" si="211"/>
        <v>107.73542117192981</v>
      </c>
      <c r="X204" s="130">
        <f t="shared" si="211"/>
        <v>70.174235884829088</v>
      </c>
      <c r="Y204" s="130">
        <f t="shared" si="211"/>
        <v>65.673341218011217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0</v>
      </c>
      <c r="C205" s="97">
        <f t="shared" si="212"/>
        <v>0</v>
      </c>
      <c r="D205" s="97">
        <f t="shared" si="212"/>
        <v>0</v>
      </c>
      <c r="E205" s="97">
        <f t="shared" si="212"/>
        <v>0</v>
      </c>
      <c r="F205" s="97">
        <f t="shared" si="212"/>
        <v>0</v>
      </c>
      <c r="G205" s="97">
        <f t="shared" si="212"/>
        <v>0</v>
      </c>
      <c r="H205" s="97">
        <f t="shared" si="212"/>
        <v>0</v>
      </c>
      <c r="I205" s="97">
        <f t="shared" si="212"/>
        <v>0</v>
      </c>
      <c r="J205" s="97">
        <f t="shared" si="212"/>
        <v>0</v>
      </c>
      <c r="K205" s="97">
        <f t="shared" si="212"/>
        <v>0</v>
      </c>
      <c r="L205" s="97">
        <f t="shared" si="212"/>
        <v>0</v>
      </c>
      <c r="M205" s="97">
        <f t="shared" si="212"/>
        <v>0</v>
      </c>
      <c r="N205" s="97">
        <f t="shared" si="212"/>
        <v>0</v>
      </c>
      <c r="O205" s="97">
        <f t="shared" si="212"/>
        <v>0</v>
      </c>
      <c r="P205" s="97">
        <f t="shared" si="212"/>
        <v>0</v>
      </c>
      <c r="Q205" s="97">
        <f t="shared" si="212"/>
        <v>0</v>
      </c>
      <c r="R205" s="97">
        <f t="shared" si="212"/>
        <v>0</v>
      </c>
      <c r="S205" s="97">
        <f t="shared" si="212"/>
        <v>0</v>
      </c>
      <c r="T205" s="97">
        <f t="shared" si="212"/>
        <v>0</v>
      </c>
      <c r="U205" s="97">
        <f t="shared" si="212"/>
        <v>0</v>
      </c>
      <c r="V205" s="97">
        <f t="shared" si="212"/>
        <v>0</v>
      </c>
      <c r="W205" s="97">
        <f t="shared" si="212"/>
        <v>0</v>
      </c>
      <c r="X205" s="97">
        <f t="shared" si="212"/>
        <v>0</v>
      </c>
      <c r="Y205" s="97">
        <f t="shared" si="212"/>
        <v>0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109.96996388159593</v>
      </c>
      <c r="C206" s="97">
        <f t="shared" si="213"/>
        <v>104.37418721749984</v>
      </c>
      <c r="D206" s="97">
        <f t="shared" si="213"/>
        <v>111.2775358076657</v>
      </c>
      <c r="E206" s="97">
        <f t="shared" si="213"/>
        <v>110.02919337095112</v>
      </c>
      <c r="F206" s="97">
        <f t="shared" si="213"/>
        <v>121.2277399859839</v>
      </c>
      <c r="G206" s="97">
        <f t="shared" si="213"/>
        <v>122.15157681663722</v>
      </c>
      <c r="H206" s="97">
        <f t="shared" si="213"/>
        <v>154.07463473136468</v>
      </c>
      <c r="I206" s="97">
        <f t="shared" si="213"/>
        <v>170.36921208586494</v>
      </c>
      <c r="J206" s="97">
        <f t="shared" si="213"/>
        <v>196.25177002261827</v>
      </c>
      <c r="K206" s="97">
        <f t="shared" si="213"/>
        <v>127.68869535226871</v>
      </c>
      <c r="L206" s="97">
        <f t="shared" si="213"/>
        <v>112.89891280233167</v>
      </c>
      <c r="M206" s="97">
        <f t="shared" si="213"/>
        <v>109.71201721158236</v>
      </c>
      <c r="N206" s="97">
        <f t="shared" si="213"/>
        <v>102.78652892382242</v>
      </c>
      <c r="O206" s="97">
        <f t="shared" si="213"/>
        <v>109.53624042569358</v>
      </c>
      <c r="P206" s="97">
        <f t="shared" si="213"/>
        <v>90.91717118512048</v>
      </c>
      <c r="Q206" s="97">
        <f t="shared" si="213"/>
        <v>88.066862407716357</v>
      </c>
      <c r="R206" s="97">
        <f t="shared" si="213"/>
        <v>91.387206886704192</v>
      </c>
      <c r="S206" s="97">
        <f t="shared" si="213"/>
        <v>106.28827601017613</v>
      </c>
      <c r="T206" s="97">
        <f t="shared" si="213"/>
        <v>106.0097484291321</v>
      </c>
      <c r="U206" s="97">
        <f t="shared" si="213"/>
        <v>100.01228105431731</v>
      </c>
      <c r="V206" s="97">
        <f t="shared" si="213"/>
        <v>171.57799204340725</v>
      </c>
      <c r="W206" s="97">
        <f t="shared" si="213"/>
        <v>157.41024831564778</v>
      </c>
      <c r="X206" s="97">
        <f t="shared" si="213"/>
        <v>114.88581840881862</v>
      </c>
      <c r="Y206" s="97">
        <f t="shared" si="213"/>
        <v>103.26100310570644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18.330974699623038</v>
      </c>
      <c r="C207" s="97">
        <f t="shared" si="214"/>
        <v>17.557524627399797</v>
      </c>
      <c r="D207" s="97">
        <f t="shared" si="214"/>
        <v>18.54759967726487</v>
      </c>
      <c r="E207" s="97">
        <f t="shared" si="214"/>
        <v>20.584861029727307</v>
      </c>
      <c r="F207" s="97">
        <f t="shared" si="214"/>
        <v>21.183037933378557</v>
      </c>
      <c r="G207" s="97">
        <f t="shared" si="214"/>
        <v>22.834473640589998</v>
      </c>
      <c r="H207" s="97">
        <f t="shared" si="214"/>
        <v>21.988727530588459</v>
      </c>
      <c r="I207" s="97">
        <f t="shared" si="214"/>
        <v>25.041844867418519</v>
      </c>
      <c r="J207" s="97">
        <f t="shared" si="214"/>
        <v>37.721625836362911</v>
      </c>
      <c r="K207" s="97">
        <f t="shared" si="214"/>
        <v>29.406906700088811</v>
      </c>
      <c r="L207" s="97">
        <f t="shared" si="214"/>
        <v>36.265457578393161</v>
      </c>
      <c r="M207" s="97">
        <f t="shared" si="214"/>
        <v>41.958649076843841</v>
      </c>
      <c r="N207" s="97">
        <f t="shared" si="214"/>
        <v>28.225180186587608</v>
      </c>
      <c r="O207" s="97">
        <f t="shared" si="214"/>
        <v>28.209735554743222</v>
      </c>
      <c r="P207" s="97">
        <f t="shared" si="214"/>
        <v>21.504024261290784</v>
      </c>
      <c r="Q207" s="97">
        <f t="shared" si="214"/>
        <v>19.178258343021646</v>
      </c>
      <c r="R207" s="97">
        <f t="shared" si="214"/>
        <v>17.331651977207891</v>
      </c>
      <c r="S207" s="97">
        <f t="shared" si="214"/>
        <v>16.475836028856058</v>
      </c>
      <c r="T207" s="97">
        <f t="shared" si="214"/>
        <v>13.815011957769663</v>
      </c>
      <c r="U207" s="97">
        <f t="shared" si="214"/>
        <v>10.55091597830924</v>
      </c>
      <c r="V207" s="97">
        <f t="shared" si="214"/>
        <v>24.621740944703689</v>
      </c>
      <c r="W207" s="97">
        <f t="shared" si="214"/>
        <v>19.827033699855988</v>
      </c>
      <c r="X207" s="97">
        <f t="shared" si="214"/>
        <v>13.43857080723445</v>
      </c>
      <c r="Y207" s="97">
        <f t="shared" si="214"/>
        <v>14.068181607928661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13.371167784587181</v>
      </c>
      <c r="C208" s="130">
        <f t="shared" si="215"/>
        <v>18.81683044749677</v>
      </c>
      <c r="D208" s="130">
        <f t="shared" si="215"/>
        <v>25.09210432935166</v>
      </c>
      <c r="E208" s="130">
        <f t="shared" si="215"/>
        <v>25.068987498218874</v>
      </c>
      <c r="F208" s="130">
        <f t="shared" si="215"/>
        <v>37.762339165432792</v>
      </c>
      <c r="G208" s="130">
        <f t="shared" si="215"/>
        <v>31.862107614996958</v>
      </c>
      <c r="H208" s="130">
        <f t="shared" si="215"/>
        <v>38.883063273471414</v>
      </c>
      <c r="I208" s="130">
        <f t="shared" si="215"/>
        <v>32.154361749464975</v>
      </c>
      <c r="J208" s="130">
        <f t="shared" si="215"/>
        <v>38.105341460816632</v>
      </c>
      <c r="K208" s="130">
        <f t="shared" si="215"/>
        <v>33.62253506079086</v>
      </c>
      <c r="L208" s="130">
        <f t="shared" si="215"/>
        <v>40.347154487182173</v>
      </c>
      <c r="M208" s="130">
        <f t="shared" si="215"/>
        <v>30.263941446439727</v>
      </c>
      <c r="N208" s="130">
        <f t="shared" si="215"/>
        <v>31.708946233460725</v>
      </c>
      <c r="O208" s="130">
        <f t="shared" si="215"/>
        <v>32.825804727327444</v>
      </c>
      <c r="P208" s="130">
        <f t="shared" si="215"/>
        <v>31.855251407609483</v>
      </c>
      <c r="Q208" s="130">
        <f t="shared" si="215"/>
        <v>30.358938501408474</v>
      </c>
      <c r="R208" s="130">
        <f t="shared" si="215"/>
        <v>30.650969318078484</v>
      </c>
      <c r="S208" s="130">
        <f t="shared" si="215"/>
        <v>30.561563088614033</v>
      </c>
      <c r="T208" s="130">
        <f t="shared" si="215"/>
        <v>30.4404076795084</v>
      </c>
      <c r="U208" s="130">
        <f t="shared" si="215"/>
        <v>30.551054988247198</v>
      </c>
      <c r="V208" s="130">
        <f t="shared" si="215"/>
        <v>31.32146216158996</v>
      </c>
      <c r="W208" s="130">
        <f t="shared" si="215"/>
        <v>30.604549066072092</v>
      </c>
      <c r="X208" s="130">
        <f t="shared" si="215"/>
        <v>28.756714760994466</v>
      </c>
      <c r="Y208" s="130">
        <f t="shared" si="215"/>
        <v>27.444573156853394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13.409265508648238</v>
      </c>
      <c r="C209" s="97">
        <f t="shared" si="216"/>
        <v>18.832014346030771</v>
      </c>
      <c r="D209" s="97">
        <f t="shared" si="216"/>
        <v>25.086608652824662</v>
      </c>
      <c r="E209" s="97">
        <f t="shared" si="216"/>
        <v>25.081154246464756</v>
      </c>
      <c r="F209" s="97">
        <f t="shared" si="216"/>
        <v>37.68242984924364</v>
      </c>
      <c r="G209" s="97">
        <f t="shared" si="216"/>
        <v>31.844216613777835</v>
      </c>
      <c r="H209" s="97">
        <f t="shared" si="216"/>
        <v>38.707316019438792</v>
      </c>
      <c r="I209" s="97">
        <f t="shared" si="216"/>
        <v>31.459207726080574</v>
      </c>
      <c r="J209" s="97">
        <f t="shared" si="216"/>
        <v>36.783795075847621</v>
      </c>
      <c r="K209" s="97">
        <f t="shared" si="216"/>
        <v>33.495660773511446</v>
      </c>
      <c r="L209" s="97">
        <f t="shared" si="216"/>
        <v>40.227916831287899</v>
      </c>
      <c r="M209" s="97">
        <f t="shared" si="216"/>
        <v>30.280963022975509</v>
      </c>
      <c r="N209" s="97">
        <f t="shared" si="216"/>
        <v>31.70780392630105</v>
      </c>
      <c r="O209" s="97">
        <f t="shared" si="216"/>
        <v>32.825804727327444</v>
      </c>
      <c r="P209" s="97">
        <f t="shared" si="216"/>
        <v>31.855251407609483</v>
      </c>
      <c r="Q209" s="97">
        <f t="shared" si="216"/>
        <v>30.358938501408474</v>
      </c>
      <c r="R209" s="97">
        <f t="shared" si="216"/>
        <v>30.650969318078484</v>
      </c>
      <c r="S209" s="97">
        <f t="shared" si="216"/>
        <v>30.561563088614033</v>
      </c>
      <c r="T209" s="97">
        <f t="shared" si="216"/>
        <v>30.4404076795084</v>
      </c>
      <c r="U209" s="97">
        <f t="shared" si="216"/>
        <v>30.551054988247198</v>
      </c>
      <c r="V209" s="97">
        <f t="shared" si="216"/>
        <v>31.323274734496394</v>
      </c>
      <c r="W209" s="97">
        <f t="shared" si="216"/>
        <v>31.108329573313512</v>
      </c>
      <c r="X209" s="97">
        <f t="shared" si="216"/>
        <v>30.484002452841285</v>
      </c>
      <c r="Y209" s="97">
        <f t="shared" si="216"/>
        <v>30.070565159607909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7.5222837752757821</v>
      </c>
      <c r="C210" s="98">
        <f t="shared" si="217"/>
        <v>14.213778877169101</v>
      </c>
      <c r="D210" s="98">
        <f t="shared" si="217"/>
        <v>26.824779090539561</v>
      </c>
      <c r="E210" s="98">
        <f t="shared" si="217"/>
        <v>22.099199846481014</v>
      </c>
      <c r="F210" s="98">
        <f t="shared" si="217"/>
        <v>55.09159443195388</v>
      </c>
      <c r="G210" s="98">
        <f t="shared" si="217"/>
        <v>34.010284075934649</v>
      </c>
      <c r="H210" s="98">
        <f t="shared" si="217"/>
        <v>54.143830485512829</v>
      </c>
      <c r="I210" s="98">
        <f t="shared" si="217"/>
        <v>42.57910003034447</v>
      </c>
      <c r="J210" s="98">
        <f t="shared" si="217"/>
        <v>54.622248437890022</v>
      </c>
      <c r="K210" s="98">
        <f t="shared" si="217"/>
        <v>39.965319013321746</v>
      </c>
      <c r="L210" s="98">
        <f t="shared" si="217"/>
        <v>46.308162872418976</v>
      </c>
      <c r="M210" s="98">
        <f t="shared" si="217"/>
        <v>29.316662342929465</v>
      </c>
      <c r="N210" s="98">
        <f t="shared" si="217"/>
        <v>31.89309757067279</v>
      </c>
      <c r="O210" s="98">
        <f t="shared" si="217"/>
        <v>0</v>
      </c>
      <c r="P210" s="98">
        <f t="shared" si="217"/>
        <v>0</v>
      </c>
      <c r="Q210" s="98">
        <f t="shared" si="217"/>
        <v>0</v>
      </c>
      <c r="R210" s="98">
        <f t="shared" si="217"/>
        <v>0</v>
      </c>
      <c r="S210" s="98">
        <f t="shared" si="217"/>
        <v>0</v>
      </c>
      <c r="T210" s="98">
        <f t="shared" si="217"/>
        <v>0</v>
      </c>
      <c r="U210" s="98">
        <f t="shared" si="217"/>
        <v>0</v>
      </c>
      <c r="V210" s="98">
        <f t="shared" si="217"/>
        <v>9.3784545563025823</v>
      </c>
      <c r="W210" s="98">
        <f t="shared" si="217"/>
        <v>9.1764131173939703</v>
      </c>
      <c r="X210" s="98">
        <f t="shared" si="217"/>
        <v>9.2800106685843691</v>
      </c>
      <c r="Y210" s="98">
        <f t="shared" si="217"/>
        <v>9.6401285455108834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2.465955452444105</v>
      </c>
      <c r="C211" s="32">
        <f t="shared" si="218"/>
        <v>2.5042329153963223</v>
      </c>
      <c r="D211" s="32">
        <f t="shared" si="218"/>
        <v>2.4951915417844428</v>
      </c>
      <c r="E211" s="32">
        <f t="shared" si="218"/>
        <v>2.491318984086909</v>
      </c>
      <c r="F211" s="32">
        <f t="shared" si="218"/>
        <v>2.4931957323946179</v>
      </c>
      <c r="G211" s="32">
        <f t="shared" si="218"/>
        <v>2.6755336768817441</v>
      </c>
      <c r="H211" s="32">
        <f t="shared" si="218"/>
        <v>2.2990948516897558</v>
      </c>
      <c r="I211" s="32">
        <f t="shared" si="218"/>
        <v>1.7309733284020523</v>
      </c>
      <c r="J211" s="32">
        <f t="shared" si="218"/>
        <v>0.98828084449702269</v>
      </c>
      <c r="K211" s="32">
        <f t="shared" si="218"/>
        <v>1.3611134485634355</v>
      </c>
      <c r="L211" s="32">
        <f t="shared" si="218"/>
        <v>1.4050888714245438</v>
      </c>
      <c r="M211" s="32">
        <f t="shared" si="218"/>
        <v>1.2020369828288959</v>
      </c>
      <c r="N211" s="32">
        <f t="shared" si="218"/>
        <v>1.1430962999569718</v>
      </c>
      <c r="O211" s="32">
        <f t="shared" si="218"/>
        <v>0.80978106754354084</v>
      </c>
      <c r="P211" s="32">
        <f t="shared" si="218"/>
        <v>8.793705253772266E-2</v>
      </c>
      <c r="Q211" s="32">
        <f t="shared" si="218"/>
        <v>0.5450497466019204</v>
      </c>
      <c r="R211" s="32">
        <f t="shared" si="218"/>
        <v>1.0860191880302152</v>
      </c>
      <c r="S211" s="32">
        <f t="shared" si="218"/>
        <v>1.062184548038325</v>
      </c>
      <c r="T211" s="32">
        <f t="shared" si="218"/>
        <v>1.2018184802270961</v>
      </c>
      <c r="U211" s="32">
        <f t="shared" si="218"/>
        <v>1.1954402123052883</v>
      </c>
      <c r="V211" s="32">
        <f t="shared" si="218"/>
        <v>1.0961339465519677</v>
      </c>
      <c r="W211" s="32">
        <f t="shared" si="218"/>
        <v>1.13051859589741</v>
      </c>
      <c r="X211" s="32">
        <f t="shared" si="218"/>
        <v>1.4415257340879972</v>
      </c>
      <c r="Y211" s="32">
        <f t="shared" si="218"/>
        <v>1.3193031822691108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3.4910960868882759</v>
      </c>
      <c r="C212" s="97">
        <f t="shared" si="219"/>
        <v>3.5897228625856634</v>
      </c>
      <c r="D212" s="97">
        <f t="shared" si="219"/>
        <v>3.5653064191534418</v>
      </c>
      <c r="E212" s="97">
        <f t="shared" si="219"/>
        <v>3.5542853739302429</v>
      </c>
      <c r="F212" s="97">
        <f t="shared" si="219"/>
        <v>3.5597633776887365</v>
      </c>
      <c r="G212" s="97">
        <f t="shared" si="219"/>
        <v>4.0291371644874658</v>
      </c>
      <c r="H212" s="97">
        <f t="shared" si="219"/>
        <v>4.6540481760518357</v>
      </c>
      <c r="I212" s="97">
        <f t="shared" si="219"/>
        <v>4.0587292658910643</v>
      </c>
      <c r="J212" s="97">
        <f t="shared" si="219"/>
        <v>2.5849569929396305</v>
      </c>
      <c r="K212" s="97">
        <f t="shared" si="219"/>
        <v>3.8596451301226651</v>
      </c>
      <c r="L212" s="97">
        <f t="shared" si="219"/>
        <v>3.9925774940210554</v>
      </c>
      <c r="M212" s="97">
        <f t="shared" si="219"/>
        <v>3.3410709276685751</v>
      </c>
      <c r="N212" s="97">
        <f t="shared" si="219"/>
        <v>3.0675812545803507</v>
      </c>
      <c r="O212" s="97">
        <f t="shared" si="219"/>
        <v>2.2863422459184948</v>
      </c>
      <c r="P212" s="97">
        <f t="shared" si="219"/>
        <v>0.26203662079954387</v>
      </c>
      <c r="Q212" s="97">
        <f t="shared" si="219"/>
        <v>1.7035575214688403</v>
      </c>
      <c r="R212" s="97">
        <f t="shared" si="219"/>
        <v>3.5458796144066778</v>
      </c>
      <c r="S212" s="97">
        <f t="shared" si="219"/>
        <v>3.4547035227766552</v>
      </c>
      <c r="T212" s="97">
        <f t="shared" si="219"/>
        <v>3.8877524014245703</v>
      </c>
      <c r="U212" s="97">
        <f t="shared" si="219"/>
        <v>3.8755562993903805</v>
      </c>
      <c r="V212" s="97">
        <f t="shared" si="219"/>
        <v>3.1259739783739144</v>
      </c>
      <c r="W212" s="97">
        <f t="shared" si="219"/>
        <v>3.5030523825995226</v>
      </c>
      <c r="X212" s="97">
        <f t="shared" si="219"/>
        <v>3.9719921391844277</v>
      </c>
      <c r="Y212" s="97">
        <f t="shared" si="219"/>
        <v>3.4242469256859933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1.7896214994356079</v>
      </c>
      <c r="C213" s="98">
        <f t="shared" si="220"/>
        <v>1.80339947143298</v>
      </c>
      <c r="D213" s="98">
        <f t="shared" si="220"/>
        <v>1.8046727800594522</v>
      </c>
      <c r="E213" s="98">
        <f t="shared" si="220"/>
        <v>1.8032341347526544</v>
      </c>
      <c r="F213" s="98">
        <f t="shared" si="220"/>
        <v>1.8031119891620433</v>
      </c>
      <c r="G213" s="98">
        <f t="shared" si="220"/>
        <v>1.8599461730415916</v>
      </c>
      <c r="H213" s="98">
        <f t="shared" si="220"/>
        <v>1.5630267112474909</v>
      </c>
      <c r="I213" s="98">
        <f t="shared" si="220"/>
        <v>1.2191883144109739</v>
      </c>
      <c r="J213" s="98">
        <f t="shared" si="220"/>
        <v>0.69838330555497774</v>
      </c>
      <c r="K213" s="98">
        <f t="shared" si="220"/>
        <v>0.98835820396165308</v>
      </c>
      <c r="L213" s="98">
        <f t="shared" si="220"/>
        <v>1.0147077938479052</v>
      </c>
      <c r="M213" s="98">
        <f t="shared" si="220"/>
        <v>0.84748093481686926</v>
      </c>
      <c r="N213" s="98">
        <f t="shared" si="220"/>
        <v>0.79958821164305571</v>
      </c>
      <c r="O213" s="98">
        <f t="shared" si="220"/>
        <v>0.58293485637716214</v>
      </c>
      <c r="P213" s="98">
        <f t="shared" si="220"/>
        <v>6.4003192440922993E-2</v>
      </c>
      <c r="Q213" s="98">
        <f t="shared" si="220"/>
        <v>0.40147360295286522</v>
      </c>
      <c r="R213" s="98">
        <f t="shared" si="220"/>
        <v>0.81695889469874583</v>
      </c>
      <c r="S213" s="98">
        <f t="shared" si="220"/>
        <v>0.79880754698874701</v>
      </c>
      <c r="T213" s="98">
        <f t="shared" si="220"/>
        <v>0.90017660163820523</v>
      </c>
      <c r="U213" s="98">
        <f t="shared" si="220"/>
        <v>0.8878348707496847</v>
      </c>
      <c r="V213" s="98">
        <f t="shared" si="220"/>
        <v>0.86482191145662735</v>
      </c>
      <c r="W213" s="98">
        <f t="shared" si="220"/>
        <v>0.90029130673071767</v>
      </c>
      <c r="X213" s="98">
        <f t="shared" si="220"/>
        <v>1.0541394971559748</v>
      </c>
      <c r="Y213" s="98">
        <f t="shared" si="220"/>
        <v>0.95015371420597294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74.652395627147598</v>
      </c>
      <c r="C216" s="32">
        <f t="shared" si="221"/>
        <v>77.464151541611486</v>
      </c>
      <c r="D216" s="32">
        <f t="shared" si="221"/>
        <v>79.891520005796323</v>
      </c>
      <c r="E216" s="32">
        <f t="shared" si="221"/>
        <v>78.429168261434967</v>
      </c>
      <c r="F216" s="32">
        <f t="shared" si="221"/>
        <v>78.418518196469634</v>
      </c>
      <c r="G216" s="32">
        <f t="shared" si="221"/>
        <v>77.897581951640163</v>
      </c>
      <c r="H216" s="32">
        <f t="shared" si="221"/>
        <v>76.097675173095141</v>
      </c>
      <c r="I216" s="32">
        <f t="shared" si="221"/>
        <v>84.179498023617043</v>
      </c>
      <c r="J216" s="32">
        <f t="shared" si="221"/>
        <v>85.439466300782826</v>
      </c>
      <c r="K216" s="32">
        <f t="shared" si="221"/>
        <v>82.399218098115725</v>
      </c>
      <c r="L216" s="32">
        <f t="shared" si="221"/>
        <v>89.993591920663704</v>
      </c>
      <c r="M216" s="32">
        <f t="shared" si="221"/>
        <v>90.968476705308404</v>
      </c>
      <c r="N216" s="32">
        <f t="shared" si="221"/>
        <v>88.200396139876176</v>
      </c>
      <c r="O216" s="32">
        <f t="shared" si="221"/>
        <v>87.864981110865699</v>
      </c>
      <c r="P216" s="32">
        <f t="shared" si="221"/>
        <v>112.14787758329804</v>
      </c>
      <c r="Q216" s="32">
        <f t="shared" si="221"/>
        <v>116.00305286958832</v>
      </c>
      <c r="R216" s="32">
        <f t="shared" si="221"/>
        <v>126.68488549246499</v>
      </c>
      <c r="S216" s="32">
        <f t="shared" si="221"/>
        <v>112.24440113684355</v>
      </c>
      <c r="T216" s="32">
        <f t="shared" si="221"/>
        <v>121.27425063111274</v>
      </c>
      <c r="U216" s="32">
        <f t="shared" si="221"/>
        <v>120.32582860833661</v>
      </c>
      <c r="V216" s="32">
        <f t="shared" si="221"/>
        <v>135.49534233651863</v>
      </c>
      <c r="W216" s="32">
        <f t="shared" si="221"/>
        <v>123.28285394946163</v>
      </c>
      <c r="X216" s="32">
        <f t="shared" si="221"/>
        <v>111.93142640632848</v>
      </c>
      <c r="Y216" s="32">
        <f t="shared" si="221"/>
        <v>106.50289438598671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74.365660424654436</v>
      </c>
      <c r="C217" s="141">
        <f t="shared" si="222"/>
        <v>77.007908445167857</v>
      </c>
      <c r="D217" s="141">
        <f t="shared" si="222"/>
        <v>79.640578261727683</v>
      </c>
      <c r="E217" s="141">
        <f t="shared" si="222"/>
        <v>77.99207439593124</v>
      </c>
      <c r="F217" s="141">
        <f t="shared" si="222"/>
        <v>78.014790807187936</v>
      </c>
      <c r="G217" s="141">
        <f t="shared" si="222"/>
        <v>77.162740091583075</v>
      </c>
      <c r="H217" s="141">
        <f t="shared" si="222"/>
        <v>75.409799616034036</v>
      </c>
      <c r="I217" s="141">
        <f t="shared" si="222"/>
        <v>83.491468394548193</v>
      </c>
      <c r="J217" s="141">
        <f t="shared" si="222"/>
        <v>84.066894615691339</v>
      </c>
      <c r="K217" s="141">
        <f t="shared" si="222"/>
        <v>82.399487351953752</v>
      </c>
      <c r="L217" s="141">
        <f t="shared" si="222"/>
        <v>90.109697847790059</v>
      </c>
      <c r="M217" s="141">
        <f t="shared" si="222"/>
        <v>91.227295524343958</v>
      </c>
      <c r="N217" s="141">
        <f t="shared" si="222"/>
        <v>88.789984276062214</v>
      </c>
      <c r="O217" s="141">
        <f t="shared" si="222"/>
        <v>88.496629292425752</v>
      </c>
      <c r="P217" s="141">
        <f t="shared" si="222"/>
        <v>115.52680195916807</v>
      </c>
      <c r="Q217" s="141">
        <f t="shared" si="222"/>
        <v>120.43984559385071</v>
      </c>
      <c r="R217" s="141">
        <f t="shared" si="222"/>
        <v>132.34451503063303</v>
      </c>
      <c r="S217" s="141">
        <f t="shared" si="222"/>
        <v>115.79232799995546</v>
      </c>
      <c r="T217" s="141">
        <f t="shared" si="222"/>
        <v>127.35533902300469</v>
      </c>
      <c r="U217" s="141">
        <f t="shared" si="222"/>
        <v>126.81467396685586</v>
      </c>
      <c r="V217" s="141">
        <f t="shared" si="222"/>
        <v>136.9481755371466</v>
      </c>
      <c r="W217" s="141">
        <f t="shared" si="222"/>
        <v>125.59876554813896</v>
      </c>
      <c r="X217" s="141">
        <f t="shared" si="222"/>
        <v>117.99635441603706</v>
      </c>
      <c r="Y217" s="141">
        <f t="shared" si="222"/>
        <v>113.3577592013045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134.34937631525219</v>
      </c>
      <c r="C218" s="97">
        <f t="shared" si="223"/>
        <v>133.40853027823775</v>
      </c>
      <c r="D218" s="97">
        <f t="shared" si="223"/>
        <v>132.0721693333528</v>
      </c>
      <c r="E218" s="97">
        <f t="shared" si="223"/>
        <v>124.24749382934409</v>
      </c>
      <c r="F218" s="97">
        <f t="shared" si="223"/>
        <v>122.90922416129861</v>
      </c>
      <c r="G218" s="97">
        <f t="shared" si="223"/>
        <v>121.24577167463029</v>
      </c>
      <c r="H218" s="97">
        <f t="shared" si="223"/>
        <v>117.50986300330246</v>
      </c>
      <c r="I218" s="97">
        <f t="shared" si="223"/>
        <v>113.13201270216013</v>
      </c>
      <c r="J218" s="97">
        <f t="shared" si="223"/>
        <v>108.82328793380427</v>
      </c>
      <c r="K218" s="97">
        <f t="shared" si="223"/>
        <v>106.35076674797294</v>
      </c>
      <c r="L218" s="97">
        <f t="shared" si="223"/>
        <v>105.65060942973228</v>
      </c>
      <c r="M218" s="97">
        <f t="shared" si="223"/>
        <v>104.04696234684351</v>
      </c>
      <c r="N218" s="97">
        <f t="shared" si="223"/>
        <v>103.53083749414115</v>
      </c>
      <c r="O218" s="97">
        <f t="shared" si="223"/>
        <v>102.84400271668663</v>
      </c>
      <c r="P218" s="97">
        <f t="shared" si="223"/>
        <v>101.47762981779768</v>
      </c>
      <c r="Q218" s="97">
        <f t="shared" si="223"/>
        <v>102.63677865285929</v>
      </c>
      <c r="R218" s="97">
        <f t="shared" si="223"/>
        <v>102.82501084802821</v>
      </c>
      <c r="S218" s="97">
        <f t="shared" si="223"/>
        <v>99.878495096399902</v>
      </c>
      <c r="T218" s="97">
        <f t="shared" si="223"/>
        <v>98.064021498260416</v>
      </c>
      <c r="U218" s="97">
        <f t="shared" si="223"/>
        <v>93.76687915679895</v>
      </c>
      <c r="V218" s="97">
        <f t="shared" si="223"/>
        <v>88.547564117405173</v>
      </c>
      <c r="W218" s="97">
        <f t="shared" si="223"/>
        <v>86.36995585145317</v>
      </c>
      <c r="X218" s="97">
        <f t="shared" si="223"/>
        <v>84.323389258360649</v>
      </c>
      <c r="Y218" s="97">
        <f t="shared" si="223"/>
        <v>83.306021685709155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75.056602864267788</v>
      </c>
      <c r="C219" s="97">
        <f t="shared" si="224"/>
        <v>78.471576557506665</v>
      </c>
      <c r="D219" s="97">
        <f t="shared" si="224"/>
        <v>81.777898935762082</v>
      </c>
      <c r="E219" s="97">
        <f t="shared" si="224"/>
        <v>79.703543213549722</v>
      </c>
      <c r="F219" s="97">
        <f t="shared" si="224"/>
        <v>80.656833218887868</v>
      </c>
      <c r="G219" s="97">
        <f t="shared" si="224"/>
        <v>79.951324600903462</v>
      </c>
      <c r="H219" s="97">
        <f t="shared" si="224"/>
        <v>77.971724889956448</v>
      </c>
      <c r="I219" s="97">
        <f t="shared" si="224"/>
        <v>87.060680706318124</v>
      </c>
      <c r="J219" s="97">
        <f t="shared" si="224"/>
        <v>87.628579630141331</v>
      </c>
      <c r="K219" s="97">
        <f t="shared" si="224"/>
        <v>84.585978821914395</v>
      </c>
      <c r="L219" s="97">
        <f t="shared" si="224"/>
        <v>93.08320498564899</v>
      </c>
      <c r="M219" s="97">
        <f t="shared" si="224"/>
        <v>94.648222831156872</v>
      </c>
      <c r="N219" s="97">
        <f t="shared" si="224"/>
        <v>91.659634482869805</v>
      </c>
      <c r="O219" s="97">
        <f t="shared" si="224"/>
        <v>92.144501858809548</v>
      </c>
      <c r="P219" s="97">
        <f t="shared" si="224"/>
        <v>124.22206494120805</v>
      </c>
      <c r="Q219" s="97">
        <f t="shared" si="224"/>
        <v>128.35809752990897</v>
      </c>
      <c r="R219" s="97">
        <f t="shared" si="224"/>
        <v>140.85355858975294</v>
      </c>
      <c r="S219" s="97">
        <f t="shared" si="224"/>
        <v>121.67793059880864</v>
      </c>
      <c r="T219" s="97">
        <f t="shared" si="224"/>
        <v>134.88515694701263</v>
      </c>
      <c r="U219" s="97">
        <f t="shared" si="224"/>
        <v>133.7036806377142</v>
      </c>
      <c r="V219" s="97">
        <f t="shared" si="224"/>
        <v>140.47153001257635</v>
      </c>
      <c r="W219" s="97">
        <f t="shared" si="224"/>
        <v>128.27310313828085</v>
      </c>
      <c r="X219" s="97">
        <f t="shared" si="224"/>
        <v>122.32226632956527</v>
      </c>
      <c r="Y219" s="97">
        <f t="shared" si="224"/>
        <v>118.17901656382622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66.43748806478979</v>
      </c>
      <c r="C220" s="97">
        <f t="shared" si="225"/>
        <v>62.271510494796871</v>
      </c>
      <c r="D220" s="97">
        <f t="shared" si="225"/>
        <v>60.020062809069472</v>
      </c>
      <c r="E220" s="97">
        <f t="shared" si="225"/>
        <v>60.293822060279517</v>
      </c>
      <c r="F220" s="97">
        <f t="shared" si="225"/>
        <v>54.016174868301796</v>
      </c>
      <c r="G220" s="97">
        <f t="shared" si="225"/>
        <v>50.027061945494488</v>
      </c>
      <c r="H220" s="97">
        <f t="shared" si="225"/>
        <v>47.191803609780983</v>
      </c>
      <c r="I220" s="97">
        <f t="shared" si="225"/>
        <v>44.223466578232362</v>
      </c>
      <c r="J220" s="97">
        <f t="shared" si="225"/>
        <v>43.795916225552247</v>
      </c>
      <c r="K220" s="97">
        <f t="shared" si="225"/>
        <v>53.066060704723739</v>
      </c>
      <c r="L220" s="97">
        <f t="shared" si="225"/>
        <v>53.549116967391598</v>
      </c>
      <c r="M220" s="97">
        <f t="shared" si="225"/>
        <v>53.505482583375041</v>
      </c>
      <c r="N220" s="97">
        <f t="shared" si="225"/>
        <v>52.357289821623795</v>
      </c>
      <c r="O220" s="97">
        <f t="shared" si="225"/>
        <v>45.277485719422017</v>
      </c>
      <c r="P220" s="97">
        <f t="shared" si="225"/>
        <v>44.829523837992298</v>
      </c>
      <c r="Q220" s="97">
        <f t="shared" si="225"/>
        <v>49.37864613902449</v>
      </c>
      <c r="R220" s="97">
        <f t="shared" si="225"/>
        <v>49.947319529230434</v>
      </c>
      <c r="S220" s="97">
        <f t="shared" si="225"/>
        <v>49.000785669341553</v>
      </c>
      <c r="T220" s="97">
        <f t="shared" si="225"/>
        <v>48.492944354018213</v>
      </c>
      <c r="U220" s="97">
        <f t="shared" si="225"/>
        <v>53.455446668556576</v>
      </c>
      <c r="V220" s="97">
        <f t="shared" si="225"/>
        <v>74.431253234949935</v>
      </c>
      <c r="W220" s="97">
        <f t="shared" si="225"/>
        <v>71.58265155285153</v>
      </c>
      <c r="X220" s="97">
        <f t="shared" si="225"/>
        <v>52.74215827650314</v>
      </c>
      <c r="Y220" s="97">
        <f t="shared" si="225"/>
        <v>49.696883668728375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48.838316379958449</v>
      </c>
      <c r="C221" s="130">
        <f t="shared" si="226"/>
        <v>49.597529917189583</v>
      </c>
      <c r="D221" s="130">
        <f t="shared" si="226"/>
        <v>50.032137811082862</v>
      </c>
      <c r="E221" s="130">
        <f t="shared" si="226"/>
        <v>48.815988112755512</v>
      </c>
      <c r="F221" s="130">
        <f t="shared" si="226"/>
        <v>47.755077748705787</v>
      </c>
      <c r="G221" s="130">
        <f t="shared" si="226"/>
        <v>44.278679697817395</v>
      </c>
      <c r="H221" s="130">
        <f t="shared" si="226"/>
        <v>41.693015301110727</v>
      </c>
      <c r="I221" s="130">
        <f t="shared" si="226"/>
        <v>40.939446038867779</v>
      </c>
      <c r="J221" s="130">
        <f t="shared" si="226"/>
        <v>40.395176691389409</v>
      </c>
      <c r="K221" s="130">
        <f t="shared" si="226"/>
        <v>39.385025231042889</v>
      </c>
      <c r="L221" s="130">
        <f t="shared" si="226"/>
        <v>40.555249368551202</v>
      </c>
      <c r="M221" s="130">
        <f t="shared" si="226"/>
        <v>40.335249922595999</v>
      </c>
      <c r="N221" s="130">
        <f t="shared" si="226"/>
        <v>37.021797684622136</v>
      </c>
      <c r="O221" s="130">
        <f t="shared" si="226"/>
        <v>35.802441094080777</v>
      </c>
      <c r="P221" s="130">
        <f t="shared" si="226"/>
        <v>32.387017332696182</v>
      </c>
      <c r="Q221" s="130">
        <f t="shared" si="226"/>
        <v>34.285217438288164</v>
      </c>
      <c r="R221" s="130">
        <f t="shared" si="226"/>
        <v>29.126358712850934</v>
      </c>
      <c r="S221" s="130">
        <f t="shared" si="226"/>
        <v>32.720931612980465</v>
      </c>
      <c r="T221" s="130">
        <f t="shared" si="226"/>
        <v>31.706219448186619</v>
      </c>
      <c r="U221" s="130">
        <f t="shared" si="226"/>
        <v>32.288138518960345</v>
      </c>
      <c r="V221" s="130">
        <f t="shared" si="226"/>
        <v>38.812201538724956</v>
      </c>
      <c r="W221" s="130">
        <f t="shared" si="226"/>
        <v>36.047204711828229</v>
      </c>
      <c r="X221" s="130">
        <f t="shared" si="226"/>
        <v>26.279596447351121</v>
      </c>
      <c r="Y221" s="130">
        <f t="shared" si="226"/>
        <v>26.880350045667136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48.838316379958449</v>
      </c>
      <c r="C223" s="97">
        <f t="shared" si="228"/>
        <v>49.597529917189583</v>
      </c>
      <c r="D223" s="97">
        <f t="shared" si="228"/>
        <v>50.032137811082862</v>
      </c>
      <c r="E223" s="97">
        <f t="shared" si="228"/>
        <v>48.815988112755512</v>
      </c>
      <c r="F223" s="97">
        <f t="shared" si="228"/>
        <v>47.755077748705787</v>
      </c>
      <c r="G223" s="97">
        <f t="shared" si="228"/>
        <v>44.278679697817395</v>
      </c>
      <c r="H223" s="97">
        <f t="shared" si="228"/>
        <v>41.693015301110727</v>
      </c>
      <c r="I223" s="97">
        <f t="shared" si="228"/>
        <v>40.939446038867779</v>
      </c>
      <c r="J223" s="97">
        <f t="shared" si="228"/>
        <v>40.395176691389409</v>
      </c>
      <c r="K223" s="97">
        <f t="shared" si="228"/>
        <v>39.385025231042889</v>
      </c>
      <c r="L223" s="97">
        <f t="shared" si="228"/>
        <v>40.555249368551202</v>
      </c>
      <c r="M223" s="97">
        <f t="shared" si="228"/>
        <v>40.335249922595999</v>
      </c>
      <c r="N223" s="97">
        <f t="shared" si="228"/>
        <v>37.021797684622136</v>
      </c>
      <c r="O223" s="97">
        <f t="shared" si="228"/>
        <v>35.802441094080777</v>
      </c>
      <c r="P223" s="97">
        <f t="shared" si="228"/>
        <v>32.387017332696182</v>
      </c>
      <c r="Q223" s="97">
        <f t="shared" si="228"/>
        <v>34.285217438288164</v>
      </c>
      <c r="R223" s="97">
        <f t="shared" si="228"/>
        <v>29.126358712850934</v>
      </c>
      <c r="S223" s="97">
        <f t="shared" si="228"/>
        <v>32.720931612980465</v>
      </c>
      <c r="T223" s="97">
        <f t="shared" si="228"/>
        <v>31.706219448186619</v>
      </c>
      <c r="U223" s="97">
        <f t="shared" si="228"/>
        <v>32.288138518960345</v>
      </c>
      <c r="V223" s="97">
        <f t="shared" si="228"/>
        <v>38.812201538724956</v>
      </c>
      <c r="W223" s="97">
        <f t="shared" si="228"/>
        <v>36.047204711828229</v>
      </c>
      <c r="X223" s="97">
        <f t="shared" si="228"/>
        <v>26.279596447351121</v>
      </c>
      <c r="Y223" s="97">
        <f t="shared" si="228"/>
        <v>26.880350045667136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113.72835680532069</v>
      </c>
      <c r="C225" s="130">
        <f t="shared" si="230"/>
        <v>111.24836524099274</v>
      </c>
      <c r="D225" s="130">
        <f t="shared" si="230"/>
        <v>109.06448669803234</v>
      </c>
      <c r="E225" s="130">
        <f t="shared" si="230"/>
        <v>108.9003038993125</v>
      </c>
      <c r="F225" s="130">
        <f t="shared" si="230"/>
        <v>107.37015601122626</v>
      </c>
      <c r="G225" s="130">
        <f t="shared" si="230"/>
        <v>107.03365662953507</v>
      </c>
      <c r="H225" s="130">
        <f t="shared" si="230"/>
        <v>101.26650430159998</v>
      </c>
      <c r="I225" s="130">
        <f t="shared" si="230"/>
        <v>105.75918615097869</v>
      </c>
      <c r="J225" s="130">
        <f t="shared" si="230"/>
        <v>122.30995869518738</v>
      </c>
      <c r="K225" s="130">
        <f t="shared" si="230"/>
        <v>90.764911559613793</v>
      </c>
      <c r="L225" s="130">
        <f t="shared" si="230"/>
        <v>95.23328579640733</v>
      </c>
      <c r="M225" s="130">
        <f t="shared" si="230"/>
        <v>93.870991998586874</v>
      </c>
      <c r="N225" s="130">
        <f t="shared" si="230"/>
        <v>84.749258854435837</v>
      </c>
      <c r="O225" s="130">
        <f t="shared" si="230"/>
        <v>84.442629680487244</v>
      </c>
      <c r="P225" s="130">
        <f t="shared" si="230"/>
        <v>85.698819494750879</v>
      </c>
      <c r="Q225" s="130">
        <f t="shared" si="230"/>
        <v>81.823702142052625</v>
      </c>
      <c r="R225" s="130">
        <f t="shared" si="230"/>
        <v>86.199014245179058</v>
      </c>
      <c r="S225" s="130">
        <f t="shared" si="230"/>
        <v>86.005951489001262</v>
      </c>
      <c r="T225" s="130">
        <f t="shared" si="230"/>
        <v>83.614845952803933</v>
      </c>
      <c r="U225" s="130">
        <f t="shared" si="230"/>
        <v>79.109731445045441</v>
      </c>
      <c r="V225" s="130">
        <f t="shared" si="230"/>
        <v>119.62466060353123</v>
      </c>
      <c r="W225" s="130">
        <f t="shared" si="230"/>
        <v>96.60734124828474</v>
      </c>
      <c r="X225" s="130">
        <f t="shared" si="230"/>
        <v>70.137120013271655</v>
      </c>
      <c r="Y225" s="130">
        <f t="shared" si="230"/>
        <v>61.806595262744572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0</v>
      </c>
      <c r="C226" s="97">
        <f t="shared" si="231"/>
        <v>0</v>
      </c>
      <c r="D226" s="97">
        <f t="shared" si="231"/>
        <v>0</v>
      </c>
      <c r="E226" s="97">
        <f t="shared" si="231"/>
        <v>0</v>
      </c>
      <c r="F226" s="97">
        <f t="shared" si="231"/>
        <v>0</v>
      </c>
      <c r="G226" s="97">
        <f t="shared" si="231"/>
        <v>0</v>
      </c>
      <c r="H226" s="97">
        <f t="shared" si="231"/>
        <v>0</v>
      </c>
      <c r="I226" s="97">
        <f t="shared" si="231"/>
        <v>0</v>
      </c>
      <c r="J226" s="97">
        <f t="shared" si="231"/>
        <v>0</v>
      </c>
      <c r="K226" s="97">
        <f t="shared" si="231"/>
        <v>0</v>
      </c>
      <c r="L226" s="97">
        <f t="shared" si="231"/>
        <v>0</v>
      </c>
      <c r="M226" s="97">
        <f t="shared" si="231"/>
        <v>0</v>
      </c>
      <c r="N226" s="97">
        <f t="shared" si="231"/>
        <v>0</v>
      </c>
      <c r="O226" s="97">
        <f t="shared" si="231"/>
        <v>0</v>
      </c>
      <c r="P226" s="97">
        <f t="shared" si="231"/>
        <v>0</v>
      </c>
      <c r="Q226" s="97">
        <f t="shared" si="231"/>
        <v>0</v>
      </c>
      <c r="R226" s="97">
        <f t="shared" si="231"/>
        <v>0</v>
      </c>
      <c r="S226" s="97">
        <f t="shared" si="231"/>
        <v>0</v>
      </c>
      <c r="T226" s="97">
        <f t="shared" si="231"/>
        <v>0</v>
      </c>
      <c r="U226" s="97">
        <f t="shared" si="231"/>
        <v>0</v>
      </c>
      <c r="V226" s="97">
        <f t="shared" si="231"/>
        <v>0</v>
      </c>
      <c r="W226" s="97">
        <f t="shared" si="231"/>
        <v>0</v>
      </c>
      <c r="X226" s="97">
        <f t="shared" si="231"/>
        <v>0</v>
      </c>
      <c r="Y226" s="97">
        <f t="shared" si="231"/>
        <v>0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129.92537428320273</v>
      </c>
      <c r="C227" s="97">
        <f t="shared" si="232"/>
        <v>126.1695504513615</v>
      </c>
      <c r="D227" s="97">
        <f t="shared" si="232"/>
        <v>122.81953832881916</v>
      </c>
      <c r="E227" s="97">
        <f t="shared" si="232"/>
        <v>121.90225122563857</v>
      </c>
      <c r="F227" s="97">
        <f t="shared" si="232"/>
        <v>119.99568715912807</v>
      </c>
      <c r="G227" s="97">
        <f t="shared" si="232"/>
        <v>117.43089501831517</v>
      </c>
      <c r="H227" s="97">
        <f t="shared" si="232"/>
        <v>111.56801431093201</v>
      </c>
      <c r="I227" s="97">
        <f t="shared" si="232"/>
        <v>120.50960718125188</v>
      </c>
      <c r="J227" s="97">
        <f t="shared" si="232"/>
        <v>131.67646098944044</v>
      </c>
      <c r="K227" s="97">
        <f t="shared" si="232"/>
        <v>98.578810239572249</v>
      </c>
      <c r="L227" s="97">
        <f t="shared" si="232"/>
        <v>97.151125024629053</v>
      </c>
      <c r="M227" s="97">
        <f t="shared" si="232"/>
        <v>90.89091644640429</v>
      </c>
      <c r="N227" s="97">
        <f t="shared" si="232"/>
        <v>83.649767896637798</v>
      </c>
      <c r="O227" s="97">
        <f t="shared" si="232"/>
        <v>86.395503725653327</v>
      </c>
      <c r="P227" s="97">
        <f t="shared" si="232"/>
        <v>90.536786707914985</v>
      </c>
      <c r="Q227" s="97">
        <f t="shared" si="232"/>
        <v>86.520719371138384</v>
      </c>
      <c r="R227" s="97">
        <f t="shared" si="232"/>
        <v>91.50002884448962</v>
      </c>
      <c r="S227" s="97">
        <f t="shared" si="232"/>
        <v>94.906093677713741</v>
      </c>
      <c r="T227" s="97">
        <f t="shared" si="232"/>
        <v>97.672262035893695</v>
      </c>
      <c r="U227" s="97">
        <f t="shared" si="232"/>
        <v>96.644262913773176</v>
      </c>
      <c r="V227" s="97">
        <f t="shared" si="232"/>
        <v>129.92906041687525</v>
      </c>
      <c r="W227" s="97">
        <f t="shared" si="232"/>
        <v>118.57217301227126</v>
      </c>
      <c r="X227" s="97">
        <f t="shared" si="232"/>
        <v>86.41556185539747</v>
      </c>
      <c r="Y227" s="97">
        <f t="shared" si="232"/>
        <v>77.621405209021333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67.208966683855834</v>
      </c>
      <c r="C228" s="97">
        <f t="shared" si="233"/>
        <v>67.161908047673307</v>
      </c>
      <c r="D228" s="97">
        <f t="shared" si="233"/>
        <v>67.254926202253301</v>
      </c>
      <c r="E228" s="97">
        <f t="shared" si="233"/>
        <v>68.379189182959877</v>
      </c>
      <c r="F228" s="97">
        <f t="shared" si="233"/>
        <v>67.769221460663061</v>
      </c>
      <c r="G228" s="97">
        <f t="shared" si="233"/>
        <v>67.74603871741499</v>
      </c>
      <c r="H228" s="97">
        <f t="shared" si="233"/>
        <v>61.453943718776735</v>
      </c>
      <c r="I228" s="97">
        <f t="shared" si="233"/>
        <v>56.320324730008721</v>
      </c>
      <c r="J228" s="97">
        <f t="shared" si="233"/>
        <v>81.107454574901865</v>
      </c>
      <c r="K228" s="97">
        <f t="shared" si="233"/>
        <v>61.160990506502927</v>
      </c>
      <c r="L228" s="97">
        <f t="shared" si="233"/>
        <v>83.92073270069379</v>
      </c>
      <c r="M228" s="97">
        <f t="shared" si="233"/>
        <v>122.71258026757478</v>
      </c>
      <c r="N228" s="97">
        <f t="shared" si="233"/>
        <v>94.723639450377178</v>
      </c>
      <c r="O228" s="97">
        <f t="shared" si="233"/>
        <v>71.197868291871671</v>
      </c>
      <c r="P228" s="97">
        <f t="shared" si="233"/>
        <v>59.411750797407819</v>
      </c>
      <c r="Q228" s="97">
        <f t="shared" si="233"/>
        <v>55.507035575239762</v>
      </c>
      <c r="R228" s="97">
        <f t="shared" si="233"/>
        <v>54.973757718137314</v>
      </c>
      <c r="S228" s="97">
        <f t="shared" si="233"/>
        <v>44.229618285201752</v>
      </c>
      <c r="T228" s="97">
        <f t="shared" si="233"/>
        <v>33.212656822547459</v>
      </c>
      <c r="U228" s="97">
        <f t="shared" si="233"/>
        <v>27.527347655749232</v>
      </c>
      <c r="V228" s="97">
        <f t="shared" si="233"/>
        <v>76.842169640778195</v>
      </c>
      <c r="W228" s="97">
        <f t="shared" si="233"/>
        <v>38.969165730086182</v>
      </c>
      <c r="X228" s="97">
        <f t="shared" si="233"/>
        <v>22.688400508724804</v>
      </c>
      <c r="Y228" s="97">
        <f t="shared" si="233"/>
        <v>20.380236897464243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70.55539430389338</v>
      </c>
      <c r="C229" s="32">
        <f t="shared" si="234"/>
        <v>93.899293799480162</v>
      </c>
      <c r="D229" s="32">
        <f t="shared" si="234"/>
        <v>80.908735947117208</v>
      </c>
      <c r="E229" s="32">
        <f t="shared" si="234"/>
        <v>61.901333723661558</v>
      </c>
      <c r="F229" s="32">
        <f t="shared" si="234"/>
        <v>67.573873993673132</v>
      </c>
      <c r="G229" s="32">
        <f t="shared" si="234"/>
        <v>61.691749854748842</v>
      </c>
      <c r="H229" s="32">
        <f t="shared" si="234"/>
        <v>55.657913256016897</v>
      </c>
      <c r="I229" s="32">
        <f t="shared" si="234"/>
        <v>70.546563007455646</v>
      </c>
      <c r="J229" s="32">
        <f t="shared" si="234"/>
        <v>73.889823669610408</v>
      </c>
      <c r="K229" s="32">
        <f t="shared" si="234"/>
        <v>53.643234980173645</v>
      </c>
      <c r="L229" s="32">
        <f t="shared" si="234"/>
        <v>57.69134150985024</v>
      </c>
      <c r="M229" s="32">
        <f t="shared" si="234"/>
        <v>60.787678702614237</v>
      </c>
      <c r="N229" s="32">
        <f t="shared" si="234"/>
        <v>47.33857193302137</v>
      </c>
      <c r="O229" s="32">
        <f t="shared" si="234"/>
        <v>51.777785614601669</v>
      </c>
      <c r="P229" s="32">
        <f t="shared" si="234"/>
        <v>74.326138148798151</v>
      </c>
      <c r="Q229" s="32">
        <f t="shared" si="234"/>
        <v>77.746429872770463</v>
      </c>
      <c r="R229" s="32">
        <f t="shared" si="234"/>
        <v>75.34001159023083</v>
      </c>
      <c r="S229" s="32">
        <f t="shared" si="234"/>
        <v>71.961408065752423</v>
      </c>
      <c r="T229" s="32">
        <f t="shared" si="234"/>
        <v>72.013576940107086</v>
      </c>
      <c r="U229" s="32">
        <f t="shared" si="234"/>
        <v>77.417839002920587</v>
      </c>
      <c r="V229" s="32">
        <f t="shared" si="234"/>
        <v>79.011054301512189</v>
      </c>
      <c r="W229" s="32">
        <f t="shared" si="234"/>
        <v>84.707253118615284</v>
      </c>
      <c r="X229" s="32">
        <f t="shared" si="234"/>
        <v>112.58528658112101</v>
      </c>
      <c r="Y229" s="32">
        <f t="shared" si="234"/>
        <v>111.57308398181274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210.18665769748682</v>
      </c>
      <c r="C230" s="141">
        <f t="shared" si="235"/>
        <v>265.66209158972401</v>
      </c>
      <c r="D230" s="141">
        <f t="shared" si="235"/>
        <v>260.33966071790854</v>
      </c>
      <c r="E230" s="141">
        <f t="shared" si="235"/>
        <v>190.76795548157224</v>
      </c>
      <c r="F230" s="141">
        <f t="shared" si="235"/>
        <v>197.54196315915365</v>
      </c>
      <c r="G230" s="141">
        <f t="shared" si="235"/>
        <v>184.84848381780631</v>
      </c>
      <c r="H230" s="141">
        <f t="shared" si="235"/>
        <v>151.9002859990849</v>
      </c>
      <c r="I230" s="141">
        <f t="shared" si="235"/>
        <v>203.28289886447681</v>
      </c>
      <c r="J230" s="141">
        <f t="shared" si="235"/>
        <v>228.89003564972359</v>
      </c>
      <c r="K230" s="141">
        <f t="shared" si="235"/>
        <v>143.80982574478929</v>
      </c>
      <c r="L230" s="141">
        <f t="shared" si="235"/>
        <v>172.23074255466685</v>
      </c>
      <c r="M230" s="141">
        <f t="shared" si="235"/>
        <v>193.21764475851586</v>
      </c>
      <c r="N230" s="141">
        <f t="shared" si="235"/>
        <v>128.74604967441817</v>
      </c>
      <c r="O230" s="141">
        <f t="shared" si="235"/>
        <v>129.43924288427564</v>
      </c>
      <c r="P230" s="141">
        <f t="shared" si="235"/>
        <v>205.64750408397182</v>
      </c>
      <c r="Q230" s="141">
        <f t="shared" si="235"/>
        <v>204.34512698286289</v>
      </c>
      <c r="R230" s="141">
        <f t="shared" si="235"/>
        <v>192.65522338491462</v>
      </c>
      <c r="S230" s="141">
        <f t="shared" si="235"/>
        <v>192.67923903164817</v>
      </c>
      <c r="T230" s="141">
        <f t="shared" si="235"/>
        <v>199.18755012777368</v>
      </c>
      <c r="U230" s="141">
        <f t="shared" si="235"/>
        <v>214.08919010012536</v>
      </c>
      <c r="V230" s="141">
        <f t="shared" si="235"/>
        <v>202.91981664530164</v>
      </c>
      <c r="W230" s="141">
        <f t="shared" si="235"/>
        <v>206.88960384794697</v>
      </c>
      <c r="X230" s="141">
        <f t="shared" si="235"/>
        <v>199.90078446745986</v>
      </c>
      <c r="Y230" s="141">
        <f t="shared" si="235"/>
        <v>174.66664710491119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2672.9506624010774</v>
      </c>
      <c r="C231" s="97">
        <f t="shared" si="236"/>
        <v>2596.9356206521534</v>
      </c>
      <c r="D231" s="97">
        <f t="shared" si="236"/>
        <v>2398.9241622417162</v>
      </c>
      <c r="E231" s="97">
        <f t="shared" si="236"/>
        <v>2279.0224450961587</v>
      </c>
      <c r="F231" s="97">
        <f t="shared" si="236"/>
        <v>2253.2904454000927</v>
      </c>
      <c r="G231" s="97">
        <f t="shared" si="236"/>
        <v>2132.697155057208</v>
      </c>
      <c r="H231" s="97">
        <f t="shared" si="236"/>
        <v>1995.0213670253602</v>
      </c>
      <c r="I231" s="97">
        <f t="shared" si="236"/>
        <v>1974.314042020002</v>
      </c>
      <c r="J231" s="97">
        <f t="shared" si="236"/>
        <v>1898.718190940041</v>
      </c>
      <c r="K231" s="97">
        <f t="shared" si="236"/>
        <v>1763.9376646431083</v>
      </c>
      <c r="L231" s="97">
        <f t="shared" si="236"/>
        <v>1835.4801944133073</v>
      </c>
      <c r="M231" s="97">
        <f t="shared" si="236"/>
        <v>1823.3993981473805</v>
      </c>
      <c r="N231" s="97">
        <f t="shared" si="236"/>
        <v>1776.6876736323495</v>
      </c>
      <c r="O231" s="97">
        <f t="shared" si="236"/>
        <v>1771.8065693746155</v>
      </c>
      <c r="P231" s="97">
        <f t="shared" si="236"/>
        <v>1830.2298777472515</v>
      </c>
      <c r="Q231" s="97">
        <f t="shared" si="236"/>
        <v>1849.5605227926342</v>
      </c>
      <c r="R231" s="97">
        <f t="shared" si="236"/>
        <v>1888.2290074991754</v>
      </c>
      <c r="S231" s="97">
        <f t="shared" si="236"/>
        <v>1920.5315590952662</v>
      </c>
      <c r="T231" s="97">
        <f t="shared" si="236"/>
        <v>1923.1823157000258</v>
      </c>
      <c r="U231" s="97">
        <f t="shared" si="236"/>
        <v>1929.3150142849861</v>
      </c>
      <c r="V231" s="97">
        <f t="shared" si="236"/>
        <v>1897.7329246749423</v>
      </c>
      <c r="W231" s="97">
        <f t="shared" si="236"/>
        <v>1863.0364720738351</v>
      </c>
      <c r="X231" s="97">
        <f t="shared" si="236"/>
        <v>1874.5056467926563</v>
      </c>
      <c r="Y231" s="97">
        <f t="shared" si="236"/>
        <v>1841.0476340895709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180.04095746131762</v>
      </c>
      <c r="C232" s="97">
        <f t="shared" si="237"/>
        <v>237.188188298309</v>
      </c>
      <c r="D232" s="97">
        <f t="shared" si="237"/>
        <v>232.76962540409534</v>
      </c>
      <c r="E232" s="97">
        <f t="shared" si="237"/>
        <v>165.34495735831055</v>
      </c>
      <c r="F232" s="97">
        <f t="shared" si="237"/>
        <v>174.20563503867527</v>
      </c>
      <c r="G232" s="97">
        <f t="shared" si="237"/>
        <v>160.36484468099627</v>
      </c>
      <c r="H232" s="97">
        <f t="shared" si="237"/>
        <v>126.86513752753234</v>
      </c>
      <c r="I232" s="97">
        <f t="shared" si="237"/>
        <v>179.33241514024562</v>
      </c>
      <c r="J232" s="97">
        <f t="shared" si="237"/>
        <v>203.13865713405593</v>
      </c>
      <c r="K232" s="97">
        <f t="shared" si="237"/>
        <v>113.45596924649885</v>
      </c>
      <c r="L232" s="97">
        <f t="shared" si="237"/>
        <v>143.9055071243842</v>
      </c>
      <c r="M232" s="97">
        <f t="shared" si="237"/>
        <v>164.54707592344081</v>
      </c>
      <c r="N232" s="97">
        <f t="shared" si="237"/>
        <v>99.742313748430405</v>
      </c>
      <c r="O232" s="97">
        <f t="shared" si="237"/>
        <v>102.38786831963911</v>
      </c>
      <c r="P232" s="97">
        <f t="shared" si="237"/>
        <v>176.51587698733763</v>
      </c>
      <c r="Q232" s="97">
        <f t="shared" si="237"/>
        <v>176.0738444192267</v>
      </c>
      <c r="R232" s="97">
        <f t="shared" si="237"/>
        <v>162.65271942323329</v>
      </c>
      <c r="S232" s="97">
        <f t="shared" si="237"/>
        <v>163.19377167806681</v>
      </c>
      <c r="T232" s="97">
        <f t="shared" si="237"/>
        <v>170.29533994119001</v>
      </c>
      <c r="U232" s="97">
        <f t="shared" si="237"/>
        <v>183.47265736296814</v>
      </c>
      <c r="V232" s="97">
        <f t="shared" si="237"/>
        <v>174.58342158389735</v>
      </c>
      <c r="W232" s="97">
        <f t="shared" si="237"/>
        <v>178.29750315817228</v>
      </c>
      <c r="X232" s="97">
        <f t="shared" si="237"/>
        <v>171.75071916563118</v>
      </c>
      <c r="Y232" s="97">
        <f t="shared" si="237"/>
        <v>150.05467190851903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21.536169519157362</v>
      </c>
      <c r="C233" s="130">
        <f t="shared" si="238"/>
        <v>21.974484107239114</v>
      </c>
      <c r="D233" s="130">
        <f t="shared" si="238"/>
        <v>18.87005870483063</v>
      </c>
      <c r="E233" s="130">
        <f t="shared" si="238"/>
        <v>18.357445947044564</v>
      </c>
      <c r="F233" s="130">
        <f t="shared" si="238"/>
        <v>17.7912349814879</v>
      </c>
      <c r="G233" s="130">
        <f t="shared" si="238"/>
        <v>17.581418862054356</v>
      </c>
      <c r="H233" s="130">
        <f t="shared" si="238"/>
        <v>16.340418965516616</v>
      </c>
      <c r="I233" s="130">
        <f t="shared" si="238"/>
        <v>15.28671538818886</v>
      </c>
      <c r="J233" s="130">
        <f t="shared" si="238"/>
        <v>15.090630936643713</v>
      </c>
      <c r="K233" s="130">
        <f t="shared" si="238"/>
        <v>14.268623019147803</v>
      </c>
      <c r="L233" s="130">
        <f t="shared" si="238"/>
        <v>13.282863047730887</v>
      </c>
      <c r="M233" s="130">
        <f t="shared" si="238"/>
        <v>12.183885570706632</v>
      </c>
      <c r="N233" s="130">
        <f t="shared" si="238"/>
        <v>11.659593203759179</v>
      </c>
      <c r="O233" s="130">
        <f t="shared" si="238"/>
        <v>11.451788778165884</v>
      </c>
      <c r="P233" s="130">
        <f t="shared" si="238"/>
        <v>11.211594791372898</v>
      </c>
      <c r="Q233" s="130">
        <f t="shared" si="238"/>
        <v>10.673527522881772</v>
      </c>
      <c r="R233" s="130">
        <f t="shared" si="238"/>
        <v>10.693613798433773</v>
      </c>
      <c r="S233" s="130">
        <f t="shared" si="238"/>
        <v>10.210309486305384</v>
      </c>
      <c r="T233" s="130">
        <f t="shared" si="238"/>
        <v>10.564339321015215</v>
      </c>
      <c r="U233" s="130">
        <f t="shared" si="238"/>
        <v>9.9021243082438186</v>
      </c>
      <c r="V233" s="130">
        <f t="shared" si="238"/>
        <v>9.7818062928031662</v>
      </c>
      <c r="W233" s="130">
        <f t="shared" si="238"/>
        <v>9.9205338986478999</v>
      </c>
      <c r="X233" s="130">
        <f t="shared" si="238"/>
        <v>10.107026369777881</v>
      </c>
      <c r="Y233" s="130">
        <f t="shared" si="238"/>
        <v>12.042000257190185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302.05489048413182</v>
      </c>
      <c r="C234" s="130">
        <f t="shared" si="239"/>
        <v>287.42910922205215</v>
      </c>
      <c r="D234" s="130">
        <f t="shared" si="239"/>
        <v>305.64409088838363</v>
      </c>
      <c r="E234" s="130">
        <f t="shared" si="239"/>
        <v>287.50823100271595</v>
      </c>
      <c r="F234" s="130">
        <f t="shared" si="239"/>
        <v>307.01472254469286</v>
      </c>
      <c r="G234" s="130">
        <f t="shared" si="239"/>
        <v>306.96138031185563</v>
      </c>
      <c r="H234" s="130">
        <f t="shared" si="239"/>
        <v>322.80903129727619</v>
      </c>
      <c r="I234" s="130">
        <f t="shared" si="239"/>
        <v>315.55393096453662</v>
      </c>
      <c r="J234" s="130">
        <f t="shared" si="239"/>
        <v>461.72128831076935</v>
      </c>
      <c r="K234" s="130">
        <f t="shared" si="239"/>
        <v>362.50033338442853</v>
      </c>
      <c r="L234" s="130">
        <f t="shared" si="239"/>
        <v>322.37842137070629</v>
      </c>
      <c r="M234" s="130">
        <f t="shared" si="239"/>
        <v>306.90987130684738</v>
      </c>
      <c r="N234" s="130">
        <f t="shared" si="239"/>
        <v>131.5588076991495</v>
      </c>
      <c r="O234" s="130">
        <f t="shared" si="239"/>
        <v>203.7425640178368</v>
      </c>
      <c r="P234" s="130">
        <f t="shared" si="239"/>
        <v>201.55278581158927</v>
      </c>
      <c r="Q234" s="130">
        <f t="shared" si="239"/>
        <v>196.9434638520865</v>
      </c>
      <c r="R234" s="130">
        <f t="shared" si="239"/>
        <v>215.36327730665172</v>
      </c>
      <c r="S234" s="130">
        <f t="shared" si="239"/>
        <v>278.0706294924172</v>
      </c>
      <c r="T234" s="130">
        <f t="shared" si="239"/>
        <v>251.55098155533551</v>
      </c>
      <c r="U234" s="130">
        <f t="shared" si="239"/>
        <v>215.13949262620443</v>
      </c>
      <c r="V234" s="130">
        <f t="shared" si="239"/>
        <v>360.69126514767453</v>
      </c>
      <c r="W234" s="130">
        <f t="shared" si="239"/>
        <v>324.31692951973503</v>
      </c>
      <c r="X234" s="130">
        <f t="shared" si="239"/>
        <v>211.24614788707115</v>
      </c>
      <c r="Y234" s="130">
        <f t="shared" si="239"/>
        <v>197.69706326331846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0</v>
      </c>
      <c r="C235" s="97">
        <f t="shared" si="240"/>
        <v>0</v>
      </c>
      <c r="D235" s="97">
        <f t="shared" si="240"/>
        <v>0</v>
      </c>
      <c r="E235" s="97">
        <f t="shared" si="240"/>
        <v>0</v>
      </c>
      <c r="F235" s="97">
        <f t="shared" si="240"/>
        <v>0</v>
      </c>
      <c r="G235" s="97">
        <f t="shared" si="240"/>
        <v>0</v>
      </c>
      <c r="H235" s="97">
        <f t="shared" si="240"/>
        <v>0</v>
      </c>
      <c r="I235" s="97">
        <f t="shared" si="240"/>
        <v>0</v>
      </c>
      <c r="J235" s="97">
        <f t="shared" si="240"/>
        <v>0</v>
      </c>
      <c r="K235" s="97">
        <f t="shared" si="240"/>
        <v>0</v>
      </c>
      <c r="L235" s="97">
        <f t="shared" si="240"/>
        <v>0</v>
      </c>
      <c r="M235" s="97">
        <f t="shared" si="240"/>
        <v>0</v>
      </c>
      <c r="N235" s="97">
        <f t="shared" si="240"/>
        <v>0</v>
      </c>
      <c r="O235" s="97">
        <f t="shared" si="240"/>
        <v>0</v>
      </c>
      <c r="P235" s="97">
        <f t="shared" si="240"/>
        <v>0</v>
      </c>
      <c r="Q235" s="97">
        <f t="shared" si="240"/>
        <v>0</v>
      </c>
      <c r="R235" s="97">
        <f t="shared" si="240"/>
        <v>0</v>
      </c>
      <c r="S235" s="97">
        <f t="shared" si="240"/>
        <v>0</v>
      </c>
      <c r="T235" s="97">
        <f t="shared" si="240"/>
        <v>0</v>
      </c>
      <c r="U235" s="97">
        <f t="shared" si="240"/>
        <v>0</v>
      </c>
      <c r="V235" s="97">
        <f t="shared" si="240"/>
        <v>0</v>
      </c>
      <c r="W235" s="97">
        <f t="shared" si="240"/>
        <v>0</v>
      </c>
      <c r="X235" s="97">
        <f t="shared" si="240"/>
        <v>0</v>
      </c>
      <c r="Y235" s="97">
        <f t="shared" si="240"/>
        <v>0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331.0435939964359</v>
      </c>
      <c r="C236" s="97">
        <f t="shared" si="241"/>
        <v>314.19857602336219</v>
      </c>
      <c r="D236" s="97">
        <f t="shared" si="241"/>
        <v>334.97978979514539</v>
      </c>
      <c r="E236" s="97">
        <f t="shared" si="241"/>
        <v>331.22189307315313</v>
      </c>
      <c r="F236" s="97">
        <f t="shared" si="241"/>
        <v>364.93298097501537</v>
      </c>
      <c r="G236" s="97">
        <f t="shared" si="241"/>
        <v>367.71401548562983</v>
      </c>
      <c r="H236" s="97">
        <f t="shared" si="241"/>
        <v>463.81229041846677</v>
      </c>
      <c r="I236" s="97">
        <f t="shared" si="241"/>
        <v>512.86400653883061</v>
      </c>
      <c r="J236" s="97">
        <f t="shared" si="241"/>
        <v>590.77850881537199</v>
      </c>
      <c r="K236" s="97">
        <f t="shared" si="241"/>
        <v>384.38245435493189</v>
      </c>
      <c r="L236" s="97">
        <f t="shared" si="241"/>
        <v>339.86063587885695</v>
      </c>
      <c r="M236" s="97">
        <f t="shared" si="241"/>
        <v>330.26709476258469</v>
      </c>
      <c r="N236" s="97">
        <f t="shared" si="241"/>
        <v>309.41923365544869</v>
      </c>
      <c r="O236" s="97">
        <f t="shared" si="241"/>
        <v>329.73795228687732</v>
      </c>
      <c r="P236" s="97">
        <f t="shared" si="241"/>
        <v>273.68879685654326</v>
      </c>
      <c r="Q236" s="97">
        <f t="shared" si="241"/>
        <v>265.10848612108276</v>
      </c>
      <c r="R236" s="97">
        <f t="shared" si="241"/>
        <v>275.10374965334898</v>
      </c>
      <c r="S236" s="97">
        <f t="shared" si="241"/>
        <v>319.96057512557252</v>
      </c>
      <c r="T236" s="97">
        <f t="shared" si="241"/>
        <v>319.12212098590209</v>
      </c>
      <c r="U236" s="97">
        <f t="shared" si="241"/>
        <v>301.06788977079719</v>
      </c>
      <c r="V236" s="97">
        <f t="shared" si="241"/>
        <v>516.5028079657958</v>
      </c>
      <c r="W236" s="97">
        <f t="shared" si="241"/>
        <v>473.85351867887891</v>
      </c>
      <c r="X236" s="97">
        <f t="shared" si="241"/>
        <v>345.84183610559609</v>
      </c>
      <c r="Y236" s="97">
        <f t="shared" si="241"/>
        <v>310.84754765033676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55.181901783242466</v>
      </c>
      <c r="C237" s="97">
        <f t="shared" si="242"/>
        <v>52.853577915088195</v>
      </c>
      <c r="D237" s="97">
        <f t="shared" si="242"/>
        <v>55.834009946387468</v>
      </c>
      <c r="E237" s="97">
        <f t="shared" si="242"/>
        <v>61.966796538509598</v>
      </c>
      <c r="F237" s="97">
        <f t="shared" si="242"/>
        <v>63.767493974798469</v>
      </c>
      <c r="G237" s="97">
        <f t="shared" si="242"/>
        <v>68.738826077425585</v>
      </c>
      <c r="H237" s="97">
        <f t="shared" si="242"/>
        <v>66.19286878162373</v>
      </c>
      <c r="I237" s="97">
        <f t="shared" si="242"/>
        <v>75.383695989362792</v>
      </c>
      <c r="J237" s="97">
        <f t="shared" si="242"/>
        <v>113.55375729416096</v>
      </c>
      <c r="K237" s="97">
        <f t="shared" si="242"/>
        <v>88.523881782819046</v>
      </c>
      <c r="L237" s="97">
        <f t="shared" si="242"/>
        <v>109.17024059044672</v>
      </c>
      <c r="M237" s="97">
        <f t="shared" si="242"/>
        <v>126.30850733559451</v>
      </c>
      <c r="N237" s="97">
        <f t="shared" si="242"/>
        <v>84.966519587342404</v>
      </c>
      <c r="O237" s="97">
        <f t="shared" si="242"/>
        <v>84.92002647001064</v>
      </c>
      <c r="P237" s="97">
        <f t="shared" si="242"/>
        <v>64.733762070786881</v>
      </c>
      <c r="Q237" s="97">
        <f t="shared" si="242"/>
        <v>57.732487529974826</v>
      </c>
      <c r="R237" s="97">
        <f t="shared" si="242"/>
        <v>52.173631398187105</v>
      </c>
      <c r="S237" s="97">
        <f t="shared" si="242"/>
        <v>49.597360775356854</v>
      </c>
      <c r="T237" s="97">
        <f t="shared" si="242"/>
        <v>41.587457594584045</v>
      </c>
      <c r="U237" s="97">
        <f t="shared" si="242"/>
        <v>31.761519437931312</v>
      </c>
      <c r="V237" s="97">
        <f t="shared" si="242"/>
        <v>74.119053285858229</v>
      </c>
      <c r="W237" s="97">
        <f t="shared" si="242"/>
        <v>59.685501955386513</v>
      </c>
      <c r="X237" s="97">
        <f t="shared" si="242"/>
        <v>40.454253335869296</v>
      </c>
      <c r="Y237" s="97">
        <f t="shared" si="242"/>
        <v>42.349576521618452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41.482962312857623</v>
      </c>
      <c r="C238" s="130">
        <f t="shared" si="243"/>
        <v>58.377688536726403</v>
      </c>
      <c r="D238" s="130">
        <f t="shared" si="243"/>
        <v>77.846216202941974</v>
      </c>
      <c r="E238" s="130">
        <f t="shared" si="243"/>
        <v>77.7744981114392</v>
      </c>
      <c r="F238" s="130">
        <f t="shared" si="243"/>
        <v>117.15459095881499</v>
      </c>
      <c r="G238" s="130">
        <f t="shared" si="243"/>
        <v>98.849601672389724</v>
      </c>
      <c r="H238" s="130">
        <f t="shared" si="243"/>
        <v>120.6315465012073</v>
      </c>
      <c r="I238" s="130">
        <f t="shared" si="243"/>
        <v>99.756296393541021</v>
      </c>
      <c r="J238" s="130">
        <f t="shared" si="243"/>
        <v>118.21872772845694</v>
      </c>
      <c r="K238" s="130">
        <f t="shared" si="243"/>
        <v>104.3111848762567</v>
      </c>
      <c r="L238" s="130">
        <f t="shared" si="243"/>
        <v>125.17377060753832</v>
      </c>
      <c r="M238" s="130">
        <f t="shared" si="243"/>
        <v>93.891420905533806</v>
      </c>
      <c r="N238" s="130">
        <f t="shared" si="243"/>
        <v>98.374430922877764</v>
      </c>
      <c r="O238" s="130">
        <f t="shared" si="243"/>
        <v>101.83939371118956</v>
      </c>
      <c r="P238" s="130">
        <f t="shared" si="243"/>
        <v>98.828330845694111</v>
      </c>
      <c r="Q238" s="130">
        <f t="shared" si="243"/>
        <v>94.186141554813474</v>
      </c>
      <c r="R238" s="130">
        <f t="shared" si="243"/>
        <v>95.092143450629877</v>
      </c>
      <c r="S238" s="130">
        <f t="shared" si="243"/>
        <v>94.814767883502242</v>
      </c>
      <c r="T238" s="130">
        <f t="shared" si="243"/>
        <v>94.438893064571246</v>
      </c>
      <c r="U238" s="130">
        <f t="shared" si="243"/>
        <v>94.782167355371882</v>
      </c>
      <c r="V238" s="130">
        <f t="shared" si="243"/>
        <v>97.17229305360533</v>
      </c>
      <c r="W238" s="130">
        <f t="shared" si="243"/>
        <v>94.948128388104493</v>
      </c>
      <c r="X238" s="130">
        <f t="shared" si="243"/>
        <v>89.215372500746739</v>
      </c>
      <c r="Y238" s="130">
        <f t="shared" si="243"/>
        <v>85.144559719797329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41.601157408221852</v>
      </c>
      <c r="C239" s="97">
        <f t="shared" si="244"/>
        <v>58.42479534899558</v>
      </c>
      <c r="D239" s="97">
        <f t="shared" si="244"/>
        <v>77.829166312765906</v>
      </c>
      <c r="E239" s="97">
        <f t="shared" si="244"/>
        <v>77.812244459932089</v>
      </c>
      <c r="F239" s="97">
        <f t="shared" si="244"/>
        <v>116.90667879397462</v>
      </c>
      <c r="G239" s="97">
        <f t="shared" si="244"/>
        <v>98.794096293856697</v>
      </c>
      <c r="H239" s="97">
        <f t="shared" si="244"/>
        <v>120.08630491624807</v>
      </c>
      <c r="I239" s="97">
        <f t="shared" si="244"/>
        <v>97.599637482497627</v>
      </c>
      <c r="J239" s="97">
        <f t="shared" si="244"/>
        <v>114.11873737865709</v>
      </c>
      <c r="K239" s="97">
        <f t="shared" si="244"/>
        <v>103.91756770216443</v>
      </c>
      <c r="L239" s="97">
        <f t="shared" si="244"/>
        <v>124.803845462224</v>
      </c>
      <c r="M239" s="97">
        <f t="shared" si="244"/>
        <v>93.944228964584042</v>
      </c>
      <c r="N239" s="97">
        <f t="shared" si="244"/>
        <v>98.370887007670191</v>
      </c>
      <c r="O239" s="97">
        <f t="shared" si="244"/>
        <v>101.83939371118956</v>
      </c>
      <c r="P239" s="97">
        <f t="shared" si="244"/>
        <v>98.828330845694111</v>
      </c>
      <c r="Q239" s="97">
        <f t="shared" si="244"/>
        <v>94.186141554813474</v>
      </c>
      <c r="R239" s="97">
        <f t="shared" si="244"/>
        <v>95.092143450629877</v>
      </c>
      <c r="S239" s="97">
        <f t="shared" si="244"/>
        <v>94.814767883502242</v>
      </c>
      <c r="T239" s="97">
        <f t="shared" si="244"/>
        <v>94.438893064571246</v>
      </c>
      <c r="U239" s="97">
        <f t="shared" si="244"/>
        <v>94.782167355371882</v>
      </c>
      <c r="V239" s="97">
        <f t="shared" si="244"/>
        <v>97.177916413866626</v>
      </c>
      <c r="W239" s="97">
        <f t="shared" si="244"/>
        <v>96.511066504843811</v>
      </c>
      <c r="X239" s="97">
        <f t="shared" si="244"/>
        <v>94.574142308940921</v>
      </c>
      <c r="Y239" s="97">
        <f t="shared" si="244"/>
        <v>93.291486677792591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23.337274603350561</v>
      </c>
      <c r="C240" s="98">
        <f t="shared" si="245"/>
        <v>44.097094807572311</v>
      </c>
      <c r="D240" s="98">
        <f t="shared" si="245"/>
        <v>83.221698956336851</v>
      </c>
      <c r="E240" s="98">
        <f t="shared" si="245"/>
        <v>68.560973068679814</v>
      </c>
      <c r="F240" s="98">
        <f t="shared" si="245"/>
        <v>170.91719828766904</v>
      </c>
      <c r="G240" s="98">
        <f t="shared" si="245"/>
        <v>105.51414471052028</v>
      </c>
      <c r="H240" s="98">
        <f t="shared" si="245"/>
        <v>167.97683760226812</v>
      </c>
      <c r="I240" s="98">
        <f t="shared" si="245"/>
        <v>132.09820042122129</v>
      </c>
      <c r="J240" s="98">
        <f t="shared" si="245"/>
        <v>169.46109045198062</v>
      </c>
      <c r="K240" s="98">
        <f t="shared" si="245"/>
        <v>123.98915705492685</v>
      </c>
      <c r="L240" s="98">
        <f t="shared" si="245"/>
        <v>143.66731508885462</v>
      </c>
      <c r="M240" s="98">
        <f t="shared" si="245"/>
        <v>90.952564405956437</v>
      </c>
      <c r="N240" s="98">
        <f t="shared" si="245"/>
        <v>98.945745493489596</v>
      </c>
      <c r="O240" s="98">
        <f t="shared" si="245"/>
        <v>0</v>
      </c>
      <c r="P240" s="98">
        <f t="shared" si="245"/>
        <v>0</v>
      </c>
      <c r="Q240" s="98">
        <f t="shared" si="245"/>
        <v>0</v>
      </c>
      <c r="R240" s="98">
        <f t="shared" si="245"/>
        <v>0</v>
      </c>
      <c r="S240" s="98">
        <f t="shared" si="245"/>
        <v>0</v>
      </c>
      <c r="T240" s="98">
        <f t="shared" si="245"/>
        <v>0</v>
      </c>
      <c r="U240" s="98">
        <f t="shared" si="245"/>
        <v>0</v>
      </c>
      <c r="V240" s="98">
        <f t="shared" si="245"/>
        <v>29.095893730418791</v>
      </c>
      <c r="W240" s="98">
        <f t="shared" si="245"/>
        <v>28.469076571969662</v>
      </c>
      <c r="X240" s="98">
        <f t="shared" si="245"/>
        <v>28.790479562416717</v>
      </c>
      <c r="Y240" s="98">
        <f t="shared" si="245"/>
        <v>29.907716034009621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7.9071853194983523</v>
      </c>
      <c r="C241" s="32">
        <f t="shared" si="246"/>
        <v>8.0400352124867549</v>
      </c>
      <c r="D241" s="32">
        <f t="shared" si="246"/>
        <v>8.0143984414398624</v>
      </c>
      <c r="E241" s="32">
        <f t="shared" si="246"/>
        <v>8.014791247793946</v>
      </c>
      <c r="F241" s="32">
        <f t="shared" si="246"/>
        <v>8.0166153196079577</v>
      </c>
      <c r="G241" s="32">
        <f t="shared" si="246"/>
        <v>8.6222662791405629</v>
      </c>
      <c r="H241" s="32">
        <f t="shared" si="246"/>
        <v>7.4147669189563326</v>
      </c>
      <c r="I241" s="32">
        <f t="shared" si="246"/>
        <v>5.5801088301122679</v>
      </c>
      <c r="J241" s="32">
        <f t="shared" si="246"/>
        <v>3.180519031503513</v>
      </c>
      <c r="K241" s="32">
        <f t="shared" si="246"/>
        <v>4.3861447998876555</v>
      </c>
      <c r="L241" s="32">
        <f t="shared" si="246"/>
        <v>4.527474490311409</v>
      </c>
      <c r="M241" s="32">
        <f t="shared" si="246"/>
        <v>3.8709394610338825</v>
      </c>
      <c r="N241" s="32">
        <f t="shared" si="246"/>
        <v>3.6772693648452757</v>
      </c>
      <c r="O241" s="32">
        <f t="shared" si="246"/>
        <v>2.6068683172901026</v>
      </c>
      <c r="P241" s="32">
        <f t="shared" si="246"/>
        <v>0.27592538868336941</v>
      </c>
      <c r="Q241" s="32">
        <f t="shared" si="246"/>
        <v>1.7255734196497259</v>
      </c>
      <c r="R241" s="32">
        <f t="shared" si="246"/>
        <v>3.4558809674062578</v>
      </c>
      <c r="S241" s="32">
        <f t="shared" si="246"/>
        <v>3.3792432964998298</v>
      </c>
      <c r="T241" s="32">
        <f t="shared" si="246"/>
        <v>3.824225296564105</v>
      </c>
      <c r="U241" s="32">
        <f t="shared" si="246"/>
        <v>3.8053261891452439</v>
      </c>
      <c r="V241" s="32">
        <f t="shared" si="246"/>
        <v>3.4883815281416104</v>
      </c>
      <c r="W241" s="32">
        <f t="shared" si="246"/>
        <v>3.574829091322322</v>
      </c>
      <c r="X241" s="32">
        <f t="shared" si="246"/>
        <v>4.5727764131636279</v>
      </c>
      <c r="Y241" s="32">
        <f t="shared" si="246"/>
        <v>4.2025362666825794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11.12988773359718</v>
      </c>
      <c r="C242" s="97">
        <f t="shared" si="247"/>
        <v>11.466572317070526</v>
      </c>
      <c r="D242" s="97">
        <f t="shared" si="247"/>
        <v>11.395684496227039</v>
      </c>
      <c r="E242" s="97">
        <f t="shared" si="247"/>
        <v>11.388810759437035</v>
      </c>
      <c r="F242" s="97">
        <f t="shared" si="247"/>
        <v>11.397105517049049</v>
      </c>
      <c r="G242" s="97">
        <f t="shared" si="247"/>
        <v>12.945483573297976</v>
      </c>
      <c r="H242" s="97">
        <f t="shared" si="247"/>
        <v>14.957660864748522</v>
      </c>
      <c r="I242" s="97">
        <f t="shared" si="247"/>
        <v>13.02418158206136</v>
      </c>
      <c r="J242" s="97">
        <f t="shared" si="247"/>
        <v>8.264884730121981</v>
      </c>
      <c r="K242" s="97">
        <f t="shared" si="247"/>
        <v>12.364887551009893</v>
      </c>
      <c r="L242" s="97">
        <f t="shared" si="247"/>
        <v>12.789128289710311</v>
      </c>
      <c r="M242" s="97">
        <f t="shared" si="247"/>
        <v>10.694571650315915</v>
      </c>
      <c r="N242" s="97">
        <f t="shared" si="247"/>
        <v>9.8011763332459925</v>
      </c>
      <c r="O242" s="97">
        <f t="shared" si="247"/>
        <v>7.3103893275715244</v>
      </c>
      <c r="P242" s="97">
        <f t="shared" si="247"/>
        <v>0.81294733865697599</v>
      </c>
      <c r="Q242" s="97">
        <f t="shared" si="247"/>
        <v>5.2851488814863341</v>
      </c>
      <c r="R242" s="97">
        <f t="shared" si="247"/>
        <v>11.03026821837895</v>
      </c>
      <c r="S242" s="97">
        <f t="shared" si="247"/>
        <v>10.741296067509827</v>
      </c>
      <c r="T242" s="97">
        <f t="shared" si="247"/>
        <v>12.097757224003367</v>
      </c>
      <c r="U242" s="97">
        <f t="shared" si="247"/>
        <v>12.073259304824742</v>
      </c>
      <c r="V242" s="97">
        <f t="shared" si="247"/>
        <v>9.7038231765665728</v>
      </c>
      <c r="W242" s="97">
        <f t="shared" si="247"/>
        <v>10.867935569161551</v>
      </c>
      <c r="X242" s="97">
        <f t="shared" si="247"/>
        <v>12.334078271217187</v>
      </c>
      <c r="Y242" s="97">
        <f t="shared" si="247"/>
        <v>10.716726304529779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5.7810155142410729</v>
      </c>
      <c r="C243" s="98">
        <f t="shared" si="248"/>
        <v>5.8277330109862699</v>
      </c>
      <c r="D243" s="98">
        <f t="shared" si="248"/>
        <v>5.8325378683674671</v>
      </c>
      <c r="E243" s="98">
        <f t="shared" si="248"/>
        <v>5.8307036515135557</v>
      </c>
      <c r="F243" s="98">
        <f t="shared" si="248"/>
        <v>5.8293922778215466</v>
      </c>
      <c r="G243" s="98">
        <f t="shared" si="248"/>
        <v>6.0173956255215995</v>
      </c>
      <c r="H243" s="98">
        <f t="shared" si="248"/>
        <v>5.0571474014924567</v>
      </c>
      <c r="I243" s="98">
        <f t="shared" si="248"/>
        <v>3.9434403047957662</v>
      </c>
      <c r="J243" s="98">
        <f t="shared" si="248"/>
        <v>2.2573856180379672</v>
      </c>
      <c r="K243" s="98">
        <f t="shared" si="248"/>
        <v>3.1957983945327935</v>
      </c>
      <c r="L243" s="98">
        <f t="shared" si="248"/>
        <v>3.2810174877148017</v>
      </c>
      <c r="M243" s="98">
        <f t="shared" si="248"/>
        <v>2.7398867874865154</v>
      </c>
      <c r="N243" s="98">
        <f t="shared" si="248"/>
        <v>2.5841916711621495</v>
      </c>
      <c r="O243" s="98">
        <f t="shared" si="248"/>
        <v>1.8842596398101279</v>
      </c>
      <c r="P243" s="98">
        <f t="shared" si="248"/>
        <v>0.20209977068844287</v>
      </c>
      <c r="Q243" s="98">
        <f t="shared" si="248"/>
        <v>1.2844282422709961</v>
      </c>
      <c r="R243" s="98">
        <f t="shared" si="248"/>
        <v>2.6273921500326174</v>
      </c>
      <c r="S243" s="98">
        <f t="shared" si="248"/>
        <v>2.5688023341206652</v>
      </c>
      <c r="T243" s="98">
        <f t="shared" si="248"/>
        <v>2.8950722397959363</v>
      </c>
      <c r="U243" s="98">
        <f t="shared" si="248"/>
        <v>2.8563895358924589</v>
      </c>
      <c r="V243" s="98">
        <f t="shared" si="248"/>
        <v>2.7800959321466121</v>
      </c>
      <c r="W243" s="98">
        <f t="shared" si="248"/>
        <v>2.8671164579309445</v>
      </c>
      <c r="X243" s="98">
        <f t="shared" si="248"/>
        <v>3.384607499152573</v>
      </c>
      <c r="Y243" s="98">
        <f t="shared" si="248"/>
        <v>3.060125789037222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28819.644401633152</v>
      </c>
      <c r="C4" s="29">
        <f t="shared" si="0"/>
        <v>28898.475243934754</v>
      </c>
      <c r="D4" s="29">
        <f t="shared" si="0"/>
        <v>29080.636237266208</v>
      </c>
      <c r="E4" s="29">
        <f t="shared" si="0"/>
        <v>32056.874709931191</v>
      </c>
      <c r="F4" s="29">
        <f t="shared" si="0"/>
        <v>34621.787937396017</v>
      </c>
      <c r="G4" s="29">
        <f t="shared" si="0"/>
        <v>38555.105980960579</v>
      </c>
      <c r="H4" s="29">
        <f t="shared" si="0"/>
        <v>43243.282519118598</v>
      </c>
      <c r="I4" s="29">
        <f t="shared" si="0"/>
        <v>42824.458653500405</v>
      </c>
      <c r="J4" s="29">
        <f t="shared" si="0"/>
        <v>41511.693324925152</v>
      </c>
      <c r="K4" s="29">
        <f t="shared" si="0"/>
        <v>38936.47963904772</v>
      </c>
      <c r="L4" s="29">
        <f t="shared" ref="L4" si="1">L5+L6+L13</f>
        <v>35367.833639474149</v>
      </c>
      <c r="M4" s="29">
        <f t="shared" ref="M4:V4" si="2">M5+M6+M13</f>
        <v>32761.02988012596</v>
      </c>
      <c r="N4" s="29">
        <f t="shared" si="2"/>
        <v>37029.603847710649</v>
      </c>
      <c r="O4" s="29">
        <f t="shared" si="2"/>
        <v>36275.123298868086</v>
      </c>
      <c r="P4" s="29">
        <f t="shared" si="2"/>
        <v>27409.213566373073</v>
      </c>
      <c r="Q4" s="29">
        <f t="shared" si="2"/>
        <v>27710.849068679407</v>
      </c>
      <c r="R4" s="29">
        <f t="shared" si="2"/>
        <v>28593.061689863331</v>
      </c>
      <c r="S4" s="29">
        <f t="shared" si="2"/>
        <v>34202.825552398361</v>
      </c>
      <c r="T4" s="29">
        <f t="shared" si="2"/>
        <v>33057.013900125618</v>
      </c>
      <c r="U4" s="29">
        <f t="shared" si="2"/>
        <v>34407.952895953305</v>
      </c>
      <c r="V4" s="29">
        <f t="shared" si="2"/>
        <v>30165.227410190626</v>
      </c>
      <c r="W4" s="29">
        <f t="shared" ref="W4:Y4" si="3">W5+W6+W13</f>
        <v>32423.092914723671</v>
      </c>
      <c r="X4" s="29">
        <f t="shared" si="3"/>
        <v>35072.681701808076</v>
      </c>
      <c r="Y4" s="29">
        <f t="shared" si="3"/>
        <v>37502.48134104412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64.64440163315011</v>
      </c>
      <c r="C5" s="152">
        <f t="shared" si="4"/>
        <v>65.475243934753195</v>
      </c>
      <c r="D5" s="152">
        <f t="shared" si="4"/>
        <v>67.636237266206209</v>
      </c>
      <c r="E5" s="152">
        <f t="shared" si="4"/>
        <v>69.874709931191887</v>
      </c>
      <c r="F5" s="152">
        <f t="shared" si="4"/>
        <v>72.7879373960198</v>
      </c>
      <c r="G5" s="152">
        <f t="shared" si="4"/>
        <v>71.105980960578876</v>
      </c>
      <c r="H5" s="152">
        <f t="shared" si="4"/>
        <v>75.282519118601499</v>
      </c>
      <c r="I5" s="152">
        <f t="shared" si="4"/>
        <v>85.358653500406007</v>
      </c>
      <c r="J5" s="152">
        <f t="shared" si="4"/>
        <v>99.493324925154099</v>
      </c>
      <c r="K5" s="152">
        <f t="shared" si="4"/>
        <v>106.77963904772632</v>
      </c>
      <c r="L5" s="152">
        <f t="shared" ref="L5:L7" si="5">IF(L32=0,0,L32*L142)</f>
        <v>105.23363947414654</v>
      </c>
      <c r="M5" s="152">
        <f t="shared" ref="M5:V5" si="6">IF(M32=0,0,M32*M142)</f>
        <v>105.02988012596042</v>
      </c>
      <c r="N5" s="152">
        <f t="shared" si="6"/>
        <v>103.60384771064821</v>
      </c>
      <c r="O5" s="152">
        <f t="shared" si="6"/>
        <v>103.12329886808224</v>
      </c>
      <c r="P5" s="152">
        <f t="shared" si="6"/>
        <v>99.913566373071077</v>
      </c>
      <c r="Q5" s="152">
        <f t="shared" si="6"/>
        <v>100.30606867940422</v>
      </c>
      <c r="R5" s="152">
        <f t="shared" si="6"/>
        <v>107.76168986333282</v>
      </c>
      <c r="S5" s="152">
        <f t="shared" si="6"/>
        <v>102.82555239835891</v>
      </c>
      <c r="T5" s="152">
        <f t="shared" si="6"/>
        <v>99.013900125615663</v>
      </c>
      <c r="U5" s="152">
        <f t="shared" si="6"/>
        <v>106.0798594073961</v>
      </c>
      <c r="V5" s="152">
        <f t="shared" si="6"/>
        <v>96.614896430805942</v>
      </c>
      <c r="W5" s="152">
        <f t="shared" ref="W5:Y5" si="7">IF(W32=0,0,W32*W142)</f>
        <v>102.19708643796913</v>
      </c>
      <c r="X5" s="152">
        <f t="shared" si="7"/>
        <v>106.6207373609401</v>
      </c>
      <c r="Y5" s="152">
        <f t="shared" si="7"/>
        <v>118.29243296733083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26000</v>
      </c>
      <c r="C6" s="116">
        <f t="shared" si="8"/>
        <v>26000</v>
      </c>
      <c r="D6" s="116">
        <f t="shared" si="8"/>
        <v>26000</v>
      </c>
      <c r="E6" s="116">
        <f t="shared" si="8"/>
        <v>29000</v>
      </c>
      <c r="F6" s="116">
        <f t="shared" si="8"/>
        <v>31000</v>
      </c>
      <c r="G6" s="116">
        <f t="shared" si="8"/>
        <v>34793</v>
      </c>
      <c r="H6" s="116">
        <f t="shared" si="8"/>
        <v>39472</v>
      </c>
      <c r="I6" s="116">
        <f t="shared" si="8"/>
        <v>39119</v>
      </c>
      <c r="J6" s="116">
        <f t="shared" si="8"/>
        <v>37991</v>
      </c>
      <c r="K6" s="116">
        <f t="shared" si="8"/>
        <v>36055</v>
      </c>
      <c r="L6" s="116">
        <f t="shared" ref="L6" si="9">SUM(L7:L12)</f>
        <v>32569</v>
      </c>
      <c r="M6" s="116">
        <f t="shared" ref="M6:V6" si="10">SUM(M7:M12)</f>
        <v>29908</v>
      </c>
      <c r="N6" s="116">
        <f t="shared" si="10"/>
        <v>34191</v>
      </c>
      <c r="O6" s="116">
        <f t="shared" si="10"/>
        <v>33325</v>
      </c>
      <c r="P6" s="116">
        <f t="shared" si="10"/>
        <v>24336.000000000004</v>
      </c>
      <c r="Q6" s="116">
        <f t="shared" si="10"/>
        <v>24865</v>
      </c>
      <c r="R6" s="116">
        <f t="shared" si="10"/>
        <v>25854</v>
      </c>
      <c r="S6" s="116">
        <f t="shared" si="10"/>
        <v>31361.000000000004</v>
      </c>
      <c r="T6" s="116">
        <f t="shared" si="10"/>
        <v>30119.000000000004</v>
      </c>
      <c r="U6" s="116">
        <f t="shared" si="10"/>
        <v>31400.873036545909</v>
      </c>
      <c r="V6" s="116">
        <f t="shared" si="10"/>
        <v>28535.21251375982</v>
      </c>
      <c r="W6" s="116">
        <f t="shared" ref="W6:Y6" si="11">SUM(W7:W12)</f>
        <v>30866.895828285702</v>
      </c>
      <c r="X6" s="116">
        <f t="shared" si="11"/>
        <v>32843.76096444713</v>
      </c>
      <c r="Y6" s="116">
        <f t="shared" si="11"/>
        <v>34804.188908076787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12911.10889825201</v>
      </c>
      <c r="C7" s="87">
        <f t="shared" si="12"/>
        <v>11927.604344919679</v>
      </c>
      <c r="D7" s="87">
        <f t="shared" si="12"/>
        <v>10961.717779254916</v>
      </c>
      <c r="E7" s="87">
        <f t="shared" si="12"/>
        <v>11063.034264910213</v>
      </c>
      <c r="F7" s="87">
        <f t="shared" si="12"/>
        <v>10232.343064570116</v>
      </c>
      <c r="G7" s="87">
        <f t="shared" si="12"/>
        <v>10563.710488776227</v>
      </c>
      <c r="H7" s="87">
        <f t="shared" si="12"/>
        <v>11200.830579062806</v>
      </c>
      <c r="I7" s="87">
        <f t="shared" si="12"/>
        <v>11952.076764375965</v>
      </c>
      <c r="J7" s="87">
        <f t="shared" si="12"/>
        <v>11691.222867678222</v>
      </c>
      <c r="K7" s="87">
        <f t="shared" si="12"/>
        <v>10126.538510822842</v>
      </c>
      <c r="L7" s="87">
        <f t="shared" si="5"/>
        <v>7171.5137541133681</v>
      </c>
      <c r="M7" s="87">
        <f t="shared" ref="M7:V7" si="13">IF(M34=0,0,M34*M144)</f>
        <v>6296.3216890144249</v>
      </c>
      <c r="N7" s="87">
        <f t="shared" si="13"/>
        <v>5588.9169053675932</v>
      </c>
      <c r="O7" s="87">
        <f t="shared" si="13"/>
        <v>4966.6762052612457</v>
      </c>
      <c r="P7" s="87">
        <f t="shared" si="13"/>
        <v>3792.3779186116758</v>
      </c>
      <c r="Q7" s="87">
        <f t="shared" si="13"/>
        <v>3657.372586822949</v>
      </c>
      <c r="R7" s="87">
        <f t="shared" si="13"/>
        <v>3418.6993612092306</v>
      </c>
      <c r="S7" s="87">
        <f t="shared" si="13"/>
        <v>4072.5514959491302</v>
      </c>
      <c r="T7" s="87">
        <f t="shared" si="13"/>
        <v>4162.3227320837168</v>
      </c>
      <c r="U7" s="87">
        <f t="shared" si="13"/>
        <v>4563.0290096930576</v>
      </c>
      <c r="V7" s="87">
        <f t="shared" si="13"/>
        <v>4339.1412708531525</v>
      </c>
      <c r="W7" s="87">
        <f t="shared" ref="W7:Y7" si="14">IF(W34=0,0,W34*W144)</f>
        <v>4784.5455588579525</v>
      </c>
      <c r="X7" s="87">
        <f t="shared" si="14"/>
        <v>5856.1397853981043</v>
      </c>
      <c r="Y7" s="87">
        <f t="shared" si="14"/>
        <v>6670.8227274188084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8080.4198062564856</v>
      </c>
      <c r="C8" s="87">
        <f t="shared" si="15"/>
        <v>9331.3795902304737</v>
      </c>
      <c r="D8" s="87">
        <f t="shared" si="15"/>
        <v>9662.5461591891253</v>
      </c>
      <c r="E8" s="87">
        <f t="shared" si="15"/>
        <v>12014.894524019335</v>
      </c>
      <c r="F8" s="87">
        <f t="shared" si="15"/>
        <v>13498.909296158108</v>
      </c>
      <c r="G8" s="87">
        <f t="shared" si="15"/>
        <v>17441.997645452062</v>
      </c>
      <c r="H8" s="87">
        <f t="shared" si="15"/>
        <v>21118.807935738463</v>
      </c>
      <c r="I8" s="87">
        <f t="shared" si="15"/>
        <v>19624.128611554654</v>
      </c>
      <c r="J8" s="87">
        <f t="shared" si="15"/>
        <v>19390.714652539133</v>
      </c>
      <c r="K8" s="87">
        <f t="shared" si="15"/>
        <v>20510.716341851061</v>
      </c>
      <c r="L8" s="87">
        <f t="shared" ref="L8" si="16">IF(L35=0,0,L35*L145)</f>
        <v>20197.839632403011</v>
      </c>
      <c r="M8" s="87">
        <f t="shared" ref="M8:V8" si="17">IF(M35=0,0,M35*M145)</f>
        <v>18839.453234560642</v>
      </c>
      <c r="N8" s="87">
        <f t="shared" si="17"/>
        <v>24454.753435546598</v>
      </c>
      <c r="O8" s="87">
        <f t="shared" si="17"/>
        <v>24095.458158337206</v>
      </c>
      <c r="P8" s="87">
        <f t="shared" si="17"/>
        <v>17318.48831537721</v>
      </c>
      <c r="Q8" s="87">
        <f t="shared" si="17"/>
        <v>18268.963781134502</v>
      </c>
      <c r="R8" s="87">
        <f t="shared" si="17"/>
        <v>19735.227297856323</v>
      </c>
      <c r="S8" s="87">
        <f t="shared" si="17"/>
        <v>24420.718675833872</v>
      </c>
      <c r="T8" s="87">
        <f t="shared" si="17"/>
        <v>23452.704646508326</v>
      </c>
      <c r="U8" s="87">
        <f t="shared" si="17"/>
        <v>24321.794630971461</v>
      </c>
      <c r="V8" s="87">
        <f t="shared" si="17"/>
        <v>21909.260988727696</v>
      </c>
      <c r="W8" s="87">
        <f t="shared" ref="W8:Y8" si="18">IF(W35=0,0,W35*W145)</f>
        <v>23549.065472710412</v>
      </c>
      <c r="X8" s="87">
        <f t="shared" si="18"/>
        <v>24147.889889427272</v>
      </c>
      <c r="Y8" s="87">
        <f t="shared" si="18"/>
        <v>24898.687214002741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5008.471295491504</v>
      </c>
      <c r="C9" s="87">
        <f t="shared" si="19"/>
        <v>4741.0160648498477</v>
      </c>
      <c r="D9" s="87">
        <f t="shared" si="19"/>
        <v>5375.736061555961</v>
      </c>
      <c r="E9" s="87">
        <f t="shared" si="19"/>
        <v>5922.0712110704535</v>
      </c>
      <c r="F9" s="87">
        <f t="shared" si="19"/>
        <v>7268.7476392717754</v>
      </c>
      <c r="G9" s="87">
        <f t="shared" si="19"/>
        <v>6787.2918657717119</v>
      </c>
      <c r="H9" s="87">
        <f t="shared" si="19"/>
        <v>7152.3614851987313</v>
      </c>
      <c r="I9" s="87">
        <f t="shared" si="19"/>
        <v>7542.7946240693818</v>
      </c>
      <c r="J9" s="87">
        <f t="shared" si="19"/>
        <v>6909.0624797826458</v>
      </c>
      <c r="K9" s="87">
        <f t="shared" si="19"/>
        <v>5417.745147326099</v>
      </c>
      <c r="L9" s="87">
        <f t="shared" ref="L9" si="20">IF(L36=0,0,L36*L146)</f>
        <v>5199.6466134836246</v>
      </c>
      <c r="M9" s="87">
        <f t="shared" ref="M9:V9" si="21">IF(M36=0,0,M36*M146)</f>
        <v>4772.1846764607026</v>
      </c>
      <c r="N9" s="87">
        <f t="shared" si="21"/>
        <v>4147.2764674721657</v>
      </c>
      <c r="O9" s="87">
        <f t="shared" si="21"/>
        <v>4240.1036549950586</v>
      </c>
      <c r="P9" s="87">
        <f t="shared" si="21"/>
        <v>3175.986323238456</v>
      </c>
      <c r="Q9" s="87">
        <f t="shared" si="21"/>
        <v>2872.8226433283012</v>
      </c>
      <c r="R9" s="87">
        <f t="shared" si="21"/>
        <v>2603.7050413061452</v>
      </c>
      <c r="S9" s="87">
        <f t="shared" si="21"/>
        <v>2695.6866823993682</v>
      </c>
      <c r="T9" s="87">
        <f t="shared" si="21"/>
        <v>2250.6740537543906</v>
      </c>
      <c r="U9" s="87">
        <f t="shared" si="21"/>
        <v>2143.7872069260206</v>
      </c>
      <c r="V9" s="87">
        <f t="shared" si="21"/>
        <v>1788.1463174712151</v>
      </c>
      <c r="W9" s="87">
        <f t="shared" ref="W9:Y9" si="22">IF(W36=0,0,W36*W146)</f>
        <v>1738.3915371458559</v>
      </c>
      <c r="X9" s="87">
        <f t="shared" si="22"/>
        <v>1792.6178486144554</v>
      </c>
      <c r="Y9" s="87">
        <f t="shared" si="22"/>
        <v>1876.269532091424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1.3141978931730086E-2</v>
      </c>
      <c r="O10" s="87">
        <f t="shared" si="25"/>
        <v>6.827357753593763E-2</v>
      </c>
      <c r="P10" s="87">
        <f t="shared" si="25"/>
        <v>0.30653797020693807</v>
      </c>
      <c r="Q10" s="87">
        <f t="shared" si="25"/>
        <v>0.41034538066671161</v>
      </c>
      <c r="R10" s="87">
        <f t="shared" si="25"/>
        <v>0.54030178070285784</v>
      </c>
      <c r="S10" s="87">
        <f t="shared" si="25"/>
        <v>0.93580950890395487</v>
      </c>
      <c r="T10" s="87">
        <f t="shared" si="25"/>
        <v>1.1202029616219156</v>
      </c>
      <c r="U10" s="87">
        <f t="shared" si="25"/>
        <v>1.101263555181105</v>
      </c>
      <c r="V10" s="87">
        <f t="shared" si="25"/>
        <v>1.7111557567014088</v>
      </c>
      <c r="W10" s="87">
        <f t="shared" ref="W10:Y10" si="26">IF(W37=0,0,W37*W147)</f>
        <v>2.5160688759353476</v>
      </c>
      <c r="X10" s="87">
        <f t="shared" si="26"/>
        <v>8.9984523374114076</v>
      </c>
      <c r="Y10" s="87">
        <f t="shared" si="26"/>
        <v>8.1179081175147338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</v>
      </c>
      <c r="O11" s="87">
        <f t="shared" si="29"/>
        <v>22.573656013993197</v>
      </c>
      <c r="P11" s="87">
        <f t="shared" si="29"/>
        <v>47.869672066905515</v>
      </c>
      <c r="Q11" s="87">
        <f t="shared" si="29"/>
        <v>63.155212761725238</v>
      </c>
      <c r="R11" s="87">
        <f t="shared" si="29"/>
        <v>91.400325735837129</v>
      </c>
      <c r="S11" s="87">
        <f t="shared" si="29"/>
        <v>161.73621365829115</v>
      </c>
      <c r="T11" s="87">
        <f t="shared" si="29"/>
        <v>239.35105115131842</v>
      </c>
      <c r="U11" s="87">
        <f t="shared" si="29"/>
        <v>352.65212031435925</v>
      </c>
      <c r="V11" s="87">
        <f t="shared" si="29"/>
        <v>466.0682858298419</v>
      </c>
      <c r="W11" s="87">
        <f t="shared" ref="W11:Y11" si="30">IF(W38=0,0,W38*W148)</f>
        <v>727.13414037836026</v>
      </c>
      <c r="X11" s="87">
        <f t="shared" si="30"/>
        <v>937.62374661642343</v>
      </c>
      <c r="Y11" s="87">
        <f t="shared" si="30"/>
        <v>1190.9496244181832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4.0399964229212625E-2</v>
      </c>
      <c r="N12" s="87">
        <f t="shared" si="33"/>
        <v>4.0049634707508781E-2</v>
      </c>
      <c r="O12" s="87">
        <f t="shared" si="33"/>
        <v>0.12005181496384723</v>
      </c>
      <c r="P12" s="87">
        <f t="shared" si="33"/>
        <v>0.97123273554739487</v>
      </c>
      <c r="Q12" s="87">
        <f t="shared" si="33"/>
        <v>2.275430571856663</v>
      </c>
      <c r="R12" s="87">
        <f t="shared" si="33"/>
        <v>4.4276721117610283</v>
      </c>
      <c r="S12" s="87">
        <f t="shared" si="33"/>
        <v>9.3711226504329979</v>
      </c>
      <c r="T12" s="87">
        <f t="shared" si="33"/>
        <v>12.827313540625337</v>
      </c>
      <c r="U12" s="87">
        <f t="shared" si="33"/>
        <v>18.508805085830129</v>
      </c>
      <c r="V12" s="87">
        <f t="shared" si="33"/>
        <v>30.884495121212126</v>
      </c>
      <c r="W12" s="87">
        <f t="shared" ref="W12:Y12" si="34">IF(W39=0,0,W39*W149)</f>
        <v>65.243050317184256</v>
      </c>
      <c r="X12" s="87">
        <f t="shared" si="34"/>
        <v>100.49124205346475</v>
      </c>
      <c r="Y12" s="87">
        <f t="shared" si="34"/>
        <v>159.34190202811695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2755</v>
      </c>
      <c r="C13" s="116">
        <f t="shared" si="35"/>
        <v>2833</v>
      </c>
      <c r="D13" s="116">
        <f t="shared" si="35"/>
        <v>3013</v>
      </c>
      <c r="E13" s="116">
        <f t="shared" si="35"/>
        <v>2987</v>
      </c>
      <c r="F13" s="116">
        <f t="shared" si="35"/>
        <v>3549</v>
      </c>
      <c r="G13" s="116">
        <f t="shared" si="35"/>
        <v>3690.9999999999995</v>
      </c>
      <c r="H13" s="116">
        <f t="shared" si="35"/>
        <v>3695.9999999999995</v>
      </c>
      <c r="I13" s="116">
        <f t="shared" si="35"/>
        <v>3620.1</v>
      </c>
      <c r="J13" s="116">
        <f t="shared" si="35"/>
        <v>3421.2000000000003</v>
      </c>
      <c r="K13" s="116">
        <f t="shared" si="35"/>
        <v>2774.6999999999994</v>
      </c>
      <c r="L13" s="116">
        <f t="shared" ref="L13" si="36">SUM(L14:L18)</f>
        <v>2693.599999999999</v>
      </c>
      <c r="M13" s="116">
        <f t="shared" ref="M13:V13" si="37">SUM(M14:M18)</f>
        <v>2747.9999999999995</v>
      </c>
      <c r="N13" s="116">
        <f t="shared" si="37"/>
        <v>2735</v>
      </c>
      <c r="O13" s="116">
        <f t="shared" si="37"/>
        <v>2847</v>
      </c>
      <c r="P13" s="116">
        <f t="shared" si="37"/>
        <v>2973.3</v>
      </c>
      <c r="Q13" s="116">
        <f t="shared" si="37"/>
        <v>2745.5430000000001</v>
      </c>
      <c r="R13" s="116">
        <f t="shared" si="37"/>
        <v>2631.3</v>
      </c>
      <c r="S13" s="116">
        <f t="shared" si="37"/>
        <v>2739.0000000000005</v>
      </c>
      <c r="T13" s="116">
        <f t="shared" si="37"/>
        <v>2839</v>
      </c>
      <c r="U13" s="116">
        <f t="shared" si="37"/>
        <v>2901</v>
      </c>
      <c r="V13" s="116">
        <f t="shared" si="37"/>
        <v>1533.4</v>
      </c>
      <c r="W13" s="116">
        <f t="shared" ref="W13:Y13" si="38">SUM(W14:W18)</f>
        <v>1454</v>
      </c>
      <c r="X13" s="116">
        <f t="shared" si="38"/>
        <v>2122.3000000000002</v>
      </c>
      <c r="Y13" s="116">
        <f t="shared" si="38"/>
        <v>2580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4.4769290007135911</v>
      </c>
      <c r="E14" s="101">
        <f t="shared" si="39"/>
        <v>6.8035259425151846</v>
      </c>
      <c r="F14" s="101">
        <f t="shared" si="39"/>
        <v>6.6362307294826088</v>
      </c>
      <c r="G14" s="101">
        <f t="shared" si="39"/>
        <v>6.4659745397850283</v>
      </c>
      <c r="H14" s="101">
        <f t="shared" si="39"/>
        <v>6.5528250163558681</v>
      </c>
      <c r="I14" s="101">
        <f t="shared" si="39"/>
        <v>5.4605120046793481</v>
      </c>
      <c r="J14" s="101">
        <f t="shared" si="39"/>
        <v>3.6340906097326688</v>
      </c>
      <c r="K14" s="101">
        <f t="shared" si="39"/>
        <v>3.1590831517316906</v>
      </c>
      <c r="L14" s="101">
        <f t="shared" ref="L14" si="40">IF(L41=0,0,L41*L151)</f>
        <v>3.0456124104176405</v>
      </c>
      <c r="M14" s="101">
        <f t="shared" ref="M14:V14" si="41">IF(M41=0,0,M41*M151)</f>
        <v>2.1106104850409473</v>
      </c>
      <c r="N14" s="101">
        <f t="shared" si="41"/>
        <v>1.8258680874777427</v>
      </c>
      <c r="O14" s="101">
        <f t="shared" si="41"/>
        <v>29.412914696300991</v>
      </c>
      <c r="P14" s="101">
        <f t="shared" si="41"/>
        <v>16.749368197101141</v>
      </c>
      <c r="Q14" s="101">
        <f t="shared" si="41"/>
        <v>14.131115650290191</v>
      </c>
      <c r="R14" s="101">
        <f t="shared" si="41"/>
        <v>14.318919466698059</v>
      </c>
      <c r="S14" s="101">
        <f t="shared" si="41"/>
        <v>14.571286186851735</v>
      </c>
      <c r="T14" s="101">
        <f t="shared" si="41"/>
        <v>14.003217235478148</v>
      </c>
      <c r="U14" s="101">
        <f t="shared" si="41"/>
        <v>11.850690171785603</v>
      </c>
      <c r="V14" s="101">
        <f t="shared" si="41"/>
        <v>6.4678617425398564</v>
      </c>
      <c r="W14" s="101">
        <f t="shared" ref="W14:Y14" si="42">IF(W41=0,0,W41*W151)</f>
        <v>6.0152910125193886</v>
      </c>
      <c r="X14" s="101">
        <f t="shared" si="42"/>
        <v>6.8979376243139896</v>
      </c>
      <c r="Y14" s="101">
        <f t="shared" si="42"/>
        <v>7.7758406555644095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2755</v>
      </c>
      <c r="C15" s="101">
        <f t="shared" si="43"/>
        <v>2833</v>
      </c>
      <c r="D15" s="101">
        <f t="shared" si="43"/>
        <v>3007.3187013228635</v>
      </c>
      <c r="E15" s="101">
        <f t="shared" si="43"/>
        <v>2979.0163523771557</v>
      </c>
      <c r="F15" s="101">
        <f t="shared" si="43"/>
        <v>3522.1152109965556</v>
      </c>
      <c r="G15" s="101">
        <f t="shared" si="43"/>
        <v>3613.0458475948544</v>
      </c>
      <c r="H15" s="101">
        <f t="shared" si="43"/>
        <v>3563.7770837491435</v>
      </c>
      <c r="I15" s="101">
        <f t="shared" si="43"/>
        <v>3445.6878673035412</v>
      </c>
      <c r="J15" s="101">
        <f t="shared" si="43"/>
        <v>3243.1796683580392</v>
      </c>
      <c r="K15" s="101">
        <f t="shared" si="43"/>
        <v>2540.9807540208553</v>
      </c>
      <c r="L15" s="101">
        <f t="shared" ref="L15" si="44">IF(L42=0,0,L42*L152)</f>
        <v>2414.8029641536523</v>
      </c>
      <c r="M15" s="101">
        <f t="shared" ref="M15:V15" si="45">IF(M42=0,0,M42*M152)</f>
        <v>2426.9643772937625</v>
      </c>
      <c r="N15" s="101">
        <f t="shared" si="45"/>
        <v>2418.4713046571633</v>
      </c>
      <c r="O15" s="101">
        <f t="shared" si="45"/>
        <v>1998.8364884864363</v>
      </c>
      <c r="P15" s="101">
        <f t="shared" si="45"/>
        <v>2018.5978992130354</v>
      </c>
      <c r="Q15" s="101">
        <f t="shared" si="45"/>
        <v>1655.2731877931647</v>
      </c>
      <c r="R15" s="101">
        <f t="shared" si="45"/>
        <v>1548.1885128814481</v>
      </c>
      <c r="S15" s="101">
        <f t="shared" si="45"/>
        <v>1616.715903090615</v>
      </c>
      <c r="T15" s="101">
        <f t="shared" si="45"/>
        <v>1701.1311533830428</v>
      </c>
      <c r="U15" s="101">
        <f t="shared" si="45"/>
        <v>1790.8441655757906</v>
      </c>
      <c r="V15" s="101">
        <f t="shared" si="45"/>
        <v>862.41501949959002</v>
      </c>
      <c r="W15" s="101">
        <f t="shared" ref="W15:Y15" si="46">IF(W42=0,0,W42*W152)</f>
        <v>718.30533805521816</v>
      </c>
      <c r="X15" s="101">
        <f t="shared" si="46"/>
        <v>1052.6575720789981</v>
      </c>
      <c r="Y15" s="101">
        <f t="shared" si="46"/>
        <v>1313.5132302719367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1.2043696764230747</v>
      </c>
      <c r="E16" s="101">
        <f t="shared" si="47"/>
        <v>1.1801216803292449</v>
      </c>
      <c r="F16" s="101">
        <f t="shared" si="47"/>
        <v>1.3964036462854661</v>
      </c>
      <c r="G16" s="101">
        <f t="shared" si="47"/>
        <v>1.4345180776144271</v>
      </c>
      <c r="H16" s="101">
        <f t="shared" si="47"/>
        <v>1.4243517940648598</v>
      </c>
      <c r="I16" s="101">
        <f t="shared" si="47"/>
        <v>1.410447566968495</v>
      </c>
      <c r="J16" s="101">
        <f t="shared" si="47"/>
        <v>1.358393259958508</v>
      </c>
      <c r="K16" s="101">
        <f t="shared" si="47"/>
        <v>1.0640608113164343</v>
      </c>
      <c r="L16" s="101">
        <f t="shared" ref="L16" si="48">IF(L43=0,0,L43*L153)</f>
        <v>1.0451584591157264</v>
      </c>
      <c r="M16" s="101">
        <f t="shared" ref="M16:V16" si="49">IF(M43=0,0,M43*M153)</f>
        <v>3.74954831577175</v>
      </c>
      <c r="N16" s="101">
        <f t="shared" si="49"/>
        <v>3.8103761297903835</v>
      </c>
      <c r="O16" s="101">
        <f t="shared" si="49"/>
        <v>18.64650831249341</v>
      </c>
      <c r="P16" s="101">
        <f t="shared" si="49"/>
        <v>74.788041666620117</v>
      </c>
      <c r="Q16" s="101">
        <f t="shared" si="49"/>
        <v>65.465721851845771</v>
      </c>
      <c r="R16" s="101">
        <f t="shared" si="49"/>
        <v>66.970189483225198</v>
      </c>
      <c r="S16" s="101">
        <f t="shared" si="49"/>
        <v>70.14479508936202</v>
      </c>
      <c r="T16" s="101">
        <f t="shared" si="49"/>
        <v>70.473066702241979</v>
      </c>
      <c r="U16" s="101">
        <f t="shared" si="49"/>
        <v>75.250025827906029</v>
      </c>
      <c r="V16" s="101">
        <f t="shared" si="49"/>
        <v>37.037378332077608</v>
      </c>
      <c r="W16" s="101">
        <f t="shared" ref="W16:Y16" si="50">IF(W43=0,0,W43*W153)</f>
        <v>33.920305363611398</v>
      </c>
      <c r="X16" s="101">
        <f t="shared" si="50"/>
        <v>48.066470147115737</v>
      </c>
      <c r="Y16" s="101">
        <f t="shared" si="50"/>
        <v>56.381273056939129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85.869518214816409</v>
      </c>
      <c r="L17" s="101">
        <f t="shared" ref="L17" si="52">IF(L44=0,0,L44*L154)</f>
        <v>135.85979129611155</v>
      </c>
      <c r="M17" s="101">
        <f t="shared" ref="M17:V17" si="53">IF(M44=0,0,M44*M154)</f>
        <v>179.0694833090285</v>
      </c>
      <c r="N17" s="101">
        <f t="shared" si="53"/>
        <v>176.18829260010227</v>
      </c>
      <c r="O17" s="101">
        <f t="shared" si="53"/>
        <v>256.95776321447931</v>
      </c>
      <c r="P17" s="101">
        <f t="shared" si="53"/>
        <v>315.1697450363547</v>
      </c>
      <c r="Q17" s="101">
        <f t="shared" si="53"/>
        <v>516.88943370808283</v>
      </c>
      <c r="R17" s="101">
        <f t="shared" si="53"/>
        <v>543.10475353976813</v>
      </c>
      <c r="S17" s="101">
        <f t="shared" si="53"/>
        <v>555.42779511993285</v>
      </c>
      <c r="T17" s="101">
        <f t="shared" si="53"/>
        <v>550.53599289783756</v>
      </c>
      <c r="U17" s="101">
        <f t="shared" si="53"/>
        <v>480.10659361129785</v>
      </c>
      <c r="V17" s="101">
        <f t="shared" si="53"/>
        <v>366.42453845451314</v>
      </c>
      <c r="W17" s="101">
        <f t="shared" ref="W17:Y17" si="54">IF(W44=0,0,W44*W154)</f>
        <v>406.79309236024216</v>
      </c>
      <c r="X17" s="101">
        <f t="shared" si="54"/>
        <v>596.88662823625657</v>
      </c>
      <c r="Y17" s="101">
        <f t="shared" si="54"/>
        <v>703.84130304748737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18.852154627676551</v>
      </c>
      <c r="G18" s="101">
        <f t="shared" si="55"/>
        <v>70.053659787746</v>
      </c>
      <c r="H18" s="101">
        <f t="shared" si="55"/>
        <v>124.24573944043559</v>
      </c>
      <c r="I18" s="101">
        <f t="shared" si="55"/>
        <v>167.54117312481074</v>
      </c>
      <c r="J18" s="101">
        <f t="shared" si="55"/>
        <v>173.02784777227001</v>
      </c>
      <c r="K18" s="101">
        <f t="shared" si="55"/>
        <v>143.62658380128005</v>
      </c>
      <c r="L18" s="101">
        <f t="shared" ref="L18" si="56">IF(L45=0,0,L45*L155)</f>
        <v>138.84647368070247</v>
      </c>
      <c r="M18" s="101">
        <f t="shared" ref="M18:V18" si="57">IF(M45=0,0,M45*M155)</f>
        <v>136.10598059639617</v>
      </c>
      <c r="N18" s="101">
        <f t="shared" si="57"/>
        <v>134.70415852546631</v>
      </c>
      <c r="O18" s="101">
        <f t="shared" si="57"/>
        <v>543.14632529028984</v>
      </c>
      <c r="P18" s="101">
        <f t="shared" si="57"/>
        <v>547.9949458868889</v>
      </c>
      <c r="Q18" s="101">
        <f t="shared" si="57"/>
        <v>493.78354099661681</v>
      </c>
      <c r="R18" s="101">
        <f t="shared" si="57"/>
        <v>458.71762462886068</v>
      </c>
      <c r="S18" s="101">
        <f t="shared" si="57"/>
        <v>482.14022051323843</v>
      </c>
      <c r="T18" s="101">
        <f t="shared" si="57"/>
        <v>502.85656978139912</v>
      </c>
      <c r="U18" s="101">
        <f t="shared" si="57"/>
        <v>542.94852481321982</v>
      </c>
      <c r="V18" s="101">
        <f t="shared" si="57"/>
        <v>261.05520197127947</v>
      </c>
      <c r="W18" s="101">
        <f t="shared" ref="W18:Y18" si="58">IF(W45=0,0,W45*W155)</f>
        <v>288.96597320840891</v>
      </c>
      <c r="X18" s="101">
        <f t="shared" si="58"/>
        <v>417.79139191331575</v>
      </c>
      <c r="Y18" s="101">
        <f t="shared" si="58"/>
        <v>498.48835296807243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3170.3548082863053</v>
      </c>
      <c r="C19" s="29">
        <f t="shared" si="59"/>
        <v>3269.2417180521697</v>
      </c>
      <c r="D19" s="29">
        <f t="shared" si="59"/>
        <v>3373.6543292066658</v>
      </c>
      <c r="E19" s="29">
        <f t="shared" si="59"/>
        <v>3846.2192960540337</v>
      </c>
      <c r="F19" s="29">
        <f t="shared" si="59"/>
        <v>4400.3986231162826</v>
      </c>
      <c r="G19" s="29">
        <f t="shared" si="59"/>
        <v>4406.0478887695526</v>
      </c>
      <c r="H19" s="29">
        <f t="shared" si="59"/>
        <v>5147.8973988135158</v>
      </c>
      <c r="I19" s="29">
        <f t="shared" si="59"/>
        <v>5936.3397112028906</v>
      </c>
      <c r="J19" s="29">
        <f t="shared" si="59"/>
        <v>5537.0768902938498</v>
      </c>
      <c r="K19" s="29">
        <f t="shared" si="59"/>
        <v>5096.6760924487089</v>
      </c>
      <c r="L19" s="29">
        <f t="shared" ref="L19" si="60">L20+L26</f>
        <v>5108.3795051096658</v>
      </c>
      <c r="M19" s="29">
        <f t="shared" ref="M19:V19" si="61">M20+M26</f>
        <v>5487.1598401323517</v>
      </c>
      <c r="N19" s="29">
        <f t="shared" si="61"/>
        <v>6089.5021847706385</v>
      </c>
      <c r="O19" s="29">
        <f t="shared" si="61"/>
        <v>6801.2451011483836</v>
      </c>
      <c r="P19" s="29">
        <f t="shared" si="61"/>
        <v>6834.2687812403055</v>
      </c>
      <c r="Q19" s="29">
        <f t="shared" si="61"/>
        <v>7402.3734282668138</v>
      </c>
      <c r="R19" s="29">
        <f t="shared" si="61"/>
        <v>7562.7306973300083</v>
      </c>
      <c r="S19" s="29">
        <f t="shared" si="61"/>
        <v>7832.0220489533949</v>
      </c>
      <c r="T19" s="29">
        <f t="shared" si="61"/>
        <v>8111.7022927630833</v>
      </c>
      <c r="U19" s="29">
        <f t="shared" si="61"/>
        <v>7955.5144688818709</v>
      </c>
      <c r="V19" s="29">
        <f t="shared" si="61"/>
        <v>8811.9077392861982</v>
      </c>
      <c r="W19" s="29">
        <f t="shared" ref="W19:Y19" si="62">W20+W26</f>
        <v>8875.6304080298869</v>
      </c>
      <c r="X19" s="29">
        <f t="shared" si="62"/>
        <v>8666.2714140303833</v>
      </c>
      <c r="Y19" s="29">
        <f t="shared" si="62"/>
        <v>9964.023848892246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38.337756679881863</v>
      </c>
      <c r="C20" s="152">
        <f t="shared" si="63"/>
        <v>39.448320290456635</v>
      </c>
      <c r="D20" s="152">
        <f t="shared" si="63"/>
        <v>42.938658074051723</v>
      </c>
      <c r="E20" s="152">
        <f t="shared" si="63"/>
        <v>46.26175304061438</v>
      </c>
      <c r="F20" s="152">
        <f t="shared" si="63"/>
        <v>49.39151381327828</v>
      </c>
      <c r="G20" s="152">
        <f t="shared" si="63"/>
        <v>54.69468099296143</v>
      </c>
      <c r="H20" s="152">
        <f t="shared" si="63"/>
        <v>68.986936777904731</v>
      </c>
      <c r="I20" s="152">
        <f t="shared" si="63"/>
        <v>79.208725875274013</v>
      </c>
      <c r="J20" s="152">
        <f t="shared" si="63"/>
        <v>84.093585720661522</v>
      </c>
      <c r="K20" s="152">
        <f t="shared" si="63"/>
        <v>93.732499524195319</v>
      </c>
      <c r="L20" s="152">
        <f t="shared" ref="L20" si="64">SUM(L21:L25)</f>
        <v>85.539263052798077</v>
      </c>
      <c r="M20" s="152">
        <f t="shared" ref="M20:V20" si="65">SUM(M21:M25)</f>
        <v>94.836648083696161</v>
      </c>
      <c r="N20" s="152">
        <f t="shared" si="65"/>
        <v>105.321447861628</v>
      </c>
      <c r="O20" s="152">
        <f t="shared" si="65"/>
        <v>110.20783978327152</v>
      </c>
      <c r="P20" s="152">
        <f t="shared" si="65"/>
        <v>120.39165751863615</v>
      </c>
      <c r="Q20" s="152">
        <f t="shared" si="65"/>
        <v>125.05303659512465</v>
      </c>
      <c r="R20" s="152">
        <f t="shared" si="65"/>
        <v>131.49279998554701</v>
      </c>
      <c r="S20" s="152">
        <f t="shared" si="65"/>
        <v>131.40947181039618</v>
      </c>
      <c r="T20" s="152">
        <f t="shared" si="65"/>
        <v>133.70229276308334</v>
      </c>
      <c r="U20" s="152">
        <f t="shared" si="65"/>
        <v>139.51446888187118</v>
      </c>
      <c r="V20" s="152">
        <f t="shared" si="65"/>
        <v>144.90773928619848</v>
      </c>
      <c r="W20" s="152">
        <f t="shared" ref="W20:Y20" si="66">SUM(W21:W25)</f>
        <v>150.63040802988644</v>
      </c>
      <c r="X20" s="152">
        <f t="shared" si="66"/>
        <v>143.27141403038311</v>
      </c>
      <c r="Y20" s="152">
        <f t="shared" si="66"/>
        <v>145.02384889224589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4.374950536137157</v>
      </c>
      <c r="C21" s="87">
        <f t="shared" si="67"/>
        <v>4.3433662109701281</v>
      </c>
      <c r="D21" s="87">
        <f t="shared" si="67"/>
        <v>4.3218764137974599</v>
      </c>
      <c r="E21" s="87">
        <f t="shared" si="67"/>
        <v>4.3000655774952481</v>
      </c>
      <c r="F21" s="87">
        <f t="shared" si="67"/>
        <v>4.2859688426235376</v>
      </c>
      <c r="G21" s="87">
        <f t="shared" si="67"/>
        <v>4.3668518010800641</v>
      </c>
      <c r="H21" s="87">
        <f t="shared" si="67"/>
        <v>5.5480305758457495</v>
      </c>
      <c r="I21" s="87">
        <f t="shared" si="67"/>
        <v>6.4163477849466179</v>
      </c>
      <c r="J21" s="87">
        <f t="shared" si="67"/>
        <v>5.949139742976798</v>
      </c>
      <c r="K21" s="87">
        <f t="shared" si="67"/>
        <v>5.4300755832006766</v>
      </c>
      <c r="L21" s="87">
        <f t="shared" ref="L21" si="68">IF(L48=0,0,L48*L158)</f>
        <v>4.7881283776337913</v>
      </c>
      <c r="M21" s="87">
        <f t="shared" ref="M21:V21" si="69">IF(M48=0,0,M48*M158)</f>
        <v>4.150301771582356</v>
      </c>
      <c r="N21" s="87">
        <f t="shared" si="69"/>
        <v>3.5259404680140665</v>
      </c>
      <c r="O21" s="87">
        <f t="shared" si="69"/>
        <v>3.1302278205364988</v>
      </c>
      <c r="P21" s="87">
        <f t="shared" si="69"/>
        <v>2.7651887055323701</v>
      </c>
      <c r="Q21" s="87">
        <f t="shared" si="69"/>
        <v>2.354046044282855</v>
      </c>
      <c r="R21" s="87">
        <f t="shared" si="69"/>
        <v>2.1852821208346112</v>
      </c>
      <c r="S21" s="87">
        <f t="shared" si="69"/>
        <v>2.0017040514847451</v>
      </c>
      <c r="T21" s="87">
        <f t="shared" si="69"/>
        <v>1.8646873451456401</v>
      </c>
      <c r="U21" s="87">
        <f t="shared" si="69"/>
        <v>2.4612508264636528</v>
      </c>
      <c r="V21" s="87">
        <f t="shared" si="69"/>
        <v>2.2197916284488262</v>
      </c>
      <c r="W21" s="87">
        <f t="shared" ref="W21:Y21" si="70">IF(W48=0,0,W48*W158)</f>
        <v>2.0475042575441664</v>
      </c>
      <c r="X21" s="87">
        <f t="shared" si="70"/>
        <v>1.6961953255177404</v>
      </c>
      <c r="Y21" s="87">
        <f t="shared" si="70"/>
        <v>1.4439212764670204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33.962806143744707</v>
      </c>
      <c r="C22" s="87">
        <f t="shared" si="71"/>
        <v>35.104954079486504</v>
      </c>
      <c r="D22" s="87">
        <f t="shared" si="71"/>
        <v>38.616781660254262</v>
      </c>
      <c r="E22" s="87">
        <f t="shared" si="71"/>
        <v>41.961687463119134</v>
      </c>
      <c r="F22" s="87">
        <f t="shared" si="71"/>
        <v>45.105544970654741</v>
      </c>
      <c r="G22" s="87">
        <f t="shared" si="71"/>
        <v>50.327829191881364</v>
      </c>
      <c r="H22" s="87">
        <f t="shared" si="71"/>
        <v>63.438906202058988</v>
      </c>
      <c r="I22" s="87">
        <f t="shared" si="71"/>
        <v>72.792378090327389</v>
      </c>
      <c r="J22" s="87">
        <f t="shared" si="71"/>
        <v>78.144445977684725</v>
      </c>
      <c r="K22" s="87">
        <f t="shared" si="71"/>
        <v>88.302423940994643</v>
      </c>
      <c r="L22" s="87">
        <f t="shared" ref="L22" si="72">IF(L49=0,0,L49*L159)</f>
        <v>80.75113467516428</v>
      </c>
      <c r="M22" s="87">
        <f t="shared" ref="M22:V22" si="73">IF(M49=0,0,M49*M159)</f>
        <v>90.686346312113798</v>
      </c>
      <c r="N22" s="87">
        <f t="shared" si="73"/>
        <v>101.79550739361393</v>
      </c>
      <c r="O22" s="87">
        <f t="shared" si="73"/>
        <v>107.07761196273502</v>
      </c>
      <c r="P22" s="87">
        <f t="shared" si="73"/>
        <v>117.62646881310378</v>
      </c>
      <c r="Q22" s="87">
        <f t="shared" si="73"/>
        <v>122.6989905508418</v>
      </c>
      <c r="R22" s="87">
        <f t="shared" si="73"/>
        <v>129.30751786471239</v>
      </c>
      <c r="S22" s="87">
        <f t="shared" si="73"/>
        <v>129.40776775891143</v>
      </c>
      <c r="T22" s="87">
        <f t="shared" si="73"/>
        <v>131.83760541793771</v>
      </c>
      <c r="U22" s="87">
        <f t="shared" si="73"/>
        <v>137.05321805540754</v>
      </c>
      <c r="V22" s="87">
        <f t="shared" si="73"/>
        <v>142.68794765774965</v>
      </c>
      <c r="W22" s="87">
        <f t="shared" ref="W22:Y22" si="74">IF(W49=0,0,W49*W159)</f>
        <v>148.58290377234226</v>
      </c>
      <c r="X22" s="87">
        <f t="shared" si="74"/>
        <v>141.57521870486536</v>
      </c>
      <c r="Y22" s="87">
        <f t="shared" si="74"/>
        <v>143.57992761577887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:Y23" si="78">IF(W50=0,0,W50*W160)</f>
        <v>0</v>
      </c>
      <c r="X23" s="87">
        <f t="shared" si="78"/>
        <v>0</v>
      </c>
      <c r="Y23" s="87">
        <f t="shared" si="78"/>
        <v>0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:Y24" si="82">IF(W51=0,0,W51*W161)</f>
        <v>0</v>
      </c>
      <c r="X24" s="87">
        <f t="shared" si="82"/>
        <v>0</v>
      </c>
      <c r="Y24" s="87">
        <f t="shared" si="82"/>
        <v>0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0</v>
      </c>
      <c r="O25" s="87">
        <f t="shared" si="85"/>
        <v>0</v>
      </c>
      <c r="P25" s="87">
        <f t="shared" si="85"/>
        <v>0</v>
      </c>
      <c r="Q25" s="87">
        <f t="shared" si="85"/>
        <v>0</v>
      </c>
      <c r="R25" s="87">
        <f t="shared" si="85"/>
        <v>0</v>
      </c>
      <c r="S25" s="87">
        <f t="shared" si="85"/>
        <v>0</v>
      </c>
      <c r="T25" s="87">
        <f t="shared" si="85"/>
        <v>0</v>
      </c>
      <c r="U25" s="87">
        <f t="shared" si="85"/>
        <v>0</v>
      </c>
      <c r="V25" s="87">
        <f t="shared" si="85"/>
        <v>0</v>
      </c>
      <c r="W25" s="87">
        <f t="shared" ref="W25:Y25" si="86">IF(W52=0,0,W52*W162)</f>
        <v>0</v>
      </c>
      <c r="X25" s="87">
        <f t="shared" si="86"/>
        <v>0</v>
      </c>
      <c r="Y25" s="87">
        <f t="shared" si="86"/>
        <v>0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3132.0170516064236</v>
      </c>
      <c r="C26" s="116">
        <f t="shared" si="87"/>
        <v>3229.7933977617131</v>
      </c>
      <c r="D26" s="116">
        <f t="shared" si="87"/>
        <v>3330.7156711326143</v>
      </c>
      <c r="E26" s="116">
        <f t="shared" si="87"/>
        <v>3799.9575430134196</v>
      </c>
      <c r="F26" s="116">
        <f t="shared" si="87"/>
        <v>4351.0071093030047</v>
      </c>
      <c r="G26" s="116">
        <f t="shared" si="87"/>
        <v>4351.3532077765913</v>
      </c>
      <c r="H26" s="116">
        <f t="shared" si="87"/>
        <v>5078.9104620356111</v>
      </c>
      <c r="I26" s="116">
        <f t="shared" si="87"/>
        <v>5857.1309853276171</v>
      </c>
      <c r="J26" s="116">
        <f t="shared" si="87"/>
        <v>5452.9833045731884</v>
      </c>
      <c r="K26" s="116">
        <f t="shared" si="87"/>
        <v>5002.9435929245137</v>
      </c>
      <c r="L26" s="116">
        <f t="shared" ref="L26" si="88">SUM(L27:L28)</f>
        <v>5022.8402420568682</v>
      </c>
      <c r="M26" s="116">
        <f t="shared" ref="M26:V26" si="89">SUM(M27:M28)</f>
        <v>5392.323192048656</v>
      </c>
      <c r="N26" s="116">
        <f t="shared" si="89"/>
        <v>5984.1807369090102</v>
      </c>
      <c r="O26" s="116">
        <f t="shared" si="89"/>
        <v>6691.0372613651125</v>
      </c>
      <c r="P26" s="116">
        <f t="shared" si="89"/>
        <v>6713.8771237216697</v>
      </c>
      <c r="Q26" s="116">
        <f t="shared" si="89"/>
        <v>7277.3203916716893</v>
      </c>
      <c r="R26" s="116">
        <f t="shared" si="89"/>
        <v>7431.2378973444611</v>
      </c>
      <c r="S26" s="116">
        <f t="shared" si="89"/>
        <v>7700.6125771429988</v>
      </c>
      <c r="T26" s="116">
        <f t="shared" si="89"/>
        <v>7978</v>
      </c>
      <c r="U26" s="116">
        <f t="shared" si="89"/>
        <v>7816</v>
      </c>
      <c r="V26" s="116">
        <f t="shared" si="89"/>
        <v>8667</v>
      </c>
      <c r="W26" s="116">
        <f t="shared" ref="W26:Y26" si="90">SUM(W27:W28)</f>
        <v>8725</v>
      </c>
      <c r="X26" s="116">
        <f t="shared" si="90"/>
        <v>8523</v>
      </c>
      <c r="Y26" s="116">
        <f t="shared" si="90"/>
        <v>9819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1534</v>
      </c>
      <c r="C27" s="101">
        <f t="shared" si="91"/>
        <v>1518</v>
      </c>
      <c r="D27" s="101">
        <f t="shared" si="91"/>
        <v>1518</v>
      </c>
      <c r="E27" s="101">
        <f t="shared" si="91"/>
        <v>1958</v>
      </c>
      <c r="F27" s="101">
        <f t="shared" si="91"/>
        <v>2213</v>
      </c>
      <c r="G27" s="101">
        <f t="shared" si="91"/>
        <v>2137</v>
      </c>
      <c r="H27" s="101">
        <f t="shared" si="91"/>
        <v>2232</v>
      </c>
      <c r="I27" s="101">
        <f t="shared" si="91"/>
        <v>2704</v>
      </c>
      <c r="J27" s="101">
        <f t="shared" si="91"/>
        <v>2560</v>
      </c>
      <c r="K27" s="101">
        <f t="shared" si="91"/>
        <v>2633</v>
      </c>
      <c r="L27" s="101">
        <f t="shared" ref="L27:V27" si="92">IF(L54=0,0,L54*L164)</f>
        <v>2292</v>
      </c>
      <c r="M27" s="101">
        <f t="shared" si="92"/>
        <v>2320</v>
      </c>
      <c r="N27" s="101">
        <f t="shared" si="92"/>
        <v>2438</v>
      </c>
      <c r="O27" s="101">
        <f t="shared" si="92"/>
        <v>2540</v>
      </c>
      <c r="P27" s="101">
        <f t="shared" si="92"/>
        <v>2768</v>
      </c>
      <c r="Q27" s="101">
        <f t="shared" si="92"/>
        <v>2913</v>
      </c>
      <c r="R27" s="101">
        <f t="shared" si="92"/>
        <v>2970</v>
      </c>
      <c r="S27" s="101">
        <f t="shared" si="92"/>
        <v>3184</v>
      </c>
      <c r="T27" s="101">
        <f t="shared" si="92"/>
        <v>3642.0000000000005</v>
      </c>
      <c r="U27" s="101">
        <f t="shared" si="92"/>
        <v>3555</v>
      </c>
      <c r="V27" s="101">
        <f t="shared" si="92"/>
        <v>3994.9999999999995</v>
      </c>
      <c r="W27" s="101">
        <f t="shared" ref="W27:Y27" si="93">IF(W54=0,0,W54*W164)</f>
        <v>3862</v>
      </c>
      <c r="X27" s="101">
        <f t="shared" si="93"/>
        <v>3182</v>
      </c>
      <c r="Y27" s="101">
        <f t="shared" si="93"/>
        <v>4178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1598.0170516064236</v>
      </c>
      <c r="C28" s="88">
        <f t="shared" si="94"/>
        <v>1711.7933977617131</v>
      </c>
      <c r="D28" s="88">
        <f t="shared" si="94"/>
        <v>1812.7156711326143</v>
      </c>
      <c r="E28" s="88">
        <f t="shared" si="94"/>
        <v>1841.9575430134196</v>
      </c>
      <c r="F28" s="88">
        <f t="shared" si="94"/>
        <v>2138.0071093030047</v>
      </c>
      <c r="G28" s="88">
        <f t="shared" si="94"/>
        <v>2214.3532077765913</v>
      </c>
      <c r="H28" s="88">
        <f t="shared" si="94"/>
        <v>2846.9104620356111</v>
      </c>
      <c r="I28" s="88">
        <f t="shared" si="94"/>
        <v>3153.1309853276171</v>
      </c>
      <c r="J28" s="88">
        <f t="shared" si="94"/>
        <v>2892.9833045731884</v>
      </c>
      <c r="K28" s="88">
        <f t="shared" si="94"/>
        <v>2369.9435929245137</v>
      </c>
      <c r="L28" s="88">
        <f t="shared" ref="L28:V28" si="95">IF(L55=0,0,L55*L165)</f>
        <v>2730.8402420568682</v>
      </c>
      <c r="M28" s="88">
        <f t="shared" si="95"/>
        <v>3072.323192048656</v>
      </c>
      <c r="N28" s="88">
        <f t="shared" si="95"/>
        <v>3546.1807369090102</v>
      </c>
      <c r="O28" s="88">
        <f t="shared" si="95"/>
        <v>4151.0372613651125</v>
      </c>
      <c r="P28" s="88">
        <f t="shared" si="95"/>
        <v>3945.8771237216697</v>
      </c>
      <c r="Q28" s="88">
        <f t="shared" si="95"/>
        <v>4364.3203916716893</v>
      </c>
      <c r="R28" s="88">
        <f t="shared" si="95"/>
        <v>4461.2378973444611</v>
      </c>
      <c r="S28" s="88">
        <f t="shared" si="95"/>
        <v>4516.6125771429988</v>
      </c>
      <c r="T28" s="88">
        <f t="shared" si="95"/>
        <v>4336</v>
      </c>
      <c r="U28" s="88">
        <f t="shared" si="95"/>
        <v>4261</v>
      </c>
      <c r="V28" s="88">
        <f t="shared" si="95"/>
        <v>4672</v>
      </c>
      <c r="W28" s="88">
        <f t="shared" ref="W28:Y28" si="96">IF(W55=0,0,W55*W165)</f>
        <v>4863</v>
      </c>
      <c r="X28" s="88">
        <f t="shared" si="96"/>
        <v>5341</v>
      </c>
      <c r="Y28" s="88">
        <f t="shared" si="96"/>
        <v>5641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10110.777093300532</v>
      </c>
      <c r="C30" s="62">
        <f t="shared" ref="C30:V30" si="98">C31+C46</f>
        <v>10284.839572929881</v>
      </c>
      <c r="D30" s="62">
        <f t="shared" si="98"/>
        <v>10964.832106823764</v>
      </c>
      <c r="E30" s="62">
        <f t="shared" si="98"/>
        <v>12366.801426820626</v>
      </c>
      <c r="F30" s="62">
        <f t="shared" si="98"/>
        <v>13602.932493113167</v>
      </c>
      <c r="G30" s="62">
        <f t="shared" si="98"/>
        <v>15186.542528361742</v>
      </c>
      <c r="H30" s="62">
        <f t="shared" si="98"/>
        <v>17361.302528438959</v>
      </c>
      <c r="I30" s="62">
        <f t="shared" si="98"/>
        <v>18974.457506455608</v>
      </c>
      <c r="J30" s="62">
        <f t="shared" si="98"/>
        <v>18697.564749278186</v>
      </c>
      <c r="K30" s="62">
        <f t="shared" si="98"/>
        <v>17901.559186525032</v>
      </c>
      <c r="L30" s="62">
        <f t="shared" si="98"/>
        <v>17853.776312444592</v>
      </c>
      <c r="M30" s="62">
        <f t="shared" si="98"/>
        <v>16659.039608033938</v>
      </c>
      <c r="N30" s="62">
        <f t="shared" si="98"/>
        <v>19187.978622506333</v>
      </c>
      <c r="O30" s="62">
        <f t="shared" si="98"/>
        <v>18896.006318234799</v>
      </c>
      <c r="P30" s="62">
        <f t="shared" si="98"/>
        <v>18103.59133955276</v>
      </c>
      <c r="Q30" s="62">
        <f t="shared" si="98"/>
        <v>19269.720494648216</v>
      </c>
      <c r="R30" s="62">
        <f t="shared" si="98"/>
        <v>21831.459611803479</v>
      </c>
      <c r="S30" s="62">
        <f t="shared" si="98"/>
        <v>23068.985869244792</v>
      </c>
      <c r="T30" s="62">
        <f t="shared" si="98"/>
        <v>24664.157591457992</v>
      </c>
      <c r="U30" s="62">
        <f t="shared" si="98"/>
        <v>25707.495151096708</v>
      </c>
      <c r="V30" s="62">
        <f t="shared" si="98"/>
        <v>25211.136229484386</v>
      </c>
      <c r="W30" s="62">
        <f t="shared" ref="W30:Y30" si="99">W31+W46</f>
        <v>25565.501332253334</v>
      </c>
      <c r="X30" s="62">
        <f t="shared" si="99"/>
        <v>26527.75406924175</v>
      </c>
      <c r="Y30" s="62">
        <f t="shared" si="99"/>
        <v>27689.360970854745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9385.769860938497</v>
      </c>
      <c r="C31" s="29">
        <f t="shared" ref="C31:V31" si="101">C32+C33+C40</f>
        <v>9548.0335629010915</v>
      </c>
      <c r="D31" s="29">
        <f t="shared" si="101"/>
        <v>10197.748536638563</v>
      </c>
      <c r="E31" s="29">
        <f t="shared" si="101"/>
        <v>11477.752235725409</v>
      </c>
      <c r="F31" s="29">
        <f t="shared" si="101"/>
        <v>12675.983599575306</v>
      </c>
      <c r="G31" s="29">
        <f t="shared" si="101"/>
        <v>14256.481754534405</v>
      </c>
      <c r="H31" s="29">
        <f t="shared" si="101"/>
        <v>16272.393254965189</v>
      </c>
      <c r="I31" s="29">
        <f t="shared" si="101"/>
        <v>17743.672887030836</v>
      </c>
      <c r="J31" s="29">
        <f t="shared" si="101"/>
        <v>17501.885226100632</v>
      </c>
      <c r="K31" s="29">
        <f t="shared" si="101"/>
        <v>16684.667595865922</v>
      </c>
      <c r="L31" s="29">
        <f t="shared" si="101"/>
        <v>16733.83247523976</v>
      </c>
      <c r="M31" s="29">
        <f t="shared" si="101"/>
        <v>15444.784280921027</v>
      </c>
      <c r="N31" s="29">
        <f t="shared" si="101"/>
        <v>17839.768028913473</v>
      </c>
      <c r="O31" s="29">
        <f t="shared" si="101"/>
        <v>17449.253669186422</v>
      </c>
      <c r="P31" s="29">
        <f t="shared" si="101"/>
        <v>16564.079882249385</v>
      </c>
      <c r="Q31" s="29">
        <f t="shared" si="101"/>
        <v>17684.908127177379</v>
      </c>
      <c r="R31" s="29">
        <f t="shared" si="101"/>
        <v>20184.238646236689</v>
      </c>
      <c r="S31" s="29">
        <f t="shared" si="101"/>
        <v>21413.892626320026</v>
      </c>
      <c r="T31" s="29">
        <f t="shared" si="101"/>
        <v>22990.581966452381</v>
      </c>
      <c r="U31" s="29">
        <f t="shared" si="101"/>
        <v>23982.076723646718</v>
      </c>
      <c r="V31" s="29">
        <f t="shared" si="101"/>
        <v>23404.994011765837</v>
      </c>
      <c r="W31" s="29">
        <f t="shared" ref="W31:Y31" si="102">W32+W33+W40</f>
        <v>23735.223908538825</v>
      </c>
      <c r="X31" s="29">
        <f t="shared" si="102"/>
        <v>24808.398175192247</v>
      </c>
      <c r="Y31" s="29">
        <f t="shared" si="102"/>
        <v>25869.553445133646</v>
      </c>
      <c r="DA31" s="173" t="s">
        <v>475</v>
      </c>
    </row>
    <row r="32" spans="1:105" ht="11.45" customHeight="1" x14ac:dyDescent="0.25">
      <c r="A32" s="136" t="s">
        <v>173</v>
      </c>
      <c r="B32" s="152">
        <v>55.971734287753428</v>
      </c>
      <c r="C32" s="152">
        <v>56.692198484198776</v>
      </c>
      <c r="D32" s="152">
        <v>58.573487607038551</v>
      </c>
      <c r="E32" s="152">
        <v>60.486619148621799</v>
      </c>
      <c r="F32" s="152">
        <v>63</v>
      </c>
      <c r="G32" s="152">
        <v>61.6</v>
      </c>
      <c r="H32" s="152">
        <v>65.2</v>
      </c>
      <c r="I32" s="152">
        <v>73.808179743904304</v>
      </c>
      <c r="J32" s="152">
        <v>85.984938558137472</v>
      </c>
      <c r="K32" s="152">
        <v>92.237712775531406</v>
      </c>
      <c r="L32" s="152">
        <v>91.058695256958657</v>
      </c>
      <c r="M32" s="152">
        <v>90.962065210308282</v>
      </c>
      <c r="N32" s="152">
        <v>90.284253236006165</v>
      </c>
      <c r="O32" s="152">
        <v>89.911739066644927</v>
      </c>
      <c r="P32" s="152">
        <v>86.924481728881815</v>
      </c>
      <c r="Q32" s="152">
        <v>87.115393770485468</v>
      </c>
      <c r="R32" s="152">
        <v>93.523492379292605</v>
      </c>
      <c r="S32" s="152">
        <v>89.281403258715315</v>
      </c>
      <c r="T32" s="152">
        <v>86.004301434917252</v>
      </c>
      <c r="U32" s="152">
        <v>92.078359445771454</v>
      </c>
      <c r="V32" s="152">
        <v>83.941092735631685</v>
      </c>
      <c r="W32" s="152">
        <v>88.741158938140387</v>
      </c>
      <c r="X32" s="152">
        <v>92.555808759938657</v>
      </c>
      <c r="Y32" s="152">
        <v>102.5411821683206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9234.341596611308</v>
      </c>
      <c r="C33" s="116">
        <f t="shared" ref="C33:V33" si="104">SUM(C34:C39)</f>
        <v>9393.1819710218679</v>
      </c>
      <c r="D33" s="116">
        <f t="shared" si="104"/>
        <v>10034.778311773873</v>
      </c>
      <c r="E33" s="116">
        <f t="shared" si="104"/>
        <v>11309.833375138453</v>
      </c>
      <c r="F33" s="116">
        <f t="shared" si="104"/>
        <v>12497.90731229326</v>
      </c>
      <c r="G33" s="116">
        <f t="shared" si="104"/>
        <v>14082.944668224362</v>
      </c>
      <c r="H33" s="116">
        <f t="shared" si="104"/>
        <v>16098.739998516732</v>
      </c>
      <c r="I33" s="116">
        <f t="shared" si="104"/>
        <v>17566.979026065092</v>
      </c>
      <c r="J33" s="116">
        <f t="shared" si="104"/>
        <v>17319.169945288111</v>
      </c>
      <c r="K33" s="116">
        <f t="shared" si="104"/>
        <v>16496.149121333114</v>
      </c>
      <c r="L33" s="116">
        <f t="shared" si="104"/>
        <v>16549.169160579524</v>
      </c>
      <c r="M33" s="116">
        <f t="shared" si="104"/>
        <v>15258.044980419822</v>
      </c>
      <c r="N33" s="116">
        <f t="shared" si="104"/>
        <v>17654.730939981855</v>
      </c>
      <c r="O33" s="116">
        <f t="shared" si="104"/>
        <v>17254.680194207122</v>
      </c>
      <c r="P33" s="116">
        <f t="shared" si="104"/>
        <v>16369.155400520502</v>
      </c>
      <c r="Q33" s="116">
        <f t="shared" si="104"/>
        <v>17481.792733406895</v>
      </c>
      <c r="R33" s="116">
        <f t="shared" si="104"/>
        <v>19977.715153857396</v>
      </c>
      <c r="S33" s="116">
        <f t="shared" si="104"/>
        <v>21208.611223061311</v>
      </c>
      <c r="T33" s="116">
        <f t="shared" si="104"/>
        <v>22785.577665017463</v>
      </c>
      <c r="U33" s="116">
        <f t="shared" si="104"/>
        <v>23756.998364200947</v>
      </c>
      <c r="V33" s="116">
        <f t="shared" si="104"/>
        <v>23219.052919030204</v>
      </c>
      <c r="W33" s="116">
        <f t="shared" ref="W33:Y33" si="105">SUM(W34:W39)</f>
        <v>23544.882749600685</v>
      </c>
      <c r="X33" s="116">
        <f t="shared" si="105"/>
        <v>24601.842366432309</v>
      </c>
      <c r="Y33" s="116">
        <f t="shared" si="105"/>
        <v>25636.279308419871</v>
      </c>
      <c r="DA33" s="176" t="s">
        <v>477</v>
      </c>
    </row>
    <row r="34" spans="1:105" ht="11.45" customHeight="1" x14ac:dyDescent="0.25">
      <c r="A34" s="111" t="s">
        <v>110</v>
      </c>
      <c r="B34" s="87">
        <v>4626.9540236590046</v>
      </c>
      <c r="C34" s="87">
        <v>4360.2369120075591</v>
      </c>
      <c r="D34" s="87">
        <v>4281.2818999992705</v>
      </c>
      <c r="E34" s="87">
        <v>4376.4693770194644</v>
      </c>
      <c r="F34" s="87">
        <v>4186.7160145984426</v>
      </c>
      <c r="G34" s="87">
        <v>4358.3516853639176</v>
      </c>
      <c r="H34" s="87">
        <v>4665.7257883407192</v>
      </c>
      <c r="I34" s="87">
        <v>5471.1568860311791</v>
      </c>
      <c r="J34" s="87">
        <v>5436.280688047892</v>
      </c>
      <c r="K34" s="87">
        <v>4741.8487551565167</v>
      </c>
      <c r="L34" s="87">
        <v>3739.1172182909872</v>
      </c>
      <c r="M34" s="87">
        <v>3297.6521626479748</v>
      </c>
      <c r="N34" s="87">
        <v>2975.80996934001</v>
      </c>
      <c r="O34" s="87">
        <v>2652.781900413836</v>
      </c>
      <c r="P34" s="87">
        <v>2629.8919435677899</v>
      </c>
      <c r="Q34" s="87">
        <v>2654.0599957579684</v>
      </c>
      <c r="R34" s="87">
        <v>2730.3530922893519</v>
      </c>
      <c r="S34" s="87">
        <v>2848.5833737254661</v>
      </c>
      <c r="T34" s="87">
        <v>3256.6912142665988</v>
      </c>
      <c r="U34" s="87">
        <v>3569.6738118627163</v>
      </c>
      <c r="V34" s="87">
        <v>3649.5074149052266</v>
      </c>
      <c r="W34" s="87">
        <v>3771.1487954810004</v>
      </c>
      <c r="X34" s="87">
        <v>4526.35662666813</v>
      </c>
      <c r="Y34" s="87">
        <v>5064.7124140748674</v>
      </c>
      <c r="DA34" s="171" t="s">
        <v>478</v>
      </c>
    </row>
    <row r="35" spans="1:105" ht="11.45" customHeight="1" x14ac:dyDescent="0.25">
      <c r="A35" s="111" t="s">
        <v>111</v>
      </c>
      <c r="B35" s="87">
        <v>2773.5281431588492</v>
      </c>
      <c r="C35" s="87">
        <v>3267.1549470130149</v>
      </c>
      <c r="D35" s="87">
        <v>3614.546386385131</v>
      </c>
      <c r="E35" s="87">
        <v>4552.3601363020243</v>
      </c>
      <c r="F35" s="87">
        <v>5290.1026953646187</v>
      </c>
      <c r="G35" s="87">
        <v>6892.3768867576819</v>
      </c>
      <c r="H35" s="87">
        <v>8425.6884397585818</v>
      </c>
      <c r="I35" s="87">
        <v>8603.8571007935261</v>
      </c>
      <c r="J35" s="87">
        <v>8635.8036818999572</v>
      </c>
      <c r="K35" s="87">
        <v>9198.8708219187502</v>
      </c>
      <c r="L35" s="87">
        <v>10086.260411293913</v>
      </c>
      <c r="M35" s="87">
        <v>9450.4664036791255</v>
      </c>
      <c r="N35" s="87">
        <v>12471.188476844813</v>
      </c>
      <c r="O35" s="87">
        <v>12326.446614991013</v>
      </c>
      <c r="P35" s="87">
        <v>11502.792591398544</v>
      </c>
      <c r="Q35" s="87">
        <v>12697.623864367513</v>
      </c>
      <c r="R35" s="87">
        <v>15096.17941279522</v>
      </c>
      <c r="S35" s="87">
        <v>16360.169688258333</v>
      </c>
      <c r="T35" s="87">
        <v>17575.22034520415</v>
      </c>
      <c r="U35" s="87">
        <v>18223.757722760089</v>
      </c>
      <c r="V35" s="87">
        <v>17649.207211834953</v>
      </c>
      <c r="W35" s="87">
        <v>17777.621842812026</v>
      </c>
      <c r="X35" s="87">
        <v>17876.542812746793</v>
      </c>
      <c r="Y35" s="87">
        <v>18105.847268203448</v>
      </c>
      <c r="DA35" s="171" t="s">
        <v>479</v>
      </c>
    </row>
    <row r="36" spans="1:105" ht="11.45" customHeight="1" x14ac:dyDescent="0.25">
      <c r="A36" s="111" t="s">
        <v>112</v>
      </c>
      <c r="B36" s="87">
        <v>1833.8594297934544</v>
      </c>
      <c r="C36" s="87">
        <v>1765.7901120012939</v>
      </c>
      <c r="D36" s="87">
        <v>2138.9500253894707</v>
      </c>
      <c r="E36" s="87">
        <v>2381.0038618169647</v>
      </c>
      <c r="F36" s="87">
        <v>3021.0886023301996</v>
      </c>
      <c r="G36" s="87">
        <v>2832.2160961027625</v>
      </c>
      <c r="H36" s="87">
        <v>3007.3257704174316</v>
      </c>
      <c r="I36" s="87">
        <v>3491.9650392403869</v>
      </c>
      <c r="J36" s="87">
        <v>3247.085575340262</v>
      </c>
      <c r="K36" s="87">
        <v>2555.4295442578468</v>
      </c>
      <c r="L36" s="87">
        <v>2723.7915309946229</v>
      </c>
      <c r="M36" s="87">
        <v>2509.9035133277312</v>
      </c>
      <c r="N36" s="87">
        <v>2207.702520345515</v>
      </c>
      <c r="O36" s="87">
        <v>2263.2967280138114</v>
      </c>
      <c r="P36" s="87">
        <v>2202.3379590805198</v>
      </c>
      <c r="Q36" s="87">
        <v>2082.2582154149304</v>
      </c>
      <c r="R36" s="87">
        <v>2074.1402618461275</v>
      </c>
      <c r="S36" s="87">
        <v>1879.4033967000237</v>
      </c>
      <c r="T36" s="87">
        <v>1755.3364249802371</v>
      </c>
      <c r="U36" s="87">
        <v>1672.0905235368482</v>
      </c>
      <c r="V36" s="87">
        <v>1500.0119138318719</v>
      </c>
      <c r="W36" s="87">
        <v>1367.0343916191109</v>
      </c>
      <c r="X36" s="87">
        <v>1384.3016316197825</v>
      </c>
      <c r="Y36" s="87">
        <v>1424.7772416609093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6.9958152627313105E-3</v>
      </c>
      <c r="O37" s="87">
        <v>3.6443298848330863E-2</v>
      </c>
      <c r="P37" s="87">
        <v>0.21256395304557046</v>
      </c>
      <c r="Q37" s="87">
        <v>0.29742352596501126</v>
      </c>
      <c r="R37" s="87">
        <v>0.43041038025596634</v>
      </c>
      <c r="S37" s="87">
        <v>0.65243619786437457</v>
      </c>
      <c r="T37" s="87">
        <v>0.87366407349194375</v>
      </c>
      <c r="U37" s="87">
        <v>0.85895295418579731</v>
      </c>
      <c r="V37" s="87">
        <v>1.4354272893641009</v>
      </c>
      <c r="W37" s="87">
        <v>1.9785834270300351</v>
      </c>
      <c r="X37" s="87">
        <v>6.9488163706276564</v>
      </c>
      <c r="Y37" s="87">
        <v>6.1644718617995267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12.04944170069815</v>
      </c>
      <c r="P38" s="87">
        <v>33.194474141873386</v>
      </c>
      <c r="Q38" s="87">
        <v>45.775697613906623</v>
      </c>
      <c r="R38" s="87">
        <v>72.810511385517572</v>
      </c>
      <c r="S38" s="87">
        <v>112.76072672074733</v>
      </c>
      <c r="T38" s="87">
        <v>186.67368459789688</v>
      </c>
      <c r="U38" s="87">
        <v>275.05820847225772</v>
      </c>
      <c r="V38" s="87">
        <v>390.96799550085757</v>
      </c>
      <c r="W38" s="87">
        <v>571.80293160516931</v>
      </c>
      <c r="X38" s="87">
        <v>724.05509255069569</v>
      </c>
      <c r="Y38" s="87">
        <v>904.36789161321519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2.2900764991034654E-2</v>
      </c>
      <c r="N39" s="87">
        <v>2.2977636252737934E-2</v>
      </c>
      <c r="O39" s="87">
        <v>6.9065788911738354E-2</v>
      </c>
      <c r="P39" s="87">
        <v>0.72586837872780774</v>
      </c>
      <c r="Q39" s="87">
        <v>1.7775367266106175</v>
      </c>
      <c r="R39" s="87">
        <v>3.8014651609224486</v>
      </c>
      <c r="S39" s="87">
        <v>7.0416014588769968</v>
      </c>
      <c r="T39" s="87">
        <v>10.782331895092016</v>
      </c>
      <c r="U39" s="87">
        <v>15.559144614851233</v>
      </c>
      <c r="V39" s="87">
        <v>27.922955667927873</v>
      </c>
      <c r="W39" s="87">
        <v>55.296204656349694</v>
      </c>
      <c r="X39" s="87">
        <v>83.637386476283794</v>
      </c>
      <c r="Y39" s="87">
        <v>130.41002100563298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95.456530039435279</v>
      </c>
      <c r="C40" s="116">
        <f t="shared" ref="C40:V40" si="107">SUM(C41:C45)</f>
        <v>98.159393395024949</v>
      </c>
      <c r="D40" s="116">
        <f t="shared" si="107"/>
        <v>104.39673725765111</v>
      </c>
      <c r="E40" s="116">
        <f t="shared" si="107"/>
        <v>107.43224143833498</v>
      </c>
      <c r="F40" s="116">
        <f t="shared" si="107"/>
        <v>115.07628728204516</v>
      </c>
      <c r="G40" s="116">
        <f t="shared" si="107"/>
        <v>111.93708631004354</v>
      </c>
      <c r="H40" s="116">
        <f t="shared" si="107"/>
        <v>108.45325644845596</v>
      </c>
      <c r="I40" s="116">
        <f t="shared" si="107"/>
        <v>102.88568122184064</v>
      </c>
      <c r="J40" s="116">
        <f t="shared" si="107"/>
        <v>96.730342254384652</v>
      </c>
      <c r="K40" s="116">
        <f t="shared" si="107"/>
        <v>96.280761757275812</v>
      </c>
      <c r="L40" s="116">
        <f t="shared" si="107"/>
        <v>93.604619403279699</v>
      </c>
      <c r="M40" s="116">
        <f t="shared" si="107"/>
        <v>95.777235290898531</v>
      </c>
      <c r="N40" s="116">
        <f t="shared" si="107"/>
        <v>94.752835695613001</v>
      </c>
      <c r="O40" s="116">
        <f t="shared" si="107"/>
        <v>104.66173591265789</v>
      </c>
      <c r="P40" s="116">
        <f t="shared" si="107"/>
        <v>108.00000000000001</v>
      </c>
      <c r="Q40" s="116">
        <f t="shared" si="107"/>
        <v>116</v>
      </c>
      <c r="R40" s="116">
        <f t="shared" si="107"/>
        <v>113</v>
      </c>
      <c r="S40" s="116">
        <f t="shared" si="107"/>
        <v>115.99999999999997</v>
      </c>
      <c r="T40" s="116">
        <f t="shared" si="107"/>
        <v>119</v>
      </c>
      <c r="U40" s="116">
        <f t="shared" si="107"/>
        <v>133.00000000000003</v>
      </c>
      <c r="V40" s="116">
        <f t="shared" si="107"/>
        <v>101.99999999999999</v>
      </c>
      <c r="W40" s="116">
        <f t="shared" ref="W40:Y40" si="108">SUM(W41:W45)</f>
        <v>101.6</v>
      </c>
      <c r="X40" s="116">
        <f t="shared" si="108"/>
        <v>114</v>
      </c>
      <c r="Y40" s="116">
        <f t="shared" si="108"/>
        <v>130.73295454545456</v>
      </c>
      <c r="DA40" s="176" t="s">
        <v>484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0.40331219036923449</v>
      </c>
      <c r="E41" s="101">
        <v>0.61431804351441177</v>
      </c>
      <c r="F41" s="101">
        <v>0.59303284365403375</v>
      </c>
      <c r="G41" s="101">
        <v>0.58169622887031636</v>
      </c>
      <c r="H41" s="101">
        <v>0.59145643445940577</v>
      </c>
      <c r="I41" s="101">
        <v>0.49444180431363044</v>
      </c>
      <c r="J41" s="101">
        <v>0.32923240823539235</v>
      </c>
      <c r="K41" s="101">
        <v>0.29212034631236539</v>
      </c>
      <c r="L41" s="101">
        <v>0.28166925979382051</v>
      </c>
      <c r="M41" s="101">
        <v>0.19525449886308469</v>
      </c>
      <c r="N41" s="101">
        <v>0.17576671667420643</v>
      </c>
      <c r="O41" s="101">
        <v>2.8482746433158863</v>
      </c>
      <c r="P41" s="101">
        <v>1.7160641055448522</v>
      </c>
      <c r="Q41" s="101">
        <v>1.5523138701989083</v>
      </c>
      <c r="R41" s="101">
        <v>1.5987909167772163</v>
      </c>
      <c r="S41" s="101">
        <v>1.6044906586179197</v>
      </c>
      <c r="T41" s="101">
        <v>1.5260991238664807</v>
      </c>
      <c r="U41" s="101">
        <v>1.412605536505847</v>
      </c>
      <c r="V41" s="101">
        <v>0.98322591291777195</v>
      </c>
      <c r="W41" s="101">
        <v>0.91830559760230335</v>
      </c>
      <c r="X41" s="101">
        <v>0.96336461002057505</v>
      </c>
      <c r="Y41" s="101">
        <v>1.0244389223795189</v>
      </c>
      <c r="DA41" s="175" t="s">
        <v>485</v>
      </c>
    </row>
    <row r="42" spans="1:105" ht="11.45" customHeight="1" x14ac:dyDescent="0.25">
      <c r="A42" s="111" t="s">
        <v>111</v>
      </c>
      <c r="B42" s="101">
        <v>95.456530039435279</v>
      </c>
      <c r="C42" s="101">
        <v>98.159393395024949</v>
      </c>
      <c r="D42" s="101">
        <v>103.95179449814789</v>
      </c>
      <c r="E42" s="101">
        <v>106.77562479191189</v>
      </c>
      <c r="F42" s="101">
        <v>113.82885500347201</v>
      </c>
      <c r="G42" s="101">
        <v>109.19484715298159</v>
      </c>
      <c r="H42" s="101">
        <v>104.18780724337599</v>
      </c>
      <c r="I42" s="101">
        <v>97.605377396796072</v>
      </c>
      <c r="J42" s="101">
        <v>91.482103856765363</v>
      </c>
      <c r="K42" s="101">
        <v>88.003496158819416</v>
      </c>
      <c r="L42" s="101">
        <v>83.758402234695581</v>
      </c>
      <c r="M42" s="101">
        <v>84.480483219472731</v>
      </c>
      <c r="N42" s="101">
        <v>83.687286782599116</v>
      </c>
      <c r="O42" s="101">
        <v>72.227922418350317</v>
      </c>
      <c r="P42" s="101">
        <v>72.565822958970017</v>
      </c>
      <c r="Q42" s="101">
        <v>69.356872663944444</v>
      </c>
      <c r="R42" s="101">
        <v>65.904210583212588</v>
      </c>
      <c r="S42" s="101">
        <v>67.88397077767975</v>
      </c>
      <c r="T42" s="101">
        <v>70.739377017718851</v>
      </c>
      <c r="U42" s="101">
        <v>81.564672631017572</v>
      </c>
      <c r="V42" s="101">
        <v>57.054521947200925</v>
      </c>
      <c r="W42" s="101">
        <v>49.945415918277988</v>
      </c>
      <c r="X42" s="101">
        <v>56.248820156658603</v>
      </c>
      <c r="Y42" s="101">
        <v>66.23600463859465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4.1630569133979972E-2</v>
      </c>
      <c r="E43" s="101">
        <v>4.2298602908670067E-2</v>
      </c>
      <c r="F43" s="101">
        <v>4.5129423274707127E-2</v>
      </c>
      <c r="G43" s="101">
        <v>4.3354551486682727E-2</v>
      </c>
      <c r="H43" s="101">
        <v>4.1641238124430442E-2</v>
      </c>
      <c r="I43" s="101">
        <v>3.9953493286112918E-2</v>
      </c>
      <c r="J43" s="101">
        <v>3.8316925361328864E-2</v>
      </c>
      <c r="K43" s="101">
        <v>3.6852334034115843E-2</v>
      </c>
      <c r="L43" s="101">
        <v>3.625173727095006E-2</v>
      </c>
      <c r="M43" s="101">
        <v>0.13051846023565106</v>
      </c>
      <c r="N43" s="101">
        <v>0.13185190136814198</v>
      </c>
      <c r="O43" s="101">
        <v>0.67379125982822352</v>
      </c>
      <c r="P43" s="101">
        <v>2.6885274145701841</v>
      </c>
      <c r="Q43" s="101">
        <v>2.7430503724796833</v>
      </c>
      <c r="R43" s="101">
        <v>2.8508269075615424</v>
      </c>
      <c r="S43" s="101">
        <v>2.9452962087833794</v>
      </c>
      <c r="T43" s="101">
        <v>2.9305329134268243</v>
      </c>
      <c r="U43" s="101">
        <v>3.4272907939789219</v>
      </c>
      <c r="V43" s="101">
        <v>2.450270307375265</v>
      </c>
      <c r="W43" s="101">
        <v>2.3585565492906473</v>
      </c>
      <c r="X43" s="101">
        <v>2.5684346995488214</v>
      </c>
      <c r="Y43" s="101">
        <v>2.8431158344374992</v>
      </c>
      <c r="DA43" s="175" t="s">
        <v>487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2.9739768018389512</v>
      </c>
      <c r="L44" s="101">
        <v>4.7123509519501487</v>
      </c>
      <c r="M44" s="101">
        <v>6.2332503193461335</v>
      </c>
      <c r="N44" s="101">
        <v>6.0967108198339455</v>
      </c>
      <c r="O44" s="101">
        <v>9.2851643909612296</v>
      </c>
      <c r="P44" s="101">
        <v>11.329919608678912</v>
      </c>
      <c r="Q44" s="101">
        <v>21.65795646265823</v>
      </c>
      <c r="R44" s="101">
        <v>23.119206574793566</v>
      </c>
      <c r="S44" s="101">
        <v>23.321750061933621</v>
      </c>
      <c r="T44" s="101">
        <v>22.893339579358802</v>
      </c>
      <c r="U44" s="101">
        <v>21.866635795922473</v>
      </c>
      <c r="V44" s="101">
        <v>24.241434110663612</v>
      </c>
      <c r="W44" s="101">
        <v>28.285255746008264</v>
      </c>
      <c r="X44" s="101">
        <v>31.894672584995124</v>
      </c>
      <c r="Y44" s="101">
        <v>35.492322984699754</v>
      </c>
      <c r="DA44" s="175" t="s">
        <v>488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0.60927001164441097</v>
      </c>
      <c r="G45" s="101">
        <v>2.1171883767049464</v>
      </c>
      <c r="H45" s="101">
        <v>3.6323515324961382</v>
      </c>
      <c r="I45" s="101">
        <v>4.7459085274448398</v>
      </c>
      <c r="J45" s="101">
        <v>4.8806890640225582</v>
      </c>
      <c r="K45" s="101">
        <v>4.9743161162709715</v>
      </c>
      <c r="L45" s="101">
        <v>4.8159452195692136</v>
      </c>
      <c r="M45" s="101">
        <v>4.7377287929809446</v>
      </c>
      <c r="N45" s="101">
        <v>4.6612194751375933</v>
      </c>
      <c r="O45" s="101">
        <v>19.626583200202237</v>
      </c>
      <c r="P45" s="101">
        <v>19.699665912236043</v>
      </c>
      <c r="Q45" s="101">
        <v>20.689806630718731</v>
      </c>
      <c r="R45" s="101">
        <v>19.52696501765509</v>
      </c>
      <c r="S45" s="101">
        <v>20.244492292985317</v>
      </c>
      <c r="T45" s="101">
        <v>20.91065136562904</v>
      </c>
      <c r="U45" s="101">
        <v>24.728795242575213</v>
      </c>
      <c r="V45" s="101">
        <v>17.270547721842423</v>
      </c>
      <c r="W45" s="101">
        <v>20.09246618882079</v>
      </c>
      <c r="X45" s="101">
        <v>22.324707948776876</v>
      </c>
      <c r="Y45" s="101">
        <v>25.137072165343142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725.00723236203567</v>
      </c>
      <c r="C46" s="29">
        <f t="shared" ref="C46:V46" si="110">C47+C53</f>
        <v>736.80601002878939</v>
      </c>
      <c r="D46" s="29">
        <f t="shared" si="110"/>
        <v>767.08357018520064</v>
      </c>
      <c r="E46" s="29">
        <f t="shared" si="110"/>
        <v>889.04919109521711</v>
      </c>
      <c r="F46" s="29">
        <f t="shared" si="110"/>
        <v>926.94889353786141</v>
      </c>
      <c r="G46" s="29">
        <f t="shared" si="110"/>
        <v>930.06077382733736</v>
      </c>
      <c r="H46" s="29">
        <f t="shared" si="110"/>
        <v>1088.9092734737678</v>
      </c>
      <c r="I46" s="29">
        <f t="shared" si="110"/>
        <v>1230.7846194247722</v>
      </c>
      <c r="J46" s="29">
        <f t="shared" si="110"/>
        <v>1195.6795231775532</v>
      </c>
      <c r="K46" s="29">
        <f t="shared" si="110"/>
        <v>1216.891590659111</v>
      </c>
      <c r="L46" s="29">
        <f t="shared" si="110"/>
        <v>1119.943837204831</v>
      </c>
      <c r="M46" s="29">
        <f t="shared" si="110"/>
        <v>1214.2553271129125</v>
      </c>
      <c r="N46" s="29">
        <f t="shared" si="110"/>
        <v>1348.2105935928585</v>
      </c>
      <c r="O46" s="29">
        <f t="shared" si="110"/>
        <v>1446.7526490483745</v>
      </c>
      <c r="P46" s="29">
        <f t="shared" si="110"/>
        <v>1539.5114573033757</v>
      </c>
      <c r="Q46" s="29">
        <f t="shared" si="110"/>
        <v>1584.8123674708377</v>
      </c>
      <c r="R46" s="29">
        <f t="shared" si="110"/>
        <v>1647.2209655667896</v>
      </c>
      <c r="S46" s="29">
        <f t="shared" si="110"/>
        <v>1655.093242924765</v>
      </c>
      <c r="T46" s="29">
        <f t="shared" si="110"/>
        <v>1673.5756250056115</v>
      </c>
      <c r="U46" s="29">
        <f t="shared" si="110"/>
        <v>1725.4184274499912</v>
      </c>
      <c r="V46" s="29">
        <f t="shared" si="110"/>
        <v>1806.1422177185482</v>
      </c>
      <c r="W46" s="29">
        <f t="shared" ref="W46:Y46" si="111">W47+W53</f>
        <v>1830.27742371451</v>
      </c>
      <c r="X46" s="29">
        <f t="shared" si="111"/>
        <v>1719.3558940495018</v>
      </c>
      <c r="Y46" s="29">
        <f t="shared" si="111"/>
        <v>1819.8075257210978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276.82293869986535</v>
      </c>
      <c r="C47" s="152">
        <f t="shared" ref="C47:V47" si="113">SUM(C48:C52)</f>
        <v>284.04298026592625</v>
      </c>
      <c r="D47" s="152">
        <f t="shared" si="113"/>
        <v>308.0660146683627</v>
      </c>
      <c r="E47" s="152">
        <f t="shared" si="113"/>
        <v>330.82666848207322</v>
      </c>
      <c r="F47" s="152">
        <f t="shared" si="113"/>
        <v>352.15921020686415</v>
      </c>
      <c r="G47" s="152">
        <f t="shared" si="113"/>
        <v>388.88595060190676</v>
      </c>
      <c r="H47" s="152">
        <f t="shared" si="113"/>
        <v>490.8409249424999</v>
      </c>
      <c r="I47" s="152">
        <f t="shared" si="113"/>
        <v>563.40010364022953</v>
      </c>
      <c r="J47" s="152">
        <f t="shared" si="113"/>
        <v>595.78227819756739</v>
      </c>
      <c r="K47" s="152">
        <f t="shared" si="113"/>
        <v>661.3036324592457</v>
      </c>
      <c r="L47" s="152">
        <f t="shared" si="113"/>
        <v>601.34224419110421</v>
      </c>
      <c r="M47" s="152">
        <f t="shared" si="113"/>
        <v>663.87197485351976</v>
      </c>
      <c r="N47" s="152">
        <f t="shared" si="113"/>
        <v>734.46606368799632</v>
      </c>
      <c r="O47" s="152">
        <f t="shared" si="113"/>
        <v>763.46067247127894</v>
      </c>
      <c r="P47" s="152">
        <f t="shared" si="113"/>
        <v>838.41836948750688</v>
      </c>
      <c r="Q47" s="152">
        <f t="shared" si="113"/>
        <v>865.19886975179611</v>
      </c>
      <c r="R47" s="152">
        <f t="shared" si="113"/>
        <v>915.03523973794722</v>
      </c>
      <c r="S47" s="152">
        <f t="shared" si="113"/>
        <v>908.7552261115776</v>
      </c>
      <c r="T47" s="152">
        <f t="shared" si="113"/>
        <v>919.06772377838058</v>
      </c>
      <c r="U47" s="152">
        <f t="shared" si="113"/>
        <v>958.40402056651033</v>
      </c>
      <c r="V47" s="152">
        <f t="shared" si="113"/>
        <v>993.10355066918294</v>
      </c>
      <c r="W47" s="152">
        <f t="shared" ref="W47:Y47" si="114">SUM(W48:W52)</f>
        <v>1030.0653310257107</v>
      </c>
      <c r="X47" s="152">
        <f t="shared" si="114"/>
        <v>976.67686866862687</v>
      </c>
      <c r="Y47" s="152">
        <f t="shared" si="114"/>
        <v>986.14140001065812</v>
      </c>
      <c r="DA47" s="174" t="s">
        <v>491</v>
      </c>
    </row>
    <row r="48" spans="1:105" ht="11.45" customHeight="1" x14ac:dyDescent="0.25">
      <c r="A48" s="111" t="s">
        <v>110</v>
      </c>
      <c r="B48" s="87">
        <v>38.541300464024872</v>
      </c>
      <c r="C48" s="87">
        <v>38.193810689249936</v>
      </c>
      <c r="D48" s="87">
        <v>37.95774120046449</v>
      </c>
      <c r="E48" s="87">
        <v>37.715564438875809</v>
      </c>
      <c r="F48" s="87">
        <v>37.538165929330781</v>
      </c>
      <c r="G48" s="87">
        <v>38.206462244304355</v>
      </c>
      <c r="H48" s="87">
        <v>48.653257972297794</v>
      </c>
      <c r="I48" s="87">
        <v>56.344634137350319</v>
      </c>
      <c r="J48" s="87">
        <v>52.267911452811539</v>
      </c>
      <c r="K48" s="87">
        <v>47.755450720207229</v>
      </c>
      <c r="L48" s="87">
        <v>41.980799598530972</v>
      </c>
      <c r="M48" s="87">
        <v>36.350262663167662</v>
      </c>
      <c r="N48" s="87">
        <v>30.850184932114548</v>
      </c>
      <c r="O48" s="87">
        <v>27.347502349040855</v>
      </c>
      <c r="P48" s="87">
        <v>24.180013410996153</v>
      </c>
      <c r="Q48" s="87">
        <v>20.512125627422471</v>
      </c>
      <c r="R48" s="87">
        <v>19.126382352854606</v>
      </c>
      <c r="S48" s="87">
        <v>17.519745789202005</v>
      </c>
      <c r="T48" s="87">
        <v>16.291559021999131</v>
      </c>
      <c r="U48" s="87">
        <v>21.468040180088515</v>
      </c>
      <c r="V48" s="87">
        <v>19.328554728154032</v>
      </c>
      <c r="W48" s="87">
        <v>17.797832273824536</v>
      </c>
      <c r="X48" s="87">
        <v>14.705060319001124</v>
      </c>
      <c r="Y48" s="87">
        <v>12.493029681837236</v>
      </c>
      <c r="DA48" s="171" t="s">
        <v>492</v>
      </c>
    </row>
    <row r="49" spans="1:105" ht="11.45" customHeight="1" x14ac:dyDescent="0.25">
      <c r="A49" s="111" t="s">
        <v>111</v>
      </c>
      <c r="B49" s="87">
        <v>238.28163823584046</v>
      </c>
      <c r="C49" s="87">
        <v>245.84916957667633</v>
      </c>
      <c r="D49" s="87">
        <v>270.10827346789819</v>
      </c>
      <c r="E49" s="87">
        <v>293.11110404319743</v>
      </c>
      <c r="F49" s="87">
        <v>314.62104427753337</v>
      </c>
      <c r="G49" s="87">
        <v>350.67948835760239</v>
      </c>
      <c r="H49" s="87">
        <v>442.18766697020209</v>
      </c>
      <c r="I49" s="87">
        <v>507.05546950287919</v>
      </c>
      <c r="J49" s="87">
        <v>543.51436674475588</v>
      </c>
      <c r="K49" s="87">
        <v>613.54818173903845</v>
      </c>
      <c r="L49" s="87">
        <v>559.36144459257321</v>
      </c>
      <c r="M49" s="87">
        <v>627.5217121903521</v>
      </c>
      <c r="N49" s="87">
        <v>703.61587875588179</v>
      </c>
      <c r="O49" s="87">
        <v>736.1131701222381</v>
      </c>
      <c r="P49" s="87">
        <v>814.23835607651074</v>
      </c>
      <c r="Q49" s="87">
        <v>844.6867441243736</v>
      </c>
      <c r="R49" s="87">
        <v>895.90885738509257</v>
      </c>
      <c r="S49" s="87">
        <v>891.23548032237557</v>
      </c>
      <c r="T49" s="87">
        <v>902.77616475638149</v>
      </c>
      <c r="U49" s="87">
        <v>936.93598038642176</v>
      </c>
      <c r="V49" s="87">
        <v>973.77499594102892</v>
      </c>
      <c r="W49" s="87">
        <v>1012.2674987518863</v>
      </c>
      <c r="X49" s="87">
        <v>961.97180834962569</v>
      </c>
      <c r="Y49" s="87">
        <v>973.64837032882087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X50" s="87">
        <v>0</v>
      </c>
      <c r="Y50" s="87">
        <v>0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</v>
      </c>
      <c r="P52" s="87">
        <v>0</v>
      </c>
      <c r="Q52" s="87">
        <v>0</v>
      </c>
      <c r="R52" s="87">
        <v>0</v>
      </c>
      <c r="S52" s="87">
        <v>0</v>
      </c>
      <c r="T52" s="87">
        <v>0</v>
      </c>
      <c r="U52" s="87">
        <v>0</v>
      </c>
      <c r="V52" s="87">
        <v>0</v>
      </c>
      <c r="W52" s="87">
        <v>0</v>
      </c>
      <c r="X52" s="87">
        <v>0</v>
      </c>
      <c r="Y52" s="87">
        <v>0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448.18429366217032</v>
      </c>
      <c r="C53" s="116">
        <f t="shared" ref="C53:V53" si="116">SUM(C54:C55)</f>
        <v>452.7630297628632</v>
      </c>
      <c r="D53" s="116">
        <f t="shared" si="116"/>
        <v>459.017555516838</v>
      </c>
      <c r="E53" s="116">
        <f t="shared" si="116"/>
        <v>558.22252261314395</v>
      </c>
      <c r="F53" s="116">
        <f t="shared" si="116"/>
        <v>574.78968333099726</v>
      </c>
      <c r="G53" s="116">
        <f t="shared" si="116"/>
        <v>541.1748232254306</v>
      </c>
      <c r="H53" s="116">
        <f t="shared" si="116"/>
        <v>598.06834853126793</v>
      </c>
      <c r="I53" s="116">
        <f t="shared" si="116"/>
        <v>667.38451578454283</v>
      </c>
      <c r="J53" s="116">
        <f t="shared" si="116"/>
        <v>599.89724497998577</v>
      </c>
      <c r="K53" s="116">
        <f t="shared" si="116"/>
        <v>555.5879581998654</v>
      </c>
      <c r="L53" s="116">
        <f t="shared" si="116"/>
        <v>518.60159301372676</v>
      </c>
      <c r="M53" s="116">
        <f t="shared" si="116"/>
        <v>550.38335225939272</v>
      </c>
      <c r="N53" s="116">
        <f t="shared" si="116"/>
        <v>613.74452990486202</v>
      </c>
      <c r="O53" s="116">
        <f t="shared" si="116"/>
        <v>683.29197657709551</v>
      </c>
      <c r="P53" s="116">
        <f t="shared" si="116"/>
        <v>701.09308781586878</v>
      </c>
      <c r="Q53" s="116">
        <f t="shared" si="116"/>
        <v>719.61349771904156</v>
      </c>
      <c r="R53" s="116">
        <f t="shared" si="116"/>
        <v>732.18572582884235</v>
      </c>
      <c r="S53" s="116">
        <f t="shared" si="116"/>
        <v>746.33801681318732</v>
      </c>
      <c r="T53" s="116">
        <f t="shared" si="116"/>
        <v>754.50790122723083</v>
      </c>
      <c r="U53" s="116">
        <f t="shared" si="116"/>
        <v>767.01440688348089</v>
      </c>
      <c r="V53" s="116">
        <f t="shared" si="116"/>
        <v>813.03866704936524</v>
      </c>
      <c r="W53" s="116">
        <f t="shared" ref="W53:Y53" si="117">SUM(W54:W55)</f>
        <v>800.2120926887992</v>
      </c>
      <c r="X53" s="116">
        <f t="shared" si="117"/>
        <v>742.67902538087492</v>
      </c>
      <c r="Y53" s="116">
        <f t="shared" si="117"/>
        <v>833.6661257104397</v>
      </c>
      <c r="DA53" s="176" t="s">
        <v>497</v>
      </c>
    </row>
    <row r="54" spans="1:105" ht="11.45" customHeight="1" x14ac:dyDescent="0.25">
      <c r="A54" s="128" t="s">
        <v>27</v>
      </c>
      <c r="B54" s="101">
        <v>336.10112359550561</v>
      </c>
      <c r="C54" s="101">
        <v>332.59550561797755</v>
      </c>
      <c r="D54" s="101">
        <v>332.59550561797755</v>
      </c>
      <c r="E54" s="101">
        <v>429</v>
      </c>
      <c r="F54" s="101">
        <v>422</v>
      </c>
      <c r="G54" s="101">
        <v>383</v>
      </c>
      <c r="H54" s="101">
        <v>396</v>
      </c>
      <c r="I54" s="101">
        <v>444</v>
      </c>
      <c r="J54" s="101">
        <v>392</v>
      </c>
      <c r="K54" s="101">
        <v>383</v>
      </c>
      <c r="L54" s="101">
        <v>326</v>
      </c>
      <c r="M54" s="101">
        <v>333</v>
      </c>
      <c r="N54" s="101">
        <v>362</v>
      </c>
      <c r="O54" s="101">
        <v>389</v>
      </c>
      <c r="P54" s="101">
        <v>422</v>
      </c>
      <c r="Q54" s="101">
        <v>408</v>
      </c>
      <c r="R54" s="101">
        <v>412</v>
      </c>
      <c r="S54" s="101">
        <v>424</v>
      </c>
      <c r="T54" s="101">
        <v>448</v>
      </c>
      <c r="U54" s="101">
        <v>464</v>
      </c>
      <c r="V54" s="101">
        <v>476</v>
      </c>
      <c r="W54" s="101">
        <v>454</v>
      </c>
      <c r="X54" s="101">
        <v>361</v>
      </c>
      <c r="Y54" s="101">
        <v>426</v>
      </c>
      <c r="DA54" s="175" t="s">
        <v>498</v>
      </c>
    </row>
    <row r="55" spans="1:105" ht="11.45" customHeight="1" x14ac:dyDescent="0.25">
      <c r="A55" s="138" t="s">
        <v>116</v>
      </c>
      <c r="B55" s="88">
        <v>112.08317006666472</v>
      </c>
      <c r="C55" s="88">
        <v>120.16752414488568</v>
      </c>
      <c r="D55" s="88">
        <v>126.42204989886044</v>
      </c>
      <c r="E55" s="88">
        <v>129.22252261314395</v>
      </c>
      <c r="F55" s="88">
        <v>152.78968333099726</v>
      </c>
      <c r="G55" s="88">
        <v>158.17482322543057</v>
      </c>
      <c r="H55" s="88">
        <v>202.06834853126793</v>
      </c>
      <c r="I55" s="88">
        <v>223.38451578454286</v>
      </c>
      <c r="J55" s="88">
        <v>207.89724497998577</v>
      </c>
      <c r="K55" s="88">
        <v>172.58795819986545</v>
      </c>
      <c r="L55" s="88">
        <v>192.60159301372678</v>
      </c>
      <c r="M55" s="88">
        <v>217.38335225939278</v>
      </c>
      <c r="N55" s="88">
        <v>251.74452990486208</v>
      </c>
      <c r="O55" s="88">
        <v>294.29197657709557</v>
      </c>
      <c r="P55" s="88">
        <v>279.09308781586873</v>
      </c>
      <c r="Q55" s="88">
        <v>311.61349771904162</v>
      </c>
      <c r="R55" s="88">
        <v>320.18572582884229</v>
      </c>
      <c r="S55" s="88">
        <v>322.33801681318732</v>
      </c>
      <c r="T55" s="88">
        <v>306.50790122723083</v>
      </c>
      <c r="U55" s="88">
        <v>303.01440688348094</v>
      </c>
      <c r="V55" s="88">
        <v>337.03866704936524</v>
      </c>
      <c r="W55" s="88">
        <v>346.21209268879926</v>
      </c>
      <c r="X55" s="88">
        <v>381.67902538087498</v>
      </c>
      <c r="Y55" s="88">
        <v>407.66612571043964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993875</v>
      </c>
      <c r="C57" s="54">
        <f t="shared" si="118"/>
        <v>1016184</v>
      </c>
      <c r="D57" s="54">
        <f t="shared" si="118"/>
        <v>1066931</v>
      </c>
      <c r="E57" s="54">
        <f t="shared" si="118"/>
        <v>1153446</v>
      </c>
      <c r="F57" s="54">
        <f t="shared" si="118"/>
        <v>1235831</v>
      </c>
      <c r="G57" s="54">
        <f t="shared" si="118"/>
        <v>1306851</v>
      </c>
      <c r="H57" s="54">
        <f t="shared" si="118"/>
        <v>1514997</v>
      </c>
      <c r="I57" s="54">
        <f t="shared" si="118"/>
        <v>1604605</v>
      </c>
      <c r="J57" s="54">
        <f t="shared" si="118"/>
        <v>1610738</v>
      </c>
      <c r="K57" s="54">
        <f t="shared" si="118"/>
        <v>1546986</v>
      </c>
      <c r="L57" s="54">
        <f t="shared" ref="L57" si="119">L58+L73</f>
        <v>1420380</v>
      </c>
      <c r="M57" s="54">
        <f t="shared" ref="M57:V57" si="120">M58+M73</f>
        <v>1332681</v>
      </c>
      <c r="N57" s="54">
        <f t="shared" si="120"/>
        <v>1482028</v>
      </c>
      <c r="O57" s="54">
        <f t="shared" si="120"/>
        <v>1502562</v>
      </c>
      <c r="P57" s="54">
        <f t="shared" si="120"/>
        <v>1518211</v>
      </c>
      <c r="Q57" s="54">
        <f t="shared" si="120"/>
        <v>1589675</v>
      </c>
      <c r="R57" s="54">
        <f t="shared" si="120"/>
        <v>1637540</v>
      </c>
      <c r="S57" s="54">
        <f t="shared" si="120"/>
        <v>1691423</v>
      </c>
      <c r="T57" s="54">
        <f t="shared" si="120"/>
        <v>1774548</v>
      </c>
      <c r="U57" s="54">
        <f t="shared" si="120"/>
        <v>1857007</v>
      </c>
      <c r="V57" s="54">
        <f t="shared" si="120"/>
        <v>1940142</v>
      </c>
      <c r="W57" s="54">
        <f t="shared" ref="W57:Y57" si="121">W58+W73</f>
        <v>2012147</v>
      </c>
      <c r="X57" s="54">
        <f t="shared" si="121"/>
        <v>2071944</v>
      </c>
      <c r="Y57" s="54">
        <f t="shared" si="121"/>
        <v>2167764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944779</v>
      </c>
      <c r="C58" s="28">
        <f t="shared" si="122"/>
        <v>966362</v>
      </c>
      <c r="D58" s="28">
        <f t="shared" si="122"/>
        <v>1014704</v>
      </c>
      <c r="E58" s="28">
        <f t="shared" si="122"/>
        <v>1091532</v>
      </c>
      <c r="F58" s="28">
        <f t="shared" si="122"/>
        <v>1171628</v>
      </c>
      <c r="G58" s="28">
        <f t="shared" si="122"/>
        <v>1242214</v>
      </c>
      <c r="H58" s="28">
        <f t="shared" si="122"/>
        <v>1440500</v>
      </c>
      <c r="I58" s="28">
        <f t="shared" si="122"/>
        <v>1520200</v>
      </c>
      <c r="J58" s="28">
        <f t="shared" si="122"/>
        <v>1527627</v>
      </c>
      <c r="K58" s="28">
        <f t="shared" si="122"/>
        <v>1459571</v>
      </c>
      <c r="L58" s="28">
        <f t="shared" ref="L58" si="123">L59+L60+L67</f>
        <v>1339093</v>
      </c>
      <c r="M58" s="28">
        <f t="shared" ref="M58:V58" si="124">M59+M60+M67</f>
        <v>1245450</v>
      </c>
      <c r="N58" s="28">
        <f t="shared" si="124"/>
        <v>1386425</v>
      </c>
      <c r="O58" s="28">
        <f t="shared" si="124"/>
        <v>1400612</v>
      </c>
      <c r="P58" s="28">
        <f t="shared" si="124"/>
        <v>1413262</v>
      </c>
      <c r="Q58" s="28">
        <f t="shared" si="124"/>
        <v>1478537</v>
      </c>
      <c r="R58" s="28">
        <f t="shared" si="124"/>
        <v>1523848</v>
      </c>
      <c r="S58" s="28">
        <f t="shared" si="124"/>
        <v>1577395</v>
      </c>
      <c r="T58" s="28">
        <f t="shared" si="124"/>
        <v>1653924</v>
      </c>
      <c r="U58" s="28">
        <f t="shared" si="124"/>
        <v>1733669</v>
      </c>
      <c r="V58" s="28">
        <f t="shared" si="124"/>
        <v>1811306</v>
      </c>
      <c r="W58" s="28">
        <f t="shared" ref="W58:Y58" si="125">W59+W60+W67</f>
        <v>1874330</v>
      </c>
      <c r="X58" s="28">
        <f t="shared" si="125"/>
        <v>1941497</v>
      </c>
      <c r="Y58" s="28">
        <f t="shared" si="125"/>
        <v>2022526</v>
      </c>
      <c r="DA58" s="173" t="s">
        <v>501</v>
      </c>
    </row>
    <row r="59" spans="1:105" ht="11.45" customHeight="1" x14ac:dyDescent="0.25">
      <c r="A59" s="136" t="s">
        <v>173</v>
      </c>
      <c r="B59" s="137">
        <v>19842</v>
      </c>
      <c r="C59" s="137">
        <v>20244</v>
      </c>
      <c r="D59" s="137">
        <v>21017</v>
      </c>
      <c r="E59" s="137">
        <v>21873</v>
      </c>
      <c r="F59" s="137">
        <v>22861</v>
      </c>
      <c r="G59" s="137">
        <v>24027</v>
      </c>
      <c r="H59" s="137">
        <v>25303</v>
      </c>
      <c r="I59" s="137">
        <v>29349</v>
      </c>
      <c r="J59" s="137">
        <v>34255</v>
      </c>
      <c r="K59" s="137">
        <v>37309</v>
      </c>
      <c r="L59" s="137">
        <v>37353</v>
      </c>
      <c r="M59" s="137">
        <v>37447</v>
      </c>
      <c r="N59" s="137">
        <v>37485</v>
      </c>
      <c r="O59" s="137">
        <v>37539</v>
      </c>
      <c r="P59" s="137">
        <v>37646</v>
      </c>
      <c r="Q59" s="137">
        <v>37753</v>
      </c>
      <c r="R59" s="137">
        <v>39713</v>
      </c>
      <c r="S59" s="137">
        <v>42100</v>
      </c>
      <c r="T59" s="137">
        <v>45267</v>
      </c>
      <c r="U59" s="137">
        <v>53154</v>
      </c>
      <c r="V59" s="137">
        <v>60911</v>
      </c>
      <c r="W59" s="137">
        <v>69494</v>
      </c>
      <c r="X59" s="137">
        <v>78670</v>
      </c>
      <c r="Y59" s="137">
        <v>87652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922394</v>
      </c>
      <c r="C60" s="110">
        <f t="shared" si="126"/>
        <v>943477</v>
      </c>
      <c r="D60" s="110">
        <f t="shared" si="126"/>
        <v>990945</v>
      </c>
      <c r="E60" s="110">
        <f t="shared" si="126"/>
        <v>1066853</v>
      </c>
      <c r="F60" s="110">
        <f t="shared" si="126"/>
        <v>1145914</v>
      </c>
      <c r="G60" s="110">
        <f t="shared" si="126"/>
        <v>1215276</v>
      </c>
      <c r="H60" s="110">
        <f t="shared" si="126"/>
        <v>1412238</v>
      </c>
      <c r="I60" s="110">
        <f t="shared" si="126"/>
        <v>1487903</v>
      </c>
      <c r="J60" s="110">
        <f t="shared" si="126"/>
        <v>1490460</v>
      </c>
      <c r="K60" s="110">
        <f t="shared" si="126"/>
        <v>1419225</v>
      </c>
      <c r="L60" s="110">
        <f t="shared" ref="L60" si="127">SUM(L61:L66)</f>
        <v>1298712</v>
      </c>
      <c r="M60" s="110">
        <f t="shared" ref="M60:V60" si="128">SUM(M61:M66)</f>
        <v>1204958</v>
      </c>
      <c r="N60" s="110">
        <f t="shared" si="128"/>
        <v>1345933</v>
      </c>
      <c r="O60" s="110">
        <f t="shared" si="128"/>
        <v>1359610</v>
      </c>
      <c r="P60" s="110">
        <f t="shared" si="128"/>
        <v>1372218</v>
      </c>
      <c r="Q60" s="110">
        <f t="shared" si="128"/>
        <v>1437179</v>
      </c>
      <c r="R60" s="110">
        <f t="shared" si="128"/>
        <v>1480828</v>
      </c>
      <c r="S60" s="110">
        <f t="shared" si="128"/>
        <v>1532058</v>
      </c>
      <c r="T60" s="110">
        <f t="shared" si="128"/>
        <v>1605329</v>
      </c>
      <c r="U60" s="110">
        <f t="shared" si="128"/>
        <v>1676792</v>
      </c>
      <c r="V60" s="110">
        <f t="shared" si="128"/>
        <v>1746660</v>
      </c>
      <c r="W60" s="110">
        <f t="shared" ref="W60:Y60" si="129">SUM(W61:W66)</f>
        <v>1801180</v>
      </c>
      <c r="X60" s="110">
        <f t="shared" si="129"/>
        <v>1859298</v>
      </c>
      <c r="Y60" s="110">
        <f t="shared" si="129"/>
        <v>1931410</v>
      </c>
      <c r="DA60" s="176" t="s">
        <v>503</v>
      </c>
    </row>
    <row r="61" spans="1:105" ht="11.45" customHeight="1" x14ac:dyDescent="0.25">
      <c r="A61" s="111" t="s">
        <v>110</v>
      </c>
      <c r="B61" s="84">
        <v>531462</v>
      </c>
      <c r="C61" s="84">
        <v>533888</v>
      </c>
      <c r="D61" s="84">
        <v>518112</v>
      </c>
      <c r="E61" s="84">
        <v>525520</v>
      </c>
      <c r="F61" s="84">
        <v>508676</v>
      </c>
      <c r="G61" s="84">
        <v>502545</v>
      </c>
      <c r="H61" s="84">
        <v>547488</v>
      </c>
      <c r="I61" s="84">
        <v>582096</v>
      </c>
      <c r="J61" s="84">
        <v>580392</v>
      </c>
      <c r="K61" s="84">
        <v>530711</v>
      </c>
      <c r="L61" s="84">
        <v>437251</v>
      </c>
      <c r="M61" s="84">
        <v>387618</v>
      </c>
      <c r="N61" s="84">
        <v>370100</v>
      </c>
      <c r="O61" s="84">
        <v>347712</v>
      </c>
      <c r="P61" s="84">
        <v>339187</v>
      </c>
      <c r="Q61" s="84">
        <v>330969</v>
      </c>
      <c r="R61" s="84">
        <v>327250</v>
      </c>
      <c r="S61" s="84">
        <v>333387</v>
      </c>
      <c r="T61" s="84">
        <v>350879</v>
      </c>
      <c r="U61" s="84">
        <v>372807</v>
      </c>
      <c r="V61" s="84">
        <v>392702</v>
      </c>
      <c r="W61" s="84">
        <v>406500</v>
      </c>
      <c r="X61" s="84">
        <v>429199</v>
      </c>
      <c r="Y61" s="84">
        <v>453483</v>
      </c>
      <c r="DA61" s="171" t="s">
        <v>504</v>
      </c>
    </row>
    <row r="62" spans="1:105" ht="11.45" customHeight="1" x14ac:dyDescent="0.25">
      <c r="A62" s="111" t="s">
        <v>111</v>
      </c>
      <c r="B62" s="84">
        <v>215587</v>
      </c>
      <c r="C62" s="84">
        <v>224980</v>
      </c>
      <c r="D62" s="84">
        <v>253164</v>
      </c>
      <c r="E62" s="84">
        <v>289627</v>
      </c>
      <c r="F62" s="84">
        <v>335899</v>
      </c>
      <c r="G62" s="84">
        <v>458861</v>
      </c>
      <c r="H62" s="84">
        <v>563454</v>
      </c>
      <c r="I62" s="84">
        <v>577715</v>
      </c>
      <c r="J62" s="84">
        <v>598528</v>
      </c>
      <c r="K62" s="84">
        <v>598004</v>
      </c>
      <c r="L62" s="84">
        <v>598151</v>
      </c>
      <c r="M62" s="84">
        <v>582503</v>
      </c>
      <c r="N62" s="84">
        <v>754681</v>
      </c>
      <c r="O62" s="84">
        <v>788753</v>
      </c>
      <c r="P62" s="84">
        <v>822607</v>
      </c>
      <c r="Q62" s="84">
        <v>908060</v>
      </c>
      <c r="R62" s="84">
        <v>971792</v>
      </c>
      <c r="S62" s="84">
        <v>1031728</v>
      </c>
      <c r="T62" s="84">
        <v>1092561</v>
      </c>
      <c r="U62" s="84">
        <v>1140757</v>
      </c>
      <c r="V62" s="84">
        <v>1184629</v>
      </c>
      <c r="W62" s="84">
        <v>1216879</v>
      </c>
      <c r="X62" s="84">
        <v>1233441</v>
      </c>
      <c r="Y62" s="84">
        <v>1257601</v>
      </c>
      <c r="DA62" s="171" t="s">
        <v>505</v>
      </c>
    </row>
    <row r="63" spans="1:105" ht="11.45" customHeight="1" x14ac:dyDescent="0.25">
      <c r="A63" s="111" t="s">
        <v>112</v>
      </c>
      <c r="B63" s="84">
        <v>175345</v>
      </c>
      <c r="C63" s="84">
        <v>184609</v>
      </c>
      <c r="D63" s="84">
        <v>219669</v>
      </c>
      <c r="E63" s="84">
        <v>251706</v>
      </c>
      <c r="F63" s="84">
        <v>301339</v>
      </c>
      <c r="G63" s="84">
        <v>253870</v>
      </c>
      <c r="H63" s="84">
        <v>301296</v>
      </c>
      <c r="I63" s="84">
        <v>328092</v>
      </c>
      <c r="J63" s="84">
        <v>311540</v>
      </c>
      <c r="K63" s="84">
        <v>290510</v>
      </c>
      <c r="L63" s="84">
        <v>263310</v>
      </c>
      <c r="M63" s="84">
        <v>234835</v>
      </c>
      <c r="N63" s="84">
        <v>221149</v>
      </c>
      <c r="O63" s="84">
        <v>222005</v>
      </c>
      <c r="P63" s="84">
        <v>207406</v>
      </c>
      <c r="Q63" s="84">
        <v>194043</v>
      </c>
      <c r="R63" s="84">
        <v>175744</v>
      </c>
      <c r="S63" s="84">
        <v>157579</v>
      </c>
      <c r="T63" s="84">
        <v>146545</v>
      </c>
      <c r="U63" s="84">
        <v>140332</v>
      </c>
      <c r="V63" s="84">
        <v>133651</v>
      </c>
      <c r="W63" s="84">
        <v>122985</v>
      </c>
      <c r="X63" s="84">
        <v>124292</v>
      </c>
      <c r="Y63" s="84">
        <v>127505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1</v>
      </c>
      <c r="O64" s="84">
        <v>5</v>
      </c>
      <c r="P64" s="84">
        <v>28</v>
      </c>
      <c r="Q64" s="84">
        <v>38</v>
      </c>
      <c r="R64" s="84">
        <v>50</v>
      </c>
      <c r="S64" s="84">
        <v>75</v>
      </c>
      <c r="T64" s="84">
        <v>100</v>
      </c>
      <c r="U64" s="84">
        <v>100</v>
      </c>
      <c r="V64" s="84">
        <v>181</v>
      </c>
      <c r="W64" s="84">
        <v>257</v>
      </c>
      <c r="X64" s="84">
        <v>919</v>
      </c>
      <c r="Y64" s="84">
        <v>829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1129</v>
      </c>
      <c r="P65" s="84">
        <v>2927</v>
      </c>
      <c r="Q65" s="84">
        <v>3915</v>
      </c>
      <c r="R65" s="84">
        <v>5662</v>
      </c>
      <c r="S65" s="84">
        <v>8677</v>
      </c>
      <c r="T65" s="84">
        <v>14303</v>
      </c>
      <c r="U65" s="84">
        <v>21436</v>
      </c>
      <c r="V65" s="84">
        <v>33001</v>
      </c>
      <c r="W65" s="84">
        <v>49718</v>
      </c>
      <c r="X65" s="84">
        <v>64101</v>
      </c>
      <c r="Y65" s="84">
        <v>80505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2</v>
      </c>
      <c r="N66" s="84">
        <v>2</v>
      </c>
      <c r="O66" s="84">
        <v>6</v>
      </c>
      <c r="P66" s="84">
        <v>63</v>
      </c>
      <c r="Q66" s="84">
        <v>154</v>
      </c>
      <c r="R66" s="84">
        <v>330</v>
      </c>
      <c r="S66" s="84">
        <v>612</v>
      </c>
      <c r="T66" s="84">
        <v>941</v>
      </c>
      <c r="U66" s="84">
        <v>1360</v>
      </c>
      <c r="V66" s="84">
        <v>2496</v>
      </c>
      <c r="W66" s="84">
        <v>4841</v>
      </c>
      <c r="X66" s="84">
        <v>7346</v>
      </c>
      <c r="Y66" s="84">
        <v>11487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2543</v>
      </c>
      <c r="C67" s="110">
        <f t="shared" si="130"/>
        <v>2641</v>
      </c>
      <c r="D67" s="110">
        <f t="shared" si="130"/>
        <v>2742</v>
      </c>
      <c r="E67" s="110">
        <f t="shared" si="130"/>
        <v>2806</v>
      </c>
      <c r="F67" s="110">
        <f t="shared" si="130"/>
        <v>2853</v>
      </c>
      <c r="G67" s="110">
        <f t="shared" si="130"/>
        <v>2911</v>
      </c>
      <c r="H67" s="110">
        <f t="shared" si="130"/>
        <v>2959</v>
      </c>
      <c r="I67" s="110">
        <f t="shared" si="130"/>
        <v>2948</v>
      </c>
      <c r="J67" s="110">
        <f t="shared" si="130"/>
        <v>2912</v>
      </c>
      <c r="K67" s="110">
        <f t="shared" si="130"/>
        <v>3037</v>
      </c>
      <c r="L67" s="110">
        <f t="shared" ref="L67" si="131">SUM(L68:L72)</f>
        <v>3028</v>
      </c>
      <c r="M67" s="110">
        <f t="shared" ref="M67:V67" si="132">SUM(M68:M72)</f>
        <v>3045</v>
      </c>
      <c r="N67" s="110">
        <f t="shared" si="132"/>
        <v>3007</v>
      </c>
      <c r="O67" s="110">
        <f t="shared" si="132"/>
        <v>3463</v>
      </c>
      <c r="P67" s="110">
        <f t="shared" si="132"/>
        <v>3398</v>
      </c>
      <c r="Q67" s="110">
        <f t="shared" si="132"/>
        <v>3605</v>
      </c>
      <c r="R67" s="110">
        <f t="shared" si="132"/>
        <v>3307</v>
      </c>
      <c r="S67" s="110">
        <f t="shared" si="132"/>
        <v>3237</v>
      </c>
      <c r="T67" s="110">
        <f t="shared" si="132"/>
        <v>3328</v>
      </c>
      <c r="U67" s="110">
        <f t="shared" si="132"/>
        <v>3723</v>
      </c>
      <c r="V67" s="110">
        <f t="shared" si="132"/>
        <v>3735</v>
      </c>
      <c r="W67" s="110">
        <f t="shared" ref="W67:Y67" si="133">SUM(W68:W72)</f>
        <v>3656</v>
      </c>
      <c r="X67" s="110">
        <f t="shared" si="133"/>
        <v>3529</v>
      </c>
      <c r="Y67" s="110">
        <f t="shared" si="133"/>
        <v>3464</v>
      </c>
      <c r="DA67" s="176" t="s">
        <v>510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17</v>
      </c>
      <c r="E68" s="102">
        <v>26</v>
      </c>
      <c r="F68" s="102">
        <v>24</v>
      </c>
      <c r="G68" s="102">
        <v>25</v>
      </c>
      <c r="H68" s="102">
        <v>27</v>
      </c>
      <c r="I68" s="102">
        <v>24</v>
      </c>
      <c r="J68" s="102">
        <v>17</v>
      </c>
      <c r="K68" s="102">
        <v>16</v>
      </c>
      <c r="L68" s="102">
        <v>16</v>
      </c>
      <c r="M68" s="102">
        <v>11</v>
      </c>
      <c r="N68" s="102">
        <v>10</v>
      </c>
      <c r="O68" s="102">
        <v>171</v>
      </c>
      <c r="P68" s="102">
        <v>97</v>
      </c>
      <c r="Q68" s="102">
        <v>86</v>
      </c>
      <c r="R68" s="102">
        <v>84</v>
      </c>
      <c r="S68" s="102">
        <v>81</v>
      </c>
      <c r="T68" s="102">
        <v>78</v>
      </c>
      <c r="U68" s="102">
        <v>73</v>
      </c>
      <c r="V68" s="102">
        <v>68</v>
      </c>
      <c r="W68" s="102">
        <v>63</v>
      </c>
      <c r="X68" s="102">
        <v>57</v>
      </c>
      <c r="Y68" s="102">
        <v>52</v>
      </c>
      <c r="DA68" s="175" t="s">
        <v>511</v>
      </c>
    </row>
    <row r="69" spans="1:105" ht="11.45" customHeight="1" x14ac:dyDescent="0.25">
      <c r="A69" s="111" t="s">
        <v>111</v>
      </c>
      <c r="B69" s="102">
        <v>2543</v>
      </c>
      <c r="C69" s="102">
        <v>2641</v>
      </c>
      <c r="D69" s="102">
        <v>2723</v>
      </c>
      <c r="E69" s="102">
        <v>2778</v>
      </c>
      <c r="F69" s="102">
        <v>2812</v>
      </c>
      <c r="G69" s="102">
        <v>2832</v>
      </c>
      <c r="H69" s="102">
        <v>2841</v>
      </c>
      <c r="I69" s="102">
        <v>2806</v>
      </c>
      <c r="J69" s="102">
        <v>2774</v>
      </c>
      <c r="K69" s="102">
        <v>2818</v>
      </c>
      <c r="L69" s="102">
        <v>2763</v>
      </c>
      <c r="M69" s="102">
        <v>2743</v>
      </c>
      <c r="N69" s="102">
        <v>2716</v>
      </c>
      <c r="O69" s="102">
        <v>2535</v>
      </c>
      <c r="P69" s="102">
        <v>2422</v>
      </c>
      <c r="Q69" s="102">
        <v>2375</v>
      </c>
      <c r="R69" s="102">
        <v>2101</v>
      </c>
      <c r="S69" s="102">
        <v>2041</v>
      </c>
      <c r="T69" s="102">
        <v>2129</v>
      </c>
      <c r="U69" s="102">
        <v>2448</v>
      </c>
      <c r="V69" s="102">
        <v>2311</v>
      </c>
      <c r="W69" s="102">
        <v>2147</v>
      </c>
      <c r="X69" s="102">
        <v>2021</v>
      </c>
      <c r="Y69" s="102">
        <v>1950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2</v>
      </c>
      <c r="E70" s="102">
        <v>2</v>
      </c>
      <c r="F70" s="102">
        <v>2</v>
      </c>
      <c r="G70" s="102">
        <v>2</v>
      </c>
      <c r="H70" s="102">
        <v>2</v>
      </c>
      <c r="I70" s="102">
        <v>2</v>
      </c>
      <c r="J70" s="102">
        <v>2</v>
      </c>
      <c r="K70" s="102">
        <v>2</v>
      </c>
      <c r="L70" s="102">
        <v>2</v>
      </c>
      <c r="M70" s="102">
        <v>7</v>
      </c>
      <c r="N70" s="102">
        <v>7</v>
      </c>
      <c r="O70" s="102">
        <v>37</v>
      </c>
      <c r="P70" s="102">
        <v>139</v>
      </c>
      <c r="Q70" s="102">
        <v>139</v>
      </c>
      <c r="R70" s="102">
        <v>137</v>
      </c>
      <c r="S70" s="102">
        <v>136</v>
      </c>
      <c r="T70" s="102">
        <v>137</v>
      </c>
      <c r="U70" s="102">
        <v>162</v>
      </c>
      <c r="V70" s="102">
        <v>155</v>
      </c>
      <c r="W70" s="102">
        <v>148</v>
      </c>
      <c r="X70" s="102">
        <v>139</v>
      </c>
      <c r="Y70" s="102">
        <v>132</v>
      </c>
      <c r="DA70" s="175" t="s">
        <v>513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80</v>
      </c>
      <c r="L71" s="102">
        <v>130</v>
      </c>
      <c r="M71" s="102">
        <v>169</v>
      </c>
      <c r="N71" s="102">
        <v>165</v>
      </c>
      <c r="O71" s="102">
        <v>262</v>
      </c>
      <c r="P71" s="102">
        <v>304</v>
      </c>
      <c r="Q71" s="102">
        <v>574</v>
      </c>
      <c r="R71" s="102">
        <v>577</v>
      </c>
      <c r="S71" s="102">
        <v>555</v>
      </c>
      <c r="T71" s="102">
        <v>546</v>
      </c>
      <c r="U71" s="102">
        <v>522</v>
      </c>
      <c r="V71" s="102">
        <v>757</v>
      </c>
      <c r="W71" s="102">
        <v>868</v>
      </c>
      <c r="X71" s="102">
        <v>842</v>
      </c>
      <c r="Y71" s="102">
        <v>802</v>
      </c>
      <c r="DA71" s="175" t="s">
        <v>514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15</v>
      </c>
      <c r="G72" s="102">
        <v>52</v>
      </c>
      <c r="H72" s="102">
        <v>89</v>
      </c>
      <c r="I72" s="102">
        <v>116</v>
      </c>
      <c r="J72" s="102">
        <v>119</v>
      </c>
      <c r="K72" s="102">
        <v>121</v>
      </c>
      <c r="L72" s="102">
        <v>117</v>
      </c>
      <c r="M72" s="102">
        <v>115</v>
      </c>
      <c r="N72" s="102">
        <v>109</v>
      </c>
      <c r="O72" s="102">
        <v>458</v>
      </c>
      <c r="P72" s="102">
        <v>436</v>
      </c>
      <c r="Q72" s="102">
        <v>431</v>
      </c>
      <c r="R72" s="102">
        <v>408</v>
      </c>
      <c r="S72" s="102">
        <v>424</v>
      </c>
      <c r="T72" s="102">
        <v>438</v>
      </c>
      <c r="U72" s="102">
        <v>518</v>
      </c>
      <c r="V72" s="102">
        <v>444</v>
      </c>
      <c r="W72" s="102">
        <v>430</v>
      </c>
      <c r="X72" s="102">
        <v>470</v>
      </c>
      <c r="Y72" s="102">
        <v>528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49096</v>
      </c>
      <c r="C73" s="28">
        <f t="shared" si="134"/>
        <v>49822</v>
      </c>
      <c r="D73" s="28">
        <f t="shared" si="134"/>
        <v>52227</v>
      </c>
      <c r="E73" s="28">
        <f t="shared" si="134"/>
        <v>61914</v>
      </c>
      <c r="F73" s="28">
        <f t="shared" si="134"/>
        <v>64203</v>
      </c>
      <c r="G73" s="28">
        <f t="shared" si="134"/>
        <v>64637</v>
      </c>
      <c r="H73" s="28">
        <f t="shared" si="134"/>
        <v>74497</v>
      </c>
      <c r="I73" s="28">
        <f t="shared" si="134"/>
        <v>84405</v>
      </c>
      <c r="J73" s="28">
        <f t="shared" si="134"/>
        <v>83111</v>
      </c>
      <c r="K73" s="28">
        <f t="shared" si="134"/>
        <v>87415</v>
      </c>
      <c r="L73" s="28">
        <f t="shared" ref="L73" si="135">L74+L80</f>
        <v>81287</v>
      </c>
      <c r="M73" s="28">
        <f t="shared" ref="M73:V73" si="136">M74+M80</f>
        <v>87231</v>
      </c>
      <c r="N73" s="28">
        <f t="shared" si="136"/>
        <v>95603</v>
      </c>
      <c r="O73" s="28">
        <f t="shared" si="136"/>
        <v>101950</v>
      </c>
      <c r="P73" s="28">
        <f t="shared" si="136"/>
        <v>104949</v>
      </c>
      <c r="Q73" s="28">
        <f t="shared" si="136"/>
        <v>111138</v>
      </c>
      <c r="R73" s="28">
        <f t="shared" si="136"/>
        <v>113692</v>
      </c>
      <c r="S73" s="28">
        <f t="shared" si="136"/>
        <v>114028</v>
      </c>
      <c r="T73" s="28">
        <f t="shared" si="136"/>
        <v>120624</v>
      </c>
      <c r="U73" s="28">
        <f t="shared" si="136"/>
        <v>123338</v>
      </c>
      <c r="V73" s="28">
        <f t="shared" si="136"/>
        <v>128836</v>
      </c>
      <c r="W73" s="28">
        <f t="shared" ref="W73:Y73" si="137">W74+W80</f>
        <v>137817</v>
      </c>
      <c r="X73" s="28">
        <f t="shared" si="137"/>
        <v>130447</v>
      </c>
      <c r="Y73" s="28">
        <f t="shared" si="137"/>
        <v>145238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21671</v>
      </c>
      <c r="C74" s="137">
        <f t="shared" si="138"/>
        <v>22428</v>
      </c>
      <c r="D74" s="137">
        <f t="shared" si="138"/>
        <v>24449</v>
      </c>
      <c r="E74" s="137">
        <f t="shared" si="138"/>
        <v>26408</v>
      </c>
      <c r="F74" s="137">
        <f t="shared" si="138"/>
        <v>28292</v>
      </c>
      <c r="G74" s="137">
        <f t="shared" si="138"/>
        <v>31381</v>
      </c>
      <c r="H74" s="137">
        <f t="shared" si="138"/>
        <v>39502</v>
      </c>
      <c r="I74" s="137">
        <f t="shared" si="138"/>
        <v>45443</v>
      </c>
      <c r="J74" s="137">
        <f t="shared" si="138"/>
        <v>48328</v>
      </c>
      <c r="K74" s="137">
        <f t="shared" si="138"/>
        <v>53816</v>
      </c>
      <c r="L74" s="137">
        <f t="shared" ref="L74" si="139">SUM(L75:L79)</f>
        <v>49686</v>
      </c>
      <c r="M74" s="137">
        <f t="shared" ref="M74:V74" si="140">SUM(M75:M79)</f>
        <v>55095</v>
      </c>
      <c r="N74" s="137">
        <f t="shared" si="140"/>
        <v>61246</v>
      </c>
      <c r="O74" s="137">
        <f t="shared" si="140"/>
        <v>65347</v>
      </c>
      <c r="P74" s="137">
        <f t="shared" si="140"/>
        <v>69372</v>
      </c>
      <c r="Q74" s="137">
        <f t="shared" si="140"/>
        <v>73543</v>
      </c>
      <c r="R74" s="137">
        <f t="shared" si="140"/>
        <v>75329</v>
      </c>
      <c r="S74" s="137">
        <f t="shared" si="140"/>
        <v>77037</v>
      </c>
      <c r="T74" s="137">
        <f t="shared" si="140"/>
        <v>80145</v>
      </c>
      <c r="U74" s="137">
        <f t="shared" si="140"/>
        <v>84277</v>
      </c>
      <c r="V74" s="137">
        <f t="shared" si="140"/>
        <v>88081</v>
      </c>
      <c r="W74" s="137">
        <f t="shared" ref="W74:Y74" si="141">SUM(W75:W79)</f>
        <v>92143</v>
      </c>
      <c r="X74" s="137">
        <f t="shared" si="141"/>
        <v>88530</v>
      </c>
      <c r="Y74" s="137">
        <f t="shared" si="141"/>
        <v>90281</v>
      </c>
      <c r="DA74" s="174" t="s">
        <v>517</v>
      </c>
    </row>
    <row r="75" spans="1:105" ht="11.45" customHeight="1" x14ac:dyDescent="0.25">
      <c r="A75" s="111" t="s">
        <v>110</v>
      </c>
      <c r="B75" s="84">
        <v>3273</v>
      </c>
      <c r="C75" s="84">
        <v>3273</v>
      </c>
      <c r="D75" s="84">
        <v>3273</v>
      </c>
      <c r="E75" s="84">
        <v>3274</v>
      </c>
      <c r="F75" s="84">
        <v>3282</v>
      </c>
      <c r="G75" s="84">
        <v>3358</v>
      </c>
      <c r="H75" s="84">
        <v>4227</v>
      </c>
      <c r="I75" s="84">
        <v>4862</v>
      </c>
      <c r="J75" s="84">
        <v>4499</v>
      </c>
      <c r="K75" s="84">
        <v>4090</v>
      </c>
      <c r="L75" s="84">
        <v>3651</v>
      </c>
      <c r="M75" s="84">
        <v>3178</v>
      </c>
      <c r="N75" s="84">
        <v>2711</v>
      </c>
      <c r="O75" s="84">
        <v>2421</v>
      </c>
      <c r="P75" s="84">
        <v>2131</v>
      </c>
      <c r="Q75" s="84">
        <v>1840</v>
      </c>
      <c r="R75" s="84">
        <v>1678</v>
      </c>
      <c r="S75" s="84">
        <v>1537</v>
      </c>
      <c r="T75" s="84">
        <v>1442</v>
      </c>
      <c r="U75" s="84">
        <v>1916</v>
      </c>
      <c r="V75" s="84">
        <v>1740</v>
      </c>
      <c r="W75" s="84">
        <v>1616</v>
      </c>
      <c r="X75" s="84">
        <v>1353</v>
      </c>
      <c r="Y75" s="84">
        <v>1161</v>
      </c>
      <c r="DA75" s="171" t="s">
        <v>518</v>
      </c>
    </row>
    <row r="76" spans="1:105" ht="11.45" customHeight="1" x14ac:dyDescent="0.25">
      <c r="A76" s="111" t="s">
        <v>111</v>
      </c>
      <c r="B76" s="84">
        <v>18398</v>
      </c>
      <c r="C76" s="84">
        <v>19155</v>
      </c>
      <c r="D76" s="84">
        <v>21176</v>
      </c>
      <c r="E76" s="84">
        <v>23134</v>
      </c>
      <c r="F76" s="84">
        <v>25010</v>
      </c>
      <c r="G76" s="84">
        <v>28023</v>
      </c>
      <c r="H76" s="84">
        <v>35275</v>
      </c>
      <c r="I76" s="84">
        <v>40581</v>
      </c>
      <c r="J76" s="84">
        <v>43829</v>
      </c>
      <c r="K76" s="84">
        <v>49726</v>
      </c>
      <c r="L76" s="84">
        <v>46035</v>
      </c>
      <c r="M76" s="84">
        <v>51917</v>
      </c>
      <c r="N76" s="84">
        <v>58535</v>
      </c>
      <c r="O76" s="84">
        <v>62926</v>
      </c>
      <c r="P76" s="84">
        <v>67241</v>
      </c>
      <c r="Q76" s="84">
        <v>71703</v>
      </c>
      <c r="R76" s="84">
        <v>73651</v>
      </c>
      <c r="S76" s="84">
        <v>75500</v>
      </c>
      <c r="T76" s="84">
        <v>78703</v>
      </c>
      <c r="U76" s="84">
        <v>82361</v>
      </c>
      <c r="V76" s="84">
        <v>86341</v>
      </c>
      <c r="W76" s="84">
        <v>90527</v>
      </c>
      <c r="X76" s="84">
        <v>87177</v>
      </c>
      <c r="Y76" s="84">
        <v>89120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27425</v>
      </c>
      <c r="C80" s="110">
        <f t="shared" si="142"/>
        <v>27394</v>
      </c>
      <c r="D80" s="110">
        <f t="shared" si="142"/>
        <v>27778</v>
      </c>
      <c r="E80" s="110">
        <f t="shared" si="142"/>
        <v>35506</v>
      </c>
      <c r="F80" s="110">
        <f t="shared" si="142"/>
        <v>35911</v>
      </c>
      <c r="G80" s="110">
        <f t="shared" si="142"/>
        <v>33256</v>
      </c>
      <c r="H80" s="110">
        <f t="shared" si="142"/>
        <v>34995</v>
      </c>
      <c r="I80" s="110">
        <f t="shared" si="142"/>
        <v>38962</v>
      </c>
      <c r="J80" s="110">
        <f t="shared" si="142"/>
        <v>34783</v>
      </c>
      <c r="K80" s="110">
        <f t="shared" si="142"/>
        <v>33599</v>
      </c>
      <c r="L80" s="110">
        <f t="shared" ref="L80" si="143">SUM(L81:L82)</f>
        <v>31601</v>
      </c>
      <c r="M80" s="110">
        <f t="shared" ref="M80:V80" si="144">SUM(M81:M82)</f>
        <v>32136</v>
      </c>
      <c r="N80" s="110">
        <f t="shared" si="144"/>
        <v>34357</v>
      </c>
      <c r="O80" s="110">
        <f t="shared" si="144"/>
        <v>36603</v>
      </c>
      <c r="P80" s="110">
        <f t="shared" si="144"/>
        <v>35577</v>
      </c>
      <c r="Q80" s="110">
        <f t="shared" si="144"/>
        <v>37595</v>
      </c>
      <c r="R80" s="110">
        <f t="shared" si="144"/>
        <v>38363</v>
      </c>
      <c r="S80" s="110">
        <f t="shared" si="144"/>
        <v>36991</v>
      </c>
      <c r="T80" s="110">
        <f t="shared" si="144"/>
        <v>40479</v>
      </c>
      <c r="U80" s="110">
        <f t="shared" si="144"/>
        <v>39061</v>
      </c>
      <c r="V80" s="110">
        <f t="shared" si="144"/>
        <v>40755</v>
      </c>
      <c r="W80" s="110">
        <f t="shared" ref="W80:Y80" si="145">SUM(W81:W82)</f>
        <v>45674</v>
      </c>
      <c r="X80" s="110">
        <f t="shared" si="145"/>
        <v>41917</v>
      </c>
      <c r="Y80" s="110">
        <f t="shared" si="145"/>
        <v>54957</v>
      </c>
      <c r="DA80" s="176" t="s">
        <v>523</v>
      </c>
    </row>
    <row r="81" spans="1:105" ht="11.45" customHeight="1" x14ac:dyDescent="0.25">
      <c r="A81" s="128" t="s">
        <v>27</v>
      </c>
      <c r="B81" s="102">
        <v>26106</v>
      </c>
      <c r="C81" s="102">
        <v>25980</v>
      </c>
      <c r="D81" s="102">
        <v>26291</v>
      </c>
      <c r="E81" s="102">
        <v>33986</v>
      </c>
      <c r="F81" s="102">
        <v>34113</v>
      </c>
      <c r="G81" s="102">
        <v>31395</v>
      </c>
      <c r="H81" s="102">
        <v>32618</v>
      </c>
      <c r="I81" s="102">
        <v>36334</v>
      </c>
      <c r="J81" s="102">
        <v>32337</v>
      </c>
      <c r="K81" s="102">
        <v>31569</v>
      </c>
      <c r="L81" s="102">
        <v>29335</v>
      </c>
      <c r="M81" s="102">
        <v>29579</v>
      </c>
      <c r="N81" s="102">
        <v>31395</v>
      </c>
      <c r="O81" s="102">
        <v>33141</v>
      </c>
      <c r="P81" s="102">
        <v>32294</v>
      </c>
      <c r="Q81" s="102">
        <v>33929</v>
      </c>
      <c r="R81" s="102">
        <v>34596</v>
      </c>
      <c r="S81" s="102">
        <v>33199</v>
      </c>
      <c r="T81" s="102">
        <v>36873</v>
      </c>
      <c r="U81" s="102">
        <v>35496</v>
      </c>
      <c r="V81" s="102">
        <v>36790</v>
      </c>
      <c r="W81" s="102">
        <v>41601</v>
      </c>
      <c r="X81" s="102">
        <v>37427</v>
      </c>
      <c r="Y81" s="102">
        <v>50161</v>
      </c>
      <c r="DA81" s="175" t="s">
        <v>524</v>
      </c>
    </row>
    <row r="82" spans="1:105" ht="11.45" customHeight="1" x14ac:dyDescent="0.25">
      <c r="A82" s="138" t="s">
        <v>116</v>
      </c>
      <c r="B82" s="86">
        <v>1319</v>
      </c>
      <c r="C82" s="86">
        <v>1414</v>
      </c>
      <c r="D82" s="86">
        <v>1487</v>
      </c>
      <c r="E82" s="86">
        <v>1520</v>
      </c>
      <c r="F82" s="86">
        <v>1798</v>
      </c>
      <c r="G82" s="86">
        <v>1861</v>
      </c>
      <c r="H82" s="86">
        <v>2377</v>
      </c>
      <c r="I82" s="86">
        <v>2628</v>
      </c>
      <c r="J82" s="86">
        <v>2446</v>
      </c>
      <c r="K82" s="86">
        <v>2030</v>
      </c>
      <c r="L82" s="86">
        <v>2266</v>
      </c>
      <c r="M82" s="86">
        <v>2557</v>
      </c>
      <c r="N82" s="86">
        <v>2962</v>
      </c>
      <c r="O82" s="86">
        <v>3462</v>
      </c>
      <c r="P82" s="86">
        <v>3283</v>
      </c>
      <c r="Q82" s="86">
        <v>3666</v>
      </c>
      <c r="R82" s="86">
        <v>3767</v>
      </c>
      <c r="S82" s="86">
        <v>3792</v>
      </c>
      <c r="T82" s="86">
        <v>3606</v>
      </c>
      <c r="U82" s="86">
        <v>3565</v>
      </c>
      <c r="V82" s="86">
        <v>3965</v>
      </c>
      <c r="W82" s="86">
        <v>4073</v>
      </c>
      <c r="X82" s="86">
        <v>4490</v>
      </c>
      <c r="Y82" s="86">
        <v>4796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993875</v>
      </c>
      <c r="C84" s="54">
        <f t="shared" si="146"/>
        <v>1016184</v>
      </c>
      <c r="D84" s="54">
        <f t="shared" ref="D84:V84" si="147">D85+D100</f>
        <v>1066931</v>
      </c>
      <c r="E84" s="54">
        <f t="shared" si="147"/>
        <v>1153446</v>
      </c>
      <c r="F84" s="54">
        <f t="shared" si="147"/>
        <v>1235831</v>
      </c>
      <c r="G84" s="54">
        <f t="shared" si="147"/>
        <v>1306851</v>
      </c>
      <c r="H84" s="54">
        <f t="shared" si="147"/>
        <v>1514997</v>
      </c>
      <c r="I84" s="54">
        <f t="shared" si="147"/>
        <v>1604605</v>
      </c>
      <c r="J84" s="54">
        <f t="shared" si="147"/>
        <v>1610738</v>
      </c>
      <c r="K84" s="54">
        <f t="shared" si="147"/>
        <v>1546986</v>
      </c>
      <c r="L84" s="54">
        <f t="shared" si="147"/>
        <v>1420380</v>
      </c>
      <c r="M84" s="54">
        <f t="shared" si="147"/>
        <v>1332681</v>
      </c>
      <c r="N84" s="54">
        <f t="shared" si="147"/>
        <v>1482028</v>
      </c>
      <c r="O84" s="54">
        <f t="shared" si="147"/>
        <v>1502562</v>
      </c>
      <c r="P84" s="54">
        <f t="shared" si="147"/>
        <v>1518211</v>
      </c>
      <c r="Q84" s="54">
        <f t="shared" si="147"/>
        <v>1589675</v>
      </c>
      <c r="R84" s="54">
        <f t="shared" si="147"/>
        <v>1637540</v>
      </c>
      <c r="S84" s="54">
        <f t="shared" si="147"/>
        <v>1691423</v>
      </c>
      <c r="T84" s="54">
        <f t="shared" si="147"/>
        <v>1774548</v>
      </c>
      <c r="U84" s="54">
        <f t="shared" si="147"/>
        <v>1857007</v>
      </c>
      <c r="V84" s="54">
        <f t="shared" si="147"/>
        <v>1940142</v>
      </c>
      <c r="W84" s="54">
        <f t="shared" ref="W84:Y84" si="148">W85+W100</f>
        <v>2012147</v>
      </c>
      <c r="X84" s="54">
        <f t="shared" si="148"/>
        <v>2071944</v>
      </c>
      <c r="Y84" s="54">
        <f t="shared" si="148"/>
        <v>2167764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944779</v>
      </c>
      <c r="C85" s="28">
        <f t="shared" si="149"/>
        <v>966362</v>
      </c>
      <c r="D85" s="28">
        <f t="shared" ref="D85:V85" si="150">D86+D87+D94</f>
        <v>1014704</v>
      </c>
      <c r="E85" s="28">
        <f t="shared" si="150"/>
        <v>1091532</v>
      </c>
      <c r="F85" s="28">
        <f t="shared" si="150"/>
        <v>1171628</v>
      </c>
      <c r="G85" s="28">
        <f t="shared" si="150"/>
        <v>1242214</v>
      </c>
      <c r="H85" s="28">
        <f t="shared" si="150"/>
        <v>1440500</v>
      </c>
      <c r="I85" s="28">
        <f t="shared" si="150"/>
        <v>1520200</v>
      </c>
      <c r="J85" s="28">
        <f t="shared" si="150"/>
        <v>1527627</v>
      </c>
      <c r="K85" s="28">
        <f t="shared" si="150"/>
        <v>1459571</v>
      </c>
      <c r="L85" s="28">
        <f t="shared" si="150"/>
        <v>1339093</v>
      </c>
      <c r="M85" s="28">
        <f t="shared" si="150"/>
        <v>1245450</v>
      </c>
      <c r="N85" s="28">
        <f t="shared" si="150"/>
        <v>1386425</v>
      </c>
      <c r="O85" s="28">
        <f t="shared" si="150"/>
        <v>1400612</v>
      </c>
      <c r="P85" s="28">
        <f t="shared" si="150"/>
        <v>1413262</v>
      </c>
      <c r="Q85" s="28">
        <f t="shared" si="150"/>
        <v>1478537</v>
      </c>
      <c r="R85" s="28">
        <f t="shared" si="150"/>
        <v>1523848</v>
      </c>
      <c r="S85" s="28">
        <f t="shared" si="150"/>
        <v>1577395</v>
      </c>
      <c r="T85" s="28">
        <f t="shared" si="150"/>
        <v>1653924</v>
      </c>
      <c r="U85" s="28">
        <f t="shared" si="150"/>
        <v>1733669</v>
      </c>
      <c r="V85" s="28">
        <f t="shared" si="150"/>
        <v>1811306</v>
      </c>
      <c r="W85" s="28">
        <f t="shared" ref="W85:Y85" si="151">W86+W87+W94</f>
        <v>1874330</v>
      </c>
      <c r="X85" s="28">
        <f t="shared" si="151"/>
        <v>1941497</v>
      </c>
      <c r="Y85" s="28">
        <f t="shared" si="151"/>
        <v>2022526</v>
      </c>
      <c r="DA85" s="173"/>
    </row>
    <row r="86" spans="1:105" ht="11.45" hidden="1" customHeight="1" x14ac:dyDescent="0.25">
      <c r="A86" s="136" t="s">
        <v>173</v>
      </c>
      <c r="B86" s="137">
        <v>19842</v>
      </c>
      <c r="C86" s="137">
        <v>20244</v>
      </c>
      <c r="D86" s="137">
        <v>21017</v>
      </c>
      <c r="E86" s="137">
        <v>21873</v>
      </c>
      <c r="F86" s="137">
        <v>22861</v>
      </c>
      <c r="G86" s="137">
        <v>24027</v>
      </c>
      <c r="H86" s="137">
        <v>25303</v>
      </c>
      <c r="I86" s="137">
        <v>29349</v>
      </c>
      <c r="J86" s="137">
        <v>34255</v>
      </c>
      <c r="K86" s="137">
        <v>37309</v>
      </c>
      <c r="L86" s="137">
        <v>37353</v>
      </c>
      <c r="M86" s="137">
        <v>37447</v>
      </c>
      <c r="N86" s="137">
        <v>37485</v>
      </c>
      <c r="O86" s="137">
        <v>37539</v>
      </c>
      <c r="P86" s="137">
        <v>37646</v>
      </c>
      <c r="Q86" s="137">
        <v>37753</v>
      </c>
      <c r="R86" s="137">
        <v>39713</v>
      </c>
      <c r="S86" s="137">
        <v>42100</v>
      </c>
      <c r="T86" s="137">
        <v>45267</v>
      </c>
      <c r="U86" s="137">
        <v>53154</v>
      </c>
      <c r="V86" s="137">
        <v>60911</v>
      </c>
      <c r="W86" s="137">
        <v>69494</v>
      </c>
      <c r="X86" s="137">
        <v>78670</v>
      </c>
      <c r="Y86" s="137">
        <v>87652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922394</v>
      </c>
      <c r="C87" s="110">
        <f t="shared" si="152"/>
        <v>943477</v>
      </c>
      <c r="D87" s="110">
        <f t="shared" ref="D87:V87" si="153">SUM(D88:D93)</f>
        <v>990945</v>
      </c>
      <c r="E87" s="110">
        <f t="shared" si="153"/>
        <v>1066853</v>
      </c>
      <c r="F87" s="110">
        <f t="shared" si="153"/>
        <v>1145914</v>
      </c>
      <c r="G87" s="110">
        <f t="shared" si="153"/>
        <v>1215276</v>
      </c>
      <c r="H87" s="110">
        <f t="shared" si="153"/>
        <v>1412238</v>
      </c>
      <c r="I87" s="110">
        <f t="shared" si="153"/>
        <v>1487903</v>
      </c>
      <c r="J87" s="110">
        <f t="shared" si="153"/>
        <v>1490460</v>
      </c>
      <c r="K87" s="110">
        <f t="shared" si="153"/>
        <v>1419225</v>
      </c>
      <c r="L87" s="110">
        <f t="shared" si="153"/>
        <v>1298712</v>
      </c>
      <c r="M87" s="110">
        <f t="shared" si="153"/>
        <v>1204958</v>
      </c>
      <c r="N87" s="110">
        <f t="shared" si="153"/>
        <v>1345933</v>
      </c>
      <c r="O87" s="110">
        <f t="shared" si="153"/>
        <v>1359610</v>
      </c>
      <c r="P87" s="110">
        <f t="shared" si="153"/>
        <v>1372218</v>
      </c>
      <c r="Q87" s="110">
        <f t="shared" si="153"/>
        <v>1437179</v>
      </c>
      <c r="R87" s="110">
        <f t="shared" si="153"/>
        <v>1480828</v>
      </c>
      <c r="S87" s="110">
        <f t="shared" si="153"/>
        <v>1532058</v>
      </c>
      <c r="T87" s="110">
        <f t="shared" si="153"/>
        <v>1605329</v>
      </c>
      <c r="U87" s="110">
        <f t="shared" si="153"/>
        <v>1676792</v>
      </c>
      <c r="V87" s="110">
        <f t="shared" si="153"/>
        <v>1746660</v>
      </c>
      <c r="W87" s="110">
        <f t="shared" ref="W87:Y87" si="154">SUM(W88:W93)</f>
        <v>1801180</v>
      </c>
      <c r="X87" s="110">
        <f t="shared" si="154"/>
        <v>1859298</v>
      </c>
      <c r="Y87" s="110">
        <f t="shared" si="154"/>
        <v>1931410</v>
      </c>
      <c r="DA87" s="176"/>
    </row>
    <row r="88" spans="1:105" ht="11.45" hidden="1" customHeight="1" x14ac:dyDescent="0.25">
      <c r="A88" s="111" t="s">
        <v>110</v>
      </c>
      <c r="B88" s="84">
        <v>531462</v>
      </c>
      <c r="C88" s="84">
        <v>533888</v>
      </c>
      <c r="D88" s="84">
        <v>518112</v>
      </c>
      <c r="E88" s="84">
        <v>525520</v>
      </c>
      <c r="F88" s="84">
        <v>508676</v>
      </c>
      <c r="G88" s="84">
        <v>502545</v>
      </c>
      <c r="H88" s="84">
        <v>547488</v>
      </c>
      <c r="I88" s="84">
        <v>582096</v>
      </c>
      <c r="J88" s="84">
        <v>580392</v>
      </c>
      <c r="K88" s="84">
        <v>530711</v>
      </c>
      <c r="L88" s="84">
        <v>437251</v>
      </c>
      <c r="M88" s="84">
        <v>387618</v>
      </c>
      <c r="N88" s="84">
        <v>370100</v>
      </c>
      <c r="O88" s="84">
        <v>347712</v>
      </c>
      <c r="P88" s="84">
        <v>339187</v>
      </c>
      <c r="Q88" s="84">
        <v>330969</v>
      </c>
      <c r="R88" s="84">
        <v>327250</v>
      </c>
      <c r="S88" s="84">
        <v>333387</v>
      </c>
      <c r="T88" s="84">
        <v>350879</v>
      </c>
      <c r="U88" s="84">
        <v>372807</v>
      </c>
      <c r="V88" s="84">
        <v>392702</v>
      </c>
      <c r="W88" s="84">
        <v>406500</v>
      </c>
      <c r="X88" s="84">
        <v>429199</v>
      </c>
      <c r="Y88" s="84">
        <v>453483</v>
      </c>
      <c r="DA88" s="171"/>
    </row>
    <row r="89" spans="1:105" ht="11.45" hidden="1" customHeight="1" x14ac:dyDescent="0.25">
      <c r="A89" s="111" t="s">
        <v>111</v>
      </c>
      <c r="B89" s="84">
        <v>215587</v>
      </c>
      <c r="C89" s="84">
        <v>224980</v>
      </c>
      <c r="D89" s="84">
        <v>253164</v>
      </c>
      <c r="E89" s="84">
        <v>289627</v>
      </c>
      <c r="F89" s="84">
        <v>335899</v>
      </c>
      <c r="G89" s="84">
        <v>458861</v>
      </c>
      <c r="H89" s="84">
        <v>563454</v>
      </c>
      <c r="I89" s="84">
        <v>577715</v>
      </c>
      <c r="J89" s="84">
        <v>598528</v>
      </c>
      <c r="K89" s="84">
        <v>598004</v>
      </c>
      <c r="L89" s="84">
        <v>598151</v>
      </c>
      <c r="M89" s="84">
        <v>582503</v>
      </c>
      <c r="N89" s="84">
        <v>754681</v>
      </c>
      <c r="O89" s="84">
        <v>788753</v>
      </c>
      <c r="P89" s="84">
        <v>822607</v>
      </c>
      <c r="Q89" s="84">
        <v>908060</v>
      </c>
      <c r="R89" s="84">
        <v>971792</v>
      </c>
      <c r="S89" s="84">
        <v>1031728</v>
      </c>
      <c r="T89" s="84">
        <v>1092561</v>
      </c>
      <c r="U89" s="84">
        <v>1140757</v>
      </c>
      <c r="V89" s="84">
        <v>1184629</v>
      </c>
      <c r="W89" s="84">
        <v>1216879</v>
      </c>
      <c r="X89" s="84">
        <v>1233441</v>
      </c>
      <c r="Y89" s="84">
        <v>1257601</v>
      </c>
      <c r="DA89" s="171"/>
    </row>
    <row r="90" spans="1:105" ht="11.45" hidden="1" customHeight="1" x14ac:dyDescent="0.25">
      <c r="A90" s="111" t="s">
        <v>112</v>
      </c>
      <c r="B90" s="84">
        <v>175345</v>
      </c>
      <c r="C90" s="84">
        <v>184609</v>
      </c>
      <c r="D90" s="84">
        <v>219669</v>
      </c>
      <c r="E90" s="84">
        <v>251706</v>
      </c>
      <c r="F90" s="84">
        <v>301339</v>
      </c>
      <c r="G90" s="84">
        <v>253870</v>
      </c>
      <c r="H90" s="84">
        <v>301296</v>
      </c>
      <c r="I90" s="84">
        <v>328092</v>
      </c>
      <c r="J90" s="84">
        <v>311540</v>
      </c>
      <c r="K90" s="84">
        <v>290510</v>
      </c>
      <c r="L90" s="84">
        <v>263310</v>
      </c>
      <c r="M90" s="84">
        <v>234835</v>
      </c>
      <c r="N90" s="84">
        <v>221149</v>
      </c>
      <c r="O90" s="84">
        <v>222005</v>
      </c>
      <c r="P90" s="84">
        <v>207406</v>
      </c>
      <c r="Q90" s="84">
        <v>194043</v>
      </c>
      <c r="R90" s="84">
        <v>175744</v>
      </c>
      <c r="S90" s="84">
        <v>157579</v>
      </c>
      <c r="T90" s="84">
        <v>146545</v>
      </c>
      <c r="U90" s="84">
        <v>140332</v>
      </c>
      <c r="V90" s="84">
        <v>133651</v>
      </c>
      <c r="W90" s="84">
        <v>122985</v>
      </c>
      <c r="X90" s="84">
        <v>124292</v>
      </c>
      <c r="Y90" s="84">
        <v>127505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1</v>
      </c>
      <c r="O91" s="84">
        <v>5</v>
      </c>
      <c r="P91" s="84">
        <v>28</v>
      </c>
      <c r="Q91" s="84">
        <v>38</v>
      </c>
      <c r="R91" s="84">
        <v>50</v>
      </c>
      <c r="S91" s="84">
        <v>75</v>
      </c>
      <c r="T91" s="84">
        <v>100</v>
      </c>
      <c r="U91" s="84">
        <v>100</v>
      </c>
      <c r="V91" s="84">
        <v>181</v>
      </c>
      <c r="W91" s="84">
        <v>257</v>
      </c>
      <c r="X91" s="84">
        <v>919</v>
      </c>
      <c r="Y91" s="84">
        <v>829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1129</v>
      </c>
      <c r="P92" s="84">
        <v>2927</v>
      </c>
      <c r="Q92" s="84">
        <v>3915</v>
      </c>
      <c r="R92" s="84">
        <v>5662</v>
      </c>
      <c r="S92" s="84">
        <v>8677</v>
      </c>
      <c r="T92" s="84">
        <v>14303</v>
      </c>
      <c r="U92" s="84">
        <v>21436</v>
      </c>
      <c r="V92" s="84">
        <v>33001</v>
      </c>
      <c r="W92" s="84">
        <v>49718</v>
      </c>
      <c r="X92" s="84">
        <v>64101</v>
      </c>
      <c r="Y92" s="84">
        <v>80505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2</v>
      </c>
      <c r="N93" s="84">
        <v>2</v>
      </c>
      <c r="O93" s="84">
        <v>6</v>
      </c>
      <c r="P93" s="84">
        <v>63</v>
      </c>
      <c r="Q93" s="84">
        <v>154</v>
      </c>
      <c r="R93" s="84">
        <v>330</v>
      </c>
      <c r="S93" s="84">
        <v>612</v>
      </c>
      <c r="T93" s="84">
        <v>941</v>
      </c>
      <c r="U93" s="84">
        <v>1360</v>
      </c>
      <c r="V93" s="84">
        <v>2496</v>
      </c>
      <c r="W93" s="84">
        <v>4841</v>
      </c>
      <c r="X93" s="84">
        <v>7346</v>
      </c>
      <c r="Y93" s="84">
        <v>11487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2543</v>
      </c>
      <c r="C94" s="110">
        <f t="shared" si="155"/>
        <v>2641</v>
      </c>
      <c r="D94" s="110">
        <f t="shared" ref="D94:V94" si="156">SUM(D95:D99)</f>
        <v>2742</v>
      </c>
      <c r="E94" s="110">
        <f t="shared" si="156"/>
        <v>2806</v>
      </c>
      <c r="F94" s="110">
        <f t="shared" si="156"/>
        <v>2853</v>
      </c>
      <c r="G94" s="110">
        <f t="shared" si="156"/>
        <v>2911</v>
      </c>
      <c r="H94" s="110">
        <f t="shared" si="156"/>
        <v>2959</v>
      </c>
      <c r="I94" s="110">
        <f t="shared" si="156"/>
        <v>2948</v>
      </c>
      <c r="J94" s="110">
        <f t="shared" si="156"/>
        <v>2912</v>
      </c>
      <c r="K94" s="110">
        <f t="shared" si="156"/>
        <v>3037</v>
      </c>
      <c r="L94" s="110">
        <f t="shared" si="156"/>
        <v>3028</v>
      </c>
      <c r="M94" s="110">
        <f t="shared" si="156"/>
        <v>3045</v>
      </c>
      <c r="N94" s="110">
        <f t="shared" si="156"/>
        <v>3007</v>
      </c>
      <c r="O94" s="110">
        <f t="shared" si="156"/>
        <v>3463</v>
      </c>
      <c r="P94" s="110">
        <f t="shared" si="156"/>
        <v>3398</v>
      </c>
      <c r="Q94" s="110">
        <f t="shared" si="156"/>
        <v>3605</v>
      </c>
      <c r="R94" s="110">
        <f t="shared" si="156"/>
        <v>3307</v>
      </c>
      <c r="S94" s="110">
        <f t="shared" si="156"/>
        <v>3237</v>
      </c>
      <c r="T94" s="110">
        <f t="shared" si="156"/>
        <v>3328</v>
      </c>
      <c r="U94" s="110">
        <f t="shared" si="156"/>
        <v>3723</v>
      </c>
      <c r="V94" s="110">
        <f t="shared" si="156"/>
        <v>3735</v>
      </c>
      <c r="W94" s="110">
        <f t="shared" ref="W94:Y94" si="157">SUM(W95:W99)</f>
        <v>3656</v>
      </c>
      <c r="X94" s="110">
        <f t="shared" si="157"/>
        <v>3529</v>
      </c>
      <c r="Y94" s="110">
        <f t="shared" si="157"/>
        <v>3464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17</v>
      </c>
      <c r="E95" s="102">
        <v>26</v>
      </c>
      <c r="F95" s="102">
        <v>24</v>
      </c>
      <c r="G95" s="102">
        <v>25</v>
      </c>
      <c r="H95" s="102">
        <v>27</v>
      </c>
      <c r="I95" s="102">
        <v>24</v>
      </c>
      <c r="J95" s="102">
        <v>17</v>
      </c>
      <c r="K95" s="102">
        <v>16</v>
      </c>
      <c r="L95" s="102">
        <v>16</v>
      </c>
      <c r="M95" s="102">
        <v>11</v>
      </c>
      <c r="N95" s="102">
        <v>10</v>
      </c>
      <c r="O95" s="102">
        <v>171</v>
      </c>
      <c r="P95" s="102">
        <v>97</v>
      </c>
      <c r="Q95" s="102">
        <v>86</v>
      </c>
      <c r="R95" s="102">
        <v>84</v>
      </c>
      <c r="S95" s="102">
        <v>81</v>
      </c>
      <c r="T95" s="102">
        <v>78</v>
      </c>
      <c r="U95" s="102">
        <v>73</v>
      </c>
      <c r="V95" s="102">
        <v>68</v>
      </c>
      <c r="W95" s="102">
        <v>63</v>
      </c>
      <c r="X95" s="102">
        <v>57</v>
      </c>
      <c r="Y95" s="102">
        <v>52</v>
      </c>
      <c r="DA95" s="175"/>
    </row>
    <row r="96" spans="1:105" ht="11.45" hidden="1" customHeight="1" x14ac:dyDescent="0.25">
      <c r="A96" s="111" t="s">
        <v>111</v>
      </c>
      <c r="B96" s="102">
        <v>2543</v>
      </c>
      <c r="C96" s="102">
        <v>2641</v>
      </c>
      <c r="D96" s="102">
        <v>2723</v>
      </c>
      <c r="E96" s="102">
        <v>2778</v>
      </c>
      <c r="F96" s="102">
        <v>2812</v>
      </c>
      <c r="G96" s="102">
        <v>2832</v>
      </c>
      <c r="H96" s="102">
        <v>2841</v>
      </c>
      <c r="I96" s="102">
        <v>2806</v>
      </c>
      <c r="J96" s="102">
        <v>2774</v>
      </c>
      <c r="K96" s="102">
        <v>2818</v>
      </c>
      <c r="L96" s="102">
        <v>2763</v>
      </c>
      <c r="M96" s="102">
        <v>2743</v>
      </c>
      <c r="N96" s="102">
        <v>2716</v>
      </c>
      <c r="O96" s="102">
        <v>2535</v>
      </c>
      <c r="P96" s="102">
        <v>2422</v>
      </c>
      <c r="Q96" s="102">
        <v>2375</v>
      </c>
      <c r="R96" s="102">
        <v>2101</v>
      </c>
      <c r="S96" s="102">
        <v>2041</v>
      </c>
      <c r="T96" s="102">
        <v>2129</v>
      </c>
      <c r="U96" s="102">
        <v>2448</v>
      </c>
      <c r="V96" s="102">
        <v>2311</v>
      </c>
      <c r="W96" s="102">
        <v>2147</v>
      </c>
      <c r="X96" s="102">
        <v>2021</v>
      </c>
      <c r="Y96" s="102">
        <v>1950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2</v>
      </c>
      <c r="E97" s="102">
        <v>2</v>
      </c>
      <c r="F97" s="102">
        <v>2</v>
      </c>
      <c r="G97" s="102">
        <v>2</v>
      </c>
      <c r="H97" s="102">
        <v>2</v>
      </c>
      <c r="I97" s="102">
        <v>2</v>
      </c>
      <c r="J97" s="102">
        <v>2</v>
      </c>
      <c r="K97" s="102">
        <v>2</v>
      </c>
      <c r="L97" s="102">
        <v>2</v>
      </c>
      <c r="M97" s="102">
        <v>7</v>
      </c>
      <c r="N97" s="102">
        <v>7</v>
      </c>
      <c r="O97" s="102">
        <v>37</v>
      </c>
      <c r="P97" s="102">
        <v>139</v>
      </c>
      <c r="Q97" s="102">
        <v>139</v>
      </c>
      <c r="R97" s="102">
        <v>137</v>
      </c>
      <c r="S97" s="102">
        <v>136</v>
      </c>
      <c r="T97" s="102">
        <v>137</v>
      </c>
      <c r="U97" s="102">
        <v>162</v>
      </c>
      <c r="V97" s="102">
        <v>155</v>
      </c>
      <c r="W97" s="102">
        <v>148</v>
      </c>
      <c r="X97" s="102">
        <v>139</v>
      </c>
      <c r="Y97" s="102">
        <v>132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80</v>
      </c>
      <c r="L98" s="102">
        <v>130</v>
      </c>
      <c r="M98" s="102">
        <v>169</v>
      </c>
      <c r="N98" s="102">
        <v>165</v>
      </c>
      <c r="O98" s="102">
        <v>262</v>
      </c>
      <c r="P98" s="102">
        <v>304</v>
      </c>
      <c r="Q98" s="102">
        <v>574</v>
      </c>
      <c r="R98" s="102">
        <v>577</v>
      </c>
      <c r="S98" s="102">
        <v>555</v>
      </c>
      <c r="T98" s="102">
        <v>546</v>
      </c>
      <c r="U98" s="102">
        <v>522</v>
      </c>
      <c r="V98" s="102">
        <v>757</v>
      </c>
      <c r="W98" s="102">
        <v>868</v>
      </c>
      <c r="X98" s="102">
        <v>842</v>
      </c>
      <c r="Y98" s="102">
        <v>802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15</v>
      </c>
      <c r="G99" s="102">
        <v>52</v>
      </c>
      <c r="H99" s="102">
        <v>89</v>
      </c>
      <c r="I99" s="102">
        <v>116</v>
      </c>
      <c r="J99" s="102">
        <v>119</v>
      </c>
      <c r="K99" s="102">
        <v>121</v>
      </c>
      <c r="L99" s="102">
        <v>117</v>
      </c>
      <c r="M99" s="102">
        <v>115</v>
      </c>
      <c r="N99" s="102">
        <v>109</v>
      </c>
      <c r="O99" s="102">
        <v>458</v>
      </c>
      <c r="P99" s="102">
        <v>436</v>
      </c>
      <c r="Q99" s="102">
        <v>431</v>
      </c>
      <c r="R99" s="102">
        <v>408</v>
      </c>
      <c r="S99" s="102">
        <v>424</v>
      </c>
      <c r="T99" s="102">
        <v>438</v>
      </c>
      <c r="U99" s="102">
        <v>518</v>
      </c>
      <c r="V99" s="102">
        <v>444</v>
      </c>
      <c r="W99" s="102">
        <v>430</v>
      </c>
      <c r="X99" s="102">
        <v>470</v>
      </c>
      <c r="Y99" s="102">
        <v>528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49096</v>
      </c>
      <c r="C100" s="28">
        <f t="shared" si="158"/>
        <v>49822</v>
      </c>
      <c r="D100" s="28">
        <f t="shared" ref="D100:V100" si="159">D101+D107</f>
        <v>52227</v>
      </c>
      <c r="E100" s="28">
        <f t="shared" si="159"/>
        <v>61914</v>
      </c>
      <c r="F100" s="28">
        <f t="shared" si="159"/>
        <v>64203</v>
      </c>
      <c r="G100" s="28">
        <f t="shared" si="159"/>
        <v>64637</v>
      </c>
      <c r="H100" s="28">
        <f t="shared" si="159"/>
        <v>74497</v>
      </c>
      <c r="I100" s="28">
        <f t="shared" si="159"/>
        <v>84405</v>
      </c>
      <c r="J100" s="28">
        <f t="shared" si="159"/>
        <v>83111</v>
      </c>
      <c r="K100" s="28">
        <f t="shared" si="159"/>
        <v>87415</v>
      </c>
      <c r="L100" s="28">
        <f t="shared" si="159"/>
        <v>81287</v>
      </c>
      <c r="M100" s="28">
        <f t="shared" si="159"/>
        <v>87231</v>
      </c>
      <c r="N100" s="28">
        <f t="shared" si="159"/>
        <v>95603</v>
      </c>
      <c r="O100" s="28">
        <f t="shared" si="159"/>
        <v>101950</v>
      </c>
      <c r="P100" s="28">
        <f t="shared" si="159"/>
        <v>104949</v>
      </c>
      <c r="Q100" s="28">
        <f t="shared" si="159"/>
        <v>111138</v>
      </c>
      <c r="R100" s="28">
        <f t="shared" si="159"/>
        <v>113692</v>
      </c>
      <c r="S100" s="28">
        <f t="shared" si="159"/>
        <v>114028</v>
      </c>
      <c r="T100" s="28">
        <f t="shared" si="159"/>
        <v>120624</v>
      </c>
      <c r="U100" s="28">
        <f t="shared" si="159"/>
        <v>123338</v>
      </c>
      <c r="V100" s="28">
        <f t="shared" si="159"/>
        <v>128836</v>
      </c>
      <c r="W100" s="28">
        <f t="shared" ref="W100:Y100" si="160">W101+W107</f>
        <v>137817</v>
      </c>
      <c r="X100" s="28">
        <f t="shared" si="160"/>
        <v>130447</v>
      </c>
      <c r="Y100" s="28">
        <f t="shared" si="160"/>
        <v>145238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21671</v>
      </c>
      <c r="C101" s="137">
        <f t="shared" si="161"/>
        <v>22428</v>
      </c>
      <c r="D101" s="137">
        <f t="shared" ref="D101:V101" si="162">SUM(D102:D106)</f>
        <v>24449</v>
      </c>
      <c r="E101" s="137">
        <f t="shared" si="162"/>
        <v>26408</v>
      </c>
      <c r="F101" s="137">
        <f t="shared" si="162"/>
        <v>28292</v>
      </c>
      <c r="G101" s="137">
        <f t="shared" si="162"/>
        <v>31381</v>
      </c>
      <c r="H101" s="137">
        <f t="shared" si="162"/>
        <v>39502</v>
      </c>
      <c r="I101" s="137">
        <f t="shared" si="162"/>
        <v>45443</v>
      </c>
      <c r="J101" s="137">
        <f t="shared" si="162"/>
        <v>48328</v>
      </c>
      <c r="K101" s="137">
        <f t="shared" si="162"/>
        <v>53816</v>
      </c>
      <c r="L101" s="137">
        <f t="shared" si="162"/>
        <v>49686</v>
      </c>
      <c r="M101" s="137">
        <f t="shared" si="162"/>
        <v>55095</v>
      </c>
      <c r="N101" s="137">
        <f t="shared" si="162"/>
        <v>61246</v>
      </c>
      <c r="O101" s="137">
        <f t="shared" si="162"/>
        <v>65347</v>
      </c>
      <c r="P101" s="137">
        <f t="shared" si="162"/>
        <v>69372</v>
      </c>
      <c r="Q101" s="137">
        <f t="shared" si="162"/>
        <v>73543</v>
      </c>
      <c r="R101" s="137">
        <f t="shared" si="162"/>
        <v>75329</v>
      </c>
      <c r="S101" s="137">
        <f t="shared" si="162"/>
        <v>77037</v>
      </c>
      <c r="T101" s="137">
        <f t="shared" si="162"/>
        <v>80145</v>
      </c>
      <c r="U101" s="137">
        <f t="shared" si="162"/>
        <v>84277</v>
      </c>
      <c r="V101" s="137">
        <f t="shared" si="162"/>
        <v>88081</v>
      </c>
      <c r="W101" s="137">
        <f t="shared" ref="W101:Y101" si="163">SUM(W102:W106)</f>
        <v>92143</v>
      </c>
      <c r="X101" s="137">
        <f t="shared" si="163"/>
        <v>88530</v>
      </c>
      <c r="Y101" s="137">
        <f t="shared" si="163"/>
        <v>90281</v>
      </c>
      <c r="DA101" s="174"/>
    </row>
    <row r="102" spans="1:105" ht="11.45" hidden="1" customHeight="1" x14ac:dyDescent="0.25">
      <c r="A102" s="111" t="s">
        <v>110</v>
      </c>
      <c r="B102" s="84">
        <v>3273</v>
      </c>
      <c r="C102" s="84">
        <v>3273</v>
      </c>
      <c r="D102" s="84">
        <v>3273</v>
      </c>
      <c r="E102" s="84">
        <v>3274</v>
      </c>
      <c r="F102" s="84">
        <v>3282</v>
      </c>
      <c r="G102" s="84">
        <v>3358</v>
      </c>
      <c r="H102" s="84">
        <v>4227</v>
      </c>
      <c r="I102" s="84">
        <v>4862</v>
      </c>
      <c r="J102" s="84">
        <v>4499</v>
      </c>
      <c r="K102" s="84">
        <v>4090</v>
      </c>
      <c r="L102" s="84">
        <v>3651</v>
      </c>
      <c r="M102" s="84">
        <v>3178</v>
      </c>
      <c r="N102" s="84">
        <v>2711</v>
      </c>
      <c r="O102" s="84">
        <v>2421</v>
      </c>
      <c r="P102" s="84">
        <v>2131</v>
      </c>
      <c r="Q102" s="84">
        <v>1840</v>
      </c>
      <c r="R102" s="84">
        <v>1678</v>
      </c>
      <c r="S102" s="84">
        <v>1537</v>
      </c>
      <c r="T102" s="84">
        <v>1442</v>
      </c>
      <c r="U102" s="84">
        <v>1916</v>
      </c>
      <c r="V102" s="84">
        <v>1740</v>
      </c>
      <c r="W102" s="84">
        <v>1616</v>
      </c>
      <c r="X102" s="84">
        <v>1353</v>
      </c>
      <c r="Y102" s="84">
        <v>1161</v>
      </c>
      <c r="DA102" s="171"/>
    </row>
    <row r="103" spans="1:105" ht="11.45" hidden="1" customHeight="1" x14ac:dyDescent="0.25">
      <c r="A103" s="111" t="s">
        <v>111</v>
      </c>
      <c r="B103" s="84">
        <v>18398</v>
      </c>
      <c r="C103" s="84">
        <v>19155</v>
      </c>
      <c r="D103" s="84">
        <v>21176</v>
      </c>
      <c r="E103" s="84">
        <v>23134</v>
      </c>
      <c r="F103" s="84">
        <v>25010</v>
      </c>
      <c r="G103" s="84">
        <v>28023</v>
      </c>
      <c r="H103" s="84">
        <v>35275</v>
      </c>
      <c r="I103" s="84">
        <v>40581</v>
      </c>
      <c r="J103" s="84">
        <v>43829</v>
      </c>
      <c r="K103" s="84">
        <v>49726</v>
      </c>
      <c r="L103" s="84">
        <v>46035</v>
      </c>
      <c r="M103" s="84">
        <v>51917</v>
      </c>
      <c r="N103" s="84">
        <v>58535</v>
      </c>
      <c r="O103" s="84">
        <v>62926</v>
      </c>
      <c r="P103" s="84">
        <v>67241</v>
      </c>
      <c r="Q103" s="84">
        <v>71703</v>
      </c>
      <c r="R103" s="84">
        <v>73651</v>
      </c>
      <c r="S103" s="84">
        <v>75500</v>
      </c>
      <c r="T103" s="84">
        <v>78703</v>
      </c>
      <c r="U103" s="84">
        <v>82361</v>
      </c>
      <c r="V103" s="84">
        <v>86341</v>
      </c>
      <c r="W103" s="84">
        <v>90527</v>
      </c>
      <c r="X103" s="84">
        <v>87177</v>
      </c>
      <c r="Y103" s="84">
        <v>89120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X104" s="84">
        <v>0</v>
      </c>
      <c r="Y104" s="84">
        <v>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X105" s="84">
        <v>0</v>
      </c>
      <c r="Y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0</v>
      </c>
      <c r="O106" s="84">
        <v>0</v>
      </c>
      <c r="P106" s="84">
        <v>0</v>
      </c>
      <c r="Q106" s="84">
        <v>0</v>
      </c>
      <c r="R106" s="84">
        <v>0</v>
      </c>
      <c r="S106" s="84">
        <v>0</v>
      </c>
      <c r="T106" s="84">
        <v>0</v>
      </c>
      <c r="U106" s="84">
        <v>0</v>
      </c>
      <c r="V106" s="84">
        <v>0</v>
      </c>
      <c r="W106" s="84">
        <v>0</v>
      </c>
      <c r="X106" s="84">
        <v>0</v>
      </c>
      <c r="Y106" s="84">
        <v>0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27425</v>
      </c>
      <c r="C107" s="110">
        <f t="shared" si="164"/>
        <v>27394</v>
      </c>
      <c r="D107" s="110">
        <f t="shared" ref="D107:V107" si="165">SUM(D108:D109)</f>
        <v>27778</v>
      </c>
      <c r="E107" s="110">
        <f t="shared" si="165"/>
        <v>35506</v>
      </c>
      <c r="F107" s="110">
        <f t="shared" si="165"/>
        <v>35911</v>
      </c>
      <c r="G107" s="110">
        <f t="shared" si="165"/>
        <v>33256</v>
      </c>
      <c r="H107" s="110">
        <f t="shared" si="165"/>
        <v>34995</v>
      </c>
      <c r="I107" s="110">
        <f t="shared" si="165"/>
        <v>38962</v>
      </c>
      <c r="J107" s="110">
        <f t="shared" si="165"/>
        <v>34783</v>
      </c>
      <c r="K107" s="110">
        <f t="shared" si="165"/>
        <v>33599</v>
      </c>
      <c r="L107" s="110">
        <f t="shared" si="165"/>
        <v>31601</v>
      </c>
      <c r="M107" s="110">
        <f t="shared" si="165"/>
        <v>32136</v>
      </c>
      <c r="N107" s="110">
        <f t="shared" si="165"/>
        <v>34357</v>
      </c>
      <c r="O107" s="110">
        <f t="shared" si="165"/>
        <v>36603</v>
      </c>
      <c r="P107" s="110">
        <f t="shared" si="165"/>
        <v>35577</v>
      </c>
      <c r="Q107" s="110">
        <f t="shared" si="165"/>
        <v>37595</v>
      </c>
      <c r="R107" s="110">
        <f t="shared" si="165"/>
        <v>38363</v>
      </c>
      <c r="S107" s="110">
        <f t="shared" si="165"/>
        <v>36991</v>
      </c>
      <c r="T107" s="110">
        <f t="shared" si="165"/>
        <v>40479</v>
      </c>
      <c r="U107" s="110">
        <f t="shared" si="165"/>
        <v>39061</v>
      </c>
      <c r="V107" s="110">
        <f t="shared" si="165"/>
        <v>40755</v>
      </c>
      <c r="W107" s="110">
        <f t="shared" ref="W107:Y107" si="166">SUM(W108:W109)</f>
        <v>45674</v>
      </c>
      <c r="X107" s="110">
        <f t="shared" si="166"/>
        <v>41917</v>
      </c>
      <c r="Y107" s="110">
        <f t="shared" si="166"/>
        <v>54957</v>
      </c>
      <c r="DA107" s="176"/>
    </row>
    <row r="108" spans="1:105" ht="11.45" hidden="1" customHeight="1" x14ac:dyDescent="0.25">
      <c r="A108" s="128" t="s">
        <v>27</v>
      </c>
      <c r="B108" s="102">
        <v>26106</v>
      </c>
      <c r="C108" s="102">
        <v>25980</v>
      </c>
      <c r="D108" s="102">
        <v>26291</v>
      </c>
      <c r="E108" s="102">
        <v>33986</v>
      </c>
      <c r="F108" s="102">
        <v>34113</v>
      </c>
      <c r="G108" s="102">
        <v>31395</v>
      </c>
      <c r="H108" s="102">
        <v>32618</v>
      </c>
      <c r="I108" s="102">
        <v>36334</v>
      </c>
      <c r="J108" s="102">
        <v>32337</v>
      </c>
      <c r="K108" s="102">
        <v>31569</v>
      </c>
      <c r="L108" s="102">
        <v>29335</v>
      </c>
      <c r="M108" s="102">
        <v>29579</v>
      </c>
      <c r="N108" s="102">
        <v>31395</v>
      </c>
      <c r="O108" s="102">
        <v>33141</v>
      </c>
      <c r="P108" s="102">
        <v>32294</v>
      </c>
      <c r="Q108" s="102">
        <v>33929</v>
      </c>
      <c r="R108" s="102">
        <v>34596</v>
      </c>
      <c r="S108" s="102">
        <v>33199</v>
      </c>
      <c r="T108" s="102">
        <v>36873</v>
      </c>
      <c r="U108" s="102">
        <v>35496</v>
      </c>
      <c r="V108" s="102">
        <v>36790</v>
      </c>
      <c r="W108" s="102">
        <v>41601</v>
      </c>
      <c r="X108" s="102">
        <v>37427</v>
      </c>
      <c r="Y108" s="102">
        <v>50161</v>
      </c>
      <c r="DA108" s="175"/>
    </row>
    <row r="109" spans="1:105" ht="11.45" hidden="1" customHeight="1" x14ac:dyDescent="0.25">
      <c r="A109" s="138" t="s">
        <v>116</v>
      </c>
      <c r="B109" s="86">
        <v>1319</v>
      </c>
      <c r="C109" s="86">
        <v>1414</v>
      </c>
      <c r="D109" s="86">
        <v>1487</v>
      </c>
      <c r="E109" s="86">
        <v>1520</v>
      </c>
      <c r="F109" s="86">
        <v>1798</v>
      </c>
      <c r="G109" s="86">
        <v>1861</v>
      </c>
      <c r="H109" s="86">
        <v>2377</v>
      </c>
      <c r="I109" s="86">
        <v>2628</v>
      </c>
      <c r="J109" s="86">
        <v>2446</v>
      </c>
      <c r="K109" s="86">
        <v>2030</v>
      </c>
      <c r="L109" s="86">
        <v>2266</v>
      </c>
      <c r="M109" s="86">
        <v>2557</v>
      </c>
      <c r="N109" s="86">
        <v>2962</v>
      </c>
      <c r="O109" s="86">
        <v>3462</v>
      </c>
      <c r="P109" s="86">
        <v>3283</v>
      </c>
      <c r="Q109" s="86">
        <v>3666</v>
      </c>
      <c r="R109" s="86">
        <v>3767</v>
      </c>
      <c r="S109" s="86">
        <v>3792</v>
      </c>
      <c r="T109" s="86">
        <v>3606</v>
      </c>
      <c r="U109" s="86">
        <v>3565</v>
      </c>
      <c r="V109" s="86">
        <v>3965</v>
      </c>
      <c r="W109" s="86">
        <v>4073</v>
      </c>
      <c r="X109" s="86">
        <v>4490</v>
      </c>
      <c r="Y109" s="86">
        <v>4796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116761</v>
      </c>
      <c r="C111" s="54">
        <f t="shared" si="167"/>
        <v>150766</v>
      </c>
      <c r="D111" s="54">
        <f t="shared" si="167"/>
        <v>132736</v>
      </c>
      <c r="E111" s="54">
        <f t="shared" si="167"/>
        <v>173386</v>
      </c>
      <c r="F111" s="54">
        <f t="shared" si="167"/>
        <v>177823</v>
      </c>
      <c r="G111" s="54">
        <f t="shared" si="167"/>
        <v>203374</v>
      </c>
      <c r="H111" s="54">
        <f t="shared" si="167"/>
        <v>294975</v>
      </c>
      <c r="I111" s="54">
        <f t="shared" si="167"/>
        <v>195264</v>
      </c>
      <c r="J111" s="54">
        <f t="shared" si="167"/>
        <v>127287</v>
      </c>
      <c r="K111" s="54">
        <f t="shared" si="167"/>
        <v>59892</v>
      </c>
      <c r="L111" s="54">
        <f t="shared" ref="L111" si="168">L112+L127</f>
        <v>44370</v>
      </c>
      <c r="M111" s="54">
        <f t="shared" ref="M111:V111" si="169">M112+M127</f>
        <v>46096</v>
      </c>
      <c r="N111" s="54">
        <f t="shared" si="169"/>
        <v>250981</v>
      </c>
      <c r="O111" s="54">
        <f t="shared" si="169"/>
        <v>150742</v>
      </c>
      <c r="P111" s="54">
        <f t="shared" si="169"/>
        <v>157323</v>
      </c>
      <c r="Q111" s="54">
        <f t="shared" si="169"/>
        <v>212586</v>
      </c>
      <c r="R111" s="54">
        <f t="shared" si="169"/>
        <v>161340</v>
      </c>
      <c r="S111" s="54">
        <f t="shared" si="169"/>
        <v>202198</v>
      </c>
      <c r="T111" s="54">
        <f t="shared" si="169"/>
        <v>226277</v>
      </c>
      <c r="U111" s="54">
        <f t="shared" si="169"/>
        <v>265349</v>
      </c>
      <c r="V111" s="54">
        <f t="shared" si="169"/>
        <v>207910</v>
      </c>
      <c r="W111" s="54">
        <f t="shared" ref="W111:Y111" si="170">W112+W127</f>
        <v>200948</v>
      </c>
      <c r="X111" s="54">
        <f t="shared" si="170"/>
        <v>194819</v>
      </c>
      <c r="Y111" s="54">
        <f t="shared" si="170"/>
        <v>217129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116629</v>
      </c>
      <c r="C112" s="28">
        <f t="shared" si="171"/>
        <v>145811</v>
      </c>
      <c r="D112" s="28">
        <f t="shared" si="171"/>
        <v>124459</v>
      </c>
      <c r="E112" s="28">
        <f t="shared" si="171"/>
        <v>161116</v>
      </c>
      <c r="F112" s="28">
        <f t="shared" si="171"/>
        <v>171532</v>
      </c>
      <c r="G112" s="28">
        <f t="shared" si="171"/>
        <v>196239</v>
      </c>
      <c r="H112" s="28">
        <f t="shared" si="171"/>
        <v>280539</v>
      </c>
      <c r="I112" s="28">
        <f t="shared" si="171"/>
        <v>181571</v>
      </c>
      <c r="J112" s="28">
        <f t="shared" si="171"/>
        <v>121177</v>
      </c>
      <c r="K112" s="28">
        <f t="shared" si="171"/>
        <v>49796</v>
      </c>
      <c r="L112" s="28">
        <f t="shared" ref="L112" si="172">L113+L114+L121</f>
        <v>43387</v>
      </c>
      <c r="M112" s="28">
        <f t="shared" ref="M112:V112" si="173">M113+M114+M121</f>
        <v>31674</v>
      </c>
      <c r="N112" s="28">
        <f t="shared" si="173"/>
        <v>234273</v>
      </c>
      <c r="O112" s="28">
        <f t="shared" si="173"/>
        <v>134840</v>
      </c>
      <c r="P112" s="28">
        <f t="shared" si="173"/>
        <v>144313</v>
      </c>
      <c r="Q112" s="28">
        <f t="shared" si="173"/>
        <v>198849</v>
      </c>
      <c r="R112" s="28">
        <f t="shared" si="173"/>
        <v>145201</v>
      </c>
      <c r="S112" s="28">
        <f t="shared" si="173"/>
        <v>186450</v>
      </c>
      <c r="T112" s="28">
        <f t="shared" si="173"/>
        <v>209236</v>
      </c>
      <c r="U112" s="28">
        <f t="shared" si="173"/>
        <v>248491</v>
      </c>
      <c r="V112" s="28">
        <f t="shared" si="173"/>
        <v>193203</v>
      </c>
      <c r="W112" s="28">
        <f t="shared" ref="W112:Y112" si="174">W113+W114+W121</f>
        <v>184262</v>
      </c>
      <c r="X112" s="28">
        <f t="shared" si="174"/>
        <v>182154</v>
      </c>
      <c r="Y112" s="28">
        <f t="shared" si="174"/>
        <v>192787</v>
      </c>
      <c r="DA112" s="173" t="s">
        <v>527</v>
      </c>
    </row>
    <row r="113" spans="1:105" ht="11.45" customHeight="1" x14ac:dyDescent="0.25">
      <c r="A113" s="136" t="s">
        <v>173</v>
      </c>
      <c r="B113" s="137">
        <v>452</v>
      </c>
      <c r="C113" s="137">
        <v>840</v>
      </c>
      <c r="D113" s="137">
        <v>1292</v>
      </c>
      <c r="E113" s="137">
        <v>1405</v>
      </c>
      <c r="F113" s="137">
        <v>1579</v>
      </c>
      <c r="G113" s="137">
        <v>1984</v>
      </c>
      <c r="H113" s="137">
        <v>2948</v>
      </c>
      <c r="I113" s="137">
        <v>5311</v>
      </c>
      <c r="J113" s="137">
        <v>6746</v>
      </c>
      <c r="K113" s="137">
        <v>4668</v>
      </c>
      <c r="L113" s="137">
        <v>1568</v>
      </c>
      <c r="M113" s="137">
        <v>1700</v>
      </c>
      <c r="N113" s="137">
        <v>1557</v>
      </c>
      <c r="O113" s="137">
        <v>1604</v>
      </c>
      <c r="P113" s="137">
        <v>1742</v>
      </c>
      <c r="Q113" s="137">
        <v>1745</v>
      </c>
      <c r="R113" s="137">
        <v>3284</v>
      </c>
      <c r="S113" s="137">
        <v>3878</v>
      </c>
      <c r="T113" s="137">
        <v>4939</v>
      </c>
      <c r="U113" s="137">
        <v>11136</v>
      </c>
      <c r="V113" s="137">
        <v>11120</v>
      </c>
      <c r="W113" s="137">
        <v>12346</v>
      </c>
      <c r="X113" s="137">
        <v>13283</v>
      </c>
      <c r="Y113" s="137">
        <v>13211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115808</v>
      </c>
      <c r="C114" s="110">
        <f t="shared" si="175"/>
        <v>144389</v>
      </c>
      <c r="D114" s="110">
        <f t="shared" si="175"/>
        <v>122398</v>
      </c>
      <c r="E114" s="110">
        <f t="shared" si="175"/>
        <v>158761</v>
      </c>
      <c r="F114" s="110">
        <f t="shared" si="175"/>
        <v>168807</v>
      </c>
      <c r="G114" s="110">
        <f t="shared" si="175"/>
        <v>192817</v>
      </c>
      <c r="H114" s="110">
        <f t="shared" si="175"/>
        <v>276356</v>
      </c>
      <c r="I114" s="110">
        <f t="shared" si="175"/>
        <v>175083</v>
      </c>
      <c r="J114" s="110">
        <f t="shared" si="175"/>
        <v>113512</v>
      </c>
      <c r="K114" s="110">
        <f t="shared" si="175"/>
        <v>44527</v>
      </c>
      <c r="L114" s="110">
        <f t="shared" ref="L114" si="176">SUM(L115:L120)</f>
        <v>41254</v>
      </c>
      <c r="M114" s="110">
        <f t="shared" ref="M114:V114" si="177">SUM(M115:M120)</f>
        <v>29371</v>
      </c>
      <c r="N114" s="110">
        <f t="shared" si="177"/>
        <v>232571</v>
      </c>
      <c r="O114" s="110">
        <f t="shared" si="177"/>
        <v>132447</v>
      </c>
      <c r="P114" s="110">
        <f t="shared" si="177"/>
        <v>142276</v>
      </c>
      <c r="Q114" s="110">
        <f t="shared" si="177"/>
        <v>196683</v>
      </c>
      <c r="R114" s="110">
        <f t="shared" si="177"/>
        <v>141667</v>
      </c>
      <c r="S114" s="110">
        <f t="shared" si="177"/>
        <v>182199</v>
      </c>
      <c r="T114" s="110">
        <f t="shared" si="177"/>
        <v>203629</v>
      </c>
      <c r="U114" s="110">
        <f t="shared" si="177"/>
        <v>236920</v>
      </c>
      <c r="V114" s="110">
        <f t="shared" si="177"/>
        <v>181685</v>
      </c>
      <c r="W114" s="110">
        <f t="shared" ref="W114:Y114" si="178">SUM(W115:W120)</f>
        <v>171540</v>
      </c>
      <c r="X114" s="110">
        <f t="shared" si="178"/>
        <v>168673</v>
      </c>
      <c r="Y114" s="110">
        <f t="shared" si="178"/>
        <v>179304</v>
      </c>
      <c r="DA114" s="176" t="s">
        <v>529</v>
      </c>
    </row>
    <row r="115" spans="1:105" ht="11.45" customHeight="1" x14ac:dyDescent="0.25">
      <c r="A115" s="111" t="s">
        <v>110</v>
      </c>
      <c r="B115" s="84">
        <v>60808</v>
      </c>
      <c r="C115" s="84">
        <v>74342</v>
      </c>
      <c r="D115" s="84">
        <v>27787</v>
      </c>
      <c r="E115" s="84">
        <v>55184</v>
      </c>
      <c r="F115" s="84">
        <v>34095</v>
      </c>
      <c r="G115" s="84">
        <v>46836</v>
      </c>
      <c r="H115" s="84">
        <v>98738</v>
      </c>
      <c r="I115" s="84">
        <v>88458</v>
      </c>
      <c r="J115" s="84">
        <v>51877</v>
      </c>
      <c r="K115" s="84">
        <v>3375</v>
      </c>
      <c r="L115" s="84">
        <v>4</v>
      </c>
      <c r="M115" s="84">
        <v>28</v>
      </c>
      <c r="N115" s="84">
        <v>12</v>
      </c>
      <c r="O115" s="84">
        <v>16546</v>
      </c>
      <c r="P115" s="84">
        <v>36978</v>
      </c>
      <c r="Q115" s="84">
        <v>35344</v>
      </c>
      <c r="R115" s="84">
        <v>33009</v>
      </c>
      <c r="S115" s="84">
        <v>48318</v>
      </c>
      <c r="T115" s="84">
        <v>53956</v>
      </c>
      <c r="U115" s="84">
        <v>76757</v>
      </c>
      <c r="V115" s="84">
        <v>55875</v>
      </c>
      <c r="W115" s="84">
        <v>44236</v>
      </c>
      <c r="X115" s="84">
        <v>32161</v>
      </c>
      <c r="Y115" s="84">
        <v>34190</v>
      </c>
      <c r="DA115" s="171" t="s">
        <v>530</v>
      </c>
    </row>
    <row r="116" spans="1:105" ht="11.45" customHeight="1" x14ac:dyDescent="0.25">
      <c r="A116" s="111" t="s">
        <v>111</v>
      </c>
      <c r="B116" s="84">
        <v>35000</v>
      </c>
      <c r="C116" s="84">
        <v>37047</v>
      </c>
      <c r="D116" s="84">
        <v>45130</v>
      </c>
      <c r="E116" s="84">
        <v>55429</v>
      </c>
      <c r="F116" s="84">
        <v>67236</v>
      </c>
      <c r="G116" s="84">
        <v>145981</v>
      </c>
      <c r="H116" s="84">
        <v>130192</v>
      </c>
      <c r="I116" s="84">
        <v>43353</v>
      </c>
      <c r="J116" s="84">
        <v>53861</v>
      </c>
      <c r="K116" s="84">
        <v>36553</v>
      </c>
      <c r="L116" s="84">
        <v>41250</v>
      </c>
      <c r="M116" s="84">
        <v>29341</v>
      </c>
      <c r="N116" s="84">
        <v>220756</v>
      </c>
      <c r="O116" s="84">
        <v>86712</v>
      </c>
      <c r="P116" s="84">
        <v>91258</v>
      </c>
      <c r="Q116" s="84">
        <v>147524</v>
      </c>
      <c r="R116" s="84">
        <v>100508</v>
      </c>
      <c r="S116" s="84">
        <v>125142</v>
      </c>
      <c r="T116" s="84">
        <v>132594</v>
      </c>
      <c r="U116" s="84">
        <v>138316</v>
      </c>
      <c r="V116" s="84">
        <v>100812</v>
      </c>
      <c r="W116" s="84">
        <v>100738</v>
      </c>
      <c r="X116" s="84">
        <v>100948</v>
      </c>
      <c r="Y116" s="84">
        <v>105460</v>
      </c>
      <c r="DA116" s="171" t="s">
        <v>531</v>
      </c>
    </row>
    <row r="117" spans="1:105" ht="11.45" customHeight="1" x14ac:dyDescent="0.25">
      <c r="A117" s="111" t="s">
        <v>112</v>
      </c>
      <c r="B117" s="84">
        <v>20000</v>
      </c>
      <c r="C117" s="84">
        <v>33000</v>
      </c>
      <c r="D117" s="84">
        <v>49481</v>
      </c>
      <c r="E117" s="84">
        <v>48148</v>
      </c>
      <c r="F117" s="84">
        <v>67476</v>
      </c>
      <c r="G117" s="84">
        <v>0</v>
      </c>
      <c r="H117" s="84">
        <v>47426</v>
      </c>
      <c r="I117" s="84">
        <v>43272</v>
      </c>
      <c r="J117" s="84">
        <v>7774</v>
      </c>
      <c r="K117" s="84">
        <v>4599</v>
      </c>
      <c r="L117" s="84">
        <v>0</v>
      </c>
      <c r="M117" s="84">
        <v>0</v>
      </c>
      <c r="N117" s="84">
        <v>11802</v>
      </c>
      <c r="O117" s="84">
        <v>28052</v>
      </c>
      <c r="P117" s="84">
        <v>12162</v>
      </c>
      <c r="Q117" s="84">
        <v>12711</v>
      </c>
      <c r="R117" s="84">
        <v>6151</v>
      </c>
      <c r="S117" s="84">
        <v>5237</v>
      </c>
      <c r="T117" s="84">
        <v>10884</v>
      </c>
      <c r="U117" s="84">
        <v>13956</v>
      </c>
      <c r="V117" s="84">
        <v>11680</v>
      </c>
      <c r="W117" s="84">
        <v>6581</v>
      </c>
      <c r="X117" s="84">
        <v>16700</v>
      </c>
      <c r="Y117" s="84">
        <v>17150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1</v>
      </c>
      <c r="O118" s="84">
        <v>4</v>
      </c>
      <c r="P118" s="84">
        <v>23</v>
      </c>
      <c r="Q118" s="84">
        <v>10</v>
      </c>
      <c r="R118" s="84">
        <v>12</v>
      </c>
      <c r="S118" s="84">
        <v>25</v>
      </c>
      <c r="T118" s="84">
        <v>26</v>
      </c>
      <c r="U118" s="84">
        <v>1</v>
      </c>
      <c r="V118" s="84">
        <v>82</v>
      </c>
      <c r="W118" s="84">
        <v>78</v>
      </c>
      <c r="X118" s="84">
        <v>664</v>
      </c>
      <c r="Y118" s="84">
        <v>1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1129</v>
      </c>
      <c r="P119" s="84">
        <v>1798</v>
      </c>
      <c r="Q119" s="84">
        <v>988</v>
      </c>
      <c r="R119" s="84">
        <v>1785</v>
      </c>
      <c r="S119" s="84">
        <v>3194</v>
      </c>
      <c r="T119" s="84">
        <v>5825</v>
      </c>
      <c r="U119" s="84">
        <v>7462</v>
      </c>
      <c r="V119" s="84">
        <v>12092</v>
      </c>
      <c r="W119" s="84">
        <v>17548</v>
      </c>
      <c r="X119" s="84">
        <v>15671</v>
      </c>
      <c r="Y119" s="84">
        <v>18322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2</v>
      </c>
      <c r="N120" s="84">
        <v>0</v>
      </c>
      <c r="O120" s="84">
        <v>4</v>
      </c>
      <c r="P120" s="84">
        <v>57</v>
      </c>
      <c r="Q120" s="84">
        <v>106</v>
      </c>
      <c r="R120" s="84">
        <v>202</v>
      </c>
      <c r="S120" s="84">
        <v>283</v>
      </c>
      <c r="T120" s="84">
        <v>344</v>
      </c>
      <c r="U120" s="84">
        <v>428</v>
      </c>
      <c r="V120" s="84">
        <v>1144</v>
      </c>
      <c r="W120" s="84">
        <v>2359</v>
      </c>
      <c r="X120" s="84">
        <v>2529</v>
      </c>
      <c r="Y120" s="84">
        <v>4181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369</v>
      </c>
      <c r="C121" s="110">
        <f t="shared" si="179"/>
        <v>582</v>
      </c>
      <c r="D121" s="110">
        <f t="shared" si="179"/>
        <v>769</v>
      </c>
      <c r="E121" s="110">
        <f t="shared" si="179"/>
        <v>950</v>
      </c>
      <c r="F121" s="110">
        <f t="shared" si="179"/>
        <v>1146</v>
      </c>
      <c r="G121" s="110">
        <f t="shared" si="179"/>
        <v>1438</v>
      </c>
      <c r="H121" s="110">
        <f t="shared" si="179"/>
        <v>1235</v>
      </c>
      <c r="I121" s="110">
        <f t="shared" si="179"/>
        <v>1177</v>
      </c>
      <c r="J121" s="110">
        <f t="shared" si="179"/>
        <v>919</v>
      </c>
      <c r="K121" s="110">
        <f t="shared" si="179"/>
        <v>601</v>
      </c>
      <c r="L121" s="110">
        <f t="shared" ref="L121" si="180">SUM(L122:L126)</f>
        <v>565</v>
      </c>
      <c r="M121" s="110">
        <f t="shared" ref="M121:V121" si="181">SUM(M122:M126)</f>
        <v>603</v>
      </c>
      <c r="N121" s="110">
        <f t="shared" si="181"/>
        <v>145</v>
      </c>
      <c r="O121" s="110">
        <f t="shared" si="181"/>
        <v>789</v>
      </c>
      <c r="P121" s="110">
        <f t="shared" si="181"/>
        <v>295</v>
      </c>
      <c r="Q121" s="110">
        <f t="shared" si="181"/>
        <v>421</v>
      </c>
      <c r="R121" s="110">
        <f t="shared" si="181"/>
        <v>250</v>
      </c>
      <c r="S121" s="110">
        <f t="shared" si="181"/>
        <v>373</v>
      </c>
      <c r="T121" s="110">
        <f t="shared" si="181"/>
        <v>668</v>
      </c>
      <c r="U121" s="110">
        <f t="shared" si="181"/>
        <v>435</v>
      </c>
      <c r="V121" s="110">
        <f t="shared" si="181"/>
        <v>398</v>
      </c>
      <c r="W121" s="110">
        <f t="shared" ref="W121:Y121" si="182">SUM(W122:W126)</f>
        <v>376</v>
      </c>
      <c r="X121" s="110">
        <f t="shared" si="182"/>
        <v>198</v>
      </c>
      <c r="Y121" s="110">
        <f t="shared" si="182"/>
        <v>272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17</v>
      </c>
      <c r="E122" s="102">
        <v>9</v>
      </c>
      <c r="F122" s="102">
        <v>0</v>
      </c>
      <c r="G122" s="102">
        <v>1</v>
      </c>
      <c r="H122" s="102">
        <v>2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161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X122" s="102">
        <v>0</v>
      </c>
      <c r="Y122" s="102">
        <v>0</v>
      </c>
      <c r="DA122" s="175" t="s">
        <v>537</v>
      </c>
    </row>
    <row r="123" spans="1:105" ht="11.45" customHeight="1" x14ac:dyDescent="0.25">
      <c r="A123" s="111" t="s">
        <v>111</v>
      </c>
      <c r="B123" s="102">
        <v>369</v>
      </c>
      <c r="C123" s="102">
        <v>582</v>
      </c>
      <c r="D123" s="102">
        <v>750</v>
      </c>
      <c r="E123" s="102">
        <v>941</v>
      </c>
      <c r="F123" s="102">
        <v>1131</v>
      </c>
      <c r="G123" s="102">
        <v>1400</v>
      </c>
      <c r="H123" s="102">
        <v>1196</v>
      </c>
      <c r="I123" s="102">
        <v>1149</v>
      </c>
      <c r="J123" s="102">
        <v>914</v>
      </c>
      <c r="K123" s="102">
        <v>517</v>
      </c>
      <c r="L123" s="102">
        <v>515</v>
      </c>
      <c r="M123" s="102">
        <v>556</v>
      </c>
      <c r="N123" s="102">
        <v>145</v>
      </c>
      <c r="O123" s="102">
        <v>150</v>
      </c>
      <c r="P123" s="102">
        <v>150</v>
      </c>
      <c r="Q123" s="102">
        <v>150</v>
      </c>
      <c r="R123" s="102">
        <v>240</v>
      </c>
      <c r="S123" s="102">
        <v>350</v>
      </c>
      <c r="T123" s="102">
        <v>643</v>
      </c>
      <c r="U123" s="102">
        <v>319</v>
      </c>
      <c r="V123" s="102">
        <v>156</v>
      </c>
      <c r="W123" s="102">
        <v>262</v>
      </c>
      <c r="X123" s="102">
        <v>150</v>
      </c>
      <c r="Y123" s="102">
        <v>199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2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6</v>
      </c>
      <c r="N124" s="102">
        <v>0</v>
      </c>
      <c r="O124" s="102">
        <v>30</v>
      </c>
      <c r="P124" s="102">
        <v>102</v>
      </c>
      <c r="Q124" s="102">
        <v>1</v>
      </c>
      <c r="R124" s="102">
        <v>0</v>
      </c>
      <c r="S124" s="102">
        <v>2</v>
      </c>
      <c r="T124" s="102">
        <v>6</v>
      </c>
      <c r="U124" s="102">
        <v>30</v>
      </c>
      <c r="V124" s="102">
        <v>0</v>
      </c>
      <c r="W124" s="102">
        <v>0</v>
      </c>
      <c r="X124" s="102">
        <v>0</v>
      </c>
      <c r="Y124" s="102">
        <v>3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80</v>
      </c>
      <c r="L125" s="102">
        <v>50</v>
      </c>
      <c r="M125" s="102">
        <v>39</v>
      </c>
      <c r="N125" s="102">
        <v>0</v>
      </c>
      <c r="O125" s="102">
        <v>97</v>
      </c>
      <c r="P125" s="102">
        <v>42</v>
      </c>
      <c r="Q125" s="102">
        <v>270</v>
      </c>
      <c r="R125" s="102">
        <v>3</v>
      </c>
      <c r="S125" s="102">
        <v>0</v>
      </c>
      <c r="T125" s="102">
        <v>0</v>
      </c>
      <c r="U125" s="102">
        <v>0</v>
      </c>
      <c r="V125" s="102">
        <v>235</v>
      </c>
      <c r="W125" s="102">
        <v>111</v>
      </c>
      <c r="X125" s="102">
        <v>0</v>
      </c>
      <c r="Y125" s="102">
        <v>1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15</v>
      </c>
      <c r="G126" s="102">
        <v>37</v>
      </c>
      <c r="H126" s="102">
        <v>37</v>
      </c>
      <c r="I126" s="102">
        <v>28</v>
      </c>
      <c r="J126" s="102">
        <v>5</v>
      </c>
      <c r="K126" s="102">
        <v>4</v>
      </c>
      <c r="L126" s="102">
        <v>0</v>
      </c>
      <c r="M126" s="102">
        <v>2</v>
      </c>
      <c r="N126" s="102">
        <v>0</v>
      </c>
      <c r="O126" s="102">
        <v>351</v>
      </c>
      <c r="P126" s="102">
        <v>1</v>
      </c>
      <c r="Q126" s="102">
        <v>0</v>
      </c>
      <c r="R126" s="102">
        <v>7</v>
      </c>
      <c r="S126" s="102">
        <v>21</v>
      </c>
      <c r="T126" s="102">
        <v>19</v>
      </c>
      <c r="U126" s="102">
        <v>86</v>
      </c>
      <c r="V126" s="102">
        <v>7</v>
      </c>
      <c r="W126" s="102">
        <v>3</v>
      </c>
      <c r="X126" s="102">
        <v>48</v>
      </c>
      <c r="Y126" s="102">
        <v>69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132</v>
      </c>
      <c r="C127" s="28">
        <f t="shared" si="183"/>
        <v>4955</v>
      </c>
      <c r="D127" s="28">
        <f t="shared" si="183"/>
        <v>8277</v>
      </c>
      <c r="E127" s="28">
        <f t="shared" si="183"/>
        <v>12270</v>
      </c>
      <c r="F127" s="28">
        <f t="shared" si="183"/>
        <v>6291</v>
      </c>
      <c r="G127" s="28">
        <f t="shared" si="183"/>
        <v>7135</v>
      </c>
      <c r="H127" s="28">
        <f t="shared" si="183"/>
        <v>14436</v>
      </c>
      <c r="I127" s="28">
        <f t="shared" si="183"/>
        <v>13693</v>
      </c>
      <c r="J127" s="28">
        <f t="shared" si="183"/>
        <v>6110</v>
      </c>
      <c r="K127" s="28">
        <f t="shared" si="183"/>
        <v>10096</v>
      </c>
      <c r="L127" s="28">
        <f t="shared" ref="L127" si="184">L128+L134</f>
        <v>983</v>
      </c>
      <c r="M127" s="28">
        <f t="shared" ref="M127:V127" si="185">M128+M134</f>
        <v>14422</v>
      </c>
      <c r="N127" s="28">
        <f t="shared" si="185"/>
        <v>16708</v>
      </c>
      <c r="O127" s="28">
        <f t="shared" si="185"/>
        <v>15902</v>
      </c>
      <c r="P127" s="28">
        <f t="shared" si="185"/>
        <v>13010</v>
      </c>
      <c r="Q127" s="28">
        <f t="shared" si="185"/>
        <v>13737</v>
      </c>
      <c r="R127" s="28">
        <f t="shared" si="185"/>
        <v>16139</v>
      </c>
      <c r="S127" s="28">
        <f t="shared" si="185"/>
        <v>15748</v>
      </c>
      <c r="T127" s="28">
        <f t="shared" si="185"/>
        <v>17041</v>
      </c>
      <c r="U127" s="28">
        <f t="shared" si="185"/>
        <v>16858</v>
      </c>
      <c r="V127" s="28">
        <f t="shared" si="185"/>
        <v>14707</v>
      </c>
      <c r="W127" s="28">
        <f t="shared" ref="W127:Y127" si="186">W128+W134</f>
        <v>16686</v>
      </c>
      <c r="X127" s="28">
        <f t="shared" si="186"/>
        <v>12665</v>
      </c>
      <c r="Y127" s="28">
        <f t="shared" si="186"/>
        <v>24342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0</v>
      </c>
      <c r="C128" s="137">
        <f t="shared" si="187"/>
        <v>3466</v>
      </c>
      <c r="D128" s="137">
        <f t="shared" si="187"/>
        <v>4730</v>
      </c>
      <c r="E128" s="137">
        <f t="shared" si="187"/>
        <v>4458</v>
      </c>
      <c r="F128" s="137">
        <f t="shared" si="187"/>
        <v>4177</v>
      </c>
      <c r="G128" s="137">
        <f t="shared" si="187"/>
        <v>5184</v>
      </c>
      <c r="H128" s="137">
        <f t="shared" si="187"/>
        <v>10133</v>
      </c>
      <c r="I128" s="137">
        <f t="shared" si="187"/>
        <v>8201</v>
      </c>
      <c r="J128" s="137">
        <f t="shared" si="187"/>
        <v>5747</v>
      </c>
      <c r="K128" s="137">
        <f t="shared" si="187"/>
        <v>9773</v>
      </c>
      <c r="L128" s="137">
        <f t="shared" ref="L128" si="188">SUM(L129:L133)</f>
        <v>290</v>
      </c>
      <c r="M128" s="137">
        <f t="shared" ref="M128:V128" si="189">SUM(M129:M133)</f>
        <v>10497</v>
      </c>
      <c r="N128" s="137">
        <f t="shared" si="189"/>
        <v>11829</v>
      </c>
      <c r="O128" s="137">
        <f t="shared" si="189"/>
        <v>10336</v>
      </c>
      <c r="P128" s="137">
        <f t="shared" si="189"/>
        <v>10714</v>
      </c>
      <c r="Q128" s="137">
        <f t="shared" si="189"/>
        <v>10942</v>
      </c>
      <c r="R128" s="137">
        <f t="shared" si="189"/>
        <v>10929</v>
      </c>
      <c r="S128" s="137">
        <f t="shared" si="189"/>
        <v>11249</v>
      </c>
      <c r="T128" s="137">
        <f t="shared" si="189"/>
        <v>11322</v>
      </c>
      <c r="U128" s="137">
        <f t="shared" si="189"/>
        <v>12028</v>
      </c>
      <c r="V128" s="137">
        <f t="shared" si="189"/>
        <v>10770</v>
      </c>
      <c r="W128" s="137">
        <f t="shared" ref="W128:Y128" si="190">SUM(W129:W133)</f>
        <v>11475</v>
      </c>
      <c r="X128" s="137">
        <f t="shared" si="190"/>
        <v>11531</v>
      </c>
      <c r="Y128" s="137">
        <f t="shared" si="190"/>
        <v>10988</v>
      </c>
      <c r="DA128" s="174" t="s">
        <v>543</v>
      </c>
    </row>
    <row r="129" spans="1:105" ht="11.45" customHeight="1" x14ac:dyDescent="0.25">
      <c r="A129" s="111" t="s">
        <v>110</v>
      </c>
      <c r="B129" s="84">
        <v>0</v>
      </c>
      <c r="C129" s="84">
        <v>409</v>
      </c>
      <c r="D129" s="84">
        <v>409</v>
      </c>
      <c r="E129" s="84">
        <v>378</v>
      </c>
      <c r="F129" s="84">
        <v>354</v>
      </c>
      <c r="G129" s="84">
        <v>392</v>
      </c>
      <c r="H129" s="84">
        <v>1168</v>
      </c>
      <c r="I129" s="84">
        <v>951</v>
      </c>
      <c r="J129" s="84">
        <v>0</v>
      </c>
      <c r="K129" s="84">
        <v>727</v>
      </c>
      <c r="L129" s="84">
        <v>290</v>
      </c>
      <c r="M129" s="84">
        <v>278</v>
      </c>
      <c r="N129" s="84">
        <v>293</v>
      </c>
      <c r="O129" s="84">
        <v>299</v>
      </c>
      <c r="P129" s="84">
        <v>269</v>
      </c>
      <c r="Q129" s="84">
        <v>224</v>
      </c>
      <c r="R129" s="84">
        <v>50</v>
      </c>
      <c r="S129" s="84">
        <v>76</v>
      </c>
      <c r="T129" s="84">
        <v>140</v>
      </c>
      <c r="U129" s="84">
        <v>806</v>
      </c>
      <c r="V129" s="84">
        <v>96</v>
      </c>
      <c r="W129" s="84">
        <v>121</v>
      </c>
      <c r="X129" s="84">
        <v>139</v>
      </c>
      <c r="Y129" s="84">
        <v>197</v>
      </c>
      <c r="DA129" s="171" t="s">
        <v>544</v>
      </c>
    </row>
    <row r="130" spans="1:105" ht="11.45" customHeight="1" x14ac:dyDescent="0.25">
      <c r="A130" s="111" t="s">
        <v>111</v>
      </c>
      <c r="B130" s="84">
        <v>0</v>
      </c>
      <c r="C130" s="84">
        <v>3057</v>
      </c>
      <c r="D130" s="84">
        <v>4321</v>
      </c>
      <c r="E130" s="84">
        <v>4080</v>
      </c>
      <c r="F130" s="84">
        <v>3823</v>
      </c>
      <c r="G130" s="84">
        <v>4792</v>
      </c>
      <c r="H130" s="84">
        <v>8965</v>
      </c>
      <c r="I130" s="84">
        <v>7250</v>
      </c>
      <c r="J130" s="84">
        <v>5747</v>
      </c>
      <c r="K130" s="84">
        <v>9046</v>
      </c>
      <c r="L130" s="84">
        <v>0</v>
      </c>
      <c r="M130" s="84">
        <v>10219</v>
      </c>
      <c r="N130" s="84">
        <v>11536</v>
      </c>
      <c r="O130" s="84">
        <v>10037</v>
      </c>
      <c r="P130" s="84">
        <v>10445</v>
      </c>
      <c r="Q130" s="84">
        <v>10718</v>
      </c>
      <c r="R130" s="84">
        <v>10879</v>
      </c>
      <c r="S130" s="84">
        <v>11173</v>
      </c>
      <c r="T130" s="84">
        <v>11182</v>
      </c>
      <c r="U130" s="84">
        <v>11222</v>
      </c>
      <c r="V130" s="84">
        <v>10674</v>
      </c>
      <c r="W130" s="84">
        <v>11354</v>
      </c>
      <c r="X130" s="84">
        <v>11392</v>
      </c>
      <c r="Y130" s="84">
        <v>10791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0</v>
      </c>
      <c r="T131" s="84">
        <v>0</v>
      </c>
      <c r="U131" s="84">
        <v>0</v>
      </c>
      <c r="V131" s="84">
        <v>0</v>
      </c>
      <c r="W131" s="84">
        <v>0</v>
      </c>
      <c r="X131" s="84">
        <v>0</v>
      </c>
      <c r="Y131" s="84">
        <v>0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X132" s="84">
        <v>0</v>
      </c>
      <c r="Y132" s="84">
        <v>0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0</v>
      </c>
      <c r="O133" s="84">
        <v>0</v>
      </c>
      <c r="P133" s="84">
        <v>0</v>
      </c>
      <c r="Q133" s="84">
        <v>0</v>
      </c>
      <c r="R133" s="84">
        <v>0</v>
      </c>
      <c r="S133" s="84">
        <v>0</v>
      </c>
      <c r="T133" s="84">
        <v>0</v>
      </c>
      <c r="U133" s="84">
        <v>0</v>
      </c>
      <c r="V133" s="84">
        <v>0</v>
      </c>
      <c r="W133" s="84">
        <v>0</v>
      </c>
      <c r="X133" s="84">
        <v>0</v>
      </c>
      <c r="Y133" s="84">
        <v>0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132</v>
      </c>
      <c r="C134" s="110">
        <f t="shared" si="191"/>
        <v>1489</v>
      </c>
      <c r="D134" s="110">
        <f t="shared" si="191"/>
        <v>3547</v>
      </c>
      <c r="E134" s="110">
        <f t="shared" si="191"/>
        <v>7812</v>
      </c>
      <c r="F134" s="110">
        <f t="shared" si="191"/>
        <v>2114</v>
      </c>
      <c r="G134" s="110">
        <f t="shared" si="191"/>
        <v>1951</v>
      </c>
      <c r="H134" s="110">
        <f t="shared" si="191"/>
        <v>4303</v>
      </c>
      <c r="I134" s="110">
        <f t="shared" si="191"/>
        <v>5492</v>
      </c>
      <c r="J134" s="110">
        <f t="shared" si="191"/>
        <v>363</v>
      </c>
      <c r="K134" s="110">
        <f t="shared" si="191"/>
        <v>323</v>
      </c>
      <c r="L134" s="110">
        <f t="shared" ref="L134" si="192">SUM(L135:L136)</f>
        <v>693</v>
      </c>
      <c r="M134" s="110">
        <f t="shared" ref="M134:V134" si="193">SUM(M135:M136)</f>
        <v>3925</v>
      </c>
      <c r="N134" s="110">
        <f t="shared" si="193"/>
        <v>4879</v>
      </c>
      <c r="O134" s="110">
        <f t="shared" si="193"/>
        <v>5566</v>
      </c>
      <c r="P134" s="110">
        <f t="shared" si="193"/>
        <v>2296</v>
      </c>
      <c r="Q134" s="110">
        <f t="shared" si="193"/>
        <v>2795</v>
      </c>
      <c r="R134" s="110">
        <f t="shared" si="193"/>
        <v>5210</v>
      </c>
      <c r="S134" s="110">
        <f t="shared" si="193"/>
        <v>4499</v>
      </c>
      <c r="T134" s="110">
        <f t="shared" si="193"/>
        <v>5719</v>
      </c>
      <c r="U134" s="110">
        <f t="shared" si="193"/>
        <v>4830</v>
      </c>
      <c r="V134" s="110">
        <f t="shared" si="193"/>
        <v>3937</v>
      </c>
      <c r="W134" s="110">
        <f t="shared" ref="W134:Y134" si="194">SUM(W135:W136)</f>
        <v>5211</v>
      </c>
      <c r="X134" s="110">
        <f t="shared" si="194"/>
        <v>1134</v>
      </c>
      <c r="Y134" s="110">
        <f t="shared" si="194"/>
        <v>13354</v>
      </c>
      <c r="DA134" s="176" t="s">
        <v>549</v>
      </c>
    </row>
    <row r="135" spans="1:105" ht="11.45" customHeight="1" x14ac:dyDescent="0.25">
      <c r="A135" s="128" t="s">
        <v>27</v>
      </c>
      <c r="B135" s="102">
        <v>0</v>
      </c>
      <c r="C135" s="102">
        <v>1337</v>
      </c>
      <c r="D135" s="102">
        <v>3404</v>
      </c>
      <c r="E135" s="102">
        <v>7695</v>
      </c>
      <c r="F135" s="102">
        <v>1741</v>
      </c>
      <c r="G135" s="102">
        <v>1779</v>
      </c>
      <c r="H135" s="102">
        <v>3665</v>
      </c>
      <c r="I135" s="102">
        <v>5103</v>
      </c>
      <c r="J135" s="102">
        <v>363</v>
      </c>
      <c r="K135" s="102">
        <v>323</v>
      </c>
      <c r="L135" s="102">
        <v>316</v>
      </c>
      <c r="M135" s="102">
        <v>3485</v>
      </c>
      <c r="N135" s="102">
        <v>4316</v>
      </c>
      <c r="O135" s="102">
        <v>4900</v>
      </c>
      <c r="P135" s="102">
        <v>2290</v>
      </c>
      <c r="Q135" s="102">
        <v>2209</v>
      </c>
      <c r="R135" s="102">
        <v>4887</v>
      </c>
      <c r="S135" s="102">
        <v>4233</v>
      </c>
      <c r="T135" s="102">
        <v>5646</v>
      </c>
      <c r="U135" s="102">
        <v>4600</v>
      </c>
      <c r="V135" s="102">
        <v>3254</v>
      </c>
      <c r="W135" s="102">
        <v>4811</v>
      </c>
      <c r="X135" s="102">
        <v>416</v>
      </c>
      <c r="Y135" s="102">
        <v>12734</v>
      </c>
      <c r="DA135" s="175" t="s">
        <v>550</v>
      </c>
    </row>
    <row r="136" spans="1:105" ht="11.45" customHeight="1" x14ac:dyDescent="0.25">
      <c r="A136" s="138" t="s">
        <v>116</v>
      </c>
      <c r="B136" s="86">
        <v>132</v>
      </c>
      <c r="C136" s="86">
        <v>152</v>
      </c>
      <c r="D136" s="86">
        <v>143</v>
      </c>
      <c r="E136" s="86">
        <v>117</v>
      </c>
      <c r="F136" s="86">
        <v>373</v>
      </c>
      <c r="G136" s="86">
        <v>172</v>
      </c>
      <c r="H136" s="86">
        <v>638</v>
      </c>
      <c r="I136" s="86">
        <v>389</v>
      </c>
      <c r="J136" s="86">
        <v>0</v>
      </c>
      <c r="K136" s="86">
        <v>0</v>
      </c>
      <c r="L136" s="86">
        <v>377</v>
      </c>
      <c r="M136" s="86">
        <v>440</v>
      </c>
      <c r="N136" s="86">
        <v>563</v>
      </c>
      <c r="O136" s="86">
        <v>666</v>
      </c>
      <c r="P136" s="86">
        <v>6</v>
      </c>
      <c r="Q136" s="86">
        <v>586</v>
      </c>
      <c r="R136" s="86">
        <v>323</v>
      </c>
      <c r="S136" s="86">
        <v>266</v>
      </c>
      <c r="T136" s="86">
        <v>73</v>
      </c>
      <c r="U136" s="86">
        <v>230</v>
      </c>
      <c r="V136" s="86">
        <v>683</v>
      </c>
      <c r="W136" s="86">
        <v>400</v>
      </c>
      <c r="X136" s="86">
        <v>718</v>
      </c>
      <c r="Y136" s="86">
        <v>620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3.0705679798920014</v>
      </c>
      <c r="C141" s="32">
        <f t="shared" si="195"/>
        <v>3.0266415648369578</v>
      </c>
      <c r="D141" s="32">
        <f t="shared" si="195"/>
        <v>2.8516722228230118</v>
      </c>
      <c r="E141" s="32">
        <f t="shared" si="195"/>
        <v>2.7929575453067925</v>
      </c>
      <c r="F141" s="32">
        <f t="shared" si="195"/>
        <v>2.7312900545687029</v>
      </c>
      <c r="G141" s="32">
        <f t="shared" si="195"/>
        <v>2.7043913529856534</v>
      </c>
      <c r="H141" s="32">
        <f t="shared" si="195"/>
        <v>2.6574629706619088</v>
      </c>
      <c r="I141" s="32">
        <f t="shared" si="195"/>
        <v>2.4135058691710642</v>
      </c>
      <c r="J141" s="32">
        <f t="shared" si="195"/>
        <v>2.371841249593992</v>
      </c>
      <c r="K141" s="32">
        <f t="shared" si="195"/>
        <v>2.3336682864868874</v>
      </c>
      <c r="L141" s="32">
        <f t="shared" ref="L141" si="196">IF(L4=0,0,L4/L31)</f>
        <v>2.1135525105684079</v>
      </c>
      <c r="M141" s="32">
        <f t="shared" ref="M141:V141" si="197">IF(M4=0,0,M4/M31)</f>
        <v>2.121171088196792</v>
      </c>
      <c r="N141" s="32">
        <f t="shared" si="197"/>
        <v>2.0756774296445788</v>
      </c>
      <c r="O141" s="32">
        <f t="shared" si="197"/>
        <v>2.0788925409988281</v>
      </c>
      <c r="P141" s="32">
        <f t="shared" si="197"/>
        <v>1.6547380694381757</v>
      </c>
      <c r="Q141" s="32">
        <f t="shared" si="197"/>
        <v>1.5669207252535629</v>
      </c>
      <c r="R141" s="32">
        <f t="shared" si="197"/>
        <v>1.4166034295870977</v>
      </c>
      <c r="S141" s="32">
        <f t="shared" si="197"/>
        <v>1.5972259761104495</v>
      </c>
      <c r="T141" s="32">
        <f t="shared" si="197"/>
        <v>1.4378502444332235</v>
      </c>
      <c r="U141" s="32">
        <f t="shared" si="197"/>
        <v>1.4347361695339129</v>
      </c>
      <c r="V141" s="32">
        <f t="shared" si="197"/>
        <v>1.2888372197414952</v>
      </c>
      <c r="W141" s="32">
        <f t="shared" ref="W141:Y141" si="198">IF(W4=0,0,W4/W31)</f>
        <v>1.3660327385013358</v>
      </c>
      <c r="X141" s="32">
        <f t="shared" si="198"/>
        <v>1.4137422921919984</v>
      </c>
      <c r="Y141" s="32">
        <f t="shared" si="198"/>
        <v>1.449676409010406</v>
      </c>
      <c r="DA141" s="173" t="s">
        <v>552</v>
      </c>
    </row>
    <row r="142" spans="1:105" ht="11.45" customHeight="1" x14ac:dyDescent="0.25">
      <c r="A142" s="136" t="s">
        <v>173</v>
      </c>
      <c r="B142" s="141">
        <v>1.1549472685768511</v>
      </c>
      <c r="C142" s="141">
        <v>1.1549251164250125</v>
      </c>
      <c r="D142" s="141">
        <v>1.154724433005738</v>
      </c>
      <c r="E142" s="141">
        <v>1.1552093820866824</v>
      </c>
      <c r="F142" s="141">
        <v>1.1553640856511078</v>
      </c>
      <c r="G142" s="141">
        <v>1.1543178727366701</v>
      </c>
      <c r="H142" s="141">
        <v>1.1546398637822315</v>
      </c>
      <c r="I142" s="141">
        <v>1.1564931393319673</v>
      </c>
      <c r="J142" s="141">
        <v>1.1571017737935945</v>
      </c>
      <c r="K142" s="141">
        <v>1.1576570562583655</v>
      </c>
      <c r="L142" s="141">
        <v>1.1556682113354204</v>
      </c>
      <c r="M142" s="141">
        <v>1.154655843434587</v>
      </c>
      <c r="N142" s="141">
        <v>1.1475295413899493</v>
      </c>
      <c r="O142" s="141">
        <v>1.1469392088128176</v>
      </c>
      <c r="P142" s="141">
        <v>1.149429532231234</v>
      </c>
      <c r="Q142" s="141">
        <v>1.1514161199072457</v>
      </c>
      <c r="R142" s="141">
        <v>1.1522419353876989</v>
      </c>
      <c r="S142" s="141">
        <v>1.1517017950579922</v>
      </c>
      <c r="T142" s="141">
        <v>1.1512668375144384</v>
      </c>
      <c r="U142" s="141">
        <v>1.1520607018402698</v>
      </c>
      <c r="V142" s="141">
        <v>1.1509844973675738</v>
      </c>
      <c r="W142" s="141">
        <v>1.1516311896400699</v>
      </c>
      <c r="X142" s="141">
        <v>1.1519615979747047</v>
      </c>
      <c r="Y142" s="141">
        <v>1.1536090228914531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2.8155770206227939</v>
      </c>
      <c r="C143" s="130">
        <f t="shared" si="199"/>
        <v>2.767965113441905</v>
      </c>
      <c r="D143" s="130">
        <f t="shared" si="199"/>
        <v>2.5909889777529043</v>
      </c>
      <c r="E143" s="130">
        <f t="shared" si="199"/>
        <v>2.5641403403650931</v>
      </c>
      <c r="F143" s="130">
        <f t="shared" si="199"/>
        <v>2.4804152587615698</v>
      </c>
      <c r="G143" s="130">
        <f t="shared" si="199"/>
        <v>2.470577057545654</v>
      </c>
      <c r="H143" s="130">
        <f t="shared" si="199"/>
        <v>2.4518689042519339</v>
      </c>
      <c r="I143" s="130">
        <f t="shared" si="199"/>
        <v>2.2268484491247467</v>
      </c>
      <c r="J143" s="130">
        <f t="shared" si="199"/>
        <v>2.1935808771445142</v>
      </c>
      <c r="K143" s="130">
        <f t="shared" si="199"/>
        <v>2.185661619254704</v>
      </c>
      <c r="L143" s="130">
        <f t="shared" ref="L143" si="200">IF(L6=0,0,L6/L33)</f>
        <v>1.9680142056665937</v>
      </c>
      <c r="M143" s="130">
        <f t="shared" ref="M143:V143" si="201">IF(M6=0,0,M6/M33)</f>
        <v>1.9601462728927601</v>
      </c>
      <c r="N143" s="130">
        <f t="shared" si="201"/>
        <v>1.936648035941982</v>
      </c>
      <c r="O143" s="130">
        <f t="shared" si="201"/>
        <v>1.9313600498482801</v>
      </c>
      <c r="P143" s="130">
        <f t="shared" si="201"/>
        <v>1.4866985745169341</v>
      </c>
      <c r="Q143" s="130">
        <f t="shared" si="201"/>
        <v>1.4223369639021139</v>
      </c>
      <c r="R143" s="130">
        <f t="shared" si="201"/>
        <v>1.2941419877541893</v>
      </c>
      <c r="S143" s="130">
        <f t="shared" si="201"/>
        <v>1.4786918233429369</v>
      </c>
      <c r="T143" s="130">
        <f t="shared" si="201"/>
        <v>1.3218449162358299</v>
      </c>
      <c r="U143" s="130">
        <f t="shared" si="201"/>
        <v>1.3217525444571061</v>
      </c>
      <c r="V143" s="130">
        <f t="shared" si="201"/>
        <v>1.2289567801610255</v>
      </c>
      <c r="W143" s="130">
        <f t="shared" ref="W143:Y143" si="202">IF(W6=0,0,W6/W33)</f>
        <v>1.3109810805411293</v>
      </c>
      <c r="X143" s="130">
        <f t="shared" si="202"/>
        <v>1.3350122513288032</v>
      </c>
      <c r="Y143" s="130">
        <f t="shared" si="202"/>
        <v>1.3576146713554429</v>
      </c>
      <c r="DA143" s="176" t="s">
        <v>554</v>
      </c>
    </row>
    <row r="144" spans="1:105" ht="11.45" customHeight="1" x14ac:dyDescent="0.25">
      <c r="A144" s="111" t="s">
        <v>110</v>
      </c>
      <c r="B144" s="96">
        <v>2.7904121874204142</v>
      </c>
      <c r="C144" s="96">
        <v>2.7355404271892922</v>
      </c>
      <c r="D144" s="96">
        <v>2.5603821554606769</v>
      </c>
      <c r="E144" s="96">
        <v>2.527844550450058</v>
      </c>
      <c r="F144" s="96">
        <v>2.4440021794866169</v>
      </c>
      <c r="G144" s="96">
        <v>2.4237856995916496</v>
      </c>
      <c r="H144" s="96">
        <v>2.4006619949789587</v>
      </c>
      <c r="I144" s="96">
        <v>2.1845611473675173</v>
      </c>
      <c r="J144" s="96">
        <v>2.1505922042219661</v>
      </c>
      <c r="K144" s="96">
        <v>2.1355675884454879</v>
      </c>
      <c r="L144" s="96">
        <v>1.9179697600898435</v>
      </c>
      <c r="M144" s="96">
        <v>1.9093346958578417</v>
      </c>
      <c r="N144" s="96">
        <v>1.8781161979261503</v>
      </c>
      <c r="O144" s="96">
        <v>1.8722519949666576</v>
      </c>
      <c r="P144" s="96">
        <v>1.4420280376488863</v>
      </c>
      <c r="Q144" s="96">
        <v>1.3780293560313606</v>
      </c>
      <c r="R144" s="96">
        <v>1.2521088832297191</v>
      </c>
      <c r="S144" s="96">
        <v>1.4296760746107005</v>
      </c>
      <c r="T144" s="96">
        <v>1.2780833239116485</v>
      </c>
      <c r="U144" s="96">
        <v>1.2782761815741344</v>
      </c>
      <c r="V144" s="96">
        <v>1.1889662843624706</v>
      </c>
      <c r="W144" s="96">
        <v>1.2687236219878977</v>
      </c>
      <c r="X144" s="96">
        <v>1.2937866519167389</v>
      </c>
      <c r="Y144" s="96">
        <v>1.317117771362605</v>
      </c>
      <c r="DA144" s="171" t="s">
        <v>555</v>
      </c>
    </row>
    <row r="145" spans="1:105" ht="11.45" customHeight="1" x14ac:dyDescent="0.25">
      <c r="A145" s="111" t="s">
        <v>111</v>
      </c>
      <c r="B145" s="96">
        <v>2.9134082616711683</v>
      </c>
      <c r="C145" s="96">
        <v>2.8561178583714417</v>
      </c>
      <c r="D145" s="96">
        <v>2.6732389423981178</v>
      </c>
      <c r="E145" s="96">
        <v>2.6392671415006461</v>
      </c>
      <c r="F145" s="96">
        <v>2.5517291579209505</v>
      </c>
      <c r="G145" s="96">
        <v>2.5306215739541691</v>
      </c>
      <c r="H145" s="96">
        <v>2.5064786203207357</v>
      </c>
      <c r="I145" s="96">
        <v>2.2808524574106115</v>
      </c>
      <c r="J145" s="96">
        <v>2.2453862277092655</v>
      </c>
      <c r="K145" s="96">
        <v>2.2296993553794491</v>
      </c>
      <c r="L145" s="96">
        <v>2.0025102276545264</v>
      </c>
      <c r="M145" s="96">
        <v>1.9934945461767184</v>
      </c>
      <c r="N145" s="96">
        <v>1.9608999960951279</v>
      </c>
      <c r="O145" s="96">
        <v>1.9547773101968504</v>
      </c>
      <c r="P145" s="96">
        <v>1.5055898972156967</v>
      </c>
      <c r="Q145" s="96">
        <v>1.438770275153721</v>
      </c>
      <c r="R145" s="96">
        <v>1.3072994668524633</v>
      </c>
      <c r="S145" s="96">
        <v>1.4926934830853609</v>
      </c>
      <c r="T145" s="96">
        <v>1.334418811591628</v>
      </c>
      <c r="U145" s="96">
        <v>1.3346201700539175</v>
      </c>
      <c r="V145" s="96">
        <v>1.24137366204393</v>
      </c>
      <c r="W145" s="96">
        <v>1.3246465517676616</v>
      </c>
      <c r="X145" s="96">
        <v>1.3508143124971972</v>
      </c>
      <c r="Y145" s="96">
        <v>1.37517382341607</v>
      </c>
      <c r="DA145" s="171" t="s">
        <v>556</v>
      </c>
    </row>
    <row r="146" spans="1:105" ht="11.45" customHeight="1" x14ac:dyDescent="0.25">
      <c r="A146" s="111" t="s">
        <v>112</v>
      </c>
      <c r="B146" s="96">
        <v>2.7311097100041102</v>
      </c>
      <c r="C146" s="96">
        <v>2.6849261600386476</v>
      </c>
      <c r="D146" s="96">
        <v>2.513259308420317</v>
      </c>
      <c r="E146" s="96">
        <v>2.48721613015414</v>
      </c>
      <c r="F146" s="96">
        <v>2.4060028009987224</v>
      </c>
      <c r="G146" s="96">
        <v>2.3964597458192842</v>
      </c>
      <c r="H146" s="96">
        <v>2.3783128371243758</v>
      </c>
      <c r="I146" s="96">
        <v>2.1600429956510041</v>
      </c>
      <c r="J146" s="96">
        <v>2.1277734508301789</v>
      </c>
      <c r="K146" s="96">
        <v>2.120091770677063</v>
      </c>
      <c r="L146" s="96">
        <v>1.908973779496596</v>
      </c>
      <c r="M146" s="96">
        <v>1.9013418847059773</v>
      </c>
      <c r="N146" s="96">
        <v>1.8785485948637224</v>
      </c>
      <c r="O146" s="96">
        <v>1.873419248352832</v>
      </c>
      <c r="P146" s="96">
        <v>1.4420976172814259</v>
      </c>
      <c r="Q146" s="96">
        <v>1.3796668549850506</v>
      </c>
      <c r="R146" s="96">
        <v>1.2553177281215633</v>
      </c>
      <c r="S146" s="96">
        <v>1.4343310686426485</v>
      </c>
      <c r="T146" s="96">
        <v>1.2821895687487543</v>
      </c>
      <c r="U146" s="96">
        <v>1.2820999681233931</v>
      </c>
      <c r="V146" s="96">
        <v>1.1920880767561948</v>
      </c>
      <c r="W146" s="96">
        <v>1.2716516481248952</v>
      </c>
      <c r="X146" s="96">
        <v>1.2949618837889389</v>
      </c>
      <c r="Y146" s="96">
        <v>1.3168862312147795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1.8785485948637224</v>
      </c>
      <c r="O147" s="96">
        <v>1.8734192483528318</v>
      </c>
      <c r="P147" s="96">
        <v>1.4420976172814259</v>
      </c>
      <c r="Q147" s="96">
        <v>1.3796668549850506</v>
      </c>
      <c r="R147" s="96">
        <v>1.2553177281215633</v>
      </c>
      <c r="S147" s="96">
        <v>1.4343310686426485</v>
      </c>
      <c r="T147" s="96">
        <v>1.2821895687487546</v>
      </c>
      <c r="U147" s="96">
        <v>1.2820999681233929</v>
      </c>
      <c r="V147" s="96">
        <v>1.1920880767561948</v>
      </c>
      <c r="W147" s="96">
        <v>1.2716516481248952</v>
      </c>
      <c r="X147" s="96">
        <v>1.2949618837889389</v>
      </c>
      <c r="Y147" s="96">
        <v>1.3168862312147795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1.873419248352832</v>
      </c>
      <c r="P148" s="96">
        <v>1.4420976172814259</v>
      </c>
      <c r="Q148" s="96">
        <v>1.3796668549850506</v>
      </c>
      <c r="R148" s="96">
        <v>1.2553177281215633</v>
      </c>
      <c r="S148" s="96">
        <v>1.4343310686426483</v>
      </c>
      <c r="T148" s="96">
        <v>1.2821895687487546</v>
      </c>
      <c r="U148" s="96">
        <v>1.2820999681233931</v>
      </c>
      <c r="V148" s="96">
        <v>1.1920880767561948</v>
      </c>
      <c r="W148" s="96">
        <v>1.2716516481248952</v>
      </c>
      <c r="X148" s="96">
        <v>1.2949618837889389</v>
      </c>
      <c r="Y148" s="96">
        <v>1.3168862312147795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1.7641316456034841</v>
      </c>
      <c r="N149" s="96">
        <v>1.7429832323477839</v>
      </c>
      <c r="O149" s="96">
        <v>1.7382240448634525</v>
      </c>
      <c r="P149" s="96">
        <v>1.3380287170652407</v>
      </c>
      <c r="Q149" s="96">
        <v>1.2801032675119026</v>
      </c>
      <c r="R149" s="96">
        <v>1.1647277889787702</v>
      </c>
      <c r="S149" s="96">
        <v>1.330822641008643</v>
      </c>
      <c r="T149" s="96">
        <v>1.1896604246122466</v>
      </c>
      <c r="U149" s="96">
        <v>1.1895772900113957</v>
      </c>
      <c r="V149" s="96">
        <v>1.1060611021449229</v>
      </c>
      <c r="W149" s="96">
        <v>1.1798829724870161</v>
      </c>
      <c r="X149" s="96">
        <v>1.201511026195923</v>
      </c>
      <c r="Y149" s="96">
        <v>1.2218532042198986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28.861304709712854</v>
      </c>
      <c r="C150" s="130">
        <f t="shared" si="203"/>
        <v>28.861221550128143</v>
      </c>
      <c r="D150" s="130">
        <f t="shared" si="203"/>
        <v>28.861055231677568</v>
      </c>
      <c r="E150" s="130">
        <f t="shared" si="203"/>
        <v>27.803571441954023</v>
      </c>
      <c r="F150" s="130">
        <f t="shared" si="203"/>
        <v>30.840411033609481</v>
      </c>
      <c r="G150" s="130">
        <f t="shared" si="203"/>
        <v>32.973879539589419</v>
      </c>
      <c r="H150" s="130">
        <f t="shared" si="203"/>
        <v>34.07919799767911</v>
      </c>
      <c r="I150" s="130">
        <f t="shared" si="203"/>
        <v>35.185654184418453</v>
      </c>
      <c r="J150" s="130">
        <f t="shared" si="203"/>
        <v>35.368426496443227</v>
      </c>
      <c r="K150" s="130">
        <f t="shared" si="203"/>
        <v>28.818841369317674</v>
      </c>
      <c r="L150" s="130">
        <f t="shared" ref="L150" si="204">IF(L13=0,0,L13/L40)</f>
        <v>28.776357589736872</v>
      </c>
      <c r="M150" s="130">
        <f t="shared" ref="M150:V150" si="205">IF(M13=0,0,M13/M40)</f>
        <v>28.691577822784943</v>
      </c>
      <c r="N150" s="130">
        <f t="shared" si="205"/>
        <v>28.864571491939305</v>
      </c>
      <c r="O150" s="130">
        <f t="shared" si="205"/>
        <v>27.201918400970083</v>
      </c>
      <c r="P150" s="130">
        <f t="shared" si="205"/>
        <v>27.530555555555555</v>
      </c>
      <c r="Q150" s="130">
        <f t="shared" si="205"/>
        <v>23.668474137931035</v>
      </c>
      <c r="R150" s="130">
        <f t="shared" si="205"/>
        <v>23.285840707964603</v>
      </c>
      <c r="S150" s="130">
        <f t="shared" si="205"/>
        <v>23.612068965517253</v>
      </c>
      <c r="T150" s="130">
        <f t="shared" si="205"/>
        <v>23.857142857142858</v>
      </c>
      <c r="U150" s="130">
        <f t="shared" si="205"/>
        <v>21.812030075187966</v>
      </c>
      <c r="V150" s="130">
        <f t="shared" si="205"/>
        <v>15.033333333333337</v>
      </c>
      <c r="W150" s="130">
        <f t="shared" ref="W150:Y150" si="206">IF(W13=0,0,W13/W40)</f>
        <v>14.311023622047244</v>
      </c>
      <c r="X150" s="130">
        <f t="shared" si="206"/>
        <v>18.616666666666667</v>
      </c>
      <c r="Y150" s="130">
        <f t="shared" si="206"/>
        <v>19.734886348820023</v>
      </c>
      <c r="DA150" s="176" t="s">
        <v>561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11.100405858337529</v>
      </c>
      <c r="E151" s="97">
        <v>11.074924486335025</v>
      </c>
      <c r="F151" s="97">
        <v>11.190325798134182</v>
      </c>
      <c r="G151" s="97">
        <v>11.115723669624401</v>
      </c>
      <c r="H151" s="97">
        <v>11.079133871195744</v>
      </c>
      <c r="I151" s="97">
        <v>11.043791113616434</v>
      </c>
      <c r="J151" s="97">
        <v>11.038070733104718</v>
      </c>
      <c r="K151" s="97">
        <v>10.814320849646231</v>
      </c>
      <c r="L151" s="97">
        <v>10.812725579805914</v>
      </c>
      <c r="M151" s="97">
        <v>10.80953574606718</v>
      </c>
      <c r="N151" s="97">
        <v>10.38801954104936</v>
      </c>
      <c r="O151" s="97">
        <v>10.326572532366209</v>
      </c>
      <c r="P151" s="97">
        <v>9.7603394552578209</v>
      </c>
      <c r="Q151" s="97">
        <v>9.1032592838196287</v>
      </c>
      <c r="R151" s="97">
        <v>8.956092579986386</v>
      </c>
      <c r="S151" s="97">
        <v>9.0815649867374031</v>
      </c>
      <c r="T151" s="97">
        <v>9.175824175824177</v>
      </c>
      <c r="U151" s="97">
        <v>8.3892423366107565</v>
      </c>
      <c r="V151" s="97">
        <v>6.5782051282051279</v>
      </c>
      <c r="W151" s="97">
        <v>6.5504239854633557</v>
      </c>
      <c r="X151" s="97">
        <v>7.1602564102564106</v>
      </c>
      <c r="Y151" s="97">
        <v>7.5903409033923168</v>
      </c>
      <c r="DA151" s="175" t="s">
        <v>562</v>
      </c>
    </row>
    <row r="152" spans="1:105" ht="11.45" customHeight="1" x14ac:dyDescent="0.25">
      <c r="A152" s="111" t="s">
        <v>111</v>
      </c>
      <c r="B152" s="97">
        <v>28.861304709712854</v>
      </c>
      <c r="C152" s="97">
        <v>28.861221550128143</v>
      </c>
      <c r="D152" s="97">
        <v>28.929935417098019</v>
      </c>
      <c r="E152" s="97">
        <v>27.899779169475877</v>
      </c>
      <c r="F152" s="97">
        <v>30.942200120427493</v>
      </c>
      <c r="G152" s="97">
        <v>33.088061770286558</v>
      </c>
      <c r="H152" s="97">
        <v>34.20531805055068</v>
      </c>
      <c r="I152" s="97">
        <v>35.30223394655556</v>
      </c>
      <c r="J152" s="97">
        <v>35.451520369884854</v>
      </c>
      <c r="K152" s="97">
        <v>28.873634172841971</v>
      </c>
      <c r="L152" s="97">
        <v>28.830575795694426</v>
      </c>
      <c r="M152" s="97">
        <v>28.728107188837051</v>
      </c>
      <c r="N152" s="97">
        <v>28.898909232650972</v>
      </c>
      <c r="O152" s="97">
        <v>27.67401333945346</v>
      </c>
      <c r="P152" s="97">
        <v>27.817474079421462</v>
      </c>
      <c r="Q152" s="97">
        <v>23.866029770596441</v>
      </c>
      <c r="R152" s="97">
        <v>23.491496206098393</v>
      </c>
      <c r="S152" s="97">
        <v>23.815871177974628</v>
      </c>
      <c r="T152" s="97">
        <v>24.047867327937343</v>
      </c>
      <c r="U152" s="97">
        <v>21.956125217068116</v>
      </c>
      <c r="V152" s="97">
        <v>15.115629577926905</v>
      </c>
      <c r="W152" s="97">
        <v>14.381807115802747</v>
      </c>
      <c r="X152" s="97">
        <v>18.714304924925379</v>
      </c>
      <c r="Y152" s="97">
        <v>19.830804068555995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28.929935417098015</v>
      </c>
      <c r="E153" s="97">
        <v>27.899779169475877</v>
      </c>
      <c r="F153" s="97">
        <v>30.94220012042749</v>
      </c>
      <c r="G153" s="97">
        <v>33.088061770286558</v>
      </c>
      <c r="H153" s="97">
        <v>34.20531805055068</v>
      </c>
      <c r="I153" s="97">
        <v>35.30223394655556</v>
      </c>
      <c r="J153" s="97">
        <v>35.451520369884861</v>
      </c>
      <c r="K153" s="97">
        <v>28.873634172841967</v>
      </c>
      <c r="L153" s="97">
        <v>28.830575795694429</v>
      </c>
      <c r="M153" s="97">
        <v>28.728107188837051</v>
      </c>
      <c r="N153" s="97">
        <v>28.898909232650972</v>
      </c>
      <c r="O153" s="97">
        <v>27.67401333945346</v>
      </c>
      <c r="P153" s="97">
        <v>27.817474079421469</v>
      </c>
      <c r="Q153" s="97">
        <v>23.866029770596437</v>
      </c>
      <c r="R153" s="97">
        <v>23.491496206098397</v>
      </c>
      <c r="S153" s="97">
        <v>23.815871177974625</v>
      </c>
      <c r="T153" s="97">
        <v>24.04786732793735</v>
      </c>
      <c r="U153" s="97">
        <v>21.95612521706812</v>
      </c>
      <c r="V153" s="97">
        <v>15.115629577926907</v>
      </c>
      <c r="W153" s="97">
        <v>14.381807115802745</v>
      </c>
      <c r="X153" s="97">
        <v>18.714304924925376</v>
      </c>
      <c r="Y153" s="97">
        <v>19.830804068555995</v>
      </c>
      <c r="DA153" s="175" t="s">
        <v>564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28.873634172841967</v>
      </c>
      <c r="L154" s="97">
        <v>28.830575795694429</v>
      </c>
      <c r="M154" s="97">
        <v>28.728107188837051</v>
      </c>
      <c r="N154" s="97">
        <v>28.898909232650968</v>
      </c>
      <c r="O154" s="97">
        <v>27.67401333945346</v>
      </c>
      <c r="P154" s="97">
        <v>27.817474079421473</v>
      </c>
      <c r="Q154" s="97">
        <v>23.866029770596437</v>
      </c>
      <c r="R154" s="97">
        <v>23.491496206098397</v>
      </c>
      <c r="S154" s="97">
        <v>23.815871177974625</v>
      </c>
      <c r="T154" s="97">
        <v>24.04786732793735</v>
      </c>
      <c r="U154" s="97">
        <v>21.95612521706812</v>
      </c>
      <c r="V154" s="97">
        <v>15.115629577926907</v>
      </c>
      <c r="W154" s="97">
        <v>14.381807115802745</v>
      </c>
      <c r="X154" s="97">
        <v>18.714304924925376</v>
      </c>
      <c r="Y154" s="97">
        <v>19.830804068555995</v>
      </c>
      <c r="DA154" s="175" t="s">
        <v>565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30.94220012042749</v>
      </c>
      <c r="G155" s="97">
        <v>33.088061770286558</v>
      </c>
      <c r="H155" s="97">
        <v>34.20531805055068</v>
      </c>
      <c r="I155" s="97">
        <v>35.30223394655556</v>
      </c>
      <c r="J155" s="97">
        <v>35.451520369884861</v>
      </c>
      <c r="K155" s="97">
        <v>28.873634172841964</v>
      </c>
      <c r="L155" s="97">
        <v>28.830575795694433</v>
      </c>
      <c r="M155" s="97">
        <v>28.728107188837051</v>
      </c>
      <c r="N155" s="97">
        <v>28.898909232650972</v>
      </c>
      <c r="O155" s="97">
        <v>27.674013339453456</v>
      </c>
      <c r="P155" s="97">
        <v>27.817474079421473</v>
      </c>
      <c r="Q155" s="97">
        <v>23.866029770596437</v>
      </c>
      <c r="R155" s="97">
        <v>23.491496206098397</v>
      </c>
      <c r="S155" s="97">
        <v>23.815871177974625</v>
      </c>
      <c r="T155" s="97">
        <v>24.04786732793735</v>
      </c>
      <c r="U155" s="97">
        <v>21.95612521706812</v>
      </c>
      <c r="V155" s="97">
        <v>15.115629577926907</v>
      </c>
      <c r="W155" s="97">
        <v>14.381807115802745</v>
      </c>
      <c r="X155" s="97">
        <v>18.714304924925376</v>
      </c>
      <c r="Y155" s="97">
        <v>19.830804068555995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4.3728595616314818</v>
      </c>
      <c r="C156" s="32">
        <f t="shared" si="207"/>
        <v>4.4370454007621758</v>
      </c>
      <c r="D156" s="32">
        <f t="shared" si="207"/>
        <v>4.3980270994360477</v>
      </c>
      <c r="E156" s="32">
        <f t="shared" si="207"/>
        <v>4.3262165182512424</v>
      </c>
      <c r="F156" s="32">
        <f t="shared" si="207"/>
        <v>4.7471857982605679</v>
      </c>
      <c r="G156" s="32">
        <f t="shared" si="207"/>
        <v>4.7373763228805092</v>
      </c>
      <c r="H156" s="32">
        <f t="shared" si="207"/>
        <v>4.7275723737672166</v>
      </c>
      <c r="I156" s="32">
        <f t="shared" si="207"/>
        <v>4.8232157093231622</v>
      </c>
      <c r="J156" s="32">
        <f t="shared" si="207"/>
        <v>4.6309038358195735</v>
      </c>
      <c r="K156" s="32">
        <f t="shared" si="207"/>
        <v>4.1882745608326299</v>
      </c>
      <c r="L156" s="32">
        <f t="shared" ref="L156" si="208">IF(L19=0,0,L19/L46)</f>
        <v>4.5612818566502584</v>
      </c>
      <c r="M156" s="32">
        <f t="shared" ref="M156:V156" si="209">IF(M19=0,0,M19/M46)</f>
        <v>4.5189506009242368</v>
      </c>
      <c r="N156" s="32">
        <f t="shared" si="209"/>
        <v>4.516729221465817</v>
      </c>
      <c r="O156" s="32">
        <f t="shared" si="209"/>
        <v>4.7010420928705505</v>
      </c>
      <c r="P156" s="32">
        <f t="shared" si="209"/>
        <v>4.4392451571690685</v>
      </c>
      <c r="Q156" s="32">
        <f t="shared" si="209"/>
        <v>4.6708200795278216</v>
      </c>
      <c r="R156" s="32">
        <f t="shared" si="209"/>
        <v>4.5912059495477342</v>
      </c>
      <c r="S156" s="32">
        <f t="shared" si="209"/>
        <v>4.7320730009828287</v>
      </c>
      <c r="T156" s="32">
        <f t="shared" si="209"/>
        <v>4.8469290371840144</v>
      </c>
      <c r="U156" s="32">
        <f t="shared" si="209"/>
        <v>4.6107740257761041</v>
      </c>
      <c r="V156" s="32">
        <f t="shared" si="209"/>
        <v>4.878855968727132</v>
      </c>
      <c r="W156" s="32">
        <f t="shared" ref="W156:Y156" si="210">IF(W19=0,0,W19/W46)</f>
        <v>4.849336113219918</v>
      </c>
      <c r="X156" s="32">
        <f t="shared" si="210"/>
        <v>5.0404174284238525</v>
      </c>
      <c r="Y156" s="32">
        <f t="shared" si="210"/>
        <v>5.475317421244319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0.13849197924109932</v>
      </c>
      <c r="C157" s="141">
        <f t="shared" si="211"/>
        <v>0.1388815180488685</v>
      </c>
      <c r="D157" s="141">
        <f t="shared" si="211"/>
        <v>0.13938135344229963</v>
      </c>
      <c r="E157" s="141">
        <f t="shared" si="211"/>
        <v>0.13983683133187674</v>
      </c>
      <c r="F157" s="141">
        <f t="shared" si="211"/>
        <v>0.14025336376766886</v>
      </c>
      <c r="G157" s="141">
        <f t="shared" si="211"/>
        <v>0.14064452806357888</v>
      </c>
      <c r="H157" s="141">
        <f t="shared" si="211"/>
        <v>0.1405484613696103</v>
      </c>
      <c r="I157" s="141">
        <f t="shared" si="211"/>
        <v>0.14059054189641104</v>
      </c>
      <c r="J157" s="141">
        <f t="shared" si="211"/>
        <v>0.14114818247879343</v>
      </c>
      <c r="K157" s="141">
        <f t="shared" si="211"/>
        <v>0.14173897574949701</v>
      </c>
      <c r="L157" s="141">
        <f t="shared" ref="L157" si="212">IF(L20=0,0,L20/L47)</f>
        <v>0.14224722091138176</v>
      </c>
      <c r="M157" s="141">
        <f t="shared" ref="M157:V157" si="213">IF(M20=0,0,M20/M47)</f>
        <v>0.14285382073045247</v>
      </c>
      <c r="N157" s="141">
        <f t="shared" si="213"/>
        <v>0.1433986579758012</v>
      </c>
      <c r="O157" s="141">
        <f t="shared" si="213"/>
        <v>0.1443530017421002</v>
      </c>
      <c r="P157" s="141">
        <f t="shared" si="213"/>
        <v>0.1435937735861238</v>
      </c>
      <c r="Q157" s="141">
        <f t="shared" si="213"/>
        <v>0.14453675445854344</v>
      </c>
      <c r="R157" s="141">
        <f t="shared" si="213"/>
        <v>0.14370244366020771</v>
      </c>
      <c r="S157" s="141">
        <f t="shared" si="213"/>
        <v>0.1446038141345023</v>
      </c>
      <c r="T157" s="141">
        <f t="shared" si="213"/>
        <v>0.14547599627742303</v>
      </c>
      <c r="U157" s="141">
        <f t="shared" si="213"/>
        <v>0.14556957805686638</v>
      </c>
      <c r="V157" s="141">
        <f t="shared" si="213"/>
        <v>0.14591402798686531</v>
      </c>
      <c r="W157" s="141">
        <f t="shared" ref="W157:Y157" si="214">IF(W20=0,0,W20/W47)</f>
        <v>0.14623383924580086</v>
      </c>
      <c r="X157" s="141">
        <f t="shared" si="214"/>
        <v>0.1466927482634926</v>
      </c>
      <c r="Y157" s="141">
        <f t="shared" si="214"/>
        <v>0.14706192123226799</v>
      </c>
      <c r="DA157" s="174" t="s">
        <v>568</v>
      </c>
    </row>
    <row r="158" spans="1:105" ht="11.45" customHeight="1" x14ac:dyDescent="0.25">
      <c r="A158" s="111" t="s">
        <v>110</v>
      </c>
      <c r="B158" s="96">
        <v>0.11351330867054714</v>
      </c>
      <c r="C158" s="96">
        <v>0.1137191113583389</v>
      </c>
      <c r="D158" s="96">
        <v>0.11386021077947001</v>
      </c>
      <c r="E158" s="96">
        <v>0.11401302463507346</v>
      </c>
      <c r="F158" s="96">
        <v>0.11417629861544881</v>
      </c>
      <c r="G158" s="96">
        <v>0.11429615684270936</v>
      </c>
      <c r="H158" s="96">
        <v>0.11403204650764988</v>
      </c>
      <c r="I158" s="96">
        <v>0.11387682044940785</v>
      </c>
      <c r="J158" s="96">
        <v>0.11382011596824171</v>
      </c>
      <c r="K158" s="96">
        <v>0.11370588071746532</v>
      </c>
      <c r="L158" s="96">
        <v>0.11405519721928645</v>
      </c>
      <c r="M158" s="96">
        <v>0.1141752897369762</v>
      </c>
      <c r="N158" s="96">
        <v>0.11429236083261267</v>
      </c>
      <c r="O158" s="96">
        <v>0.11446119578252029</v>
      </c>
      <c r="P158" s="96">
        <v>0.11435844383257733</v>
      </c>
      <c r="Q158" s="96">
        <v>0.11476363235294117</v>
      </c>
      <c r="R158" s="96">
        <v>0.11425485910086172</v>
      </c>
      <c r="S158" s="96">
        <v>0.11425417215348302</v>
      </c>
      <c r="T158" s="96">
        <v>0.11445726849270102</v>
      </c>
      <c r="U158" s="96">
        <v>0.11464720607083868</v>
      </c>
      <c r="V158" s="96">
        <v>0.11484519456674487</v>
      </c>
      <c r="W158" s="96">
        <v>0.1150423392041655</v>
      </c>
      <c r="X158" s="96">
        <v>0.11534772987812936</v>
      </c>
      <c r="Y158" s="96">
        <v>0.11557815143641571</v>
      </c>
      <c r="DA158" s="171" t="s">
        <v>569</v>
      </c>
    </row>
    <row r="159" spans="1:105" ht="11.45" customHeight="1" x14ac:dyDescent="0.25">
      <c r="A159" s="111" t="s">
        <v>111</v>
      </c>
      <c r="B159" s="96">
        <v>0.14253220011073556</v>
      </c>
      <c r="C159" s="96">
        <v>0.14279061483076452</v>
      </c>
      <c r="D159" s="96">
        <v>0.14296778534199098</v>
      </c>
      <c r="E159" s="96">
        <v>0.14315966500175648</v>
      </c>
      <c r="F159" s="96">
        <v>0.14336467884477003</v>
      </c>
      <c r="G159" s="96">
        <v>0.14351517799797858</v>
      </c>
      <c r="H159" s="96">
        <v>0.14346602345726203</v>
      </c>
      <c r="I159" s="96">
        <v>0.14355900383382819</v>
      </c>
      <c r="J159" s="96">
        <v>0.14377622885244312</v>
      </c>
      <c r="K159" s="96">
        <v>0.14392092841137694</v>
      </c>
      <c r="L159" s="96">
        <v>0.14436306873810664</v>
      </c>
      <c r="M159" s="96">
        <v>0.14451507342363487</v>
      </c>
      <c r="N159" s="96">
        <v>0.14467482964370634</v>
      </c>
      <c r="O159" s="96">
        <v>0.14546351880235187</v>
      </c>
      <c r="P159" s="96">
        <v>0.14446195998417311</v>
      </c>
      <c r="Q159" s="96">
        <v>0.1452597562402084</v>
      </c>
      <c r="R159" s="96">
        <v>0.14433110778938482</v>
      </c>
      <c r="S159" s="96">
        <v>0.14520042190432361</v>
      </c>
      <c r="T159" s="96">
        <v>0.14603576231270429</v>
      </c>
      <c r="U159" s="96">
        <v>0.14627810322630849</v>
      </c>
      <c r="V159" s="96">
        <v>0.14653071628714393</v>
      </c>
      <c r="W159" s="96">
        <v>0.14678225267090292</v>
      </c>
      <c r="X159" s="96">
        <v>0.14717189992059548</v>
      </c>
      <c r="Y159" s="96">
        <v>0.14746589425018911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X160" s="96">
        <v>0</v>
      </c>
      <c r="Y160" s="96">
        <v>0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X161" s="96">
        <v>0</v>
      </c>
      <c r="Y161" s="96">
        <v>0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X162" s="96">
        <v>0</v>
      </c>
      <c r="Y162" s="96">
        <v>0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6.9882347415932804</v>
      </c>
      <c r="C163" s="130">
        <f t="shared" si="215"/>
        <v>7.1335183869878529</v>
      </c>
      <c r="D163" s="130">
        <f t="shared" si="215"/>
        <v>7.2561836276225709</v>
      </c>
      <c r="E163" s="130">
        <f t="shared" si="215"/>
        <v>6.8072451201451134</v>
      </c>
      <c r="F163" s="130">
        <f t="shared" si="215"/>
        <v>7.5697376544551549</v>
      </c>
      <c r="G163" s="130">
        <f t="shared" si="215"/>
        <v>8.0405684467032223</v>
      </c>
      <c r="H163" s="130">
        <f t="shared" si="215"/>
        <v>8.4921906910946952</v>
      </c>
      <c r="I163" s="130">
        <f t="shared" si="215"/>
        <v>8.7762464468362378</v>
      </c>
      <c r="J163" s="130">
        <f t="shared" si="215"/>
        <v>9.0898622225796597</v>
      </c>
      <c r="K163" s="130">
        <f t="shared" si="215"/>
        <v>9.0047732660267101</v>
      </c>
      <c r="L163" s="130">
        <f t="shared" ref="L163" si="216">IF(L26=0,0,L26/L53)</f>
        <v>9.6853544410996815</v>
      </c>
      <c r="M163" s="130">
        <f t="shared" ref="M163:V163" si="217">IF(M26=0,0,M26/M53)</f>
        <v>9.7973951608683159</v>
      </c>
      <c r="N163" s="130">
        <f t="shared" si="217"/>
        <v>9.7502795468281107</v>
      </c>
      <c r="O163" s="130">
        <f t="shared" si="217"/>
        <v>9.7923544995850929</v>
      </c>
      <c r="P163" s="130">
        <f t="shared" si="217"/>
        <v>9.5762991254664396</v>
      </c>
      <c r="Q163" s="130">
        <f t="shared" si="217"/>
        <v>10.112818081843388</v>
      </c>
      <c r="R163" s="130">
        <f t="shared" si="217"/>
        <v>10.149389198938859</v>
      </c>
      <c r="S163" s="130">
        <f t="shared" si="217"/>
        <v>10.317861885187213</v>
      </c>
      <c r="T163" s="130">
        <f t="shared" si="217"/>
        <v>10.573779263309943</v>
      </c>
      <c r="U163" s="130">
        <f t="shared" si="217"/>
        <v>10.190160614789271</v>
      </c>
      <c r="V163" s="130">
        <f t="shared" si="217"/>
        <v>10.660009605021363</v>
      </c>
      <c r="W163" s="130">
        <f t="shared" ref="W163:Y163" si="218">IF(W26=0,0,W26/W53)</f>
        <v>10.903359346499071</v>
      </c>
      <c r="X163" s="130">
        <f t="shared" si="218"/>
        <v>11.476020876756378</v>
      </c>
      <c r="Y163" s="130">
        <f t="shared" si="218"/>
        <v>11.778096407158648</v>
      </c>
      <c r="DA163" s="176" t="s">
        <v>574</v>
      </c>
    </row>
    <row r="164" spans="1:105" ht="11.45" customHeight="1" x14ac:dyDescent="0.25">
      <c r="A164" s="128" t="s">
        <v>27</v>
      </c>
      <c r="B164" s="97">
        <v>4.5641025641025639</v>
      </c>
      <c r="C164" s="97">
        <v>4.5641025641025639</v>
      </c>
      <c r="D164" s="97">
        <v>4.5641025641025639</v>
      </c>
      <c r="E164" s="97">
        <v>4.5641025641025639</v>
      </c>
      <c r="F164" s="97">
        <v>5.2440758293838865</v>
      </c>
      <c r="G164" s="97">
        <v>5.5796344647519582</v>
      </c>
      <c r="H164" s="97">
        <v>5.6363636363636367</v>
      </c>
      <c r="I164" s="97">
        <v>6.0900900900900901</v>
      </c>
      <c r="J164" s="97">
        <v>6.5306122448979593</v>
      </c>
      <c r="K164" s="97">
        <v>6.8746736292428201</v>
      </c>
      <c r="L164" s="97">
        <v>7.0306748466257671</v>
      </c>
      <c r="M164" s="97">
        <v>6.9669669669669672</v>
      </c>
      <c r="N164" s="97">
        <v>6.7348066298342539</v>
      </c>
      <c r="O164" s="97">
        <v>6.5295629820051415</v>
      </c>
      <c r="P164" s="97">
        <v>6.5592417061611377</v>
      </c>
      <c r="Q164" s="97">
        <v>7.1397058823529411</v>
      </c>
      <c r="R164" s="97">
        <v>7.20873786407767</v>
      </c>
      <c r="S164" s="97">
        <v>7.5094339622641506</v>
      </c>
      <c r="T164" s="97">
        <v>8.1294642857142865</v>
      </c>
      <c r="U164" s="97">
        <v>7.6616379310344831</v>
      </c>
      <c r="V164" s="97">
        <v>8.3928571428571423</v>
      </c>
      <c r="W164" s="97">
        <v>8.5066079295154182</v>
      </c>
      <c r="X164" s="97">
        <v>8.8144044321329638</v>
      </c>
      <c r="Y164" s="97">
        <v>9.807511737089202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13.993137904941621</v>
      </c>
      <c r="G165" s="98">
        <v>13.999403714336369</v>
      </c>
      <c r="H165" s="98">
        <v>14.088849058887032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14.105166269382362</v>
      </c>
      <c r="P165" s="98">
        <v>14.13821157163504</v>
      </c>
      <c r="Q165" s="98">
        <v>14.00555631773906</v>
      </c>
      <c r="R165" s="98">
        <v>13.933281647068956</v>
      </c>
      <c r="S165" s="98">
        <v>14.0120381138928</v>
      </c>
      <c r="T165" s="98">
        <v>14.146454243557947</v>
      </c>
      <c r="U165" s="98">
        <v>14.062037656310167</v>
      </c>
      <c r="V165" s="98">
        <v>13.861910981613583</v>
      </c>
      <c r="W165" s="98">
        <v>14.046303126595927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10173.087252723462</v>
      </c>
      <c r="C167" s="54">
        <f t="shared" si="219"/>
        <v>10121.040651033552</v>
      </c>
      <c r="D167" s="54">
        <f t="shared" si="219"/>
        <v>10276.98333521452</v>
      </c>
      <c r="E167" s="54">
        <f t="shared" si="219"/>
        <v>10721.612825239001</v>
      </c>
      <c r="F167" s="54">
        <f t="shared" si="219"/>
        <v>11007.113831189836</v>
      </c>
      <c r="G167" s="54">
        <f t="shared" si="219"/>
        <v>11620.714624973882</v>
      </c>
      <c r="H167" s="54">
        <f t="shared" si="219"/>
        <v>11459.628321665956</v>
      </c>
      <c r="I167" s="54">
        <f t="shared" si="219"/>
        <v>11825.002107344555</v>
      </c>
      <c r="J167" s="54">
        <f t="shared" si="219"/>
        <v>11608.073286455145</v>
      </c>
      <c r="K167" s="54">
        <f t="shared" si="219"/>
        <v>11571.89475956798</v>
      </c>
      <c r="L167" s="54">
        <f t="shared" si="219"/>
        <v>12569.718182771225</v>
      </c>
      <c r="M167" s="54">
        <f>IF(M30=0,0,M30*1000000/M57)</f>
        <v>12500.395524535832</v>
      </c>
      <c r="N167" s="54">
        <f t="shared" ref="N167:V167" si="220">IF(N30=0,0,N30*1000000/N57)</f>
        <v>12947.109381540924</v>
      </c>
      <c r="O167" s="54">
        <f t="shared" si="220"/>
        <v>12575.857980059924</v>
      </c>
      <c r="P167" s="54">
        <f t="shared" si="220"/>
        <v>11924.29203816384</v>
      </c>
      <c r="Q167" s="54">
        <f t="shared" si="220"/>
        <v>12121.798791984662</v>
      </c>
      <c r="R167" s="54">
        <f t="shared" si="220"/>
        <v>13331.863412071447</v>
      </c>
      <c r="S167" s="54">
        <f t="shared" si="220"/>
        <v>13638.803462673024</v>
      </c>
      <c r="T167" s="54">
        <f t="shared" si="220"/>
        <v>13898.839361605318</v>
      </c>
      <c r="U167" s="54">
        <f t="shared" si="220"/>
        <v>13843.510095059795</v>
      </c>
      <c r="V167" s="54">
        <f t="shared" si="220"/>
        <v>12994.4799037825</v>
      </c>
      <c r="W167" s="54">
        <f t="shared" ref="W167:Y191" si="221">IF(W30=0,0,W30*1000000/W57)</f>
        <v>12705.583305918173</v>
      </c>
      <c r="X167" s="54">
        <f t="shared" si="221"/>
        <v>12803.316146209429</v>
      </c>
      <c r="Y167" s="54">
        <f t="shared" si="221"/>
        <v>12773.235910760925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9934.3548712857682</v>
      </c>
      <c r="C168" s="28">
        <f t="shared" si="219"/>
        <v>9880.3901259580689</v>
      </c>
      <c r="D168" s="28">
        <f t="shared" si="219"/>
        <v>10049.973723015346</v>
      </c>
      <c r="E168" s="28">
        <f t="shared" si="219"/>
        <v>10515.268664340952</v>
      </c>
      <c r="F168" s="28">
        <f t="shared" si="219"/>
        <v>10819.119720231427</v>
      </c>
      <c r="G168" s="28">
        <f t="shared" si="219"/>
        <v>11476.671293782234</v>
      </c>
      <c r="H168" s="28">
        <f t="shared" si="219"/>
        <v>11296.350749715508</v>
      </c>
      <c r="I168" s="28">
        <f t="shared" si="219"/>
        <v>11671.933223938191</v>
      </c>
      <c r="J168" s="28">
        <f t="shared" si="219"/>
        <v>11456.910113594897</v>
      </c>
      <c r="K168" s="28">
        <f t="shared" si="219"/>
        <v>11431.213415356924</v>
      </c>
      <c r="L168" s="28">
        <f t="shared" si="219"/>
        <v>12496.393062498093</v>
      </c>
      <c r="M168" s="28">
        <f t="shared" ref="M168:M192" si="222">IF(M31=0,0,M31*1000000/M58)</f>
        <v>12400.966944414489</v>
      </c>
      <c r="N168" s="28">
        <f t="shared" si="219"/>
        <v>12867.459854599761</v>
      </c>
      <c r="O168" s="28">
        <f t="shared" si="219"/>
        <v>12458.306561122155</v>
      </c>
      <c r="P168" s="28">
        <f t="shared" si="219"/>
        <v>11720.459392702405</v>
      </c>
      <c r="Q168" s="28">
        <f t="shared" si="219"/>
        <v>11961.085943183958</v>
      </c>
      <c r="R168" s="28">
        <f t="shared" si="219"/>
        <v>13245.572160895763</v>
      </c>
      <c r="S168" s="28">
        <f t="shared" si="219"/>
        <v>13575.478955062003</v>
      </c>
      <c r="T168" s="28">
        <f t="shared" si="219"/>
        <v>13900.627819931497</v>
      </c>
      <c r="U168" s="28">
        <f t="shared" si="219"/>
        <v>13833.134654681324</v>
      </c>
      <c r="V168" s="28">
        <f t="shared" si="219"/>
        <v>12921.612367963138</v>
      </c>
      <c r="W168" s="28">
        <f t="shared" si="221"/>
        <v>12663.311107723201</v>
      </c>
      <c r="X168" s="28">
        <f t="shared" si="221"/>
        <v>12777.973993878048</v>
      </c>
      <c r="Y168" s="28">
        <f t="shared" si="221"/>
        <v>12790.714900640905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2820.8716000278914</v>
      </c>
      <c r="C169" s="137">
        <f t="shared" si="219"/>
        <v>2800.4445012941501</v>
      </c>
      <c r="D169" s="137">
        <f t="shared" si="219"/>
        <v>2786.9575870504141</v>
      </c>
      <c r="E169" s="137">
        <f t="shared" si="219"/>
        <v>2765.3554221470213</v>
      </c>
      <c r="F169" s="137">
        <f t="shared" si="219"/>
        <v>2755.7849612877826</v>
      </c>
      <c r="G169" s="137">
        <f t="shared" si="219"/>
        <v>2563.7824114537812</v>
      </c>
      <c r="H169" s="137">
        <f t="shared" si="219"/>
        <v>2576.7695530174287</v>
      </c>
      <c r="I169" s="137">
        <f t="shared" si="219"/>
        <v>2514.844790074766</v>
      </c>
      <c r="J169" s="137">
        <f t="shared" si="219"/>
        <v>2510.1427107907598</v>
      </c>
      <c r="K169" s="137">
        <f t="shared" si="219"/>
        <v>2472.2644073958404</v>
      </c>
      <c r="L169" s="137">
        <f t="shared" si="219"/>
        <v>2437.7880024886531</v>
      </c>
      <c r="M169" s="137">
        <f t="shared" si="222"/>
        <v>2429.0881835743394</v>
      </c>
      <c r="N169" s="137">
        <f t="shared" si="219"/>
        <v>2408.5435036949757</v>
      </c>
      <c r="O169" s="137">
        <f t="shared" si="219"/>
        <v>2395.1554134805115</v>
      </c>
      <c r="P169" s="137">
        <f t="shared" si="219"/>
        <v>2308.9964864496046</v>
      </c>
      <c r="Q169" s="137">
        <f t="shared" si="219"/>
        <v>2307.5091719991915</v>
      </c>
      <c r="R169" s="137">
        <f t="shared" si="219"/>
        <v>2354.984321992612</v>
      </c>
      <c r="S169" s="137">
        <f t="shared" si="219"/>
        <v>2120.6984146963259</v>
      </c>
      <c r="T169" s="137">
        <f t="shared" si="219"/>
        <v>1899.9337582547387</v>
      </c>
      <c r="U169" s="137">
        <f t="shared" si="219"/>
        <v>1732.2940784469929</v>
      </c>
      <c r="V169" s="137">
        <f t="shared" si="219"/>
        <v>1378.0941494250906</v>
      </c>
      <c r="W169" s="137">
        <f t="shared" si="221"/>
        <v>1276.9614490192016</v>
      </c>
      <c r="X169" s="137">
        <f t="shared" si="221"/>
        <v>1176.5070390229905</v>
      </c>
      <c r="Y169" s="137">
        <f t="shared" si="221"/>
        <v>1169.8669986802422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10011.276739236495</v>
      </c>
      <c r="C170" s="110">
        <f t="shared" si="219"/>
        <v>9955.920463373106</v>
      </c>
      <c r="D170" s="110">
        <f t="shared" si="219"/>
        <v>10126.473529584258</v>
      </c>
      <c r="E170" s="110">
        <f t="shared" si="219"/>
        <v>10601.11690658268</v>
      </c>
      <c r="F170" s="110">
        <f t="shared" si="219"/>
        <v>10906.496746085013</v>
      </c>
      <c r="G170" s="110">
        <f t="shared" si="219"/>
        <v>11588.268564691774</v>
      </c>
      <c r="H170" s="110">
        <f t="shared" si="219"/>
        <v>11399.452499165673</v>
      </c>
      <c r="I170" s="110">
        <f t="shared" si="219"/>
        <v>11806.535120948805</v>
      </c>
      <c r="J170" s="110">
        <f t="shared" si="219"/>
        <v>11620.016602450325</v>
      </c>
      <c r="K170" s="110">
        <f t="shared" si="219"/>
        <v>11623.350153311219</v>
      </c>
      <c r="L170" s="110">
        <f t="shared" si="219"/>
        <v>12742.755253342944</v>
      </c>
      <c r="M170" s="110">
        <f t="shared" si="222"/>
        <v>12662.719348242694</v>
      </c>
      <c r="N170" s="110">
        <f t="shared" si="219"/>
        <v>13117.094937104486</v>
      </c>
      <c r="O170" s="110">
        <f t="shared" si="219"/>
        <v>12690.904152078259</v>
      </c>
      <c r="P170" s="110">
        <f t="shared" si="219"/>
        <v>11928.975862815167</v>
      </c>
      <c r="Q170" s="110">
        <f t="shared" si="219"/>
        <v>12163.963384802377</v>
      </c>
      <c r="R170" s="110">
        <f t="shared" si="219"/>
        <v>13490.908568623361</v>
      </c>
      <c r="S170" s="110">
        <f t="shared" si="219"/>
        <v>13843.216916762492</v>
      </c>
      <c r="T170" s="110">
        <f t="shared" si="219"/>
        <v>14193.71210824539</v>
      </c>
      <c r="U170" s="110">
        <f t="shared" si="219"/>
        <v>14168.124826574165</v>
      </c>
      <c r="V170" s="110">
        <f t="shared" si="219"/>
        <v>13293.401646015942</v>
      </c>
      <c r="W170" s="110">
        <f t="shared" si="221"/>
        <v>13071.921045981348</v>
      </c>
      <c r="X170" s="110">
        <f t="shared" si="221"/>
        <v>13231.790905186963</v>
      </c>
      <c r="Y170" s="110">
        <f t="shared" si="221"/>
        <v>13273.349163781833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8706.0862745765535</v>
      </c>
      <c r="C171" s="84">
        <f t="shared" si="219"/>
        <v>8166.9505814095073</v>
      </c>
      <c r="D171" s="84">
        <f t="shared" si="219"/>
        <v>8263.236327279179</v>
      </c>
      <c r="E171" s="84">
        <f t="shared" si="219"/>
        <v>8327.8835763043553</v>
      </c>
      <c r="F171" s="84">
        <f t="shared" si="219"/>
        <v>8230.614407989453</v>
      </c>
      <c r="G171" s="84">
        <f t="shared" si="219"/>
        <v>8672.5600401236061</v>
      </c>
      <c r="H171" s="84">
        <f t="shared" si="219"/>
        <v>8522.0603708952876</v>
      </c>
      <c r="I171" s="84">
        <f t="shared" si="219"/>
        <v>9399.0628453574318</v>
      </c>
      <c r="J171" s="84">
        <f t="shared" si="219"/>
        <v>9366.5672305060925</v>
      </c>
      <c r="K171" s="84">
        <f t="shared" si="219"/>
        <v>8934.8981934735039</v>
      </c>
      <c r="L171" s="84">
        <f t="shared" si="219"/>
        <v>8551.4206217732772</v>
      </c>
      <c r="M171" s="84">
        <f t="shared" si="222"/>
        <v>8507.4794324514733</v>
      </c>
      <c r="N171" s="84">
        <f t="shared" si="219"/>
        <v>8040.5565234801679</v>
      </c>
      <c r="O171" s="84">
        <f t="shared" si="219"/>
        <v>7629.2503578071392</v>
      </c>
      <c r="P171" s="84">
        <f t="shared" si="219"/>
        <v>7753.5163304247808</v>
      </c>
      <c r="Q171" s="84">
        <f t="shared" si="219"/>
        <v>8019.0591739950523</v>
      </c>
      <c r="R171" s="84">
        <f t="shared" si="219"/>
        <v>8343.3249573395024</v>
      </c>
      <c r="S171" s="84">
        <f t="shared" si="219"/>
        <v>8544.3744768856195</v>
      </c>
      <c r="T171" s="84">
        <f t="shared" si="219"/>
        <v>9281.5221608206775</v>
      </c>
      <c r="U171" s="84">
        <f t="shared" si="219"/>
        <v>9575.1254988847213</v>
      </c>
      <c r="V171" s="84">
        <f t="shared" si="219"/>
        <v>9293.325256569171</v>
      </c>
      <c r="W171" s="84">
        <f t="shared" si="221"/>
        <v>9277.1188080713418</v>
      </c>
      <c r="X171" s="84">
        <f t="shared" si="221"/>
        <v>10546.055854436125</v>
      </c>
      <c r="Y171" s="84">
        <f t="shared" si="221"/>
        <v>11168.472498582896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12865.006438972894</v>
      </c>
      <c r="C172" s="84">
        <f t="shared" si="219"/>
        <v>14521.979496013044</v>
      </c>
      <c r="D172" s="84">
        <f t="shared" si="219"/>
        <v>14277.489636698469</v>
      </c>
      <c r="E172" s="84">
        <f t="shared" si="219"/>
        <v>15718.010186557274</v>
      </c>
      <c r="F172" s="84">
        <f t="shared" si="219"/>
        <v>15749.087360678712</v>
      </c>
      <c r="G172" s="84">
        <f t="shared" si="219"/>
        <v>15020.620376884681</v>
      </c>
      <c r="H172" s="84">
        <f t="shared" si="219"/>
        <v>14953.640296738655</v>
      </c>
      <c r="I172" s="84">
        <f t="shared" si="219"/>
        <v>14892.909307865515</v>
      </c>
      <c r="J172" s="84">
        <f t="shared" si="219"/>
        <v>14428.403820539654</v>
      </c>
      <c r="K172" s="84">
        <f t="shared" si="219"/>
        <v>15382.624233146853</v>
      </c>
      <c r="L172" s="84">
        <f t="shared" si="219"/>
        <v>16862.398309613982</v>
      </c>
      <c r="M172" s="84">
        <f t="shared" si="222"/>
        <v>16223.89310214561</v>
      </c>
      <c r="N172" s="84">
        <f t="shared" si="219"/>
        <v>16525.112566560987</v>
      </c>
      <c r="O172" s="84">
        <f t="shared" si="219"/>
        <v>15627.765111500068</v>
      </c>
      <c r="P172" s="84">
        <f t="shared" si="219"/>
        <v>13983.339056680219</v>
      </c>
      <c r="Q172" s="84">
        <f t="shared" si="219"/>
        <v>13983.243248648232</v>
      </c>
      <c r="R172" s="84">
        <f t="shared" si="219"/>
        <v>15534.373006564389</v>
      </c>
      <c r="S172" s="84">
        <f t="shared" si="219"/>
        <v>15857.056984261679</v>
      </c>
      <c r="T172" s="84">
        <f t="shared" si="219"/>
        <v>16086.260030519257</v>
      </c>
      <c r="U172" s="84">
        <f t="shared" si="219"/>
        <v>15975.144332018204</v>
      </c>
      <c r="V172" s="84">
        <f t="shared" si="219"/>
        <v>14898.510176464491</v>
      </c>
      <c r="W172" s="84">
        <f t="shared" si="221"/>
        <v>14609.194375785946</v>
      </c>
      <c r="X172" s="84">
        <f t="shared" si="221"/>
        <v>14493.22895278071</v>
      </c>
      <c r="Y172" s="84">
        <f t="shared" si="221"/>
        <v>14397.13173590308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10458.578401399836</v>
      </c>
      <c r="C173" s="84">
        <f t="shared" si="219"/>
        <v>9565.027230532065</v>
      </c>
      <c r="D173" s="84">
        <f t="shared" si="219"/>
        <v>9737.1501003303638</v>
      </c>
      <c r="E173" s="84">
        <f t="shared" si="219"/>
        <v>9459.4640644917672</v>
      </c>
      <c r="F173" s="84">
        <f t="shared" si="219"/>
        <v>10025.547978622746</v>
      </c>
      <c r="G173" s="84">
        <f t="shared" si="219"/>
        <v>11156.16692048199</v>
      </c>
      <c r="H173" s="84">
        <f t="shared" si="219"/>
        <v>9981.3000186442296</v>
      </c>
      <c r="I173" s="84">
        <f t="shared" si="219"/>
        <v>10643.249574023101</v>
      </c>
      <c r="J173" s="84">
        <f t="shared" si="219"/>
        <v>10422.692351994165</v>
      </c>
      <c r="K173" s="84">
        <f t="shared" si="219"/>
        <v>8796.3565600421571</v>
      </c>
      <c r="L173" s="84">
        <f t="shared" si="219"/>
        <v>10344.428737969019</v>
      </c>
      <c r="M173" s="84">
        <f t="shared" si="222"/>
        <v>10687.944783902447</v>
      </c>
      <c r="N173" s="84">
        <f t="shared" si="219"/>
        <v>9982.8736297496944</v>
      </c>
      <c r="O173" s="84">
        <f t="shared" si="219"/>
        <v>10194.800693740282</v>
      </c>
      <c r="P173" s="84">
        <f t="shared" si="219"/>
        <v>10618.487213872886</v>
      </c>
      <c r="Q173" s="84">
        <f t="shared" si="219"/>
        <v>10730.911269228627</v>
      </c>
      <c r="R173" s="84">
        <f t="shared" si="219"/>
        <v>11802.054476090947</v>
      </c>
      <c r="S173" s="84">
        <f t="shared" si="219"/>
        <v>11926.737678878681</v>
      </c>
      <c r="T173" s="84">
        <f t="shared" si="219"/>
        <v>11978.139308609894</v>
      </c>
      <c r="U173" s="84">
        <f t="shared" si="219"/>
        <v>11915.247580999689</v>
      </c>
      <c r="V173" s="84">
        <f t="shared" si="219"/>
        <v>11223.349723023935</v>
      </c>
      <c r="W173" s="84">
        <f t="shared" si="221"/>
        <v>11115.456288320614</v>
      </c>
      <c r="X173" s="84">
        <f t="shared" si="221"/>
        <v>11137.495829335616</v>
      </c>
      <c r="Y173" s="84">
        <f t="shared" si="221"/>
        <v>11174.285256742163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6995.8152627313102</v>
      </c>
      <c r="O174" s="84">
        <f t="shared" si="219"/>
        <v>7288.6597696661729</v>
      </c>
      <c r="P174" s="84">
        <f t="shared" si="219"/>
        <v>7591.5697516275168</v>
      </c>
      <c r="Q174" s="84">
        <f t="shared" si="219"/>
        <v>7826.9348938160865</v>
      </c>
      <c r="R174" s="84">
        <f t="shared" si="219"/>
        <v>8608.2076051193271</v>
      </c>
      <c r="S174" s="84">
        <f t="shared" si="219"/>
        <v>8699.1493048583288</v>
      </c>
      <c r="T174" s="84">
        <f t="shared" si="219"/>
        <v>8736.6407349194378</v>
      </c>
      <c r="U174" s="84">
        <f t="shared" si="219"/>
        <v>8589.5295418579735</v>
      </c>
      <c r="V174" s="84">
        <f t="shared" si="219"/>
        <v>7930.5375102989001</v>
      </c>
      <c r="W174" s="84">
        <f t="shared" si="221"/>
        <v>7698.7681985604477</v>
      </c>
      <c r="X174" s="84">
        <f t="shared" si="221"/>
        <v>7561.2800550899419</v>
      </c>
      <c r="Y174" s="84">
        <f t="shared" si="221"/>
        <v>7436.0336089258471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0</v>
      </c>
      <c r="O175" s="84">
        <f t="shared" si="219"/>
        <v>10672.667582549291</v>
      </c>
      <c r="P175" s="84">
        <f t="shared" si="219"/>
        <v>11340.783786085885</v>
      </c>
      <c r="Q175" s="84">
        <f t="shared" si="219"/>
        <v>11692.387640844603</v>
      </c>
      <c r="R175" s="84">
        <f t="shared" si="219"/>
        <v>12859.503953641393</v>
      </c>
      <c r="S175" s="84">
        <f t="shared" si="219"/>
        <v>12995.358617119664</v>
      </c>
      <c r="T175" s="84">
        <f t="shared" si="219"/>
        <v>13051.365769271963</v>
      </c>
      <c r="U175" s="84">
        <f t="shared" si="219"/>
        <v>12831.60144020609</v>
      </c>
      <c r="V175" s="84">
        <f t="shared" si="219"/>
        <v>11847.156010449913</v>
      </c>
      <c r="W175" s="84">
        <f t="shared" si="221"/>
        <v>11500.923842575512</v>
      </c>
      <c r="X175" s="84">
        <f t="shared" si="221"/>
        <v>11295.53505484619</v>
      </c>
      <c r="Y175" s="84">
        <f t="shared" si="221"/>
        <v>11233.686002275825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11450.382495517328</v>
      </c>
      <c r="N176" s="84">
        <f t="shared" si="219"/>
        <v>11488.818126368968</v>
      </c>
      <c r="O176" s="84">
        <f t="shared" si="219"/>
        <v>11510.964818623061</v>
      </c>
      <c r="P176" s="84">
        <f t="shared" si="219"/>
        <v>11521.720297266791</v>
      </c>
      <c r="Q176" s="84">
        <f t="shared" si="219"/>
        <v>11542.446276692321</v>
      </c>
      <c r="R176" s="84">
        <f t="shared" si="219"/>
        <v>11519.591396734693</v>
      </c>
      <c r="S176" s="84">
        <f t="shared" si="219"/>
        <v>11505.884736727119</v>
      </c>
      <c r="T176" s="84">
        <f t="shared" si="219"/>
        <v>11458.376084051026</v>
      </c>
      <c r="U176" s="84">
        <f t="shared" si="219"/>
        <v>11440.547510920023</v>
      </c>
      <c r="V176" s="84">
        <f t="shared" si="219"/>
        <v>11187.081597727512</v>
      </c>
      <c r="W176" s="84">
        <f t="shared" si="221"/>
        <v>11422.475657167877</v>
      </c>
      <c r="X176" s="84">
        <f t="shared" si="221"/>
        <v>11385.432408968662</v>
      </c>
      <c r="Y176" s="84">
        <f t="shared" si="221"/>
        <v>11352.835466669538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37536.976028090947</v>
      </c>
      <c r="C177" s="110">
        <f t="shared" si="219"/>
        <v>37167.509805007554</v>
      </c>
      <c r="D177" s="110">
        <f t="shared" si="219"/>
        <v>38073.208336123673</v>
      </c>
      <c r="E177" s="110">
        <f t="shared" si="219"/>
        <v>38286.61491031183</v>
      </c>
      <c r="F177" s="110">
        <f t="shared" si="219"/>
        <v>40335.186569241203</v>
      </c>
      <c r="G177" s="110">
        <f t="shared" si="219"/>
        <v>38453.138546906062</v>
      </c>
      <c r="H177" s="110">
        <f t="shared" si="219"/>
        <v>36651.996096132461</v>
      </c>
      <c r="I177" s="110">
        <f t="shared" si="219"/>
        <v>34900.163236716631</v>
      </c>
      <c r="J177" s="110">
        <f t="shared" si="219"/>
        <v>33217.837312632095</v>
      </c>
      <c r="K177" s="110">
        <f t="shared" si="219"/>
        <v>31702.588658964705</v>
      </c>
      <c r="L177" s="110">
        <f t="shared" si="219"/>
        <v>30913.018296988008</v>
      </c>
      <c r="M177" s="110">
        <f t="shared" si="222"/>
        <v>31453.936056124312</v>
      </c>
      <c r="N177" s="110">
        <f t="shared" si="219"/>
        <v>31510.753473765544</v>
      </c>
      <c r="O177" s="110">
        <f t="shared" si="219"/>
        <v>30222.851837325408</v>
      </c>
      <c r="P177" s="110">
        <f t="shared" si="219"/>
        <v>31783.402001177168</v>
      </c>
      <c r="Q177" s="110">
        <f t="shared" si="219"/>
        <v>32177.531206657419</v>
      </c>
      <c r="R177" s="110">
        <f t="shared" si="219"/>
        <v>34169.942546114304</v>
      </c>
      <c r="S177" s="110">
        <f t="shared" si="219"/>
        <v>35835.650293481609</v>
      </c>
      <c r="T177" s="110">
        <f t="shared" si="219"/>
        <v>35757.211538461539</v>
      </c>
      <c r="U177" s="110">
        <f t="shared" si="219"/>
        <v>35723.878592532914</v>
      </c>
      <c r="V177" s="110">
        <f t="shared" si="219"/>
        <v>27309.23694779116</v>
      </c>
      <c r="W177" s="110">
        <f t="shared" si="221"/>
        <v>27789.934354485777</v>
      </c>
      <c r="X177" s="110">
        <f t="shared" si="221"/>
        <v>32303.768773023519</v>
      </c>
      <c r="Y177" s="110">
        <f t="shared" si="221"/>
        <v>37740.460319126607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23724.24649230791</v>
      </c>
      <c r="E178" s="102">
        <f t="shared" si="219"/>
        <v>23627.617058246607</v>
      </c>
      <c r="F178" s="102">
        <f t="shared" si="219"/>
        <v>24709.701818918071</v>
      </c>
      <c r="G178" s="102">
        <f t="shared" si="219"/>
        <v>23267.849154812655</v>
      </c>
      <c r="H178" s="102">
        <f t="shared" si="219"/>
        <v>21905.79386886688</v>
      </c>
      <c r="I178" s="102">
        <f t="shared" si="219"/>
        <v>20601.74184640127</v>
      </c>
      <c r="J178" s="102">
        <f t="shared" si="219"/>
        <v>19366.612249140726</v>
      </c>
      <c r="K178" s="102">
        <f t="shared" si="219"/>
        <v>18257.521644522836</v>
      </c>
      <c r="L178" s="102">
        <f t="shared" si="219"/>
        <v>17604.328737113781</v>
      </c>
      <c r="M178" s="102">
        <f t="shared" si="222"/>
        <v>17750.408987553154</v>
      </c>
      <c r="N178" s="102">
        <f t="shared" si="219"/>
        <v>17576.671667420644</v>
      </c>
      <c r="O178" s="102">
        <f t="shared" si="219"/>
        <v>16656.576861496411</v>
      </c>
      <c r="P178" s="102">
        <f t="shared" si="219"/>
        <v>17691.382531390231</v>
      </c>
      <c r="Q178" s="102">
        <f t="shared" si="219"/>
        <v>18050.161281382654</v>
      </c>
      <c r="R178" s="102">
        <f t="shared" si="219"/>
        <v>19033.225199728768</v>
      </c>
      <c r="S178" s="102">
        <f t="shared" si="219"/>
        <v>19808.526649603948</v>
      </c>
      <c r="T178" s="102">
        <f t="shared" si="219"/>
        <v>19565.373382903599</v>
      </c>
      <c r="U178" s="102">
        <f t="shared" si="219"/>
        <v>19350.760774052698</v>
      </c>
      <c r="V178" s="102">
        <f t="shared" si="219"/>
        <v>14459.204601731941</v>
      </c>
      <c r="W178" s="102">
        <f t="shared" si="221"/>
        <v>14576.279327020688</v>
      </c>
      <c r="X178" s="102">
        <f t="shared" si="221"/>
        <v>16901.133509132895</v>
      </c>
      <c r="Y178" s="102">
        <f t="shared" si="221"/>
        <v>19700.748507298442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37536.976028090947</v>
      </c>
      <c r="C179" s="102">
        <f t="shared" si="219"/>
        <v>37167.509805007554</v>
      </c>
      <c r="D179" s="102">
        <f t="shared" si="219"/>
        <v>38175.466213054679</v>
      </c>
      <c r="E179" s="102">
        <f t="shared" si="219"/>
        <v>38436.150033085636</v>
      </c>
      <c r="F179" s="102">
        <f t="shared" si="219"/>
        <v>40479.678166241829</v>
      </c>
      <c r="G179" s="102">
        <f t="shared" si="219"/>
        <v>38557.502525770338</v>
      </c>
      <c r="H179" s="102">
        <f t="shared" si="219"/>
        <v>36672.934615760641</v>
      </c>
      <c r="I179" s="102">
        <f t="shared" si="219"/>
        <v>34784.525087952985</v>
      </c>
      <c r="J179" s="102">
        <f t="shared" si="219"/>
        <v>32978.408023347285</v>
      </c>
      <c r="K179" s="102">
        <f t="shared" si="219"/>
        <v>31229.061802278007</v>
      </c>
      <c r="L179" s="102">
        <f t="shared" si="219"/>
        <v>30314.296863805856</v>
      </c>
      <c r="M179" s="102">
        <f t="shared" si="222"/>
        <v>30798.572081470193</v>
      </c>
      <c r="N179" s="102">
        <f t="shared" si="219"/>
        <v>30812.697637186717</v>
      </c>
      <c r="O179" s="102">
        <f t="shared" si="219"/>
        <v>28492.277088106635</v>
      </c>
      <c r="P179" s="102">
        <f t="shared" si="219"/>
        <v>29961.116002877792</v>
      </c>
      <c r="Q179" s="102">
        <f t="shared" si="219"/>
        <v>29202.893753239765</v>
      </c>
      <c r="R179" s="102">
        <f t="shared" si="219"/>
        <v>31368.02026806882</v>
      </c>
      <c r="S179" s="102">
        <f t="shared" si="219"/>
        <v>33260.152267359015</v>
      </c>
      <c r="T179" s="102">
        <f t="shared" si="219"/>
        <v>33226.574456420312</v>
      </c>
      <c r="U179" s="102">
        <f t="shared" si="219"/>
        <v>33318.902218552925</v>
      </c>
      <c r="V179" s="102">
        <f t="shared" si="219"/>
        <v>24688.239700216756</v>
      </c>
      <c r="W179" s="102">
        <f t="shared" si="221"/>
        <v>23262.885849221231</v>
      </c>
      <c r="X179" s="102">
        <f t="shared" si="221"/>
        <v>27832.172269499559</v>
      </c>
      <c r="Y179" s="102">
        <f t="shared" si="221"/>
        <v>33967.181865945975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20815.284566989987</v>
      </c>
      <c r="E180" s="102">
        <f t="shared" si="219"/>
        <v>21149.301454335033</v>
      </c>
      <c r="F180" s="102">
        <f t="shared" ref="B180:V192" si="223">IF(F43=0,0,F43*1000000/F70)</f>
        <v>22564.711637353565</v>
      </c>
      <c r="G180" s="102">
        <f t="shared" si="223"/>
        <v>21677.275743341364</v>
      </c>
      <c r="H180" s="102">
        <f t="shared" si="223"/>
        <v>20820.619062215221</v>
      </c>
      <c r="I180" s="102">
        <f t="shared" si="223"/>
        <v>19976.74664305646</v>
      </c>
      <c r="J180" s="102">
        <f t="shared" si="223"/>
        <v>19158.462680664434</v>
      </c>
      <c r="K180" s="102">
        <f t="shared" si="223"/>
        <v>18426.16701705792</v>
      </c>
      <c r="L180" s="102">
        <f t="shared" si="223"/>
        <v>18125.868635475032</v>
      </c>
      <c r="M180" s="102">
        <f t="shared" si="222"/>
        <v>18645.494319378722</v>
      </c>
      <c r="N180" s="102">
        <f t="shared" si="223"/>
        <v>18835.985909734569</v>
      </c>
      <c r="O180" s="102">
        <f t="shared" si="223"/>
        <v>18210.574589951986</v>
      </c>
      <c r="P180" s="102">
        <f t="shared" si="223"/>
        <v>19341.92384582866</v>
      </c>
      <c r="Q180" s="102">
        <f t="shared" si="223"/>
        <v>19734.175341580456</v>
      </c>
      <c r="R180" s="102">
        <f t="shared" si="223"/>
        <v>20808.955529646297</v>
      </c>
      <c r="S180" s="102">
        <f t="shared" si="223"/>
        <v>21656.589770466024</v>
      </c>
      <c r="T180" s="102">
        <f t="shared" si="223"/>
        <v>21390.751192896529</v>
      </c>
      <c r="U180" s="102">
        <f t="shared" si="223"/>
        <v>21156.116012215567</v>
      </c>
      <c r="V180" s="102">
        <f t="shared" si="223"/>
        <v>15808.195531453321</v>
      </c>
      <c r="W180" s="102">
        <f t="shared" si="221"/>
        <v>15936.192900612481</v>
      </c>
      <c r="X180" s="102">
        <f t="shared" si="221"/>
        <v>18477.947478768499</v>
      </c>
      <c r="Y180" s="102">
        <f t="shared" si="221"/>
        <v>21538.756321496207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37174.710022986888</v>
      </c>
      <c r="L181" s="102">
        <f t="shared" si="223"/>
        <v>36248.853476539603</v>
      </c>
      <c r="M181" s="102">
        <f t="shared" si="222"/>
        <v>36883.137984296649</v>
      </c>
      <c r="N181" s="102">
        <f t="shared" si="223"/>
        <v>36949.762544448153</v>
      </c>
      <c r="O181" s="102">
        <f t="shared" si="223"/>
        <v>35439.558744126829</v>
      </c>
      <c r="P181" s="102">
        <f t="shared" si="223"/>
        <v>37269.472396970108</v>
      </c>
      <c r="Q181" s="102">
        <f t="shared" si="223"/>
        <v>37731.6314680457</v>
      </c>
      <c r="R181" s="102">
        <f t="shared" si="223"/>
        <v>40067.949003108435</v>
      </c>
      <c r="S181" s="102">
        <f t="shared" si="223"/>
        <v>42021.17128276328</v>
      </c>
      <c r="T181" s="102">
        <f t="shared" si="223"/>
        <v>41929.193368789012</v>
      </c>
      <c r="U181" s="102">
        <f t="shared" si="223"/>
        <v>41890.106888740367</v>
      </c>
      <c r="V181" s="102">
        <f t="shared" si="223"/>
        <v>32023.030529278218</v>
      </c>
      <c r="W181" s="102">
        <f t="shared" si="221"/>
        <v>32586.700168212286</v>
      </c>
      <c r="X181" s="102">
        <f t="shared" si="221"/>
        <v>37879.658652013211</v>
      </c>
      <c r="Y181" s="102">
        <f t="shared" si="221"/>
        <v>44254.766813840091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40618.000776294066</v>
      </c>
      <c r="G182" s="102">
        <f t="shared" si="223"/>
        <v>40715.161090479742</v>
      </c>
      <c r="H182" s="102">
        <f t="shared" si="223"/>
        <v>40812.938567372337</v>
      </c>
      <c r="I182" s="102">
        <f t="shared" si="223"/>
        <v>40913.004546938275</v>
      </c>
      <c r="J182" s="102">
        <f t="shared" si="223"/>
        <v>41014.193815315615</v>
      </c>
      <c r="K182" s="102">
        <f t="shared" si="223"/>
        <v>41110.05054769398</v>
      </c>
      <c r="L182" s="102">
        <f t="shared" si="223"/>
        <v>41161.924953583024</v>
      </c>
      <c r="M182" s="102">
        <f t="shared" si="222"/>
        <v>41197.641678095169</v>
      </c>
      <c r="N182" s="102">
        <f t="shared" si="223"/>
        <v>42763.481423280675</v>
      </c>
      <c r="O182" s="102">
        <f t="shared" si="223"/>
        <v>42852.801747166457</v>
      </c>
      <c r="P182" s="102">
        <f t="shared" si="223"/>
        <v>45182.719982192757</v>
      </c>
      <c r="Q182" s="102">
        <f t="shared" si="223"/>
        <v>48004.19171860494</v>
      </c>
      <c r="R182" s="102">
        <f t="shared" si="223"/>
        <v>47860.208376605609</v>
      </c>
      <c r="S182" s="102">
        <f t="shared" si="223"/>
        <v>47746.444087229516</v>
      </c>
      <c r="T182" s="102">
        <f t="shared" si="223"/>
        <v>47741.213163536617</v>
      </c>
      <c r="U182" s="102">
        <f t="shared" si="223"/>
        <v>47738.986954778404</v>
      </c>
      <c r="V182" s="102">
        <f t="shared" si="223"/>
        <v>38897.6300041496</v>
      </c>
      <c r="W182" s="102">
        <f t="shared" si="221"/>
        <v>46726.665555397187</v>
      </c>
      <c r="X182" s="102">
        <f t="shared" si="221"/>
        <v>47499.378614418885</v>
      </c>
      <c r="Y182" s="102">
        <f t="shared" si="221"/>
        <v>47608.091222240801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14767.134437877539</v>
      </c>
      <c r="C183" s="28">
        <f t="shared" si="223"/>
        <v>14788.768215422693</v>
      </c>
      <c r="D183" s="28">
        <f t="shared" si="223"/>
        <v>14687.490573557752</v>
      </c>
      <c r="E183" s="28">
        <f t="shared" si="223"/>
        <v>14359.420988713653</v>
      </c>
      <c r="F183" s="28">
        <f t="shared" si="223"/>
        <v>14437.78162294381</v>
      </c>
      <c r="G183" s="28">
        <f t="shared" si="223"/>
        <v>14388.984232364395</v>
      </c>
      <c r="H183" s="28">
        <f t="shared" si="223"/>
        <v>14616.820455505158</v>
      </c>
      <c r="I183" s="28">
        <f t="shared" si="223"/>
        <v>14581.892298143146</v>
      </c>
      <c r="J183" s="28">
        <f t="shared" si="223"/>
        <v>14386.537560341629</v>
      </c>
      <c r="K183" s="28">
        <f t="shared" si="223"/>
        <v>13920.855581526181</v>
      </c>
      <c r="L183" s="28">
        <f t="shared" si="223"/>
        <v>13777.650020357878</v>
      </c>
      <c r="M183" s="28">
        <f t="shared" si="222"/>
        <v>13919.997788778215</v>
      </c>
      <c r="N183" s="28">
        <f t="shared" si="223"/>
        <v>14102.178734902236</v>
      </c>
      <c r="O183" s="28">
        <f t="shared" si="223"/>
        <v>14190.805777816326</v>
      </c>
      <c r="P183" s="28">
        <f t="shared" si="223"/>
        <v>14669.138889397476</v>
      </c>
      <c r="Q183" s="28">
        <f t="shared" si="223"/>
        <v>14259.860421015652</v>
      </c>
      <c r="R183" s="28">
        <f t="shared" si="223"/>
        <v>14488.450951401943</v>
      </c>
      <c r="S183" s="28">
        <f t="shared" si="223"/>
        <v>14514.796742245459</v>
      </c>
      <c r="T183" s="28">
        <f t="shared" si="223"/>
        <v>13874.317092830708</v>
      </c>
      <c r="U183" s="28">
        <f t="shared" si="223"/>
        <v>13989.349814736668</v>
      </c>
      <c r="V183" s="28">
        <f t="shared" si="223"/>
        <v>14018.924972201468</v>
      </c>
      <c r="W183" s="28">
        <f t="shared" si="221"/>
        <v>13280.490967837857</v>
      </c>
      <c r="X183" s="28">
        <f t="shared" si="221"/>
        <v>13180.49394811304</v>
      </c>
      <c r="Y183" s="28">
        <f t="shared" si="221"/>
        <v>12529.830524525934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12773.888546899791</v>
      </c>
      <c r="C184" s="137">
        <f t="shared" si="223"/>
        <v>12664.659366235341</v>
      </c>
      <c r="D184" s="137">
        <f t="shared" si="223"/>
        <v>12600.352352585491</v>
      </c>
      <c r="E184" s="137">
        <f t="shared" si="223"/>
        <v>12527.516982811012</v>
      </c>
      <c r="F184" s="137">
        <f t="shared" si="223"/>
        <v>12447.307019894815</v>
      </c>
      <c r="G184" s="137">
        <f t="shared" si="223"/>
        <v>12392.401472289181</v>
      </c>
      <c r="H184" s="137">
        <f t="shared" si="223"/>
        <v>12425.723379639003</v>
      </c>
      <c r="I184" s="137">
        <f t="shared" si="223"/>
        <v>12397.951359730423</v>
      </c>
      <c r="J184" s="137">
        <f t="shared" si="223"/>
        <v>12327.890212662791</v>
      </c>
      <c r="K184" s="137">
        <f t="shared" si="223"/>
        <v>12288.234585611077</v>
      </c>
      <c r="L184" s="137">
        <f t="shared" si="223"/>
        <v>12102.850786762954</v>
      </c>
      <c r="M184" s="137">
        <f t="shared" si="222"/>
        <v>12049.58662044686</v>
      </c>
      <c r="N184" s="137">
        <f t="shared" si="223"/>
        <v>11992.065827776447</v>
      </c>
      <c r="O184" s="137">
        <f t="shared" si="223"/>
        <v>11683.17860760676</v>
      </c>
      <c r="P184" s="137">
        <f t="shared" si="223"/>
        <v>12085.832461043459</v>
      </c>
      <c r="Q184" s="137">
        <f t="shared" si="223"/>
        <v>11764.530543380011</v>
      </c>
      <c r="R184" s="137">
        <f t="shared" si="223"/>
        <v>12147.184215082469</v>
      </c>
      <c r="S184" s="137">
        <f t="shared" si="223"/>
        <v>11796.347548730839</v>
      </c>
      <c r="T184" s="137">
        <f t="shared" si="223"/>
        <v>11467.56159184454</v>
      </c>
      <c r="U184" s="137">
        <f t="shared" si="223"/>
        <v>11372.070915748191</v>
      </c>
      <c r="V184" s="137">
        <f t="shared" si="223"/>
        <v>11274.889597860865</v>
      </c>
      <c r="W184" s="137">
        <f t="shared" si="221"/>
        <v>11178.986260765449</v>
      </c>
      <c r="X184" s="137">
        <f t="shared" si="221"/>
        <v>11032.157106840923</v>
      </c>
      <c r="Y184" s="137">
        <f t="shared" si="221"/>
        <v>10923.022563005041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11775.527181186944</v>
      </c>
      <c r="C185" s="84">
        <f t="shared" si="223"/>
        <v>11669.358597387698</v>
      </c>
      <c r="D185" s="84">
        <f t="shared" si="223"/>
        <v>11597.232264119917</v>
      </c>
      <c r="E185" s="84">
        <f t="shared" si="223"/>
        <v>11519.72035396329</v>
      </c>
      <c r="F185" s="84">
        <f t="shared" si="223"/>
        <v>11437.588643915533</v>
      </c>
      <c r="G185" s="84">
        <f t="shared" si="223"/>
        <v>11377.743372336019</v>
      </c>
      <c r="H185" s="84">
        <f t="shared" si="223"/>
        <v>11510.115441754861</v>
      </c>
      <c r="I185" s="84">
        <f t="shared" si="223"/>
        <v>11588.777074732687</v>
      </c>
      <c r="J185" s="84">
        <f t="shared" si="223"/>
        <v>11617.673139100141</v>
      </c>
      <c r="K185" s="84">
        <f t="shared" si="223"/>
        <v>11676.149320344066</v>
      </c>
      <c r="L185" s="84">
        <f t="shared" si="223"/>
        <v>11498.438673933435</v>
      </c>
      <c r="M185" s="84">
        <f t="shared" si="222"/>
        <v>11438.093978340989</v>
      </c>
      <c r="N185" s="84">
        <f t="shared" si="223"/>
        <v>11379.632951720601</v>
      </c>
      <c r="O185" s="84">
        <f t="shared" si="223"/>
        <v>11295.953056192009</v>
      </c>
      <c r="P185" s="84">
        <f t="shared" si="223"/>
        <v>11346.791839979425</v>
      </c>
      <c r="Q185" s="84">
        <f t="shared" si="223"/>
        <v>11147.894362729603</v>
      </c>
      <c r="R185" s="84">
        <f t="shared" si="223"/>
        <v>11398.320830068298</v>
      </c>
      <c r="S185" s="84">
        <f t="shared" si="223"/>
        <v>11398.663493299939</v>
      </c>
      <c r="T185" s="84">
        <f t="shared" si="223"/>
        <v>11297.891138695652</v>
      </c>
      <c r="U185" s="84">
        <f t="shared" si="223"/>
        <v>11204.613872697555</v>
      </c>
      <c r="V185" s="84">
        <f t="shared" si="223"/>
        <v>11108.364786295422</v>
      </c>
      <c r="W185" s="84">
        <f t="shared" si="221"/>
        <v>11013.510070435976</v>
      </c>
      <c r="X185" s="84">
        <f t="shared" si="221"/>
        <v>10868.485084258036</v>
      </c>
      <c r="Y185" s="84">
        <f t="shared" si="221"/>
        <v>10760.576814674621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12951.496805948498</v>
      </c>
      <c r="C186" s="84">
        <f t="shared" si="223"/>
        <v>12834.725636996938</v>
      </c>
      <c r="D186" s="84">
        <f t="shared" si="223"/>
        <v>12755.396367014459</v>
      </c>
      <c r="E186" s="84">
        <f t="shared" si="223"/>
        <v>12670.14368648731</v>
      </c>
      <c r="F186" s="84">
        <f t="shared" si="223"/>
        <v>12579.809847162469</v>
      </c>
      <c r="G186" s="84">
        <f t="shared" si="223"/>
        <v>12513.988093980031</v>
      </c>
      <c r="H186" s="84">
        <f t="shared" si="223"/>
        <v>12535.440594477735</v>
      </c>
      <c r="I186" s="84">
        <f t="shared" si="223"/>
        <v>12494.89833919517</v>
      </c>
      <c r="J186" s="84">
        <f t="shared" si="223"/>
        <v>12400.793236093816</v>
      </c>
      <c r="K186" s="84">
        <f t="shared" si="223"/>
        <v>12338.579047963611</v>
      </c>
      <c r="L186" s="84">
        <f t="shared" si="223"/>
        <v>12150.786240742331</v>
      </c>
      <c r="M186" s="84">
        <f t="shared" si="222"/>
        <v>12087.017974658629</v>
      </c>
      <c r="N186" s="84">
        <f t="shared" si="223"/>
        <v>12020.430148729509</v>
      </c>
      <c r="O186" s="84">
        <f t="shared" si="223"/>
        <v>11698.076631634589</v>
      </c>
      <c r="P186" s="84">
        <f t="shared" si="223"/>
        <v>12109.254116930308</v>
      </c>
      <c r="Q186" s="84">
        <f t="shared" si="223"/>
        <v>11780.354296533946</v>
      </c>
      <c r="R186" s="84">
        <f t="shared" si="223"/>
        <v>12164.245663807587</v>
      </c>
      <c r="S186" s="84">
        <f t="shared" si="223"/>
        <v>11804.443447978483</v>
      </c>
      <c r="T186" s="84">
        <f t="shared" si="223"/>
        <v>11470.670301721428</v>
      </c>
      <c r="U186" s="84">
        <f t="shared" si="223"/>
        <v>11375.966542252059</v>
      </c>
      <c r="V186" s="84">
        <f t="shared" si="223"/>
        <v>11278.245514194055</v>
      </c>
      <c r="W186" s="84">
        <f t="shared" si="221"/>
        <v>11181.940180850865</v>
      </c>
      <c r="X186" s="84">
        <f t="shared" si="221"/>
        <v>11034.697320963392</v>
      </c>
      <c r="Y186" s="84">
        <f t="shared" si="221"/>
        <v>10925.13880530544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0</v>
      </c>
      <c r="T187" s="84">
        <f t="shared" si="223"/>
        <v>0</v>
      </c>
      <c r="U187" s="84">
        <f t="shared" si="223"/>
        <v>0</v>
      </c>
      <c r="V187" s="84">
        <f t="shared" si="223"/>
        <v>0</v>
      </c>
      <c r="W187" s="84">
        <f t="shared" si="221"/>
        <v>0</v>
      </c>
      <c r="X187" s="84">
        <f t="shared" si="221"/>
        <v>0</v>
      </c>
      <c r="Y187" s="84">
        <f t="shared" si="221"/>
        <v>0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X188" s="84">
        <f t="shared" si="221"/>
        <v>0</v>
      </c>
      <c r="Y188" s="84">
        <f t="shared" si="221"/>
        <v>0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0</v>
      </c>
      <c r="O189" s="84">
        <f t="shared" si="223"/>
        <v>0</v>
      </c>
      <c r="P189" s="84">
        <f t="shared" si="223"/>
        <v>0</v>
      </c>
      <c r="Q189" s="84">
        <f t="shared" si="223"/>
        <v>0</v>
      </c>
      <c r="R189" s="84">
        <f t="shared" si="223"/>
        <v>0</v>
      </c>
      <c r="S189" s="84">
        <f t="shared" si="223"/>
        <v>0</v>
      </c>
      <c r="T189" s="84">
        <f t="shared" si="223"/>
        <v>0</v>
      </c>
      <c r="U189" s="84">
        <f t="shared" si="223"/>
        <v>0</v>
      </c>
      <c r="V189" s="84">
        <f t="shared" si="223"/>
        <v>0</v>
      </c>
      <c r="W189" s="84">
        <f t="shared" si="221"/>
        <v>0</v>
      </c>
      <c r="X189" s="84">
        <f t="shared" si="221"/>
        <v>0</v>
      </c>
      <c r="Y189" s="84">
        <f t="shared" si="221"/>
        <v>0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16342.180261154796</v>
      </c>
      <c r="C190" s="110">
        <f t="shared" si="223"/>
        <v>16527.817396614704</v>
      </c>
      <c r="D190" s="110">
        <f t="shared" si="223"/>
        <v>16524.499802607748</v>
      </c>
      <c r="E190" s="110">
        <f t="shared" si="223"/>
        <v>15721.920875715201</v>
      </c>
      <c r="F190" s="110">
        <f t="shared" si="223"/>
        <v>16005.950358692246</v>
      </c>
      <c r="G190" s="110">
        <f t="shared" si="223"/>
        <v>16272.998052244124</v>
      </c>
      <c r="H190" s="110">
        <f t="shared" si="223"/>
        <v>17090.108544971223</v>
      </c>
      <c r="I190" s="110">
        <f t="shared" si="223"/>
        <v>17129.113387006386</v>
      </c>
      <c r="J190" s="110">
        <f t="shared" si="223"/>
        <v>17246.851766092223</v>
      </c>
      <c r="K190" s="110">
        <f t="shared" si="223"/>
        <v>16535.848037139956</v>
      </c>
      <c r="L190" s="110">
        <f t="shared" si="223"/>
        <v>16410.923483868446</v>
      </c>
      <c r="M190" s="110">
        <f t="shared" si="222"/>
        <v>17126.69131999604</v>
      </c>
      <c r="N190" s="110">
        <f t="shared" si="223"/>
        <v>17863.740428584046</v>
      </c>
      <c r="O190" s="110">
        <f t="shared" si="223"/>
        <v>18667.649552689549</v>
      </c>
      <c r="P190" s="110">
        <f t="shared" si="223"/>
        <v>19706.357697834803</v>
      </c>
      <c r="Q190" s="110">
        <f t="shared" si="223"/>
        <v>19141.202226866382</v>
      </c>
      <c r="R190" s="110">
        <f t="shared" si="223"/>
        <v>19085.726502850204</v>
      </c>
      <c r="S190" s="110">
        <f t="shared" si="223"/>
        <v>20176.205477364423</v>
      </c>
      <c r="T190" s="110">
        <f t="shared" si="223"/>
        <v>18639.489642215241</v>
      </c>
      <c r="U190" s="110">
        <f t="shared" si="223"/>
        <v>19636.322851014589</v>
      </c>
      <c r="V190" s="110">
        <f t="shared" si="223"/>
        <v>19949.421348285246</v>
      </c>
      <c r="W190" s="110">
        <f t="shared" si="221"/>
        <v>17520.079097271955</v>
      </c>
      <c r="X190" s="110">
        <f t="shared" si="221"/>
        <v>17717.847779680676</v>
      </c>
      <c r="Y190" s="110">
        <f t="shared" si="221"/>
        <v>15169.425654792651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12874.478035528446</v>
      </c>
      <c r="C191" s="102">
        <f t="shared" si="223"/>
        <v>12801.982510314763</v>
      </c>
      <c r="D191" s="102">
        <f t="shared" si="223"/>
        <v>12650.546027841374</v>
      </c>
      <c r="E191" s="102">
        <f t="shared" si="223"/>
        <v>12622.844700759137</v>
      </c>
      <c r="F191" s="102">
        <f t="shared" si="223"/>
        <v>12370.650485152288</v>
      </c>
      <c r="G191" s="102">
        <f t="shared" si="223"/>
        <v>12199.394808090461</v>
      </c>
      <c r="H191" s="102">
        <f t="shared" si="223"/>
        <v>12140.53590042308</v>
      </c>
      <c r="I191" s="102">
        <f t="shared" si="223"/>
        <v>12219.959266802443</v>
      </c>
      <c r="J191" s="102">
        <f t="shared" si="223"/>
        <v>12122.336642236447</v>
      </c>
      <c r="K191" s="102">
        <f t="shared" si="223"/>
        <v>12132.154962146409</v>
      </c>
      <c r="L191" s="102">
        <f t="shared" si="223"/>
        <v>11113.004942900972</v>
      </c>
      <c r="M191" s="102">
        <f t="shared" si="222"/>
        <v>11257.987085432233</v>
      </c>
      <c r="N191" s="102">
        <f t="shared" si="223"/>
        <v>11530.498487020226</v>
      </c>
      <c r="O191" s="102">
        <f t="shared" si="223"/>
        <v>11737.726682960683</v>
      </c>
      <c r="P191" s="102">
        <f t="shared" si="223"/>
        <v>13067.44286864433</v>
      </c>
      <c r="Q191" s="102">
        <f t="shared" si="223"/>
        <v>12025.111261752483</v>
      </c>
      <c r="R191" s="102">
        <f t="shared" si="223"/>
        <v>11908.891201294948</v>
      </c>
      <c r="S191" s="102">
        <f t="shared" si="223"/>
        <v>12771.469020151209</v>
      </c>
      <c r="T191" s="102">
        <f t="shared" si="223"/>
        <v>12149.811515200825</v>
      </c>
      <c r="U191" s="102">
        <f t="shared" si="223"/>
        <v>13071.895424836601</v>
      </c>
      <c r="V191" s="102">
        <f t="shared" si="223"/>
        <v>12938.298450665941</v>
      </c>
      <c r="W191" s="102">
        <f t="shared" si="221"/>
        <v>10913.199201942261</v>
      </c>
      <c r="X191" s="102">
        <f t="shared" si="221"/>
        <v>9645.443129291687</v>
      </c>
      <c r="Y191" s="102">
        <f t="shared" si="221"/>
        <v>8492.6536552301586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84975.868132422082</v>
      </c>
      <c r="C192" s="86">
        <f t="shared" si="223"/>
        <v>84984.104770074729</v>
      </c>
      <c r="D192" s="86">
        <f t="shared" si="223"/>
        <v>85018.190920551744</v>
      </c>
      <c r="E192" s="86">
        <f t="shared" si="223"/>
        <v>85014.817508647335</v>
      </c>
      <c r="F192" s="86">
        <f t="shared" si="223"/>
        <v>84977.576936038517</v>
      </c>
      <c r="G192" s="86">
        <f t="shared" si="223"/>
        <v>84994.531555846625</v>
      </c>
      <c r="H192" s="86">
        <f t="shared" si="223"/>
        <v>85009.822688795932</v>
      </c>
      <c r="I192" s="86">
        <f t="shared" si="223"/>
        <v>85001.718335061974</v>
      </c>
      <c r="J192" s="86">
        <f t="shared" si="223"/>
        <v>84994.785355676926</v>
      </c>
      <c r="K192" s="86">
        <f t="shared" si="223"/>
        <v>85018.698620623385</v>
      </c>
      <c r="L192" s="86">
        <f t="shared" si="223"/>
        <v>84996.289944274831</v>
      </c>
      <c r="M192" s="86">
        <f t="shared" si="222"/>
        <v>85014.998928194284</v>
      </c>
      <c r="N192" s="86">
        <f t="shared" si="223"/>
        <v>84991.401048231623</v>
      </c>
      <c r="O192" s="86">
        <f t="shared" si="223"/>
        <v>85006.347942546374</v>
      </c>
      <c r="P192" s="86">
        <f t="shared" si="223"/>
        <v>85011.601527830862</v>
      </c>
      <c r="Q192" s="86">
        <f t="shared" si="223"/>
        <v>85000.954096847141</v>
      </c>
      <c r="R192" s="86">
        <f t="shared" si="223"/>
        <v>84997.538048537899</v>
      </c>
      <c r="S192" s="86">
        <f t="shared" si="223"/>
        <v>85004.751269300454</v>
      </c>
      <c r="T192" s="86">
        <f t="shared" si="223"/>
        <v>84999.41797760145</v>
      </c>
      <c r="U192" s="86">
        <f t="shared" si="223"/>
        <v>84997.028578816535</v>
      </c>
      <c r="V192" s="86">
        <f t="shared" ref="V192:W192" si="224">IF(V55=0,0,V55*1000000/V82)</f>
        <v>85003.446922916832</v>
      </c>
      <c r="W192" s="86">
        <f t="shared" si="224"/>
        <v>85001.741391799471</v>
      </c>
      <c r="X192" s="86">
        <f t="shared" ref="X192:Y192" si="225">IF(X55=0,0,X55*1000000/X82)</f>
        <v>85006.464450083513</v>
      </c>
      <c r="Y192" s="86">
        <f t="shared" si="225"/>
        <v>85001.277254053304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30504.111968654204</v>
      </c>
      <c r="C195" s="28">
        <f t="shared" si="226"/>
        <v>29904.399432029357</v>
      </c>
      <c r="D195" s="28">
        <f t="shared" si="226"/>
        <v>28659.23090602403</v>
      </c>
      <c r="E195" s="28">
        <f t="shared" si="226"/>
        <v>29368.698956999146</v>
      </c>
      <c r="F195" s="28">
        <f t="shared" si="226"/>
        <v>29550.154091056222</v>
      </c>
      <c r="G195" s="28">
        <f t="shared" si="226"/>
        <v>31037.410607963346</v>
      </c>
      <c r="H195" s="28">
        <f t="shared" si="226"/>
        <v>30019.633820977855</v>
      </c>
      <c r="I195" s="28">
        <f t="shared" si="226"/>
        <v>28170.279340547564</v>
      </c>
      <c r="J195" s="28">
        <f t="shared" si="226"/>
        <v>27173.972000314971</v>
      </c>
      <c r="K195" s="28">
        <f t="shared" si="226"/>
        <v>26676.660223481915</v>
      </c>
      <c r="L195" s="28">
        <f t="shared" si="226"/>
        <v>26411.782930292484</v>
      </c>
      <c r="M195" s="28">
        <f>IF(M4=0,0,M4*1000000/M58)</f>
        <v>26304.572548176129</v>
      </c>
      <c r="N195" s="28">
        <f t="shared" ref="N195:V195" si="227">IF(N4=0,0,N4*1000000/N58)</f>
        <v>26708.695997050432</v>
      </c>
      <c r="O195" s="28">
        <f t="shared" si="227"/>
        <v>25899.480583393608</v>
      </c>
      <c r="P195" s="28">
        <f t="shared" si="227"/>
        <v>19394.290348408911</v>
      </c>
      <c r="Q195" s="28">
        <f t="shared" si="227"/>
        <v>18742.073460914002</v>
      </c>
      <c r="R195" s="28">
        <f t="shared" si="227"/>
        <v>18763.722949968324</v>
      </c>
      <c r="S195" s="28">
        <f t="shared" si="227"/>
        <v>21683.107625165772</v>
      </c>
      <c r="T195" s="28">
        <f t="shared" si="227"/>
        <v>19987.021108663772</v>
      </c>
      <c r="U195" s="28">
        <f t="shared" si="227"/>
        <v>19846.898627104314</v>
      </c>
      <c r="V195" s="28">
        <f t="shared" si="227"/>
        <v>16653.854958902928</v>
      </c>
      <c r="W195" s="28">
        <f t="shared" ref="W195:Y195" si="228">IF(W4=0,0,W4*1000000/W58)</f>
        <v>17298.497550977507</v>
      </c>
      <c r="X195" s="28">
        <f t="shared" si="228"/>
        <v>18064.762243674893</v>
      </c>
      <c r="Y195" s="28">
        <f t="shared" si="228"/>
        <v>18542.397645836998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3257.9579494582254</v>
      </c>
      <c r="C196" s="137">
        <f t="shared" si="229"/>
        <v>3234.3036916989327</v>
      </c>
      <c r="D196" s="137">
        <f t="shared" si="229"/>
        <v>3218.1680195178287</v>
      </c>
      <c r="E196" s="137">
        <f t="shared" si="229"/>
        <v>3194.5645284685179</v>
      </c>
      <c r="F196" s="137">
        <f t="shared" si="229"/>
        <v>3183.9349720493328</v>
      </c>
      <c r="G196" s="137">
        <f t="shared" si="229"/>
        <v>2959.4198593490187</v>
      </c>
      <c r="H196" s="137">
        <f t="shared" si="229"/>
        <v>2975.2408456942458</v>
      </c>
      <c r="I196" s="137">
        <f t="shared" si="229"/>
        <v>2908.4007462062086</v>
      </c>
      <c r="J196" s="137">
        <f t="shared" si="229"/>
        <v>2904.4905831310498</v>
      </c>
      <c r="K196" s="137">
        <f t="shared" si="229"/>
        <v>2862.0343361582009</v>
      </c>
      <c r="L196" s="137">
        <f t="shared" si="229"/>
        <v>2817.274100451009</v>
      </c>
      <c r="M196" s="137">
        <f>IF(M5=0,0,M5*1000000/M59)</f>
        <v>2804.760865382018</v>
      </c>
      <c r="N196" s="137">
        <f t="shared" ref="N196:V196" si="230">IF(N5=0,0,N5*1000000/N59)</f>
        <v>2763.8748222128374</v>
      </c>
      <c r="O196" s="137">
        <f t="shared" si="230"/>
        <v>2747.097654921075</v>
      </c>
      <c r="P196" s="137">
        <f t="shared" si="230"/>
        <v>2654.0287513433318</v>
      </c>
      <c r="Q196" s="137">
        <f t="shared" si="230"/>
        <v>2656.9032574736898</v>
      </c>
      <c r="R196" s="137">
        <f t="shared" si="230"/>
        <v>2713.5116929804553</v>
      </c>
      <c r="S196" s="137">
        <f t="shared" si="230"/>
        <v>2442.4121709823971</v>
      </c>
      <c r="T196" s="137">
        <f t="shared" si="230"/>
        <v>2187.3307293528542</v>
      </c>
      <c r="U196" s="137">
        <f t="shared" si="230"/>
        <v>1995.7079318093859</v>
      </c>
      <c r="V196" s="137">
        <f t="shared" si="230"/>
        <v>1586.1650019012318</v>
      </c>
      <c r="W196" s="137">
        <f t="shared" ref="W196:Y196" si="231">IF(W5=0,0,W5*1000000/W59)</f>
        <v>1470.5886326584905</v>
      </c>
      <c r="X196" s="137">
        <f t="shared" si="231"/>
        <v>1355.2909287014122</v>
      </c>
      <c r="Y196" s="137">
        <f t="shared" si="231"/>
        <v>1349.5691252604713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28187.520734089772</v>
      </c>
      <c r="C197" s="110">
        <f t="shared" si="232"/>
        <v>27557.640514819122</v>
      </c>
      <c r="D197" s="110">
        <f t="shared" si="232"/>
        <v>26237.581298659359</v>
      </c>
      <c r="E197" s="110">
        <f t="shared" si="232"/>
        <v>27182.751513095056</v>
      </c>
      <c r="F197" s="110">
        <f t="shared" si="232"/>
        <v>27052.640948622673</v>
      </c>
      <c r="G197" s="110">
        <f t="shared" si="232"/>
        <v>28629.710452605006</v>
      </c>
      <c r="H197" s="110">
        <f t="shared" si="232"/>
        <v>27949.963108201307</v>
      </c>
      <c r="I197" s="110">
        <f t="shared" si="232"/>
        <v>26291.364423621701</v>
      </c>
      <c r="J197" s="110">
        <f t="shared" si="232"/>
        <v>25489.446211236798</v>
      </c>
      <c r="K197" s="110">
        <f t="shared" si="232"/>
        <v>25404.71031725061</v>
      </c>
      <c r="L197" s="110">
        <f t="shared" si="232"/>
        <v>25077.923357911532</v>
      </c>
      <c r="M197" s="110">
        <f>IF(M6=0,0,M6*1000000/M60)</f>
        <v>24820.78213514496</v>
      </c>
      <c r="N197" s="110">
        <f t="shared" ref="N197:V197" si="233">IF(N6=0,0,N6*1000000/N60)</f>
        <v>25403.19614720792</v>
      </c>
      <c r="O197" s="110">
        <f t="shared" si="233"/>
        <v>24510.705275777611</v>
      </c>
      <c r="P197" s="110">
        <f t="shared" si="233"/>
        <v>17734.791410694223</v>
      </c>
      <c r="Q197" s="110">
        <f t="shared" si="233"/>
        <v>17301.254749756292</v>
      </c>
      <c r="R197" s="110">
        <f t="shared" si="233"/>
        <v>17459.151231608263</v>
      </c>
      <c r="S197" s="110">
        <f t="shared" si="233"/>
        <v>20469.85166357932</v>
      </c>
      <c r="T197" s="110">
        <f t="shared" si="233"/>
        <v>18761.886192799109</v>
      </c>
      <c r="U197" s="110">
        <f t="shared" si="233"/>
        <v>18726.755039710297</v>
      </c>
      <c r="V197" s="110">
        <f t="shared" si="233"/>
        <v>16337.016084275027</v>
      </c>
      <c r="W197" s="110">
        <f t="shared" ref="W197:Y209" si="234">IF(W6=0,0,W6*1000000/W60)</f>
        <v>17137.041177608957</v>
      </c>
      <c r="X197" s="110">
        <f t="shared" si="234"/>
        <v>17664.602965445632</v>
      </c>
      <c r="Y197" s="110">
        <f t="shared" si="234"/>
        <v>18020.09356277372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24293.569245312006</v>
      </c>
      <c r="C198" s="84">
        <f t="shared" si="232"/>
        <v>22341.0234823028</v>
      </c>
      <c r="D198" s="84">
        <f t="shared" si="232"/>
        <v>21157.042838720037</v>
      </c>
      <c r="E198" s="84">
        <f t="shared" si="232"/>
        <v>21051.595115143504</v>
      </c>
      <c r="F198" s="84">
        <f t="shared" si="232"/>
        <v>20115.639551640172</v>
      </c>
      <c r="G198" s="84">
        <f t="shared" si="232"/>
        <v>21020.427004101581</v>
      </c>
      <c r="H198" s="84">
        <f t="shared" si="232"/>
        <v>20458.586451324605</v>
      </c>
      <c r="I198" s="84">
        <f t="shared" si="232"/>
        <v>20532.82751363343</v>
      </c>
      <c r="J198" s="84">
        <f t="shared" si="232"/>
        <v>20143.66646624733</v>
      </c>
      <c r="K198" s="84">
        <f t="shared" si="232"/>
        <v>19081.078988042158</v>
      </c>
      <c r="L198" s="84">
        <f t="shared" si="232"/>
        <v>16401.366158369834</v>
      </c>
      <c r="M198" s="84">
        <f t="shared" ref="M198:M219" si="235">IF(M7=0,0,M7*1000000/M61)</f>
        <v>16243.625654676576</v>
      </c>
      <c r="N198" s="84">
        <f t="shared" si="232"/>
        <v>15101.099447088876</v>
      </c>
      <c r="O198" s="84">
        <f t="shared" si="232"/>
        <v>14283.879202504502</v>
      </c>
      <c r="P198" s="84">
        <f t="shared" si="232"/>
        <v>11180.78793884104</v>
      </c>
      <c r="Q198" s="84">
        <f t="shared" si="232"/>
        <v>11050.498949517776</v>
      </c>
      <c r="R198" s="84">
        <f t="shared" si="232"/>
        <v>10446.751294757007</v>
      </c>
      <c r="S198" s="84">
        <f t="shared" si="232"/>
        <v>12215.68776211769</v>
      </c>
      <c r="T198" s="84">
        <f t="shared" si="232"/>
        <v>11862.558694261317</v>
      </c>
      <c r="U198" s="84">
        <f t="shared" si="232"/>
        <v>12239.65486080749</v>
      </c>
      <c r="V198" s="84">
        <f t="shared" si="232"/>
        <v>11049.45039967495</v>
      </c>
      <c r="W198" s="84">
        <f t="shared" si="234"/>
        <v>11770.09977578832</v>
      </c>
      <c r="X198" s="84">
        <f t="shared" si="234"/>
        <v>13644.346294837836</v>
      </c>
      <c r="Y198" s="84">
        <f t="shared" si="234"/>
        <v>14710.193606858047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37481.016045756405</v>
      </c>
      <c r="C199" s="84">
        <f t="shared" si="232"/>
        <v>41476.484977466775</v>
      </c>
      <c r="D199" s="84">
        <f t="shared" si="232"/>
        <v>38167.1412965079</v>
      </c>
      <c r="E199" s="84">
        <f t="shared" si="232"/>
        <v>41484.027815153058</v>
      </c>
      <c r="F199" s="84">
        <f t="shared" si="232"/>
        <v>40187.405428888174</v>
      </c>
      <c r="G199" s="84">
        <f t="shared" si="232"/>
        <v>38011.505979919981</v>
      </c>
      <c r="H199" s="84">
        <f t="shared" si="232"/>
        <v>37480.979699742064</v>
      </c>
      <c r="I199" s="84">
        <f t="shared" si="232"/>
        <v>33968.528792838428</v>
      </c>
      <c r="J199" s="84">
        <f t="shared" si="232"/>
        <v>32397.339226467484</v>
      </c>
      <c r="K199" s="84">
        <f t="shared" si="232"/>
        <v>34298.627336691825</v>
      </c>
      <c r="L199" s="84">
        <f t="shared" si="232"/>
        <v>33767.125077786397</v>
      </c>
      <c r="M199" s="84">
        <f t="shared" si="235"/>
        <v>32342.24241688136</v>
      </c>
      <c r="N199" s="84">
        <f t="shared" si="232"/>
        <v>32404.09316724099</v>
      </c>
      <c r="O199" s="84">
        <f t="shared" si="232"/>
        <v>30548.800649046283</v>
      </c>
      <c r="P199" s="84">
        <f t="shared" si="232"/>
        <v>21053.174013079402</v>
      </c>
      <c r="Q199" s="84">
        <f t="shared" si="232"/>
        <v>20118.674736399029</v>
      </c>
      <c r="R199" s="84">
        <f t="shared" si="232"/>
        <v>20308.077549368922</v>
      </c>
      <c r="S199" s="84">
        <f t="shared" si="232"/>
        <v>23669.725621320613</v>
      </c>
      <c r="T199" s="84">
        <f t="shared" si="232"/>
        <v>21465.807992879414</v>
      </c>
      <c r="U199" s="84">
        <f t="shared" si="232"/>
        <v>21320.74984503401</v>
      </c>
      <c r="V199" s="84">
        <f t="shared" si="232"/>
        <v>18494.618136756482</v>
      </c>
      <c r="W199" s="84">
        <f t="shared" si="234"/>
        <v>19352.018953988369</v>
      </c>
      <c r="X199" s="84">
        <f t="shared" si="234"/>
        <v>19577.661103714952</v>
      </c>
      <c r="Y199" s="84">
        <f t="shared" si="234"/>
        <v>19798.558695486674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28563.525024902356</v>
      </c>
      <c r="C200" s="84">
        <f t="shared" si="232"/>
        <v>25681.391832737558</v>
      </c>
      <c r="D200" s="84">
        <f t="shared" si="232"/>
        <v>24471.983127141109</v>
      </c>
      <c r="E200" s="84">
        <f t="shared" si="232"/>
        <v>23527.731603817363</v>
      </c>
      <c r="F200" s="84">
        <f t="shared" si="232"/>
        <v>24121.496518113403</v>
      </c>
      <c r="G200" s="84">
        <f t="shared" si="232"/>
        <v>26735.304942575774</v>
      </c>
      <c r="H200" s="84">
        <f t="shared" si="232"/>
        <v>23738.653965531343</v>
      </c>
      <c r="I200" s="84">
        <f t="shared" si="232"/>
        <v>22989.876693334132</v>
      </c>
      <c r="J200" s="84">
        <f t="shared" si="232"/>
        <v>22177.128072743937</v>
      </c>
      <c r="K200" s="84">
        <f t="shared" si="232"/>
        <v>18649.083154886575</v>
      </c>
      <c r="L200" s="84">
        <f t="shared" si="232"/>
        <v>19747.243224653925</v>
      </c>
      <c r="M200" s="84">
        <f t="shared" si="235"/>
        <v>20321.437079058502</v>
      </c>
      <c r="N200" s="84">
        <f t="shared" si="232"/>
        <v>18753.313229868396</v>
      </c>
      <c r="O200" s="84">
        <f t="shared" si="232"/>
        <v>19099.135852773848</v>
      </c>
      <c r="P200" s="84">
        <f t="shared" si="232"/>
        <v>15312.895110259375</v>
      </c>
      <c r="Q200" s="84">
        <f t="shared" si="232"/>
        <v>14805.082601940296</v>
      </c>
      <c r="R200" s="84">
        <f t="shared" si="232"/>
        <v>14815.328212093415</v>
      </c>
      <c r="S200" s="84">
        <f t="shared" si="232"/>
        <v>17106.890400366599</v>
      </c>
      <c r="T200" s="84">
        <f t="shared" si="232"/>
        <v>15358.245274519026</v>
      </c>
      <c r="U200" s="84">
        <f t="shared" si="232"/>
        <v>15276.538543782035</v>
      </c>
      <c r="V200" s="84">
        <f t="shared" si="232"/>
        <v>13379.221386081772</v>
      </c>
      <c r="W200" s="84">
        <f t="shared" si="234"/>
        <v>14134.988308703141</v>
      </c>
      <c r="X200" s="84">
        <f t="shared" si="234"/>
        <v>14422.632579847903</v>
      </c>
      <c r="Y200" s="84">
        <f t="shared" si="234"/>
        <v>14715.262398270061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0</v>
      </c>
      <c r="H201" s="84">
        <f t="shared" si="232"/>
        <v>0</v>
      </c>
      <c r="I201" s="84">
        <f t="shared" si="232"/>
        <v>0</v>
      </c>
      <c r="J201" s="84">
        <f t="shared" si="232"/>
        <v>0</v>
      </c>
      <c r="K201" s="84">
        <f t="shared" si="232"/>
        <v>0</v>
      </c>
      <c r="L201" s="84">
        <f t="shared" si="232"/>
        <v>0</v>
      </c>
      <c r="M201" s="84">
        <f t="shared" si="235"/>
        <v>0</v>
      </c>
      <c r="N201" s="84">
        <f t="shared" si="232"/>
        <v>13141.978931730086</v>
      </c>
      <c r="O201" s="84">
        <f t="shared" si="232"/>
        <v>13654.715507187526</v>
      </c>
      <c r="P201" s="84">
        <f t="shared" si="232"/>
        <v>10947.784650247788</v>
      </c>
      <c r="Q201" s="84">
        <f t="shared" si="232"/>
        <v>10798.562649123989</v>
      </c>
      <c r="R201" s="84">
        <f t="shared" si="232"/>
        <v>10806.035614057158</v>
      </c>
      <c r="S201" s="84">
        <f t="shared" si="232"/>
        <v>12477.460118719398</v>
      </c>
      <c r="T201" s="84">
        <f t="shared" si="232"/>
        <v>11202.029616219155</v>
      </c>
      <c r="U201" s="84">
        <f t="shared" si="232"/>
        <v>11012.635551811049</v>
      </c>
      <c r="V201" s="84">
        <f t="shared" si="232"/>
        <v>9453.8992082950772</v>
      </c>
      <c r="W201" s="84">
        <f t="shared" si="234"/>
        <v>9790.1512682309258</v>
      </c>
      <c r="X201" s="84">
        <f t="shared" si="234"/>
        <v>9791.5694639950034</v>
      </c>
      <c r="Y201" s="84">
        <f t="shared" si="234"/>
        <v>9792.4102744447937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0</v>
      </c>
      <c r="O202" s="84">
        <f t="shared" si="232"/>
        <v>19994.380880419129</v>
      </c>
      <c r="P202" s="84">
        <f t="shared" si="232"/>
        <v>16354.517276018283</v>
      </c>
      <c r="Q202" s="84">
        <f t="shared" si="232"/>
        <v>16131.59968371015</v>
      </c>
      <c r="R202" s="84">
        <f t="shared" si="232"/>
        <v>16142.763287855374</v>
      </c>
      <c r="S202" s="84">
        <f t="shared" si="232"/>
        <v>18639.646612687699</v>
      </c>
      <c r="T202" s="84">
        <f t="shared" si="232"/>
        <v>16734.325047285074</v>
      </c>
      <c r="U202" s="84">
        <f t="shared" si="232"/>
        <v>16451.395797460311</v>
      </c>
      <c r="V202" s="84">
        <f t="shared" si="232"/>
        <v>14122.853423527829</v>
      </c>
      <c r="W202" s="84">
        <f t="shared" si="234"/>
        <v>14625.168759370052</v>
      </c>
      <c r="X202" s="84">
        <f t="shared" si="234"/>
        <v>14627.287353027621</v>
      </c>
      <c r="Y202" s="84">
        <f t="shared" si="234"/>
        <v>14793.486422187234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0</v>
      </c>
      <c r="K203" s="84">
        <f t="shared" si="232"/>
        <v>0</v>
      </c>
      <c r="L203" s="84">
        <f t="shared" si="232"/>
        <v>0</v>
      </c>
      <c r="M203" s="84">
        <f t="shared" si="235"/>
        <v>20199.982114606311</v>
      </c>
      <c r="N203" s="84">
        <f t="shared" si="232"/>
        <v>20024.817353754392</v>
      </c>
      <c r="O203" s="84">
        <f t="shared" si="232"/>
        <v>20008.635827307869</v>
      </c>
      <c r="P203" s="84">
        <f t="shared" si="232"/>
        <v>15416.392627736426</v>
      </c>
      <c r="Q203" s="84">
        <f t="shared" si="232"/>
        <v>14775.523193874436</v>
      </c>
      <c r="R203" s="84">
        <f t="shared" si="232"/>
        <v>13417.18821745766</v>
      </c>
      <c r="S203" s="84">
        <f t="shared" si="232"/>
        <v>15312.291912472219</v>
      </c>
      <c r="T203" s="84">
        <f t="shared" si="232"/>
        <v>13631.576557518956</v>
      </c>
      <c r="U203" s="84">
        <f t="shared" si="232"/>
        <v>13609.415504286861</v>
      </c>
      <c r="V203" s="84">
        <f t="shared" si="232"/>
        <v>12373.595801767678</v>
      </c>
      <c r="W203" s="84">
        <f t="shared" si="234"/>
        <v>13477.184531539817</v>
      </c>
      <c r="X203" s="84">
        <f t="shared" si="234"/>
        <v>13679.722577384255</v>
      </c>
      <c r="Y203" s="84">
        <f t="shared" si="234"/>
        <v>13871.498391931482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1083366.1030279198</v>
      </c>
      <c r="C204" s="110">
        <f t="shared" si="232"/>
        <v>1072699.7349488831</v>
      </c>
      <c r="D204" s="110">
        <f t="shared" si="232"/>
        <v>1098832.9686360322</v>
      </c>
      <c r="E204" s="110">
        <f t="shared" si="232"/>
        <v>1064504.6329294369</v>
      </c>
      <c r="F204" s="110">
        <f t="shared" si="232"/>
        <v>1243953.7329127234</v>
      </c>
      <c r="G204" s="110">
        <f t="shared" si="232"/>
        <v>1267949.1583648229</v>
      </c>
      <c r="H204" s="110">
        <f t="shared" si="232"/>
        <v>1249070.6319702601</v>
      </c>
      <c r="I204" s="110">
        <f t="shared" si="232"/>
        <v>1227985.0746268656</v>
      </c>
      <c r="J204" s="110">
        <f t="shared" si="232"/>
        <v>1174862.6373626376</v>
      </c>
      <c r="K204" s="110">
        <f t="shared" si="232"/>
        <v>913631.8735594335</v>
      </c>
      <c r="L204" s="110">
        <f t="shared" si="232"/>
        <v>889564.06869220571</v>
      </c>
      <c r="M204" s="110">
        <f t="shared" si="235"/>
        <v>902463.054187192</v>
      </c>
      <c r="N204" s="110">
        <f t="shared" si="232"/>
        <v>909544.39640838047</v>
      </c>
      <c r="O204" s="110">
        <f t="shared" si="232"/>
        <v>822119.54952353449</v>
      </c>
      <c r="P204" s="110">
        <f t="shared" si="232"/>
        <v>875014.7145379635</v>
      </c>
      <c r="Q204" s="110">
        <f t="shared" si="232"/>
        <v>761593.0651872399</v>
      </c>
      <c r="R204" s="110">
        <f t="shared" si="232"/>
        <v>795675.83912912</v>
      </c>
      <c r="S204" s="110">
        <f t="shared" si="232"/>
        <v>846153.84615384624</v>
      </c>
      <c r="T204" s="110">
        <f t="shared" si="232"/>
        <v>853064.90384615387</v>
      </c>
      <c r="U204" s="110">
        <f t="shared" si="232"/>
        <v>779210.31426269142</v>
      </c>
      <c r="V204" s="110">
        <f t="shared" si="232"/>
        <v>410548.86211512715</v>
      </c>
      <c r="W204" s="110">
        <f t="shared" si="234"/>
        <v>397702.40700218821</v>
      </c>
      <c r="X204" s="110">
        <f t="shared" si="234"/>
        <v>601388.49532445462</v>
      </c>
      <c r="Y204" s="110">
        <f t="shared" si="234"/>
        <v>744803.69515011553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0</v>
      </c>
      <c r="C205" s="102">
        <f t="shared" si="232"/>
        <v>0</v>
      </c>
      <c r="D205" s="102">
        <f t="shared" si="232"/>
        <v>263348.76474785834</v>
      </c>
      <c r="E205" s="102">
        <f t="shared" si="232"/>
        <v>261674.07471212247</v>
      </c>
      <c r="F205" s="102">
        <f t="shared" si="232"/>
        <v>276509.61372844205</v>
      </c>
      <c r="G205" s="102">
        <f t="shared" si="232"/>
        <v>258638.98159140113</v>
      </c>
      <c r="H205" s="102">
        <f t="shared" si="232"/>
        <v>242697.22282799514</v>
      </c>
      <c r="I205" s="102">
        <f t="shared" si="232"/>
        <v>227521.33352830619</v>
      </c>
      <c r="J205" s="102">
        <f t="shared" si="232"/>
        <v>213770.03586662759</v>
      </c>
      <c r="K205" s="102">
        <f t="shared" si="232"/>
        <v>197442.69698323068</v>
      </c>
      <c r="L205" s="102">
        <f t="shared" si="232"/>
        <v>190350.77565110254</v>
      </c>
      <c r="M205" s="102">
        <f t="shared" si="235"/>
        <v>191873.68045826795</v>
      </c>
      <c r="N205" s="102">
        <f t="shared" si="232"/>
        <v>182586.80874777428</v>
      </c>
      <c r="O205" s="102">
        <f t="shared" si="232"/>
        <v>172005.34910117538</v>
      </c>
      <c r="P205" s="102">
        <f t="shared" si="232"/>
        <v>172673.89893918703</v>
      </c>
      <c r="Q205" s="102">
        <f t="shared" si="232"/>
        <v>164315.29825918828</v>
      </c>
      <c r="R205" s="102">
        <f t="shared" si="232"/>
        <v>170463.32698450072</v>
      </c>
      <c r="S205" s="102">
        <f t="shared" si="232"/>
        <v>179892.42205989794</v>
      </c>
      <c r="T205" s="102">
        <f t="shared" si="232"/>
        <v>179528.4260958737</v>
      </c>
      <c r="U205" s="102">
        <f t="shared" si="232"/>
        <v>162338.22153130962</v>
      </c>
      <c r="V205" s="102">
        <f t="shared" si="232"/>
        <v>95115.613860880243</v>
      </c>
      <c r="W205" s="102">
        <f t="shared" si="234"/>
        <v>95480.809722529972</v>
      </c>
      <c r="X205" s="102">
        <f t="shared" si="234"/>
        <v>121016.44954936823</v>
      </c>
      <c r="Y205" s="102">
        <f t="shared" si="234"/>
        <v>149535.39722239249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1083366.1030279198</v>
      </c>
      <c r="C206" s="102">
        <f t="shared" si="232"/>
        <v>1072699.7349488831</v>
      </c>
      <c r="D206" s="102">
        <f t="shared" si="232"/>
        <v>1104413.7720612793</v>
      </c>
      <c r="E206" s="102">
        <f t="shared" si="232"/>
        <v>1072360.0980479321</v>
      </c>
      <c r="F206" s="102">
        <f t="shared" si="232"/>
        <v>1252530.302630354</v>
      </c>
      <c r="G206" s="102">
        <f t="shared" si="232"/>
        <v>1275793.0252806689</v>
      </c>
      <c r="H206" s="102">
        <f t="shared" si="232"/>
        <v>1254409.3923791423</v>
      </c>
      <c r="I206" s="102">
        <f t="shared" si="232"/>
        <v>1227971.4423747475</v>
      </c>
      <c r="J206" s="102">
        <f t="shared" si="232"/>
        <v>1169134.7038060704</v>
      </c>
      <c r="K206" s="102">
        <f t="shared" si="232"/>
        <v>901696.50604004809</v>
      </c>
      <c r="L206" s="102">
        <f t="shared" si="232"/>
        <v>873978.63342513656</v>
      </c>
      <c r="M206" s="102">
        <f t="shared" si="235"/>
        <v>884784.68001959997</v>
      </c>
      <c r="N206" s="102">
        <f t="shared" si="232"/>
        <v>890453.35223017784</v>
      </c>
      <c r="O206" s="102">
        <f t="shared" si="232"/>
        <v>788495.6562076672</v>
      </c>
      <c r="P206" s="102">
        <f t="shared" si="232"/>
        <v>833442.56780059263</v>
      </c>
      <c r="Q206" s="102">
        <f t="shared" si="232"/>
        <v>696957.13170238514</v>
      </c>
      <c r="R206" s="102">
        <f t="shared" si="232"/>
        <v>736881.72912015615</v>
      </c>
      <c r="S206" s="102">
        <f t="shared" si="232"/>
        <v>792119.50175924308</v>
      </c>
      <c r="T206" s="102">
        <f t="shared" si="232"/>
        <v>799028.25428982754</v>
      </c>
      <c r="U206" s="102">
        <f t="shared" si="232"/>
        <v>731553.98920579685</v>
      </c>
      <c r="V206" s="102">
        <f t="shared" si="232"/>
        <v>373178.28623954568</v>
      </c>
      <c r="W206" s="102">
        <f t="shared" si="234"/>
        <v>334562.33724043693</v>
      </c>
      <c r="X206" s="102">
        <f t="shared" si="234"/>
        <v>520859.75857446715</v>
      </c>
      <c r="Y206" s="102">
        <f t="shared" si="234"/>
        <v>673596.52834458288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602184.83821153734</v>
      </c>
      <c r="E207" s="102">
        <f t="shared" si="232"/>
        <v>590060.84016462241</v>
      </c>
      <c r="F207" s="102">
        <f t="shared" si="232"/>
        <v>698201.82314273308</v>
      </c>
      <c r="G207" s="102">
        <f t="shared" si="232"/>
        <v>717259.03880721354</v>
      </c>
      <c r="H207" s="102">
        <f t="shared" si="232"/>
        <v>712175.89703242993</v>
      </c>
      <c r="I207" s="102">
        <f t="shared" si="232"/>
        <v>705223.78348424751</v>
      </c>
      <c r="J207" s="102">
        <f t="shared" si="232"/>
        <v>679196.62997925398</v>
      </c>
      <c r="K207" s="102">
        <f t="shared" si="232"/>
        <v>532030.40565821715</v>
      </c>
      <c r="L207" s="102">
        <f t="shared" si="232"/>
        <v>522579.2295578632</v>
      </c>
      <c r="M207" s="102">
        <f t="shared" si="235"/>
        <v>535649.75939596433</v>
      </c>
      <c r="N207" s="102">
        <f t="shared" si="232"/>
        <v>544339.44711291196</v>
      </c>
      <c r="O207" s="102">
        <f t="shared" si="232"/>
        <v>503959.68412144354</v>
      </c>
      <c r="P207" s="102">
        <f t="shared" si="232"/>
        <v>538043.46522748284</v>
      </c>
      <c r="Q207" s="102">
        <f t="shared" si="232"/>
        <v>470976.41620032932</v>
      </c>
      <c r="R207" s="102">
        <f t="shared" si="232"/>
        <v>488833.49987755617</v>
      </c>
      <c r="S207" s="102">
        <f t="shared" si="232"/>
        <v>515770.55212766194</v>
      </c>
      <c r="T207" s="102">
        <f t="shared" si="232"/>
        <v>514401.94673169323</v>
      </c>
      <c r="U207" s="102">
        <f t="shared" si="232"/>
        <v>464506.33227102488</v>
      </c>
      <c r="V207" s="102">
        <f t="shared" si="232"/>
        <v>238950.8279488878</v>
      </c>
      <c r="W207" s="102">
        <f t="shared" si="234"/>
        <v>229191.25245683378</v>
      </c>
      <c r="X207" s="102">
        <f t="shared" si="234"/>
        <v>345801.94350442977</v>
      </c>
      <c r="Y207" s="102">
        <f t="shared" si="234"/>
        <v>427130.85649196315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0</v>
      </c>
      <c r="C208" s="102">
        <f t="shared" si="232"/>
        <v>0</v>
      </c>
      <c r="D208" s="102">
        <f t="shared" si="232"/>
        <v>0</v>
      </c>
      <c r="E208" s="102">
        <f t="shared" si="232"/>
        <v>0</v>
      </c>
      <c r="F208" s="102">
        <f t="shared" si="232"/>
        <v>0</v>
      </c>
      <c r="G208" s="102">
        <f t="shared" si="232"/>
        <v>0</v>
      </c>
      <c r="H208" s="102">
        <f t="shared" si="232"/>
        <v>0</v>
      </c>
      <c r="I208" s="102">
        <f t="shared" si="232"/>
        <v>0</v>
      </c>
      <c r="J208" s="102">
        <f t="shared" si="232"/>
        <v>0</v>
      </c>
      <c r="K208" s="102">
        <f t="shared" si="232"/>
        <v>1073368.9776852052</v>
      </c>
      <c r="L208" s="102">
        <f t="shared" si="232"/>
        <v>1045075.3176623966</v>
      </c>
      <c r="M208" s="102">
        <f t="shared" si="235"/>
        <v>1059582.7414735414</v>
      </c>
      <c r="N208" s="102">
        <f t="shared" si="232"/>
        <v>1067807.8339400138</v>
      </c>
      <c r="O208" s="102">
        <f t="shared" si="232"/>
        <v>980754.82142931037</v>
      </c>
      <c r="P208" s="102">
        <f t="shared" si="232"/>
        <v>1036742.58235643</v>
      </c>
      <c r="Q208" s="102">
        <f t="shared" si="232"/>
        <v>900504.23990955204</v>
      </c>
      <c r="R208" s="102">
        <f t="shared" si="232"/>
        <v>941256.07199266565</v>
      </c>
      <c r="S208" s="102">
        <f t="shared" si="232"/>
        <v>1000770.8020178971</v>
      </c>
      <c r="T208" s="102">
        <f t="shared" si="232"/>
        <v>1008307.6793000688</v>
      </c>
      <c r="U208" s="102">
        <f t="shared" si="232"/>
        <v>919744.43220555142</v>
      </c>
      <c r="V208" s="102">
        <f t="shared" si="232"/>
        <v>484048.26744321419</v>
      </c>
      <c r="W208" s="102">
        <f t="shared" si="234"/>
        <v>468655.63635972596</v>
      </c>
      <c r="X208" s="102">
        <f t="shared" si="234"/>
        <v>708891.482465863</v>
      </c>
      <c r="Y208" s="102">
        <f t="shared" si="234"/>
        <v>877607.60978489695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0</v>
      </c>
      <c r="C209" s="102">
        <f t="shared" si="232"/>
        <v>0</v>
      </c>
      <c r="D209" s="102">
        <f t="shared" si="232"/>
        <v>0</v>
      </c>
      <c r="E209" s="102">
        <f t="shared" si="232"/>
        <v>0</v>
      </c>
      <c r="F209" s="102">
        <f t="shared" si="232"/>
        <v>1256810.3085117701</v>
      </c>
      <c r="G209" s="102">
        <f t="shared" si="232"/>
        <v>1347185.7651489615</v>
      </c>
      <c r="H209" s="102">
        <f t="shared" si="232"/>
        <v>1396019.5442745571</v>
      </c>
      <c r="I209" s="102">
        <f t="shared" si="232"/>
        <v>1444320.4579725063</v>
      </c>
      <c r="J209" s="102">
        <f t="shared" si="232"/>
        <v>1454015.5274980671</v>
      </c>
      <c r="K209" s="102">
        <f t="shared" si="232"/>
        <v>1186996.5603411575</v>
      </c>
      <c r="L209" s="102">
        <f t="shared" si="232"/>
        <v>1186721.9972709613</v>
      </c>
      <c r="M209" s="102">
        <f t="shared" si="235"/>
        <v>1183530.2660556189</v>
      </c>
      <c r="N209" s="102">
        <f t="shared" si="232"/>
        <v>1235817.9681235442</v>
      </c>
      <c r="O209" s="102">
        <f t="shared" si="232"/>
        <v>1185909.0071840391</v>
      </c>
      <c r="P209" s="102">
        <f t="shared" si="232"/>
        <v>1256869.1419424056</v>
      </c>
      <c r="Q209" s="102">
        <f t="shared" si="232"/>
        <v>1145669.4686696446</v>
      </c>
      <c r="R209" s="102">
        <f t="shared" si="232"/>
        <v>1124307.9035021095</v>
      </c>
      <c r="S209" s="102">
        <f t="shared" si="232"/>
        <v>1137123.1615878264</v>
      </c>
      <c r="T209" s="102">
        <f t="shared" si="232"/>
        <v>1148074.3602315048</v>
      </c>
      <c r="U209" s="102">
        <f t="shared" si="232"/>
        <v>1048163.1753150962</v>
      </c>
      <c r="V209" s="102">
        <f t="shared" si="232"/>
        <v>587962.1666019808</v>
      </c>
      <c r="W209" s="102">
        <f t="shared" si="234"/>
        <v>672013.89118234627</v>
      </c>
      <c r="X209" s="102">
        <f t="shared" si="234"/>
        <v>888917.85513471439</v>
      </c>
      <c r="Y209" s="102">
        <f t="shared" si="234"/>
        <v>944106.72910619772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64574.605024570337</v>
      </c>
      <c r="C210" s="28">
        <f t="shared" si="232"/>
        <v>65618.435993179111</v>
      </c>
      <c r="D210" s="28">
        <f t="shared" si="232"/>
        <v>64595.981565218492</v>
      </c>
      <c r="E210" s="28">
        <f t="shared" si="232"/>
        <v>62121.964273896592</v>
      </c>
      <c r="F210" s="28">
        <f t="shared" ref="B210:V219" si="236">IF(F19=0,0,F19*1000000/F73)</f>
        <v>68538.831878826255</v>
      </c>
      <c r="G210" s="28">
        <f t="shared" si="236"/>
        <v>68166.03321270406</v>
      </c>
      <c r="H210" s="28">
        <f t="shared" si="236"/>
        <v>69102.076577761734</v>
      </c>
      <c r="I210" s="28">
        <f t="shared" si="236"/>
        <v>70331.612004062437</v>
      </c>
      <c r="J210" s="28">
        <f t="shared" si="236"/>
        <v>66622.671972348428</v>
      </c>
      <c r="K210" s="28">
        <f t="shared" si="236"/>
        <v>58304.365297131022</v>
      </c>
      <c r="L210" s="28">
        <f t="shared" si="236"/>
        <v>62843.745065135459</v>
      </c>
      <c r="M210" s="28">
        <f t="shared" si="235"/>
        <v>62903.782372463364</v>
      </c>
      <c r="N210" s="28">
        <f t="shared" si="236"/>
        <v>63695.722778266776</v>
      </c>
      <c r="O210" s="28">
        <f t="shared" si="236"/>
        <v>66711.575293265167</v>
      </c>
      <c r="P210" s="28">
        <f t="shared" si="236"/>
        <v>65119.903774598191</v>
      </c>
      <c r="Q210" s="28">
        <f t="shared" si="236"/>
        <v>66605.242385743972</v>
      </c>
      <c r="R210" s="28">
        <f t="shared" si="236"/>
        <v>66519.462207807126</v>
      </c>
      <c r="S210" s="28">
        <f t="shared" si="236"/>
        <v>68685.077778733248</v>
      </c>
      <c r="T210" s="28">
        <f t="shared" si="236"/>
        <v>67247.830388339658</v>
      </c>
      <c r="U210" s="28">
        <f t="shared" si="236"/>
        <v>64501.730763283587</v>
      </c>
      <c r="V210" s="28">
        <f t="shared" si="236"/>
        <v>68396.315775762967</v>
      </c>
      <c r="W210" s="28">
        <f t="shared" ref="W210:Y210" si="237">IF(W19=0,0,W19*1000000/W73)</f>
        <v>64401.564451627055</v>
      </c>
      <c r="X210" s="28">
        <f t="shared" si="237"/>
        <v>66435.191411304084</v>
      </c>
      <c r="Y210" s="28">
        <f t="shared" si="237"/>
        <v>68604.799356175703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1769.0811074653623</v>
      </c>
      <c r="C211" s="137">
        <f t="shared" si="236"/>
        <v>1758.8871183545853</v>
      </c>
      <c r="D211" s="137">
        <f t="shared" si="236"/>
        <v>1756.25416475323</v>
      </c>
      <c r="E211" s="137">
        <f t="shared" si="236"/>
        <v>1751.8082793325652</v>
      </c>
      <c r="F211" s="137">
        <f t="shared" si="236"/>
        <v>1745.7766793891658</v>
      </c>
      <c r="G211" s="137">
        <f t="shared" si="236"/>
        <v>1742.923456644512</v>
      </c>
      <c r="H211" s="137">
        <f t="shared" si="236"/>
        <v>1746.416302412656</v>
      </c>
      <c r="I211" s="137">
        <f t="shared" si="236"/>
        <v>1743.0347000698462</v>
      </c>
      <c r="J211" s="137">
        <f t="shared" si="236"/>
        <v>1740.0592973154594</v>
      </c>
      <c r="K211" s="137">
        <f t="shared" si="236"/>
        <v>1741.721783934059</v>
      </c>
      <c r="L211" s="137">
        <f t="shared" si="236"/>
        <v>1721.5968895221606</v>
      </c>
      <c r="M211" s="137">
        <f t="shared" si="235"/>
        <v>1721.3294869533743</v>
      </c>
      <c r="N211" s="137">
        <f t="shared" si="236"/>
        <v>1719.6461460606079</v>
      </c>
      <c r="O211" s="137">
        <f t="shared" si="236"/>
        <v>1686.5019018971263</v>
      </c>
      <c r="P211" s="137">
        <f t="shared" si="236"/>
        <v>1735.4502900109001</v>
      </c>
      <c r="Q211" s="137">
        <f t="shared" si="236"/>
        <v>1700.407062468551</v>
      </c>
      <c r="R211" s="137">
        <f t="shared" si="236"/>
        <v>1745.5800552980527</v>
      </c>
      <c r="S211" s="137">
        <f t="shared" si="236"/>
        <v>1705.796848402666</v>
      </c>
      <c r="T211" s="137">
        <f t="shared" si="236"/>
        <v>1668.2549474462953</v>
      </c>
      <c r="U211" s="137">
        <f t="shared" si="236"/>
        <v>1655.4275648382263</v>
      </c>
      <c r="V211" s="137">
        <f t="shared" si="236"/>
        <v>1645.1645563310869</v>
      </c>
      <c r="W211" s="137">
        <f t="shared" ref="W211:Y211" si="238">IF(W20=0,0,W20*1000000/W74)</f>
        <v>1634.7460797877909</v>
      </c>
      <c r="X211" s="137">
        <f t="shared" si="238"/>
        <v>1618.3374452771163</v>
      </c>
      <c r="Y211" s="137">
        <f t="shared" si="238"/>
        <v>1606.3606837789334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1336.6790516764916</v>
      </c>
      <c r="C212" s="84">
        <f t="shared" si="236"/>
        <v>1327.0290898167211</v>
      </c>
      <c r="D212" s="84">
        <f t="shared" si="236"/>
        <v>1320.4633100511639</v>
      </c>
      <c r="E212" s="84">
        <f t="shared" si="236"/>
        <v>1313.3981605055735</v>
      </c>
      <c r="F212" s="84">
        <f t="shared" si="236"/>
        <v>1305.901536448366</v>
      </c>
      <c r="G212" s="84">
        <f t="shared" si="236"/>
        <v>1300.4323410006145</v>
      </c>
      <c r="H212" s="84">
        <f t="shared" si="236"/>
        <v>1312.5220193626092</v>
      </c>
      <c r="I212" s="84">
        <f t="shared" si="236"/>
        <v>1319.6930861675478</v>
      </c>
      <c r="J212" s="84">
        <f t="shared" si="236"/>
        <v>1322.3249039735047</v>
      </c>
      <c r="K212" s="84">
        <f t="shared" si="236"/>
        <v>1327.6468418583561</v>
      </c>
      <c r="L212" s="84">
        <f t="shared" si="236"/>
        <v>1311.4566906693485</v>
      </c>
      <c r="M212" s="84">
        <f t="shared" si="235"/>
        <v>1305.9476940158452</v>
      </c>
      <c r="N212" s="84">
        <f t="shared" si="236"/>
        <v>1300.6051154607401</v>
      </c>
      <c r="O212" s="84">
        <f t="shared" si="236"/>
        <v>1292.9482943149521</v>
      </c>
      <c r="P212" s="84">
        <f t="shared" si="236"/>
        <v>1297.6014573122338</v>
      </c>
      <c r="Q212" s="84">
        <f t="shared" si="236"/>
        <v>1279.3728501537255</v>
      </c>
      <c r="R212" s="84">
        <f t="shared" si="236"/>
        <v>1302.313540425871</v>
      </c>
      <c r="S212" s="84">
        <f t="shared" si="236"/>
        <v>1302.3448610831133</v>
      </c>
      <c r="T212" s="84">
        <f t="shared" si="236"/>
        <v>1293.1257594629958</v>
      </c>
      <c r="U212" s="84">
        <f t="shared" si="236"/>
        <v>1284.5776756073344</v>
      </c>
      <c r="V212" s="84">
        <f t="shared" si="236"/>
        <v>1275.7423152004749</v>
      </c>
      <c r="W212" s="84">
        <f t="shared" ref="W212:Y212" si="239">IF(W21=0,0,W21*1000000/W75)</f>
        <v>1267.0199613515881</v>
      </c>
      <c r="X212" s="84">
        <f t="shared" si="239"/>
        <v>1253.655081683474</v>
      </c>
      <c r="Y212" s="84">
        <f t="shared" si="239"/>
        <v>1243.6875766296471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1846.0053344790035</v>
      </c>
      <c r="C213" s="84">
        <f t="shared" si="236"/>
        <v>1832.6783648909686</v>
      </c>
      <c r="D213" s="84">
        <f t="shared" si="236"/>
        <v>1823.6107697513346</v>
      </c>
      <c r="E213" s="84">
        <f t="shared" si="236"/>
        <v>1813.8535256816433</v>
      </c>
      <c r="F213" s="84">
        <f t="shared" si="236"/>
        <v>1803.500398666723</v>
      </c>
      <c r="G213" s="84">
        <f t="shared" si="236"/>
        <v>1795.9472287721289</v>
      </c>
      <c r="H213" s="84">
        <f t="shared" si="236"/>
        <v>1798.4098143744575</v>
      </c>
      <c r="I213" s="84">
        <f t="shared" si="236"/>
        <v>1793.7551585798128</v>
      </c>
      <c r="J213" s="84">
        <f t="shared" si="236"/>
        <v>1782.9392862644534</v>
      </c>
      <c r="K213" s="84">
        <f t="shared" si="236"/>
        <v>1775.7797518600862</v>
      </c>
      <c r="L213" s="84">
        <f t="shared" si="236"/>
        <v>1754.1247892943256</v>
      </c>
      <c r="M213" s="84">
        <f t="shared" si="235"/>
        <v>1746.7562900805863</v>
      </c>
      <c r="N213" s="84">
        <f t="shared" si="236"/>
        <v>1739.0536840115133</v>
      </c>
      <c r="O213" s="84">
        <f t="shared" si="236"/>
        <v>1701.643390057131</v>
      </c>
      <c r="P213" s="84">
        <f t="shared" si="236"/>
        <v>1749.3265836781693</v>
      </c>
      <c r="Q213" s="84">
        <f t="shared" si="236"/>
        <v>1711.2113935378129</v>
      </c>
      <c r="R213" s="84">
        <f t="shared" si="236"/>
        <v>1755.6790520795698</v>
      </c>
      <c r="S213" s="84">
        <f t="shared" si="236"/>
        <v>1714.0101689922044</v>
      </c>
      <c r="T213" s="84">
        <f t="shared" si="236"/>
        <v>1675.1280817495865</v>
      </c>
      <c r="U213" s="84">
        <f t="shared" si="236"/>
        <v>1664.0548081665784</v>
      </c>
      <c r="V213" s="84">
        <f t="shared" si="236"/>
        <v>1652.6093936571231</v>
      </c>
      <c r="W213" s="84">
        <f t="shared" ref="W213:Y213" si="240">IF(W22=0,0,W22*1000000/W76)</f>
        <v>1641.3103689765735</v>
      </c>
      <c r="X213" s="84">
        <f t="shared" si="240"/>
        <v>1623.9973697748874</v>
      </c>
      <c r="Y213" s="84">
        <f t="shared" si="240"/>
        <v>1611.0853637318096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0</v>
      </c>
      <c r="F214" s="84">
        <f t="shared" si="236"/>
        <v>0</v>
      </c>
      <c r="G214" s="84">
        <f t="shared" si="236"/>
        <v>0</v>
      </c>
      <c r="H214" s="84">
        <f t="shared" si="236"/>
        <v>0</v>
      </c>
      <c r="I214" s="84">
        <f t="shared" si="236"/>
        <v>0</v>
      </c>
      <c r="J214" s="84">
        <f t="shared" si="236"/>
        <v>0</v>
      </c>
      <c r="K214" s="84">
        <f t="shared" si="236"/>
        <v>0</v>
      </c>
      <c r="L214" s="84">
        <f t="shared" si="236"/>
        <v>0</v>
      </c>
      <c r="M214" s="84">
        <f t="shared" si="235"/>
        <v>0</v>
      </c>
      <c r="N214" s="84">
        <f t="shared" si="236"/>
        <v>0</v>
      </c>
      <c r="O214" s="84">
        <f t="shared" si="236"/>
        <v>0</v>
      </c>
      <c r="P214" s="84">
        <f t="shared" si="236"/>
        <v>0</v>
      </c>
      <c r="Q214" s="84">
        <f t="shared" si="236"/>
        <v>0</v>
      </c>
      <c r="R214" s="84">
        <f t="shared" si="236"/>
        <v>0</v>
      </c>
      <c r="S214" s="84">
        <f t="shared" si="236"/>
        <v>0</v>
      </c>
      <c r="T214" s="84">
        <f t="shared" si="236"/>
        <v>0</v>
      </c>
      <c r="U214" s="84">
        <f t="shared" si="236"/>
        <v>0</v>
      </c>
      <c r="V214" s="84">
        <f t="shared" si="236"/>
        <v>0</v>
      </c>
      <c r="W214" s="84">
        <f t="shared" ref="W214:Y214" si="241">IF(W23=0,0,W23*1000000/W77)</f>
        <v>0</v>
      </c>
      <c r="X214" s="84">
        <f t="shared" si="241"/>
        <v>0</v>
      </c>
      <c r="Y214" s="84">
        <f t="shared" si="241"/>
        <v>0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0</v>
      </c>
      <c r="K215" s="84">
        <f t="shared" si="236"/>
        <v>0</v>
      </c>
      <c r="L215" s="84">
        <f t="shared" si="236"/>
        <v>0</v>
      </c>
      <c r="M215" s="84">
        <f t="shared" si="235"/>
        <v>0</v>
      </c>
      <c r="N215" s="84">
        <f t="shared" si="236"/>
        <v>0</v>
      </c>
      <c r="O215" s="84">
        <f t="shared" si="236"/>
        <v>0</v>
      </c>
      <c r="P215" s="84">
        <f t="shared" si="236"/>
        <v>0</v>
      </c>
      <c r="Q215" s="84">
        <f t="shared" si="236"/>
        <v>0</v>
      </c>
      <c r="R215" s="84">
        <f t="shared" si="236"/>
        <v>0</v>
      </c>
      <c r="S215" s="84">
        <f t="shared" si="236"/>
        <v>0</v>
      </c>
      <c r="T215" s="84">
        <f t="shared" si="236"/>
        <v>0</v>
      </c>
      <c r="U215" s="84">
        <f t="shared" si="236"/>
        <v>0</v>
      </c>
      <c r="V215" s="84">
        <f t="shared" si="236"/>
        <v>0</v>
      </c>
      <c r="W215" s="84">
        <f t="shared" ref="W215:Y215" si="242">IF(W24=0,0,W24*1000000/W78)</f>
        <v>0</v>
      </c>
      <c r="X215" s="84">
        <f t="shared" si="242"/>
        <v>0</v>
      </c>
      <c r="Y215" s="84">
        <f t="shared" si="242"/>
        <v>0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0</v>
      </c>
      <c r="J216" s="84">
        <f t="shared" si="236"/>
        <v>0</v>
      </c>
      <c r="K216" s="84">
        <f t="shared" si="236"/>
        <v>0</v>
      </c>
      <c r="L216" s="84">
        <f t="shared" si="236"/>
        <v>0</v>
      </c>
      <c r="M216" s="84">
        <f t="shared" si="235"/>
        <v>0</v>
      </c>
      <c r="N216" s="84">
        <f t="shared" si="236"/>
        <v>0</v>
      </c>
      <c r="O216" s="84">
        <f t="shared" si="236"/>
        <v>0</v>
      </c>
      <c r="P216" s="84">
        <f t="shared" si="236"/>
        <v>0</v>
      </c>
      <c r="Q216" s="84">
        <f t="shared" si="236"/>
        <v>0</v>
      </c>
      <c r="R216" s="84">
        <f t="shared" si="236"/>
        <v>0</v>
      </c>
      <c r="S216" s="84">
        <f t="shared" si="236"/>
        <v>0</v>
      </c>
      <c r="T216" s="84">
        <f t="shared" si="236"/>
        <v>0</v>
      </c>
      <c r="U216" s="84">
        <f t="shared" si="236"/>
        <v>0</v>
      </c>
      <c r="V216" s="84">
        <f t="shared" si="236"/>
        <v>0</v>
      </c>
      <c r="W216" s="84">
        <f t="shared" ref="W216:Y216" si="243">IF(W25=0,0,W25*1000000/W79)</f>
        <v>0</v>
      </c>
      <c r="X216" s="84">
        <f t="shared" si="243"/>
        <v>0</v>
      </c>
      <c r="Y216" s="84">
        <f t="shared" si="243"/>
        <v>0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114202.99185438189</v>
      </c>
      <c r="C217" s="110">
        <f t="shared" si="236"/>
        <v>117901.48929552869</v>
      </c>
      <c r="D217" s="110">
        <f t="shared" si="236"/>
        <v>119904.80492233473</v>
      </c>
      <c r="E217" s="110">
        <f t="shared" si="236"/>
        <v>107022.9691605199</v>
      </c>
      <c r="F217" s="110">
        <f t="shared" si="236"/>
        <v>121160.84512553268</v>
      </c>
      <c r="G217" s="110">
        <f t="shared" si="236"/>
        <v>130844.1546721371</v>
      </c>
      <c r="H217" s="110">
        <f t="shared" si="236"/>
        <v>145132.46069540252</v>
      </c>
      <c r="I217" s="110">
        <f t="shared" si="236"/>
        <v>150329.32050016982</v>
      </c>
      <c r="J217" s="110">
        <f t="shared" si="236"/>
        <v>156771.50632703298</v>
      </c>
      <c r="K217" s="110">
        <f t="shared" si="236"/>
        <v>148901.56233591813</v>
      </c>
      <c r="L217" s="110">
        <f t="shared" si="236"/>
        <v>158945.61064703233</v>
      </c>
      <c r="M217" s="110">
        <f t="shared" si="235"/>
        <v>167796.96266021457</v>
      </c>
      <c r="N217" s="110">
        <f t="shared" si="236"/>
        <v>174176.46293066943</v>
      </c>
      <c r="O217" s="110">
        <f t="shared" si="236"/>
        <v>182800.24209395712</v>
      </c>
      <c r="P217" s="110">
        <f t="shared" si="236"/>
        <v>188713.97598790427</v>
      </c>
      <c r="Q217" s="110">
        <f t="shared" si="236"/>
        <v>193571.49598807524</v>
      </c>
      <c r="R217" s="110">
        <f t="shared" si="236"/>
        <v>193708.46642192898</v>
      </c>
      <c r="S217" s="110">
        <f t="shared" si="236"/>
        <v>208175.30148260383</v>
      </c>
      <c r="T217" s="110">
        <f t="shared" si="236"/>
        <v>197089.84905753602</v>
      </c>
      <c r="U217" s="110">
        <f t="shared" si="236"/>
        <v>200097.28373569544</v>
      </c>
      <c r="V217" s="110">
        <f t="shared" si="236"/>
        <v>212661.02318733899</v>
      </c>
      <c r="W217" s="110">
        <f t="shared" ref="W217:Y217" si="244">IF(W26=0,0,W26*1000000/W80)</f>
        <v>191027.71817664316</v>
      </c>
      <c r="X217" s="110">
        <f t="shared" si="244"/>
        <v>203330.39101080707</v>
      </c>
      <c r="Y217" s="110">
        <f t="shared" si="244"/>
        <v>178666.95780337355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58760.438213437526</v>
      </c>
      <c r="C218" s="163">
        <f t="shared" si="236"/>
        <v>58429.561200923788</v>
      </c>
      <c r="D218" s="163">
        <f t="shared" si="236"/>
        <v>57738.389562968317</v>
      </c>
      <c r="E218" s="163">
        <f t="shared" si="236"/>
        <v>57611.957865003234</v>
      </c>
      <c r="F218" s="163">
        <f t="shared" si="236"/>
        <v>64872.629202943157</v>
      </c>
      <c r="G218" s="163">
        <f t="shared" si="236"/>
        <v>68068.16372033763</v>
      </c>
      <c r="H218" s="163">
        <f t="shared" si="236"/>
        <v>68428.475075111899</v>
      </c>
      <c r="I218" s="163">
        <f t="shared" si="236"/>
        <v>74420.652832058127</v>
      </c>
      <c r="J218" s="163">
        <f t="shared" si="236"/>
        <v>79166.280112564549</v>
      </c>
      <c r="K218" s="163">
        <f t="shared" si="236"/>
        <v>83404.605784155341</v>
      </c>
      <c r="L218" s="163">
        <f t="shared" si="236"/>
        <v>78131.924322481675</v>
      </c>
      <c r="M218" s="163">
        <f t="shared" si="235"/>
        <v>78434.024138747089</v>
      </c>
      <c r="N218" s="163">
        <f t="shared" si="236"/>
        <v>77655.67765567766</v>
      </c>
      <c r="O218" s="163">
        <f t="shared" si="236"/>
        <v>76642.225641954079</v>
      </c>
      <c r="P218" s="163">
        <f t="shared" si="236"/>
        <v>85712.516256889823</v>
      </c>
      <c r="Q218" s="163">
        <f t="shared" si="236"/>
        <v>85855.757611482797</v>
      </c>
      <c r="R218" s="163">
        <f t="shared" si="236"/>
        <v>85848.0749219563</v>
      </c>
      <c r="S218" s="163">
        <f t="shared" si="236"/>
        <v>95906.503207927948</v>
      </c>
      <c r="T218" s="163">
        <f t="shared" si="236"/>
        <v>98771.458790985285</v>
      </c>
      <c r="U218" s="163">
        <f t="shared" si="236"/>
        <v>100152.12981744422</v>
      </c>
      <c r="V218" s="163">
        <f t="shared" si="236"/>
        <v>108589.29056808914</v>
      </c>
      <c r="W218" s="163">
        <f t="shared" ref="W218:Y218" si="245">IF(W27=0,0,W27*1000000/W81)</f>
        <v>92834.306867623382</v>
      </c>
      <c r="X218" s="163">
        <f t="shared" si="245"/>
        <v>85018.836668715099</v>
      </c>
      <c r="Y218" s="163">
        <f t="shared" si="245"/>
        <v>83291.800402703302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1211536.8094059315</v>
      </c>
      <c r="C219" s="86">
        <f t="shared" si="236"/>
        <v>1210603.5344849455</v>
      </c>
      <c r="D219" s="86">
        <f t="shared" si="236"/>
        <v>1219042.146020588</v>
      </c>
      <c r="E219" s="86">
        <f t="shared" si="236"/>
        <v>1211814.1730351446</v>
      </c>
      <c r="F219" s="86">
        <f t="shared" si="236"/>
        <v>1189102.9528937736</v>
      </c>
      <c r="G219" s="86">
        <f t="shared" si="236"/>
        <v>1189872.7607611991</v>
      </c>
      <c r="H219" s="86">
        <f t="shared" si="236"/>
        <v>1197690.560385196</v>
      </c>
      <c r="I219" s="86">
        <f t="shared" si="236"/>
        <v>1199821.531707617</v>
      </c>
      <c r="J219" s="86">
        <f t="shared" si="236"/>
        <v>1182740.5169963974</v>
      </c>
      <c r="K219" s="86">
        <f t="shared" si="236"/>
        <v>1167459.8979923713</v>
      </c>
      <c r="L219" s="86">
        <f t="shared" si="236"/>
        <v>1205136.9117638429</v>
      </c>
      <c r="M219" s="86">
        <f t="shared" si="235"/>
        <v>1201534.2948958373</v>
      </c>
      <c r="N219" s="86">
        <f t="shared" si="236"/>
        <v>1197225.0968632717</v>
      </c>
      <c r="O219" s="86">
        <f t="shared" si="236"/>
        <v>1199028.671682586</v>
      </c>
      <c r="P219" s="86">
        <f t="shared" si="236"/>
        <v>1201912.0084440054</v>
      </c>
      <c r="Q219" s="86">
        <f t="shared" si="236"/>
        <v>1190485.6496649452</v>
      </c>
      <c r="R219" s="86">
        <f t="shared" si="236"/>
        <v>1184294.6369377386</v>
      </c>
      <c r="S219" s="86">
        <f t="shared" si="236"/>
        <v>1191089.8146474152</v>
      </c>
      <c r="T219" s="86">
        <f t="shared" si="236"/>
        <v>1202440.3771491959</v>
      </c>
      <c r="U219" s="86">
        <f t="shared" si="236"/>
        <v>1195231.4165497897</v>
      </c>
      <c r="V219" s="86">
        <f t="shared" si="236"/>
        <v>1178310.2143757881</v>
      </c>
      <c r="W219" s="86">
        <f t="shared" ref="W219:Y219" si="246">IF(W28=0,0,W28*1000000/W82)</f>
        <v>1193960.2258777313</v>
      </c>
      <c r="X219" s="86">
        <f t="shared" si="246"/>
        <v>1189532.2939866369</v>
      </c>
      <c r="Y219" s="86">
        <f t="shared" si="246"/>
        <v>1176188.4904086739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2.2430672888346546E-3</v>
      </c>
      <c r="C223" s="154">
        <f t="shared" si="251"/>
        <v>2.2656989125575135E-3</v>
      </c>
      <c r="D223" s="154">
        <f t="shared" si="251"/>
        <v>2.3258169702467454E-3</v>
      </c>
      <c r="E223" s="154">
        <f t="shared" si="251"/>
        <v>2.1797106100784292E-3</v>
      </c>
      <c r="F223" s="154">
        <f t="shared" si="251"/>
        <v>2.1023737285791469E-3</v>
      </c>
      <c r="G223" s="154">
        <f t="shared" si="251"/>
        <v>1.8442688497780991E-3</v>
      </c>
      <c r="H223" s="154">
        <f t="shared" si="251"/>
        <v>1.7409066734311348E-3</v>
      </c>
      <c r="I223" s="154">
        <f t="shared" si="251"/>
        <v>1.9932220087370309E-3</v>
      </c>
      <c r="J223" s="154">
        <f t="shared" si="251"/>
        <v>2.3967541903527853E-3</v>
      </c>
      <c r="K223" s="154">
        <f t="shared" si="251"/>
        <v>2.7424060941719452E-3</v>
      </c>
      <c r="L223" s="154">
        <f t="shared" ref="L223" si="252">IF(L5=0,0,L5/L$4)</f>
        <v>2.9754052947335444E-3</v>
      </c>
      <c r="M223" s="154">
        <f t="shared" ref="M223:V223" si="253">IF(M5=0,0,M5/M$4)</f>
        <v>3.205939511372791E-3</v>
      </c>
      <c r="N223" s="154">
        <f t="shared" si="253"/>
        <v>2.797865408896442E-3</v>
      </c>
      <c r="O223" s="154">
        <f t="shared" si="253"/>
        <v>2.8428104301247148E-3</v>
      </c>
      <c r="P223" s="154">
        <f t="shared" si="253"/>
        <v>3.6452547655599207E-3</v>
      </c>
      <c r="Q223" s="154">
        <f t="shared" si="253"/>
        <v>3.6197399953643654E-3</v>
      </c>
      <c r="R223" s="154">
        <f t="shared" si="253"/>
        <v>3.768805559620639E-3</v>
      </c>
      <c r="S223" s="154">
        <f t="shared" si="253"/>
        <v>3.006346719537287E-3</v>
      </c>
      <c r="T223" s="154">
        <f t="shared" si="253"/>
        <v>2.9952463469557185E-3</v>
      </c>
      <c r="U223" s="154">
        <f t="shared" si="253"/>
        <v>3.0830040871124326E-3</v>
      </c>
      <c r="V223" s="154">
        <f t="shared" si="253"/>
        <v>3.2028565578844873E-3</v>
      </c>
      <c r="W223" s="154">
        <f t="shared" ref="W223:Y223" si="254">IF(W5=0,0,W5/W$4)</f>
        <v>3.1519845039694023E-3</v>
      </c>
      <c r="X223" s="154">
        <f t="shared" si="254"/>
        <v>3.03999386951479E-3</v>
      </c>
      <c r="Y223" s="154">
        <f t="shared" si="254"/>
        <v>3.1542561648545413E-3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0.90216241524918439</v>
      </c>
      <c r="C224" s="156">
        <f t="shared" si="255"/>
        <v>0.8997014472400896</v>
      </c>
      <c r="D224" s="156">
        <f t="shared" si="255"/>
        <v>0.89406572084147051</v>
      </c>
      <c r="E224" s="156">
        <f t="shared" si="255"/>
        <v>0.90464214813229515</v>
      </c>
      <c r="F224" s="156">
        <f t="shared" si="255"/>
        <v>0.89538992197788791</v>
      </c>
      <c r="G224" s="156">
        <f t="shared" si="255"/>
        <v>0.90242262638784088</v>
      </c>
      <c r="H224" s="156">
        <f t="shared" si="255"/>
        <v>0.91278917095502055</v>
      </c>
      <c r="I224" s="156">
        <f t="shared" si="255"/>
        <v>0.91347331011275901</v>
      </c>
      <c r="J224" s="156">
        <f t="shared" si="255"/>
        <v>0.91518791350264683</v>
      </c>
      <c r="K224" s="156">
        <f t="shared" si="255"/>
        <v>0.92599537334243209</v>
      </c>
      <c r="L224" s="156">
        <f t="shared" ref="L224" si="256">IF(L6=0,0,L6/L$4)</f>
        <v>0.9208649964822736</v>
      </c>
      <c r="M224" s="156">
        <f t="shared" ref="M224:V224" si="257">IF(M6=0,0,M6/M$4)</f>
        <v>0.91291391355627949</v>
      </c>
      <c r="N224" s="156">
        <f t="shared" si="257"/>
        <v>0.92334231121173216</v>
      </c>
      <c r="O224" s="156">
        <f t="shared" si="257"/>
        <v>0.91867365206281348</v>
      </c>
      <c r="P224" s="156">
        <f t="shared" si="257"/>
        <v>0.8878766237151936</v>
      </c>
      <c r="Q224" s="156">
        <f t="shared" si="257"/>
        <v>0.89730198949782558</v>
      </c>
      <c r="R224" s="156">
        <f t="shared" si="257"/>
        <v>0.90420537263295697</v>
      </c>
      <c r="S224" s="156">
        <f t="shared" si="257"/>
        <v>0.9169125501621288</v>
      </c>
      <c r="T224" s="156">
        <f t="shared" si="257"/>
        <v>0.91112282830499558</v>
      </c>
      <c r="U224" s="156">
        <f t="shared" si="257"/>
        <v>0.91260509253484079</v>
      </c>
      <c r="V224" s="156">
        <f t="shared" si="257"/>
        <v>0.94596377894767192</v>
      </c>
      <c r="W224" s="156">
        <f t="shared" ref="W224:Y224" si="258">IF(W6=0,0,W6/W$4)</f>
        <v>0.95200343500445994</v>
      </c>
      <c r="X224" s="156">
        <f t="shared" si="258"/>
        <v>0.93644852263332801</v>
      </c>
      <c r="Y224" s="156">
        <f t="shared" si="258"/>
        <v>0.92805029596763722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0.44799681489201038</v>
      </c>
      <c r="C225" s="103">
        <f t="shared" si="259"/>
        <v>0.41274164966274679</v>
      </c>
      <c r="D225" s="103">
        <f t="shared" si="259"/>
        <v>0.37694215799885805</v>
      </c>
      <c r="E225" s="103">
        <f t="shared" si="259"/>
        <v>0.34510645111274352</v>
      </c>
      <c r="F225" s="103">
        <f t="shared" si="259"/>
        <v>0.29554635026569093</v>
      </c>
      <c r="G225" s="103">
        <f t="shared" si="259"/>
        <v>0.27398992221660179</v>
      </c>
      <c r="H225" s="103">
        <f t="shared" si="259"/>
        <v>0.2590189718856501</v>
      </c>
      <c r="I225" s="103">
        <f t="shared" si="259"/>
        <v>0.27909463750802183</v>
      </c>
      <c r="J225" s="103">
        <f t="shared" si="259"/>
        <v>0.28163685774433056</v>
      </c>
      <c r="K225" s="103">
        <f t="shared" si="259"/>
        <v>0.26007843042562512</v>
      </c>
      <c r="L225" s="103">
        <f t="shared" ref="L225" si="260">IF(L7=0,0,L7/L$4)</f>
        <v>0.2027693815577446</v>
      </c>
      <c r="M225" s="103">
        <f t="shared" ref="M225:V225" si="261">IF(M7=0,0,M7/M$4)</f>
        <v>0.19218936987185511</v>
      </c>
      <c r="N225" s="103">
        <f t="shared" si="261"/>
        <v>0.15093104771935409</v>
      </c>
      <c r="O225" s="103">
        <f t="shared" si="261"/>
        <v>0.13691686625958963</v>
      </c>
      <c r="P225" s="103">
        <f t="shared" si="261"/>
        <v>0.13836142760638509</v>
      </c>
      <c r="Q225" s="103">
        <f t="shared" si="261"/>
        <v>0.13198341839899622</v>
      </c>
      <c r="R225" s="103">
        <f t="shared" si="261"/>
        <v>0.11956394870512278</v>
      </c>
      <c r="S225" s="103">
        <f t="shared" si="261"/>
        <v>0.11907061566331779</v>
      </c>
      <c r="T225" s="103">
        <f t="shared" si="261"/>
        <v>0.12591345197298356</v>
      </c>
      <c r="U225" s="103">
        <f t="shared" si="261"/>
        <v>0.13261553291157033</v>
      </c>
      <c r="V225" s="103">
        <f t="shared" si="261"/>
        <v>0.14384580006140693</v>
      </c>
      <c r="W225" s="103">
        <f t="shared" ref="W225:Y225" si="262">IF(W7=0,0,W7/W$4)</f>
        <v>0.14756598241388746</v>
      </c>
      <c r="X225" s="103">
        <f t="shared" si="262"/>
        <v>0.16697154312828627</v>
      </c>
      <c r="Y225" s="103">
        <f t="shared" si="262"/>
        <v>0.17787683611532151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0.28037888648614223</v>
      </c>
      <c r="C226" s="103">
        <f t="shared" si="263"/>
        <v>0.32290214315680738</v>
      </c>
      <c r="D226" s="103">
        <f t="shared" si="263"/>
        <v>0.33226735757613107</v>
      </c>
      <c r="E226" s="103">
        <f t="shared" si="263"/>
        <v>0.37479931006178624</v>
      </c>
      <c r="F226" s="103">
        <f t="shared" si="263"/>
        <v>0.3898963658539869</v>
      </c>
      <c r="G226" s="103">
        <f t="shared" si="263"/>
        <v>0.4523913811588362</v>
      </c>
      <c r="H226" s="103">
        <f t="shared" si="263"/>
        <v>0.48837198994783698</v>
      </c>
      <c r="I226" s="103">
        <f t="shared" si="263"/>
        <v>0.45824580691928041</v>
      </c>
      <c r="J226" s="103">
        <f t="shared" si="263"/>
        <v>0.46711451881188937</v>
      </c>
      <c r="K226" s="103">
        <f t="shared" si="263"/>
        <v>0.52677377441389817</v>
      </c>
      <c r="L226" s="103">
        <f t="shared" ref="L226" si="264">IF(L8=0,0,L8/L$4)</f>
        <v>0.57107935527778941</v>
      </c>
      <c r="M226" s="103">
        <f t="shared" ref="M226:V226" si="265">IF(M8=0,0,M8/M$4)</f>
        <v>0.5750568069286901</v>
      </c>
      <c r="N226" s="103">
        <f t="shared" si="265"/>
        <v>0.66041088465650732</v>
      </c>
      <c r="O226" s="103">
        <f t="shared" si="265"/>
        <v>0.66424193681759502</v>
      </c>
      <c r="P226" s="103">
        <f t="shared" si="265"/>
        <v>0.63184915077696191</v>
      </c>
      <c r="Q226" s="103">
        <f t="shared" si="265"/>
        <v>0.65927116617235904</v>
      </c>
      <c r="R226" s="103">
        <f t="shared" si="265"/>
        <v>0.69021035634154415</v>
      </c>
      <c r="S226" s="103">
        <f t="shared" si="265"/>
        <v>0.71399711226844675</v>
      </c>
      <c r="T226" s="103">
        <f t="shared" si="265"/>
        <v>0.70946228589688809</v>
      </c>
      <c r="U226" s="103">
        <f t="shared" si="265"/>
        <v>0.70686549428030432</v>
      </c>
      <c r="V226" s="103">
        <f t="shared" si="265"/>
        <v>0.7263084972243955</v>
      </c>
      <c r="W226" s="103">
        <f t="shared" ref="W226:Y226" si="266">IF(W8=0,0,W8/W$4)</f>
        <v>0.72630533844032297</v>
      </c>
      <c r="X226" s="103">
        <f t="shared" si="266"/>
        <v>0.68850993758433909</v>
      </c>
      <c r="Y226" s="103">
        <f t="shared" si="266"/>
        <v>0.66392106131795303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0.17378671387103181</v>
      </c>
      <c r="C227" s="103">
        <f t="shared" si="267"/>
        <v>0.16405765442053549</v>
      </c>
      <c r="D227" s="103">
        <f t="shared" si="267"/>
        <v>0.18485620526648144</v>
      </c>
      <c r="E227" s="103">
        <f t="shared" si="267"/>
        <v>0.18473638695776545</v>
      </c>
      <c r="F227" s="103">
        <f t="shared" si="267"/>
        <v>0.20994720585821006</v>
      </c>
      <c r="G227" s="103">
        <f t="shared" si="267"/>
        <v>0.17604132301240299</v>
      </c>
      <c r="H227" s="103">
        <f t="shared" si="267"/>
        <v>0.1653982091215335</v>
      </c>
      <c r="I227" s="103">
        <f t="shared" si="267"/>
        <v>0.17613286568545672</v>
      </c>
      <c r="J227" s="103">
        <f t="shared" si="267"/>
        <v>0.16643653694642685</v>
      </c>
      <c r="K227" s="103">
        <f t="shared" si="267"/>
        <v>0.13914316850290892</v>
      </c>
      <c r="L227" s="103">
        <f t="shared" ref="L227" si="268">IF(L9=0,0,L9/L$4)</f>
        <v>0.14701625964673964</v>
      </c>
      <c r="M227" s="103">
        <f t="shared" ref="M227:V227" si="269">IF(M9=0,0,M9/M$4)</f>
        <v>0.14566650358436029</v>
      </c>
      <c r="N227" s="103">
        <f t="shared" si="269"/>
        <v>0.11199894237401005</v>
      </c>
      <c r="O227" s="103">
        <f t="shared" si="269"/>
        <v>0.11688736713756022</v>
      </c>
      <c r="P227" s="103">
        <f t="shared" si="269"/>
        <v>0.11587294599123074</v>
      </c>
      <c r="Q227" s="103">
        <f t="shared" si="269"/>
        <v>0.10367140451771112</v>
      </c>
      <c r="R227" s="103">
        <f t="shared" si="269"/>
        <v>9.106072898199627E-2</v>
      </c>
      <c r="S227" s="103">
        <f t="shared" si="269"/>
        <v>7.8814736468763524E-2</v>
      </c>
      <c r="T227" s="103">
        <f t="shared" si="269"/>
        <v>6.8084614676761163E-2</v>
      </c>
      <c r="U227" s="103">
        <f t="shared" si="269"/>
        <v>6.2304991331761268E-2</v>
      </c>
      <c r="V227" s="103">
        <f t="shared" si="269"/>
        <v>5.9278396716715323E-2</v>
      </c>
      <c r="W227" s="103">
        <f t="shared" ref="W227:Y227" si="270">IF(W9=0,0,W9/W$4)</f>
        <v>5.3615845401239738E-2</v>
      </c>
      <c r="X227" s="103">
        <f t="shared" si="270"/>
        <v>5.1111513623494663E-2</v>
      </c>
      <c r="Y227" s="103">
        <f t="shared" si="270"/>
        <v>5.0030543713329295E-2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0</v>
      </c>
      <c r="H228" s="103">
        <f t="shared" si="271"/>
        <v>0</v>
      </c>
      <c r="I228" s="103">
        <f t="shared" si="271"/>
        <v>0</v>
      </c>
      <c r="J228" s="103">
        <f t="shared" si="271"/>
        <v>0</v>
      </c>
      <c r="K228" s="103">
        <f t="shared" si="271"/>
        <v>0</v>
      </c>
      <c r="L228" s="103">
        <f t="shared" ref="L228" si="272">IF(L10=0,0,L10/L$4)</f>
        <v>0</v>
      </c>
      <c r="M228" s="103">
        <f t="shared" ref="M228:V228" si="273">IF(M10=0,0,M10/M$4)</f>
        <v>0</v>
      </c>
      <c r="N228" s="103">
        <f t="shared" si="273"/>
        <v>3.5490465914186621E-7</v>
      </c>
      <c r="O228" s="103">
        <f t="shared" si="273"/>
        <v>1.8821046305876516E-6</v>
      </c>
      <c r="P228" s="103">
        <f t="shared" si="273"/>
        <v>1.1183756493583363E-5</v>
      </c>
      <c r="Q228" s="103">
        <f t="shared" si="273"/>
        <v>1.4808112867624489E-5</v>
      </c>
      <c r="R228" s="103">
        <f t="shared" si="273"/>
        <v>1.8896254852428166E-5</v>
      </c>
      <c r="S228" s="103">
        <f t="shared" si="273"/>
        <v>2.7360590646825502E-5</v>
      </c>
      <c r="T228" s="103">
        <f t="shared" si="273"/>
        <v>3.3886997930495435E-5</v>
      </c>
      <c r="U228" s="103">
        <f t="shared" si="273"/>
        <v>3.2006075993861985E-5</v>
      </c>
      <c r="V228" s="103">
        <f t="shared" si="273"/>
        <v>5.6726101661124369E-5</v>
      </c>
      <c r="W228" s="103">
        <f t="shared" ref="W228:Y228" si="274">IF(W10=0,0,W10/W$4)</f>
        <v>7.7601137021470699E-5</v>
      </c>
      <c r="X228" s="103">
        <f t="shared" si="274"/>
        <v>2.5656584842634138E-4</v>
      </c>
      <c r="Y228" s="103">
        <f t="shared" si="274"/>
        <v>2.1646322662469247E-4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0</v>
      </c>
      <c r="O229" s="103">
        <f t="shared" si="277"/>
        <v>6.2229026288926706E-4</v>
      </c>
      <c r="P229" s="103">
        <f t="shared" si="277"/>
        <v>1.7464810491912219E-3</v>
      </c>
      <c r="Q229" s="103">
        <f t="shared" si="277"/>
        <v>2.2790789486529066E-3</v>
      </c>
      <c r="R229" s="103">
        <f t="shared" si="277"/>
        <v>3.1965910725901703E-3</v>
      </c>
      <c r="S229" s="103">
        <f t="shared" si="277"/>
        <v>4.7287383731064265E-3</v>
      </c>
      <c r="T229" s="103">
        <f t="shared" si="277"/>
        <v>7.2405526970604223E-3</v>
      </c>
      <c r="U229" s="103">
        <f t="shared" si="277"/>
        <v>1.0249145637369041E-2</v>
      </c>
      <c r="V229" s="103">
        <f t="shared" si="277"/>
        <v>1.5450514577337199E-2</v>
      </c>
      <c r="W229" s="103">
        <f t="shared" ref="W229:Y229" si="278">IF(W11=0,0,W11/W$4)</f>
        <v>2.2426427432163974E-2</v>
      </c>
      <c r="X229" s="103">
        <f t="shared" si="278"/>
        <v>2.6733734095048877E-2</v>
      </c>
      <c r="Y229" s="103">
        <f t="shared" si="278"/>
        <v>3.175655534863938E-2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0</v>
      </c>
      <c r="K230" s="103">
        <f t="shared" si="279"/>
        <v>0</v>
      </c>
      <c r="L230" s="103">
        <f t="shared" ref="L230" si="280">IF(L12=0,0,L12/L$4)</f>
        <v>0</v>
      </c>
      <c r="M230" s="103">
        <f t="shared" ref="M230:V230" si="281">IF(M12=0,0,M12/M$4)</f>
        <v>1.2331713739475791E-6</v>
      </c>
      <c r="N230" s="103">
        <f t="shared" si="281"/>
        <v>1.0815572014277665E-6</v>
      </c>
      <c r="O230" s="103">
        <f t="shared" si="281"/>
        <v>3.3094805488254061E-6</v>
      </c>
      <c r="P230" s="103">
        <f t="shared" si="281"/>
        <v>3.5434534930945609E-5</v>
      </c>
      <c r="Q230" s="103">
        <f t="shared" si="281"/>
        <v>8.2113347238735518E-5</v>
      </c>
      <c r="R230" s="103">
        <f t="shared" si="281"/>
        <v>1.5485127685121961E-4</v>
      </c>
      <c r="S230" s="103">
        <f t="shared" si="281"/>
        <v>2.7398679784734563E-4</v>
      </c>
      <c r="T230" s="103">
        <f t="shared" si="281"/>
        <v>3.8803606337161001E-4</v>
      </c>
      <c r="U230" s="103">
        <f t="shared" si="281"/>
        <v>5.3792229784198917E-4</v>
      </c>
      <c r="V230" s="103">
        <f t="shared" si="281"/>
        <v>1.0238442661558889E-3</v>
      </c>
      <c r="W230" s="103">
        <f t="shared" ref="W230:Y230" si="282">IF(W12=0,0,W12/W$4)</f>
        <v>2.0122401798243219E-3</v>
      </c>
      <c r="X230" s="103">
        <f t="shared" si="282"/>
        <v>2.8652283537327627E-3</v>
      </c>
      <c r="Y230" s="103">
        <f t="shared" si="282"/>
        <v>4.2488362457693491E-3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9.5594517461980888E-2</v>
      </c>
      <c r="C231" s="156">
        <f t="shared" si="283"/>
        <v>9.8032853847352844E-2</v>
      </c>
      <c r="D231" s="156">
        <f t="shared" si="283"/>
        <v>0.10360846218828271</v>
      </c>
      <c r="E231" s="156">
        <f t="shared" si="283"/>
        <v>9.3178141257626398E-2</v>
      </c>
      <c r="F231" s="156">
        <f t="shared" si="283"/>
        <v>0.10250770429353304</v>
      </c>
      <c r="G231" s="156">
        <f t="shared" si="283"/>
        <v>9.5733104762380949E-2</v>
      </c>
      <c r="H231" s="156">
        <f t="shared" si="283"/>
        <v>8.5469922371548337E-2</v>
      </c>
      <c r="I231" s="156">
        <f t="shared" si="283"/>
        <v>8.4533467878504021E-2</v>
      </c>
      <c r="J231" s="156">
        <f t="shared" si="283"/>
        <v>8.2415332307000488E-2</v>
      </c>
      <c r="K231" s="156">
        <f t="shared" si="283"/>
        <v>7.1262220563396081E-2</v>
      </c>
      <c r="L231" s="156">
        <f t="shared" ref="L231" si="284">IF(L13=0,0,L13/L$4)</f>
        <v>7.6159598222992758E-2</v>
      </c>
      <c r="M231" s="156">
        <f t="shared" ref="M231:V231" si="285">IF(M13=0,0,M13/M$4)</f>
        <v>8.3880146932347716E-2</v>
      </c>
      <c r="N231" s="156">
        <f t="shared" si="285"/>
        <v>7.38598233793714E-2</v>
      </c>
      <c r="O231" s="156">
        <f t="shared" si="285"/>
        <v>7.8483537507061663E-2</v>
      </c>
      <c r="P231" s="156">
        <f t="shared" si="285"/>
        <v>0.10847812151924659</v>
      </c>
      <c r="Q231" s="156">
        <f t="shared" si="285"/>
        <v>9.9078270506809923E-2</v>
      </c>
      <c r="R231" s="156">
        <f t="shared" si="285"/>
        <v>9.2025821807422442E-2</v>
      </c>
      <c r="S231" s="156">
        <f t="shared" si="285"/>
        <v>8.0081103118333954E-2</v>
      </c>
      <c r="T231" s="156">
        <f t="shared" si="285"/>
        <v>8.588192534804881E-2</v>
      </c>
      <c r="U231" s="156">
        <f t="shared" si="285"/>
        <v>8.4311903378046782E-2</v>
      </c>
      <c r="V231" s="156">
        <f t="shared" si="285"/>
        <v>5.0833364494443568E-2</v>
      </c>
      <c r="W231" s="156">
        <f t="shared" ref="W231:Y231" si="286">IF(W13=0,0,W13/W$4)</f>
        <v>4.4844580491570661E-2</v>
      </c>
      <c r="X231" s="156">
        <f t="shared" si="286"/>
        <v>6.0511483497157015E-2</v>
      </c>
      <c r="Y231" s="156">
        <f t="shared" si="286"/>
        <v>6.87954478675082E-2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0</v>
      </c>
      <c r="C232" s="103">
        <f t="shared" si="287"/>
        <v>0</v>
      </c>
      <c r="D232" s="103">
        <f t="shared" si="287"/>
        <v>1.5394879823765696E-4</v>
      </c>
      <c r="E232" s="103">
        <f t="shared" si="287"/>
        <v>2.1223297667278396E-4</v>
      </c>
      <c r="F232" s="103">
        <f t="shared" si="287"/>
        <v>1.9167787468060308E-4</v>
      </c>
      <c r="G232" s="103">
        <f t="shared" si="287"/>
        <v>1.6770734706261938E-4</v>
      </c>
      <c r="H232" s="103">
        <f t="shared" si="287"/>
        <v>1.5153394087182793E-4</v>
      </c>
      <c r="I232" s="103">
        <f t="shared" si="287"/>
        <v>1.2750918928972882E-4</v>
      </c>
      <c r="J232" s="103">
        <f t="shared" si="287"/>
        <v>8.7543781490374107E-5</v>
      </c>
      <c r="K232" s="103">
        <f t="shared" si="287"/>
        <v>8.1134277700945057E-5</v>
      </c>
      <c r="L232" s="103">
        <f t="shared" ref="L232" si="288">IF(L14=0,0,L14/L$4)</f>
        <v>8.6112495366932036E-5</v>
      </c>
      <c r="M232" s="103">
        <f t="shared" ref="M232:V232" si="289">IF(M14=0,0,M14/M$4)</f>
        <v>6.442442416382401E-5</v>
      </c>
      <c r="N232" s="103">
        <f t="shared" si="289"/>
        <v>4.9308334352883626E-5</v>
      </c>
      <c r="O232" s="103">
        <f t="shared" si="289"/>
        <v>8.108288000558989E-4</v>
      </c>
      <c r="P232" s="103">
        <f t="shared" si="289"/>
        <v>6.1108532561656792E-4</v>
      </c>
      <c r="Q232" s="103">
        <f t="shared" si="289"/>
        <v>5.0994885127002808E-4</v>
      </c>
      <c r="R232" s="103">
        <f t="shared" si="289"/>
        <v>5.0078300889947478E-4</v>
      </c>
      <c r="S232" s="103">
        <f t="shared" si="289"/>
        <v>4.260258020065822E-4</v>
      </c>
      <c r="T232" s="103">
        <f t="shared" si="289"/>
        <v>4.236080511623264E-4</v>
      </c>
      <c r="U232" s="103">
        <f t="shared" si="289"/>
        <v>3.4441718191201531E-4</v>
      </c>
      <c r="V232" s="103">
        <f t="shared" si="289"/>
        <v>2.1441448640810971E-4</v>
      </c>
      <c r="W232" s="103">
        <f t="shared" ref="W232:Y232" si="290">IF(W14=0,0,W14/W$4)</f>
        <v>1.8552489820574091E-4</v>
      </c>
      <c r="X232" s="103">
        <f t="shared" si="290"/>
        <v>1.966755118117582E-4</v>
      </c>
      <c r="Y232" s="103">
        <f t="shared" si="290"/>
        <v>2.0734203118059387E-4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9.5594517461980888E-2</v>
      </c>
      <c r="C233" s="103">
        <f t="shared" si="291"/>
        <v>9.8032853847352844E-2</v>
      </c>
      <c r="D233" s="103">
        <f t="shared" si="291"/>
        <v>0.10341309855762541</v>
      </c>
      <c r="E233" s="103">
        <f t="shared" si="291"/>
        <v>9.2929094908127743E-2</v>
      </c>
      <c r="F233" s="103">
        <f t="shared" si="291"/>
        <v>0.10173117625713994</v>
      </c>
      <c r="G233" s="103">
        <f t="shared" si="291"/>
        <v>9.3711215561930031E-2</v>
      </c>
      <c r="H233" s="103">
        <f t="shared" si="291"/>
        <v>8.2412270210373978E-2</v>
      </c>
      <c r="I233" s="103">
        <f t="shared" si="291"/>
        <v>8.0460745462847691E-2</v>
      </c>
      <c r="J233" s="103">
        <f t="shared" si="291"/>
        <v>7.8126894101202909E-2</v>
      </c>
      <c r="K233" s="103">
        <f t="shared" si="291"/>
        <v>6.5259642822783986E-2</v>
      </c>
      <c r="L233" s="103">
        <f t="shared" ref="L233" si="292">IF(L15=0,0,L15/L$4)</f>
        <v>6.8276813015159712E-2</v>
      </c>
      <c r="M233" s="103">
        <f t="shared" ref="M233:V233" si="293">IF(M15=0,0,M15/M$4)</f>
        <v>7.4080832811853944E-2</v>
      </c>
      <c r="N233" s="103">
        <f t="shared" si="293"/>
        <v>6.5311833056693233E-2</v>
      </c>
      <c r="O233" s="103">
        <f t="shared" si="293"/>
        <v>5.5102128034635989E-2</v>
      </c>
      <c r="P233" s="103">
        <f t="shared" si="293"/>
        <v>7.3646691625240471E-2</v>
      </c>
      <c r="Q233" s="103">
        <f t="shared" si="293"/>
        <v>5.9733759282896225E-2</v>
      </c>
      <c r="R233" s="103">
        <f t="shared" si="293"/>
        <v>5.4145601113794128E-2</v>
      </c>
      <c r="S233" s="103">
        <f t="shared" si="293"/>
        <v>4.7268489575921842E-2</v>
      </c>
      <c r="T233" s="103">
        <f t="shared" si="293"/>
        <v>5.1460520860191143E-2</v>
      </c>
      <c r="U233" s="103">
        <f t="shared" si="293"/>
        <v>5.2047390642249176E-2</v>
      </c>
      <c r="V233" s="103">
        <f t="shared" si="293"/>
        <v>2.8589707207320538E-2</v>
      </c>
      <c r="W233" s="103">
        <f t="shared" ref="W233:Y233" si="294">IF(W15=0,0,W15/W$4)</f>
        <v>2.2154127613440235E-2</v>
      </c>
      <c r="X233" s="103">
        <f t="shared" si="294"/>
        <v>3.0013603779397661E-2</v>
      </c>
      <c r="Y233" s="103">
        <f t="shared" si="294"/>
        <v>3.502470192110671E-2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4.1414832419646342E-5</v>
      </c>
      <c r="E234" s="103">
        <f t="shared" si="295"/>
        <v>3.6813372825880751E-5</v>
      </c>
      <c r="F234" s="103">
        <f t="shared" si="295"/>
        <v>4.0333088770876827E-5</v>
      </c>
      <c r="G234" s="103">
        <f t="shared" si="295"/>
        <v>3.7206954594362313E-5</v>
      </c>
      <c r="H234" s="103">
        <f t="shared" si="295"/>
        <v>3.2938105321563627E-5</v>
      </c>
      <c r="I234" s="103">
        <f t="shared" si="295"/>
        <v>3.2935560922804734E-5</v>
      </c>
      <c r="J234" s="103">
        <f t="shared" si="295"/>
        <v>3.2723147411162783E-5</v>
      </c>
      <c r="K234" s="103">
        <f t="shared" si="295"/>
        <v>2.7328120600028089E-5</v>
      </c>
      <c r="L234" s="103">
        <f t="shared" ref="L234" si="296">IF(L16=0,0,L16/L$4)</f>
        <v>2.9551101991986914E-5</v>
      </c>
      <c r="M234" s="103">
        <f t="shared" ref="M234:V234" si="297">IF(M16=0,0,M16/M$4)</f>
        <v>1.1445147876887604E-4</v>
      </c>
      <c r="N234" s="103">
        <f t="shared" si="297"/>
        <v>1.0290080729626709E-4</v>
      </c>
      <c r="O234" s="103">
        <f t="shared" si="297"/>
        <v>5.1403018423579682E-4</v>
      </c>
      <c r="P234" s="103">
        <f t="shared" si="297"/>
        <v>2.7285730575784795E-3</v>
      </c>
      <c r="Q234" s="103">
        <f t="shared" si="297"/>
        <v>2.3624581725949119E-3</v>
      </c>
      <c r="R234" s="103">
        <f t="shared" si="297"/>
        <v>2.3421832264631927E-3</v>
      </c>
      <c r="S234" s="103">
        <f t="shared" si="297"/>
        <v>2.0508479623094576E-3</v>
      </c>
      <c r="T234" s="103">
        <f t="shared" si="297"/>
        <v>2.1318642668439625E-3</v>
      </c>
      <c r="U234" s="103">
        <f t="shared" si="297"/>
        <v>2.1869951419503405E-3</v>
      </c>
      <c r="V234" s="103">
        <f t="shared" si="297"/>
        <v>1.2278169770921529E-3</v>
      </c>
      <c r="W234" s="103">
        <f t="shared" ref="W234:Y234" si="298">IF(W16=0,0,W16/W$4)</f>
        <v>1.0461773481273227E-3</v>
      </c>
      <c r="X234" s="103">
        <f t="shared" si="298"/>
        <v>1.3704817486094255E-3</v>
      </c>
      <c r="Y234" s="103">
        <f t="shared" si="298"/>
        <v>1.5034011361598452E-3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0</v>
      </c>
      <c r="C235" s="103">
        <f t="shared" si="299"/>
        <v>0</v>
      </c>
      <c r="D235" s="103">
        <f t="shared" si="299"/>
        <v>0</v>
      </c>
      <c r="E235" s="103">
        <f t="shared" si="299"/>
        <v>0</v>
      </c>
      <c r="F235" s="103">
        <f t="shared" si="299"/>
        <v>0</v>
      </c>
      <c r="G235" s="103">
        <f t="shared" si="299"/>
        <v>0</v>
      </c>
      <c r="H235" s="103">
        <f t="shared" si="299"/>
        <v>0</v>
      </c>
      <c r="I235" s="103">
        <f t="shared" si="299"/>
        <v>0</v>
      </c>
      <c r="J235" s="103">
        <f t="shared" si="299"/>
        <v>0</v>
      </c>
      <c r="K235" s="103">
        <f t="shared" si="299"/>
        <v>2.2053744717255219E-3</v>
      </c>
      <c r="L235" s="103">
        <f t="shared" ref="L235" si="300">IF(L17=0,0,L17/L$4)</f>
        <v>3.8413376595528323E-3</v>
      </c>
      <c r="M235" s="103">
        <f t="shared" ref="M235:V235" si="301">IF(M17=0,0,M17/M$4)</f>
        <v>5.4659296110119724E-3</v>
      </c>
      <c r="N235" s="103">
        <f t="shared" si="301"/>
        <v>4.7580388200938071E-3</v>
      </c>
      <c r="O235" s="103">
        <f t="shared" si="301"/>
        <v>7.0835806979186013E-3</v>
      </c>
      <c r="P235" s="103">
        <f t="shared" si="301"/>
        <v>1.1498678875741986E-2</v>
      </c>
      <c r="Q235" s="103">
        <f t="shared" si="301"/>
        <v>1.8652962687177446E-2</v>
      </c>
      <c r="R235" s="103">
        <f t="shared" si="301"/>
        <v>1.8994284677541436E-2</v>
      </c>
      <c r="S235" s="103">
        <f t="shared" si="301"/>
        <v>1.6239237143405694E-2</v>
      </c>
      <c r="T235" s="103">
        <f t="shared" si="301"/>
        <v>1.6654135626441004E-2</v>
      </c>
      <c r="U235" s="103">
        <f t="shared" si="301"/>
        <v>1.3953361162260916E-2</v>
      </c>
      <c r="V235" s="103">
        <f t="shared" si="301"/>
        <v>1.2147249330224676E-2</v>
      </c>
      <c r="W235" s="103">
        <f t="shared" ref="W235:Y235" si="302">IF(W17=0,0,W17/W$4)</f>
        <v>1.2546399981955857E-2</v>
      </c>
      <c r="X235" s="103">
        <f t="shared" si="302"/>
        <v>1.701856257559814E-2</v>
      </c>
      <c r="Y235" s="103">
        <f t="shared" si="302"/>
        <v>1.8767859562326537E-2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0</v>
      </c>
      <c r="C236" s="103">
        <f t="shared" si="303"/>
        <v>0</v>
      </c>
      <c r="D236" s="103">
        <f t="shared" si="303"/>
        <v>0</v>
      </c>
      <c r="E236" s="103">
        <f t="shared" si="303"/>
        <v>0</v>
      </c>
      <c r="F236" s="103">
        <f t="shared" si="303"/>
        <v>5.4451707294162529E-4</v>
      </c>
      <c r="G236" s="103">
        <f t="shared" si="303"/>
        <v>1.8169748987939534E-3</v>
      </c>
      <c r="H236" s="103">
        <f t="shared" si="303"/>
        <v>2.8731801149809665E-3</v>
      </c>
      <c r="I236" s="103">
        <f t="shared" si="303"/>
        <v>3.9122776654437917E-3</v>
      </c>
      <c r="J236" s="103">
        <f t="shared" si="303"/>
        <v>4.1681712768960382E-3</v>
      </c>
      <c r="K236" s="103">
        <f t="shared" si="303"/>
        <v>3.6887408705856173E-3</v>
      </c>
      <c r="L236" s="103">
        <f t="shared" ref="L236" si="304">IF(L18=0,0,L18/L$4)</f>
        <v>3.9257839509213108E-3</v>
      </c>
      <c r="M236" s="103">
        <f t="shared" ref="M236:V236" si="305">IF(M18=0,0,M18/M$4)</f>
        <v>4.1545086065491194E-3</v>
      </c>
      <c r="N236" s="103">
        <f t="shared" si="305"/>
        <v>3.6377423609352056E-3</v>
      </c>
      <c r="O236" s="103">
        <f t="shared" si="305"/>
        <v>1.4972969790215378E-2</v>
      </c>
      <c r="P236" s="103">
        <f t="shared" si="305"/>
        <v>1.9993092635069078E-2</v>
      </c>
      <c r="Q236" s="103">
        <f t="shared" si="305"/>
        <v>1.7819141512871322E-2</v>
      </c>
      <c r="R236" s="103">
        <f t="shared" si="305"/>
        <v>1.6042969780724215E-2</v>
      </c>
      <c r="S236" s="103">
        <f t="shared" si="305"/>
        <v>1.4096502634690365E-2</v>
      </c>
      <c r="T236" s="103">
        <f t="shared" si="305"/>
        <v>1.5211796543410361E-2</v>
      </c>
      <c r="U236" s="103">
        <f t="shared" si="305"/>
        <v>1.5779739249674327E-2</v>
      </c>
      <c r="V236" s="103">
        <f t="shared" si="305"/>
        <v>8.654176493398091E-3</v>
      </c>
      <c r="W236" s="103">
        <f t="shared" ref="W236:Y236" si="306">IF(W18=0,0,W18/W$4)</f>
        <v>8.9123506498415012E-3</v>
      </c>
      <c r="X236" s="103">
        <f t="shared" si="306"/>
        <v>1.1912159881740029E-2</v>
      </c>
      <c r="Y236" s="103">
        <f t="shared" si="306"/>
        <v>1.3292143216734519E-2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1.209257606741021E-2</v>
      </c>
      <c r="C238" s="154">
        <f t="shared" si="311"/>
        <v>1.2066504618679631E-2</v>
      </c>
      <c r="D238" s="154">
        <f t="shared" si="311"/>
        <v>1.2727640085209617E-2</v>
      </c>
      <c r="E238" s="154">
        <f t="shared" si="311"/>
        <v>1.2027851112929488E-2</v>
      </c>
      <c r="F238" s="154">
        <f t="shared" si="311"/>
        <v>1.1224327167501045E-2</v>
      </c>
      <c r="G238" s="154">
        <f t="shared" si="311"/>
        <v>1.2413546646274797E-2</v>
      </c>
      <c r="H238" s="154">
        <f t="shared" si="311"/>
        <v>1.3400992955649194E-2</v>
      </c>
      <c r="I238" s="154">
        <f t="shared" si="311"/>
        <v>1.3343024444135765E-2</v>
      </c>
      <c r="J238" s="154">
        <f t="shared" si="311"/>
        <v>1.5187361018603938E-2</v>
      </c>
      <c r="K238" s="154">
        <f t="shared" si="311"/>
        <v>1.8390907686495993E-2</v>
      </c>
      <c r="L238" s="154">
        <f t="shared" ref="L238" si="312">IF(L20=0,0,L20/L$19)</f>
        <v>1.6744891989179205E-2</v>
      </c>
      <c r="M238" s="154">
        <f t="shared" ref="M238:V238" si="313">IF(M20=0,0,M20/M$19)</f>
        <v>1.728337625415495E-2</v>
      </c>
      <c r="N238" s="154">
        <f t="shared" si="313"/>
        <v>1.7295576003737805E-2</v>
      </c>
      <c r="O238" s="154">
        <f t="shared" si="313"/>
        <v>1.620406824695423E-2</v>
      </c>
      <c r="P238" s="154">
        <f t="shared" si="313"/>
        <v>1.7615879821569889E-2</v>
      </c>
      <c r="Q238" s="154">
        <f t="shared" si="313"/>
        <v>1.6893640642012906E-2</v>
      </c>
      <c r="R238" s="154">
        <f t="shared" si="313"/>
        <v>1.7386947287699933E-2</v>
      </c>
      <c r="S238" s="154">
        <f t="shared" si="313"/>
        <v>1.6778485937479791E-2</v>
      </c>
      <c r="T238" s="154">
        <f t="shared" si="313"/>
        <v>1.6482642969080221E-2</v>
      </c>
      <c r="U238" s="154">
        <f t="shared" si="313"/>
        <v>1.7536825484710559E-2</v>
      </c>
      <c r="V238" s="154">
        <f t="shared" si="313"/>
        <v>1.644453659451689E-2</v>
      </c>
      <c r="W238" s="154">
        <f t="shared" ref="W238:Y238" si="314">IF(W20=0,0,W20/W$19)</f>
        <v>1.6971234842497424E-2</v>
      </c>
      <c r="X238" s="154">
        <f t="shared" si="314"/>
        <v>1.6532070966347977E-2</v>
      </c>
      <c r="Y238" s="154">
        <f t="shared" si="314"/>
        <v>1.4554747267929208E-2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1.3799561250060779E-3</v>
      </c>
      <c r="C239" s="103">
        <f t="shared" si="315"/>
        <v>1.3285546268992086E-3</v>
      </c>
      <c r="D239" s="103">
        <f t="shared" si="315"/>
        <v>1.2810667579015939E-3</v>
      </c>
      <c r="E239" s="103">
        <f t="shared" si="315"/>
        <v>1.117998025205383E-3</v>
      </c>
      <c r="F239" s="103">
        <f t="shared" si="315"/>
        <v>9.7399558760617288E-4</v>
      </c>
      <c r="G239" s="103">
        <f t="shared" si="315"/>
        <v>9.9110402594819848E-4</v>
      </c>
      <c r="H239" s="103">
        <f t="shared" si="315"/>
        <v>1.0777274964968136E-3</v>
      </c>
      <c r="I239" s="103">
        <f t="shared" si="315"/>
        <v>1.0808592663317212E-3</v>
      </c>
      <c r="J239" s="103">
        <f t="shared" si="315"/>
        <v>1.0744188424410845E-3</v>
      </c>
      <c r="K239" s="103">
        <f t="shared" si="315"/>
        <v>1.0654150832237379E-3</v>
      </c>
      <c r="L239" s="103">
        <f t="shared" ref="L239" si="316">IF(L21=0,0,L21/L$19)</f>
        <v>9.3730866566285012E-4</v>
      </c>
      <c r="M239" s="103">
        <f t="shared" ref="M239:V239" si="317">IF(M21=0,0,M21/M$19)</f>
        <v>7.563661151671954E-4</v>
      </c>
      <c r="N239" s="103">
        <f t="shared" si="317"/>
        <v>5.7901949306006712E-4</v>
      </c>
      <c r="O239" s="103">
        <f t="shared" si="317"/>
        <v>4.6024334867860638E-4</v>
      </c>
      <c r="P239" s="103">
        <f t="shared" si="317"/>
        <v>4.0460637327034341E-4</v>
      </c>
      <c r="Q239" s="103">
        <f t="shared" si="317"/>
        <v>3.1801233308409698E-4</v>
      </c>
      <c r="R239" s="103">
        <f t="shared" si="317"/>
        <v>2.8895411039905417E-4</v>
      </c>
      <c r="S239" s="103">
        <f t="shared" si="317"/>
        <v>2.5557947091737771E-4</v>
      </c>
      <c r="T239" s="103">
        <f t="shared" si="317"/>
        <v>2.2987620573911287E-4</v>
      </c>
      <c r="U239" s="103">
        <f t="shared" si="317"/>
        <v>3.0937670166912231E-4</v>
      </c>
      <c r="V239" s="103">
        <f t="shared" si="317"/>
        <v>2.519081785834311E-4</v>
      </c>
      <c r="W239" s="103">
        <f t="shared" ref="W239:Y239" si="318">IF(W21=0,0,W21/W$19)</f>
        <v>2.3068831884795083E-4</v>
      </c>
      <c r="X239" s="103">
        <f t="shared" si="318"/>
        <v>1.95723771444737E-4</v>
      </c>
      <c r="Y239" s="103">
        <f t="shared" si="318"/>
        <v>1.4491347053806469E-4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1.0712619942404134E-2</v>
      </c>
      <c r="C240" s="103">
        <f t="shared" si="319"/>
        <v>1.073794999178042E-2</v>
      </c>
      <c r="D240" s="103">
        <f t="shared" si="319"/>
        <v>1.1446573327308023E-2</v>
      </c>
      <c r="E240" s="103">
        <f t="shared" si="319"/>
        <v>1.0909853087724105E-2</v>
      </c>
      <c r="F240" s="103">
        <f t="shared" si="319"/>
        <v>1.0250331579894871E-2</v>
      </c>
      <c r="G240" s="103">
        <f t="shared" si="319"/>
        <v>1.1422442620326599E-2</v>
      </c>
      <c r="H240" s="103">
        <f t="shared" si="319"/>
        <v>1.2323265459152381E-2</v>
      </c>
      <c r="I240" s="103">
        <f t="shared" si="319"/>
        <v>1.2262165177804043E-2</v>
      </c>
      <c r="J240" s="103">
        <f t="shared" si="319"/>
        <v>1.4112942176162853E-2</v>
      </c>
      <c r="K240" s="103">
        <f t="shared" si="319"/>
        <v>1.7325492603272253E-2</v>
      </c>
      <c r="L240" s="103">
        <f t="shared" ref="L240" si="320">IF(L22=0,0,L22/L$19)</f>
        <v>1.5807583323516353E-2</v>
      </c>
      <c r="M240" s="103">
        <f t="shared" ref="M240:V240" si="321">IF(M22=0,0,M22/M$19)</f>
        <v>1.6527010138987754E-2</v>
      </c>
      <c r="N240" s="103">
        <f t="shared" si="321"/>
        <v>1.671655651067774E-2</v>
      </c>
      <c r="O240" s="103">
        <f t="shared" si="321"/>
        <v>1.5743824898275621E-2</v>
      </c>
      <c r="P240" s="103">
        <f t="shared" si="321"/>
        <v>1.7211273448299549E-2</v>
      </c>
      <c r="Q240" s="103">
        <f t="shared" si="321"/>
        <v>1.6575628308928808E-2</v>
      </c>
      <c r="R240" s="103">
        <f t="shared" si="321"/>
        <v>1.7097993177300878E-2</v>
      </c>
      <c r="S240" s="103">
        <f t="shared" si="321"/>
        <v>1.6522906466562411E-2</v>
      </c>
      <c r="T240" s="103">
        <f t="shared" si="321"/>
        <v>1.6252766763341107E-2</v>
      </c>
      <c r="U240" s="103">
        <f t="shared" si="321"/>
        <v>1.7227448783041437E-2</v>
      </c>
      <c r="V240" s="103">
        <f t="shared" si="321"/>
        <v>1.6192628415933458E-2</v>
      </c>
      <c r="W240" s="103">
        <f t="shared" ref="W240:Y240" si="322">IF(W22=0,0,W22/W$19)</f>
        <v>1.6740546523649473E-2</v>
      </c>
      <c r="X240" s="103">
        <f t="shared" si="322"/>
        <v>1.6336347194903237E-2</v>
      </c>
      <c r="Y240" s="103">
        <f t="shared" si="322"/>
        <v>1.4409833797391143E-2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0</v>
      </c>
      <c r="F241" s="103">
        <f t="shared" si="323"/>
        <v>0</v>
      </c>
      <c r="G241" s="103">
        <f t="shared" si="323"/>
        <v>0</v>
      </c>
      <c r="H241" s="103">
        <f t="shared" si="323"/>
        <v>0</v>
      </c>
      <c r="I241" s="103">
        <f t="shared" si="323"/>
        <v>0</v>
      </c>
      <c r="J241" s="103">
        <f t="shared" si="323"/>
        <v>0</v>
      </c>
      <c r="K241" s="103">
        <f t="shared" si="323"/>
        <v>0</v>
      </c>
      <c r="L241" s="103">
        <f t="shared" ref="L241" si="324">IF(L23=0,0,L23/L$19)</f>
        <v>0</v>
      </c>
      <c r="M241" s="103">
        <f t="shared" ref="M241:V241" si="325">IF(M23=0,0,M23/M$19)</f>
        <v>0</v>
      </c>
      <c r="N241" s="103">
        <f t="shared" si="325"/>
        <v>0</v>
      </c>
      <c r="O241" s="103">
        <f t="shared" si="325"/>
        <v>0</v>
      </c>
      <c r="P241" s="103">
        <f t="shared" si="325"/>
        <v>0</v>
      </c>
      <c r="Q241" s="103">
        <f t="shared" si="325"/>
        <v>0</v>
      </c>
      <c r="R241" s="103">
        <f t="shared" si="325"/>
        <v>0</v>
      </c>
      <c r="S241" s="103">
        <f t="shared" si="325"/>
        <v>0</v>
      </c>
      <c r="T241" s="103">
        <f t="shared" si="325"/>
        <v>0</v>
      </c>
      <c r="U241" s="103">
        <f t="shared" si="325"/>
        <v>0</v>
      </c>
      <c r="V241" s="103">
        <f t="shared" si="325"/>
        <v>0</v>
      </c>
      <c r="W241" s="103">
        <f t="shared" ref="W241:Y241" si="326">IF(W23=0,0,W23/W$19)</f>
        <v>0</v>
      </c>
      <c r="X241" s="103">
        <f t="shared" si="326"/>
        <v>0</v>
      </c>
      <c r="Y241" s="103">
        <f t="shared" si="326"/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0</v>
      </c>
      <c r="K242" s="103">
        <f t="shared" si="327"/>
        <v>0</v>
      </c>
      <c r="L242" s="103">
        <f t="shared" ref="L242" si="328">IF(L24=0,0,L24/L$19)</f>
        <v>0</v>
      </c>
      <c r="M242" s="103">
        <f t="shared" ref="M242:V242" si="329">IF(M24=0,0,M24/M$19)</f>
        <v>0</v>
      </c>
      <c r="N242" s="103">
        <f t="shared" si="329"/>
        <v>0</v>
      </c>
      <c r="O242" s="103">
        <f t="shared" si="329"/>
        <v>0</v>
      </c>
      <c r="P242" s="103">
        <f t="shared" si="329"/>
        <v>0</v>
      </c>
      <c r="Q242" s="103">
        <f t="shared" si="329"/>
        <v>0</v>
      </c>
      <c r="R242" s="103">
        <f t="shared" si="329"/>
        <v>0</v>
      </c>
      <c r="S242" s="103">
        <f t="shared" si="329"/>
        <v>0</v>
      </c>
      <c r="T242" s="103">
        <f t="shared" si="329"/>
        <v>0</v>
      </c>
      <c r="U242" s="103">
        <f t="shared" si="329"/>
        <v>0</v>
      </c>
      <c r="V242" s="103">
        <f t="shared" si="329"/>
        <v>0</v>
      </c>
      <c r="W242" s="103">
        <f t="shared" ref="W242:Y242" si="330">IF(W24=0,0,W24/W$19)</f>
        <v>0</v>
      </c>
      <c r="X242" s="103">
        <f t="shared" si="330"/>
        <v>0</v>
      </c>
      <c r="Y242" s="103">
        <f t="shared" si="330"/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0</v>
      </c>
      <c r="J243" s="103">
        <f t="shared" si="331"/>
        <v>0</v>
      </c>
      <c r="K243" s="103">
        <f t="shared" si="331"/>
        <v>0</v>
      </c>
      <c r="L243" s="103">
        <f t="shared" ref="L243" si="332">IF(L25=0,0,L25/L$19)</f>
        <v>0</v>
      </c>
      <c r="M243" s="103">
        <f t="shared" ref="M243:V243" si="333">IF(M25=0,0,M25/M$19)</f>
        <v>0</v>
      </c>
      <c r="N243" s="103">
        <f t="shared" si="333"/>
        <v>0</v>
      </c>
      <c r="O243" s="103">
        <f t="shared" si="333"/>
        <v>0</v>
      </c>
      <c r="P243" s="103">
        <f t="shared" si="333"/>
        <v>0</v>
      </c>
      <c r="Q243" s="103">
        <f t="shared" si="333"/>
        <v>0</v>
      </c>
      <c r="R243" s="103">
        <f t="shared" si="333"/>
        <v>0</v>
      </c>
      <c r="S243" s="103">
        <f t="shared" si="333"/>
        <v>0</v>
      </c>
      <c r="T243" s="103">
        <f t="shared" si="333"/>
        <v>0</v>
      </c>
      <c r="U243" s="103">
        <f t="shared" si="333"/>
        <v>0</v>
      </c>
      <c r="V243" s="103">
        <f t="shared" si="333"/>
        <v>0</v>
      </c>
      <c r="W243" s="103">
        <f t="shared" ref="W243:Y243" si="334">IF(W25=0,0,W25/W$19)</f>
        <v>0</v>
      </c>
      <c r="X243" s="103">
        <f t="shared" si="334"/>
        <v>0</v>
      </c>
      <c r="Y243" s="103">
        <f t="shared" si="334"/>
        <v>0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0.98790742393258979</v>
      </c>
      <c r="C244" s="156">
        <f t="shared" si="335"/>
        <v>0.98793349538132036</v>
      </c>
      <c r="D244" s="156">
        <f t="shared" si="335"/>
        <v>0.98727235991479045</v>
      </c>
      <c r="E244" s="156">
        <f t="shared" si="335"/>
        <v>0.98797214888707052</v>
      </c>
      <c r="F244" s="156">
        <f t="shared" si="335"/>
        <v>0.98877567283249901</v>
      </c>
      <c r="G244" s="156">
        <f t="shared" si="335"/>
        <v>0.98758645335372519</v>
      </c>
      <c r="H244" s="156">
        <f t="shared" si="335"/>
        <v>0.98659900704435077</v>
      </c>
      <c r="I244" s="156">
        <f t="shared" si="335"/>
        <v>0.98665697555586429</v>
      </c>
      <c r="J244" s="156">
        <f t="shared" si="335"/>
        <v>0.98481263898139604</v>
      </c>
      <c r="K244" s="156">
        <f t="shared" si="335"/>
        <v>0.98160909231350402</v>
      </c>
      <c r="L244" s="156">
        <f t="shared" ref="L244" si="336">IF(L26=0,0,L26/L$19)</f>
        <v>0.98325510801082083</v>
      </c>
      <c r="M244" s="156">
        <f t="shared" ref="M244:V244" si="337">IF(M26=0,0,M26/M$19)</f>
        <v>0.98271662374584512</v>
      </c>
      <c r="N244" s="156">
        <f t="shared" si="337"/>
        <v>0.98270442399626212</v>
      </c>
      <c r="O244" s="156">
        <f t="shared" si="337"/>
        <v>0.9837959317530458</v>
      </c>
      <c r="P244" s="156">
        <f t="shared" si="337"/>
        <v>0.98238412017843013</v>
      </c>
      <c r="Q244" s="156">
        <f t="shared" si="337"/>
        <v>0.98310635935798707</v>
      </c>
      <c r="R244" s="156">
        <f t="shared" si="337"/>
        <v>0.98261305271230004</v>
      </c>
      <c r="S244" s="156">
        <f t="shared" si="337"/>
        <v>0.98322151406252023</v>
      </c>
      <c r="T244" s="156">
        <f t="shared" si="337"/>
        <v>0.9835173570309198</v>
      </c>
      <c r="U244" s="156">
        <f t="shared" si="337"/>
        <v>0.98246317451528953</v>
      </c>
      <c r="V244" s="156">
        <f t="shared" si="337"/>
        <v>0.98355546340548317</v>
      </c>
      <c r="W244" s="156">
        <f t="shared" ref="W244:Y244" si="338">IF(W26=0,0,W26/W$19)</f>
        <v>0.98302876515750248</v>
      </c>
      <c r="X244" s="156">
        <f t="shared" si="338"/>
        <v>0.98346792903365199</v>
      </c>
      <c r="Y244" s="156">
        <f t="shared" si="338"/>
        <v>0.98544525273207073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0.48385751525053566</v>
      </c>
      <c r="C245" s="103">
        <f t="shared" si="339"/>
        <v>0.46432785670691606</v>
      </c>
      <c r="D245" s="103">
        <f t="shared" si="339"/>
        <v>0.44995718347853569</v>
      </c>
      <c r="E245" s="103">
        <f t="shared" si="339"/>
        <v>0.50907133714626684</v>
      </c>
      <c r="F245" s="103">
        <f t="shared" si="339"/>
        <v>0.50290898383037708</v>
      </c>
      <c r="G245" s="103">
        <f t="shared" si="339"/>
        <v>0.48501515506604848</v>
      </c>
      <c r="H245" s="103">
        <f t="shared" si="339"/>
        <v>0.43357507484792335</v>
      </c>
      <c r="I245" s="103">
        <f t="shared" si="339"/>
        <v>0.45549953869673065</v>
      </c>
      <c r="J245" s="103">
        <f t="shared" si="339"/>
        <v>0.46233780941122926</v>
      </c>
      <c r="K245" s="103">
        <f t="shared" si="339"/>
        <v>0.51661120939215299</v>
      </c>
      <c r="L245" s="103">
        <f t="shared" ref="L245" si="340">IF(L27=0,0,L27/L$19)</f>
        <v>0.44867457433564262</v>
      </c>
      <c r="M245" s="103">
        <f t="shared" ref="M245:V245" si="341">IF(M27=0,0,M27/M$19)</f>
        <v>0.42280525218744874</v>
      </c>
      <c r="N245" s="103">
        <f t="shared" si="341"/>
        <v>0.40036113396875767</v>
      </c>
      <c r="O245" s="103">
        <f t="shared" si="341"/>
        <v>0.37346102988864838</v>
      </c>
      <c r="P245" s="103">
        <f t="shared" si="341"/>
        <v>0.4050177259047828</v>
      </c>
      <c r="Q245" s="103">
        <f t="shared" si="341"/>
        <v>0.39352243280194088</v>
      </c>
      <c r="R245" s="103">
        <f t="shared" si="341"/>
        <v>0.39271529277758715</v>
      </c>
      <c r="S245" s="103">
        <f t="shared" si="341"/>
        <v>0.40653613844530517</v>
      </c>
      <c r="T245" s="103">
        <f t="shared" si="341"/>
        <v>0.44898097446811358</v>
      </c>
      <c r="U245" s="103">
        <f t="shared" si="341"/>
        <v>0.4468598497187633</v>
      </c>
      <c r="V245" s="103">
        <f t="shared" si="341"/>
        <v>0.45336380250431574</v>
      </c>
      <c r="W245" s="103">
        <f t="shared" ref="W245:Y245" si="342">IF(W27=0,0,W27/W$19)</f>
        <v>0.43512402189550425</v>
      </c>
      <c r="X245" s="103">
        <f t="shared" si="342"/>
        <v>0.36717059136279251</v>
      </c>
      <c r="Y245" s="103">
        <f t="shared" si="342"/>
        <v>0.41930851063393337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0.50404990868205413</v>
      </c>
      <c r="C246" s="105">
        <f t="shared" si="343"/>
        <v>0.52360563867440424</v>
      </c>
      <c r="D246" s="105">
        <f t="shared" si="343"/>
        <v>0.5373151764362547</v>
      </c>
      <c r="E246" s="105">
        <f t="shared" si="343"/>
        <v>0.47890081174080373</v>
      </c>
      <c r="F246" s="105">
        <f t="shared" si="343"/>
        <v>0.48586668900212199</v>
      </c>
      <c r="G246" s="105">
        <f t="shared" si="343"/>
        <v>0.50257129828767677</v>
      </c>
      <c r="H246" s="105">
        <f t="shared" si="343"/>
        <v>0.55302393219642743</v>
      </c>
      <c r="I246" s="105">
        <f t="shared" si="343"/>
        <v>0.53115743685913364</v>
      </c>
      <c r="J246" s="105">
        <f t="shared" si="343"/>
        <v>0.52247482957016678</v>
      </c>
      <c r="K246" s="105">
        <f t="shared" si="343"/>
        <v>0.46499788292135108</v>
      </c>
      <c r="L246" s="105">
        <f t="shared" ref="L246" si="344">IF(L28=0,0,L28/L$19)</f>
        <v>0.53458053367517822</v>
      </c>
      <c r="M246" s="105">
        <f t="shared" ref="M246:V246" si="345">IF(M28=0,0,M28/M$19)</f>
        <v>0.55991137155839632</v>
      </c>
      <c r="N246" s="105">
        <f t="shared" si="345"/>
        <v>0.58234329002750451</v>
      </c>
      <c r="O246" s="105">
        <f t="shared" si="345"/>
        <v>0.61033490186439743</v>
      </c>
      <c r="P246" s="105">
        <f t="shared" si="345"/>
        <v>0.57736639427364733</v>
      </c>
      <c r="Q246" s="105">
        <f t="shared" si="345"/>
        <v>0.58958392655604619</v>
      </c>
      <c r="R246" s="105">
        <f t="shared" si="345"/>
        <v>0.58989775993471294</v>
      </c>
      <c r="S246" s="105">
        <f t="shared" si="345"/>
        <v>0.576685375617215</v>
      </c>
      <c r="T246" s="105">
        <f t="shared" si="345"/>
        <v>0.53453638256280622</v>
      </c>
      <c r="U246" s="105">
        <f t="shared" si="345"/>
        <v>0.53560332479652617</v>
      </c>
      <c r="V246" s="105">
        <f t="shared" si="345"/>
        <v>0.53019166090116732</v>
      </c>
      <c r="W246" s="105">
        <f t="shared" ref="W246:Y246" si="346">IF(W28=0,0,W28/W$19)</f>
        <v>0.54790474326199823</v>
      </c>
      <c r="X246" s="105">
        <f t="shared" si="346"/>
        <v>0.61629733767085948</v>
      </c>
      <c r="Y246" s="105">
        <f t="shared" si="346"/>
        <v>0.56613674209813747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5.963467580927531E-3</v>
      </c>
      <c r="C250" s="154">
        <f t="shared" si="351"/>
        <v>5.9375784668873029E-3</v>
      </c>
      <c r="D250" s="154">
        <f t="shared" si="351"/>
        <v>5.7437666163854895E-3</v>
      </c>
      <c r="E250" s="154">
        <f t="shared" si="351"/>
        <v>5.2699011013979226E-3</v>
      </c>
      <c r="F250" s="154">
        <f t="shared" si="351"/>
        <v>4.9700285192946086E-3</v>
      </c>
      <c r="G250" s="154">
        <f t="shared" si="351"/>
        <v>4.320841639656822E-3</v>
      </c>
      <c r="H250" s="154">
        <f t="shared" si="351"/>
        <v>4.0067861548334664E-3</v>
      </c>
      <c r="I250" s="154">
        <f t="shared" si="351"/>
        <v>4.1596900604413201E-3</v>
      </c>
      <c r="J250" s="154">
        <f t="shared" si="351"/>
        <v>4.9128958079274676E-3</v>
      </c>
      <c r="K250" s="154">
        <f t="shared" si="351"/>
        <v>5.5282919030634932E-3</v>
      </c>
      <c r="L250" s="154">
        <f t="shared" ref="L250" si="352">IF(L32=0,0,L32/L$31)</f>
        <v>5.4415923782967102E-3</v>
      </c>
      <c r="M250" s="154">
        <f t="shared" ref="M250:V250" si="353">IF(M32=0,0,M32/M$31)</f>
        <v>5.8895005301352055E-3</v>
      </c>
      <c r="N250" s="154">
        <f t="shared" si="353"/>
        <v>5.0608423321244784E-3</v>
      </c>
      <c r="O250" s="154">
        <f t="shared" si="353"/>
        <v>5.1527555717422891E-3</v>
      </c>
      <c r="P250" s="154">
        <f t="shared" si="353"/>
        <v>5.2477700148037178E-3</v>
      </c>
      <c r="Q250" s="154">
        <f t="shared" si="353"/>
        <v>4.9259737819395515E-3</v>
      </c>
      <c r="R250" s="154">
        <f t="shared" si="353"/>
        <v>4.6334912115562942E-3</v>
      </c>
      <c r="S250" s="154">
        <f t="shared" si="353"/>
        <v>4.1693215155556851E-3</v>
      </c>
      <c r="T250" s="154">
        <f t="shared" si="353"/>
        <v>3.7408492555957842E-3</v>
      </c>
      <c r="U250" s="154">
        <f t="shared" si="353"/>
        <v>3.8394656353918128E-3</v>
      </c>
      <c r="V250" s="154">
        <f t="shared" si="353"/>
        <v>3.5864607653150423E-3</v>
      </c>
      <c r="W250" s="154">
        <f t="shared" ref="W250:Y250" si="354">IF(W32=0,0,W32/W$31)</f>
        <v>3.7387959464842235E-3</v>
      </c>
      <c r="X250" s="154">
        <f t="shared" si="354"/>
        <v>3.7308256706590618E-3</v>
      </c>
      <c r="Y250" s="154">
        <f t="shared" si="354"/>
        <v>3.963778593465043E-3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0.98386618609120169</v>
      </c>
      <c r="C251" s="156">
        <f t="shared" si="355"/>
        <v>0.98378183414845755</v>
      </c>
      <c r="D251" s="156">
        <f t="shared" si="355"/>
        <v>0.98401899946059967</v>
      </c>
      <c r="E251" s="156">
        <f t="shared" si="355"/>
        <v>0.98537005703396385</v>
      </c>
      <c r="F251" s="156">
        <f t="shared" si="355"/>
        <v>0.98595167894600211</v>
      </c>
      <c r="G251" s="156">
        <f t="shared" si="355"/>
        <v>0.98782749564037087</v>
      </c>
      <c r="H251" s="156">
        <f t="shared" si="355"/>
        <v>0.98932835178405798</v>
      </c>
      <c r="I251" s="156">
        <f t="shared" si="355"/>
        <v>0.99004186663659177</v>
      </c>
      <c r="J251" s="156">
        <f t="shared" si="355"/>
        <v>0.98956025145565252</v>
      </c>
      <c r="K251" s="156">
        <f t="shared" si="355"/>
        <v>0.98870109497539416</v>
      </c>
      <c r="L251" s="156">
        <f t="shared" ref="L251" si="356">IF(L33=0,0,L33/L$31)</f>
        <v>0.98896467292035617</v>
      </c>
      <c r="M251" s="156">
        <f t="shared" ref="M251:V251" si="357">IF(M33=0,0,M33/M$31)</f>
        <v>0.98790923219744253</v>
      </c>
      <c r="N251" s="156">
        <f t="shared" si="357"/>
        <v>0.98962783099916307</v>
      </c>
      <c r="O251" s="156">
        <f t="shared" si="357"/>
        <v>0.98884918067740069</v>
      </c>
      <c r="P251" s="156">
        <f t="shared" si="357"/>
        <v>0.98823209721792205</v>
      </c>
      <c r="Q251" s="156">
        <f t="shared" si="357"/>
        <v>0.9885147611562457</v>
      </c>
      <c r="R251" s="156">
        <f t="shared" si="357"/>
        <v>0.98976808112513082</v>
      </c>
      <c r="S251" s="156">
        <f t="shared" si="357"/>
        <v>0.99041363441757424</v>
      </c>
      <c r="T251" s="156">
        <f t="shared" si="357"/>
        <v>0.99108311822058015</v>
      </c>
      <c r="U251" s="156">
        <f t="shared" si="357"/>
        <v>0.99061472607066425</v>
      </c>
      <c r="V251" s="156">
        <f t="shared" si="357"/>
        <v>0.99205549496649481</v>
      </c>
      <c r="W251" s="156">
        <f t="shared" ref="W251:Y251" si="358">IF(W33=0,0,W33/W$31)</f>
        <v>0.99198064616236192</v>
      </c>
      <c r="X251" s="156">
        <f t="shared" si="358"/>
        <v>0.99167395624250787</v>
      </c>
      <c r="Y251" s="156">
        <f t="shared" si="358"/>
        <v>0.9909826763261097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0.49297543965097274</v>
      </c>
      <c r="C252" s="103">
        <f t="shared" si="359"/>
        <v>0.45666334154388299</v>
      </c>
      <c r="D252" s="103">
        <f t="shared" si="359"/>
        <v>0.41982618855695869</v>
      </c>
      <c r="E252" s="103">
        <f t="shared" si="359"/>
        <v>0.38130021341612153</v>
      </c>
      <c r="F252" s="103">
        <f t="shared" si="359"/>
        <v>0.33028726975780515</v>
      </c>
      <c r="G252" s="103">
        <f t="shared" si="359"/>
        <v>0.30571018575306658</v>
      </c>
      <c r="H252" s="103">
        <f t="shared" si="359"/>
        <v>0.28672646458547629</v>
      </c>
      <c r="I252" s="103">
        <f t="shared" si="359"/>
        <v>0.30834410219713554</v>
      </c>
      <c r="J252" s="103">
        <f t="shared" si="359"/>
        <v>0.31061114947438601</v>
      </c>
      <c r="K252" s="103">
        <f t="shared" si="359"/>
        <v>0.28420396917775204</v>
      </c>
      <c r="L252" s="103">
        <f t="shared" ref="L252" si="360">IF(L34=0,0,L34/L$31)</f>
        <v>0.22344655498515223</v>
      </c>
      <c r="M252" s="103">
        <f t="shared" ref="M252:V252" si="361">IF(M34=0,0,M34/M$31)</f>
        <v>0.21351234841923764</v>
      </c>
      <c r="N252" s="103">
        <f t="shared" si="361"/>
        <v>0.16680766053218973</v>
      </c>
      <c r="O252" s="103">
        <f t="shared" si="361"/>
        <v>0.1520283876151319</v>
      </c>
      <c r="P252" s="103">
        <f t="shared" si="361"/>
        <v>0.15877078366339376</v>
      </c>
      <c r="Q252" s="103">
        <f t="shared" si="361"/>
        <v>0.15007485346668706</v>
      </c>
      <c r="R252" s="103">
        <f t="shared" si="361"/>
        <v>0.13527154232287186</v>
      </c>
      <c r="S252" s="103">
        <f t="shared" si="361"/>
        <v>0.13302501434158889</v>
      </c>
      <c r="T252" s="103">
        <f t="shared" si="361"/>
        <v>0.14165327432853717</v>
      </c>
      <c r="U252" s="103">
        <f t="shared" si="361"/>
        <v>0.14884756866543422</v>
      </c>
      <c r="V252" s="103">
        <f t="shared" si="361"/>
        <v>0.15592857716906897</v>
      </c>
      <c r="W252" s="103">
        <f t="shared" ref="W252:Y252" si="362">IF(W34=0,0,W34/W$31)</f>
        <v>0.15888406235444516</v>
      </c>
      <c r="X252" s="103">
        <f t="shared" si="362"/>
        <v>0.18245259507300107</v>
      </c>
      <c r="Y252" s="103">
        <f t="shared" si="362"/>
        <v>0.19577888829107704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0.29550353186281086</v>
      </c>
      <c r="C253" s="103">
        <f t="shared" si="363"/>
        <v>0.34218092400801287</v>
      </c>
      <c r="D253" s="103">
        <f t="shared" si="363"/>
        <v>0.35444553014802788</v>
      </c>
      <c r="E253" s="103">
        <f t="shared" si="363"/>
        <v>0.39662470863697896</v>
      </c>
      <c r="F253" s="103">
        <f t="shared" si="363"/>
        <v>0.41733271850729259</v>
      </c>
      <c r="G253" s="103">
        <f t="shared" si="363"/>
        <v>0.48345566637192927</v>
      </c>
      <c r="H253" s="103">
        <f t="shared" si="363"/>
        <v>0.51779036480621277</v>
      </c>
      <c r="I253" s="103">
        <f t="shared" si="363"/>
        <v>0.48489718873718851</v>
      </c>
      <c r="J253" s="103">
        <f t="shared" si="363"/>
        <v>0.49342134120622322</v>
      </c>
      <c r="K253" s="103">
        <f t="shared" si="363"/>
        <v>0.55133677486017285</v>
      </c>
      <c r="L253" s="103">
        <f t="shared" ref="L253" si="364">IF(L35=0,0,L35/L$31)</f>
        <v>0.60274658696494443</v>
      </c>
      <c r="M253" s="103">
        <f t="shared" ref="M253:V253" si="365">IF(M35=0,0,M35/M$31)</f>
        <v>0.61188723855167759</v>
      </c>
      <c r="N253" s="103">
        <f t="shared" si="365"/>
        <v>0.69906673991681756</v>
      </c>
      <c r="O253" s="103">
        <f t="shared" si="365"/>
        <v>0.70641683871890992</v>
      </c>
      <c r="P253" s="103">
        <f t="shared" si="365"/>
        <v>0.69444198972532822</v>
      </c>
      <c r="Q253" s="103">
        <f t="shared" si="365"/>
        <v>0.71799207397941589</v>
      </c>
      <c r="R253" s="103">
        <f t="shared" si="365"/>
        <v>0.74791918968961812</v>
      </c>
      <c r="S253" s="103">
        <f t="shared" si="365"/>
        <v>0.76399793226523827</v>
      </c>
      <c r="T253" s="103">
        <f t="shared" si="365"/>
        <v>0.76445304302647621</v>
      </c>
      <c r="U253" s="103">
        <f t="shared" si="365"/>
        <v>0.75989072726096185</v>
      </c>
      <c r="V253" s="103">
        <f t="shared" si="365"/>
        <v>0.75407868948663637</v>
      </c>
      <c r="W253" s="103">
        <f t="shared" ref="W253:Y253" si="366">IF(W35=0,0,W35/W$31)</f>
        <v>0.74899743568108779</v>
      </c>
      <c r="X253" s="103">
        <f t="shared" si="366"/>
        <v>0.72058432336122658</v>
      </c>
      <c r="Y253" s="103">
        <f t="shared" si="366"/>
        <v>0.69989021289462428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0.19538721457741817</v>
      </c>
      <c r="C254" s="103">
        <f t="shared" si="367"/>
        <v>0.18493756859656169</v>
      </c>
      <c r="D254" s="103">
        <f t="shared" si="367"/>
        <v>0.20974728075561305</v>
      </c>
      <c r="E254" s="103">
        <f t="shared" si="367"/>
        <v>0.20744513498086345</v>
      </c>
      <c r="F254" s="103">
        <f t="shared" si="367"/>
        <v>0.23833169068090446</v>
      </c>
      <c r="G254" s="103">
        <f t="shared" si="367"/>
        <v>0.19866164351537505</v>
      </c>
      <c r="H254" s="103">
        <f t="shared" si="367"/>
        <v>0.18481152239236889</v>
      </c>
      <c r="I254" s="103">
        <f t="shared" si="367"/>
        <v>0.19680057570226769</v>
      </c>
      <c r="J254" s="103">
        <f t="shared" si="367"/>
        <v>0.18552776077504327</v>
      </c>
      <c r="K254" s="103">
        <f t="shared" si="367"/>
        <v>0.1531603509374693</v>
      </c>
      <c r="L254" s="103">
        <f t="shared" ref="L254" si="368">IF(L36=0,0,L36/L$31)</f>
        <v>0.16277153097025951</v>
      </c>
      <c r="M254" s="103">
        <f t="shared" ref="M254:V254" si="369">IF(M36=0,0,M36/M$31)</f>
        <v>0.16250816247580874</v>
      </c>
      <c r="N254" s="103">
        <f t="shared" si="369"/>
        <v>0.12375175040210289</v>
      </c>
      <c r="O254" s="103">
        <f t="shared" si="369"/>
        <v>0.12970736576605332</v>
      </c>
      <c r="P254" s="103">
        <f t="shared" si="369"/>
        <v>0.13295866566307846</v>
      </c>
      <c r="Q254" s="103">
        <f t="shared" si="369"/>
        <v>0.11774209967282831</v>
      </c>
      <c r="R254" s="103">
        <f t="shared" si="369"/>
        <v>0.10276039132310036</v>
      </c>
      <c r="S254" s="103">
        <f t="shared" si="369"/>
        <v>8.7765612235770271E-2</v>
      </c>
      <c r="T254" s="103">
        <f t="shared" si="369"/>
        <v>7.6350238873535509E-2</v>
      </c>
      <c r="U254" s="103">
        <f t="shared" si="369"/>
        <v>6.9722507471095679E-2</v>
      </c>
      <c r="V254" s="103">
        <f t="shared" si="369"/>
        <v>6.408939532639088E-2</v>
      </c>
      <c r="W254" s="103">
        <f t="shared" ref="W254:Y254" si="370">IF(W36=0,0,W36/W$31)</f>
        <v>5.7595175713818135E-2</v>
      </c>
      <c r="X254" s="103">
        <f t="shared" si="370"/>
        <v>5.5799718379401377E-2</v>
      </c>
      <c r="Y254" s="103">
        <f t="shared" si="370"/>
        <v>5.5075447849639088E-2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0</v>
      </c>
      <c r="H255" s="103">
        <f t="shared" si="371"/>
        <v>0</v>
      </c>
      <c r="I255" s="103">
        <f t="shared" si="371"/>
        <v>0</v>
      </c>
      <c r="J255" s="103">
        <f t="shared" si="371"/>
        <v>0</v>
      </c>
      <c r="K255" s="103">
        <f t="shared" si="371"/>
        <v>0</v>
      </c>
      <c r="L255" s="103">
        <f t="shared" ref="L255" si="372">IF(L37=0,0,L37/L$31)</f>
        <v>0</v>
      </c>
      <c r="M255" s="103">
        <f t="shared" ref="M255:V255" si="373">IF(M37=0,0,M37/M$31)</f>
        <v>0</v>
      </c>
      <c r="N255" s="103">
        <f t="shared" si="373"/>
        <v>3.9214721017633036E-7</v>
      </c>
      <c r="O255" s="103">
        <f t="shared" si="373"/>
        <v>2.0885305205165285E-6</v>
      </c>
      <c r="P255" s="103">
        <f t="shared" si="373"/>
        <v>1.2832825883275353E-5</v>
      </c>
      <c r="Q255" s="103">
        <f t="shared" si="373"/>
        <v>1.6817928814000682E-5</v>
      </c>
      <c r="R255" s="103">
        <f t="shared" si="373"/>
        <v>2.1324083003557604E-5</v>
      </c>
      <c r="S255" s="103">
        <f t="shared" si="373"/>
        <v>3.0467893402176621E-5</v>
      </c>
      <c r="T255" s="103">
        <f t="shared" si="373"/>
        <v>3.800095512009158E-5</v>
      </c>
      <c r="U255" s="103">
        <f t="shared" si="373"/>
        <v>3.5816454266400365E-5</v>
      </c>
      <c r="V255" s="103">
        <f t="shared" si="373"/>
        <v>6.132995755702832E-5</v>
      </c>
      <c r="W255" s="103">
        <f t="shared" ref="W255:Y255" si="374">IF(W37=0,0,W37/W$31)</f>
        <v>8.33606387980285E-5</v>
      </c>
      <c r="X255" s="103">
        <f t="shared" si="374"/>
        <v>2.8009935674026273E-4</v>
      </c>
      <c r="Y255" s="103">
        <f t="shared" si="374"/>
        <v>2.3829061738053051E-4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0</v>
      </c>
      <c r="O256" s="103">
        <f t="shared" si="377"/>
        <v>6.9054195263240506E-4</v>
      </c>
      <c r="P256" s="103">
        <f t="shared" si="377"/>
        <v>2.0040035050450148E-3</v>
      </c>
      <c r="Q256" s="103">
        <f t="shared" si="377"/>
        <v>2.5884046037853354E-3</v>
      </c>
      <c r="R256" s="103">
        <f t="shared" si="377"/>
        <v>3.6072954081472351E-3</v>
      </c>
      <c r="S256" s="103">
        <f t="shared" si="377"/>
        <v>5.2657743591257205E-3</v>
      </c>
      <c r="T256" s="103">
        <f t="shared" si="377"/>
        <v>8.1195719564771864E-3</v>
      </c>
      <c r="U256" s="103">
        <f t="shared" si="377"/>
        <v>1.1469324014006087E-2</v>
      </c>
      <c r="V256" s="103">
        <f t="shared" si="377"/>
        <v>1.6704468939591075E-2</v>
      </c>
      <c r="W256" s="103">
        <f t="shared" ref="W256:Y256" si="378">IF(W38=0,0,W38/W$31)</f>
        <v>2.4090901093183341E-2</v>
      </c>
      <c r="X256" s="103">
        <f t="shared" si="378"/>
        <v>2.9185886466250446E-2</v>
      </c>
      <c r="Y256" s="103">
        <f t="shared" si="378"/>
        <v>3.4958774743880899E-2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0</v>
      </c>
      <c r="K257" s="103">
        <f t="shared" si="379"/>
        <v>0</v>
      </c>
      <c r="L257" s="103">
        <f t="shared" ref="L257" si="380">IF(L39=0,0,L39/L$31)</f>
        <v>0</v>
      </c>
      <c r="M257" s="103">
        <f t="shared" ref="M257:V257" si="381">IF(M39=0,0,M39/M$31)</f>
        <v>1.4827507185920372E-6</v>
      </c>
      <c r="N257" s="103">
        <f t="shared" si="381"/>
        <v>1.2880008425836791E-6</v>
      </c>
      <c r="O257" s="103">
        <f t="shared" si="381"/>
        <v>3.9580941523992738E-6</v>
      </c>
      <c r="P257" s="103">
        <f t="shared" si="381"/>
        <v>4.3821835193252854E-5</v>
      </c>
      <c r="Q257" s="103">
        <f t="shared" si="381"/>
        <v>1.0051150471508406E-4</v>
      </c>
      <c r="R257" s="103">
        <f t="shared" si="381"/>
        <v>1.8833829838963106E-4</v>
      </c>
      <c r="S257" s="103">
        <f t="shared" si="381"/>
        <v>3.2883332244890845E-4</v>
      </c>
      <c r="T257" s="103">
        <f t="shared" si="381"/>
        <v>4.6898908043413093E-4</v>
      </c>
      <c r="U257" s="103">
        <f t="shared" si="381"/>
        <v>6.4878220490011454E-4</v>
      </c>
      <c r="V257" s="103">
        <f t="shared" si="381"/>
        <v>1.1930340872503889E-3</v>
      </c>
      <c r="W257" s="103">
        <f t="shared" ref="W257:Y257" si="382">IF(W39=0,0,W39/W$31)</f>
        <v>2.3297106810295015E-3</v>
      </c>
      <c r="X257" s="103">
        <f t="shared" si="382"/>
        <v>3.3713336058883076E-3</v>
      </c>
      <c r="Y257" s="103">
        <f t="shared" si="382"/>
        <v>5.0410619295078929E-3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1.0170346327870694E-2</v>
      </c>
      <c r="C258" s="156">
        <f t="shared" si="383"/>
        <v>1.0280587384655152E-2</v>
      </c>
      <c r="D258" s="156">
        <f t="shared" si="383"/>
        <v>1.0237233923014828E-2</v>
      </c>
      <c r="E258" s="156">
        <f t="shared" si="383"/>
        <v>9.360041864638239E-3</v>
      </c>
      <c r="F258" s="156">
        <f t="shared" si="383"/>
        <v>9.0782925347032365E-3</v>
      </c>
      <c r="G258" s="156">
        <f t="shared" si="383"/>
        <v>7.8516627199723323E-3</v>
      </c>
      <c r="H258" s="156">
        <f t="shared" si="383"/>
        <v>6.6648620611085381E-3</v>
      </c>
      <c r="I258" s="156">
        <f t="shared" si="383"/>
        <v>5.7984433029669748E-3</v>
      </c>
      <c r="J258" s="156">
        <f t="shared" si="383"/>
        <v>5.5268527364200912E-3</v>
      </c>
      <c r="K258" s="156">
        <f t="shared" si="383"/>
        <v>5.7706131215423178E-3</v>
      </c>
      <c r="L258" s="156">
        <f t="shared" ref="L258" si="384">IF(L40=0,0,L40/L$31)</f>
        <v>5.5937347013472203E-3</v>
      </c>
      <c r="M258" s="156">
        <f t="shared" ref="M258:V258" si="385">IF(M40=0,0,M40/M$31)</f>
        <v>6.2012672724223372E-3</v>
      </c>
      <c r="N258" s="156">
        <f t="shared" si="385"/>
        <v>5.3113266687125132E-3</v>
      </c>
      <c r="O258" s="156">
        <f t="shared" si="385"/>
        <v>5.9980637508571322E-3</v>
      </c>
      <c r="P258" s="156">
        <f t="shared" si="385"/>
        <v>6.520132767274105E-3</v>
      </c>
      <c r="Q258" s="156">
        <f t="shared" si="385"/>
        <v>6.5592650618148457E-3</v>
      </c>
      <c r="R258" s="156">
        <f t="shared" si="385"/>
        <v>5.5984276633128608E-3</v>
      </c>
      <c r="S258" s="156">
        <f t="shared" si="385"/>
        <v>5.4170440668700852E-3</v>
      </c>
      <c r="T258" s="156">
        <f t="shared" si="385"/>
        <v>5.1760325238240411E-3</v>
      </c>
      <c r="U258" s="156">
        <f t="shared" si="385"/>
        <v>5.5458082939439466E-3</v>
      </c>
      <c r="V258" s="156">
        <f t="shared" si="385"/>
        <v>4.3580442681901118E-3</v>
      </c>
      <c r="W258" s="156">
        <f t="shared" ref="W258:Y258" si="386">IF(W40=0,0,W40/W$31)</f>
        <v>4.2805578911538755E-3</v>
      </c>
      <c r="X258" s="156">
        <f t="shared" si="386"/>
        <v>4.5952180868330719E-3</v>
      </c>
      <c r="Y258" s="156">
        <f t="shared" si="386"/>
        <v>5.0535450804253023E-3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0</v>
      </c>
      <c r="C259" s="103">
        <f t="shared" si="387"/>
        <v>0</v>
      </c>
      <c r="D259" s="103">
        <f t="shared" si="387"/>
        <v>3.954914056962778E-5</v>
      </c>
      <c r="E259" s="103">
        <f t="shared" si="387"/>
        <v>5.3522504310756804E-5</v>
      </c>
      <c r="F259" s="103">
        <f t="shared" si="387"/>
        <v>4.6783970568871884E-5</v>
      </c>
      <c r="G259" s="103">
        <f t="shared" si="387"/>
        <v>4.080222869049038E-5</v>
      </c>
      <c r="H259" s="103">
        <f t="shared" si="387"/>
        <v>3.6347230870845312E-5</v>
      </c>
      <c r="I259" s="103">
        <f t="shared" si="387"/>
        <v>2.7865809264046266E-5</v>
      </c>
      <c r="J259" s="103">
        <f t="shared" si="387"/>
        <v>1.8811253986765193E-5</v>
      </c>
      <c r="K259" s="103">
        <f t="shared" si="387"/>
        <v>1.7508310826926279E-5</v>
      </c>
      <c r="L259" s="103">
        <f t="shared" ref="L259" si="388">IF(L41=0,0,L41/L$31)</f>
        <v>1.6832322195802598E-5</v>
      </c>
      <c r="M259" s="103">
        <f t="shared" ref="M259:V259" si="389">IF(M41=0,0,M41/M$31)</f>
        <v>1.264209944999251E-5</v>
      </c>
      <c r="N259" s="103">
        <f t="shared" si="389"/>
        <v>9.8525225434173681E-6</v>
      </c>
      <c r="O259" s="103">
        <f t="shared" si="389"/>
        <v>1.6323188930112494E-4</v>
      </c>
      <c r="P259" s="103">
        <f t="shared" si="389"/>
        <v>1.0360153523431405E-4</v>
      </c>
      <c r="Q259" s="103">
        <f t="shared" si="389"/>
        <v>8.7776190808330041E-5</v>
      </c>
      <c r="R259" s="103">
        <f t="shared" si="389"/>
        <v>7.9209869879105278E-5</v>
      </c>
      <c r="S259" s="103">
        <f t="shared" si="389"/>
        <v>7.492755691909207E-5</v>
      </c>
      <c r="T259" s="103">
        <f t="shared" si="389"/>
        <v>6.6379316804304858E-5</v>
      </c>
      <c r="U259" s="103">
        <f t="shared" si="389"/>
        <v>5.8902552634776407E-5</v>
      </c>
      <c r="V259" s="103">
        <f t="shared" si="389"/>
        <v>4.2009235824777312E-5</v>
      </c>
      <c r="W259" s="103">
        <f t="shared" ref="W259:Y259" si="390">IF(W41=0,0,W41/W$31)</f>
        <v>3.8689569609323971E-5</v>
      </c>
      <c r="X259" s="103">
        <f t="shared" si="390"/>
        <v>3.8832197194573994E-5</v>
      </c>
      <c r="Y259" s="103">
        <f t="shared" si="390"/>
        <v>3.9600178045293143E-5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1.0170346327870694E-2</v>
      </c>
      <c r="C260" s="103">
        <f t="shared" si="391"/>
        <v>1.0280587384655152E-2</v>
      </c>
      <c r="D260" s="103">
        <f t="shared" si="391"/>
        <v>1.0193602452999204E-2</v>
      </c>
      <c r="E260" s="103">
        <f t="shared" si="391"/>
        <v>9.3028340914664762E-3</v>
      </c>
      <c r="F260" s="103">
        <f t="shared" si="391"/>
        <v>8.9798834235858219E-3</v>
      </c>
      <c r="G260" s="103">
        <f t="shared" si="391"/>
        <v>7.6593123768598217E-3</v>
      </c>
      <c r="H260" s="103">
        <f t="shared" si="391"/>
        <v>6.4027341037609939E-3</v>
      </c>
      <c r="I260" s="103">
        <f t="shared" si="391"/>
        <v>5.5008553199905738E-3</v>
      </c>
      <c r="J260" s="103">
        <f t="shared" si="391"/>
        <v>5.2269857032508551E-3</v>
      </c>
      <c r="K260" s="103">
        <f t="shared" si="391"/>
        <v>5.2745130014232146E-3</v>
      </c>
      <c r="L260" s="103">
        <f t="shared" ref="L260" si="392">IF(L42=0,0,L42/L$31)</f>
        <v>5.0053329001965826E-3</v>
      </c>
      <c r="M260" s="103">
        <f t="shared" ref="M260:V260" si="393">IF(M42=0,0,M42/M$31)</f>
        <v>5.4698389878990823E-3</v>
      </c>
      <c r="N260" s="103">
        <f t="shared" si="393"/>
        <v>4.6910524086952532E-3</v>
      </c>
      <c r="O260" s="103">
        <f t="shared" si="393"/>
        <v>4.1393129922741257E-3</v>
      </c>
      <c r="P260" s="103">
        <f t="shared" si="393"/>
        <v>4.3809148153610361E-3</v>
      </c>
      <c r="Q260" s="103">
        <f t="shared" si="393"/>
        <v>3.9218113074254478E-3</v>
      </c>
      <c r="R260" s="103">
        <f t="shared" si="393"/>
        <v>3.2651323509544561E-3</v>
      </c>
      <c r="S260" s="103">
        <f t="shared" si="393"/>
        <v>3.1700901822139002E-3</v>
      </c>
      <c r="T260" s="103">
        <f t="shared" si="393"/>
        <v>3.07688500973751E-3</v>
      </c>
      <c r="U260" s="103">
        <f t="shared" si="393"/>
        <v>3.4010679546610523E-3</v>
      </c>
      <c r="V260" s="103">
        <f t="shared" si="393"/>
        <v>2.4377071798659406E-3</v>
      </c>
      <c r="W260" s="103">
        <f t="shared" ref="W260:Y260" si="394">IF(W42=0,0,W42/W$31)</f>
        <v>2.1042740574404254E-3</v>
      </c>
      <c r="X260" s="103">
        <f t="shared" si="394"/>
        <v>2.267329787253494E-3</v>
      </c>
      <c r="Y260" s="103">
        <f t="shared" si="394"/>
        <v>2.5603845377181952E-3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4.0823294459957794E-6</v>
      </c>
      <c r="E261" s="103">
        <f t="shared" si="395"/>
        <v>3.6852688610068031E-6</v>
      </c>
      <c r="F261" s="103">
        <f t="shared" si="395"/>
        <v>3.560230487850989E-6</v>
      </c>
      <c r="G261" s="103">
        <f t="shared" si="395"/>
        <v>3.0410414177322125E-6</v>
      </c>
      <c r="H261" s="103">
        <f t="shared" si="395"/>
        <v>2.5590112942805429E-6</v>
      </c>
      <c r="I261" s="103">
        <f t="shared" si="395"/>
        <v>2.2517036658918364E-6</v>
      </c>
      <c r="J261" s="103">
        <f t="shared" si="395"/>
        <v>2.1893027446087166E-6</v>
      </c>
      <c r="K261" s="103">
        <f t="shared" si="395"/>
        <v>2.2087544640833602E-6</v>
      </c>
      <c r="L261" s="103">
        <f t="shared" ref="L261" si="396">IF(L43=0,0,L43/L$31)</f>
        <v>2.1663738611337241E-6</v>
      </c>
      <c r="M261" s="103">
        <f t="shared" ref="M261:V261" si="397">IF(M43=0,0,M43/M$31)</f>
        <v>8.4506496084170481E-6</v>
      </c>
      <c r="N261" s="103">
        <f t="shared" si="397"/>
        <v>7.3908977490315715E-6</v>
      </c>
      <c r="O261" s="103">
        <f t="shared" si="397"/>
        <v>3.8614331168677388E-5</v>
      </c>
      <c r="P261" s="103">
        <f t="shared" si="397"/>
        <v>1.6231070084679432E-4</v>
      </c>
      <c r="Q261" s="103">
        <f t="shared" si="397"/>
        <v>1.5510684888796712E-4</v>
      </c>
      <c r="R261" s="103">
        <f t="shared" si="397"/>
        <v>1.4124024975760348E-4</v>
      </c>
      <c r="S261" s="103">
        <f t="shared" si="397"/>
        <v>1.3754137373245661E-4</v>
      </c>
      <c r="T261" s="103">
        <f t="shared" si="397"/>
        <v>1.274666695128913E-4</v>
      </c>
      <c r="U261" s="103">
        <f t="shared" si="397"/>
        <v>1.4291050910530853E-4</v>
      </c>
      <c r="V261" s="103">
        <f t="shared" si="397"/>
        <v>1.0469006341738429E-4</v>
      </c>
      <c r="W261" s="103">
        <f t="shared" ref="W261:Y261" si="398">IF(W43=0,0,W43/W$31)</f>
        <v>9.9369467015735576E-5</v>
      </c>
      <c r="X261" s="103">
        <f t="shared" si="398"/>
        <v>1.0353085601944221E-4</v>
      </c>
      <c r="Y261" s="103">
        <f t="shared" si="398"/>
        <v>1.0990200663754871E-4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0</v>
      </c>
      <c r="C262" s="103">
        <f t="shared" si="399"/>
        <v>0</v>
      </c>
      <c r="D262" s="103">
        <f t="shared" si="399"/>
        <v>0</v>
      </c>
      <c r="E262" s="103">
        <f t="shared" si="399"/>
        <v>0</v>
      </c>
      <c r="F262" s="103">
        <f t="shared" si="399"/>
        <v>0</v>
      </c>
      <c r="G262" s="103">
        <f t="shared" si="399"/>
        <v>0</v>
      </c>
      <c r="H262" s="103">
        <f t="shared" si="399"/>
        <v>0</v>
      </c>
      <c r="I262" s="103">
        <f t="shared" si="399"/>
        <v>0</v>
      </c>
      <c r="J262" s="103">
        <f t="shared" si="399"/>
        <v>0</v>
      </c>
      <c r="K262" s="103">
        <f t="shared" si="399"/>
        <v>1.7824609239298447E-4</v>
      </c>
      <c r="L262" s="103">
        <f t="shared" ref="L262" si="400">IF(L44=0,0,L44/L$31)</f>
        <v>2.8160619863517732E-4</v>
      </c>
      <c r="M262" s="103">
        <f t="shared" ref="M262:V262" si="401">IF(M44=0,0,M44/M$31)</f>
        <v>4.0358286693884616E-4</v>
      </c>
      <c r="N262" s="103">
        <f t="shared" si="401"/>
        <v>3.4174832374237233E-4</v>
      </c>
      <c r="O262" s="103">
        <f t="shared" si="401"/>
        <v>5.3212386999438666E-4</v>
      </c>
      <c r="P262" s="103">
        <f t="shared" si="401"/>
        <v>6.8400537121415523E-4</v>
      </c>
      <c r="Q262" s="103">
        <f t="shared" si="401"/>
        <v>1.2246575615156997E-3</v>
      </c>
      <c r="R262" s="103">
        <f t="shared" si="401"/>
        <v>1.1454088994882201E-3</v>
      </c>
      <c r="S262" s="103">
        <f t="shared" si="401"/>
        <v>1.0890943776036602E-3</v>
      </c>
      <c r="T262" s="103">
        <f t="shared" si="401"/>
        <v>9.9577033816562483E-4</v>
      </c>
      <c r="U262" s="103">
        <f t="shared" si="401"/>
        <v>9.1179075306525121E-4</v>
      </c>
      <c r="V262" s="103">
        <f t="shared" si="401"/>
        <v>1.0357376762616256E-3</v>
      </c>
      <c r="W262" s="103">
        <f t="shared" ref="W262:Y262" si="402">IF(W44=0,0,W44/W$31)</f>
        <v>1.191699554004736E-3</v>
      </c>
      <c r="X262" s="103">
        <f t="shared" si="402"/>
        <v>1.2856401432998995E-3</v>
      </c>
      <c r="Y262" s="103">
        <f t="shared" si="402"/>
        <v>1.3719727733211514E-3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0</v>
      </c>
      <c r="C263" s="103">
        <f t="shared" si="403"/>
        <v>0</v>
      </c>
      <c r="D263" s="103">
        <f t="shared" si="403"/>
        <v>0</v>
      </c>
      <c r="E263" s="103">
        <f t="shared" si="403"/>
        <v>0</v>
      </c>
      <c r="F263" s="103">
        <f t="shared" si="403"/>
        <v>4.8064910060693348E-5</v>
      </c>
      <c r="G263" s="103">
        <f t="shared" si="403"/>
        <v>1.4850707300428838E-4</v>
      </c>
      <c r="H263" s="103">
        <f t="shared" si="403"/>
        <v>2.2322171518241794E-4</v>
      </c>
      <c r="I263" s="103">
        <f t="shared" si="403"/>
        <v>2.6747047004646417E-4</v>
      </c>
      <c r="J263" s="103">
        <f t="shared" si="403"/>
        <v>2.7886647643786205E-4</v>
      </c>
      <c r="K263" s="103">
        <f t="shared" si="403"/>
        <v>2.9813696243510975E-4</v>
      </c>
      <c r="L263" s="103">
        <f t="shared" ref="L263" si="404">IF(L45=0,0,L45/L$31)</f>
        <v>2.8779690645852553E-4</v>
      </c>
      <c r="M263" s="103">
        <f t="shared" ref="M263:V263" si="405">IF(M45=0,0,M45/M$31)</f>
        <v>3.0675266852600011E-4</v>
      </c>
      <c r="N263" s="103">
        <f t="shared" si="405"/>
        <v>2.6128251598243923E-4</v>
      </c>
      <c r="O263" s="103">
        <f t="shared" si="405"/>
        <v>1.1247806681188178E-3</v>
      </c>
      <c r="P263" s="103">
        <f t="shared" si="405"/>
        <v>1.1893003446178049E-3</v>
      </c>
      <c r="Q263" s="103">
        <f t="shared" si="405"/>
        <v>1.169913153177401E-3</v>
      </c>
      <c r="R263" s="103">
        <f t="shared" si="405"/>
        <v>9.6743629323347571E-4</v>
      </c>
      <c r="S263" s="103">
        <f t="shared" si="405"/>
        <v>9.4539057640097681E-4</v>
      </c>
      <c r="T263" s="103">
        <f t="shared" si="405"/>
        <v>9.0953118960371011E-4</v>
      </c>
      <c r="U263" s="103">
        <f t="shared" si="405"/>
        <v>1.0311365244775577E-3</v>
      </c>
      <c r="V263" s="103">
        <f t="shared" si="405"/>
        <v>7.37900112820384E-4</v>
      </c>
      <c r="W263" s="103">
        <f t="shared" ref="W263:Y263" si="406">IF(W45=0,0,W45/W$31)</f>
        <v>8.4652524308365422E-4</v>
      </c>
      <c r="X263" s="103">
        <f t="shared" si="406"/>
        <v>8.9988510306566278E-4</v>
      </c>
      <c r="Y263" s="103">
        <f t="shared" si="406"/>
        <v>9.7168558470311385E-4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0.3818209341139821</v>
      </c>
      <c r="C265" s="154">
        <f t="shared" si="411"/>
        <v>0.38550578632607485</v>
      </c>
      <c r="D265" s="154">
        <f t="shared" si="411"/>
        <v>0.40160684786141992</v>
      </c>
      <c r="E265" s="154">
        <f t="shared" si="411"/>
        <v>0.37211289520946395</v>
      </c>
      <c r="F265" s="154">
        <f t="shared" si="411"/>
        <v>0.37991221809736175</v>
      </c>
      <c r="G265" s="154">
        <f t="shared" si="411"/>
        <v>0.41812961211296296</v>
      </c>
      <c r="H265" s="154">
        <f t="shared" si="411"/>
        <v>0.45076383946722298</v>
      </c>
      <c r="I265" s="154">
        <f t="shared" si="411"/>
        <v>0.45775686074428196</v>
      </c>
      <c r="J265" s="154">
        <f t="shared" si="411"/>
        <v>0.49827923506982758</v>
      </c>
      <c r="K265" s="154">
        <f t="shared" si="411"/>
        <v>0.54343676752754988</v>
      </c>
      <c r="L265" s="154">
        <f t="shared" ref="L265" si="412">IF(L47=0,0,L47/L$46)</f>
        <v>0.53693964305562081</v>
      </c>
      <c r="M265" s="154">
        <f t="shared" ref="M265:V265" si="413">IF(M47=0,0,M47/M$46)</f>
        <v>0.54673177875363521</v>
      </c>
      <c r="N265" s="154">
        <f t="shared" si="413"/>
        <v>0.54477102255272392</v>
      </c>
      <c r="O265" s="154">
        <f t="shared" si="413"/>
        <v>0.52770642789108269</v>
      </c>
      <c r="P265" s="154">
        <f t="shared" si="413"/>
        <v>0.54460027920551446</v>
      </c>
      <c r="Q265" s="154">
        <f t="shared" si="413"/>
        <v>0.54593142223678204</v>
      </c>
      <c r="R265" s="154">
        <f t="shared" si="413"/>
        <v>0.55550242430474062</v>
      </c>
      <c r="S265" s="154">
        <f t="shared" si="413"/>
        <v>0.54906587891428338</v>
      </c>
      <c r="T265" s="154">
        <f t="shared" si="413"/>
        <v>0.54916414295607285</v>
      </c>
      <c r="U265" s="154">
        <f t="shared" si="413"/>
        <v>0.55546179716125021</v>
      </c>
      <c r="V265" s="154">
        <f t="shared" si="413"/>
        <v>0.54984792500096391</v>
      </c>
      <c r="W265" s="154">
        <f t="shared" ref="W265:Y265" si="414">IF(W47=0,0,W47/W$46)</f>
        <v>0.56279191213275992</v>
      </c>
      <c r="X265" s="154">
        <f t="shared" si="414"/>
        <v>0.5680481115333923</v>
      </c>
      <c r="Y265" s="154">
        <f t="shared" si="414"/>
        <v>0.54189324204486955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5.3159884127582185E-2</v>
      </c>
      <c r="C266" s="103">
        <f t="shared" si="415"/>
        <v>5.1836996671291512E-2</v>
      </c>
      <c r="D266" s="103">
        <f t="shared" si="415"/>
        <v>4.9483188893356393E-2</v>
      </c>
      <c r="E266" s="103">
        <f t="shared" si="415"/>
        <v>4.2422359546173273E-2</v>
      </c>
      <c r="F266" s="103">
        <f t="shared" si="415"/>
        <v>4.0496478490912105E-2</v>
      </c>
      <c r="G266" s="103">
        <f t="shared" si="415"/>
        <v>4.1079532993396894E-2</v>
      </c>
      <c r="H266" s="103">
        <f t="shared" si="415"/>
        <v>4.468072699673805E-2</v>
      </c>
      <c r="I266" s="103">
        <f t="shared" si="415"/>
        <v>4.5779442843284737E-2</v>
      </c>
      <c r="J266" s="103">
        <f t="shared" si="415"/>
        <v>4.3713980577260406E-2</v>
      </c>
      <c r="K266" s="103">
        <f t="shared" si="415"/>
        <v>3.9243800422962251E-2</v>
      </c>
      <c r="L266" s="103">
        <f t="shared" ref="L266" si="416">IF(L48=0,0,L48/L$46)</f>
        <v>3.7484736469738648E-2</v>
      </c>
      <c r="M266" s="103">
        <f t="shared" ref="M266:V266" si="417">IF(M48=0,0,M48/M$46)</f>
        <v>2.9936259575320343E-2</v>
      </c>
      <c r="N266" s="103">
        <f t="shared" si="417"/>
        <v>2.2882319037340906E-2</v>
      </c>
      <c r="O266" s="103">
        <f t="shared" si="417"/>
        <v>1.8902679989581582E-2</v>
      </c>
      <c r="P266" s="103">
        <f t="shared" si="417"/>
        <v>1.5706290002771475E-2</v>
      </c>
      <c r="Q266" s="103">
        <f t="shared" si="417"/>
        <v>1.2942936368017658E-2</v>
      </c>
      <c r="R266" s="103">
        <f t="shared" si="417"/>
        <v>1.1611303372570565E-2</v>
      </c>
      <c r="S266" s="103">
        <f t="shared" si="417"/>
        <v>1.0585352737131798E-2</v>
      </c>
      <c r="T266" s="103">
        <f t="shared" si="417"/>
        <v>9.7345819206374404E-3</v>
      </c>
      <c r="U266" s="103">
        <f t="shared" si="417"/>
        <v>1.2442222616004103E-2</v>
      </c>
      <c r="V266" s="103">
        <f t="shared" si="417"/>
        <v>1.0701568535709853E-2</v>
      </c>
      <c r="W266" s="103">
        <f t="shared" ref="W266:Y266" si="418">IF(W48=0,0,W48/W$46)</f>
        <v>9.7241172530578481E-3</v>
      </c>
      <c r="X266" s="103">
        <f t="shared" si="418"/>
        <v>8.5526564743772307E-3</v>
      </c>
      <c r="Y266" s="103">
        <f t="shared" si="418"/>
        <v>6.8650280347021201E-3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0.32866104998639989</v>
      </c>
      <c r="C267" s="103">
        <f t="shared" si="419"/>
        <v>0.33366878965478336</v>
      </c>
      <c r="D267" s="103">
        <f t="shared" si="419"/>
        <v>0.35212365896806347</v>
      </c>
      <c r="E267" s="103">
        <f t="shared" si="419"/>
        <v>0.32969053566329071</v>
      </c>
      <c r="F267" s="103">
        <f t="shared" si="419"/>
        <v>0.33941573960644961</v>
      </c>
      <c r="G267" s="103">
        <f t="shared" si="419"/>
        <v>0.37705007911956606</v>
      </c>
      <c r="H267" s="103">
        <f t="shared" si="419"/>
        <v>0.40608311247048495</v>
      </c>
      <c r="I267" s="103">
        <f t="shared" si="419"/>
        <v>0.41197741790099718</v>
      </c>
      <c r="J267" s="103">
        <f t="shared" si="419"/>
        <v>0.45456525449256724</v>
      </c>
      <c r="K267" s="103">
        <f t="shared" si="419"/>
        <v>0.50419296710458761</v>
      </c>
      <c r="L267" s="103">
        <f t="shared" ref="L267" si="420">IF(L49=0,0,L49/L$46)</f>
        <v>0.4994549065858821</v>
      </c>
      <c r="M267" s="103">
        <f t="shared" ref="M267:V267" si="421">IF(M49=0,0,M49/M$46)</f>
        <v>0.51679551917831479</v>
      </c>
      <c r="N267" s="103">
        <f t="shared" si="421"/>
        <v>0.52188870351538297</v>
      </c>
      <c r="O267" s="103">
        <f t="shared" si="421"/>
        <v>0.50880374790150118</v>
      </c>
      <c r="P267" s="103">
        <f t="shared" si="421"/>
        <v>0.528893989202743</v>
      </c>
      <c r="Q267" s="103">
        <f t="shared" si="421"/>
        <v>0.53298848586876435</v>
      </c>
      <c r="R267" s="103">
        <f t="shared" si="421"/>
        <v>0.54389112093216996</v>
      </c>
      <c r="S267" s="103">
        <f t="shared" si="421"/>
        <v>0.53848052617715159</v>
      </c>
      <c r="T267" s="103">
        <f t="shared" si="421"/>
        <v>0.53942956103543538</v>
      </c>
      <c r="U267" s="103">
        <f t="shared" si="421"/>
        <v>0.54301957454524608</v>
      </c>
      <c r="V267" s="103">
        <f t="shared" si="421"/>
        <v>0.53914635646525411</v>
      </c>
      <c r="W267" s="103">
        <f t="shared" ref="W267:Y267" si="422">IF(W49=0,0,W49/W$46)</f>
        <v>0.55306779487970215</v>
      </c>
      <c r="X267" s="103">
        <f t="shared" si="422"/>
        <v>0.5594954550590151</v>
      </c>
      <c r="Y267" s="103">
        <f t="shared" si="422"/>
        <v>0.53502821401016742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0</v>
      </c>
      <c r="D268" s="103">
        <f t="shared" si="423"/>
        <v>0</v>
      </c>
      <c r="E268" s="103">
        <f t="shared" si="423"/>
        <v>0</v>
      </c>
      <c r="F268" s="103">
        <f t="shared" si="423"/>
        <v>0</v>
      </c>
      <c r="G268" s="103">
        <f t="shared" si="423"/>
        <v>0</v>
      </c>
      <c r="H268" s="103">
        <f t="shared" si="423"/>
        <v>0</v>
      </c>
      <c r="I268" s="103">
        <f t="shared" si="423"/>
        <v>0</v>
      </c>
      <c r="J268" s="103">
        <f t="shared" si="423"/>
        <v>0</v>
      </c>
      <c r="K268" s="103">
        <f t="shared" si="423"/>
        <v>0</v>
      </c>
      <c r="L268" s="103">
        <f t="shared" ref="L268" si="424">IF(L50=0,0,L50/L$46)</f>
        <v>0</v>
      </c>
      <c r="M268" s="103">
        <f t="shared" ref="M268:V268" si="425">IF(M50=0,0,M50/M$46)</f>
        <v>0</v>
      </c>
      <c r="N268" s="103">
        <f t="shared" si="425"/>
        <v>0</v>
      </c>
      <c r="O268" s="103">
        <f t="shared" si="425"/>
        <v>0</v>
      </c>
      <c r="P268" s="103">
        <f t="shared" si="425"/>
        <v>0</v>
      </c>
      <c r="Q268" s="103">
        <f t="shared" si="425"/>
        <v>0</v>
      </c>
      <c r="R268" s="103">
        <f t="shared" si="425"/>
        <v>0</v>
      </c>
      <c r="S268" s="103">
        <f t="shared" si="425"/>
        <v>0</v>
      </c>
      <c r="T268" s="103">
        <f t="shared" si="425"/>
        <v>0</v>
      </c>
      <c r="U268" s="103">
        <f t="shared" si="425"/>
        <v>0</v>
      </c>
      <c r="V268" s="103">
        <f t="shared" si="425"/>
        <v>0</v>
      </c>
      <c r="W268" s="103">
        <f t="shared" ref="W268:Y268" si="426">IF(W50=0,0,W50/W$46)</f>
        <v>0</v>
      </c>
      <c r="X268" s="103">
        <f t="shared" si="426"/>
        <v>0</v>
      </c>
      <c r="Y268" s="103">
        <f t="shared" si="426"/>
        <v>0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0</v>
      </c>
      <c r="K269" s="103">
        <f t="shared" si="427"/>
        <v>0</v>
      </c>
      <c r="L269" s="103">
        <f t="shared" ref="L269" si="428">IF(L51=0,0,L51/L$46)</f>
        <v>0</v>
      </c>
      <c r="M269" s="103">
        <f t="shared" ref="M269:V269" si="429">IF(M51=0,0,M51/M$46)</f>
        <v>0</v>
      </c>
      <c r="N269" s="103">
        <f t="shared" si="429"/>
        <v>0</v>
      </c>
      <c r="O269" s="103">
        <f t="shared" si="429"/>
        <v>0</v>
      </c>
      <c r="P269" s="103">
        <f t="shared" si="429"/>
        <v>0</v>
      </c>
      <c r="Q269" s="103">
        <f t="shared" si="429"/>
        <v>0</v>
      </c>
      <c r="R269" s="103">
        <f t="shared" si="429"/>
        <v>0</v>
      </c>
      <c r="S269" s="103">
        <f t="shared" si="429"/>
        <v>0</v>
      </c>
      <c r="T269" s="103">
        <f t="shared" si="429"/>
        <v>0</v>
      </c>
      <c r="U269" s="103">
        <f t="shared" si="429"/>
        <v>0</v>
      </c>
      <c r="V269" s="103">
        <f t="shared" si="429"/>
        <v>0</v>
      </c>
      <c r="W269" s="103">
        <f t="shared" ref="W269:Y269" si="430">IF(W51=0,0,W51/W$46)</f>
        <v>0</v>
      </c>
      <c r="X269" s="103">
        <f t="shared" si="430"/>
        <v>0</v>
      </c>
      <c r="Y269" s="103">
        <f t="shared" si="430"/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0</v>
      </c>
      <c r="J270" s="103">
        <f t="shared" si="431"/>
        <v>0</v>
      </c>
      <c r="K270" s="103">
        <f t="shared" si="431"/>
        <v>0</v>
      </c>
      <c r="L270" s="103">
        <f t="shared" ref="L270" si="432">IF(L52=0,0,L52/L$46)</f>
        <v>0</v>
      </c>
      <c r="M270" s="103">
        <f t="shared" ref="M270:V270" si="433">IF(M52=0,0,M52/M$46)</f>
        <v>0</v>
      </c>
      <c r="N270" s="103">
        <f t="shared" si="433"/>
        <v>0</v>
      </c>
      <c r="O270" s="103">
        <f t="shared" si="433"/>
        <v>0</v>
      </c>
      <c r="P270" s="103">
        <f t="shared" si="433"/>
        <v>0</v>
      </c>
      <c r="Q270" s="103">
        <f t="shared" si="433"/>
        <v>0</v>
      </c>
      <c r="R270" s="103">
        <f t="shared" si="433"/>
        <v>0</v>
      </c>
      <c r="S270" s="103">
        <f t="shared" si="433"/>
        <v>0</v>
      </c>
      <c r="T270" s="103">
        <f t="shared" si="433"/>
        <v>0</v>
      </c>
      <c r="U270" s="103">
        <f t="shared" si="433"/>
        <v>0</v>
      </c>
      <c r="V270" s="103">
        <f t="shared" si="433"/>
        <v>0</v>
      </c>
      <c r="W270" s="103">
        <f t="shared" ref="W270:Y270" si="434">IF(W52=0,0,W52/W$46)</f>
        <v>0</v>
      </c>
      <c r="X270" s="103">
        <f t="shared" si="434"/>
        <v>0</v>
      </c>
      <c r="Y270" s="103">
        <f t="shared" si="434"/>
        <v>0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0.6181790658860179</v>
      </c>
      <c r="C271" s="156">
        <f t="shared" si="435"/>
        <v>0.6144942136739252</v>
      </c>
      <c r="D271" s="156">
        <f t="shared" si="435"/>
        <v>0.59839315213858013</v>
      </c>
      <c r="E271" s="156">
        <f t="shared" si="435"/>
        <v>0.62788710479053611</v>
      </c>
      <c r="F271" s="156">
        <f t="shared" si="435"/>
        <v>0.62008778190263825</v>
      </c>
      <c r="G271" s="156">
        <f t="shared" si="435"/>
        <v>0.58187038788703704</v>
      </c>
      <c r="H271" s="156">
        <f t="shared" si="435"/>
        <v>0.54923616053277702</v>
      </c>
      <c r="I271" s="156">
        <f t="shared" si="435"/>
        <v>0.5422431392557181</v>
      </c>
      <c r="J271" s="156">
        <f t="shared" si="435"/>
        <v>0.50172076493017237</v>
      </c>
      <c r="K271" s="156">
        <f t="shared" si="435"/>
        <v>0.45656323247245018</v>
      </c>
      <c r="L271" s="156">
        <f t="shared" ref="L271" si="436">IF(L53=0,0,L53/L$46)</f>
        <v>0.46306035694437919</v>
      </c>
      <c r="M271" s="156">
        <f t="shared" ref="M271:V271" si="437">IF(M53=0,0,M53/M$46)</f>
        <v>0.45326822124636484</v>
      </c>
      <c r="N271" s="156">
        <f t="shared" si="437"/>
        <v>0.45522897744727603</v>
      </c>
      <c r="O271" s="156">
        <f t="shared" si="437"/>
        <v>0.47229357210891726</v>
      </c>
      <c r="P271" s="156">
        <f t="shared" si="437"/>
        <v>0.45539972079448554</v>
      </c>
      <c r="Q271" s="156">
        <f t="shared" si="437"/>
        <v>0.45406857776321791</v>
      </c>
      <c r="R271" s="156">
        <f t="shared" si="437"/>
        <v>0.44449757569525944</v>
      </c>
      <c r="S271" s="156">
        <f t="shared" si="437"/>
        <v>0.45093412108571657</v>
      </c>
      <c r="T271" s="156">
        <f t="shared" si="437"/>
        <v>0.45083585704392709</v>
      </c>
      <c r="U271" s="156">
        <f t="shared" si="437"/>
        <v>0.44453820283874979</v>
      </c>
      <c r="V271" s="156">
        <f t="shared" si="437"/>
        <v>0.45015207499903609</v>
      </c>
      <c r="W271" s="156">
        <f t="shared" ref="W271:Y271" si="438">IF(W53=0,0,W53/W$46)</f>
        <v>0.43720808786724003</v>
      </c>
      <c r="X271" s="156">
        <f t="shared" si="438"/>
        <v>0.4319518884666077</v>
      </c>
      <c r="Y271" s="156">
        <f t="shared" si="438"/>
        <v>0.45810675795513039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0.46358313213029023</v>
      </c>
      <c r="C272" s="104">
        <f t="shared" si="439"/>
        <v>0.45140172730809019</v>
      </c>
      <c r="D272" s="104">
        <f t="shared" si="439"/>
        <v>0.43358444704750676</v>
      </c>
      <c r="E272" s="104">
        <f t="shared" si="439"/>
        <v>0.48253797910947555</v>
      </c>
      <c r="F272" s="104">
        <f t="shared" si="439"/>
        <v>0.45525702974773907</v>
      </c>
      <c r="G272" s="104">
        <f t="shared" si="439"/>
        <v>0.41180104653150618</v>
      </c>
      <c r="H272" s="104">
        <f t="shared" si="439"/>
        <v>0.36366666135251696</v>
      </c>
      <c r="I272" s="104">
        <f t="shared" si="439"/>
        <v>0.36074548949718827</v>
      </c>
      <c r="J272" s="104">
        <f t="shared" si="439"/>
        <v>0.32784704630405359</v>
      </c>
      <c r="K272" s="104">
        <f t="shared" si="439"/>
        <v>0.31473633554534947</v>
      </c>
      <c r="L272" s="104">
        <f t="shared" ref="L272" si="440">IF(L54=0,0,L54/L$46)</f>
        <v>0.29108602518286508</v>
      </c>
      <c r="M272" s="104">
        <f t="shared" ref="M272:V272" si="441">IF(M54=0,0,M54/M$46)</f>
        <v>0.27424215695372828</v>
      </c>
      <c r="N272" s="104">
        <f t="shared" si="441"/>
        <v>0.26850404656389992</v>
      </c>
      <c r="O272" s="104">
        <f t="shared" si="441"/>
        <v>0.26887802849773335</v>
      </c>
      <c r="P272" s="104">
        <f t="shared" si="441"/>
        <v>0.2741129323838743</v>
      </c>
      <c r="Q272" s="104">
        <f t="shared" si="441"/>
        <v>0.25744372543679539</v>
      </c>
      <c r="R272" s="104">
        <f t="shared" si="441"/>
        <v>0.2501182346584786</v>
      </c>
      <c r="S272" s="104">
        <f t="shared" si="441"/>
        <v>0.2561789203191579</v>
      </c>
      <c r="T272" s="104">
        <f t="shared" si="441"/>
        <v>0.26769032322545799</v>
      </c>
      <c r="U272" s="104">
        <f t="shared" si="441"/>
        <v>0.26892027615918596</v>
      </c>
      <c r="V272" s="104">
        <f t="shared" si="441"/>
        <v>0.26354513799099694</v>
      </c>
      <c r="W272" s="104">
        <f t="shared" ref="W272:Y272" si="442">IF(W54=0,0,W54/W$46)</f>
        <v>0.24804982792095881</v>
      </c>
      <c r="X272" s="104">
        <f t="shared" si="442"/>
        <v>0.20996234767297484</v>
      </c>
      <c r="Y272" s="104">
        <f t="shared" si="442"/>
        <v>0.23409069034990265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0.15459593375572767</v>
      </c>
      <c r="C273" s="105">
        <f t="shared" si="443"/>
        <v>0.16309248636583507</v>
      </c>
      <c r="D273" s="105">
        <f t="shared" si="443"/>
        <v>0.1648087050910734</v>
      </c>
      <c r="E273" s="105">
        <f t="shared" si="443"/>
        <v>0.14534912568106056</v>
      </c>
      <c r="F273" s="105">
        <f t="shared" si="443"/>
        <v>0.16483075215489917</v>
      </c>
      <c r="G273" s="105">
        <f t="shared" si="443"/>
        <v>0.17006934135553081</v>
      </c>
      <c r="H273" s="105">
        <f t="shared" si="443"/>
        <v>0.18556949918026006</v>
      </c>
      <c r="I273" s="105">
        <f t="shared" si="443"/>
        <v>0.18149764975852992</v>
      </c>
      <c r="J273" s="105">
        <f t="shared" si="443"/>
        <v>0.17387371862611881</v>
      </c>
      <c r="K273" s="105">
        <f t="shared" si="443"/>
        <v>0.14182689692710079</v>
      </c>
      <c r="L273" s="105">
        <f t="shared" ref="L273" si="444">IF(L55=0,0,L55/L$46)</f>
        <v>0.17197433176151414</v>
      </c>
      <c r="M273" s="105">
        <f t="shared" ref="M273:V273" si="445">IF(M55=0,0,M55/M$46)</f>
        <v>0.17902606429263662</v>
      </c>
      <c r="N273" s="105">
        <f t="shared" si="445"/>
        <v>0.18672493088337619</v>
      </c>
      <c r="O273" s="105">
        <f t="shared" si="445"/>
        <v>0.20341554361118397</v>
      </c>
      <c r="P273" s="105">
        <f t="shared" si="445"/>
        <v>0.18128678841061119</v>
      </c>
      <c r="Q273" s="105">
        <f t="shared" si="445"/>
        <v>0.19662485232642257</v>
      </c>
      <c r="R273" s="105">
        <f t="shared" si="445"/>
        <v>0.19437934103678076</v>
      </c>
      <c r="S273" s="105">
        <f t="shared" si="445"/>
        <v>0.19475520076655869</v>
      </c>
      <c r="T273" s="105">
        <f t="shared" si="445"/>
        <v>0.18314553381846913</v>
      </c>
      <c r="U273" s="105">
        <f t="shared" si="445"/>
        <v>0.17561792667956386</v>
      </c>
      <c r="V273" s="105">
        <f t="shared" si="445"/>
        <v>0.18660693700803915</v>
      </c>
      <c r="W273" s="105">
        <f t="shared" ref="W273:Y273" si="446">IF(W55=0,0,W55/W$46)</f>
        <v>0.18915825994628127</v>
      </c>
      <c r="X273" s="105">
        <f t="shared" si="446"/>
        <v>0.22198954079363287</v>
      </c>
      <c r="Y273" s="105">
        <f t="shared" si="446"/>
        <v>0.22401606760522771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948.68873602751501</v>
      </c>
      <c r="C4" s="145">
        <f t="shared" si="0"/>
        <v>1041.0647463456576</v>
      </c>
      <c r="D4" s="145">
        <f t="shared" si="0"/>
        <v>1076.525709372313</v>
      </c>
      <c r="E4" s="145">
        <f t="shared" si="0"/>
        <v>1092.6206362854687</v>
      </c>
      <c r="F4" s="145">
        <f t="shared" si="0"/>
        <v>1206.5370402046547</v>
      </c>
      <c r="G4" s="145">
        <f t="shared" si="0"/>
        <v>1282.0879668639739</v>
      </c>
      <c r="H4" s="145">
        <f t="shared" si="0"/>
        <v>1382.2626645339024</v>
      </c>
      <c r="I4" s="145">
        <f t="shared" si="0"/>
        <v>1659.2994728447486</v>
      </c>
      <c r="J4" s="145">
        <f t="shared" si="0"/>
        <v>1655.1773903278054</v>
      </c>
      <c r="K4" s="145">
        <f t="shared" si="0"/>
        <v>1374.9780951708781</v>
      </c>
      <c r="L4" s="145">
        <f t="shared" ref="L4" si="1">L5+L9+L10+L15</f>
        <v>1402.8225760638704</v>
      </c>
      <c r="M4" s="145">
        <f t="shared" ref="M4:V4" si="2">M5+M9+M10+M15</f>
        <v>1393.3232335243356</v>
      </c>
      <c r="N4" s="145">
        <f t="shared" si="2"/>
        <v>1410.2507868798859</v>
      </c>
      <c r="O4" s="145">
        <f t="shared" si="2"/>
        <v>1417.3547408976826</v>
      </c>
      <c r="P4" s="145">
        <f t="shared" si="2"/>
        <v>1576.8244783723308</v>
      </c>
      <c r="Q4" s="145">
        <f t="shared" si="2"/>
        <v>1671.5549636534813</v>
      </c>
      <c r="R4" s="145">
        <f t="shared" si="2"/>
        <v>1786.3052320660136</v>
      </c>
      <c r="S4" s="145">
        <f t="shared" si="2"/>
        <v>1873.9253311442467</v>
      </c>
      <c r="T4" s="145">
        <f t="shared" si="2"/>
        <v>1996.392312658021</v>
      </c>
      <c r="U4" s="145">
        <f t="shared" si="2"/>
        <v>2074.0178843280019</v>
      </c>
      <c r="V4" s="145">
        <f t="shared" si="2"/>
        <v>2052.2928381582333</v>
      </c>
      <c r="W4" s="145">
        <f t="shared" ref="W4:Y4" si="3">W5+W9+W10+W15</f>
        <v>2075.3168854023565</v>
      </c>
      <c r="X4" s="145">
        <f t="shared" si="3"/>
        <v>2063.9326148918194</v>
      </c>
      <c r="Y4" s="145">
        <f t="shared" si="3"/>
        <v>2108.6508889258885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948.68873602751501</v>
      </c>
      <c r="C5" s="97">
        <f t="shared" si="4"/>
        <v>1041.0647463456576</v>
      </c>
      <c r="D5" s="97">
        <f t="shared" si="4"/>
        <v>1076.525709372313</v>
      </c>
      <c r="E5" s="97">
        <f t="shared" si="4"/>
        <v>1092.6206362854687</v>
      </c>
      <c r="F5" s="97">
        <f t="shared" si="4"/>
        <v>1205.4545141874462</v>
      </c>
      <c r="G5" s="97">
        <f t="shared" si="4"/>
        <v>1278.1020636285466</v>
      </c>
      <c r="H5" s="97">
        <f t="shared" si="4"/>
        <v>1361.7809974204642</v>
      </c>
      <c r="I5" s="97">
        <f t="shared" si="4"/>
        <v>1604.6107480653482</v>
      </c>
      <c r="J5" s="97">
        <f t="shared" si="4"/>
        <v>1592.1568357695614</v>
      </c>
      <c r="K5" s="97">
        <f t="shared" si="4"/>
        <v>1320.4607910576096</v>
      </c>
      <c r="L5" s="97">
        <f t="shared" ref="L5" si="5">SUM(L6:L8)</f>
        <v>1354.0628546861562</v>
      </c>
      <c r="M5" s="97">
        <f t="shared" ref="M5:V5" si="6">SUM(M6:M8)</f>
        <v>1343.5540842648325</v>
      </c>
      <c r="N5" s="97">
        <f t="shared" si="6"/>
        <v>1347.9790197764401</v>
      </c>
      <c r="O5" s="97">
        <f t="shared" si="6"/>
        <v>1350.7922613929493</v>
      </c>
      <c r="P5" s="97">
        <f t="shared" si="6"/>
        <v>1504.6942390369738</v>
      </c>
      <c r="Q5" s="97">
        <f t="shared" si="6"/>
        <v>1590.2641444539986</v>
      </c>
      <c r="R5" s="97">
        <f t="shared" si="6"/>
        <v>1716.1179707652623</v>
      </c>
      <c r="S5" s="97">
        <f t="shared" si="6"/>
        <v>1788.0919174548578</v>
      </c>
      <c r="T5" s="97">
        <f t="shared" si="6"/>
        <v>1903.2156491831465</v>
      </c>
      <c r="U5" s="97">
        <f t="shared" si="6"/>
        <v>1981.1145313843508</v>
      </c>
      <c r="V5" s="97">
        <f t="shared" si="6"/>
        <v>1931.3098882201207</v>
      </c>
      <c r="W5" s="97">
        <f t="shared" ref="W5:Y5" si="7">SUM(W6:W8)</f>
        <v>1926.0153912295784</v>
      </c>
      <c r="X5" s="97">
        <f t="shared" si="7"/>
        <v>1915.642562338779</v>
      </c>
      <c r="Y5" s="97">
        <f t="shared" si="7"/>
        <v>1955.7954428202925</v>
      </c>
      <c r="DA5" s="175"/>
    </row>
    <row r="6" spans="1:105" ht="11.45" customHeight="1" x14ac:dyDescent="0.25">
      <c r="A6" s="128" t="s">
        <v>52</v>
      </c>
      <c r="B6" s="97">
        <v>119.8452278589854</v>
      </c>
      <c r="C6" s="97">
        <v>126.50326741186581</v>
      </c>
      <c r="D6" s="97">
        <v>152.02588134135851</v>
      </c>
      <c r="E6" s="97">
        <v>175.32914875322439</v>
      </c>
      <c r="F6" s="97">
        <v>211.9484952708512</v>
      </c>
      <c r="G6" s="97">
        <v>228.59363714531381</v>
      </c>
      <c r="H6" s="97">
        <v>234.14204643164231</v>
      </c>
      <c r="I6" s="97">
        <v>231.7230438521066</v>
      </c>
      <c r="J6" s="97">
        <v>205.113671539123</v>
      </c>
      <c r="K6" s="97">
        <v>184.04797936371449</v>
      </c>
      <c r="L6" s="97">
        <v>174.06947549441099</v>
      </c>
      <c r="M6" s="97">
        <v>162.98220120378329</v>
      </c>
      <c r="N6" s="97">
        <v>153.0036973344798</v>
      </c>
      <c r="O6" s="97">
        <v>146.35141874462599</v>
      </c>
      <c r="P6" s="97">
        <v>143.0251934651763</v>
      </c>
      <c r="Q6" s="97">
        <v>133.31186586414441</v>
      </c>
      <c r="R6" s="97">
        <v>125.66276870163369</v>
      </c>
      <c r="S6" s="97">
        <v>116.4764402407567</v>
      </c>
      <c r="T6" s="97">
        <v>109.16276870163369</v>
      </c>
      <c r="U6" s="97">
        <v>105.119690455718</v>
      </c>
      <c r="V6" s="97">
        <v>96.899656061908843</v>
      </c>
      <c r="W6" s="97">
        <v>92.415563198624227</v>
      </c>
      <c r="X6" s="97">
        <v>92.516509028374898</v>
      </c>
      <c r="Y6" s="97">
        <v>94.260533104041272</v>
      </c>
      <c r="DA6" s="175" t="s">
        <v>630</v>
      </c>
    </row>
    <row r="7" spans="1:105" ht="11.45" customHeight="1" x14ac:dyDescent="0.25">
      <c r="A7" s="128" t="s">
        <v>53</v>
      </c>
      <c r="B7" s="97">
        <v>390.4987102321582</v>
      </c>
      <c r="C7" s="97">
        <v>386.29982803095442</v>
      </c>
      <c r="D7" s="97">
        <v>375.80249355116081</v>
      </c>
      <c r="E7" s="97">
        <v>373.70309544282031</v>
      </c>
      <c r="F7" s="97">
        <v>357.95717970765259</v>
      </c>
      <c r="G7" s="97">
        <v>350.60902837489249</v>
      </c>
      <c r="H7" s="97">
        <v>368.45442820292351</v>
      </c>
      <c r="I7" s="97">
        <v>443.96319862424758</v>
      </c>
      <c r="J7" s="97">
        <v>437.54445399828029</v>
      </c>
      <c r="K7" s="97">
        <v>366.93826311263967</v>
      </c>
      <c r="L7" s="97">
        <v>296.33207222699912</v>
      </c>
      <c r="M7" s="97">
        <v>257.81960447119519</v>
      </c>
      <c r="N7" s="97">
        <v>231.07480653482369</v>
      </c>
      <c r="O7" s="97">
        <v>209.67901977644021</v>
      </c>
      <c r="P7" s="97">
        <v>205.39982803095441</v>
      </c>
      <c r="Q7" s="97">
        <v>199.85666380051589</v>
      </c>
      <c r="R7" s="97">
        <v>215.63482373172829</v>
      </c>
      <c r="S7" s="97">
        <v>212.23800515907129</v>
      </c>
      <c r="T7" s="97">
        <v>232.30601891659501</v>
      </c>
      <c r="U7" s="97">
        <v>242.48710232158211</v>
      </c>
      <c r="V7" s="97">
        <v>236.91771281169389</v>
      </c>
      <c r="W7" s="97">
        <v>237.33714531384351</v>
      </c>
      <c r="X7" s="97">
        <v>262.22201203783322</v>
      </c>
      <c r="Y7" s="97">
        <v>291.50937231298371</v>
      </c>
      <c r="DA7" s="175" t="s">
        <v>631</v>
      </c>
    </row>
    <row r="8" spans="1:105" ht="11.45" customHeight="1" x14ac:dyDescent="0.25">
      <c r="A8" s="128" t="s">
        <v>54</v>
      </c>
      <c r="B8" s="97">
        <v>438.34479793637138</v>
      </c>
      <c r="C8" s="97">
        <v>528.26165090283746</v>
      </c>
      <c r="D8" s="97">
        <v>548.69733447979365</v>
      </c>
      <c r="E8" s="97">
        <v>543.58839208942391</v>
      </c>
      <c r="F8" s="97">
        <v>635.54883920894235</v>
      </c>
      <c r="G8" s="97">
        <v>698.89939810834039</v>
      </c>
      <c r="H8" s="97">
        <v>759.18452278589848</v>
      </c>
      <c r="I8" s="97">
        <v>928.92450558899395</v>
      </c>
      <c r="J8" s="97">
        <v>949.49871023215815</v>
      </c>
      <c r="K8" s="97">
        <v>769.47454858125536</v>
      </c>
      <c r="L8" s="97">
        <v>883.66130696474625</v>
      </c>
      <c r="M8" s="97">
        <v>922.75227858985386</v>
      </c>
      <c r="N8" s="97">
        <v>963.90051590713665</v>
      </c>
      <c r="O8" s="97">
        <v>994.76182287188306</v>
      </c>
      <c r="P8" s="97">
        <v>1156.2692175408431</v>
      </c>
      <c r="Q8" s="97">
        <v>1257.0956147893382</v>
      </c>
      <c r="R8" s="97">
        <v>1374.8203783319002</v>
      </c>
      <c r="S8" s="97">
        <v>1459.3774720550298</v>
      </c>
      <c r="T8" s="97">
        <v>1561.7468615649179</v>
      </c>
      <c r="U8" s="97">
        <v>1633.5077386070507</v>
      </c>
      <c r="V8" s="97">
        <v>1597.4925193465181</v>
      </c>
      <c r="W8" s="97">
        <v>1596.2626827171107</v>
      </c>
      <c r="X8" s="97">
        <v>1560.9040412725708</v>
      </c>
      <c r="Y8" s="97">
        <v>1570.0255374032674</v>
      </c>
      <c r="DA8" s="175" t="s">
        <v>632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1.3542562338779021</v>
      </c>
      <c r="L9" s="97">
        <v>2.407566638005159</v>
      </c>
      <c r="M9" s="97">
        <v>3.202923473774721</v>
      </c>
      <c r="N9" s="97">
        <v>2.8804815133276009</v>
      </c>
      <c r="O9" s="97">
        <v>3.998280309544282</v>
      </c>
      <c r="P9" s="97">
        <v>4.6431642304385203</v>
      </c>
      <c r="Q9" s="97">
        <v>7.6741186586414436</v>
      </c>
      <c r="R9" s="97">
        <v>7.7601031814273416</v>
      </c>
      <c r="S9" s="97">
        <v>7.8246775580395527</v>
      </c>
      <c r="T9" s="97">
        <v>7.7170249355116072</v>
      </c>
      <c r="U9" s="97">
        <v>7.4593293207222704</v>
      </c>
      <c r="V9" s="97">
        <v>8.3834049871023204</v>
      </c>
      <c r="W9" s="97">
        <v>10.01719690455718</v>
      </c>
      <c r="X9" s="97">
        <v>9.8023215821152192</v>
      </c>
      <c r="Y9" s="97">
        <v>11.017746219838063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0.88374892519346515</v>
      </c>
      <c r="G10" s="97">
        <f t="shared" si="8"/>
        <v>3.2960447119518479</v>
      </c>
      <c r="H10" s="97">
        <f t="shared" si="8"/>
        <v>19.298710232158214</v>
      </c>
      <c r="I10" s="97">
        <f t="shared" si="8"/>
        <v>53.143250214961299</v>
      </c>
      <c r="J10" s="97">
        <f t="shared" si="8"/>
        <v>61.431126397248491</v>
      </c>
      <c r="K10" s="97">
        <f t="shared" si="8"/>
        <v>51.542906276870163</v>
      </c>
      <c r="L10" s="97">
        <f t="shared" si="8"/>
        <v>44.78357695614789</v>
      </c>
      <c r="M10" s="97">
        <f t="shared" si="8"/>
        <v>45.022441960447111</v>
      </c>
      <c r="N10" s="97">
        <f t="shared" si="8"/>
        <v>57.872398968185728</v>
      </c>
      <c r="O10" s="97">
        <f t="shared" si="8"/>
        <v>55.937747205503008</v>
      </c>
      <c r="P10" s="97">
        <f t="shared" si="8"/>
        <v>60.595184866723983</v>
      </c>
      <c r="Q10" s="97">
        <f t="shared" si="8"/>
        <v>66.231986242476353</v>
      </c>
      <c r="R10" s="97">
        <f t="shared" si="8"/>
        <v>55.053998280309536</v>
      </c>
      <c r="S10" s="97">
        <f t="shared" si="8"/>
        <v>69.850472914875311</v>
      </c>
      <c r="T10" s="97">
        <f t="shared" si="8"/>
        <v>75.955374032674115</v>
      </c>
      <c r="U10" s="97">
        <f t="shared" si="8"/>
        <v>73.366294067067912</v>
      </c>
      <c r="V10" s="97">
        <f t="shared" si="8"/>
        <v>100.48486672398968</v>
      </c>
      <c r="W10" s="97">
        <f t="shared" si="8"/>
        <v>122.55657781599312</v>
      </c>
      <c r="X10" s="97">
        <f t="shared" ref="X10:Y10" si="9">SUM(X11:X13)</f>
        <v>117.85133276010318</v>
      </c>
      <c r="Y10" s="97">
        <f t="shared" si="9"/>
        <v>116.38036212066064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5.2847073369157151E-2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0.64488392089423896</v>
      </c>
      <c r="H12" s="97">
        <v>5.1590713671539117</v>
      </c>
      <c r="I12" s="97">
        <v>11.6079105760963</v>
      </c>
      <c r="J12" s="97">
        <v>15.47721410146174</v>
      </c>
      <c r="K12" s="97">
        <v>13.542562338779019</v>
      </c>
      <c r="L12" s="97">
        <v>10.31814273430782</v>
      </c>
      <c r="M12" s="97">
        <v>9.6732588134135842</v>
      </c>
      <c r="N12" s="97">
        <v>8.3834909716251076</v>
      </c>
      <c r="O12" s="97">
        <v>6.44883920894239</v>
      </c>
      <c r="P12" s="97">
        <v>5.8039552880481509</v>
      </c>
      <c r="Q12" s="97">
        <v>9.6732588134135842</v>
      </c>
      <c r="R12" s="97">
        <v>6.44883920894239</v>
      </c>
      <c r="S12" s="97">
        <v>8.2545141874462598</v>
      </c>
      <c r="T12" s="97">
        <v>7.9965606190885632</v>
      </c>
      <c r="U12" s="97">
        <v>9.737747205503009</v>
      </c>
      <c r="V12" s="97">
        <v>15.735167669819431</v>
      </c>
      <c r="W12" s="97">
        <v>16.50902837489252</v>
      </c>
      <c r="X12" s="97">
        <v>19.668959587274291</v>
      </c>
      <c r="Y12" s="97">
        <v>20.442820292347381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0.88374892519346515</v>
      </c>
      <c r="G13" s="97">
        <v>2.6511607910576092</v>
      </c>
      <c r="H13" s="97">
        <v>14.139638865004301</v>
      </c>
      <c r="I13" s="97">
        <v>41.535339638864997</v>
      </c>
      <c r="J13" s="97">
        <v>45.953912295786751</v>
      </c>
      <c r="K13" s="97">
        <v>38.000343938091142</v>
      </c>
      <c r="L13" s="97">
        <v>34.46543422184007</v>
      </c>
      <c r="M13" s="97">
        <v>35.349183147033528</v>
      </c>
      <c r="N13" s="97">
        <v>49.48890799656062</v>
      </c>
      <c r="O13" s="97">
        <v>49.48890799656062</v>
      </c>
      <c r="P13" s="97">
        <v>54.791229578675832</v>
      </c>
      <c r="Q13" s="97">
        <v>56.558727429062763</v>
      </c>
      <c r="R13" s="97">
        <v>48.605159071367147</v>
      </c>
      <c r="S13" s="97">
        <v>61.595958727429057</v>
      </c>
      <c r="T13" s="97">
        <v>67.958813413585546</v>
      </c>
      <c r="U13" s="97">
        <v>63.628546861564907</v>
      </c>
      <c r="V13" s="97">
        <v>84.74969905417025</v>
      </c>
      <c r="W13" s="97">
        <v>106.0475494411006</v>
      </c>
      <c r="X13" s="97">
        <v>98.182373172828889</v>
      </c>
      <c r="Y13" s="97">
        <v>95.884694754944093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0.19877709201503294</v>
      </c>
      <c r="G15" s="98">
        <v>0.68985852347535415</v>
      </c>
      <c r="H15" s="98">
        <v>1.1829568812799716</v>
      </c>
      <c r="I15" s="98">
        <v>1.5454745644393109</v>
      </c>
      <c r="J15" s="98">
        <v>1.5894281609952676</v>
      </c>
      <c r="K15" s="98">
        <v>1.6201416025203588</v>
      </c>
      <c r="L15" s="98">
        <v>1.5685777835610122</v>
      </c>
      <c r="M15" s="98">
        <v>1.5437838252812808</v>
      </c>
      <c r="N15" s="98">
        <v>1.5188866219325714</v>
      </c>
      <c r="O15" s="98">
        <v>6.6264519896860499</v>
      </c>
      <c r="P15" s="98">
        <v>6.891890238194418</v>
      </c>
      <c r="Q15" s="98">
        <v>7.3847142983649254</v>
      </c>
      <c r="R15" s="98">
        <v>7.3731598390143169</v>
      </c>
      <c r="S15" s="98">
        <v>8.1582632164738644</v>
      </c>
      <c r="T15" s="98">
        <v>9.5042645066887399</v>
      </c>
      <c r="U15" s="98">
        <v>12.077729555861151</v>
      </c>
      <c r="V15" s="98">
        <v>12.114678227020516</v>
      </c>
      <c r="W15" s="98">
        <v>16.727719452227877</v>
      </c>
      <c r="X15" s="98">
        <v>20.636398210822019</v>
      </c>
      <c r="Y15" s="98">
        <v>25.457337765097016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948.68873602751501</v>
      </c>
      <c r="C17" s="79">
        <f t="shared" si="10"/>
        <v>1041.0647463456576</v>
      </c>
      <c r="D17" s="79">
        <f t="shared" si="10"/>
        <v>1076.525709372313</v>
      </c>
      <c r="E17" s="79">
        <f t="shared" si="10"/>
        <v>1092.6206362854687</v>
      </c>
      <c r="F17" s="79">
        <f t="shared" si="10"/>
        <v>1206.5370402046547</v>
      </c>
      <c r="G17" s="79">
        <f t="shared" si="10"/>
        <v>1282.0879668639739</v>
      </c>
      <c r="H17" s="79">
        <f t="shared" si="10"/>
        <v>1382.2626645339024</v>
      </c>
      <c r="I17" s="79">
        <f t="shared" si="10"/>
        <v>1659.2994728447486</v>
      </c>
      <c r="J17" s="79">
        <f t="shared" si="10"/>
        <v>1655.1773903278049</v>
      </c>
      <c r="K17" s="79">
        <f t="shared" si="10"/>
        <v>1374.9780951708779</v>
      </c>
      <c r="L17" s="79">
        <f t="shared" ref="L17" si="11">L18+L42</f>
        <v>1402.8225760638707</v>
      </c>
      <c r="M17" s="79">
        <f t="shared" ref="M17:V17" si="12">M18+M42</f>
        <v>1393.3232335243356</v>
      </c>
      <c r="N17" s="79">
        <f t="shared" si="12"/>
        <v>1410.2507868798859</v>
      </c>
      <c r="O17" s="79">
        <f t="shared" si="12"/>
        <v>1417.3547408976826</v>
      </c>
      <c r="P17" s="79">
        <f t="shared" si="12"/>
        <v>1576.8244783723308</v>
      </c>
      <c r="Q17" s="79">
        <f t="shared" si="12"/>
        <v>1671.5549636534811</v>
      </c>
      <c r="R17" s="79">
        <f t="shared" si="12"/>
        <v>1786.3052320660133</v>
      </c>
      <c r="S17" s="79">
        <f t="shared" si="12"/>
        <v>1873.9253311442462</v>
      </c>
      <c r="T17" s="79">
        <f t="shared" si="12"/>
        <v>1996.3923126580212</v>
      </c>
      <c r="U17" s="79">
        <f t="shared" si="12"/>
        <v>2074.0178843280023</v>
      </c>
      <c r="V17" s="79">
        <f t="shared" si="12"/>
        <v>2052.2928381582328</v>
      </c>
      <c r="W17" s="79">
        <f t="shared" ref="W17:Y17" si="13">W18+W42</f>
        <v>2075.316885402357</v>
      </c>
      <c r="X17" s="79">
        <f t="shared" si="13"/>
        <v>2063.9326148918194</v>
      </c>
      <c r="Y17" s="79">
        <f t="shared" si="13"/>
        <v>2108.6508889258885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733.60104636429628</v>
      </c>
      <c r="C18" s="32">
        <f t="shared" si="14"/>
        <v>760.83110116668456</v>
      </c>
      <c r="D18" s="32">
        <f t="shared" si="14"/>
        <v>793.14862368492038</v>
      </c>
      <c r="E18" s="32">
        <f t="shared" si="14"/>
        <v>855.84765721368012</v>
      </c>
      <c r="F18" s="32">
        <f t="shared" si="14"/>
        <v>925.70140635005896</v>
      </c>
      <c r="G18" s="32">
        <f t="shared" si="14"/>
        <v>1018.3155592376236</v>
      </c>
      <c r="H18" s="32">
        <f t="shared" si="14"/>
        <v>1125.2099809276529</v>
      </c>
      <c r="I18" s="32">
        <f t="shared" si="14"/>
        <v>1252.6555029660979</v>
      </c>
      <c r="J18" s="32">
        <f t="shared" si="14"/>
        <v>1226.6076321372443</v>
      </c>
      <c r="K18" s="32">
        <f t="shared" si="14"/>
        <v>1126.7990592060889</v>
      </c>
      <c r="L18" s="32">
        <f t="shared" ref="L18" si="15">L19+L21+L33</f>
        <v>1107.9080880385127</v>
      </c>
      <c r="M18" s="32">
        <f t="shared" ref="M18:V18" si="16">M19+M21+M33</f>
        <v>1038.2545932168193</v>
      </c>
      <c r="N18" s="32">
        <f t="shared" si="16"/>
        <v>1144.4101791925884</v>
      </c>
      <c r="O18" s="32">
        <f t="shared" si="16"/>
        <v>1119.3457567468313</v>
      </c>
      <c r="P18" s="32">
        <f t="shared" si="16"/>
        <v>1102.2275325868077</v>
      </c>
      <c r="Q18" s="32">
        <f t="shared" si="16"/>
        <v>1161.9173371859554</v>
      </c>
      <c r="R18" s="32">
        <f t="shared" si="16"/>
        <v>1299.960121593384</v>
      </c>
      <c r="S18" s="32">
        <f t="shared" si="16"/>
        <v>1366.877921633137</v>
      </c>
      <c r="T18" s="32">
        <f t="shared" si="16"/>
        <v>1452.8423546764425</v>
      </c>
      <c r="U18" s="32">
        <f t="shared" si="16"/>
        <v>1503.5124133974241</v>
      </c>
      <c r="V18" s="32">
        <f t="shared" si="16"/>
        <v>1445.2176462256894</v>
      </c>
      <c r="W18" s="32">
        <f t="shared" ref="W18:Y18" si="17">W19+W21+W33</f>
        <v>1443.9991644668089</v>
      </c>
      <c r="X18" s="32">
        <f t="shared" si="17"/>
        <v>1470.3056619437505</v>
      </c>
      <c r="Y18" s="32">
        <f t="shared" si="17"/>
        <v>1513.3315411080348</v>
      </c>
      <c r="DA18" s="173" t="s">
        <v>391</v>
      </c>
    </row>
    <row r="19" spans="1:105" ht="11.45" customHeight="1" x14ac:dyDescent="0.25">
      <c r="A19" s="107" t="s">
        <v>174</v>
      </c>
      <c r="B19" s="129">
        <v>2.993306056541333</v>
      </c>
      <c r="C19" s="129">
        <v>3.0105460502969206</v>
      </c>
      <c r="D19" s="129">
        <v>3.0787562054415281</v>
      </c>
      <c r="E19" s="129">
        <v>2.9922109323602801</v>
      </c>
      <c r="F19" s="129">
        <v>3.0833898614521358</v>
      </c>
      <c r="G19" s="129">
        <v>2.9768390835107188</v>
      </c>
      <c r="H19" s="129">
        <v>3.0916604659861853</v>
      </c>
      <c r="I19" s="129">
        <v>3.4152839896710288</v>
      </c>
      <c r="J19" s="129">
        <v>3.8636442317677835</v>
      </c>
      <c r="K19" s="129">
        <v>4.0583864370752742</v>
      </c>
      <c r="L19" s="129">
        <v>3.9652973748236451</v>
      </c>
      <c r="M19" s="129">
        <v>3.9077168442519468</v>
      </c>
      <c r="N19" s="129">
        <v>3.8309585605152829</v>
      </c>
      <c r="O19" s="129">
        <v>3.7676980648291667</v>
      </c>
      <c r="P19" s="129">
        <v>3.5931963010551344</v>
      </c>
      <c r="Q19" s="129">
        <v>3.719993587114204</v>
      </c>
      <c r="R19" s="129">
        <v>3.933194478193315</v>
      </c>
      <c r="S19" s="129">
        <v>3.6772935158882101</v>
      </c>
      <c r="T19" s="129">
        <v>3.4616917032587264</v>
      </c>
      <c r="U19" s="129">
        <v>3.5658754899264928</v>
      </c>
      <c r="V19" s="129">
        <v>3.1443579787852274</v>
      </c>
      <c r="W19" s="129">
        <v>3.2537986093696323</v>
      </c>
      <c r="X19" s="129">
        <v>3.3310895402606393</v>
      </c>
      <c r="Y19" s="129">
        <v>3.6345732783915361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5.4653217881571537E-3</v>
      </c>
      <c r="H20" s="97">
        <v>4.2691436485525987E-2</v>
      </c>
      <c r="I20" s="97">
        <v>8.7021126545231711E-2</v>
      </c>
      <c r="J20" s="97">
        <v>0.13199909231225071</v>
      </c>
      <c r="K20" s="97">
        <v>0.1444513038304602</v>
      </c>
      <c r="L20" s="97">
        <v>0.13342401961977771</v>
      </c>
      <c r="M20" s="97">
        <v>0.14131351371332024</v>
      </c>
      <c r="N20" s="97">
        <v>0.13412275473095631</v>
      </c>
      <c r="O20" s="97">
        <v>0.11242085644114024</v>
      </c>
      <c r="P20" s="97">
        <v>9.8742315808826933E-2</v>
      </c>
      <c r="Q20" s="97">
        <v>0.17173900655085841</v>
      </c>
      <c r="R20" s="97">
        <v>0.11421163732401537</v>
      </c>
      <c r="S20" s="97">
        <v>0.13766576566073774</v>
      </c>
      <c r="T20" s="97">
        <v>0.11519488306447322</v>
      </c>
      <c r="U20" s="97">
        <v>0.1376692033013765</v>
      </c>
      <c r="V20" s="97">
        <v>0.19582994627183886</v>
      </c>
      <c r="W20" s="97">
        <v>0.21161261872765694</v>
      </c>
      <c r="X20" s="97">
        <v>0.23242697405759324</v>
      </c>
      <c r="Y20" s="97">
        <v>0.23818049730308669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671.61013507841074</v>
      </c>
      <c r="C21" s="130">
        <f t="shared" si="18"/>
        <v>700.95679796285322</v>
      </c>
      <c r="D21" s="130">
        <f t="shared" si="18"/>
        <v>731.77284858052815</v>
      </c>
      <c r="E21" s="130">
        <f t="shared" si="18"/>
        <v>794.79566181295365</v>
      </c>
      <c r="F21" s="130">
        <f t="shared" si="18"/>
        <v>860.53283606630202</v>
      </c>
      <c r="G21" s="130">
        <f t="shared" si="18"/>
        <v>954.89648168539634</v>
      </c>
      <c r="H21" s="130">
        <f t="shared" si="18"/>
        <v>1063.6592321797389</v>
      </c>
      <c r="I21" s="130">
        <f t="shared" si="18"/>
        <v>1193.7789695086385</v>
      </c>
      <c r="J21" s="130">
        <f t="shared" si="18"/>
        <v>1170.5165004885173</v>
      </c>
      <c r="K21" s="130">
        <f t="shared" si="18"/>
        <v>1071.0336533435045</v>
      </c>
      <c r="L21" s="130">
        <f t="shared" ref="L21" si="19">L22+L24+L26+L27+L29+L32</f>
        <v>1053.5498366190654</v>
      </c>
      <c r="M21" s="130">
        <f t="shared" ref="M21:V21" si="20">M22+M24+M26+M27+M29+M32</f>
        <v>982.90095299133122</v>
      </c>
      <c r="N21" s="130">
        <f t="shared" si="20"/>
        <v>1089.9390158291528</v>
      </c>
      <c r="O21" s="130">
        <f t="shared" si="20"/>
        <v>1064.5825484960446</v>
      </c>
      <c r="P21" s="130">
        <f t="shared" si="20"/>
        <v>1045.9950917122983</v>
      </c>
      <c r="Q21" s="130">
        <f t="shared" si="20"/>
        <v>1103.9150097122294</v>
      </c>
      <c r="R21" s="130">
        <f t="shared" si="20"/>
        <v>1243.8490337231158</v>
      </c>
      <c r="S21" s="130">
        <f t="shared" si="20"/>
        <v>1309.6185938920617</v>
      </c>
      <c r="T21" s="130">
        <f t="shared" si="20"/>
        <v>1394.4333178982088</v>
      </c>
      <c r="U21" s="130">
        <f t="shared" si="20"/>
        <v>1438.3330944612003</v>
      </c>
      <c r="V21" s="130">
        <f t="shared" si="20"/>
        <v>1396.0474956164442</v>
      </c>
      <c r="W21" s="130">
        <f t="shared" ref="W21:Y21" si="21">W22+W24+W26+W27+W29+W32</f>
        <v>1396.5999107745401</v>
      </c>
      <c r="X21" s="130">
        <f t="shared" si="21"/>
        <v>1419.7954032934783</v>
      </c>
      <c r="Y21" s="130">
        <f t="shared" si="21"/>
        <v>1456.1130010850502</v>
      </c>
      <c r="DA21" s="176" t="s">
        <v>393</v>
      </c>
    </row>
    <row r="22" spans="1:105" ht="11.45" customHeight="1" x14ac:dyDescent="0.25">
      <c r="A22" s="111" t="s">
        <v>110</v>
      </c>
      <c r="B22" s="96">
        <v>382.89860825908448</v>
      </c>
      <c r="C22" s="96">
        <v>378.8679634634662</v>
      </c>
      <c r="D22" s="96">
        <v>368.38866934423413</v>
      </c>
      <c r="E22" s="96">
        <v>366.46617270850959</v>
      </c>
      <c r="F22" s="96">
        <v>350.72987266123812</v>
      </c>
      <c r="G22" s="96">
        <v>344.13155805776574</v>
      </c>
      <c r="H22" s="96">
        <v>365.3468874670782</v>
      </c>
      <c r="I22" s="96">
        <v>446.24887669407082</v>
      </c>
      <c r="J22" s="96">
        <v>443.74147074737289</v>
      </c>
      <c r="K22" s="96">
        <v>371.51941082246549</v>
      </c>
      <c r="L22" s="96">
        <v>298.34623940220325</v>
      </c>
      <c r="M22" s="96">
        <v>259.82977047968416</v>
      </c>
      <c r="N22" s="96">
        <v>232.46872974496648</v>
      </c>
      <c r="O22" s="96">
        <v>208.95310836957779</v>
      </c>
      <c r="P22" s="96">
        <v>204.37744669994737</v>
      </c>
      <c r="Q22" s="96">
        <v>202.79485050926419</v>
      </c>
      <c r="R22" s="96">
        <v>214.68843702178648</v>
      </c>
      <c r="S22" s="96">
        <v>212.76638865478463</v>
      </c>
      <c r="T22" s="96">
        <v>231.31850256186652</v>
      </c>
      <c r="U22" s="96">
        <v>240.20439648668903</v>
      </c>
      <c r="V22" s="96">
        <v>238.41464558985339</v>
      </c>
      <c r="W22" s="96">
        <v>236.61910559897828</v>
      </c>
      <c r="X22" s="96">
        <v>263.38815560388798</v>
      </c>
      <c r="Y22" s="96">
        <v>291.86208019960389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0.63180764881233575</v>
      </c>
      <c r="H23" s="96">
        <v>5.0449212043438756</v>
      </c>
      <c r="I23" s="96">
        <v>11.370380936667809</v>
      </c>
      <c r="J23" s="96">
        <v>15.160161714257136</v>
      </c>
      <c r="K23" s="96">
        <v>13.223596156679678</v>
      </c>
      <c r="L23" s="96">
        <v>10.038731206447498</v>
      </c>
      <c r="M23" s="96">
        <v>9.3961408406085543</v>
      </c>
      <c r="N23" s="96">
        <v>8.1387845704097952</v>
      </c>
      <c r="O23" s="96">
        <v>6.2347584638556821</v>
      </c>
      <c r="P23" s="96">
        <v>5.6163651232530425</v>
      </c>
      <c r="Q23" s="96">
        <v>9.3623242472061978</v>
      </c>
      <c r="R23" s="96">
        <v>6.2340975110020604</v>
      </c>
      <c r="S23" s="96">
        <v>7.9652732844079743</v>
      </c>
      <c r="T23" s="96">
        <v>7.6975970529608126</v>
      </c>
      <c r="U23" s="96">
        <v>9.2736686929279522</v>
      </c>
      <c r="V23" s="96">
        <v>14.848413428523791</v>
      </c>
      <c r="W23" s="96">
        <v>15.38865633312699</v>
      </c>
      <c r="X23" s="96">
        <v>18.377924480778802</v>
      </c>
      <c r="Y23" s="96">
        <v>19.126277029313037</v>
      </c>
      <c r="DA23" s="171" t="s">
        <v>642</v>
      </c>
    </row>
    <row r="24" spans="1:105" ht="11.45" customHeight="1" x14ac:dyDescent="0.25">
      <c r="A24" s="111" t="s">
        <v>111</v>
      </c>
      <c r="B24" s="96">
        <v>168.86629896034083</v>
      </c>
      <c r="C24" s="96">
        <v>195.58556708752121</v>
      </c>
      <c r="D24" s="96">
        <v>211.37673211445431</v>
      </c>
      <c r="E24" s="96">
        <v>253.01907037935953</v>
      </c>
      <c r="F24" s="96">
        <v>297.87445166344878</v>
      </c>
      <c r="G24" s="96">
        <v>382.19048408964886</v>
      </c>
      <c r="H24" s="96">
        <v>464.18873722481845</v>
      </c>
      <c r="I24" s="96">
        <v>515.82474056459637</v>
      </c>
      <c r="J24" s="96">
        <v>521.67832512387929</v>
      </c>
      <c r="K24" s="96">
        <v>515.48258155098335</v>
      </c>
      <c r="L24" s="96">
        <v>581.15017416892715</v>
      </c>
      <c r="M24" s="96">
        <v>560.147015453157</v>
      </c>
      <c r="N24" s="96">
        <v>704.52470422541853</v>
      </c>
      <c r="O24" s="96">
        <v>709.14679281015685</v>
      </c>
      <c r="P24" s="96">
        <v>698.80479837592452</v>
      </c>
      <c r="Q24" s="96">
        <v>767.66968049220782</v>
      </c>
      <c r="R24" s="96">
        <v>902.42473614560606</v>
      </c>
      <c r="S24" s="96">
        <v>977.98846429631431</v>
      </c>
      <c r="T24" s="96">
        <v>1048.7572121187093</v>
      </c>
      <c r="U24" s="96">
        <v>1084.1037177834021</v>
      </c>
      <c r="V24" s="96">
        <v>1045.969664042676</v>
      </c>
      <c r="W24" s="96">
        <v>1045.9433432151573</v>
      </c>
      <c r="X24" s="96">
        <v>1037.2406305960694</v>
      </c>
      <c r="Y24" s="96">
        <v>1037.7816387382893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0.41362782391759506</v>
      </c>
      <c r="G25" s="96">
        <v>1.4442985088963538</v>
      </c>
      <c r="H25" s="96">
        <v>8.4873348526309424</v>
      </c>
      <c r="I25" s="96">
        <v>22.077117254088414</v>
      </c>
      <c r="J25" s="96">
        <v>24.082673004041119</v>
      </c>
      <c r="K25" s="96">
        <v>24.258977677826874</v>
      </c>
      <c r="L25" s="96">
        <v>21.8157169400641</v>
      </c>
      <c r="M25" s="96">
        <v>20.666641508533178</v>
      </c>
      <c r="N25" s="96">
        <v>34.405488597273113</v>
      </c>
      <c r="O25" s="96">
        <v>33.607733610348028</v>
      </c>
      <c r="P25" s="96">
        <v>31.615576439279824</v>
      </c>
      <c r="Q25" s="96">
        <v>33.051632243831136</v>
      </c>
      <c r="R25" s="96">
        <v>30.81474702941706</v>
      </c>
      <c r="S25" s="96">
        <v>39.606304662210427</v>
      </c>
      <c r="T25" s="96">
        <v>43.733231582118435</v>
      </c>
      <c r="U25" s="96">
        <v>40.644905656902559</v>
      </c>
      <c r="V25" s="96">
        <v>52.694917103961373</v>
      </c>
      <c r="W25" s="96">
        <v>65.158351460752229</v>
      </c>
      <c r="X25" s="96">
        <v>61.382424553965357</v>
      </c>
      <c r="Y25" s="96">
        <v>59.731535188299574</v>
      </c>
      <c r="DA25" s="171" t="s">
        <v>644</v>
      </c>
    </row>
    <row r="26" spans="1:105" ht="11.45" customHeight="1" x14ac:dyDescent="0.25">
      <c r="A26" s="111" t="s">
        <v>112</v>
      </c>
      <c r="B26" s="96">
        <v>119.8452278589854</v>
      </c>
      <c r="C26" s="96">
        <v>126.50326741186581</v>
      </c>
      <c r="D26" s="96">
        <v>152.0074471218397</v>
      </c>
      <c r="E26" s="96">
        <v>175.31041872508453</v>
      </c>
      <c r="F26" s="96">
        <v>211.92851174161513</v>
      </c>
      <c r="G26" s="96">
        <v>228.57443953798173</v>
      </c>
      <c r="H26" s="96">
        <v>234.12360748784238</v>
      </c>
      <c r="I26" s="96">
        <v>231.70535224997141</v>
      </c>
      <c r="J26" s="96">
        <v>205.09670461726509</v>
      </c>
      <c r="K26" s="96">
        <v>184.03166097005575</v>
      </c>
      <c r="L26" s="96">
        <v>174.05342304793496</v>
      </c>
      <c r="M26" s="96">
        <v>162.92384106005525</v>
      </c>
      <c r="N26" s="96">
        <v>152.94474095466373</v>
      </c>
      <c r="O26" s="96">
        <v>146.04597300178565</v>
      </c>
      <c r="P26" s="96">
        <v>141.79969745101488</v>
      </c>
      <c r="Q26" s="96">
        <v>132.06125256460894</v>
      </c>
      <c r="R26" s="96">
        <v>124.36300726095648</v>
      </c>
      <c r="S26" s="96">
        <v>115.13311205197176</v>
      </c>
      <c r="T26" s="96">
        <v>107.82515583847992</v>
      </c>
      <c r="U26" s="96">
        <v>103.55269081114218</v>
      </c>
      <c r="V26" s="96">
        <v>95.779123693729701</v>
      </c>
      <c r="W26" s="96">
        <v>91.336722510713045</v>
      </c>
      <c r="X26" s="96">
        <v>91.341445774525667</v>
      </c>
      <c r="Y26" s="96">
        <v>92.960363335317822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5.138113866404192E-4</v>
      </c>
      <c r="O27" s="96">
        <v>2.1581995471365981E-3</v>
      </c>
      <c r="P27" s="96">
        <v>1.1753253661244229E-2</v>
      </c>
      <c r="Q27" s="96">
        <v>1.6448967893061103E-2</v>
      </c>
      <c r="R27" s="96">
        <v>2.3919347960568094E-2</v>
      </c>
      <c r="S27" s="96">
        <v>3.6826257230399062E-2</v>
      </c>
      <c r="T27" s="96">
        <v>4.9805058115635202E-2</v>
      </c>
      <c r="U27" s="96">
        <v>4.8818596134321955E-2</v>
      </c>
      <c r="V27" s="96">
        <v>7.7964597983341349E-2</v>
      </c>
      <c r="W27" s="96">
        <v>0.10432638763291452</v>
      </c>
      <c r="X27" s="96">
        <v>0.34931652682707393</v>
      </c>
      <c r="Y27" s="96">
        <v>0.30641399847927137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X28" s="96">
        <v>0</v>
      </c>
      <c r="Y28" s="96">
        <v>1.4627114039955508E-3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0.43355277158802552</v>
      </c>
      <c r="P29" s="96">
        <v>0.99129367797619239</v>
      </c>
      <c r="Q29" s="96">
        <v>1.34784779643636</v>
      </c>
      <c r="R29" s="96">
        <v>2.296643941127984</v>
      </c>
      <c r="S29" s="96">
        <v>3.5913095379600923</v>
      </c>
      <c r="T29" s="96">
        <v>6.3160249274065716</v>
      </c>
      <c r="U29" s="96">
        <v>10.177115647043307</v>
      </c>
      <c r="V29" s="96">
        <v>15.361379880557935</v>
      </c>
      <c r="W29" s="96">
        <v>21.717596128324089</v>
      </c>
      <c r="X29" s="96">
        <v>26.124734886250131</v>
      </c>
      <c r="Y29" s="96">
        <v>31.088071246130784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9.4674355864124409E-3</v>
      </c>
      <c r="P30" s="96">
        <v>1.7801521434434111E-2</v>
      </c>
      <c r="Q30" s="96">
        <v>3.9511823746493382E-2</v>
      </c>
      <c r="R30" s="96">
        <v>4.2272155047341449E-2</v>
      </c>
      <c r="S30" s="96">
        <v>8.3284421415599705E-2</v>
      </c>
      <c r="T30" s="96">
        <v>0.12810901396082561</v>
      </c>
      <c r="U30" s="96">
        <v>0.2414359022585644</v>
      </c>
      <c r="V30" s="96">
        <v>0.57100163672321924</v>
      </c>
      <c r="W30" s="96">
        <v>0.79479141763981587</v>
      </c>
      <c r="X30" s="96">
        <v>0.95611973378116699</v>
      </c>
      <c r="Y30" s="96">
        <v>0.99502909509590143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0.1162589893929328</v>
      </c>
      <c r="P31" s="96">
        <v>0.34350290613322187</v>
      </c>
      <c r="Q31" s="96">
        <v>0.49199254314179369</v>
      </c>
      <c r="R31" s="96">
        <v>0.84088504729611613</v>
      </c>
      <c r="S31" s="96">
        <v>1.3666368942119476</v>
      </c>
      <c r="T31" s="96">
        <v>2.4662540092604996</v>
      </c>
      <c r="U31" s="96">
        <v>3.9234994016771578</v>
      </c>
      <c r="V31" s="96">
        <v>6.1930499774400047</v>
      </c>
      <c r="W31" s="96">
        <v>9.4967218486875709</v>
      </c>
      <c r="X31" s="96">
        <v>12.421848388893594</v>
      </c>
      <c r="Y31" s="96">
        <v>15.904182551601613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3.2599843483874902E-4</v>
      </c>
      <c r="N32" s="96">
        <v>3.2709271754105871E-4</v>
      </c>
      <c r="O32" s="96">
        <v>9.6334338914137328E-4</v>
      </c>
      <c r="P32" s="96">
        <v>1.0102253774096358E-2</v>
      </c>
      <c r="Q32" s="96">
        <v>2.4929381819324657E-2</v>
      </c>
      <c r="R32" s="96">
        <v>5.229000567835633E-2</v>
      </c>
      <c r="S32" s="96">
        <v>0.10249309380070352</v>
      </c>
      <c r="T32" s="96">
        <v>0.16661739363082689</v>
      </c>
      <c r="U32" s="96">
        <v>0.24635513678902091</v>
      </c>
      <c r="V32" s="96">
        <v>0.44471781164407725</v>
      </c>
      <c r="W32" s="96">
        <v>0.87881693373448344</v>
      </c>
      <c r="X32" s="96">
        <v>1.3511199059179797</v>
      </c>
      <c r="Y32" s="96">
        <v>2.1144335672289802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58.997605229344238</v>
      </c>
      <c r="C33" s="130">
        <f t="shared" si="22"/>
        <v>56.86375715353438</v>
      </c>
      <c r="D33" s="130">
        <f t="shared" si="22"/>
        <v>58.297018898950654</v>
      </c>
      <c r="E33" s="130">
        <f t="shared" si="22"/>
        <v>58.059784468366168</v>
      </c>
      <c r="F33" s="130">
        <f t="shared" si="22"/>
        <v>62.085180422304802</v>
      </c>
      <c r="G33" s="130">
        <f t="shared" si="22"/>
        <v>60.442238468716532</v>
      </c>
      <c r="H33" s="130">
        <f t="shared" si="22"/>
        <v>58.459088281927848</v>
      </c>
      <c r="I33" s="130">
        <f t="shared" si="22"/>
        <v>55.461249467788349</v>
      </c>
      <c r="J33" s="130">
        <f t="shared" si="22"/>
        <v>52.227487416959377</v>
      </c>
      <c r="K33" s="130">
        <f t="shared" si="22"/>
        <v>51.707019425509053</v>
      </c>
      <c r="L33" s="130">
        <f t="shared" ref="L33" si="23">L34+L36+L38+L39+L41</f>
        <v>50.392954044623544</v>
      </c>
      <c r="M33" s="130">
        <f t="shared" ref="M33:V33" si="24">M34+M36+M38+M39+M41</f>
        <v>51.445923381236192</v>
      </c>
      <c r="N33" s="130">
        <f t="shared" si="24"/>
        <v>50.640204802920394</v>
      </c>
      <c r="O33" s="130">
        <f t="shared" si="24"/>
        <v>50.995510185957556</v>
      </c>
      <c r="P33" s="130">
        <f t="shared" si="24"/>
        <v>52.639244573454235</v>
      </c>
      <c r="Q33" s="130">
        <f t="shared" si="24"/>
        <v>54.282333886611667</v>
      </c>
      <c r="R33" s="130">
        <f t="shared" si="24"/>
        <v>52.177893392074765</v>
      </c>
      <c r="S33" s="130">
        <f t="shared" si="24"/>
        <v>53.582034225187037</v>
      </c>
      <c r="T33" s="130">
        <f t="shared" si="24"/>
        <v>54.947345074974898</v>
      </c>
      <c r="U33" s="130">
        <f t="shared" si="24"/>
        <v>61.613443446297516</v>
      </c>
      <c r="V33" s="130">
        <f t="shared" si="24"/>
        <v>46.02579263046016</v>
      </c>
      <c r="W33" s="130">
        <f t="shared" ref="W33:Y33" si="25">W34+W36+W38+W39+W41</f>
        <v>44.145455082899076</v>
      </c>
      <c r="X33" s="130">
        <f t="shared" si="25"/>
        <v>47.179169110011628</v>
      </c>
      <c r="Y33" s="130">
        <f t="shared" si="25"/>
        <v>53.583966744592928</v>
      </c>
      <c r="DA33" s="176" t="s">
        <v>394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6.3833204966333656E-2</v>
      </c>
      <c r="E34" s="97">
        <v>9.7002720616586852E-2</v>
      </c>
      <c r="F34" s="97">
        <v>9.362372171655213E-2</v>
      </c>
      <c r="G34" s="97">
        <v>9.1819454178757531E-2</v>
      </c>
      <c r="H34" s="97">
        <v>9.3248263448382468E-2</v>
      </c>
      <c r="I34" s="97">
        <v>7.7937401848354071E-2</v>
      </c>
      <c r="J34" s="97">
        <v>5.1851102991891024E-2</v>
      </c>
      <c r="K34" s="97">
        <v>4.5992586280520283E-2</v>
      </c>
      <c r="L34" s="97">
        <v>4.434712575544144E-2</v>
      </c>
      <c r="M34" s="97">
        <v>3.0689681950800997E-2</v>
      </c>
      <c r="N34" s="97">
        <v>2.7608519874941395E-2</v>
      </c>
      <c r="O34" s="97">
        <v>0.35228771417966698</v>
      </c>
      <c r="P34" s="97">
        <v>0.20972851859968333</v>
      </c>
      <c r="Q34" s="97">
        <v>0.18971580802058155</v>
      </c>
      <c r="R34" s="97">
        <v>0.19539599333315888</v>
      </c>
      <c r="S34" s="97">
        <v>0.19609258643174346</v>
      </c>
      <c r="T34" s="97">
        <v>0.18651197670915107</v>
      </c>
      <c r="U34" s="97">
        <v>0.17264137486461681</v>
      </c>
      <c r="V34" s="97">
        <v>0.12016480823692392</v>
      </c>
      <c r="W34" s="97">
        <v>0.11223058158761436</v>
      </c>
      <c r="X34" s="97">
        <v>0.11773746206691232</v>
      </c>
      <c r="Y34" s="97">
        <v>0.12520165003876479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1.6857574407684773E-4</v>
      </c>
      <c r="H35" s="97">
        <v>1.2876259732235429E-3</v>
      </c>
      <c r="I35" s="97">
        <v>1.9858379359853702E-3</v>
      </c>
      <c r="J35" s="97">
        <v>1.771461894457886E-3</v>
      </c>
      <c r="K35" s="97">
        <v>1.6370272170394761E-3</v>
      </c>
      <c r="L35" s="97">
        <v>1.4921886601601787E-3</v>
      </c>
      <c r="M35" s="97">
        <v>1.1098211472490042E-3</v>
      </c>
      <c r="N35" s="97">
        <v>9.6658073460691109E-4</v>
      </c>
      <c r="O35" s="97">
        <v>1.0511587144275455E-2</v>
      </c>
      <c r="P35" s="97">
        <v>5.7634144874317578E-3</v>
      </c>
      <c r="Q35" s="97">
        <v>8.7585109042414566E-3</v>
      </c>
      <c r="R35" s="97">
        <v>5.6738858067815132E-3</v>
      </c>
      <c r="S35" s="97">
        <v>7.3410610099204849E-3</v>
      </c>
      <c r="T35" s="97">
        <v>6.206568114343892E-3</v>
      </c>
      <c r="U35" s="97">
        <v>6.6652356767947681E-3</v>
      </c>
      <c r="V35" s="97">
        <v>7.4838387039804534E-3</v>
      </c>
      <c r="W35" s="97">
        <v>7.2989788620273803E-3</v>
      </c>
      <c r="X35" s="97">
        <v>8.2151385337098769E-3</v>
      </c>
      <c r="Y35" s="97">
        <v>8.2047021714188664E-3</v>
      </c>
      <c r="DA35" s="175" t="s">
        <v>653</v>
      </c>
    </row>
    <row r="36" spans="1:105" ht="11.45" customHeight="1" x14ac:dyDescent="0.25">
      <c r="A36" s="111" t="s">
        <v>111</v>
      </c>
      <c r="B36" s="97">
        <v>58.997605229344238</v>
      </c>
      <c r="C36" s="97">
        <v>56.86375715353438</v>
      </c>
      <c r="D36" s="97">
        <v>58.214751474465508</v>
      </c>
      <c r="E36" s="97">
        <v>57.944051719609732</v>
      </c>
      <c r="F36" s="97">
        <v>61.772796079337141</v>
      </c>
      <c r="G36" s="97">
        <v>59.641362883730352</v>
      </c>
      <c r="H36" s="97">
        <v>57.164444193399561</v>
      </c>
      <c r="I36" s="97">
        <v>53.820145899365507</v>
      </c>
      <c r="J36" s="97">
        <v>50.569241231114312</v>
      </c>
      <c r="K36" s="97">
        <v>48.670310609171544</v>
      </c>
      <c r="L36" s="97">
        <v>46.356410050825879</v>
      </c>
      <c r="M36" s="97">
        <v>46.61049225493619</v>
      </c>
      <c r="N36" s="97">
        <v>46.155112672073408</v>
      </c>
      <c r="O36" s="97">
        <v>39.832424962036427</v>
      </c>
      <c r="P36" s="97">
        <v>40.03432398562876</v>
      </c>
      <c r="Q36" s="97">
        <v>38.316542714903427</v>
      </c>
      <c r="R36" s="97">
        <v>36.46656733855778</v>
      </c>
      <c r="S36" s="97">
        <v>37.565628920699986</v>
      </c>
      <c r="T36" s="97">
        <v>38.884607253918581</v>
      </c>
      <c r="U36" s="97">
        <v>44.55541668487416</v>
      </c>
      <c r="V36" s="97">
        <v>31.002744626988683</v>
      </c>
      <c r="W36" s="97">
        <v>26.689332626670197</v>
      </c>
      <c r="X36" s="97">
        <v>29.56993342279689</v>
      </c>
      <c r="Y36" s="97">
        <v>33.955694384836335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8.5777571983481543E-2</v>
      </c>
      <c r="G37" s="97">
        <v>0.22538481481740025</v>
      </c>
      <c r="H37" s="97">
        <v>1.0452079954256503</v>
      </c>
      <c r="I37" s="97">
        <v>2.3034832923133917</v>
      </c>
      <c r="J37" s="97">
        <v>2.3344701935665189</v>
      </c>
      <c r="K37" s="97">
        <v>2.2904595051268819</v>
      </c>
      <c r="L37" s="97">
        <v>1.7401669395910708</v>
      </c>
      <c r="M37" s="97">
        <v>1.7196955574060075</v>
      </c>
      <c r="N37" s="97">
        <v>2.253986543297688</v>
      </c>
      <c r="O37" s="97">
        <v>1.8877297912798567</v>
      </c>
      <c r="P37" s="97">
        <v>1.8112471939290367</v>
      </c>
      <c r="Q37" s="97">
        <v>1.6496994877484805</v>
      </c>
      <c r="R37" s="97">
        <v>1.2452097139628389</v>
      </c>
      <c r="S37" s="97">
        <v>1.521322385874275</v>
      </c>
      <c r="T37" s="97">
        <v>1.6214901927395351</v>
      </c>
      <c r="U37" s="97">
        <v>1.6704589034741328</v>
      </c>
      <c r="V37" s="97">
        <v>1.5618876094362497</v>
      </c>
      <c r="W37" s="97">
        <v>1.66264542608573</v>
      </c>
      <c r="X37" s="97">
        <v>1.7499065827642546</v>
      </c>
      <c r="Y37" s="97">
        <v>1.9543858537108707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1.8434219518806992E-2</v>
      </c>
      <c r="E38" s="97">
        <v>1.8730028139846547E-2</v>
      </c>
      <c r="F38" s="97">
        <v>1.9983529236069678E-2</v>
      </c>
      <c r="G38" s="97">
        <v>1.9197607332074526E-2</v>
      </c>
      <c r="H38" s="97">
        <v>1.8438943799932602E-2</v>
      </c>
      <c r="I38" s="97">
        <v>1.7691602135177793E-2</v>
      </c>
      <c r="J38" s="97">
        <v>1.6966921857908105E-2</v>
      </c>
      <c r="K38" s="97">
        <v>1.6318393658730813E-2</v>
      </c>
      <c r="L38" s="97">
        <v>1.6052446476052348E-2</v>
      </c>
      <c r="M38" s="97">
        <v>5.8360143728037529E-2</v>
      </c>
      <c r="N38" s="97">
        <v>5.8956379816055601E-2</v>
      </c>
      <c r="O38" s="97">
        <v>0.30544574284034248</v>
      </c>
      <c r="P38" s="97">
        <v>1.2254960141614182</v>
      </c>
      <c r="Q38" s="97">
        <v>1.250613299535466</v>
      </c>
      <c r="R38" s="97">
        <v>1.2997614406772104</v>
      </c>
      <c r="S38" s="97">
        <v>1.3433281887849378</v>
      </c>
      <c r="T38" s="97">
        <v>1.3376128631537829</v>
      </c>
      <c r="U38" s="97">
        <v>1.5669996445758165</v>
      </c>
      <c r="V38" s="97">
        <v>1.1205323681791384</v>
      </c>
      <c r="W38" s="97">
        <v>1.0788406879111805</v>
      </c>
      <c r="X38" s="97">
        <v>1.1750632538492334</v>
      </c>
      <c r="Y38" s="97">
        <v>1.3001697687234439</v>
      </c>
      <c r="DA38" s="175" t="s">
        <v>656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1.3542562338779021</v>
      </c>
      <c r="L39" s="97">
        <v>2.407566638005159</v>
      </c>
      <c r="M39" s="97">
        <v>3.202923473774721</v>
      </c>
      <c r="N39" s="97">
        <v>2.8799677019409606</v>
      </c>
      <c r="O39" s="97">
        <v>3.9961221099971453</v>
      </c>
      <c r="P39" s="97">
        <v>4.6314109767772758</v>
      </c>
      <c r="Q39" s="97">
        <v>7.6576696907483823</v>
      </c>
      <c r="R39" s="97">
        <v>7.7361838334667734</v>
      </c>
      <c r="S39" s="97">
        <v>7.7878513008091534</v>
      </c>
      <c r="T39" s="97">
        <v>7.6672198773959721</v>
      </c>
      <c r="U39" s="97">
        <v>7.4105107245879482</v>
      </c>
      <c r="V39" s="97">
        <v>8.3054403891189796</v>
      </c>
      <c r="W39" s="97">
        <v>9.912870516924265</v>
      </c>
      <c r="X39" s="97">
        <v>9.4530050552881448</v>
      </c>
      <c r="Y39" s="97">
        <v>10.764179294727949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X40" s="97">
        <v>0</v>
      </c>
      <c r="Y40" s="97">
        <v>5.13843619651616E-2</v>
      </c>
      <c r="DA40" s="175" t="s">
        <v>658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0.19877709201503294</v>
      </c>
      <c r="G41" s="97">
        <v>0.68985852347535415</v>
      </c>
      <c r="H41" s="97">
        <v>1.1829568812799716</v>
      </c>
      <c r="I41" s="97">
        <v>1.5454745644393109</v>
      </c>
      <c r="J41" s="97">
        <v>1.5894281609952676</v>
      </c>
      <c r="K41" s="97">
        <v>1.6201416025203588</v>
      </c>
      <c r="L41" s="97">
        <v>1.5685777835610122</v>
      </c>
      <c r="M41" s="97">
        <v>1.5434578268464421</v>
      </c>
      <c r="N41" s="97">
        <v>1.5185595292150302</v>
      </c>
      <c r="O41" s="97">
        <v>6.5092296569039751</v>
      </c>
      <c r="P41" s="97">
        <v>6.5382850782870996</v>
      </c>
      <c r="Q41" s="97">
        <v>6.8677923734038071</v>
      </c>
      <c r="R41" s="97">
        <v>6.4799847860398438</v>
      </c>
      <c r="S41" s="97">
        <v>6.6891332284612135</v>
      </c>
      <c r="T41" s="97">
        <v>6.8713931037974145</v>
      </c>
      <c r="U41" s="97">
        <v>7.9078750173949732</v>
      </c>
      <c r="V41" s="97">
        <v>5.476910437936434</v>
      </c>
      <c r="W41" s="97">
        <v>6.3521806698058212</v>
      </c>
      <c r="X41" s="97">
        <v>6.8634299160104453</v>
      </c>
      <c r="Y41" s="97">
        <v>7.4387216462664263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215.08768966321873</v>
      </c>
      <c r="C42" s="32">
        <f t="shared" si="26"/>
        <v>280.23364517897312</v>
      </c>
      <c r="D42" s="32">
        <f t="shared" si="26"/>
        <v>283.37708568739265</v>
      </c>
      <c r="E42" s="32">
        <f t="shared" si="26"/>
        <v>236.77297907178843</v>
      </c>
      <c r="F42" s="32">
        <f t="shared" si="26"/>
        <v>280.8356338545957</v>
      </c>
      <c r="G42" s="32">
        <f t="shared" si="26"/>
        <v>263.77240762635023</v>
      </c>
      <c r="H42" s="32">
        <f t="shared" si="26"/>
        <v>257.05268360624945</v>
      </c>
      <c r="I42" s="32">
        <f t="shared" si="26"/>
        <v>406.64396987865069</v>
      </c>
      <c r="J42" s="32">
        <f t="shared" si="26"/>
        <v>428.56975819056072</v>
      </c>
      <c r="K42" s="32">
        <f t="shared" si="26"/>
        <v>248.17903596478899</v>
      </c>
      <c r="L42" s="32">
        <f t="shared" ref="L42" si="27">L43+L52</f>
        <v>294.91448802535791</v>
      </c>
      <c r="M42" s="32">
        <f t="shared" ref="M42:V42" si="28">M43+M52</f>
        <v>355.06864030751615</v>
      </c>
      <c r="N42" s="32">
        <f t="shared" si="28"/>
        <v>265.84060768729745</v>
      </c>
      <c r="O42" s="32">
        <f t="shared" si="28"/>
        <v>298.00898415085135</v>
      </c>
      <c r="P42" s="32">
        <f t="shared" si="28"/>
        <v>474.59694578552308</v>
      </c>
      <c r="Q42" s="32">
        <f t="shared" si="28"/>
        <v>509.63762646752571</v>
      </c>
      <c r="R42" s="32">
        <f t="shared" si="28"/>
        <v>486.34511047262936</v>
      </c>
      <c r="S42" s="32">
        <f t="shared" si="28"/>
        <v>507.04740951110927</v>
      </c>
      <c r="T42" s="32">
        <f t="shared" si="28"/>
        <v>543.54995798157881</v>
      </c>
      <c r="U42" s="32">
        <f t="shared" si="28"/>
        <v>570.50547093057821</v>
      </c>
      <c r="V42" s="32">
        <f t="shared" si="28"/>
        <v>607.07519193254359</v>
      </c>
      <c r="W42" s="32">
        <f t="shared" ref="W42:Y42" si="29">W43+W52</f>
        <v>631.31772093554787</v>
      </c>
      <c r="X42" s="32">
        <f t="shared" si="29"/>
        <v>593.62695294806895</v>
      </c>
      <c r="Y42" s="32">
        <f t="shared" si="29"/>
        <v>595.31934781785378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33.329073206796515</v>
      </c>
      <c r="C43" s="141">
        <f t="shared" si="30"/>
        <v>33.307329301522799</v>
      </c>
      <c r="D43" s="141">
        <f t="shared" si="30"/>
        <v>33.478703464757608</v>
      </c>
      <c r="E43" s="141">
        <f t="shared" si="30"/>
        <v>34.252346488932631</v>
      </c>
      <c r="F43" s="141">
        <f t="shared" si="30"/>
        <v>36.180097490237841</v>
      </c>
      <c r="G43" s="141">
        <f t="shared" si="30"/>
        <v>37.9966074014295</v>
      </c>
      <c r="H43" s="141">
        <f t="shared" si="30"/>
        <v>45.496043318353379</v>
      </c>
      <c r="I43" s="141">
        <f t="shared" si="30"/>
        <v>52.939571331536229</v>
      </c>
      <c r="J43" s="141">
        <f t="shared" si="30"/>
        <v>54.241565295603458</v>
      </c>
      <c r="K43" s="141">
        <f t="shared" si="30"/>
        <v>56.18519325869952</v>
      </c>
      <c r="L43" s="141">
        <f t="shared" ref="L43" si="31">L44+L46+L48+L49+L51</f>
        <v>52.843270924570575</v>
      </c>
      <c r="M43" s="141">
        <f t="shared" ref="M43:V43" si="32">M44+M46+M48+M49+M51</f>
        <v>58.112687180540391</v>
      </c>
      <c r="N43" s="141">
        <f t="shared" si="32"/>
        <v>63.572285699190537</v>
      </c>
      <c r="O43" s="141">
        <f t="shared" si="32"/>
        <v>66.201632877382877</v>
      </c>
      <c r="P43" s="141">
        <f t="shared" si="32"/>
        <v>74.501510607720064</v>
      </c>
      <c r="Q43" s="141">
        <f t="shared" si="32"/>
        <v>78.040332374896494</v>
      </c>
      <c r="R43" s="141">
        <f t="shared" si="32"/>
        <v>82.968360781556683</v>
      </c>
      <c r="S43" s="141">
        <f t="shared" si="32"/>
        <v>84.88221948464178</v>
      </c>
      <c r="T43" s="141">
        <f t="shared" si="32"/>
        <v>86.572362342146789</v>
      </c>
      <c r="U43" s="141">
        <f t="shared" si="32"/>
        <v>90.273575456728224</v>
      </c>
      <c r="V43" s="141">
        <f t="shared" si="32"/>
        <v>93.479858810929983</v>
      </c>
      <c r="W43" s="141">
        <f t="shared" ref="W43:Y43" si="33">W44+W46+W48+W49+W51</f>
        <v>96.575319178344415</v>
      </c>
      <c r="X43" s="141">
        <f t="shared" si="33"/>
        <v>92.112525447347309</v>
      </c>
      <c r="Y43" s="141">
        <f t="shared" si="33"/>
        <v>91.399763256418723</v>
      </c>
      <c r="DA43" s="174" t="s">
        <v>400</v>
      </c>
    </row>
    <row r="44" spans="1:105" ht="11.45" customHeight="1" x14ac:dyDescent="0.25">
      <c r="A44" s="111" t="s">
        <v>110</v>
      </c>
      <c r="B44" s="96">
        <v>4.6067959165324224</v>
      </c>
      <c r="C44" s="96">
        <v>4.4213185171912839</v>
      </c>
      <c r="D44" s="96">
        <v>4.271234796518784</v>
      </c>
      <c r="E44" s="96">
        <v>4.1477090813337814</v>
      </c>
      <c r="F44" s="96">
        <v>4.0502934632458123</v>
      </c>
      <c r="G44" s="96">
        <v>4.0536957003315264</v>
      </c>
      <c r="H44" s="96">
        <v>5.0817033735646815</v>
      </c>
      <c r="I44" s="96">
        <v>5.8290111147536443</v>
      </c>
      <c r="J44" s="96">
        <v>5.3647020176094449</v>
      </c>
      <c r="K44" s="96">
        <v>4.8570356055973942</v>
      </c>
      <c r="L44" s="96">
        <v>4.2943310585245635</v>
      </c>
      <c r="M44" s="96">
        <v>3.7246862787219146</v>
      </c>
      <c r="N44" s="96">
        <v>3.1310006810920772</v>
      </c>
      <c r="O44" s="96">
        <v>2.7374710546008938</v>
      </c>
      <c r="P44" s="96">
        <v>2.375621027557397</v>
      </c>
      <c r="Q44" s="96">
        <v>1.9695074562359094</v>
      </c>
      <c r="R44" s="96">
        <v>1.8108765535258815</v>
      </c>
      <c r="S44" s="96">
        <v>1.6280719456647936</v>
      </c>
      <c r="T44" s="96">
        <v>1.4861023757030714</v>
      </c>
      <c r="U44" s="96">
        <v>2.0283199302388204</v>
      </c>
      <c r="V44" s="96">
        <v>1.8053822015198517</v>
      </c>
      <c r="W44" s="96">
        <v>1.640164619163998</v>
      </c>
      <c r="X44" s="96">
        <v>1.3511025215353856</v>
      </c>
      <c r="Y44" s="96">
        <v>1.1464487827677581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7.4423745496692345E-3</v>
      </c>
      <c r="H45" s="96">
        <v>7.0171100351285834E-2</v>
      </c>
      <c r="I45" s="96">
        <v>0.14852267494727392</v>
      </c>
      <c r="J45" s="96">
        <v>0.18328183299789588</v>
      </c>
      <c r="K45" s="96">
        <v>0.17287785105184136</v>
      </c>
      <c r="L45" s="96">
        <v>0.14449531958038447</v>
      </c>
      <c r="M45" s="96">
        <v>0.13469463794446032</v>
      </c>
      <c r="N45" s="96">
        <v>0.10961706574974958</v>
      </c>
      <c r="O45" s="96">
        <v>8.1680865914879955E-2</v>
      </c>
      <c r="P45" s="96">
        <v>6.5282913064415707E-2</v>
      </c>
      <c r="Q45" s="96">
        <v>9.0925225005792268E-2</v>
      </c>
      <c r="R45" s="96">
        <v>5.2584019762191792E-2</v>
      </c>
      <c r="S45" s="96">
        <v>6.0949654952026505E-2</v>
      </c>
      <c r="T45" s="96">
        <v>4.9453100988108505E-2</v>
      </c>
      <c r="U45" s="96">
        <v>7.8308171338320673E-2</v>
      </c>
      <c r="V45" s="96">
        <v>0.11243881959660153</v>
      </c>
      <c r="W45" s="96">
        <v>0.10666902653602905</v>
      </c>
      <c r="X45" s="96">
        <v>9.4273260123017441E-2</v>
      </c>
      <c r="Y45" s="96">
        <v>7.5128968463936227E-2</v>
      </c>
      <c r="DA45" s="171" t="s">
        <v>661</v>
      </c>
    </row>
    <row r="46" spans="1:105" ht="11.45" customHeight="1" x14ac:dyDescent="0.25">
      <c r="A46" s="111" t="s">
        <v>111</v>
      </c>
      <c r="B46" s="96">
        <v>28.722277290264092</v>
      </c>
      <c r="C46" s="96">
        <v>28.886010784331518</v>
      </c>
      <c r="D46" s="96">
        <v>29.207468668238821</v>
      </c>
      <c r="E46" s="96">
        <v>30.104637407598847</v>
      </c>
      <c r="F46" s="96">
        <v>32.129804026992026</v>
      </c>
      <c r="G46" s="96">
        <v>33.942911701097977</v>
      </c>
      <c r="H46" s="96">
        <v>40.414339944788701</v>
      </c>
      <c r="I46" s="96">
        <v>47.110560216782581</v>
      </c>
      <c r="J46" s="96">
        <v>48.876863277994012</v>
      </c>
      <c r="K46" s="96">
        <v>51.328157653102124</v>
      </c>
      <c r="L46" s="96">
        <v>48.548939866046013</v>
      </c>
      <c r="M46" s="96">
        <v>54.388000901818479</v>
      </c>
      <c r="N46" s="96">
        <v>60.441285018098462</v>
      </c>
      <c r="O46" s="96">
        <v>63.464161822781989</v>
      </c>
      <c r="P46" s="96">
        <v>72.125889580162664</v>
      </c>
      <c r="Q46" s="96">
        <v>76.070824918660591</v>
      </c>
      <c r="R46" s="96">
        <v>81.157484228030796</v>
      </c>
      <c r="S46" s="96">
        <v>83.25414753897698</v>
      </c>
      <c r="T46" s="96">
        <v>85.08625996644372</v>
      </c>
      <c r="U46" s="96">
        <v>88.245255526489402</v>
      </c>
      <c r="V46" s="96">
        <v>91.674476609410135</v>
      </c>
      <c r="W46" s="96">
        <v>94.935154559180418</v>
      </c>
      <c r="X46" s="96">
        <v>90.761422925811928</v>
      </c>
      <c r="Y46" s="96">
        <v>90.25331447365096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4.4615376875620248E-2</v>
      </c>
      <c r="G47" s="96">
        <v>0.12827032277966691</v>
      </c>
      <c r="H47" s="96">
        <v>0.73894519287604243</v>
      </c>
      <c r="I47" s="96">
        <v>2.0163153878065203</v>
      </c>
      <c r="J47" s="96">
        <v>2.2563435341264002</v>
      </c>
      <c r="K47" s="96">
        <v>2.4155396812907264</v>
      </c>
      <c r="L47" s="96">
        <v>1.8224720165875548</v>
      </c>
      <c r="M47" s="96">
        <v>2.0066469801581204</v>
      </c>
      <c r="N47" s="96">
        <v>2.9516522699952952</v>
      </c>
      <c r="O47" s="96">
        <v>3.0076800261508958</v>
      </c>
      <c r="P47" s="96">
        <v>3.2631452740053923</v>
      </c>
      <c r="Q47" s="96">
        <v>3.2751911317955935</v>
      </c>
      <c r="R47" s="96">
        <v>2.7712530983051007</v>
      </c>
      <c r="S47" s="96">
        <v>3.3716032981982957</v>
      </c>
      <c r="T47" s="96">
        <v>3.5481015706689822</v>
      </c>
      <c r="U47" s="96">
        <v>3.3084658107039422</v>
      </c>
      <c r="V47" s="96">
        <v>4.6184694561895201</v>
      </c>
      <c r="W47" s="96">
        <v>5.9141044367978246</v>
      </c>
      <c r="X47" s="96">
        <v>5.3711318577566951</v>
      </c>
      <c r="Y47" s="96">
        <v>5.1947045776390528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X48" s="96">
        <v>0</v>
      </c>
      <c r="Y48" s="96">
        <v>0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X49" s="96">
        <v>0</v>
      </c>
      <c r="Y49" s="96">
        <v>0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X50" s="96">
        <v>0</v>
      </c>
      <c r="Y50" s="96">
        <v>0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0</v>
      </c>
      <c r="O51" s="96">
        <v>0</v>
      </c>
      <c r="P51" s="96">
        <v>0</v>
      </c>
      <c r="Q51" s="96">
        <v>0</v>
      </c>
      <c r="R51" s="96">
        <v>0</v>
      </c>
      <c r="S51" s="96">
        <v>0</v>
      </c>
      <c r="T51" s="96">
        <v>0</v>
      </c>
      <c r="U51" s="96">
        <v>0</v>
      </c>
      <c r="V51" s="96">
        <v>0</v>
      </c>
      <c r="W51" s="96">
        <v>0</v>
      </c>
      <c r="X51" s="96">
        <v>0</v>
      </c>
      <c r="Y51" s="96">
        <v>0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181.7586164564222</v>
      </c>
      <c r="C52" s="130">
        <f t="shared" si="34"/>
        <v>246.92631587745035</v>
      </c>
      <c r="D52" s="130">
        <f t="shared" si="34"/>
        <v>249.89838222263504</v>
      </c>
      <c r="E52" s="130">
        <f t="shared" si="34"/>
        <v>202.5206325828558</v>
      </c>
      <c r="F52" s="130">
        <f t="shared" si="34"/>
        <v>244.65553636435789</v>
      </c>
      <c r="G52" s="130">
        <f t="shared" si="34"/>
        <v>225.77580022492072</v>
      </c>
      <c r="H52" s="130">
        <f t="shared" si="34"/>
        <v>211.55664028789607</v>
      </c>
      <c r="I52" s="130">
        <f t="shared" si="34"/>
        <v>353.70439854711447</v>
      </c>
      <c r="J52" s="130">
        <f t="shared" si="34"/>
        <v>374.32819289495728</v>
      </c>
      <c r="K52" s="130">
        <f t="shared" si="34"/>
        <v>191.99384270608948</v>
      </c>
      <c r="L52" s="130">
        <f t="shared" ref="L52" si="35">L53+L55</f>
        <v>242.07121710078735</v>
      </c>
      <c r="M52" s="130">
        <f t="shared" ref="M52:V52" si="36">M53+M55</f>
        <v>296.95595312697577</v>
      </c>
      <c r="N52" s="130">
        <f t="shared" si="36"/>
        <v>202.26832198810689</v>
      </c>
      <c r="O52" s="130">
        <f t="shared" si="36"/>
        <v>231.80735127346847</v>
      </c>
      <c r="P52" s="130">
        <f t="shared" si="36"/>
        <v>400.09543517780298</v>
      </c>
      <c r="Q52" s="130">
        <f t="shared" si="36"/>
        <v>431.59729409262923</v>
      </c>
      <c r="R52" s="130">
        <f t="shared" si="36"/>
        <v>403.37674969107269</v>
      </c>
      <c r="S52" s="130">
        <f t="shared" si="36"/>
        <v>422.16519002646749</v>
      </c>
      <c r="T52" s="130">
        <f t="shared" si="36"/>
        <v>456.97759563943202</v>
      </c>
      <c r="U52" s="130">
        <f t="shared" si="36"/>
        <v>480.23189547385005</v>
      </c>
      <c r="V52" s="130">
        <f t="shared" si="36"/>
        <v>513.59533312161363</v>
      </c>
      <c r="W52" s="130">
        <f t="shared" ref="W52:Y52" si="37">W53+W55</f>
        <v>534.74240175720342</v>
      </c>
      <c r="X52" s="130">
        <f t="shared" si="37"/>
        <v>501.51442750072158</v>
      </c>
      <c r="Y52" s="130">
        <f t="shared" si="37"/>
        <v>503.91958456143504</v>
      </c>
      <c r="DA52" s="176" t="s">
        <v>401</v>
      </c>
    </row>
    <row r="53" spans="1:105" ht="11.45" customHeight="1" x14ac:dyDescent="0.25">
      <c r="A53" s="128" t="s">
        <v>27</v>
      </c>
      <c r="B53" s="97">
        <v>110.93295408712279</v>
      </c>
      <c r="C53" s="97">
        <v>126.60703909876209</v>
      </c>
      <c r="D53" s="97">
        <v>125.99640948686606</v>
      </c>
      <c r="E53" s="97">
        <v>134.07829361095372</v>
      </c>
      <c r="F53" s="97">
        <v>141.16513072519211</v>
      </c>
      <c r="G53" s="97">
        <v>126.28766695804552</v>
      </c>
      <c r="H53" s="97">
        <v>120.70925503598305</v>
      </c>
      <c r="I53" s="97">
        <v>163.86589530943482</v>
      </c>
      <c r="J53" s="97">
        <v>157.64053832996433</v>
      </c>
      <c r="K53" s="97">
        <v>115.8155368083722</v>
      </c>
      <c r="L53" s="97">
        <v>112.28500467477814</v>
      </c>
      <c r="M53" s="97">
        <v>123.23702377758316</v>
      </c>
      <c r="N53" s="97">
        <v>106.50567352183803</v>
      </c>
      <c r="O53" s="97">
        <v>115.78593270543401</v>
      </c>
      <c r="P53" s="97">
        <v>161.60089506620452</v>
      </c>
      <c r="Q53" s="97">
        <v>160.08552405992367</v>
      </c>
      <c r="R53" s="97">
        <v>154.65972395050775</v>
      </c>
      <c r="S53" s="97">
        <v>162.0514485029598</v>
      </c>
      <c r="T53" s="97">
        <v>178.65689918728106</v>
      </c>
      <c r="U53" s="97">
        <v>189.42359246160743</v>
      </c>
      <c r="V53" s="97">
        <v>195.48317472480633</v>
      </c>
      <c r="W53" s="97">
        <v>192.55275054764263</v>
      </c>
      <c r="X53" s="97">
        <v>152.77773994412323</v>
      </c>
      <c r="Y53" s="97">
        <v>170.5016505645479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0.19602159738383795</v>
      </c>
      <c r="G54" s="97">
        <v>0.47724131466528191</v>
      </c>
      <c r="H54" s="97">
        <v>2.2070760988882512</v>
      </c>
      <c r="I54" s="97">
        <v>7.0134026156497029</v>
      </c>
      <c r="J54" s="97">
        <v>7.2772920666773615</v>
      </c>
      <c r="K54" s="97">
        <v>5.4503617051936448</v>
      </c>
      <c r="L54" s="97">
        <v>4.2150514401922834</v>
      </c>
      <c r="M54" s="97">
        <v>4.5468338145646587</v>
      </c>
      <c r="N54" s="97">
        <v>5.2012082953560164</v>
      </c>
      <c r="O54" s="97">
        <v>5.4873022364942639</v>
      </c>
      <c r="P54" s="97">
        <v>7.3112054503569208</v>
      </c>
      <c r="Q54" s="97">
        <v>6.8924017754577527</v>
      </c>
      <c r="R54" s="97">
        <v>5.281105535215973</v>
      </c>
      <c r="S54" s="97">
        <v>6.5627144641003756</v>
      </c>
      <c r="T54" s="97">
        <v>7.4500022079620827</v>
      </c>
      <c r="U54" s="97">
        <v>7.1018150002616469</v>
      </c>
      <c r="V54" s="97">
        <v>9.8482489898699122</v>
      </c>
      <c r="W54" s="97">
        <v>11.99531492437346</v>
      </c>
      <c r="X54" s="97">
        <v>9.0411692513976369</v>
      </c>
      <c r="Y54" s="97">
        <v>9.8135532179402531</v>
      </c>
      <c r="DA54" s="175" t="s">
        <v>669</v>
      </c>
    </row>
    <row r="55" spans="1:105" ht="11.45" customHeight="1" x14ac:dyDescent="0.25">
      <c r="A55" s="128" t="s">
        <v>116</v>
      </c>
      <c r="B55" s="97">
        <v>70.825662369299408</v>
      </c>
      <c r="C55" s="97">
        <v>120.31927677868826</v>
      </c>
      <c r="D55" s="97">
        <v>123.90197273576898</v>
      </c>
      <c r="E55" s="97">
        <v>68.442338971902089</v>
      </c>
      <c r="F55" s="97">
        <v>103.49040563916579</v>
      </c>
      <c r="G55" s="97">
        <v>99.488133266875195</v>
      </c>
      <c r="H55" s="97">
        <v>90.847385251913011</v>
      </c>
      <c r="I55" s="97">
        <v>189.83850323767962</v>
      </c>
      <c r="J55" s="97">
        <v>216.68765456499295</v>
      </c>
      <c r="K55" s="97">
        <v>76.17830589771728</v>
      </c>
      <c r="L55" s="97">
        <v>129.7862124260092</v>
      </c>
      <c r="M55" s="97">
        <v>173.71892934939262</v>
      </c>
      <c r="N55" s="97">
        <v>95.762648466268871</v>
      </c>
      <c r="O55" s="97">
        <v>116.02141856803446</v>
      </c>
      <c r="P55" s="97">
        <v>238.4945401115985</v>
      </c>
      <c r="Q55" s="97">
        <v>271.51177003270556</v>
      </c>
      <c r="R55" s="97">
        <v>248.71702574056494</v>
      </c>
      <c r="S55" s="97">
        <v>260.11374152350771</v>
      </c>
      <c r="T55" s="97">
        <v>278.32069645215097</v>
      </c>
      <c r="U55" s="97">
        <v>290.80830301224262</v>
      </c>
      <c r="V55" s="97">
        <v>318.11215839680727</v>
      </c>
      <c r="W55" s="97">
        <v>342.18965120956074</v>
      </c>
      <c r="X55" s="97">
        <v>348.73668755659838</v>
      </c>
      <c r="Y55" s="97">
        <v>333.41793399688714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0.14370655503293034</v>
      </c>
      <c r="G56" s="98">
        <v>0.37596582989890609</v>
      </c>
      <c r="H56" s="98">
        <v>1.661074725183415</v>
      </c>
      <c r="I56" s="98">
        <v>8.1250210890069638</v>
      </c>
      <c r="J56" s="98">
        <v>10.003133497375352</v>
      </c>
      <c r="K56" s="98">
        <v>3.5850053686530159</v>
      </c>
      <c r="L56" s="98">
        <v>4.872026885405063</v>
      </c>
      <c r="M56" s="98">
        <v>6.4093652863715587</v>
      </c>
      <c r="N56" s="98">
        <v>4.6765722906385125</v>
      </c>
      <c r="O56" s="98">
        <v>5.4984623322875752</v>
      </c>
      <c r="P56" s="98">
        <v>10.790055221104664</v>
      </c>
      <c r="Q56" s="98">
        <v>11.689802790229802</v>
      </c>
      <c r="R56" s="98">
        <v>8.4928436944661758</v>
      </c>
      <c r="S56" s="98">
        <v>10.534013917045682</v>
      </c>
      <c r="T56" s="98">
        <v>11.605987860096516</v>
      </c>
      <c r="U56" s="98">
        <v>10.902901490222623</v>
      </c>
      <c r="V56" s="98">
        <v>16.026175894713194</v>
      </c>
      <c r="W56" s="98">
        <v>21.317133193091351</v>
      </c>
      <c r="X56" s="98">
        <v>20.637740926944947</v>
      </c>
      <c r="Y56" s="98">
        <v>19.190515917354332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9.3829458138892452</v>
      </c>
      <c r="C60" s="79">
        <f>IF(C17=0,0,C17/TrRoad_act!C30*100)</f>
        <v>10.122323629488424</v>
      </c>
      <c r="D60" s="79">
        <f>IF(D17=0,0,D17/TrRoad_act!D30*100)</f>
        <v>9.81798625719364</v>
      </c>
      <c r="E60" s="79">
        <f>IF(E17=0,0,E17/TrRoad_act!E30*100)</f>
        <v>8.8351110248753297</v>
      </c>
      <c r="F60" s="79">
        <f>IF(F17=0,0,F17/TrRoad_act!F30*100)</f>
        <v>8.8696833628741079</v>
      </c>
      <c r="G60" s="79">
        <f>IF(G17=0,0,G17/TrRoad_act!G30*100)</f>
        <v>8.4422636980708461</v>
      </c>
      <c r="H60" s="79">
        <f>IF(H17=0,0,H17/TrRoad_act!H30*100)</f>
        <v>7.9617451643945776</v>
      </c>
      <c r="I60" s="79">
        <f>IF(I17=0,0,I17/TrRoad_act!I30*100)</f>
        <v>8.7449112696909062</v>
      </c>
      <c r="J60" s="79">
        <f>IF(J17=0,0,J17/TrRoad_act!J30*100)</f>
        <v>8.8523688112469436</v>
      </c>
      <c r="K60" s="79">
        <f>IF(K17=0,0,K17/TrRoad_act!K30*100)</f>
        <v>7.6807728357307532</v>
      </c>
      <c r="L60" s="79">
        <f>IF(L17=0,0,L17/TrRoad_act!L30*100)</f>
        <v>7.8572877329378397</v>
      </c>
      <c r="M60" s="79">
        <f>IF(M17=0,0,M17/TrRoad_act!M30*100)</f>
        <v>8.3637668575587973</v>
      </c>
      <c r="N60" s="79">
        <f>IF(N17=0,0,N17/TrRoad_act!N30*100)</f>
        <v>7.3496579010451226</v>
      </c>
      <c r="O60" s="79">
        <f>IF(O17=0,0,O17/TrRoad_act!O30*100)</f>
        <v>7.5008164001825293</v>
      </c>
      <c r="P60" s="79">
        <f>IF(P17=0,0,P17/TrRoad_act!P30*100)</f>
        <v>8.7100092395881781</v>
      </c>
      <c r="Q60" s="79">
        <f>IF(Q17=0,0,Q17/TrRoad_act!Q30*100)</f>
        <v>8.6745158764379724</v>
      </c>
      <c r="R60" s="79">
        <f>IF(R17=0,0,R17/TrRoad_act!R30*100)</f>
        <v>8.1822528764875759</v>
      </c>
      <c r="S60" s="79">
        <f>IF(S17=0,0,S17/TrRoad_act!S30*100)</f>
        <v>8.1231370193976922</v>
      </c>
      <c r="T60" s="79">
        <f>IF(T17=0,0,T17/TrRoad_act!T30*100)</f>
        <v>8.0943056954413777</v>
      </c>
      <c r="U60" s="79">
        <f>IF(U17=0,0,U17/TrRoad_act!U30*100)</f>
        <v>8.067755618110164</v>
      </c>
      <c r="V60" s="79">
        <f>IF(V17=0,0,V17/TrRoad_act!V30*100)</f>
        <v>8.1404218337374239</v>
      </c>
      <c r="W60" s="79">
        <f>IF(W17=0,0,W17/TrRoad_act!W30*100)</f>
        <v>8.1176459574612192</v>
      </c>
      <c r="X60" s="79">
        <f>IF(X17=0,0,X17/TrRoad_act!X30*100)</f>
        <v>7.7802764964746727</v>
      </c>
      <c r="Y60" s="79">
        <f>IF(Y17=0,0,Y17/TrRoad_act!Y30*100)</f>
        <v>7.6153830026825506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7.8160988095114279</v>
      </c>
      <c r="C61" s="32">
        <f>IF(C18=0,0,C18/TrRoad_act!C31*100)</f>
        <v>7.9684585957353118</v>
      </c>
      <c r="D61" s="32">
        <f>IF(D18=0,0,D18/TrRoad_act!D31*100)</f>
        <v>7.7776836802289138</v>
      </c>
      <c r="E61" s="32">
        <f>IF(E18=0,0,E18/TrRoad_act!E31*100)</f>
        <v>7.4565789506222906</v>
      </c>
      <c r="F61" s="32">
        <f>IF(F18=0,0,F18/TrRoad_act!F31*100)</f>
        <v>7.3027974443030486</v>
      </c>
      <c r="G61" s="32">
        <f>IF(G18=0,0,G18/TrRoad_act!G31*100)</f>
        <v>7.1428251147148485</v>
      </c>
      <c r="H61" s="32">
        <f>IF(H18=0,0,H18/TrRoad_act!H31*100)</f>
        <v>6.9148401424253798</v>
      </c>
      <c r="I61" s="32">
        <f>IF(I18=0,0,I18/TrRoad_act!I31*100)</f>
        <v>7.0597305920900171</v>
      </c>
      <c r="J61" s="32">
        <f>IF(J18=0,0,J18/TrRoad_act!J31*100)</f>
        <v>7.0084314706166593</v>
      </c>
      <c r="K61" s="32">
        <f>IF(K18=0,0,K18/TrRoad_act!K31*100)</f>
        <v>6.7535001985013112</v>
      </c>
      <c r="L61" s="32">
        <f>IF(L18=0,0,L18/TrRoad_act!L31*100)</f>
        <v>6.6207671773804986</v>
      </c>
      <c r="M61" s="32">
        <f>IF(M18=0,0,M18/TrRoad_act!M31*100)</f>
        <v>6.7223638370875625</v>
      </c>
      <c r="N61" s="32">
        <f>IF(N18=0,0,N18/TrRoad_act!N31*100)</f>
        <v>6.4149386771050327</v>
      </c>
      <c r="O61" s="32">
        <f>IF(O18=0,0,O18/TrRoad_act!O31*100)</f>
        <v>6.4148632254884346</v>
      </c>
      <c r="P61" s="32">
        <f>IF(P18=0,0,P18/TrRoad_act!P31*100)</f>
        <v>6.6543239372323431</v>
      </c>
      <c r="Q61" s="32">
        <f>IF(Q18=0,0,Q18/TrRoad_act!Q31*100)</f>
        <v>6.5701067194144622</v>
      </c>
      <c r="R61" s="32">
        <f>IF(R18=0,0,R18/TrRoad_act!R31*100)</f>
        <v>6.4404714211787173</v>
      </c>
      <c r="S61" s="32">
        <f>IF(S18=0,0,S18/TrRoad_act!S31*100)</f>
        <v>6.3831361513090519</v>
      </c>
      <c r="T61" s="32">
        <f>IF(T18=0,0,T18/TrRoad_act!T31*100)</f>
        <v>6.3192935124322434</v>
      </c>
      <c r="U61" s="32">
        <f>IF(U18=0,0,U18/TrRoad_act!U31*100)</f>
        <v>6.2693170017045956</v>
      </c>
      <c r="V61" s="32">
        <f>IF(V18=0,0,V18/TrRoad_act!V31*100)</f>
        <v>6.1748259602167357</v>
      </c>
      <c r="W61" s="32">
        <f>IF(W18=0,0,W18/TrRoad_act!W31*100)</f>
        <v>6.0837815140531513</v>
      </c>
      <c r="X61" s="32">
        <f>IF(X18=0,0,X18/TrRoad_act!X31*100)</f>
        <v>5.9266448867868373</v>
      </c>
      <c r="Y61" s="32">
        <f>IF(Y18=0,0,Y18/TrRoad_act!Y31*100)</f>
        <v>5.8498556780952455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5.3478887060254374</v>
      </c>
      <c r="C62" s="141">
        <f>IF(C19=0,0,C19/TrRoad_act!C32*100)</f>
        <v>5.3103356913138917</v>
      </c>
      <c r="D62" s="141">
        <f>IF(D19=0,0,D19/TrRoad_act!D32*100)</f>
        <v>5.2562282548317398</v>
      </c>
      <c r="E62" s="141">
        <f>IF(E19=0,0,E19/TrRoad_act!E32*100)</f>
        <v>4.9468973046883518</v>
      </c>
      <c r="F62" s="141">
        <f>IF(F19=0,0,F19/TrRoad_act!F32*100)</f>
        <v>4.8942696213525965</v>
      </c>
      <c r="G62" s="141">
        <f>IF(G19=0,0,G19/TrRoad_act!G32*100)</f>
        <v>4.8325309797251927</v>
      </c>
      <c r="H62" s="141">
        <f>IF(H19=0,0,H19/TrRoad_act!H32*100)</f>
        <v>4.741810530653658</v>
      </c>
      <c r="I62" s="141">
        <f>IF(I19=0,0,I19/TrRoad_act!I32*100)</f>
        <v>4.6272432154826193</v>
      </c>
      <c r="J62" s="141">
        <f>IF(J19=0,0,J19/TrRoad_act!J32*100)</f>
        <v>4.4933965140365091</v>
      </c>
      <c r="K62" s="141">
        <f>IF(K19=0,0,K19/TrRoad_act!K32*100)</f>
        <v>4.3999209379266757</v>
      </c>
      <c r="L62" s="141">
        <f>IF(L19=0,0,L19/TrRoad_act!L32*100)</f>
        <v>4.3546608741031996</v>
      </c>
      <c r="M62" s="141">
        <f>IF(M19=0,0,M19/TrRoad_act!M32*100)</f>
        <v>4.2959851837325091</v>
      </c>
      <c r="N62" s="141">
        <f>IF(N19=0,0,N19/TrRoad_act!N32*100)</f>
        <v>4.2432189703126015</v>
      </c>
      <c r="O62" s="141">
        <f>IF(O19=0,0,O19/TrRoad_act!O32*100)</f>
        <v>4.1904406520670801</v>
      </c>
      <c r="P62" s="141">
        <f>IF(P19=0,0,P19/TrRoad_act!P32*100)</f>
        <v>4.1336988493786402</v>
      </c>
      <c r="Q62" s="141">
        <f>IF(Q19=0,0,Q19/TrRoad_act!Q32*100)</f>
        <v>4.2701908653652101</v>
      </c>
      <c r="R62" s="141">
        <f>IF(R19=0,0,R19/TrRoad_act!R32*100)</f>
        <v>4.2055684386142307</v>
      </c>
      <c r="S62" s="141">
        <f>IF(S19=0,0,S19/TrRoad_act!S32*100)</f>
        <v>4.1187676063203522</v>
      </c>
      <c r="T62" s="141">
        <f>IF(T19=0,0,T19/TrRoad_act!T32*100)</f>
        <v>4.0250215925285096</v>
      </c>
      <c r="U62" s="141">
        <f>IF(U19=0,0,U19/TrRoad_act!U32*100)</f>
        <v>3.8726531525863859</v>
      </c>
      <c r="V62" s="141">
        <f>IF(V19=0,0,V19/TrRoad_act!V32*100)</f>
        <v>3.7459102286030839</v>
      </c>
      <c r="W62" s="141">
        <f>IF(W19=0,0,W19/TrRoad_act!W32*100)</f>
        <v>3.6666172138204631</v>
      </c>
      <c r="X62" s="141">
        <f>IF(X19=0,0,X19/TrRoad_act!X32*100)</f>
        <v>3.5990064641976849</v>
      </c>
      <c r="Y62" s="141">
        <f>IF(Y19=0,0,Y19/TrRoad_act!Y32*100)</f>
        <v>3.5445010497591212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7.2729617813236311</v>
      </c>
      <c r="C63" s="130">
        <f>IF(C21=0,0,C21/TrRoad_act!C33*100)</f>
        <v>7.4623998568889363</v>
      </c>
      <c r="D63" s="130">
        <f>IF(D21=0,0,D21/TrRoad_act!D33*100)</f>
        <v>7.2923668649653592</v>
      </c>
      <c r="E63" s="130">
        <f>IF(E21=0,0,E21/TrRoad_act!E33*100)</f>
        <v>7.0274745475922984</v>
      </c>
      <c r="F63" s="130">
        <f>IF(F21=0,0,F21/TrRoad_act!F33*100)</f>
        <v>6.8854154104652388</v>
      </c>
      <c r="G63" s="130">
        <f>IF(G21=0,0,G21/TrRoad_act!G33*100)</f>
        <v>6.7805171729457188</v>
      </c>
      <c r="H63" s="130">
        <f>IF(H21=0,0,H21/TrRoad_act!H33*100)</f>
        <v>6.6070961595611823</v>
      </c>
      <c r="I63" s="130">
        <f>IF(I21=0,0,I21/TrRoad_act!I33*100)</f>
        <v>6.7955848739692986</v>
      </c>
      <c r="J63" s="130">
        <f>IF(J21=0,0,J21/TrRoad_act!J33*100)</f>
        <v>6.7585023080564577</v>
      </c>
      <c r="K63" s="130">
        <f>IF(K21=0,0,K21/TrRoad_act!K33*100)</f>
        <v>6.4926283429289855</v>
      </c>
      <c r="L63" s="130">
        <f>IF(L21=0,0,L21/TrRoad_act!L33*100)</f>
        <v>6.3661796335289376</v>
      </c>
      <c r="M63" s="130">
        <f>IF(M21=0,0,M21/TrRoad_act!M33*100)</f>
        <v>6.4418538171348789</v>
      </c>
      <c r="N63" s="130">
        <f>IF(N21=0,0,N21/TrRoad_act!N33*100)</f>
        <v>6.1736370808167811</v>
      </c>
      <c r="O63" s="130">
        <f>IF(O21=0,0,O21/TrRoad_act!O33*100)</f>
        <v>6.1698190665594295</v>
      </c>
      <c r="P63" s="130">
        <f>IF(P21=0,0,P21/TrRoad_act!P33*100)</f>
        <v>6.3900370307379326</v>
      </c>
      <c r="Q63" s="130">
        <f>IF(Q21=0,0,Q21/TrRoad_act!Q33*100)</f>
        <v>6.3146556337022526</v>
      </c>
      <c r="R63" s="130">
        <f>IF(R21=0,0,R21/TrRoad_act!R33*100)</f>
        <v>6.2261826447302573</v>
      </c>
      <c r="S63" s="130">
        <f>IF(S21=0,0,S21/TrRoad_act!S33*100)</f>
        <v>6.1749380009759438</v>
      </c>
      <c r="T63" s="130">
        <f>IF(T21=0,0,T21/TrRoad_act!T33*100)</f>
        <v>6.1198067409064301</v>
      </c>
      <c r="U63" s="130">
        <f>IF(U21=0,0,U21/TrRoad_act!U33*100)</f>
        <v>6.0543553205298961</v>
      </c>
      <c r="V63" s="130">
        <f>IF(V21=0,0,V21/TrRoad_act!V33*100)</f>
        <v>6.0125083502964571</v>
      </c>
      <c r="W63" s="130">
        <f>IF(W21=0,0,W21/TrRoad_act!W33*100)</f>
        <v>5.9316494612750885</v>
      </c>
      <c r="X63" s="130">
        <f>IF(X21=0,0,X21/TrRoad_act!X33*100)</f>
        <v>5.7710938154400226</v>
      </c>
      <c r="Y63" s="130">
        <f>IF(Y21=0,0,Y21/TrRoad_act!Y33*100)</f>
        <v>5.6798920918559759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8.2753925433710602</v>
      </c>
      <c r="C64" s="96">
        <f>IF(C22=0,0,C22/TrRoad_act!C34*100)</f>
        <v>8.6891600412837686</v>
      </c>
      <c r="D64" s="96">
        <f>IF(D22=0,0,D22/TrRoad_act!D34*100)</f>
        <v>8.6046347320482894</v>
      </c>
      <c r="E64" s="96">
        <f>IF(E22=0,0,E22/TrRoad_act!E34*100)</f>
        <v>8.3735573390001967</v>
      </c>
      <c r="F64" s="96">
        <f>IF(F22=0,0,F22/TrRoad_act!F34*100)</f>
        <v>8.3772071341427576</v>
      </c>
      <c r="G64" s="96">
        <f>IF(G22=0,0,G22/TrRoad_act!G34*100)</f>
        <v>7.8959107227032126</v>
      </c>
      <c r="H64" s="96">
        <f>IF(H22=0,0,H22/TrRoad_act!H34*100)</f>
        <v>7.8304406225511851</v>
      </c>
      <c r="I64" s="96">
        <f>IF(I22=0,0,I22/TrRoad_act!I34*100)</f>
        <v>8.1563896994696368</v>
      </c>
      <c r="J64" s="96">
        <f>IF(J22=0,0,J22/TrRoad_act!J34*100)</f>
        <v>8.1625930707179055</v>
      </c>
      <c r="K64" s="96">
        <f>IF(K22=0,0,K22/TrRoad_act!K34*100)</f>
        <v>7.8349063836854178</v>
      </c>
      <c r="L64" s="96">
        <f>IF(L22=0,0,L22/TrRoad_act!L34*100)</f>
        <v>7.9790555359632807</v>
      </c>
      <c r="M64" s="96">
        <f>IF(M22=0,0,M22/TrRoad_act!M34*100)</f>
        <v>7.8792352153674088</v>
      </c>
      <c r="N64" s="96">
        <f>IF(N22=0,0,N22/TrRoad_act!N34*100)</f>
        <v>7.8119480793501257</v>
      </c>
      <c r="O64" s="96">
        <f>IF(O22=0,0,O22/TrRoad_act!O34*100)</f>
        <v>7.8767541476734646</v>
      </c>
      <c r="P64" s="96">
        <f>IF(P22=0,0,P22/TrRoad_act!P34*100)</f>
        <v>7.7713248713436807</v>
      </c>
      <c r="Q64" s="96">
        <f>IF(Q22=0,0,Q22/TrRoad_act!Q34*100)</f>
        <v>7.640929399990763</v>
      </c>
      <c r="R64" s="96">
        <f>IF(R22=0,0,R22/TrRoad_act!R34*100)</f>
        <v>7.8630283250938096</v>
      </c>
      <c r="S64" s="96">
        <f>IF(S22=0,0,S22/TrRoad_act!S34*100)</f>
        <v>7.4691999755837273</v>
      </c>
      <c r="T64" s="96">
        <f>IF(T22=0,0,T22/TrRoad_act!T34*100)</f>
        <v>7.1028687506057908</v>
      </c>
      <c r="U64" s="96">
        <f>IF(U22=0,0,U22/TrRoad_act!U34*100)</f>
        <v>6.7290292936134213</v>
      </c>
      <c r="V64" s="96">
        <f>IF(V22=0,0,V22/TrRoad_act!V34*100)</f>
        <v>6.5327897298174067</v>
      </c>
      <c r="W64" s="96">
        <f>IF(W22=0,0,W22/TrRoad_act!W34*100)</f>
        <v>6.2744568944752581</v>
      </c>
      <c r="X64" s="96">
        <f>IF(X22=0,0,X22/TrRoad_act!X34*100)</f>
        <v>5.8189881471573104</v>
      </c>
      <c r="Y64" s="96">
        <f>IF(Y22=0,0,Y22/TrRoad_act!Y34*100)</f>
        <v>5.762658495446205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6.0885013688022021</v>
      </c>
      <c r="C65" s="96">
        <f>IF(C24=0,0,C24/TrRoad_act!C35*100)</f>
        <v>5.9864184668172733</v>
      </c>
      <c r="D65" s="96">
        <f>IF(D24=0,0,D24/TrRoad_act!D35*100)</f>
        <v>5.8479463124513922</v>
      </c>
      <c r="E65" s="96">
        <f>IF(E24=0,0,E24/TrRoad_act!E35*100)</f>
        <v>5.5579757049909526</v>
      </c>
      <c r="F65" s="96">
        <f>IF(F24=0,0,F24/TrRoad_act!F35*100)</f>
        <v>5.630787695756025</v>
      </c>
      <c r="G65" s="96">
        <f>IF(G24=0,0,G24/TrRoad_act!G35*100)</f>
        <v>5.5451187648190157</v>
      </c>
      <c r="H65" s="96">
        <f>IF(H24=0,0,H24/TrRoad_act!H35*100)</f>
        <v>5.5092084230700404</v>
      </c>
      <c r="I65" s="96">
        <f>IF(I24=0,0,I24/TrRoad_act!I35*100)</f>
        <v>5.9952732189964237</v>
      </c>
      <c r="J65" s="96">
        <f>IF(J24=0,0,J24/TrRoad_act!J35*100)</f>
        <v>6.0408775412215627</v>
      </c>
      <c r="K65" s="96">
        <f>IF(K24=0,0,K24/TrRoad_act!K35*100)</f>
        <v>5.6037593257936544</v>
      </c>
      <c r="L65" s="96">
        <f>IF(L24=0,0,L24/TrRoad_act!L35*100)</f>
        <v>5.7618002160463195</v>
      </c>
      <c r="M65" s="96">
        <f>IF(M24=0,0,M24/TrRoad_act!M35*100)</f>
        <v>5.9271891092601345</v>
      </c>
      <c r="N65" s="96">
        <f>IF(N24=0,0,N24/TrRoad_act!N35*100)</f>
        <v>5.6492186412987477</v>
      </c>
      <c r="O65" s="96">
        <f>IF(O24=0,0,O24/TrRoad_act!O35*100)</f>
        <v>5.7530512641633171</v>
      </c>
      <c r="P65" s="96">
        <f>IF(P24=0,0,P24/TrRoad_act!P35*100)</f>
        <v>6.0750882259536745</v>
      </c>
      <c r="Q65" s="96">
        <f>IF(Q24=0,0,Q24/TrRoad_act!Q35*100)</f>
        <v>6.0457743014932701</v>
      </c>
      <c r="R65" s="96">
        <f>IF(R24=0,0,R24/TrRoad_act!R35*100)</f>
        <v>5.9778352619519675</v>
      </c>
      <c r="S65" s="96">
        <f>IF(S24=0,0,S24/TrRoad_act!S35*100)</f>
        <v>5.9778625951429767</v>
      </c>
      <c r="T65" s="96">
        <f>IF(T24=0,0,T24/TrRoad_act!T35*100)</f>
        <v>5.9672492948567193</v>
      </c>
      <c r="U65" s="96">
        <f>IF(U24=0,0,U24/TrRoad_act!U35*100)</f>
        <v>5.9488483894265061</v>
      </c>
      <c r="V65" s="96">
        <f>IF(V24=0,0,V24/TrRoad_act!V35*100)</f>
        <v>5.9264399329012614</v>
      </c>
      <c r="W65" s="96">
        <f>IF(W24=0,0,W24/TrRoad_act!W35*100)</f>
        <v>5.8834829116249905</v>
      </c>
      <c r="X65" s="96">
        <f>IF(X24=0,0,X24/TrRoad_act!X35*100)</f>
        <v>5.8022439878949603</v>
      </c>
      <c r="Y65" s="96">
        <f>IF(Y24=0,0,Y24/TrRoad_act!Y35*100)</f>
        <v>5.7317485526390568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6.5351370945854583</v>
      </c>
      <c r="C66" s="96">
        <f>IF(C26=0,0,C26/TrRoad_act!C36*100)</f>
        <v>7.1641168761835887</v>
      </c>
      <c r="D66" s="96">
        <f>IF(D26=0,0,D26/TrRoad_act!D36*100)</f>
        <v>7.1066385524440401</v>
      </c>
      <c r="E66" s="96">
        <f>IF(E26=0,0,E26/TrRoad_act!E36*100)</f>
        <v>7.3628783865685801</v>
      </c>
      <c r="F66" s="96">
        <f>IF(F26=0,0,F26/TrRoad_act!F36*100)</f>
        <v>7.0149717415819017</v>
      </c>
      <c r="G66" s="96">
        <f>IF(G26=0,0,G26/TrRoad_act!G36*100)</f>
        <v>8.0705155179546111</v>
      </c>
      <c r="H66" s="96">
        <f>IF(H26=0,0,H26/TrRoad_act!H36*100)</f>
        <v>7.7851096077078772</v>
      </c>
      <c r="I66" s="96">
        <f>IF(I26=0,0,I26/TrRoad_act!I36*100)</f>
        <v>6.6353857970002661</v>
      </c>
      <c r="J66" s="96">
        <f>IF(J26=0,0,J26/TrRoad_act!J36*100)</f>
        <v>6.3163319801256863</v>
      </c>
      <c r="K66" s="96">
        <f>IF(K26=0,0,K26/TrRoad_act!K36*100)</f>
        <v>7.2015940092569686</v>
      </c>
      <c r="L66" s="96">
        <f>IF(L26=0,0,L26/TrRoad_act!L36*100)</f>
        <v>6.3901154353166456</v>
      </c>
      <c r="M66" s="96">
        <f>IF(M26=0,0,M26/TrRoad_act!M36*100)</f>
        <v>6.491239212779309</v>
      </c>
      <c r="N66" s="96">
        <f>IF(N26=0,0,N26/TrRoad_act!N36*100)</f>
        <v>6.9277785183996254</v>
      </c>
      <c r="O66" s="96">
        <f>IF(O26=0,0,O26/TrRoad_act!O36*100)</f>
        <v>6.4527983093913805</v>
      </c>
      <c r="P66" s="96">
        <f>IF(P26=0,0,P26/TrRoad_act!P36*100)</f>
        <v>6.4385984388252799</v>
      </c>
      <c r="Q66" s="96">
        <f>IF(Q26=0,0,Q26/TrRoad_act!Q36*100)</f>
        <v>6.3422130640168062</v>
      </c>
      <c r="R66" s="96">
        <f>IF(R26=0,0,R26/TrRoad_act!R36*100)</f>
        <v>5.9958822240046992</v>
      </c>
      <c r="S66" s="96">
        <f>IF(S26=0,0,S26/TrRoad_act!S36*100)</f>
        <v>6.1260457576127525</v>
      </c>
      <c r="T66" s="96">
        <f>IF(T26=0,0,T26/TrRoad_act!T36*100)</f>
        <v>6.1427059966407231</v>
      </c>
      <c r="U66" s="96">
        <f>IF(U26=0,0,U26/TrRoad_act!U36*100)</f>
        <v>6.1930074570427509</v>
      </c>
      <c r="V66" s="96">
        <f>IF(V26=0,0,V26/TrRoad_act!V36*100)</f>
        <v>6.3852241979236082</v>
      </c>
      <c r="W66" s="96">
        <f>IF(W26=0,0,W26/TrRoad_act!W36*100)</f>
        <v>6.6813770795140091</v>
      </c>
      <c r="X66" s="96">
        <f>IF(X26=0,0,X26/TrRoad_act!X36*100)</f>
        <v>6.5983773830885619</v>
      </c>
      <c r="Y66" s="96">
        <f>IF(Y26=0,0,Y26/TrRoad_act!Y36*100)</f>
        <v>6.5245541981672091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7.3445533843301725</v>
      </c>
      <c r="O67" s="96">
        <f>IF(O27=0,0,O27/TrRoad_act!O37*100)</f>
        <v>5.9220751560350182</v>
      </c>
      <c r="P67" s="96">
        <f>IF(P27=0,0,P27/TrRoad_act!P37*100)</f>
        <v>5.5292788324860096</v>
      </c>
      <c r="Q67" s="96">
        <f>IF(Q27=0,0,Q27/TrRoad_act!Q37*100)</f>
        <v>5.530486480412498</v>
      </c>
      <c r="R67" s="96">
        <f>IF(R27=0,0,R27/TrRoad_act!R37*100)</f>
        <v>5.5573352915752601</v>
      </c>
      <c r="S67" s="96">
        <f>IF(S27=0,0,S27/TrRoad_act!S37*100)</f>
        <v>5.6444227574961028</v>
      </c>
      <c r="T67" s="96">
        <f>IF(T27=0,0,T27/TrRoad_act!T37*100)</f>
        <v>5.7007103332714149</v>
      </c>
      <c r="U67" s="96">
        <f>IF(U27=0,0,U27/TrRoad_act!U37*100)</f>
        <v>5.6835005801449476</v>
      </c>
      <c r="V67" s="96">
        <f>IF(V27=0,0,V27/TrRoad_act!V37*100)</f>
        <v>5.4314557456880959</v>
      </c>
      <c r="W67" s="96">
        <f>IF(W27=0,0,W27/TrRoad_act!W37*100)</f>
        <v>5.2727818401630042</v>
      </c>
      <c r="X67" s="96">
        <f>IF(X27=0,0,X27/TrRoad_act!X37*100)</f>
        <v>5.0269932056863622</v>
      </c>
      <c r="Y67" s="96">
        <f>IF(Y27=0,0,Y27/TrRoad_act!Y37*100)</f>
        <v>4.9706447745845219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0</v>
      </c>
      <c r="O68" s="96">
        <f>IF(O29=0,0,O29/TrRoad_act!O38*100)</f>
        <v>3.5981150194112752</v>
      </c>
      <c r="P68" s="96">
        <f>IF(P29=0,0,P29/TrRoad_act!P38*100)</f>
        <v>2.9863213790927885</v>
      </c>
      <c r="Q68" s="96">
        <f>IF(Q29=0,0,Q29/TrRoad_act!Q38*100)</f>
        <v>2.9444615083853685</v>
      </c>
      <c r="R68" s="96">
        <f>IF(R29=0,0,R29/TrRoad_act!R38*100)</f>
        <v>3.1542752515055126</v>
      </c>
      <c r="S68" s="96">
        <f>IF(S29=0,0,S29/TrRoad_act!S38*100)</f>
        <v>3.1848939275231825</v>
      </c>
      <c r="T68" s="96">
        <f>IF(T29=0,0,T29/TrRoad_act!T38*100)</f>
        <v>3.3834575778645819</v>
      </c>
      <c r="U68" s="96">
        <f>IF(U29=0,0,U29/TrRoad_act!U38*100)</f>
        <v>3.6999861605910835</v>
      </c>
      <c r="V68" s="96">
        <f>IF(V29=0,0,V29/TrRoad_act!V38*100)</f>
        <v>3.9290632628072086</v>
      </c>
      <c r="W68" s="96">
        <f>IF(W29=0,0,W29/TrRoad_act!W38*100)</f>
        <v>3.7980910778750814</v>
      </c>
      <c r="X68" s="96">
        <f>IF(X29=0,0,X29/TrRoad_act!X38*100)</f>
        <v>3.608114238133195</v>
      </c>
      <c r="Y68" s="96">
        <f>IF(Y29=0,0,Y29/TrRoad_act!Y38*100)</f>
        <v>3.437546991045398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1.4235263973337706</v>
      </c>
      <c r="N69" s="96">
        <f>IF(N32=0,0,N32/TrRoad_act!N39*100)</f>
        <v>1.4235263973337706</v>
      </c>
      <c r="O69" s="96">
        <f>IF(O32=0,0,O32/TrRoad_act!O39*100)</f>
        <v>1.3948199308523999</v>
      </c>
      <c r="P69" s="96">
        <f>IF(P32=0,0,P32/TrRoad_act!P39*100)</f>
        <v>1.3917473291510591</v>
      </c>
      <c r="Q69" s="96">
        <f>IF(Q32=0,0,Q32/TrRoad_act!Q39*100)</f>
        <v>1.4024678897554854</v>
      </c>
      <c r="R69" s="96">
        <f>IF(R32=0,0,R32/TrRoad_act!R39*100)</f>
        <v>1.3755224226668394</v>
      </c>
      <c r="S69" s="96">
        <f>IF(S32=0,0,S32/TrRoad_act!S39*100)</f>
        <v>1.455536704246384</v>
      </c>
      <c r="T69" s="96">
        <f>IF(T32=0,0,T32/TrRoad_act!T39*100)</f>
        <v>1.5452816260151394</v>
      </c>
      <c r="U69" s="96">
        <f>IF(U32=0,0,U32/TrRoad_act!U39*100)</f>
        <v>1.5833462756935524</v>
      </c>
      <c r="V69" s="96">
        <f>IF(V32=0,0,V32/TrRoad_act!V39*100)</f>
        <v>1.5926602360181994</v>
      </c>
      <c r="W69" s="96">
        <f>IF(W32=0,0,W32/TrRoad_act!W39*100)</f>
        <v>1.5892897879629946</v>
      </c>
      <c r="X69" s="96">
        <f>IF(X32=0,0,X32/TrRoad_act!X39*100)</f>
        <v>1.6154496964119067</v>
      </c>
      <c r="Y69" s="96">
        <f>IF(Y32=0,0,Y32/TrRoad_act!Y39*100)</f>
        <v>1.6213735347359912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61.805730006078129</v>
      </c>
      <c r="C70" s="130">
        <f>IF(C33=0,0,C33/TrRoad_act!C40*100)</f>
        <v>57.930020945317317</v>
      </c>
      <c r="D70" s="130">
        <f>IF(D33=0,0,D33/TrRoad_act!D40*100)</f>
        <v>55.841801602547811</v>
      </c>
      <c r="E70" s="130">
        <f>IF(E33=0,0,E33/TrRoad_act!E40*100)</f>
        <v>54.04316589791334</v>
      </c>
      <c r="F70" s="130">
        <f>IF(F33=0,0,F33/TrRoad_act!F40*100)</f>
        <v>53.95132384670849</v>
      </c>
      <c r="G70" s="130">
        <f>IF(G33=0,0,G33/TrRoad_act!G40*100)</f>
        <v>53.996615832310937</v>
      </c>
      <c r="H70" s="130">
        <f>IF(H33=0,0,H33/TrRoad_act!H40*100)</f>
        <v>53.902566134297139</v>
      </c>
      <c r="I70" s="130">
        <f>IF(I33=0,0,I33/TrRoad_act!I40*100)</f>
        <v>53.905702726702657</v>
      </c>
      <c r="J70" s="130">
        <f>IF(J33=0,0,J33/TrRoad_act!J40*100)</f>
        <v>53.992869455180681</v>
      </c>
      <c r="K70" s="130">
        <f>IF(K33=0,0,K33/TrRoad_act!K40*100)</f>
        <v>53.704414549463841</v>
      </c>
      <c r="L70" s="130">
        <f>IF(L33=0,0,L33/TrRoad_act!L40*100)</f>
        <v>53.835969171044873</v>
      </c>
      <c r="M70" s="130">
        <f>IF(M33=0,0,M33/TrRoad_act!M40*100)</f>
        <v>53.714145355086238</v>
      </c>
      <c r="N70" s="130">
        <f>IF(N33=0,0,N33/TrRoad_act!N40*100)</f>
        <v>53.44452694333981</v>
      </c>
      <c r="O70" s="130">
        <f>IF(O33=0,0,O33/TrRoad_act!O40*100)</f>
        <v>48.724120368607522</v>
      </c>
      <c r="P70" s="130">
        <f>IF(P33=0,0,P33/TrRoad_act!P40*100)</f>
        <v>48.740041271716876</v>
      </c>
      <c r="Q70" s="130">
        <f>IF(Q33=0,0,Q33/TrRoad_act!Q40*100)</f>
        <v>46.795115419492816</v>
      </c>
      <c r="R70" s="130">
        <f>IF(R33=0,0,R33/TrRoad_act!R40*100)</f>
        <v>46.175126895641384</v>
      </c>
      <c r="S70" s="130">
        <f>IF(S33=0,0,S33/TrRoad_act!S40*100)</f>
        <v>46.19140881481642</v>
      </c>
      <c r="T70" s="130">
        <f>IF(T33=0,0,T33/TrRoad_act!T40*100)</f>
        <v>46.174239558802434</v>
      </c>
      <c r="U70" s="130">
        <f>IF(U33=0,0,U33/TrRoad_act!U40*100)</f>
        <v>46.325897328043233</v>
      </c>
      <c r="V70" s="130">
        <f>IF(V33=0,0,V33/TrRoad_act!V40*100)</f>
        <v>45.123326108294279</v>
      </c>
      <c r="W70" s="130">
        <f>IF(W33=0,0,W33/TrRoad_act!W40*100)</f>
        <v>43.450251065845549</v>
      </c>
      <c r="X70" s="130">
        <f>IF(X33=0,0,X33/TrRoad_act!X40*100)</f>
        <v>41.385236061413707</v>
      </c>
      <c r="Y70" s="130">
        <f>IF(Y33=0,0,Y33/TrRoad_act!Y40*100)</f>
        <v>40.98734472184082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15.827244127655554</v>
      </c>
      <c r="E71" s="97">
        <f>IF(E34=0,0,E34/TrRoad_act!E41*100)</f>
        <v>15.790309537654201</v>
      </c>
      <c r="F71" s="97">
        <f>IF(F34=0,0,F34/TrRoad_act!F41*100)</f>
        <v>15.787274299966219</v>
      </c>
      <c r="G71" s="97">
        <f>IF(G34=0,0,G34/TrRoad_act!G41*100)</f>
        <v>15.784777280931591</v>
      </c>
      <c r="H71" s="97">
        <f>IF(H34=0,0,H34/TrRoad_act!H41*100)</f>
        <v>15.765871840351497</v>
      </c>
      <c r="I71" s="97">
        <f>IF(I34=0,0,I34/TrRoad_act!I41*100)</f>
        <v>15.762704764930724</v>
      </c>
      <c r="J71" s="97">
        <f>IF(J34=0,0,J34/TrRoad_act!J41*100)</f>
        <v>15.749088393150796</v>
      </c>
      <c r="K71" s="97">
        <f>IF(K34=0,0,K34/TrRoad_act!K41*100)</f>
        <v>15.744396739602736</v>
      </c>
      <c r="L71" s="97">
        <f>IF(L34=0,0,L34/TrRoad_act!L41*100)</f>
        <v>15.744396739602736</v>
      </c>
      <c r="M71" s="97">
        <f>IF(M34=0,0,M34/TrRoad_act!M41*100)</f>
        <v>15.717784803678736</v>
      </c>
      <c r="N71" s="97">
        <f>IF(N34=0,0,N34/TrRoad_act!N41*100)</f>
        <v>15.707478865930774</v>
      </c>
      <c r="O71" s="97">
        <f>IF(O34=0,0,O34/TrRoad_act!O41*100)</f>
        <v>12.368460148546029</v>
      </c>
      <c r="P71" s="97">
        <f>IF(P34=0,0,P34/TrRoad_act!P41*100)</f>
        <v>12.22148507867626</v>
      </c>
      <c r="Q71" s="97">
        <f>IF(Q34=0,0,Q34/TrRoad_act!Q41*100)</f>
        <v>12.22148507867626</v>
      </c>
      <c r="R71" s="97">
        <f>IF(R34=0,0,R34/TrRoad_act!R41*100)</f>
        <v>12.22148507867626</v>
      </c>
      <c r="S71" s="97">
        <f>IF(S34=0,0,S34/TrRoad_act!S41*100)</f>
        <v>12.221485078676258</v>
      </c>
      <c r="T71" s="97">
        <f>IF(T34=0,0,T34/TrRoad_act!T41*100)</f>
        <v>12.22148507867626</v>
      </c>
      <c r="U71" s="97">
        <f>IF(U34=0,0,U34/TrRoad_act!U41*100)</f>
        <v>12.22148507867626</v>
      </c>
      <c r="V71" s="97">
        <f>IF(V34=0,0,V34/TrRoad_act!V41*100)</f>
        <v>12.221485078676258</v>
      </c>
      <c r="W71" s="97">
        <f>IF(W34=0,0,W34/TrRoad_act!W41*100)</f>
        <v>12.221485078676258</v>
      </c>
      <c r="X71" s="97">
        <f>IF(X34=0,0,X34/TrRoad_act!X41*100)</f>
        <v>12.22148507867626</v>
      </c>
      <c r="Y71" s="97">
        <f>IF(Y34=0,0,Y34/TrRoad_act!Y41*100)</f>
        <v>12.221485078676261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61.805730006078129</v>
      </c>
      <c r="C72" s="97">
        <f>IF(C36=0,0,C36/TrRoad_act!C42*100)</f>
        <v>57.930020945317317</v>
      </c>
      <c r="D72" s="97">
        <f>IF(D36=0,0,D36/TrRoad_act!D42*100)</f>
        <v>56.001680159069032</v>
      </c>
      <c r="E72" s="97">
        <f>IF(E36=0,0,E36/TrRoad_act!E42*100)</f>
        <v>54.267115582356126</v>
      </c>
      <c r="F72" s="97">
        <f>IF(F36=0,0,F36/TrRoad_act!F42*100)</f>
        <v>54.268134452773808</v>
      </c>
      <c r="G72" s="97">
        <f>IF(G36=0,0,G36/TrRoad_act!G42*100)</f>
        <v>54.619210007385256</v>
      </c>
      <c r="H72" s="97">
        <f>IF(H36=0,0,H36/TrRoad_act!H42*100)</f>
        <v>54.866731247992497</v>
      </c>
      <c r="I72" s="97">
        <f>IF(I36=0,0,I36/TrRoad_act!I42*100)</f>
        <v>55.140554070673744</v>
      </c>
      <c r="J72" s="97">
        <f>IF(J36=0,0,J36/TrRoad_act!J42*100)</f>
        <v>55.277741874291806</v>
      </c>
      <c r="K72" s="97">
        <f>IF(K36=0,0,K36/TrRoad_act!K42*100)</f>
        <v>55.304973931190759</v>
      </c>
      <c r="L72" s="97">
        <f>IF(L36=0,0,L36/TrRoad_act!L42*100)</f>
        <v>55.34538483784911</v>
      </c>
      <c r="M72" s="97">
        <f>IF(M36=0,0,M36/TrRoad_act!M42*100)</f>
        <v>55.17308907176384</v>
      </c>
      <c r="N72" s="97">
        <f>IF(N36=0,0,N36/TrRoad_act!N42*100)</f>
        <v>55.151880825069746</v>
      </c>
      <c r="O72" s="97">
        <f>IF(O36=0,0,O36/TrRoad_act!O42*100)</f>
        <v>55.148235790756381</v>
      </c>
      <c r="P72" s="97">
        <f>IF(P36=0,0,P36/TrRoad_act!P42*100)</f>
        <v>55.169668520489132</v>
      </c>
      <c r="Q72" s="97">
        <f>IF(Q36=0,0,Q36/TrRoad_act!Q42*100)</f>
        <v>55.24548792815235</v>
      </c>
      <c r="R72" s="97">
        <f>IF(R36=0,0,R36/TrRoad_act!R42*100)</f>
        <v>55.332682109156018</v>
      </c>
      <c r="S72" s="97">
        <f>IF(S36=0,0,S36/TrRoad_act!S42*100)</f>
        <v>55.337995833696226</v>
      </c>
      <c r="T72" s="97">
        <f>IF(T36=0,0,T36/TrRoad_act!T42*100)</f>
        <v>54.968829092428585</v>
      </c>
      <c r="U72" s="97">
        <f>IF(U36=0,0,U36/TrRoad_act!U42*100)</f>
        <v>54.62587569796797</v>
      </c>
      <c r="V72" s="97">
        <f>IF(V36=0,0,V36/TrRoad_act!V42*100)</f>
        <v>54.338803602068687</v>
      </c>
      <c r="W72" s="97">
        <f>IF(W36=0,0,W36/TrRoad_act!W42*100)</f>
        <v>53.437001446419011</v>
      </c>
      <c r="X72" s="97">
        <f>IF(X36=0,0,X36/TrRoad_act!X42*100)</f>
        <v>52.569873182124816</v>
      </c>
      <c r="Y72" s="97">
        <f>IF(Y36=0,0,Y36/TrRoad_act!Y42*100)</f>
        <v>51.264708024147488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44.280488838574378</v>
      </c>
      <c r="E73" s="97">
        <f>IF(E38=0,0,E38/TrRoad_act!E43*100)</f>
        <v>44.280488838574378</v>
      </c>
      <c r="F73" s="97">
        <f>IF(F38=0,0,F38/TrRoad_act!F43*100)</f>
        <v>44.280488838574378</v>
      </c>
      <c r="G73" s="97">
        <f>IF(G38=0,0,G38/TrRoad_act!G43*100)</f>
        <v>44.280488838574378</v>
      </c>
      <c r="H73" s="97">
        <f>IF(H38=0,0,H38/TrRoad_act!H43*100)</f>
        <v>44.280488838574385</v>
      </c>
      <c r="I73" s="97">
        <f>IF(I38=0,0,I38/TrRoad_act!I43*100)</f>
        <v>44.280488838574378</v>
      </c>
      <c r="J73" s="97">
        <f>IF(J38=0,0,J38/TrRoad_act!J43*100)</f>
        <v>44.280488838574385</v>
      </c>
      <c r="K73" s="97">
        <f>IF(K38=0,0,K38/TrRoad_act!K43*100)</f>
        <v>44.280488838574385</v>
      </c>
      <c r="L73" s="97">
        <f>IF(L38=0,0,L38/TrRoad_act!L43*100)</f>
        <v>44.280488838574378</v>
      </c>
      <c r="M73" s="97">
        <f>IF(M38=0,0,M38/TrRoad_act!M43*100)</f>
        <v>44.714091495309013</v>
      </c>
      <c r="N73" s="97">
        <f>IF(N38=0,0,N38/TrRoad_act!N43*100)</f>
        <v>44.714091495309013</v>
      </c>
      <c r="O73" s="97">
        <f>IF(O38=0,0,O38/TrRoad_act!O43*100)</f>
        <v>45.332399075377275</v>
      </c>
      <c r="P73" s="97">
        <f>IF(P38=0,0,P38/TrRoad_act!P43*100)</f>
        <v>45.582425811244285</v>
      </c>
      <c r="Q73" s="97">
        <f>IF(Q38=0,0,Q38/TrRoad_act!Q43*100)</f>
        <v>45.592064662120194</v>
      </c>
      <c r="R73" s="97">
        <f>IF(R38=0,0,R38/TrRoad_act!R43*100)</f>
        <v>45.592436258747213</v>
      </c>
      <c r="S73" s="97">
        <f>IF(S38=0,0,S38/TrRoad_act!S43*100)</f>
        <v>45.609273008904921</v>
      </c>
      <c r="T73" s="97">
        <f>IF(T38=0,0,T38/TrRoad_act!T43*100)</f>
        <v>45.644014336956985</v>
      </c>
      <c r="U73" s="97">
        <f>IF(U38=0,0,U38/TrRoad_act!U43*100)</f>
        <v>45.721234023349517</v>
      </c>
      <c r="V73" s="97">
        <f>IF(V38=0,0,V38/TrRoad_act!V43*100)</f>
        <v>45.730969550843362</v>
      </c>
      <c r="W73" s="97">
        <f>IF(W38=0,0,W38/TrRoad_act!W43*100)</f>
        <v>45.741565460266344</v>
      </c>
      <c r="X73" s="97">
        <f>IF(X38=0,0,X38/TrRoad_act!X43*100)</f>
        <v>45.750170485379613</v>
      </c>
      <c r="Y73" s="97">
        <f>IF(Y38=0,0,Y38/TrRoad_act!Y43*100)</f>
        <v>45.730453644379146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45.536879542587592</v>
      </c>
      <c r="L74" s="97">
        <f>IF(L39=0,0,L39/TrRoad_act!L44*100)</f>
        <v>51.090563129828368</v>
      </c>
      <c r="M74" s="97">
        <f>IF(M39=0,0,M39/TrRoad_act!M44*100)</f>
        <v>51.384483370318215</v>
      </c>
      <c r="N74" s="97">
        <f>IF(N39=0,0,N39/TrRoad_act!N44*100)</f>
        <v>47.238056503710006</v>
      </c>
      <c r="O74" s="97">
        <f>IF(O39=0,0,O39/TrRoad_act!O44*100)</f>
        <v>43.037709853443467</v>
      </c>
      <c r="P74" s="97">
        <f>IF(P39=0,0,P39/TrRoad_act!P44*100)</f>
        <v>40.877703785554978</v>
      </c>
      <c r="Q74" s="97">
        <f>IF(Q39=0,0,Q39/TrRoad_act!Q44*100)</f>
        <v>35.357304849843182</v>
      </c>
      <c r="R74" s="97">
        <f>IF(R39=0,0,R39/TrRoad_act!R44*100)</f>
        <v>33.462151083945017</v>
      </c>
      <c r="S74" s="97">
        <f>IF(S39=0,0,S39/TrRoad_act!S44*100)</f>
        <v>33.393082766634613</v>
      </c>
      <c r="T74" s="97">
        <f>IF(T39=0,0,T39/TrRoad_act!T44*100)</f>
        <v>33.491050315389224</v>
      </c>
      <c r="U74" s="97">
        <f>IF(U39=0,0,U39/TrRoad_act!U44*100)</f>
        <v>33.889578597041456</v>
      </c>
      <c r="V74" s="97">
        <f>IF(V39=0,0,V39/TrRoad_act!V44*100)</f>
        <v>34.261340938841087</v>
      </c>
      <c r="W74" s="97">
        <f>IF(W39=0,0,W39/TrRoad_act!W44*100)</f>
        <v>35.046069959339896</v>
      </c>
      <c r="X74" s="97">
        <f>IF(X39=0,0,X39/TrRoad_act!X44*100)</f>
        <v>29.638194372734581</v>
      </c>
      <c r="Y74" s="97">
        <f>IF(Y39=0,0,Y39/TrRoad_act!Y44*100)</f>
        <v>30.328190407171252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32.625451477340306</v>
      </c>
      <c r="G75" s="97">
        <f>IF(G41=0,0,G41/TrRoad_act!G45*100)</f>
        <v>32.583710125454438</v>
      </c>
      <c r="H75" s="97">
        <f>IF(H41=0,0,H41/TrRoad_act!H45*100)</f>
        <v>32.567246608619079</v>
      </c>
      <c r="I75" s="97">
        <f>IF(I41=0,0,I41/TrRoad_act!I45*100)</f>
        <v>32.564356339825672</v>
      </c>
      <c r="J75" s="97">
        <f>IF(J41=0,0,J41/TrRoad_act!J45*100)</f>
        <v>32.565650877281975</v>
      </c>
      <c r="K75" s="97">
        <f>IF(K41=0,0,K41/TrRoad_act!K45*100)</f>
        <v>32.570137575713794</v>
      </c>
      <c r="L75" s="97">
        <f>IF(L41=0,0,L41/TrRoad_act!L45*100)</f>
        <v>32.57050718075488</v>
      </c>
      <c r="M75" s="97">
        <f>IF(M41=0,0,M41/TrRoad_act!M45*100)</f>
        <v>32.578011411989451</v>
      </c>
      <c r="N75" s="97">
        <f>IF(N41=0,0,N41/TrRoad_act!N45*100)</f>
        <v>32.578588871750227</v>
      </c>
      <c r="O75" s="97">
        <f>IF(O41=0,0,O41/TrRoad_act!O45*100)</f>
        <v>33.165373669508114</v>
      </c>
      <c r="P75" s="97">
        <f>IF(P41=0,0,P41/TrRoad_act!P45*100)</f>
        <v>33.189827215424899</v>
      </c>
      <c r="Q75" s="97">
        <f>IF(Q41=0,0,Q41/TrRoad_act!Q45*100)</f>
        <v>33.194086807979176</v>
      </c>
      <c r="R75" s="97">
        <f>IF(R41=0,0,R41/TrRoad_act!R45*100)</f>
        <v>33.184802554728996</v>
      </c>
      <c r="S75" s="97">
        <f>IF(S41=0,0,S41/TrRoad_act!S45*100)</f>
        <v>33.041743559945871</v>
      </c>
      <c r="T75" s="97">
        <f>IF(T41=0,0,T41/TrRoad_act!T45*100)</f>
        <v>32.860731995618096</v>
      </c>
      <c r="U75" s="97">
        <f>IF(U41=0,0,U41/TrRoad_act!U45*100)</f>
        <v>31.978407924135738</v>
      </c>
      <c r="V75" s="97">
        <f>IF(V41=0,0,V41/TrRoad_act!V45*100)</f>
        <v>31.712430469183506</v>
      </c>
      <c r="W75" s="97">
        <f>IF(W41=0,0,W41/TrRoad_act!W45*100)</f>
        <v>31.614738629447587</v>
      </c>
      <c r="X75" s="97">
        <f>IF(X41=0,0,X41/TrRoad_act!X45*100)</f>
        <v>30.743649286513865</v>
      </c>
      <c r="Y75" s="97">
        <f>IF(Y41=0,0,Y41/TrRoad_act!Y45*100)</f>
        <v>29.592633530814709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29.666971591783199</v>
      </c>
      <c r="C76" s="32">
        <f>IF(C42=0,0,C42/TrRoad_act!C46*100)</f>
        <v>38.033572115952673</v>
      </c>
      <c r="D76" s="32">
        <f>IF(D42=0,0,D42/TrRoad_act!D46*100)</f>
        <v>36.942139905170379</v>
      </c>
      <c r="E76" s="32">
        <f>IF(E42=0,0,E42/TrRoad_act!E46*100)</f>
        <v>26.632157302804416</v>
      </c>
      <c r="F76" s="32">
        <f>IF(F42=0,0,F42/TrRoad_act!F46*100)</f>
        <v>30.296776425584561</v>
      </c>
      <c r="G76" s="32">
        <f>IF(G42=0,0,G42/TrRoad_act!G46*100)</f>
        <v>28.360771150565551</v>
      </c>
      <c r="H76" s="32">
        <f>IF(H42=0,0,H42/TrRoad_act!H46*100)</f>
        <v>23.606437181512526</v>
      </c>
      <c r="I76" s="32">
        <f>IF(I42=0,0,I42/TrRoad_act!I46*100)</f>
        <v>33.039409451566151</v>
      </c>
      <c r="J76" s="32">
        <f>IF(J42=0,0,J42/TrRoad_act!J46*100)</f>
        <v>35.843196264800461</v>
      </c>
      <c r="K76" s="32">
        <f>IF(K42=0,0,K42/TrRoad_act!K46*100)</f>
        <v>20.39450661585775</v>
      </c>
      <c r="L76" s="32">
        <f>IF(L42=0,0,L42/TrRoad_act!L46*100)</f>
        <v>26.33297119268132</v>
      </c>
      <c r="M76" s="32">
        <f>IF(M42=0,0,M42/TrRoad_act!M46*100)</f>
        <v>29.241678613982202</v>
      </c>
      <c r="N76" s="32">
        <f>IF(N42=0,0,N42/TrRoad_act!N46*100)</f>
        <v>19.718032846697671</v>
      </c>
      <c r="O76" s="32">
        <f>IF(O42=0,0,O42/TrRoad_act!O46*100)</f>
        <v>20.598475098481533</v>
      </c>
      <c r="P76" s="32">
        <f>IF(P42=0,0,P42/TrRoad_act!P46*100)</f>
        <v>30.827763153957427</v>
      </c>
      <c r="Q76" s="32">
        <f>IF(Q42=0,0,Q42/TrRoad_act!Q46*100)</f>
        <v>32.157600289354356</v>
      </c>
      <c r="R76" s="32">
        <f>IF(R42=0,0,R42/TrRoad_act!R46*100)</f>
        <v>29.525189433542913</v>
      </c>
      <c r="S76" s="32">
        <f>IF(S42=0,0,S42/TrRoad_act!S46*100)</f>
        <v>30.635579697920257</v>
      </c>
      <c r="T76" s="32">
        <f>IF(T42=0,0,T42/TrRoad_act!T46*100)</f>
        <v>32.478362486891285</v>
      </c>
      <c r="U76" s="32">
        <f>IF(U42=0,0,U42/TrRoad_act!U46*100)</f>
        <v>33.064760515727912</v>
      </c>
      <c r="V76" s="32">
        <f>IF(V42=0,0,V42/TrRoad_act!V46*100)</f>
        <v>33.611704879994356</v>
      </c>
      <c r="W76" s="32">
        <f>IF(W42=0,0,W42/TrRoad_act!W46*100)</f>
        <v>34.49300705760232</v>
      </c>
      <c r="X76" s="32">
        <f>IF(X42=0,0,X42/TrRoad_act!X46*100)</f>
        <v>34.52612428890059</v>
      </c>
      <c r="Y76" s="32">
        <f>IF(Y42=0,0,Y42/TrRoad_act!Y46*100)</f>
        <v>32.713313875430799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12.039852392049159</v>
      </c>
      <c r="C77" s="141">
        <f>IF(C43=0,0,C43/TrRoad_act!C47*100)</f>
        <v>11.726158228004744</v>
      </c>
      <c r="D77" s="141">
        <f>IF(D43=0,0,D43/TrRoad_act!D47*100)</f>
        <v>10.867379675358832</v>
      </c>
      <c r="E77" s="141">
        <f>IF(E43=0,0,E43/TrRoad_act!E47*100)</f>
        <v>10.353562681658081</v>
      </c>
      <c r="F77" s="141">
        <f>IF(F43=0,0,F43/TrRoad_act!F47*100)</f>
        <v>10.273789934099709</v>
      </c>
      <c r="G77" s="141">
        <f>IF(G43=0,0,G43/TrRoad_act!G47*100)</f>
        <v>9.7706300118632257</v>
      </c>
      <c r="H77" s="141">
        <f>IF(H43=0,0,H43/TrRoad_act!H47*100)</f>
        <v>9.2689995895682618</v>
      </c>
      <c r="I77" s="141">
        <f>IF(I43=0,0,I43/TrRoad_act!I47*100)</f>
        <v>9.3964433072489921</v>
      </c>
      <c r="J77" s="141">
        <f>IF(J43=0,0,J43/TrRoad_act!J47*100)</f>
        <v>9.1042596063282719</v>
      </c>
      <c r="K77" s="141">
        <f>IF(K43=0,0,K43/TrRoad_act!K47*100)</f>
        <v>8.4961265144966607</v>
      </c>
      <c r="L77" s="141">
        <f>IF(L43=0,0,L43/TrRoad_act!L47*100)</f>
        <v>8.7875534165494589</v>
      </c>
      <c r="M77" s="141">
        <f>IF(M43=0,0,M43/TrRoad_act!M47*100)</f>
        <v>8.7535984921434107</v>
      </c>
      <c r="N77" s="141">
        <f>IF(N43=0,0,N43/TrRoad_act!N47*100)</f>
        <v>8.6555783639577744</v>
      </c>
      <c r="O77" s="141">
        <f>IF(O43=0,0,O43/TrRoad_act!O47*100)</f>
        <v>8.6712564594967212</v>
      </c>
      <c r="P77" s="141">
        <f>IF(P43=0,0,P43/TrRoad_act!P47*100)</f>
        <v>8.8859587670127009</v>
      </c>
      <c r="Q77" s="141">
        <f>IF(Q43=0,0,Q43/TrRoad_act!Q47*100)</f>
        <v>9.0199299956649632</v>
      </c>
      <c r="R77" s="141">
        <f>IF(R43=0,0,R43/TrRoad_act!R47*100)</f>
        <v>9.0672312036110885</v>
      </c>
      <c r="S77" s="141">
        <f>IF(S43=0,0,S43/TrRoad_act!S47*100)</f>
        <v>9.3404931323299891</v>
      </c>
      <c r="T77" s="141">
        <f>IF(T43=0,0,T43/TrRoad_act!T47*100)</f>
        <v>9.4195846619701786</v>
      </c>
      <c r="U77" s="141">
        <f>IF(U43=0,0,U43/TrRoad_act!U47*100)</f>
        <v>9.4191565894483347</v>
      </c>
      <c r="V77" s="141">
        <f>IF(V43=0,0,V43/TrRoad_act!V47*100)</f>
        <v>9.4129014792002774</v>
      </c>
      <c r="W77" s="141">
        <f>IF(W43=0,0,W43/TrRoad_act!W47*100)</f>
        <v>9.3756499000094848</v>
      </c>
      <c r="X77" s="141">
        <f>IF(X43=0,0,X43/TrRoad_act!X47*100)</f>
        <v>9.4312180826921814</v>
      </c>
      <c r="Y77" s="141">
        <f>IF(Y43=0,0,Y43/TrRoad_act!Y47*100)</f>
        <v>9.2684237022632754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11.952881353426273</v>
      </c>
      <c r="C78" s="96">
        <f>IF(C44=0,0,C44/TrRoad_act!C48*100)</f>
        <v>11.576007833216057</v>
      </c>
      <c r="D78" s="96">
        <f>IF(D44=0,0,D44/TrRoad_act!D48*100)</f>
        <v>11.252605295877082</v>
      </c>
      <c r="E78" s="96">
        <f>IF(E44=0,0,E44/TrRoad_act!E48*100)</f>
        <v>10.997340602063153</v>
      </c>
      <c r="F78" s="96">
        <f>IF(F44=0,0,F44/TrRoad_act!F48*100)</f>
        <v>10.789801160959437</v>
      </c>
      <c r="G78" s="96">
        <f>IF(G44=0,0,G44/TrRoad_act!G48*100)</f>
        <v>10.609973973541171</v>
      </c>
      <c r="H78" s="96">
        <f>IF(H44=0,0,H44/TrRoad_act!H48*100)</f>
        <v>10.444733991828672</v>
      </c>
      <c r="I78" s="96">
        <f>IF(I44=0,0,I44/TrRoad_act!I48*100)</f>
        <v>10.345281682980435</v>
      </c>
      <c r="J78" s="96">
        <f>IF(J44=0,0,J44/TrRoad_act!J48*100)</f>
        <v>10.263853803404407</v>
      </c>
      <c r="K78" s="96">
        <f>IF(K44=0,0,K44/TrRoad_act!K48*100)</f>
        <v>10.170641324388525</v>
      </c>
      <c r="L78" s="96">
        <f>IF(L44=0,0,L44/TrRoad_act!L48*100)</f>
        <v>10.229274095757896</v>
      </c>
      <c r="M78" s="96">
        <f>IF(M44=0,0,M44/TrRoad_act!M48*100)</f>
        <v>10.246655748366841</v>
      </c>
      <c r="N78" s="96">
        <f>IF(N44=0,0,N44/TrRoad_act!N48*100)</f>
        <v>10.149049958636571</v>
      </c>
      <c r="O78" s="96">
        <f>IF(O44=0,0,O44/TrRoad_act!O48*100)</f>
        <v>10.0099490610224</v>
      </c>
      <c r="P78" s="96">
        <f>IF(P44=0,0,P44/TrRoad_act!P48*100)</f>
        <v>9.8247299833053638</v>
      </c>
      <c r="Q78" s="96">
        <f>IF(Q44=0,0,Q44/TrRoad_act!Q48*100)</f>
        <v>9.6016741122280038</v>
      </c>
      <c r="R78" s="96">
        <f>IF(R44=0,0,R44/TrRoad_act!R48*100)</f>
        <v>9.4679512315386134</v>
      </c>
      <c r="S78" s="96">
        <f>IF(S44=0,0,S44/TrRoad_act!S48*100)</f>
        <v>9.2927829276394398</v>
      </c>
      <c r="T78" s="96">
        <f>IF(T44=0,0,T44/TrRoad_act!T48*100)</f>
        <v>9.1219162861966083</v>
      </c>
      <c r="U78" s="96">
        <f>IF(U44=0,0,U44/TrRoad_act!U48*100)</f>
        <v>9.4480908048610583</v>
      </c>
      <c r="V78" s="96">
        <f>IF(V44=0,0,V44/TrRoad_act!V48*100)</f>
        <v>9.3404924833315466</v>
      </c>
      <c r="W78" s="96">
        <f>IF(W44=0,0,W44/TrRoad_act!W48*100)</f>
        <v>9.2155302619421011</v>
      </c>
      <c r="X78" s="96">
        <f>IF(X44=0,0,X44/TrRoad_act!X48*100)</f>
        <v>9.1880107406942102</v>
      </c>
      <c r="Y78" s="96">
        <f>IF(Y44=0,0,Y44/TrRoad_act!Y48*100)</f>
        <v>9.1767074277787231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12.053919682151955</v>
      </c>
      <c r="C79" s="96">
        <f>IF(C46=0,0,C46/TrRoad_act!C49*100)</f>
        <v>11.749484789421851</v>
      </c>
      <c r="D79" s="96">
        <f>IF(D46=0,0,D46/TrRoad_act!D49*100)</f>
        <v>10.813244738210534</v>
      </c>
      <c r="E79" s="96">
        <f>IF(E46=0,0,E46/TrRoad_act!E49*100)</f>
        <v>10.270725671028197</v>
      </c>
      <c r="F79" s="96">
        <f>IF(F46=0,0,F46/TrRoad_act!F49*100)</f>
        <v>10.212223438763269</v>
      </c>
      <c r="G79" s="96">
        <f>IF(G46=0,0,G46/TrRoad_act!G49*100)</f>
        <v>9.6791836500243154</v>
      </c>
      <c r="H79" s="96">
        <f>IF(H46=0,0,H46/TrRoad_act!H49*100)</f>
        <v>9.1396352642987946</v>
      </c>
      <c r="I79" s="96">
        <f>IF(I46=0,0,I46/TrRoad_act!I49*100)</f>
        <v>9.2910072073515177</v>
      </c>
      <c r="J79" s="96">
        <f>IF(J46=0,0,J46/TrRoad_act!J49*100)</f>
        <v>8.9927454118149317</v>
      </c>
      <c r="K79" s="96">
        <f>IF(K46=0,0,K46/TrRoad_act!K49*100)</f>
        <v>8.3657908507882475</v>
      </c>
      <c r="L79" s="96">
        <f>IF(L46=0,0,L46/TrRoad_act!L49*100)</f>
        <v>8.6793504156168666</v>
      </c>
      <c r="M79" s="96">
        <f>IF(M46=0,0,M46/TrRoad_act!M49*100)</f>
        <v>8.6671106107194671</v>
      </c>
      <c r="N79" s="96">
        <f>IF(N46=0,0,N46/TrRoad_act!N49*100)</f>
        <v>8.5900967904489907</v>
      </c>
      <c r="O79" s="96">
        <f>IF(O46=0,0,O46/TrRoad_act!O49*100)</f>
        <v>8.6215223961070002</v>
      </c>
      <c r="P79" s="96">
        <f>IF(P46=0,0,P46/TrRoad_act!P49*100)</f>
        <v>8.8580805659547295</v>
      </c>
      <c r="Q79" s="96">
        <f>IF(Q46=0,0,Q46/TrRoad_act!Q49*100)</f>
        <v>9.0058030918335028</v>
      </c>
      <c r="R79" s="96">
        <f>IF(R46=0,0,R46/TrRoad_act!R49*100)</f>
        <v>9.0586763998412518</v>
      </c>
      <c r="S79" s="96">
        <f>IF(S46=0,0,S46/TrRoad_act!S49*100)</f>
        <v>9.3414310108998908</v>
      </c>
      <c r="T79" s="96">
        <f>IF(T46=0,0,T46/TrRoad_act!T49*100)</f>
        <v>9.4249564053792501</v>
      </c>
      <c r="U79" s="96">
        <f>IF(U46=0,0,U46/TrRoad_act!U49*100)</f>
        <v>9.4184936189657584</v>
      </c>
      <c r="V79" s="96">
        <f>IF(V46=0,0,V46/TrRoad_act!V49*100)</f>
        <v>9.4143387324110215</v>
      </c>
      <c r="W79" s="96">
        <f>IF(W46=0,0,W46/TrRoad_act!W49*100)</f>
        <v>9.3784651464394866</v>
      </c>
      <c r="X79" s="96">
        <f>IF(X46=0,0,X46/TrRoad_act!X49*100)</f>
        <v>9.4349358409498176</v>
      </c>
      <c r="Y79" s="96">
        <f>IF(Y46=0,0,Y46/TrRoad_act!Y49*100)</f>
        <v>9.2696005276700237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0</v>
      </c>
      <c r="T80" s="96">
        <f>IF(T48=0,0,T48/TrRoad_act!T50*100)</f>
        <v>0</v>
      </c>
      <c r="U80" s="96">
        <f>IF(U48=0,0,U48/TrRoad_act!U50*100)</f>
        <v>0</v>
      </c>
      <c r="V80" s="96">
        <f>IF(V48=0,0,V48/TrRoad_act!V50*100)</f>
        <v>0</v>
      </c>
      <c r="W80" s="96">
        <f>IF(W48=0,0,W48/TrRoad_act!W50*100)</f>
        <v>0</v>
      </c>
      <c r="X80" s="96">
        <f>IF(X48=0,0,X48/TrRoad_act!X50*100)</f>
        <v>0</v>
      </c>
      <c r="Y80" s="96">
        <f>IF(Y48=0,0,Y48/TrRoad_act!Y50*100)</f>
        <v>0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X81" s="96">
        <f>IF(X49=0,0,X49/TrRoad_act!X51*100)</f>
        <v>0</v>
      </c>
      <c r="Y81" s="96">
        <f>IF(Y49=0,0,Y49/TrRoad_act!Y51*100)</f>
        <v>0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0</v>
      </c>
      <c r="O82" s="96">
        <f>IF(O51=0,0,O51/TrRoad_act!O52*100)</f>
        <v>0</v>
      </c>
      <c r="P82" s="96">
        <f>IF(P51=0,0,P51/TrRoad_act!P52*100)</f>
        <v>0</v>
      </c>
      <c r="Q82" s="96">
        <f>IF(Q51=0,0,Q51/TrRoad_act!Q52*100)</f>
        <v>0</v>
      </c>
      <c r="R82" s="96">
        <f>IF(R51=0,0,R51/TrRoad_act!R52*100)</f>
        <v>0</v>
      </c>
      <c r="S82" s="96">
        <f>IF(S51=0,0,S51/TrRoad_act!S52*100)</f>
        <v>0</v>
      </c>
      <c r="T82" s="96">
        <f>IF(T51=0,0,T51/TrRoad_act!T52*100)</f>
        <v>0</v>
      </c>
      <c r="U82" s="96">
        <f>IF(U51=0,0,U51/TrRoad_act!U52*100)</f>
        <v>0</v>
      </c>
      <c r="V82" s="96">
        <f>IF(V51=0,0,V51/TrRoad_act!V52*100)</f>
        <v>0</v>
      </c>
      <c r="W82" s="96">
        <f>IF(W51=0,0,W51/TrRoad_act!W52*100)</f>
        <v>0</v>
      </c>
      <c r="X82" s="96">
        <f>IF(X51=0,0,X51/TrRoad_act!X52*100)</f>
        <v>0</v>
      </c>
      <c r="Y82" s="96">
        <f>IF(Y51=0,0,Y51/TrRoad_act!Y52*100)</f>
        <v>0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40.554436874895735</v>
      </c>
      <c r="C83" s="130">
        <f>IF(C52=0,0,C52/TrRoad_act!C53*100)</f>
        <v>54.53764986217606</v>
      </c>
      <c r="D83" s="130">
        <f>IF(D52=0,0,D52/TrRoad_act!D53*100)</f>
        <v>54.442009726895535</v>
      </c>
      <c r="E83" s="130">
        <f>IF(E52=0,0,E52/TrRoad_act!E53*100)</f>
        <v>36.279552396922085</v>
      </c>
      <c r="F83" s="130">
        <f>IF(F52=0,0,F52/TrRoad_act!F53*100)</f>
        <v>42.564357617996947</v>
      </c>
      <c r="G83" s="130">
        <f>IF(G52=0,0,G52/TrRoad_act!G53*100)</f>
        <v>41.719568341942626</v>
      </c>
      <c r="H83" s="130">
        <f>IF(H52=0,0,H52/TrRoad_act!H53*100)</f>
        <v>35.373321595673033</v>
      </c>
      <c r="I83" s="130">
        <f>IF(I52=0,0,I52/TrRoad_act!I53*100)</f>
        <v>52.998592292977889</v>
      </c>
      <c r="J83" s="130">
        <f>IF(J52=0,0,J52/TrRoad_act!J53*100)</f>
        <v>62.39871845176517</v>
      </c>
      <c r="K83" s="130">
        <f>IF(K52=0,0,K52/TrRoad_act!K53*100)</f>
        <v>34.556876165595774</v>
      </c>
      <c r="L83" s="130">
        <f>IF(L52=0,0,L52/TrRoad_act!L53*100)</f>
        <v>46.677684828164423</v>
      </c>
      <c r="M83" s="130">
        <f>IF(M52=0,0,M52/TrRoad_act!M53*100)</f>
        <v>53.954385049608476</v>
      </c>
      <c r="N83" s="130">
        <f>IF(N52=0,0,N52/TrRoad_act!N53*100)</f>
        <v>32.95643580228095</v>
      </c>
      <c r="O83" s="130">
        <f>IF(O52=0,0,O52/TrRoad_act!O53*100)</f>
        <v>33.92508023212735</v>
      </c>
      <c r="P83" s="130">
        <f>IF(P52=0,0,P52/TrRoad_act!P53*100)</f>
        <v>57.067376947650331</v>
      </c>
      <c r="Q83" s="130">
        <f>IF(Q52=0,0,Q52/TrRoad_act!Q53*100)</f>
        <v>59.976264405915522</v>
      </c>
      <c r="R83" s="130">
        <f>IF(R52=0,0,R52/TrRoad_act!R53*100)</f>
        <v>55.09213515934713</v>
      </c>
      <c r="S83" s="130">
        <f>IF(S52=0,0,S52/TrRoad_act!S53*100)</f>
        <v>56.564878180678001</v>
      </c>
      <c r="T83" s="130">
        <f>IF(T52=0,0,T52/TrRoad_act!T53*100)</f>
        <v>60.566310160058443</v>
      </c>
      <c r="U83" s="130">
        <f>IF(U52=0,0,U52/TrRoad_act!U53*100)</f>
        <v>62.610544360583745</v>
      </c>
      <c r="V83" s="130">
        <f>IF(V52=0,0,V52/TrRoad_act!V53*100)</f>
        <v>63.169853284533836</v>
      </c>
      <c r="W83" s="130">
        <f>IF(W52=0,0,W52/TrRoad_act!W53*100)</f>
        <v>66.825083830014492</v>
      </c>
      <c r="X83" s="130">
        <f>IF(X52=0,0,X52/TrRoad_act!X53*100)</f>
        <v>67.527748914616964</v>
      </c>
      <c r="Y83" s="130">
        <f>IF(Y52=0,0,Y52/TrRoad_act!Y53*100)</f>
        <v>60.446210901516615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33.005826609681172</v>
      </c>
      <c r="C84" s="97">
        <f>IF(C53=0,0,C53/TrRoad_act!C54*100)</f>
        <v>38.066371000269669</v>
      </c>
      <c r="D84" s="97">
        <f>IF(D53=0,0,D53/TrRoad_act!D54*100)</f>
        <v>37.882775731668112</v>
      </c>
      <c r="E84" s="97">
        <f>IF(E53=0,0,E53/TrRoad_act!E54*100)</f>
        <v>31.253681494394808</v>
      </c>
      <c r="F84" s="97">
        <f>IF(F53=0,0,F53/TrRoad_act!F54*100)</f>
        <v>33.451452778481546</v>
      </c>
      <c r="G84" s="97">
        <f>IF(G53=0,0,G53/TrRoad_act!G54*100)</f>
        <v>32.973281190090212</v>
      </c>
      <c r="H84" s="97">
        <f>IF(H53=0,0,H53/TrRoad_act!H54*100)</f>
        <v>30.482135110096731</v>
      </c>
      <c r="I84" s="97">
        <f>IF(I53=0,0,I53/TrRoad_act!I54*100)</f>
        <v>36.906733177800632</v>
      </c>
      <c r="J84" s="97">
        <f>IF(J53=0,0,J53/TrRoad_act!J54*100)</f>
        <v>40.214423043358252</v>
      </c>
      <c r="K84" s="97">
        <f>IF(K53=0,0,K53/TrRoad_act!K54*100)</f>
        <v>30.239043553099794</v>
      </c>
      <c r="L84" s="97">
        <f>IF(L53=0,0,L53/TrRoad_act!L54*100)</f>
        <v>34.443252967723353</v>
      </c>
      <c r="M84" s="97">
        <f>IF(M53=0,0,M53/TrRoad_act!M54*100)</f>
        <v>37.008115248523474</v>
      </c>
      <c r="N84" s="97">
        <f>IF(N53=0,0,N53/TrRoad_act!N54*100)</f>
        <v>29.421456773988407</v>
      </c>
      <c r="O84" s="97">
        <f>IF(O53=0,0,O53/TrRoad_act!O54*100)</f>
        <v>29.765021261037024</v>
      </c>
      <c r="P84" s="97">
        <f>IF(P53=0,0,P53/TrRoad_act!P54*100)</f>
        <v>38.29405096355557</v>
      </c>
      <c r="Q84" s="97">
        <f>IF(Q53=0,0,Q53/TrRoad_act!Q54*100)</f>
        <v>39.236648053902861</v>
      </c>
      <c r="R84" s="97">
        <f>IF(R53=0,0,R53/TrRoad_act!R54*100)</f>
        <v>37.538767949152366</v>
      </c>
      <c r="S84" s="97">
        <f>IF(S53=0,0,S53/TrRoad_act!S54*100)</f>
        <v>38.219681250698066</v>
      </c>
      <c r="T84" s="97">
        <f>IF(T53=0,0,T53/TrRoad_act!T54*100)</f>
        <v>39.878772140018093</v>
      </c>
      <c r="U84" s="97">
        <f>IF(U53=0,0,U53/TrRoad_act!U54*100)</f>
        <v>40.82405009948436</v>
      </c>
      <c r="V84" s="97">
        <f>IF(V53=0,0,V53/TrRoad_act!V54*100)</f>
        <v>41.067893849749233</v>
      </c>
      <c r="W84" s="97">
        <f>IF(W53=0,0,W53/TrRoad_act!W54*100)</f>
        <v>42.412500120626127</v>
      </c>
      <c r="X84" s="97">
        <f>IF(X53=0,0,X53/TrRoad_act!X54*100)</f>
        <v>42.320703585629701</v>
      </c>
      <c r="Y84" s="97">
        <f>IF(Y53=0,0,Y53/TrRoad_act!Y54*100)</f>
        <v>40.0238616348704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63.190274085907625</v>
      </c>
      <c r="C85" s="98">
        <f>IF(C55=0,0,C55/TrRoad_act!C55*100)</f>
        <v>100.12628423102036</v>
      </c>
      <c r="D85" s="98">
        <f>IF(D55=0,0,D55/TrRoad_act!D55*100)</f>
        <v>98.006615803882667</v>
      </c>
      <c r="E85" s="98">
        <f>IF(E55=0,0,E55/TrRoad_act!E55*100)</f>
        <v>52.964713571487287</v>
      </c>
      <c r="F85" s="98">
        <f>IF(F55=0,0,F55/TrRoad_act!F55*100)</f>
        <v>67.733896283408384</v>
      </c>
      <c r="G85" s="98">
        <f>IF(G55=0,0,G55/TrRoad_act!G55*100)</f>
        <v>62.897578285948086</v>
      </c>
      <c r="H85" s="98">
        <f>IF(H55=0,0,H55/TrRoad_act!H55*100)</f>
        <v>44.958740897442105</v>
      </c>
      <c r="I85" s="98">
        <f>IF(I55=0,0,I55/TrRoad_act!I55*100)</f>
        <v>84.982838927287702</v>
      </c>
      <c r="J85" s="98">
        <f>IF(J55=0,0,J55/TrRoad_act!J55*100)</f>
        <v>104.22824726987288</v>
      </c>
      <c r="K85" s="98">
        <f>IF(K55=0,0,K55/TrRoad_act!K55*100)</f>
        <v>44.138830247646247</v>
      </c>
      <c r="L85" s="98">
        <f>IF(L55=0,0,L55/TrRoad_act!L55*100)</f>
        <v>67.385845773746695</v>
      </c>
      <c r="M85" s="98">
        <f>IF(M55=0,0,M55/TrRoad_act!M55*100)</f>
        <v>79.913630709909384</v>
      </c>
      <c r="N85" s="98">
        <f>IF(N55=0,0,N55/TrRoad_act!N55*100)</f>
        <v>38.039614406898522</v>
      </c>
      <c r="O85" s="98">
        <f>IF(O55=0,0,O55/TrRoad_act!O55*100)</f>
        <v>39.423914955982625</v>
      </c>
      <c r="P85" s="98">
        <f>IF(P55=0,0,P55/TrRoad_act!P55*100)</f>
        <v>85.453402654294663</v>
      </c>
      <c r="Q85" s="98">
        <f>IF(Q55=0,0,Q55/TrRoad_act!Q55*100)</f>
        <v>87.130940097308368</v>
      </c>
      <c r="R85" s="98">
        <f>IF(R55=0,0,R55/TrRoad_act!R55*100)</f>
        <v>77.678986187385036</v>
      </c>
      <c r="S85" s="98">
        <f>IF(S55=0,0,S55/TrRoad_act!S55*100)</f>
        <v>80.695955163817359</v>
      </c>
      <c r="T85" s="98">
        <f>IF(T55=0,0,T55/TrRoad_act!T55*100)</f>
        <v>90.803759165026165</v>
      </c>
      <c r="U85" s="98">
        <f>IF(U55=0,0,U55/TrRoad_act!U55*100)</f>
        <v>95.971774412715632</v>
      </c>
      <c r="V85" s="98">
        <f>IF(V55=0,0,V55/TrRoad_act!V55*100)</f>
        <v>94.384469646093791</v>
      </c>
      <c r="W85" s="98">
        <f>IF(W55=0,0,W55/TrRoad_act!W55*100)</f>
        <v>98.838156851195208</v>
      </c>
      <c r="X85" s="98">
        <f>IF(X55=0,0,X55/TrRoad_act!X55*100)</f>
        <v>91.369099260457489</v>
      </c>
      <c r="Y85" s="98">
        <f>IF(Y55=0,0,Y55/TrRoad_act!Y55*100)</f>
        <v>81.787009753591803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25.454895839128557</v>
      </c>
      <c r="C88" s="29">
        <f>IF(TrRoad_act!C4=0,0,C18/TrRoad_act!C4*1000)</f>
        <v>26.327724724036042</v>
      </c>
      <c r="D88" s="29">
        <f>IF(TrRoad_act!D4=0,0,D18/TrRoad_act!D4*1000)</f>
        <v>27.274115229587636</v>
      </c>
      <c r="E88" s="29">
        <f>IF(TrRoad_act!E4=0,0,E18/TrRoad_act!E4*1000)</f>
        <v>26.697788382612959</v>
      </c>
      <c r="F88" s="29">
        <f>IF(TrRoad_act!F4=0,0,F18/TrRoad_act!F4*1000)</f>
        <v>26.737539032470981</v>
      </c>
      <c r="G88" s="29">
        <f>IF(TrRoad_act!G4=0,0,G18/TrRoad_act!G4*1000)</f>
        <v>26.411950721662958</v>
      </c>
      <c r="H88" s="29">
        <f>IF(TrRoad_act!H4=0,0,H18/TrRoad_act!H4*1000)</f>
        <v>26.020457175751591</v>
      </c>
      <c r="I88" s="29">
        <f>IF(TrRoad_act!I4=0,0,I18/TrRoad_act!I4*1000)</f>
        <v>29.250936085416406</v>
      </c>
      <c r="J88" s="29">
        <f>IF(TrRoad_act!J4=0,0,J18/TrRoad_act!J4*1000)</f>
        <v>29.548484629046531</v>
      </c>
      <c r="K88" s="29">
        <f>IF(TrRoad_act!K4=0,0,K18/TrRoad_act!K4*1000)</f>
        <v>28.939417986727047</v>
      </c>
      <c r="L88" s="29">
        <f>IF(TrRoad_act!L4=0,0,L18/TrRoad_act!L4*1000)</f>
        <v>31.32530251448517</v>
      </c>
      <c r="M88" s="29">
        <f>IF(TrRoad_act!M4=0,0,M18/TrRoad_act!M4*1000)</f>
        <v>31.69175685306104</v>
      </c>
      <c r="N88" s="29">
        <f>IF(TrRoad_act!N4=0,0,N18/TrRoad_act!N4*1000)</f>
        <v>30.905277407210001</v>
      </c>
      <c r="O88" s="29">
        <f>IF(TrRoad_act!O4=0,0,O18/TrRoad_act!O4*1000)</f>
        <v>30.857117907625661</v>
      </c>
      <c r="P88" s="29">
        <f>IF(TrRoad_act!P4=0,0,P18/TrRoad_act!P4*1000)</f>
        <v>40.213759870114366</v>
      </c>
      <c r="Q88" s="29">
        <f>IF(TrRoad_act!Q4=0,0,Q18/TrRoad_act!Q4*1000)</f>
        <v>41.930051811340185</v>
      </c>
      <c r="R88" s="29">
        <f>IF(TrRoad_act!R4=0,0,R18/TrRoad_act!R4*1000)</f>
        <v>45.464180635620401</v>
      </c>
      <c r="S88" s="29">
        <f>IF(TrRoad_act!S4=0,0,S18/TrRoad_act!S4*1000)</f>
        <v>39.96388893482191</v>
      </c>
      <c r="T88" s="29">
        <f>IF(TrRoad_act!T4=0,0,T18/TrRoad_act!T4*1000)</f>
        <v>43.949594451146766</v>
      </c>
      <c r="U88" s="29">
        <f>IF(TrRoad_act!U4=0,0,U18/TrRoad_act!U4*1000)</f>
        <v>43.696654024838871</v>
      </c>
      <c r="V88" s="29">
        <f>IF(TrRoad_act!V4=0,0,V18/TrRoad_act!V4*1000)</f>
        <v>47.910053074469971</v>
      </c>
      <c r="W88" s="29">
        <f>IF(TrRoad_act!W4=0,0,W18/TrRoad_act!W4*1000)</f>
        <v>44.536132572690917</v>
      </c>
      <c r="X88" s="29">
        <f>IF(TrRoad_act!X4=0,0,X18/TrRoad_act!X4*1000)</f>
        <v>41.921677801670718</v>
      </c>
      <c r="Y88" s="29">
        <f>IF(TrRoad_act!Y4=0,0,Y18/TrRoad_act!Y4*1000)</f>
        <v>40.352837652152587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46.304180732123051</v>
      </c>
      <c r="C89" s="152">
        <f>IF(TrRoad_act!C5=0,0,C19/TrRoad_act!C5*1000)</f>
        <v>45.979913466179113</v>
      </c>
      <c r="D89" s="152">
        <f>IF(TrRoad_act!D5=0,0,D19/TrRoad_act!D5*1000)</f>
        <v>45.519330020148807</v>
      </c>
      <c r="E89" s="152">
        <f>IF(TrRoad_act!E5=0,0,E19/TrRoad_act!E5*1000)</f>
        <v>42.822516691758963</v>
      </c>
      <c r="F89" s="152">
        <f>IF(TrRoad_act!F5=0,0,F19/TrRoad_act!F5*1000)</f>
        <v>42.361275394798341</v>
      </c>
      <c r="G89" s="152">
        <f>IF(TrRoad_act!G5=0,0,G19/TrRoad_act!G5*1000)</f>
        <v>41.864819854761258</v>
      </c>
      <c r="H89" s="152">
        <f>IF(TrRoad_act!H5=0,0,H19/TrRoad_act!H5*1000)</f>
        <v>41.067441713999038</v>
      </c>
      <c r="I89" s="152">
        <f>IF(TrRoad_act!I5=0,0,I19/TrRoad_act!I5*1000)</f>
        <v>40.010987165522522</v>
      </c>
      <c r="J89" s="152">
        <f>IF(TrRoad_act!J5=0,0,J19/TrRoad_act!J5*1000)</f>
        <v>38.833200465199944</v>
      </c>
      <c r="K89" s="152">
        <f>IF(TrRoad_act!K5=0,0,K19/TrRoad_act!K5*1000)</f>
        <v>38.007118897089867</v>
      </c>
      <c r="L89" s="152">
        <f>IF(TrRoad_act!L5=0,0,L19/TrRoad_act!L5*1000)</f>
        <v>37.680891724721036</v>
      </c>
      <c r="M89" s="152">
        <f>IF(TrRoad_act!M5=0,0,M19/TrRoad_act!M5*1000)</f>
        <v>37.205763155832351</v>
      </c>
      <c r="N89" s="152">
        <f>IF(TrRoad_act!N5=0,0,N19/TrRoad_act!N5*1000)</f>
        <v>36.976991155913836</v>
      </c>
      <c r="O89" s="152">
        <f>IF(TrRoad_act!O5=0,0,O19/TrRoad_act!O5*1000)</f>
        <v>36.535856651064812</v>
      </c>
      <c r="P89" s="152">
        <f>IF(TrRoad_act!P5=0,0,P19/TrRoad_act!P5*1000)</f>
        <v>35.963047176580218</v>
      </c>
      <c r="Q89" s="152">
        <f>IF(TrRoad_act!Q5=0,0,Q19/TrRoad_act!Q5*1000)</f>
        <v>37.086425937038321</v>
      </c>
      <c r="R89" s="152">
        <f>IF(TrRoad_act!R5=0,0,R19/TrRoad_act!R5*1000)</f>
        <v>36.499005195459823</v>
      </c>
      <c r="S89" s="152">
        <f>IF(TrRoad_act!S5=0,0,S19/TrRoad_act!S5*1000)</f>
        <v>35.76244843929377</v>
      </c>
      <c r="T89" s="152">
        <f>IF(TrRoad_act!T5=0,0,T19/TrRoad_act!T5*1000)</f>
        <v>34.961674056541476</v>
      </c>
      <c r="U89" s="152">
        <f>IF(TrRoad_act!U5=0,0,U19/TrRoad_act!U5*1000)</f>
        <v>33.615009577189099</v>
      </c>
      <c r="V89" s="152">
        <f>IF(TrRoad_act!V5=0,0,V19/TrRoad_act!V5*1000)</f>
        <v>32.545270915206814</v>
      </c>
      <c r="W89" s="152">
        <f>IF(TrRoad_act!W5=0,0,W19/TrRoad_act!W5*1000)</f>
        <v>31.838467443439303</v>
      </c>
      <c r="X89" s="152">
        <f>IF(TrRoad_act!X5=0,0,X19/TrRoad_act!X5*1000)</f>
        <v>31.242417026098764</v>
      </c>
      <c r="Y89" s="152">
        <f>IF(TrRoad_act!Y5=0,0,Y19/TrRoad_act!Y5*1000)</f>
        <v>30.725323566515087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25.831159041477335</v>
      </c>
      <c r="C90" s="116">
        <f>IF(TrRoad_act!C6=0,0,C21/TrRoad_act!C6*1000)</f>
        <v>26.959876844725123</v>
      </c>
      <c r="D90" s="116">
        <f>IF(TrRoad_act!D6=0,0,D21/TrRoad_act!D6*1000)</f>
        <v>28.145109560789546</v>
      </c>
      <c r="E90" s="116">
        <f>IF(TrRoad_act!E6=0,0,E21/TrRoad_act!E6*1000)</f>
        <v>27.406746959067366</v>
      </c>
      <c r="F90" s="116">
        <f>IF(TrRoad_act!F6=0,0,F21/TrRoad_act!F6*1000)</f>
        <v>27.759123744074259</v>
      </c>
      <c r="G90" s="116">
        <f>IF(TrRoad_act!G6=0,0,G21/TrRoad_act!G6*1000)</f>
        <v>27.445074632408712</v>
      </c>
      <c r="H90" s="116">
        <f>IF(TrRoad_act!H6=0,0,H21/TrRoad_act!H6*1000)</f>
        <v>26.947183628388196</v>
      </c>
      <c r="I90" s="116">
        <f>IF(TrRoad_act!I6=0,0,I21/TrRoad_act!I6*1000)</f>
        <v>30.516602405701537</v>
      </c>
      <c r="J90" s="116">
        <f>IF(TrRoad_act!J6=0,0,J21/TrRoad_act!J6*1000)</f>
        <v>30.81036299356472</v>
      </c>
      <c r="K90" s="116">
        <f>IF(TrRoad_act!K6=0,0,K21/TrRoad_act!K6*1000)</f>
        <v>29.705551333892789</v>
      </c>
      <c r="L90" s="116">
        <f>IF(TrRoad_act!L6=0,0,L21/TrRoad_act!L6*1000)</f>
        <v>32.348240247445901</v>
      </c>
      <c r="M90" s="116">
        <f>IF(TrRoad_act!M6=0,0,M21/TrRoad_act!M6*1000)</f>
        <v>32.86414848840883</v>
      </c>
      <c r="N90" s="116">
        <f>IF(TrRoad_act!N6=0,0,N21/TrRoad_act!N6*1000)</f>
        <v>31.877950800770751</v>
      </c>
      <c r="O90" s="116">
        <f>IF(TrRoad_act!O6=0,0,O21/TrRoad_act!O6*1000)</f>
        <v>31.945462820586489</v>
      </c>
      <c r="P90" s="116">
        <f>IF(TrRoad_act!P6=0,0,P21/TrRoad_act!P6*1000)</f>
        <v>42.981389370163463</v>
      </c>
      <c r="Q90" s="116">
        <f>IF(TrRoad_act!Q6=0,0,Q21/TrRoad_act!Q6*1000)</f>
        <v>44.396340627879724</v>
      </c>
      <c r="R90" s="116">
        <f>IF(TrRoad_act!R6=0,0,R21/TrRoad_act!R6*1000)</f>
        <v>48.110506448639114</v>
      </c>
      <c r="S90" s="116">
        <f>IF(TrRoad_act!S6=0,0,S21/TrRoad_act!S6*1000)</f>
        <v>41.759465383503766</v>
      </c>
      <c r="T90" s="116">
        <f>IF(TrRoad_act!T6=0,0,T21/TrRoad_act!T6*1000)</f>
        <v>46.297463989448808</v>
      </c>
      <c r="U90" s="116">
        <f>IF(TrRoad_act!U6=0,0,U21/TrRoad_act!U6*1000)</f>
        <v>45.805512884536562</v>
      </c>
      <c r="V90" s="116">
        <f>IF(TrRoad_act!V6=0,0,V21/TrRoad_act!V6*1000)</f>
        <v>48.923676140251743</v>
      </c>
      <c r="W90" s="116">
        <f>IF(TrRoad_act!W6=0,0,W21/TrRoad_act!W6*1000)</f>
        <v>45.245881495305035</v>
      </c>
      <c r="X90" s="116">
        <f>IF(TrRoad_act!X6=0,0,X21/TrRoad_act!X6*1000)</f>
        <v>43.22877044533314</v>
      </c>
      <c r="Y90" s="116">
        <f>IF(TrRoad_act!Y6=0,0,Y21/TrRoad_act!Y6*1000)</f>
        <v>41.837291624030328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29.656523794863489</v>
      </c>
      <c r="C91" s="87">
        <f>IF(TrRoad_act!C7=0,0,C22/TrRoad_act!C7*1000)</f>
        <v>31.763961354472439</v>
      </c>
      <c r="D91" s="87">
        <f>IF(TrRoad_act!D7=0,0,D22/TrRoad_act!D7*1000)</f>
        <v>33.606837610927258</v>
      </c>
      <c r="E91" s="87">
        <f>IF(TrRoad_act!E7=0,0,E22/TrRoad_act!E7*1000)</f>
        <v>33.125285878474479</v>
      </c>
      <c r="F91" s="87">
        <f>IF(TrRoad_act!F7=0,0,F22/TrRoad_act!F7*1000)</f>
        <v>34.276594368268775</v>
      </c>
      <c r="G91" s="87">
        <f>IF(TrRoad_act!G7=0,0,G22/TrRoad_act!G7*1000)</f>
        <v>32.576769159226771</v>
      </c>
      <c r="H91" s="87">
        <f>IF(TrRoad_act!H7=0,0,H22/TrRoad_act!H7*1000)</f>
        <v>32.617838908304201</v>
      </c>
      <c r="I91" s="87">
        <f>IF(TrRoad_act!I7=0,0,I22/TrRoad_act!I7*1000)</f>
        <v>37.336513602736233</v>
      </c>
      <c r="J91" s="87">
        <f>IF(TrRoad_act!J7=0,0,J22/TrRoad_act!J7*1000)</f>
        <v>37.955094669707222</v>
      </c>
      <c r="K91" s="87">
        <f>IF(TrRoad_act!K7=0,0,K22/TrRoad_act!K7*1000)</f>
        <v>36.687700385023007</v>
      </c>
      <c r="L91" s="87">
        <f>IF(TrRoad_act!L7=0,0,L22/TrRoad_act!L7*1000)</f>
        <v>41.601571109179098</v>
      </c>
      <c r="M91" s="87">
        <f>IF(TrRoad_act!M7=0,0,M22/TrRoad_act!M7*1000)</f>
        <v>41.266914765969624</v>
      </c>
      <c r="N91" s="87">
        <f>IF(TrRoad_act!N7=0,0,N22/TrRoad_act!N7*1000)</f>
        <v>41.594594029784844</v>
      </c>
      <c r="O91" s="87">
        <f>IF(TrRoad_act!O7=0,0,O22/TrRoad_act!O7*1000)</f>
        <v>42.071014846555094</v>
      </c>
      <c r="P91" s="87">
        <f>IF(TrRoad_act!P7=0,0,P22/TrRoad_act!P7*1000)</f>
        <v>53.891635033769639</v>
      </c>
      <c r="Q91" s="87">
        <f>IF(TrRoad_act!Q7=0,0,Q22/TrRoad_act!Q7*1000)</f>
        <v>55.448233860533762</v>
      </c>
      <c r="R91" s="87">
        <f>IF(TrRoad_act!R7=0,0,R22/TrRoad_act!R7*1000)</f>
        <v>62.798279210444782</v>
      </c>
      <c r="S91" s="87">
        <f>IF(TrRoad_act!S7=0,0,S22/TrRoad_act!S7*1000)</f>
        <v>52.244002038137097</v>
      </c>
      <c r="T91" s="87">
        <f>IF(TrRoad_act!T7=0,0,T22/TrRoad_act!T7*1000)</f>
        <v>55.57437936727824</v>
      </c>
      <c r="U91" s="87">
        <f>IF(TrRoad_act!U7=0,0,U22/TrRoad_act!U7*1000)</f>
        <v>52.641435322114447</v>
      </c>
      <c r="V91" s="87">
        <f>IF(TrRoad_act!V7=0,0,V22/TrRoad_act!V7*1000)</f>
        <v>54.945121789726109</v>
      </c>
      <c r="W91" s="87">
        <f>IF(TrRoad_act!W7=0,0,W22/TrRoad_act!W7*1000)</f>
        <v>49.45487563827443</v>
      </c>
      <c r="X91" s="87">
        <f>IF(TrRoad_act!X7=0,0,X22/TrRoad_act!X7*1000)</f>
        <v>44.976411980572742</v>
      </c>
      <c r="Y91" s="87">
        <f>IF(TrRoad_act!Y7=0,0,Y22/TrRoad_act!Y7*1000)</f>
        <v>43.752036611612418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20.898208633862254</v>
      </c>
      <c r="C92" s="87">
        <f>IF(TrRoad_act!C8=0,0,C24/TrRoad_act!C8*1000)</f>
        <v>20.959984019114422</v>
      </c>
      <c r="D92" s="87">
        <f>IF(TrRoad_act!D8=0,0,D24/TrRoad_act!D8*1000)</f>
        <v>21.875883295360417</v>
      </c>
      <c r="E92" s="87">
        <f>IF(TrRoad_act!E8=0,0,E24/TrRoad_act!E8*1000)</f>
        <v>21.0587841510836</v>
      </c>
      <c r="F92" s="87">
        <f>IF(TrRoad_act!F8=0,0,F24/TrRoad_act!F8*1000)</f>
        <v>22.066557017923376</v>
      </c>
      <c r="G92" s="87">
        <f>IF(TrRoad_act!G8=0,0,G24/TrRoad_act!G8*1000)</f>
        <v>21.912082082484609</v>
      </c>
      <c r="H92" s="87">
        <f>IF(TrRoad_act!H8=0,0,H24/TrRoad_act!H8*1000)</f>
        <v>21.979873988971299</v>
      </c>
      <c r="I92" s="87">
        <f>IF(TrRoad_act!I8=0,0,I24/TrRoad_act!I8*1000)</f>
        <v>26.285230329201962</v>
      </c>
      <c r="J92" s="87">
        <f>IF(TrRoad_act!J8=0,0,J24/TrRoad_act!J8*1000)</f>
        <v>26.903512040262409</v>
      </c>
      <c r="K92" s="87">
        <f>IF(TrRoad_act!K8=0,0,K24/TrRoad_act!K8*1000)</f>
        <v>25.132353885620645</v>
      </c>
      <c r="L92" s="87">
        <f>IF(TrRoad_act!L8=0,0,L24/TrRoad_act!L8*1000)</f>
        <v>28.772887830864789</v>
      </c>
      <c r="M92" s="87">
        <f>IF(TrRoad_act!M8=0,0,M24/TrRoad_act!M8*1000)</f>
        <v>29.732657762358901</v>
      </c>
      <c r="N92" s="87">
        <f>IF(TrRoad_act!N8=0,0,N24/TrRoad_act!N8*1000)</f>
        <v>28.809315378389602</v>
      </c>
      <c r="O92" s="87">
        <f>IF(TrRoad_act!O8=0,0,O24/TrRoad_act!O8*1000)</f>
        <v>29.430724585113847</v>
      </c>
      <c r="P92" s="87">
        <f>IF(TrRoad_act!P8=0,0,P24/TrRoad_act!P8*1000)</f>
        <v>40.350219121345056</v>
      </c>
      <c r="Q92" s="87">
        <f>IF(TrRoad_act!Q8=0,0,Q24/TrRoad_act!Q8*1000)</f>
        <v>42.020428180220271</v>
      </c>
      <c r="R92" s="87">
        <f>IF(TrRoad_act!R8=0,0,R24/TrRoad_act!R8*1000)</f>
        <v>45.726594506647977</v>
      </c>
      <c r="S92" s="87">
        <f>IF(TrRoad_act!S8=0,0,S24/TrRoad_act!S8*1000)</f>
        <v>40.047489071814546</v>
      </c>
      <c r="T92" s="87">
        <f>IF(TrRoad_act!T8=0,0,T24/TrRoad_act!T8*1000)</f>
        <v>44.717964427819197</v>
      </c>
      <c r="U92" s="87">
        <f>IF(TrRoad_act!U8=0,0,U24/TrRoad_act!U8*1000)</f>
        <v>44.573343958874666</v>
      </c>
      <c r="V92" s="87">
        <f>IF(TrRoad_act!V8=0,0,V24/TrRoad_act!V8*1000)</f>
        <v>47.740983348586099</v>
      </c>
      <c r="W92" s="87">
        <f>IF(TrRoad_act!W8=0,0,W24/TrRoad_act!W8*1000)</f>
        <v>44.415492598941469</v>
      </c>
      <c r="X92" s="87">
        <f>IF(TrRoad_act!X8=0,0,X24/TrRoad_act!X8*1000)</f>
        <v>42.953675677070521</v>
      </c>
      <c r="Y92" s="87">
        <f>IF(TrRoad_act!Y8=0,0,Y24/TrRoad_act!Y8*1000)</f>
        <v>41.680174935273399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23.928504485364019</v>
      </c>
      <c r="C93" s="87">
        <f>IF(TrRoad_act!C9=0,0,C26/TrRoad_act!C9*1000)</f>
        <v>26.682733338485807</v>
      </c>
      <c r="D93" s="87">
        <f>IF(TrRoad_act!D9=0,0,D26/TrRoad_act!D9*1000)</f>
        <v>28.276583035559682</v>
      </c>
      <c r="E93" s="87">
        <f>IF(TrRoad_act!E9=0,0,E26/TrRoad_act!E9*1000)</f>
        <v>29.60288934002805</v>
      </c>
      <c r="F93" s="87">
        <f>IF(TrRoad_act!F9=0,0,F26/TrRoad_act!F9*1000)</f>
        <v>29.156124584185914</v>
      </c>
      <c r="G93" s="87">
        <f>IF(TrRoad_act!G9=0,0,G26/TrRoad_act!G9*1000)</f>
        <v>33.676824874834367</v>
      </c>
      <c r="H93" s="87">
        <f>IF(TrRoad_act!H9=0,0,H26/TrRoad_act!H9*1000)</f>
        <v>32.733749262022535</v>
      </c>
      <c r="I93" s="87">
        <f>IF(TrRoad_act!I9=0,0,I26/TrRoad_act!I9*1000)</f>
        <v>30.718767220651834</v>
      </c>
      <c r="J93" s="87">
        <f>IF(TrRoad_act!J9=0,0,J26/TrRoad_act!J9*1000)</f>
        <v>29.685171500101603</v>
      </c>
      <c r="K93" s="87">
        <f>IF(TrRoad_act!K9=0,0,K26/TrRoad_act!K9*1000)</f>
        <v>33.968312640339619</v>
      </c>
      <c r="L93" s="87">
        <f>IF(TrRoad_act!L9=0,0,L26/TrRoad_act!L9*1000)</f>
        <v>33.474086988254726</v>
      </c>
      <c r="M93" s="87">
        <f>IF(TrRoad_act!M9=0,0,M26/TrRoad_act!M9*1000)</f>
        <v>34.140305144453869</v>
      </c>
      <c r="N93" s="87">
        <f>IF(TrRoad_act!N9=0,0,N26/TrRoad_act!N9*1000)</f>
        <v>36.878356712950492</v>
      </c>
      <c r="O93" s="87">
        <f>IF(TrRoad_act!O9=0,0,O26/TrRoad_act!O9*1000)</f>
        <v>34.443962904004962</v>
      </c>
      <c r="P93" s="87">
        <f>IF(TrRoad_act!P9=0,0,P26/TrRoad_act!P9*1000)</f>
        <v>44.647452167371448</v>
      </c>
      <c r="Q93" s="87">
        <f>IF(TrRoad_act!Q9=0,0,Q26/TrRoad_act!Q9*1000)</f>
        <v>45.969163070787317</v>
      </c>
      <c r="R93" s="87">
        <f>IF(TrRoad_act!R9=0,0,R26/TrRoad_act!R9*1000)</f>
        <v>47.763861607983806</v>
      </c>
      <c r="S93" s="87">
        <f>IF(TrRoad_act!S9=0,0,S26/TrRoad_act!S9*1000)</f>
        <v>42.7101238447691</v>
      </c>
      <c r="T93" s="87">
        <f>IF(TrRoad_act!T9=0,0,T26/TrRoad_act!T9*1000)</f>
        <v>47.907939249850415</v>
      </c>
      <c r="U93" s="87">
        <f>IF(TrRoad_act!U9=0,0,U26/TrRoad_act!U9*1000)</f>
        <v>48.303623828237377</v>
      </c>
      <c r="V93" s="87">
        <f>IF(TrRoad_act!V9=0,0,V26/TrRoad_act!V9*1000)</f>
        <v>53.563359305618746</v>
      </c>
      <c r="W93" s="87">
        <f>IF(TrRoad_act!W9=0,0,W26/TrRoad_act!W9*1000)</f>
        <v>52.540938309371001</v>
      </c>
      <c r="X93" s="87">
        <f>IF(TrRoad_act!X9=0,0,X26/TrRoad_act!X9*1000)</f>
        <v>50.954220859245055</v>
      </c>
      <c r="Y93" s="87">
        <f>IF(TrRoad_act!Y9=0,0,Y26/TrRoad_act!Y9*1000)</f>
        <v>49.545314116835641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39.096957110459932</v>
      </c>
      <c r="O94" s="87">
        <f>IF(TrRoad_act!O10=0,0,O27/TrRoad_act!O10*1000)</f>
        <v>31.611051083423476</v>
      </c>
      <c r="P94" s="87">
        <f>IF(TrRoad_act!P10=0,0,P27/TrRoad_act!P10*1000)</f>
        <v>38.341917816281708</v>
      </c>
      <c r="Q94" s="87">
        <f>IF(TrRoad_act!Q10=0,0,Q27/TrRoad_act!Q10*1000)</f>
        <v>40.085666046332783</v>
      </c>
      <c r="R94" s="87">
        <f>IF(TrRoad_act!R10=0,0,R27/TrRoad_act!R10*1000)</f>
        <v>44.270348192175732</v>
      </c>
      <c r="S94" s="87">
        <f>IF(TrRoad_act!S10=0,0,S27/TrRoad_act!S10*1000)</f>
        <v>39.352300740704123</v>
      </c>
      <c r="T94" s="87">
        <f>IF(TrRoad_act!T10=0,0,T27/TrRoad_act!T10*1000)</f>
        <v>44.460744902444844</v>
      </c>
      <c r="U94" s="87">
        <f>IF(TrRoad_act!U10=0,0,U27/TrRoad_act!U10*1000)</f>
        <v>44.329621101729494</v>
      </c>
      <c r="V94" s="87">
        <f>IF(TrRoad_act!V10=0,0,V27/TrRoad_act!V10*1000)</f>
        <v>45.56253729563084</v>
      </c>
      <c r="W94" s="87">
        <f>IF(TrRoad_act!W10=0,0,W27/TrRoad_act!W10*1000)</f>
        <v>41.464042829165891</v>
      </c>
      <c r="X94" s="87">
        <f>IF(TrRoad_act!X10=0,0,X27/TrRoad_act!X10*1000)</f>
        <v>38.819622945023248</v>
      </c>
      <c r="Y94" s="87">
        <f>IF(TrRoad_act!Y10=0,0,Y27/TrRoad_act!Y10*1000)</f>
        <v>37.745438115783799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0</v>
      </c>
      <c r="O95" s="87">
        <f>IF(TrRoad_act!O11=0,0,O29/TrRoad_act!O11*1000)</f>
        <v>19.206138842519362</v>
      </c>
      <c r="P95" s="87">
        <f>IF(TrRoad_act!P11=0,0,P29/TrRoad_act!P11*1000)</f>
        <v>20.708177749592707</v>
      </c>
      <c r="Q95" s="87">
        <f>IF(TrRoad_act!Q11=0,0,Q29/TrRoad_act!Q11*1000)</f>
        <v>21.341829715966274</v>
      </c>
      <c r="R95" s="87">
        <f>IF(TrRoad_act!R11=0,0,R29/TrRoad_act!R11*1000)</f>
        <v>25.127305867220709</v>
      </c>
      <c r="S95" s="87">
        <f>IF(TrRoad_act!S11=0,0,S29/TrRoad_act!S11*1000)</f>
        <v>22.204733601267844</v>
      </c>
      <c r="T95" s="87">
        <f>IF(TrRoad_act!T11=0,0,T29/TrRoad_act!T11*1000)</f>
        <v>26.388122788788433</v>
      </c>
      <c r="U95" s="87">
        <f>IF(TrRoad_act!U11=0,0,U29/TrRoad_act!U11*1000)</f>
        <v>28.858796135895275</v>
      </c>
      <c r="V95" s="87">
        <f>IF(TrRoad_act!V11=0,0,V29/TrRoad_act!V11*1000)</f>
        <v>32.959504749838871</v>
      </c>
      <c r="W95" s="87">
        <f>IF(TrRoad_act!W11=0,0,W29/TrRoad_act!W11*1000)</f>
        <v>29.867386115336927</v>
      </c>
      <c r="X95" s="87">
        <f>IF(TrRoad_act!X11=0,0,X29/TrRoad_act!X11*1000)</f>
        <v>27.862706102021978</v>
      </c>
      <c r="Y95" s="87">
        <f>IF(TrRoad_act!Y11=0,0,Y29/TrRoad_act!Y11*1000)</f>
        <v>26.103598849798786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8.0692753337396361</v>
      </c>
      <c r="N96" s="87">
        <f>IF(TrRoad_act!N12=0,0,N32/TrRoad_act!N12*1000)</f>
        <v>8.1671835443665888</v>
      </c>
      <c r="O96" s="87">
        <f>IF(TrRoad_act!O12=0,0,O32/TrRoad_act!O12*1000)</f>
        <v>8.0243967109658225</v>
      </c>
      <c r="P96" s="87">
        <f>IF(TrRoad_act!P12=0,0,P32/TrRoad_act!P12*1000)</f>
        <v>10.401475778514245</v>
      </c>
      <c r="Q96" s="87">
        <f>IF(TrRoad_act!Q12=0,0,Q32/TrRoad_act!Q12*1000)</f>
        <v>10.955896491705852</v>
      </c>
      <c r="R96" s="87">
        <f>IF(TrRoad_act!R12=0,0,R32/TrRoad_act!R12*1000)</f>
        <v>11.809818875128697</v>
      </c>
      <c r="S96" s="87">
        <f>IF(TrRoad_act!S12=0,0,S32/TrRoad_act!S12*1000)</f>
        <v>10.937120089444969</v>
      </c>
      <c r="T96" s="87">
        <f>IF(TrRoad_act!T12=0,0,T32/TrRoad_act!T12*1000)</f>
        <v>12.98926646667937</v>
      </c>
      <c r="U96" s="87">
        <f>IF(TrRoad_act!U12=0,0,U32/TrRoad_act!U12*1000)</f>
        <v>13.310158902566009</v>
      </c>
      <c r="V96" s="87">
        <f>IF(TrRoad_act!V12=0,0,V32/TrRoad_act!V12*1000)</f>
        <v>14.399387456349759</v>
      </c>
      <c r="W96" s="87">
        <f>IF(TrRoad_act!W12=0,0,W32/TrRoad_act!W12*1000)</f>
        <v>13.46989341335277</v>
      </c>
      <c r="X96" s="87">
        <f>IF(TrRoad_act!X12=0,0,X32/TrRoad_act!X12*1000)</f>
        <v>13.445150824179665</v>
      </c>
      <c r="Y96" s="87">
        <f>IF(TrRoad_act!Y12=0,0,Y32/TrRoad_act!Y12*1000)</f>
        <v>13.269789931689621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21.414738740233844</v>
      </c>
      <c r="C97" s="116">
        <f>IF(TrRoad_act!C13=0,0,C33/TrRoad_act!C13*1000)</f>
        <v>20.071922750982836</v>
      </c>
      <c r="D97" s="116">
        <f>IF(TrRoad_act!D13=0,0,D33/TrRoad_act!D13*1000)</f>
        <v>19.348496149668321</v>
      </c>
      <c r="E97" s="116">
        <f>IF(TrRoad_act!E13=0,0,E33/TrRoad_act!E13*1000)</f>
        <v>19.437490615455697</v>
      </c>
      <c r="F97" s="116">
        <f>IF(TrRoad_act!F13=0,0,F33/TrRoad_act!F13*1000)</f>
        <v>17.493711023472752</v>
      </c>
      <c r="G97" s="116">
        <f>IF(TrRoad_act!G13=0,0,G33/TrRoad_act!G13*1000)</f>
        <v>16.375572600573431</v>
      </c>
      <c r="H97" s="116">
        <f>IF(TrRoad_act!H13=0,0,H33/TrRoad_act!H13*1000)</f>
        <v>15.816852890131996</v>
      </c>
      <c r="I97" s="116">
        <f>IF(TrRoad_act!I13=0,0,I33/TrRoad_act!I13*1000)</f>
        <v>15.320363931324646</v>
      </c>
      <c r="J97" s="116">
        <f>IF(TrRoad_act!J13=0,0,J33/TrRoad_act!J13*1000)</f>
        <v>15.265838716520337</v>
      </c>
      <c r="K97" s="116">
        <f>IF(TrRoad_act!K13=0,0,K33/TrRoad_act!K13*1000)</f>
        <v>18.635174766824907</v>
      </c>
      <c r="L97" s="116">
        <f>IF(TrRoad_act!L13=0,0,L33/TrRoad_act!L13*1000)</f>
        <v>18.708402897469398</v>
      </c>
      <c r="M97" s="116">
        <f>IF(TrRoad_act!M13=0,0,M33/TrRoad_act!M13*1000)</f>
        <v>18.721223937858881</v>
      </c>
      <c r="N97" s="116">
        <f>IF(TrRoad_act!N13=0,0,N33/TrRoad_act!N13*1000)</f>
        <v>18.515614187539448</v>
      </c>
      <c r="O97" s="116">
        <f>IF(TrRoad_act!O13=0,0,O33/TrRoad_act!O13*1000)</f>
        <v>17.912016222675646</v>
      </c>
      <c r="P97" s="116">
        <f>IF(TrRoad_act!P13=0,0,P33/TrRoad_act!P13*1000)</f>
        <v>17.703980282330821</v>
      </c>
      <c r="Q97" s="116">
        <f>IF(TrRoad_act!Q13=0,0,Q33/TrRoad_act!Q13*1000)</f>
        <v>19.771074023102777</v>
      </c>
      <c r="R97" s="116">
        <f>IF(TrRoad_act!R13=0,0,R33/TrRoad_act!R13*1000)</f>
        <v>19.829701437340766</v>
      </c>
      <c r="S97" s="116">
        <f>IF(TrRoad_act!S13=0,0,S33/TrRoad_act!S13*1000)</f>
        <v>19.562626588239148</v>
      </c>
      <c r="T97" s="116">
        <f>IF(TrRoad_act!T13=0,0,T33/TrRoad_act!T13*1000)</f>
        <v>19.354471671354315</v>
      </c>
      <c r="U97" s="116">
        <f>IF(TrRoad_act!U13=0,0,U33/TrRoad_act!U13*1000)</f>
        <v>21.238691294828513</v>
      </c>
      <c r="V97" s="116">
        <f>IF(TrRoad_act!V13=0,0,V33/TrRoad_act!V13*1000)</f>
        <v>30.015516258288873</v>
      </c>
      <c r="W97" s="116">
        <f>IF(TrRoad_act!W13=0,0,W33/TrRoad_act!W13*1000)</f>
        <v>30.361385889201564</v>
      </c>
      <c r="X97" s="116">
        <f>IF(TrRoad_act!X13=0,0,X33/TrRoad_act!X13*1000)</f>
        <v>22.23020737408077</v>
      </c>
      <c r="Y97" s="116">
        <f>IF(TrRoad_act!Y13=0,0,Y33/TrRoad_act!Y13*1000)</f>
        <v>20.76897935836935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14.25825715711799</v>
      </c>
      <c r="E98" s="101">
        <f>IF(TrRoad_act!E14=0,0,E34/TrRoad_act!E14*1000)</f>
        <v>14.25771304999626</v>
      </c>
      <c r="F98" s="101">
        <f>IF(TrRoad_act!F14=0,0,F34/TrRoad_act!F14*1000)</f>
        <v>14.107966635429428</v>
      </c>
      <c r="G98" s="101">
        <f>IF(TrRoad_act!G14=0,0,G34/TrRoad_act!G14*1000)</f>
        <v>14.200404535123674</v>
      </c>
      <c r="H98" s="101">
        <f>IF(TrRoad_act!H14=0,0,H34/TrRoad_act!H14*1000)</f>
        <v>14.230238594138338</v>
      </c>
      <c r="I98" s="101">
        <f>IF(TrRoad_act!I14=0,0,I34/TrRoad_act!I14*1000)</f>
        <v>14.272910998376371</v>
      </c>
      <c r="J98" s="101">
        <f>IF(TrRoad_act!J14=0,0,J34/TrRoad_act!J14*1000)</f>
        <v>14.267971979847056</v>
      </c>
      <c r="K98" s="101">
        <f>IF(TrRoad_act!K14=0,0,K34/TrRoad_act!K14*1000)</f>
        <v>14.558840040443023</v>
      </c>
      <c r="L98" s="101">
        <f>IF(TrRoad_act!L14=0,0,L34/TrRoad_act!L14*1000)</f>
        <v>14.560987998259497</v>
      </c>
      <c r="M98" s="101">
        <f>IF(TrRoad_act!M14=0,0,M34/TrRoad_act!M14*1000)</f>
        <v>14.540665920270738</v>
      </c>
      <c r="N98" s="101">
        <f>IF(TrRoad_act!N14=0,0,N34/TrRoad_act!N14*1000)</f>
        <v>15.120763687304406</v>
      </c>
      <c r="O98" s="101">
        <f>IF(TrRoad_act!O14=0,0,O34/TrRoad_act!O14*1000)</f>
        <v>11.977313973034137</v>
      </c>
      <c r="P98" s="101">
        <f>IF(TrRoad_act!P14=0,0,P34/TrRoad_act!P14*1000)</f>
        <v>12.521577896650552</v>
      </c>
      <c r="Q98" s="101">
        <f>IF(TrRoad_act!Q14=0,0,Q34/TrRoad_act!Q14*1000)</f>
        <v>13.425394902679578</v>
      </c>
      <c r="R98" s="101">
        <f>IF(TrRoad_act!R14=0,0,R34/TrRoad_act!R14*1000)</f>
        <v>13.646001277372724</v>
      </c>
      <c r="S98" s="101">
        <f>IF(TrRoad_act!S14=0,0,S34/TrRoad_act!S14*1000)</f>
        <v>13.45746586246352</v>
      </c>
      <c r="T98" s="101">
        <f>IF(TrRoad_act!T14=0,0,T34/TrRoad_act!T14*1000)</f>
        <v>13.319223259395683</v>
      </c>
      <c r="U98" s="101">
        <f>IF(TrRoad_act!U14=0,0,U34/TrRoad_act!U14*1000)</f>
        <v>14.568043916602038</v>
      </c>
      <c r="V98" s="101">
        <f>IF(TrRoad_act!V14=0,0,V34/TrRoad_act!V14*1000)</f>
        <v>18.578753384072272</v>
      </c>
      <c r="W98" s="101">
        <f>IF(TrRoad_act!W14=0,0,W34/TrRoad_act!W14*1000)</f>
        <v>18.657548130927211</v>
      </c>
      <c r="X98" s="101">
        <f>IF(TrRoad_act!X14=0,0,X34/TrRoad_act!X14*1000)</f>
        <v>17.068501989914921</v>
      </c>
      <c r="Y98" s="101">
        <f>IF(TrRoad_act!Y14=0,0,Y34/TrRoad_act!Y14*1000)</f>
        <v>16.101365187977482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21.414738740233844</v>
      </c>
      <c r="C99" s="101">
        <f>IF(TrRoad_act!C15=0,0,C36/TrRoad_act!C15*1000)</f>
        <v>20.071922750982836</v>
      </c>
      <c r="D99" s="101">
        <f>IF(TrRoad_act!D15=0,0,D36/TrRoad_act!D15*1000)</f>
        <v>19.357692767599897</v>
      </c>
      <c r="E99" s="101">
        <f>IF(TrRoad_act!E15=0,0,E36/TrRoad_act!E15*1000)</f>
        <v>19.450733015739342</v>
      </c>
      <c r="F99" s="101">
        <f>IF(TrRoad_act!F15=0,0,F36/TrRoad_act!F15*1000)</f>
        <v>17.538550665938892</v>
      </c>
      <c r="G99" s="101">
        <f>IF(TrRoad_act!G15=0,0,G36/TrRoad_act!G15*1000)</f>
        <v>16.507225592897647</v>
      </c>
      <c r="H99" s="101">
        <f>IF(TrRoad_act!H15=0,0,H36/TrRoad_act!H15*1000)</f>
        <v>16.040409613179779</v>
      </c>
      <c r="I99" s="101">
        <f>IF(TrRoad_act!I15=0,0,I36/TrRoad_act!I15*1000)</f>
        <v>15.619565083091237</v>
      </c>
      <c r="J99" s="101">
        <f>IF(TrRoad_act!J15=0,0,J36/TrRoad_act!J15*1000)</f>
        <v>15.59248836087967</v>
      </c>
      <c r="K99" s="101">
        <f>IF(TrRoad_act!K15=0,0,K36/TrRoad_act!K15*1000)</f>
        <v>19.15414374239376</v>
      </c>
      <c r="L99" s="101">
        <f>IF(TrRoad_act!L15=0,0,L36/TrRoad_act!L15*1000)</f>
        <v>19.196767081604531</v>
      </c>
      <c r="M99" s="101">
        <f>IF(TrRoad_act!M15=0,0,M36/TrRoad_act!M15*1000)</f>
        <v>19.205264276235564</v>
      </c>
      <c r="N99" s="101">
        <f>IF(TrRoad_act!N15=0,0,N36/TrRoad_act!N15*1000)</f>
        <v>19.084416086804158</v>
      </c>
      <c r="O99" s="101">
        <f>IF(TrRoad_act!O15=0,0,O36/TrRoad_act!O15*1000)</f>
        <v>19.927805596644092</v>
      </c>
      <c r="P99" s="101">
        <f>IF(TrRoad_act!P15=0,0,P36/TrRoad_act!P15*1000)</f>
        <v>19.832738358261654</v>
      </c>
      <c r="Q99" s="101">
        <f>IF(TrRoad_act!Q15=0,0,Q36/TrRoad_act!Q15*1000)</f>
        <v>23.148168530408942</v>
      </c>
      <c r="R99" s="101">
        <f>IF(TrRoad_act!R15=0,0,R36/TrRoad_act!R15*1000)</f>
        <v>23.554345633715599</v>
      </c>
      <c r="S99" s="101">
        <f>IF(TrRoad_act!S15=0,0,S36/TrRoad_act!S15*1000)</f>
        <v>23.235763840070593</v>
      </c>
      <c r="T99" s="101">
        <f>IF(TrRoad_act!T15=0,0,T36/TrRoad_act!T15*1000)</f>
        <v>22.858088970147122</v>
      </c>
      <c r="U99" s="101">
        <f>IF(TrRoad_act!U15=0,0,U36/TrRoad_act!U15*1000)</f>
        <v>24.879561014483215</v>
      </c>
      <c r="V99" s="101">
        <f>IF(TrRoad_act!V15=0,0,V36/TrRoad_act!V15*1000)</f>
        <v>35.948753124658936</v>
      </c>
      <c r="W99" s="101">
        <f>IF(TrRoad_act!W15=0,0,W36/TrRoad_act!W15*1000)</f>
        <v>37.155971440961935</v>
      </c>
      <c r="X99" s="101">
        <f>IF(TrRoad_act!X15=0,0,X36/TrRoad_act!X15*1000)</f>
        <v>28.090743093593378</v>
      </c>
      <c r="Y99" s="101">
        <f>IF(TrRoad_act!Y15=0,0,Y36/TrRoad_act!Y15*1000)</f>
        <v>25.851048624616052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15.306113961251349</v>
      </c>
      <c r="E100" s="101">
        <f>IF(TrRoad_act!E16=0,0,E38/TrRoad_act!E16*1000)</f>
        <v>15.871268575136263</v>
      </c>
      <c r="F100" s="101">
        <f>IF(TrRoad_act!F16=0,0,F38/TrRoad_act!F16*1000)</f>
        <v>14.310711153775129</v>
      </c>
      <c r="G100" s="101">
        <f>IF(TrRoad_act!G16=0,0,G38/TrRoad_act!G16*1000)</f>
        <v>13.38261792001934</v>
      </c>
      <c r="H100" s="101">
        <f>IF(TrRoad_act!H16=0,0,H38/TrRoad_act!H16*1000)</f>
        <v>12.94549835003259</v>
      </c>
      <c r="I100" s="101">
        <f>IF(TrRoad_act!I16=0,0,I38/TrRoad_act!I16*1000)</f>
        <v>12.5432540347478</v>
      </c>
      <c r="J100" s="101">
        <f>IF(TrRoad_act!J16=0,0,J38/TrRoad_act!J16*1000)</f>
        <v>12.490434366868367</v>
      </c>
      <c r="K100" s="101">
        <f>IF(TrRoad_act!K16=0,0,K38/TrRoad_act!K16*1000)</f>
        <v>15.33595964176336</v>
      </c>
      <c r="L100" s="101">
        <f>IF(TrRoad_act!L16=0,0,L38/TrRoad_act!L16*1000)</f>
        <v>15.358863850782768</v>
      </c>
      <c r="M100" s="101">
        <f>IF(TrRoad_act!M16=0,0,M38/TrRoad_act!M16*1000)</f>
        <v>15.564579734192748</v>
      </c>
      <c r="N100" s="101">
        <f>IF(TrRoad_act!N16=0,0,N38/TrRoad_act!N16*1000)</f>
        <v>15.472587956638002</v>
      </c>
      <c r="O100" s="101">
        <f>IF(TrRoad_act!O16=0,0,O38/TrRoad_act!O16*1000)</f>
        <v>16.380854673777705</v>
      </c>
      <c r="P100" s="101">
        <f>IF(TrRoad_act!P16=0,0,P38/TrRoad_act!P16*1000)</f>
        <v>16.386256236314708</v>
      </c>
      <c r="Q100" s="101">
        <f>IF(TrRoad_act!Q16=0,0,Q38/TrRoad_act!Q16*1000)</f>
        <v>19.10333017278424</v>
      </c>
      <c r="R100" s="101">
        <f>IF(TrRoad_act!R16=0,0,R38/TrRoad_act!R16*1000)</f>
        <v>19.408059775652518</v>
      </c>
      <c r="S100" s="101">
        <f>IF(TrRoad_act!S16=0,0,S38/TrRoad_act!S16*1000)</f>
        <v>19.150789264885365</v>
      </c>
      <c r="T100" s="101">
        <f>IF(TrRoad_act!T16=0,0,T38/TrRoad_act!T16*1000)</f>
        <v>18.980483264697053</v>
      </c>
      <c r="U100" s="101">
        <f>IF(TrRoad_act!U16=0,0,U38/TrRoad_act!U16*1000)</f>
        <v>20.823908395187608</v>
      </c>
      <c r="V100" s="101">
        <f>IF(TrRoad_act!V16=0,0,V38/TrRoad_act!V16*1000)</f>
        <v>30.254095150375679</v>
      </c>
      <c r="W100" s="101">
        <f>IF(TrRoad_act!W16=0,0,W38/TrRoad_act!W16*1000)</f>
        <v>31.805158483877502</v>
      </c>
      <c r="X100" s="101">
        <f>IF(TrRoad_act!X16=0,0,X38/TrRoad_act!X16*1000)</f>
        <v>24.446630889531708</v>
      </c>
      <c r="Y100" s="101">
        <f>IF(TrRoad_act!Y16=0,0,Y38/TrRoad_act!Y16*1000)</f>
        <v>23.060312373763004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15.771093887938351</v>
      </c>
      <c r="L101" s="101">
        <f>IF(TrRoad_act!L17=0,0,L39/TrRoad_act!L17*1000)</f>
        <v>17.720965232147137</v>
      </c>
      <c r="M101" s="101">
        <f>IF(TrRoad_act!M17=0,0,M39/TrRoad_act!M17*1000)</f>
        <v>17.886484143405315</v>
      </c>
      <c r="N101" s="101">
        <f>IF(TrRoad_act!N17=0,0,N39/TrRoad_act!N17*1000)</f>
        <v>16.345965213918472</v>
      </c>
      <c r="O101" s="101">
        <f>IF(TrRoad_act!O17=0,0,O39/TrRoad_act!O17*1000)</f>
        <v>15.551669114825046</v>
      </c>
      <c r="P101" s="101">
        <f>IF(TrRoad_act!P17=0,0,P39/TrRoad_act!P17*1000)</f>
        <v>14.694973263512473</v>
      </c>
      <c r="Q101" s="101">
        <f>IF(TrRoad_act!Q17=0,0,Q39/TrRoad_act!Q17*1000)</f>
        <v>14.814908549810111</v>
      </c>
      <c r="R101" s="101">
        <f>IF(TrRoad_act!R17=0,0,R39/TrRoad_act!R17*1000)</f>
        <v>14.244367744979241</v>
      </c>
      <c r="S101" s="101">
        <f>IF(TrRoad_act!S17=0,0,S39/TrRoad_act!S17*1000)</f>
        <v>14.021356815835139</v>
      </c>
      <c r="T101" s="101">
        <f>IF(TrRoad_act!T17=0,0,T39/TrRoad_act!T17*1000)</f>
        <v>13.926827630357623</v>
      </c>
      <c r="U101" s="101">
        <f>IF(TrRoad_act!U17=0,0,U39/TrRoad_act!U17*1000)</f>
        <v>15.435136328470463</v>
      </c>
      <c r="V101" s="101">
        <f>IF(TrRoad_act!V17=0,0,V39/TrRoad_act!V17*1000)</f>
        <v>22.666168658216083</v>
      </c>
      <c r="W101" s="101">
        <f>IF(TrRoad_act!W17=0,0,W39/TrRoad_act!W17*1000)</f>
        <v>24.368335409554508</v>
      </c>
      <c r="X101" s="101">
        <f>IF(TrRoad_act!X17=0,0,X39/TrRoad_act!X17*1000)</f>
        <v>15.837186842702238</v>
      </c>
      <c r="Y101" s="101">
        <f>IF(TrRoad_act!Y17=0,0,Y39/TrRoad_act!Y17*1000)</f>
        <v>15.293474890037396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10.54399860073349</v>
      </c>
      <c r="G102" s="101">
        <f>IF(TrRoad_act!G18=0,0,G41/TrRoad_act!G18*1000)</f>
        <v>9.8475729257477891</v>
      </c>
      <c r="H102" s="101">
        <f>IF(TrRoad_act!H18=0,0,H41/TrRoad_act!H18*1000)</f>
        <v>9.5211062094172707</v>
      </c>
      <c r="I102" s="101">
        <f>IF(TrRoad_act!I18=0,0,I41/TrRoad_act!I18*1000)</f>
        <v>9.2244463591525694</v>
      </c>
      <c r="J102" s="101">
        <f>IF(TrRoad_act!J18=0,0,J41/TrRoad_act!J18*1000)</f>
        <v>9.1859673541520763</v>
      </c>
      <c r="K102" s="101">
        <f>IF(TrRoad_act!K18=0,0,K41/TrRoad_act!K18*1000)</f>
        <v>11.280234895525792</v>
      </c>
      <c r="L102" s="101">
        <f>IF(TrRoad_act!L18=0,0,L41/TrRoad_act!L18*1000)</f>
        <v>11.297210090968413</v>
      </c>
      <c r="M102" s="101">
        <f>IF(TrRoad_act!M18=0,0,M41/TrRoad_act!M18*1000)</f>
        <v>11.340117606024654</v>
      </c>
      <c r="N102" s="101">
        <f>IF(TrRoad_act!N18=0,0,N41/TrRoad_act!N18*1000)</f>
        <v>11.273293607546206</v>
      </c>
      <c r="O102" s="101">
        <f>IF(TrRoad_act!O18=0,0,O41/TrRoad_act!O18*1000)</f>
        <v>11.98430211863268</v>
      </c>
      <c r="P102" s="101">
        <f>IF(TrRoad_act!P18=0,0,P41/TrRoad_act!P18*1000)</f>
        <v>11.931287190441825</v>
      </c>
      <c r="Q102" s="101">
        <f>IF(TrRoad_act!Q18=0,0,Q41/TrRoad_act!Q18*1000)</f>
        <v>13.908508087455393</v>
      </c>
      <c r="R102" s="101">
        <f>IF(TrRoad_act!R18=0,0,R41/TrRoad_act!R18*1000)</f>
        <v>14.12630437141514</v>
      </c>
      <c r="S102" s="101">
        <f>IF(TrRoad_act!S18=0,0,S41/TrRoad_act!S18*1000)</f>
        <v>13.873833677141951</v>
      </c>
      <c r="T102" s="101">
        <f>IF(TrRoad_act!T18=0,0,T41/TrRoad_act!T18*1000)</f>
        <v>13.664717767900564</v>
      </c>
      <c r="U102" s="101">
        <f>IF(TrRoad_act!U18=0,0,U41/TrRoad_act!U18*1000)</f>
        <v>14.564686440791727</v>
      </c>
      <c r="V102" s="101">
        <f>IF(TrRoad_act!V18=0,0,V41/TrRoad_act!V18*1000)</f>
        <v>20.979893894391683</v>
      </c>
      <c r="W102" s="101">
        <f>IF(TrRoad_act!W18=0,0,W41/TrRoad_act!W18*1000)</f>
        <v>21.982452118071638</v>
      </c>
      <c r="X102" s="101">
        <f>IF(TrRoad_act!X18=0,0,X41/TrRoad_act!X18*1000)</f>
        <v>16.427887335300781</v>
      </c>
      <c r="Y102" s="101">
        <f>IF(TrRoad_act!Y18=0,0,Y41/TrRoad_act!Y18*1000)</f>
        <v>14.92255857529106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67.843412699754452</v>
      </c>
      <c r="C103" s="29">
        <f>IF(TrRoad_act!C19=0,0,C42/TrRoad_act!C19*1000)</f>
        <v>85.718239685849142</v>
      </c>
      <c r="D103" s="29">
        <f>IF(TrRoad_act!D19=0,0,D42/TrRoad_act!D19*1000)</f>
        <v>83.997072027835884</v>
      </c>
      <c r="E103" s="29">
        <f>IF(TrRoad_act!E19=0,0,E42/TrRoad_act!E19*1000)</f>
        <v>61.55992699498487</v>
      </c>
      <c r="F103" s="29">
        <f>IF(TrRoad_act!F19=0,0,F42/TrRoad_act!F19*1000)</f>
        <v>63.820498529224835</v>
      </c>
      <c r="G103" s="29">
        <f>IF(TrRoad_act!G19=0,0,G42/TrRoad_act!G19*1000)</f>
        <v>59.865987452989799</v>
      </c>
      <c r="H103" s="29">
        <f>IF(TrRoad_act!H19=0,0,H42/TrRoad_act!H19*1000)</f>
        <v>49.93352891327919</v>
      </c>
      <c r="I103" s="29">
        <f>IF(TrRoad_act!I19=0,0,I42/TrRoad_act!I19*1000)</f>
        <v>68.500791676602304</v>
      </c>
      <c r="J103" s="29">
        <f>IF(TrRoad_act!J19=0,0,J42/TrRoad_act!J19*1000)</f>
        <v>77.400001242860966</v>
      </c>
      <c r="K103" s="29">
        <f>IF(TrRoad_act!K19=0,0,K42/TrRoad_act!K19*1000)</f>
        <v>48.694292410006938</v>
      </c>
      <c r="L103" s="29">
        <f>IF(TrRoad_act!L19=0,0,L42/TrRoad_act!L19*1000)</f>
        <v>57.731515000083519</v>
      </c>
      <c r="M103" s="29">
        <f>IF(TrRoad_act!M19=0,0,M42/TrRoad_act!M19*1000)</f>
        <v>64.709002590118047</v>
      </c>
      <c r="N103" s="29">
        <f>IF(TrRoad_act!N19=0,0,N42/TrRoad_act!N19*1000)</f>
        <v>43.655556664737503</v>
      </c>
      <c r="O103" s="29">
        <f>IF(TrRoad_act!O19=0,0,O42/TrRoad_act!O19*1000)</f>
        <v>43.816827613010567</v>
      </c>
      <c r="P103" s="29">
        <f>IF(TrRoad_act!P19=0,0,P42/TrRoad_act!P19*1000)</f>
        <v>69.44370509516186</v>
      </c>
      <c r="Q103" s="29">
        <f>IF(TrRoad_act!Q19=0,0,Q42/TrRoad_act!Q19*1000)</f>
        <v>68.847867701650372</v>
      </c>
      <c r="R103" s="29">
        <f>IF(TrRoad_act!R19=0,0,R42/TrRoad_act!R19*1000)</f>
        <v>64.308135505120077</v>
      </c>
      <c r="S103" s="29">
        <f>IF(TrRoad_act!S19=0,0,S42/TrRoad_act!S19*1000)</f>
        <v>64.740293929441478</v>
      </c>
      <c r="T103" s="29">
        <f>IF(TrRoad_act!T19=0,0,T42/TrRoad_act!T19*1000)</f>
        <v>67.008124603698917</v>
      </c>
      <c r="U103" s="29">
        <f>IF(TrRoad_act!U19=0,0,U42/TrRoad_act!U19*1000)</f>
        <v>71.711951899794784</v>
      </c>
      <c r="V103" s="29">
        <f>IF(TrRoad_act!V19=0,0,V42/TrRoad_act!V19*1000)</f>
        <v>68.892595099017598</v>
      </c>
      <c r="W103" s="29">
        <f>IF(TrRoad_act!W19=0,0,W42/TrRoad_act!W19*1000)</f>
        <v>71.129338639922111</v>
      </c>
      <c r="X103" s="29">
        <f>IF(TrRoad_act!X19=0,0,X42/TrRoad_act!X19*1000)</f>
        <v>68.498541597371172</v>
      </c>
      <c r="Y103" s="29">
        <f>IF(TrRoad_act!Y19=0,0,Y42/TrRoad_act!Y19*1000)</f>
        <v>59.746881063922643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869.3537674906861</v>
      </c>
      <c r="C104" s="152">
        <f>IF(TrRoad_act!C20=0,0,C43/TrRoad_act!C20*1000)</f>
        <v>844.32820095461784</v>
      </c>
      <c r="D104" s="152">
        <f>IF(TrRoad_act!D20=0,0,D43/TrRoad_act!D20*1000)</f>
        <v>779.68676634049575</v>
      </c>
      <c r="E104" s="152">
        <f>IF(TrRoad_act!E20=0,0,E43/TrRoad_act!E20*1000)</f>
        <v>740.40312434467444</v>
      </c>
      <c r="F104" s="152">
        <f>IF(TrRoad_act!F20=0,0,F43/TrRoad_act!F20*1000)</f>
        <v>732.51647291100608</v>
      </c>
      <c r="G104" s="152">
        <f>IF(TrRoad_act!G20=0,0,G43/TrRoad_act!G20*1000)</f>
        <v>694.70388548969174</v>
      </c>
      <c r="H104" s="152">
        <f>IF(TrRoad_act!H20=0,0,H43/TrRoad_act!H20*1000)</f>
        <v>659.4878022316384</v>
      </c>
      <c r="I104" s="152">
        <f>IF(TrRoad_act!I20=0,0,I43/TrRoad_act!I20*1000)</f>
        <v>668.35529478024307</v>
      </c>
      <c r="J104" s="152">
        <f>IF(TrRoad_act!J20=0,0,J43/TrRoad_act!J20*1000)</f>
        <v>645.01429961353745</v>
      </c>
      <c r="K104" s="152">
        <f>IF(TrRoad_act!K20=0,0,K43/TrRoad_act!K20*1000)</f>
        <v>599.42062298462815</v>
      </c>
      <c r="L104" s="152">
        <f>IF(TrRoad_act!L20=0,0,L43/TrRoad_act!L20*1000)</f>
        <v>617.76626356897305</v>
      </c>
      <c r="M104" s="152">
        <f>IF(TrRoad_act!M20=0,0,M43/TrRoad_act!M20*1000)</f>
        <v>612.76614425737841</v>
      </c>
      <c r="N104" s="152">
        <f>IF(TrRoad_act!N20=0,0,N43/TrRoad_act!N20*1000)</f>
        <v>603.60246644835547</v>
      </c>
      <c r="O104" s="152">
        <f>IF(TrRoad_act!O20=0,0,O43/TrRoad_act!O20*1000)</f>
        <v>600.69803570754357</v>
      </c>
      <c r="P104" s="152">
        <f>IF(TrRoad_act!P20=0,0,P43/TrRoad_act!P20*1000)</f>
        <v>618.82618898396277</v>
      </c>
      <c r="Q104" s="152">
        <f>IF(TrRoad_act!Q20=0,0,Q43/TrRoad_act!Q20*1000)</f>
        <v>624.05787576004366</v>
      </c>
      <c r="R104" s="152">
        <f>IF(TrRoad_act!R20=0,0,R43/TrRoad_act!R20*1000)</f>
        <v>630.97265242413368</v>
      </c>
      <c r="S104" s="152">
        <f>IF(TrRoad_act!S20=0,0,S43/TrRoad_act!S20*1000)</f>
        <v>645.93684393704802</v>
      </c>
      <c r="T104" s="152">
        <f>IF(TrRoad_act!T20=0,0,T43/TrRoad_act!T20*1000)</f>
        <v>647.50095569079406</v>
      </c>
      <c r="U104" s="152">
        <f>IF(TrRoad_act!U20=0,0,U43/TrRoad_act!U20*1000)</f>
        <v>647.05529240242527</v>
      </c>
      <c r="V104" s="152">
        <f>IF(TrRoad_act!V20=0,0,V43/TrRoad_act!V20*1000)</f>
        <v>645.09914564537917</v>
      </c>
      <c r="W104" s="152">
        <f>IF(TrRoad_act!W20=0,0,W43/TrRoad_act!W20*1000)</f>
        <v>641.14092527176183</v>
      </c>
      <c r="X104" s="152">
        <f>IF(TrRoad_act!X20=0,0,X43/TrRoad_act!X20*1000)</f>
        <v>642.92326610117277</v>
      </c>
      <c r="Y104" s="152">
        <f>IF(TrRoad_act!Y20=0,0,Y43/TrRoad_act!Y20*1000)</f>
        <v>630.23953614918616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1052.993828954229</v>
      </c>
      <c r="C105" s="87">
        <f>IF(TrRoad_act!C21=0,0,C44/TrRoad_act!C21*1000)</f>
        <v>1017.9474404033144</v>
      </c>
      <c r="D105" s="87">
        <f>IF(TrRoad_act!D21=0,0,D44/TrRoad_act!D21*1000)</f>
        <v>988.28249296601723</v>
      </c>
      <c r="E105" s="87">
        <f>IF(TrRoad_act!E21=0,0,E44/TrRoad_act!E21*1000)</f>
        <v>964.56879705304095</v>
      </c>
      <c r="F105" s="87">
        <f>IF(TrRoad_act!F21=0,0,F44/TrRoad_act!F21*1000)</f>
        <v>945.01234422566097</v>
      </c>
      <c r="G105" s="87">
        <f>IF(TrRoad_act!G21=0,0,G44/TrRoad_act!G21*1000)</f>
        <v>928.28790281568888</v>
      </c>
      <c r="H105" s="87">
        <f>IF(TrRoad_act!H21=0,0,H44/TrRoad_act!H21*1000)</f>
        <v>915.94725445254414</v>
      </c>
      <c r="I105" s="87">
        <f>IF(TrRoad_act!I21=0,0,I44/TrRoad_act!I21*1000)</f>
        <v>908.46246340154391</v>
      </c>
      <c r="J105" s="87">
        <f>IF(TrRoad_act!J21=0,0,J44/TrRoad_act!J21*1000)</f>
        <v>901.76096870857577</v>
      </c>
      <c r="K105" s="87">
        <f>IF(TrRoad_act!K21=0,0,K44/TrRoad_act!K21*1000)</f>
        <v>894.4692447051516</v>
      </c>
      <c r="L105" s="87">
        <f>IF(TrRoad_act!L21=0,0,L44/TrRoad_act!L21*1000)</f>
        <v>896.87049298514137</v>
      </c>
      <c r="M105" s="87">
        <f>IF(TrRoad_act!M21=0,0,M44/TrRoad_act!M21*1000)</f>
        <v>897.44950697930335</v>
      </c>
      <c r="N105" s="87">
        <f>IF(TrRoad_act!N21=0,0,N44/TrRoad_act!N21*1000)</f>
        <v>887.99022827959618</v>
      </c>
      <c r="O105" s="87">
        <f>IF(TrRoad_act!O21=0,0,O44/TrRoad_act!O21*1000)</f>
        <v>874.52773777076413</v>
      </c>
      <c r="P105" s="87">
        <f>IF(TrRoad_act!P21=0,0,P44/TrRoad_act!P21*1000)</f>
        <v>859.11714553312152</v>
      </c>
      <c r="Q105" s="87">
        <f>IF(TrRoad_act!Q21=0,0,Q44/TrRoad_act!Q21*1000)</f>
        <v>836.64780517745021</v>
      </c>
      <c r="R105" s="87">
        <f>IF(TrRoad_act!R21=0,0,R44/TrRoad_act!R21*1000)</f>
        <v>828.66945931643136</v>
      </c>
      <c r="S105" s="87">
        <f>IF(TrRoad_act!S21=0,0,S44/TrRoad_act!S21*1000)</f>
        <v>813.34298367292934</v>
      </c>
      <c r="T105" s="87">
        <f>IF(TrRoad_act!T21=0,0,T44/TrRoad_act!T21*1000)</f>
        <v>796.97134190986878</v>
      </c>
      <c r="U105" s="87">
        <f>IF(TrRoad_act!U21=0,0,U44/TrRoad_act!U21*1000)</f>
        <v>824.10126933431184</v>
      </c>
      <c r="V105" s="87">
        <f>IF(TrRoad_act!V21=0,0,V44/TrRoad_act!V21*1000)</f>
        <v>813.31156419462638</v>
      </c>
      <c r="W105" s="87">
        <f>IF(TrRoad_act!W21=0,0,W44/TrRoad_act!W21*1000)</f>
        <v>801.05553535271133</v>
      </c>
      <c r="X105" s="87">
        <f>IF(TrRoad_act!X21=0,0,X44/TrRoad_act!X21*1000)</f>
        <v>796.54890047700133</v>
      </c>
      <c r="Y105" s="87">
        <f>IF(TrRoad_act!Y21=0,0,Y44/TrRoad_act!Y21*1000)</f>
        <v>793.98288636128655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845.69800176992089</v>
      </c>
      <c r="C106" s="87">
        <f>IF(TrRoad_act!C22=0,0,C46/TrRoad_act!C22*1000)</f>
        <v>822.84713202946443</v>
      </c>
      <c r="D106" s="87">
        <f>IF(TrRoad_act!D22=0,0,D46/TrRoad_act!D22*1000)</f>
        <v>756.34134727234834</v>
      </c>
      <c r="E106" s="87">
        <f>IF(TrRoad_act!E22=0,0,E46/TrRoad_act!E22*1000)</f>
        <v>717.43152450812056</v>
      </c>
      <c r="F106" s="87">
        <f>IF(TrRoad_act!F22=0,0,F46/TrRoad_act!F22*1000)</f>
        <v>712.3249269661942</v>
      </c>
      <c r="G106" s="87">
        <f>IF(TrRoad_act!G22=0,0,G46/TrRoad_act!G22*1000)</f>
        <v>674.43623629555395</v>
      </c>
      <c r="H106" s="87">
        <f>IF(TrRoad_act!H22=0,0,H46/TrRoad_act!H22*1000)</f>
        <v>637.05921751023197</v>
      </c>
      <c r="I106" s="87">
        <f>IF(TrRoad_act!I22=0,0,I46/TrRoad_act!I22*1000)</f>
        <v>647.1908385562499</v>
      </c>
      <c r="J106" s="87">
        <f>IF(TrRoad_act!J22=0,0,J46/TrRoad_act!J22*1000)</f>
        <v>625.46816560644004</v>
      </c>
      <c r="K106" s="87">
        <f>IF(TrRoad_act!K22=0,0,K46/TrRoad_act!K22*1000)</f>
        <v>581.27688190530955</v>
      </c>
      <c r="L106" s="87">
        <f>IF(TrRoad_act!L22=0,0,L46/TrRoad_act!L22*1000)</f>
        <v>601.21681337782695</v>
      </c>
      <c r="M106" s="87">
        <f>IF(TrRoad_act!M22=0,0,M46/TrRoad_act!M22*1000)</f>
        <v>599.73748103856929</v>
      </c>
      <c r="N106" s="87">
        <f>IF(TrRoad_act!N22=0,0,N46/TrRoad_act!N22*1000)</f>
        <v>593.75198931313741</v>
      </c>
      <c r="O106" s="87">
        <f>IF(TrRoad_act!O22=0,0,O46/TrRoad_act!O22*1000)</f>
        <v>592.69310044819349</v>
      </c>
      <c r="P106" s="87">
        <f>IF(TrRoad_act!P22=0,0,P46/TrRoad_act!P22*1000)</f>
        <v>613.17737672430849</v>
      </c>
      <c r="Q106" s="87">
        <f>IF(TrRoad_act!Q22=0,0,Q46/TrRoad_act!Q22*1000)</f>
        <v>619.97922376663507</v>
      </c>
      <c r="R106" s="87">
        <f>IF(TrRoad_act!R22=0,0,R46/TrRoad_act!R22*1000)</f>
        <v>627.63159921561225</v>
      </c>
      <c r="S106" s="87">
        <f>IF(TrRoad_act!S22=0,0,S46/TrRoad_act!S22*1000)</f>
        <v>643.34737381515356</v>
      </c>
      <c r="T106" s="87">
        <f>IF(TrRoad_act!T22=0,0,T46/TrRoad_act!T22*1000)</f>
        <v>645.38687346991946</v>
      </c>
      <c r="U106" s="87">
        <f>IF(TrRoad_act!U22=0,0,U46/TrRoad_act!U22*1000)</f>
        <v>643.87583727376489</v>
      </c>
      <c r="V106" s="87">
        <f>IF(TrRoad_act!V22=0,0,V46/TrRoad_act!V22*1000)</f>
        <v>642.48227067712776</v>
      </c>
      <c r="W106" s="87">
        <f>IF(TrRoad_act!W22=0,0,W46/TrRoad_act!W22*1000)</f>
        <v>638.93726767272915</v>
      </c>
      <c r="X106" s="87">
        <f>IF(TrRoad_act!X22=0,0,X46/TrRoad_act!X22*1000)</f>
        <v>641.08269622396017</v>
      </c>
      <c r="Y106" s="87">
        <f>IF(TrRoad_act!Y22=0,0,Y46/TrRoad_act!Y22*1000)</f>
        <v>628.59284004634424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X107" s="87">
        <f>IF(TrRoad_act!X23=0,0,X48/TrRoad_act!X23*1000)</f>
        <v>0</v>
      </c>
      <c r="Y107" s="87">
        <f>IF(TrRoad_act!Y23=0,0,Y48/TrRoad_act!Y23*1000)</f>
        <v>0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X108" s="87">
        <f>IF(TrRoad_act!X24=0,0,X49/TrRoad_act!X24*1000)</f>
        <v>0</v>
      </c>
      <c r="Y108" s="87">
        <f>IF(TrRoad_act!Y24=0,0,Y49/TrRoad_act!Y24*1000)</f>
        <v>0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0</v>
      </c>
      <c r="O109" s="87">
        <f>IF(TrRoad_act!O25=0,0,O51/TrRoad_act!O25*1000)</f>
        <v>0</v>
      </c>
      <c r="P109" s="87">
        <f>IF(TrRoad_act!P25=0,0,P51/TrRoad_act!P25*1000)</f>
        <v>0</v>
      </c>
      <c r="Q109" s="87">
        <f>IF(TrRoad_act!Q25=0,0,Q51/TrRoad_act!Q25*1000)</f>
        <v>0</v>
      </c>
      <c r="R109" s="87">
        <f>IF(TrRoad_act!R25=0,0,R51/TrRoad_act!R25*1000)</f>
        <v>0</v>
      </c>
      <c r="S109" s="87">
        <f>IF(TrRoad_act!S25=0,0,S51/TrRoad_act!S25*1000)</f>
        <v>0</v>
      </c>
      <c r="T109" s="87">
        <f>IF(TrRoad_act!T25=0,0,T51/TrRoad_act!T25*1000)</f>
        <v>0</v>
      </c>
      <c r="U109" s="87">
        <f>IF(TrRoad_act!U25=0,0,U51/TrRoad_act!U25*1000)</f>
        <v>0</v>
      </c>
      <c r="V109" s="87">
        <f>IF(TrRoad_act!V25=0,0,V51/TrRoad_act!V25*1000)</f>
        <v>0</v>
      </c>
      <c r="W109" s="87">
        <f>IF(TrRoad_act!W25=0,0,W51/TrRoad_act!W25*1000)</f>
        <v>0</v>
      </c>
      <c r="X109" s="87">
        <f>IF(TrRoad_act!X25=0,0,X51/TrRoad_act!X25*1000)</f>
        <v>0</v>
      </c>
      <c r="Y109" s="87">
        <f>IF(TrRoad_act!Y25=0,0,Y51/TrRoad_act!Y25*1000)</f>
        <v>0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58.032447927828976</v>
      </c>
      <c r="C110" s="116">
        <f>IF(TrRoad_act!C26=0,0,C52/TrRoad_act!C26*1000)</f>
        <v>76.452665996708447</v>
      </c>
      <c r="D110" s="116">
        <f>IF(TrRoad_act!D26=0,0,D52/TrRoad_act!D26*1000)</f>
        <v>75.028434395799621</v>
      </c>
      <c r="E110" s="116">
        <f>IF(TrRoad_act!E26=0,0,E52/TrRoad_act!E26*1000)</f>
        <v>53.295498776087399</v>
      </c>
      <c r="F110" s="116">
        <f>IF(TrRoad_act!F26=0,0,F52/TrRoad_act!F26*1000)</f>
        <v>56.229633787831176</v>
      </c>
      <c r="G110" s="116">
        <f>IF(TrRoad_act!G26=0,0,G52/TrRoad_act!G26*1000)</f>
        <v>51.886341890477162</v>
      </c>
      <c r="H110" s="116">
        <f>IF(TrRoad_act!H26=0,0,H52/TrRoad_act!H26*1000)</f>
        <v>41.6539417005404</v>
      </c>
      <c r="I110" s="116">
        <f>IF(TrRoad_act!I26=0,0,I52/TrRoad_act!I26*1000)</f>
        <v>60.388678251034555</v>
      </c>
      <c r="J110" s="116">
        <f>IF(TrRoad_act!J26=0,0,J52/TrRoad_act!J26*1000)</f>
        <v>68.646495319548094</v>
      </c>
      <c r="K110" s="116">
        <f>IF(TrRoad_act!K26=0,0,K52/TrRoad_act!K26*1000)</f>
        <v>38.37617577332265</v>
      </c>
      <c r="L110" s="116">
        <f>IF(TrRoad_act!L26=0,0,L52/TrRoad_act!L26*1000)</f>
        <v>48.194090481694964</v>
      </c>
      <c r="M110" s="116">
        <f>IF(TrRoad_act!M26=0,0,M52/TrRoad_act!M26*1000)</f>
        <v>55.070132584941739</v>
      </c>
      <c r="N110" s="116">
        <f>IF(TrRoad_act!N26=0,0,N52/TrRoad_act!N26*1000)</f>
        <v>33.800503507616966</v>
      </c>
      <c r="O110" s="116">
        <f>IF(TrRoad_act!O26=0,0,O52/TrRoad_act!O26*1000)</f>
        <v>34.6444567887782</v>
      </c>
      <c r="P110" s="116">
        <f>IF(TrRoad_act!P26=0,0,P52/TrRoad_act!P26*1000)</f>
        <v>59.592308260181575</v>
      </c>
      <c r="Q110" s="116">
        <f>IF(TrRoad_act!Q26=0,0,Q52/TrRoad_act!Q26*1000)</f>
        <v>59.307172264472207</v>
      </c>
      <c r="R110" s="116">
        <f>IF(TrRoad_act!R26=0,0,R52/TrRoad_act!R26*1000)</f>
        <v>54.28123218006769</v>
      </c>
      <c r="S110" s="116">
        <f>IF(TrRoad_act!S26=0,0,S52/TrRoad_act!S26*1000)</f>
        <v>54.822286642434207</v>
      </c>
      <c r="T110" s="116">
        <f>IF(TrRoad_act!T26=0,0,T52/TrRoad_act!T26*1000)</f>
        <v>57.279718681302583</v>
      </c>
      <c r="U110" s="116">
        <f>IF(TrRoad_act!U26=0,0,U52/TrRoad_act!U26*1000)</f>
        <v>61.442156534525338</v>
      </c>
      <c r="V110" s="116">
        <f>IF(TrRoad_act!V26=0,0,V52/TrRoad_act!V26*1000)</f>
        <v>59.258720794001803</v>
      </c>
      <c r="W110" s="116">
        <f>IF(TrRoad_act!W26=0,0,W52/TrRoad_act!W26*1000)</f>
        <v>61.288527422029048</v>
      </c>
      <c r="X110" s="116">
        <f>IF(TrRoad_act!X26=0,0,X52/TrRoad_act!X26*1000)</f>
        <v>58.84247653416891</v>
      </c>
      <c r="Y110" s="116">
        <f>IF(TrRoad_act!Y26=0,0,Y52/TrRoad_act!Y26*1000)</f>
        <v>51.320866133153586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72.316136953795819</v>
      </c>
      <c r="C111" s="101">
        <f>IF(TrRoad_act!C27=0,0,C53/TrRoad_act!C27*1000)</f>
        <v>83.403846573624563</v>
      </c>
      <c r="D111" s="101">
        <f>IF(TrRoad_act!D27=0,0,D53/TrRoad_act!D27*1000)</f>
        <v>83.001587277250366</v>
      </c>
      <c r="E111" s="101">
        <f>IF(TrRoad_act!E27=0,0,E53/TrRoad_act!E27*1000)</f>
        <v>68.477167319179628</v>
      </c>
      <c r="F111" s="101">
        <f>IF(TrRoad_act!F27=0,0,F53/TrRoad_act!F27*1000)</f>
        <v>63.789033314592011</v>
      </c>
      <c r="G111" s="101">
        <f>IF(TrRoad_act!G27=0,0,G53/TrRoad_act!G27*1000)</f>
        <v>59.095773026694204</v>
      </c>
      <c r="H111" s="101">
        <f>IF(TrRoad_act!H27=0,0,H53/TrRoad_act!H27*1000)</f>
        <v>54.081207453397425</v>
      </c>
      <c r="I111" s="101">
        <f>IF(TrRoad_act!I27=0,0,I53/TrRoad_act!I27*1000)</f>
        <v>60.601292644021754</v>
      </c>
      <c r="J111" s="101">
        <f>IF(TrRoad_act!J27=0,0,J53/TrRoad_act!J27*1000)</f>
        <v>61.578335285142316</v>
      </c>
      <c r="K111" s="101">
        <f>IF(TrRoad_act!K27=0,0,K53/TrRoad_act!K27*1000)</f>
        <v>43.986151465390122</v>
      </c>
      <c r="L111" s="101">
        <f>IF(TrRoad_act!L27=0,0,L53/TrRoad_act!L27*1000)</f>
        <v>48.989967135592551</v>
      </c>
      <c r="M111" s="101">
        <f>IF(TrRoad_act!M27=0,0,M53/TrRoad_act!M27*1000)</f>
        <v>53.119406800682398</v>
      </c>
      <c r="N111" s="101">
        <f>IF(TrRoad_act!N27=0,0,N53/TrRoad_act!N27*1000)</f>
        <v>43.685674127086976</v>
      </c>
      <c r="O111" s="101">
        <f>IF(TrRoad_act!O27=0,0,O53/TrRoad_act!O27*1000)</f>
        <v>45.585012876155119</v>
      </c>
      <c r="P111" s="101">
        <f>IF(TrRoad_act!P27=0,0,P53/TrRoad_act!P27*1000)</f>
        <v>58.381826252241517</v>
      </c>
      <c r="Q111" s="101">
        <f>IF(TrRoad_act!Q27=0,0,Q53/TrRoad_act!Q27*1000)</f>
        <v>54.955552372098751</v>
      </c>
      <c r="R111" s="101">
        <f>IF(TrRoad_act!R27=0,0,R53/TrRoad_act!R27*1000)</f>
        <v>52.07398112811709</v>
      </c>
      <c r="S111" s="101">
        <f>IF(TrRoad_act!S27=0,0,S53/TrRoad_act!S27*1000)</f>
        <v>50.895555434346669</v>
      </c>
      <c r="T111" s="101">
        <f>IF(TrRoad_act!T27=0,0,T53/TrRoad_act!T27*1000)</f>
        <v>49.054612626930542</v>
      </c>
      <c r="U111" s="101">
        <f>IF(TrRoad_act!U27=0,0,U53/TrRoad_act!U27*1000)</f>
        <v>53.283710959664532</v>
      </c>
      <c r="V111" s="101">
        <f>IF(TrRoad_act!V27=0,0,V53/TrRoad_act!V27*1000)</f>
        <v>48.931958629488449</v>
      </c>
      <c r="W111" s="101">
        <f>IF(TrRoad_act!W27=0,0,W53/TrRoad_act!W27*1000)</f>
        <v>49.858298950710157</v>
      </c>
      <c r="X111" s="101">
        <f>IF(TrRoad_act!X27=0,0,X53/TrRoad_act!X27*1000)</f>
        <v>48.013117518580529</v>
      </c>
      <c r="Y111" s="101">
        <f>IF(TrRoad_act!Y27=0,0,Y53/TrRoad_act!Y27*1000)</f>
        <v>40.809394582227831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44.320967850813084</v>
      </c>
      <c r="C112" s="88">
        <f>IF(TrRoad_act!C28=0,0,C55/TrRoad_act!C28*1000)</f>
        <v>70.288433718703402</v>
      </c>
      <c r="D112" s="88">
        <f>IF(TrRoad_act!D28=0,0,D55/TrRoad_act!D28*1000)</f>
        <v>68.351575875301506</v>
      </c>
      <c r="E112" s="88">
        <f>IF(TrRoad_act!E28=0,0,E55/TrRoad_act!E28*1000)</f>
        <v>37.157392270796464</v>
      </c>
      <c r="F112" s="88">
        <f>IF(TrRoad_act!F28=0,0,F55/TrRoad_act!F28*1000)</f>
        <v>48.405080221133552</v>
      </c>
      <c r="G112" s="88">
        <f>IF(TrRoad_act!G28=0,0,G55/TrRoad_act!G28*1000)</f>
        <v>44.928755230864986</v>
      </c>
      <c r="H112" s="88">
        <f>IF(TrRoad_act!H28=0,0,H55/TrRoad_act!H28*1000)</f>
        <v>31.910868453149348</v>
      </c>
      <c r="I112" s="88">
        <f>IF(TrRoad_act!I28=0,0,I55/TrRoad_act!I28*1000)</f>
        <v>60.206348585279279</v>
      </c>
      <c r="J112" s="88">
        <f>IF(TrRoad_act!J28=0,0,J55/TrRoad_act!J28*1000)</f>
        <v>74.901107871053412</v>
      </c>
      <c r="K112" s="88">
        <f>IF(TrRoad_act!K28=0,0,K55/TrRoad_act!K28*1000)</f>
        <v>32.143510134649723</v>
      </c>
      <c r="L112" s="88">
        <f>IF(TrRoad_act!L28=0,0,L55/TrRoad_act!L28*1000)</f>
        <v>47.526109520143244</v>
      </c>
      <c r="M112" s="88">
        <f>IF(TrRoad_act!M28=0,0,M55/TrRoad_act!M28*1000)</f>
        <v>56.543181980003574</v>
      </c>
      <c r="N112" s="88">
        <f>IF(TrRoad_act!N28=0,0,N55/TrRoad_act!N28*1000)</f>
        <v>27.004446634533167</v>
      </c>
      <c r="O112" s="88">
        <f>IF(TrRoad_act!O28=0,0,O55/TrRoad_act!O28*1000)</f>
        <v>27.949982441227132</v>
      </c>
      <c r="P112" s="88">
        <f>IF(TrRoad_act!P28=0,0,P55/TrRoad_act!P28*1000)</f>
        <v>60.441451325948883</v>
      </c>
      <c r="Q112" s="88">
        <f>IF(TrRoad_act!Q28=0,0,Q55/TrRoad_act!Q28*1000)</f>
        <v>62.211695216241203</v>
      </c>
      <c r="R112" s="88">
        <f>IF(TrRoad_act!R28=0,0,R55/TrRoad_act!R28*1000)</f>
        <v>55.750675364927979</v>
      </c>
      <c r="S112" s="88">
        <f>IF(TrRoad_act!S28=0,0,S55/TrRoad_act!S28*1000)</f>
        <v>57.590447947617349</v>
      </c>
      <c r="T112" s="88">
        <f>IF(TrRoad_act!T28=0,0,T55/TrRoad_act!T28*1000)</f>
        <v>64.188352502802346</v>
      </c>
      <c r="U112" s="88">
        <f>IF(TrRoad_act!U28=0,0,U55/TrRoad_act!U28*1000)</f>
        <v>68.248839007801593</v>
      </c>
      <c r="V112" s="88">
        <f>IF(TrRoad_act!V28=0,0,V55/TrRoad_act!V28*1000)</f>
        <v>68.089074999316622</v>
      </c>
      <c r="W112" s="88">
        <f>IF(TrRoad_act!W28=0,0,W55/TrRoad_act!W28*1000)</f>
        <v>70.365957476775804</v>
      </c>
      <c r="X112" s="88">
        <f>IF(TrRoad_act!X28=0,0,X55/TrRoad_act!X28*1000)</f>
        <v>65.294268406028536</v>
      </c>
      <c r="Y112" s="88">
        <f>IF(TrRoad_act!Y28=0,0,Y55/TrRoad_act!Y28*1000)</f>
        <v>59.106175145698842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150.85707370937067</v>
      </c>
      <c r="C116" s="152">
        <f>IF(C19=0,0,1000000*C19/TrRoad_act!C59)</f>
        <v>148.71300386766055</v>
      </c>
      <c r="D116" s="152">
        <f>IF(D19=0,0,1000000*D19/TrRoad_act!D59)</f>
        <v>146.48885214072075</v>
      </c>
      <c r="E116" s="152">
        <f>IF(E19=0,0,1000000*E19/TrRoad_act!E59)</f>
        <v>136.79929284324419</v>
      </c>
      <c r="F116" s="152">
        <f>IF(F19=0,0,1000000*F19/TrRoad_act!F59)</f>
        <v>134.87554619011135</v>
      </c>
      <c r="G116" s="152">
        <f>IF(G19=0,0,1000000*G19/TrRoad_act!G59)</f>
        <v>123.89557928624959</v>
      </c>
      <c r="H116" s="152">
        <f>IF(H19=0,0,1000000*H19/TrRoad_act!H59)</f>
        <v>122.18553001565763</v>
      </c>
      <c r="I116" s="152">
        <f>IF(I19=0,0,1000000*I19/TrRoad_act!I59)</f>
        <v>116.36798492865272</v>
      </c>
      <c r="J116" s="152">
        <f>IF(J19=0,0,1000000*J19/TrRoad_act!J59)</f>
        <v>112.79066506401352</v>
      </c>
      <c r="K116" s="152">
        <f>IF(K19=0,0,1000000*K19/TrRoad_act!K59)</f>
        <v>108.77767930191841</v>
      </c>
      <c r="L116" s="152">
        <f>IF(L19=0,0,1000000*L19/TrRoad_act!L59)</f>
        <v>106.15740033795532</v>
      </c>
      <c r="M116" s="152">
        <f>IF(M19=0,0,1000000*M19/TrRoad_act!M59)</f>
        <v>104.35326846615074</v>
      </c>
      <c r="N116" s="152">
        <f>IF(N19=0,0,1000000*N19/TrRoad_act!N59)</f>
        <v>102.19977485701702</v>
      </c>
      <c r="O116" s="152">
        <f>IF(O19=0,0,1000000*O19/TrRoad_act!O59)</f>
        <v>100.3675661266727</v>
      </c>
      <c r="P116" s="152">
        <f>IF(P19=0,0,1000000*P19/TrRoad_act!P59)</f>
        <v>95.446961192560551</v>
      </c>
      <c r="Q116" s="152">
        <f>IF(Q19=0,0,1000000*Q19/TrRoad_act!Q59)</f>
        <v>98.535045880173868</v>
      </c>
      <c r="R116" s="152">
        <f>IF(R19=0,0,1000000*R19/TrRoad_act!R59)</f>
        <v>99.040477380034631</v>
      </c>
      <c r="S116" s="152">
        <f>IF(S19=0,0,1000000*S19/TrRoad_act!S59)</f>
        <v>87.346639332261518</v>
      </c>
      <c r="T116" s="152">
        <f>IF(T19=0,0,1000000*T19/TrRoad_act!T59)</f>
        <v>76.472744013491649</v>
      </c>
      <c r="U116" s="152">
        <f>IF(U19=0,0,1000000*U19/TrRoad_act!U59)</f>
        <v>67.085741241044758</v>
      </c>
      <c r="V116" s="152">
        <f>IF(V19=0,0,1000000*V19/TrRoad_act!V59)</f>
        <v>51.622169703095132</v>
      </c>
      <c r="W116" s="152">
        <f>IF(W19=0,0,1000000*W19/TrRoad_act!W59)</f>
        <v>46.821288303589263</v>
      </c>
      <c r="X116" s="152">
        <f>IF(X19=0,0,1000000*X19/TrRoad_act!X59)</f>
        <v>42.342564386178204</v>
      </c>
      <c r="Y116" s="152">
        <f>IF(Y19=0,0,1000000*Y19/TrRoad_act!Y59)</f>
        <v>41.465948049006712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728.11633106721285</v>
      </c>
      <c r="C117" s="116">
        <f>IF(C21=0,0,1000000*C21/TrRoad_act!C60)</f>
        <v>742.9505944107309</v>
      </c>
      <c r="D117" s="116">
        <f>IF(D21=0,0,1000000*D21/TrRoad_act!D60)</f>
        <v>738.45960026089051</v>
      </c>
      <c r="E117" s="116">
        <f>IF(E21=0,0,1000000*E21/TrRoad_act!E60)</f>
        <v>744.99079237060187</v>
      </c>
      <c r="F117" s="116">
        <f>IF(F21=0,0,1000000*F21/TrRoad_act!F60)</f>
        <v>750.95760769682727</v>
      </c>
      <c r="G117" s="116">
        <f>IF(G21=0,0,1000000*G21/TrRoad_act!G60)</f>
        <v>785.74454007599616</v>
      </c>
      <c r="H117" s="116">
        <f>IF(H21=0,0,1000000*H21/TrRoad_act!H60)</f>
        <v>753.17278828337635</v>
      </c>
      <c r="I117" s="116">
        <f>IF(I21=0,0,1000000*I21/TrRoad_act!I60)</f>
        <v>802.32311481906993</v>
      </c>
      <c r="J117" s="116">
        <f>IF(J21=0,0,1000000*J21/TrRoad_act!J60)</f>
        <v>785.33909027314871</v>
      </c>
      <c r="K117" s="116">
        <f>IF(K21=0,0,1000000*K21/TrRoad_act!K60)</f>
        <v>754.66092645176388</v>
      </c>
      <c r="L117" s="116">
        <f>IF(L21=0,0,1000000*L21/TrRoad_act!L60)</f>
        <v>811.22668968875735</v>
      </c>
      <c r="M117" s="116">
        <f>IF(M21=0,0,1000000*M21/TrRoad_act!M60)</f>
        <v>815.71386968784907</v>
      </c>
      <c r="N117" s="116">
        <f>IF(N21=0,0,1000000*N21/TrRoad_act!N60)</f>
        <v>809.80183696302333</v>
      </c>
      <c r="O117" s="116">
        <f>IF(O21=0,0,1000000*O21/TrRoad_act!O60)</f>
        <v>783.00582409370679</v>
      </c>
      <c r="P117" s="116">
        <f>IF(P21=0,0,1000000*P21/TrRoad_act!P60)</f>
        <v>762.26597502167897</v>
      </c>
      <c r="Q117" s="116">
        <f>IF(Q21=0,0,1000000*Q21/TrRoad_act!Q60)</f>
        <v>768.11239915990245</v>
      </c>
      <c r="R117" s="116">
        <f>IF(R21=0,0,1000000*R21/TrRoad_act!R60)</f>
        <v>839.96860791605491</v>
      </c>
      <c r="S117" s="116">
        <f>IF(S21=0,0,1000000*S21/TrRoad_act!S60)</f>
        <v>854.81006195069745</v>
      </c>
      <c r="T117" s="116">
        <f>IF(T21=0,0,1000000*T21/TrRoad_act!T60)</f>
        <v>868.62775038525365</v>
      </c>
      <c r="U117" s="116">
        <f>IF(U21=0,0,1000000*U21/TrRoad_act!U60)</f>
        <v>857.78861925700994</v>
      </c>
      <c r="V117" s="116">
        <f>IF(V21=0,0,1000000*V21/TrRoad_act!V60)</f>
        <v>799.26688400515502</v>
      </c>
      <c r="W117" s="116">
        <f>IF(W21=0,0,1000000*W21/TrRoad_act!W60)</f>
        <v>775.3805343022575</v>
      </c>
      <c r="X117" s="116">
        <f>IF(X21=0,0,1000000*X21/TrRoad_act!X60)</f>
        <v>763.61906660120019</v>
      </c>
      <c r="Y117" s="116">
        <f>IF(Y21=0,0,1000000*Y21/TrRoad_act!Y60)</f>
        <v>753.9119094780757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720.46281438575943</v>
      </c>
      <c r="C118" s="87">
        <f>IF(C22=0,0,1000000*C22/TrRoad_act!C61)</f>
        <v>709.63940651122743</v>
      </c>
      <c r="D118" s="87">
        <f>IF(D22=0,0,1000000*D22/TrRoad_act!D61)</f>
        <v>711.02130300829572</v>
      </c>
      <c r="E118" s="87">
        <f>IF(E22=0,0,1000000*E22/TrRoad_act!E61)</f>
        <v>697.34010638702534</v>
      </c>
      <c r="F118" s="87">
        <f>IF(F22=0,0,1000000*F22/TrRoad_act!F61)</f>
        <v>689.49561736987425</v>
      </c>
      <c r="G118" s="87">
        <f>IF(G22=0,0,1000000*G22/TrRoad_act!G61)</f>
        <v>684.77759814099375</v>
      </c>
      <c r="H118" s="87">
        <f>IF(H22=0,0,1000000*H22/TrRoad_act!H61)</f>
        <v>667.31487716092079</v>
      </c>
      <c r="I118" s="87">
        <f>IF(I22=0,0,1000000*I22/TrRoad_act!I61)</f>
        <v>766.62419376541118</v>
      </c>
      <c r="J118" s="87">
        <f>IF(J22=0,0,1000000*J22/TrRoad_act!J61)</f>
        <v>764.55476772142424</v>
      </c>
      <c r="K118" s="87">
        <f>IF(K22=0,0,1000000*K22/TrRoad_act!K61)</f>
        <v>700.04090893624868</v>
      </c>
      <c r="L118" s="87">
        <f>IF(L22=0,0,1000000*L22/TrRoad_act!L61)</f>
        <v>682.32260052510628</v>
      </c>
      <c r="M118" s="87">
        <f>IF(M22=0,0,1000000*M22/TrRoad_act!M61)</f>
        <v>670.32431538185574</v>
      </c>
      <c r="N118" s="87">
        <f>IF(N22=0,0,1000000*N22/TrRoad_act!N61)</f>
        <v>628.12410090507024</v>
      </c>
      <c r="O118" s="87">
        <f>IF(O22=0,0,1000000*O22/TrRoad_act!O61)</f>
        <v>600.93729399496647</v>
      </c>
      <c r="P118" s="87">
        <f>IF(P22=0,0,1000000*P22/TrRoad_act!P61)</f>
        <v>602.55094298999472</v>
      </c>
      <c r="Q118" s="87">
        <f>IF(Q22=0,0,1000000*Q22/TrRoad_act!Q61)</f>
        <v>612.7306500284443</v>
      </c>
      <c r="R118" s="87">
        <f>IF(R22=0,0,1000000*R22/TrRoad_act!R61)</f>
        <v>656.03800465022607</v>
      </c>
      <c r="S118" s="87">
        <f>IF(S22=0,0,1000000*S22/TrRoad_act!S61)</f>
        <v>638.1964163413229</v>
      </c>
      <c r="T118" s="87">
        <f>IF(T22=0,0,1000000*T22/TrRoad_act!T61)</f>
        <v>659.25433714148335</v>
      </c>
      <c r="U118" s="87">
        <f>IF(U22=0,0,1000000*U22/TrRoad_act!U61)</f>
        <v>644.31299972020111</v>
      </c>
      <c r="V118" s="87">
        <f>IF(V22=0,0,1000000*V22/TrRoad_act!V61)</f>
        <v>607.11339791967805</v>
      </c>
      <c r="W118" s="87">
        <f>IF(W22=0,0,1000000*W22/TrRoad_act!W61)</f>
        <v>582.08882066169315</v>
      </c>
      <c r="X118" s="87">
        <f>IF(X22=0,0,1000000*X22/TrRoad_act!X61)</f>
        <v>613.67374016222777</v>
      </c>
      <c r="Y118" s="87">
        <f>IF(Y22=0,0,1000000*Y22/TrRoad_act!Y61)</f>
        <v>643.60092925116032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783.28609313335608</v>
      </c>
      <c r="C119" s="87">
        <f>IF(C24=0,0,1000000*C24/TrRoad_act!C62)</f>
        <v>869.34646229674297</v>
      </c>
      <c r="D119" s="87">
        <f>IF(D24=0,0,1000000*D24/TrRoad_act!D62)</f>
        <v>834.93992871993771</v>
      </c>
      <c r="E119" s="87">
        <f>IF(E24=0,0,1000000*E24/TrRoad_act!E62)</f>
        <v>873.60318747685653</v>
      </c>
      <c r="F119" s="87">
        <f>IF(F24=0,0,1000000*F24/TrRoad_act!F62)</f>
        <v>886.79767329896436</v>
      </c>
      <c r="G119" s="87">
        <f>IF(G24=0,0,1000000*G24/TrRoad_act!G62)</f>
        <v>832.91123911086106</v>
      </c>
      <c r="H119" s="87">
        <f>IF(H24=0,0,1000000*H24/TrRoad_act!H62)</f>
        <v>823.82721078352176</v>
      </c>
      <c r="I119" s="87">
        <f>IF(I24=0,0,1000000*I24/TrRoad_act!I62)</f>
        <v>892.87060326388678</v>
      </c>
      <c r="J119" s="87">
        <f>IF(J24=0,0,1000000*J24/TrRoad_act!J62)</f>
        <v>871.60220595173382</v>
      </c>
      <c r="K119" s="87">
        <f>IF(K24=0,0,1000000*K24/TrRoad_act!K62)</f>
        <v>862.00524001676138</v>
      </c>
      <c r="L119" s="87">
        <f>IF(L24=0,0,1000000*L24/TrRoad_act!L62)</f>
        <v>971.57770223392959</v>
      </c>
      <c r="M119" s="87">
        <f>IF(M24=0,0,1000000*M24/TrRoad_act!M62)</f>
        <v>961.62082504838077</v>
      </c>
      <c r="N119" s="87">
        <f>IF(N24=0,0,1000000*N24/TrRoad_act!N62)</f>
        <v>933.53973960576536</v>
      </c>
      <c r="O119" s="87">
        <f>IF(O24=0,0,1000000*O24/TrRoad_act!O62)</f>
        <v>899.07333830762843</v>
      </c>
      <c r="P119" s="87">
        <f>IF(P24=0,0,1000000*P24/TrRoad_act!P62)</f>
        <v>849.50018462756145</v>
      </c>
      <c r="Q119" s="87">
        <f>IF(Q24=0,0,1000000*Q24/TrRoad_act!Q62)</f>
        <v>845.39532684206745</v>
      </c>
      <c r="R119" s="87">
        <f>IF(R24=0,0,1000000*R24/TrRoad_act!R62)</f>
        <v>928.61922730955393</v>
      </c>
      <c r="S119" s="87">
        <f>IF(S24=0,0,1000000*S24/TrRoad_act!S62)</f>
        <v>947.9130781526859</v>
      </c>
      <c r="T119" s="87">
        <f>IF(T24=0,0,1000000*T24/TrRoad_act!T62)</f>
        <v>959.90723823997871</v>
      </c>
      <c r="U119" s="87">
        <f>IF(U24=0,0,1000000*U24/TrRoad_act!U62)</f>
        <v>950.3371163038247</v>
      </c>
      <c r="V119" s="87">
        <f>IF(V24=0,0,1000000*V24/TrRoad_act!V62)</f>
        <v>882.95125650534976</v>
      </c>
      <c r="W119" s="87">
        <f>IF(W24=0,0,1000000*W24/TrRoad_act!W62)</f>
        <v>859.52945462544528</v>
      </c>
      <c r="X119" s="87">
        <f>IF(X24=0,0,1000000*X24/TrRoad_act!X62)</f>
        <v>840.93250556457053</v>
      </c>
      <c r="Y119" s="87">
        <f>IF(Y24=0,0,1000000*Y24/TrRoad_act!Y62)</f>
        <v>825.20738989416304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683.48243667618351</v>
      </c>
      <c r="C120" s="87">
        <f>IF(C26=0,0,1000000*C26/TrRoad_act!C63)</f>
        <v>685.24973003410344</v>
      </c>
      <c r="D120" s="87">
        <f>IF(D26=0,0,1000000*D26/TrRoad_act!D63)</f>
        <v>691.98406293942116</v>
      </c>
      <c r="E120" s="87">
        <f>IF(E26=0,0,1000000*E26/TrRoad_act!E63)</f>
        <v>696.48883508968618</v>
      </c>
      <c r="F120" s="87">
        <f>IF(F26=0,0,1000000*F26/TrRoad_act!F63)</f>
        <v>703.28935763912114</v>
      </c>
      <c r="G120" s="87">
        <f>IF(G26=0,0,1000000*G26/TrRoad_act!G63)</f>
        <v>900.36018252641793</v>
      </c>
      <c r="H120" s="87">
        <f>IF(H26=0,0,1000000*H26/TrRoad_act!H63)</f>
        <v>777.05514672561992</v>
      </c>
      <c r="I120" s="87">
        <f>IF(I26=0,0,1000000*I26/TrRoad_act!I63)</f>
        <v>706.22067057402012</v>
      </c>
      <c r="J120" s="87">
        <f>IF(J26=0,0,1000000*J26/TrRoad_act!J63)</f>
        <v>658.33185021912141</v>
      </c>
      <c r="K120" s="87">
        <f>IF(K26=0,0,1000000*K26/TrRoad_act!K63)</f>
        <v>633.47788706087829</v>
      </c>
      <c r="L120" s="87">
        <f>IF(L26=0,0,1000000*L26/TrRoad_act!L63)</f>
        <v>661.02093748028915</v>
      </c>
      <c r="M120" s="87">
        <f>IF(M26=0,0,1000000*M26/TrRoad_act!M63)</f>
        <v>693.78006285287654</v>
      </c>
      <c r="N120" s="87">
        <f>IF(N26=0,0,1000000*N26/TrRoad_act!N63)</f>
        <v>691.5913748407803</v>
      </c>
      <c r="O120" s="87">
        <f>IF(O26=0,0,1000000*O26/TrRoad_act!O63)</f>
        <v>657.84992681149379</v>
      </c>
      <c r="P120" s="87">
        <f>IF(P26=0,0,1000000*P26/TrRoad_act!P63)</f>
        <v>683.68175197928156</v>
      </c>
      <c r="Q120" s="87">
        <f>IF(Q26=0,0,1000000*Q26/TrRoad_act!Q63)</f>
        <v>680.57725640506965</v>
      </c>
      <c r="R120" s="87">
        <f>IF(R26=0,0,1000000*R26/TrRoad_act!R63)</f>
        <v>707.63728639928809</v>
      </c>
      <c r="S120" s="87">
        <f>IF(S26=0,0,1000000*S26/TrRoad_act!S63)</f>
        <v>730.63740759854909</v>
      </c>
      <c r="T120" s="87">
        <f>IF(T26=0,0,1000000*T26/TrRoad_act!T63)</f>
        <v>735.7818815959597</v>
      </c>
      <c r="U120" s="87">
        <f>IF(U26=0,0,1000000*U26/TrRoad_act!U63)</f>
        <v>737.91217121641671</v>
      </c>
      <c r="V120" s="87">
        <f>IF(V26=0,0,1000000*V26/TrRoad_act!V63)</f>
        <v>716.63604233211652</v>
      </c>
      <c r="W120" s="87">
        <f>IF(W26=0,0,1000000*W26/TrRoad_act!W63)</f>
        <v>742.6655487312521</v>
      </c>
      <c r="X120" s="87">
        <f>IF(X26=0,0,1000000*X26/TrRoad_act!X63)</f>
        <v>734.89400584531325</v>
      </c>
      <c r="Y120" s="87">
        <f>IF(Y26=0,0,1000000*Y26/TrRoad_act!Y63)</f>
        <v>729.07229783395019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513.81138664041919</v>
      </c>
      <c r="O121" s="87">
        <f>IF(O27=0,0,1000000*O27/TrRoad_act!O64)</f>
        <v>431.63990942731959</v>
      </c>
      <c r="P121" s="87">
        <f>IF(P27=0,0,1000000*P27/TrRoad_act!P64)</f>
        <v>419.75905933015105</v>
      </c>
      <c r="Q121" s="87">
        <f>IF(Q27=0,0,1000000*Q27/TrRoad_act!Q64)</f>
        <v>432.86757613318696</v>
      </c>
      <c r="R121" s="87">
        <f>IF(R27=0,0,1000000*R27/TrRoad_act!R64)</f>
        <v>478.3869592113619</v>
      </c>
      <c r="S121" s="87">
        <f>IF(S27=0,0,1000000*S27/TrRoad_act!S64)</f>
        <v>491.01676307198744</v>
      </c>
      <c r="T121" s="87">
        <f>IF(T27=0,0,1000000*T27/TrRoad_act!T64)</f>
        <v>498.05058115635205</v>
      </c>
      <c r="U121" s="87">
        <f>IF(U27=0,0,1000000*U27/TrRoad_act!U64)</f>
        <v>488.18596134321956</v>
      </c>
      <c r="V121" s="87">
        <f>IF(V27=0,0,1000000*V27/TrRoad_act!V64)</f>
        <v>430.74363526707924</v>
      </c>
      <c r="W121" s="87">
        <f>IF(W27=0,0,1000000*W27/TrRoad_act!W64)</f>
        <v>405.93925148993975</v>
      </c>
      <c r="X121" s="87">
        <f>IF(X27=0,0,1000000*X27/TrRoad_act!X64)</f>
        <v>380.1050346322894</v>
      </c>
      <c r="Y121" s="87">
        <f>IF(Y27=0,0,1000000*Y27/TrRoad_act!Y64)</f>
        <v>369.61881601842146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0</v>
      </c>
      <c r="O122" s="87">
        <f>IF(O29=0,0,1000000*O29/TrRoad_act!O65)</f>
        <v>384.01485525954428</v>
      </c>
      <c r="P122" s="87">
        <f>IF(P29=0,0,1000000*P29/TrRoad_act!P65)</f>
        <v>338.67225076057139</v>
      </c>
      <c r="Q122" s="87">
        <f>IF(Q29=0,0,1000000*Q29/TrRoad_act!Q65)</f>
        <v>344.27785349587742</v>
      </c>
      <c r="R122" s="87">
        <f>IF(R29=0,0,1000000*R29/TrRoad_act!R65)</f>
        <v>405.62415067608333</v>
      </c>
      <c r="S122" s="87">
        <f>IF(S29=0,0,1000000*S29/TrRoad_act!S65)</f>
        <v>413.88838745650486</v>
      </c>
      <c r="T122" s="87">
        <f>IF(T29=0,0,1000000*T29/TrRoad_act!T65)</f>
        <v>441.58742413525636</v>
      </c>
      <c r="U122" s="87">
        <f>IF(U29=0,0,1000000*U29/TrRoad_act!U65)</f>
        <v>474.76747746983142</v>
      </c>
      <c r="V122" s="87">
        <f>IF(V29=0,0,1000000*V29/TrRoad_act!V65)</f>
        <v>465.48225449404367</v>
      </c>
      <c r="W122" s="87">
        <f>IF(W29=0,0,1000000*W29/TrRoad_act!W65)</f>
        <v>436.81556233806845</v>
      </c>
      <c r="X122" s="87">
        <f>IF(X29=0,0,1000000*X29/TrRoad_act!X65)</f>
        <v>407.55580858723158</v>
      </c>
      <c r="Y122" s="87">
        <f>IF(Y29=0,0,1000000*Y29/TrRoad_act!Y65)</f>
        <v>386.16323515472061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162.9992174193745</v>
      </c>
      <c r="N123" s="87">
        <f>IF(N32=0,0,1000000*N32/TrRoad_act!N66)</f>
        <v>163.54635877052937</v>
      </c>
      <c r="O123" s="87">
        <f>IF(O32=0,0,1000000*O32/TrRoad_act!O66)</f>
        <v>160.55723152356222</v>
      </c>
      <c r="P123" s="87">
        <f>IF(P32=0,0,1000000*P32/TrRoad_act!P66)</f>
        <v>160.35323450946601</v>
      </c>
      <c r="Q123" s="87">
        <f>IF(Q32=0,0,1000000*Q32/TrRoad_act!Q66)</f>
        <v>161.87910272288738</v>
      </c>
      <c r="R123" s="87">
        <f>IF(R32=0,0,1000000*R32/TrRoad_act!R66)</f>
        <v>158.45456266168583</v>
      </c>
      <c r="S123" s="87">
        <f>IF(S32=0,0,1000000*S32/TrRoad_act!S66)</f>
        <v>167.47237549134564</v>
      </c>
      <c r="T123" s="87">
        <f>IF(T32=0,0,1000000*T32/TrRoad_act!T66)</f>
        <v>177.06418026655356</v>
      </c>
      <c r="U123" s="87">
        <f>IF(U32=0,0,1000000*U32/TrRoad_act!U66)</f>
        <v>181.1434829331036</v>
      </c>
      <c r="V123" s="87">
        <f>IF(V32=0,0,1000000*V32/TrRoad_act!V66)</f>
        <v>178.17220017791556</v>
      </c>
      <c r="W123" s="87">
        <f>IF(W32=0,0,1000000*W32/TrRoad_act!W66)</f>
        <v>181.53623915192799</v>
      </c>
      <c r="X123" s="87">
        <f>IF(X32=0,0,1000000*X32/TrRoad_act!X66)</f>
        <v>183.9259332858671</v>
      </c>
      <c r="Y123" s="87">
        <f>IF(Y32=0,0,1000000*Y32/TrRoad_act!Y66)</f>
        <v>184.07186969870116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23200.002056368165</v>
      </c>
      <c r="C124" s="116">
        <f>IF(C33=0,0,1000000*C33/TrRoad_act!C67)</f>
        <v>21531.146214893746</v>
      </c>
      <c r="D124" s="116">
        <f>IF(D33=0,0,1000000*D33/TrRoad_act!D67)</f>
        <v>21260.765462782878</v>
      </c>
      <c r="E124" s="116">
        <f>IF(E33=0,0,1000000*E33/TrRoad_act!E67)</f>
        <v>20691.298812675042</v>
      </c>
      <c r="F124" s="116">
        <f>IF(F33=0,0,1000000*F33/TrRoad_act!F67)</f>
        <v>21761.367130145391</v>
      </c>
      <c r="G124" s="116">
        <f>IF(G33=0,0,1000000*G33/TrRoad_act!G67)</f>
        <v>20763.393496639139</v>
      </c>
      <c r="H124" s="116">
        <f>IF(H33=0,0,1000000*H33/TrRoad_act!H67)</f>
        <v>19756.366435257805</v>
      </c>
      <c r="I124" s="116">
        <f>IF(I33=0,0,1000000*I33/TrRoad_act!I67)</f>
        <v>18813.178245518437</v>
      </c>
      <c r="J124" s="116">
        <f>IF(J33=0,0,1000000*J33/TrRoad_act!J67)</f>
        <v>17935.263536043742</v>
      </c>
      <c r="K124" s="116">
        <f>IF(K33=0,0,1000000*K33/TrRoad_act!K67)</f>
        <v>17025.689636321717</v>
      </c>
      <c r="L124" s="116">
        <f>IF(L33=0,0,1000000*L33/TrRoad_act!L67)</f>
        <v>16642.323000205928</v>
      </c>
      <c r="M124" s="116">
        <f>IF(M33=0,0,1000000*M33/TrRoad_act!M67)</f>
        <v>16895.212933082494</v>
      </c>
      <c r="N124" s="116">
        <f>IF(N33=0,0,1000000*N33/TrRoad_act!N67)</f>
        <v>16840.773130336012</v>
      </c>
      <c r="O124" s="116">
        <f>IF(O33=0,0,1000000*O33/TrRoad_act!O67)</f>
        <v>14725.818708044342</v>
      </c>
      <c r="P124" s="116">
        <f>IF(P33=0,0,1000000*P33/TrRoad_act!P67)</f>
        <v>15491.24325292944</v>
      </c>
      <c r="Q124" s="116">
        <f>IF(Q33=0,0,1000000*Q33/TrRoad_act!Q67)</f>
        <v>15057.512867298661</v>
      </c>
      <c r="R124" s="116">
        <f>IF(R33=0,0,1000000*R33/TrRoad_act!R67)</f>
        <v>15778.014330836033</v>
      </c>
      <c r="S124" s="116">
        <f>IF(S33=0,0,1000000*S33/TrRoad_act!S67)</f>
        <v>16552.991728510053</v>
      </c>
      <c r="T124" s="116">
        <f>IF(T33=0,0,1000000*T33/TrRoad_act!T67)</f>
        <v>16510.620515316976</v>
      </c>
      <c r="U124" s="116">
        <f>IF(U33=0,0,1000000*U33/TrRoad_act!U67)</f>
        <v>16549.407318371614</v>
      </c>
      <c r="V124" s="116">
        <f>IF(V33=0,0,1000000*V33/TrRoad_act!V67)</f>
        <v>12322.836045638596</v>
      </c>
      <c r="W124" s="116">
        <f>IF(W33=0,0,1000000*W33/TrRoad_act!W67)</f>
        <v>12074.796248057735</v>
      </c>
      <c r="X124" s="116">
        <f>IF(X33=0,0,1000000*X33/TrRoad_act!X67)</f>
        <v>13368.99096344903</v>
      </c>
      <c r="Y124" s="116">
        <f>IF(Y33=0,0,1000000*Y33/TrRoad_act!Y67)</f>
        <v>15468.812570609967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3754.8944097843328</v>
      </c>
      <c r="E125" s="101">
        <f>IF(E34=0,0,1000000*E34/TrRoad_act!E68)</f>
        <v>3730.8738698687253</v>
      </c>
      <c r="F125" s="101">
        <f>IF(F34=0,0,1000000*F34/TrRoad_act!F68)</f>
        <v>3900.9884048563385</v>
      </c>
      <c r="G125" s="101">
        <f>IF(G34=0,0,1000000*G34/TrRoad_act!G68)</f>
        <v>3672.7781671503012</v>
      </c>
      <c r="H125" s="101">
        <f>IF(H34=0,0,1000000*H34/TrRoad_act!H68)</f>
        <v>3453.6393869771282</v>
      </c>
      <c r="I125" s="101">
        <f>IF(I34=0,0,1000000*I34/TrRoad_act!I68)</f>
        <v>3247.3917436814195</v>
      </c>
      <c r="J125" s="101">
        <f>IF(J34=0,0,1000000*J34/TrRoad_act!J68)</f>
        <v>3050.0648818759423</v>
      </c>
      <c r="K125" s="101">
        <f>IF(K34=0,0,1000000*K34/TrRoad_act!K68)</f>
        <v>2874.5366425325178</v>
      </c>
      <c r="L125" s="101">
        <f>IF(L34=0,0,1000000*L34/TrRoad_act!L68)</f>
        <v>2771.69535971509</v>
      </c>
      <c r="M125" s="101">
        <f>IF(M34=0,0,1000000*M34/TrRoad_act!M68)</f>
        <v>2789.9710864364542</v>
      </c>
      <c r="N125" s="101">
        <f>IF(N34=0,0,1000000*N34/TrRoad_act!N68)</f>
        <v>2760.8519874941394</v>
      </c>
      <c r="O125" s="101">
        <f>IF(O34=0,0,1000000*O34/TrRoad_act!O68)</f>
        <v>2060.1620712261229</v>
      </c>
      <c r="P125" s="101">
        <f>IF(P34=0,0,1000000*P34/TrRoad_act!P68)</f>
        <v>2162.1496762853953</v>
      </c>
      <c r="Q125" s="101">
        <f>IF(Q34=0,0,1000000*Q34/TrRoad_act!Q68)</f>
        <v>2205.9977676811809</v>
      </c>
      <c r="R125" s="101">
        <f>IF(R34=0,0,1000000*R34/TrRoad_act!R68)</f>
        <v>2326.1427777757008</v>
      </c>
      <c r="S125" s="101">
        <f>IF(S34=0,0,1000000*S34/TrRoad_act!S68)</f>
        <v>2420.8961287869565</v>
      </c>
      <c r="T125" s="101">
        <f>IF(T34=0,0,1000000*T34/TrRoad_act!T68)</f>
        <v>2391.1791885788598</v>
      </c>
      <c r="U125" s="101">
        <f>IF(U34=0,0,1000000*U34/TrRoad_act!U68)</f>
        <v>2364.9503406111889</v>
      </c>
      <c r="V125" s="101">
        <f>IF(V34=0,0,1000000*V34/TrRoad_act!V68)</f>
        <v>1767.1295328959402</v>
      </c>
      <c r="W125" s="101">
        <f>IF(W34=0,0,1000000*W34/TrRoad_act!W68)</f>
        <v>1781.4378029780057</v>
      </c>
      <c r="X125" s="101">
        <f>IF(X34=0,0,1000000*X34/TrRoad_act!X68)</f>
        <v>2065.5695099458303</v>
      </c>
      <c r="Y125" s="101">
        <f>IF(Y34=0,0,1000000*Y34/TrRoad_act!Y68)</f>
        <v>2407.7240392070153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23200.002056368165</v>
      </c>
      <c r="C126" s="101">
        <f>IF(C36=0,0,1000000*C36/TrRoad_act!C69)</f>
        <v>21531.146214893746</v>
      </c>
      <c r="D126" s="101">
        <f>IF(D36=0,0,1000000*D36/TrRoad_act!D69)</f>
        <v>21378.902487868349</v>
      </c>
      <c r="E126" s="101">
        <f>IF(E36=0,0,1000000*E36/TrRoad_act!E69)</f>
        <v>20858.189963862395</v>
      </c>
      <c r="F126" s="101">
        <f>IF(F36=0,0,1000000*F36/TrRoad_act!F69)</f>
        <v>21967.566173306237</v>
      </c>
      <c r="G126" s="101">
        <f>IF(G36=0,0,1000000*G36/TrRoad_act!G69)</f>
        <v>21059.803278153373</v>
      </c>
      <c r="H126" s="101">
        <f>IF(H36=0,0,1000000*H36/TrRoad_act!H69)</f>
        <v>20121.240476381401</v>
      </c>
      <c r="I126" s="101">
        <f>IF(I36=0,0,1000000*I36/TrRoad_act!I69)</f>
        <v>19180.37986434979</v>
      </c>
      <c r="J126" s="101">
        <f>IF(J36=0,0,1000000*J36/TrRoad_act!J69)</f>
        <v>18229.719261396651</v>
      </c>
      <c r="K126" s="101">
        <f>IF(K36=0,0,1000000*K36/TrRoad_act!K69)</f>
        <v>17271.224488705306</v>
      </c>
      <c r="L126" s="101">
        <f>IF(L36=0,0,1000000*L36/TrRoad_act!L69)</f>
        <v>16777.564260161376</v>
      </c>
      <c r="M126" s="101">
        <f>IF(M36=0,0,1000000*M36/TrRoad_act!M69)</f>
        <v>16992.523607340936</v>
      </c>
      <c r="N126" s="101">
        <f>IF(N36=0,0,1000000*N36/TrRoad_act!N69)</f>
        <v>16993.782279850297</v>
      </c>
      <c r="O126" s="101">
        <f>IF(O36=0,0,1000000*O36/TrRoad_act!O69)</f>
        <v>15712.988150704703</v>
      </c>
      <c r="P126" s="101">
        <f>IF(P36=0,0,1000000*P36/TrRoad_act!P69)</f>
        <v>16529.448383826904</v>
      </c>
      <c r="Q126" s="101">
        <f>IF(Q36=0,0,1000000*Q36/TrRoad_act!Q69)</f>
        <v>16133.281143117234</v>
      </c>
      <c r="R126" s="101">
        <f>IF(R36=0,0,1000000*R36/TrRoad_act!R69)</f>
        <v>17356.766938866149</v>
      </c>
      <c r="S126" s="101">
        <f>IF(S36=0,0,1000000*S36/TrRoad_act!S69)</f>
        <v>18405.501675992153</v>
      </c>
      <c r="T126" s="101">
        <f>IF(T36=0,0,1000000*T36/TrRoad_act!T69)</f>
        <v>18264.258926218215</v>
      </c>
      <c r="U126" s="101">
        <f>IF(U36=0,0,1000000*U36/TrRoad_act!U69)</f>
        <v>18200.742109834217</v>
      </c>
      <c r="V126" s="101">
        <f>IF(V36=0,0,1000000*V36/TrRoad_act!V69)</f>
        <v>13415.294083508734</v>
      </c>
      <c r="W126" s="101">
        <f>IF(W36=0,0,1000000*W36/TrRoad_act!W69)</f>
        <v>12430.988647727152</v>
      </c>
      <c r="X126" s="101">
        <f>IF(X36=0,0,1000000*X36/TrRoad_act!X69)</f>
        <v>14631.337665906427</v>
      </c>
      <c r="Y126" s="101">
        <f>IF(Y36=0,0,1000000*Y36/TrRoad_act!Y69)</f>
        <v>17413.176607608373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9217.1097594034964</v>
      </c>
      <c r="E127" s="101">
        <f>IF(E38=0,0,1000000*E38/TrRoad_act!E70)</f>
        <v>9365.0140699232743</v>
      </c>
      <c r="F127" s="101">
        <f>IF(F38=0,0,1000000*F38/TrRoad_act!F70)</f>
        <v>9991.7646180348383</v>
      </c>
      <c r="G127" s="101">
        <f>IF(G38=0,0,1000000*G38/TrRoad_act!G70)</f>
        <v>9598.8036660372636</v>
      </c>
      <c r="H127" s="101">
        <f>IF(H38=0,0,1000000*H38/TrRoad_act!H70)</f>
        <v>9219.4718999663019</v>
      </c>
      <c r="I127" s="101">
        <f>IF(I38=0,0,1000000*I38/TrRoad_act!I70)</f>
        <v>8845.8010675888963</v>
      </c>
      <c r="J127" s="101">
        <f>IF(J38=0,0,1000000*J38/TrRoad_act!J70)</f>
        <v>8483.4609289540531</v>
      </c>
      <c r="K127" s="101">
        <f>IF(K38=0,0,1000000*K38/TrRoad_act!K70)</f>
        <v>8159.1968293654063</v>
      </c>
      <c r="L127" s="101">
        <f>IF(L38=0,0,1000000*L38/TrRoad_act!L70)</f>
        <v>8026.2232380261739</v>
      </c>
      <c r="M127" s="101">
        <f>IF(M38=0,0,1000000*M38/TrRoad_act!M70)</f>
        <v>8337.163389719648</v>
      </c>
      <c r="N127" s="101">
        <f>IF(N38=0,0,1000000*N38/TrRoad_act!N70)</f>
        <v>8422.3399737222298</v>
      </c>
      <c r="O127" s="101">
        <f>IF(O38=0,0,1000000*O38/TrRoad_act!O70)</f>
        <v>8255.2903470362835</v>
      </c>
      <c r="P127" s="101">
        <f>IF(P38=0,0,1000000*P38/TrRoad_act!P70)</f>
        <v>8816.5180874922171</v>
      </c>
      <c r="Q127" s="101">
        <f>IF(Q38=0,0,1000000*Q38/TrRoad_act!Q70)</f>
        <v>8997.217982269538</v>
      </c>
      <c r="R127" s="101">
        <f>IF(R38=0,0,1000000*R38/TrRoad_act!R70)</f>
        <v>9487.3097859650406</v>
      </c>
      <c r="S127" s="101">
        <f>IF(S38=0,0,1000000*S38/TrRoad_act!S70)</f>
        <v>9877.413152830426</v>
      </c>
      <c r="T127" s="101">
        <f>IF(T38=0,0,1000000*T38/TrRoad_act!T70)</f>
        <v>9763.5975412684875</v>
      </c>
      <c r="U127" s="101">
        <f>IF(U38=0,0,1000000*U38/TrRoad_act!U70)</f>
        <v>9672.8373121963978</v>
      </c>
      <c r="V127" s="101">
        <f>IF(V38=0,0,1000000*V38/TrRoad_act!V70)</f>
        <v>7229.2410850266988</v>
      </c>
      <c r="W127" s="101">
        <f>IF(W38=0,0,1000000*W38/TrRoad_act!W70)</f>
        <v>7289.4641075079762</v>
      </c>
      <c r="X127" s="101">
        <f>IF(X38=0,0,1000000*X38/TrRoad_act!X70)</f>
        <v>8453.6924737354911</v>
      </c>
      <c r="Y127" s="101">
        <f>IF(Y38=0,0,1000000*Y38/TrRoad_act!Y70)</f>
        <v>9849.7709751776056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16928.202923473778</v>
      </c>
      <c r="L128" s="101">
        <f>IF(L39=0,0,1000000*L39/TrRoad_act!L71)</f>
        <v>18519.743369270454</v>
      </c>
      <c r="M128" s="101">
        <f>IF(M39=0,0,1000000*M39/TrRoad_act!M71)</f>
        <v>18952.209903992432</v>
      </c>
      <c r="N128" s="101">
        <f>IF(N39=0,0,1000000*N39/TrRoad_act!N71)</f>
        <v>17454.349708733094</v>
      </c>
      <c r="O128" s="101">
        <f>IF(O39=0,0,1000000*O39/TrRoad_act!O71)</f>
        <v>15252.374465637959</v>
      </c>
      <c r="P128" s="101">
        <f>IF(P39=0,0,1000000*P39/TrRoad_act!P71)</f>
        <v>15234.904528872619</v>
      </c>
      <c r="Q128" s="101">
        <f>IF(Q39=0,0,1000000*Q39/TrRoad_act!Q71)</f>
        <v>13340.887962976276</v>
      </c>
      <c r="R128" s="101">
        <f>IF(R39=0,0,1000000*R39/TrRoad_act!R71)</f>
        <v>13407.597631658187</v>
      </c>
      <c r="S128" s="101">
        <f>IF(S39=0,0,1000000*S39/TrRoad_act!S71)</f>
        <v>14032.164505962439</v>
      </c>
      <c r="T128" s="101">
        <f>IF(T39=0,0,1000000*T39/TrRoad_act!T71)</f>
        <v>14042.527247977971</v>
      </c>
      <c r="U128" s="101">
        <f>IF(U39=0,0,1000000*U39/TrRoad_act!U71)</f>
        <v>14196.380698444345</v>
      </c>
      <c r="V128" s="101">
        <f>IF(V39=0,0,1000000*V39/TrRoad_act!V71)</f>
        <v>10971.519668585179</v>
      </c>
      <c r="W128" s="101">
        <f>IF(W39=0,0,1000000*W39/TrRoad_act!W71)</f>
        <v>11420.357738392011</v>
      </c>
      <c r="X128" s="101">
        <f>IF(X39=0,0,1000000*X39/TrRoad_act!X71)</f>
        <v>11226.846859012048</v>
      </c>
      <c r="Y128" s="101">
        <f>IF(Y39=0,0,1000000*Y39/TrRoad_act!Y71)</f>
        <v>13421.66994355106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13251.806134335529</v>
      </c>
      <c r="G129" s="101">
        <f>IF(G41=0,0,1000000*G41/TrRoad_act!G72)</f>
        <v>13266.510066833735</v>
      </c>
      <c r="H129" s="101">
        <f>IF(H41=0,0,1000000*H41/TrRoad_act!H72)</f>
        <v>13291.650351460354</v>
      </c>
      <c r="I129" s="101">
        <f>IF(I41=0,0,1000000*I41/TrRoad_act!I72)</f>
        <v>13323.056589994059</v>
      </c>
      <c r="J129" s="101">
        <f>IF(J41=0,0,1000000*J41/TrRoad_act!J72)</f>
        <v>13356.539168027459</v>
      </c>
      <c r="K129" s="101">
        <f>IF(K41=0,0,1000000*K41/TrRoad_act!K72)</f>
        <v>13389.600020829412</v>
      </c>
      <c r="L129" s="101">
        <f>IF(L41=0,0,1000000*L41/TrRoad_act!L72)</f>
        <v>13406.647722743694</v>
      </c>
      <c r="M129" s="101">
        <f>IF(M41=0,0,1000000*M41/TrRoad_act!M72)</f>
        <v>13421.372407360364</v>
      </c>
      <c r="N129" s="101">
        <f>IF(N41=0,0,1000000*N41/TrRoad_act!N72)</f>
        <v>13931.738800137891</v>
      </c>
      <c r="O129" s="101">
        <f>IF(O41=0,0,1000000*O41/TrRoad_act!O72)</f>
        <v>14212.291827301255</v>
      </c>
      <c r="P129" s="101">
        <f>IF(P41=0,0,1000000*P41/TrRoad_act!P72)</f>
        <v>14996.066693319035</v>
      </c>
      <c r="Q129" s="101">
        <f>IF(Q41=0,0,1000000*Q41/TrRoad_act!Q72)</f>
        <v>15934.553070542475</v>
      </c>
      <c r="R129" s="101">
        <f>IF(R41=0,0,1000000*R41/TrRoad_act!R72)</f>
        <v>15882.315652058442</v>
      </c>
      <c r="S129" s="101">
        <f>IF(S41=0,0,1000000*S41/TrRoad_act!S72)</f>
        <v>15776.257614295315</v>
      </c>
      <c r="T129" s="101">
        <f>IF(T41=0,0,1000000*T41/TrRoad_act!T72)</f>
        <v>15688.112109126516</v>
      </c>
      <c r="U129" s="101">
        <f>IF(U41=0,0,1000000*U41/TrRoad_act!U72)</f>
        <v>15266.167987248982</v>
      </c>
      <c r="V129" s="101">
        <f>IF(V41=0,0,1000000*V41/TrRoad_act!V72)</f>
        <v>12335.383869226202</v>
      </c>
      <c r="W129" s="101">
        <f>IF(W41=0,0,1000000*W41/TrRoad_act!W72)</f>
        <v>14772.513185594933</v>
      </c>
      <c r="X129" s="101">
        <f>IF(X41=0,0,1000000*X41/TrRoad_act!X72)</f>
        <v>14603.042374490309</v>
      </c>
      <c r="Y129" s="101">
        <f>IF(Y41=0,0,1000000*Y41/TrRoad_act!Y72)</f>
        <v>14088.487966413686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1537.9573257716079</v>
      </c>
      <c r="C131" s="152">
        <f>IF(C43=0,0,1000000*C43/TrRoad_act!C74)</f>
        <v>1485.0779963225789</v>
      </c>
      <c r="D131" s="152">
        <f>IF(D43=0,0,1000000*D43/TrRoad_act!D74)</f>
        <v>1369.3281305884743</v>
      </c>
      <c r="E131" s="152">
        <f>IF(E43=0,0,1000000*E43/TrRoad_act!E74)</f>
        <v>1297.0443232706996</v>
      </c>
      <c r="F131" s="152">
        <f>IF(F43=0,0,1000000*F43/TrRoad_act!F74)</f>
        <v>1278.8101756764399</v>
      </c>
      <c r="G131" s="152">
        <f>IF(G43=0,0,1000000*G43/TrRoad_act!G74)</f>
        <v>1210.8156974420667</v>
      </c>
      <c r="H131" s="152">
        <f>IF(H43=0,0,1000000*H43/TrRoad_act!H74)</f>
        <v>1151.7402490596269</v>
      </c>
      <c r="I131" s="152">
        <f>IF(I43=0,0,1000000*I43/TrRoad_act!I74)</f>
        <v>1164.9664707773745</v>
      </c>
      <c r="J131" s="152">
        <f>IF(J43=0,0,1000000*J43/TrRoad_act!J74)</f>
        <v>1122.363128943955</v>
      </c>
      <c r="K131" s="152">
        <f>IF(K43=0,0,1000000*K43/TrRoad_act!K74)</f>
        <v>1044.0239567916515</v>
      </c>
      <c r="L131" s="152">
        <f>IF(L43=0,0,1000000*L43/TrRoad_act!L74)</f>
        <v>1063.5444778120714</v>
      </c>
      <c r="M131" s="152">
        <f>IF(M43=0,0,1000000*M43/TrRoad_act!M74)</f>
        <v>1054.7724327169506</v>
      </c>
      <c r="N131" s="152">
        <f>IF(N43=0,0,1000000*N43/TrRoad_act!N74)</f>
        <v>1037.982655180592</v>
      </c>
      <c r="O131" s="152">
        <f>IF(O43=0,0,1000000*O43/TrRoad_act!O74)</f>
        <v>1013.0783796866401</v>
      </c>
      <c r="P131" s="152">
        <f>IF(P43=0,0,1000000*P43/TrRoad_act!P74)</f>
        <v>1073.9420891385582</v>
      </c>
      <c r="Q131" s="152">
        <f>IF(Q43=0,0,1000000*Q43/TrRoad_act!Q74)</f>
        <v>1061.1524193314999</v>
      </c>
      <c r="R131" s="152">
        <f>IF(R43=0,0,1000000*R43/TrRoad_act!R74)</f>
        <v>1101.4132775100782</v>
      </c>
      <c r="S131" s="152">
        <f>IF(S43=0,0,1000000*S43/TrRoad_act!S74)</f>
        <v>1101.8370326549812</v>
      </c>
      <c r="T131" s="152">
        <f>IF(T43=0,0,1000000*T43/TrRoad_act!T74)</f>
        <v>1080.1966728073714</v>
      </c>
      <c r="U131" s="152">
        <f>IF(U43=0,0,1000000*U43/TrRoad_act!U74)</f>
        <v>1071.1531670174331</v>
      </c>
      <c r="V131" s="152">
        <f>IF(V43=0,0,1000000*V43/TrRoad_act!V74)</f>
        <v>1061.2942497352435</v>
      </c>
      <c r="W131" s="152">
        <f>IF(W43=0,0,1000000*W43/TrRoad_act!W74)</f>
        <v>1048.1026141795298</v>
      </c>
      <c r="X131" s="152">
        <f>IF(X43=0,0,1000000*X43/TrRoad_act!X74)</f>
        <v>1040.4667959713918</v>
      </c>
      <c r="Y131" s="152">
        <f>IF(Y43=0,0,1000000*Y43/TrRoad_act!Y74)</f>
        <v>1012.3920122331245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1407.5147927077367</v>
      </c>
      <c r="C132" s="87">
        <f>IF(C44=0,0,1000000*C44/TrRoad_act!C75)</f>
        <v>1350.8458653196712</v>
      </c>
      <c r="D132" s="87">
        <f>IF(D44=0,0,1000000*D44/TrRoad_act!D75)</f>
        <v>1304.9907719275234</v>
      </c>
      <c r="E132" s="87">
        <f>IF(E44=0,0,1000000*E44/TrRoad_act!E75)</f>
        <v>1266.862883730538</v>
      </c>
      <c r="F132" s="87">
        <f>IF(F44=0,0,1000000*F44/TrRoad_act!F75)</f>
        <v>1234.093072286963</v>
      </c>
      <c r="G132" s="87">
        <f>IF(G44=0,0,1000000*G44/TrRoad_act!G75)</f>
        <v>1207.1756105811573</v>
      </c>
      <c r="H132" s="87">
        <f>IF(H44=0,0,1000000*H44/TrRoad_act!H75)</f>
        <v>1202.2009400436907</v>
      </c>
      <c r="I132" s="87">
        <f>IF(I44=0,0,1000000*I44/TrRoad_act!I75)</f>
        <v>1198.8916319937564</v>
      </c>
      <c r="J132" s="87">
        <f>IF(J44=0,0,1000000*J44/TrRoad_act!J75)</f>
        <v>1192.4209863546221</v>
      </c>
      <c r="K132" s="87">
        <f>IF(K44=0,0,1000000*K44/TrRoad_act!K75)</f>
        <v>1187.5392678722235</v>
      </c>
      <c r="L132" s="87">
        <f>IF(L44=0,0,1000000*L44/TrRoad_act!L75)</f>
        <v>1176.2068086892807</v>
      </c>
      <c r="M132" s="87">
        <f>IF(M44=0,0,1000000*M44/TrRoad_act!M75)</f>
        <v>1172.0221141352783</v>
      </c>
      <c r="N132" s="87">
        <f>IF(N44=0,0,1000000*N44/TrRoad_act!N75)</f>
        <v>1154.9246333795934</v>
      </c>
      <c r="O132" s="87">
        <f>IF(O44=0,0,1000000*O44/TrRoad_act!O75)</f>
        <v>1130.7191468818232</v>
      </c>
      <c r="P132" s="87">
        <f>IF(P44=0,0,1000000*P44/TrRoad_act!P75)</f>
        <v>1114.7916600457047</v>
      </c>
      <c r="Q132" s="87">
        <f>IF(Q44=0,0,1000000*Q44/TrRoad_act!Q75)</f>
        <v>1070.3844870847333</v>
      </c>
      <c r="R132" s="87">
        <f>IF(R44=0,0,1000000*R44/TrRoad_act!R75)</f>
        <v>1079.1874574051737</v>
      </c>
      <c r="S132" s="87">
        <f>IF(S44=0,0,1000000*S44/TrRoad_act!S75)</f>
        <v>1059.253055084446</v>
      </c>
      <c r="T132" s="87">
        <f>IF(T44=0,0,1000000*T44/TrRoad_act!T75)</f>
        <v>1030.584171777442</v>
      </c>
      <c r="U132" s="87">
        <f>IF(U44=0,0,1000000*U44/TrRoad_act!U75)</f>
        <v>1058.6220930265242</v>
      </c>
      <c r="V132" s="87">
        <f>IF(V44=0,0,1000000*V44/TrRoad_act!V75)</f>
        <v>1037.5759778849722</v>
      </c>
      <c r="W132" s="87">
        <f>IF(W44=0,0,1000000*W44/TrRoad_act!W75)</f>
        <v>1014.9533534430681</v>
      </c>
      <c r="X132" s="87">
        <f>IF(X44=0,0,1000000*X44/TrRoad_act!X75)</f>
        <v>998.59757689237665</v>
      </c>
      <c r="Y132" s="87">
        <f>IF(Y44=0,0,1000000*Y44/TrRoad_act!Y75)</f>
        <v>987.46665182408094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1561.1630226255079</v>
      </c>
      <c r="C133" s="87">
        <f>IF(C46=0,0,1000000*C46/TrRoad_act!C76)</f>
        <v>1508.0141364829819</v>
      </c>
      <c r="D133" s="87">
        <f>IF(D46=0,0,1000000*D46/TrRoad_act!D76)</f>
        <v>1379.2722264940887</v>
      </c>
      <c r="E133" s="87">
        <f>IF(E46=0,0,1000000*E46/TrRoad_act!E76)</f>
        <v>1301.3157001642105</v>
      </c>
      <c r="F133" s="87">
        <f>IF(F46=0,0,1000000*F46/TrRoad_act!F76)</f>
        <v>1284.6782897637756</v>
      </c>
      <c r="G133" s="87">
        <f>IF(G46=0,0,1000000*G46/TrRoad_act!G76)</f>
        <v>1211.2518895585049</v>
      </c>
      <c r="H133" s="87">
        <f>IF(H46=0,0,1000000*H46/TrRoad_act!H76)</f>
        <v>1145.6935491081135</v>
      </c>
      <c r="I133" s="87">
        <f>IF(I46=0,0,1000000*I46/TrRoad_act!I76)</f>
        <v>1160.9019052458682</v>
      </c>
      <c r="J133" s="87">
        <f>IF(J46=0,0,1000000*J46/TrRoad_act!J76)</f>
        <v>1115.171764767483</v>
      </c>
      <c r="K133" s="87">
        <f>IF(K46=0,0,1000000*K46/TrRoad_act!K76)</f>
        <v>1032.2197171118153</v>
      </c>
      <c r="L133" s="87">
        <f>IF(L46=0,0,1000000*L46/TrRoad_act!L76)</f>
        <v>1054.6093160865864</v>
      </c>
      <c r="M133" s="87">
        <f>IF(M46=0,0,1000000*M46/TrRoad_act!M76)</f>
        <v>1047.5952174012073</v>
      </c>
      <c r="N133" s="87">
        <f>IF(N46=0,0,1000000*N46/TrRoad_act!N76)</f>
        <v>1032.5665844041762</v>
      </c>
      <c r="O133" s="87">
        <f>IF(O46=0,0,1000000*O46/TrRoad_act!O76)</f>
        <v>1008.5522967101355</v>
      </c>
      <c r="P133" s="87">
        <f>IF(P46=0,0,1000000*P46/TrRoad_act!P76)</f>
        <v>1072.6474856138764</v>
      </c>
      <c r="Q133" s="87">
        <f>IF(Q46=0,0,1000000*Q46/TrRoad_act!Q76)</f>
        <v>1060.9155114661953</v>
      </c>
      <c r="R133" s="87">
        <f>IF(R46=0,0,1000000*R46/TrRoad_act!R76)</f>
        <v>1101.9196511660507</v>
      </c>
      <c r="S133" s="87">
        <f>IF(S46=0,0,1000000*S46/TrRoad_act!S76)</f>
        <v>1102.7039409136023</v>
      </c>
      <c r="T133" s="87">
        <f>IF(T46=0,0,1000000*T46/TrRoad_act!T76)</f>
        <v>1081.1056753420291</v>
      </c>
      <c r="U133" s="87">
        <f>IF(U46=0,0,1000000*U46/TrRoad_act!U76)</f>
        <v>1071.4446828776897</v>
      </c>
      <c r="V133" s="87">
        <f>IF(V46=0,0,1000000*V46/TrRoad_act!V76)</f>
        <v>1061.7722357791795</v>
      </c>
      <c r="W133" s="87">
        <f>IF(W46=0,0,1000000*W46/TrRoad_act!W76)</f>
        <v>1048.694362556811</v>
      </c>
      <c r="X133" s="87">
        <f>IF(X46=0,0,1000000*X46/TrRoad_act!X76)</f>
        <v>1041.1166124759045</v>
      </c>
      <c r="Y133" s="87">
        <f>IF(Y46=0,0,1000000*Y46/TrRoad_act!Y76)</f>
        <v>1012.7167243452756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0</v>
      </c>
      <c r="T134" s="87">
        <f>IF(T48=0,0,1000000*T48/TrRoad_act!T77)</f>
        <v>0</v>
      </c>
      <c r="U134" s="87">
        <f>IF(U48=0,0,1000000*U48/TrRoad_act!U77)</f>
        <v>0</v>
      </c>
      <c r="V134" s="87">
        <f>IF(V48=0,0,1000000*V48/TrRoad_act!V77)</f>
        <v>0</v>
      </c>
      <c r="W134" s="87">
        <f>IF(W48=0,0,1000000*W48/TrRoad_act!W77)</f>
        <v>0</v>
      </c>
      <c r="X134" s="87">
        <f>IF(X48=0,0,1000000*X48/TrRoad_act!X77)</f>
        <v>0</v>
      </c>
      <c r="Y134" s="87">
        <f>IF(Y48=0,0,1000000*Y48/TrRoad_act!Y77)</f>
        <v>0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X135" s="87">
        <f>IF(X49=0,0,1000000*X49/TrRoad_act!X78)</f>
        <v>0</v>
      </c>
      <c r="Y135" s="87">
        <f>IF(Y49=0,0,1000000*Y49/TrRoad_act!Y78)</f>
        <v>0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0</v>
      </c>
      <c r="O136" s="87">
        <f>IF(O51=0,0,1000000*O51/TrRoad_act!O79)</f>
        <v>0</v>
      </c>
      <c r="P136" s="87">
        <f>IF(P51=0,0,1000000*P51/TrRoad_act!P79)</f>
        <v>0</v>
      </c>
      <c r="Q136" s="87">
        <f>IF(Q51=0,0,1000000*Q51/TrRoad_act!Q79)</f>
        <v>0</v>
      </c>
      <c r="R136" s="87">
        <f>IF(R51=0,0,1000000*R51/TrRoad_act!R79)</f>
        <v>0</v>
      </c>
      <c r="S136" s="87">
        <f>IF(S51=0,0,1000000*S51/TrRoad_act!S79)</f>
        <v>0</v>
      </c>
      <c r="T136" s="87">
        <f>IF(T51=0,0,1000000*T51/TrRoad_act!T79)</f>
        <v>0</v>
      </c>
      <c r="U136" s="87">
        <f>IF(U51=0,0,1000000*U51/TrRoad_act!U79)</f>
        <v>0</v>
      </c>
      <c r="V136" s="87">
        <f>IF(V51=0,0,1000000*V51/TrRoad_act!V79)</f>
        <v>0</v>
      </c>
      <c r="W136" s="87">
        <f>IF(W51=0,0,1000000*W51/TrRoad_act!W79)</f>
        <v>0</v>
      </c>
      <c r="X136" s="87">
        <f>IF(X51=0,0,1000000*X51/TrRoad_act!X79)</f>
        <v>0</v>
      </c>
      <c r="Y136" s="87">
        <f>IF(Y51=0,0,1000000*Y51/TrRoad_act!Y79)</f>
        <v>0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6627.4791779916941</v>
      </c>
      <c r="C137" s="116">
        <f>IF(C52=0,0,1000000*C52/TrRoad_act!C80)</f>
        <v>9013.8831816255515</v>
      </c>
      <c r="D137" s="116">
        <f>IF(D52=0,0,1000000*D52/TrRoad_act!D80)</f>
        <v>8996.269789856542</v>
      </c>
      <c r="E137" s="116">
        <f>IF(E52=0,0,1000000*E52/TrRoad_act!E80)</f>
        <v>5703.842521907728</v>
      </c>
      <c r="F137" s="116">
        <f>IF(F52=0,0,1000000*F52/TrRoad_act!F80)</f>
        <v>6812.8299508328337</v>
      </c>
      <c r="G137" s="116">
        <f>IF(G52=0,0,1000000*G52/TrRoad_act!G80)</f>
        <v>6789.02454368898</v>
      </c>
      <c r="H137" s="116">
        <f>IF(H52=0,0,1000000*H52/TrRoad_act!H80)</f>
        <v>6045.3390566622684</v>
      </c>
      <c r="I137" s="116">
        <f>IF(I52=0,0,1000000*I52/TrRoad_act!I80)</f>
        <v>9078.1889673814094</v>
      </c>
      <c r="J137" s="116">
        <f>IF(J52=0,0,1000000*J52/TrRoad_act!J80)</f>
        <v>10761.814475317175</v>
      </c>
      <c r="K137" s="116">
        <f>IF(K52=0,0,1000000*K52/TrRoad_act!K80)</f>
        <v>5714.2725291255538</v>
      </c>
      <c r="L137" s="116">
        <f>IF(L52=0,0,1000000*L52/TrRoad_act!L80)</f>
        <v>7660.2391411913341</v>
      </c>
      <c r="M137" s="116">
        <f>IF(M52=0,0,1000000*M52/TrRoad_act!M80)</f>
        <v>9240.6009810485375</v>
      </c>
      <c r="N137" s="116">
        <f>IF(N52=0,0,1000000*N52/TrRoad_act!N80)</f>
        <v>5887.2521462324094</v>
      </c>
      <c r="O137" s="116">
        <f>IF(O52=0,0,1000000*O52/TrRoad_act!O80)</f>
        <v>6333.0150882022908</v>
      </c>
      <c r="P137" s="116">
        <f>IF(P52=0,0,1000000*P52/TrRoad_act!P80)</f>
        <v>11245.901430075695</v>
      </c>
      <c r="Q137" s="116">
        <f>IF(Q52=0,0,1000000*Q52/TrRoad_act!Q80)</f>
        <v>11480.17805805637</v>
      </c>
      <c r="R137" s="116">
        <f>IF(R52=0,0,1000000*R52/TrRoad_act!R80)</f>
        <v>10514.734241093573</v>
      </c>
      <c r="S137" s="116">
        <f>IF(S52=0,0,1000000*S52/TrRoad_act!S80)</f>
        <v>11412.646049754467</v>
      </c>
      <c r="T137" s="116">
        <f>IF(T52=0,0,1000000*T52/TrRoad_act!T80)</f>
        <v>11289.251108956052</v>
      </c>
      <c r="U137" s="116">
        <f>IF(U52=0,0,1000000*U52/TrRoad_act!U80)</f>
        <v>12294.408629421932</v>
      </c>
      <c r="V137" s="116">
        <f>IF(V52=0,0,1000000*V52/TrRoad_act!V80)</f>
        <v>12602.020196825264</v>
      </c>
      <c r="W137" s="116">
        <f>IF(W52=0,0,1000000*W52/TrRoad_act!W80)</f>
        <v>11707.807543836831</v>
      </c>
      <c r="X137" s="116">
        <f>IF(X52=0,0,1000000*X52/TrRoad_act!X80)</f>
        <v>11964.463761736803</v>
      </c>
      <c r="Y137" s="116">
        <f>IF(Y52=0,0,1000000*Y52/TrRoad_act!Y80)</f>
        <v>9169.3430238447345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4249.327897308006</v>
      </c>
      <c r="C138" s="101">
        <f>IF(C53=0,0,1000000*C53/TrRoad_act!C81)</f>
        <v>4873.2501577660541</v>
      </c>
      <c r="D138" s="101">
        <f>IF(D53=0,0,1000000*D53/TrRoad_act!D81)</f>
        <v>4792.3779805585964</v>
      </c>
      <c r="E138" s="101">
        <f>IF(E53=0,0,1000000*E53/TrRoad_act!E81)</f>
        <v>3945.1036783073537</v>
      </c>
      <c r="F138" s="101">
        <f>IF(F53=0,0,1000000*F53/TrRoad_act!F81)</f>
        <v>4138.1623054317151</v>
      </c>
      <c r="G138" s="101">
        <f>IF(G53=0,0,1000000*G53/TrRoad_act!G81)</f>
        <v>4022.5407535609343</v>
      </c>
      <c r="H138" s="101">
        <f>IF(H53=0,0,1000000*H53/TrRoad_act!H81)</f>
        <v>3700.6945562567612</v>
      </c>
      <c r="I138" s="101">
        <f>IF(I53=0,0,1000000*I53/TrRoad_act!I81)</f>
        <v>4509.9877610347012</v>
      </c>
      <c r="J138" s="101">
        <f>IF(J53=0,0,1000000*J53/TrRoad_act!J81)</f>
        <v>4874.9277400489946</v>
      </c>
      <c r="K138" s="101">
        <f>IF(K53=0,0,1000000*K53/TrRoad_act!K81)</f>
        <v>3668.6476229330101</v>
      </c>
      <c r="L138" s="101">
        <f>IF(L53=0,0,1000000*L53/TrRoad_act!L81)</f>
        <v>3827.6804047989817</v>
      </c>
      <c r="M138" s="101">
        <f>IF(M53=0,0,1000000*M53/TrRoad_act!M81)</f>
        <v>4166.3688352406498</v>
      </c>
      <c r="N138" s="101">
        <f>IF(N53=0,0,1000000*N53/TrRoad_act!N81)</f>
        <v>3392.4406281840434</v>
      </c>
      <c r="O138" s="101">
        <f>IF(O53=0,0,1000000*O53/TrRoad_act!O81)</f>
        <v>3493.7368427456627</v>
      </c>
      <c r="P138" s="101">
        <f>IF(P53=0,0,1000000*P53/TrRoad_act!P81)</f>
        <v>5004.0532317521684</v>
      </c>
      <c r="Q138" s="101">
        <f>IF(Q53=0,0,1000000*Q53/TrRoad_act!Q81)</f>
        <v>4718.25058386406</v>
      </c>
      <c r="R138" s="101">
        <f>IF(R53=0,0,1000000*R53/TrRoad_act!R81)</f>
        <v>4470.4510333711341</v>
      </c>
      <c r="S138" s="101">
        <f>IF(S53=0,0,1000000*S53/TrRoad_act!S81)</f>
        <v>4881.2147505334433</v>
      </c>
      <c r="T138" s="101">
        <f>IF(T53=0,0,1000000*T53/TrRoad_act!T81)</f>
        <v>4845.1956495886161</v>
      </c>
      <c r="U138" s="101">
        <f>IF(U53=0,0,1000000*U53/TrRoad_act!U81)</f>
        <v>5336.4771371874976</v>
      </c>
      <c r="V138" s="101">
        <f>IF(V53=0,0,1000000*V53/TrRoad_act!V81)</f>
        <v>5313.4866736832382</v>
      </c>
      <c r="W138" s="101">
        <f>IF(W53=0,0,1000000*W53/TrRoad_act!W81)</f>
        <v>4628.5606246879306</v>
      </c>
      <c r="X138" s="101">
        <f>IF(X53=0,0,1000000*X53/TrRoad_act!X81)</f>
        <v>4082.0193962680214</v>
      </c>
      <c r="Y138" s="101">
        <f>IF(Y53=0,0,1000000*Y53/TrRoad_act!Y81)</f>
        <v>3399.0879480980821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53696.483979756944</v>
      </c>
      <c r="C139" s="88">
        <f>IF(C55=0,0,1000000*C55/TrRoad_act!C82)</f>
        <v>85091.42629327318</v>
      </c>
      <c r="D139" s="88">
        <f>IF(D55=0,0,1000000*D55/TrRoad_act!D82)</f>
        <v>83323.451738916599</v>
      </c>
      <c r="E139" s="88">
        <f>IF(E55=0,0,1000000*E55/TrRoad_act!E82)</f>
        <v>45027.854586777692</v>
      </c>
      <c r="F139" s="88">
        <f>IF(F55=0,0,1000000*F55/TrRoad_act!F82)</f>
        <v>57558.623826009891</v>
      </c>
      <c r="G139" s="88">
        <f>IF(G55=0,0,1000000*G55/TrRoad_act!G82)</f>
        <v>53459.502024113484</v>
      </c>
      <c r="H139" s="88">
        <f>IF(H55=0,0,1000000*H55/TrRoad_act!H82)</f>
        <v>38219.345920030719</v>
      </c>
      <c r="I139" s="88">
        <f>IF(I55=0,0,1000000*I55/TrRoad_act!I82)</f>
        <v>72236.87337811249</v>
      </c>
      <c r="J139" s="88">
        <f>IF(J55=0,0,1000000*J55/TrRoad_act!J82)</f>
        <v>88588.575047012666</v>
      </c>
      <c r="K139" s="88">
        <f>IF(K55=0,0,1000000*K55/TrRoad_act!K82)</f>
        <v>37526.25906291492</v>
      </c>
      <c r="L139" s="88">
        <f>IF(L55=0,0,1000000*L55/TrRoad_act!L82)</f>
        <v>57275.468855255604</v>
      </c>
      <c r="M139" s="88">
        <f>IF(M55=0,0,1000000*M55/TrRoad_act!M82)</f>
        <v>67938.572291510602</v>
      </c>
      <c r="N139" s="88">
        <f>IF(N55=0,0,1000000*N55/TrRoad_act!N82)</f>
        <v>32330.401237768016</v>
      </c>
      <c r="O139" s="88">
        <f>IF(O55=0,0,1000000*O55/TrRoad_act!O82)</f>
        <v>33512.830320056171</v>
      </c>
      <c r="P139" s="88">
        <f>IF(P55=0,0,1000000*P55/TrRoad_act!P82)</f>
        <v>72645.306156441817</v>
      </c>
      <c r="Q139" s="88">
        <f>IF(Q55=0,0,1000000*Q55/TrRoad_act!Q82)</f>
        <v>74062.130396264474</v>
      </c>
      <c r="R139" s="88">
        <f>IF(R55=0,0,1000000*R55/TrRoad_act!R82)</f>
        <v>66025.225840341111</v>
      </c>
      <c r="S139" s="88">
        <f>IF(S55=0,0,1000000*S55/TrRoad_act!S82)</f>
        <v>68595.395971389167</v>
      </c>
      <c r="T139" s="88">
        <f>IF(T55=0,0,1000000*T55/TrRoad_act!T82)</f>
        <v>77182.66679205517</v>
      </c>
      <c r="U139" s="88">
        <f>IF(U55=0,0,1000000*U55/TrRoad_act!U82)</f>
        <v>81573.156525173239</v>
      </c>
      <c r="V139" s="88">
        <f>IF(V55=0,0,1000000*V55/TrRoad_act!V82)</f>
        <v>80230.052559093878</v>
      </c>
      <c r="W139" s="88">
        <f>IF(W55=0,0,1000000*W55/TrRoad_act!W82)</f>
        <v>84014.15448307409</v>
      </c>
      <c r="X139" s="88">
        <f>IF(X55=0,0,1000000*X55/TrRoad_act!X82)</f>
        <v>77669.640881202315</v>
      </c>
      <c r="Y139" s="88">
        <f>IF(Y55=0,0,1000000*Y55/TrRoad_act!Y82)</f>
        <v>69520.002918450191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0.77327896759493042</v>
      </c>
      <c r="C142" s="46">
        <f t="shared" si="42"/>
        <v>0.73082015680326484</v>
      </c>
      <c r="D142" s="46">
        <f t="shared" si="42"/>
        <v>0.73676700591514854</v>
      </c>
      <c r="E142" s="46">
        <f t="shared" si="42"/>
        <v>0.78329808974070403</v>
      </c>
      <c r="F142" s="46">
        <f t="shared" si="42"/>
        <v>0.7672382823763455</v>
      </c>
      <c r="G142" s="46">
        <f t="shared" si="42"/>
        <v>0.79426340902992354</v>
      </c>
      <c r="H142" s="46">
        <f t="shared" si="42"/>
        <v>0.81403485010359633</v>
      </c>
      <c r="I142" s="46">
        <f t="shared" si="42"/>
        <v>0.7549303326291732</v>
      </c>
      <c r="J142" s="46">
        <f t="shared" si="42"/>
        <v>0.74107321626373646</v>
      </c>
      <c r="K142" s="46">
        <f t="shared" si="42"/>
        <v>0.81950328020756869</v>
      </c>
      <c r="L142" s="46">
        <f t="shared" ref="L142" si="43">IF(L18=0,0,L18/L$17)</f>
        <v>0.78977064308955736</v>
      </c>
      <c r="M142" s="46">
        <f t="shared" ref="M142:V142" si="44">IF(M18=0,0,M18/M$17)</f>
        <v>0.74516420040639864</v>
      </c>
      <c r="N142" s="46">
        <f t="shared" si="44"/>
        <v>0.81149409015721419</v>
      </c>
      <c r="O142" s="46">
        <f t="shared" si="44"/>
        <v>0.7897428388590233</v>
      </c>
      <c r="P142" s="46">
        <f t="shared" si="44"/>
        <v>0.69901726394086461</v>
      </c>
      <c r="Q142" s="46">
        <f t="shared" si="44"/>
        <v>0.69511165498643135</v>
      </c>
      <c r="R142" s="46">
        <f t="shared" si="44"/>
        <v>0.72773683817175516</v>
      </c>
      <c r="S142" s="46">
        <f t="shared" si="44"/>
        <v>0.72941962996919485</v>
      </c>
      <c r="T142" s="46">
        <f t="shared" si="44"/>
        <v>0.72773389551981915</v>
      </c>
      <c r="U142" s="46">
        <f t="shared" si="44"/>
        <v>0.72492741010503559</v>
      </c>
      <c r="V142" s="46">
        <f t="shared" si="44"/>
        <v>0.70419660360100245</v>
      </c>
      <c r="W142" s="46">
        <f t="shared" ref="W142:Y142" si="45">IF(W18=0,0,W18/W$17)</f>
        <v>0.69579695256363228</v>
      </c>
      <c r="X142" s="46">
        <f t="shared" si="45"/>
        <v>0.71238065203054912</v>
      </c>
      <c r="Y142" s="46">
        <f t="shared" si="45"/>
        <v>0.7176776151309241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3.1552035381755788E-3</v>
      </c>
      <c r="C143" s="154">
        <f t="shared" si="46"/>
        <v>2.8917952133760464E-3</v>
      </c>
      <c r="D143" s="154">
        <f t="shared" si="46"/>
        <v>2.8599003058056554E-3</v>
      </c>
      <c r="E143" s="154">
        <f t="shared" si="46"/>
        <v>2.7385634436969449E-3</v>
      </c>
      <c r="F143" s="154">
        <f t="shared" si="46"/>
        <v>2.5555699980243677E-3</v>
      </c>
      <c r="G143" s="154">
        <f t="shared" si="46"/>
        <v>2.3218680468487336E-3</v>
      </c>
      <c r="H143" s="154">
        <f t="shared" si="46"/>
        <v>2.2366664059675591E-3</v>
      </c>
      <c r="I143" s="154">
        <f t="shared" si="46"/>
        <v>2.0582685919954954E-3</v>
      </c>
      <c r="J143" s="154">
        <f t="shared" si="46"/>
        <v>2.3342780383210741E-3</v>
      </c>
      <c r="K143" s="154">
        <f t="shared" si="46"/>
        <v>2.9516007937354892E-3</v>
      </c>
      <c r="L143" s="154">
        <f t="shared" ref="L143" si="47">IF(L19=0,0,L19/L$17)</f>
        <v>2.8266563730031564E-3</v>
      </c>
      <c r="M143" s="154">
        <f t="shared" ref="M143:V143" si="48">IF(M19=0,0,M19/M$17)</f>
        <v>2.8046017967902456E-3</v>
      </c>
      <c r="N143" s="154">
        <f t="shared" si="48"/>
        <v>2.7165087204036242E-3</v>
      </c>
      <c r="O143" s="154">
        <f t="shared" si="48"/>
        <v>2.658260459511281E-3</v>
      </c>
      <c r="P143" s="154">
        <f t="shared" si="48"/>
        <v>2.2787547696901519E-3</v>
      </c>
      <c r="Q143" s="154">
        <f t="shared" si="48"/>
        <v>2.2254689005161369E-3</v>
      </c>
      <c r="R143" s="154">
        <f t="shared" si="48"/>
        <v>2.2018602462717096E-3</v>
      </c>
      <c r="S143" s="154">
        <f t="shared" si="48"/>
        <v>1.9623479413893195E-3</v>
      </c>
      <c r="T143" s="154">
        <f t="shared" si="48"/>
        <v>1.7339736690579557E-3</v>
      </c>
      <c r="U143" s="154">
        <f t="shared" si="48"/>
        <v>1.7193079755345813E-3</v>
      </c>
      <c r="V143" s="154">
        <f t="shared" si="48"/>
        <v>1.532119549570243E-3</v>
      </c>
      <c r="W143" s="154">
        <f t="shared" ref="W143:Y143" si="49">IF(W19=0,0,W19/W$17)</f>
        <v>1.5678562788442761E-3</v>
      </c>
      <c r="X143" s="154">
        <f t="shared" si="49"/>
        <v>1.6139526630985662E-3</v>
      </c>
      <c r="Y143" s="154">
        <f t="shared" si="49"/>
        <v>1.7236486596616887E-3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0.70793518418978241</v>
      </c>
      <c r="C144" s="156">
        <f t="shared" si="50"/>
        <v>0.67330759246564609</v>
      </c>
      <c r="D144" s="156">
        <f t="shared" si="50"/>
        <v>0.67975417791666215</v>
      </c>
      <c r="E144" s="156">
        <f t="shared" si="50"/>
        <v>0.7274214264476857</v>
      </c>
      <c r="F144" s="156">
        <f t="shared" si="50"/>
        <v>0.71322537758172522</v>
      </c>
      <c r="G144" s="156">
        <f t="shared" si="50"/>
        <v>0.7447979439516168</v>
      </c>
      <c r="H144" s="156">
        <f t="shared" si="50"/>
        <v>0.76950586850901004</v>
      </c>
      <c r="I144" s="156">
        <f t="shared" si="50"/>
        <v>0.7194475675099149</v>
      </c>
      <c r="J144" s="156">
        <f t="shared" si="50"/>
        <v>0.70718492611640771</v>
      </c>
      <c r="K144" s="156">
        <f t="shared" si="50"/>
        <v>0.77894597528871901</v>
      </c>
      <c r="L144" s="156">
        <f t="shared" ref="L144" si="51">IF(L21=0,0,L21/L$17)</f>
        <v>0.75102144390574532</v>
      </c>
      <c r="M144" s="156">
        <f t="shared" ref="M144:V144" si="52">IF(M21=0,0,M21/M$17)</f>
        <v>0.70543641944815383</v>
      </c>
      <c r="N144" s="156">
        <f t="shared" si="52"/>
        <v>0.77286892939134044</v>
      </c>
      <c r="O144" s="156">
        <f t="shared" si="52"/>
        <v>0.75110522283348102</v>
      </c>
      <c r="P144" s="156">
        <f t="shared" si="52"/>
        <v>0.66335543750057813</v>
      </c>
      <c r="Q144" s="156">
        <f t="shared" si="52"/>
        <v>0.66041203174044993</v>
      </c>
      <c r="R144" s="156">
        <f t="shared" si="52"/>
        <v>0.69632502407469243</v>
      </c>
      <c r="S144" s="156">
        <f t="shared" si="52"/>
        <v>0.69886380856615526</v>
      </c>
      <c r="T144" s="156">
        <f t="shared" si="52"/>
        <v>0.69847660154613755</v>
      </c>
      <c r="U144" s="156">
        <f t="shared" si="52"/>
        <v>0.69350081565339594</v>
      </c>
      <c r="V144" s="156">
        <f t="shared" si="52"/>
        <v>0.68023796100622957</v>
      </c>
      <c r="W144" s="156">
        <f t="shared" ref="W144:Y144" si="53">IF(W21=0,0,W21/W$17)</f>
        <v>0.67295742669378944</v>
      </c>
      <c r="X144" s="156">
        <f t="shared" si="53"/>
        <v>0.68790782850625998</v>
      </c>
      <c r="Y144" s="156">
        <f t="shared" si="53"/>
        <v>0.69054247373626165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0.40360825813365536</v>
      </c>
      <c r="C145" s="103">
        <f t="shared" si="54"/>
        <v>0.36392353577754644</v>
      </c>
      <c r="D145" s="103">
        <f t="shared" si="54"/>
        <v>0.34220145987877015</v>
      </c>
      <c r="E145" s="103">
        <f t="shared" si="54"/>
        <v>0.33540110861750472</v>
      </c>
      <c r="F145" s="103">
        <f t="shared" si="54"/>
        <v>0.29069134305379202</v>
      </c>
      <c r="G145" s="103">
        <f t="shared" si="54"/>
        <v>0.26841493481880341</v>
      </c>
      <c r="H145" s="103">
        <f t="shared" si="54"/>
        <v>0.2643107542735178</v>
      </c>
      <c r="I145" s="103">
        <f t="shared" si="54"/>
        <v>0.26893811755933933</v>
      </c>
      <c r="J145" s="103">
        <f t="shared" si="54"/>
        <v>0.26809299917967744</v>
      </c>
      <c r="K145" s="103">
        <f t="shared" si="54"/>
        <v>0.27020023964548634</v>
      </c>
      <c r="L145" s="103">
        <f t="shared" ref="L145" si="55">IF(L22=0,0,L22/L$17)</f>
        <v>0.21267567580735849</v>
      </c>
      <c r="M145" s="103">
        <f t="shared" ref="M145:V145" si="56">IF(M22=0,0,M22/M$17)</f>
        <v>0.18648204826274148</v>
      </c>
      <c r="N145" s="103">
        <f t="shared" si="56"/>
        <v>0.16484212021557718</v>
      </c>
      <c r="O145" s="103">
        <f t="shared" si="56"/>
        <v>0.14742470768978921</v>
      </c>
      <c r="P145" s="103">
        <f t="shared" si="56"/>
        <v>0.12961331429285963</v>
      </c>
      <c r="Q145" s="103">
        <f t="shared" si="56"/>
        <v>0.12132107822887256</v>
      </c>
      <c r="R145" s="103">
        <f t="shared" si="56"/>
        <v>0.1201857516665733</v>
      </c>
      <c r="S145" s="103">
        <f t="shared" si="56"/>
        <v>0.11354048377416744</v>
      </c>
      <c r="T145" s="103">
        <f t="shared" si="56"/>
        <v>0.11586825950751445</v>
      </c>
      <c r="U145" s="103">
        <f t="shared" si="56"/>
        <v>0.11581597164699334</v>
      </c>
      <c r="V145" s="103">
        <f t="shared" si="56"/>
        <v>0.11616989600948532</v>
      </c>
      <c r="W145" s="103">
        <f t="shared" ref="W145:Y145" si="57">IF(W22=0,0,W22/W$17)</f>
        <v>0.11401589186853418</v>
      </c>
      <c r="X145" s="103">
        <f t="shared" si="57"/>
        <v>0.12761470684821433</v>
      </c>
      <c r="Y145" s="103">
        <f t="shared" si="57"/>
        <v>0.13841175973338743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0.17799968793499321</v>
      </c>
      <c r="C146" s="103">
        <f t="shared" si="58"/>
        <v>0.18787070427085836</v>
      </c>
      <c r="D146" s="103">
        <f t="shared" si="58"/>
        <v>0.19635084445656312</v>
      </c>
      <c r="E146" s="103">
        <f t="shared" si="58"/>
        <v>0.23157083252567576</v>
      </c>
      <c r="F146" s="103">
        <f t="shared" si="58"/>
        <v>0.24688380193692425</v>
      </c>
      <c r="G146" s="103">
        <f t="shared" si="58"/>
        <v>0.2981000477092835</v>
      </c>
      <c r="H146" s="103">
        <f t="shared" si="58"/>
        <v>0.33581803888289385</v>
      </c>
      <c r="I146" s="103">
        <f t="shared" si="58"/>
        <v>0.31086898357187581</v>
      </c>
      <c r="J146" s="103">
        <f t="shared" si="58"/>
        <v>0.31517970712526577</v>
      </c>
      <c r="K146" s="103">
        <f t="shared" si="58"/>
        <v>0.37490239543555842</v>
      </c>
      <c r="L146" s="103">
        <f t="shared" ref="L146" si="59">IF(L24=0,0,L24/L$17)</f>
        <v>0.41427204272656881</v>
      </c>
      <c r="M146" s="103">
        <f t="shared" ref="M146:V146" si="60">IF(M24=0,0,M24/M$17)</f>
        <v>0.40202230320691307</v>
      </c>
      <c r="N146" s="103">
        <f t="shared" si="60"/>
        <v>0.49957405504034258</v>
      </c>
      <c r="O146" s="103">
        <f t="shared" si="60"/>
        <v>0.50033119609916299</v>
      </c>
      <c r="P146" s="103">
        <f t="shared" si="60"/>
        <v>0.44317221603336748</v>
      </c>
      <c r="Q146" s="103">
        <f t="shared" si="60"/>
        <v>0.45925482391217876</v>
      </c>
      <c r="R146" s="103">
        <f t="shared" si="60"/>
        <v>0.50519066951501646</v>
      </c>
      <c r="S146" s="103">
        <f t="shared" si="60"/>
        <v>0.5218929740915238</v>
      </c>
      <c r="T146" s="103">
        <f t="shared" si="60"/>
        <v>0.52532621242283839</v>
      </c>
      <c r="U146" s="103">
        <f t="shared" si="60"/>
        <v>0.52270702484065612</v>
      </c>
      <c r="V146" s="103">
        <f t="shared" si="60"/>
        <v>0.50965907232875662</v>
      </c>
      <c r="W146" s="103">
        <f t="shared" ref="W146:Y146" si="61">IF(W24=0,0,W24/W$17)</f>
        <v>0.50399211348023731</v>
      </c>
      <c r="X146" s="103">
        <f t="shared" si="61"/>
        <v>0.50255547255375688</v>
      </c>
      <c r="Y146" s="103">
        <f t="shared" si="61"/>
        <v>0.49215431733553483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0.12632723812113386</v>
      </c>
      <c r="C147" s="103">
        <f t="shared" si="62"/>
        <v>0.1215133524172413</v>
      </c>
      <c r="D147" s="103">
        <f t="shared" si="62"/>
        <v>0.14120187358132885</v>
      </c>
      <c r="E147" s="103">
        <f t="shared" si="62"/>
        <v>0.16044948530450528</v>
      </c>
      <c r="F147" s="103">
        <f t="shared" si="62"/>
        <v>0.17565023259100895</v>
      </c>
      <c r="G147" s="103">
        <f t="shared" si="62"/>
        <v>0.1782829614235299</v>
      </c>
      <c r="H147" s="103">
        <f t="shared" si="62"/>
        <v>0.16937707535259852</v>
      </c>
      <c r="I147" s="103">
        <f t="shared" si="62"/>
        <v>0.13964046637869978</v>
      </c>
      <c r="J147" s="103">
        <f t="shared" si="62"/>
        <v>0.12391221981146447</v>
      </c>
      <c r="K147" s="103">
        <f t="shared" si="62"/>
        <v>0.13384334020767427</v>
      </c>
      <c r="L147" s="103">
        <f t="shared" ref="L147" si="63">IF(L26=0,0,L26/L$17)</f>
        <v>0.124073725371818</v>
      </c>
      <c r="M147" s="103">
        <f t="shared" ref="M147:V147" si="64">IF(M26=0,0,M26/M$17)</f>
        <v>0.11693183400663479</v>
      </c>
      <c r="N147" s="103">
        <f t="shared" si="64"/>
        <v>0.1084521578555874</v>
      </c>
      <c r="O147" s="103">
        <f t="shared" si="64"/>
        <v>0.10304122799158053</v>
      </c>
      <c r="P147" s="103">
        <f t="shared" si="64"/>
        <v>8.9927382150603669E-2</v>
      </c>
      <c r="Q147" s="103">
        <f t="shared" si="64"/>
        <v>7.9005031504297982E-2</v>
      </c>
      <c r="R147" s="103">
        <f t="shared" si="64"/>
        <v>6.9620244641572335E-2</v>
      </c>
      <c r="S147" s="103">
        <f t="shared" si="64"/>
        <v>6.1439540913655187E-2</v>
      </c>
      <c r="T147" s="103">
        <f t="shared" si="64"/>
        <v>5.4010003522263705E-2</v>
      </c>
      <c r="U147" s="103">
        <f t="shared" si="64"/>
        <v>4.992854285087038E-2</v>
      </c>
      <c r="V147" s="103">
        <f t="shared" si="64"/>
        <v>4.6669326088806966E-2</v>
      </c>
      <c r="W147" s="103">
        <f t="shared" ref="W147:Y147" si="65">IF(W26=0,0,W26/W$17)</f>
        <v>4.4010976421562202E-2</v>
      </c>
      <c r="X147" s="103">
        <f t="shared" si="65"/>
        <v>4.4256021303928715E-2</v>
      </c>
      <c r="Y147" s="103">
        <f t="shared" si="65"/>
        <v>4.4085231852993116E-2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0</v>
      </c>
      <c r="H148" s="103">
        <f t="shared" si="66"/>
        <v>0</v>
      </c>
      <c r="I148" s="103">
        <f t="shared" si="66"/>
        <v>0</v>
      </c>
      <c r="J148" s="103">
        <f t="shared" si="66"/>
        <v>0</v>
      </c>
      <c r="K148" s="103">
        <f t="shared" si="66"/>
        <v>0</v>
      </c>
      <c r="L148" s="103">
        <f t="shared" ref="L148" si="67">IF(L27=0,0,L27/L$17)</f>
        <v>0</v>
      </c>
      <c r="M148" s="103">
        <f t="shared" ref="M148:V148" si="68">IF(M27=0,0,M27/M$17)</f>
        <v>0</v>
      </c>
      <c r="N148" s="103">
        <f t="shared" si="68"/>
        <v>3.6434043605620168E-7</v>
      </c>
      <c r="O148" s="103">
        <f t="shared" si="68"/>
        <v>1.5226954021190919E-6</v>
      </c>
      <c r="P148" s="103">
        <f t="shared" si="68"/>
        <v>7.4537488620017287E-6</v>
      </c>
      <c r="Q148" s="103">
        <f t="shared" si="68"/>
        <v>9.8405187090641357E-6</v>
      </c>
      <c r="R148" s="103">
        <f t="shared" si="68"/>
        <v>1.3390403572240194E-5</v>
      </c>
      <c r="S148" s="103">
        <f t="shared" si="68"/>
        <v>1.9651934161065216E-5</v>
      </c>
      <c r="T148" s="103">
        <f t="shared" si="68"/>
        <v>2.4947530502821932E-5</v>
      </c>
      <c r="U148" s="103">
        <f t="shared" si="68"/>
        <v>2.353817510601629E-5</v>
      </c>
      <c r="V148" s="103">
        <f t="shared" si="68"/>
        <v>3.7989022099452576E-5</v>
      </c>
      <c r="W148" s="103">
        <f t="shared" ref="W148:Y148" si="69">IF(W27=0,0,W27/W$17)</f>
        <v>5.0270100131088173E-5</v>
      </c>
      <c r="X148" s="103">
        <f t="shared" si="69"/>
        <v>1.6924802888750479E-4</v>
      </c>
      <c r="Y148" s="103">
        <f t="shared" si="69"/>
        <v>1.4531281592817554E-4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0</v>
      </c>
      <c r="O149" s="103">
        <f t="shared" si="72"/>
        <v>3.0588868056661281E-4</v>
      </c>
      <c r="P149" s="103">
        <f t="shared" si="72"/>
        <v>6.2866456702869702E-4</v>
      </c>
      <c r="Q149" s="103">
        <f t="shared" si="72"/>
        <v>8.0634368940546148E-4</v>
      </c>
      <c r="R149" s="103">
        <f t="shared" si="72"/>
        <v>1.285695131996966E-3</v>
      </c>
      <c r="S149" s="103">
        <f t="shared" si="72"/>
        <v>1.916463520863548E-3</v>
      </c>
      <c r="T149" s="103">
        <f t="shared" si="72"/>
        <v>3.1637193187732419E-3</v>
      </c>
      <c r="U149" s="103">
        <f t="shared" si="72"/>
        <v>4.9069565522771611E-3</v>
      </c>
      <c r="V149" s="103">
        <f t="shared" si="72"/>
        <v>7.4849844013213694E-3</v>
      </c>
      <c r="W149" s="103">
        <f t="shared" ref="W149:Y149" si="73">IF(W29=0,0,W29/W$17)</f>
        <v>1.0464713259495086E-2</v>
      </c>
      <c r="X149" s="103">
        <f t="shared" si="73"/>
        <v>1.2657746041587436E-2</v>
      </c>
      <c r="Y149" s="103">
        <f t="shared" si="73"/>
        <v>1.4743109639152515E-2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0</v>
      </c>
      <c r="K150" s="103">
        <f t="shared" si="74"/>
        <v>0</v>
      </c>
      <c r="L150" s="103">
        <f t="shared" ref="L150" si="75">IF(L32=0,0,L32/L$17)</f>
        <v>0</v>
      </c>
      <c r="M150" s="103">
        <f t="shared" ref="M150:V150" si="76">IF(M32=0,0,M32/M$17)</f>
        <v>2.3397186452863033E-7</v>
      </c>
      <c r="N150" s="103">
        <f t="shared" si="76"/>
        <v>2.3193939729311271E-7</v>
      </c>
      <c r="O150" s="103">
        <f t="shared" si="76"/>
        <v>6.7967697947744479E-7</v>
      </c>
      <c r="P150" s="103">
        <f t="shared" si="76"/>
        <v>6.4067078566184871E-6</v>
      </c>
      <c r="Q150" s="103">
        <f t="shared" si="76"/>
        <v>1.4913886986304688E-5</v>
      </c>
      <c r="R150" s="103">
        <f t="shared" si="76"/>
        <v>2.9272715961246168E-5</v>
      </c>
      <c r="S150" s="103">
        <f t="shared" si="76"/>
        <v>5.4694331784351161E-5</v>
      </c>
      <c r="T150" s="103">
        <f t="shared" si="76"/>
        <v>8.3459244244930218E-5</v>
      </c>
      <c r="U150" s="103">
        <f t="shared" si="76"/>
        <v>1.1878158749283971E-4</v>
      </c>
      <c r="V150" s="103">
        <f t="shared" si="76"/>
        <v>2.1669315575996239E-4</v>
      </c>
      <c r="W150" s="103">
        <f t="shared" ref="W150:Y150" si="77">IF(W32=0,0,W32/W$17)</f>
        <v>4.234615638296128E-4</v>
      </c>
      <c r="X150" s="103">
        <f t="shared" si="77"/>
        <v>6.546337298850226E-4</v>
      </c>
      <c r="Y150" s="103">
        <f t="shared" si="77"/>
        <v>1.002742359265567E-3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6.2188579866972425E-2</v>
      </c>
      <c r="C151" s="156">
        <f t="shared" si="78"/>
        <v>5.462076912424263E-2</v>
      </c>
      <c r="D151" s="156">
        <f t="shared" si="78"/>
        <v>5.4152927692680687E-2</v>
      </c>
      <c r="E151" s="156">
        <f t="shared" si="78"/>
        <v>5.3138099849321267E-2</v>
      </c>
      <c r="F151" s="156">
        <f t="shared" si="78"/>
        <v>5.1457334796595901E-2</v>
      </c>
      <c r="G151" s="156">
        <f t="shared" si="78"/>
        <v>4.7143597031458054E-2</v>
      </c>
      <c r="H151" s="156">
        <f t="shared" si="78"/>
        <v>4.2292315188618798E-2</v>
      </c>
      <c r="I151" s="156">
        <f t="shared" si="78"/>
        <v>3.3424496527262836E-2</v>
      </c>
      <c r="J151" s="156">
        <f t="shared" si="78"/>
        <v>3.1554012109007733E-2</v>
      </c>
      <c r="K151" s="156">
        <f t="shared" si="78"/>
        <v>3.7605704125114131E-2</v>
      </c>
      <c r="L151" s="156">
        <f t="shared" ref="L151" si="79">IF(L33=0,0,L33/L$17)</f>
        <v>3.5922542810808845E-2</v>
      </c>
      <c r="M151" s="156">
        <f t="shared" ref="M151:V151" si="80">IF(M33=0,0,M33/M$17)</f>
        <v>3.6923179161454531E-2</v>
      </c>
      <c r="N151" s="156">
        <f t="shared" si="80"/>
        <v>3.590865204547021E-2</v>
      </c>
      <c r="O151" s="156">
        <f t="shared" si="80"/>
        <v>3.5979355566031067E-2</v>
      </c>
      <c r="P151" s="156">
        <f t="shared" si="80"/>
        <v>3.3383071670596356E-2</v>
      </c>
      <c r="Q151" s="156">
        <f t="shared" si="80"/>
        <v>3.2474154345465231E-2</v>
      </c>
      <c r="R151" s="156">
        <f t="shared" si="80"/>
        <v>2.9209953850791004E-2</v>
      </c>
      <c r="S151" s="156">
        <f t="shared" si="80"/>
        <v>2.8593473461650185E-2</v>
      </c>
      <c r="T151" s="156">
        <f t="shared" si="80"/>
        <v>2.7523320304623559E-2</v>
      </c>
      <c r="U151" s="156">
        <f t="shared" si="80"/>
        <v>2.9707286476105169E-2</v>
      </c>
      <c r="V151" s="156">
        <f t="shared" si="80"/>
        <v>2.2426523045202748E-2</v>
      </c>
      <c r="W151" s="156">
        <f t="shared" ref="W151:Y151" si="81">IF(W33=0,0,W33/W$17)</f>
        <v>2.1271669590998521E-2</v>
      </c>
      <c r="X151" s="156">
        <f t="shared" si="81"/>
        <v>2.2858870861190646E-2</v>
      </c>
      <c r="Y151" s="156">
        <f t="shared" si="81"/>
        <v>2.5411492735000676E-2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0</v>
      </c>
      <c r="C152" s="103">
        <f t="shared" si="82"/>
        <v>0</v>
      </c>
      <c r="D152" s="103">
        <f t="shared" si="82"/>
        <v>5.9295569451427887E-5</v>
      </c>
      <c r="E152" s="103">
        <f t="shared" si="82"/>
        <v>8.8779872350171305E-5</v>
      </c>
      <c r="F152" s="103">
        <f t="shared" si="82"/>
        <v>7.7597055537285067E-5</v>
      </c>
      <c r="G152" s="103">
        <f t="shared" si="82"/>
        <v>7.1617124995994392E-5</v>
      </c>
      <c r="H152" s="103">
        <f t="shared" si="82"/>
        <v>6.7460596195604897E-5</v>
      </c>
      <c r="I152" s="103">
        <f t="shared" si="82"/>
        <v>4.6970063646640021E-5</v>
      </c>
      <c r="J152" s="103">
        <f t="shared" si="82"/>
        <v>3.1326613869237308E-5</v>
      </c>
      <c r="K152" s="103">
        <f t="shared" si="82"/>
        <v>3.3449686538318611E-5</v>
      </c>
      <c r="L152" s="103">
        <f t="shared" ref="L152" si="83">IF(L34=0,0,L34/L$17)</f>
        <v>3.1612783050493413E-5</v>
      </c>
      <c r="M152" s="103">
        <f t="shared" ref="M152:V152" si="84">IF(M34=0,0,M34/M$17)</f>
        <v>2.2026247185423808E-5</v>
      </c>
      <c r="N152" s="103">
        <f t="shared" si="84"/>
        <v>1.9577028519887558E-5</v>
      </c>
      <c r="O152" s="103">
        <f t="shared" si="84"/>
        <v>2.4855295856035682E-4</v>
      </c>
      <c r="P152" s="103">
        <f t="shared" si="84"/>
        <v>1.330068891473416E-4</v>
      </c>
      <c r="Q152" s="103">
        <f t="shared" si="84"/>
        <v>1.1349660175452673E-4</v>
      </c>
      <c r="R152" s="103">
        <f t="shared" si="84"/>
        <v>1.0938555730879591E-4</v>
      </c>
      <c r="S152" s="103">
        <f t="shared" si="84"/>
        <v>1.0464268942456018E-4</v>
      </c>
      <c r="T152" s="103">
        <f t="shared" si="84"/>
        <v>9.3424511568483625E-5</v>
      </c>
      <c r="U152" s="103">
        <f t="shared" si="84"/>
        <v>8.3240060835133029E-5</v>
      </c>
      <c r="V152" s="103">
        <f t="shared" si="84"/>
        <v>5.855149226401927E-5</v>
      </c>
      <c r="W152" s="103">
        <f t="shared" ref="W152:Y152" si="85">IF(W34=0,0,W34/W$17)</f>
        <v>5.4078768585673309E-5</v>
      </c>
      <c r="X152" s="103">
        <f t="shared" si="85"/>
        <v>5.7045206426510929E-5</v>
      </c>
      <c r="Y152" s="103">
        <f t="shared" si="85"/>
        <v>5.9375238782433266E-5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6.2188579866972425E-2</v>
      </c>
      <c r="C153" s="103">
        <f t="shared" si="86"/>
        <v>5.462076912424263E-2</v>
      </c>
      <c r="D153" s="103">
        <f t="shared" si="86"/>
        <v>5.4076508315262277E-2</v>
      </c>
      <c r="E153" s="103">
        <f t="shared" si="86"/>
        <v>5.3032177679344789E-2</v>
      </c>
      <c r="F153" s="103">
        <f t="shared" si="86"/>
        <v>5.1198424930957068E-2</v>
      </c>
      <c r="G153" s="103">
        <f t="shared" si="86"/>
        <v>4.651893194943163E-2</v>
      </c>
      <c r="H153" s="103">
        <f t="shared" si="86"/>
        <v>4.1355702978981466E-2</v>
      </c>
      <c r="I153" s="103">
        <f t="shared" si="86"/>
        <v>3.2435462543174781E-2</v>
      </c>
      <c r="J153" s="103">
        <f t="shared" si="86"/>
        <v>3.0552158050623907E-2</v>
      </c>
      <c r="K153" s="103">
        <f t="shared" si="86"/>
        <v>3.5397153438377474E-2</v>
      </c>
      <c r="L153" s="103">
        <f t="shared" ref="L153" si="87">IF(L36=0,0,L36/L$17)</f>
        <v>3.3045098390771313E-2</v>
      </c>
      <c r="M153" s="103">
        <f t="shared" ref="M153:V153" si="88">IF(M36=0,0,M36/M$17)</f>
        <v>3.3452748890892656E-2</v>
      </c>
      <c r="N153" s="103">
        <f t="shared" si="88"/>
        <v>3.2728301307450032E-2</v>
      </c>
      <c r="O153" s="103">
        <f t="shared" si="88"/>
        <v>2.8103356070766399E-2</v>
      </c>
      <c r="P153" s="103">
        <f t="shared" si="88"/>
        <v>2.5389207571760931E-2</v>
      </c>
      <c r="Q153" s="103">
        <f t="shared" si="88"/>
        <v>2.2922693867724098E-2</v>
      </c>
      <c r="R153" s="103">
        <f t="shared" si="88"/>
        <v>2.0414521932727647E-2</v>
      </c>
      <c r="S153" s="103">
        <f t="shared" si="88"/>
        <v>2.0046491872630731E-2</v>
      </c>
      <c r="T153" s="103">
        <f t="shared" si="88"/>
        <v>1.9477437880006228E-2</v>
      </c>
      <c r="U153" s="103">
        <f t="shared" si="88"/>
        <v>2.1482657898733819E-2</v>
      </c>
      <c r="V153" s="103">
        <f t="shared" si="88"/>
        <v>1.5106394199967654E-2</v>
      </c>
      <c r="W153" s="103">
        <f t="shared" ref="W153:Y153" si="89">IF(W36=0,0,W36/W$17)</f>
        <v>1.2860364995052666E-2</v>
      </c>
      <c r="X153" s="103">
        <f t="shared" si="89"/>
        <v>1.4326985876109522E-2</v>
      </c>
      <c r="Y153" s="103">
        <f t="shared" si="89"/>
        <v>1.6103042264209416E-2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1.7123807966978684E-5</v>
      </c>
      <c r="E154" s="103">
        <f t="shared" si="90"/>
        <v>1.7142297626303444E-5</v>
      </c>
      <c r="F154" s="103">
        <f t="shared" si="90"/>
        <v>1.6562715084718857E-5</v>
      </c>
      <c r="G154" s="103">
        <f t="shared" si="90"/>
        <v>1.4973705259111399E-5</v>
      </c>
      <c r="H154" s="103">
        <f t="shared" si="90"/>
        <v>1.3339681576475333E-5</v>
      </c>
      <c r="I154" s="103">
        <f t="shared" si="90"/>
        <v>1.0662091096097815E-5</v>
      </c>
      <c r="J154" s="103">
        <f t="shared" si="90"/>
        <v>1.025081780179938E-5</v>
      </c>
      <c r="K154" s="103">
        <f t="shared" si="90"/>
        <v>1.1868111729229269E-5</v>
      </c>
      <c r="L154" s="103">
        <f t="shared" ref="L154" si="91">IF(L38=0,0,L38/L$17)</f>
        <v>1.1442962745219948E-5</v>
      </c>
      <c r="M154" s="103">
        <f t="shared" ref="M154:V154" si="92">IF(M38=0,0,M38/M$17)</f>
        <v>4.1885574232777779E-5</v>
      </c>
      <c r="N154" s="103">
        <f t="shared" si="92"/>
        <v>4.1805599659684529E-5</v>
      </c>
      <c r="O154" s="103">
        <f t="shared" si="92"/>
        <v>2.1550408943274725E-4</v>
      </c>
      <c r="P154" s="103">
        <f t="shared" si="92"/>
        <v>7.771924085212264E-4</v>
      </c>
      <c r="Q154" s="103">
        <f t="shared" si="92"/>
        <v>7.4817360286019425E-4</v>
      </c>
      <c r="R154" s="103">
        <f t="shared" si="92"/>
        <v>7.2762561366621883E-4</v>
      </c>
      <c r="S154" s="103">
        <f t="shared" si="92"/>
        <v>7.1685256955498968E-4</v>
      </c>
      <c r="T154" s="103">
        <f t="shared" si="92"/>
        <v>6.7001503395535962E-4</v>
      </c>
      <c r="U154" s="103">
        <f t="shared" si="92"/>
        <v>7.5553815442798672E-4</v>
      </c>
      <c r="V154" s="103">
        <f t="shared" si="92"/>
        <v>5.4599048797769319E-4</v>
      </c>
      <c r="W154" s="103">
        <f t="shared" ref="W154:Y154" si="93">IF(W38=0,0,W38/W$17)</f>
        <v>5.1984383469323421E-4</v>
      </c>
      <c r="X154" s="103">
        <f t="shared" si="93"/>
        <v>5.6933217943785637E-4</v>
      </c>
      <c r="Y154" s="103">
        <f t="shared" si="93"/>
        <v>6.1658844313755925E-4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0</v>
      </c>
      <c r="C155" s="103">
        <f t="shared" si="94"/>
        <v>0</v>
      </c>
      <c r="D155" s="103">
        <f t="shared" si="94"/>
        <v>0</v>
      </c>
      <c r="E155" s="103">
        <f t="shared" si="94"/>
        <v>0</v>
      </c>
      <c r="F155" s="103">
        <f t="shared" si="94"/>
        <v>0</v>
      </c>
      <c r="G155" s="103">
        <f t="shared" si="94"/>
        <v>0</v>
      </c>
      <c r="H155" s="103">
        <f t="shared" si="94"/>
        <v>0</v>
      </c>
      <c r="I155" s="103">
        <f t="shared" si="94"/>
        <v>0</v>
      </c>
      <c r="J155" s="103">
        <f t="shared" si="94"/>
        <v>0</v>
      </c>
      <c r="K155" s="103">
        <f t="shared" si="94"/>
        <v>9.8492931533545594E-4</v>
      </c>
      <c r="L155" s="103">
        <f t="shared" ref="L155" si="95">IF(L39=0,0,L39/L$17)</f>
        <v>1.7162303195607698E-3</v>
      </c>
      <c r="M155" s="103">
        <f t="shared" ref="M155:V155" si="96">IF(M39=0,0,M39/M$17)</f>
        <v>2.2987655676085295E-3</v>
      </c>
      <c r="N155" s="103">
        <f t="shared" si="96"/>
        <v>2.0421670590326383E-3</v>
      </c>
      <c r="O155" s="103">
        <f t="shared" si="96"/>
        <v>2.8194226855770763E-3</v>
      </c>
      <c r="P155" s="103">
        <f t="shared" si="96"/>
        <v>2.9371759763382331E-3</v>
      </c>
      <c r="Q155" s="103">
        <f t="shared" si="96"/>
        <v>4.5811653563644604E-3</v>
      </c>
      <c r="R155" s="103">
        <f t="shared" si="96"/>
        <v>4.3308297454401016E-3</v>
      </c>
      <c r="S155" s="103">
        <f t="shared" si="96"/>
        <v>4.1559026773248095E-3</v>
      </c>
      <c r="T155" s="103">
        <f t="shared" si="96"/>
        <v>3.8405376682640806E-3</v>
      </c>
      <c r="U155" s="103">
        <f t="shared" si="96"/>
        <v>3.5730216121010018E-3</v>
      </c>
      <c r="V155" s="103">
        <f t="shared" si="96"/>
        <v>4.046908040946263E-3</v>
      </c>
      <c r="W155" s="103">
        <f t="shared" ref="W155:Y155" si="97">IF(W39=0,0,W39/W$17)</f>
        <v>4.7765575400319565E-3</v>
      </c>
      <c r="X155" s="103">
        <f t="shared" si="97"/>
        <v>4.5800938398289819E-3</v>
      </c>
      <c r="Y155" s="103">
        <f t="shared" si="97"/>
        <v>5.104770709679231E-3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0</v>
      </c>
      <c r="C156" s="103">
        <f t="shared" si="98"/>
        <v>0</v>
      </c>
      <c r="D156" s="103">
        <f t="shared" si="98"/>
        <v>0</v>
      </c>
      <c r="E156" s="103">
        <f t="shared" si="98"/>
        <v>0</v>
      </c>
      <c r="F156" s="103">
        <f t="shared" si="98"/>
        <v>1.6475009501682274E-4</v>
      </c>
      <c r="G156" s="103">
        <f t="shared" si="98"/>
        <v>5.3807425177132659E-4</v>
      </c>
      <c r="H156" s="103">
        <f t="shared" si="98"/>
        <v>8.5581193186525331E-4</v>
      </c>
      <c r="I156" s="103">
        <f t="shared" si="98"/>
        <v>9.3140182934531215E-4</v>
      </c>
      <c r="J156" s="103">
        <f t="shared" si="98"/>
        <v>9.6027662671279248E-4</v>
      </c>
      <c r="K156" s="103">
        <f t="shared" si="98"/>
        <v>1.1783035731336598E-3</v>
      </c>
      <c r="L156" s="103">
        <f t="shared" ref="L156" si="99">IF(L41=0,0,L41/L$17)</f>
        <v>1.1181583546810518E-3</v>
      </c>
      <c r="M156" s="103">
        <f t="shared" ref="M156:V156" si="100">IF(M41=0,0,M41/M$17)</f>
        <v>1.1077528815351403E-3</v>
      </c>
      <c r="N156" s="103">
        <f t="shared" si="100"/>
        <v>1.0768010508079718E-3</v>
      </c>
      <c r="O156" s="103">
        <f t="shared" si="100"/>
        <v>4.5925197616944859E-3</v>
      </c>
      <c r="P156" s="103">
        <f t="shared" si="100"/>
        <v>4.1464888248286275E-3</v>
      </c>
      <c r="Q156" s="103">
        <f t="shared" si="100"/>
        <v>4.1086249167619493E-3</v>
      </c>
      <c r="R156" s="103">
        <f t="shared" si="100"/>
        <v>3.6275910016482413E-3</v>
      </c>
      <c r="S156" s="103">
        <f t="shared" si="100"/>
        <v>3.5695836527150902E-3</v>
      </c>
      <c r="T156" s="103">
        <f t="shared" si="100"/>
        <v>3.4419052108294072E-3</v>
      </c>
      <c r="U156" s="103">
        <f t="shared" si="100"/>
        <v>3.8128287500072281E-3</v>
      </c>
      <c r="V156" s="103">
        <f t="shared" si="100"/>
        <v>2.6686788240471173E-3</v>
      </c>
      <c r="W156" s="103">
        <f t="shared" ref="W156:Y156" si="101">IF(W41=0,0,W41/W$17)</f>
        <v>3.0608244526349896E-3</v>
      </c>
      <c r="X156" s="103">
        <f t="shared" si="101"/>
        <v>3.3254137593877746E-3</v>
      </c>
      <c r="Y156" s="103">
        <f t="shared" si="101"/>
        <v>3.5277160791920312E-3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0.22672103240506958</v>
      </c>
      <c r="C157" s="46">
        <f t="shared" si="102"/>
        <v>0.26917984319673532</v>
      </c>
      <c r="D157" s="46">
        <f t="shared" si="102"/>
        <v>0.26323299408485151</v>
      </c>
      <c r="E157" s="46">
        <f t="shared" si="102"/>
        <v>0.21670191025929592</v>
      </c>
      <c r="F157" s="46">
        <f t="shared" si="102"/>
        <v>0.2327617176236545</v>
      </c>
      <c r="G157" s="46">
        <f t="shared" si="102"/>
        <v>0.20573659097007638</v>
      </c>
      <c r="H157" s="46">
        <f t="shared" si="102"/>
        <v>0.18596514989640364</v>
      </c>
      <c r="I157" s="46">
        <f t="shared" si="102"/>
        <v>0.24506966737082675</v>
      </c>
      <c r="J157" s="46">
        <f t="shared" si="102"/>
        <v>0.2589267837362636</v>
      </c>
      <c r="K157" s="46">
        <f t="shared" si="102"/>
        <v>0.1804967197924314</v>
      </c>
      <c r="L157" s="46">
        <f t="shared" ref="L157" si="103">IF(L42=0,0,L42/L$17)</f>
        <v>0.21022935691044256</v>
      </c>
      <c r="M157" s="46">
        <f t="shared" ref="M157:V157" si="104">IF(M42=0,0,M42/M$17)</f>
        <v>0.25483579959360131</v>
      </c>
      <c r="N157" s="46">
        <f t="shared" si="104"/>
        <v>0.18850590984278576</v>
      </c>
      <c r="O157" s="46">
        <f t="shared" si="104"/>
        <v>0.2102571611409767</v>
      </c>
      <c r="P157" s="46">
        <f t="shared" si="104"/>
        <v>0.30098273605913539</v>
      </c>
      <c r="Q157" s="46">
        <f t="shared" si="104"/>
        <v>0.30488834501356865</v>
      </c>
      <c r="R157" s="46">
        <f t="shared" si="104"/>
        <v>0.27226316182824478</v>
      </c>
      <c r="S157" s="46">
        <f t="shared" si="104"/>
        <v>0.27058037003080515</v>
      </c>
      <c r="T157" s="46">
        <f t="shared" si="104"/>
        <v>0.2722661044801809</v>
      </c>
      <c r="U157" s="46">
        <f t="shared" si="104"/>
        <v>0.27507258989496436</v>
      </c>
      <c r="V157" s="46">
        <f t="shared" si="104"/>
        <v>0.29580339639899761</v>
      </c>
      <c r="W157" s="46">
        <f t="shared" ref="W157:Y157" si="105">IF(W42=0,0,W42/W$17)</f>
        <v>0.30420304743636761</v>
      </c>
      <c r="X157" s="46">
        <f t="shared" si="105"/>
        <v>0.28761934796945093</v>
      </c>
      <c r="Y157" s="46">
        <f t="shared" si="105"/>
        <v>0.28232238486907596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3.5131726498995625E-2</v>
      </c>
      <c r="C158" s="154">
        <f t="shared" si="106"/>
        <v>3.199352337925003E-2</v>
      </c>
      <c r="D158" s="154">
        <f t="shared" si="106"/>
        <v>3.1098842483081937E-2</v>
      </c>
      <c r="E158" s="154">
        <f t="shared" si="106"/>
        <v>3.1348800627982586E-2</v>
      </c>
      <c r="F158" s="154">
        <f t="shared" si="106"/>
        <v>2.9986727538924889E-2</v>
      </c>
      <c r="G158" s="154">
        <f t="shared" si="106"/>
        <v>2.9636505749578445E-2</v>
      </c>
      <c r="H158" s="154">
        <f t="shared" si="106"/>
        <v>3.2914180846875876E-2</v>
      </c>
      <c r="I158" s="154">
        <f t="shared" si="106"/>
        <v>3.1904771982344558E-2</v>
      </c>
      <c r="J158" s="154">
        <f t="shared" si="106"/>
        <v>3.2770847168750304E-2</v>
      </c>
      <c r="K158" s="154">
        <f t="shared" si="106"/>
        <v>4.0862609707041919E-2</v>
      </c>
      <c r="L158" s="154">
        <f t="shared" ref="L158" si="107">IF(L43=0,0,L43/L$17)</f>
        <v>3.7669247577153772E-2</v>
      </c>
      <c r="M158" s="154">
        <f t="shared" ref="M158:V158" si="108">IF(M43=0,0,M43/M$17)</f>
        <v>4.1707972552461857E-2</v>
      </c>
      <c r="N158" s="154">
        <f t="shared" si="108"/>
        <v>4.507870961011215E-2</v>
      </c>
      <c r="O158" s="154">
        <f t="shared" si="108"/>
        <v>4.6707878392853175E-2</v>
      </c>
      <c r="P158" s="154">
        <f t="shared" si="108"/>
        <v>4.7247814597997539E-2</v>
      </c>
      <c r="Q158" s="154">
        <f t="shared" si="108"/>
        <v>4.6687266689888228E-2</v>
      </c>
      <c r="R158" s="154">
        <f t="shared" si="108"/>
        <v>4.6446911363293014E-2</v>
      </c>
      <c r="S158" s="154">
        <f t="shared" si="108"/>
        <v>4.5296479039968716E-2</v>
      </c>
      <c r="T158" s="154">
        <f t="shared" si="108"/>
        <v>4.3364403776371629E-2</v>
      </c>
      <c r="U158" s="154">
        <f t="shared" si="108"/>
        <v>4.3525938777513269E-2</v>
      </c>
      <c r="V158" s="154">
        <f t="shared" si="108"/>
        <v>4.5548986515404212E-2</v>
      </c>
      <c r="W158" s="154">
        <f t="shared" ref="W158:Y158" si="109">IF(W43=0,0,W43/W$17)</f>
        <v>4.653521583024206E-2</v>
      </c>
      <c r="X158" s="154">
        <f t="shared" si="109"/>
        <v>4.4629618613869021E-2</v>
      </c>
      <c r="Y158" s="154">
        <f t="shared" si="109"/>
        <v>4.3345137754394344E-2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4.8559614355944145E-3</v>
      </c>
      <c r="C159" s="103">
        <f t="shared" si="110"/>
        <v>4.2469198315580117E-3</v>
      </c>
      <c r="D159" s="103">
        <f t="shared" si="110"/>
        <v>3.9676105822026315E-3</v>
      </c>
      <c r="E159" s="103">
        <f t="shared" si="110"/>
        <v>3.7961108765385892E-3</v>
      </c>
      <c r="F159" s="103">
        <f t="shared" si="110"/>
        <v>3.3569574147170778E-3</v>
      </c>
      <c r="G159" s="103">
        <f t="shared" si="110"/>
        <v>3.1617921742507181E-3</v>
      </c>
      <c r="H159" s="103">
        <f t="shared" si="110"/>
        <v>3.6763659353254881E-3</v>
      </c>
      <c r="I159" s="103">
        <f t="shared" si="110"/>
        <v>3.5129349524593216E-3</v>
      </c>
      <c r="J159" s="103">
        <f t="shared" si="110"/>
        <v>3.2411643905714393E-3</v>
      </c>
      <c r="K159" s="103">
        <f t="shared" si="110"/>
        <v>3.5324458059775689E-3</v>
      </c>
      <c r="L159" s="103">
        <f t="shared" ref="L159" si="111">IF(L44=0,0,L44/L$17)</f>
        <v>3.0612075481233503E-3</v>
      </c>
      <c r="M159" s="103">
        <f t="shared" ref="M159:V159" si="112">IF(M44=0,0,M44/M$17)</f>
        <v>2.6732391946845836E-3</v>
      </c>
      <c r="N159" s="103">
        <f t="shared" si="112"/>
        <v>2.2201729722266419E-3</v>
      </c>
      <c r="O159" s="103">
        <f t="shared" si="112"/>
        <v>1.9313944319028521E-3</v>
      </c>
      <c r="P159" s="103">
        <f t="shared" si="112"/>
        <v>1.5065855839640568E-3</v>
      </c>
      <c r="Q159" s="103">
        <f t="shared" si="112"/>
        <v>1.1782486960112877E-3</v>
      </c>
      <c r="R159" s="103">
        <f t="shared" si="112"/>
        <v>1.0137553879475845E-3</v>
      </c>
      <c r="S159" s="103">
        <f t="shared" si="112"/>
        <v>8.6880299796719706E-4</v>
      </c>
      <c r="T159" s="103">
        <f t="shared" si="112"/>
        <v>7.4439395818172449E-4</v>
      </c>
      <c r="U159" s="103">
        <f t="shared" si="112"/>
        <v>9.7796646092857182E-4</v>
      </c>
      <c r="V159" s="103">
        <f t="shared" si="112"/>
        <v>8.7969034825460704E-4</v>
      </c>
      <c r="W159" s="103">
        <f t="shared" ref="W159:Y159" si="113">IF(W44=0,0,W44/W$17)</f>
        <v>7.9032008591112441E-4</v>
      </c>
      <c r="X159" s="103">
        <f t="shared" si="113"/>
        <v>6.5462530694404639E-4</v>
      </c>
      <c r="Y159" s="103">
        <f t="shared" si="113"/>
        <v>5.4368828372141774E-4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3.0275765063401211E-2</v>
      </c>
      <c r="C160" s="103">
        <f t="shared" si="114"/>
        <v>2.7746603547692022E-2</v>
      </c>
      <c r="D160" s="103">
        <f t="shared" si="114"/>
        <v>2.7131231900879304E-2</v>
      </c>
      <c r="E160" s="103">
        <f t="shared" si="114"/>
        <v>2.7552689751443992E-2</v>
      </c>
      <c r="F160" s="103">
        <f t="shared" si="114"/>
        <v>2.6629770124207808E-2</v>
      </c>
      <c r="G160" s="103">
        <f t="shared" si="114"/>
        <v>2.647471357532773E-2</v>
      </c>
      <c r="H160" s="103">
        <f t="shared" si="114"/>
        <v>2.9237814911550388E-2</v>
      </c>
      <c r="I160" s="103">
        <f t="shared" si="114"/>
        <v>2.8391837029885233E-2</v>
      </c>
      <c r="J160" s="103">
        <f t="shared" si="114"/>
        <v>2.9529682778178863E-2</v>
      </c>
      <c r="K160" s="103">
        <f t="shared" si="114"/>
        <v>3.7330163901064348E-2</v>
      </c>
      <c r="L160" s="103">
        <f t="shared" ref="L160" si="115">IF(L46=0,0,L46/L$17)</f>
        <v>3.4608040029030424E-2</v>
      </c>
      <c r="M160" s="103">
        <f t="shared" ref="M160:V160" si="116">IF(M46=0,0,M46/M$17)</f>
        <v>3.9034733357777275E-2</v>
      </c>
      <c r="N160" s="103">
        <f t="shared" si="116"/>
        <v>4.2858536637885511E-2</v>
      </c>
      <c r="O160" s="103">
        <f t="shared" si="116"/>
        <v>4.4776483960950325E-2</v>
      </c>
      <c r="P160" s="103">
        <f t="shared" si="116"/>
        <v>4.5741229014033477E-2</v>
      </c>
      <c r="Q160" s="103">
        <f t="shared" si="116"/>
        <v>4.5509017993876945E-2</v>
      </c>
      <c r="R160" s="103">
        <f t="shared" si="116"/>
        <v>4.5433155975345425E-2</v>
      </c>
      <c r="S160" s="103">
        <f t="shared" si="116"/>
        <v>4.4427676042001513E-2</v>
      </c>
      <c r="T160" s="103">
        <f t="shared" si="116"/>
        <v>4.2620009818189905E-2</v>
      </c>
      <c r="U160" s="103">
        <f t="shared" si="116"/>
        <v>4.2547972316584692E-2</v>
      </c>
      <c r="V160" s="103">
        <f t="shared" si="116"/>
        <v>4.4669296167149604E-2</v>
      </c>
      <c r="W160" s="103">
        <f t="shared" ref="W160:Y160" si="117">IF(W46=0,0,W46/W$17)</f>
        <v>4.5744895744330938E-2</v>
      </c>
      <c r="X160" s="103">
        <f t="shared" si="117"/>
        <v>4.3974993306924975E-2</v>
      </c>
      <c r="Y160" s="103">
        <f t="shared" si="117"/>
        <v>4.2801449470672923E-2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0</v>
      </c>
      <c r="D161" s="103">
        <f t="shared" si="118"/>
        <v>0</v>
      </c>
      <c r="E161" s="103">
        <f t="shared" si="118"/>
        <v>0</v>
      </c>
      <c r="F161" s="103">
        <f t="shared" si="118"/>
        <v>0</v>
      </c>
      <c r="G161" s="103">
        <f t="shared" si="118"/>
        <v>0</v>
      </c>
      <c r="H161" s="103">
        <f t="shared" si="118"/>
        <v>0</v>
      </c>
      <c r="I161" s="103">
        <f t="shared" si="118"/>
        <v>0</v>
      </c>
      <c r="J161" s="103">
        <f t="shared" si="118"/>
        <v>0</v>
      </c>
      <c r="K161" s="103">
        <f t="shared" si="118"/>
        <v>0</v>
      </c>
      <c r="L161" s="103">
        <f t="shared" ref="L161" si="119">IF(L48=0,0,L48/L$17)</f>
        <v>0</v>
      </c>
      <c r="M161" s="103">
        <f t="shared" ref="M161:V161" si="120">IF(M48=0,0,M48/M$17)</f>
        <v>0</v>
      </c>
      <c r="N161" s="103">
        <f t="shared" si="120"/>
        <v>0</v>
      </c>
      <c r="O161" s="103">
        <f t="shared" si="120"/>
        <v>0</v>
      </c>
      <c r="P161" s="103">
        <f t="shared" si="120"/>
        <v>0</v>
      </c>
      <c r="Q161" s="103">
        <f t="shared" si="120"/>
        <v>0</v>
      </c>
      <c r="R161" s="103">
        <f t="shared" si="120"/>
        <v>0</v>
      </c>
      <c r="S161" s="103">
        <f t="shared" si="120"/>
        <v>0</v>
      </c>
      <c r="T161" s="103">
        <f t="shared" si="120"/>
        <v>0</v>
      </c>
      <c r="U161" s="103">
        <f t="shared" si="120"/>
        <v>0</v>
      </c>
      <c r="V161" s="103">
        <f t="shared" si="120"/>
        <v>0</v>
      </c>
      <c r="W161" s="103">
        <f t="shared" ref="W161:Y161" si="121">IF(W48=0,0,W48/W$17)</f>
        <v>0</v>
      </c>
      <c r="X161" s="103">
        <f t="shared" si="121"/>
        <v>0</v>
      </c>
      <c r="Y161" s="103">
        <f t="shared" si="121"/>
        <v>0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0</v>
      </c>
      <c r="K162" s="103">
        <f t="shared" si="122"/>
        <v>0</v>
      </c>
      <c r="L162" s="103">
        <f t="shared" ref="L162" si="123">IF(L49=0,0,L49/L$17)</f>
        <v>0</v>
      </c>
      <c r="M162" s="103">
        <f t="shared" ref="M162:V162" si="124">IF(M49=0,0,M49/M$17)</f>
        <v>0</v>
      </c>
      <c r="N162" s="103">
        <f t="shared" si="124"/>
        <v>0</v>
      </c>
      <c r="O162" s="103">
        <f t="shared" si="124"/>
        <v>0</v>
      </c>
      <c r="P162" s="103">
        <f t="shared" si="124"/>
        <v>0</v>
      </c>
      <c r="Q162" s="103">
        <f t="shared" si="124"/>
        <v>0</v>
      </c>
      <c r="R162" s="103">
        <f t="shared" si="124"/>
        <v>0</v>
      </c>
      <c r="S162" s="103">
        <f t="shared" si="124"/>
        <v>0</v>
      </c>
      <c r="T162" s="103">
        <f t="shared" si="124"/>
        <v>0</v>
      </c>
      <c r="U162" s="103">
        <f t="shared" si="124"/>
        <v>0</v>
      </c>
      <c r="V162" s="103">
        <f t="shared" si="124"/>
        <v>0</v>
      </c>
      <c r="W162" s="103">
        <f t="shared" ref="W162:Y162" si="125">IF(W49=0,0,W49/W$17)</f>
        <v>0</v>
      </c>
      <c r="X162" s="103">
        <f t="shared" si="125"/>
        <v>0</v>
      </c>
      <c r="Y162" s="103">
        <f t="shared" si="125"/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0</v>
      </c>
      <c r="J163" s="103">
        <f t="shared" si="126"/>
        <v>0</v>
      </c>
      <c r="K163" s="103">
        <f t="shared" si="126"/>
        <v>0</v>
      </c>
      <c r="L163" s="103">
        <f t="shared" ref="L163" si="127">IF(L51=0,0,L51/L$17)</f>
        <v>0</v>
      </c>
      <c r="M163" s="103">
        <f t="shared" ref="M163:V163" si="128">IF(M51=0,0,M51/M$17)</f>
        <v>0</v>
      </c>
      <c r="N163" s="103">
        <f t="shared" si="128"/>
        <v>0</v>
      </c>
      <c r="O163" s="103">
        <f t="shared" si="128"/>
        <v>0</v>
      </c>
      <c r="P163" s="103">
        <f t="shared" si="128"/>
        <v>0</v>
      </c>
      <c r="Q163" s="103">
        <f t="shared" si="128"/>
        <v>0</v>
      </c>
      <c r="R163" s="103">
        <f t="shared" si="128"/>
        <v>0</v>
      </c>
      <c r="S163" s="103">
        <f t="shared" si="128"/>
        <v>0</v>
      </c>
      <c r="T163" s="103">
        <f t="shared" si="128"/>
        <v>0</v>
      </c>
      <c r="U163" s="103">
        <f t="shared" si="128"/>
        <v>0</v>
      </c>
      <c r="V163" s="103">
        <f t="shared" si="128"/>
        <v>0</v>
      </c>
      <c r="W163" s="103">
        <f t="shared" ref="W163:Y163" si="129">IF(W51=0,0,W51/W$17)</f>
        <v>0</v>
      </c>
      <c r="X163" s="103">
        <f t="shared" si="129"/>
        <v>0</v>
      </c>
      <c r="Y163" s="103">
        <f t="shared" si="129"/>
        <v>0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0.19158930590607395</v>
      </c>
      <c r="C164" s="156">
        <f t="shared" si="130"/>
        <v>0.23718631981748531</v>
      </c>
      <c r="D164" s="156">
        <f t="shared" si="130"/>
        <v>0.23213415160176956</v>
      </c>
      <c r="E164" s="156">
        <f t="shared" si="130"/>
        <v>0.18535310963131332</v>
      </c>
      <c r="F164" s="156">
        <f t="shared" si="130"/>
        <v>0.20277499008472963</v>
      </c>
      <c r="G164" s="156">
        <f t="shared" si="130"/>
        <v>0.17610008522049792</v>
      </c>
      <c r="H164" s="156">
        <f t="shared" si="130"/>
        <v>0.15305096904952778</v>
      </c>
      <c r="I164" s="156">
        <f t="shared" si="130"/>
        <v>0.21316489538848218</v>
      </c>
      <c r="J164" s="156">
        <f t="shared" si="130"/>
        <v>0.22615593656751332</v>
      </c>
      <c r="K164" s="156">
        <f t="shared" si="130"/>
        <v>0.13963411008538948</v>
      </c>
      <c r="L164" s="156">
        <f t="shared" ref="L164" si="131">IF(L52=0,0,L52/L$17)</f>
        <v>0.1725601093332888</v>
      </c>
      <c r="M164" s="156">
        <f t="shared" ref="M164:V164" si="132">IF(M52=0,0,M52/M$17)</f>
        <v>0.21312782704113947</v>
      </c>
      <c r="N164" s="156">
        <f t="shared" si="132"/>
        <v>0.14342720023267358</v>
      </c>
      <c r="O164" s="156">
        <f t="shared" si="132"/>
        <v>0.16354928274812353</v>
      </c>
      <c r="P164" s="156">
        <f t="shared" si="132"/>
        <v>0.25373492146113785</v>
      </c>
      <c r="Q164" s="156">
        <f t="shared" si="132"/>
        <v>0.25820107832368039</v>
      </c>
      <c r="R164" s="156">
        <f t="shared" si="132"/>
        <v>0.2258162504649518</v>
      </c>
      <c r="S164" s="156">
        <f t="shared" si="132"/>
        <v>0.22528389099083646</v>
      </c>
      <c r="T164" s="156">
        <f t="shared" si="132"/>
        <v>0.2289017007038093</v>
      </c>
      <c r="U164" s="156">
        <f t="shared" si="132"/>
        <v>0.23154665111745112</v>
      </c>
      <c r="V164" s="156">
        <f t="shared" si="132"/>
        <v>0.25025440988359343</v>
      </c>
      <c r="W164" s="156">
        <f t="shared" ref="W164:Y164" si="133">IF(W52=0,0,W52/W$17)</f>
        <v>0.2576678316061255</v>
      </c>
      <c r="X164" s="156">
        <f t="shared" si="133"/>
        <v>0.24298972935558186</v>
      </c>
      <c r="Y164" s="156">
        <f t="shared" si="133"/>
        <v>0.2389772471146816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0.11693293055384753</v>
      </c>
      <c r="C165" s="104">
        <f t="shared" si="134"/>
        <v>0.12161303083518844</v>
      </c>
      <c r="D165" s="104">
        <f t="shared" si="134"/>
        <v>0.11703985180282452</v>
      </c>
      <c r="E165" s="104">
        <f t="shared" si="134"/>
        <v>0.1227125766787395</v>
      </c>
      <c r="F165" s="104">
        <f t="shared" si="134"/>
        <v>0.11700024617665071</v>
      </c>
      <c r="G165" s="104">
        <f t="shared" si="134"/>
        <v>9.8501561688429995E-2</v>
      </c>
      <c r="H165" s="104">
        <f t="shared" si="134"/>
        <v>8.732729178986115E-2</v>
      </c>
      <c r="I165" s="104">
        <f t="shared" si="134"/>
        <v>9.8756070252043554E-2</v>
      </c>
      <c r="J165" s="104">
        <f t="shared" si="134"/>
        <v>9.5240872217777162E-2</v>
      </c>
      <c r="K165" s="104">
        <f t="shared" si="134"/>
        <v>8.4230823178298719E-2</v>
      </c>
      <c r="L165" s="104">
        <f t="shared" ref="L165" si="135">IF(L53=0,0,L53/L$17)</f>
        <v>8.0042199627150701E-2</v>
      </c>
      <c r="M165" s="104">
        <f t="shared" ref="M165:V165" si="136">IF(M53=0,0,M53/M$17)</f>
        <v>8.844826585275678E-2</v>
      </c>
      <c r="N165" s="104">
        <f t="shared" si="136"/>
        <v>7.5522506005812534E-2</v>
      </c>
      <c r="O165" s="104">
        <f t="shared" si="136"/>
        <v>8.1691569064848868E-2</v>
      </c>
      <c r="P165" s="104">
        <f t="shared" si="136"/>
        <v>0.1024850243528793</v>
      </c>
      <c r="Q165" s="104">
        <f t="shared" si="136"/>
        <v>9.5770421877141423E-2</v>
      </c>
      <c r="R165" s="104">
        <f t="shared" si="136"/>
        <v>8.6580793234105169E-2</v>
      </c>
      <c r="S165" s="104">
        <f t="shared" si="136"/>
        <v>8.647700407785662E-2</v>
      </c>
      <c r="T165" s="104">
        <f t="shared" si="136"/>
        <v>8.9489875338888206E-2</v>
      </c>
      <c r="U165" s="104">
        <f t="shared" si="136"/>
        <v>9.1331706391231102E-2</v>
      </c>
      <c r="V165" s="104">
        <f t="shared" si="136"/>
        <v>9.5251111873604105E-2</v>
      </c>
      <c r="W165" s="104">
        <f t="shared" ref="W165:Y165" si="137">IF(W53=0,0,W53/W$17)</f>
        <v>9.278233695395921E-2</v>
      </c>
      <c r="X165" s="104">
        <f t="shared" si="137"/>
        <v>7.4022639519232089E-2</v>
      </c>
      <c r="Y165" s="104">
        <f t="shared" si="137"/>
        <v>8.0858169296767091E-2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7.4656375352226426E-2</v>
      </c>
      <c r="C166" s="105">
        <f t="shared" si="138"/>
        <v>0.11557328898229687</v>
      </c>
      <c r="D166" s="105">
        <f t="shared" si="138"/>
        <v>0.11509429979894505</v>
      </c>
      <c r="E166" s="105">
        <f t="shared" si="138"/>
        <v>6.2640532952573838E-2</v>
      </c>
      <c r="F166" s="105">
        <f t="shared" si="138"/>
        <v>8.5774743908078932E-2</v>
      </c>
      <c r="G166" s="105">
        <f t="shared" si="138"/>
        <v>7.759852353206792E-2</v>
      </c>
      <c r="H166" s="105">
        <f t="shared" si="138"/>
        <v>6.5723677259666602E-2</v>
      </c>
      <c r="I166" s="105">
        <f t="shared" si="138"/>
        <v>0.11440882513643862</v>
      </c>
      <c r="J166" s="105">
        <f t="shared" si="138"/>
        <v>0.13091506434973615</v>
      </c>
      <c r="K166" s="105">
        <f t="shared" si="138"/>
        <v>5.5403286907090753E-2</v>
      </c>
      <c r="L166" s="105">
        <f t="shared" ref="L166" si="139">IF(L55=0,0,L55/L$17)</f>
        <v>9.2517909706138074E-2</v>
      </c>
      <c r="M166" s="105">
        <f t="shared" ref="M166:V166" si="140">IF(M55=0,0,M55/M$17)</f>
        <v>0.12467956118838269</v>
      </c>
      <c r="N166" s="105">
        <f t="shared" si="140"/>
        <v>6.7904694226861073E-2</v>
      </c>
      <c r="O166" s="105">
        <f t="shared" si="140"/>
        <v>8.1857713683274672E-2</v>
      </c>
      <c r="P166" s="105">
        <f t="shared" si="140"/>
        <v>0.15124989710825856</v>
      </c>
      <c r="Q166" s="105">
        <f t="shared" si="140"/>
        <v>0.16243065644653898</v>
      </c>
      <c r="R166" s="105">
        <f t="shared" si="140"/>
        <v>0.13923545723084663</v>
      </c>
      <c r="S166" s="105">
        <f t="shared" si="140"/>
        <v>0.13880688691297985</v>
      </c>
      <c r="T166" s="105">
        <f t="shared" si="140"/>
        <v>0.13941182536492108</v>
      </c>
      <c r="U166" s="105">
        <f t="shared" si="140"/>
        <v>0.14021494472622001</v>
      </c>
      <c r="V166" s="105">
        <f t="shared" si="140"/>
        <v>0.1550032980099893</v>
      </c>
      <c r="W166" s="105">
        <f t="shared" ref="W166:Y166" si="141">IF(W55=0,0,W55/W$17)</f>
        <v>0.16488549465216629</v>
      </c>
      <c r="X166" s="105">
        <f t="shared" si="141"/>
        <v>0.16896708983634978</v>
      </c>
      <c r="Y166" s="105">
        <f t="shared" si="141"/>
        <v>0.15811907781791451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2809.5581699999998</v>
      </c>
      <c r="C4" s="146">
        <f t="shared" si="0"/>
        <v>3093.9247285199999</v>
      </c>
      <c r="D4" s="146">
        <f t="shared" si="0"/>
        <v>3194.2947096000003</v>
      </c>
      <c r="E4" s="146">
        <f t="shared" si="0"/>
        <v>3233.91754872</v>
      </c>
      <c r="F4" s="146">
        <f t="shared" si="0"/>
        <v>3570.2749260000001</v>
      </c>
      <c r="G4" s="146">
        <f t="shared" si="0"/>
        <v>3789.4688938799995</v>
      </c>
      <c r="H4" s="146">
        <f t="shared" si="0"/>
        <v>4042.9343566799998</v>
      </c>
      <c r="I4" s="146">
        <f t="shared" si="0"/>
        <v>4782.2332813200001</v>
      </c>
      <c r="J4" s="146">
        <f t="shared" si="0"/>
        <v>4757.1408748800004</v>
      </c>
      <c r="K4" s="146">
        <f t="shared" si="0"/>
        <v>3941.2980622800001</v>
      </c>
      <c r="L4" s="146">
        <f t="shared" ref="L4" si="1">L5+L9+L10+L15</f>
        <v>4066.8047981999998</v>
      </c>
      <c r="M4" s="146">
        <f t="shared" ref="M4:V4" si="2">M5+M9+M10+M15</f>
        <v>4048.9162552800003</v>
      </c>
      <c r="N4" s="146">
        <f t="shared" si="2"/>
        <v>4071.8572941600005</v>
      </c>
      <c r="O4" s="146">
        <f t="shared" si="2"/>
        <v>4090.5741556799999</v>
      </c>
      <c r="P4" s="146">
        <f t="shared" si="2"/>
        <v>4571.9491046400026</v>
      </c>
      <c r="Q4" s="146">
        <f t="shared" si="2"/>
        <v>4850.129321280001</v>
      </c>
      <c r="R4" s="146">
        <f t="shared" si="2"/>
        <v>5241.1344544799995</v>
      </c>
      <c r="S4" s="146">
        <f t="shared" si="2"/>
        <v>5469.4928433599998</v>
      </c>
      <c r="T4" s="146">
        <f t="shared" si="2"/>
        <v>5825.7373193999993</v>
      </c>
      <c r="U4" s="146">
        <f t="shared" si="2"/>
        <v>6066.6229778400002</v>
      </c>
      <c r="V4" s="146">
        <f t="shared" si="2"/>
        <v>5919.1835612400018</v>
      </c>
      <c r="W4" s="146">
        <f t="shared" ref="W4:Y4" si="3">W5+W9+W10+W15</f>
        <v>5908.5761043599987</v>
      </c>
      <c r="X4" s="146">
        <f t="shared" si="3"/>
        <v>5870.8430344799999</v>
      </c>
      <c r="Y4" s="146">
        <f t="shared" si="3"/>
        <v>5991.5798866688765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2809.5581699999998</v>
      </c>
      <c r="C5" s="101">
        <f t="shared" si="4"/>
        <v>3093.9247285199999</v>
      </c>
      <c r="D5" s="101">
        <f t="shared" si="4"/>
        <v>3194.2947096000003</v>
      </c>
      <c r="E5" s="101">
        <f t="shared" si="4"/>
        <v>3233.91754872</v>
      </c>
      <c r="F5" s="101">
        <f t="shared" si="4"/>
        <v>3570.2749260000001</v>
      </c>
      <c r="G5" s="101">
        <f t="shared" si="4"/>
        <v>3789.4688938799995</v>
      </c>
      <c r="H5" s="101">
        <f t="shared" si="4"/>
        <v>4042.9343566799998</v>
      </c>
      <c r="I5" s="101">
        <f t="shared" si="4"/>
        <v>4782.2332813200001</v>
      </c>
      <c r="J5" s="101">
        <f t="shared" si="4"/>
        <v>4757.1408748800004</v>
      </c>
      <c r="K5" s="101">
        <f t="shared" si="4"/>
        <v>3938.1171922799999</v>
      </c>
      <c r="L5" s="101">
        <f t="shared" ref="L5" si="5">SUM(L6:L8)</f>
        <v>4061.1499181999998</v>
      </c>
      <c r="M5" s="101">
        <f t="shared" ref="M5:V5" si="6">SUM(M6:M8)</f>
        <v>4041.3932452800004</v>
      </c>
      <c r="N5" s="101">
        <f t="shared" si="6"/>
        <v>4065.0916341600005</v>
      </c>
      <c r="O5" s="101">
        <f t="shared" si="6"/>
        <v>4081.1830156799997</v>
      </c>
      <c r="P5" s="101">
        <f t="shared" si="6"/>
        <v>4561.0432646400022</v>
      </c>
      <c r="Q5" s="101">
        <f t="shared" si="6"/>
        <v>4832.1043912800014</v>
      </c>
      <c r="R5" s="101">
        <f t="shared" si="6"/>
        <v>5222.9075644799996</v>
      </c>
      <c r="S5" s="101">
        <f t="shared" si="6"/>
        <v>5451.1142813999995</v>
      </c>
      <c r="T5" s="101">
        <f t="shared" si="6"/>
        <v>5807.6116113599992</v>
      </c>
      <c r="U5" s="101">
        <f t="shared" si="6"/>
        <v>6049.1025439200002</v>
      </c>
      <c r="V5" s="101">
        <f t="shared" si="6"/>
        <v>5899.4926632000015</v>
      </c>
      <c r="W5" s="101">
        <f t="shared" ref="W5:Y5" si="7">SUM(W6:W8)</f>
        <v>5885.0477643599988</v>
      </c>
      <c r="X5" s="101">
        <f t="shared" si="7"/>
        <v>5847.8193925200003</v>
      </c>
      <c r="Y5" s="101">
        <f t="shared" si="7"/>
        <v>5965.7014616400011</v>
      </c>
      <c r="DA5" s="175"/>
    </row>
    <row r="6" spans="1:105" ht="11.45" customHeight="1" x14ac:dyDescent="0.25">
      <c r="A6" s="128" t="s">
        <v>52</v>
      </c>
      <c r="B6" s="101">
        <v>316.61560800000007</v>
      </c>
      <c r="C6" s="101">
        <v>334.20528827999988</v>
      </c>
      <c r="D6" s="101">
        <v>401.63273675999994</v>
      </c>
      <c r="E6" s="101">
        <v>463.19695847999998</v>
      </c>
      <c r="F6" s="101">
        <v>559.94054075999998</v>
      </c>
      <c r="G6" s="101">
        <v>603.91485504000002</v>
      </c>
      <c r="H6" s="101">
        <v>618.57303552000008</v>
      </c>
      <c r="I6" s="101">
        <v>612.18234324000002</v>
      </c>
      <c r="J6" s="101">
        <v>541.8838195200002</v>
      </c>
      <c r="K6" s="101">
        <v>486.23098247999997</v>
      </c>
      <c r="L6" s="101">
        <v>459.86906448000002</v>
      </c>
      <c r="M6" s="101">
        <v>430.57791828000001</v>
      </c>
      <c r="N6" s="101">
        <v>404.21600028000006</v>
      </c>
      <c r="O6" s="101">
        <v>386.64153972000014</v>
      </c>
      <c r="P6" s="101">
        <v>377.85408228000017</v>
      </c>
      <c r="Q6" s="101">
        <v>352.19272571999994</v>
      </c>
      <c r="R6" s="101">
        <v>331.98479928</v>
      </c>
      <c r="S6" s="101">
        <v>307.71570636000013</v>
      </c>
      <c r="T6" s="101">
        <v>288.39393108000002</v>
      </c>
      <c r="U6" s="101">
        <v>277.71264072000014</v>
      </c>
      <c r="V6" s="101">
        <v>255.99637188</v>
      </c>
      <c r="W6" s="101">
        <v>244.14997787999999</v>
      </c>
      <c r="X6" s="101">
        <v>244.41666372000006</v>
      </c>
      <c r="Y6" s="101">
        <v>249.02415000000005</v>
      </c>
      <c r="DA6" s="175" t="s">
        <v>741</v>
      </c>
    </row>
    <row r="7" spans="1:105" ht="11.45" customHeight="1" x14ac:dyDescent="0.25">
      <c r="A7" s="128" t="s">
        <v>53</v>
      </c>
      <c r="B7" s="101">
        <v>1133.01342</v>
      </c>
      <c r="C7" s="101">
        <v>1120.8305631600001</v>
      </c>
      <c r="D7" s="101">
        <v>1090.3730468400001</v>
      </c>
      <c r="E7" s="101">
        <v>1084.2817431600001</v>
      </c>
      <c r="F7" s="101">
        <v>1038.5957181599999</v>
      </c>
      <c r="G7" s="101">
        <v>1017.27540684</v>
      </c>
      <c r="H7" s="101">
        <v>1069.0529850000003</v>
      </c>
      <c r="I7" s="101">
        <v>1288.1380881599998</v>
      </c>
      <c r="J7" s="101">
        <v>1269.5144061599999</v>
      </c>
      <c r="K7" s="101">
        <v>1064.6539041599999</v>
      </c>
      <c r="L7" s="101">
        <v>859.79340216000003</v>
      </c>
      <c r="M7" s="101">
        <v>748.05131016000007</v>
      </c>
      <c r="N7" s="101">
        <v>670.45255199999997</v>
      </c>
      <c r="O7" s="101">
        <v>608.3736951599999</v>
      </c>
      <c r="P7" s="101">
        <v>595.95782399999996</v>
      </c>
      <c r="Q7" s="101">
        <v>579.87459683999998</v>
      </c>
      <c r="R7" s="101">
        <v>625.65417683999999</v>
      </c>
      <c r="S7" s="101">
        <v>615.79846943999985</v>
      </c>
      <c r="T7" s="101">
        <v>674.02485611999998</v>
      </c>
      <c r="U7" s="101">
        <v>703.56478500000003</v>
      </c>
      <c r="V7" s="101">
        <v>687.40546644000005</v>
      </c>
      <c r="W7" s="101">
        <v>688.62242988000003</v>
      </c>
      <c r="X7" s="101">
        <v>760.82468616000017</v>
      </c>
      <c r="Y7" s="101">
        <v>845.80056792000016</v>
      </c>
      <c r="DA7" s="175" t="s">
        <v>742</v>
      </c>
    </row>
    <row r="8" spans="1:105" ht="11.45" customHeight="1" x14ac:dyDescent="0.25">
      <c r="A8" s="128" t="s">
        <v>54</v>
      </c>
      <c r="B8" s="101">
        <v>1359.9291419999997</v>
      </c>
      <c r="C8" s="101">
        <v>1638.8888770799999</v>
      </c>
      <c r="D8" s="101">
        <v>1702.2889260000002</v>
      </c>
      <c r="E8" s="101">
        <v>1686.4388470800002</v>
      </c>
      <c r="F8" s="101">
        <v>1971.7386670799999</v>
      </c>
      <c r="G8" s="101">
        <v>2168.2786319999996</v>
      </c>
      <c r="H8" s="101">
        <v>2355.3083361599997</v>
      </c>
      <c r="I8" s="101">
        <v>2881.9128499200001</v>
      </c>
      <c r="J8" s="101">
        <v>2945.7426492</v>
      </c>
      <c r="K8" s="101">
        <v>2387.23230564</v>
      </c>
      <c r="L8" s="101">
        <v>2741.48745156</v>
      </c>
      <c r="M8" s="101">
        <v>2862.7640168400003</v>
      </c>
      <c r="N8" s="101">
        <v>2990.4230818800002</v>
      </c>
      <c r="O8" s="101">
        <v>3086.1677807999999</v>
      </c>
      <c r="P8" s="101">
        <v>3587.2313583600016</v>
      </c>
      <c r="Q8" s="101">
        <v>3900.0370687200011</v>
      </c>
      <c r="R8" s="101">
        <v>4265.2685883599997</v>
      </c>
      <c r="S8" s="101">
        <v>4527.6001055999996</v>
      </c>
      <c r="T8" s="101">
        <v>4845.192824159999</v>
      </c>
      <c r="U8" s="101">
        <v>5067.8251182000004</v>
      </c>
      <c r="V8" s="101">
        <v>4956.0908248800015</v>
      </c>
      <c r="W8" s="101">
        <v>4952.2753565999992</v>
      </c>
      <c r="X8" s="101">
        <v>4842.5780426399997</v>
      </c>
      <c r="Y8" s="101">
        <v>4870.8767437200004</v>
      </c>
      <c r="DA8" s="175" t="s">
        <v>743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3.1808700000000005</v>
      </c>
      <c r="L9" s="101">
        <v>5.6548800000000004</v>
      </c>
      <c r="M9" s="101">
        <v>7.523010000000002</v>
      </c>
      <c r="N9" s="101">
        <v>6.7656600000000005</v>
      </c>
      <c r="O9" s="101">
        <v>9.3911400000000018</v>
      </c>
      <c r="P9" s="101">
        <v>10.90584</v>
      </c>
      <c r="Q9" s="101">
        <v>18.024930000000001</v>
      </c>
      <c r="R9" s="101">
        <v>18.226889999999997</v>
      </c>
      <c r="S9" s="101">
        <v>18.378561960000003</v>
      </c>
      <c r="T9" s="101">
        <v>18.125708039999999</v>
      </c>
      <c r="U9" s="101">
        <v>17.520433920000002</v>
      </c>
      <c r="V9" s="101">
        <v>19.69089804</v>
      </c>
      <c r="W9" s="101">
        <v>23.528340000000004</v>
      </c>
      <c r="X9" s="101">
        <v>23.023641960000003</v>
      </c>
      <c r="Y9" s="101">
        <v>25.878425028875302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2809.5581699999993</v>
      </c>
      <c r="C17" s="79">
        <f t="shared" si="12"/>
        <v>3093.9247285199999</v>
      </c>
      <c r="D17" s="79">
        <f t="shared" si="12"/>
        <v>3194.2947096000003</v>
      </c>
      <c r="E17" s="79">
        <f t="shared" si="12"/>
        <v>3233.91754872</v>
      </c>
      <c r="F17" s="79">
        <f t="shared" si="12"/>
        <v>3570.2749260000001</v>
      </c>
      <c r="G17" s="79">
        <f t="shared" si="12"/>
        <v>3789.4688938799995</v>
      </c>
      <c r="H17" s="79">
        <f t="shared" si="12"/>
        <v>4042.9343566799998</v>
      </c>
      <c r="I17" s="79">
        <f t="shared" si="12"/>
        <v>4782.2332813200001</v>
      </c>
      <c r="J17" s="79">
        <f t="shared" si="12"/>
        <v>4757.1408748800004</v>
      </c>
      <c r="K17" s="79">
        <f t="shared" si="12"/>
        <v>3941.2980622800001</v>
      </c>
      <c r="L17" s="79">
        <f t="shared" ref="L17" si="13">SUM(L18,L33)</f>
        <v>4066.8047981999998</v>
      </c>
      <c r="M17" s="79">
        <f t="shared" ref="M17:V17" si="14">SUM(M18,M33)</f>
        <v>4048.9162552800008</v>
      </c>
      <c r="N17" s="79">
        <f t="shared" si="14"/>
        <v>4071.85729416</v>
      </c>
      <c r="O17" s="79">
        <f t="shared" si="14"/>
        <v>4090.5741556800008</v>
      </c>
      <c r="P17" s="79">
        <f t="shared" si="14"/>
        <v>4571.9491046400017</v>
      </c>
      <c r="Q17" s="79">
        <f t="shared" si="14"/>
        <v>4850.129321280001</v>
      </c>
      <c r="R17" s="79">
        <f t="shared" si="14"/>
        <v>5241.1344544799995</v>
      </c>
      <c r="S17" s="79">
        <f t="shared" si="14"/>
        <v>5469.4928433599989</v>
      </c>
      <c r="T17" s="79">
        <f t="shared" si="14"/>
        <v>5825.7373194000002</v>
      </c>
      <c r="U17" s="79">
        <f t="shared" si="14"/>
        <v>6066.6229778400011</v>
      </c>
      <c r="V17" s="79">
        <f t="shared" si="14"/>
        <v>5919.1835612400018</v>
      </c>
      <c r="W17" s="79">
        <f t="shared" ref="W17:Y17" si="15">SUM(W18,W33)</f>
        <v>5908.5761043599987</v>
      </c>
      <c r="X17" s="79">
        <f t="shared" si="15"/>
        <v>5870.8430344799999</v>
      </c>
      <c r="Y17" s="79">
        <f t="shared" si="15"/>
        <v>5991.5798866688756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2143.1918891311443</v>
      </c>
      <c r="C18" s="32">
        <f t="shared" si="16"/>
        <v>2225.4111357898773</v>
      </c>
      <c r="D18" s="32">
        <f t="shared" si="16"/>
        <v>2315.9986861548336</v>
      </c>
      <c r="E18" s="32">
        <f t="shared" si="16"/>
        <v>2500.182157278</v>
      </c>
      <c r="F18" s="32">
        <f t="shared" si="16"/>
        <v>2701.0115433067731</v>
      </c>
      <c r="G18" s="32">
        <f t="shared" si="16"/>
        <v>2975.0176220123012</v>
      </c>
      <c r="H18" s="32">
        <f t="shared" si="16"/>
        <v>3260.9672695062814</v>
      </c>
      <c r="I18" s="32">
        <f t="shared" si="16"/>
        <v>3575.4769361823651</v>
      </c>
      <c r="J18" s="32">
        <f t="shared" si="16"/>
        <v>3489.75914806538</v>
      </c>
      <c r="K18" s="32">
        <f t="shared" si="16"/>
        <v>3208.3459615473175</v>
      </c>
      <c r="L18" s="32">
        <f t="shared" ref="L18" si="17">SUM(L19,L20,L27)</f>
        <v>3186.9848027839207</v>
      </c>
      <c r="M18" s="32">
        <f t="shared" ref="M18:V18" si="18">SUM(M19,M20,M27)</f>
        <v>2988.7001545561134</v>
      </c>
      <c r="N18" s="32">
        <f t="shared" si="18"/>
        <v>3287.8579433870414</v>
      </c>
      <c r="O18" s="32">
        <f t="shared" si="18"/>
        <v>3210.2261391169654</v>
      </c>
      <c r="P18" s="32">
        <f t="shared" si="18"/>
        <v>3166.4987875389247</v>
      </c>
      <c r="Q18" s="32">
        <f t="shared" si="18"/>
        <v>3337.4903831062493</v>
      </c>
      <c r="R18" s="32">
        <f t="shared" si="18"/>
        <v>3784.1348825859359</v>
      </c>
      <c r="S18" s="32">
        <f t="shared" si="18"/>
        <v>3960.4247948885691</v>
      </c>
      <c r="T18" s="32">
        <f t="shared" si="18"/>
        <v>4209.9872123386767</v>
      </c>
      <c r="U18" s="32">
        <f t="shared" si="18"/>
        <v>4363.4333283672522</v>
      </c>
      <c r="V18" s="32">
        <f t="shared" si="18"/>
        <v>4131.072858488732</v>
      </c>
      <c r="W18" s="32">
        <f t="shared" ref="W18:Y18" si="19">SUM(W19,W20,W27)</f>
        <v>4072.3004453419035</v>
      </c>
      <c r="X18" s="32">
        <f t="shared" si="19"/>
        <v>4138.4485804074038</v>
      </c>
      <c r="Y18" s="32">
        <f t="shared" si="19"/>
        <v>4251.1972493094945</v>
      </c>
      <c r="DA18" s="173" t="s">
        <v>403</v>
      </c>
    </row>
    <row r="19" spans="1:105" ht="11.45" customHeight="1" x14ac:dyDescent="0.25">
      <c r="A19" s="136" t="s">
        <v>173</v>
      </c>
      <c r="B19" s="141">
        <v>8.6849350416863871</v>
      </c>
      <c r="C19" s="141">
        <v>8.7349560629445229</v>
      </c>
      <c r="D19" s="141">
        <v>8.9328645812932148</v>
      </c>
      <c r="E19" s="141">
        <v>8.6817575910029721</v>
      </c>
      <c r="F19" s="141">
        <v>8.9463089136459679</v>
      </c>
      <c r="G19" s="141">
        <v>8.6212995322469546</v>
      </c>
      <c r="H19" s="141">
        <v>8.84643850817036</v>
      </c>
      <c r="I19" s="141">
        <v>9.6567962720472167</v>
      </c>
      <c r="J19" s="141">
        <v>10.827190745821589</v>
      </c>
      <c r="K19" s="141">
        <v>11.356096485797487</v>
      </c>
      <c r="L19" s="141">
        <v>11.117998142952315</v>
      </c>
      <c r="M19" s="141">
        <v>10.928039982759293</v>
      </c>
      <c r="N19" s="141">
        <v>10.726193121098868</v>
      </c>
      <c r="O19" s="141">
        <v>10.605612828942737</v>
      </c>
      <c r="P19" s="141">
        <v>10.138991902182465</v>
      </c>
      <c r="Q19" s="141">
        <v>10.295091768586513</v>
      </c>
      <c r="R19" s="141">
        <v>11.080596929199048</v>
      </c>
      <c r="S19" s="141">
        <v>10.270061431004102</v>
      </c>
      <c r="T19" s="141">
        <v>9.7097012305449848</v>
      </c>
      <c r="U19" s="141">
        <v>9.9467773580235317</v>
      </c>
      <c r="V19" s="141">
        <v>8.5550137364032501</v>
      </c>
      <c r="W19" s="141">
        <v>8.8267578437945371</v>
      </c>
      <c r="X19" s="141">
        <v>8.990621939499988</v>
      </c>
      <c r="Y19" s="141">
        <v>9.8544719860317578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1951.4716744709622</v>
      </c>
      <c r="C20" s="130">
        <f t="shared" si="20"/>
        <v>2040.2609904951735</v>
      </c>
      <c r="D20" s="130">
        <f t="shared" si="20"/>
        <v>2126.225372329814</v>
      </c>
      <c r="E20" s="130">
        <f t="shared" si="20"/>
        <v>2311.4027531929419</v>
      </c>
      <c r="F20" s="130">
        <f t="shared" si="20"/>
        <v>2500.3618297855237</v>
      </c>
      <c r="G20" s="130">
        <f t="shared" si="20"/>
        <v>2781.7464368392339</v>
      </c>
      <c r="H20" s="130">
        <f t="shared" si="20"/>
        <v>3077.6999248563607</v>
      </c>
      <c r="I20" s="130">
        <f t="shared" si="20"/>
        <v>3405.7267685504589</v>
      </c>
      <c r="J20" s="130">
        <f t="shared" si="20"/>
        <v>3329.0973687286992</v>
      </c>
      <c r="K20" s="130">
        <f t="shared" si="20"/>
        <v>3049.7474664241231</v>
      </c>
      <c r="L20" s="130">
        <f t="shared" ref="L20" si="21">SUM(L21:L26)</f>
        <v>3031.6269031776023</v>
      </c>
      <c r="M20" s="130">
        <f t="shared" ref="M20:V20" si="22">SUM(M21:M26)</f>
        <v>2830.7390484342395</v>
      </c>
      <c r="N20" s="130">
        <f t="shared" si="22"/>
        <v>3133.9345626038016</v>
      </c>
      <c r="O20" s="130">
        <f t="shared" si="22"/>
        <v>3070.7155244448281</v>
      </c>
      <c r="P20" s="130">
        <f t="shared" si="22"/>
        <v>3023.0681724092397</v>
      </c>
      <c r="Q20" s="130">
        <f t="shared" si="22"/>
        <v>3191.6240950811871</v>
      </c>
      <c r="R20" s="130">
        <f t="shared" si="22"/>
        <v>3641.6279037794725</v>
      </c>
      <c r="S20" s="130">
        <f t="shared" si="22"/>
        <v>3815.9415815092384</v>
      </c>
      <c r="T20" s="130">
        <f t="shared" si="22"/>
        <v>4062.606042087074</v>
      </c>
      <c r="U20" s="130">
        <f t="shared" si="22"/>
        <v>4198.4123002237457</v>
      </c>
      <c r="V20" s="130">
        <f t="shared" si="22"/>
        <v>4008.3849610418565</v>
      </c>
      <c r="W20" s="130">
        <f t="shared" ref="W20:Y20" si="23">SUM(W21:W26)</f>
        <v>3959.3925121402631</v>
      </c>
      <c r="X20" s="130">
        <f t="shared" si="23"/>
        <v>4017.5232759576811</v>
      </c>
      <c r="Y20" s="130">
        <f t="shared" si="23"/>
        <v>4113.1248174581433</v>
      </c>
      <c r="DA20" s="176" t="s">
        <v>405</v>
      </c>
    </row>
    <row r="21" spans="1:105" ht="11.45" customHeight="1" x14ac:dyDescent="0.25">
      <c r="A21" s="111" t="s">
        <v>110</v>
      </c>
      <c r="B21" s="96">
        <v>1110.9620858899805</v>
      </c>
      <c r="C21" s="96">
        <v>1099.2673618741865</v>
      </c>
      <c r="D21" s="96">
        <v>1068.8621888016346</v>
      </c>
      <c r="E21" s="96">
        <v>1063.2841563239197</v>
      </c>
      <c r="F21" s="96">
        <v>1017.6260307846438</v>
      </c>
      <c r="G21" s="96">
        <v>996.64817522345879</v>
      </c>
      <c r="H21" s="96">
        <v>1045.3990047377297</v>
      </c>
      <c r="I21" s="96">
        <v>1261.779255223707</v>
      </c>
      <c r="J21" s="96">
        <v>1243.5082676892753</v>
      </c>
      <c r="K21" s="96">
        <v>1039.5782513719996</v>
      </c>
      <c r="L21" s="96">
        <v>836.51051159259521</v>
      </c>
      <c r="M21" s="96">
        <v>726.62125575700713</v>
      </c>
      <c r="N21" s="96">
        <v>650.88265781858593</v>
      </c>
      <c r="O21" s="96">
        <v>588.17764285799717</v>
      </c>
      <c r="P21" s="96">
        <v>576.69581716729556</v>
      </c>
      <c r="Q21" s="96">
        <v>561.23526756111119</v>
      </c>
      <c r="R21" s="96">
        <v>604.82034366398034</v>
      </c>
      <c r="S21" s="96">
        <v>594.22068771405634</v>
      </c>
      <c r="T21" s="96">
        <v>648.82541297898774</v>
      </c>
      <c r="U21" s="96">
        <v>670.03451439095488</v>
      </c>
      <c r="V21" s="96">
        <v>648.666780863447</v>
      </c>
      <c r="W21" s="96">
        <v>641.88961797548245</v>
      </c>
      <c r="X21" s="96">
        <v>710.88552311669991</v>
      </c>
      <c r="Y21" s="96">
        <v>791.32995067436809</v>
      </c>
      <c r="DA21" s="171" t="s">
        <v>751</v>
      </c>
    </row>
    <row r="22" spans="1:105" ht="11.45" customHeight="1" x14ac:dyDescent="0.25">
      <c r="A22" s="111" t="s">
        <v>111</v>
      </c>
      <c r="B22" s="96">
        <v>523.89398058098175</v>
      </c>
      <c r="C22" s="96">
        <v>606.78834034098713</v>
      </c>
      <c r="D22" s="96">
        <v>655.77914759444684</v>
      </c>
      <c r="E22" s="96">
        <v>784.97112070344815</v>
      </c>
      <c r="F22" s="96">
        <v>922.84805214324979</v>
      </c>
      <c r="G22" s="96">
        <v>1181.2341241740155</v>
      </c>
      <c r="H22" s="96">
        <v>1413.776597905839</v>
      </c>
      <c r="I22" s="96">
        <v>1531.8119090138382</v>
      </c>
      <c r="J22" s="96">
        <v>1543.7501059348458</v>
      </c>
      <c r="K22" s="96">
        <v>1523.9813436598336</v>
      </c>
      <c r="L22" s="96">
        <v>1735.2897355946207</v>
      </c>
      <c r="M22" s="96">
        <v>1673.6940543568312</v>
      </c>
      <c r="N22" s="96">
        <v>2078.9904528060124</v>
      </c>
      <c r="O22" s="96">
        <v>2095.8050773957998</v>
      </c>
      <c r="P22" s="96">
        <v>2069.9003852936189</v>
      </c>
      <c r="Q22" s="96">
        <v>2279.0928437050711</v>
      </c>
      <c r="R22" s="96">
        <v>2704.0992165018602</v>
      </c>
      <c r="S22" s="96">
        <v>2911.2544536334453</v>
      </c>
      <c r="T22" s="96">
        <v>3118.005291667554</v>
      </c>
      <c r="U22" s="96">
        <v>3237.2462357669201</v>
      </c>
      <c r="V22" s="96">
        <v>3081.5542484679104</v>
      </c>
      <c r="W22" s="96">
        <v>3042.8057971767112</v>
      </c>
      <c r="X22" s="96">
        <v>3027.5208445592971</v>
      </c>
      <c r="Y22" s="96">
        <v>3034.3210285954347</v>
      </c>
      <c r="DA22" s="171" t="s">
        <v>752</v>
      </c>
    </row>
    <row r="23" spans="1:105" ht="11.45" customHeight="1" x14ac:dyDescent="0.25">
      <c r="A23" s="111" t="s">
        <v>112</v>
      </c>
      <c r="B23" s="96">
        <v>316.61560800000007</v>
      </c>
      <c r="C23" s="96">
        <v>334.20528827999988</v>
      </c>
      <c r="D23" s="96">
        <v>401.58403593373242</v>
      </c>
      <c r="E23" s="96">
        <v>463.14747616557412</v>
      </c>
      <c r="F23" s="96">
        <v>559.88774685763019</v>
      </c>
      <c r="G23" s="96">
        <v>603.86413744175957</v>
      </c>
      <c r="H23" s="96">
        <v>618.52432221279219</v>
      </c>
      <c r="I23" s="96">
        <v>612.13560431291387</v>
      </c>
      <c r="J23" s="96">
        <v>541.83899510457786</v>
      </c>
      <c r="K23" s="96">
        <v>486.18787139229005</v>
      </c>
      <c r="L23" s="96">
        <v>459.82665599038643</v>
      </c>
      <c r="M23" s="96">
        <v>430.42373832040107</v>
      </c>
      <c r="N23" s="96">
        <v>404.0602451416903</v>
      </c>
      <c r="O23" s="96">
        <v>385.83459153100591</v>
      </c>
      <c r="P23" s="96">
        <v>374.61648014467067</v>
      </c>
      <c r="Q23" s="96">
        <v>348.88876696186549</v>
      </c>
      <c r="R23" s="96">
        <v>328.55099748290894</v>
      </c>
      <c r="S23" s="96">
        <v>304.16680684323234</v>
      </c>
      <c r="T23" s="96">
        <v>284.86013071512963</v>
      </c>
      <c r="U23" s="96">
        <v>273.57283011538487</v>
      </c>
      <c r="V23" s="96">
        <v>253.03607013605267</v>
      </c>
      <c r="W23" s="96">
        <v>241.29982016875553</v>
      </c>
      <c r="X23" s="96">
        <v>241.31229842150279</v>
      </c>
      <c r="Y23" s="96">
        <v>245.58926945296679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1.2068375131218062E-3</v>
      </c>
      <c r="O24" s="96">
        <v>5.069167873676797E-3</v>
      </c>
      <c r="P24" s="96">
        <v>2.7605981082611412E-2</v>
      </c>
      <c r="Q24" s="96">
        <v>3.8635250252588876E-2</v>
      </c>
      <c r="R24" s="96">
        <v>5.6181640109172953E-2</v>
      </c>
      <c r="S24" s="96">
        <v>8.649732148622373E-2</v>
      </c>
      <c r="T24" s="96">
        <v>0.11698186151570178</v>
      </c>
      <c r="U24" s="96">
        <v>0.11466486474359552</v>
      </c>
      <c r="V24" s="96">
        <v>0.18312284232736267</v>
      </c>
      <c r="W24" s="96">
        <v>0.24504127677497395</v>
      </c>
      <c r="X24" s="96">
        <v>0.82047284176549184</v>
      </c>
      <c r="Y24" s="96">
        <v>0.71626799733571511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0.8931434921509871</v>
      </c>
      <c r="P25" s="96">
        <v>1.8278838225720488</v>
      </c>
      <c r="Q25" s="96">
        <v>2.3685816028864872</v>
      </c>
      <c r="R25" s="96">
        <v>4.1011644906145381</v>
      </c>
      <c r="S25" s="96">
        <v>6.2131359970184974</v>
      </c>
      <c r="T25" s="96">
        <v>10.798224863886853</v>
      </c>
      <c r="U25" s="96">
        <v>17.444055085742328</v>
      </c>
      <c r="V25" s="96">
        <v>24.944738732118775</v>
      </c>
      <c r="W25" s="96">
        <v>33.152235542539209</v>
      </c>
      <c r="X25" s="96">
        <v>36.984137018415993</v>
      </c>
      <c r="Y25" s="96">
        <v>41.168300738038702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183.03527961849585</v>
      </c>
      <c r="C27" s="130">
        <f t="shared" si="24"/>
        <v>176.41518923175954</v>
      </c>
      <c r="D27" s="130">
        <f t="shared" si="24"/>
        <v>180.84044924372631</v>
      </c>
      <c r="E27" s="130">
        <f t="shared" si="24"/>
        <v>180.09764649405491</v>
      </c>
      <c r="F27" s="130">
        <f t="shared" si="24"/>
        <v>191.70340460760309</v>
      </c>
      <c r="G27" s="130">
        <f t="shared" si="24"/>
        <v>184.64988564082012</v>
      </c>
      <c r="H27" s="130">
        <f t="shared" si="24"/>
        <v>174.42090614175049</v>
      </c>
      <c r="I27" s="130">
        <f t="shared" si="24"/>
        <v>160.09337135985896</v>
      </c>
      <c r="J27" s="130">
        <f t="shared" si="24"/>
        <v>149.83458859085937</v>
      </c>
      <c r="K27" s="130">
        <f t="shared" si="24"/>
        <v>147.24239863739692</v>
      </c>
      <c r="L27" s="130">
        <f t="shared" ref="L27" si="25">SUM(L28:L32)</f>
        <v>144.23990146336595</v>
      </c>
      <c r="M27" s="130">
        <f t="shared" ref="M27:V27" si="26">SUM(M28:M32)</f>
        <v>147.0330661391146</v>
      </c>
      <c r="N27" s="130">
        <f t="shared" si="26"/>
        <v>143.19718766214106</v>
      </c>
      <c r="O27" s="130">
        <f t="shared" si="26"/>
        <v>128.90500184319447</v>
      </c>
      <c r="P27" s="130">
        <f t="shared" si="26"/>
        <v>133.2916232275025</v>
      </c>
      <c r="Q27" s="130">
        <f t="shared" si="26"/>
        <v>135.57119625647573</v>
      </c>
      <c r="R27" s="130">
        <f t="shared" si="26"/>
        <v>131.42638187726405</v>
      </c>
      <c r="S27" s="130">
        <f t="shared" si="26"/>
        <v>134.21315194832653</v>
      </c>
      <c r="T27" s="130">
        <f t="shared" si="26"/>
        <v>137.6714690210577</v>
      </c>
      <c r="U27" s="130">
        <f t="shared" si="26"/>
        <v>155.07425078548263</v>
      </c>
      <c r="V27" s="130">
        <f t="shared" si="26"/>
        <v>114.13288371047224</v>
      </c>
      <c r="W27" s="130">
        <f t="shared" ref="W27:Y27" si="27">SUM(W28:W32)</f>
        <v>104.08117535784612</v>
      </c>
      <c r="X27" s="130">
        <f t="shared" si="27"/>
        <v>111.93468251022261</v>
      </c>
      <c r="Y27" s="130">
        <f t="shared" si="27"/>
        <v>128.21795986531922</v>
      </c>
      <c r="DA27" s="176" t="s">
        <v>406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0.18520900574926072</v>
      </c>
      <c r="E28" s="97">
        <v>0.28144877653952544</v>
      </c>
      <c r="F28" s="97">
        <v>0.27164477207142229</v>
      </c>
      <c r="G28" s="97">
        <v>0.26592066119641256</v>
      </c>
      <c r="H28" s="97">
        <v>0.26681941230782985</v>
      </c>
      <c r="I28" s="97">
        <v>0.22036984739729554</v>
      </c>
      <c r="J28" s="97">
        <v>0.14530369485328601</v>
      </c>
      <c r="K28" s="97">
        <v>0.12869554329807814</v>
      </c>
      <c r="L28" s="97">
        <v>0.12434156008695284</v>
      </c>
      <c r="M28" s="97">
        <v>8.5824558120131858E-2</v>
      </c>
      <c r="N28" s="97">
        <v>7.7300318259377429E-2</v>
      </c>
      <c r="O28" s="97">
        <v>0.99164716404954145</v>
      </c>
      <c r="P28" s="97">
        <v>0.59179504084274226</v>
      </c>
      <c r="Q28" s="97">
        <v>0.52503898401571802</v>
      </c>
      <c r="R28" s="97">
        <v>0.55046966421546573</v>
      </c>
      <c r="S28" s="97">
        <v>0.54765356643880925</v>
      </c>
      <c r="T28" s="97">
        <v>0.52314756050038391</v>
      </c>
      <c r="U28" s="97">
        <v>0.48157186738924029</v>
      </c>
      <c r="V28" s="97">
        <v>0.32693846948568572</v>
      </c>
      <c r="W28" s="97">
        <v>0.30445405056400088</v>
      </c>
      <c r="X28" s="97">
        <v>0.31777380846898673</v>
      </c>
      <c r="Y28" s="97">
        <v>0.33946107518238577</v>
      </c>
      <c r="DA28" s="175" t="s">
        <v>757</v>
      </c>
    </row>
    <row r="29" spans="1:105" ht="11.45" customHeight="1" x14ac:dyDescent="0.25">
      <c r="A29" s="111" t="s">
        <v>111</v>
      </c>
      <c r="B29" s="97">
        <v>183.03527961849585</v>
      </c>
      <c r="C29" s="97">
        <v>176.41518923175954</v>
      </c>
      <c r="D29" s="97">
        <v>180.60653941170952</v>
      </c>
      <c r="E29" s="97">
        <v>179.76671540308956</v>
      </c>
      <c r="F29" s="97">
        <v>191.37896593316194</v>
      </c>
      <c r="G29" s="97">
        <v>184.33324738138322</v>
      </c>
      <c r="H29" s="97">
        <v>174.10537342223478</v>
      </c>
      <c r="I29" s="97">
        <v>159.8262625853755</v>
      </c>
      <c r="J29" s="97">
        <v>149.6444604805838</v>
      </c>
      <c r="K29" s="97">
        <v>143.88972200638892</v>
      </c>
      <c r="L29" s="97">
        <v>138.41827141366537</v>
      </c>
      <c r="M29" s="97">
        <v>139.27005162139557</v>
      </c>
      <c r="N29" s="97">
        <v>136.19967904308504</v>
      </c>
      <c r="O29" s="97">
        <v>117.7203356580244</v>
      </c>
      <c r="P29" s="97">
        <v>118.58399203241292</v>
      </c>
      <c r="Q29" s="97">
        <v>113.75590376457819</v>
      </c>
      <c r="R29" s="97">
        <v>109.27140205606671</v>
      </c>
      <c r="S29" s="97">
        <v>111.82453422660613</v>
      </c>
      <c r="T29" s="97">
        <v>115.60579491720263</v>
      </c>
      <c r="U29" s="97">
        <v>133.04709925822175</v>
      </c>
      <c r="V29" s="97">
        <v>91.337868299366605</v>
      </c>
      <c r="W29" s="97">
        <v>77.643264872812622</v>
      </c>
      <c r="X29" s="97">
        <v>86.309374285021846</v>
      </c>
      <c r="Y29" s="97">
        <v>99.281461211564036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4.8700826267526254E-2</v>
      </c>
      <c r="E30" s="97">
        <v>4.9482314425838919E-2</v>
      </c>
      <c r="F30" s="97">
        <v>5.2793902369718794E-2</v>
      </c>
      <c r="G30" s="97">
        <v>5.0717598240473602E-2</v>
      </c>
      <c r="H30" s="97">
        <v>4.8713307207882993E-2</v>
      </c>
      <c r="I30" s="97">
        <v>4.6738927086143869E-2</v>
      </c>
      <c r="J30" s="97">
        <v>4.4824415422289182E-2</v>
      </c>
      <c r="K30" s="97">
        <v>4.3111087709906105E-2</v>
      </c>
      <c r="L30" s="97">
        <v>4.2408489613645607E-2</v>
      </c>
      <c r="M30" s="97">
        <v>0.15417995959890551</v>
      </c>
      <c r="N30" s="97">
        <v>0.15575513830974669</v>
      </c>
      <c r="O30" s="97">
        <v>0.80694818899420995</v>
      </c>
      <c r="P30" s="97">
        <v>3.2376021353294377</v>
      </c>
      <c r="Q30" s="97">
        <v>3.3039587581344017</v>
      </c>
      <c r="R30" s="97">
        <v>3.4338017970910548</v>
      </c>
      <c r="S30" s="97">
        <v>3.5488995167678152</v>
      </c>
      <c r="T30" s="97">
        <v>3.5338003648703755</v>
      </c>
      <c r="U30" s="97">
        <v>4.1398106046152288</v>
      </c>
      <c r="V30" s="97">
        <v>2.9603017439473152</v>
      </c>
      <c r="W30" s="97">
        <v>2.8501577112444609</v>
      </c>
      <c r="X30" s="97">
        <v>3.1043652984972776</v>
      </c>
      <c r="Y30" s="97">
        <v>3.4348805470332202</v>
      </c>
      <c r="DA30" s="175" t="s">
        <v>759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3.1808700000000005</v>
      </c>
      <c r="L31" s="97">
        <v>5.6548800000000004</v>
      </c>
      <c r="M31" s="97">
        <v>7.523010000000002</v>
      </c>
      <c r="N31" s="97">
        <v>6.7644531624868787</v>
      </c>
      <c r="O31" s="97">
        <v>9.3860708321263235</v>
      </c>
      <c r="P31" s="97">
        <v>10.878234018917388</v>
      </c>
      <c r="Q31" s="97">
        <v>17.986294749747412</v>
      </c>
      <c r="R31" s="97">
        <v>18.170708359890824</v>
      </c>
      <c r="S31" s="97">
        <v>18.292064638513779</v>
      </c>
      <c r="T31" s="97">
        <v>18.008726178484299</v>
      </c>
      <c r="U31" s="97">
        <v>17.405769055256407</v>
      </c>
      <c r="V31" s="97">
        <v>19.50777519767264</v>
      </c>
      <c r="W31" s="97">
        <v>23.283298723225027</v>
      </c>
      <c r="X31" s="97">
        <v>22.203169118234509</v>
      </c>
      <c r="Y31" s="97">
        <v>25.162157031539586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666.36628086885514</v>
      </c>
      <c r="C33" s="32">
        <f t="shared" si="28"/>
        <v>868.51359273012235</v>
      </c>
      <c r="D33" s="32">
        <f t="shared" si="28"/>
        <v>878.29602344516672</v>
      </c>
      <c r="E33" s="32">
        <f t="shared" si="28"/>
        <v>733.73539144200004</v>
      </c>
      <c r="F33" s="32">
        <f t="shared" si="28"/>
        <v>869.26338269322719</v>
      </c>
      <c r="G33" s="32">
        <f t="shared" si="28"/>
        <v>814.45127186769832</v>
      </c>
      <c r="H33" s="32">
        <f t="shared" si="28"/>
        <v>781.96708717371826</v>
      </c>
      <c r="I33" s="32">
        <f t="shared" si="28"/>
        <v>1206.7563451376348</v>
      </c>
      <c r="J33" s="32">
        <f t="shared" si="28"/>
        <v>1267.3817268146199</v>
      </c>
      <c r="K33" s="32">
        <f t="shared" si="28"/>
        <v>732.95210073268242</v>
      </c>
      <c r="L33" s="32">
        <f t="shared" ref="L33" si="29">L34+L40</f>
        <v>879.81999541607934</v>
      </c>
      <c r="M33" s="32">
        <f t="shared" ref="M33:V33" si="30">M34+M40</f>
        <v>1060.2161007238874</v>
      </c>
      <c r="N33" s="32">
        <f t="shared" si="30"/>
        <v>783.99935077295856</v>
      </c>
      <c r="O33" s="32">
        <f t="shared" si="30"/>
        <v>880.34801656303534</v>
      </c>
      <c r="P33" s="32">
        <f t="shared" si="30"/>
        <v>1405.450317101077</v>
      </c>
      <c r="Q33" s="32">
        <f t="shared" si="30"/>
        <v>1512.6389381737522</v>
      </c>
      <c r="R33" s="32">
        <f t="shared" si="30"/>
        <v>1456.9995718940638</v>
      </c>
      <c r="S33" s="32">
        <f t="shared" si="30"/>
        <v>1509.0680484714298</v>
      </c>
      <c r="T33" s="32">
        <f t="shared" si="30"/>
        <v>1615.7501070613232</v>
      </c>
      <c r="U33" s="32">
        <f t="shared" si="30"/>
        <v>1703.1896494727487</v>
      </c>
      <c r="V33" s="32">
        <f t="shared" si="30"/>
        <v>1788.1107027512699</v>
      </c>
      <c r="W33" s="32">
        <f t="shared" ref="W33:Y33" si="31">W34+W40</f>
        <v>1836.2756590180952</v>
      </c>
      <c r="X33" s="32">
        <f t="shared" si="31"/>
        <v>1732.3944540725961</v>
      </c>
      <c r="Y33" s="32">
        <f t="shared" si="31"/>
        <v>1740.3826373593811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102.47493211246156</v>
      </c>
      <c r="C34" s="141">
        <f t="shared" si="32"/>
        <v>102.44474813718195</v>
      </c>
      <c r="D34" s="141">
        <f t="shared" si="32"/>
        <v>103.00658434807802</v>
      </c>
      <c r="E34" s="141">
        <f t="shared" si="32"/>
        <v>105.43157352905563</v>
      </c>
      <c r="F34" s="141">
        <f t="shared" si="32"/>
        <v>111.29342615930663</v>
      </c>
      <c r="G34" s="141">
        <f t="shared" si="32"/>
        <v>116.64719055045038</v>
      </c>
      <c r="H34" s="141">
        <f t="shared" si="32"/>
        <v>137.6304129175476</v>
      </c>
      <c r="I34" s="141">
        <f t="shared" si="32"/>
        <v>156.38289974606656</v>
      </c>
      <c r="J34" s="141">
        <f t="shared" si="32"/>
        <v>159.6700209491957</v>
      </c>
      <c r="K34" s="141">
        <f t="shared" si="32"/>
        <v>165.33828631187035</v>
      </c>
      <c r="L34" s="141">
        <f t="shared" ref="L34" si="33">SUM(L35:L39)</f>
        <v>157.00562317812086</v>
      </c>
      <c r="M34" s="141">
        <f t="shared" ref="M34:V34" si="34">SUM(M35:M39)</f>
        <v>172.92508703812649</v>
      </c>
      <c r="N34" s="141">
        <f t="shared" si="34"/>
        <v>187.12331818486666</v>
      </c>
      <c r="O34" s="141">
        <f t="shared" si="34"/>
        <v>195.26697452458558</v>
      </c>
      <c r="P34" s="141">
        <f t="shared" si="34"/>
        <v>220.34440862212242</v>
      </c>
      <c r="Q34" s="141">
        <f t="shared" si="34"/>
        <v>231.29315974168517</v>
      </c>
      <c r="R34" s="141">
        <f t="shared" si="34"/>
        <v>248.28851920999702</v>
      </c>
      <c r="S34" s="141">
        <f t="shared" si="34"/>
        <v>252.37603777590559</v>
      </c>
      <c r="T34" s="141">
        <f t="shared" si="34"/>
        <v>257.1338850105094</v>
      </c>
      <c r="U34" s="141">
        <f t="shared" si="34"/>
        <v>269.16735952378957</v>
      </c>
      <c r="V34" s="141">
        <f t="shared" si="34"/>
        <v>274.99618788363148</v>
      </c>
      <c r="W34" s="141">
        <f t="shared" ref="W34:Y34" si="35">SUM(W35:W39)</f>
        <v>280.62994396304191</v>
      </c>
      <c r="X34" s="141">
        <f t="shared" si="35"/>
        <v>268.56307462392175</v>
      </c>
      <c r="Y34" s="141">
        <f t="shared" si="35"/>
        <v>266.99581388963276</v>
      </c>
      <c r="DA34" s="174" t="s">
        <v>412</v>
      </c>
    </row>
    <row r="35" spans="1:105" ht="11.45" customHeight="1" x14ac:dyDescent="0.25">
      <c r="A35" s="111" t="s">
        <v>110</v>
      </c>
      <c r="B35" s="96">
        <v>13.366399068333198</v>
      </c>
      <c r="C35" s="96">
        <v>12.828245222869095</v>
      </c>
      <c r="D35" s="96">
        <v>12.392784451322939</v>
      </c>
      <c r="E35" s="96">
        <v>12.034380468537696</v>
      </c>
      <c r="F35" s="96">
        <v>11.751733689638874</v>
      </c>
      <c r="G35" s="96">
        <v>11.740011423097751</v>
      </c>
      <c r="H35" s="96">
        <v>14.540722341792465</v>
      </c>
      <c r="I35" s="96">
        <v>16.481666816848449</v>
      </c>
      <c r="J35" s="96">
        <v>15.033644030049622</v>
      </c>
      <c r="K35" s="96">
        <v>13.590860758904807</v>
      </c>
      <c r="L35" s="96">
        <v>12.040550864365363</v>
      </c>
      <c r="M35" s="96">
        <v>10.416189862113683</v>
      </c>
      <c r="N35" s="96">
        <v>8.7664007420556729</v>
      </c>
      <c r="O35" s="96">
        <v>7.7056488168594877</v>
      </c>
      <c r="P35" s="96">
        <v>6.7033360671071351</v>
      </c>
      <c r="Q35" s="96">
        <v>5.4506169233999779</v>
      </c>
      <c r="R35" s="96">
        <v>5.1016020919907383</v>
      </c>
      <c r="S35" s="96">
        <v>4.546930731482056</v>
      </c>
      <c r="T35" s="96">
        <v>4.1683694860799889</v>
      </c>
      <c r="U35" s="96">
        <v>5.6578662978900764</v>
      </c>
      <c r="V35" s="96">
        <v>4.9119946385453312</v>
      </c>
      <c r="W35" s="96">
        <v>4.4493644676198434</v>
      </c>
      <c r="X35" s="96">
        <v>3.6466302769151433</v>
      </c>
      <c r="Y35" s="96">
        <v>3.1083834463793782</v>
      </c>
      <c r="DA35" s="171" t="s">
        <v>762</v>
      </c>
    </row>
    <row r="36" spans="1:105" ht="11.45" customHeight="1" x14ac:dyDescent="0.25">
      <c r="A36" s="111" t="s">
        <v>111</v>
      </c>
      <c r="B36" s="96">
        <v>89.108533044128365</v>
      </c>
      <c r="C36" s="96">
        <v>89.616502914312846</v>
      </c>
      <c r="D36" s="96">
        <v>90.613799896755083</v>
      </c>
      <c r="E36" s="96">
        <v>93.397193060517935</v>
      </c>
      <c r="F36" s="96">
        <v>99.541692469667765</v>
      </c>
      <c r="G36" s="96">
        <v>104.90717912735262</v>
      </c>
      <c r="H36" s="96">
        <v>123.08969057575514</v>
      </c>
      <c r="I36" s="96">
        <v>139.90123292921811</v>
      </c>
      <c r="J36" s="96">
        <v>144.63637691914607</v>
      </c>
      <c r="K36" s="96">
        <v>151.74742555296555</v>
      </c>
      <c r="L36" s="96">
        <v>144.96507231375548</v>
      </c>
      <c r="M36" s="96">
        <v>162.50889717601282</v>
      </c>
      <c r="N36" s="96">
        <v>178.35691744281098</v>
      </c>
      <c r="O36" s="96">
        <v>187.5613257077261</v>
      </c>
      <c r="P36" s="96">
        <v>213.64107255501528</v>
      </c>
      <c r="Q36" s="96">
        <v>225.84254281828518</v>
      </c>
      <c r="R36" s="96">
        <v>243.18691711800628</v>
      </c>
      <c r="S36" s="96">
        <v>247.82910704442352</v>
      </c>
      <c r="T36" s="96">
        <v>252.96551552442941</v>
      </c>
      <c r="U36" s="96">
        <v>263.50949322589952</v>
      </c>
      <c r="V36" s="96">
        <v>270.08419324508617</v>
      </c>
      <c r="W36" s="96">
        <v>276.18057949542208</v>
      </c>
      <c r="X36" s="96">
        <v>264.91644434700663</v>
      </c>
      <c r="Y36" s="96">
        <v>263.88743044325338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X37" s="96">
        <v>0</v>
      </c>
      <c r="Y37" s="96">
        <v>0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X38" s="96">
        <v>0</v>
      </c>
      <c r="Y38" s="96">
        <v>0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563.89134875639354</v>
      </c>
      <c r="C40" s="130">
        <f t="shared" si="36"/>
        <v>766.06884459294042</v>
      </c>
      <c r="D40" s="130">
        <f t="shared" si="36"/>
        <v>775.28943909708869</v>
      </c>
      <c r="E40" s="130">
        <f t="shared" si="36"/>
        <v>628.3038179129444</v>
      </c>
      <c r="F40" s="130">
        <f t="shared" si="36"/>
        <v>757.96995653392059</v>
      </c>
      <c r="G40" s="130">
        <f t="shared" si="36"/>
        <v>697.80408131724789</v>
      </c>
      <c r="H40" s="130">
        <f t="shared" si="36"/>
        <v>644.33667425617068</v>
      </c>
      <c r="I40" s="130">
        <f t="shared" si="36"/>
        <v>1050.3734453915681</v>
      </c>
      <c r="J40" s="130">
        <f t="shared" si="36"/>
        <v>1107.7117058654242</v>
      </c>
      <c r="K40" s="130">
        <f t="shared" si="36"/>
        <v>567.6138144208121</v>
      </c>
      <c r="L40" s="130">
        <f t="shared" ref="L40" si="37">SUM(L41:L42)</f>
        <v>722.81437223795842</v>
      </c>
      <c r="M40" s="130">
        <f t="shared" ref="M40:V40" si="38">SUM(M41:M42)</f>
        <v>887.29101368576084</v>
      </c>
      <c r="N40" s="130">
        <f t="shared" si="38"/>
        <v>596.8760325880919</v>
      </c>
      <c r="O40" s="130">
        <f t="shared" si="38"/>
        <v>685.08104203844982</v>
      </c>
      <c r="P40" s="130">
        <f t="shared" si="38"/>
        <v>1185.1059084789545</v>
      </c>
      <c r="Q40" s="130">
        <f t="shared" si="38"/>
        <v>1281.3457784320669</v>
      </c>
      <c r="R40" s="130">
        <f t="shared" si="38"/>
        <v>1208.7110526840668</v>
      </c>
      <c r="S40" s="130">
        <f t="shared" si="38"/>
        <v>1256.6920106955242</v>
      </c>
      <c r="T40" s="130">
        <f t="shared" si="38"/>
        <v>1358.6162220508138</v>
      </c>
      <c r="U40" s="130">
        <f t="shared" si="38"/>
        <v>1434.022289948959</v>
      </c>
      <c r="V40" s="130">
        <f t="shared" si="38"/>
        <v>1513.1145148676383</v>
      </c>
      <c r="W40" s="130">
        <f t="shared" ref="W40:Y40" si="39">SUM(W41:W42)</f>
        <v>1555.6457150550532</v>
      </c>
      <c r="X40" s="130">
        <f t="shared" si="39"/>
        <v>1463.8313794486744</v>
      </c>
      <c r="Y40" s="130">
        <f t="shared" si="39"/>
        <v>1473.3868234697484</v>
      </c>
      <c r="DA40" s="176" t="s">
        <v>413</v>
      </c>
    </row>
    <row r="41" spans="1:105" ht="11.45" customHeight="1" x14ac:dyDescent="0.25">
      <c r="A41" s="128" t="s">
        <v>27</v>
      </c>
      <c r="B41" s="97">
        <v>344.16048229942658</v>
      </c>
      <c r="C41" s="97">
        <v>392.78805831233456</v>
      </c>
      <c r="D41" s="97">
        <v>390.89362952455161</v>
      </c>
      <c r="E41" s="97">
        <v>415.96701877054272</v>
      </c>
      <c r="F41" s="97">
        <v>437.34521437736402</v>
      </c>
      <c r="G41" s="97">
        <v>390.31662975202494</v>
      </c>
      <c r="H41" s="97">
        <v>367.64338777540689</v>
      </c>
      <c r="I41" s="97">
        <v>486.62212216006156</v>
      </c>
      <c r="J41" s="97">
        <v>466.48976203625119</v>
      </c>
      <c r="K41" s="97">
        <v>342.39899410539311</v>
      </c>
      <c r="L41" s="97">
        <v>335.27825463009998</v>
      </c>
      <c r="M41" s="97">
        <v>368.2266767168399</v>
      </c>
      <c r="N41" s="97">
        <v>314.28887744258412</v>
      </c>
      <c r="O41" s="97">
        <v>342.1925447810915</v>
      </c>
      <c r="P41" s="97">
        <v>478.67123371037042</v>
      </c>
      <c r="Q41" s="97">
        <v>475.26922260602601</v>
      </c>
      <c r="R41" s="97">
        <v>463.43503408962744</v>
      </c>
      <c r="S41" s="97">
        <v>482.39117167035744</v>
      </c>
      <c r="T41" s="97">
        <v>531.15549587830242</v>
      </c>
      <c r="U41" s="97">
        <v>565.63851004549542</v>
      </c>
      <c r="V41" s="97">
        <v>575.91728353667054</v>
      </c>
      <c r="W41" s="97">
        <v>560.16478275741997</v>
      </c>
      <c r="X41" s="97">
        <v>445.93103916464094</v>
      </c>
      <c r="Y41" s="97">
        <v>498.52177414434573</v>
      </c>
      <c r="DA41" s="175" t="s">
        <v>767</v>
      </c>
    </row>
    <row r="42" spans="1:105" ht="11.45" customHeight="1" x14ac:dyDescent="0.25">
      <c r="A42" s="138" t="s">
        <v>116</v>
      </c>
      <c r="B42" s="98">
        <v>219.73086645696699</v>
      </c>
      <c r="C42" s="98">
        <v>373.28078628060592</v>
      </c>
      <c r="D42" s="98">
        <v>384.39580957253713</v>
      </c>
      <c r="E42" s="98">
        <v>212.33679914240173</v>
      </c>
      <c r="F42" s="98">
        <v>320.62474215655658</v>
      </c>
      <c r="G42" s="98">
        <v>307.48745156522301</v>
      </c>
      <c r="H42" s="98">
        <v>276.69328648076379</v>
      </c>
      <c r="I42" s="98">
        <v>563.75132323150649</v>
      </c>
      <c r="J42" s="98">
        <v>641.22194382917291</v>
      </c>
      <c r="K42" s="98">
        <v>225.21482031541893</v>
      </c>
      <c r="L42" s="98">
        <v>387.53611760785844</v>
      </c>
      <c r="M42" s="98">
        <v>519.064336968921</v>
      </c>
      <c r="N42" s="98">
        <v>282.58715514550778</v>
      </c>
      <c r="O42" s="98">
        <v>342.88849725735838</v>
      </c>
      <c r="P42" s="98">
        <v>706.43467476858405</v>
      </c>
      <c r="Q42" s="98">
        <v>806.07655582604093</v>
      </c>
      <c r="R42" s="98">
        <v>745.27601859443928</v>
      </c>
      <c r="S42" s="98">
        <v>774.30083902516685</v>
      </c>
      <c r="T42" s="98">
        <v>827.46072617251139</v>
      </c>
      <c r="U42" s="98">
        <v>868.38377990346351</v>
      </c>
      <c r="V42" s="98">
        <v>937.19723133096772</v>
      </c>
      <c r="W42" s="98">
        <v>995.48093229763333</v>
      </c>
      <c r="X42" s="98">
        <v>1017.9003402840335</v>
      </c>
      <c r="Y42" s="98">
        <v>974.86504932540254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2.9615173695058119</v>
      </c>
      <c r="C47" s="145">
        <f>IF(C4=0,0,C4/TrRoad_ene!C4)</f>
        <v>2.9718850238472538</v>
      </c>
      <c r="D47" s="145">
        <f>IF(D4=0,0,D4/TrRoad_ene!D4)</f>
        <v>2.9672256610225212</v>
      </c>
      <c r="E47" s="145">
        <f>IF(E4=0,0,E4/TrRoad_ene!E4)</f>
        <v>2.9597807704915757</v>
      </c>
      <c r="F47" s="145">
        <f>IF(F4=0,0,F4/TrRoad_ene!F4)</f>
        <v>2.9591092581744567</v>
      </c>
      <c r="G47" s="145">
        <f>IF(G4=0,0,G4/TrRoad_ene!G4)</f>
        <v>2.955701162338459</v>
      </c>
      <c r="H47" s="145">
        <f>IF(H4=0,0,H4/TrRoad_ene!H4)</f>
        <v>2.9248669304421049</v>
      </c>
      <c r="I47" s="145">
        <f>IF(I4=0,0,I4/TrRoad_ene!I4)</f>
        <v>2.8820796725266282</v>
      </c>
      <c r="J47" s="145">
        <f>IF(J4=0,0,J4/TrRoad_ene!J4)</f>
        <v>2.8740973038169981</v>
      </c>
      <c r="K47" s="145">
        <f>IF(K4=0,0,K4/TrRoad_ene!K4)</f>
        <v>2.8664442554557117</v>
      </c>
      <c r="L47" s="145">
        <f>IF(L4=0,0,L4/TrRoad_ene!L4)</f>
        <v>2.8990157897308024</v>
      </c>
      <c r="M47" s="145">
        <f>IF(M4=0,0,M4/TrRoad_ene!M4)</f>
        <v>2.9059418215818349</v>
      </c>
      <c r="N47" s="145">
        <f>IF(N4=0,0,N4/TrRoad_ene!N4)</f>
        <v>2.8873285035839582</v>
      </c>
      <c r="O47" s="145">
        <f>IF(O4=0,0,O4/TrRoad_ene!O4)</f>
        <v>2.8860623509744863</v>
      </c>
      <c r="P47" s="145">
        <f>IF(P4=0,0,P4/TrRoad_ene!P4)</f>
        <v>2.8994660898208369</v>
      </c>
      <c r="Q47" s="145">
        <f>IF(Q4=0,0,Q4/TrRoad_ene!Q4)</f>
        <v>2.9015673589812319</v>
      </c>
      <c r="R47" s="145">
        <f>IF(R4=0,0,R4/TrRoad_ene!R4)</f>
        <v>2.9340643247280771</v>
      </c>
      <c r="S47" s="145">
        <f>IF(S4=0,0,S4/TrRoad_ene!S4)</f>
        <v>2.9187357428058491</v>
      </c>
      <c r="T47" s="145">
        <f>IF(T4=0,0,T4/TrRoad_ene!T4)</f>
        <v>2.9181325145675108</v>
      </c>
      <c r="U47" s="145">
        <f>IF(U4=0,0,U4/TrRoad_ene!U4)</f>
        <v>2.9250581799132527</v>
      </c>
      <c r="V47" s="145">
        <f>IF(V4=0,0,V4/TrRoad_ene!V4)</f>
        <v>2.8841807812144342</v>
      </c>
      <c r="W47" s="145">
        <f>IF(W4=0,0,W4/TrRoad_ene!W4)</f>
        <v>2.8470717633150566</v>
      </c>
      <c r="X47" s="145">
        <f>IF(X4=0,0,X4/TrRoad_ene!X4)</f>
        <v>2.8444935615244002</v>
      </c>
      <c r="Y47" s="145">
        <f>IF(Y4=0,0,Y4/TrRoad_ene!Y4)</f>
        <v>2.8414280989495078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2.9014524000000006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2.8961254842433313</v>
      </c>
      <c r="H48" s="97">
        <f>IF(H7=0,0,(H7+H12)/(TrRoad_ene!H7+TrRoad_ene!H12))</f>
        <v>2.8613874665400885</v>
      </c>
      <c r="I48" s="97">
        <f>IF(I7=0,0,(I7+I12)/(TrRoad_ene!I7+TrRoad_ene!I12))</f>
        <v>2.8275236557933763</v>
      </c>
      <c r="J48" s="97">
        <f>IF(J7=0,0,(J7+J12)/(TrRoad_ene!J7+TrRoad_ene!J12))</f>
        <v>2.8023260156299856</v>
      </c>
      <c r="K48" s="97">
        <f>IF(K7=0,0,(K7+K12)/(TrRoad_ene!K7+TrRoad_ene!K12))</f>
        <v>2.7981801787168883</v>
      </c>
      <c r="L48" s="97">
        <f>IF(L7=0,0,(L7+L12)/(TrRoad_ene!L7+TrRoad_ene!L12))</f>
        <v>2.8038245538764377</v>
      </c>
      <c r="M48" s="97">
        <f>IF(M7=0,0,(M7+M12)/(TrRoad_ene!M7+TrRoad_ene!M12))</f>
        <v>2.7965281053651272</v>
      </c>
      <c r="N48" s="97">
        <f>IF(N7=0,0,(N7+N12)/(TrRoad_ene!N7+TrRoad_ene!N12))</f>
        <v>2.7998718732306371</v>
      </c>
      <c r="O48" s="97">
        <f>IF(O7=0,0,(O7+O12)/(TrRoad_ene!O7+TrRoad_ene!O12))</f>
        <v>2.8148786464457878</v>
      </c>
      <c r="P48" s="97">
        <f>IF(P7=0,0,(P7+P12)/(TrRoad_ene!P7+TrRoad_ene!P12))</f>
        <v>2.8217194532915362</v>
      </c>
      <c r="Q48" s="97">
        <f>IF(Q7=0,0,(Q7+Q12)/(TrRoad_ene!Q7+TrRoad_ene!Q12))</f>
        <v>2.7675025581355803</v>
      </c>
      <c r="R48" s="97">
        <f>IF(R7=0,0,(R7+R12)/(TrRoad_ene!R7+TrRoad_ene!R12))</f>
        <v>2.8172003674450496</v>
      </c>
      <c r="S48" s="97">
        <f>IF(S7=0,0,(S7+S12)/(TrRoad_ene!S7+TrRoad_ene!S12))</f>
        <v>2.7928315720871901</v>
      </c>
      <c r="T48" s="97">
        <f>IF(T7=0,0,(T7+T12)/(TrRoad_ene!T7+TrRoad_ene!T12))</f>
        <v>2.8049006274604351</v>
      </c>
      <c r="U48" s="97">
        <f>IF(U7=0,0,(U7+U12)/(TrRoad_ene!U7+TrRoad_ene!U12))</f>
        <v>2.7894348487833982</v>
      </c>
      <c r="V48" s="97">
        <f>IF(V7=0,0,(V7+V12)/(TrRoad_ene!V7+TrRoad_ene!V12))</f>
        <v>2.7207505615210974</v>
      </c>
      <c r="W48" s="97">
        <f>IF(W7=0,0,(W7+W12)/(TrRoad_ene!W7+TrRoad_ene!W12))</f>
        <v>2.7127548147500655</v>
      </c>
      <c r="X48" s="97">
        <f>IF(X7=0,0,(X7+X12)/(TrRoad_ene!X7+TrRoad_ene!X12))</f>
        <v>2.6990033833784373</v>
      </c>
      <c r="Y48" s="97">
        <f>IF(Y7=0,0,(Y7+Y12)/(TrRoad_ene!Y7+TrRoad_ene!Y12))</f>
        <v>2.7113147077317445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3.1024187999999997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3.0981107879165237</v>
      </c>
      <c r="G49" s="97">
        <f>IF(G8=0,0,(G8+G13+G14)/(TrRoad_ene!G8+TrRoad_ene!G13+TrRoad_ene!G14))</f>
        <v>3.0906947539199803</v>
      </c>
      <c r="H49" s="97">
        <f>IF(H8=0,0,(H8+H13+H14)/(TrRoad_ene!H8+TrRoad_ene!H13+TrRoad_ene!H14))</f>
        <v>3.045693452965256</v>
      </c>
      <c r="I49" s="97">
        <f>IF(I8=0,0,(I8+I13+I14)/(TrRoad_ene!I8+TrRoad_ene!I13+TrRoad_ene!I14))</f>
        <v>2.9696363678430631</v>
      </c>
      <c r="J49" s="97">
        <f>IF(J8=0,0,(J8+J13+J14)/(TrRoad_ene!J8+TrRoad_ene!J13+TrRoad_ene!J14))</f>
        <v>2.9591992451828673</v>
      </c>
      <c r="K49" s="97">
        <f>IF(K8=0,0,(K8+K13+K14)/(TrRoad_ene!K8+TrRoad_ene!K13+TrRoad_ene!K14))</f>
        <v>2.9564167601444074</v>
      </c>
      <c r="L49" s="97">
        <f>IF(L8=0,0,(L8+L13+L14)/(TrRoad_ene!L8+TrRoad_ene!L13+TrRoad_ene!L14))</f>
        <v>2.9859575247932586</v>
      </c>
      <c r="M49" s="97">
        <f>IF(M8=0,0,(M8+M13+M14)/(TrRoad_ene!M8+TrRoad_ene!M13+TrRoad_ene!M14))</f>
        <v>2.9879549621501038</v>
      </c>
      <c r="N49" s="97">
        <f>IF(N8=0,0,(N8+N13+N14)/(TrRoad_ene!N8+TrRoad_ene!N13+TrRoad_ene!N14))</f>
        <v>2.9509120692818489</v>
      </c>
      <c r="O49" s="97">
        <f>IF(O8=0,0,(O8+O13+O14)/(TrRoad_ene!O8+TrRoad_ene!O13+TrRoad_ene!O14))</f>
        <v>2.9553896296854019</v>
      </c>
      <c r="P49" s="97">
        <f>IF(P8=0,0,(P8+P13+P14)/(TrRoad_ene!P8+TrRoad_ene!P13+TrRoad_ene!P14))</f>
        <v>2.9620580598533737</v>
      </c>
      <c r="Q49" s="97">
        <f>IF(Q8=0,0,(Q8+Q13+Q14)/(TrRoad_ene!Q8+TrRoad_ene!Q13+TrRoad_ene!Q14))</f>
        <v>2.9688457179183914</v>
      </c>
      <c r="R49" s="97">
        <f>IF(R8=0,0,(R8+R13+R14)/(TrRoad_ene!R8+TrRoad_ene!R13+TrRoad_ene!R14))</f>
        <v>2.9964817099888919</v>
      </c>
      <c r="S49" s="97">
        <f>IF(S8=0,0,(S8+S13+S14)/(TrRoad_ene!S8+TrRoad_ene!S13+TrRoad_ene!S14))</f>
        <v>2.9767779068111619</v>
      </c>
      <c r="T49" s="97">
        <f>IF(T8=0,0,(T8+T13+T14)/(TrRoad_ene!T8+TrRoad_ene!T13+TrRoad_ene!T14))</f>
        <v>2.9730477708644591</v>
      </c>
      <c r="U49" s="97">
        <f>IF(U8=0,0,(U8+U13+U14)/(TrRoad_ene!U8+TrRoad_ene!U13+TrRoad_ene!U14))</f>
        <v>2.9861038041506878</v>
      </c>
      <c r="V49" s="97">
        <f>IF(V8=0,0,(V8+V13+V14)/(TrRoad_ene!V8+TrRoad_ene!V13+TrRoad_ene!V14))</f>
        <v>2.9461220094641121</v>
      </c>
      <c r="W49" s="97">
        <f>IF(W8=0,0,(W8+W13+W14)/(TrRoad_ene!W8+TrRoad_ene!W13+TrRoad_ene!W14))</f>
        <v>2.909149732549889</v>
      </c>
      <c r="X49" s="97">
        <f>IF(X8=0,0,(X8+X13+X14)/(TrRoad_ene!X8+TrRoad_ene!X13+TrRoad_ene!X14))</f>
        <v>2.9188220700720882</v>
      </c>
      <c r="Y49" s="97">
        <f>IF(Y8=0,0,(Y8+Y13+Y14)/(TrRoad_ene!Y8+TrRoad_ene!Y13+TrRoad_ene!Y14))</f>
        <v>2.9238530682470847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X51" s="97">
        <f>IF(X9=0,0,(X9+X11)/(TrRoad_ene!X9+TrRoad_ene!X11))</f>
        <v>2.3487948000000003</v>
      </c>
      <c r="Y51" s="97">
        <f>IF(Y9=0,0,(Y9+Y11)/(TrRoad_ene!Y9+TrRoad_ene!Y11))</f>
        <v>2.3375824893462562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277.8775700496484</v>
      </c>
      <c r="C54" s="62">
        <f>IF(TrRoad_act!C30=0,0,C17/TrRoad_act!C30*1000
)</f>
        <v>300.82382001011825</v>
      </c>
      <c r="D54" s="62">
        <f>IF(TrRoad_act!D30=0,0,D17/TrRoad_act!D30*1000
)</f>
        <v>291.32180761911428</v>
      </c>
      <c r="E54" s="62">
        <f>IF(TrRoad_act!E30=0,0,E17/TrRoad_act!E30*1000
)</f>
        <v>261.49991716584117</v>
      </c>
      <c r="F54" s="62">
        <f>IF(TrRoad_act!F30=0,0,F17/TrRoad_act!F30*1000
)</f>
        <v>262.46362156156721</v>
      </c>
      <c r="G54" s="62">
        <f>IF(TrRoad_act!G30=0,0,G17/TrRoad_act!G30*1000
)</f>
        <v>249.52808625155782</v>
      </c>
      <c r="H54" s="62">
        <f>IF(TrRoad_act!H30=0,0,H17/TrRoad_act!H30*1000
)</f>
        <v>232.87045139945039</v>
      </c>
      <c r="I54" s="62">
        <f>IF(TrRoad_act!I30=0,0,I17/TrRoad_act!I30*1000
)</f>
        <v>252.0353100842519</v>
      </c>
      <c r="J54" s="62">
        <f>IF(TrRoad_act!J30=0,0,J17/TrRoad_act!J30*1000
)</f>
        <v>254.4256933279853</v>
      </c>
      <c r="K54" s="62">
        <f>IF(TrRoad_act!K30=0,0,K17/TrRoad_act!K30*1000
)</f>
        <v>220.16507172440697</v>
      </c>
      <c r="L54" s="62">
        <f>IF(TrRoad_act!L30=0,0,L17/TrRoad_act!L30*1000
)</f>
        <v>227.78401202244933</v>
      </c>
      <c r="M54" s="62">
        <f>IF(TrRoad_act!M30=0,0,M17/TrRoad_act!M30*1000
)</f>
        <v>243.04619897340197</v>
      </c>
      <c r="N54" s="62">
        <f>IF(TrRoad_act!N30=0,0,N17/TrRoad_act!N30*1000
)</f>
        <v>212.20876749278628</v>
      </c>
      <c r="O54" s="62">
        <f>IF(TrRoad_act!O30=0,0,O17/TrRoad_act!O30*1000
)</f>
        <v>216.47823814138778</v>
      </c>
      <c r="P54" s="62">
        <f>IF(TrRoad_act!P30=0,0,P17/TrRoad_act!P30*1000
)</f>
        <v>252.54376432212095</v>
      </c>
      <c r="Q54" s="62">
        <f>IF(TrRoad_act!Q30=0,0,Q17/TrRoad_act!Q30*1000
)</f>
        <v>251.69692122036895</v>
      </c>
      <c r="R54" s="62">
        <f>IF(TrRoad_act!R30=0,0,R17/TrRoad_act!R30*1000
)</f>
        <v>240.07256260805886</v>
      </c>
      <c r="S54" s="62">
        <f>IF(TrRoad_act!S30=0,0,S17/TrRoad_act!S30*1000
)</f>
        <v>237.09290362225417</v>
      </c>
      <c r="T54" s="62">
        <f>IF(TrRoad_act!T30=0,0,T17/TrRoad_act!T30*1000
)</f>
        <v>236.20256632716473</v>
      </c>
      <c r="U54" s="62">
        <f>IF(TrRoad_act!U30=0,0,U17/TrRoad_act!U30*1000
)</f>
        <v>235.9865456429423</v>
      </c>
      <c r="V54" s="62">
        <f>IF(TrRoad_act!V30=0,0,V17/TrRoad_act!V30*1000
)</f>
        <v>234.78448203843845</v>
      </c>
      <c r="W54" s="62">
        <f>IF(TrRoad_act!W30=0,0,W17/TrRoad_act!W30*1000
)</f>
        <v>231.11520590076452</v>
      </c>
      <c r="X54" s="62">
        <f>IF(TrRoad_act!X30=0,0,X17/TrRoad_act!X30*1000
)</f>
        <v>221.30946401101826</v>
      </c>
      <c r="Y54" s="62">
        <f>IF(TrRoad_act!Y30=0,0,Y17/TrRoad_act!Y30*1000
)</f>
        <v>216.38563248084671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228.34481570346574</v>
      </c>
      <c r="C55" s="29">
        <f>IF(TrRoad_act!C31=0,0,C18/TrRoad_act!C31*1000
)</f>
        <v>233.07533652130402</v>
      </c>
      <c r="D55" s="29">
        <f>IF(TrRoad_act!D31=0,0,D18/TrRoad_act!D31*1000
)</f>
        <v>227.10882483853104</v>
      </c>
      <c r="E55" s="29">
        <f>IF(TrRoad_act!E31=0,0,E18/TrRoad_act!E31*1000
)</f>
        <v>217.82855265824486</v>
      </c>
      <c r="F55" s="29">
        <f>IF(TrRoad_act!F31=0,0,F18/TrRoad_act!F31*1000
)</f>
        <v>213.08102224093028</v>
      </c>
      <c r="G55" s="29">
        <f>IF(TrRoad_act!G31=0,0,G18/TrRoad_act!G31*1000
)</f>
        <v>208.67824707635666</v>
      </c>
      <c r="H55" s="29">
        <f>IF(TrRoad_act!H31=0,0,H18/TrRoad_act!H31*1000
)</f>
        <v>200.39875010464507</v>
      </c>
      <c r="I55" s="29">
        <f>IF(TrRoad_act!I31=0,0,I18/TrRoad_act!I31*1000
)</f>
        <v>201.50714899595249</v>
      </c>
      <c r="J55" s="29">
        <f>IF(TrRoad_act!J31=0,0,J18/TrRoad_act!J31*1000
)</f>
        <v>199.39332837476778</v>
      </c>
      <c r="K55" s="29">
        <f>IF(TrRoad_act!K31=0,0,K18/TrRoad_act!K31*1000
)</f>
        <v>192.29307045603187</v>
      </c>
      <c r="L55" s="29">
        <f>IF(TrRoad_act!L31=0,0,L18/TrRoad_act!L31*1000
)</f>
        <v>190.45157811275735</v>
      </c>
      <c r="M55" s="29">
        <f>IF(TrRoad_act!M31=0,0,M18/TrRoad_act!M31*1000
)</f>
        <v>193.50870172062298</v>
      </c>
      <c r="N55" s="29">
        <f>IF(TrRoad_act!N31=0,0,N18/TrRoad_act!N31*1000
)</f>
        <v>184.29936634031938</v>
      </c>
      <c r="O55" s="29">
        <f>IF(TrRoad_act!O31=0,0,O18/TrRoad_act!O31*1000
)</f>
        <v>183.97498253956229</v>
      </c>
      <c r="P55" s="29">
        <f>IF(TrRoad_act!P31=0,0,P18/TrRoad_act!P31*1000
)</f>
        <v>191.1665972422802</v>
      </c>
      <c r="Q55" s="29">
        <f>IF(TrRoad_act!Q31=0,0,Q18/TrRoad_act!Q31*1000
)</f>
        <v>188.71969020734366</v>
      </c>
      <c r="R55" s="29">
        <f>IF(TrRoad_act!R31=0,0,R18/TrRoad_act!R31*1000
)</f>
        <v>187.47969387943601</v>
      </c>
      <c r="S55" s="29">
        <f>IF(TrRoad_act!S31=0,0,S18/TrRoad_act!S31*1000
)</f>
        <v>184.94651411583021</v>
      </c>
      <c r="T55" s="29">
        <f>IF(TrRoad_act!T31=0,0,T18/TrRoad_act!T31*1000
)</f>
        <v>183.11790534410335</v>
      </c>
      <c r="U55" s="29">
        <f>IF(TrRoad_act!U31=0,0,U18/TrRoad_act!U31*1000
)</f>
        <v>181.9455995678988</v>
      </c>
      <c r="V55" s="29">
        <f>IF(TrRoad_act!V31=0,0,V18/TrRoad_act!V31*1000
)</f>
        <v>176.50390580796628</v>
      </c>
      <c r="W55" s="29">
        <f>IF(TrRoad_act!W31=0,0,W18/TrRoad_act!W31*1000
)</f>
        <v>171.57202565411148</v>
      </c>
      <c r="X55" s="29">
        <f>IF(TrRoad_act!X31=0,0,X18/TrRoad_act!X31*1000
)</f>
        <v>166.81643656242767</v>
      </c>
      <c r="Y55" s="29">
        <f>IF(TrRoad_act!Y31=0,0,Y18/TrRoad_act!Y31*1000
)</f>
        <v>164.33206929241342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155.166445210304</v>
      </c>
      <c r="C56" s="152">
        <f>IF(TrRoad_act!C32=0,0,C19/TrRoad_act!C32*1000
)</f>
        <v>154.07686236368355</v>
      </c>
      <c r="D56" s="152">
        <f>IF(TrRoad_act!D32=0,0,D19/TrRoad_act!D32*1000
)</f>
        <v>152.50696084929362</v>
      </c>
      <c r="E56" s="152">
        <f>IF(TrRoad_act!E32=0,0,E19/TrRoad_act!E32*1000
)</f>
        <v>143.53187057241547</v>
      </c>
      <c r="F56" s="152">
        <f>IF(TrRoad_act!F32=0,0,F19/TrRoad_act!F32*1000
)</f>
        <v>142.00490339120583</v>
      </c>
      <c r="G56" s="152">
        <f>IF(TrRoad_act!G32=0,0,G19/TrRoad_act!G32*1000
)</f>
        <v>139.95616123777523</v>
      </c>
      <c r="H56" s="152">
        <f>IF(TrRoad_act!H32=0,0,H19/TrRoad_act!H32*1000
)</f>
        <v>135.68157221120182</v>
      </c>
      <c r="I56" s="152">
        <f>IF(TrRoad_act!I32=0,0,I19/TrRoad_act!I32*1000
)</f>
        <v>130.83639652886518</v>
      </c>
      <c r="J56" s="152">
        <f>IF(TrRoad_act!J32=0,0,J19/TrRoad_act!J32*1000
)</f>
        <v>125.91961949825597</v>
      </c>
      <c r="K56" s="152">
        <f>IF(TrRoad_act!K32=0,0,K19/TrRoad_act!K32*1000
)</f>
        <v>123.11771556427843</v>
      </c>
      <c r="L56" s="152">
        <f>IF(TrRoad_act!L32=0,0,L19/TrRoad_act!L32*1000
)</f>
        <v>122.09705082615582</v>
      </c>
      <c r="M56" s="152">
        <f>IF(TrRoad_act!M32=0,0,M19/TrRoad_act!M32*1000
)</f>
        <v>120.13843306540133</v>
      </c>
      <c r="N56" s="152">
        <f>IF(TrRoad_act!N32=0,0,N19/TrRoad_act!N32*1000
)</f>
        <v>118.80469446936918</v>
      </c>
      <c r="O56" s="152">
        <f>IF(TrRoad_act!O32=0,0,O19/TrRoad_act!O32*1000
)</f>
        <v>117.95581910701983</v>
      </c>
      <c r="P56" s="152">
        <f>IF(TrRoad_act!P32=0,0,P19/TrRoad_act!P32*1000
)</f>
        <v>116.6413845734055</v>
      </c>
      <c r="Q56" s="152">
        <f>IF(TrRoad_act!Q32=0,0,Q19/TrRoad_act!Q32*1000
)</f>
        <v>118.17764143625406</v>
      </c>
      <c r="R56" s="152">
        <f>IF(TrRoad_act!R32=0,0,R19/TrRoad_act!R32*1000
)</f>
        <v>118.47928950579316</v>
      </c>
      <c r="S56" s="152">
        <f>IF(TrRoad_act!S32=0,0,S19/TrRoad_act!S32*1000
)</f>
        <v>115.03024209021464</v>
      </c>
      <c r="T56" s="152">
        <f>IF(TrRoad_act!T32=0,0,T19/TrRoad_act!T32*1000
)</f>
        <v>112.89785590425018</v>
      </c>
      <c r="U56" s="152">
        <f>IF(TrRoad_act!U32=0,0,U19/TrRoad_act!U32*1000
)</f>
        <v>108.02513661075355</v>
      </c>
      <c r="V56" s="152">
        <f>IF(TrRoad_act!V32=0,0,V19/TrRoad_act!V32*1000
)</f>
        <v>101.91687357879462</v>
      </c>
      <c r="W56" s="152">
        <f>IF(TrRoad_act!W32=0,0,W19/TrRoad_act!W32*1000
)</f>
        <v>99.46633500636932</v>
      </c>
      <c r="X56" s="152">
        <f>IF(TrRoad_act!X32=0,0,X19/TrRoad_act!X32*1000
)</f>
        <v>97.137306236704177</v>
      </c>
      <c r="Y56" s="152">
        <f>IF(TrRoad_act!Y32=0,0,Y19/TrRoad_act!Y32*1000
)</f>
        <v>96.102578277825131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211.32764627064333</v>
      </c>
      <c r="C57" s="116">
        <f>IF(TrRoad_act!C33=0,0,C20/TrRoad_act!C33*1000
)</f>
        <v>217.20658630796407</v>
      </c>
      <c r="D57" s="116">
        <f>IF(TrRoad_act!D33=0,0,D20/TrRoad_act!D33*1000
)</f>
        <v>211.88563476635051</v>
      </c>
      <c r="E57" s="116">
        <f>IF(TrRoad_act!E33=0,0,E20/TrRoad_act!E33*1000
)</f>
        <v>204.37107042389528</v>
      </c>
      <c r="F57" s="116">
        <f>IF(TrRoad_act!F33=0,0,F20/TrRoad_act!F33*1000
)</f>
        <v>200.06243983951649</v>
      </c>
      <c r="G57" s="116">
        <f>IF(TrRoad_act!G33=0,0,G20/TrRoad_act!G33*1000
)</f>
        <v>197.52590827937752</v>
      </c>
      <c r="H57" s="116">
        <f>IF(TrRoad_act!H33=0,0,H20/TrRoad_act!H33*1000
)</f>
        <v>191.17644766857075</v>
      </c>
      <c r="I57" s="116">
        <f>IF(TrRoad_act!I33=0,0,I20/TrRoad_act!I33*1000
)</f>
        <v>193.87094181060925</v>
      </c>
      <c r="J57" s="116">
        <f>IF(TrRoad_act!J33=0,0,J20/TrRoad_act!J33*1000
)</f>
        <v>192.22037656801331</v>
      </c>
      <c r="K57" s="116">
        <f>IF(TrRoad_act!K33=0,0,K20/TrRoad_act!K33*1000
)</f>
        <v>184.87632743814953</v>
      </c>
      <c r="L57" s="116">
        <f>IF(TrRoad_act!L33=0,0,L20/TrRoad_act!L33*1000
)</f>
        <v>183.18906972073273</v>
      </c>
      <c r="M57" s="116">
        <f>IF(TrRoad_act!M33=0,0,M20/TrRoad_act!M33*1000
)</f>
        <v>185.52436121841555</v>
      </c>
      <c r="N57" s="116">
        <f>IF(TrRoad_act!N33=0,0,N20/TrRoad_act!N33*1000
)</f>
        <v>177.51245109640979</v>
      </c>
      <c r="O57" s="116">
        <f>IF(TrRoad_act!O33=0,0,O20/TrRoad_act!O33*1000
)</f>
        <v>177.96420970327537</v>
      </c>
      <c r="P57" s="116">
        <f>IF(TrRoad_act!P33=0,0,P20/TrRoad_act!P33*1000
)</f>
        <v>184.68076687164404</v>
      </c>
      <c r="Q57" s="116">
        <f>IF(TrRoad_act!Q33=0,0,Q20/TrRoad_act!Q33*1000
)</f>
        <v>182.56846673294217</v>
      </c>
      <c r="R57" s="116">
        <f>IF(TrRoad_act!R33=0,0,R20/TrRoad_act!R33*1000
)</f>
        <v>182.28450429559405</v>
      </c>
      <c r="S57" s="116">
        <f>IF(TrRoad_act!S33=0,0,S20/TrRoad_act!S33*1000
)</f>
        <v>179.92416105774768</v>
      </c>
      <c r="T57" s="116">
        <f>IF(TrRoad_act!T33=0,0,T20/TrRoad_act!T33*1000
)</f>
        <v>178.29725898608066</v>
      </c>
      <c r="U57" s="116">
        <f>IF(TrRoad_act!U33=0,0,U20/TrRoad_act!U33*1000
)</f>
        <v>176.72318008617907</v>
      </c>
      <c r="V57" s="116">
        <f>IF(TrRoad_act!V33=0,0,V20/TrRoad_act!V33*1000
)</f>
        <v>172.63343922854867</v>
      </c>
      <c r="W57" s="116">
        <f>IF(TrRoad_act!W33=0,0,W20/TrRoad_act!W33*1000
)</f>
        <v>168.16361135658715</v>
      </c>
      <c r="X57" s="116">
        <f>IF(TrRoad_act!X33=0,0,X20/TrRoad_act!X33*1000
)</f>
        <v>163.30172416027438</v>
      </c>
      <c r="Y57" s="116">
        <f>IF(TrRoad_act!Y33=0,0,Y20/TrRoad_act!Y33*1000
)</f>
        <v>160.44156673340839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240.10657555906064</v>
      </c>
      <c r="C58" s="87">
        <f>IF(TrRoad_act!C34=0,0,C21/TrRoad_act!C34*1000
)</f>
        <v>252.11184255766895</v>
      </c>
      <c r="D58" s="87">
        <f>IF(TrRoad_act!D34=0,0,D21/TrRoad_act!D34*1000
)</f>
        <v>249.65938094424865</v>
      </c>
      <c r="E58" s="87">
        <f>IF(TrRoad_act!E34=0,0,E21/TrRoad_act!E34*1000
)</f>
        <v>242.95478037779736</v>
      </c>
      <c r="F58" s="87">
        <f>IF(TrRoad_act!F34=0,0,F21/TrRoad_act!F34*1000
)</f>
        <v>243.06067744655633</v>
      </c>
      <c r="G58" s="87">
        <f>IF(TrRoad_act!G34=0,0,G21/TrRoad_act!G34*1000
)</f>
        <v>228.6754826533095</v>
      </c>
      <c r="H58" s="87">
        <f>IF(TrRoad_act!H34=0,0,H21/TrRoad_act!H34*1000
)</f>
        <v>224.05924654854329</v>
      </c>
      <c r="I58" s="87">
        <f>IF(TrRoad_act!I34=0,0,I21/TrRoad_act!I34*1000
)</f>
        <v>230.62384821119829</v>
      </c>
      <c r="J58" s="87">
        <f>IF(TrRoad_act!J34=0,0,J21/TrRoad_act!J34*1000
)</f>
        <v>228.74246917073836</v>
      </c>
      <c r="K58" s="87">
        <f>IF(TrRoad_act!K34=0,0,K21/TrRoad_act!K34*1000
)</f>
        <v>219.23479744930955</v>
      </c>
      <c r="L58" s="87">
        <f>IF(TrRoad_act!L34=0,0,L21/TrRoad_act!L34*1000
)</f>
        <v>223.7187182847756</v>
      </c>
      <c r="M58" s="87">
        <f>IF(TrRoad_act!M34=0,0,M21/TrRoad_act!M34*1000
)</f>
        <v>220.34502728557612</v>
      </c>
      <c r="N58" s="87">
        <f>IF(TrRoad_act!N34=0,0,N21/TrRoad_act!N34*1000
)</f>
        <v>218.72453702510512</v>
      </c>
      <c r="O58" s="87">
        <f>IF(TrRoad_act!O34=0,0,O21/TrRoad_act!O34*1000
)</f>
        <v>221.72107053589329</v>
      </c>
      <c r="P58" s="87">
        <f>IF(TrRoad_act!P34=0,0,P21/TrRoad_act!P34*1000
)</f>
        <v>219.28498567318809</v>
      </c>
      <c r="Q58" s="87">
        <f>IF(TrRoad_act!Q34=0,0,Q21/TrRoad_act!Q34*1000
)</f>
        <v>211.462916610078</v>
      </c>
      <c r="R58" s="87">
        <f>IF(TrRoad_act!R34=0,0,R21/TrRoad_act!R34*1000
)</f>
        <v>221.51726286685115</v>
      </c>
      <c r="S58" s="87">
        <f>IF(TrRoad_act!S34=0,0,S21/TrRoad_act!S34*1000
)</f>
        <v>208.60217510043105</v>
      </c>
      <c r="T58" s="87">
        <f>IF(TrRoad_act!T34=0,0,T21/TrRoad_act!T34*1000
)</f>
        <v>199.228410153433</v>
      </c>
      <c r="U58" s="87">
        <f>IF(TrRoad_act!U34=0,0,U21/TrRoad_act!U34*1000
)</f>
        <v>187.7018881008961</v>
      </c>
      <c r="V58" s="87">
        <f>IF(TrRoad_act!V34=0,0,V21/TrRoad_act!V34*1000
)</f>
        <v>177.74091325699968</v>
      </c>
      <c r="W58" s="87">
        <f>IF(TrRoad_act!W34=0,0,W21/TrRoad_act!W34*1000
)</f>
        <v>170.21063150429501</v>
      </c>
      <c r="X58" s="87">
        <f>IF(TrRoad_act!X34=0,0,X21/TrRoad_act!X34*1000
)</f>
        <v>157.05468697016605</v>
      </c>
      <c r="Y58" s="87">
        <f>IF(TrRoad_act!Y34=0,0,Y21/TrRoad_act!Y34*1000
)</f>
        <v>156.24380734338584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188.89081110397683</v>
      </c>
      <c r="C59" s="87">
        <f>IF(TrRoad_act!C35=0,0,C22/TrRoad_act!C35*1000
)</f>
        <v>185.72377196121087</v>
      </c>
      <c r="D59" s="87">
        <f>IF(TrRoad_act!D35=0,0,D22/TrRoad_act!D35*1000
)</f>
        <v>181.42778581139873</v>
      </c>
      <c r="E59" s="87">
        <f>IF(TrRoad_act!E35=0,0,E22/TrRoad_act!E35*1000
)</f>
        <v>172.43168317107185</v>
      </c>
      <c r="F59" s="87">
        <f>IF(TrRoad_act!F35=0,0,F22/TrRoad_act!F35*1000
)</f>
        <v>174.44804104689365</v>
      </c>
      <c r="G59" s="87">
        <f>IF(TrRoad_act!G35=0,0,G22/TrRoad_act!G35*1000
)</f>
        <v>171.38269476289372</v>
      </c>
      <c r="H59" s="87">
        <f>IF(TrRoad_act!H35=0,0,H22/TrRoad_act!H35*1000
)</f>
        <v>167.79360025165462</v>
      </c>
      <c r="I59" s="87">
        <f>IF(TrRoad_act!I35=0,0,I22/TrRoad_act!I35*1000
)</f>
        <v>178.03781386287326</v>
      </c>
      <c r="J59" s="87">
        <f>IF(TrRoad_act!J35=0,0,J22/TrRoad_act!J35*1000
)</f>
        <v>178.76160260224981</v>
      </c>
      <c r="K59" s="87">
        <f>IF(TrRoad_act!K35=0,0,K22/TrRoad_act!K35*1000
)</f>
        <v>165.67047990591885</v>
      </c>
      <c r="L59" s="87">
        <f>IF(TrRoad_act!L35=0,0,L22/TrRoad_act!L35*1000
)</f>
        <v>172.04490711458931</v>
      </c>
      <c r="M59" s="87">
        <f>IF(TrRoad_act!M35=0,0,M22/TrRoad_act!M35*1000
)</f>
        <v>177.1017411061587</v>
      </c>
      <c r="N59" s="87">
        <f>IF(TrRoad_act!N35=0,0,N22/TrRoad_act!N35*1000
)</f>
        <v>166.70347470620484</v>
      </c>
      <c r="O59" s="87">
        <f>IF(TrRoad_act!O35=0,0,O22/TrRoad_act!O35*1000
)</f>
        <v>170.02508045156759</v>
      </c>
      <c r="P59" s="87">
        <f>IF(TrRoad_act!P35=0,0,P22/TrRoad_act!P35*1000
)</f>
        <v>179.94764044006413</v>
      </c>
      <c r="Q59" s="87">
        <f>IF(TrRoad_act!Q35=0,0,Q22/TrRoad_act!Q35*1000
)</f>
        <v>179.4897114648935</v>
      </c>
      <c r="R59" s="87">
        <f>IF(TrRoad_act!R35=0,0,R22/TrRoad_act!R35*1000
)</f>
        <v>179.12474027765725</v>
      </c>
      <c r="S59" s="87">
        <f>IF(TrRoad_act!S35=0,0,S22/TrRoad_act!S35*1000
)</f>
        <v>177.94769303174451</v>
      </c>
      <c r="T59" s="87">
        <f>IF(TrRoad_act!T35=0,0,T22/TrRoad_act!T35*1000
)</f>
        <v>177.4091721426629</v>
      </c>
      <c r="U59" s="87">
        <f>IF(TrRoad_act!U35=0,0,U22/TrRoad_act!U35*1000
)</f>
        <v>177.63878805982182</v>
      </c>
      <c r="V59" s="87">
        <f>IF(TrRoad_act!V35=0,0,V22/TrRoad_act!V35*1000
)</f>
        <v>174.6001512408742</v>
      </c>
      <c r="W59" s="87">
        <f>IF(TrRoad_act!W35=0,0,W22/TrRoad_act!W35*1000
)</f>
        <v>171.15932738815681</v>
      </c>
      <c r="X59" s="87">
        <f>IF(TrRoad_act!X35=0,0,X22/TrRoad_act!X35*1000
)</f>
        <v>169.35717807810894</v>
      </c>
      <c r="Y59" s="87">
        <f>IF(TrRoad_act!Y35=0,0,Y22/TrRoad_act!Y35*1000
)</f>
        <v>167.58790592054493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172.6498786418216</v>
      </c>
      <c r="C60" s="87">
        <f>IF(TrRoad_act!C36=0,0,C23/TrRoad_act!C36*1000
)</f>
        <v>189.26671182976642</v>
      </c>
      <c r="D60" s="87">
        <f>IF(TrRoad_act!D36=0,0,D23/TrRoad_act!D36*1000
)</f>
        <v>187.7482087785618</v>
      </c>
      <c r="E60" s="87">
        <f>IF(TrRoad_act!E36=0,0,E23/TrRoad_act!E36*1000
)</f>
        <v>194.51773413426648</v>
      </c>
      <c r="F60" s="87">
        <f>IF(TrRoad_act!F36=0,0,F23/TrRoad_act!F36*1000
)</f>
        <v>185.32649006910373</v>
      </c>
      <c r="G60" s="87">
        <f>IF(TrRoad_act!G36=0,0,G23/TrRoad_act!G36*1000
)</f>
        <v>213.21259287831168</v>
      </c>
      <c r="H60" s="87">
        <f>IF(TrRoad_act!H36=0,0,H23/TrRoad_act!H36*1000
)</f>
        <v>205.67253747402896</v>
      </c>
      <c r="I60" s="87">
        <f>IF(TrRoad_act!I36=0,0,I23/TrRoad_act!I36*1000
)</f>
        <v>175.29831983829732</v>
      </c>
      <c r="J60" s="87">
        <f>IF(TrRoad_act!J36=0,0,J23/TrRoad_act!J36*1000
)</f>
        <v>166.8693302140023</v>
      </c>
      <c r="K60" s="87">
        <f>IF(TrRoad_act!K36=0,0,K23/TrRoad_act!K36*1000
)</f>
        <v>190.25680926510918</v>
      </c>
      <c r="L60" s="87">
        <f>IF(TrRoad_act!L36=0,0,L23/TrRoad_act!L36*1000
)</f>
        <v>168.81859377192336</v>
      </c>
      <c r="M60" s="87">
        <f>IF(TrRoad_act!M36=0,0,M23/TrRoad_act!M36*1000
)</f>
        <v>171.49015332056646</v>
      </c>
      <c r="N60" s="87">
        <f>IF(TrRoad_act!N36=0,0,N23/TrRoad_act!N36*1000
)</f>
        <v>183.02295776627238</v>
      </c>
      <c r="O60" s="87">
        <f>IF(TrRoad_act!O36=0,0,O23/TrRoad_act!O36*1000
)</f>
        <v>170.47459431870456</v>
      </c>
      <c r="P60" s="87">
        <f>IF(TrRoad_act!P36=0,0,P23/TrRoad_act!P36*1000
)</f>
        <v>170.09945208458095</v>
      </c>
      <c r="Q60" s="87">
        <f>IF(TrRoad_act!Q36=0,0,Q23/TrRoad_act!Q36*1000
)</f>
        <v>167.55307501204533</v>
      </c>
      <c r="R60" s="87">
        <f>IF(TrRoad_act!R36=0,0,R23/TrRoad_act!R36*1000
)</f>
        <v>158.40346167837075</v>
      </c>
      <c r="S60" s="87">
        <f>IF(TrRoad_act!S36=0,0,S23/TrRoad_act!S36*1000
)</f>
        <v>161.8422140650101</v>
      </c>
      <c r="T60" s="87">
        <f>IF(TrRoad_act!T36=0,0,T23/TrRoad_act!T36*1000
)</f>
        <v>162.28235605510028</v>
      </c>
      <c r="U60" s="87">
        <f>IF(TrRoad_act!U36=0,0,U23/TrRoad_act!U36*1000
)</f>
        <v>163.61125564943498</v>
      </c>
      <c r="V60" s="87">
        <f>IF(TrRoad_act!V36=0,0,V23/TrRoad_act!V36*1000
)</f>
        <v>168.68937359947802</v>
      </c>
      <c r="W60" s="87">
        <f>IF(TrRoad_act!W36=0,0,W23/TrRoad_act!W36*1000
)</f>
        <v>176.51335010157339</v>
      </c>
      <c r="X60" s="87">
        <f>IF(TrRoad_act!X36=0,0,X23/TrRoad_act!X36*1000
)</f>
        <v>174.32060535762091</v>
      </c>
      <c r="Y60" s="87">
        <f>IF(TrRoad_act!Y36=0,0,Y23/TrRoad_act!Y36*1000
)</f>
        <v>172.37029219155363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172.50848797437112</v>
      </c>
      <c r="O61" s="87">
        <f>IF(TrRoad_act!O37=0,0,O24/TrRoad_act!O37*1000
)</f>
        <v>139.09739331704242</v>
      </c>
      <c r="P61" s="87">
        <f>IF(TrRoad_act!P37=0,0,P24/TrRoad_act!P37*1000
)</f>
        <v>129.87141369493213</v>
      </c>
      <c r="Q61" s="87">
        <f>IF(TrRoad_act!Q37=0,0,Q24/TrRoad_act!Q37*1000
)</f>
        <v>129.89977886663178</v>
      </c>
      <c r="R61" s="87">
        <f>IF(TrRoad_act!R37=0,0,R24/TrRoad_act!R37*1000
)</f>
        <v>130.53040234708456</v>
      </c>
      <c r="S61" s="87">
        <f>IF(TrRoad_act!S37=0,0,S24/TrRoad_act!S37*1000
)</f>
        <v>132.57590821808509</v>
      </c>
      <c r="T61" s="87">
        <f>IF(TrRoad_act!T37=0,0,T24/TrRoad_act!T37*1000
)</f>
        <v>133.89798787094168</v>
      </c>
      <c r="U61" s="87">
        <f>IF(TrRoad_act!U37=0,0,U24/TrRoad_act!U37*1000
)</f>
        <v>133.49376608441437</v>
      </c>
      <c r="V61" s="87">
        <f>IF(TrRoad_act!V37=0,0,V24/TrRoad_act!V37*1000
)</f>
        <v>127.57375011902325</v>
      </c>
      <c r="W61" s="87">
        <f>IF(TrRoad_act!W37=0,0,W24/TrRoad_act!W37*1000
)</f>
        <v>123.84682567709297</v>
      </c>
      <c r="X61" s="87">
        <f>IF(TrRoad_act!X37=0,0,X24/TrRoad_act!X37*1000
)</f>
        <v>118.07375501151458</v>
      </c>
      <c r="Y61" s="87">
        <f>IF(TrRoad_act!Y37=0,0,Y24/TrRoad_act!Y37*1000
)</f>
        <v>116.19292185829246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0</v>
      </c>
      <c r="O62" s="87">
        <f>IF(TrRoad_act!O38=0,0,O25/TrRoad_act!O38*1000
)</f>
        <v>74.12322614907859</v>
      </c>
      <c r="P62" s="87">
        <f>IF(TrRoad_act!P38=0,0,P25/TrRoad_act!P38*1000
)</f>
        <v>55.065906896420842</v>
      </c>
      <c r="Q62" s="87">
        <f>IF(TrRoad_act!Q38=0,0,Q25/TrRoad_act!Q38*1000
)</f>
        <v>51.74321149322941</v>
      </c>
      <c r="R62" s="87">
        <f>IF(TrRoad_act!R38=0,0,R25/TrRoad_act!R38*1000
)</f>
        <v>56.32654423891718</v>
      </c>
      <c r="S62" s="87">
        <f>IF(TrRoad_act!S38=0,0,S25/TrRoad_act!S38*1000
)</f>
        <v>55.100176965029405</v>
      </c>
      <c r="T62" s="87">
        <f>IF(TrRoad_act!T38=0,0,T25/TrRoad_act!T38*1000
)</f>
        <v>57.84545843805833</v>
      </c>
      <c r="U62" s="87">
        <f>IF(TrRoad_act!U38=0,0,U25/TrRoad_act!U38*1000
)</f>
        <v>63.419503757517312</v>
      </c>
      <c r="V62" s="87">
        <f>IF(TrRoad_act!V38=0,0,V25/TrRoad_act!V38*1000
)</f>
        <v>63.802508182703818</v>
      </c>
      <c r="W62" s="87">
        <f>IF(TrRoad_act!W38=0,0,W25/TrRoad_act!W38*1000
)</f>
        <v>57.97842877348323</v>
      </c>
      <c r="X62" s="87">
        <f>IF(TrRoad_act!X38=0,0,X25/TrRoad_act!X38*1000
)</f>
        <v>51.079175326463847</v>
      </c>
      <c r="Y62" s="87">
        <f>IF(TrRoad_act!Y38=0,0,Y25/TrRoad_act!Y38*1000
)</f>
        <v>45.52163021245979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1917.4725871858088</v>
      </c>
      <c r="C64" s="116">
        <f>IF(TrRoad_act!C40=0,0,C27/TrRoad_act!C40*1000
)</f>
        <v>1797.2318606514621</v>
      </c>
      <c r="D64" s="116">
        <f>IF(TrRoad_act!D40=0,0,D27/TrRoad_act!D40*1000
)</f>
        <v>1732.2423477413106</v>
      </c>
      <c r="E64" s="116">
        <f>IF(TrRoad_act!E40=0,0,E27/TrRoad_act!E40*1000
)</f>
        <v>1676.3835891614449</v>
      </c>
      <c r="F64" s="116">
        <f>IF(TrRoad_act!F40=0,0,F27/TrRoad_act!F40*1000
)</f>
        <v>1665.8810354017542</v>
      </c>
      <c r="G64" s="116">
        <f>IF(TrRoad_act!G40=0,0,G27/TrRoad_act!G40*1000
)</f>
        <v>1649.5863143103129</v>
      </c>
      <c r="H64" s="116">
        <f>IF(TrRoad_act!H40=0,0,H27/TrRoad_act!H40*1000
)</f>
        <v>1608.2588190853139</v>
      </c>
      <c r="I64" s="116">
        <f>IF(TrRoad_act!I40=0,0,I27/TrRoad_act!I40*1000
)</f>
        <v>1556.0316018578708</v>
      </c>
      <c r="J64" s="116">
        <f>IF(TrRoad_act!J40=0,0,J27/TrRoad_act!J40*1000
)</f>
        <v>1548.9926438678301</v>
      </c>
      <c r="K64" s="116">
        <f>IF(TrRoad_act!K40=0,0,K27/TrRoad_act!K40*1000
)</f>
        <v>1529.3023855440156</v>
      </c>
      <c r="L64" s="116">
        <f>IF(TrRoad_act!L40=0,0,L27/TrRoad_act!L40*1000
)</f>
        <v>1540.9485384683067</v>
      </c>
      <c r="M64" s="116">
        <f>IF(TrRoad_act!M40=0,0,M27/TrRoad_act!M40*1000
)</f>
        <v>1535.1567174865693</v>
      </c>
      <c r="N64" s="116">
        <f>IF(TrRoad_act!N40=0,0,N27/TrRoad_act!N40*1000
)</f>
        <v>1511.2707351804461</v>
      </c>
      <c r="O64" s="116">
        <f>IF(TrRoad_act!O40=0,0,O27/TrRoad_act!O40*1000
)</f>
        <v>1231.634471940806</v>
      </c>
      <c r="P64" s="116">
        <f>IF(TrRoad_act!P40=0,0,P27/TrRoad_act!P40*1000
)</f>
        <v>1234.1816965509488</v>
      </c>
      <c r="Q64" s="116">
        <f>IF(TrRoad_act!Q40=0,0,Q27/TrRoad_act!Q40*1000
)</f>
        <v>1168.7172091075495</v>
      </c>
      <c r="R64" s="116">
        <f>IF(TrRoad_act!R40=0,0,R27/TrRoad_act!R40*1000
)</f>
        <v>1163.0653263474694</v>
      </c>
      <c r="S64" s="116">
        <f>IF(TrRoad_act!S40=0,0,S27/TrRoad_act!S40*1000
)</f>
        <v>1157.0099305890219</v>
      </c>
      <c r="T64" s="116">
        <f>IF(TrRoad_act!T40=0,0,T27/TrRoad_act!T40*1000
)</f>
        <v>1156.9031010172916</v>
      </c>
      <c r="U64" s="116">
        <f>IF(TrRoad_act!U40=0,0,U27/TrRoad_act!U40*1000
)</f>
        <v>1165.9718104171623</v>
      </c>
      <c r="V64" s="116">
        <f>IF(TrRoad_act!V40=0,0,V27/TrRoad_act!V40*1000
)</f>
        <v>1118.9498402987476</v>
      </c>
      <c r="W64" s="116">
        <f>IF(TrRoad_act!W40=0,0,W27/TrRoad_act!W40*1000
)</f>
        <v>1024.4210173016349</v>
      </c>
      <c r="X64" s="116">
        <f>IF(TrRoad_act!X40=0,0,X27/TrRoad_act!X40*1000
)</f>
        <v>981.88317991423344</v>
      </c>
      <c r="Y64" s="116">
        <f>IF(TrRoad_act!Y40=0,0,Y27/TrRoad_act!Y40*1000
)</f>
        <v>980.7623510928845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459.21995459572116</v>
      </c>
      <c r="E65" s="101">
        <f>IF(TrRoad_act!E41=0,0,E28/TrRoad_act!E41*1000
)</f>
        <v>458.14831504769683</v>
      </c>
      <c r="F65" s="101">
        <f>IF(TrRoad_act!F41=0,0,F28/TrRoad_act!F41*1000
)</f>
        <v>458.06024907095309</v>
      </c>
      <c r="G65" s="101">
        <f>IF(TrRoad_act!G41=0,0,G28/TrRoad_act!G41*1000
)</f>
        <v>457.14695746411144</v>
      </c>
      <c r="H65" s="101">
        <f>IF(TrRoad_act!H41=0,0,H28/TrRoad_act!H41*1000
)</f>
        <v>451.12268083059098</v>
      </c>
      <c r="I65" s="101">
        <f>IF(TrRoad_act!I41=0,0,I28/TrRoad_act!I41*1000
)</f>
        <v>445.69420602128588</v>
      </c>
      <c r="J65" s="101">
        <f>IF(TrRoad_act!J41=0,0,J28/TrRoad_act!J41*1000
)</f>
        <v>441.34080126582728</v>
      </c>
      <c r="K65" s="101">
        <f>IF(TrRoad_act!K41=0,0,K28/TrRoad_act!K41*1000
)</f>
        <v>440.55658882611181</v>
      </c>
      <c r="L65" s="101">
        <f>IF(TrRoad_act!L41=0,0,L28/TrRoad_act!L41*1000
)</f>
        <v>441.44526164470273</v>
      </c>
      <c r="M65" s="101">
        <f>IF(TrRoad_act!M41=0,0,M28/TrRoad_act!M41*1000
)</f>
        <v>439.55226957568487</v>
      </c>
      <c r="N65" s="101">
        <f>IF(TrRoad_act!N41=0,0,N28/TrRoad_act!N41*1000
)</f>
        <v>439.78928276084235</v>
      </c>
      <c r="O65" s="101">
        <f>IF(TrRoad_act!O41=0,0,O28/TrRoad_act!O41*1000
)</f>
        <v>348.15714361557917</v>
      </c>
      <c r="P65" s="101">
        <f>IF(TrRoad_act!P41=0,0,P28/TrRoad_act!P41*1000
)</f>
        <v>344.85602194613045</v>
      </c>
      <c r="Q65" s="101">
        <f>IF(TrRoad_act!Q41=0,0,Q28/TrRoad_act!Q41*1000
)</f>
        <v>338.22991219452371</v>
      </c>
      <c r="R65" s="101">
        <f>IF(TrRoad_act!R41=0,0,R28/TrRoad_act!R41*1000
)</f>
        <v>344.30372254370957</v>
      </c>
      <c r="S65" s="101">
        <f>IF(TrRoad_act!S41=0,0,S28/TrRoad_act!S41*1000
)</f>
        <v>341.32549385519548</v>
      </c>
      <c r="T65" s="101">
        <f>IF(TrRoad_act!T41=0,0,T28/TrRoad_act!T41*1000
)</f>
        <v>342.80051165677389</v>
      </c>
      <c r="U65" s="101">
        <f>IF(TrRoad_act!U41=0,0,U28/TrRoad_act!U41*1000
)</f>
        <v>340.91036382345862</v>
      </c>
      <c r="V65" s="101">
        <f>IF(TrRoad_act!V41=0,0,V28/TrRoad_act!V41*1000
)</f>
        <v>332.51612390430142</v>
      </c>
      <c r="W65" s="101">
        <f>IF(TrRoad_act!W41=0,0,W28/TrRoad_act!W41*1000
)</f>
        <v>331.53892490575106</v>
      </c>
      <c r="X65" s="101">
        <f>IF(TrRoad_act!X41=0,0,X28/TrRoad_act!X41*1000
)</f>
        <v>329.85829577256311</v>
      </c>
      <c r="Y65" s="101">
        <f>IF(TrRoad_act!Y41=0,0,Y28/TrRoad_act!Y41*1000
)</f>
        <v>331.36292244139008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1917.4725871858088</v>
      </c>
      <c r="C66" s="101">
        <f>IF(TrRoad_act!C42=0,0,C29/TrRoad_act!C42*1000
)</f>
        <v>1797.2318606514621</v>
      </c>
      <c r="D66" s="101">
        <f>IF(TrRoad_act!D42=0,0,D29/TrRoad_act!D42*1000
)</f>
        <v>1737.406653570828</v>
      </c>
      <c r="E66" s="101">
        <f>IF(TrRoad_act!E42=0,0,E29/TrRoad_act!E42*1000
)</f>
        <v>1683.5931960447458</v>
      </c>
      <c r="F66" s="101">
        <f>IF(TrRoad_act!F42=0,0,F29/TrRoad_act!F42*1000
)</f>
        <v>1681.2869278824292</v>
      </c>
      <c r="G66" s="101">
        <f>IF(TrRoad_act!G42=0,0,G29/TrRoad_act!G42*1000
)</f>
        <v>1688.1130583307929</v>
      </c>
      <c r="H66" s="101">
        <f>IF(TrRoad_act!H42=0,0,H29/TrRoad_act!H42*1000
)</f>
        <v>1671.0724414761498</v>
      </c>
      <c r="I66" s="101">
        <f>IF(TrRoad_act!I42=0,0,I29/TrRoad_act!I42*1000
)</f>
        <v>1637.473947112896</v>
      </c>
      <c r="J66" s="101">
        <f>IF(TrRoad_act!J42=0,0,J29/TrRoad_act!J42*1000
)</f>
        <v>1635.7785202981772</v>
      </c>
      <c r="K66" s="101">
        <f>IF(TrRoad_act!K42=0,0,K29/TrRoad_act!K42*1000
)</f>
        <v>1635.0455184952193</v>
      </c>
      <c r="L66" s="101">
        <f>IF(TrRoad_act!L42=0,0,L29/TrRoad_act!L42*1000
)</f>
        <v>1652.5896831915425</v>
      </c>
      <c r="M66" s="101">
        <f>IF(TrRoad_act!M42=0,0,M29/TrRoad_act!M42*1000
)</f>
        <v>1648.5470526912643</v>
      </c>
      <c r="N66" s="101">
        <f>IF(TrRoad_act!N42=0,0,N29/TrRoad_act!N42*1000
)</f>
        <v>1627.483507702925</v>
      </c>
      <c r="O66" s="101">
        <f>IF(TrRoad_act!O42=0,0,O29/TrRoad_act!O42*1000
)</f>
        <v>1629.8452415144675</v>
      </c>
      <c r="P66" s="101">
        <f>IF(TrRoad_act!P42=0,0,P29/TrRoad_act!P42*1000
)</f>
        <v>1634.1576130055382</v>
      </c>
      <c r="Q66" s="101">
        <f>IF(TrRoad_act!Q42=0,0,Q29/TrRoad_act!Q42*1000
)</f>
        <v>1640.1533026980733</v>
      </c>
      <c r="R66" s="101">
        <f>IF(TrRoad_act!R42=0,0,R29/TrRoad_act!R42*1000
)</f>
        <v>1658.0336990471562</v>
      </c>
      <c r="S66" s="101">
        <f>IF(TrRoad_act!S42=0,0,S29/TrRoad_act!S42*1000
)</f>
        <v>1647.2892340495505</v>
      </c>
      <c r="T66" s="101">
        <f>IF(TrRoad_act!T42=0,0,T29/TrRoad_act!T42*1000
)</f>
        <v>1634.2495480027426</v>
      </c>
      <c r="U66" s="101">
        <f>IF(TrRoad_act!U42=0,0,U29/TrRoad_act!U42*1000
)</f>
        <v>1631.1853522676477</v>
      </c>
      <c r="V66" s="101">
        <f>IF(TrRoad_act!V42=0,0,V29/TrRoad_act!V42*1000
)</f>
        <v>1600.8874526000232</v>
      </c>
      <c r="W66" s="101">
        <f>IF(TrRoad_act!W42=0,0,W29/TrRoad_act!W42*1000
)</f>
        <v>1554.5623846611786</v>
      </c>
      <c r="X66" s="101">
        <f>IF(TrRoad_act!X42=0,0,X29/TrRoad_act!X42*1000
)</f>
        <v>1534.4210606487673</v>
      </c>
      <c r="Y66" s="101">
        <f>IF(TrRoad_act!Y42=0,0,Y29/TrRoad_act!Y42*1000
)</f>
        <v>1498.9047384919461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1169.8333047235558</v>
      </c>
      <c r="E67" s="101">
        <f>IF(TrRoad_act!E43=0,0,E30/TrRoad_act!E43*1000
)</f>
        <v>1169.8333047235558</v>
      </c>
      <c r="F67" s="101">
        <f>IF(TrRoad_act!F43=0,0,F30/TrRoad_act!F43*1000
)</f>
        <v>1169.8333047235558</v>
      </c>
      <c r="G67" s="101">
        <f>IF(TrRoad_act!G43=0,0,G30/TrRoad_act!G43*1000
)</f>
        <v>1169.8333047235558</v>
      </c>
      <c r="H67" s="101">
        <f>IF(TrRoad_act!H43=0,0,H30/TrRoad_act!H43*1000
)</f>
        <v>1169.8333047235558</v>
      </c>
      <c r="I67" s="101">
        <f>IF(TrRoad_act!I43=0,0,I30/TrRoad_act!I43*1000
)</f>
        <v>1169.8333047235556</v>
      </c>
      <c r="J67" s="101">
        <f>IF(TrRoad_act!J43=0,0,J30/TrRoad_act!J43*1000
)</f>
        <v>1169.833304723556</v>
      </c>
      <c r="K67" s="101">
        <f>IF(TrRoad_act!K43=0,0,K30/TrRoad_act!K43*1000
)</f>
        <v>1169.8333047235558</v>
      </c>
      <c r="L67" s="101">
        <f>IF(TrRoad_act!L43=0,0,L30/TrRoad_act!L43*1000
)</f>
        <v>1169.8333047235558</v>
      </c>
      <c r="M67" s="101">
        <f>IF(TrRoad_act!M43=0,0,M30/TrRoad_act!M43*1000
)</f>
        <v>1181.2885266998526</v>
      </c>
      <c r="N67" s="101">
        <f>IF(TrRoad_act!N43=0,0,N30/TrRoad_act!N43*1000
)</f>
        <v>1181.2885266998524</v>
      </c>
      <c r="O67" s="101">
        <f>IF(TrRoad_act!O43=0,0,O30/TrRoad_act!O43*1000
)</f>
        <v>1197.6234141118623</v>
      </c>
      <c r="P67" s="101">
        <f>IF(TrRoad_act!P43=0,0,P30/TrRoad_act!P43*1000
)</f>
        <v>1204.228797438926</v>
      </c>
      <c r="Q67" s="101">
        <f>IF(TrRoad_act!Q43=0,0,Q30/TrRoad_act!Q43*1000
)</f>
        <v>1204.4834434256722</v>
      </c>
      <c r="R67" s="101">
        <f>IF(TrRoad_act!R43=0,0,R30/TrRoad_act!R43*1000
)</f>
        <v>1204.493260528455</v>
      </c>
      <c r="S67" s="101">
        <f>IF(TrRoad_act!S43=0,0,S30/TrRoad_act!S43*1000
)</f>
        <v>1204.9380657145407</v>
      </c>
      <c r="T67" s="101">
        <f>IF(TrRoad_act!T43=0,0,T30/TrRoad_act!T43*1000
)</f>
        <v>1205.8558867158804</v>
      </c>
      <c r="U67" s="101">
        <f>IF(TrRoad_act!U43=0,0,U30/TrRoad_act!U43*1000
)</f>
        <v>1207.8959310625362</v>
      </c>
      <c r="V67" s="101">
        <f>IF(TrRoad_act!V43=0,0,V30/TrRoad_act!V43*1000
)</f>
        <v>1208.153131120622</v>
      </c>
      <c r="W67" s="101">
        <f>IF(TrRoad_act!W43=0,0,W30/TrRoad_act!W43*1000
)</f>
        <v>1208.4330613576622</v>
      </c>
      <c r="X67" s="101">
        <f>IF(TrRoad_act!X43=0,0,X30/TrRoad_act!X43*1000
)</f>
        <v>1208.6603950034623</v>
      </c>
      <c r="Y67" s="101">
        <f>IF(TrRoad_act!Y43=0,0,Y30/TrRoad_act!Y43*1000
)</f>
        <v>1208.1395015383887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1069.5678587785612</v>
      </c>
      <c r="L68" s="101">
        <f>IF(TrRoad_act!L44=0,0,L31/TrRoad_act!L44*1000
)</f>
        <v>1200.0124900841263</v>
      </c>
      <c r="M68" s="101">
        <f>IF(TrRoad_act!M44=0,0,M31/TrRoad_act!M44*1000
)</f>
        <v>1206.9160734088991</v>
      </c>
      <c r="N68" s="101">
        <f>IF(TrRoad_act!N44=0,0,N31/TrRoad_act!N44*1000
)</f>
        <v>1109.5250147802026</v>
      </c>
      <c r="O68" s="101">
        <f>IF(TrRoad_act!O44=0,0,O31/TrRoad_act!O44*1000
)</f>
        <v>1010.8674910767679</v>
      </c>
      <c r="P68" s="101">
        <f>IF(TrRoad_act!P44=0,0,P31/TrRoad_act!P44*1000
)</f>
        <v>960.13338087451871</v>
      </c>
      <c r="Q68" s="101">
        <f>IF(TrRoad_act!Q44=0,0,Q31/TrRoad_act!Q44*1000
)</f>
        <v>830.47053773326456</v>
      </c>
      <c r="R68" s="101">
        <f>IF(TrRoad_act!R44=0,0,R31/TrRoad_act!R44*1000
)</f>
        <v>785.95726462784432</v>
      </c>
      <c r="S68" s="101">
        <f>IF(TrRoad_act!S44=0,0,S31/TrRoad_act!S44*1000
)</f>
        <v>784.33499158241</v>
      </c>
      <c r="T68" s="101">
        <f>IF(TrRoad_act!T44=0,0,T31/TrRoad_act!T44*1000
)</f>
        <v>786.63604827324571</v>
      </c>
      <c r="U68" s="101">
        <f>IF(TrRoad_act!U44=0,0,U31/TrRoad_act!U44*1000
)</f>
        <v>795.99665982922272</v>
      </c>
      <c r="V68" s="101">
        <f>IF(TrRoad_act!V44=0,0,V31/TrRoad_act!V44*1000
)</f>
        <v>804.72859438177079</v>
      </c>
      <c r="W68" s="101">
        <f>IF(TrRoad_act!W44=0,0,W31/TrRoad_act!W44*1000
)</f>
        <v>823.16026880933771</v>
      </c>
      <c r="X68" s="101">
        <f>IF(TrRoad_act!X44=0,0,X31/TrRoad_act!X44*1000
)</f>
        <v>696.14036824068262</v>
      </c>
      <c r="Y68" s="101">
        <f>IF(TrRoad_act!Y44=0,0,Y31/TrRoad_act!Y44*1000
)</f>
        <v>708.94646829362614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919.11673583981872</v>
      </c>
      <c r="C70" s="29">
        <f>IF(TrRoad_act!C46=0,0,C33/TrRoad_act!C46*1000
)</f>
        <v>1178.7547616450452</v>
      </c>
      <c r="D70" s="29">
        <f>IF(TrRoad_act!D46=0,0,D33/TrRoad_act!D46*1000
)</f>
        <v>1144.980882895348</v>
      </c>
      <c r="E70" s="29">
        <f>IF(TrRoad_act!E46=0,0,E33/TrRoad_act!E46*1000
)</f>
        <v>825.30348015739548</v>
      </c>
      <c r="F70" s="29">
        <f>IF(TrRoad_act!F46=0,0,F33/TrRoad_act!F46*1000
)</f>
        <v>937.76840206964653</v>
      </c>
      <c r="G70" s="29">
        <f>IF(TrRoad_act!G46=0,0,G33/TrRoad_act!G46*1000
)</f>
        <v>875.69683055883661</v>
      </c>
      <c r="H70" s="29">
        <f>IF(TrRoad_act!H46=0,0,H33/TrRoad_act!H46*1000
)</f>
        <v>718.11959565661289</v>
      </c>
      <c r="I70" s="29">
        <f>IF(TrRoad_act!I46=0,0,I33/TrRoad_act!I46*1000
)</f>
        <v>980.47727123989614</v>
      </c>
      <c r="J70" s="29">
        <f>IF(TrRoad_act!J46=0,0,J33/TrRoad_act!J46*1000
)</f>
        <v>1059.9677440711839</v>
      </c>
      <c r="K70" s="29">
        <f>IF(TrRoad_act!K46=0,0,K33/TrRoad_act!K46*1000
)</f>
        <v>602.31503476467435</v>
      </c>
      <c r="L70" s="29">
        <f>IF(TrRoad_act!L46=0,0,L33/TrRoad_act!L46*1000
)</f>
        <v>785.59296117200347</v>
      </c>
      <c r="M70" s="29">
        <f>IF(TrRoad_act!M46=0,0,M33/TrRoad_act!M46*1000
)</f>
        <v>873.14099189066098</v>
      </c>
      <c r="N70" s="29">
        <f>IF(TrRoad_act!N46=0,0,N33/TrRoad_act!N46*1000
)</f>
        <v>581.51104471273413</v>
      </c>
      <c r="O70" s="29">
        <f>IF(TrRoad_act!O46=0,0,O33/TrRoad_act!O46*1000
)</f>
        <v>608.49932926827466</v>
      </c>
      <c r="P70" s="29">
        <f>IF(TrRoad_act!P46=0,0,P33/TrRoad_act!P46*1000
)</f>
        <v>912.91968658867813</v>
      </c>
      <c r="Q70" s="29">
        <f>IF(TrRoad_act!Q46=0,0,Q33/TrRoad_act!Q46*1000
)</f>
        <v>954.45932226521859</v>
      </c>
      <c r="R70" s="29">
        <f>IF(TrRoad_act!R46=0,0,R33/TrRoad_act!R46*1000
)</f>
        <v>884.51980781626787</v>
      </c>
      <c r="S70" s="29">
        <f>IF(TrRoad_act!S46=0,0,S33/TrRoad_act!S46*1000
)</f>
        <v>911.77222487157906</v>
      </c>
      <c r="T70" s="29">
        <f>IF(TrRoad_act!T46=0,0,T33/TrRoad_act!T46*1000
)</f>
        <v>965.44792055985249</v>
      </c>
      <c r="U70" s="29">
        <f>IF(TrRoad_act!U46=0,0,U33/TrRoad_act!U46*1000
)</f>
        <v>987.11687691310067</v>
      </c>
      <c r="V70" s="29">
        <f>IF(TrRoad_act!V46=0,0,V33/TrRoad_act!V46*1000
)</f>
        <v>990.01655861294512</v>
      </c>
      <c r="W70" s="29">
        <f>IF(TrRoad_act!W46=0,0,W33/TrRoad_act!W46*1000
)</f>
        <v>1003.2772273896118</v>
      </c>
      <c r="X70" s="29">
        <f>IF(TrRoad_act!X46=0,0,X33/TrRoad_act!X46*1000
)</f>
        <v>1007.5833979853847</v>
      </c>
      <c r="Y70" s="29">
        <f>IF(TrRoad_act!Y46=0,0,Y33/TrRoad_act!Y46*1000
)</f>
        <v>956.3553358038539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370.18222764973274</v>
      </c>
      <c r="C71" s="152">
        <f>IF(TrRoad_act!C47=0,0,C34/TrRoad_act!C47*1000
)</f>
        <v>360.6663612713516</v>
      </c>
      <c r="D71" s="152">
        <f>IF(TrRoad_act!D47=0,0,D34/TrRoad_act!D47*1000
)</f>
        <v>334.36529653868513</v>
      </c>
      <c r="E71" s="152">
        <f>IF(TrRoad_act!E47=0,0,E34/TrRoad_act!E47*1000
)</f>
        <v>318.69127725647286</v>
      </c>
      <c r="F71" s="152">
        <f>IF(TrRoad_act!F47=0,0,F34/TrRoad_act!F47*1000
)</f>
        <v>316.03156451291176</v>
      </c>
      <c r="G71" s="152">
        <f>IF(TrRoad_act!G47=0,0,G34/TrRoad_act!G47*1000
)</f>
        <v>299.95218487555832</v>
      </c>
      <c r="H71" s="152">
        <f>IF(TrRoad_act!H47=0,0,H34/TrRoad_act!H47*1000
)</f>
        <v>280.39718353491094</v>
      </c>
      <c r="I71" s="152">
        <f>IF(TrRoad_act!I47=0,0,I34/TrRoad_act!I47*1000
)</f>
        <v>277.56988104128573</v>
      </c>
      <c r="J71" s="152">
        <f>IF(TrRoad_act!J47=0,0,J34/TrRoad_act!J47*1000
)</f>
        <v>268.00062169060948</v>
      </c>
      <c r="K71" s="152">
        <f>IF(TrRoad_act!K47=0,0,K34/TrRoad_act!K47*1000
)</f>
        <v>250.01871787247393</v>
      </c>
      <c r="L71" s="152">
        <f>IF(TrRoad_act!L47=0,0,L34/TrRoad_act!L47*1000
)</f>
        <v>261.09195669317569</v>
      </c>
      <c r="M71" s="152">
        <f>IF(TrRoad_act!M47=0,0,M34/TrRoad_act!M47*1000
)</f>
        <v>260.47957074296079</v>
      </c>
      <c r="N71" s="152">
        <f>IF(TrRoad_act!N47=0,0,N34/TrRoad_act!N47*1000
)</f>
        <v>254.77462804102717</v>
      </c>
      <c r="O71" s="152">
        <f>IF(TrRoad_act!O47=0,0,O34/TrRoad_act!O47*1000
)</f>
        <v>255.76559679559847</v>
      </c>
      <c r="P71" s="152">
        <f>IF(TrRoad_act!P47=0,0,P34/TrRoad_act!P47*1000
)</f>
        <v>262.80961467579789</v>
      </c>
      <c r="Q71" s="152">
        <f>IF(TrRoad_act!Q47=0,0,Q34/TrRoad_act!Q47*1000
)</f>
        <v>267.3294751390942</v>
      </c>
      <c r="R71" s="152">
        <f>IF(TrRoad_act!R47=0,0,R34/TrRoad_act!R47*1000
)</f>
        <v>271.34312256772012</v>
      </c>
      <c r="S71" s="152">
        <f>IF(TrRoad_act!S47=0,0,S34/TrRoad_act!S47*1000
)</f>
        <v>277.71618861085778</v>
      </c>
      <c r="T71" s="152">
        <f>IF(TrRoad_act!T47=0,0,T34/TrRoad_act!T47*1000
)</f>
        <v>279.77686339958268</v>
      </c>
      <c r="U71" s="152">
        <f>IF(TrRoad_act!U47=0,0,U34/TrRoad_act!U47*1000
)</f>
        <v>280.84957256824254</v>
      </c>
      <c r="V71" s="152">
        <f>IF(TrRoad_act!V47=0,0,V34/TrRoad_act!V47*1000
)</f>
        <v>276.90585508261529</v>
      </c>
      <c r="W71" s="152">
        <f>IF(TrRoad_act!W47=0,0,W34/TrRoad_act!W47*1000
)</f>
        <v>272.43897596630916</v>
      </c>
      <c r="X71" s="152">
        <f>IF(TrRoad_act!X47=0,0,X34/TrRoad_act!X47*1000
)</f>
        <v>274.97638496345053</v>
      </c>
      <c r="Y71" s="152">
        <f>IF(TrRoad_act!Y47=0,0,Y34/TrRoad_act!Y47*1000
)</f>
        <v>270.74800214933384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346.8071628981391</v>
      </c>
      <c r="C72" s="87">
        <f>IF(TrRoad_act!C48=0,0,C35/TrRoad_act!C48*1000
)</f>
        <v>335.87235710103528</v>
      </c>
      <c r="D72" s="87">
        <f>IF(TrRoad_act!D48=0,0,D35/TrRoad_act!D48*1000
)</f>
        <v>326.48898641975273</v>
      </c>
      <c r="E72" s="87">
        <f>IF(TrRoad_act!E48=0,0,E35/TrRoad_act!E48*1000
)</f>
        <v>319.08260283473584</v>
      </c>
      <c r="F72" s="87">
        <f>IF(TrRoad_act!F48=0,0,F35/TrRoad_act!F48*1000
)</f>
        <v>313.06094473988543</v>
      </c>
      <c r="G72" s="87">
        <f>IF(TrRoad_act!G48=0,0,G35/TrRoad_act!G48*1000
)</f>
        <v>307.27816011931071</v>
      </c>
      <c r="H72" s="87">
        <f>IF(TrRoad_act!H48=0,0,H35/TrRoad_act!H48*1000
)</f>
        <v>298.86430935563789</v>
      </c>
      <c r="I72" s="87">
        <f>IF(TrRoad_act!I48=0,0,I35/TrRoad_act!I48*1000
)</f>
        <v>292.51528684473101</v>
      </c>
      <c r="J72" s="87">
        <f>IF(TrRoad_act!J48=0,0,J35/TrRoad_act!J48*1000
)</f>
        <v>287.62664533902949</v>
      </c>
      <c r="K72" s="87">
        <f>IF(TrRoad_act!K48=0,0,K35/TrRoad_act!K48*1000
)</f>
        <v>284.59286958742859</v>
      </c>
      <c r="L72" s="87">
        <f>IF(TrRoad_act!L48=0,0,L35/TrRoad_act!L48*1000
)</f>
        <v>286.81089878018179</v>
      </c>
      <c r="M72" s="87">
        <f>IF(TrRoad_act!M48=0,0,M35/TrRoad_act!M48*1000
)</f>
        <v>286.55060786309014</v>
      </c>
      <c r="N72" s="87">
        <f>IF(TrRoad_act!N48=0,0,N35/TrRoad_act!N48*1000
)</f>
        <v>284.16039519199086</v>
      </c>
      <c r="O72" s="87">
        <f>IF(TrRoad_act!O48=0,0,O35/TrRoad_act!O48*1000
)</f>
        <v>281.76791863882016</v>
      </c>
      <c r="P72" s="87">
        <f>IF(TrRoad_act!P48=0,0,P35/TrRoad_act!P48*1000
)</f>
        <v>277.22631717229376</v>
      </c>
      <c r="Q72" s="87">
        <f>IF(TrRoad_act!Q48=0,0,Q35/TrRoad_act!Q48*1000
)</f>
        <v>265.72657667975176</v>
      </c>
      <c r="R72" s="87">
        <f>IF(TrRoad_act!R48=0,0,R35/TrRoad_act!R48*1000
)</f>
        <v>266.73115688442391</v>
      </c>
      <c r="S72" s="87">
        <f>IF(TrRoad_act!S48=0,0,S35/TrRoad_act!S48*1000
)</f>
        <v>259.53177552864258</v>
      </c>
      <c r="T72" s="87">
        <f>IF(TrRoad_act!T48=0,0,T35/TrRoad_act!T48*1000
)</f>
        <v>255.8606871479443</v>
      </c>
      <c r="U72" s="87">
        <f>IF(TrRoad_act!U48=0,0,U35/TrRoad_act!U48*1000
)</f>
        <v>263.54833745549422</v>
      </c>
      <c r="V72" s="87">
        <f>IF(TrRoad_act!V48=0,0,V35/TrRoad_act!V48*1000
)</f>
        <v>254.13150168907893</v>
      </c>
      <c r="W72" s="87">
        <f>IF(TrRoad_act!W48=0,0,W35/TrRoad_act!W48*1000
)</f>
        <v>249.9947408855837</v>
      </c>
      <c r="X72" s="87">
        <f>IF(TrRoad_act!X48=0,0,X35/TrRoad_act!X48*1000
)</f>
        <v>247.98472075651094</v>
      </c>
      <c r="Y72" s="87">
        <f>IF(TrRoad_act!Y48=0,0,Y35/TrRoad_act!Y48*1000
)</f>
        <v>248.80941817487596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373.9630703559825</v>
      </c>
      <c r="C73" s="87">
        <f>IF(TrRoad_act!C49=0,0,C36/TrRoad_act!C49*1000
)</f>
        <v>364.51822501016392</v>
      </c>
      <c r="D73" s="87">
        <f>IF(TrRoad_act!D49=0,0,D36/TrRoad_act!D49*1000
)</f>
        <v>335.47213764825437</v>
      </c>
      <c r="E73" s="87">
        <f>IF(TrRoad_act!E49=0,0,E36/TrRoad_act!E49*1000
)</f>
        <v>318.64092411440498</v>
      </c>
      <c r="F73" s="87">
        <f>IF(TrRoad_act!F49=0,0,F36/TrRoad_act!F49*1000
)</f>
        <v>316.38599604246463</v>
      </c>
      <c r="G73" s="87">
        <f>IF(TrRoad_act!G49=0,0,G36/TrRoad_act!G49*1000
)</f>
        <v>299.15402129358199</v>
      </c>
      <c r="H73" s="87">
        <f>IF(TrRoad_act!H49=0,0,H36/TrRoad_act!H49*1000
)</f>
        <v>278.36527286965207</v>
      </c>
      <c r="I73" s="87">
        <f>IF(TrRoad_act!I49=0,0,I36/TrRoad_act!I49*1000
)</f>
        <v>275.90912896843076</v>
      </c>
      <c r="J73" s="87">
        <f>IF(TrRoad_act!J49=0,0,J36/TrRoad_act!J49*1000
)</f>
        <v>266.11325434764439</v>
      </c>
      <c r="K73" s="87">
        <f>IF(TrRoad_act!K49=0,0,K36/TrRoad_act!K49*1000
)</f>
        <v>247.32764283133116</v>
      </c>
      <c r="L73" s="87">
        <f>IF(TrRoad_act!L49=0,0,L36/TrRoad_act!L49*1000
)</f>
        <v>259.16171683828674</v>
      </c>
      <c r="M73" s="87">
        <f>IF(TrRoad_act!M49=0,0,M36/TrRoad_act!M49*1000
)</f>
        <v>258.96936156803042</v>
      </c>
      <c r="N73" s="87">
        <f>IF(TrRoad_act!N49=0,0,N36/TrRoad_act!N49*1000
)</f>
        <v>253.48620295235202</v>
      </c>
      <c r="O73" s="87">
        <f>IF(TrRoad_act!O49=0,0,O36/TrRoad_act!O49*1000
)</f>
        <v>254.79957881555072</v>
      </c>
      <c r="P73" s="87">
        <f>IF(TrRoad_act!P49=0,0,P36/TrRoad_act!P49*1000
)</f>
        <v>262.38148935216736</v>
      </c>
      <c r="Q73" s="87">
        <f>IF(TrRoad_act!Q49=0,0,Q36/TrRoad_act!Q49*1000
)</f>
        <v>267.36839945606113</v>
      </c>
      <c r="R73" s="87">
        <f>IF(TrRoad_act!R49=0,0,R36/TrRoad_act!R49*1000
)</f>
        <v>271.44158148832338</v>
      </c>
      <c r="S73" s="87">
        <f>IF(TrRoad_act!S49=0,0,S36/TrRoad_act!S49*1000
)</f>
        <v>278.07365451247449</v>
      </c>
      <c r="T73" s="87">
        <f>IF(TrRoad_act!T49=0,0,T36/TrRoad_act!T49*1000
)</f>
        <v>280.2084563150749</v>
      </c>
      <c r="U73" s="87">
        <f>IF(TrRoad_act!U49=0,0,U36/TrRoad_act!U49*1000
)</f>
        <v>281.24599624962633</v>
      </c>
      <c r="V73" s="87">
        <f>IF(TrRoad_act!V49=0,0,V36/TrRoad_act!V49*1000
)</f>
        <v>277.35790544106584</v>
      </c>
      <c r="W73" s="87">
        <f>IF(TrRoad_act!W49=0,0,W36/TrRoad_act!W49*1000
)</f>
        <v>272.8335937249289</v>
      </c>
      <c r="X73" s="87">
        <f>IF(TrRoad_act!X49=0,0,X36/TrRoad_act!X49*1000
)</f>
        <v>275.38898962278483</v>
      </c>
      <c r="Y73" s="87">
        <f>IF(TrRoad_act!Y49=0,0,Y36/TrRoad_act!Y49*1000
)</f>
        <v>271.02949944252794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0</v>
      </c>
      <c r="T74" s="87">
        <f>IF(TrRoad_act!T50=0,0,T37/TrRoad_act!T50*1000
)</f>
        <v>0</v>
      </c>
      <c r="U74" s="87">
        <f>IF(TrRoad_act!U50=0,0,U37/TrRoad_act!U50*1000
)</f>
        <v>0</v>
      </c>
      <c r="V74" s="87">
        <f>IF(TrRoad_act!V50=0,0,V37/TrRoad_act!V50*1000
)</f>
        <v>0</v>
      </c>
      <c r="W74" s="87">
        <f>IF(TrRoad_act!W50=0,0,W37/TrRoad_act!W50*1000
)</f>
        <v>0</v>
      </c>
      <c r="X74" s="87">
        <f>IF(TrRoad_act!X50=0,0,X37/TrRoad_act!X50*1000
)</f>
        <v>0</v>
      </c>
      <c r="Y74" s="87">
        <f>IF(TrRoad_act!Y50=0,0,Y37/TrRoad_act!Y50*1000
)</f>
        <v>0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X75" s="87">
        <f>IF(TrRoad_act!X51=0,0,X38/TrRoad_act!X51*1000
)</f>
        <v>0</v>
      </c>
      <c r="Y75" s="87">
        <f>IF(TrRoad_act!Y51=0,0,Y38/TrRoad_act!Y51*1000
)</f>
        <v>0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1258.1684738408976</v>
      </c>
      <c r="C77" s="116">
        <f>IF(TrRoad_act!C53=0,0,C40/TrRoad_act!C53*1000
)</f>
        <v>1691.9863024023243</v>
      </c>
      <c r="D77" s="116">
        <f>IF(TrRoad_act!D53=0,0,D40/TrRoad_act!D53*1000
)</f>
        <v>1689.0191448650355</v>
      </c>
      <c r="E77" s="116">
        <f>IF(TrRoad_act!E53=0,0,E40/TrRoad_act!E53*1000
)</f>
        <v>1125.5436541179615</v>
      </c>
      <c r="F77" s="116">
        <f>IF(TrRoad_act!F53=0,0,F40/TrRoad_act!F53*1000
)</f>
        <v>1318.6909551705323</v>
      </c>
      <c r="G77" s="116">
        <f>IF(TrRoad_act!G53=0,0,G40/TrRoad_act!G53*1000
)</f>
        <v>1289.4245101024815</v>
      </c>
      <c r="H77" s="116">
        <f>IF(TrRoad_act!H53=0,0,H40/TrRoad_act!H53*1000
)</f>
        <v>1077.3629399357585</v>
      </c>
      <c r="I77" s="116">
        <f>IF(TrRoad_act!I53=0,0,I40/TrRoad_act!I53*1000
)</f>
        <v>1573.8654711771419</v>
      </c>
      <c r="J77" s="116">
        <f>IF(TrRoad_act!J53=0,0,J40/TrRoad_act!J53*1000
)</f>
        <v>1846.5024054284172</v>
      </c>
      <c r="K77" s="116">
        <f>IF(TrRoad_act!K53=0,0,K40/TrRoad_act!K53*1000
)</f>
        <v>1021.6452787420216</v>
      </c>
      <c r="L77" s="116">
        <f>IF(TrRoad_act!L53=0,0,L40/TrRoad_act!L53*1000
)</f>
        <v>1393.7758425258567</v>
      </c>
      <c r="M77" s="116">
        <f>IF(TrRoad_act!M53=0,0,M40/TrRoad_act!M53*1000
)</f>
        <v>1612.1327253873503</v>
      </c>
      <c r="N77" s="116">
        <f>IF(TrRoad_act!N53=0,0,N40/TrRoad_act!N53*1000
)</f>
        <v>972.51544169463318</v>
      </c>
      <c r="O77" s="116">
        <f>IF(TrRoad_act!O53=0,0,O40/TrRoad_act!O53*1000
)</f>
        <v>1002.6183030427441</v>
      </c>
      <c r="P77" s="116">
        <f>IF(TrRoad_act!P53=0,0,P40/TrRoad_act!P53*1000
)</f>
        <v>1690.368838424783</v>
      </c>
      <c r="Q77" s="116">
        <f>IF(TrRoad_act!Q53=0,0,Q40/TrRoad_act!Q53*1000
)</f>
        <v>1780.6027575824353</v>
      </c>
      <c r="R77" s="116">
        <f>IF(TrRoad_act!R53=0,0,R40/TrRoad_act!R53*1000
)</f>
        <v>1650.8257536921967</v>
      </c>
      <c r="S77" s="116">
        <f>IF(TrRoad_act!S53=0,0,S40/TrRoad_act!S53*1000
)</f>
        <v>1683.8107966970701</v>
      </c>
      <c r="T77" s="116">
        <f>IF(TrRoad_act!T53=0,0,T40/TrRoad_act!T53*1000
)</f>
        <v>1800.6653341084723</v>
      </c>
      <c r="U77" s="116">
        <f>IF(TrRoad_act!U53=0,0,U40/TrRoad_act!U53*1000
)</f>
        <v>1869.6158469508448</v>
      </c>
      <c r="V77" s="116">
        <f>IF(TrRoad_act!V53=0,0,V40/TrRoad_act!V53*1000
)</f>
        <v>1861.0609509618396</v>
      </c>
      <c r="W77" s="116">
        <f>IF(TrRoad_act!W53=0,0,W40/TrRoad_act!W53*1000
)</f>
        <v>1944.0417475171055</v>
      </c>
      <c r="X77" s="116">
        <f>IF(TrRoad_act!X53=0,0,X40/TrRoad_act!X53*1000
)</f>
        <v>1971.0148387427048</v>
      </c>
      <c r="Y77" s="116">
        <f>IF(TrRoad_act!Y53=0,0,Y40/TrRoad_act!Y53*1000
)</f>
        <v>1767.3583920830977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1023.9789698341513</v>
      </c>
      <c r="C78" s="101">
        <f>IF(TrRoad_act!C54=0,0,C41/TrRoad_act!C54*1000
)</f>
        <v>1180.9782503901142</v>
      </c>
      <c r="D78" s="101">
        <f>IF(TrRoad_act!D54=0,0,D41/TrRoad_act!D54*1000
)</f>
        <v>1175.2823562611093</v>
      </c>
      <c r="E78" s="101">
        <f>IF(TrRoad_act!E54=0,0,E41/TrRoad_act!E54*1000
)</f>
        <v>969.62009037422547</v>
      </c>
      <c r="F78" s="101">
        <f>IF(TrRoad_act!F54=0,0,F41/TrRoad_act!F54*1000
)</f>
        <v>1036.3630672449385</v>
      </c>
      <c r="G78" s="101">
        <f>IF(TrRoad_act!G54=0,0,G41/TrRoad_act!G54*1000
)</f>
        <v>1019.1034719374019</v>
      </c>
      <c r="H78" s="101">
        <f>IF(TrRoad_act!H54=0,0,H41/TrRoad_act!H54*1000
)</f>
        <v>928.39239337223967</v>
      </c>
      <c r="I78" s="101">
        <f>IF(TrRoad_act!I54=0,0,I41/TrRoad_act!I54*1000
)</f>
        <v>1095.9957706307694</v>
      </c>
      <c r="J78" s="101">
        <f>IF(TrRoad_act!J54=0,0,J41/TrRoad_act!J54*1000
)</f>
        <v>1190.0249031537021</v>
      </c>
      <c r="K78" s="101">
        <f>IF(TrRoad_act!K54=0,0,K41/TrRoad_act!K54*1000
)</f>
        <v>893.9921517112092</v>
      </c>
      <c r="L78" s="101">
        <f>IF(TrRoad_act!L54=0,0,L41/TrRoad_act!L54*1000
)</f>
        <v>1028.4609037733128</v>
      </c>
      <c r="M78" s="101">
        <f>IF(TrRoad_act!M54=0,0,M41/TrRoad_act!M54*1000
)</f>
        <v>1105.7858159664861</v>
      </c>
      <c r="N78" s="101">
        <f>IF(TrRoad_act!N54=0,0,N41/TrRoad_act!N54*1000
)</f>
        <v>868.20131890216612</v>
      </c>
      <c r="O78" s="101">
        <f>IF(TrRoad_act!O54=0,0,O41/TrRoad_act!O54*1000
)</f>
        <v>879.67235162234317</v>
      </c>
      <c r="P78" s="101">
        <f>IF(TrRoad_act!P54=0,0,P41/TrRoad_act!P54*1000
)</f>
        <v>1134.2920230103564</v>
      </c>
      <c r="Q78" s="101">
        <f>IF(TrRoad_act!Q54=0,0,Q41/TrRoad_act!Q54*1000
)</f>
        <v>1164.8755456030049</v>
      </c>
      <c r="R78" s="101">
        <f>IF(TrRoad_act!R54=0,0,R41/TrRoad_act!R54*1000
)</f>
        <v>1124.8423157515228</v>
      </c>
      <c r="S78" s="101">
        <f>IF(TrRoad_act!S54=0,0,S41/TrRoad_act!S54*1000
)</f>
        <v>1137.7150275244278</v>
      </c>
      <c r="T78" s="101">
        <f>IF(TrRoad_act!T54=0,0,T41/TrRoad_act!T54*1000
)</f>
        <v>1185.614946156925</v>
      </c>
      <c r="U78" s="101">
        <f>IF(TrRoad_act!U54=0,0,U41/TrRoad_act!U54*1000
)</f>
        <v>1219.0485130290849</v>
      </c>
      <c r="V78" s="101">
        <f>IF(TrRoad_act!V54=0,0,V41/TrRoad_act!V54*1000
)</f>
        <v>1209.9102595308204</v>
      </c>
      <c r="W78" s="101">
        <f>IF(TrRoad_act!W54=0,0,W41/TrRoad_act!W54*1000
)</f>
        <v>1233.8431338269163</v>
      </c>
      <c r="X78" s="101">
        <f>IF(TrRoad_act!X54=0,0,X41/TrRoad_act!X54*1000
)</f>
        <v>1235.2660364671494</v>
      </c>
      <c r="Y78" s="101">
        <f>IF(TrRoad_act!Y54=0,0,Y41/TrRoad_act!Y54*1000
)</f>
        <v>1170.2389064421261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1960.4269430127258</v>
      </c>
      <c r="C79" s="88">
        <f>IF(TrRoad_act!C55=0,0,C42/TrRoad_act!C55*1000
)</f>
        <v>3106.3366657246115</v>
      </c>
      <c r="D79" s="88">
        <f>IF(TrRoad_act!D55=0,0,D42/TrRoad_act!D55*1000
)</f>
        <v>3040.5756739434269</v>
      </c>
      <c r="E79" s="88">
        <f>IF(TrRoad_act!E55=0,0,E42/TrRoad_act!E55*1000
)</f>
        <v>1643.1872312079734</v>
      </c>
      <c r="F79" s="88">
        <f>IF(TrRoad_act!F55=0,0,F42/TrRoad_act!F55*1000
)</f>
        <v>2098.4711478324643</v>
      </c>
      <c r="G79" s="88">
        <f>IF(TrRoad_act!G55=0,0,G42/TrRoad_act!G55*1000
)</f>
        <v>1943.9721524265101</v>
      </c>
      <c r="H79" s="88">
        <f>IF(TrRoad_act!H55=0,0,H42/TrRoad_act!H55*1000
)</f>
        <v>1369.3054280490071</v>
      </c>
      <c r="I79" s="88">
        <f>IF(TrRoad_act!I55=0,0,I42/TrRoad_act!I55*1000
)</f>
        <v>2523.6812912102273</v>
      </c>
      <c r="J79" s="88">
        <f>IF(TrRoad_act!J55=0,0,J42/TrRoad_act!J55*1000
)</f>
        <v>3084.3215064774104</v>
      </c>
      <c r="K79" s="88">
        <f>IF(TrRoad_act!K55=0,0,K42/TrRoad_act!K55*1000
)</f>
        <v>1304.9277751731031</v>
      </c>
      <c r="L79" s="88">
        <f>IF(TrRoad_act!L55=0,0,L42/TrRoad_act!L55*1000
)</f>
        <v>2012.1127325267687</v>
      </c>
      <c r="M79" s="88">
        <f>IF(TrRoad_act!M55=0,0,M42/TrRoad_act!M55*1000
)</f>
        <v>2387.783294231047</v>
      </c>
      <c r="N79" s="88">
        <f>IF(TrRoad_act!N55=0,0,N42/TrRoad_act!N55*1000
)</f>
        <v>1122.5155726414455</v>
      </c>
      <c r="O79" s="88">
        <f>IF(TrRoad_act!O55=0,0,O42/TrRoad_act!O55*1000
)</f>
        <v>1165.1302942251027</v>
      </c>
      <c r="P79" s="88">
        <f>IF(TrRoad_act!P55=0,0,P42/TrRoad_act!P55*1000
)</f>
        <v>2531.1794007404919</v>
      </c>
      <c r="Q79" s="88">
        <f>IF(TrRoad_act!Q55=0,0,Q42/TrRoad_act!Q55*1000
)</f>
        <v>2586.7831840609783</v>
      </c>
      <c r="R79" s="88">
        <f>IF(TrRoad_act!R55=0,0,R42/TrRoad_act!R55*1000
)</f>
        <v>2327.6366136097904</v>
      </c>
      <c r="S79" s="88">
        <f>IF(TrRoad_act!S55=0,0,S42/TrRoad_act!S55*1000
)</f>
        <v>2402.1393650067562</v>
      </c>
      <c r="T79" s="88">
        <f>IF(TrRoad_act!T55=0,0,T42/TrRoad_act!T55*1000
)</f>
        <v>2699.639137716943</v>
      </c>
      <c r="U79" s="88">
        <f>IF(TrRoad_act!U55=0,0,U42/TrRoad_act!U55*1000
)</f>
        <v>2865.816806649018</v>
      </c>
      <c r="V79" s="88">
        <f>IF(TrRoad_act!V55=0,0,V42/TrRoad_act!V55*1000
)</f>
        <v>2780.6816337595433</v>
      </c>
      <c r="W79" s="88">
        <f>IF(TrRoad_act!W55=0,0,W42/TrRoad_act!W55*1000
)</f>
        <v>2875.3499756937849</v>
      </c>
      <c r="X79" s="88">
        <f>IF(TrRoad_act!X55=0,0,X42/TrRoad_act!X55*1000
)</f>
        <v>2666.9014344403063</v>
      </c>
      <c r="Y79" s="88">
        <f>IF(TrRoad_act!Y55=0,0,Y42/TrRoad_act!Y55*1000
)</f>
        <v>2391.3319941079371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74.365660424654436</v>
      </c>
      <c r="C82" s="29">
        <f>IF(TrRoad_act!C4=0,0,C18/TrRoad_act!C4*1000)</f>
        <v>77.007908445167857</v>
      </c>
      <c r="D82" s="29">
        <f>IF(TrRoad_act!D4=0,0,D18/TrRoad_act!D4*1000)</f>
        <v>79.640578261727683</v>
      </c>
      <c r="E82" s="29">
        <f>IF(TrRoad_act!E4=0,0,E18/TrRoad_act!E4*1000)</f>
        <v>77.99207439593124</v>
      </c>
      <c r="F82" s="29">
        <f>IF(TrRoad_act!F4=0,0,F18/TrRoad_act!F4*1000)</f>
        <v>78.014790807187936</v>
      </c>
      <c r="G82" s="29">
        <f>IF(TrRoad_act!G4=0,0,G18/TrRoad_act!G4*1000)</f>
        <v>77.162740091583075</v>
      </c>
      <c r="H82" s="29">
        <f>IF(TrRoad_act!H4=0,0,H18/TrRoad_act!H4*1000)</f>
        <v>75.409799616034036</v>
      </c>
      <c r="I82" s="29">
        <f>IF(TrRoad_act!I4=0,0,I18/TrRoad_act!I4*1000)</f>
        <v>83.491468394548193</v>
      </c>
      <c r="J82" s="29">
        <f>IF(TrRoad_act!J4=0,0,J18/TrRoad_act!J4*1000)</f>
        <v>84.066894615691339</v>
      </c>
      <c r="K82" s="29">
        <f>IF(TrRoad_act!K4=0,0,K18/TrRoad_act!K4*1000)</f>
        <v>82.399487351953752</v>
      </c>
      <c r="L82" s="29">
        <f>IF(TrRoad_act!L4=0,0,L18/TrRoad_act!L4*1000)</f>
        <v>90.109697847790059</v>
      </c>
      <c r="M82" s="29">
        <f>IF(TrRoad_act!M4=0,0,M18/TrRoad_act!M4*1000)</f>
        <v>91.227295524343958</v>
      </c>
      <c r="N82" s="29">
        <f>IF(TrRoad_act!N4=0,0,N18/TrRoad_act!N4*1000)</f>
        <v>88.789984276062214</v>
      </c>
      <c r="O82" s="29">
        <f>IF(TrRoad_act!O4=0,0,O18/TrRoad_act!O4*1000)</f>
        <v>88.496629292425752</v>
      </c>
      <c r="P82" s="29">
        <f>IF(TrRoad_act!P4=0,0,P18/TrRoad_act!P4*1000)</f>
        <v>115.52680195916807</v>
      </c>
      <c r="Q82" s="29">
        <f>IF(TrRoad_act!Q4=0,0,Q18/TrRoad_act!Q4*1000)</f>
        <v>120.43984559385071</v>
      </c>
      <c r="R82" s="29">
        <f>IF(TrRoad_act!R4=0,0,R18/TrRoad_act!R4*1000)</f>
        <v>132.34451503063303</v>
      </c>
      <c r="S82" s="29">
        <f>IF(TrRoad_act!S4=0,0,S18/TrRoad_act!S4*1000)</f>
        <v>115.79232799995546</v>
      </c>
      <c r="T82" s="29">
        <f>IF(TrRoad_act!T4=0,0,T18/TrRoad_act!T4*1000)</f>
        <v>127.35533902300469</v>
      </c>
      <c r="U82" s="29">
        <f>IF(TrRoad_act!U4=0,0,U18/TrRoad_act!U4*1000)</f>
        <v>126.81467396685586</v>
      </c>
      <c r="V82" s="29">
        <f>IF(TrRoad_act!V4=0,0,V18/TrRoad_act!V4*1000)</f>
        <v>136.9481755371466</v>
      </c>
      <c r="W82" s="29">
        <f>IF(TrRoad_act!W4=0,0,W18/TrRoad_act!W4*1000)</f>
        <v>125.59876554813896</v>
      </c>
      <c r="X82" s="29">
        <f>IF(TrRoad_act!X4=0,0,X18/TrRoad_act!X4*1000)</f>
        <v>117.99635441603706</v>
      </c>
      <c r="Y82" s="29">
        <f>IF(TrRoad_act!Y4=0,0,Y18/TrRoad_act!Y4*1000)</f>
        <v>113.3577592013045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134.34937631525219</v>
      </c>
      <c r="C83" s="152">
        <f>IF(TrRoad_act!C5=0,0,C19/TrRoad_act!C5*1000)</f>
        <v>133.40853027823775</v>
      </c>
      <c r="D83" s="152">
        <f>IF(TrRoad_act!D5=0,0,D19/TrRoad_act!D5*1000)</f>
        <v>132.0721693333528</v>
      </c>
      <c r="E83" s="152">
        <f>IF(TrRoad_act!E5=0,0,E19/TrRoad_act!E5*1000)</f>
        <v>124.24749382934409</v>
      </c>
      <c r="F83" s="152">
        <f>IF(TrRoad_act!F5=0,0,F19/TrRoad_act!F5*1000)</f>
        <v>122.90922416129861</v>
      </c>
      <c r="G83" s="152">
        <f>IF(TrRoad_act!G5=0,0,G19/TrRoad_act!G5*1000)</f>
        <v>121.24577167463029</v>
      </c>
      <c r="H83" s="152">
        <f>IF(TrRoad_act!H5=0,0,H19/TrRoad_act!H5*1000)</f>
        <v>117.50986300330246</v>
      </c>
      <c r="I83" s="152">
        <f>IF(TrRoad_act!I5=0,0,I19/TrRoad_act!I5*1000)</f>
        <v>113.13201270216013</v>
      </c>
      <c r="J83" s="152">
        <f>IF(TrRoad_act!J5=0,0,J19/TrRoad_act!J5*1000)</f>
        <v>108.82328793380427</v>
      </c>
      <c r="K83" s="152">
        <f>IF(TrRoad_act!K5=0,0,K19/TrRoad_act!K5*1000)</f>
        <v>106.35076674797294</v>
      </c>
      <c r="L83" s="152">
        <f>IF(TrRoad_act!L5=0,0,L19/TrRoad_act!L5*1000)</f>
        <v>105.65060942973228</v>
      </c>
      <c r="M83" s="152">
        <f>IF(TrRoad_act!M5=0,0,M19/TrRoad_act!M5*1000)</f>
        <v>104.04696234684351</v>
      </c>
      <c r="N83" s="152">
        <f>IF(TrRoad_act!N5=0,0,N19/TrRoad_act!N5*1000)</f>
        <v>103.53083749414115</v>
      </c>
      <c r="O83" s="152">
        <f>IF(TrRoad_act!O5=0,0,O19/TrRoad_act!O5*1000)</f>
        <v>102.84400271668663</v>
      </c>
      <c r="P83" s="152">
        <f>IF(TrRoad_act!P5=0,0,P19/TrRoad_act!P5*1000)</f>
        <v>101.47762981779768</v>
      </c>
      <c r="Q83" s="152">
        <f>IF(TrRoad_act!Q5=0,0,Q19/TrRoad_act!Q5*1000)</f>
        <v>102.63677865285929</v>
      </c>
      <c r="R83" s="152">
        <f>IF(TrRoad_act!R5=0,0,R19/TrRoad_act!R5*1000)</f>
        <v>102.82501084802821</v>
      </c>
      <c r="S83" s="152">
        <f>IF(TrRoad_act!S5=0,0,S19/TrRoad_act!S5*1000)</f>
        <v>99.878495096399902</v>
      </c>
      <c r="T83" s="152">
        <f>IF(TrRoad_act!T5=0,0,T19/TrRoad_act!T5*1000)</f>
        <v>98.064021498260416</v>
      </c>
      <c r="U83" s="152">
        <f>IF(TrRoad_act!U5=0,0,U19/TrRoad_act!U5*1000)</f>
        <v>93.76687915679895</v>
      </c>
      <c r="V83" s="152">
        <f>IF(TrRoad_act!V5=0,0,V19/TrRoad_act!V5*1000)</f>
        <v>88.547564117405173</v>
      </c>
      <c r="W83" s="152">
        <f>IF(TrRoad_act!W5=0,0,W19/TrRoad_act!W5*1000)</f>
        <v>86.36995585145317</v>
      </c>
      <c r="X83" s="152">
        <f>IF(TrRoad_act!X5=0,0,X19/TrRoad_act!X5*1000)</f>
        <v>84.323389258360649</v>
      </c>
      <c r="Y83" s="152">
        <f>IF(TrRoad_act!Y5=0,0,Y19/TrRoad_act!Y5*1000)</f>
        <v>83.306021685709155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75.056602864267788</v>
      </c>
      <c r="C84" s="116">
        <f>IF(TrRoad_act!C6=0,0,C20/TrRoad_act!C6*1000)</f>
        <v>78.471576557506665</v>
      </c>
      <c r="D84" s="116">
        <f>IF(TrRoad_act!D6=0,0,D20/TrRoad_act!D6*1000)</f>
        <v>81.777898935762082</v>
      </c>
      <c r="E84" s="116">
        <f>IF(TrRoad_act!E6=0,0,E20/TrRoad_act!E6*1000)</f>
        <v>79.703543213549722</v>
      </c>
      <c r="F84" s="116">
        <f>IF(TrRoad_act!F6=0,0,F20/TrRoad_act!F6*1000)</f>
        <v>80.656833218887868</v>
      </c>
      <c r="G84" s="116">
        <f>IF(TrRoad_act!G6=0,0,G20/TrRoad_act!G6*1000)</f>
        <v>79.951324600903462</v>
      </c>
      <c r="H84" s="116">
        <f>IF(TrRoad_act!H6=0,0,H20/TrRoad_act!H6*1000)</f>
        <v>77.971724889956448</v>
      </c>
      <c r="I84" s="116">
        <f>IF(TrRoad_act!I6=0,0,I20/TrRoad_act!I6*1000)</f>
        <v>87.060680706318124</v>
      </c>
      <c r="J84" s="116">
        <f>IF(TrRoad_act!J6=0,0,J20/TrRoad_act!J6*1000)</f>
        <v>87.628579630141331</v>
      </c>
      <c r="K84" s="116">
        <f>IF(TrRoad_act!K6=0,0,K20/TrRoad_act!K6*1000)</f>
        <v>84.585978821914395</v>
      </c>
      <c r="L84" s="116">
        <f>IF(TrRoad_act!L6=0,0,L20/TrRoad_act!L6*1000)</f>
        <v>93.08320498564899</v>
      </c>
      <c r="M84" s="116">
        <f>IF(TrRoad_act!M6=0,0,M20/TrRoad_act!M6*1000)</f>
        <v>94.648222831156872</v>
      </c>
      <c r="N84" s="116">
        <f>IF(TrRoad_act!N6=0,0,N20/TrRoad_act!N6*1000)</f>
        <v>91.659634482869805</v>
      </c>
      <c r="O84" s="116">
        <f>IF(TrRoad_act!O6=0,0,O20/TrRoad_act!O6*1000)</f>
        <v>92.144501858809548</v>
      </c>
      <c r="P84" s="116">
        <f>IF(TrRoad_act!P6=0,0,P20/TrRoad_act!P6*1000)</f>
        <v>124.22206494120805</v>
      </c>
      <c r="Q84" s="116">
        <f>IF(TrRoad_act!Q6=0,0,Q20/TrRoad_act!Q6*1000)</f>
        <v>128.35809752990897</v>
      </c>
      <c r="R84" s="116">
        <f>IF(TrRoad_act!R6=0,0,R20/TrRoad_act!R6*1000)</f>
        <v>140.85355858975294</v>
      </c>
      <c r="S84" s="116">
        <f>IF(TrRoad_act!S6=0,0,S20/TrRoad_act!S6*1000)</f>
        <v>121.67793059880864</v>
      </c>
      <c r="T84" s="116">
        <f>IF(TrRoad_act!T6=0,0,T20/TrRoad_act!T6*1000)</f>
        <v>134.88515694701263</v>
      </c>
      <c r="U84" s="116">
        <f>IF(TrRoad_act!U6=0,0,U20/TrRoad_act!U6*1000)</f>
        <v>133.7036806377142</v>
      </c>
      <c r="V84" s="116">
        <f>IF(TrRoad_act!V6=0,0,V20/TrRoad_act!V6*1000)</f>
        <v>140.47153001257635</v>
      </c>
      <c r="W84" s="116">
        <f>IF(TrRoad_act!W6=0,0,W20/TrRoad_act!W6*1000)</f>
        <v>128.27310313828085</v>
      </c>
      <c r="X84" s="116">
        <f>IF(TrRoad_act!X6=0,0,X20/TrRoad_act!X6*1000)</f>
        <v>122.32226632956527</v>
      </c>
      <c r="Y84" s="116">
        <f>IF(TrRoad_act!Y6=0,0,Y20/TrRoad_act!Y6*1000)</f>
        <v>118.17901656382622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86.046992140263782</v>
      </c>
      <c r="C85" s="87">
        <f>IF(TrRoad_act!C7=0,0,C21/TrRoad_act!C7*1000)</f>
        <v>92.161621905441322</v>
      </c>
      <c r="D85" s="87">
        <f>IF(TrRoad_act!D7=0,0,D21/TrRoad_act!D7*1000)</f>
        <v>97.508639642635174</v>
      </c>
      <c r="E85" s="87">
        <f>IF(TrRoad_act!E7=0,0,E21/TrRoad_act!E7*1000)</f>
        <v>96.111440212785894</v>
      </c>
      <c r="F85" s="87">
        <f>IF(TrRoad_act!F7=0,0,F21/TrRoad_act!F7*1000)</f>
        <v>99.451906993639938</v>
      </c>
      <c r="G85" s="87">
        <f>IF(TrRoad_act!G7=0,0,G21/TrRoad_act!G7*1000)</f>
        <v>94.346411356348838</v>
      </c>
      <c r="H85" s="87">
        <f>IF(TrRoad_act!H7=0,0,H21/TrRoad_act!H7*1000)</f>
        <v>93.332275437845269</v>
      </c>
      <c r="I85" s="87">
        <f>IF(TrRoad_act!I7=0,0,I21/TrRoad_act!I7*1000)</f>
        <v>105.56987543658788</v>
      </c>
      <c r="J85" s="87">
        <f>IF(TrRoad_act!J7=0,0,J21/TrRoad_act!J7*1000)</f>
        <v>106.36254921861955</v>
      </c>
      <c r="K85" s="87">
        <f>IF(TrRoad_act!K7=0,0,K21/TrRoad_act!K7*1000)</f>
        <v>102.65879602007534</v>
      </c>
      <c r="L85" s="87">
        <f>IF(TrRoad_act!L7=0,0,L21/TrRoad_act!L7*1000)</f>
        <v>116.64350655575296</v>
      </c>
      <c r="M85" s="87">
        <f>IF(TrRoad_act!M7=0,0,M21/TrRoad_act!M7*1000)</f>
        <v>115.40408696474124</v>
      </c>
      <c r="N85" s="87">
        <f>IF(TrRoad_act!N7=0,0,N21/TrRoad_act!N7*1000)</f>
        <v>116.45953390244154</v>
      </c>
      <c r="O85" s="87">
        <f>IF(TrRoad_act!O7=0,0,O21/TrRoad_act!O7*1000)</f>
        <v>118.42480132587166</v>
      </c>
      <c r="P85" s="87">
        <f>IF(TrRoad_act!P7=0,0,P21/TrRoad_act!P7*1000)</f>
        <v>152.06707494447548</v>
      </c>
      <c r="Q85" s="87">
        <f>IF(TrRoad_act!Q7=0,0,Q21/TrRoad_act!Q7*1000)</f>
        <v>153.45312905312707</v>
      </c>
      <c r="R85" s="87">
        <f>IF(TrRoad_act!R7=0,0,R21/TrRoad_act!R7*1000)</f>
        <v>176.91533526658188</v>
      </c>
      <c r="S85" s="87">
        <f>IF(TrRoad_act!S7=0,0,S21/TrRoad_act!S7*1000)</f>
        <v>145.90869834429682</v>
      </c>
      <c r="T85" s="87">
        <f>IF(TrRoad_act!T7=0,0,T21/TrRoad_act!T7*1000)</f>
        <v>155.88061155800304</v>
      </c>
      <c r="U85" s="87">
        <f>IF(TrRoad_act!U7=0,0,U21/TrRoad_act!U7*1000)</f>
        <v>146.83985417748335</v>
      </c>
      <c r="V85" s="87">
        <f>IF(TrRoad_act!V7=0,0,V21/TrRoad_act!V7*1000)</f>
        <v>149.49197096224239</v>
      </c>
      <c r="W85" s="87">
        <f>IF(TrRoad_act!W7=0,0,W21/TrRoad_act!W7*1000)</f>
        <v>134.15895200059467</v>
      </c>
      <c r="X85" s="87">
        <f>IF(TrRoad_act!X7=0,0,X21/TrRoad_act!X7*1000)</f>
        <v>121.39148810778829</v>
      </c>
      <c r="Y85" s="87">
        <f>IF(TrRoad_act!Y7=0,0,Y21/TrRoad_act!Y7*1000)</f>
        <v>118.62554035828252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64.834995352016549</v>
      </c>
      <c r="C86" s="87">
        <f>IF(TrRoad_act!C8=0,0,C22/TrRoad_act!C8*1000)</f>
        <v>65.026648468600158</v>
      </c>
      <c r="D86" s="87">
        <f>IF(TrRoad_act!D8=0,0,D22/TrRoad_act!D8*1000)</f>
        <v>67.868151602132116</v>
      </c>
      <c r="E86" s="87">
        <f>IF(TrRoad_act!E8=0,0,E22/TrRoad_act!E8*1000)</f>
        <v>65.333167855463813</v>
      </c>
      <c r="F86" s="87">
        <f>IF(TrRoad_act!F8=0,0,F22/TrRoad_act!F8*1000)</f>
        <v>68.364638349403478</v>
      </c>
      <c r="G86" s="87">
        <f>IF(TrRoad_act!G8=0,0,G22/TrRoad_act!G8*1000)</f>
        <v>67.723557139799169</v>
      </c>
      <c r="H86" s="87">
        <f>IF(TrRoad_act!H8=0,0,H22/TrRoad_act!H8*1000)</f>
        <v>66.943958305211197</v>
      </c>
      <c r="I86" s="87">
        <f>IF(TrRoad_act!I8=0,0,I22/TrRoad_act!I8*1000)</f>
        <v>78.057575922729626</v>
      </c>
      <c r="J86" s="87">
        <f>IF(TrRoad_act!J8=0,0,J22/TrRoad_act!J8*1000)</f>
        <v>79.612852522312693</v>
      </c>
      <c r="K86" s="87">
        <f>IF(TrRoad_act!K8=0,0,K22/TrRoad_act!K8*1000)</f>
        <v>74.301712249329299</v>
      </c>
      <c r="L86" s="87">
        <f>IF(TrRoad_act!L8=0,0,L22/TrRoad_act!L8*1000)</f>
        <v>85.9146209286031</v>
      </c>
      <c r="M86" s="87">
        <f>IF(TrRoad_act!M8=0,0,M22/TrRoad_act!M8*1000)</f>
        <v>88.839842298951069</v>
      </c>
      <c r="N86" s="87">
        <f>IF(TrRoad_act!N8=0,0,N22/TrRoad_act!N8*1000)</f>
        <v>85.013756457837061</v>
      </c>
      <c r="O86" s="87">
        <f>IF(TrRoad_act!O8=0,0,O22/TrRoad_act!O8*1000)</f>
        <v>86.979258232972668</v>
      </c>
      <c r="P86" s="87">
        <f>IF(TrRoad_act!P8=0,0,P22/TrRoad_act!P8*1000)</f>
        <v>119.51969176522985</v>
      </c>
      <c r="Q86" s="87">
        <f>IF(TrRoad_act!Q8=0,0,Q22/TrRoad_act!Q8*1000)</f>
        <v>124.75216826794428</v>
      </c>
      <c r="R86" s="87">
        <f>IF(TrRoad_act!R8=0,0,R22/TrRoad_act!R8*1000)</f>
        <v>137.0189040992492</v>
      </c>
      <c r="S86" s="87">
        <f>IF(TrRoad_act!S8=0,0,S22/TrRoad_act!S8*1000)</f>
        <v>119.21248069223898</v>
      </c>
      <c r="T86" s="87">
        <f>IF(TrRoad_act!T8=0,0,T22/TrRoad_act!T8*1000)</f>
        <v>132.94864445972408</v>
      </c>
      <c r="U86" s="87">
        <f>IF(TrRoad_act!U8=0,0,U22/TrRoad_act!U8*1000)</f>
        <v>133.10063195931272</v>
      </c>
      <c r="V86" s="87">
        <f>IF(TrRoad_act!V8=0,0,V22/TrRoad_act!V8*1000)</f>
        <v>140.65076179672917</v>
      </c>
      <c r="W86" s="87">
        <f>IF(TrRoad_act!W8=0,0,W22/TrRoad_act!W8*1000)</f>
        <v>129.21131841528211</v>
      </c>
      <c r="X86" s="87">
        <f>IF(TrRoad_act!X8=0,0,X22/TrRoad_act!X8*1000)</f>
        <v>125.37413655695207</v>
      </c>
      <c r="Y86" s="87">
        <f>IF(TrRoad_act!Y8=0,0,Y22/TrRoad_act!Y8*1000)</f>
        <v>121.86670736957436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63.216017287552233</v>
      </c>
      <c r="C87" s="87">
        <f>IF(TrRoad_act!C9=0,0,C23/TrRoad_act!C9*1000)</f>
        <v>70.492334071132177</v>
      </c>
      <c r="D87" s="87">
        <f>IF(TrRoad_act!D9=0,0,D23/TrRoad_act!D9*1000)</f>
        <v>74.703079045420495</v>
      </c>
      <c r="E87" s="87">
        <f>IF(TrRoad_act!E9=0,0,E23/TrRoad_act!E9*1000)</f>
        <v>78.207008943051378</v>
      </c>
      <c r="F87" s="87">
        <f>IF(TrRoad_act!F9=0,0,F23/TrRoad_act!F9*1000)</f>
        <v>77.026714180122909</v>
      </c>
      <c r="G87" s="87">
        <f>IF(TrRoad_act!G9=0,0,G23/TrRoad_act!G9*1000)</f>
        <v>88.969820273538588</v>
      </c>
      <c r="H87" s="87">
        <f>IF(TrRoad_act!H9=0,0,H23/TrRoad_act!H9*1000)</f>
        <v>86.478336349858893</v>
      </c>
      <c r="I87" s="87">
        <f>IF(TrRoad_act!I9=0,0,I23/TrRoad_act!I9*1000)</f>
        <v>81.155014132237255</v>
      </c>
      <c r="J87" s="87">
        <f>IF(TrRoad_act!J9=0,0,J23/TrRoad_act!J9*1000)</f>
        <v>78.424387779110617</v>
      </c>
      <c r="K87" s="87">
        <f>IF(TrRoad_act!K9=0,0,K23/TrRoad_act!K9*1000)</f>
        <v>89.739893289784163</v>
      </c>
      <c r="L87" s="87">
        <f>IF(TrRoad_act!L9=0,0,L23/TrRoad_act!L9*1000)</f>
        <v>88.434212970930133</v>
      </c>
      <c r="M87" s="87">
        <f>IF(TrRoad_act!M9=0,0,M23/TrRoad_act!M9*1000)</f>
        <v>90.194275264222469</v>
      </c>
      <c r="N87" s="87">
        <f>IF(TrRoad_act!N9=0,0,N23/TrRoad_act!N9*1000)</f>
        <v>97.427853751927884</v>
      </c>
      <c r="O87" s="87">
        <f>IF(TrRoad_act!O9=0,0,O23/TrRoad_act!O9*1000)</f>
        <v>90.996499832373928</v>
      </c>
      <c r="P87" s="87">
        <f>IF(TrRoad_act!P9=0,0,P23/TrRoad_act!P9*1000)</f>
        <v>117.95280017537534</v>
      </c>
      <c r="Q87" s="87">
        <f>IF(TrRoad_act!Q9=0,0,Q23/TrRoad_act!Q9*1000)</f>
        <v>121.44458961715135</v>
      </c>
      <c r="R87" s="87">
        <f>IF(TrRoad_act!R9=0,0,R23/TrRoad_act!R9*1000)</f>
        <v>126.18595127737348</v>
      </c>
      <c r="S87" s="87">
        <f>IF(TrRoad_act!S9=0,0,S23/TrRoad_act!S9*1000)</f>
        <v>112.83462904987923</v>
      </c>
      <c r="T87" s="87">
        <f>IF(TrRoad_act!T9=0,0,T23/TrRoad_act!T9*1000)</f>
        <v>126.56658579235372</v>
      </c>
      <c r="U87" s="87">
        <f>IF(TrRoad_act!U9=0,0,U23/TrRoad_act!U9*1000)</f>
        <v>127.61193332600456</v>
      </c>
      <c r="V87" s="87">
        <f>IF(TrRoad_act!V9=0,0,V23/TrRoad_act!V9*1000)</f>
        <v>141.50747489942245</v>
      </c>
      <c r="W87" s="87">
        <f>IF(TrRoad_act!W9=0,0,W23/TrRoad_act!W9*1000)</f>
        <v>138.80637072412867</v>
      </c>
      <c r="X87" s="87">
        <f>IF(TrRoad_act!X9=0,0,X23/TrRoad_act!X9*1000)</f>
        <v>134.61446822479041</v>
      </c>
      <c r="Y87" s="87">
        <f>IF(TrRoad_act!Y9=0,0,Y23/TrRoad_act!Y9*1000)</f>
        <v>130.89231864209586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91.830729556871333</v>
      </c>
      <c r="O88" s="87">
        <f>IF(TrRoad_act!O10=0,0,O24/TrRoad_act!O10*1000)</f>
        <v>74.247872407279445</v>
      </c>
      <c r="P88" s="87">
        <f>IF(TrRoad_act!P10=0,0,P24/TrRoad_act!P10*1000)</f>
        <v>90.057297188909843</v>
      </c>
      <c r="Q88" s="87">
        <f>IF(TrRoad_act!Q10=0,0,Q24/TrRoad_act!Q10*1000)</f>
        <v>94.153003964163005</v>
      </c>
      <c r="R88" s="87">
        <f>IF(TrRoad_act!R10=0,0,R24/TrRoad_act!R10*1000)</f>
        <v>103.98196362797178</v>
      </c>
      <c r="S88" s="87">
        <f>IF(TrRoad_act!S10=0,0,S24/TrRoad_act!S10*1000)</f>
        <v>92.430479347801992</v>
      </c>
      <c r="T88" s="87">
        <f>IF(TrRoad_act!T10=0,0,T24/TrRoad_act!T10*1000)</f>
        <v>104.42916643098897</v>
      </c>
      <c r="U88" s="87">
        <f>IF(TrRoad_act!U10=0,0,U24/TrRoad_act!U10*1000)</f>
        <v>104.12118352971251</v>
      </c>
      <c r="V88" s="87">
        <f>IF(TrRoad_act!V10=0,0,V24/TrRoad_act!V10*1000)</f>
        <v>107.01705067478379</v>
      </c>
      <c r="W88" s="87">
        <f>IF(TrRoad_act!W10=0,0,W24/TrRoad_act!W10*1000)</f>
        <v>97.390528184122118</v>
      </c>
      <c r="X88" s="87">
        <f>IF(TrRoad_act!X10=0,0,X24/TrRoad_act!X10*1000)</f>
        <v>91.179328511231304</v>
      </c>
      <c r="Y88" s="87">
        <f>IF(TrRoad_act!Y10=0,0,Y24/TrRoad_act!Y10*1000)</f>
        <v>88.233075192158964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0</v>
      </c>
      <c r="O89" s="87">
        <f>IF(TrRoad_act!O11=0,0,O25/TrRoad_act!O11*1000)</f>
        <v>39.565743874068779</v>
      </c>
      <c r="P89" s="87">
        <f>IF(TrRoad_act!P11=0,0,P25/TrRoad_act!P11*1000)</f>
        <v>38.184590444181218</v>
      </c>
      <c r="Q89" s="87">
        <f>IF(TrRoad_act!Q11=0,0,Q25/TrRoad_act!Q11*1000)</f>
        <v>37.504134644004388</v>
      </c>
      <c r="R89" s="87">
        <f>IF(TrRoad_act!R11=0,0,R25/TrRoad_act!R11*1000)</f>
        <v>44.870348738883258</v>
      </c>
      <c r="S89" s="87">
        <f>IF(TrRoad_act!S11=0,0,S25/TrRoad_act!S11*1000)</f>
        <v>38.415243293288206</v>
      </c>
      <c r="T89" s="87">
        <f>IF(TrRoad_act!T11=0,0,T25/TrRoad_act!T11*1000)</f>
        <v>45.114591358365011</v>
      </c>
      <c r="U89" s="87">
        <f>IF(TrRoad_act!U11=0,0,U25/TrRoad_act!U11*1000)</f>
        <v>49.465334478047211</v>
      </c>
      <c r="V89" s="87">
        <f>IF(TrRoad_act!V11=0,0,V25/TrRoad_act!V11*1000)</f>
        <v>53.521639404629894</v>
      </c>
      <c r="W89" s="87">
        <f>IF(TrRoad_act!W11=0,0,W25/TrRoad_act!W11*1000)</f>
        <v>45.593011937644164</v>
      </c>
      <c r="X89" s="87">
        <f>IF(TrRoad_act!X11=0,0,X25/TrRoad_act!X11*1000)</f>
        <v>39.444539616108926</v>
      </c>
      <c r="Y89" s="87">
        <f>IF(TrRoad_act!Y11=0,0,Y25/TrRoad_act!Y11*1000)</f>
        <v>34.567625610655632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66.43748806478979</v>
      </c>
      <c r="C91" s="116">
        <f>IF(TrRoad_act!C13=0,0,C27/TrRoad_act!C13*1000)</f>
        <v>62.271510494796871</v>
      </c>
      <c r="D91" s="116">
        <f>IF(TrRoad_act!D13=0,0,D27/TrRoad_act!D13*1000)</f>
        <v>60.020062809069472</v>
      </c>
      <c r="E91" s="116">
        <f>IF(TrRoad_act!E13=0,0,E27/TrRoad_act!E13*1000)</f>
        <v>60.293822060279517</v>
      </c>
      <c r="F91" s="116">
        <f>IF(TrRoad_act!F13=0,0,F27/TrRoad_act!F13*1000)</f>
        <v>54.016174868301796</v>
      </c>
      <c r="G91" s="116">
        <f>IF(TrRoad_act!G13=0,0,G27/TrRoad_act!G13*1000)</f>
        <v>50.027061945494488</v>
      </c>
      <c r="H91" s="116">
        <f>IF(TrRoad_act!H13=0,0,H27/TrRoad_act!H13*1000)</f>
        <v>47.191803609780983</v>
      </c>
      <c r="I91" s="116">
        <f>IF(TrRoad_act!I13=0,0,I27/TrRoad_act!I13*1000)</f>
        <v>44.223466578232362</v>
      </c>
      <c r="J91" s="116">
        <f>IF(TrRoad_act!J13=0,0,J27/TrRoad_act!J13*1000)</f>
        <v>43.795916225552247</v>
      </c>
      <c r="K91" s="116">
        <f>IF(TrRoad_act!K13=0,0,K27/TrRoad_act!K13*1000)</f>
        <v>53.066060704723739</v>
      </c>
      <c r="L91" s="116">
        <f>IF(TrRoad_act!L13=0,0,L27/TrRoad_act!L13*1000)</f>
        <v>53.549116967391598</v>
      </c>
      <c r="M91" s="116">
        <f>IF(TrRoad_act!M13=0,0,M27/TrRoad_act!M13*1000)</f>
        <v>53.505482583375041</v>
      </c>
      <c r="N91" s="116">
        <f>IF(TrRoad_act!N13=0,0,N27/TrRoad_act!N13*1000)</f>
        <v>52.357289821623795</v>
      </c>
      <c r="O91" s="116">
        <f>IF(TrRoad_act!O13=0,0,O27/TrRoad_act!O13*1000)</f>
        <v>45.277485719422017</v>
      </c>
      <c r="P91" s="116">
        <f>IF(TrRoad_act!P13=0,0,P27/TrRoad_act!P13*1000)</f>
        <v>44.829523837992298</v>
      </c>
      <c r="Q91" s="116">
        <f>IF(TrRoad_act!Q13=0,0,Q27/TrRoad_act!Q13*1000)</f>
        <v>49.37864613902449</v>
      </c>
      <c r="R91" s="116">
        <f>IF(TrRoad_act!R13=0,0,R27/TrRoad_act!R13*1000)</f>
        <v>49.947319529230434</v>
      </c>
      <c r="S91" s="116">
        <f>IF(TrRoad_act!S13=0,0,S27/TrRoad_act!S13*1000)</f>
        <v>49.000785669341553</v>
      </c>
      <c r="T91" s="116">
        <f>IF(TrRoad_act!T13=0,0,T27/TrRoad_act!T13*1000)</f>
        <v>48.492944354018213</v>
      </c>
      <c r="U91" s="116">
        <f>IF(TrRoad_act!U13=0,0,U27/TrRoad_act!U13*1000)</f>
        <v>53.455446668556576</v>
      </c>
      <c r="V91" s="116">
        <f>IF(TrRoad_act!V13=0,0,V27/TrRoad_act!V13*1000)</f>
        <v>74.431253234949935</v>
      </c>
      <c r="W91" s="116">
        <f>IF(TrRoad_act!W13=0,0,W27/TrRoad_act!W13*1000)</f>
        <v>71.58265155285153</v>
      </c>
      <c r="X91" s="116">
        <f>IF(TrRoad_act!X13=0,0,X27/TrRoad_act!X13*1000)</f>
        <v>52.74215827650314</v>
      </c>
      <c r="Y91" s="116">
        <f>IF(TrRoad_act!Y13=0,0,Y27/TrRoad_act!Y13*1000)</f>
        <v>49.696883668728375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41.369654448337172</v>
      </c>
      <c r="E92" s="101">
        <f>IF(TrRoad_act!E14=0,0,E28/TrRoad_act!E14*1000)</f>
        <v>41.368075747422978</v>
      </c>
      <c r="F92" s="101">
        <f>IF(TrRoad_act!F14=0,0,F28/TrRoad_act!F14*1000)</f>
        <v>40.933593653486639</v>
      </c>
      <c r="G92" s="101">
        <f>IF(TrRoad_act!G14=0,0,G28/TrRoad_act!G14*1000)</f>
        <v>41.126153460736255</v>
      </c>
      <c r="H92" s="101">
        <f>IF(TrRoad_act!H14=0,0,H28/TrRoad_act!H14*1000)</f>
        <v>40.718226359142498</v>
      </c>
      <c r="I92" s="101">
        <f>IF(TrRoad_act!I14=0,0,I28/TrRoad_act!I14*1000)</f>
        <v>40.356993484942642</v>
      </c>
      <c r="J92" s="101">
        <f>IF(TrRoad_act!J14=0,0,J28/TrRoad_act!J14*1000)</f>
        <v>39.983509069405081</v>
      </c>
      <c r="K92" s="101">
        <f>IF(TrRoad_act!K14=0,0,K28/TrRoad_act!K14*1000)</f>
        <v>40.738257626277445</v>
      </c>
      <c r="L92" s="101">
        <f>IF(TrRoad_act!L14=0,0,L28/TrRoad_act!L14*1000)</f>
        <v>40.826455678220078</v>
      </c>
      <c r="M92" s="101">
        <f>IF(TrRoad_act!M14=0,0,M28/TrRoad_act!M14*1000)</f>
        <v>40.663380916762009</v>
      </c>
      <c r="N92" s="101">
        <f>IF(TrRoad_act!N14=0,0,N28/TrRoad_act!N14*1000)</f>
        <v>42.336200949850777</v>
      </c>
      <c r="O92" s="101">
        <f>IF(TrRoad_act!O14=0,0,O28/TrRoad_act!O14*1000)</f>
        <v>33.714685344470553</v>
      </c>
      <c r="P92" s="101">
        <f>IF(TrRoad_act!P14=0,0,P28/TrRoad_act!P14*1000)</f>
        <v>35.33237993688418</v>
      </c>
      <c r="Q92" s="101">
        <f>IF(TrRoad_act!Q14=0,0,Q28/TrRoad_act!Q14*1000)</f>
        <v>37.154814737146111</v>
      </c>
      <c r="R92" s="101">
        <f>IF(TrRoad_act!R14=0,0,R28/TrRoad_act!R14*1000)</f>
        <v>38.443519812770063</v>
      </c>
      <c r="S92" s="101">
        <f>IF(TrRoad_act!S14=0,0,S28/TrRoad_act!S14*1000)</f>
        <v>37.584435540973679</v>
      </c>
      <c r="T92" s="101">
        <f>IF(TrRoad_act!T14=0,0,T28/TrRoad_act!T14*1000)</f>
        <v>37.359097677564577</v>
      </c>
      <c r="U92" s="101">
        <f>IF(TrRoad_act!U14=0,0,U28/TrRoad_act!U14*1000)</f>
        <v>40.636609379576704</v>
      </c>
      <c r="V92" s="101">
        <f>IF(TrRoad_act!V14=0,0,V28/TrRoad_act!V14*1000)</f>
        <v>50.548153702076611</v>
      </c>
      <c r="W92" s="101">
        <f>IF(TrRoad_act!W14=0,0,W28/TrRoad_act!W14*1000)</f>
        <v>50.61335352360387</v>
      </c>
      <c r="X92" s="101">
        <f>IF(TrRoad_act!X14=0,0,X28/TrRoad_act!X14*1000)</f>
        <v>46.067944619981944</v>
      </c>
      <c r="Y92" s="101">
        <f>IF(TrRoad_act!Y14=0,0,Y28/TrRoad_act!Y14*1000)</f>
        <v>43.655868248723266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66.43748806478979</v>
      </c>
      <c r="C93" s="101">
        <f>IF(TrRoad_act!C15=0,0,C29/TrRoad_act!C15*1000)</f>
        <v>62.271510494796871</v>
      </c>
      <c r="D93" s="101">
        <f>IF(TrRoad_act!D15=0,0,D29/TrRoad_act!D15*1000)</f>
        <v>60.055669966825953</v>
      </c>
      <c r="E93" s="101">
        <f>IF(TrRoad_act!E15=0,0,E29/TrRoad_act!E15*1000)</f>
        <v>60.344319781810434</v>
      </c>
      <c r="F93" s="101">
        <f>IF(TrRoad_act!F15=0,0,F29/TrRoad_act!F15*1000)</f>
        <v>54.336373022565809</v>
      </c>
      <c r="G93" s="101">
        <f>IF(TrRoad_act!G15=0,0,G29/TrRoad_act!G15*1000)</f>
        <v>51.018795541742392</v>
      </c>
      <c r="H93" s="101">
        <f>IF(TrRoad_act!H15=0,0,H29/TrRoad_act!H15*1000)</f>
        <v>48.854170541742604</v>
      </c>
      <c r="I93" s="101">
        <f>IF(TrRoad_act!I15=0,0,I29/TrRoad_act!I15*1000)</f>
        <v>46.384428520639389</v>
      </c>
      <c r="J93" s="101">
        <f>IF(TrRoad_act!J15=0,0,J29/TrRoad_act!J15*1000)</f>
        <v>46.141279788037764</v>
      </c>
      <c r="K93" s="101">
        <f>IF(TrRoad_act!K15=0,0,K29/TrRoad_act!K15*1000)</f>
        <v>56.627631586228034</v>
      </c>
      <c r="L93" s="101">
        <f>IF(TrRoad_act!L15=0,0,L29/TrRoad_act!L15*1000)</f>
        <v>57.320731119020571</v>
      </c>
      <c r="M93" s="101">
        <f>IF(TrRoad_act!M15=0,0,M29/TrRoad_act!M15*1000)</f>
        <v>57.384464693582174</v>
      </c>
      <c r="N93" s="101">
        <f>IF(TrRoad_act!N15=0,0,N29/TrRoad_act!N15*1000)</f>
        <v>56.316433765747071</v>
      </c>
      <c r="O93" s="101">
        <f>IF(TrRoad_act!O15=0,0,O29/TrRoad_act!O15*1000)</f>
        <v>58.89443000270866</v>
      </c>
      <c r="P93" s="101">
        <f>IF(TrRoad_act!P15=0,0,P29/TrRoad_act!P15*1000)</f>
        <v>58.745722503052107</v>
      </c>
      <c r="Q93" s="101">
        <f>IF(TrRoad_act!Q15=0,0,Q29/TrRoad_act!Q15*1000)</f>
        <v>68.723341019157857</v>
      </c>
      <c r="R93" s="101">
        <f>IF(TrRoad_act!R15=0,0,R29/TrRoad_act!R15*1000)</f>
        <v>70.580165882185511</v>
      </c>
      <c r="S93" s="101">
        <f>IF(TrRoad_act!S15=0,0,S29/TrRoad_act!S15*1000)</f>
        <v>69.167708447003818</v>
      </c>
      <c r="T93" s="101">
        <f>IF(TrRoad_act!T15=0,0,T29/TrRoad_act!T15*1000)</f>
        <v>67.958190458917386</v>
      </c>
      <c r="U93" s="101">
        <f>IF(TrRoad_act!U15=0,0,U29/TrRoad_act!U15*1000)</f>
        <v>74.29295179094747</v>
      </c>
      <c r="V93" s="101">
        <f>IF(TrRoad_act!V15=0,0,V29/TrRoad_act!V15*1000)</f>
        <v>105.90941279334946</v>
      </c>
      <c r="W93" s="101">
        <f>IF(TrRoad_act!W15=0,0,W29/TrRoad_act!W15*1000)</f>
        <v>108.09228438010572</v>
      </c>
      <c r="X93" s="101">
        <f>IF(TrRoad_act!X15=0,0,X29/TrRoad_act!X15*1000)</f>
        <v>81.99188090630544</v>
      </c>
      <c r="Y93" s="101">
        <f>IF(TrRoad_act!Y15=0,0,Y29/TrRoad_act!Y15*1000)</f>
        <v>75.58466783848823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40.436775535702274</v>
      </c>
      <c r="E94" s="101">
        <f>IF(TrRoad_act!E16=0,0,E30/TrRoad_act!E16*1000)</f>
        <v>41.929841007610108</v>
      </c>
      <c r="F94" s="101">
        <f>IF(TrRoad_act!F16=0,0,F30/TrRoad_act!F16*1000)</f>
        <v>37.807049924392821</v>
      </c>
      <c r="G94" s="101">
        <f>IF(TrRoad_act!G16=0,0,G30/TrRoad_act!G16*1000)</f>
        <v>35.355147510455836</v>
      </c>
      <c r="H94" s="101">
        <f>IF(TrRoad_act!H16=0,0,H30/TrRoad_act!H16*1000)</f>
        <v>34.200334082399287</v>
      </c>
      <c r="I94" s="101">
        <f>IF(TrRoad_act!I16=0,0,I30/TrRoad_act!I16*1000)</f>
        <v>33.137656571382401</v>
      </c>
      <c r="J94" s="101">
        <f>IF(TrRoad_act!J16=0,0,J30/TrRoad_act!J16*1000)</f>
        <v>32.998113833146036</v>
      </c>
      <c r="K94" s="101">
        <f>IF(TrRoad_act!K16=0,0,K30/TrRoad_act!K16*1000)</f>
        <v>40.51562396755309</v>
      </c>
      <c r="L94" s="101">
        <f>IF(TrRoad_act!L16=0,0,L30/TrRoad_act!L16*1000)</f>
        <v>40.576133928558555</v>
      </c>
      <c r="M94" s="101">
        <f>IF(TrRoad_act!M16=0,0,M30/TrRoad_act!M16*1000)</f>
        <v>41.119608714035593</v>
      </c>
      <c r="N94" s="101">
        <f>IF(TrRoad_act!N16=0,0,N30/TrRoad_act!N16*1000)</f>
        <v>40.876578323073609</v>
      </c>
      <c r="O94" s="101">
        <f>IF(TrRoad_act!O16=0,0,O30/TrRoad_act!O16*1000)</f>
        <v>43.276101641696847</v>
      </c>
      <c r="P94" s="101">
        <f>IF(TrRoad_act!P16=0,0,P30/TrRoad_act!P16*1000)</f>
        <v>43.290371872037731</v>
      </c>
      <c r="Q94" s="101">
        <f>IF(TrRoad_act!Q16=0,0,Q30/TrRoad_act!Q16*1000)</f>
        <v>50.468530166237656</v>
      </c>
      <c r="R94" s="101">
        <f>IF(TrRoad_act!R16=0,0,R30/TrRoad_act!R16*1000)</f>
        <v>51.273586405950951</v>
      </c>
      <c r="S94" s="101">
        <f>IF(TrRoad_act!S16=0,0,S30/TrRoad_act!S16*1000)</f>
        <v>50.59391095585412</v>
      </c>
      <c r="T94" s="101">
        <f>IF(TrRoad_act!T16=0,0,T30/TrRoad_act!T16*1000)</f>
        <v>50.143984506891819</v>
      </c>
      <c r="U94" s="101">
        <f>IF(TrRoad_act!U16=0,0,U30/TrRoad_act!U16*1000)</f>
        <v>55.014075531121001</v>
      </c>
      <c r="V94" s="101">
        <f>IF(TrRoad_act!V16=0,0,V30/TrRoad_act!V16*1000)</f>
        <v>79.927410558199114</v>
      </c>
      <c r="W94" s="101">
        <f>IF(TrRoad_act!W16=0,0,W30/TrRoad_act!W16*1000)</f>
        <v>84.025119487928251</v>
      </c>
      <c r="X94" s="101">
        <f>IF(TrRoad_act!X16=0,0,X30/TrRoad_act!X16*1000)</f>
        <v>64.584840305431854</v>
      </c>
      <c r="Y94" s="101">
        <f>IF(TrRoad_act!Y16=0,0,Y30/TrRoad_act!Y16*1000)</f>
        <v>60.922365899123164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37.043063314301385</v>
      </c>
      <c r="L95" s="101">
        <f>IF(TrRoad_act!L17=0,0,L31/TrRoad_act!L17*1000)</f>
        <v>41.622910988247988</v>
      </c>
      <c r="M95" s="101">
        <f>IF(TrRoad_act!M17=0,0,M31/TrRoad_act!M17*1000)</f>
        <v>42.011680946312865</v>
      </c>
      <c r="N95" s="101">
        <f>IF(TrRoad_act!N17=0,0,N31/TrRoad_act!N17*1000)</f>
        <v>38.393318095432591</v>
      </c>
      <c r="O95" s="101">
        <f>IF(TrRoad_act!O17=0,0,O31/TrRoad_act!O17*1000)</f>
        <v>36.527679548221677</v>
      </c>
      <c r="P95" s="101">
        <f>IF(TrRoad_act!P17=0,0,P31/TrRoad_act!P17*1000)</f>
        <v>34.515476787477134</v>
      </c>
      <c r="Q95" s="101">
        <f>IF(TrRoad_act!Q17=0,0,Q31/TrRoad_act!Q17*1000)</f>
        <v>34.797180164269534</v>
      </c>
      <c r="R95" s="101">
        <f>IF(TrRoad_act!R17=0,0,R31/TrRoad_act!R17*1000)</f>
        <v>33.45709688869497</v>
      </c>
      <c r="S95" s="101">
        <f>IF(TrRoad_act!S17=0,0,S31/TrRoad_act!S17*1000)</f>
        <v>32.933289977978141</v>
      </c>
      <c r="T95" s="101">
        <f>IF(TrRoad_act!T17=0,0,T31/TrRoad_act!T17*1000)</f>
        <v>32.71126031868031</v>
      </c>
      <c r="U95" s="101">
        <f>IF(TrRoad_act!U17=0,0,U31/TrRoad_act!U17*1000)</f>
        <v>36.253967945602518</v>
      </c>
      <c r="V95" s="101">
        <f>IF(TrRoad_act!V17=0,0,V31/TrRoad_act!V17*1000)</f>
        <v>53.238179080340927</v>
      </c>
      <c r="W95" s="101">
        <f>IF(TrRoad_act!W17=0,0,W31/TrRoad_act!W17*1000)</f>
        <v>57.236219494617494</v>
      </c>
      <c r="X95" s="101">
        <f>IF(TrRoad_act!X17=0,0,X31/TrRoad_act!X17*1000)</f>
        <v>37.198302102767435</v>
      </c>
      <c r="Y95" s="101">
        <f>IF(TrRoad_act!Y17=0,0,Y31/TrRoad_act!Y17*1000)</f>
        <v>35.749759104208074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210.18665769748682</v>
      </c>
      <c r="C97" s="29">
        <f>IF(TrRoad_act!C19=0,0,C33/TrRoad_act!C19*1000)</f>
        <v>265.66209158972401</v>
      </c>
      <c r="D97" s="29">
        <f>IF(TrRoad_act!D19=0,0,D33/TrRoad_act!D19*1000)</f>
        <v>260.33966071790854</v>
      </c>
      <c r="E97" s="29">
        <f>IF(TrRoad_act!E19=0,0,E33/TrRoad_act!E19*1000)</f>
        <v>190.76795548157224</v>
      </c>
      <c r="F97" s="29">
        <f>IF(TrRoad_act!F19=0,0,F33/TrRoad_act!F19*1000)</f>
        <v>197.54196315915365</v>
      </c>
      <c r="G97" s="29">
        <f>IF(TrRoad_act!G19=0,0,G33/TrRoad_act!G19*1000)</f>
        <v>184.84848381780631</v>
      </c>
      <c r="H97" s="29">
        <f>IF(TrRoad_act!H19=0,0,H33/TrRoad_act!H19*1000)</f>
        <v>151.9002859990849</v>
      </c>
      <c r="I97" s="29">
        <f>IF(TrRoad_act!I19=0,0,I33/TrRoad_act!I19*1000)</f>
        <v>203.28289886447681</v>
      </c>
      <c r="J97" s="29">
        <f>IF(TrRoad_act!J19=0,0,J33/TrRoad_act!J19*1000)</f>
        <v>228.89003564972359</v>
      </c>
      <c r="K97" s="29">
        <f>IF(TrRoad_act!K19=0,0,K33/TrRoad_act!K19*1000)</f>
        <v>143.80982574478929</v>
      </c>
      <c r="L97" s="29">
        <f>IF(TrRoad_act!L19=0,0,L33/TrRoad_act!L19*1000)</f>
        <v>172.23074255466685</v>
      </c>
      <c r="M97" s="29">
        <f>IF(TrRoad_act!M19=0,0,M33/TrRoad_act!M19*1000)</f>
        <v>193.21764475851586</v>
      </c>
      <c r="N97" s="29">
        <f>IF(TrRoad_act!N19=0,0,N33/TrRoad_act!N19*1000)</f>
        <v>128.74604967441817</v>
      </c>
      <c r="O97" s="29">
        <f>IF(TrRoad_act!O19=0,0,O33/TrRoad_act!O19*1000)</f>
        <v>129.43924288427564</v>
      </c>
      <c r="P97" s="29">
        <f>IF(TrRoad_act!P19=0,0,P33/TrRoad_act!P19*1000)</f>
        <v>205.64750408397182</v>
      </c>
      <c r="Q97" s="29">
        <f>IF(TrRoad_act!Q19=0,0,Q33/TrRoad_act!Q19*1000)</f>
        <v>204.34512698286289</v>
      </c>
      <c r="R97" s="29">
        <f>IF(TrRoad_act!R19=0,0,R33/TrRoad_act!R19*1000)</f>
        <v>192.65522338491462</v>
      </c>
      <c r="S97" s="29">
        <f>IF(TrRoad_act!S19=0,0,S33/TrRoad_act!S19*1000)</f>
        <v>192.67923903164817</v>
      </c>
      <c r="T97" s="29">
        <f>IF(TrRoad_act!T19=0,0,T33/TrRoad_act!T19*1000)</f>
        <v>199.18755012777368</v>
      </c>
      <c r="U97" s="29">
        <f>IF(TrRoad_act!U19=0,0,U33/TrRoad_act!U19*1000)</f>
        <v>214.08919010012536</v>
      </c>
      <c r="V97" s="29">
        <f>IF(TrRoad_act!V19=0,0,V33/TrRoad_act!V19*1000)</f>
        <v>202.91981664530164</v>
      </c>
      <c r="W97" s="29">
        <f>IF(TrRoad_act!W19=0,0,W33/TrRoad_act!W19*1000)</f>
        <v>206.88960384794697</v>
      </c>
      <c r="X97" s="29">
        <f>IF(TrRoad_act!X19=0,0,X33/TrRoad_act!X19*1000)</f>
        <v>199.90078446745986</v>
      </c>
      <c r="Y97" s="29">
        <f>IF(TrRoad_act!Y19=0,0,Y33/TrRoad_act!Y19*1000)</f>
        <v>174.66664710491119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2672.9506624010774</v>
      </c>
      <c r="C98" s="152">
        <f>IF(TrRoad_act!C20=0,0,C34/TrRoad_act!C20*1000)</f>
        <v>2596.9356206521534</v>
      </c>
      <c r="D98" s="152">
        <f>IF(TrRoad_act!D20=0,0,D34/TrRoad_act!D20*1000)</f>
        <v>2398.9241622417162</v>
      </c>
      <c r="E98" s="152">
        <f>IF(TrRoad_act!E20=0,0,E34/TrRoad_act!E20*1000)</f>
        <v>2279.0224450961587</v>
      </c>
      <c r="F98" s="152">
        <f>IF(TrRoad_act!F20=0,0,F34/TrRoad_act!F20*1000)</f>
        <v>2253.2904454000927</v>
      </c>
      <c r="G98" s="152">
        <f>IF(TrRoad_act!G20=0,0,G34/TrRoad_act!G20*1000)</f>
        <v>2132.697155057208</v>
      </c>
      <c r="H98" s="152">
        <f>IF(TrRoad_act!H20=0,0,H34/TrRoad_act!H20*1000)</f>
        <v>1995.0213670253602</v>
      </c>
      <c r="I98" s="152">
        <f>IF(TrRoad_act!I20=0,0,I34/TrRoad_act!I20*1000)</f>
        <v>1974.314042020002</v>
      </c>
      <c r="J98" s="152">
        <f>IF(TrRoad_act!J20=0,0,J34/TrRoad_act!J20*1000)</f>
        <v>1898.718190940041</v>
      </c>
      <c r="K98" s="152">
        <f>IF(TrRoad_act!K20=0,0,K34/TrRoad_act!K20*1000)</f>
        <v>1763.9376646431083</v>
      </c>
      <c r="L98" s="152">
        <f>IF(TrRoad_act!L20=0,0,L34/TrRoad_act!L20*1000)</f>
        <v>1835.4801944133073</v>
      </c>
      <c r="M98" s="152">
        <f>IF(TrRoad_act!M20=0,0,M34/TrRoad_act!M20*1000)</f>
        <v>1823.3993981473805</v>
      </c>
      <c r="N98" s="152">
        <f>IF(TrRoad_act!N20=0,0,N34/TrRoad_act!N20*1000)</f>
        <v>1776.6876736323495</v>
      </c>
      <c r="O98" s="152">
        <f>IF(TrRoad_act!O20=0,0,O34/TrRoad_act!O20*1000)</f>
        <v>1771.8065693746155</v>
      </c>
      <c r="P98" s="152">
        <f>IF(TrRoad_act!P20=0,0,P34/TrRoad_act!P20*1000)</f>
        <v>1830.2298777472515</v>
      </c>
      <c r="Q98" s="152">
        <f>IF(TrRoad_act!Q20=0,0,Q34/TrRoad_act!Q20*1000)</f>
        <v>1849.5605227926342</v>
      </c>
      <c r="R98" s="152">
        <f>IF(TrRoad_act!R20=0,0,R34/TrRoad_act!R20*1000)</f>
        <v>1888.2290074991754</v>
      </c>
      <c r="S98" s="152">
        <f>IF(TrRoad_act!S20=0,0,S34/TrRoad_act!S20*1000)</f>
        <v>1920.5315590952662</v>
      </c>
      <c r="T98" s="152">
        <f>IF(TrRoad_act!T20=0,0,T34/TrRoad_act!T20*1000)</f>
        <v>1923.1823157000258</v>
      </c>
      <c r="U98" s="152">
        <f>IF(TrRoad_act!U20=0,0,U34/TrRoad_act!U20*1000)</f>
        <v>1929.3150142849861</v>
      </c>
      <c r="V98" s="152">
        <f>IF(TrRoad_act!V20=0,0,V34/TrRoad_act!V20*1000)</f>
        <v>1897.7329246749423</v>
      </c>
      <c r="W98" s="152">
        <f>IF(TrRoad_act!W20=0,0,W34/TrRoad_act!W20*1000)</f>
        <v>1863.0364720738351</v>
      </c>
      <c r="X98" s="152">
        <f>IF(TrRoad_act!X20=0,0,X34/TrRoad_act!X20*1000)</f>
        <v>1874.5056467926563</v>
      </c>
      <c r="Y98" s="152">
        <f>IF(TrRoad_act!Y20=0,0,Y34/TrRoad_act!Y20*1000)</f>
        <v>1841.0476340895709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3055.2114722044375</v>
      </c>
      <c r="C99" s="87">
        <f>IF(TrRoad_act!C21=0,0,C35/TrRoad_act!C21*1000)</f>
        <v>2953.526044032054</v>
      </c>
      <c r="D99" s="87">
        <f>IF(TrRoad_act!D21=0,0,D35/TrRoad_act!D21*1000)</f>
        <v>2867.4546110942342</v>
      </c>
      <c r="E99" s="87">
        <f>IF(TrRoad_act!E21=0,0,E35/TrRoad_act!E21*1000)</f>
        <v>2798.6504511746589</v>
      </c>
      <c r="F99" s="87">
        <f>IF(TrRoad_act!F21=0,0,F35/TrRoad_act!F21*1000)</f>
        <v>2741.9083341831702</v>
      </c>
      <c r="G99" s="87">
        <f>IF(TrRoad_act!G21=0,0,G35/TrRoad_act!G21*1000)</f>
        <v>2688.4382520593131</v>
      </c>
      <c r="H99" s="87">
        <f>IF(TrRoad_act!H21=0,0,H35/TrRoad_act!H21*1000)</f>
        <v>2620.8799939023152</v>
      </c>
      <c r="I99" s="87">
        <f>IF(TrRoad_act!I21=0,0,I35/TrRoad_act!I21*1000)</f>
        <v>2568.69910566819</v>
      </c>
      <c r="J99" s="87">
        <f>IF(TrRoad_act!J21=0,0,J35/TrRoad_act!J21*1000)</f>
        <v>2527.0282224917396</v>
      </c>
      <c r="K99" s="87">
        <f>IF(TrRoad_act!K21=0,0,K35/TrRoad_act!K21*1000)</f>
        <v>2502.886111005821</v>
      </c>
      <c r="L99" s="87">
        <f>IF(TrRoad_act!L21=0,0,L35/TrRoad_act!L21*1000)</f>
        <v>2514.6675098790047</v>
      </c>
      <c r="M99" s="87">
        <f>IF(TrRoad_act!M21=0,0,M35/TrRoad_act!M21*1000)</f>
        <v>2509.7427694136986</v>
      </c>
      <c r="N99" s="87">
        <f>IF(TrRoad_act!N21=0,0,N35/TrRoad_act!N21*1000)</f>
        <v>2486.2588638636939</v>
      </c>
      <c r="O99" s="87">
        <f>IF(TrRoad_act!O21=0,0,O35/TrRoad_act!O21*1000)</f>
        <v>2461.6894547754655</v>
      </c>
      <c r="P99" s="87">
        <f>IF(TrRoad_act!P21=0,0,P35/TrRoad_act!P21*1000)</f>
        <v>2424.1875622071043</v>
      </c>
      <c r="Q99" s="87">
        <f>IF(TrRoad_act!Q21=0,0,Q35/TrRoad_act!Q21*1000)</f>
        <v>2315.4249410871116</v>
      </c>
      <c r="R99" s="87">
        <f>IF(TrRoad_act!R21=0,0,R35/TrRoad_act!R21*1000)</f>
        <v>2334.5279052767405</v>
      </c>
      <c r="S99" s="87">
        <f>IF(TrRoad_act!S21=0,0,S35/TrRoad_act!S21*1000)</f>
        <v>2271.5299637373532</v>
      </c>
      <c r="T99" s="87">
        <f>IF(TrRoad_act!T21=0,0,T35/TrRoad_act!T21*1000)</f>
        <v>2235.4254169909764</v>
      </c>
      <c r="U99" s="87">
        <f>IF(TrRoad_act!U21=0,0,U35/TrRoad_act!U21*1000)</f>
        <v>2298.7767996077628</v>
      </c>
      <c r="V99" s="87">
        <f>IF(TrRoad_act!V21=0,0,V35/TrRoad_act!V21*1000)</f>
        <v>2212.8178949741314</v>
      </c>
      <c r="W99" s="87">
        <f>IF(TrRoad_act!W21=0,0,W35/TrRoad_act!W21*1000)</f>
        <v>2173.0672604102592</v>
      </c>
      <c r="X99" s="87">
        <f>IF(TrRoad_act!X21=0,0,X35/TrRoad_act!X21*1000)</f>
        <v>2149.8881774138008</v>
      </c>
      <c r="Y99" s="87">
        <f>IF(TrRoad_act!Y21=0,0,Y35/TrRoad_act!Y21*1000)</f>
        <v>2152.7374774786585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2623.7093798134356</v>
      </c>
      <c r="C100" s="87">
        <f>IF(TrRoad_act!C22=0,0,C36/TrRoad_act!C22*1000)</f>
        <v>2552.8164119342928</v>
      </c>
      <c r="D100" s="87">
        <f>IF(TrRoad_act!D22=0,0,D36/TrRoad_act!D22*1000)</f>
        <v>2346.4876149950624</v>
      </c>
      <c r="E100" s="87">
        <f>IF(TrRoad_act!E22=0,0,E36/TrRoad_act!E22*1000)</f>
        <v>2225.7730493466543</v>
      </c>
      <c r="F100" s="87">
        <f>IF(TrRoad_act!F22=0,0,F36/TrRoad_act!F22*1000)</f>
        <v>2206.8615407358161</v>
      </c>
      <c r="G100" s="87">
        <f>IF(TrRoad_act!G22=0,0,G36/TrRoad_act!G22*1000)</f>
        <v>2084.4765373722043</v>
      </c>
      <c r="H100" s="87">
        <f>IF(TrRoad_act!H22=0,0,H36/TrRoad_act!H22*1000)</f>
        <v>1940.287087922082</v>
      </c>
      <c r="I100" s="87">
        <f>IF(TrRoad_act!I22=0,0,I36/TrRoad_act!I22*1000)</f>
        <v>1921.9214511114881</v>
      </c>
      <c r="J100" s="87">
        <f>IF(TrRoad_act!J22=0,0,J36/TrRoad_act!J22*1000)</f>
        <v>1850.8849235484897</v>
      </c>
      <c r="K100" s="87">
        <f>IF(TrRoad_act!K22=0,0,K36/TrRoad_act!K22*1000)</f>
        <v>1718.4967159493387</v>
      </c>
      <c r="L100" s="87">
        <f>IF(TrRoad_act!L22=0,0,L36/TrRoad_act!L22*1000)</f>
        <v>1795.2078679377464</v>
      </c>
      <c r="M100" s="87">
        <f>IF(TrRoad_act!M22=0,0,M36/TrRoad_act!M22*1000)</f>
        <v>1791.9885824565968</v>
      </c>
      <c r="N100" s="87">
        <f>IF(TrRoad_act!N22=0,0,N36/TrRoad_act!N22*1000)</f>
        <v>1752.1099114242452</v>
      </c>
      <c r="O100" s="87">
        <f>IF(TrRoad_act!O22=0,0,O36/TrRoad_act!O22*1000)</f>
        <v>1751.6390426506794</v>
      </c>
      <c r="P100" s="87">
        <f>IF(TrRoad_act!P22=0,0,P36/TrRoad_act!P22*1000)</f>
        <v>1816.2669908459866</v>
      </c>
      <c r="Q100" s="87">
        <f>IF(TrRoad_act!Q22=0,0,Q36/TrRoad_act!Q22*1000)</f>
        <v>1840.6226636779431</v>
      </c>
      <c r="R100" s="87">
        <f>IF(TrRoad_act!R22=0,0,R36/TrRoad_act!R22*1000)</f>
        <v>1880.6866076606609</v>
      </c>
      <c r="S100" s="87">
        <f>IF(TrRoad_act!S22=0,0,S36/TrRoad_act!S22*1000)</f>
        <v>1915.102248777931</v>
      </c>
      <c r="T100" s="87">
        <f>IF(TrRoad_act!T22=0,0,T36/TrRoad_act!T22*1000)</f>
        <v>1918.7660055149267</v>
      </c>
      <c r="U100" s="87">
        <f>IF(TrRoad_act!U22=0,0,U36/TrRoad_act!U22*1000)</f>
        <v>1922.6800870838988</v>
      </c>
      <c r="V100" s="87">
        <f>IF(TrRoad_act!V22=0,0,V36/TrRoad_act!V22*1000)</f>
        <v>1892.8311583323655</v>
      </c>
      <c r="W100" s="87">
        <f>IF(TrRoad_act!W22=0,0,W36/TrRoad_act!W22*1000)</f>
        <v>1858.7641813662769</v>
      </c>
      <c r="X100" s="87">
        <f>IF(TrRoad_act!X22=0,0,X36/TrRoad_act!X22*1000)</f>
        <v>1871.2063224798151</v>
      </c>
      <c r="Y100" s="87">
        <f>IF(TrRoad_act!Y22=0,0,Y36/TrRoad_act!Y22*1000)</f>
        <v>1837.9131040476525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X101" s="87">
        <f>IF(TrRoad_act!X23=0,0,X37/TrRoad_act!X23*1000)</f>
        <v>0</v>
      </c>
      <c r="Y101" s="87">
        <f>IF(TrRoad_act!Y23=0,0,Y37/TrRoad_act!Y23*1000)</f>
        <v>0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X102" s="87">
        <f>IF(TrRoad_act!X24=0,0,X38/TrRoad_act!X24*1000)</f>
        <v>0</v>
      </c>
      <c r="Y102" s="87">
        <f>IF(TrRoad_act!Y24=0,0,Y38/TrRoad_act!Y24*1000)</f>
        <v>0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180.04095746131762</v>
      </c>
      <c r="C104" s="116">
        <f>IF(TrRoad_act!C26=0,0,C40/TrRoad_act!C26*1000)</f>
        <v>237.188188298309</v>
      </c>
      <c r="D104" s="116">
        <f>IF(TrRoad_act!D26=0,0,D40/TrRoad_act!D26*1000)</f>
        <v>232.76962540409534</v>
      </c>
      <c r="E104" s="116">
        <f>IF(TrRoad_act!E26=0,0,E40/TrRoad_act!E26*1000)</f>
        <v>165.34495735831055</v>
      </c>
      <c r="F104" s="116">
        <f>IF(TrRoad_act!F26=0,0,F40/TrRoad_act!F26*1000)</f>
        <v>174.20563503867527</v>
      </c>
      <c r="G104" s="116">
        <f>IF(TrRoad_act!G26=0,0,G40/TrRoad_act!G26*1000)</f>
        <v>160.36484468099627</v>
      </c>
      <c r="H104" s="116">
        <f>IF(TrRoad_act!H26=0,0,H40/TrRoad_act!H26*1000)</f>
        <v>126.86513752753234</v>
      </c>
      <c r="I104" s="116">
        <f>IF(TrRoad_act!I26=0,0,I40/TrRoad_act!I26*1000)</f>
        <v>179.33241514024562</v>
      </c>
      <c r="J104" s="116">
        <f>IF(TrRoad_act!J26=0,0,J40/TrRoad_act!J26*1000)</f>
        <v>203.13865713405593</v>
      </c>
      <c r="K104" s="116">
        <f>IF(TrRoad_act!K26=0,0,K40/TrRoad_act!K26*1000)</f>
        <v>113.45596924649885</v>
      </c>
      <c r="L104" s="116">
        <f>IF(TrRoad_act!L26=0,0,L40/TrRoad_act!L26*1000)</f>
        <v>143.9055071243842</v>
      </c>
      <c r="M104" s="116">
        <f>IF(TrRoad_act!M26=0,0,M40/TrRoad_act!M26*1000)</f>
        <v>164.54707592344081</v>
      </c>
      <c r="N104" s="116">
        <f>IF(TrRoad_act!N26=0,0,N40/TrRoad_act!N26*1000)</f>
        <v>99.742313748430405</v>
      </c>
      <c r="O104" s="116">
        <f>IF(TrRoad_act!O26=0,0,O40/TrRoad_act!O26*1000)</f>
        <v>102.38786831963911</v>
      </c>
      <c r="P104" s="116">
        <f>IF(TrRoad_act!P26=0,0,P40/TrRoad_act!P26*1000)</f>
        <v>176.51587698733763</v>
      </c>
      <c r="Q104" s="116">
        <f>IF(TrRoad_act!Q26=0,0,Q40/TrRoad_act!Q26*1000)</f>
        <v>176.0738444192267</v>
      </c>
      <c r="R104" s="116">
        <f>IF(TrRoad_act!R26=0,0,R40/TrRoad_act!R26*1000)</f>
        <v>162.65271942323329</v>
      </c>
      <c r="S104" s="116">
        <f>IF(TrRoad_act!S26=0,0,S40/TrRoad_act!S26*1000)</f>
        <v>163.19377167806681</v>
      </c>
      <c r="T104" s="116">
        <f>IF(TrRoad_act!T26=0,0,T40/TrRoad_act!T26*1000)</f>
        <v>170.29533994119001</v>
      </c>
      <c r="U104" s="116">
        <f>IF(TrRoad_act!U26=0,0,U40/TrRoad_act!U26*1000)</f>
        <v>183.47265736296814</v>
      </c>
      <c r="V104" s="116">
        <f>IF(TrRoad_act!V26=0,0,V40/TrRoad_act!V26*1000)</f>
        <v>174.58342158389735</v>
      </c>
      <c r="W104" s="116">
        <f>IF(TrRoad_act!W26=0,0,W40/TrRoad_act!W26*1000)</f>
        <v>178.29750315817228</v>
      </c>
      <c r="X104" s="116">
        <f>IF(TrRoad_act!X26=0,0,X40/TrRoad_act!X26*1000)</f>
        <v>171.75071916563118</v>
      </c>
      <c r="Y104" s="116">
        <f>IF(TrRoad_act!Y26=0,0,Y40/TrRoad_act!Y26*1000)</f>
        <v>150.05467190851903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224.3549428288309</v>
      </c>
      <c r="C105" s="101">
        <f>IF(TrRoad_act!C27=0,0,C41/TrRoad_act!C27*1000)</f>
        <v>258.75366160232841</v>
      </c>
      <c r="D105" s="101">
        <f>IF(TrRoad_act!D27=0,0,D41/TrRoad_act!D27*1000)</f>
        <v>257.50568479878234</v>
      </c>
      <c r="E105" s="101">
        <f>IF(TrRoad_act!E27=0,0,E41/TrRoad_act!E27*1000)</f>
        <v>212.44485126176849</v>
      </c>
      <c r="F105" s="101">
        <f>IF(TrRoad_act!F27=0,0,F41/TrRoad_act!F27*1000)</f>
        <v>197.62549226270403</v>
      </c>
      <c r="G105" s="101">
        <f>IF(TrRoad_act!G27=0,0,G41/TrRoad_act!G27*1000)</f>
        <v>182.64699567244966</v>
      </c>
      <c r="H105" s="101">
        <f>IF(TrRoad_act!H27=0,0,H41/TrRoad_act!H27*1000)</f>
        <v>164.71477946926834</v>
      </c>
      <c r="I105" s="101">
        <f>IF(TrRoad_act!I27=0,0,I41/TrRoad_act!I27*1000)</f>
        <v>179.96380257398727</v>
      </c>
      <c r="J105" s="101">
        <f>IF(TrRoad_act!J27=0,0,J41/TrRoad_act!J27*1000)</f>
        <v>182.22256329541062</v>
      </c>
      <c r="K105" s="101">
        <f>IF(TrRoad_act!K27=0,0,K41/TrRoad_act!K27*1000)</f>
        <v>130.04139540652986</v>
      </c>
      <c r="L105" s="101">
        <f>IF(TrRoad_act!L27=0,0,L41/TrRoad_act!L27*1000)</f>
        <v>146.28196100789702</v>
      </c>
      <c r="M105" s="101">
        <f>IF(TrRoad_act!M27=0,0,M41/TrRoad_act!M27*1000)</f>
        <v>158.71839513656894</v>
      </c>
      <c r="N105" s="101">
        <f>IF(TrRoad_act!N27=0,0,N41/TrRoad_act!N27*1000)</f>
        <v>128.91258303633475</v>
      </c>
      <c r="O105" s="101">
        <f>IF(TrRoad_act!O27=0,0,O41/TrRoad_act!O27*1000)</f>
        <v>134.72147432326437</v>
      </c>
      <c r="P105" s="101">
        <f>IF(TrRoad_act!P27=0,0,P41/TrRoad_act!P27*1000)</f>
        <v>172.93035899941128</v>
      </c>
      <c r="Q105" s="101">
        <f>IF(TrRoad_act!Q27=0,0,Q41/TrRoad_act!Q27*1000)</f>
        <v>163.15455633574527</v>
      </c>
      <c r="R105" s="101">
        <f>IF(TrRoad_act!R27=0,0,R41/TrRoad_act!R27*1000)</f>
        <v>156.03873201670956</v>
      </c>
      <c r="S105" s="101">
        <f>IF(TrRoad_act!S27=0,0,S41/TrRoad_act!S27*1000)</f>
        <v>151.50476497184593</v>
      </c>
      <c r="T105" s="101">
        <f>IF(TrRoad_act!T27=0,0,T41/TrRoad_act!T27*1000)</f>
        <v>145.8417067211154</v>
      </c>
      <c r="U105" s="101">
        <f>IF(TrRoad_act!U27=0,0,U41/TrRoad_act!U27*1000)</f>
        <v>159.11069199591995</v>
      </c>
      <c r="V105" s="101">
        <f>IF(TrRoad_act!V27=0,0,V41/TrRoad_act!V27*1000)</f>
        <v>144.1595202845233</v>
      </c>
      <c r="W105" s="101">
        <f>IF(TrRoad_act!W27=0,0,W41/TrRoad_act!W27*1000)</f>
        <v>145.04525705785085</v>
      </c>
      <c r="X105" s="101">
        <f>IF(TrRoad_act!X27=0,0,X41/TrRoad_act!X27*1000)</f>
        <v>140.14174706619764</v>
      </c>
      <c r="Y105" s="101">
        <f>IF(TrRoad_act!Y27=0,0,Y41/TrRoad_act!Y27*1000)</f>
        <v>119.32067356255283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137.50220389455808</v>
      </c>
      <c r="C106" s="88">
        <f>IF(TrRoad_act!C28=0,0,C42/TrRoad_act!C28*1000)</f>
        <v>218.06415819145937</v>
      </c>
      <c r="D106" s="88">
        <f>IF(TrRoad_act!D28=0,0,D42/TrRoad_act!D28*1000)</f>
        <v>212.05521400516187</v>
      </c>
      <c r="E106" s="88">
        <f>IF(TrRoad_act!E28=0,0,E42/TrRoad_act!E28*1000)</f>
        <v>115.27779233989367</v>
      </c>
      <c r="F106" s="88">
        <f>IF(TrRoad_act!F28=0,0,F42/TrRoad_act!F28*1000)</f>
        <v>149.96430122305858</v>
      </c>
      <c r="G106" s="88">
        <f>IF(TrRoad_act!G28=0,0,G42/TrRoad_act!G28*1000)</f>
        <v>138.8610680921893</v>
      </c>
      <c r="H106" s="88">
        <f>IF(TrRoad_act!H28=0,0,H42/TrRoad_act!H28*1000)</f>
        <v>97.190723126192481</v>
      </c>
      <c r="I106" s="88">
        <f>IF(TrRoad_act!I28=0,0,I42/TrRoad_act!I28*1000)</f>
        <v>178.79096233388208</v>
      </c>
      <c r="J106" s="88">
        <f>IF(TrRoad_act!J28=0,0,J42/TrRoad_act!J28*1000)</f>
        <v>221.64730187538174</v>
      </c>
      <c r="K106" s="88">
        <f>IF(TrRoad_act!K28=0,0,K42/TrRoad_act!K28*1000)</f>
        <v>95.029612091950057</v>
      </c>
      <c r="L106" s="88">
        <f>IF(TrRoad_act!L28=0,0,L42/TrRoad_act!L28*1000)</f>
        <v>141.91094434582021</v>
      </c>
      <c r="M106" s="88">
        <f>IF(TrRoad_act!M28=0,0,M42/TrRoad_act!M28*1000)</f>
        <v>168.948481172908</v>
      </c>
      <c r="N106" s="88">
        <f>IF(TrRoad_act!N28=0,0,N42/TrRoad_act!N28*1000)</f>
        <v>79.687747498121553</v>
      </c>
      <c r="O106" s="88">
        <f>IF(TrRoad_act!O28=0,0,O42/TrRoad_act!O28*1000)</f>
        <v>82.603088256691748</v>
      </c>
      <c r="P106" s="88">
        <f>IF(TrRoad_act!P28=0,0,P42/TrRoad_act!P28*1000)</f>
        <v>179.03108804926228</v>
      </c>
      <c r="Q106" s="88">
        <f>IF(TrRoad_act!Q28=0,0,Q42/TrRoad_act!Q28*1000)</f>
        <v>184.69692494718177</v>
      </c>
      <c r="R106" s="88">
        <f>IF(TrRoad_act!R28=0,0,R42/TrRoad_act!R28*1000)</f>
        <v>167.055879050535</v>
      </c>
      <c r="S106" s="88">
        <f>IF(TrRoad_act!S28=0,0,S42/TrRoad_act!S28*1000)</f>
        <v>171.43397309382553</v>
      </c>
      <c r="T106" s="88">
        <f>IF(TrRoad_act!T28=0,0,T42/TrRoad_act!T28*1000)</f>
        <v>190.8350383239187</v>
      </c>
      <c r="U106" s="88">
        <f>IF(TrRoad_act!U28=0,0,U42/TrRoad_act!U28*1000)</f>
        <v>203.79811779006417</v>
      </c>
      <c r="V106" s="88">
        <f>IF(TrRoad_act!V28=0,0,V42/TrRoad_act!V28*1000)</f>
        <v>200.59872245953932</v>
      </c>
      <c r="W106" s="88">
        <f>IF(TrRoad_act!W28=0,0,W42/TrRoad_act!W28*1000)</f>
        <v>204.70510637417919</v>
      </c>
      <c r="X106" s="88">
        <f>IF(TrRoad_act!X28=0,0,X42/TrRoad_act!X28*1000)</f>
        <v>190.58235167272676</v>
      </c>
      <c r="Y106" s="88">
        <f>IF(TrRoad_act!Y28=0,0,Y42/TrRoad_act!Y28*1000)</f>
        <v>172.81777155210116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437.70461857103055</v>
      </c>
      <c r="C110" s="152">
        <f>IF(C19=0,0,1000000*C19/TrRoad_act!C59)</f>
        <v>431.48370198303309</v>
      </c>
      <c r="D110" s="152">
        <f>IF(D19=0,0,1000000*D19/TrRoad_act!D59)</f>
        <v>425.03043161693932</v>
      </c>
      <c r="E110" s="152">
        <f>IF(E19=0,0,1000000*E19/TrRoad_act!E59)</f>
        <v>396.91663653833371</v>
      </c>
      <c r="F110" s="152">
        <f>IF(F19=0,0,1000000*F19/TrRoad_act!F59)</f>
        <v>391.33497719460951</v>
      </c>
      <c r="G110" s="152">
        <f>IF(G19=0,0,1000000*G19/TrRoad_act!G59)</f>
        <v>358.81714455599763</v>
      </c>
      <c r="H110" s="152">
        <f>IF(H19=0,0,1000000*H19/TrRoad_act!H59)</f>
        <v>349.62014417936058</v>
      </c>
      <c r="I110" s="152">
        <f>IF(I19=0,0,1000000*I19/TrRoad_act!I59)</f>
        <v>329.03323016277272</v>
      </c>
      <c r="J110" s="152">
        <f>IF(J19=0,0,1000000*J19/TrRoad_act!J59)</f>
        <v>316.07621502909325</v>
      </c>
      <c r="K110" s="152">
        <f>IF(K19=0,0,1000000*K19/TrRoad_act!K59)</f>
        <v>304.37954610945047</v>
      </c>
      <c r="L110" s="152">
        <f>IF(L19=0,0,1000000*L19/TrRoad_act!L59)</f>
        <v>297.64672564324997</v>
      </c>
      <c r="M110" s="152">
        <f>IF(M19=0,0,1000000*M19/TrRoad_act!M59)</f>
        <v>291.82684815230306</v>
      </c>
      <c r="N110" s="152">
        <f>IF(N19=0,0,1000000*N19/TrRoad_act!N59)</f>
        <v>286.14627507266556</v>
      </c>
      <c r="O110" s="152">
        <f>IF(O19=0,0,1000000*O19/TrRoad_act!O59)</f>
        <v>282.52251868570653</v>
      </c>
      <c r="P110" s="152">
        <f>IF(P19=0,0,1000000*P19/TrRoad_act!P59)</f>
        <v>269.32454715461046</v>
      </c>
      <c r="Q110" s="152">
        <f>IF(Q19=0,0,1000000*Q19/TrRoad_act!Q59)</f>
        <v>272.69599153938793</v>
      </c>
      <c r="R110" s="152">
        <f>IF(R19=0,0,1000000*R19/TrRoad_act!R59)</f>
        <v>279.01686926696669</v>
      </c>
      <c r="S110" s="152">
        <f>IF(S19=0,0,1000000*S19/TrRoad_act!S59)</f>
        <v>243.94445204285276</v>
      </c>
      <c r="T110" s="152">
        <f>IF(T19=0,0,1000000*T19/TrRoad_act!T59)</f>
        <v>214.49844766706397</v>
      </c>
      <c r="U110" s="152">
        <f>IF(U19=0,0,1000000*U19/TrRoad_act!U59)</f>
        <v>187.13130447423583</v>
      </c>
      <c r="V110" s="152">
        <f>IF(V19=0,0,1000000*V19/TrRoad_act!V59)</f>
        <v>140.45104720663343</v>
      </c>
      <c r="W110" s="152">
        <f>IF(W19=0,0,1000000*W19/TrRoad_act!W59)</f>
        <v>127.0146752783627</v>
      </c>
      <c r="X110" s="152">
        <f>IF(X19=0,0,1000000*X19/TrRoad_act!X59)</f>
        <v>114.28272453921427</v>
      </c>
      <c r="Y110" s="152">
        <f>IF(Y19=0,0,1000000*Y19/TrRoad_act!Y59)</f>
        <v>112.42723481531235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2115.6595494668895</v>
      </c>
      <c r="C111" s="116">
        <f>IF(C20=0,0,1000000*C20/TrRoad_act!C60)</f>
        <v>2162.4914974028761</v>
      </c>
      <c r="D111" s="116">
        <f>IF(D20=0,0,1000000*D20/TrRoad_act!D60)</f>
        <v>2145.6542717606062</v>
      </c>
      <c r="E111" s="116">
        <f>IF(E20=0,0,1000000*E20/TrRoad_act!E60)</f>
        <v>2166.5616098871556</v>
      </c>
      <c r="F111" s="116">
        <f>IF(F20=0,0,1000000*F20/TrRoad_act!F60)</f>
        <v>2181.9803491235152</v>
      </c>
      <c r="G111" s="116">
        <f>IF(G20=0,0,1000000*G20/TrRoad_act!G60)</f>
        <v>2288.9832736261014</v>
      </c>
      <c r="H111" s="116">
        <f>IF(H20=0,0,1000000*H20/TrRoad_act!H60)</f>
        <v>2179.3068341571043</v>
      </c>
      <c r="I111" s="116">
        <f>IF(I20=0,0,1000000*I20/TrRoad_act!I60)</f>
        <v>2288.9440834183806</v>
      </c>
      <c r="J111" s="116">
        <f>IF(J20=0,0,1000000*J20/TrRoad_act!J60)</f>
        <v>2233.6039670495679</v>
      </c>
      <c r="K111" s="116">
        <f>IF(K20=0,0,1000000*K20/TrRoad_act!K60)</f>
        <v>2148.88228887183</v>
      </c>
      <c r="L111" s="116">
        <f>IF(L20=0,0,1000000*L20/TrRoad_act!L60)</f>
        <v>2334.333480538874</v>
      </c>
      <c r="M111" s="116">
        <f>IF(M20=0,0,1000000*M20/TrRoad_act!M60)</f>
        <v>2349.2429183707973</v>
      </c>
      <c r="N111" s="116">
        <f>IF(N20=0,0,1000000*N20/TrRoad_act!N60)</f>
        <v>2328.4476735497246</v>
      </c>
      <c r="O111" s="116">
        <f>IF(O20=0,0,1000000*O20/TrRoad_act!O60)</f>
        <v>2258.5267278446231</v>
      </c>
      <c r="P111" s="116">
        <f>IF(P20=0,0,1000000*P20/TrRoad_act!P60)</f>
        <v>2203.0524103380367</v>
      </c>
      <c r="Q111" s="116">
        <f>IF(Q20=0,0,1000000*Q20/TrRoad_act!Q60)</f>
        <v>2220.7561445590195</v>
      </c>
      <c r="R111" s="116">
        <f>IF(R20=0,0,1000000*R20/TrRoad_act!R60)</f>
        <v>2459.1835809286913</v>
      </c>
      <c r="S111" s="116">
        <f>IF(S20=0,0,1000000*S20/TrRoad_act!S60)</f>
        <v>2490.7291900889118</v>
      </c>
      <c r="T111" s="116">
        <f>IF(T20=0,0,1000000*T20/TrRoad_act!T60)</f>
        <v>2530.6999637376971</v>
      </c>
      <c r="U111" s="116">
        <f>IF(U20=0,0,1000000*U20/TrRoad_act!U60)</f>
        <v>2503.8360752101307</v>
      </c>
      <c r="V111" s="116">
        <f>IF(V20=0,0,1000000*V20/TrRoad_act!V60)</f>
        <v>2294.8856451981819</v>
      </c>
      <c r="W111" s="116">
        <f>IF(W20=0,0,1000000*W20/TrRoad_act!W60)</f>
        <v>2198.2214504603999</v>
      </c>
      <c r="X111" s="116">
        <f>IF(X20=0,0,1000000*X20/TrRoad_act!X60)</f>
        <v>2160.7742685452686</v>
      </c>
      <c r="Y111" s="116">
        <f>IF(Y20=0,0,1000000*Y20/TrRoad_act!Y60)</f>
        <v>2129.5969356367332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2090.3885619103162</v>
      </c>
      <c r="C112" s="87">
        <f>IF(C21=0,0,1000000*C21/TrRoad_act!C61)</f>
        <v>2058.9849591565767</v>
      </c>
      <c r="D112" s="87">
        <f>IF(D21=0,0,1000000*D21/TrRoad_act!D61)</f>
        <v>2062.9944660645469</v>
      </c>
      <c r="E112" s="87">
        <f>IF(E21=0,0,1000000*E21/TrRoad_act!E61)</f>
        <v>2023.2991252928903</v>
      </c>
      <c r="F112" s="87">
        <f>IF(F21=0,0,1000000*F21/TrRoad_act!F61)</f>
        <v>2000.5387138073033</v>
      </c>
      <c r="G112" s="87">
        <f>IF(G21=0,0,1000000*G21/TrRoad_act!G61)</f>
        <v>1983.2018530150708</v>
      </c>
      <c r="H112" s="87">
        <f>IF(H21=0,0,1000000*H21/TrRoad_act!H61)</f>
        <v>1909.4464257439975</v>
      </c>
      <c r="I112" s="87">
        <f>IF(I21=0,0,1000000*I21/TrRoad_act!I61)</f>
        <v>2167.6480429752255</v>
      </c>
      <c r="J112" s="87">
        <f>IF(J21=0,0,1000000*J21/TrRoad_act!J61)</f>
        <v>2142.531715959688</v>
      </c>
      <c r="K112" s="87">
        <f>IF(K21=0,0,1000000*K21/TrRoad_act!K61)</f>
        <v>1958.8405956763654</v>
      </c>
      <c r="L112" s="87">
        <f>IF(L21=0,0,1000000*L21/TrRoad_act!L61)</f>
        <v>1913.1128610171165</v>
      </c>
      <c r="M112" s="87">
        <f>IF(M21=0,0,1000000*M21/TrRoad_act!M61)</f>
        <v>1874.5807876749973</v>
      </c>
      <c r="N112" s="87">
        <f>IF(N21=0,0,1000000*N21/TrRoad_act!N61)</f>
        <v>1758.6670030223881</v>
      </c>
      <c r="O112" s="87">
        <f>IF(O21=0,0,1000000*O21/TrRoad_act!O61)</f>
        <v>1691.5655567193458</v>
      </c>
      <c r="P112" s="87">
        <f>IF(P21=0,0,1000000*P21/TrRoad_act!P61)</f>
        <v>1700.2297174340279</v>
      </c>
      <c r="Q112" s="87">
        <f>IF(Q21=0,0,1000000*Q21/TrRoad_act!Q61)</f>
        <v>1695.7336414017966</v>
      </c>
      <c r="R112" s="87">
        <f>IF(R21=0,0,1000000*R21/TrRoad_act!R61)</f>
        <v>1848.1905077585343</v>
      </c>
      <c r="S112" s="87">
        <f>IF(S21=0,0,1000000*S21/TrRoad_act!S61)</f>
        <v>1782.3751007509481</v>
      </c>
      <c r="T112" s="87">
        <f>IF(T21=0,0,1000000*T21/TrRoad_act!T61)</f>
        <v>1849.1429039041598</v>
      </c>
      <c r="U112" s="87">
        <f>IF(U21=0,0,1000000*U21/TrRoad_act!U61)</f>
        <v>1797.2691349436971</v>
      </c>
      <c r="V112" s="87">
        <f>IF(V21=0,0,1000000*V21/TrRoad_act!V61)</f>
        <v>1651.804118296945</v>
      </c>
      <c r="W112" s="87">
        <f>IF(W21=0,0,1000000*W21/TrRoad_act!W61)</f>
        <v>1579.0642508621954</v>
      </c>
      <c r="X112" s="87">
        <f>IF(X21=0,0,1000000*X21/TrRoad_act!X61)</f>
        <v>1656.3075009883526</v>
      </c>
      <c r="Y112" s="87">
        <f>IF(Y21=0,0,1000000*Y21/TrRoad_act!Y61)</f>
        <v>1745.004665388489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2430.0815011154741</v>
      </c>
      <c r="C113" s="87">
        <f>IF(C22=0,0,1000000*C22/TrRoad_act!C62)</f>
        <v>2697.0768083429066</v>
      </c>
      <c r="D113" s="87">
        <f>IF(D22=0,0,1000000*D22/TrRoad_act!D62)</f>
        <v>2590.333331731395</v>
      </c>
      <c r="E113" s="87">
        <f>IF(E22=0,0,1000000*E22/TrRoad_act!E62)</f>
        <v>2710.2829525681245</v>
      </c>
      <c r="F113" s="87">
        <f>IF(F22=0,0,1000000*F22/TrRoad_act!F62)</f>
        <v>2747.3974383467939</v>
      </c>
      <c r="G113" s="87">
        <f>IF(G22=0,0,1000000*G22/TrRoad_act!G62)</f>
        <v>2574.2743972009289</v>
      </c>
      <c r="H113" s="87">
        <f>IF(H22=0,0,1000000*H22/TrRoad_act!H62)</f>
        <v>2509.1251422579999</v>
      </c>
      <c r="I113" s="87">
        <f>IF(I22=0,0,1000000*I22/TrRoad_act!I62)</f>
        <v>2651.5010152304135</v>
      </c>
      <c r="J113" s="87">
        <f>IF(J22=0,0,1000000*J22/TrRoad_act!J62)</f>
        <v>2579.2445899520922</v>
      </c>
      <c r="K113" s="87">
        <f>IF(K22=0,0,1000000*K22/TrRoad_act!K62)</f>
        <v>2548.4467389178562</v>
      </c>
      <c r="L113" s="87">
        <f>IF(L22=0,0,1000000*L22/TrRoad_act!L62)</f>
        <v>2901.0897509067454</v>
      </c>
      <c r="M113" s="87">
        <f>IF(M22=0,0,1000000*M22/TrRoad_act!M62)</f>
        <v>2873.2797159101865</v>
      </c>
      <c r="N113" s="87">
        <f>IF(N22=0,0,1000000*N22/TrRoad_act!N62)</f>
        <v>2754.7936847568872</v>
      </c>
      <c r="O113" s="87">
        <f>IF(O22=0,0,1000000*O22/TrRoad_act!O62)</f>
        <v>2657.1120203609998</v>
      </c>
      <c r="P113" s="87">
        <f>IF(P22=0,0,1000000*P22/TrRoad_act!P62)</f>
        <v>2516.2688687229975</v>
      </c>
      <c r="Q113" s="87">
        <f>IF(Q22=0,0,1000000*Q22/TrRoad_act!Q62)</f>
        <v>2509.8482960432912</v>
      </c>
      <c r="R113" s="87">
        <f>IF(R22=0,0,1000000*R22/TrRoad_act!R62)</f>
        <v>2782.5905301770958</v>
      </c>
      <c r="S113" s="87">
        <f>IF(S22=0,0,1000000*S22/TrRoad_act!S62)</f>
        <v>2821.7267086222778</v>
      </c>
      <c r="T113" s="87">
        <f>IF(T22=0,0,1000000*T22/TrRoad_act!T62)</f>
        <v>2853.8500748860283</v>
      </c>
      <c r="U113" s="87">
        <f>IF(U22=0,0,1000000*U22/TrRoad_act!U62)</f>
        <v>2837.805278220445</v>
      </c>
      <c r="V113" s="87">
        <f>IF(V22=0,0,1000000*V22/TrRoad_act!V62)</f>
        <v>2601.2821300744031</v>
      </c>
      <c r="W113" s="87">
        <f>IF(W22=0,0,1000000*W22/TrRoad_act!W62)</f>
        <v>2500.499883042366</v>
      </c>
      <c r="X113" s="87">
        <f>IF(X22=0,0,1000000*X22/TrRoad_act!X62)</f>
        <v>2454.532356682887</v>
      </c>
      <c r="Y113" s="87">
        <f>IF(Y22=0,0,1000000*Y22/TrRoad_act!Y62)</f>
        <v>2412.7851588822168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1805.6722917676584</v>
      </c>
      <c r="C114" s="87">
        <f>IF(C23=0,0,1000000*C23/TrRoad_act!C63)</f>
        <v>1810.3412524849809</v>
      </c>
      <c r="D114" s="87">
        <f>IF(D23=0,0,1000000*D23/TrRoad_act!D63)</f>
        <v>1828.1324899450194</v>
      </c>
      <c r="E114" s="87">
        <f>IF(E23=0,0,1000000*E23/TrRoad_act!E63)</f>
        <v>1840.0335159494575</v>
      </c>
      <c r="F114" s="87">
        <f>IF(F23=0,0,1000000*F23/TrRoad_act!F63)</f>
        <v>1857.9996178975509</v>
      </c>
      <c r="G114" s="87">
        <f>IF(G23=0,0,1000000*G23/TrRoad_act!G63)</f>
        <v>2378.6352756992146</v>
      </c>
      <c r="H114" s="87">
        <f>IF(H23=0,0,1000000*H23/TrRoad_act!H63)</f>
        <v>2052.8793021241308</v>
      </c>
      <c r="I114" s="87">
        <f>IF(I23=0,0,1000000*I23/TrRoad_act!I63)</f>
        <v>1865.7437679459233</v>
      </c>
      <c r="J114" s="87">
        <f>IF(J23=0,0,1000000*J23/TrRoad_act!J63)</f>
        <v>1739.2276918038708</v>
      </c>
      <c r="K114" s="87">
        <f>IF(K23=0,0,1000000*K23/TrRoad_act!K63)</f>
        <v>1673.5667322718325</v>
      </c>
      <c r="L114" s="87">
        <f>IF(L23=0,0,1000000*L23/TrRoad_act!L63)</f>
        <v>1746.3319129178019</v>
      </c>
      <c r="M114" s="87">
        <f>IF(M23=0,0,1000000*M23/TrRoad_act!M63)</f>
        <v>1832.8772896731793</v>
      </c>
      <c r="N114" s="87">
        <f>IF(N23=0,0,1000000*N23/TrRoad_act!N63)</f>
        <v>1827.0950587237126</v>
      </c>
      <c r="O114" s="87">
        <f>IF(O23=0,0,1000000*O23/TrRoad_act!O63)</f>
        <v>1737.9545124254225</v>
      </c>
      <c r="P114" s="87">
        <f>IF(P23=0,0,1000000*P23/TrRoad_act!P63)</f>
        <v>1806.1988570469064</v>
      </c>
      <c r="Q114" s="87">
        <f>IF(Q23=0,0,1000000*Q23/TrRoad_act!Q63)</f>
        <v>1797.9971808406667</v>
      </c>
      <c r="R114" s="87">
        <f>IF(R23=0,0,1000000*R23/TrRoad_act!R63)</f>
        <v>1869.4862839295165</v>
      </c>
      <c r="S114" s="87">
        <f>IF(S23=0,0,1000000*S23/TrRoad_act!S63)</f>
        <v>1930.2496325223053</v>
      </c>
      <c r="T114" s="87">
        <f>IF(T23=0,0,1000000*T23/TrRoad_act!T63)</f>
        <v>1943.8406681574234</v>
      </c>
      <c r="U114" s="87">
        <f>IF(U23=0,0,1000000*U23/TrRoad_act!U63)</f>
        <v>1949.4686181012519</v>
      </c>
      <c r="V114" s="87">
        <f>IF(V23=0,0,1000000*V23/TrRoad_act!V63)</f>
        <v>1893.2598344647827</v>
      </c>
      <c r="W114" s="87">
        <f>IF(W23=0,0,1000000*W23/TrRoad_act!W63)</f>
        <v>1962.0264273590724</v>
      </c>
      <c r="X114" s="87">
        <f>IF(X23=0,0,1000000*X23/TrRoad_act!X63)</f>
        <v>1941.4950151377627</v>
      </c>
      <c r="Y114" s="87">
        <f>IF(Y23=0,0,1000000*Y23/TrRoad_act!Y63)</f>
        <v>1926.1148147364165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1206.8375131218063</v>
      </c>
      <c r="O115" s="87">
        <f>IF(O24=0,0,1000000*O24/TrRoad_act!O64)</f>
        <v>1013.8335747353594</v>
      </c>
      <c r="P115" s="87">
        <f>IF(P24=0,0,1000000*P24/TrRoad_act!P64)</f>
        <v>985.92789580755039</v>
      </c>
      <c r="Q115" s="87">
        <f>IF(Q24=0,0,1000000*Q24/TrRoad_act!Q64)</f>
        <v>1016.7171119102336</v>
      </c>
      <c r="R115" s="87">
        <f>IF(R24=0,0,1000000*R24/TrRoad_act!R64)</f>
        <v>1123.632802183459</v>
      </c>
      <c r="S115" s="87">
        <f>IF(S24=0,0,1000000*S24/TrRoad_act!S64)</f>
        <v>1153.2976198163165</v>
      </c>
      <c r="T115" s="87">
        <f>IF(T24=0,0,1000000*T24/TrRoad_act!T64)</f>
        <v>1169.8186151570178</v>
      </c>
      <c r="U115" s="87">
        <f>IF(U24=0,0,1000000*U24/TrRoad_act!U64)</f>
        <v>1146.6486474359551</v>
      </c>
      <c r="V115" s="87">
        <f>IF(V24=0,0,1000000*V24/TrRoad_act!V64)</f>
        <v>1011.7284106484126</v>
      </c>
      <c r="W115" s="87">
        <f>IF(W24=0,0,1000000*W24/TrRoad_act!W64)</f>
        <v>953.46800301546284</v>
      </c>
      <c r="X115" s="87">
        <f>IF(X24=0,0,1000000*X24/TrRoad_act!X64)</f>
        <v>892.78872879814128</v>
      </c>
      <c r="Y115" s="87">
        <f>IF(Y24=0,0,1000000*Y24/TrRoad_act!Y64)</f>
        <v>864.01447205755744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0</v>
      </c>
      <c r="O116" s="87">
        <f>IF(O25=0,0,1000000*O25/TrRoad_act!O65)</f>
        <v>791.09255283524101</v>
      </c>
      <c r="P116" s="87">
        <f>IF(P25=0,0,1000000*P25/TrRoad_act!P65)</f>
        <v>624.49054409704434</v>
      </c>
      <c r="Q116" s="87">
        <f>IF(Q25=0,0,1000000*Q25/TrRoad_act!Q65)</f>
        <v>605.00168656104404</v>
      </c>
      <c r="R116" s="87">
        <f>IF(R25=0,0,1000000*R25/TrRoad_act!R65)</f>
        <v>724.33141833531226</v>
      </c>
      <c r="S116" s="87">
        <f>IF(S25=0,0,1000000*S25/TrRoad_act!S65)</f>
        <v>716.04655952731332</v>
      </c>
      <c r="T116" s="87">
        <f>IF(T25=0,0,1000000*T25/TrRoad_act!T65)</f>
        <v>754.96223616631846</v>
      </c>
      <c r="U116" s="87">
        <f>IF(U25=0,0,1000000*U25/TrRoad_act!U65)</f>
        <v>813.77379575211455</v>
      </c>
      <c r="V116" s="87">
        <f>IF(V25=0,0,1000000*V25/TrRoad_act!V65)</f>
        <v>755.87826829849928</v>
      </c>
      <c r="W116" s="87">
        <f>IF(W25=0,0,1000000*W25/TrRoad_act!W65)</f>
        <v>666.80549383601931</v>
      </c>
      <c r="X116" s="87">
        <f>IF(X25=0,0,1000000*X25/TrRoad_act!X65)</f>
        <v>576.96661547270708</v>
      </c>
      <c r="Y116" s="87">
        <f>IF(Y25=0,0,1000000*Y25/TrRoad_act!Y65)</f>
        <v>511.37570011848584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71976.122539715245</v>
      </c>
      <c r="C118" s="116">
        <f>IF(C27=0,0,1000000*C27/TrRoad_act!C67)</f>
        <v>66798.632802635198</v>
      </c>
      <c r="D118" s="116">
        <f>IF(D27=0,0,1000000*D27/TrRoad_act!D67)</f>
        <v>65952.023794210909</v>
      </c>
      <c r="E118" s="116">
        <f>IF(E27=0,0,1000000*E27/TrRoad_act!E67)</f>
        <v>64183.052920190632</v>
      </c>
      <c r="F118" s="116">
        <f>IF(F27=0,0,1000000*F27/TrRoad_act!F67)</f>
        <v>67193.622365090472</v>
      </c>
      <c r="G118" s="116">
        <f>IF(G27=0,0,1000000*G27/TrRoad_act!G67)</f>
        <v>63431.771089254595</v>
      </c>
      <c r="H118" s="116">
        <f>IF(H27=0,0,1000000*H27/TrRoad_act!H67)</f>
        <v>58945.895958685527</v>
      </c>
      <c r="I118" s="116">
        <f>IF(I27=0,0,1000000*I27/TrRoad_act!I67)</f>
        <v>54305.756906329363</v>
      </c>
      <c r="J118" s="116">
        <f>IF(J27=0,0,1000000*J27/TrRoad_act!J67)</f>
        <v>51454.185642465447</v>
      </c>
      <c r="K118" s="116">
        <f>IF(K27=0,0,1000000*K27/TrRoad_act!K67)</f>
        <v>48482.844464075381</v>
      </c>
      <c r="L118" s="116">
        <f>IF(L27=0,0,1000000*L27/TrRoad_act!L67)</f>
        <v>47635.370364387694</v>
      </c>
      <c r="M118" s="116">
        <f>IF(M27=0,0,1000000*M27/TrRoad_act!M67)</f>
        <v>48286.721227952243</v>
      </c>
      <c r="N118" s="116">
        <f>IF(N27=0,0,1000000*N27/TrRoad_act!N67)</f>
        <v>47621.27956838745</v>
      </c>
      <c r="O118" s="116">
        <f>IF(O27=0,0,1000000*O27/TrRoad_act!O67)</f>
        <v>37223.506163209495</v>
      </c>
      <c r="P118" s="116">
        <f>IF(P27=0,0,1000000*P27/TrRoad_act!P67)</f>
        <v>39226.493003973657</v>
      </c>
      <c r="Q118" s="116">
        <f>IF(Q27=0,0,1000000*Q27/TrRoad_act!Q67)</f>
        <v>37606.434467815736</v>
      </c>
      <c r="R118" s="116">
        <f>IF(R27=0,0,1000000*R27/TrRoad_act!R67)</f>
        <v>39741.875378670717</v>
      </c>
      <c r="S118" s="116">
        <f>IF(S27=0,0,1000000*S27/TrRoad_act!S67)</f>
        <v>41462.203258673624</v>
      </c>
      <c r="T118" s="116">
        <f>IF(T27=0,0,1000000*T27/TrRoad_act!T67)</f>
        <v>41367.628912577435</v>
      </c>
      <c r="U118" s="116">
        <f>IF(U27=0,0,1000000*U27/TrRoad_act!U67)</f>
        <v>41653.03539765851</v>
      </c>
      <c r="V118" s="116">
        <f>IF(V27=0,0,1000000*V27/TrRoad_act!V67)</f>
        <v>30557.666321411576</v>
      </c>
      <c r="W118" s="116">
        <f>IF(W27=0,0,1000000*W27/TrRoad_act!W67)</f>
        <v>28468.592822167979</v>
      </c>
      <c r="X118" s="116">
        <f>IF(X27=0,0,1000000*X27/TrRoad_act!X67)</f>
        <v>31718.527206070448</v>
      </c>
      <c r="Y118" s="116">
        <f>IF(Y27=0,0,1000000*Y27/TrRoad_act!Y67)</f>
        <v>37014.422593914322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10894.647397015337</v>
      </c>
      <c r="E119" s="101">
        <f>IF(E28=0,0,1000000*E28/TrRoad_act!E68)</f>
        <v>10824.952943827901</v>
      </c>
      <c r="F119" s="101">
        <f>IF(F28=0,0,1000000*F28/TrRoad_act!F68)</f>
        <v>11318.532169642596</v>
      </c>
      <c r="G119" s="101">
        <f>IF(G28=0,0,1000000*G28/TrRoad_act!G68)</f>
        <v>10636.826447856503</v>
      </c>
      <c r="H119" s="101">
        <f>IF(H28=0,0,1000000*H28/TrRoad_act!H68)</f>
        <v>9882.2004558455501</v>
      </c>
      <c r="I119" s="101">
        <f>IF(I28=0,0,1000000*I28/TrRoad_act!I68)</f>
        <v>9182.0769748873136</v>
      </c>
      <c r="J119" s="101">
        <f>IF(J28=0,0,1000000*J28/TrRoad_act!J68)</f>
        <v>8547.2761678403531</v>
      </c>
      <c r="K119" s="101">
        <f>IF(K28=0,0,1000000*K28/TrRoad_act!K68)</f>
        <v>8043.4714561298842</v>
      </c>
      <c r="L119" s="101">
        <f>IF(L28=0,0,1000000*L28/TrRoad_act!L68)</f>
        <v>7771.3475054345527</v>
      </c>
      <c r="M119" s="101">
        <f>IF(M28=0,0,1000000*M28/TrRoad_act!M68)</f>
        <v>7802.2325563756231</v>
      </c>
      <c r="N119" s="101">
        <f>IF(N28=0,0,1000000*N28/TrRoad_act!N68)</f>
        <v>7730.0318259377427</v>
      </c>
      <c r="O119" s="101">
        <f>IF(O28=0,0,1000000*O28/TrRoad_act!O68)</f>
        <v>5799.1062225119385</v>
      </c>
      <c r="P119" s="101">
        <f>IF(P28=0,0,1000000*P28/TrRoad_act!P68)</f>
        <v>6100.9798025024984</v>
      </c>
      <c r="Q119" s="101">
        <f>IF(Q28=0,0,1000000*Q28/TrRoad_act!Q68)</f>
        <v>6105.1044652990468</v>
      </c>
      <c r="R119" s="101">
        <f>IF(R28=0,0,1000000*R28/TrRoad_act!R68)</f>
        <v>6553.2102882793542</v>
      </c>
      <c r="S119" s="101">
        <f>IF(S28=0,0,1000000*S28/TrRoad_act!S68)</f>
        <v>6761.1551412198678</v>
      </c>
      <c r="T119" s="101">
        <f>IF(T28=0,0,1000000*T28/TrRoad_act!T68)</f>
        <v>6707.0200064151786</v>
      </c>
      <c r="U119" s="101">
        <f>IF(U28=0,0,1000000*U28/TrRoad_act!U68)</f>
        <v>6596.874895743018</v>
      </c>
      <c r="V119" s="101">
        <f>IF(V28=0,0,1000000*V28/TrRoad_act!V68)</f>
        <v>4807.918668907143</v>
      </c>
      <c r="W119" s="101">
        <f>IF(W28=0,0,1000000*W28/TrRoad_act!W68)</f>
        <v>4832.6039772063623</v>
      </c>
      <c r="X119" s="101">
        <f>IF(X28=0,0,1000000*X28/TrRoad_act!X68)</f>
        <v>5574.9790959471356</v>
      </c>
      <c r="Y119" s="101">
        <f>IF(Y28=0,0,1000000*Y28/TrRoad_act!Y68)</f>
        <v>6528.0975996612651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71976.122539715245</v>
      </c>
      <c r="C120" s="101">
        <f>IF(C29=0,0,1000000*C29/TrRoad_act!C69)</f>
        <v>66798.632802635198</v>
      </c>
      <c r="D120" s="101">
        <f>IF(D29=0,0,1000000*D29/TrRoad_act!D69)</f>
        <v>66326.309001729533</v>
      </c>
      <c r="E120" s="101">
        <f>IF(E29=0,0,1000000*E29/TrRoad_act!E69)</f>
        <v>64710.84067785801</v>
      </c>
      <c r="F120" s="101">
        <f>IF(F29=0,0,1000000*F29/TrRoad_act!F69)</f>
        <v>68057.953745790161</v>
      </c>
      <c r="G120" s="101">
        <f>IF(G29=0,0,1000000*G29/TrRoad_act!G69)</f>
        <v>65089.423510375425</v>
      </c>
      <c r="H120" s="101">
        <f>IF(H29=0,0,1000000*H29/TrRoad_act!H69)</f>
        <v>61283.130384454336</v>
      </c>
      <c r="I120" s="101">
        <f>IF(I29=0,0,1000000*I29/TrRoad_act!I69)</f>
        <v>56958.753594217924</v>
      </c>
      <c r="J120" s="101">
        <f>IF(J29=0,0,1000000*J29/TrRoad_act!J69)</f>
        <v>53945.371478220557</v>
      </c>
      <c r="K120" s="101">
        <f>IF(K29=0,0,1000000*K29/TrRoad_act!K69)</f>
        <v>51060.937546624889</v>
      </c>
      <c r="L120" s="101">
        <f>IF(L29=0,0,1000000*L29/TrRoad_act!L69)</f>
        <v>50097.094250331291</v>
      </c>
      <c r="M120" s="101">
        <f>IF(M29=0,0,1000000*M29/TrRoad_act!M69)</f>
        <v>50772.895232007133</v>
      </c>
      <c r="N120" s="101">
        <f>IF(N29=0,0,1000000*N29/TrRoad_act!N69)</f>
        <v>50147.157232358259</v>
      </c>
      <c r="O120" s="101">
        <f>IF(O29=0,0,1000000*O29/TrRoad_act!O69)</f>
        <v>46438.002231962288</v>
      </c>
      <c r="P120" s="101">
        <f>IF(P29=0,0,1000000*P29/TrRoad_act!P69)</f>
        <v>48961.185810244802</v>
      </c>
      <c r="Q120" s="101">
        <f>IF(Q29=0,0,1000000*Q29/TrRoad_act!Q69)</f>
        <v>47897.222637717132</v>
      </c>
      <c r="R120" s="101">
        <f>IF(R29=0,0,1000000*R29/TrRoad_act!R69)</f>
        <v>52009.234676852313</v>
      </c>
      <c r="S120" s="101">
        <f>IF(S29=0,0,1000000*S29/TrRoad_act!S69)</f>
        <v>54789.090752869248</v>
      </c>
      <c r="T120" s="101">
        <f>IF(T29=0,0,1000000*T29/TrRoad_act!T69)</f>
        <v>54300.514287084377</v>
      </c>
      <c r="U120" s="101">
        <f>IF(U29=0,0,1000000*U29/TrRoad_act!U69)</f>
        <v>54349.305252541562</v>
      </c>
      <c r="V120" s="101">
        <f>IF(V29=0,0,1000000*V29/TrRoad_act!V69)</f>
        <v>39523.093162858764</v>
      </c>
      <c r="W120" s="101">
        <f>IF(W29=0,0,1000000*W29/TrRoad_act!W69)</f>
        <v>36163.607299866155</v>
      </c>
      <c r="X120" s="101">
        <f>IF(X29=0,0,1000000*X29/TrRoad_act!X69)</f>
        <v>42706.271293924714</v>
      </c>
      <c r="Y120" s="101">
        <f>IF(Y29=0,0,1000000*Y29/TrRoad_act!Y69)</f>
        <v>50913.569852084118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24350.413133763126</v>
      </c>
      <c r="E121" s="101">
        <f>IF(E30=0,0,1000000*E30/TrRoad_act!E70)</f>
        <v>24741.157212919461</v>
      </c>
      <c r="F121" s="101">
        <f>IF(F30=0,0,1000000*F30/TrRoad_act!F70)</f>
        <v>26396.951184859397</v>
      </c>
      <c r="G121" s="101">
        <f>IF(G30=0,0,1000000*G30/TrRoad_act!G70)</f>
        <v>25358.799120236799</v>
      </c>
      <c r="H121" s="101">
        <f>IF(H30=0,0,1000000*H30/TrRoad_act!H70)</f>
        <v>24356.653603941497</v>
      </c>
      <c r="I121" s="101">
        <f>IF(I30=0,0,1000000*I30/TrRoad_act!I70)</f>
        <v>23369.463543071935</v>
      </c>
      <c r="J121" s="101">
        <f>IF(J30=0,0,1000000*J30/TrRoad_act!J70)</f>
        <v>22412.207711144591</v>
      </c>
      <c r="K121" s="101">
        <f>IF(K30=0,0,1000000*K30/TrRoad_act!K70)</f>
        <v>21555.543854953052</v>
      </c>
      <c r="L121" s="101">
        <f>IF(L30=0,0,1000000*L30/TrRoad_act!L70)</f>
        <v>21204.244806822804</v>
      </c>
      <c r="M121" s="101">
        <f>IF(M30=0,0,1000000*M30/TrRoad_act!M70)</f>
        <v>22025.708514129361</v>
      </c>
      <c r="N121" s="101">
        <f>IF(N30=0,0,1000000*N30/TrRoad_act!N70)</f>
        <v>22250.734044249526</v>
      </c>
      <c r="O121" s="101">
        <f>IF(O30=0,0,1000000*O30/TrRoad_act!O70)</f>
        <v>21809.410513357027</v>
      </c>
      <c r="P121" s="101">
        <f>IF(P30=0,0,1000000*P30/TrRoad_act!P70)</f>
        <v>23292.101693017539</v>
      </c>
      <c r="Q121" s="101">
        <f>IF(Q30=0,0,1000000*Q30/TrRoad_act!Q70)</f>
        <v>23769.487468592819</v>
      </c>
      <c r="R121" s="101">
        <f>IF(R30=0,0,1000000*R30/TrRoad_act!R70)</f>
        <v>25064.246694095291</v>
      </c>
      <c r="S121" s="101">
        <f>IF(S30=0,0,1000000*S30/TrRoad_act!S70)</f>
        <v>26094.849387998642</v>
      </c>
      <c r="T121" s="101">
        <f>IF(T30=0,0,1000000*T30/TrRoad_act!T70)</f>
        <v>25794.163247229018</v>
      </c>
      <c r="U121" s="101">
        <f>IF(U30=0,0,1000000*U30/TrRoad_act!U70)</f>
        <v>25554.386448242152</v>
      </c>
      <c r="V121" s="101">
        <f>IF(V30=0,0,1000000*V30/TrRoad_act!V70)</f>
        <v>19098.720928692353</v>
      </c>
      <c r="W121" s="101">
        <f>IF(W30=0,0,1000000*W30/TrRoad_act!W70)</f>
        <v>19257.822373273386</v>
      </c>
      <c r="X121" s="101">
        <f>IF(X30=0,0,1000000*X30/TrRoad_act!X70)</f>
        <v>22333.563298541565</v>
      </c>
      <c r="Y121" s="101">
        <f>IF(Y30=0,0,1000000*Y30/TrRoad_act!Y70)</f>
        <v>26021.822326009242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39760.875000000007</v>
      </c>
      <c r="L122" s="101">
        <f>IF(L31=0,0,1000000*L31/TrRoad_act!L71)</f>
        <v>43499.076923076922</v>
      </c>
      <c r="M122" s="101">
        <f>IF(M31=0,0,1000000*M31/TrRoad_act!M71)</f>
        <v>44514.852071005931</v>
      </c>
      <c r="N122" s="101">
        <f>IF(N31=0,0,1000000*N31/TrRoad_act!N71)</f>
        <v>40996.68583325381</v>
      </c>
      <c r="O122" s="101">
        <f>IF(O31=0,0,1000000*O31/TrRoad_act!O71)</f>
        <v>35824.697832543221</v>
      </c>
      <c r="P122" s="101">
        <f>IF(P31=0,0,1000000*P31/TrRoad_act!P71)</f>
        <v>35783.66453591246</v>
      </c>
      <c r="Q122" s="101">
        <f>IF(Q31=0,0,1000000*Q31/TrRoad_act!Q71)</f>
        <v>31335.008274821274</v>
      </c>
      <c r="R122" s="101">
        <f>IF(R31=0,0,1000000*R31/TrRoad_act!R71)</f>
        <v>31491.695597731061</v>
      </c>
      <c r="S122" s="101">
        <f>IF(S31=0,0,1000000*S31/TrRoad_act!S71)</f>
        <v>32958.675024349148</v>
      </c>
      <c r="T122" s="101">
        <f>IF(T31=0,0,1000000*T31/TrRoad_act!T71)</f>
        <v>32983.01497890897</v>
      </c>
      <c r="U122" s="101">
        <f>IF(U31=0,0,1000000*U31/TrRoad_act!U71)</f>
        <v>33344.385163326449</v>
      </c>
      <c r="V122" s="101">
        <f>IF(V31=0,0,1000000*V31/TrRoad_act!V71)</f>
        <v>25769.848345670594</v>
      </c>
      <c r="W122" s="101">
        <f>IF(W31=0,0,1000000*W31/TrRoad_act!W71)</f>
        <v>26824.076870074918</v>
      </c>
      <c r="X122" s="101">
        <f>IF(X31=0,0,1000000*X31/TrRoad_act!X71)</f>
        <v>26369.559522843832</v>
      </c>
      <c r="Y122" s="101">
        <f>IF(Y31=0,0,1000000*Y31/TrRoad_act!Y71)</f>
        <v>31374.260637829906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4728.6665180407708</v>
      </c>
      <c r="C125" s="152">
        <f>IF(C34=0,0,1000000*C34/TrRoad_act!C74)</f>
        <v>4567.7166103612426</v>
      </c>
      <c r="D125" s="152">
        <f>IF(D34=0,0,1000000*D34/TrRoad_act!D74)</f>
        <v>4213.1205508641669</v>
      </c>
      <c r="E125" s="152">
        <f>IF(E34=0,0,1000000*E34/TrRoad_act!E74)</f>
        <v>3992.4103881041965</v>
      </c>
      <c r="F125" s="152">
        <f>IF(F34=0,0,1000000*F34/TrRoad_act!F74)</f>
        <v>3933.7419114699078</v>
      </c>
      <c r="G125" s="152">
        <f>IF(G34=0,0,1000000*G34/TrRoad_act!G74)</f>
        <v>3717.127897468225</v>
      </c>
      <c r="H125" s="152">
        <f>IF(H34=0,0,1000000*H34/TrRoad_act!H74)</f>
        <v>3484.1378390346722</v>
      </c>
      <c r="I125" s="152">
        <f>IF(I34=0,0,1000000*I34/TrRoad_act!I74)</f>
        <v>3441.2978840760197</v>
      </c>
      <c r="J125" s="152">
        <f>IF(J34=0,0,1000000*J34/TrRoad_act!J74)</f>
        <v>3303.8822411272081</v>
      </c>
      <c r="K125" s="152">
        <f>IF(K34=0,0,1000000*K34/TrRoad_act!K74)</f>
        <v>3072.2886560106722</v>
      </c>
      <c r="L125" s="152">
        <f>IF(L34=0,0,1000000*L34/TrRoad_act!L74)</f>
        <v>3159.9569934814808</v>
      </c>
      <c r="M125" s="152">
        <f>IF(M34=0,0,1000000*M34/TrRoad_act!M74)</f>
        <v>3138.6711505241219</v>
      </c>
      <c r="N125" s="152">
        <f>IF(N34=0,0,1000000*N34/TrRoad_act!N74)</f>
        <v>3055.2741107152574</v>
      </c>
      <c r="O125" s="152">
        <f>IF(O34=0,0,1000000*O34/TrRoad_act!O74)</f>
        <v>2988.155149044112</v>
      </c>
      <c r="P125" s="152">
        <f>IF(P34=0,0,1000000*P34/TrRoad_act!P74)</f>
        <v>3176.2729721230817</v>
      </c>
      <c r="Q125" s="152">
        <f>IF(Q34=0,0,1000000*Q34/TrRoad_act!Q74)</f>
        <v>3145.0057754196209</v>
      </c>
      <c r="R125" s="152">
        <f>IF(R34=0,0,1000000*R34/TrRoad_act!R74)</f>
        <v>3296.054895325798</v>
      </c>
      <c r="S125" s="152">
        <f>IF(S34=0,0,1000000*S34/TrRoad_act!S74)</f>
        <v>3276.0366807625633</v>
      </c>
      <c r="T125" s="152">
        <f>IF(T34=0,0,1000000*T34/TrRoad_act!T74)</f>
        <v>3208.3584130077911</v>
      </c>
      <c r="U125" s="152">
        <f>IF(U34=0,0,1000000*U34/TrRoad_act!U74)</f>
        <v>3193.8412559036224</v>
      </c>
      <c r="V125" s="152">
        <f>IF(V34=0,0,1000000*V34/TrRoad_act!V74)</f>
        <v>3122.0829450577476</v>
      </c>
      <c r="W125" s="152">
        <f>IF(W34=0,0,1000000*W34/TrRoad_act!W74)</f>
        <v>3045.5915692243784</v>
      </c>
      <c r="X125" s="152">
        <f>IF(X34=0,0,1000000*X34/TrRoad_act!X74)</f>
        <v>3033.5826795879561</v>
      </c>
      <c r="Y125" s="152">
        <f>IF(Y34=0,0,1000000*Y34/TrRoad_act!Y74)</f>
        <v>2957.386536365711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4083.8371733373656</v>
      </c>
      <c r="C126" s="87">
        <f>IF(C35=0,0,1000000*C35/TrRoad_act!C75)</f>
        <v>3919.4149779618374</v>
      </c>
      <c r="D126" s="87">
        <f>IF(D35=0,0,1000000*D35/TrRoad_act!D75)</f>
        <v>3786.3686071869661</v>
      </c>
      <c r="E126" s="87">
        <f>IF(E35=0,0,1000000*E35/TrRoad_act!E75)</f>
        <v>3675.7423544708904</v>
      </c>
      <c r="F126" s="87">
        <f>IF(F35=0,0,1000000*F35/TrRoad_act!F75)</f>
        <v>3580.6623064103819</v>
      </c>
      <c r="G126" s="87">
        <f>IF(G35=0,0,1000000*G35/TrRoad_act!G75)</f>
        <v>3496.1320497610936</v>
      </c>
      <c r="H126" s="87">
        <f>IF(H35=0,0,1000000*H35/TrRoad_act!H75)</f>
        <v>3439.9627021037295</v>
      </c>
      <c r="I126" s="87">
        <f>IF(I35=0,0,1000000*I35/TrRoad_act!I75)</f>
        <v>3389.8944501950741</v>
      </c>
      <c r="J126" s="87">
        <f>IF(J35=0,0,1000000*J35/TrRoad_act!J75)</f>
        <v>3341.5523516447261</v>
      </c>
      <c r="K126" s="87">
        <f>IF(K35=0,0,1000000*K35/TrRoad_act!K75)</f>
        <v>3322.9488408080215</v>
      </c>
      <c r="L126" s="87">
        <f>IF(L35=0,0,1000000*L35/TrRoad_act!L75)</f>
        <v>3297.8775306396506</v>
      </c>
      <c r="M126" s="87">
        <f>IF(M35=0,0,1000000*M35/TrRoad_act!M75)</f>
        <v>3277.5927822887611</v>
      </c>
      <c r="N126" s="87">
        <f>IF(N35=0,0,1000000*N35/TrRoad_act!N75)</f>
        <v>3233.640996700728</v>
      </c>
      <c r="O126" s="87">
        <f>IF(O35=0,0,1000000*O35/TrRoad_act!O75)</f>
        <v>3182.8371816850422</v>
      </c>
      <c r="P126" s="87">
        <f>IF(P35=0,0,1000000*P35/TrRoad_act!P75)</f>
        <v>3145.6293135181304</v>
      </c>
      <c r="Q126" s="87">
        <f>IF(Q35=0,0,1000000*Q35/TrRoad_act!Q75)</f>
        <v>2962.2918061956402</v>
      </c>
      <c r="R126" s="87">
        <f>IF(R35=0,0,1000000*R35/TrRoad_act!R75)</f>
        <v>3040.2873015439441</v>
      </c>
      <c r="S126" s="87">
        <f>IF(S35=0,0,1000000*S35/TrRoad_act!S75)</f>
        <v>2958.3153750696524</v>
      </c>
      <c r="T126" s="87">
        <f>IF(T35=0,0,1000000*T35/TrRoad_act!T75)</f>
        <v>2890.6861900693407</v>
      </c>
      <c r="U126" s="87">
        <f>IF(U35=0,0,1000000*U35/TrRoad_act!U75)</f>
        <v>2952.9573579802068</v>
      </c>
      <c r="V126" s="87">
        <f>IF(V35=0,0,1000000*V35/TrRoad_act!V75)</f>
        <v>2822.9854244513399</v>
      </c>
      <c r="W126" s="87">
        <f>IF(W35=0,0,1000000*W35/TrRoad_act!W75)</f>
        <v>2753.3195962994082</v>
      </c>
      <c r="X126" s="87">
        <f>IF(X35=0,0,1000000*X35/TrRoad_act!X75)</f>
        <v>2695.2182386660334</v>
      </c>
      <c r="Y126" s="87">
        <f>IF(Y35=0,0,1000000*Y35/TrRoad_act!Y75)</f>
        <v>2677.3328564852527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4843.3815112581997</v>
      </c>
      <c r="C127" s="87">
        <f>IF(C36=0,0,1000000*C36/TrRoad_act!C76)</f>
        <v>4678.4914076905688</v>
      </c>
      <c r="D127" s="87">
        <f>IF(D36=0,0,1000000*D36/TrRoad_act!D76)</f>
        <v>4279.080085793119</v>
      </c>
      <c r="E127" s="87">
        <f>IF(E36=0,0,1000000*E36/TrRoad_act!E76)</f>
        <v>4037.2262929246103</v>
      </c>
      <c r="F127" s="87">
        <f>IF(F36=0,0,1000000*F36/TrRoad_act!F76)</f>
        <v>3980.0756685193028</v>
      </c>
      <c r="G127" s="87">
        <f>IF(G36=0,0,1000000*G36/TrRoad_act!G76)</f>
        <v>3743.6098607341337</v>
      </c>
      <c r="H127" s="87">
        <f>IF(H36=0,0,1000000*H36/TrRoad_act!H76)</f>
        <v>3489.4313416231084</v>
      </c>
      <c r="I127" s="87">
        <f>IF(I36=0,0,1000000*I36/TrRoad_act!I76)</f>
        <v>3447.4565173164315</v>
      </c>
      <c r="J127" s="87">
        <f>IF(J36=0,0,1000000*J36/TrRoad_act!J76)</f>
        <v>3300.0154445491812</v>
      </c>
      <c r="K127" s="87">
        <f>IF(K36=0,0,1000000*K36/TrRoad_act!K76)</f>
        <v>3051.6716718208895</v>
      </c>
      <c r="L127" s="87">
        <f>IF(L36=0,0,1000000*L36/TrRoad_act!L76)</f>
        <v>3149.0186230858149</v>
      </c>
      <c r="M127" s="87">
        <f>IF(M36=0,0,1000000*M36/TrRoad_act!M76)</f>
        <v>3130.1673281586536</v>
      </c>
      <c r="N127" s="87">
        <f>IF(N36=0,0,1000000*N36/TrRoad_act!N76)</f>
        <v>3047.0131962554196</v>
      </c>
      <c r="O127" s="87">
        <f>IF(O36=0,0,1000000*O36/TrRoad_act!O76)</f>
        <v>2980.664998692529</v>
      </c>
      <c r="P127" s="87">
        <f>IF(P36=0,0,1000000*P36/TrRoad_act!P76)</f>
        <v>3177.2441301440385</v>
      </c>
      <c r="Q127" s="87">
        <f>IF(Q36=0,0,1000000*Q36/TrRoad_act!Q76)</f>
        <v>3149.6944732896136</v>
      </c>
      <c r="R127" s="87">
        <f>IF(R36=0,0,1000000*R36/TrRoad_act!R76)</f>
        <v>3301.8820805964115</v>
      </c>
      <c r="S127" s="87">
        <f>IF(S36=0,0,1000000*S36/TrRoad_act!S76)</f>
        <v>3282.5047290652124</v>
      </c>
      <c r="T127" s="87">
        <f>IF(T36=0,0,1000000*T36/TrRoad_act!T76)</f>
        <v>3214.1788181445359</v>
      </c>
      <c r="U127" s="87">
        <f>IF(U36=0,0,1000000*U36/TrRoad_act!U76)</f>
        <v>3199.4450434780965</v>
      </c>
      <c r="V127" s="87">
        <f>IF(V36=0,0,1000000*V36/TrRoad_act!V76)</f>
        <v>3128.11055286696</v>
      </c>
      <c r="W127" s="87">
        <f>IF(W36=0,0,1000000*W36/TrRoad_act!W76)</f>
        <v>3050.8089243587224</v>
      </c>
      <c r="X127" s="87">
        <f>IF(X36=0,0,1000000*X36/TrRoad_act!X76)</f>
        <v>3038.8341460133593</v>
      </c>
      <c r="Y127" s="87">
        <f>IF(Y36=0,0,1000000*Y36/TrRoad_act!Y76)</f>
        <v>2961.0349017420708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0</v>
      </c>
      <c r="T128" s="87">
        <f>IF(T37=0,0,1000000*T37/TrRoad_act!T77)</f>
        <v>0</v>
      </c>
      <c r="U128" s="87">
        <f>IF(U37=0,0,1000000*U37/TrRoad_act!U77)</f>
        <v>0</v>
      </c>
      <c r="V128" s="87">
        <f>IF(V37=0,0,1000000*V37/TrRoad_act!V77)</f>
        <v>0</v>
      </c>
      <c r="W128" s="87">
        <f>IF(W37=0,0,1000000*W37/TrRoad_act!W77)</f>
        <v>0</v>
      </c>
      <c r="X128" s="87">
        <f>IF(X37=0,0,1000000*X37/TrRoad_act!X77)</f>
        <v>0</v>
      </c>
      <c r="Y128" s="87">
        <f>IF(Y37=0,0,1000000*Y37/TrRoad_act!Y77)</f>
        <v>0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X129" s="87">
        <f>IF(X38=0,0,1000000*X38/TrRoad_act!X78)</f>
        <v>0</v>
      </c>
      <c r="Y129" s="87">
        <f>IF(Y38=0,0,1000000*Y38/TrRoad_act!Y78)</f>
        <v>0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20561.215998409974</v>
      </c>
      <c r="C131" s="116">
        <f>IF(C40=0,0,1000000*C40/TrRoad_act!C80)</f>
        <v>27964.840643678923</v>
      </c>
      <c r="D131" s="116">
        <f>IF(D40=0,0,1000000*D40/TrRoad_act!D80)</f>
        <v>27910.196525922987</v>
      </c>
      <c r="E131" s="116">
        <f>IF(E40=0,0,1000000*E40/TrRoad_act!E80)</f>
        <v>17695.708272205949</v>
      </c>
      <c r="F131" s="116">
        <f>IF(F40=0,0,1000000*F40/TrRoad_act!F80)</f>
        <v>21106.901966916004</v>
      </c>
      <c r="G131" s="116">
        <f>IF(G40=0,0,1000000*G40/TrRoad_act!G80)</f>
        <v>20982.802541413515</v>
      </c>
      <c r="H131" s="116">
        <f>IF(H40=0,0,1000000*H40/TrRoad_act!H80)</f>
        <v>18412.249585831421</v>
      </c>
      <c r="I131" s="116">
        <f>IF(I40=0,0,1000000*I40/TrRoad_act!I80)</f>
        <v>26958.920111687494</v>
      </c>
      <c r="J131" s="116">
        <f>IF(J40=0,0,1000000*J40/TrRoad_act!J80)</f>
        <v>31846.353272156633</v>
      </c>
      <c r="K131" s="116">
        <f>IF(K40=0,0,1000000*K40/TrRoad_act!K80)</f>
        <v>16893.771077139561</v>
      </c>
      <c r="L131" s="116">
        <f>IF(L40=0,0,1000000*L40/TrRoad_act!L80)</f>
        <v>22873.14870535611</v>
      </c>
      <c r="M131" s="116">
        <f>IF(M40=0,0,1000000*M40/TrRoad_act!M80)</f>
        <v>27610.499554573093</v>
      </c>
      <c r="N131" s="116">
        <f>IF(N40=0,0,1000000*N40/TrRoad_act!N80)</f>
        <v>17372.763413222689</v>
      </c>
      <c r="O131" s="116">
        <f>IF(O40=0,0,1000000*O40/TrRoad_act!O80)</f>
        <v>18716.527116314232</v>
      </c>
      <c r="P131" s="116">
        <f>IF(P40=0,0,1000000*P40/TrRoad_act!P80)</f>
        <v>33311.012971272299</v>
      </c>
      <c r="Q131" s="116">
        <f>IF(Q40=0,0,1000000*Q40/TrRoad_act!Q80)</f>
        <v>34082.877468601328</v>
      </c>
      <c r="R131" s="116">
        <f>IF(R40=0,0,1000000*R40/TrRoad_act!R80)</f>
        <v>31507.208838830822</v>
      </c>
      <c r="S131" s="116">
        <f>IF(S40=0,0,1000000*S40/TrRoad_act!S80)</f>
        <v>33972.912619164774</v>
      </c>
      <c r="T131" s="116">
        <f>IF(T40=0,0,1000000*T40/TrRoad_act!T80)</f>
        <v>33563.482844210921</v>
      </c>
      <c r="U131" s="116">
        <f>IF(U40=0,0,1000000*U40/TrRoad_act!U80)</f>
        <v>36712.380378099871</v>
      </c>
      <c r="V131" s="116">
        <f>IF(V40=0,0,1000000*V40/TrRoad_act!V80)</f>
        <v>37127.08906557817</v>
      </c>
      <c r="W131" s="116">
        <f>IF(W40=0,0,1000000*W40/TrRoad_act!W80)</f>
        <v>34059.765184898482</v>
      </c>
      <c r="X131" s="116">
        <f>IF(X40=0,0,1000000*X40/TrRoad_act!X80)</f>
        <v>34922.140884335102</v>
      </c>
      <c r="Y131" s="116">
        <f>IF(Y40=0,0,1000000*Y40/TrRoad_act!Y80)</f>
        <v>26809.811734078434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13183.194755972825</v>
      </c>
      <c r="C132" s="101">
        <f>IF(C41=0,0,1000000*C41/TrRoad_act!C81)</f>
        <v>15118.862906556371</v>
      </c>
      <c r="D132" s="101">
        <f>IF(D41=0,0,1000000*D41/TrRoad_act!D81)</f>
        <v>14867.963543591024</v>
      </c>
      <c r="E132" s="101">
        <f>IF(E41=0,0,1000000*E41/TrRoad_act!E81)</f>
        <v>12239.363819529886</v>
      </c>
      <c r="F132" s="101">
        <f>IF(F41=0,0,1000000*F41/TrRoad_act!F81)</f>
        <v>12820.485280607512</v>
      </c>
      <c r="G132" s="101">
        <f>IF(G41=0,0,1000000*G41/TrRoad_act!G81)</f>
        <v>12432.445604460103</v>
      </c>
      <c r="H132" s="101">
        <f>IF(H41=0,0,1000000*H41/TrRoad_act!H81)</f>
        <v>11271.181181415381</v>
      </c>
      <c r="I132" s="101">
        <f>IF(I41=0,0,1000000*I41/TrRoad_act!I81)</f>
        <v>13393.023673695754</v>
      </c>
      <c r="J132" s="101">
        <f>IF(J41=0,0,1000000*J41/TrRoad_act!J81)</f>
        <v>14425.882488674002</v>
      </c>
      <c r="K132" s="101">
        <f>IF(K41=0,0,1000000*K41/TrRoad_act!K81)</f>
        <v>10846.051319503093</v>
      </c>
      <c r="L132" s="101">
        <f>IF(L41=0,0,1000000*L41/TrRoad_act!L81)</f>
        <v>11429.291107213225</v>
      </c>
      <c r="M132" s="101">
        <f>IF(M41=0,0,1000000*M41/TrRoad_act!M81)</f>
        <v>12448.922435404846</v>
      </c>
      <c r="N132" s="101">
        <f>IF(N41=0,0,1000000*N41/TrRoad_act!N81)</f>
        <v>10010.79399403039</v>
      </c>
      <c r="O132" s="101">
        <f>IF(O41=0,0,1000000*O41/TrRoad_act!O81)</f>
        <v>10325.353633900349</v>
      </c>
      <c r="P132" s="101">
        <f>IF(P41=0,0,1000000*P41/TrRoad_act!P81)</f>
        <v>14822.296207046833</v>
      </c>
      <c r="Q132" s="101">
        <f>IF(Q41=0,0,1000000*Q41/TrRoad_act!Q81)</f>
        <v>14007.758041970763</v>
      </c>
      <c r="R132" s="101">
        <f>IF(R41=0,0,1000000*R41/TrRoad_act!R81)</f>
        <v>13395.624756897545</v>
      </c>
      <c r="S132" s="101">
        <f>IF(S41=0,0,1000000*S41/TrRoad_act!S81)</f>
        <v>14530.292227788712</v>
      </c>
      <c r="T132" s="101">
        <f>IF(T41=0,0,1000000*T41/TrRoad_act!T81)</f>
        <v>14404.998125411612</v>
      </c>
      <c r="U132" s="101">
        <f>IF(U41=0,0,1000000*U41/TrRoad_act!U81)</f>
        <v>15935.274680118757</v>
      </c>
      <c r="V132" s="101">
        <f>IF(V41=0,0,1000000*V41/TrRoad_act!V81)</f>
        <v>15654.180036332442</v>
      </c>
      <c r="W132" s="101">
        <f>IF(W41=0,0,1000000*W41/TrRoad_act!W81)</f>
        <v>13465.17590340184</v>
      </c>
      <c r="X132" s="101">
        <f>IF(X41=0,0,1000000*X41/TrRoad_act!X81)</f>
        <v>11914.688304289442</v>
      </c>
      <c r="Y132" s="101">
        <f>IF(Y41=0,0,1000000*Y41/TrRoad_act!Y81)</f>
        <v>9938.4337262882655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166588.98139269673</v>
      </c>
      <c r="C133" s="88">
        <f>IF(C42=0,0,1000000*C42/TrRoad_act!C82)</f>
        <v>263989.24065106502</v>
      </c>
      <c r="D133" s="88">
        <f>IF(D42=0,0,1000000*D42/TrRoad_act!D82)</f>
        <v>258504.24315570755</v>
      </c>
      <c r="E133" s="88">
        <f>IF(E42=0,0,1000000*E42/TrRoad_act!E82)</f>
        <v>139695.26259368536</v>
      </c>
      <c r="F133" s="88">
        <f>IF(F42=0,0,1000000*F42/TrRoad_act!F82)</f>
        <v>178322.99341299033</v>
      </c>
      <c r="G133" s="88">
        <f>IF(G42=0,0,1000000*G42/TrRoad_act!G82)</f>
        <v>165227.00245310212</v>
      </c>
      <c r="H133" s="88">
        <f>IF(H42=0,0,1000000*H42/TrRoad_act!H82)</f>
        <v>116404.41164525191</v>
      </c>
      <c r="I133" s="88">
        <f>IF(I42=0,0,1000000*I42/TrRoad_act!I82)</f>
        <v>214517.24628291721</v>
      </c>
      <c r="J133" s="88">
        <f>IF(J42=0,0,1000000*J42/TrRoad_act!J82)</f>
        <v>262151.24441094563</v>
      </c>
      <c r="K133" s="88">
        <f>IF(K42=0,0,1000000*K42/TrRoad_act!K82)</f>
        <v>110943.26123912263</v>
      </c>
      <c r="L133" s="88">
        <f>IF(L42=0,0,1000000*L42/TrRoad_act!L82)</f>
        <v>171022.11721441237</v>
      </c>
      <c r="M133" s="88">
        <f>IF(M42=0,0,1000000*M42/TrRoad_act!M82)</f>
        <v>202997.39419981267</v>
      </c>
      <c r="N133" s="88">
        <f>IF(N42=0,0,1000000*N42/TrRoad_act!N82)</f>
        <v>95404.171217254479</v>
      </c>
      <c r="O133" s="88">
        <f>IF(O42=0,0,1000000*O42/TrRoad_act!O82)</f>
        <v>99043.471189300515</v>
      </c>
      <c r="P133" s="88">
        <f>IF(P42=0,0,1000000*P42/TrRoad_act!P82)</f>
        <v>215179.61461120439</v>
      </c>
      <c r="Q133" s="88">
        <f>IF(Q42=0,0,1000000*Q42/TrRoad_act!Q82)</f>
        <v>219879.03868686332</v>
      </c>
      <c r="R133" s="88">
        <f>IF(R42=0,0,1000000*R42/TrRoad_act!R82)</f>
        <v>197843.38162846808</v>
      </c>
      <c r="S133" s="88">
        <f>IF(S42=0,0,1000000*S42/TrRoad_act!S82)</f>
        <v>204193.25923659463</v>
      </c>
      <c r="T133" s="88">
        <f>IF(T42=0,0,1000000*T42/TrRoad_act!T82)</f>
        <v>229467.75545549399</v>
      </c>
      <c r="U133" s="88">
        <f>IF(U42=0,0,1000000*U42/TrRoad_act!U82)</f>
        <v>243585.91301639928</v>
      </c>
      <c r="V133" s="88">
        <f>IF(V42=0,0,1000000*V42/TrRoad_act!V82)</f>
        <v>236367.52366480904</v>
      </c>
      <c r="W133" s="88">
        <f>IF(W42=0,0,1000000*W42/TrRoad_act!W82)</f>
        <v>244409.75504483999</v>
      </c>
      <c r="X133" s="88">
        <f>IF(X42=0,0,1000000*X42/TrRoad_act!X82)</f>
        <v>226703.86197862664</v>
      </c>
      <c r="Y133" s="88">
        <f>IF(Y42=0,0,1000000*Y42/TrRoad_act!Y82)</f>
        <v>203266.27383765689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0.76282168207648993</v>
      </c>
      <c r="C136" s="46">
        <f t="shared" si="40"/>
        <v>0.71928418790408577</v>
      </c>
      <c r="D136" s="46">
        <f t="shared" si="40"/>
        <v>0.7250422696423181</v>
      </c>
      <c r="E136" s="46">
        <f t="shared" si="40"/>
        <v>0.77311252362249738</v>
      </c>
      <c r="F136" s="46">
        <f t="shared" si="40"/>
        <v>0.75652760621795689</v>
      </c>
      <c r="G136" s="46">
        <f t="shared" si="40"/>
        <v>0.78507508712288443</v>
      </c>
      <c r="H136" s="46">
        <f t="shared" si="40"/>
        <v>0.80658427315751458</v>
      </c>
      <c r="I136" s="46">
        <f t="shared" si="40"/>
        <v>0.74765841100822583</v>
      </c>
      <c r="J136" s="46">
        <f t="shared" si="40"/>
        <v>0.7335833097760448</v>
      </c>
      <c r="K136" s="46">
        <f t="shared" si="40"/>
        <v>0.81403281630806745</v>
      </c>
      <c r="L136" s="46">
        <f t="shared" si="41"/>
        <v>0.7836581692326382</v>
      </c>
      <c r="M136" s="46">
        <f t="shared" si="40"/>
        <v>0.73814817746815342</v>
      </c>
      <c r="N136" s="46">
        <f t="shared" si="40"/>
        <v>0.80745903057619484</v>
      </c>
      <c r="O136" s="46">
        <f t="shared" si="40"/>
        <v>0.78478619796181404</v>
      </c>
      <c r="P136" s="46">
        <f t="shared" si="40"/>
        <v>0.69259274656519976</v>
      </c>
      <c r="Q136" s="46">
        <f t="shared" si="40"/>
        <v>0.6881239987690575</v>
      </c>
      <c r="R136" s="46">
        <f t="shared" si="40"/>
        <v>0.72200683181316705</v>
      </c>
      <c r="S136" s="46">
        <f t="shared" si="40"/>
        <v>0.7240936058078129</v>
      </c>
      <c r="T136" s="46">
        <f t="shared" si="40"/>
        <v>0.72265311350705874</v>
      </c>
      <c r="U136" s="46">
        <f t="shared" si="40"/>
        <v>0.71925243159264807</v>
      </c>
      <c r="V136" s="46">
        <f t="shared" si="40"/>
        <v>0.69791261172230301</v>
      </c>
      <c r="W136" s="46">
        <f t="shared" si="42"/>
        <v>0.68921858217869303</v>
      </c>
      <c r="X136" s="46">
        <f t="shared" si="42"/>
        <v>0.70491555575611808</v>
      </c>
      <c r="Y136" s="46">
        <f t="shared" si="42"/>
        <v>0.70952859341295083</v>
      </c>
      <c r="DA136" s="211"/>
    </row>
    <row r="137" spans="1:105" ht="11.45" customHeight="1" x14ac:dyDescent="0.25">
      <c r="A137" s="153" t="s">
        <v>173</v>
      </c>
      <c r="B137" s="154">
        <f t="shared" si="40"/>
        <v>3.0912102601835041E-3</v>
      </c>
      <c r="C137" s="154">
        <f t="shared" si="40"/>
        <v>2.8232606897075187E-3</v>
      </c>
      <c r="D137" s="154">
        <f t="shared" si="40"/>
        <v>2.7965060814353652E-3</v>
      </c>
      <c r="E137" s="154">
        <f t="shared" si="40"/>
        <v>2.6845946008856201E-3</v>
      </c>
      <c r="F137" s="154">
        <f t="shared" si="40"/>
        <v>2.5057759133605634E-3</v>
      </c>
      <c r="G137" s="154">
        <f t="shared" si="40"/>
        <v>2.2750680302905698E-3</v>
      </c>
      <c r="H137" s="154">
        <f t="shared" si="40"/>
        <v>2.188123211437677E-3</v>
      </c>
      <c r="I137" s="154">
        <f t="shared" si="40"/>
        <v>2.0193068183787413E-3</v>
      </c>
      <c r="J137" s="154">
        <f t="shared" si="40"/>
        <v>2.275986991050524E-3</v>
      </c>
      <c r="K137" s="154">
        <f t="shared" si="40"/>
        <v>2.8813087227480844E-3</v>
      </c>
      <c r="L137" s="154">
        <f t="shared" si="41"/>
        <v>2.7338411098248999E-3</v>
      </c>
      <c r="M137" s="154">
        <f t="shared" si="40"/>
        <v>2.6990037071052166E-3</v>
      </c>
      <c r="N137" s="154">
        <f t="shared" si="40"/>
        <v>2.6342261887426039E-3</v>
      </c>
      <c r="O137" s="154">
        <f t="shared" si="40"/>
        <v>2.5926954078600985E-3</v>
      </c>
      <c r="P137" s="154">
        <f t="shared" si="40"/>
        <v>2.2176519620248081E-3</v>
      </c>
      <c r="Q137" s="154">
        <f t="shared" si="40"/>
        <v>2.1226427351981468E-3</v>
      </c>
      <c r="R137" s="154">
        <f t="shared" si="40"/>
        <v>2.11416002116252E-3</v>
      </c>
      <c r="S137" s="154">
        <f t="shared" si="40"/>
        <v>1.8776990344675239E-3</v>
      </c>
      <c r="T137" s="154">
        <f t="shared" si="40"/>
        <v>1.6666905317222573E-3</v>
      </c>
      <c r="U137" s="154">
        <f t="shared" si="40"/>
        <v>1.6395904928255564E-3</v>
      </c>
      <c r="V137" s="154">
        <f t="shared" si="40"/>
        <v>1.4453029962481973E-3</v>
      </c>
      <c r="W137" s="154">
        <f t="shared" si="42"/>
        <v>1.4938891685394697E-3</v>
      </c>
      <c r="X137" s="154">
        <f t="shared" si="42"/>
        <v>1.5314022001094631E-3</v>
      </c>
      <c r="Y137" s="154">
        <f t="shared" si="42"/>
        <v>1.6447201193057154E-3</v>
      </c>
      <c r="DA137" s="212"/>
    </row>
    <row r="138" spans="1:105" ht="11.45" customHeight="1" x14ac:dyDescent="0.25">
      <c r="A138" s="155" t="s">
        <v>20</v>
      </c>
      <c r="B138" s="156">
        <f t="shared" si="40"/>
        <v>0.69458311819575624</v>
      </c>
      <c r="C138" s="156">
        <f t="shared" si="40"/>
        <v>0.65944105610841619</v>
      </c>
      <c r="D138" s="156">
        <f t="shared" si="40"/>
        <v>0.66563218664193535</v>
      </c>
      <c r="E138" s="156">
        <f t="shared" si="40"/>
        <v>0.71473768838287366</v>
      </c>
      <c r="F138" s="156">
        <f t="shared" si="40"/>
        <v>0.70032753264377701</v>
      </c>
      <c r="G138" s="156">
        <f t="shared" si="40"/>
        <v>0.73407290434070072</v>
      </c>
      <c r="H138" s="156">
        <f t="shared" si="40"/>
        <v>0.76125399359284285</v>
      </c>
      <c r="I138" s="156">
        <f t="shared" si="40"/>
        <v>0.71216240785526974</v>
      </c>
      <c r="J138" s="156">
        <f t="shared" si="40"/>
        <v>0.6998105492960992</v>
      </c>
      <c r="K138" s="156">
        <f t="shared" si="40"/>
        <v>0.77379264857220054</v>
      </c>
      <c r="L138" s="156">
        <f t="shared" si="41"/>
        <v>0.74545670461474434</v>
      </c>
      <c r="M138" s="156">
        <f t="shared" si="40"/>
        <v>0.69913499562822679</v>
      </c>
      <c r="N138" s="156">
        <f t="shared" si="40"/>
        <v>0.76965726846532667</v>
      </c>
      <c r="O138" s="156">
        <f t="shared" si="40"/>
        <v>0.75068081095191996</v>
      </c>
      <c r="P138" s="156">
        <f t="shared" si="40"/>
        <v>0.66122087171556077</v>
      </c>
      <c r="Q138" s="156">
        <f t="shared" si="40"/>
        <v>0.65804927738274888</v>
      </c>
      <c r="R138" s="156">
        <f t="shared" si="40"/>
        <v>0.69481673011969647</v>
      </c>
      <c r="S138" s="156">
        <f t="shared" si="40"/>
        <v>0.69767740644213794</v>
      </c>
      <c r="T138" s="156">
        <f t="shared" si="40"/>
        <v>0.69735482726939824</v>
      </c>
      <c r="U138" s="156">
        <f t="shared" si="40"/>
        <v>0.69205096732722549</v>
      </c>
      <c r="V138" s="156">
        <f t="shared" si="40"/>
        <v>0.67718544619727006</v>
      </c>
      <c r="W138" s="156">
        <f t="shared" si="42"/>
        <v>0.6701094209853008</v>
      </c>
      <c r="X138" s="156">
        <f t="shared" si="42"/>
        <v>0.68431795099313641</v>
      </c>
      <c r="Y138" s="156">
        <f t="shared" si="42"/>
        <v>0.68648418201178441</v>
      </c>
      <c r="DA138" s="213"/>
    </row>
    <row r="139" spans="1:105" ht="11.45" customHeight="1" x14ac:dyDescent="0.25">
      <c r="A139" s="157" t="s">
        <v>110</v>
      </c>
      <c r="B139" s="103">
        <f t="shared" si="40"/>
        <v>0.39542234709807794</v>
      </c>
      <c r="C139" s="103">
        <f t="shared" si="40"/>
        <v>0.35529867670698911</v>
      </c>
      <c r="D139" s="103">
        <f t="shared" si="40"/>
        <v>0.33461602199362528</v>
      </c>
      <c r="E139" s="103">
        <f t="shared" si="40"/>
        <v>0.32879136227352879</v>
      </c>
      <c r="F139" s="103">
        <f t="shared" si="40"/>
        <v>0.28502735836221815</v>
      </c>
      <c r="G139" s="103">
        <f t="shared" si="40"/>
        <v>0.2630047120410588</v>
      </c>
      <c r="H139" s="103">
        <f t="shared" si="40"/>
        <v>0.25857432065659269</v>
      </c>
      <c r="I139" s="103">
        <f t="shared" si="40"/>
        <v>0.26384728243023486</v>
      </c>
      <c r="J139" s="103">
        <f t="shared" si="40"/>
        <v>0.26139824327162542</v>
      </c>
      <c r="K139" s="103">
        <f t="shared" si="40"/>
        <v>0.2637654485767601</v>
      </c>
      <c r="L139" s="103">
        <f t="shared" si="41"/>
        <v>0.20569231942552085</v>
      </c>
      <c r="M139" s="103">
        <f t="shared" si="40"/>
        <v>0.17946067785656336</v>
      </c>
      <c r="N139" s="103">
        <f t="shared" si="40"/>
        <v>0.15984908379576676</v>
      </c>
      <c r="O139" s="103">
        <f t="shared" si="40"/>
        <v>0.14378852954939791</v>
      </c>
      <c r="P139" s="103">
        <f t="shared" si="40"/>
        <v>0.12613784711251833</v>
      </c>
      <c r="Q139" s="103">
        <f t="shared" si="40"/>
        <v>0.11571552640847836</v>
      </c>
      <c r="R139" s="103">
        <f t="shared" si="40"/>
        <v>0.1153987459999226</v>
      </c>
      <c r="S139" s="103">
        <f t="shared" si="40"/>
        <v>0.1086427397807905</v>
      </c>
      <c r="T139" s="103">
        <f t="shared" si="40"/>
        <v>0.11137223966799298</v>
      </c>
      <c r="U139" s="103">
        <f t="shared" si="40"/>
        <v>0.11044604499709956</v>
      </c>
      <c r="V139" s="103">
        <f t="shared" si="40"/>
        <v>0.10958720474746667</v>
      </c>
      <c r="W139" s="103">
        <f t="shared" si="42"/>
        <v>0.10863693834828082</v>
      </c>
      <c r="X139" s="103">
        <f t="shared" si="42"/>
        <v>0.12108746885951541</v>
      </c>
      <c r="Y139" s="103">
        <f t="shared" si="42"/>
        <v>0.13207367099202977</v>
      </c>
      <c r="DA139" s="191"/>
    </row>
    <row r="140" spans="1:105" ht="11.45" customHeight="1" x14ac:dyDescent="0.25">
      <c r="A140" s="157" t="s">
        <v>111</v>
      </c>
      <c r="B140" s="103">
        <f t="shared" si="40"/>
        <v>0.18646845834161244</v>
      </c>
      <c r="C140" s="103">
        <f t="shared" si="40"/>
        <v>0.19612252836908819</v>
      </c>
      <c r="D140" s="103">
        <f t="shared" si="40"/>
        <v>0.20529700832662545</v>
      </c>
      <c r="E140" s="103">
        <f t="shared" si="40"/>
        <v>0.24273071557255485</v>
      </c>
      <c r="F140" s="103">
        <f t="shared" si="40"/>
        <v>0.25848094930245991</v>
      </c>
      <c r="G140" s="103">
        <f t="shared" si="40"/>
        <v>0.31171495458947063</v>
      </c>
      <c r="H140" s="103">
        <f t="shared" si="40"/>
        <v>0.34969071302627142</v>
      </c>
      <c r="I140" s="103">
        <f t="shared" si="40"/>
        <v>0.32031308781971946</v>
      </c>
      <c r="J140" s="103">
        <f t="shared" si="40"/>
        <v>0.32451216950218803</v>
      </c>
      <c r="K140" s="103">
        <f t="shared" si="40"/>
        <v>0.38666990407171237</v>
      </c>
      <c r="L140" s="103">
        <f t="shared" si="41"/>
        <v>0.4266960972315843</v>
      </c>
      <c r="M140" s="103">
        <f t="shared" si="40"/>
        <v>0.41336840498349298</v>
      </c>
      <c r="N140" s="103">
        <f t="shared" si="40"/>
        <v>0.51057547026212657</v>
      </c>
      <c r="O140" s="103">
        <f t="shared" si="40"/>
        <v>0.51234985545626943</v>
      </c>
      <c r="P140" s="103">
        <f t="shared" si="40"/>
        <v>0.45273915739632981</v>
      </c>
      <c r="Q140" s="103">
        <f t="shared" si="40"/>
        <v>0.46990352065573254</v>
      </c>
      <c r="R140" s="103">
        <f t="shared" si="40"/>
        <v>0.51593776881462361</v>
      </c>
      <c r="S140" s="103">
        <f t="shared" si="40"/>
        <v>0.53227137085803633</v>
      </c>
      <c r="T140" s="103">
        <f t="shared" si="40"/>
        <v>0.53521213208230978</v>
      </c>
      <c r="U140" s="103">
        <f t="shared" si="40"/>
        <v>0.53361585969522862</v>
      </c>
      <c r="V140" s="103">
        <f t="shared" si="40"/>
        <v>0.52060460983952994</v>
      </c>
      <c r="W140" s="103">
        <f t="shared" si="42"/>
        <v>0.51498123125322759</v>
      </c>
      <c r="X140" s="103">
        <f t="shared" si="42"/>
        <v>0.51568758128575221</v>
      </c>
      <c r="Y140" s="103">
        <f t="shared" si="42"/>
        <v>0.50643087232246164</v>
      </c>
      <c r="DA140" s="191"/>
    </row>
    <row r="141" spans="1:105" ht="11.45" customHeight="1" x14ac:dyDescent="0.25">
      <c r="A141" s="157" t="s">
        <v>112</v>
      </c>
      <c r="B141" s="103">
        <f t="shared" si="40"/>
        <v>0.11269231275606589</v>
      </c>
      <c r="C141" s="103">
        <f t="shared" si="40"/>
        <v>0.10801985103233887</v>
      </c>
      <c r="D141" s="103">
        <f t="shared" si="40"/>
        <v>0.12571915632168457</v>
      </c>
      <c r="E141" s="103">
        <f t="shared" si="40"/>
        <v>0.14321561053678999</v>
      </c>
      <c r="F141" s="103">
        <f t="shared" si="40"/>
        <v>0.15681922497909903</v>
      </c>
      <c r="G141" s="103">
        <f t="shared" si="40"/>
        <v>0.15935323771017132</v>
      </c>
      <c r="H141" s="103">
        <f t="shared" si="40"/>
        <v>0.15298895990997874</v>
      </c>
      <c r="I141" s="103">
        <f t="shared" si="40"/>
        <v>0.12800203760531548</v>
      </c>
      <c r="J141" s="103">
        <f t="shared" si="40"/>
        <v>0.11390013652228574</v>
      </c>
      <c r="K141" s="103">
        <f t="shared" si="40"/>
        <v>0.12335729592372809</v>
      </c>
      <c r="L141" s="103">
        <f t="shared" si="41"/>
        <v>0.11306828795763922</v>
      </c>
      <c r="M141" s="103">
        <f t="shared" si="40"/>
        <v>0.10630591278817036</v>
      </c>
      <c r="N141" s="103">
        <f t="shared" si="40"/>
        <v>9.923241802241145E-2</v>
      </c>
      <c r="O141" s="103">
        <f t="shared" si="40"/>
        <v>9.4322844873806308E-2</v>
      </c>
      <c r="P141" s="103">
        <f t="shared" si="40"/>
        <v>8.1938025024048955E-2</v>
      </c>
      <c r="Q141" s="103">
        <f t="shared" si="40"/>
        <v>7.1933910180726895E-2</v>
      </c>
      <c r="R141" s="103">
        <f t="shared" si="40"/>
        <v>6.2687000369179846E-2</v>
      </c>
      <c r="S141" s="103">
        <f t="shared" si="40"/>
        <v>5.5611519304297634E-2</v>
      </c>
      <c r="T141" s="103">
        <f t="shared" si="40"/>
        <v>4.8896837446915253E-2</v>
      </c>
      <c r="U141" s="103">
        <f t="shared" si="40"/>
        <v>4.5094747294282901E-2</v>
      </c>
      <c r="V141" s="103">
        <f t="shared" si="40"/>
        <v>4.2748474940527859E-2</v>
      </c>
      <c r="W141" s="103">
        <f t="shared" si="42"/>
        <v>4.0838912101123302E-2</v>
      </c>
      <c r="X141" s="103">
        <f t="shared" si="42"/>
        <v>4.1103517332051552E-2</v>
      </c>
      <c r="Y141" s="103">
        <f t="shared" si="42"/>
        <v>4.0989067007083914E-2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2.963850218554306E-7</v>
      </c>
      <c r="O142" s="103">
        <f t="shared" si="40"/>
        <v>1.239231384337077E-6</v>
      </c>
      <c r="P142" s="103">
        <f t="shared" si="40"/>
        <v>6.0381208212914097E-6</v>
      </c>
      <c r="Q142" s="103">
        <f t="shared" si="40"/>
        <v>7.9658185778833257E-6</v>
      </c>
      <c r="R142" s="103">
        <f t="shared" si="40"/>
        <v>1.0719366312220859E-5</v>
      </c>
      <c r="S142" s="103">
        <f t="shared" si="40"/>
        <v>1.5814504920914569E-5</v>
      </c>
      <c r="T142" s="103">
        <f t="shared" si="40"/>
        <v>2.0080181289009762E-5</v>
      </c>
      <c r="U142" s="103">
        <f t="shared" si="40"/>
        <v>1.8900937995065838E-5</v>
      </c>
      <c r="V142" s="103">
        <f t="shared" si="40"/>
        <v>3.0937179162087095E-5</v>
      </c>
      <c r="W142" s="103">
        <f t="shared" si="42"/>
        <v>4.1472136847684076E-5</v>
      </c>
      <c r="X142" s="103">
        <f t="shared" si="42"/>
        <v>1.3975383721669606E-4</v>
      </c>
      <c r="Y142" s="103">
        <f t="shared" si="42"/>
        <v>1.1954576436999439E-4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0</v>
      </c>
      <c r="O143" s="103">
        <f t="shared" si="40"/>
        <v>2.1834184106179943E-4</v>
      </c>
      <c r="P143" s="103">
        <f t="shared" si="40"/>
        <v>3.9980406184245517E-4</v>
      </c>
      <c r="Q143" s="103">
        <f t="shared" si="40"/>
        <v>4.8835431923316083E-4</v>
      </c>
      <c r="R143" s="103">
        <f t="shared" si="40"/>
        <v>7.8249556965838917E-4</v>
      </c>
      <c r="S143" s="103">
        <f t="shared" si="40"/>
        <v>1.1359619940926125E-3</v>
      </c>
      <c r="T143" s="103">
        <f t="shared" si="40"/>
        <v>1.8535378908912041E-3</v>
      </c>
      <c r="U143" s="103">
        <f t="shared" si="40"/>
        <v>2.8754144026193005E-3</v>
      </c>
      <c r="V143" s="103">
        <f t="shared" si="40"/>
        <v>4.2142194905834506E-3</v>
      </c>
      <c r="W143" s="103">
        <f t="shared" si="42"/>
        <v>5.6108671458214507E-3</v>
      </c>
      <c r="X143" s="103">
        <f t="shared" si="42"/>
        <v>6.2996296786006307E-3</v>
      </c>
      <c r="Y143" s="103">
        <f t="shared" si="42"/>
        <v>6.8710259258392276E-3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6.51473536205502E-2</v>
      </c>
      <c r="C145" s="156">
        <f t="shared" si="40"/>
        <v>5.7019871105962218E-2</v>
      </c>
      <c r="D145" s="156">
        <f t="shared" si="40"/>
        <v>5.6613576918947382E-2</v>
      </c>
      <c r="E145" s="156">
        <f t="shared" si="40"/>
        <v>5.569024063873812E-2</v>
      </c>
      <c r="F145" s="156">
        <f t="shared" si="40"/>
        <v>5.3694297660819158E-2</v>
      </c>
      <c r="G145" s="156">
        <f t="shared" si="40"/>
        <v>4.8727114751893091E-2</v>
      </c>
      <c r="H145" s="156">
        <f t="shared" si="40"/>
        <v>4.3142156353234103E-2</v>
      </c>
      <c r="I145" s="156">
        <f t="shared" si="40"/>
        <v>3.3476696334577331E-2</v>
      </c>
      <c r="J145" s="156">
        <f t="shared" si="40"/>
        <v>3.1496773488895041E-2</v>
      </c>
      <c r="K145" s="156">
        <f t="shared" si="40"/>
        <v>3.735885901311882E-2</v>
      </c>
      <c r="L145" s="156">
        <f t="shared" si="41"/>
        <v>3.5467623508068959E-2</v>
      </c>
      <c r="M145" s="156">
        <f t="shared" si="40"/>
        <v>3.631417813282152E-2</v>
      </c>
      <c r="N145" s="156">
        <f t="shared" si="40"/>
        <v>3.5167535922125626E-2</v>
      </c>
      <c r="O145" s="156">
        <f t="shared" si="40"/>
        <v>3.1512691602033994E-2</v>
      </c>
      <c r="P145" s="156">
        <f t="shared" si="40"/>
        <v>2.9154222887614135E-2</v>
      </c>
      <c r="Q145" s="156">
        <f t="shared" si="40"/>
        <v>2.795207865111049E-2</v>
      </c>
      <c r="R145" s="156">
        <f t="shared" si="40"/>
        <v>2.5075941672307957E-2</v>
      </c>
      <c r="S145" s="156">
        <f t="shared" si="40"/>
        <v>2.4538500331207524E-2</v>
      </c>
      <c r="T145" s="156">
        <f t="shared" si="40"/>
        <v>2.3631595705938327E-2</v>
      </c>
      <c r="U145" s="156">
        <f t="shared" si="40"/>
        <v>2.5561873772596999E-2</v>
      </c>
      <c r="V145" s="156">
        <f t="shared" si="40"/>
        <v>1.9281862528784745E-2</v>
      </c>
      <c r="W145" s="156">
        <f t="shared" si="42"/>
        <v>1.761527202485275E-2</v>
      </c>
      <c r="X145" s="156">
        <f t="shared" si="42"/>
        <v>1.9066202562872139E-2</v>
      </c>
      <c r="Y145" s="156">
        <f t="shared" si="42"/>
        <v>2.1399691281860592E-2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5.7981189147213401E-5</v>
      </c>
      <c r="E146" s="103">
        <f t="shared" si="40"/>
        <v>8.7030288280208067E-5</v>
      </c>
      <c r="F146" s="103">
        <f t="shared" si="40"/>
        <v>7.6085113248060914E-5</v>
      </c>
      <c r="G146" s="103">
        <f t="shared" si="40"/>
        <v>7.0173596523215962E-5</v>
      </c>
      <c r="H146" s="103">
        <f t="shared" si="40"/>
        <v>6.5996474037965372E-5</v>
      </c>
      <c r="I146" s="103">
        <f t="shared" si="40"/>
        <v>4.6080948885970841E-5</v>
      </c>
      <c r="J146" s="103">
        <f t="shared" si="40"/>
        <v>3.0544332967005378E-5</v>
      </c>
      <c r="K146" s="103">
        <f t="shared" si="40"/>
        <v>3.2653085674933477E-5</v>
      </c>
      <c r="L146" s="103">
        <f t="shared" si="41"/>
        <v>3.0574754938320966E-5</v>
      </c>
      <c r="M146" s="103">
        <f t="shared" si="40"/>
        <v>2.1196921029969958E-5</v>
      </c>
      <c r="N146" s="103">
        <f t="shared" si="40"/>
        <v>1.8984044055336676E-5</v>
      </c>
      <c r="O146" s="103">
        <f t="shared" si="40"/>
        <v>2.4242248797093227E-4</v>
      </c>
      <c r="P146" s="103">
        <f t="shared" si="40"/>
        <v>1.2944042623793395E-4</v>
      </c>
      <c r="Q146" s="103">
        <f t="shared" si="40"/>
        <v>1.0825257415551852E-4</v>
      </c>
      <c r="R146" s="103">
        <f t="shared" si="40"/>
        <v>1.0502872402842806E-4</v>
      </c>
      <c r="S146" s="103">
        <f t="shared" si="40"/>
        <v>1.0012876552232157E-4</v>
      </c>
      <c r="T146" s="103">
        <f t="shared" si="40"/>
        <v>8.9799373335676513E-5</v>
      </c>
      <c r="U146" s="103">
        <f t="shared" si="40"/>
        <v>7.9380549796536425E-5</v>
      </c>
      <c r="V146" s="103">
        <f t="shared" si="40"/>
        <v>5.5233710207357691E-5</v>
      </c>
      <c r="W146" s="103">
        <f t="shared" si="42"/>
        <v>5.1527482287880005E-5</v>
      </c>
      <c r="X146" s="103">
        <f t="shared" si="42"/>
        <v>5.4127457777813505E-5</v>
      </c>
      <c r="Y146" s="103">
        <f t="shared" si="42"/>
        <v>5.6656354684960256E-5</v>
      </c>
      <c r="DA146" s="191"/>
    </row>
    <row r="147" spans="1:105" ht="11.45" customHeight="1" x14ac:dyDescent="0.25">
      <c r="A147" s="157" t="s">
        <v>111</v>
      </c>
      <c r="B147" s="103">
        <f t="shared" si="40"/>
        <v>6.51473536205502E-2</v>
      </c>
      <c r="C147" s="103">
        <f t="shared" si="40"/>
        <v>5.7019871105962218E-2</v>
      </c>
      <c r="D147" s="103">
        <f t="shared" si="40"/>
        <v>5.6540349539108636E-2</v>
      </c>
      <c r="E147" s="103">
        <f t="shared" si="40"/>
        <v>5.5587909306544343E-2</v>
      </c>
      <c r="F147" s="103">
        <f t="shared" si="40"/>
        <v>5.3603425478377834E-2</v>
      </c>
      <c r="G147" s="103">
        <f t="shared" si="40"/>
        <v>4.8643557327804385E-2</v>
      </c>
      <c r="H147" s="103">
        <f t="shared" si="40"/>
        <v>4.3064110881386564E-2</v>
      </c>
      <c r="I147" s="103">
        <f t="shared" si="40"/>
        <v>3.3420841933762796E-2</v>
      </c>
      <c r="J147" s="103">
        <f t="shared" si="40"/>
        <v>3.1456806602213269E-2</v>
      </c>
      <c r="K147" s="103">
        <f t="shared" si="40"/>
        <v>3.6508206111960539E-2</v>
      </c>
      <c r="L147" s="103">
        <f t="shared" si="41"/>
        <v>3.4036123758615214E-2</v>
      </c>
      <c r="M147" s="103">
        <f t="shared" si="40"/>
        <v>3.439687137015493E-2</v>
      </c>
      <c r="N147" s="103">
        <f t="shared" si="40"/>
        <v>3.344903055380339E-2</v>
      </c>
      <c r="O147" s="103">
        <f t="shared" si="40"/>
        <v>2.877843822842396E-2</v>
      </c>
      <c r="P147" s="103">
        <f t="shared" si="40"/>
        <v>2.5937294864473409E-2</v>
      </c>
      <c r="Q147" s="103">
        <f t="shared" si="40"/>
        <v>2.3454200131421812E-2</v>
      </c>
      <c r="R147" s="103">
        <f t="shared" ref="R147:V147" si="43">IF(R29=0,0,R29/R$17)</f>
        <v>2.0848807258257621E-2</v>
      </c>
      <c r="S147" s="103">
        <f t="shared" si="43"/>
        <v>2.0445137680792813E-2</v>
      </c>
      <c r="T147" s="103">
        <f t="shared" si="43"/>
        <v>1.9843976578248643E-2</v>
      </c>
      <c r="U147" s="103">
        <f t="shared" si="43"/>
        <v>2.1930998472166913E-2</v>
      </c>
      <c r="V147" s="103">
        <f t="shared" si="43"/>
        <v>1.5430822064290292E-2</v>
      </c>
      <c r="W147" s="103">
        <f t="shared" ref="W147:Y147" si="44">IF(W29=0,0,W29/W$17)</f>
        <v>1.3140774274789973E-2</v>
      </c>
      <c r="X147" s="103">
        <f t="shared" si="44"/>
        <v>1.4701359545489288E-2</v>
      </c>
      <c r="Y147" s="103">
        <f t="shared" si="44"/>
        <v>1.6570163978362862E-2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1.5246190691536012E-5</v>
      </c>
      <c r="E148" s="103">
        <f t="shared" si="45"/>
        <v>1.5301043913572954E-5</v>
      </c>
      <c r="F148" s="103">
        <f t="shared" si="45"/>
        <v>1.4787069193258759E-5</v>
      </c>
      <c r="G148" s="103">
        <f t="shared" si="45"/>
        <v>1.3383827565488829E-5</v>
      </c>
      <c r="H148" s="103">
        <f t="shared" si="45"/>
        <v>1.2048997809572567E-5</v>
      </c>
      <c r="I148" s="103">
        <f t="shared" si="45"/>
        <v>9.7734519285606475E-6</v>
      </c>
      <c r="J148" s="103">
        <f t="shared" si="45"/>
        <v>9.4225537147709311E-6</v>
      </c>
      <c r="K148" s="103">
        <f t="shared" si="45"/>
        <v>1.0938296730840699E-5</v>
      </c>
      <c r="L148" s="103">
        <f t="shared" ref="L148:L150" si="46">IF(L30=0,0,L30/L$17)</f>
        <v>1.0427962913886583E-5</v>
      </c>
      <c r="M148" s="103">
        <f t="shared" ref="M148:V148" si="47">IF(M30=0,0,M30/M$17)</f>
        <v>3.8079315520010251E-5</v>
      </c>
      <c r="N148" s="103">
        <f t="shared" si="47"/>
        <v>3.8251620098065849E-5</v>
      </c>
      <c r="O148" s="103">
        <f t="shared" si="47"/>
        <v>1.9727015286441276E-4</v>
      </c>
      <c r="P148" s="103">
        <f t="shared" si="47"/>
        <v>7.081448330305437E-4</v>
      </c>
      <c r="Q148" s="103">
        <f t="shared" si="47"/>
        <v>6.8121044600568542E-4</v>
      </c>
      <c r="R148" s="103">
        <f t="shared" si="47"/>
        <v>6.55163844185665E-4</v>
      </c>
      <c r="S148" s="103">
        <f t="shared" si="47"/>
        <v>6.4885348941926175E-4</v>
      </c>
      <c r="T148" s="103">
        <f t="shared" si="47"/>
        <v>6.0658422636095197E-4</v>
      </c>
      <c r="U148" s="103">
        <f t="shared" si="47"/>
        <v>6.8239127760815507E-4</v>
      </c>
      <c r="V148" s="103">
        <f t="shared" si="47"/>
        <v>5.0011994277926485E-4</v>
      </c>
      <c r="W148" s="103">
        <f t="shared" ref="W148:Y148" si="48">IF(W30=0,0,W30/W$17)</f>
        <v>4.8237640692167785E-4</v>
      </c>
      <c r="X148" s="103">
        <f t="shared" si="48"/>
        <v>5.2877674982367191E-4</v>
      </c>
      <c r="Y148" s="103">
        <f t="shared" si="48"/>
        <v>5.7328461140537389E-4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8.0706151875250469E-4</v>
      </c>
      <c r="L149" s="103">
        <f t="shared" si="46"/>
        <v>1.3904970316015403E-3</v>
      </c>
      <c r="M149" s="103">
        <f t="shared" ref="M149:V149" si="50">IF(M31=0,0,M31/M$17)</f>
        <v>1.858030526116612E-3</v>
      </c>
      <c r="N149" s="103">
        <f t="shared" si="50"/>
        <v>1.6612697041688306E-3</v>
      </c>
      <c r="O149" s="103">
        <f t="shared" si="50"/>
        <v>2.2945607327746931E-3</v>
      </c>
      <c r="P149" s="103">
        <f t="shared" si="50"/>
        <v>2.3793427638722471E-3</v>
      </c>
      <c r="Q149" s="103">
        <f t="shared" si="50"/>
        <v>3.7084154995274715E-3</v>
      </c>
      <c r="R149" s="103">
        <f t="shared" si="50"/>
        <v>3.4669418458362438E-3</v>
      </c>
      <c r="S149" s="103">
        <f t="shared" si="50"/>
        <v>3.3443803954731322E-3</v>
      </c>
      <c r="T149" s="103">
        <f t="shared" si="50"/>
        <v>3.0912355279930541E-3</v>
      </c>
      <c r="U149" s="103">
        <f t="shared" si="50"/>
        <v>2.8691034730253945E-3</v>
      </c>
      <c r="V149" s="103">
        <f t="shared" si="50"/>
        <v>3.2956868115078326E-3</v>
      </c>
      <c r="W149" s="103">
        <f t="shared" ref="W149:Y149" si="51">IF(W31=0,0,W31/W$17)</f>
        <v>3.9405938608532169E-3</v>
      </c>
      <c r="X149" s="103">
        <f t="shared" si="51"/>
        <v>3.7819388097813651E-3</v>
      </c>
      <c r="Y149" s="103">
        <f t="shared" si="51"/>
        <v>4.1995863374073997E-3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0.23717831792351013</v>
      </c>
      <c r="C151" s="46">
        <f t="shared" si="55"/>
        <v>0.28071581209591412</v>
      </c>
      <c r="D151" s="46">
        <f t="shared" si="55"/>
        <v>0.2749577303576819</v>
      </c>
      <c r="E151" s="46">
        <f t="shared" si="55"/>
        <v>0.22688747637750256</v>
      </c>
      <c r="F151" s="46">
        <f t="shared" si="55"/>
        <v>0.24347239378204322</v>
      </c>
      <c r="G151" s="46">
        <f t="shared" si="55"/>
        <v>0.21492491287711554</v>
      </c>
      <c r="H151" s="46">
        <f t="shared" si="55"/>
        <v>0.1934157268424854</v>
      </c>
      <c r="I151" s="46">
        <f t="shared" si="55"/>
        <v>0.25234158899177411</v>
      </c>
      <c r="J151" s="46">
        <f t="shared" si="55"/>
        <v>0.26641669022395514</v>
      </c>
      <c r="K151" s="46">
        <f t="shared" si="55"/>
        <v>0.18596718369193252</v>
      </c>
      <c r="L151" s="46">
        <f t="shared" ref="L151" si="56">IF(L33=0,0,L33/L$17)</f>
        <v>0.2163418307673618</v>
      </c>
      <c r="M151" s="46">
        <f t="shared" ref="M151:V151" si="57">IF(M33=0,0,M33/M$17)</f>
        <v>0.26185182253184652</v>
      </c>
      <c r="N151" s="46">
        <f t="shared" si="57"/>
        <v>0.19254096942380516</v>
      </c>
      <c r="O151" s="46">
        <f t="shared" si="57"/>
        <v>0.21521380203818596</v>
      </c>
      <c r="P151" s="46">
        <f t="shared" si="57"/>
        <v>0.30740725343480024</v>
      </c>
      <c r="Q151" s="46">
        <f t="shared" si="57"/>
        <v>0.31187600123094256</v>
      </c>
      <c r="R151" s="46">
        <f t="shared" si="57"/>
        <v>0.27799316818683301</v>
      </c>
      <c r="S151" s="46">
        <f t="shared" si="57"/>
        <v>0.27590639419218704</v>
      </c>
      <c r="T151" s="46">
        <f t="shared" si="57"/>
        <v>0.27734688649294115</v>
      </c>
      <c r="U151" s="46">
        <f t="shared" si="57"/>
        <v>0.28074756840735193</v>
      </c>
      <c r="V151" s="46">
        <f t="shared" si="57"/>
        <v>0.30208738827769704</v>
      </c>
      <c r="W151" s="46">
        <f t="shared" ref="W151:Y151" si="58">IF(W33=0,0,W33/W$17)</f>
        <v>0.31078141782130703</v>
      </c>
      <c r="X151" s="46">
        <f t="shared" si="58"/>
        <v>0.29508444424388192</v>
      </c>
      <c r="Y151" s="46">
        <f t="shared" si="58"/>
        <v>0.29047140658704917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3.647368230587715E-2</v>
      </c>
      <c r="C152" s="154">
        <f t="shared" si="59"/>
        <v>3.3111583870428257E-2</v>
      </c>
      <c r="D152" s="154">
        <f t="shared" si="59"/>
        <v>3.2247050980770908E-2</v>
      </c>
      <c r="E152" s="154">
        <f t="shared" si="59"/>
        <v>3.2601812489247275E-2</v>
      </c>
      <c r="F152" s="154">
        <f t="shared" si="59"/>
        <v>3.1172228600332343E-2</v>
      </c>
      <c r="G152" s="154">
        <f t="shared" si="59"/>
        <v>3.0781936418276409E-2</v>
      </c>
      <c r="H152" s="154">
        <f t="shared" si="59"/>
        <v>3.4042208152636873E-2</v>
      </c>
      <c r="I152" s="154">
        <f t="shared" si="59"/>
        <v>3.2700809547898398E-2</v>
      </c>
      <c r="J152" s="154">
        <f t="shared" si="59"/>
        <v>3.356428265396353E-2</v>
      </c>
      <c r="K152" s="154">
        <f t="shared" si="59"/>
        <v>4.1950211250002208E-2</v>
      </c>
      <c r="L152" s="154">
        <f t="shared" ref="L152" si="60">IF(L34=0,0,L34/L$17)</f>
        <v>3.8606628783268079E-2</v>
      </c>
      <c r="M152" s="154">
        <f t="shared" ref="M152:V152" si="61">IF(M34=0,0,M34/M$17)</f>
        <v>4.2708980906340809E-2</v>
      </c>
      <c r="N152" s="154">
        <f t="shared" si="61"/>
        <v>4.5955274133316376E-2</v>
      </c>
      <c r="O152" s="154">
        <f t="shared" si="61"/>
        <v>4.7735835384733458E-2</v>
      </c>
      <c r="P152" s="154">
        <f t="shared" si="61"/>
        <v>4.8194851600272239E-2</v>
      </c>
      <c r="Q152" s="154">
        <f t="shared" si="61"/>
        <v>4.7688039724401499E-2</v>
      </c>
      <c r="R152" s="154">
        <f t="shared" si="61"/>
        <v>4.7373048977548321E-2</v>
      </c>
      <c r="S152" s="154">
        <f t="shared" si="61"/>
        <v>4.6142493463958323E-2</v>
      </c>
      <c r="T152" s="154">
        <f t="shared" si="61"/>
        <v>4.4137569360403625E-2</v>
      </c>
      <c r="U152" s="154">
        <f t="shared" si="61"/>
        <v>4.436856559357602E-2</v>
      </c>
      <c r="V152" s="154">
        <f t="shared" si="61"/>
        <v>4.645846594188454E-2</v>
      </c>
      <c r="W152" s="154">
        <f t="shared" ref="W152:Y152" si="62">IF(W34=0,0,W34/W$17)</f>
        <v>4.7495359119765289E-2</v>
      </c>
      <c r="X152" s="154">
        <f t="shared" si="62"/>
        <v>4.5745231655253966E-2</v>
      </c>
      <c r="Y152" s="154">
        <f t="shared" si="62"/>
        <v>4.4561838269684455E-2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4.7574736878764111E-3</v>
      </c>
      <c r="C153" s="103">
        <f t="shared" si="63"/>
        <v>4.1462693337745073E-3</v>
      </c>
      <c r="D153" s="103">
        <f t="shared" si="63"/>
        <v>3.8796622033897437E-3</v>
      </c>
      <c r="E153" s="103">
        <f t="shared" si="63"/>
        <v>3.7213009568846187E-3</v>
      </c>
      <c r="F153" s="103">
        <f t="shared" si="63"/>
        <v>3.2915486715206742E-3</v>
      </c>
      <c r="G153" s="103">
        <f t="shared" si="63"/>
        <v>3.0980624862913891E-3</v>
      </c>
      <c r="H153" s="103">
        <f t="shared" si="63"/>
        <v>3.5965764118250734E-3</v>
      </c>
      <c r="I153" s="103">
        <f t="shared" si="63"/>
        <v>3.4464372286537957E-3</v>
      </c>
      <c r="J153" s="103">
        <f t="shared" si="63"/>
        <v>3.1602267886230821E-3</v>
      </c>
      <c r="K153" s="103">
        <f t="shared" si="63"/>
        <v>3.4483209704374998E-3</v>
      </c>
      <c r="L153" s="103">
        <f t="shared" ref="L153" si="64">IF(L35=0,0,L35/L$17)</f>
        <v>2.9606906310562548E-3</v>
      </c>
      <c r="M153" s="103">
        <f t="shared" ref="M153:V153" si="65">IF(M35=0,0,M35/M$17)</f>
        <v>2.572587133292871E-3</v>
      </c>
      <c r="N153" s="103">
        <f t="shared" si="65"/>
        <v>2.1529243558286661E-3</v>
      </c>
      <c r="O153" s="103">
        <f t="shared" si="65"/>
        <v>1.8837572730859176E-3</v>
      </c>
      <c r="P153" s="103">
        <f t="shared" si="65"/>
        <v>1.466187814799605E-3</v>
      </c>
      <c r="Q153" s="103">
        <f t="shared" si="65"/>
        <v>1.1238085754714479E-3</v>
      </c>
      <c r="R153" s="103">
        <f t="shared" si="65"/>
        <v>9.7337745030181546E-4</v>
      </c>
      <c r="S153" s="103">
        <f t="shared" si="65"/>
        <v>8.31325839835783E-4</v>
      </c>
      <c r="T153" s="103">
        <f t="shared" si="65"/>
        <v>7.1550934371845216E-4</v>
      </c>
      <c r="U153" s="103">
        <f t="shared" si="65"/>
        <v>9.3262204006363668E-4</v>
      </c>
      <c r="V153" s="103">
        <f t="shared" si="65"/>
        <v>8.2984326938432098E-4</v>
      </c>
      <c r="W153" s="103">
        <f t="shared" ref="W153:Y153" si="66">IF(W35=0,0,W35/W$17)</f>
        <v>7.5303497645339825E-4</v>
      </c>
      <c r="X153" s="103">
        <f t="shared" si="66"/>
        <v>6.2114252680546035E-4</v>
      </c>
      <c r="Y153" s="103">
        <f t="shared" si="66"/>
        <v>5.1879195557343039E-4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3.1716208618000737E-2</v>
      </c>
      <c r="C154" s="103">
        <f t="shared" si="67"/>
        <v>2.8965314536653745E-2</v>
      </c>
      <c r="D154" s="103">
        <f t="shared" si="67"/>
        <v>2.8367388777381167E-2</v>
      </c>
      <c r="E154" s="103">
        <f t="shared" si="67"/>
        <v>2.8880511532362658E-2</v>
      </c>
      <c r="F154" s="103">
        <f t="shared" si="67"/>
        <v>2.7880679928811668E-2</v>
      </c>
      <c r="G154" s="103">
        <f t="shared" si="67"/>
        <v>2.7683873931985018E-2</v>
      </c>
      <c r="H154" s="103">
        <f t="shared" si="67"/>
        <v>3.0445631740811802E-2</v>
      </c>
      <c r="I154" s="103">
        <f t="shared" si="67"/>
        <v>2.9254372319244607E-2</v>
      </c>
      <c r="J154" s="103">
        <f t="shared" si="67"/>
        <v>3.0404055865340448E-2</v>
      </c>
      <c r="K154" s="103">
        <f t="shared" si="67"/>
        <v>3.8501890279564709E-2</v>
      </c>
      <c r="L154" s="103">
        <f t="shared" ref="L154" si="68">IF(L36=0,0,L36/L$17)</f>
        <v>3.5645938152211822E-2</v>
      </c>
      <c r="M154" s="103">
        <f t="shared" ref="M154:V154" si="69">IF(M36=0,0,M36/M$17)</f>
        <v>4.0136393773047944E-2</v>
      </c>
      <c r="N154" s="103">
        <f t="shared" si="69"/>
        <v>4.380234977748771E-2</v>
      </c>
      <c r="O154" s="103">
        <f t="shared" si="69"/>
        <v>4.5852078111647543E-2</v>
      </c>
      <c r="P154" s="103">
        <f t="shared" si="69"/>
        <v>4.6728663785472635E-2</v>
      </c>
      <c r="Q154" s="103">
        <f t="shared" si="69"/>
        <v>4.6564231148930046E-2</v>
      </c>
      <c r="R154" s="103">
        <f t="shared" si="69"/>
        <v>4.6399671527246507E-2</v>
      </c>
      <c r="S154" s="103">
        <f t="shared" si="69"/>
        <v>4.5311167624122538E-2</v>
      </c>
      <c r="T154" s="103">
        <f t="shared" si="69"/>
        <v>4.3422060016685173E-2</v>
      </c>
      <c r="U154" s="103">
        <f t="shared" si="69"/>
        <v>4.3435943553512386E-2</v>
      </c>
      <c r="V154" s="103">
        <f t="shared" si="69"/>
        <v>4.5628622672500223E-2</v>
      </c>
      <c r="W154" s="103">
        <f t="shared" ref="W154:Y154" si="70">IF(W36=0,0,W36/W$17)</f>
        <v>4.6742324143311892E-2</v>
      </c>
      <c r="X154" s="103">
        <f t="shared" si="70"/>
        <v>4.5124089128448508E-2</v>
      </c>
      <c r="Y154" s="103">
        <f t="shared" si="70"/>
        <v>4.4043046314111024E-2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0</v>
      </c>
      <c r="T155" s="103">
        <f t="shared" si="73"/>
        <v>0</v>
      </c>
      <c r="U155" s="103">
        <f t="shared" si="73"/>
        <v>0</v>
      </c>
      <c r="V155" s="103">
        <f t="shared" si="73"/>
        <v>0</v>
      </c>
      <c r="W155" s="103">
        <f t="shared" ref="W155:Y155" si="74">IF(W37=0,0,W37/W$17)</f>
        <v>0</v>
      </c>
      <c r="X155" s="103">
        <f t="shared" si="74"/>
        <v>0</v>
      </c>
      <c r="Y155" s="103">
        <f t="shared" si="74"/>
        <v>0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:Y156" si="78">IF(W38=0,0,W38/W$17)</f>
        <v>0</v>
      </c>
      <c r="X156" s="103">
        <f t="shared" si="78"/>
        <v>0</v>
      </c>
      <c r="Y156" s="103">
        <f t="shared" si="78"/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0.20070463561763296</v>
      </c>
      <c r="C158" s="156">
        <f t="shared" si="83"/>
        <v>0.24760422822548586</v>
      </c>
      <c r="D158" s="156">
        <f t="shared" si="83"/>
        <v>0.24271067937691099</v>
      </c>
      <c r="E158" s="156">
        <f t="shared" si="83"/>
        <v>0.1942856638882553</v>
      </c>
      <c r="F158" s="156">
        <f t="shared" si="83"/>
        <v>0.21230016518171088</v>
      </c>
      <c r="G158" s="156">
        <f t="shared" si="83"/>
        <v>0.18414297645883912</v>
      </c>
      <c r="H158" s="156">
        <f t="shared" si="83"/>
        <v>0.15937351868984853</v>
      </c>
      <c r="I158" s="156">
        <f t="shared" si="83"/>
        <v>0.21964077944387569</v>
      </c>
      <c r="J158" s="156">
        <f t="shared" si="83"/>
        <v>0.23285240756999157</v>
      </c>
      <c r="K158" s="156">
        <f t="shared" si="83"/>
        <v>0.14401697244193032</v>
      </c>
      <c r="L158" s="156">
        <f t="shared" ref="L158" si="84">IF(L40=0,0,L40/L$17)</f>
        <v>0.1777352019840937</v>
      </c>
      <c r="M158" s="156">
        <f t="shared" ref="M158:V158" si="85">IF(M40=0,0,M40/M$17)</f>
        <v>0.21914284162550571</v>
      </c>
      <c r="N158" s="156">
        <f t="shared" si="85"/>
        <v>0.14658569529048879</v>
      </c>
      <c r="O158" s="156">
        <f t="shared" si="85"/>
        <v>0.16747796665345252</v>
      </c>
      <c r="P158" s="156">
        <f t="shared" si="85"/>
        <v>0.25921240183452798</v>
      </c>
      <c r="Q158" s="156">
        <f t="shared" si="85"/>
        <v>0.26418796150654106</v>
      </c>
      <c r="R158" s="156">
        <f t="shared" si="85"/>
        <v>0.23062011920928469</v>
      </c>
      <c r="S158" s="156">
        <f t="shared" si="85"/>
        <v>0.22976390072822872</v>
      </c>
      <c r="T158" s="156">
        <f t="shared" si="85"/>
        <v>0.23320931713253754</v>
      </c>
      <c r="U158" s="156">
        <f t="shared" si="85"/>
        <v>0.23637900281377588</v>
      </c>
      <c r="V158" s="156">
        <f t="shared" si="85"/>
        <v>0.25562892233581247</v>
      </c>
      <c r="W158" s="156">
        <f t="shared" ref="W158:Y158" si="86">IF(W40=0,0,W40/W$17)</f>
        <v>0.2632860587015417</v>
      </c>
      <c r="X158" s="156">
        <f t="shared" si="86"/>
        <v>0.24933921258862796</v>
      </c>
      <c r="Y158" s="156">
        <f t="shared" si="86"/>
        <v>0.24590956831736474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0.12249630065478469</v>
      </c>
      <c r="C159" s="103">
        <f t="shared" si="87"/>
        <v>0.12695462649481695</v>
      </c>
      <c r="D159" s="103">
        <f t="shared" si="87"/>
        <v>0.12237243744284965</v>
      </c>
      <c r="E159" s="103">
        <f t="shared" si="87"/>
        <v>0.12862635255966387</v>
      </c>
      <c r="F159" s="103">
        <f t="shared" si="87"/>
        <v>0.12249622884570095</v>
      </c>
      <c r="G159" s="103">
        <f t="shared" si="87"/>
        <v>0.1030003519444076</v>
      </c>
      <c r="H159" s="103">
        <f t="shared" si="87"/>
        <v>9.0934790263898918E-2</v>
      </c>
      <c r="I159" s="103">
        <f t="shared" si="87"/>
        <v>0.10175624933665789</v>
      </c>
      <c r="J159" s="103">
        <f t="shared" si="87"/>
        <v>9.8060951799754825E-2</v>
      </c>
      <c r="K159" s="103">
        <f t="shared" si="87"/>
        <v>8.6874676488516794E-2</v>
      </c>
      <c r="L159" s="103">
        <f t="shared" ref="L159" si="88">IF(L41=0,0,L41/L$17)</f>
        <v>8.2442672138701323E-2</v>
      </c>
      <c r="M159" s="103">
        <f t="shared" ref="M159:V159" si="89">IF(M41=0,0,M41/M$17)</f>
        <v>9.0944503047365538E-2</v>
      </c>
      <c r="N159" s="103">
        <f t="shared" si="89"/>
        <v>7.7185631700145335E-2</v>
      </c>
      <c r="O159" s="103">
        <f t="shared" si="89"/>
        <v>8.3653915503753229E-2</v>
      </c>
      <c r="P159" s="103">
        <f t="shared" si="89"/>
        <v>0.10469741083175538</v>
      </c>
      <c r="Q159" s="103">
        <f t="shared" si="89"/>
        <v>9.7991041294667458E-2</v>
      </c>
      <c r="R159" s="103">
        <f t="shared" si="89"/>
        <v>8.8422656986693784E-2</v>
      </c>
      <c r="S159" s="103">
        <f t="shared" si="89"/>
        <v>8.8196691262880725E-2</v>
      </c>
      <c r="T159" s="103">
        <f t="shared" si="89"/>
        <v>9.1173952198209784E-2</v>
      </c>
      <c r="U159" s="103">
        <f t="shared" si="89"/>
        <v>9.3237788488199233E-2</v>
      </c>
      <c r="V159" s="103">
        <f t="shared" si="89"/>
        <v>9.7296743305595748E-2</v>
      </c>
      <c r="W159" s="103">
        <f t="shared" ref="W159:Y159" si="90">IF(W41=0,0,W41/W$17)</f>
        <v>9.4805376602337177E-2</v>
      </c>
      <c r="X159" s="103">
        <f t="shared" si="90"/>
        <v>7.5956900320047233E-2</v>
      </c>
      <c r="Y159" s="103">
        <f t="shared" si="90"/>
        <v>8.3203726491829805E-2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7.8208334962848292E-2</v>
      </c>
      <c r="C160" s="105">
        <f t="shared" si="91"/>
        <v>0.12064960173066891</v>
      </c>
      <c r="D160" s="105">
        <f t="shared" si="91"/>
        <v>0.12033824193406137</v>
      </c>
      <c r="E160" s="105">
        <f t="shared" si="91"/>
        <v>6.565931132859143E-2</v>
      </c>
      <c r="F160" s="105">
        <f t="shared" si="91"/>
        <v>8.9803936336009929E-2</v>
      </c>
      <c r="G160" s="105">
        <f t="shared" si="91"/>
        <v>8.1142624514431536E-2</v>
      </c>
      <c r="H160" s="105">
        <f t="shared" si="91"/>
        <v>6.8438728425949599E-2</v>
      </c>
      <c r="I160" s="105">
        <f t="shared" si="91"/>
        <v>0.11788453010721779</v>
      </c>
      <c r="J160" s="105">
        <f t="shared" si="91"/>
        <v>0.13479145577023674</v>
      </c>
      <c r="K160" s="105">
        <f t="shared" si="91"/>
        <v>5.7142295953413504E-2</v>
      </c>
      <c r="L160" s="105">
        <f t="shared" ref="L160" si="92">IF(L42=0,0,L42/L$17)</f>
        <v>9.5292529845392382E-2</v>
      </c>
      <c r="M160" s="105">
        <f t="shared" ref="M160:V160" si="93">IF(M42=0,0,M42/M$17)</f>
        <v>0.12819833857814017</v>
      </c>
      <c r="N160" s="105">
        <f t="shared" si="93"/>
        <v>6.9400063590343439E-2</v>
      </c>
      <c r="O160" s="105">
        <f t="shared" si="93"/>
        <v>8.3824051149699291E-2</v>
      </c>
      <c r="P160" s="105">
        <f t="shared" si="93"/>
        <v>0.15451499100277258</v>
      </c>
      <c r="Q160" s="105">
        <f t="shared" si="93"/>
        <v>0.1661969202118736</v>
      </c>
      <c r="R160" s="105">
        <f t="shared" si="93"/>
        <v>0.14219746222259089</v>
      </c>
      <c r="S160" s="105">
        <f t="shared" si="93"/>
        <v>0.14156720946534801</v>
      </c>
      <c r="T160" s="105">
        <f t="shared" si="93"/>
        <v>0.14203536493432775</v>
      </c>
      <c r="U160" s="105">
        <f t="shared" si="93"/>
        <v>0.14314121432557664</v>
      </c>
      <c r="V160" s="105">
        <f t="shared" si="93"/>
        <v>0.15833217903021671</v>
      </c>
      <c r="W160" s="105">
        <f t="shared" ref="W160:Y160" si="94">IF(W42=0,0,W42/W$17)</f>
        <v>0.16848068209920455</v>
      </c>
      <c r="X160" s="105">
        <f t="shared" si="94"/>
        <v>0.17338231226858075</v>
      </c>
      <c r="Y160" s="105">
        <f t="shared" si="94"/>
        <v>0.16270584182553494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993875</v>
      </c>
      <c r="C3" s="54">
        <f>TrRoad_act!C57</f>
        <v>1016184</v>
      </c>
      <c r="D3" s="54">
        <f>TrRoad_act!D57</f>
        <v>1066931</v>
      </c>
      <c r="E3" s="54">
        <f>TrRoad_act!E57</f>
        <v>1153446</v>
      </c>
      <c r="F3" s="54">
        <f>TrRoad_act!F57</f>
        <v>1235831</v>
      </c>
      <c r="G3" s="54">
        <f>TrRoad_act!G57</f>
        <v>1306851</v>
      </c>
      <c r="H3" s="54">
        <f>TrRoad_act!H57</f>
        <v>1514997</v>
      </c>
      <c r="I3" s="54">
        <f>TrRoad_act!I57</f>
        <v>1604605</v>
      </c>
      <c r="J3" s="54">
        <f>TrRoad_act!J57</f>
        <v>1610738</v>
      </c>
      <c r="K3" s="54">
        <f>TrRoad_act!K57</f>
        <v>1546986</v>
      </c>
      <c r="L3" s="54">
        <f>TrRoad_act!L57</f>
        <v>1420380</v>
      </c>
      <c r="M3" s="54">
        <f>TrRoad_act!M57</f>
        <v>1332681</v>
      </c>
      <c r="N3" s="54">
        <f>TrRoad_act!N57</f>
        <v>1482028</v>
      </c>
      <c r="O3" s="54">
        <f>TrRoad_act!O57</f>
        <v>1502562</v>
      </c>
      <c r="P3" s="54">
        <f>TrRoad_act!P57</f>
        <v>1518211</v>
      </c>
      <c r="Q3" s="54">
        <f>TrRoad_act!Q57</f>
        <v>1589675</v>
      </c>
      <c r="R3" s="54">
        <f>TrRoad_act!R57</f>
        <v>1637540</v>
      </c>
      <c r="S3" s="54">
        <f>TrRoad_act!S57</f>
        <v>1691423</v>
      </c>
      <c r="T3" s="54">
        <f>TrRoad_act!T57</f>
        <v>1774548</v>
      </c>
      <c r="U3" s="54">
        <f>TrRoad_act!U57</f>
        <v>1857007</v>
      </c>
      <c r="V3" s="54">
        <f>TrRoad_act!V57</f>
        <v>1940142</v>
      </c>
      <c r="W3" s="54">
        <f>TrRoad_act!W57</f>
        <v>2012147</v>
      </c>
      <c r="X3" s="54">
        <f>TrRoad_act!X57</f>
        <v>2071944</v>
      </c>
      <c r="Y3" s="54">
        <f>TrRoad_act!Y57</f>
        <v>2167764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944779</v>
      </c>
      <c r="C4" s="28">
        <f>TrRoad_act!C58</f>
        <v>966362</v>
      </c>
      <c r="D4" s="28">
        <f>TrRoad_act!D58</f>
        <v>1014704</v>
      </c>
      <c r="E4" s="28">
        <f>TrRoad_act!E58</f>
        <v>1091532</v>
      </c>
      <c r="F4" s="28">
        <f>TrRoad_act!F58</f>
        <v>1171628</v>
      </c>
      <c r="G4" s="28">
        <f>TrRoad_act!G58</f>
        <v>1242214</v>
      </c>
      <c r="H4" s="28">
        <f>TrRoad_act!H58</f>
        <v>1440500</v>
      </c>
      <c r="I4" s="28">
        <f>TrRoad_act!I58</f>
        <v>1520200</v>
      </c>
      <c r="J4" s="28">
        <f>TrRoad_act!J58</f>
        <v>1527627</v>
      </c>
      <c r="K4" s="28">
        <f>TrRoad_act!K58</f>
        <v>1459571</v>
      </c>
      <c r="L4" s="28">
        <f>TrRoad_act!L58</f>
        <v>1339093</v>
      </c>
      <c r="M4" s="28">
        <f>TrRoad_act!M58</f>
        <v>1245450</v>
      </c>
      <c r="N4" s="28">
        <f>TrRoad_act!N58</f>
        <v>1386425</v>
      </c>
      <c r="O4" s="28">
        <f>TrRoad_act!O58</f>
        <v>1400612</v>
      </c>
      <c r="P4" s="28">
        <f>TrRoad_act!P58</f>
        <v>1413262</v>
      </c>
      <c r="Q4" s="28">
        <f>TrRoad_act!Q58</f>
        <v>1478537</v>
      </c>
      <c r="R4" s="28">
        <f>TrRoad_act!R58</f>
        <v>1523848</v>
      </c>
      <c r="S4" s="28">
        <f>TrRoad_act!S58</f>
        <v>1577395</v>
      </c>
      <c r="T4" s="28">
        <f>TrRoad_act!T58</f>
        <v>1653924</v>
      </c>
      <c r="U4" s="28">
        <f>TrRoad_act!U58</f>
        <v>1733669</v>
      </c>
      <c r="V4" s="28">
        <f>TrRoad_act!V58</f>
        <v>1811306</v>
      </c>
      <c r="W4" s="28">
        <f>TrRoad_act!W58</f>
        <v>1874330</v>
      </c>
      <c r="X4" s="28">
        <f>TrRoad_act!X58</f>
        <v>1941497</v>
      </c>
      <c r="Y4" s="28">
        <f>TrRoad_act!Y58</f>
        <v>2022526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19842</v>
      </c>
      <c r="C5" s="137">
        <f>TrRoad_act!C59</f>
        <v>20244</v>
      </c>
      <c r="D5" s="137">
        <f>TrRoad_act!D59</f>
        <v>21017</v>
      </c>
      <c r="E5" s="137">
        <f>TrRoad_act!E59</f>
        <v>21873</v>
      </c>
      <c r="F5" s="137">
        <f>TrRoad_act!F59</f>
        <v>22861</v>
      </c>
      <c r="G5" s="137">
        <f>TrRoad_act!G59</f>
        <v>24027</v>
      </c>
      <c r="H5" s="137">
        <f>TrRoad_act!H59</f>
        <v>25303</v>
      </c>
      <c r="I5" s="137">
        <f>TrRoad_act!I59</f>
        <v>29349</v>
      </c>
      <c r="J5" s="137">
        <f>TrRoad_act!J59</f>
        <v>34255</v>
      </c>
      <c r="K5" s="137">
        <f>TrRoad_act!K59</f>
        <v>37309</v>
      </c>
      <c r="L5" s="137">
        <f>TrRoad_act!L59</f>
        <v>37353</v>
      </c>
      <c r="M5" s="137">
        <f>TrRoad_act!M59</f>
        <v>37447</v>
      </c>
      <c r="N5" s="137">
        <f>TrRoad_act!N59</f>
        <v>37485</v>
      </c>
      <c r="O5" s="137">
        <f>TrRoad_act!O59</f>
        <v>37539</v>
      </c>
      <c r="P5" s="137">
        <f>TrRoad_act!P59</f>
        <v>37646</v>
      </c>
      <c r="Q5" s="137">
        <f>TrRoad_act!Q59</f>
        <v>37753</v>
      </c>
      <c r="R5" s="137">
        <f>TrRoad_act!R59</f>
        <v>39713</v>
      </c>
      <c r="S5" s="137">
        <f>TrRoad_act!S59</f>
        <v>42100</v>
      </c>
      <c r="T5" s="137">
        <f>TrRoad_act!T59</f>
        <v>45267</v>
      </c>
      <c r="U5" s="137">
        <f>TrRoad_act!U59</f>
        <v>53154</v>
      </c>
      <c r="V5" s="137">
        <f>TrRoad_act!V59</f>
        <v>60911</v>
      </c>
      <c r="W5" s="137">
        <f>TrRoad_act!W59</f>
        <v>69494</v>
      </c>
      <c r="X5" s="137">
        <f>TrRoad_act!X59</f>
        <v>78670</v>
      </c>
      <c r="Y5" s="137">
        <f>TrRoad_act!Y59</f>
        <v>87652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922394</v>
      </c>
      <c r="C6" s="110">
        <f>TrRoad_act!C60</f>
        <v>943477</v>
      </c>
      <c r="D6" s="110">
        <f>TrRoad_act!D60</f>
        <v>990945</v>
      </c>
      <c r="E6" s="110">
        <f>TrRoad_act!E60</f>
        <v>1066853</v>
      </c>
      <c r="F6" s="110">
        <f>TrRoad_act!F60</f>
        <v>1145914</v>
      </c>
      <c r="G6" s="110">
        <f>TrRoad_act!G60</f>
        <v>1215276</v>
      </c>
      <c r="H6" s="110">
        <f>TrRoad_act!H60</f>
        <v>1412238</v>
      </c>
      <c r="I6" s="110">
        <f>TrRoad_act!I60</f>
        <v>1487903</v>
      </c>
      <c r="J6" s="110">
        <f>TrRoad_act!J60</f>
        <v>1490460</v>
      </c>
      <c r="K6" s="110">
        <f>TrRoad_act!K60</f>
        <v>1419225</v>
      </c>
      <c r="L6" s="110">
        <f>TrRoad_act!L60</f>
        <v>1298712</v>
      </c>
      <c r="M6" s="110">
        <f>TrRoad_act!M60</f>
        <v>1204958</v>
      </c>
      <c r="N6" s="110">
        <f>TrRoad_act!N60</f>
        <v>1345933</v>
      </c>
      <c r="O6" s="110">
        <f>TrRoad_act!O60</f>
        <v>1359610</v>
      </c>
      <c r="P6" s="110">
        <f>TrRoad_act!P60</f>
        <v>1372218</v>
      </c>
      <c r="Q6" s="110">
        <f>TrRoad_act!Q60</f>
        <v>1437179</v>
      </c>
      <c r="R6" s="110">
        <f>TrRoad_act!R60</f>
        <v>1480828</v>
      </c>
      <c r="S6" s="110">
        <f>TrRoad_act!S60</f>
        <v>1532058</v>
      </c>
      <c r="T6" s="110">
        <f>TrRoad_act!T60</f>
        <v>1605329</v>
      </c>
      <c r="U6" s="110">
        <f>TrRoad_act!U60</f>
        <v>1676792</v>
      </c>
      <c r="V6" s="110">
        <f>TrRoad_act!V60</f>
        <v>1746660</v>
      </c>
      <c r="W6" s="110">
        <f>TrRoad_act!W60</f>
        <v>1801180</v>
      </c>
      <c r="X6" s="110">
        <f>TrRoad_act!X60</f>
        <v>1859298</v>
      </c>
      <c r="Y6" s="110">
        <f>TrRoad_act!Y60</f>
        <v>1931410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531462</v>
      </c>
      <c r="C7" s="84">
        <f>TrRoad_act!C61</f>
        <v>533888</v>
      </c>
      <c r="D7" s="84">
        <f>TrRoad_act!D61</f>
        <v>518112</v>
      </c>
      <c r="E7" s="84">
        <f>TrRoad_act!E61</f>
        <v>525520</v>
      </c>
      <c r="F7" s="84">
        <f>TrRoad_act!F61</f>
        <v>508676</v>
      </c>
      <c r="G7" s="84">
        <f>TrRoad_act!G61</f>
        <v>502545</v>
      </c>
      <c r="H7" s="84">
        <f>TrRoad_act!H61</f>
        <v>547488</v>
      </c>
      <c r="I7" s="84">
        <f>TrRoad_act!I61</f>
        <v>582096</v>
      </c>
      <c r="J7" s="84">
        <f>TrRoad_act!J61</f>
        <v>580392</v>
      </c>
      <c r="K7" s="84">
        <f>TrRoad_act!K61</f>
        <v>530711</v>
      </c>
      <c r="L7" s="84">
        <f>TrRoad_act!L61</f>
        <v>437251</v>
      </c>
      <c r="M7" s="84">
        <f>TrRoad_act!M61</f>
        <v>387618</v>
      </c>
      <c r="N7" s="84">
        <f>TrRoad_act!N61</f>
        <v>370100</v>
      </c>
      <c r="O7" s="84">
        <f>TrRoad_act!O61</f>
        <v>347712</v>
      </c>
      <c r="P7" s="84">
        <f>TrRoad_act!P61</f>
        <v>339187</v>
      </c>
      <c r="Q7" s="84">
        <f>TrRoad_act!Q61</f>
        <v>330969</v>
      </c>
      <c r="R7" s="84">
        <f>TrRoad_act!R61</f>
        <v>327250</v>
      </c>
      <c r="S7" s="84">
        <f>TrRoad_act!S61</f>
        <v>333387</v>
      </c>
      <c r="T7" s="84">
        <f>TrRoad_act!T61</f>
        <v>350879</v>
      </c>
      <c r="U7" s="84">
        <f>TrRoad_act!U61</f>
        <v>372807</v>
      </c>
      <c r="V7" s="84">
        <f>TrRoad_act!V61</f>
        <v>392702</v>
      </c>
      <c r="W7" s="84">
        <f>TrRoad_act!W61</f>
        <v>406500</v>
      </c>
      <c r="X7" s="84">
        <f>TrRoad_act!X61</f>
        <v>429199</v>
      </c>
      <c r="Y7" s="84">
        <f>TrRoad_act!Y61</f>
        <v>453483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215587</v>
      </c>
      <c r="C8" s="84">
        <f>TrRoad_act!C62</f>
        <v>224980</v>
      </c>
      <c r="D8" s="84">
        <f>TrRoad_act!D62</f>
        <v>253164</v>
      </c>
      <c r="E8" s="84">
        <f>TrRoad_act!E62</f>
        <v>289627</v>
      </c>
      <c r="F8" s="84">
        <f>TrRoad_act!F62</f>
        <v>335899</v>
      </c>
      <c r="G8" s="84">
        <f>TrRoad_act!G62</f>
        <v>458861</v>
      </c>
      <c r="H8" s="84">
        <f>TrRoad_act!H62</f>
        <v>563454</v>
      </c>
      <c r="I8" s="84">
        <f>TrRoad_act!I62</f>
        <v>577715</v>
      </c>
      <c r="J8" s="84">
        <f>TrRoad_act!J62</f>
        <v>598528</v>
      </c>
      <c r="K8" s="84">
        <f>TrRoad_act!K62</f>
        <v>598004</v>
      </c>
      <c r="L8" s="84">
        <f>TrRoad_act!L62</f>
        <v>598151</v>
      </c>
      <c r="M8" s="84">
        <f>TrRoad_act!M62</f>
        <v>582503</v>
      </c>
      <c r="N8" s="84">
        <f>TrRoad_act!N62</f>
        <v>754681</v>
      </c>
      <c r="O8" s="84">
        <f>TrRoad_act!O62</f>
        <v>788753</v>
      </c>
      <c r="P8" s="84">
        <f>TrRoad_act!P62</f>
        <v>822607</v>
      </c>
      <c r="Q8" s="84">
        <f>TrRoad_act!Q62</f>
        <v>908060</v>
      </c>
      <c r="R8" s="84">
        <f>TrRoad_act!R62</f>
        <v>971792</v>
      </c>
      <c r="S8" s="84">
        <f>TrRoad_act!S62</f>
        <v>1031728</v>
      </c>
      <c r="T8" s="84">
        <f>TrRoad_act!T62</f>
        <v>1092561</v>
      </c>
      <c r="U8" s="84">
        <f>TrRoad_act!U62</f>
        <v>1140757</v>
      </c>
      <c r="V8" s="84">
        <f>TrRoad_act!V62</f>
        <v>1184629</v>
      </c>
      <c r="W8" s="84">
        <f>TrRoad_act!W62</f>
        <v>1216879</v>
      </c>
      <c r="X8" s="84">
        <f>TrRoad_act!X62</f>
        <v>1233441</v>
      </c>
      <c r="Y8" s="84">
        <f>TrRoad_act!Y62</f>
        <v>1257601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175345</v>
      </c>
      <c r="C9" s="84">
        <f>TrRoad_act!C63</f>
        <v>184609</v>
      </c>
      <c r="D9" s="84">
        <f>TrRoad_act!D63</f>
        <v>219669</v>
      </c>
      <c r="E9" s="84">
        <f>TrRoad_act!E63</f>
        <v>251706</v>
      </c>
      <c r="F9" s="84">
        <f>TrRoad_act!F63</f>
        <v>301339</v>
      </c>
      <c r="G9" s="84">
        <f>TrRoad_act!G63</f>
        <v>253870</v>
      </c>
      <c r="H9" s="84">
        <f>TrRoad_act!H63</f>
        <v>301296</v>
      </c>
      <c r="I9" s="84">
        <f>TrRoad_act!I63</f>
        <v>328092</v>
      </c>
      <c r="J9" s="84">
        <f>TrRoad_act!J63</f>
        <v>311540</v>
      </c>
      <c r="K9" s="84">
        <f>TrRoad_act!K63</f>
        <v>290510</v>
      </c>
      <c r="L9" s="84">
        <f>TrRoad_act!L63</f>
        <v>263310</v>
      </c>
      <c r="M9" s="84">
        <f>TrRoad_act!M63</f>
        <v>234835</v>
      </c>
      <c r="N9" s="84">
        <f>TrRoad_act!N63</f>
        <v>221149</v>
      </c>
      <c r="O9" s="84">
        <f>TrRoad_act!O63</f>
        <v>222005</v>
      </c>
      <c r="P9" s="84">
        <f>TrRoad_act!P63</f>
        <v>207406</v>
      </c>
      <c r="Q9" s="84">
        <f>TrRoad_act!Q63</f>
        <v>194043</v>
      </c>
      <c r="R9" s="84">
        <f>TrRoad_act!R63</f>
        <v>175744</v>
      </c>
      <c r="S9" s="84">
        <f>TrRoad_act!S63</f>
        <v>157579</v>
      </c>
      <c r="T9" s="84">
        <f>TrRoad_act!T63</f>
        <v>146545</v>
      </c>
      <c r="U9" s="84">
        <f>TrRoad_act!U63</f>
        <v>140332</v>
      </c>
      <c r="V9" s="84">
        <f>TrRoad_act!V63</f>
        <v>133651</v>
      </c>
      <c r="W9" s="84">
        <f>TrRoad_act!W63</f>
        <v>122985</v>
      </c>
      <c r="X9" s="84">
        <f>TrRoad_act!X63</f>
        <v>124292</v>
      </c>
      <c r="Y9" s="84">
        <f>TrRoad_act!Y63</f>
        <v>127505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1</v>
      </c>
      <c r="O10" s="84">
        <f>TrRoad_act!O64</f>
        <v>5</v>
      </c>
      <c r="P10" s="84">
        <f>TrRoad_act!P64</f>
        <v>28</v>
      </c>
      <c r="Q10" s="84">
        <f>TrRoad_act!Q64</f>
        <v>38</v>
      </c>
      <c r="R10" s="84">
        <f>TrRoad_act!R64</f>
        <v>50</v>
      </c>
      <c r="S10" s="84">
        <f>TrRoad_act!S64</f>
        <v>75</v>
      </c>
      <c r="T10" s="84">
        <f>TrRoad_act!T64</f>
        <v>100</v>
      </c>
      <c r="U10" s="84">
        <f>TrRoad_act!U64</f>
        <v>100</v>
      </c>
      <c r="V10" s="84">
        <f>TrRoad_act!V64</f>
        <v>181</v>
      </c>
      <c r="W10" s="84">
        <f>TrRoad_act!W64</f>
        <v>257</v>
      </c>
      <c r="X10" s="84">
        <f>TrRoad_act!X64</f>
        <v>919</v>
      </c>
      <c r="Y10" s="84">
        <f>TrRoad_act!Y64</f>
        <v>829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0</v>
      </c>
      <c r="O11" s="84">
        <f>TrRoad_act!O65</f>
        <v>1129</v>
      </c>
      <c r="P11" s="84">
        <f>TrRoad_act!P65</f>
        <v>2927</v>
      </c>
      <c r="Q11" s="84">
        <f>TrRoad_act!Q65</f>
        <v>3915</v>
      </c>
      <c r="R11" s="84">
        <f>TrRoad_act!R65</f>
        <v>5662</v>
      </c>
      <c r="S11" s="84">
        <f>TrRoad_act!S65</f>
        <v>8677</v>
      </c>
      <c r="T11" s="84">
        <f>TrRoad_act!T65</f>
        <v>14303</v>
      </c>
      <c r="U11" s="84">
        <f>TrRoad_act!U65</f>
        <v>21436</v>
      </c>
      <c r="V11" s="84">
        <f>TrRoad_act!V65</f>
        <v>33001</v>
      </c>
      <c r="W11" s="84">
        <f>TrRoad_act!W65</f>
        <v>49718</v>
      </c>
      <c r="X11" s="84">
        <f>TrRoad_act!X65</f>
        <v>64101</v>
      </c>
      <c r="Y11" s="84">
        <f>TrRoad_act!Y65</f>
        <v>80505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2</v>
      </c>
      <c r="N12" s="84">
        <f>TrRoad_act!N66</f>
        <v>2</v>
      </c>
      <c r="O12" s="84">
        <f>TrRoad_act!O66</f>
        <v>6</v>
      </c>
      <c r="P12" s="84">
        <f>TrRoad_act!P66</f>
        <v>63</v>
      </c>
      <c r="Q12" s="84">
        <f>TrRoad_act!Q66</f>
        <v>154</v>
      </c>
      <c r="R12" s="84">
        <f>TrRoad_act!R66</f>
        <v>330</v>
      </c>
      <c r="S12" s="84">
        <f>TrRoad_act!S66</f>
        <v>612</v>
      </c>
      <c r="T12" s="84">
        <f>TrRoad_act!T66</f>
        <v>941</v>
      </c>
      <c r="U12" s="84">
        <f>TrRoad_act!U66</f>
        <v>1360</v>
      </c>
      <c r="V12" s="84">
        <f>TrRoad_act!V66</f>
        <v>2496</v>
      </c>
      <c r="W12" s="84">
        <f>TrRoad_act!W66</f>
        <v>4841</v>
      </c>
      <c r="X12" s="84">
        <f>TrRoad_act!X66</f>
        <v>7346</v>
      </c>
      <c r="Y12" s="84">
        <f>TrRoad_act!Y66</f>
        <v>11487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2543</v>
      </c>
      <c r="C13" s="110">
        <f>TrRoad_act!C67</f>
        <v>2641</v>
      </c>
      <c r="D13" s="110">
        <f>TrRoad_act!D67</f>
        <v>2742</v>
      </c>
      <c r="E13" s="110">
        <f>TrRoad_act!E67</f>
        <v>2806</v>
      </c>
      <c r="F13" s="110">
        <f>TrRoad_act!F67</f>
        <v>2853</v>
      </c>
      <c r="G13" s="110">
        <f>TrRoad_act!G67</f>
        <v>2911</v>
      </c>
      <c r="H13" s="110">
        <f>TrRoad_act!H67</f>
        <v>2959</v>
      </c>
      <c r="I13" s="110">
        <f>TrRoad_act!I67</f>
        <v>2948</v>
      </c>
      <c r="J13" s="110">
        <f>TrRoad_act!J67</f>
        <v>2912</v>
      </c>
      <c r="K13" s="110">
        <f>TrRoad_act!K67</f>
        <v>3037</v>
      </c>
      <c r="L13" s="110">
        <f>TrRoad_act!L67</f>
        <v>3028</v>
      </c>
      <c r="M13" s="110">
        <f>TrRoad_act!M67</f>
        <v>3045</v>
      </c>
      <c r="N13" s="110">
        <f>TrRoad_act!N67</f>
        <v>3007</v>
      </c>
      <c r="O13" s="110">
        <f>TrRoad_act!O67</f>
        <v>3463</v>
      </c>
      <c r="P13" s="110">
        <f>TrRoad_act!P67</f>
        <v>3398</v>
      </c>
      <c r="Q13" s="110">
        <f>TrRoad_act!Q67</f>
        <v>3605</v>
      </c>
      <c r="R13" s="110">
        <f>TrRoad_act!R67</f>
        <v>3307</v>
      </c>
      <c r="S13" s="110">
        <f>TrRoad_act!S67</f>
        <v>3237</v>
      </c>
      <c r="T13" s="110">
        <f>TrRoad_act!T67</f>
        <v>3328</v>
      </c>
      <c r="U13" s="110">
        <f>TrRoad_act!U67</f>
        <v>3723</v>
      </c>
      <c r="V13" s="110">
        <f>TrRoad_act!V67</f>
        <v>3735</v>
      </c>
      <c r="W13" s="110">
        <f>TrRoad_act!W67</f>
        <v>3656</v>
      </c>
      <c r="X13" s="110">
        <f>TrRoad_act!X67</f>
        <v>3529</v>
      </c>
      <c r="Y13" s="110">
        <f>TrRoad_act!Y67</f>
        <v>3464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17</v>
      </c>
      <c r="E14" s="102">
        <f>TrRoad_act!E68</f>
        <v>26</v>
      </c>
      <c r="F14" s="102">
        <f>TrRoad_act!F68</f>
        <v>24</v>
      </c>
      <c r="G14" s="102">
        <f>TrRoad_act!G68</f>
        <v>25</v>
      </c>
      <c r="H14" s="102">
        <f>TrRoad_act!H68</f>
        <v>27</v>
      </c>
      <c r="I14" s="102">
        <f>TrRoad_act!I68</f>
        <v>24</v>
      </c>
      <c r="J14" s="102">
        <f>TrRoad_act!J68</f>
        <v>17</v>
      </c>
      <c r="K14" s="102">
        <f>TrRoad_act!K68</f>
        <v>16</v>
      </c>
      <c r="L14" s="102">
        <f>TrRoad_act!L68</f>
        <v>16</v>
      </c>
      <c r="M14" s="102">
        <f>TrRoad_act!M68</f>
        <v>11</v>
      </c>
      <c r="N14" s="102">
        <f>TrRoad_act!N68</f>
        <v>10</v>
      </c>
      <c r="O14" s="102">
        <f>TrRoad_act!O68</f>
        <v>171</v>
      </c>
      <c r="P14" s="102">
        <f>TrRoad_act!P68</f>
        <v>97</v>
      </c>
      <c r="Q14" s="102">
        <f>TrRoad_act!Q68</f>
        <v>86</v>
      </c>
      <c r="R14" s="102">
        <f>TrRoad_act!R68</f>
        <v>84</v>
      </c>
      <c r="S14" s="102">
        <f>TrRoad_act!S68</f>
        <v>81</v>
      </c>
      <c r="T14" s="102">
        <f>TrRoad_act!T68</f>
        <v>78</v>
      </c>
      <c r="U14" s="102">
        <f>TrRoad_act!U68</f>
        <v>73</v>
      </c>
      <c r="V14" s="102">
        <f>TrRoad_act!V68</f>
        <v>68</v>
      </c>
      <c r="W14" s="102">
        <f>TrRoad_act!W68</f>
        <v>63</v>
      </c>
      <c r="X14" s="102">
        <f>TrRoad_act!X68</f>
        <v>57</v>
      </c>
      <c r="Y14" s="102">
        <f>TrRoad_act!Y68</f>
        <v>52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2543</v>
      </c>
      <c r="C15" s="102">
        <f>TrRoad_act!C69</f>
        <v>2641</v>
      </c>
      <c r="D15" s="102">
        <f>TrRoad_act!D69</f>
        <v>2723</v>
      </c>
      <c r="E15" s="102">
        <f>TrRoad_act!E69</f>
        <v>2778</v>
      </c>
      <c r="F15" s="102">
        <f>TrRoad_act!F69</f>
        <v>2812</v>
      </c>
      <c r="G15" s="102">
        <f>TrRoad_act!G69</f>
        <v>2832</v>
      </c>
      <c r="H15" s="102">
        <f>TrRoad_act!H69</f>
        <v>2841</v>
      </c>
      <c r="I15" s="102">
        <f>TrRoad_act!I69</f>
        <v>2806</v>
      </c>
      <c r="J15" s="102">
        <f>TrRoad_act!J69</f>
        <v>2774</v>
      </c>
      <c r="K15" s="102">
        <f>TrRoad_act!K69</f>
        <v>2818</v>
      </c>
      <c r="L15" s="102">
        <f>TrRoad_act!L69</f>
        <v>2763</v>
      </c>
      <c r="M15" s="102">
        <f>TrRoad_act!M69</f>
        <v>2743</v>
      </c>
      <c r="N15" s="102">
        <f>TrRoad_act!N69</f>
        <v>2716</v>
      </c>
      <c r="O15" s="102">
        <f>TrRoad_act!O69</f>
        <v>2535</v>
      </c>
      <c r="P15" s="102">
        <f>TrRoad_act!P69</f>
        <v>2422</v>
      </c>
      <c r="Q15" s="102">
        <f>TrRoad_act!Q69</f>
        <v>2375</v>
      </c>
      <c r="R15" s="102">
        <f>TrRoad_act!R69</f>
        <v>2101</v>
      </c>
      <c r="S15" s="102">
        <f>TrRoad_act!S69</f>
        <v>2041</v>
      </c>
      <c r="T15" s="102">
        <f>TrRoad_act!T69</f>
        <v>2129</v>
      </c>
      <c r="U15" s="102">
        <f>TrRoad_act!U69</f>
        <v>2448</v>
      </c>
      <c r="V15" s="102">
        <f>TrRoad_act!V69</f>
        <v>2311</v>
      </c>
      <c r="W15" s="102">
        <f>TrRoad_act!W69</f>
        <v>2147</v>
      </c>
      <c r="X15" s="102">
        <f>TrRoad_act!X69</f>
        <v>2021</v>
      </c>
      <c r="Y15" s="102">
        <f>TrRoad_act!Y69</f>
        <v>1950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2</v>
      </c>
      <c r="E16" s="102">
        <f>TrRoad_act!E70</f>
        <v>2</v>
      </c>
      <c r="F16" s="102">
        <f>TrRoad_act!F70</f>
        <v>2</v>
      </c>
      <c r="G16" s="102">
        <f>TrRoad_act!G70</f>
        <v>2</v>
      </c>
      <c r="H16" s="102">
        <f>TrRoad_act!H70</f>
        <v>2</v>
      </c>
      <c r="I16" s="102">
        <f>TrRoad_act!I70</f>
        <v>2</v>
      </c>
      <c r="J16" s="102">
        <f>TrRoad_act!J70</f>
        <v>2</v>
      </c>
      <c r="K16" s="102">
        <f>TrRoad_act!K70</f>
        <v>2</v>
      </c>
      <c r="L16" s="102">
        <f>TrRoad_act!L70</f>
        <v>2</v>
      </c>
      <c r="M16" s="102">
        <f>TrRoad_act!M70</f>
        <v>7</v>
      </c>
      <c r="N16" s="102">
        <f>TrRoad_act!N70</f>
        <v>7</v>
      </c>
      <c r="O16" s="102">
        <f>TrRoad_act!O70</f>
        <v>37</v>
      </c>
      <c r="P16" s="102">
        <f>TrRoad_act!P70</f>
        <v>139</v>
      </c>
      <c r="Q16" s="102">
        <f>TrRoad_act!Q70</f>
        <v>139</v>
      </c>
      <c r="R16" s="102">
        <f>TrRoad_act!R70</f>
        <v>137</v>
      </c>
      <c r="S16" s="102">
        <f>TrRoad_act!S70</f>
        <v>136</v>
      </c>
      <c r="T16" s="102">
        <f>TrRoad_act!T70</f>
        <v>137</v>
      </c>
      <c r="U16" s="102">
        <f>TrRoad_act!U70</f>
        <v>162</v>
      </c>
      <c r="V16" s="102">
        <f>TrRoad_act!V70</f>
        <v>155</v>
      </c>
      <c r="W16" s="102">
        <f>TrRoad_act!W70</f>
        <v>148</v>
      </c>
      <c r="X16" s="102">
        <f>TrRoad_act!X70</f>
        <v>139</v>
      </c>
      <c r="Y16" s="102">
        <f>TrRoad_act!Y70</f>
        <v>132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80</v>
      </c>
      <c r="L17" s="102">
        <f>TrRoad_act!L71</f>
        <v>130</v>
      </c>
      <c r="M17" s="102">
        <f>TrRoad_act!M71</f>
        <v>169</v>
      </c>
      <c r="N17" s="102">
        <f>TrRoad_act!N71</f>
        <v>165</v>
      </c>
      <c r="O17" s="102">
        <f>TrRoad_act!O71</f>
        <v>262</v>
      </c>
      <c r="P17" s="102">
        <f>TrRoad_act!P71</f>
        <v>304</v>
      </c>
      <c r="Q17" s="102">
        <f>TrRoad_act!Q71</f>
        <v>574</v>
      </c>
      <c r="R17" s="102">
        <f>TrRoad_act!R71</f>
        <v>577</v>
      </c>
      <c r="S17" s="102">
        <f>TrRoad_act!S71</f>
        <v>555</v>
      </c>
      <c r="T17" s="102">
        <f>TrRoad_act!T71</f>
        <v>546</v>
      </c>
      <c r="U17" s="102">
        <f>TrRoad_act!U71</f>
        <v>522</v>
      </c>
      <c r="V17" s="102">
        <f>TrRoad_act!V71</f>
        <v>757</v>
      </c>
      <c r="W17" s="102">
        <f>TrRoad_act!W71</f>
        <v>868</v>
      </c>
      <c r="X17" s="102">
        <f>TrRoad_act!X71</f>
        <v>842</v>
      </c>
      <c r="Y17" s="102">
        <f>TrRoad_act!Y71</f>
        <v>802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15</v>
      </c>
      <c r="G18" s="102">
        <f>TrRoad_act!G72</f>
        <v>52</v>
      </c>
      <c r="H18" s="102">
        <f>TrRoad_act!H72</f>
        <v>89</v>
      </c>
      <c r="I18" s="102">
        <f>TrRoad_act!I72</f>
        <v>116</v>
      </c>
      <c r="J18" s="102">
        <f>TrRoad_act!J72</f>
        <v>119</v>
      </c>
      <c r="K18" s="102">
        <f>TrRoad_act!K72</f>
        <v>121</v>
      </c>
      <c r="L18" s="102">
        <f>TrRoad_act!L72</f>
        <v>117</v>
      </c>
      <c r="M18" s="102">
        <f>TrRoad_act!M72</f>
        <v>115</v>
      </c>
      <c r="N18" s="102">
        <f>TrRoad_act!N72</f>
        <v>109</v>
      </c>
      <c r="O18" s="102">
        <f>TrRoad_act!O72</f>
        <v>458</v>
      </c>
      <c r="P18" s="102">
        <f>TrRoad_act!P72</f>
        <v>436</v>
      </c>
      <c r="Q18" s="102">
        <f>TrRoad_act!Q72</f>
        <v>431</v>
      </c>
      <c r="R18" s="102">
        <f>TrRoad_act!R72</f>
        <v>408</v>
      </c>
      <c r="S18" s="102">
        <f>TrRoad_act!S72</f>
        <v>424</v>
      </c>
      <c r="T18" s="102">
        <f>TrRoad_act!T72</f>
        <v>438</v>
      </c>
      <c r="U18" s="102">
        <f>TrRoad_act!U72</f>
        <v>518</v>
      </c>
      <c r="V18" s="102">
        <f>TrRoad_act!V72</f>
        <v>444</v>
      </c>
      <c r="W18" s="102">
        <f>TrRoad_act!W72</f>
        <v>430</v>
      </c>
      <c r="X18" s="102">
        <f>TrRoad_act!X72</f>
        <v>470</v>
      </c>
      <c r="Y18" s="102">
        <f>TrRoad_act!Y72</f>
        <v>528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49096</v>
      </c>
      <c r="C19" s="28">
        <f>TrRoad_act!C73</f>
        <v>49822</v>
      </c>
      <c r="D19" s="28">
        <f>TrRoad_act!D73</f>
        <v>52227</v>
      </c>
      <c r="E19" s="28">
        <f>TrRoad_act!E73</f>
        <v>61914</v>
      </c>
      <c r="F19" s="28">
        <f>TrRoad_act!F73</f>
        <v>64203</v>
      </c>
      <c r="G19" s="28">
        <f>TrRoad_act!G73</f>
        <v>64637</v>
      </c>
      <c r="H19" s="28">
        <f>TrRoad_act!H73</f>
        <v>74497</v>
      </c>
      <c r="I19" s="28">
        <f>TrRoad_act!I73</f>
        <v>84405</v>
      </c>
      <c r="J19" s="28">
        <f>TrRoad_act!J73</f>
        <v>83111</v>
      </c>
      <c r="K19" s="28">
        <f>TrRoad_act!K73</f>
        <v>87415</v>
      </c>
      <c r="L19" s="28">
        <f>TrRoad_act!L73</f>
        <v>81287</v>
      </c>
      <c r="M19" s="28">
        <f>TrRoad_act!M73</f>
        <v>87231</v>
      </c>
      <c r="N19" s="28">
        <f>TrRoad_act!N73</f>
        <v>95603</v>
      </c>
      <c r="O19" s="28">
        <f>TrRoad_act!O73</f>
        <v>101950</v>
      </c>
      <c r="P19" s="28">
        <f>TrRoad_act!P73</f>
        <v>104949</v>
      </c>
      <c r="Q19" s="28">
        <f>TrRoad_act!Q73</f>
        <v>111138</v>
      </c>
      <c r="R19" s="28">
        <f>TrRoad_act!R73</f>
        <v>113692</v>
      </c>
      <c r="S19" s="28">
        <f>TrRoad_act!S73</f>
        <v>114028</v>
      </c>
      <c r="T19" s="28">
        <f>TrRoad_act!T73</f>
        <v>120624</v>
      </c>
      <c r="U19" s="28">
        <f>TrRoad_act!U73</f>
        <v>123338</v>
      </c>
      <c r="V19" s="28">
        <f>TrRoad_act!V73</f>
        <v>128836</v>
      </c>
      <c r="W19" s="28">
        <f>TrRoad_act!W73</f>
        <v>137817</v>
      </c>
      <c r="X19" s="28">
        <f>TrRoad_act!X73</f>
        <v>130447</v>
      </c>
      <c r="Y19" s="28">
        <f>TrRoad_act!Y73</f>
        <v>145238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21671</v>
      </c>
      <c r="C20" s="137">
        <f>TrRoad_act!C74</f>
        <v>22428</v>
      </c>
      <c r="D20" s="137">
        <f>TrRoad_act!D74</f>
        <v>24449</v>
      </c>
      <c r="E20" s="137">
        <f>TrRoad_act!E74</f>
        <v>26408</v>
      </c>
      <c r="F20" s="137">
        <f>TrRoad_act!F74</f>
        <v>28292</v>
      </c>
      <c r="G20" s="137">
        <f>TrRoad_act!G74</f>
        <v>31381</v>
      </c>
      <c r="H20" s="137">
        <f>TrRoad_act!H74</f>
        <v>39502</v>
      </c>
      <c r="I20" s="137">
        <f>TrRoad_act!I74</f>
        <v>45443</v>
      </c>
      <c r="J20" s="137">
        <f>TrRoad_act!J74</f>
        <v>48328</v>
      </c>
      <c r="K20" s="137">
        <f>TrRoad_act!K74</f>
        <v>53816</v>
      </c>
      <c r="L20" s="137">
        <f>TrRoad_act!L74</f>
        <v>49686</v>
      </c>
      <c r="M20" s="137">
        <f>TrRoad_act!M74</f>
        <v>55095</v>
      </c>
      <c r="N20" s="137">
        <f>TrRoad_act!N74</f>
        <v>61246</v>
      </c>
      <c r="O20" s="137">
        <f>TrRoad_act!O74</f>
        <v>65347</v>
      </c>
      <c r="P20" s="137">
        <f>TrRoad_act!P74</f>
        <v>69372</v>
      </c>
      <c r="Q20" s="137">
        <f>TrRoad_act!Q74</f>
        <v>73543</v>
      </c>
      <c r="R20" s="137">
        <f>TrRoad_act!R74</f>
        <v>75329</v>
      </c>
      <c r="S20" s="137">
        <f>TrRoad_act!S74</f>
        <v>77037</v>
      </c>
      <c r="T20" s="137">
        <f>TrRoad_act!T74</f>
        <v>80145</v>
      </c>
      <c r="U20" s="137">
        <f>TrRoad_act!U74</f>
        <v>84277</v>
      </c>
      <c r="V20" s="137">
        <f>TrRoad_act!V74</f>
        <v>88081</v>
      </c>
      <c r="W20" s="137">
        <f>TrRoad_act!W74</f>
        <v>92143</v>
      </c>
      <c r="X20" s="137">
        <f>TrRoad_act!X74</f>
        <v>88530</v>
      </c>
      <c r="Y20" s="137">
        <f>TrRoad_act!Y74</f>
        <v>90281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3273</v>
      </c>
      <c r="C21" s="84">
        <f>TrRoad_act!C75</f>
        <v>3273</v>
      </c>
      <c r="D21" s="84">
        <f>TrRoad_act!D75</f>
        <v>3273</v>
      </c>
      <c r="E21" s="84">
        <f>TrRoad_act!E75</f>
        <v>3274</v>
      </c>
      <c r="F21" s="84">
        <f>TrRoad_act!F75</f>
        <v>3282</v>
      </c>
      <c r="G21" s="84">
        <f>TrRoad_act!G75</f>
        <v>3358</v>
      </c>
      <c r="H21" s="84">
        <f>TrRoad_act!H75</f>
        <v>4227</v>
      </c>
      <c r="I21" s="84">
        <f>TrRoad_act!I75</f>
        <v>4862</v>
      </c>
      <c r="J21" s="84">
        <f>TrRoad_act!J75</f>
        <v>4499</v>
      </c>
      <c r="K21" s="84">
        <f>TrRoad_act!K75</f>
        <v>4090</v>
      </c>
      <c r="L21" s="84">
        <f>TrRoad_act!L75</f>
        <v>3651</v>
      </c>
      <c r="M21" s="84">
        <f>TrRoad_act!M75</f>
        <v>3178</v>
      </c>
      <c r="N21" s="84">
        <f>TrRoad_act!N75</f>
        <v>2711</v>
      </c>
      <c r="O21" s="84">
        <f>TrRoad_act!O75</f>
        <v>2421</v>
      </c>
      <c r="P21" s="84">
        <f>TrRoad_act!P75</f>
        <v>2131</v>
      </c>
      <c r="Q21" s="84">
        <f>TrRoad_act!Q75</f>
        <v>1840</v>
      </c>
      <c r="R21" s="84">
        <f>TrRoad_act!R75</f>
        <v>1678</v>
      </c>
      <c r="S21" s="84">
        <f>TrRoad_act!S75</f>
        <v>1537</v>
      </c>
      <c r="T21" s="84">
        <f>TrRoad_act!T75</f>
        <v>1442</v>
      </c>
      <c r="U21" s="84">
        <f>TrRoad_act!U75</f>
        <v>1916</v>
      </c>
      <c r="V21" s="84">
        <f>TrRoad_act!V75</f>
        <v>1740</v>
      </c>
      <c r="W21" s="84">
        <f>TrRoad_act!W75</f>
        <v>1616</v>
      </c>
      <c r="X21" s="84">
        <f>TrRoad_act!X75</f>
        <v>1353</v>
      </c>
      <c r="Y21" s="84">
        <f>TrRoad_act!Y75</f>
        <v>1161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18398</v>
      </c>
      <c r="C22" s="84">
        <f>TrRoad_act!C76</f>
        <v>19155</v>
      </c>
      <c r="D22" s="84">
        <f>TrRoad_act!D76</f>
        <v>21176</v>
      </c>
      <c r="E22" s="84">
        <f>TrRoad_act!E76</f>
        <v>23134</v>
      </c>
      <c r="F22" s="84">
        <f>TrRoad_act!F76</f>
        <v>25010</v>
      </c>
      <c r="G22" s="84">
        <f>TrRoad_act!G76</f>
        <v>28023</v>
      </c>
      <c r="H22" s="84">
        <f>TrRoad_act!H76</f>
        <v>35275</v>
      </c>
      <c r="I22" s="84">
        <f>TrRoad_act!I76</f>
        <v>40581</v>
      </c>
      <c r="J22" s="84">
        <f>TrRoad_act!J76</f>
        <v>43829</v>
      </c>
      <c r="K22" s="84">
        <f>TrRoad_act!K76</f>
        <v>49726</v>
      </c>
      <c r="L22" s="84">
        <f>TrRoad_act!L76</f>
        <v>46035</v>
      </c>
      <c r="M22" s="84">
        <f>TrRoad_act!M76</f>
        <v>51917</v>
      </c>
      <c r="N22" s="84">
        <f>TrRoad_act!N76</f>
        <v>58535</v>
      </c>
      <c r="O22" s="84">
        <f>TrRoad_act!O76</f>
        <v>62926</v>
      </c>
      <c r="P22" s="84">
        <f>TrRoad_act!P76</f>
        <v>67241</v>
      </c>
      <c r="Q22" s="84">
        <f>TrRoad_act!Q76</f>
        <v>71703</v>
      </c>
      <c r="R22" s="84">
        <f>TrRoad_act!R76</f>
        <v>73651</v>
      </c>
      <c r="S22" s="84">
        <f>TrRoad_act!S76</f>
        <v>75500</v>
      </c>
      <c r="T22" s="84">
        <f>TrRoad_act!T76</f>
        <v>78703</v>
      </c>
      <c r="U22" s="84">
        <f>TrRoad_act!U76</f>
        <v>82361</v>
      </c>
      <c r="V22" s="84">
        <f>TrRoad_act!V76</f>
        <v>86341</v>
      </c>
      <c r="W22" s="84">
        <f>TrRoad_act!W76</f>
        <v>90527</v>
      </c>
      <c r="X22" s="84">
        <f>TrRoad_act!X76</f>
        <v>87177</v>
      </c>
      <c r="Y22" s="84">
        <f>TrRoad_act!Y76</f>
        <v>89120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0</v>
      </c>
      <c r="T23" s="84">
        <f>TrRoad_act!T77</f>
        <v>0</v>
      </c>
      <c r="U23" s="84">
        <f>TrRoad_act!U77</f>
        <v>0</v>
      </c>
      <c r="V23" s="84">
        <f>TrRoad_act!V77</f>
        <v>0</v>
      </c>
      <c r="W23" s="84">
        <f>TrRoad_act!W77</f>
        <v>0</v>
      </c>
      <c r="X23" s="84">
        <f>TrRoad_act!X77</f>
        <v>0</v>
      </c>
      <c r="Y23" s="84">
        <f>TrRoad_act!Y77</f>
        <v>0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X24" s="84">
        <f>TrRoad_act!X78</f>
        <v>0</v>
      </c>
      <c r="Y24" s="84">
        <f>TrRoad_act!Y78</f>
        <v>0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0</v>
      </c>
      <c r="O25" s="84">
        <f>TrRoad_act!O79</f>
        <v>0</v>
      </c>
      <c r="P25" s="84">
        <f>TrRoad_act!P79</f>
        <v>0</v>
      </c>
      <c r="Q25" s="84">
        <f>TrRoad_act!Q79</f>
        <v>0</v>
      </c>
      <c r="R25" s="84">
        <f>TrRoad_act!R79</f>
        <v>0</v>
      </c>
      <c r="S25" s="84">
        <f>TrRoad_act!S79</f>
        <v>0</v>
      </c>
      <c r="T25" s="84">
        <f>TrRoad_act!T79</f>
        <v>0</v>
      </c>
      <c r="U25" s="84">
        <f>TrRoad_act!U79</f>
        <v>0</v>
      </c>
      <c r="V25" s="84">
        <f>TrRoad_act!V79</f>
        <v>0</v>
      </c>
      <c r="W25" s="84">
        <f>TrRoad_act!W79</f>
        <v>0</v>
      </c>
      <c r="X25" s="84">
        <f>TrRoad_act!X79</f>
        <v>0</v>
      </c>
      <c r="Y25" s="84">
        <f>TrRoad_act!Y79</f>
        <v>0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27425</v>
      </c>
      <c r="C26" s="110">
        <f>TrRoad_act!C80</f>
        <v>27394</v>
      </c>
      <c r="D26" s="110">
        <f>TrRoad_act!D80</f>
        <v>27778</v>
      </c>
      <c r="E26" s="110">
        <f>TrRoad_act!E80</f>
        <v>35506</v>
      </c>
      <c r="F26" s="110">
        <f>TrRoad_act!F80</f>
        <v>35911</v>
      </c>
      <c r="G26" s="110">
        <f>TrRoad_act!G80</f>
        <v>33256</v>
      </c>
      <c r="H26" s="110">
        <f>TrRoad_act!H80</f>
        <v>34995</v>
      </c>
      <c r="I26" s="110">
        <f>TrRoad_act!I80</f>
        <v>38962</v>
      </c>
      <c r="J26" s="110">
        <f>TrRoad_act!J80</f>
        <v>34783</v>
      </c>
      <c r="K26" s="110">
        <f>TrRoad_act!K80</f>
        <v>33599</v>
      </c>
      <c r="L26" s="110">
        <f>TrRoad_act!L80</f>
        <v>31601</v>
      </c>
      <c r="M26" s="110">
        <f>TrRoad_act!M80</f>
        <v>32136</v>
      </c>
      <c r="N26" s="110">
        <f>TrRoad_act!N80</f>
        <v>34357</v>
      </c>
      <c r="O26" s="110">
        <f>TrRoad_act!O80</f>
        <v>36603</v>
      </c>
      <c r="P26" s="110">
        <f>TrRoad_act!P80</f>
        <v>35577</v>
      </c>
      <c r="Q26" s="110">
        <f>TrRoad_act!Q80</f>
        <v>37595</v>
      </c>
      <c r="R26" s="110">
        <f>TrRoad_act!R80</f>
        <v>38363</v>
      </c>
      <c r="S26" s="110">
        <f>TrRoad_act!S80</f>
        <v>36991</v>
      </c>
      <c r="T26" s="110">
        <f>TrRoad_act!T80</f>
        <v>40479</v>
      </c>
      <c r="U26" s="110">
        <f>TrRoad_act!U80</f>
        <v>39061</v>
      </c>
      <c r="V26" s="110">
        <f>TrRoad_act!V80</f>
        <v>40755</v>
      </c>
      <c r="W26" s="110">
        <f>TrRoad_act!W80</f>
        <v>45674</v>
      </c>
      <c r="X26" s="110">
        <f>TrRoad_act!X80</f>
        <v>41917</v>
      </c>
      <c r="Y26" s="110">
        <f>TrRoad_act!Y80</f>
        <v>54957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26106</v>
      </c>
      <c r="C27" s="102">
        <f>TrRoad_act!C81</f>
        <v>25980</v>
      </c>
      <c r="D27" s="102">
        <f>TrRoad_act!D81</f>
        <v>26291</v>
      </c>
      <c r="E27" s="102">
        <f>TrRoad_act!E81</f>
        <v>33986</v>
      </c>
      <c r="F27" s="102">
        <f>TrRoad_act!F81</f>
        <v>34113</v>
      </c>
      <c r="G27" s="102">
        <f>TrRoad_act!G81</f>
        <v>31395</v>
      </c>
      <c r="H27" s="102">
        <f>TrRoad_act!H81</f>
        <v>32618</v>
      </c>
      <c r="I27" s="102">
        <f>TrRoad_act!I81</f>
        <v>36334</v>
      </c>
      <c r="J27" s="102">
        <f>TrRoad_act!J81</f>
        <v>32337</v>
      </c>
      <c r="K27" s="102">
        <f>TrRoad_act!K81</f>
        <v>31569</v>
      </c>
      <c r="L27" s="102">
        <f>TrRoad_act!L81</f>
        <v>29335</v>
      </c>
      <c r="M27" s="102">
        <f>TrRoad_act!M81</f>
        <v>29579</v>
      </c>
      <c r="N27" s="102">
        <f>TrRoad_act!N81</f>
        <v>31395</v>
      </c>
      <c r="O27" s="102">
        <f>TrRoad_act!O81</f>
        <v>33141</v>
      </c>
      <c r="P27" s="102">
        <f>TrRoad_act!P81</f>
        <v>32294</v>
      </c>
      <c r="Q27" s="102">
        <f>TrRoad_act!Q81</f>
        <v>33929</v>
      </c>
      <c r="R27" s="102">
        <f>TrRoad_act!R81</f>
        <v>34596</v>
      </c>
      <c r="S27" s="102">
        <f>TrRoad_act!S81</f>
        <v>33199</v>
      </c>
      <c r="T27" s="102">
        <f>TrRoad_act!T81</f>
        <v>36873</v>
      </c>
      <c r="U27" s="102">
        <f>TrRoad_act!U81</f>
        <v>35496</v>
      </c>
      <c r="V27" s="102">
        <f>TrRoad_act!V81</f>
        <v>36790</v>
      </c>
      <c r="W27" s="102">
        <f>TrRoad_act!W81</f>
        <v>41601</v>
      </c>
      <c r="X27" s="102">
        <f>TrRoad_act!X81</f>
        <v>37427</v>
      </c>
      <c r="Y27" s="102">
        <f>TrRoad_act!Y81</f>
        <v>50161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1319</v>
      </c>
      <c r="C28" s="86">
        <f>TrRoad_act!C82</f>
        <v>1414</v>
      </c>
      <c r="D28" s="86">
        <f>TrRoad_act!D82</f>
        <v>1487</v>
      </c>
      <c r="E28" s="86">
        <f>TrRoad_act!E82</f>
        <v>1520</v>
      </c>
      <c r="F28" s="86">
        <f>TrRoad_act!F82</f>
        <v>1798</v>
      </c>
      <c r="G28" s="86">
        <f>TrRoad_act!G82</f>
        <v>1861</v>
      </c>
      <c r="H28" s="86">
        <f>TrRoad_act!H82</f>
        <v>2377</v>
      </c>
      <c r="I28" s="86">
        <f>TrRoad_act!I82</f>
        <v>2628</v>
      </c>
      <c r="J28" s="86">
        <f>TrRoad_act!J82</f>
        <v>2446</v>
      </c>
      <c r="K28" s="86">
        <f>TrRoad_act!K82</f>
        <v>2030</v>
      </c>
      <c r="L28" s="86">
        <f>TrRoad_act!L82</f>
        <v>2266</v>
      </c>
      <c r="M28" s="86">
        <f>TrRoad_act!M82</f>
        <v>2557</v>
      </c>
      <c r="N28" s="86">
        <f>TrRoad_act!N82</f>
        <v>2962</v>
      </c>
      <c r="O28" s="86">
        <f>TrRoad_act!O82</f>
        <v>3462</v>
      </c>
      <c r="P28" s="86">
        <f>TrRoad_act!P82</f>
        <v>3283</v>
      </c>
      <c r="Q28" s="86">
        <f>TrRoad_act!Q82</f>
        <v>3666</v>
      </c>
      <c r="R28" s="86">
        <f>TrRoad_act!R82</f>
        <v>3767</v>
      </c>
      <c r="S28" s="86">
        <f>TrRoad_act!S82</f>
        <v>3792</v>
      </c>
      <c r="T28" s="86">
        <f>TrRoad_act!T82</f>
        <v>3606</v>
      </c>
      <c r="U28" s="86">
        <f>TrRoad_act!U82</f>
        <v>3565</v>
      </c>
      <c r="V28" s="86">
        <f>TrRoad_act!V82</f>
        <v>3965</v>
      </c>
      <c r="W28" s="86">
        <f>TrRoad_act!W82</f>
        <v>4073</v>
      </c>
      <c r="X28" s="86">
        <f>TrRoad_act!X82</f>
        <v>4490</v>
      </c>
      <c r="Y28" s="86">
        <f>TrRoad_act!Y82</f>
        <v>4796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116761</v>
      </c>
      <c r="C30" s="54">
        <f>TrRoad_act!C111</f>
        <v>150766</v>
      </c>
      <c r="D30" s="54">
        <f>TrRoad_act!D111</f>
        <v>132736</v>
      </c>
      <c r="E30" s="54">
        <f>TrRoad_act!E111</f>
        <v>173386</v>
      </c>
      <c r="F30" s="54">
        <f>TrRoad_act!F111</f>
        <v>177823</v>
      </c>
      <c r="G30" s="54">
        <f>TrRoad_act!G111</f>
        <v>203374</v>
      </c>
      <c r="H30" s="54">
        <f>TrRoad_act!H111</f>
        <v>294975</v>
      </c>
      <c r="I30" s="54">
        <f>TrRoad_act!I111</f>
        <v>195264</v>
      </c>
      <c r="J30" s="54">
        <f>TrRoad_act!J111</f>
        <v>127287</v>
      </c>
      <c r="K30" s="54">
        <f>TrRoad_act!K111</f>
        <v>59892</v>
      </c>
      <c r="L30" s="54">
        <f>TrRoad_act!L111</f>
        <v>44370</v>
      </c>
      <c r="M30" s="54">
        <f>TrRoad_act!M111</f>
        <v>46096</v>
      </c>
      <c r="N30" s="54">
        <f>TrRoad_act!N111</f>
        <v>250981</v>
      </c>
      <c r="O30" s="54">
        <f>TrRoad_act!O111</f>
        <v>150742</v>
      </c>
      <c r="P30" s="54">
        <f>TrRoad_act!P111</f>
        <v>157323</v>
      </c>
      <c r="Q30" s="54">
        <f>TrRoad_act!Q111</f>
        <v>212586</v>
      </c>
      <c r="R30" s="54">
        <f>TrRoad_act!R111</f>
        <v>161340</v>
      </c>
      <c r="S30" s="54">
        <f>TrRoad_act!S111</f>
        <v>202198</v>
      </c>
      <c r="T30" s="54">
        <f>TrRoad_act!T111</f>
        <v>226277</v>
      </c>
      <c r="U30" s="54">
        <f>TrRoad_act!U111</f>
        <v>265349</v>
      </c>
      <c r="V30" s="54">
        <f>TrRoad_act!V111</f>
        <v>207910</v>
      </c>
      <c r="W30" s="54">
        <f>TrRoad_act!W111</f>
        <v>200948</v>
      </c>
      <c r="X30" s="54">
        <f>TrRoad_act!X111</f>
        <v>194819</v>
      </c>
      <c r="Y30" s="54">
        <f>TrRoad_act!Y111</f>
        <v>217129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116629</v>
      </c>
      <c r="C31" s="28">
        <f>TrRoad_act!C112</f>
        <v>145811</v>
      </c>
      <c r="D31" s="28">
        <f>TrRoad_act!D112</f>
        <v>124459</v>
      </c>
      <c r="E31" s="28">
        <f>TrRoad_act!E112</f>
        <v>161116</v>
      </c>
      <c r="F31" s="28">
        <f>TrRoad_act!F112</f>
        <v>171532</v>
      </c>
      <c r="G31" s="28">
        <f>TrRoad_act!G112</f>
        <v>196239</v>
      </c>
      <c r="H31" s="28">
        <f>TrRoad_act!H112</f>
        <v>280539</v>
      </c>
      <c r="I31" s="28">
        <f>TrRoad_act!I112</f>
        <v>181571</v>
      </c>
      <c r="J31" s="28">
        <f>TrRoad_act!J112</f>
        <v>121177</v>
      </c>
      <c r="K31" s="28">
        <f>TrRoad_act!K112</f>
        <v>49796</v>
      </c>
      <c r="L31" s="28">
        <f>TrRoad_act!L112</f>
        <v>43387</v>
      </c>
      <c r="M31" s="28">
        <f>TrRoad_act!M112</f>
        <v>31674</v>
      </c>
      <c r="N31" s="28">
        <f>TrRoad_act!N112</f>
        <v>234273</v>
      </c>
      <c r="O31" s="28">
        <f>TrRoad_act!O112</f>
        <v>134840</v>
      </c>
      <c r="P31" s="28">
        <f>TrRoad_act!P112</f>
        <v>144313</v>
      </c>
      <c r="Q31" s="28">
        <f>TrRoad_act!Q112</f>
        <v>198849</v>
      </c>
      <c r="R31" s="28">
        <f>TrRoad_act!R112</f>
        <v>145201</v>
      </c>
      <c r="S31" s="28">
        <f>TrRoad_act!S112</f>
        <v>186450</v>
      </c>
      <c r="T31" s="28">
        <f>TrRoad_act!T112</f>
        <v>209236</v>
      </c>
      <c r="U31" s="28">
        <f>TrRoad_act!U112</f>
        <v>248491</v>
      </c>
      <c r="V31" s="28">
        <f>TrRoad_act!V112</f>
        <v>193203</v>
      </c>
      <c r="W31" s="28">
        <f>TrRoad_act!W112</f>
        <v>184262</v>
      </c>
      <c r="X31" s="28">
        <f>TrRoad_act!X112</f>
        <v>182154</v>
      </c>
      <c r="Y31" s="28">
        <f>TrRoad_act!Y112</f>
        <v>192787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452</v>
      </c>
      <c r="C32" s="137">
        <f>TrRoad_act!C113</f>
        <v>840</v>
      </c>
      <c r="D32" s="137">
        <f>TrRoad_act!D113</f>
        <v>1292</v>
      </c>
      <c r="E32" s="137">
        <f>TrRoad_act!E113</f>
        <v>1405</v>
      </c>
      <c r="F32" s="137">
        <f>TrRoad_act!F113</f>
        <v>1579</v>
      </c>
      <c r="G32" s="137">
        <f>TrRoad_act!G113</f>
        <v>1984</v>
      </c>
      <c r="H32" s="137">
        <f>TrRoad_act!H113</f>
        <v>2948</v>
      </c>
      <c r="I32" s="137">
        <f>TrRoad_act!I113</f>
        <v>5311</v>
      </c>
      <c r="J32" s="137">
        <f>TrRoad_act!J113</f>
        <v>6746</v>
      </c>
      <c r="K32" s="137">
        <f>TrRoad_act!K113</f>
        <v>4668</v>
      </c>
      <c r="L32" s="137">
        <f>TrRoad_act!L113</f>
        <v>1568</v>
      </c>
      <c r="M32" s="137">
        <f>TrRoad_act!M113</f>
        <v>1700</v>
      </c>
      <c r="N32" s="137">
        <f>TrRoad_act!N113</f>
        <v>1557</v>
      </c>
      <c r="O32" s="137">
        <f>TrRoad_act!O113</f>
        <v>1604</v>
      </c>
      <c r="P32" s="137">
        <f>TrRoad_act!P113</f>
        <v>1742</v>
      </c>
      <c r="Q32" s="137">
        <f>TrRoad_act!Q113</f>
        <v>1745</v>
      </c>
      <c r="R32" s="137">
        <f>TrRoad_act!R113</f>
        <v>3284</v>
      </c>
      <c r="S32" s="137">
        <f>TrRoad_act!S113</f>
        <v>3878</v>
      </c>
      <c r="T32" s="137">
        <f>TrRoad_act!T113</f>
        <v>4939</v>
      </c>
      <c r="U32" s="137">
        <f>TrRoad_act!U113</f>
        <v>11136</v>
      </c>
      <c r="V32" s="137">
        <f>TrRoad_act!V113</f>
        <v>11120</v>
      </c>
      <c r="W32" s="137">
        <f>TrRoad_act!W113</f>
        <v>12346</v>
      </c>
      <c r="X32" s="137">
        <f>TrRoad_act!X113</f>
        <v>13283</v>
      </c>
      <c r="Y32" s="137">
        <f>TrRoad_act!Y113</f>
        <v>13211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115808</v>
      </c>
      <c r="C33" s="110">
        <f>TrRoad_act!C114</f>
        <v>144389</v>
      </c>
      <c r="D33" s="110">
        <f>TrRoad_act!D114</f>
        <v>122398</v>
      </c>
      <c r="E33" s="110">
        <f>TrRoad_act!E114</f>
        <v>158761</v>
      </c>
      <c r="F33" s="110">
        <f>TrRoad_act!F114</f>
        <v>168807</v>
      </c>
      <c r="G33" s="110">
        <f>TrRoad_act!G114</f>
        <v>192817</v>
      </c>
      <c r="H33" s="110">
        <f>TrRoad_act!H114</f>
        <v>276356</v>
      </c>
      <c r="I33" s="110">
        <f>TrRoad_act!I114</f>
        <v>175083</v>
      </c>
      <c r="J33" s="110">
        <f>TrRoad_act!J114</f>
        <v>113512</v>
      </c>
      <c r="K33" s="110">
        <f>TrRoad_act!K114</f>
        <v>44527</v>
      </c>
      <c r="L33" s="110">
        <f>TrRoad_act!L114</f>
        <v>41254</v>
      </c>
      <c r="M33" s="110">
        <f>TrRoad_act!M114</f>
        <v>29371</v>
      </c>
      <c r="N33" s="110">
        <f>TrRoad_act!N114</f>
        <v>232571</v>
      </c>
      <c r="O33" s="110">
        <f>TrRoad_act!O114</f>
        <v>132447</v>
      </c>
      <c r="P33" s="110">
        <f>TrRoad_act!P114</f>
        <v>142276</v>
      </c>
      <c r="Q33" s="110">
        <f>TrRoad_act!Q114</f>
        <v>196683</v>
      </c>
      <c r="R33" s="110">
        <f>TrRoad_act!R114</f>
        <v>141667</v>
      </c>
      <c r="S33" s="110">
        <f>TrRoad_act!S114</f>
        <v>182199</v>
      </c>
      <c r="T33" s="110">
        <f>TrRoad_act!T114</f>
        <v>203629</v>
      </c>
      <c r="U33" s="110">
        <f>TrRoad_act!U114</f>
        <v>236920</v>
      </c>
      <c r="V33" s="110">
        <f>TrRoad_act!V114</f>
        <v>181685</v>
      </c>
      <c r="W33" s="110">
        <f>TrRoad_act!W114</f>
        <v>171540</v>
      </c>
      <c r="X33" s="110">
        <f>TrRoad_act!X114</f>
        <v>168673</v>
      </c>
      <c r="Y33" s="110">
        <f>TrRoad_act!Y114</f>
        <v>179304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60808</v>
      </c>
      <c r="C34" s="84">
        <f>TrRoad_act!C115</f>
        <v>74342</v>
      </c>
      <c r="D34" s="84">
        <f>TrRoad_act!D115</f>
        <v>27787</v>
      </c>
      <c r="E34" s="84">
        <f>TrRoad_act!E115</f>
        <v>55184</v>
      </c>
      <c r="F34" s="84">
        <f>TrRoad_act!F115</f>
        <v>34095</v>
      </c>
      <c r="G34" s="84">
        <f>TrRoad_act!G115</f>
        <v>46836</v>
      </c>
      <c r="H34" s="84">
        <f>TrRoad_act!H115</f>
        <v>98738</v>
      </c>
      <c r="I34" s="84">
        <f>TrRoad_act!I115</f>
        <v>88458</v>
      </c>
      <c r="J34" s="84">
        <f>TrRoad_act!J115</f>
        <v>51877</v>
      </c>
      <c r="K34" s="84">
        <f>TrRoad_act!K115</f>
        <v>3375</v>
      </c>
      <c r="L34" s="84">
        <f>TrRoad_act!L115</f>
        <v>4</v>
      </c>
      <c r="M34" s="84">
        <f>TrRoad_act!M115</f>
        <v>28</v>
      </c>
      <c r="N34" s="84">
        <f>TrRoad_act!N115</f>
        <v>12</v>
      </c>
      <c r="O34" s="84">
        <f>TrRoad_act!O115</f>
        <v>16546</v>
      </c>
      <c r="P34" s="84">
        <f>TrRoad_act!P115</f>
        <v>36978</v>
      </c>
      <c r="Q34" s="84">
        <f>TrRoad_act!Q115</f>
        <v>35344</v>
      </c>
      <c r="R34" s="84">
        <f>TrRoad_act!R115</f>
        <v>33009</v>
      </c>
      <c r="S34" s="84">
        <f>TrRoad_act!S115</f>
        <v>48318</v>
      </c>
      <c r="T34" s="84">
        <f>TrRoad_act!T115</f>
        <v>53956</v>
      </c>
      <c r="U34" s="84">
        <f>TrRoad_act!U115</f>
        <v>76757</v>
      </c>
      <c r="V34" s="84">
        <f>TrRoad_act!V115</f>
        <v>55875</v>
      </c>
      <c r="W34" s="84">
        <f>TrRoad_act!W115</f>
        <v>44236</v>
      </c>
      <c r="X34" s="84">
        <f>TrRoad_act!X115</f>
        <v>32161</v>
      </c>
      <c r="Y34" s="84">
        <f>TrRoad_act!Y115</f>
        <v>34190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35000</v>
      </c>
      <c r="C35" s="84">
        <f>TrRoad_act!C116</f>
        <v>37047</v>
      </c>
      <c r="D35" s="84">
        <f>TrRoad_act!D116</f>
        <v>45130</v>
      </c>
      <c r="E35" s="84">
        <f>TrRoad_act!E116</f>
        <v>55429</v>
      </c>
      <c r="F35" s="84">
        <f>TrRoad_act!F116</f>
        <v>67236</v>
      </c>
      <c r="G35" s="84">
        <f>TrRoad_act!G116</f>
        <v>145981</v>
      </c>
      <c r="H35" s="84">
        <f>TrRoad_act!H116</f>
        <v>130192</v>
      </c>
      <c r="I35" s="84">
        <f>TrRoad_act!I116</f>
        <v>43353</v>
      </c>
      <c r="J35" s="84">
        <f>TrRoad_act!J116</f>
        <v>53861</v>
      </c>
      <c r="K35" s="84">
        <f>TrRoad_act!K116</f>
        <v>36553</v>
      </c>
      <c r="L35" s="84">
        <f>TrRoad_act!L116</f>
        <v>41250</v>
      </c>
      <c r="M35" s="84">
        <f>TrRoad_act!M116</f>
        <v>29341</v>
      </c>
      <c r="N35" s="84">
        <f>TrRoad_act!N116</f>
        <v>220756</v>
      </c>
      <c r="O35" s="84">
        <f>TrRoad_act!O116</f>
        <v>86712</v>
      </c>
      <c r="P35" s="84">
        <f>TrRoad_act!P116</f>
        <v>91258</v>
      </c>
      <c r="Q35" s="84">
        <f>TrRoad_act!Q116</f>
        <v>147524</v>
      </c>
      <c r="R35" s="84">
        <f>TrRoad_act!R116</f>
        <v>100508</v>
      </c>
      <c r="S35" s="84">
        <f>TrRoad_act!S116</f>
        <v>125142</v>
      </c>
      <c r="T35" s="84">
        <f>TrRoad_act!T116</f>
        <v>132594</v>
      </c>
      <c r="U35" s="84">
        <f>TrRoad_act!U116</f>
        <v>138316</v>
      </c>
      <c r="V35" s="84">
        <f>TrRoad_act!V116</f>
        <v>100812</v>
      </c>
      <c r="W35" s="84">
        <f>TrRoad_act!W116</f>
        <v>100738</v>
      </c>
      <c r="X35" s="84">
        <f>TrRoad_act!X116</f>
        <v>100948</v>
      </c>
      <c r="Y35" s="84">
        <f>TrRoad_act!Y116</f>
        <v>105460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20000</v>
      </c>
      <c r="C36" s="84">
        <f>TrRoad_act!C117</f>
        <v>33000</v>
      </c>
      <c r="D36" s="84">
        <f>TrRoad_act!D117</f>
        <v>49481</v>
      </c>
      <c r="E36" s="84">
        <f>TrRoad_act!E117</f>
        <v>48148</v>
      </c>
      <c r="F36" s="84">
        <f>TrRoad_act!F117</f>
        <v>67476</v>
      </c>
      <c r="G36" s="84">
        <f>TrRoad_act!G117</f>
        <v>0</v>
      </c>
      <c r="H36" s="84">
        <f>TrRoad_act!H117</f>
        <v>47426</v>
      </c>
      <c r="I36" s="84">
        <f>TrRoad_act!I117</f>
        <v>43272</v>
      </c>
      <c r="J36" s="84">
        <f>TrRoad_act!J117</f>
        <v>7774</v>
      </c>
      <c r="K36" s="84">
        <f>TrRoad_act!K117</f>
        <v>4599</v>
      </c>
      <c r="L36" s="84">
        <f>TrRoad_act!L117</f>
        <v>0</v>
      </c>
      <c r="M36" s="84">
        <f>TrRoad_act!M117</f>
        <v>0</v>
      </c>
      <c r="N36" s="84">
        <f>TrRoad_act!N117</f>
        <v>11802</v>
      </c>
      <c r="O36" s="84">
        <f>TrRoad_act!O117</f>
        <v>28052</v>
      </c>
      <c r="P36" s="84">
        <f>TrRoad_act!P117</f>
        <v>12162</v>
      </c>
      <c r="Q36" s="84">
        <f>TrRoad_act!Q117</f>
        <v>12711</v>
      </c>
      <c r="R36" s="84">
        <f>TrRoad_act!R117</f>
        <v>6151</v>
      </c>
      <c r="S36" s="84">
        <f>TrRoad_act!S117</f>
        <v>5237</v>
      </c>
      <c r="T36" s="84">
        <f>TrRoad_act!T117</f>
        <v>10884</v>
      </c>
      <c r="U36" s="84">
        <f>TrRoad_act!U117</f>
        <v>13956</v>
      </c>
      <c r="V36" s="84">
        <f>TrRoad_act!V117</f>
        <v>11680</v>
      </c>
      <c r="W36" s="84">
        <f>TrRoad_act!W117</f>
        <v>6581</v>
      </c>
      <c r="X36" s="84">
        <f>TrRoad_act!X117</f>
        <v>16700</v>
      </c>
      <c r="Y36" s="84">
        <f>TrRoad_act!Y117</f>
        <v>17150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1</v>
      </c>
      <c r="O37" s="84">
        <f>TrRoad_act!O118</f>
        <v>4</v>
      </c>
      <c r="P37" s="84">
        <f>TrRoad_act!P118</f>
        <v>23</v>
      </c>
      <c r="Q37" s="84">
        <f>TrRoad_act!Q118</f>
        <v>10</v>
      </c>
      <c r="R37" s="84">
        <f>TrRoad_act!R118</f>
        <v>12</v>
      </c>
      <c r="S37" s="84">
        <f>TrRoad_act!S118</f>
        <v>25</v>
      </c>
      <c r="T37" s="84">
        <f>TrRoad_act!T118</f>
        <v>26</v>
      </c>
      <c r="U37" s="84">
        <f>TrRoad_act!U118</f>
        <v>1</v>
      </c>
      <c r="V37" s="84">
        <f>TrRoad_act!V118</f>
        <v>82</v>
      </c>
      <c r="W37" s="84">
        <f>TrRoad_act!W118</f>
        <v>78</v>
      </c>
      <c r="X37" s="84">
        <f>TrRoad_act!X118</f>
        <v>664</v>
      </c>
      <c r="Y37" s="84">
        <f>TrRoad_act!Y118</f>
        <v>1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0</v>
      </c>
      <c r="O38" s="84">
        <f>TrRoad_act!O119</f>
        <v>1129</v>
      </c>
      <c r="P38" s="84">
        <f>TrRoad_act!P119</f>
        <v>1798</v>
      </c>
      <c r="Q38" s="84">
        <f>TrRoad_act!Q119</f>
        <v>988</v>
      </c>
      <c r="R38" s="84">
        <f>TrRoad_act!R119</f>
        <v>1785</v>
      </c>
      <c r="S38" s="84">
        <f>TrRoad_act!S119</f>
        <v>3194</v>
      </c>
      <c r="T38" s="84">
        <f>TrRoad_act!T119</f>
        <v>5825</v>
      </c>
      <c r="U38" s="84">
        <f>TrRoad_act!U119</f>
        <v>7462</v>
      </c>
      <c r="V38" s="84">
        <f>TrRoad_act!V119</f>
        <v>12092</v>
      </c>
      <c r="W38" s="84">
        <f>TrRoad_act!W119</f>
        <v>17548</v>
      </c>
      <c r="X38" s="84">
        <f>TrRoad_act!X119</f>
        <v>15671</v>
      </c>
      <c r="Y38" s="84">
        <f>TrRoad_act!Y119</f>
        <v>18322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2</v>
      </c>
      <c r="N39" s="84">
        <f>TrRoad_act!N120</f>
        <v>0</v>
      </c>
      <c r="O39" s="84">
        <f>TrRoad_act!O120</f>
        <v>4</v>
      </c>
      <c r="P39" s="84">
        <f>TrRoad_act!P120</f>
        <v>57</v>
      </c>
      <c r="Q39" s="84">
        <f>TrRoad_act!Q120</f>
        <v>106</v>
      </c>
      <c r="R39" s="84">
        <f>TrRoad_act!R120</f>
        <v>202</v>
      </c>
      <c r="S39" s="84">
        <f>TrRoad_act!S120</f>
        <v>283</v>
      </c>
      <c r="T39" s="84">
        <f>TrRoad_act!T120</f>
        <v>344</v>
      </c>
      <c r="U39" s="84">
        <f>TrRoad_act!U120</f>
        <v>428</v>
      </c>
      <c r="V39" s="84">
        <f>TrRoad_act!V120</f>
        <v>1144</v>
      </c>
      <c r="W39" s="84">
        <f>TrRoad_act!W120</f>
        <v>2359</v>
      </c>
      <c r="X39" s="84">
        <f>TrRoad_act!X120</f>
        <v>2529</v>
      </c>
      <c r="Y39" s="84">
        <f>TrRoad_act!Y120</f>
        <v>4181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369</v>
      </c>
      <c r="C40" s="110">
        <f>TrRoad_act!C121</f>
        <v>582</v>
      </c>
      <c r="D40" s="110">
        <f>TrRoad_act!D121</f>
        <v>769</v>
      </c>
      <c r="E40" s="110">
        <f>TrRoad_act!E121</f>
        <v>950</v>
      </c>
      <c r="F40" s="110">
        <f>TrRoad_act!F121</f>
        <v>1146</v>
      </c>
      <c r="G40" s="110">
        <f>TrRoad_act!G121</f>
        <v>1438</v>
      </c>
      <c r="H40" s="110">
        <f>TrRoad_act!H121</f>
        <v>1235</v>
      </c>
      <c r="I40" s="110">
        <f>TrRoad_act!I121</f>
        <v>1177</v>
      </c>
      <c r="J40" s="110">
        <f>TrRoad_act!J121</f>
        <v>919</v>
      </c>
      <c r="K40" s="110">
        <f>TrRoad_act!K121</f>
        <v>601</v>
      </c>
      <c r="L40" s="110">
        <f>TrRoad_act!L121</f>
        <v>565</v>
      </c>
      <c r="M40" s="110">
        <f>TrRoad_act!M121</f>
        <v>603</v>
      </c>
      <c r="N40" s="110">
        <f>TrRoad_act!N121</f>
        <v>145</v>
      </c>
      <c r="O40" s="110">
        <f>TrRoad_act!O121</f>
        <v>789</v>
      </c>
      <c r="P40" s="110">
        <f>TrRoad_act!P121</f>
        <v>295</v>
      </c>
      <c r="Q40" s="110">
        <f>TrRoad_act!Q121</f>
        <v>421</v>
      </c>
      <c r="R40" s="110">
        <f>TrRoad_act!R121</f>
        <v>250</v>
      </c>
      <c r="S40" s="110">
        <f>TrRoad_act!S121</f>
        <v>373</v>
      </c>
      <c r="T40" s="110">
        <f>TrRoad_act!T121</f>
        <v>668</v>
      </c>
      <c r="U40" s="110">
        <f>TrRoad_act!U121</f>
        <v>435</v>
      </c>
      <c r="V40" s="110">
        <f>TrRoad_act!V121</f>
        <v>398</v>
      </c>
      <c r="W40" s="110">
        <f>TrRoad_act!W121</f>
        <v>376</v>
      </c>
      <c r="X40" s="110">
        <f>TrRoad_act!X121</f>
        <v>198</v>
      </c>
      <c r="Y40" s="110">
        <f>TrRoad_act!Y121</f>
        <v>272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17</v>
      </c>
      <c r="E41" s="102">
        <f>TrRoad_act!E122</f>
        <v>9</v>
      </c>
      <c r="F41" s="102">
        <f>TrRoad_act!F122</f>
        <v>0</v>
      </c>
      <c r="G41" s="102">
        <f>TrRoad_act!G122</f>
        <v>1</v>
      </c>
      <c r="H41" s="102">
        <f>TrRoad_act!H122</f>
        <v>2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161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X41" s="102">
        <f>TrRoad_act!X122</f>
        <v>0</v>
      </c>
      <c r="Y41" s="102">
        <f>TrRoad_act!Y122</f>
        <v>0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369</v>
      </c>
      <c r="C42" s="102">
        <f>TrRoad_act!C123</f>
        <v>582</v>
      </c>
      <c r="D42" s="102">
        <f>TrRoad_act!D123</f>
        <v>750</v>
      </c>
      <c r="E42" s="102">
        <f>TrRoad_act!E123</f>
        <v>941</v>
      </c>
      <c r="F42" s="102">
        <f>TrRoad_act!F123</f>
        <v>1131</v>
      </c>
      <c r="G42" s="102">
        <f>TrRoad_act!G123</f>
        <v>1400</v>
      </c>
      <c r="H42" s="102">
        <f>TrRoad_act!H123</f>
        <v>1196</v>
      </c>
      <c r="I42" s="102">
        <f>TrRoad_act!I123</f>
        <v>1149</v>
      </c>
      <c r="J42" s="102">
        <f>TrRoad_act!J123</f>
        <v>914</v>
      </c>
      <c r="K42" s="102">
        <f>TrRoad_act!K123</f>
        <v>517</v>
      </c>
      <c r="L42" s="102">
        <f>TrRoad_act!L123</f>
        <v>515</v>
      </c>
      <c r="M42" s="102">
        <f>TrRoad_act!M123</f>
        <v>556</v>
      </c>
      <c r="N42" s="102">
        <f>TrRoad_act!N123</f>
        <v>145</v>
      </c>
      <c r="O42" s="102">
        <f>TrRoad_act!O123</f>
        <v>150</v>
      </c>
      <c r="P42" s="102">
        <f>TrRoad_act!P123</f>
        <v>150</v>
      </c>
      <c r="Q42" s="102">
        <f>TrRoad_act!Q123</f>
        <v>150</v>
      </c>
      <c r="R42" s="102">
        <f>TrRoad_act!R123</f>
        <v>240</v>
      </c>
      <c r="S42" s="102">
        <f>TrRoad_act!S123</f>
        <v>350</v>
      </c>
      <c r="T42" s="102">
        <f>TrRoad_act!T123</f>
        <v>643</v>
      </c>
      <c r="U42" s="102">
        <f>TrRoad_act!U123</f>
        <v>319</v>
      </c>
      <c r="V42" s="102">
        <f>TrRoad_act!V123</f>
        <v>156</v>
      </c>
      <c r="W42" s="102">
        <f>TrRoad_act!W123</f>
        <v>262</v>
      </c>
      <c r="X42" s="102">
        <f>TrRoad_act!X123</f>
        <v>150</v>
      </c>
      <c r="Y42" s="102">
        <f>TrRoad_act!Y123</f>
        <v>199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2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6</v>
      </c>
      <c r="N43" s="102">
        <f>TrRoad_act!N124</f>
        <v>0</v>
      </c>
      <c r="O43" s="102">
        <f>TrRoad_act!O124</f>
        <v>30</v>
      </c>
      <c r="P43" s="102">
        <f>TrRoad_act!P124</f>
        <v>102</v>
      </c>
      <c r="Q43" s="102">
        <f>TrRoad_act!Q124</f>
        <v>1</v>
      </c>
      <c r="R43" s="102">
        <f>TrRoad_act!R124</f>
        <v>0</v>
      </c>
      <c r="S43" s="102">
        <f>TrRoad_act!S124</f>
        <v>2</v>
      </c>
      <c r="T43" s="102">
        <f>TrRoad_act!T124</f>
        <v>6</v>
      </c>
      <c r="U43" s="102">
        <f>TrRoad_act!U124</f>
        <v>30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3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80</v>
      </c>
      <c r="L44" s="102">
        <f>TrRoad_act!L125</f>
        <v>50</v>
      </c>
      <c r="M44" s="102">
        <f>TrRoad_act!M125</f>
        <v>39</v>
      </c>
      <c r="N44" s="102">
        <f>TrRoad_act!N125</f>
        <v>0</v>
      </c>
      <c r="O44" s="102">
        <f>TrRoad_act!O125</f>
        <v>97</v>
      </c>
      <c r="P44" s="102">
        <f>TrRoad_act!P125</f>
        <v>42</v>
      </c>
      <c r="Q44" s="102">
        <f>TrRoad_act!Q125</f>
        <v>270</v>
      </c>
      <c r="R44" s="102">
        <f>TrRoad_act!R125</f>
        <v>3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235</v>
      </c>
      <c r="W44" s="102">
        <f>TrRoad_act!W125</f>
        <v>111</v>
      </c>
      <c r="X44" s="102">
        <f>TrRoad_act!X125</f>
        <v>0</v>
      </c>
      <c r="Y44" s="102">
        <f>TrRoad_act!Y125</f>
        <v>1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15</v>
      </c>
      <c r="G45" s="102">
        <f>TrRoad_act!G126</f>
        <v>37</v>
      </c>
      <c r="H45" s="102">
        <f>TrRoad_act!H126</f>
        <v>37</v>
      </c>
      <c r="I45" s="102">
        <f>TrRoad_act!I126</f>
        <v>28</v>
      </c>
      <c r="J45" s="102">
        <f>TrRoad_act!J126</f>
        <v>5</v>
      </c>
      <c r="K45" s="102">
        <f>TrRoad_act!K126</f>
        <v>4</v>
      </c>
      <c r="L45" s="102">
        <f>TrRoad_act!L126</f>
        <v>0</v>
      </c>
      <c r="M45" s="102">
        <f>TrRoad_act!M126</f>
        <v>2</v>
      </c>
      <c r="N45" s="102">
        <f>TrRoad_act!N126</f>
        <v>0</v>
      </c>
      <c r="O45" s="102">
        <f>TrRoad_act!O126</f>
        <v>351</v>
      </c>
      <c r="P45" s="102">
        <f>TrRoad_act!P126</f>
        <v>1</v>
      </c>
      <c r="Q45" s="102">
        <f>TrRoad_act!Q126</f>
        <v>0</v>
      </c>
      <c r="R45" s="102">
        <f>TrRoad_act!R126</f>
        <v>7</v>
      </c>
      <c r="S45" s="102">
        <f>TrRoad_act!S126</f>
        <v>21</v>
      </c>
      <c r="T45" s="102">
        <f>TrRoad_act!T126</f>
        <v>19</v>
      </c>
      <c r="U45" s="102">
        <f>TrRoad_act!U126</f>
        <v>86</v>
      </c>
      <c r="V45" s="102">
        <f>TrRoad_act!V126</f>
        <v>7</v>
      </c>
      <c r="W45" s="102">
        <f>TrRoad_act!W126</f>
        <v>3</v>
      </c>
      <c r="X45" s="102">
        <f>TrRoad_act!X126</f>
        <v>48</v>
      </c>
      <c r="Y45" s="102">
        <f>TrRoad_act!Y126</f>
        <v>69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132</v>
      </c>
      <c r="C46" s="28">
        <f>TrRoad_act!C127</f>
        <v>4955</v>
      </c>
      <c r="D46" s="28">
        <f>TrRoad_act!D127</f>
        <v>8277</v>
      </c>
      <c r="E46" s="28">
        <f>TrRoad_act!E127</f>
        <v>12270</v>
      </c>
      <c r="F46" s="28">
        <f>TrRoad_act!F127</f>
        <v>6291</v>
      </c>
      <c r="G46" s="28">
        <f>TrRoad_act!G127</f>
        <v>7135</v>
      </c>
      <c r="H46" s="28">
        <f>TrRoad_act!H127</f>
        <v>14436</v>
      </c>
      <c r="I46" s="28">
        <f>TrRoad_act!I127</f>
        <v>13693</v>
      </c>
      <c r="J46" s="28">
        <f>TrRoad_act!J127</f>
        <v>6110</v>
      </c>
      <c r="K46" s="28">
        <f>TrRoad_act!K127</f>
        <v>10096</v>
      </c>
      <c r="L46" s="28">
        <f>TrRoad_act!L127</f>
        <v>983</v>
      </c>
      <c r="M46" s="28">
        <f>TrRoad_act!M127</f>
        <v>14422</v>
      </c>
      <c r="N46" s="28">
        <f>TrRoad_act!N127</f>
        <v>16708</v>
      </c>
      <c r="O46" s="28">
        <f>TrRoad_act!O127</f>
        <v>15902</v>
      </c>
      <c r="P46" s="28">
        <f>TrRoad_act!P127</f>
        <v>13010</v>
      </c>
      <c r="Q46" s="28">
        <f>TrRoad_act!Q127</f>
        <v>13737</v>
      </c>
      <c r="R46" s="28">
        <f>TrRoad_act!R127</f>
        <v>16139</v>
      </c>
      <c r="S46" s="28">
        <f>TrRoad_act!S127</f>
        <v>15748</v>
      </c>
      <c r="T46" s="28">
        <f>TrRoad_act!T127</f>
        <v>17041</v>
      </c>
      <c r="U46" s="28">
        <f>TrRoad_act!U127</f>
        <v>16858</v>
      </c>
      <c r="V46" s="28">
        <f>TrRoad_act!V127</f>
        <v>14707</v>
      </c>
      <c r="W46" s="28">
        <f>TrRoad_act!W127</f>
        <v>16686</v>
      </c>
      <c r="X46" s="28">
        <f>TrRoad_act!X127</f>
        <v>12665</v>
      </c>
      <c r="Y46" s="28">
        <f>TrRoad_act!Y127</f>
        <v>24342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0</v>
      </c>
      <c r="C47" s="137">
        <f>TrRoad_act!C128</f>
        <v>3466</v>
      </c>
      <c r="D47" s="137">
        <f>TrRoad_act!D128</f>
        <v>4730</v>
      </c>
      <c r="E47" s="137">
        <f>TrRoad_act!E128</f>
        <v>4458</v>
      </c>
      <c r="F47" s="137">
        <f>TrRoad_act!F128</f>
        <v>4177</v>
      </c>
      <c r="G47" s="137">
        <f>TrRoad_act!G128</f>
        <v>5184</v>
      </c>
      <c r="H47" s="137">
        <f>TrRoad_act!H128</f>
        <v>10133</v>
      </c>
      <c r="I47" s="137">
        <f>TrRoad_act!I128</f>
        <v>8201</v>
      </c>
      <c r="J47" s="137">
        <f>TrRoad_act!J128</f>
        <v>5747</v>
      </c>
      <c r="K47" s="137">
        <f>TrRoad_act!K128</f>
        <v>9773</v>
      </c>
      <c r="L47" s="137">
        <f>TrRoad_act!L128</f>
        <v>290</v>
      </c>
      <c r="M47" s="137">
        <f>TrRoad_act!M128</f>
        <v>10497</v>
      </c>
      <c r="N47" s="137">
        <f>TrRoad_act!N128</f>
        <v>11829</v>
      </c>
      <c r="O47" s="137">
        <f>TrRoad_act!O128</f>
        <v>10336</v>
      </c>
      <c r="P47" s="137">
        <f>TrRoad_act!P128</f>
        <v>10714</v>
      </c>
      <c r="Q47" s="137">
        <f>TrRoad_act!Q128</f>
        <v>10942</v>
      </c>
      <c r="R47" s="137">
        <f>TrRoad_act!R128</f>
        <v>10929</v>
      </c>
      <c r="S47" s="137">
        <f>TrRoad_act!S128</f>
        <v>11249</v>
      </c>
      <c r="T47" s="137">
        <f>TrRoad_act!T128</f>
        <v>11322</v>
      </c>
      <c r="U47" s="137">
        <f>TrRoad_act!U128</f>
        <v>12028</v>
      </c>
      <c r="V47" s="137">
        <f>TrRoad_act!V128</f>
        <v>10770</v>
      </c>
      <c r="W47" s="137">
        <f>TrRoad_act!W128</f>
        <v>11475</v>
      </c>
      <c r="X47" s="137">
        <f>TrRoad_act!X128</f>
        <v>11531</v>
      </c>
      <c r="Y47" s="137">
        <f>TrRoad_act!Y128</f>
        <v>10988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409</v>
      </c>
      <c r="D48" s="84">
        <f>TrRoad_act!D129</f>
        <v>409</v>
      </c>
      <c r="E48" s="84">
        <f>TrRoad_act!E129</f>
        <v>378</v>
      </c>
      <c r="F48" s="84">
        <f>TrRoad_act!F129</f>
        <v>354</v>
      </c>
      <c r="G48" s="84">
        <f>TrRoad_act!G129</f>
        <v>392</v>
      </c>
      <c r="H48" s="84">
        <f>TrRoad_act!H129</f>
        <v>1168</v>
      </c>
      <c r="I48" s="84">
        <f>TrRoad_act!I129</f>
        <v>951</v>
      </c>
      <c r="J48" s="84">
        <f>TrRoad_act!J129</f>
        <v>0</v>
      </c>
      <c r="K48" s="84">
        <f>TrRoad_act!K129</f>
        <v>727</v>
      </c>
      <c r="L48" s="84">
        <f>TrRoad_act!L129</f>
        <v>290</v>
      </c>
      <c r="M48" s="84">
        <f>TrRoad_act!M129</f>
        <v>278</v>
      </c>
      <c r="N48" s="84">
        <f>TrRoad_act!N129</f>
        <v>293</v>
      </c>
      <c r="O48" s="84">
        <f>TrRoad_act!O129</f>
        <v>299</v>
      </c>
      <c r="P48" s="84">
        <f>TrRoad_act!P129</f>
        <v>269</v>
      </c>
      <c r="Q48" s="84">
        <f>TrRoad_act!Q129</f>
        <v>224</v>
      </c>
      <c r="R48" s="84">
        <f>TrRoad_act!R129</f>
        <v>50</v>
      </c>
      <c r="S48" s="84">
        <f>TrRoad_act!S129</f>
        <v>76</v>
      </c>
      <c r="T48" s="84">
        <f>TrRoad_act!T129</f>
        <v>140</v>
      </c>
      <c r="U48" s="84">
        <f>TrRoad_act!U129</f>
        <v>806</v>
      </c>
      <c r="V48" s="84">
        <f>TrRoad_act!V129</f>
        <v>96</v>
      </c>
      <c r="W48" s="84">
        <f>TrRoad_act!W129</f>
        <v>121</v>
      </c>
      <c r="X48" s="84">
        <f>TrRoad_act!X129</f>
        <v>139</v>
      </c>
      <c r="Y48" s="84">
        <f>TrRoad_act!Y129</f>
        <v>197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3057</v>
      </c>
      <c r="D49" s="84">
        <f>TrRoad_act!D130</f>
        <v>4321</v>
      </c>
      <c r="E49" s="84">
        <f>TrRoad_act!E130</f>
        <v>4080</v>
      </c>
      <c r="F49" s="84">
        <f>TrRoad_act!F130</f>
        <v>3823</v>
      </c>
      <c r="G49" s="84">
        <f>TrRoad_act!G130</f>
        <v>4792</v>
      </c>
      <c r="H49" s="84">
        <f>TrRoad_act!H130</f>
        <v>8965</v>
      </c>
      <c r="I49" s="84">
        <f>TrRoad_act!I130</f>
        <v>7250</v>
      </c>
      <c r="J49" s="84">
        <f>TrRoad_act!J130</f>
        <v>5747</v>
      </c>
      <c r="K49" s="84">
        <f>TrRoad_act!K130</f>
        <v>9046</v>
      </c>
      <c r="L49" s="84">
        <f>TrRoad_act!L130</f>
        <v>0</v>
      </c>
      <c r="M49" s="84">
        <f>TrRoad_act!M130</f>
        <v>10219</v>
      </c>
      <c r="N49" s="84">
        <f>TrRoad_act!N130</f>
        <v>11536</v>
      </c>
      <c r="O49" s="84">
        <f>TrRoad_act!O130</f>
        <v>10037</v>
      </c>
      <c r="P49" s="84">
        <f>TrRoad_act!P130</f>
        <v>10445</v>
      </c>
      <c r="Q49" s="84">
        <f>TrRoad_act!Q130</f>
        <v>10718</v>
      </c>
      <c r="R49" s="84">
        <f>TrRoad_act!R130</f>
        <v>10879</v>
      </c>
      <c r="S49" s="84">
        <f>TrRoad_act!S130</f>
        <v>11173</v>
      </c>
      <c r="T49" s="84">
        <f>TrRoad_act!T130</f>
        <v>11182</v>
      </c>
      <c r="U49" s="84">
        <f>TrRoad_act!U130</f>
        <v>11222</v>
      </c>
      <c r="V49" s="84">
        <f>TrRoad_act!V130</f>
        <v>10674</v>
      </c>
      <c r="W49" s="84">
        <f>TrRoad_act!W130</f>
        <v>11354</v>
      </c>
      <c r="X49" s="84">
        <f>TrRoad_act!X130</f>
        <v>11392</v>
      </c>
      <c r="Y49" s="84">
        <f>TrRoad_act!Y130</f>
        <v>10791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X50" s="84">
        <f>TrRoad_act!X131</f>
        <v>0</v>
      </c>
      <c r="Y50" s="84">
        <f>TrRoad_act!Y131</f>
        <v>0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X51" s="84">
        <f>TrRoad_act!X132</f>
        <v>0</v>
      </c>
      <c r="Y51" s="84">
        <f>TrRoad_act!Y132</f>
        <v>0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0</v>
      </c>
      <c r="O52" s="84">
        <f>TrRoad_act!O133</f>
        <v>0</v>
      </c>
      <c r="P52" s="84">
        <f>TrRoad_act!P133</f>
        <v>0</v>
      </c>
      <c r="Q52" s="84">
        <f>TrRoad_act!Q133</f>
        <v>0</v>
      </c>
      <c r="R52" s="84">
        <f>TrRoad_act!R133</f>
        <v>0</v>
      </c>
      <c r="S52" s="84">
        <f>TrRoad_act!S133</f>
        <v>0</v>
      </c>
      <c r="T52" s="84">
        <f>TrRoad_act!T133</f>
        <v>0</v>
      </c>
      <c r="U52" s="84">
        <f>TrRoad_act!U133</f>
        <v>0</v>
      </c>
      <c r="V52" s="84">
        <f>TrRoad_act!V133</f>
        <v>0</v>
      </c>
      <c r="W52" s="84">
        <f>TrRoad_act!W133</f>
        <v>0</v>
      </c>
      <c r="X52" s="84">
        <f>TrRoad_act!X133</f>
        <v>0</v>
      </c>
      <c r="Y52" s="84">
        <f>TrRoad_act!Y133</f>
        <v>0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132</v>
      </c>
      <c r="C53" s="110">
        <f>TrRoad_act!C134</f>
        <v>1489</v>
      </c>
      <c r="D53" s="110">
        <f>TrRoad_act!D134</f>
        <v>3547</v>
      </c>
      <c r="E53" s="110">
        <f>TrRoad_act!E134</f>
        <v>7812</v>
      </c>
      <c r="F53" s="110">
        <f>TrRoad_act!F134</f>
        <v>2114</v>
      </c>
      <c r="G53" s="110">
        <f>TrRoad_act!G134</f>
        <v>1951</v>
      </c>
      <c r="H53" s="110">
        <f>TrRoad_act!H134</f>
        <v>4303</v>
      </c>
      <c r="I53" s="110">
        <f>TrRoad_act!I134</f>
        <v>5492</v>
      </c>
      <c r="J53" s="110">
        <f>TrRoad_act!J134</f>
        <v>363</v>
      </c>
      <c r="K53" s="110">
        <f>TrRoad_act!K134</f>
        <v>323</v>
      </c>
      <c r="L53" s="110">
        <f>TrRoad_act!L134</f>
        <v>693</v>
      </c>
      <c r="M53" s="110">
        <f>TrRoad_act!M134</f>
        <v>3925</v>
      </c>
      <c r="N53" s="110">
        <f>TrRoad_act!N134</f>
        <v>4879</v>
      </c>
      <c r="O53" s="110">
        <f>TrRoad_act!O134</f>
        <v>5566</v>
      </c>
      <c r="P53" s="110">
        <f>TrRoad_act!P134</f>
        <v>2296</v>
      </c>
      <c r="Q53" s="110">
        <f>TrRoad_act!Q134</f>
        <v>2795</v>
      </c>
      <c r="R53" s="110">
        <f>TrRoad_act!R134</f>
        <v>5210</v>
      </c>
      <c r="S53" s="110">
        <f>TrRoad_act!S134</f>
        <v>4499</v>
      </c>
      <c r="T53" s="110">
        <f>TrRoad_act!T134</f>
        <v>5719</v>
      </c>
      <c r="U53" s="110">
        <f>TrRoad_act!U134</f>
        <v>4830</v>
      </c>
      <c r="V53" s="110">
        <f>TrRoad_act!V134</f>
        <v>3937</v>
      </c>
      <c r="W53" s="110">
        <f>TrRoad_act!W134</f>
        <v>5211</v>
      </c>
      <c r="X53" s="110">
        <f>TrRoad_act!X134</f>
        <v>1134</v>
      </c>
      <c r="Y53" s="110">
        <f>TrRoad_act!Y134</f>
        <v>13354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1337</v>
      </c>
      <c r="D54" s="102">
        <f>TrRoad_act!D135</f>
        <v>3404</v>
      </c>
      <c r="E54" s="102">
        <f>TrRoad_act!E135</f>
        <v>7695</v>
      </c>
      <c r="F54" s="102">
        <f>TrRoad_act!F135</f>
        <v>1741</v>
      </c>
      <c r="G54" s="102">
        <f>TrRoad_act!G135</f>
        <v>1779</v>
      </c>
      <c r="H54" s="102">
        <f>TrRoad_act!H135</f>
        <v>3665</v>
      </c>
      <c r="I54" s="102">
        <f>TrRoad_act!I135</f>
        <v>5103</v>
      </c>
      <c r="J54" s="102">
        <f>TrRoad_act!J135</f>
        <v>363</v>
      </c>
      <c r="K54" s="102">
        <f>TrRoad_act!K135</f>
        <v>323</v>
      </c>
      <c r="L54" s="102">
        <f>TrRoad_act!L135</f>
        <v>316</v>
      </c>
      <c r="M54" s="102">
        <f>TrRoad_act!M135</f>
        <v>3485</v>
      </c>
      <c r="N54" s="102">
        <f>TrRoad_act!N135</f>
        <v>4316</v>
      </c>
      <c r="O54" s="102">
        <f>TrRoad_act!O135</f>
        <v>4900</v>
      </c>
      <c r="P54" s="102">
        <f>TrRoad_act!P135</f>
        <v>2290</v>
      </c>
      <c r="Q54" s="102">
        <f>TrRoad_act!Q135</f>
        <v>2209</v>
      </c>
      <c r="R54" s="102">
        <f>TrRoad_act!R135</f>
        <v>4887</v>
      </c>
      <c r="S54" s="102">
        <f>TrRoad_act!S135</f>
        <v>4233</v>
      </c>
      <c r="T54" s="102">
        <f>TrRoad_act!T135</f>
        <v>5646</v>
      </c>
      <c r="U54" s="102">
        <f>TrRoad_act!U135</f>
        <v>4600</v>
      </c>
      <c r="V54" s="102">
        <f>TrRoad_act!V135</f>
        <v>3254</v>
      </c>
      <c r="W54" s="102">
        <f>TrRoad_act!W135</f>
        <v>4811</v>
      </c>
      <c r="X54" s="102">
        <f>TrRoad_act!X135</f>
        <v>416</v>
      </c>
      <c r="Y54" s="102">
        <f>TrRoad_act!Y135</f>
        <v>12734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132</v>
      </c>
      <c r="C55" s="86">
        <f>TrRoad_act!C136</f>
        <v>152</v>
      </c>
      <c r="D55" s="86">
        <f>TrRoad_act!D136</f>
        <v>143</v>
      </c>
      <c r="E55" s="86">
        <f>TrRoad_act!E136</f>
        <v>117</v>
      </c>
      <c r="F55" s="86">
        <f>TrRoad_act!F136</f>
        <v>373</v>
      </c>
      <c r="G55" s="86">
        <f>TrRoad_act!G136</f>
        <v>172</v>
      </c>
      <c r="H55" s="86">
        <f>TrRoad_act!H136</f>
        <v>638</v>
      </c>
      <c r="I55" s="86">
        <f>TrRoad_act!I136</f>
        <v>389</v>
      </c>
      <c r="J55" s="86">
        <f>TrRoad_act!J136</f>
        <v>0</v>
      </c>
      <c r="K55" s="86">
        <f>TrRoad_act!K136</f>
        <v>0</v>
      </c>
      <c r="L55" s="86">
        <f>TrRoad_act!L136</f>
        <v>377</v>
      </c>
      <c r="M55" s="86">
        <f>TrRoad_act!M136</f>
        <v>440</v>
      </c>
      <c r="N55" s="86">
        <f>TrRoad_act!N136</f>
        <v>563</v>
      </c>
      <c r="O55" s="86">
        <f>TrRoad_act!O136</f>
        <v>666</v>
      </c>
      <c r="P55" s="86">
        <f>TrRoad_act!P136</f>
        <v>6</v>
      </c>
      <c r="Q55" s="86">
        <f>TrRoad_act!Q136</f>
        <v>586</v>
      </c>
      <c r="R55" s="86">
        <f>TrRoad_act!R136</f>
        <v>323</v>
      </c>
      <c r="S55" s="86">
        <f>TrRoad_act!S136</f>
        <v>266</v>
      </c>
      <c r="T55" s="86">
        <f>TrRoad_act!T136</f>
        <v>73</v>
      </c>
      <c r="U55" s="86">
        <f>TrRoad_act!U136</f>
        <v>230</v>
      </c>
      <c r="V55" s="86">
        <f>TrRoad_act!V136</f>
        <v>683</v>
      </c>
      <c r="W55" s="86">
        <f>TrRoad_act!W136</f>
        <v>400</v>
      </c>
      <c r="X55" s="86">
        <f>TrRoad_act!X136</f>
        <v>718</v>
      </c>
      <c r="Y55" s="86">
        <f>TrRoad_act!Y136</f>
        <v>620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28</v>
      </c>
      <c r="C59" s="54">
        <f t="shared" si="0"/>
        <v>98</v>
      </c>
      <c r="D59" s="54">
        <f t="shared" si="0"/>
        <v>314</v>
      </c>
      <c r="E59" s="54">
        <f t="shared" si="0"/>
        <v>601</v>
      </c>
      <c r="F59" s="54">
        <f t="shared" si="0"/>
        <v>1538</v>
      </c>
      <c r="G59" s="54">
        <f t="shared" si="0"/>
        <v>2</v>
      </c>
      <c r="H59" s="54">
        <f t="shared" si="0"/>
        <v>2977</v>
      </c>
      <c r="I59" s="54">
        <f t="shared" si="0"/>
        <v>6154</v>
      </c>
      <c r="J59" s="54">
        <f t="shared" si="0"/>
        <v>12238</v>
      </c>
      <c r="K59" s="54">
        <f t="shared" si="0"/>
        <v>5208</v>
      </c>
      <c r="L59" s="54">
        <f t="shared" ref="L59" si="1">L60+L75</f>
        <v>1239</v>
      </c>
      <c r="M59" s="54">
        <f t="shared" ref="M59:V59" si="2">M60+M75</f>
        <v>3279</v>
      </c>
      <c r="N59" s="54">
        <f t="shared" si="2"/>
        <v>118165</v>
      </c>
      <c r="O59" s="54">
        <f t="shared" si="2"/>
        <v>94420</v>
      </c>
      <c r="P59" s="54">
        <f t="shared" si="2"/>
        <v>114377</v>
      </c>
      <c r="Q59" s="54">
        <f t="shared" si="2"/>
        <v>175836</v>
      </c>
      <c r="R59" s="54">
        <f t="shared" si="2"/>
        <v>144476</v>
      </c>
      <c r="S59" s="54">
        <f t="shared" si="2"/>
        <v>189893</v>
      </c>
      <c r="T59" s="54">
        <f t="shared" si="2"/>
        <v>218120</v>
      </c>
      <c r="U59" s="54">
        <f t="shared" si="2"/>
        <v>260374</v>
      </c>
      <c r="V59" s="54">
        <f t="shared" si="2"/>
        <v>206163</v>
      </c>
      <c r="W59" s="54">
        <f t="shared" ref="W59:Y59" si="3">W60+W75</f>
        <v>200466</v>
      </c>
      <c r="X59" s="54">
        <f t="shared" si="3"/>
        <v>194669</v>
      </c>
      <c r="Y59" s="54">
        <f t="shared" si="3"/>
        <v>217129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28</v>
      </c>
      <c r="C60" s="28">
        <f t="shared" si="4"/>
        <v>98</v>
      </c>
      <c r="D60" s="28">
        <f t="shared" si="4"/>
        <v>314</v>
      </c>
      <c r="E60" s="28">
        <f t="shared" si="4"/>
        <v>601</v>
      </c>
      <c r="F60" s="28">
        <f t="shared" si="4"/>
        <v>1538</v>
      </c>
      <c r="G60" s="28">
        <f t="shared" si="4"/>
        <v>2</v>
      </c>
      <c r="H60" s="28">
        <f t="shared" si="4"/>
        <v>2977</v>
      </c>
      <c r="I60" s="28">
        <f t="shared" si="4"/>
        <v>5759</v>
      </c>
      <c r="J60" s="28">
        <f t="shared" si="4"/>
        <v>12135</v>
      </c>
      <c r="K60" s="28">
        <f t="shared" si="4"/>
        <v>5095</v>
      </c>
      <c r="L60" s="28">
        <f t="shared" ref="L60" si="5">L61+L62+L69</f>
        <v>1000</v>
      </c>
      <c r="M60" s="28">
        <f t="shared" ref="M60:V60" si="6">M61+M62+M69</f>
        <v>1239</v>
      </c>
      <c r="N60" s="28">
        <f t="shared" si="6"/>
        <v>115290</v>
      </c>
      <c r="O60" s="28">
        <f t="shared" si="6"/>
        <v>90767</v>
      </c>
      <c r="P60" s="28">
        <f t="shared" si="6"/>
        <v>112729</v>
      </c>
      <c r="Q60" s="28">
        <f t="shared" si="6"/>
        <v>169340</v>
      </c>
      <c r="R60" s="28">
        <f t="shared" si="6"/>
        <v>131235</v>
      </c>
      <c r="S60" s="28">
        <f t="shared" si="6"/>
        <v>175835</v>
      </c>
      <c r="T60" s="28">
        <f t="shared" si="6"/>
        <v>202142</v>
      </c>
      <c r="U60" s="28">
        <f t="shared" si="6"/>
        <v>244126</v>
      </c>
      <c r="V60" s="28">
        <f t="shared" si="6"/>
        <v>191634</v>
      </c>
      <c r="W60" s="28">
        <f t="shared" ref="W60:Y60" si="7">W61+W62+W69</f>
        <v>183827</v>
      </c>
      <c r="X60" s="28">
        <f t="shared" si="7"/>
        <v>182028</v>
      </c>
      <c r="Y60" s="28">
        <f t="shared" si="7"/>
        <v>192787</v>
      </c>
      <c r="DA60" s="173" t="s">
        <v>839</v>
      </c>
    </row>
    <row r="61" spans="1:105" ht="11.45" customHeight="1" x14ac:dyDescent="0.25">
      <c r="A61" s="136" t="s">
        <v>173</v>
      </c>
      <c r="B61" s="137">
        <v>0</v>
      </c>
      <c r="C61" s="137">
        <v>0</v>
      </c>
      <c r="D61" s="137">
        <v>0</v>
      </c>
      <c r="E61" s="137">
        <v>0</v>
      </c>
      <c r="F61" s="137">
        <v>0</v>
      </c>
      <c r="G61" s="137">
        <v>0</v>
      </c>
      <c r="H61" s="137">
        <v>0</v>
      </c>
      <c r="I61" s="137">
        <v>1625</v>
      </c>
      <c r="J61" s="137">
        <v>2839</v>
      </c>
      <c r="K61" s="137">
        <v>2435</v>
      </c>
      <c r="L61" s="137">
        <v>964</v>
      </c>
      <c r="M61" s="137">
        <v>1190</v>
      </c>
      <c r="N61" s="137">
        <v>1204</v>
      </c>
      <c r="O61" s="137">
        <v>1341</v>
      </c>
      <c r="P61" s="137">
        <v>1546</v>
      </c>
      <c r="Q61" s="137">
        <v>1619</v>
      </c>
      <c r="R61" s="137">
        <v>3145</v>
      </c>
      <c r="S61" s="137">
        <v>3796</v>
      </c>
      <c r="T61" s="137">
        <v>4896</v>
      </c>
      <c r="U61" s="137">
        <v>11104</v>
      </c>
      <c r="V61" s="137">
        <v>11110</v>
      </c>
      <c r="W61" s="137">
        <v>12344</v>
      </c>
      <c r="X61" s="137">
        <v>13283</v>
      </c>
      <c r="Y61" s="137">
        <v>13211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28</v>
      </c>
      <c r="C62" s="110">
        <f t="shared" si="8"/>
        <v>98</v>
      </c>
      <c r="D62" s="110">
        <f t="shared" si="8"/>
        <v>314</v>
      </c>
      <c r="E62" s="110">
        <f t="shared" si="8"/>
        <v>601</v>
      </c>
      <c r="F62" s="110">
        <f t="shared" si="8"/>
        <v>1538</v>
      </c>
      <c r="G62" s="110">
        <f t="shared" si="8"/>
        <v>0</v>
      </c>
      <c r="H62" s="110">
        <f t="shared" si="8"/>
        <v>2970</v>
      </c>
      <c r="I62" s="110">
        <f t="shared" si="8"/>
        <v>4126</v>
      </c>
      <c r="J62" s="110">
        <f t="shared" si="8"/>
        <v>9294</v>
      </c>
      <c r="K62" s="110">
        <f t="shared" si="8"/>
        <v>2609</v>
      </c>
      <c r="L62" s="110">
        <f t="shared" ref="L62" si="9">SUM(L63:L68)</f>
        <v>3</v>
      </c>
      <c r="M62" s="110">
        <f t="shared" ref="M62:V62" si="10">SUM(M63:M68)</f>
        <v>19</v>
      </c>
      <c r="N62" s="110">
        <f t="shared" si="10"/>
        <v>114086</v>
      </c>
      <c r="O62" s="110">
        <f t="shared" si="10"/>
        <v>89035</v>
      </c>
      <c r="P62" s="110">
        <f t="shared" si="10"/>
        <v>111073</v>
      </c>
      <c r="Q62" s="110">
        <f t="shared" si="10"/>
        <v>167485</v>
      </c>
      <c r="R62" s="110">
        <f t="shared" si="10"/>
        <v>128080</v>
      </c>
      <c r="S62" s="110">
        <f t="shared" si="10"/>
        <v>171788</v>
      </c>
      <c r="T62" s="110">
        <f t="shared" si="10"/>
        <v>196585</v>
      </c>
      <c r="U62" s="110">
        <f t="shared" si="10"/>
        <v>232589</v>
      </c>
      <c r="V62" s="110">
        <f t="shared" si="10"/>
        <v>180130</v>
      </c>
      <c r="W62" s="110">
        <f t="shared" ref="W62:Y62" si="11">SUM(W63:W68)</f>
        <v>171108</v>
      </c>
      <c r="X62" s="110">
        <f t="shared" si="11"/>
        <v>168547</v>
      </c>
      <c r="Y62" s="110">
        <f t="shared" si="11"/>
        <v>179304</v>
      </c>
      <c r="DA62" s="176" t="s">
        <v>841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8220</v>
      </c>
      <c r="K63" s="84">
        <v>1729</v>
      </c>
      <c r="L63" s="84">
        <v>3</v>
      </c>
      <c r="M63" s="84">
        <v>19</v>
      </c>
      <c r="N63" s="84">
        <v>10</v>
      </c>
      <c r="O63" s="84">
        <v>13193</v>
      </c>
      <c r="P63" s="84">
        <v>31208</v>
      </c>
      <c r="Q63" s="84">
        <v>31198</v>
      </c>
      <c r="R63" s="84">
        <v>30187</v>
      </c>
      <c r="S63" s="84">
        <v>45431</v>
      </c>
      <c r="T63" s="84">
        <v>51829</v>
      </c>
      <c r="U63" s="84">
        <v>74932</v>
      </c>
      <c r="V63" s="84">
        <v>55185</v>
      </c>
      <c r="W63" s="84">
        <v>44021</v>
      </c>
      <c r="X63" s="84">
        <v>32128</v>
      </c>
      <c r="Y63" s="84">
        <v>34190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109292</v>
      </c>
      <c r="O64" s="84">
        <v>62149</v>
      </c>
      <c r="P64" s="84">
        <v>72806</v>
      </c>
      <c r="Q64" s="84">
        <v>127444</v>
      </c>
      <c r="R64" s="84">
        <v>91988</v>
      </c>
      <c r="S64" s="84">
        <v>119229</v>
      </c>
      <c r="T64" s="84">
        <v>129663</v>
      </c>
      <c r="U64" s="84">
        <v>137272</v>
      </c>
      <c r="V64" s="84">
        <v>100646</v>
      </c>
      <c r="W64" s="84">
        <v>100706</v>
      </c>
      <c r="X64" s="84">
        <v>100946</v>
      </c>
      <c r="Y64" s="84">
        <v>105460</v>
      </c>
      <c r="DA64" s="171" t="s">
        <v>843</v>
      </c>
    </row>
    <row r="65" spans="1:105" ht="11.45" customHeight="1" x14ac:dyDescent="0.25">
      <c r="A65" s="111" t="s">
        <v>112</v>
      </c>
      <c r="B65" s="84">
        <v>28</v>
      </c>
      <c r="C65" s="84">
        <v>98</v>
      </c>
      <c r="D65" s="84">
        <v>314</v>
      </c>
      <c r="E65" s="84">
        <v>601</v>
      </c>
      <c r="F65" s="84">
        <v>1538</v>
      </c>
      <c r="G65" s="84">
        <v>0</v>
      </c>
      <c r="H65" s="84">
        <v>2970</v>
      </c>
      <c r="I65" s="84">
        <v>4126</v>
      </c>
      <c r="J65" s="84">
        <v>1074</v>
      </c>
      <c r="K65" s="84">
        <v>880</v>
      </c>
      <c r="L65" s="84">
        <v>0</v>
      </c>
      <c r="M65" s="84">
        <v>0</v>
      </c>
      <c r="N65" s="84">
        <v>4784</v>
      </c>
      <c r="O65" s="84">
        <v>13693</v>
      </c>
      <c r="P65" s="84">
        <v>6956</v>
      </c>
      <c r="Q65" s="84">
        <v>8312</v>
      </c>
      <c r="R65" s="84">
        <v>4497</v>
      </c>
      <c r="S65" s="84">
        <v>4196</v>
      </c>
      <c r="T65" s="84">
        <v>9383</v>
      </c>
      <c r="U65" s="84">
        <v>12735</v>
      </c>
      <c r="V65" s="84">
        <v>11114</v>
      </c>
      <c r="W65" s="84">
        <v>6442</v>
      </c>
      <c r="X65" s="84">
        <v>16614</v>
      </c>
      <c r="Y65" s="84">
        <v>17150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7</v>
      </c>
      <c r="U66" s="84">
        <v>1</v>
      </c>
      <c r="V66" s="84">
        <v>79</v>
      </c>
      <c r="W66" s="84">
        <v>77</v>
      </c>
      <c r="X66" s="84">
        <v>664</v>
      </c>
      <c r="Y66" s="84">
        <v>1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92</v>
      </c>
      <c r="Q67" s="84">
        <v>437</v>
      </c>
      <c r="R67" s="84">
        <v>1223</v>
      </c>
      <c r="S67" s="84">
        <v>2666</v>
      </c>
      <c r="T67" s="84">
        <v>5373</v>
      </c>
      <c r="U67" s="84">
        <v>7231</v>
      </c>
      <c r="V67" s="84">
        <v>11977</v>
      </c>
      <c r="W67" s="84">
        <v>17515</v>
      </c>
      <c r="X67" s="84">
        <v>15669</v>
      </c>
      <c r="Y67" s="84">
        <v>18322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11</v>
      </c>
      <c r="Q68" s="84">
        <v>94</v>
      </c>
      <c r="R68" s="84">
        <v>185</v>
      </c>
      <c r="S68" s="84">
        <v>266</v>
      </c>
      <c r="T68" s="84">
        <v>330</v>
      </c>
      <c r="U68" s="84">
        <v>418</v>
      </c>
      <c r="V68" s="84">
        <v>1129</v>
      </c>
      <c r="W68" s="84">
        <v>2347</v>
      </c>
      <c r="X68" s="84">
        <v>2526</v>
      </c>
      <c r="Y68" s="84">
        <v>4181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0</v>
      </c>
      <c r="G69" s="110">
        <f t="shared" si="12"/>
        <v>2</v>
      </c>
      <c r="H69" s="110">
        <f t="shared" si="12"/>
        <v>7</v>
      </c>
      <c r="I69" s="110">
        <f t="shared" si="12"/>
        <v>8</v>
      </c>
      <c r="J69" s="110">
        <f t="shared" si="12"/>
        <v>2</v>
      </c>
      <c r="K69" s="110">
        <f t="shared" si="12"/>
        <v>51</v>
      </c>
      <c r="L69" s="110">
        <f t="shared" ref="L69" si="13">SUM(L70:L74)</f>
        <v>33</v>
      </c>
      <c r="M69" s="110">
        <f t="shared" ref="M69:V69" si="14">SUM(M70:M74)</f>
        <v>30</v>
      </c>
      <c r="N69" s="110">
        <f t="shared" si="14"/>
        <v>0</v>
      </c>
      <c r="O69" s="110">
        <f t="shared" si="14"/>
        <v>391</v>
      </c>
      <c r="P69" s="110">
        <f t="shared" si="14"/>
        <v>110</v>
      </c>
      <c r="Q69" s="110">
        <f t="shared" si="14"/>
        <v>236</v>
      </c>
      <c r="R69" s="110">
        <f t="shared" si="14"/>
        <v>10</v>
      </c>
      <c r="S69" s="110">
        <f t="shared" si="14"/>
        <v>251</v>
      </c>
      <c r="T69" s="110">
        <f t="shared" si="14"/>
        <v>661</v>
      </c>
      <c r="U69" s="110">
        <f t="shared" si="14"/>
        <v>433</v>
      </c>
      <c r="V69" s="110">
        <f t="shared" si="14"/>
        <v>394</v>
      </c>
      <c r="W69" s="110">
        <f t="shared" ref="W69:Y69" si="15">SUM(W70:W74)</f>
        <v>375</v>
      </c>
      <c r="X69" s="110">
        <f t="shared" si="15"/>
        <v>198</v>
      </c>
      <c r="Y69" s="110">
        <f t="shared" si="15"/>
        <v>272</v>
      </c>
      <c r="DA69" s="176" t="s">
        <v>848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52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229</v>
      </c>
      <c r="T71" s="102">
        <v>636</v>
      </c>
      <c r="U71" s="102">
        <v>318</v>
      </c>
      <c r="V71" s="102">
        <v>156</v>
      </c>
      <c r="W71" s="102">
        <v>262</v>
      </c>
      <c r="X71" s="102">
        <v>150</v>
      </c>
      <c r="Y71" s="102">
        <v>199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1</v>
      </c>
      <c r="N72" s="102">
        <v>0</v>
      </c>
      <c r="O72" s="102">
        <v>15</v>
      </c>
      <c r="P72" s="102">
        <v>74</v>
      </c>
      <c r="Q72" s="102">
        <v>1</v>
      </c>
      <c r="R72" s="102">
        <v>0</v>
      </c>
      <c r="S72" s="102">
        <v>2</v>
      </c>
      <c r="T72" s="102">
        <v>6</v>
      </c>
      <c r="U72" s="102">
        <v>30</v>
      </c>
      <c r="V72" s="102">
        <v>0</v>
      </c>
      <c r="W72" s="102">
        <v>0</v>
      </c>
      <c r="X72" s="102">
        <v>0</v>
      </c>
      <c r="Y72" s="102">
        <v>3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49</v>
      </c>
      <c r="L73" s="102">
        <v>33</v>
      </c>
      <c r="M73" s="102">
        <v>28</v>
      </c>
      <c r="N73" s="102">
        <v>0</v>
      </c>
      <c r="O73" s="102">
        <v>77</v>
      </c>
      <c r="P73" s="102">
        <v>35</v>
      </c>
      <c r="Q73" s="102">
        <v>235</v>
      </c>
      <c r="R73" s="102">
        <v>3</v>
      </c>
      <c r="S73" s="102">
        <v>0</v>
      </c>
      <c r="T73" s="102">
        <v>0</v>
      </c>
      <c r="U73" s="102">
        <v>0</v>
      </c>
      <c r="V73" s="102">
        <v>231</v>
      </c>
      <c r="W73" s="102">
        <v>110</v>
      </c>
      <c r="X73" s="102">
        <v>0</v>
      </c>
      <c r="Y73" s="102">
        <v>1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2</v>
      </c>
      <c r="H74" s="102">
        <v>7</v>
      </c>
      <c r="I74" s="102">
        <v>8</v>
      </c>
      <c r="J74" s="102">
        <v>2</v>
      </c>
      <c r="K74" s="102">
        <v>2</v>
      </c>
      <c r="L74" s="102">
        <v>0</v>
      </c>
      <c r="M74" s="102">
        <v>1</v>
      </c>
      <c r="N74" s="102">
        <v>0</v>
      </c>
      <c r="O74" s="102">
        <v>247</v>
      </c>
      <c r="P74" s="102">
        <v>1</v>
      </c>
      <c r="Q74" s="102">
        <v>0</v>
      </c>
      <c r="R74" s="102">
        <v>7</v>
      </c>
      <c r="S74" s="102">
        <v>20</v>
      </c>
      <c r="T74" s="102">
        <v>19</v>
      </c>
      <c r="U74" s="102">
        <v>85</v>
      </c>
      <c r="V74" s="102">
        <v>7</v>
      </c>
      <c r="W74" s="102">
        <v>3</v>
      </c>
      <c r="X74" s="102">
        <v>48</v>
      </c>
      <c r="Y74" s="102">
        <v>69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0</v>
      </c>
      <c r="H75" s="28">
        <f t="shared" si="16"/>
        <v>0</v>
      </c>
      <c r="I75" s="28">
        <f t="shared" si="16"/>
        <v>395</v>
      </c>
      <c r="J75" s="28">
        <f t="shared" si="16"/>
        <v>103</v>
      </c>
      <c r="K75" s="28">
        <f t="shared" si="16"/>
        <v>113</v>
      </c>
      <c r="L75" s="28">
        <f t="shared" ref="L75" si="17">L76+L82</f>
        <v>239</v>
      </c>
      <c r="M75" s="28">
        <f t="shared" ref="M75:V75" si="18">M76+M82</f>
        <v>2040</v>
      </c>
      <c r="N75" s="28">
        <f t="shared" si="18"/>
        <v>2875</v>
      </c>
      <c r="O75" s="28">
        <f t="shared" si="18"/>
        <v>3653</v>
      </c>
      <c r="P75" s="28">
        <f t="shared" si="18"/>
        <v>1648</v>
      </c>
      <c r="Q75" s="28">
        <f t="shared" si="18"/>
        <v>6496</v>
      </c>
      <c r="R75" s="28">
        <f t="shared" si="18"/>
        <v>13241</v>
      </c>
      <c r="S75" s="28">
        <f t="shared" si="18"/>
        <v>14058</v>
      </c>
      <c r="T75" s="28">
        <f t="shared" si="18"/>
        <v>15978</v>
      </c>
      <c r="U75" s="28">
        <f t="shared" si="18"/>
        <v>16248</v>
      </c>
      <c r="V75" s="28">
        <f t="shared" si="18"/>
        <v>14529</v>
      </c>
      <c r="W75" s="28">
        <f t="shared" ref="W75:Y75" si="19">W76+W82</f>
        <v>16639</v>
      </c>
      <c r="X75" s="28">
        <f t="shared" si="19"/>
        <v>12641</v>
      </c>
      <c r="Y75" s="28">
        <f t="shared" si="19"/>
        <v>24342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0</v>
      </c>
      <c r="K76" s="137">
        <f t="shared" si="20"/>
        <v>0</v>
      </c>
      <c r="L76" s="137">
        <f t="shared" ref="L76" si="21">SUM(L77:L81)</f>
        <v>0</v>
      </c>
      <c r="M76" s="137">
        <f t="shared" ref="M76:V76" si="22">SUM(M77:M81)</f>
        <v>0</v>
      </c>
      <c r="N76" s="137">
        <f t="shared" si="22"/>
        <v>0</v>
      </c>
      <c r="O76" s="137">
        <f t="shared" si="22"/>
        <v>0</v>
      </c>
      <c r="P76" s="137">
        <f t="shared" si="22"/>
        <v>0</v>
      </c>
      <c r="Q76" s="137">
        <f t="shared" si="22"/>
        <v>4319</v>
      </c>
      <c r="R76" s="137">
        <f t="shared" si="22"/>
        <v>8885</v>
      </c>
      <c r="S76" s="137">
        <f t="shared" si="22"/>
        <v>10079</v>
      </c>
      <c r="T76" s="137">
        <f t="shared" si="22"/>
        <v>10667</v>
      </c>
      <c r="U76" s="137">
        <f t="shared" si="22"/>
        <v>11627</v>
      </c>
      <c r="V76" s="137">
        <f t="shared" si="22"/>
        <v>10713</v>
      </c>
      <c r="W76" s="137">
        <f t="shared" ref="W76:Y76" si="23">SUM(W77:W81)</f>
        <v>11473</v>
      </c>
      <c r="X76" s="137">
        <f t="shared" si="23"/>
        <v>11530</v>
      </c>
      <c r="Y76" s="137">
        <f t="shared" si="23"/>
        <v>10988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608</v>
      </c>
      <c r="V77" s="84">
        <v>96</v>
      </c>
      <c r="W77" s="84">
        <v>121</v>
      </c>
      <c r="X77" s="84">
        <v>139</v>
      </c>
      <c r="Y77" s="84">
        <v>197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4319</v>
      </c>
      <c r="R78" s="84">
        <v>8885</v>
      </c>
      <c r="S78" s="84">
        <v>10079</v>
      </c>
      <c r="T78" s="84">
        <v>10667</v>
      </c>
      <c r="U78" s="84">
        <v>11019</v>
      </c>
      <c r="V78" s="84">
        <v>10617</v>
      </c>
      <c r="W78" s="84">
        <v>11352</v>
      </c>
      <c r="X78" s="84">
        <v>11391</v>
      </c>
      <c r="Y78" s="84">
        <v>10791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395</v>
      </c>
      <c r="J82" s="110">
        <f t="shared" si="24"/>
        <v>103</v>
      </c>
      <c r="K82" s="110">
        <f t="shared" si="24"/>
        <v>113</v>
      </c>
      <c r="L82" s="110">
        <f t="shared" ref="L82" si="25">SUM(L83:L84)</f>
        <v>239</v>
      </c>
      <c r="M82" s="110">
        <f t="shared" ref="M82:V82" si="26">SUM(M83:M84)</f>
        <v>2040</v>
      </c>
      <c r="N82" s="110">
        <f t="shared" si="26"/>
        <v>2875</v>
      </c>
      <c r="O82" s="110">
        <f t="shared" si="26"/>
        <v>3653</v>
      </c>
      <c r="P82" s="110">
        <f t="shared" si="26"/>
        <v>1648</v>
      </c>
      <c r="Q82" s="110">
        <f t="shared" si="26"/>
        <v>2177</v>
      </c>
      <c r="R82" s="110">
        <f t="shared" si="26"/>
        <v>4356</v>
      </c>
      <c r="S82" s="110">
        <f t="shared" si="26"/>
        <v>3979</v>
      </c>
      <c r="T82" s="110">
        <f t="shared" si="26"/>
        <v>5311</v>
      </c>
      <c r="U82" s="110">
        <f t="shared" si="26"/>
        <v>4621</v>
      </c>
      <c r="V82" s="110">
        <f t="shared" si="26"/>
        <v>3816</v>
      </c>
      <c r="W82" s="110">
        <f t="shared" ref="W82:Y82" si="27">SUM(W83:W84)</f>
        <v>5166</v>
      </c>
      <c r="X82" s="110">
        <f t="shared" si="27"/>
        <v>1111</v>
      </c>
      <c r="Y82" s="110">
        <f t="shared" si="27"/>
        <v>13354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395</v>
      </c>
      <c r="J83" s="102">
        <v>103</v>
      </c>
      <c r="K83" s="102">
        <v>113</v>
      </c>
      <c r="L83" s="102">
        <v>133</v>
      </c>
      <c r="M83" s="102">
        <v>1733</v>
      </c>
      <c r="N83" s="102">
        <v>2472</v>
      </c>
      <c r="O83" s="102">
        <v>3168</v>
      </c>
      <c r="P83" s="102">
        <v>1642</v>
      </c>
      <c r="Q83" s="102">
        <v>1727</v>
      </c>
      <c r="R83" s="102">
        <v>4102</v>
      </c>
      <c r="S83" s="102">
        <v>3763</v>
      </c>
      <c r="T83" s="102">
        <v>5249</v>
      </c>
      <c r="U83" s="102">
        <v>4421</v>
      </c>
      <c r="V83" s="102">
        <v>3199</v>
      </c>
      <c r="W83" s="102">
        <v>4791</v>
      </c>
      <c r="X83" s="102">
        <v>416</v>
      </c>
      <c r="Y83" s="102">
        <v>12734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106</v>
      </c>
      <c r="M84" s="86">
        <v>307</v>
      </c>
      <c r="N84" s="86">
        <v>403</v>
      </c>
      <c r="O84" s="86">
        <v>485</v>
      </c>
      <c r="P84" s="86">
        <v>6</v>
      </c>
      <c r="Q84" s="86">
        <v>450</v>
      </c>
      <c r="R84" s="86">
        <v>254</v>
      </c>
      <c r="S84" s="86">
        <v>216</v>
      </c>
      <c r="T84" s="86">
        <v>62</v>
      </c>
      <c r="U84" s="86">
        <v>200</v>
      </c>
      <c r="V84" s="86">
        <v>617</v>
      </c>
      <c r="W84" s="86">
        <v>375</v>
      </c>
      <c r="X84" s="86">
        <v>695</v>
      </c>
      <c r="Y84" s="86">
        <v>620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4.7431385419004153</v>
      </c>
      <c r="C90" s="141">
        <v>4.7092382498882213</v>
      </c>
      <c r="D90" s="141">
        <v>4.6592296041736079</v>
      </c>
      <c r="E90" s="141">
        <v>4.606363076433718</v>
      </c>
      <c r="F90" s="141">
        <v>4.551734172247488</v>
      </c>
      <c r="G90" s="141">
        <v>4.485183004253753</v>
      </c>
      <c r="H90" s="141">
        <v>4.3841874402334575</v>
      </c>
      <c r="I90" s="141">
        <v>4.248365472794962</v>
      </c>
      <c r="J90" s="141">
        <v>4.0890639809461291</v>
      </c>
      <c r="K90" s="141">
        <v>3.9780913835095726</v>
      </c>
      <c r="L90" s="141">
        <v>3.9241936385208112</v>
      </c>
      <c r="M90" s="141">
        <v>3.8565046605176532</v>
      </c>
      <c r="N90" s="141">
        <v>3.7940451374016289</v>
      </c>
      <c r="O90" s="141">
        <v>3.7299712543087833</v>
      </c>
      <c r="P90" s="141">
        <v>3.659973596303169</v>
      </c>
      <c r="Q90" s="141">
        <v>3.5901043667409396</v>
      </c>
      <c r="R90" s="141">
        <v>3.4896844418607067</v>
      </c>
      <c r="S90" s="141">
        <v>3.3813157765482935</v>
      </c>
      <c r="T90" s="141">
        <v>3.2597113099296289</v>
      </c>
      <c r="U90" s="141">
        <v>3.0497490761429638</v>
      </c>
      <c r="V90" s="141">
        <v>2.8669805463880693</v>
      </c>
      <c r="W90" s="141">
        <v>2.7387025331685289</v>
      </c>
      <c r="X90" s="141">
        <v>2.6295878604205338</v>
      </c>
      <c r="Y90" s="141">
        <v>2.5430892893183419</v>
      </c>
      <c r="DA90" s="174" t="s">
        <v>864</v>
      </c>
    </row>
    <row r="91" spans="1:105" ht="11.45" customHeight="1" x14ac:dyDescent="0.25">
      <c r="A91" s="109" t="s">
        <v>20</v>
      </c>
      <c r="B91" s="130">
        <v>7.987297550493774</v>
      </c>
      <c r="C91" s="130">
        <v>7.7949704322865729</v>
      </c>
      <c r="D91" s="130">
        <v>7.6163033308746666</v>
      </c>
      <c r="E91" s="130">
        <v>7.4740406913266817</v>
      </c>
      <c r="F91" s="130">
        <v>7.2964494060915293</v>
      </c>
      <c r="G91" s="130">
        <v>7.1674112489781425</v>
      </c>
      <c r="H91" s="130">
        <v>7.079612666020207</v>
      </c>
      <c r="I91" s="130">
        <v>7.0632684252576832</v>
      </c>
      <c r="J91" s="130">
        <v>7.0312422776343775</v>
      </c>
      <c r="K91" s="130">
        <v>6.987199936345406</v>
      </c>
      <c r="L91" s="130">
        <v>6.889015208792137</v>
      </c>
      <c r="M91" s="130">
        <v>6.8486745719358382</v>
      </c>
      <c r="N91" s="130">
        <v>6.7498392154065634</v>
      </c>
      <c r="O91" s="130">
        <v>6.6667864173284643</v>
      </c>
      <c r="P91" s="130">
        <v>6.5656163029190795</v>
      </c>
      <c r="Q91" s="130">
        <v>6.4097370290702633</v>
      </c>
      <c r="R91" s="130">
        <v>6.3097419423033516</v>
      </c>
      <c r="S91" s="130">
        <v>6.1978532917672542</v>
      </c>
      <c r="T91" s="130">
        <v>6.073742393763915</v>
      </c>
      <c r="U91" s="130">
        <v>5.9176268217201571</v>
      </c>
      <c r="V91" s="130">
        <v>5.7927271467349799</v>
      </c>
      <c r="W91" s="130">
        <v>5.6505064569614047</v>
      </c>
      <c r="X91" s="130">
        <v>5.5663829717605289</v>
      </c>
      <c r="Y91" s="130">
        <v>5.4953926874008578</v>
      </c>
      <c r="DA91" s="176" t="s">
        <v>865</v>
      </c>
    </row>
    <row r="92" spans="1:105" ht="11.45" customHeight="1" x14ac:dyDescent="0.25">
      <c r="A92" s="111" t="s">
        <v>110</v>
      </c>
      <c r="B92" s="96">
        <v>8.808279506699634</v>
      </c>
      <c r="C92" s="96">
        <v>8.7372174511438363</v>
      </c>
      <c r="D92" s="96">
        <v>8.7218546623420341</v>
      </c>
      <c r="E92" s="96">
        <v>8.6942554782882144</v>
      </c>
      <c r="F92" s="96">
        <v>8.6740723118918552</v>
      </c>
      <c r="G92" s="96">
        <v>8.6464483030040569</v>
      </c>
      <c r="H92" s="96">
        <v>8.6019828069235693</v>
      </c>
      <c r="I92" s="96">
        <v>8.5578165169014824</v>
      </c>
      <c r="J92" s="96">
        <v>8.5111401126967934</v>
      </c>
      <c r="K92" s="96">
        <v>8.4920108016494762</v>
      </c>
      <c r="L92" s="96">
        <v>8.4693227984214836</v>
      </c>
      <c r="M92" s="96">
        <v>8.4585527015661217</v>
      </c>
      <c r="N92" s="96">
        <v>8.4587409850095767</v>
      </c>
      <c r="O92" s="96">
        <v>8.3667732428569082</v>
      </c>
      <c r="P92" s="96">
        <v>8.1466191424339645</v>
      </c>
      <c r="Q92" s="96">
        <v>7.8945451052846654</v>
      </c>
      <c r="R92" s="96">
        <v>7.5836387271503103</v>
      </c>
      <c r="S92" s="96">
        <v>7.1692544905319435</v>
      </c>
      <c r="T92" s="96">
        <v>6.7744964999478947</v>
      </c>
      <c r="U92" s="96">
        <v>6.2921162591072459</v>
      </c>
      <c r="V92" s="96">
        <v>5.977255353056953</v>
      </c>
      <c r="W92" s="96">
        <v>5.7439317692548482</v>
      </c>
      <c r="X92" s="96">
        <v>5.6762650758426174</v>
      </c>
      <c r="Y92" s="96">
        <v>5.6120490359098811</v>
      </c>
      <c r="DA92" s="171" t="s">
        <v>866</v>
      </c>
    </row>
    <row r="93" spans="1:105" ht="11.45" customHeight="1" x14ac:dyDescent="0.25">
      <c r="A93" s="111" t="s">
        <v>111</v>
      </c>
      <c r="B93" s="96">
        <v>6.9204218437864586</v>
      </c>
      <c r="C93" s="96">
        <v>6.5733632731701945</v>
      </c>
      <c r="D93" s="96">
        <v>6.4481106608624179</v>
      </c>
      <c r="E93" s="96">
        <v>6.347534657006527</v>
      </c>
      <c r="F93" s="96">
        <v>6.269596618741561</v>
      </c>
      <c r="G93" s="96">
        <v>6.2016596215126842</v>
      </c>
      <c r="H93" s="96">
        <v>6.1740498257348948</v>
      </c>
      <c r="I93" s="96">
        <v>6.1511114716172646</v>
      </c>
      <c r="J93" s="96">
        <v>6.1309623249626606</v>
      </c>
      <c r="K93" s="96">
        <v>6.1335246578233393</v>
      </c>
      <c r="L93" s="96">
        <v>6.1315558082055617</v>
      </c>
      <c r="M93" s="96">
        <v>6.1320814664040482</v>
      </c>
      <c r="N93" s="96">
        <v>6.1347949078640083</v>
      </c>
      <c r="O93" s="96">
        <v>6.1001862163016405</v>
      </c>
      <c r="P93" s="96">
        <v>6.0386707129230475</v>
      </c>
      <c r="Q93" s="96">
        <v>5.9167464404417176</v>
      </c>
      <c r="R93" s="96">
        <v>5.8896391338199274</v>
      </c>
      <c r="S93" s="96">
        <v>5.8696560599352212</v>
      </c>
      <c r="T93" s="96">
        <v>5.8322671209428911</v>
      </c>
      <c r="U93" s="96">
        <v>5.7841309755762884</v>
      </c>
      <c r="V93" s="96">
        <v>5.7381024220186552</v>
      </c>
      <c r="W93" s="96">
        <v>5.6655396880067874</v>
      </c>
      <c r="X93" s="96">
        <v>5.607887384854461</v>
      </c>
      <c r="Y93" s="96">
        <v>5.5742491702788506</v>
      </c>
      <c r="DA93" s="171" t="s">
        <v>867</v>
      </c>
    </row>
    <row r="94" spans="1:105" ht="11.45" customHeight="1" x14ac:dyDescent="0.25">
      <c r="A94" s="111" t="s">
        <v>112</v>
      </c>
      <c r="B94" s="96">
        <v>6.8106675956780149</v>
      </c>
      <c r="C94" s="96">
        <v>6.3535748960431846</v>
      </c>
      <c r="D94" s="96">
        <v>6.1431148921974765</v>
      </c>
      <c r="E94" s="96">
        <v>6.0313922297133535</v>
      </c>
      <c r="F94" s="96">
        <v>5.9706144552316323</v>
      </c>
      <c r="G94" s="96">
        <v>5.8685094831724847</v>
      </c>
      <c r="H94" s="96">
        <v>5.9297189182990202</v>
      </c>
      <c r="I94" s="96">
        <v>5.9738353518118323</v>
      </c>
      <c r="J94" s="96">
        <v>5.9803277752502968</v>
      </c>
      <c r="K94" s="96">
        <v>5.9814296055153253</v>
      </c>
      <c r="L94" s="96">
        <v>5.9804992517396665</v>
      </c>
      <c r="M94" s="96">
        <v>5.972719399367076</v>
      </c>
      <c r="N94" s="96">
        <v>5.9930226382730654</v>
      </c>
      <c r="O94" s="96">
        <v>5.9874464512962051</v>
      </c>
      <c r="P94" s="96">
        <v>5.9725113851641005</v>
      </c>
      <c r="Q94" s="96">
        <v>5.9702616148596617</v>
      </c>
      <c r="R94" s="96">
        <v>5.9768938051848561</v>
      </c>
      <c r="S94" s="96">
        <v>5.9769475556857392</v>
      </c>
      <c r="T94" s="96">
        <v>5.9113627989397939</v>
      </c>
      <c r="U94" s="96">
        <v>5.8964517222770132</v>
      </c>
      <c r="V94" s="96">
        <v>5.8454349714071796</v>
      </c>
      <c r="W94" s="96">
        <v>5.740072733101881</v>
      </c>
      <c r="X94" s="96">
        <v>5.5915557189541891</v>
      </c>
      <c r="Y94" s="96">
        <v>5.5730637590790799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6.8926986922475137</v>
      </c>
      <c r="O95" s="96">
        <v>5.5358503686815101</v>
      </c>
      <c r="P95" s="96">
        <v>5.1402210473718659</v>
      </c>
      <c r="Q95" s="96">
        <v>5.1314744219816886</v>
      </c>
      <c r="R95" s="96">
        <v>5.1434786788039446</v>
      </c>
      <c r="S95" s="96">
        <v>5.2042761165111235</v>
      </c>
      <c r="T95" s="96">
        <v>5.2422913212374267</v>
      </c>
      <c r="U95" s="96">
        <v>5.2248233414366769</v>
      </c>
      <c r="V95" s="96">
        <v>4.9714154840200413</v>
      </c>
      <c r="W95" s="96">
        <v>4.8169071086012716</v>
      </c>
      <c r="X95" s="96">
        <v>4.5762993975150286</v>
      </c>
      <c r="Y95" s="96">
        <v>4.520672388400639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3.5980198417212153</v>
      </c>
      <c r="P96" s="96">
        <v>2.935813113048952</v>
      </c>
      <c r="Q96" s="96">
        <v>2.8635109572686055</v>
      </c>
      <c r="R96" s="96">
        <v>2.9302172546878515</v>
      </c>
      <c r="S96" s="96">
        <v>2.9473088326448016</v>
      </c>
      <c r="T96" s="96">
        <v>3.1179772031608923</v>
      </c>
      <c r="U96" s="96">
        <v>3.3780013509962941</v>
      </c>
      <c r="V96" s="96">
        <v>3.5464632941313088</v>
      </c>
      <c r="W96" s="96">
        <v>3.4356194803029685</v>
      </c>
      <c r="X96" s="96">
        <v>3.3769828893572247</v>
      </c>
      <c r="Y96" s="96">
        <v>3.2092533891750161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1.3424803607346911</v>
      </c>
      <c r="N97" s="96">
        <v>1.3424803607346911</v>
      </c>
      <c r="O97" s="96">
        <v>1.3064877858840327</v>
      </c>
      <c r="P97" s="96">
        <v>1.2932307390865097</v>
      </c>
      <c r="Q97" s="96">
        <v>1.296867244392651</v>
      </c>
      <c r="R97" s="96">
        <v>1.2666113088290276</v>
      </c>
      <c r="S97" s="96">
        <v>1.3366406643000788</v>
      </c>
      <c r="T97" s="96">
        <v>1.4159393448934776</v>
      </c>
      <c r="U97" s="96">
        <v>1.4484294242726674</v>
      </c>
      <c r="V97" s="96">
        <v>1.453896667239821</v>
      </c>
      <c r="W97" s="96">
        <v>1.4484245805553362</v>
      </c>
      <c r="X97" s="96">
        <v>1.4709640254968657</v>
      </c>
      <c r="Y97" s="96">
        <v>1.4751854591733096</v>
      </c>
      <c r="DA97" s="171" t="s">
        <v>871</v>
      </c>
    </row>
    <row r="98" spans="1:105" ht="11.45" customHeight="1" x14ac:dyDescent="0.25">
      <c r="A98" s="109" t="s">
        <v>21</v>
      </c>
      <c r="B98" s="130">
        <v>56.187027277909074</v>
      </c>
      <c r="C98" s="130">
        <v>53.524811196292283</v>
      </c>
      <c r="D98" s="130">
        <v>51.297332666172501</v>
      </c>
      <c r="E98" s="130">
        <v>48.706859148645805</v>
      </c>
      <c r="F98" s="130">
        <v>48.16063274233283</v>
      </c>
      <c r="G98" s="130">
        <v>47.777890979748726</v>
      </c>
      <c r="H98" s="130">
        <v>47.34700705734663</v>
      </c>
      <c r="I98" s="130">
        <v>47.013247501250774</v>
      </c>
      <c r="J98" s="130">
        <v>46.775086649419933</v>
      </c>
      <c r="K98" s="130">
        <v>46.294117714566163</v>
      </c>
      <c r="L98" s="130">
        <v>45.827997440576105</v>
      </c>
      <c r="M98" s="130">
        <v>45.175190330378868</v>
      </c>
      <c r="N98" s="130">
        <v>45.043114971417261</v>
      </c>
      <c r="O98" s="130">
        <v>40.913152603636064</v>
      </c>
      <c r="P98" s="130">
        <v>41.056417279179414</v>
      </c>
      <c r="Q98" s="130">
        <v>40.502794424535246</v>
      </c>
      <c r="R98" s="130">
        <v>39.715274408935883</v>
      </c>
      <c r="S98" s="130">
        <v>39.008659025536708</v>
      </c>
      <c r="T98" s="130">
        <v>38.100268700779765</v>
      </c>
      <c r="U98" s="130">
        <v>37.825419758250547</v>
      </c>
      <c r="V98" s="130">
        <v>37.255012572961533</v>
      </c>
      <c r="W98" s="130">
        <v>36.327384212593572</v>
      </c>
      <c r="X98" s="130">
        <v>35.555709591120007</v>
      </c>
      <c r="Y98" s="130">
        <v>34.596121455248401</v>
      </c>
      <c r="DA98" s="176" t="s">
        <v>872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14.26734747075573</v>
      </c>
      <c r="E99" s="97">
        <v>14.204036112610133</v>
      </c>
      <c r="F99" s="97">
        <v>14.198833265622701</v>
      </c>
      <c r="G99" s="97">
        <v>14.18483398998295</v>
      </c>
      <c r="H99" s="97">
        <v>14.136023785597267</v>
      </c>
      <c r="I99" s="97">
        <v>14.127386889920048</v>
      </c>
      <c r="J99" s="97">
        <v>14.092295009554961</v>
      </c>
      <c r="K99" s="97">
        <v>14.081786689136838</v>
      </c>
      <c r="L99" s="97">
        <v>14.081786689136839</v>
      </c>
      <c r="M99" s="97">
        <v>14.017292675436124</v>
      </c>
      <c r="N99" s="97">
        <v>13.993749234269899</v>
      </c>
      <c r="O99" s="97">
        <v>9.9102279217521794</v>
      </c>
      <c r="P99" s="97">
        <v>9.7304817504902008</v>
      </c>
      <c r="Q99" s="97">
        <v>9.7304817504902008</v>
      </c>
      <c r="R99" s="97">
        <v>9.7304817504902026</v>
      </c>
      <c r="S99" s="97">
        <v>9.7304817504902008</v>
      </c>
      <c r="T99" s="97">
        <v>9.7304817504902008</v>
      </c>
      <c r="U99" s="97">
        <v>9.7304817504902008</v>
      </c>
      <c r="V99" s="97">
        <v>9.7304817504902008</v>
      </c>
      <c r="W99" s="97">
        <v>9.7304817504902008</v>
      </c>
      <c r="X99" s="97">
        <v>9.7304817504902008</v>
      </c>
      <c r="Y99" s="97">
        <v>9.7304817504902008</v>
      </c>
      <c r="DA99" s="175" t="s">
        <v>873</v>
      </c>
    </row>
    <row r="100" spans="1:105" ht="11.45" customHeight="1" x14ac:dyDescent="0.25">
      <c r="A100" s="111" t="s">
        <v>111</v>
      </c>
      <c r="B100" s="97">
        <v>56.187027277909074</v>
      </c>
      <c r="C100" s="97">
        <v>52.610429965227688</v>
      </c>
      <c r="D100" s="97">
        <v>50.72924820158017</v>
      </c>
      <c r="E100" s="97">
        <v>48.931015127328706</v>
      </c>
      <c r="F100" s="97">
        <v>48.556516895543403</v>
      </c>
      <c r="G100" s="97">
        <v>48.426142802164634</v>
      </c>
      <c r="H100" s="97">
        <v>48.249778355720402</v>
      </c>
      <c r="I100" s="97">
        <v>48.059266487701926</v>
      </c>
      <c r="J100" s="97">
        <v>47.755282834865433</v>
      </c>
      <c r="K100" s="97">
        <v>47.485689330758042</v>
      </c>
      <c r="L100" s="97">
        <v>47.132853375625473</v>
      </c>
      <c r="M100" s="97">
        <v>46.486430322677784</v>
      </c>
      <c r="N100" s="97">
        <v>46.290349186309932</v>
      </c>
      <c r="O100" s="97">
        <v>46.006062897351221</v>
      </c>
      <c r="P100" s="97">
        <v>45.708785810914726</v>
      </c>
      <c r="Q100" s="97">
        <v>45.503968830273188</v>
      </c>
      <c r="R100" s="97">
        <v>44.757216881620295</v>
      </c>
      <c r="S100" s="97">
        <v>43.821370497766544</v>
      </c>
      <c r="T100" s="97">
        <v>42.263365832913095</v>
      </c>
      <c r="U100" s="97">
        <v>41.79354506237334</v>
      </c>
      <c r="V100" s="97">
        <v>41.163201719656598</v>
      </c>
      <c r="W100" s="97">
        <v>39.976489912620863</v>
      </c>
      <c r="X100" s="97">
        <v>39.146675536380187</v>
      </c>
      <c r="Y100" s="97">
        <v>38.041839177083439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39.916306044142821</v>
      </c>
      <c r="E101" s="97">
        <v>39.916306044142821</v>
      </c>
      <c r="F101" s="97">
        <v>39.916306044142821</v>
      </c>
      <c r="G101" s="97">
        <v>39.916306044142821</v>
      </c>
      <c r="H101" s="97">
        <v>39.916306044142821</v>
      </c>
      <c r="I101" s="97">
        <v>39.916306044142821</v>
      </c>
      <c r="J101" s="97">
        <v>39.916306044142821</v>
      </c>
      <c r="K101" s="97">
        <v>39.916306044142821</v>
      </c>
      <c r="L101" s="97">
        <v>39.916306044142821</v>
      </c>
      <c r="M101" s="97">
        <v>37.109751646642422</v>
      </c>
      <c r="N101" s="97">
        <v>37.109751646642422</v>
      </c>
      <c r="O101" s="97">
        <v>36.352623222587887</v>
      </c>
      <c r="P101" s="97">
        <v>35.905710813224843</v>
      </c>
      <c r="Q101" s="97">
        <v>35.88328868883336</v>
      </c>
      <c r="R101" s="97">
        <v>35.882033459383834</v>
      </c>
      <c r="S101" s="97">
        <v>35.856360754844829</v>
      </c>
      <c r="T101" s="97">
        <v>35.775228577752685</v>
      </c>
      <c r="U101" s="97">
        <v>35.411823691541144</v>
      </c>
      <c r="V101" s="97">
        <v>35.386439150430093</v>
      </c>
      <c r="W101" s="97">
        <v>35.35881123827766</v>
      </c>
      <c r="X101" s="97">
        <v>35.325955569874345</v>
      </c>
      <c r="Y101" s="97">
        <v>35.211996687244579</v>
      </c>
      <c r="DA101" s="175" t="s">
        <v>875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37.307437645031726</v>
      </c>
      <c r="L102" s="97">
        <v>37.170259921740758</v>
      </c>
      <c r="M102" s="97">
        <v>36.857969733569014</v>
      </c>
      <c r="N102" s="97">
        <v>36.847384706152411</v>
      </c>
      <c r="O102" s="97">
        <v>36.236150555295062</v>
      </c>
      <c r="P102" s="97">
        <v>36.030483756451432</v>
      </c>
      <c r="Q102" s="97">
        <v>35.290883648248382</v>
      </c>
      <c r="R102" s="97">
        <v>35.285371580522927</v>
      </c>
      <c r="S102" s="97">
        <v>35.226527203327421</v>
      </c>
      <c r="T102" s="97">
        <v>35.226705144830746</v>
      </c>
      <c r="U102" s="97">
        <v>35.17771706680923</v>
      </c>
      <c r="V102" s="97">
        <v>34.680956919114827</v>
      </c>
      <c r="W102" s="97">
        <v>34.535242867689725</v>
      </c>
      <c r="X102" s="97">
        <v>34.521401208327411</v>
      </c>
      <c r="Y102" s="97">
        <v>34.496204431714503</v>
      </c>
      <c r="DA102" s="175" t="s">
        <v>876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29.026202381804477</v>
      </c>
      <c r="G103" s="97">
        <v>28.817495622373524</v>
      </c>
      <c r="H103" s="97">
        <v>28.659876129498191</v>
      </c>
      <c r="I103" s="97">
        <v>28.531369124867506</v>
      </c>
      <c r="J103" s="97">
        <v>28.496268684629388</v>
      </c>
      <c r="K103" s="97">
        <v>28.46171987158878</v>
      </c>
      <c r="L103" s="97">
        <v>28.459949189992809</v>
      </c>
      <c r="M103" s="97">
        <v>28.426511443307213</v>
      </c>
      <c r="N103" s="97">
        <v>28.418045339154816</v>
      </c>
      <c r="O103" s="97">
        <v>26.879070917617717</v>
      </c>
      <c r="P103" s="97">
        <v>26.811060982320786</v>
      </c>
      <c r="Q103" s="97">
        <v>26.798765349870038</v>
      </c>
      <c r="R103" s="97">
        <v>26.6978890594383</v>
      </c>
      <c r="S103" s="97">
        <v>26.48155395315624</v>
      </c>
      <c r="T103" s="97">
        <v>26.242543609253612</v>
      </c>
      <c r="U103" s="97">
        <v>25.207915290905021</v>
      </c>
      <c r="V103" s="97">
        <v>24.827485185781367</v>
      </c>
      <c r="W103" s="97">
        <v>24.702734916525635</v>
      </c>
      <c r="X103" s="97">
        <v>23.855918746936755</v>
      </c>
      <c r="Y103" s="97">
        <v>22.780135773981854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12.196748115236716</v>
      </c>
      <c r="C105" s="141">
        <v>11.568494362151995</v>
      </c>
      <c r="D105" s="141">
        <v>10.83448469046953</v>
      </c>
      <c r="E105" s="141">
        <v>10.254658620191401</v>
      </c>
      <c r="F105" s="141">
        <v>9.818887700135658</v>
      </c>
      <c r="G105" s="141">
        <v>9.3993616795781385</v>
      </c>
      <c r="H105" s="141">
        <v>8.982449614260922</v>
      </c>
      <c r="I105" s="141">
        <v>8.7084400239699189</v>
      </c>
      <c r="J105" s="141">
        <v>8.4558051691526988</v>
      </c>
      <c r="K105" s="141">
        <v>8.2292000956961626</v>
      </c>
      <c r="L105" s="141">
        <v>8.1939602817581765</v>
      </c>
      <c r="M105" s="141">
        <v>8.1945769820554606</v>
      </c>
      <c r="N105" s="141">
        <v>8.1680429785409991</v>
      </c>
      <c r="O105" s="141">
        <v>8.0895938022642486</v>
      </c>
      <c r="P105" s="141">
        <v>7.9730240026517221</v>
      </c>
      <c r="Q105" s="141">
        <v>7.9175819258131659</v>
      </c>
      <c r="R105" s="141">
        <v>7.8231953417317071</v>
      </c>
      <c r="S105" s="141">
        <v>7.7339968296163439</v>
      </c>
      <c r="T105" s="141">
        <v>7.6181470913356693</v>
      </c>
      <c r="U105" s="141">
        <v>7.5064143302863817</v>
      </c>
      <c r="V105" s="141">
        <v>7.4125718712867412</v>
      </c>
      <c r="W105" s="141">
        <v>7.3215513327423185</v>
      </c>
      <c r="X105" s="141">
        <v>7.1980599375571748</v>
      </c>
      <c r="Y105" s="141">
        <v>7.1166761512106325</v>
      </c>
      <c r="DA105" s="174" t="s">
        <v>878</v>
      </c>
    </row>
    <row r="106" spans="1:105" ht="11.45" customHeight="1" x14ac:dyDescent="0.25">
      <c r="A106" s="111" t="s">
        <v>110</v>
      </c>
      <c r="B106" s="96">
        <v>10.866255775775581</v>
      </c>
      <c r="C106" s="96">
        <v>10.522960922056203</v>
      </c>
      <c r="D106" s="96">
        <v>10.227471901490121</v>
      </c>
      <c r="E106" s="96">
        <v>9.9932117579987843</v>
      </c>
      <c r="F106" s="96">
        <v>9.8014875740354448</v>
      </c>
      <c r="G106" s="96">
        <v>9.6337020158069642</v>
      </c>
      <c r="H106" s="96">
        <v>9.4630334806496634</v>
      </c>
      <c r="I106" s="96">
        <v>9.3506542791502714</v>
      </c>
      <c r="J106" s="96">
        <v>9.2735427758474973</v>
      </c>
      <c r="K106" s="96">
        <v>9.1395331694842028</v>
      </c>
      <c r="L106" s="96">
        <v>9.1635870466570495</v>
      </c>
      <c r="M106" s="96">
        <v>9.1383494352865142</v>
      </c>
      <c r="N106" s="96">
        <v>8.9807984945246435</v>
      </c>
      <c r="O106" s="96">
        <v>8.77871533636735</v>
      </c>
      <c r="P106" s="96">
        <v>8.5155232356507309</v>
      </c>
      <c r="Q106" s="96">
        <v>8.2262020572530812</v>
      </c>
      <c r="R106" s="96">
        <v>8.0562588014948382</v>
      </c>
      <c r="S106" s="96">
        <v>7.8231793107338436</v>
      </c>
      <c r="T106" s="96">
        <v>7.5347158761606252</v>
      </c>
      <c r="U106" s="96">
        <v>7.3693751383621935</v>
      </c>
      <c r="V106" s="96">
        <v>7.1826520472542565</v>
      </c>
      <c r="W106" s="96">
        <v>6.9832685245902981</v>
      </c>
      <c r="X106" s="96">
        <v>6.8141655744514873</v>
      </c>
      <c r="Y106" s="96">
        <v>6.784335899927016</v>
      </c>
      <c r="DA106" s="171" t="s">
        <v>879</v>
      </c>
    </row>
    <row r="107" spans="1:105" ht="11.45" customHeight="1" x14ac:dyDescent="0.25">
      <c r="A107" s="111" t="s">
        <v>111</v>
      </c>
      <c r="B107" s="96">
        <v>12.433442398694499</v>
      </c>
      <c r="C107" s="96">
        <v>11.542248249734779</v>
      </c>
      <c r="D107" s="96">
        <v>10.617865506537953</v>
      </c>
      <c r="E107" s="96">
        <v>9.986578760938464</v>
      </c>
      <c r="F107" s="96">
        <v>9.5211772323285313</v>
      </c>
      <c r="G107" s="96">
        <v>9.1118849052100988</v>
      </c>
      <c r="H107" s="96">
        <v>8.7320692624568732</v>
      </c>
      <c r="I107" s="96">
        <v>8.503608209726325</v>
      </c>
      <c r="J107" s="96">
        <v>8.3108161293817133</v>
      </c>
      <c r="K107" s="96">
        <v>8.1429565915819868</v>
      </c>
      <c r="L107" s="96">
        <v>8.1160530959454142</v>
      </c>
      <c r="M107" s="96">
        <v>8.1376606606027693</v>
      </c>
      <c r="N107" s="96">
        <v>8.1288418241527207</v>
      </c>
      <c r="O107" s="96">
        <v>8.052618258095297</v>
      </c>
      <c r="P107" s="96">
        <v>7.9350902683337985</v>
      </c>
      <c r="Q107" s="96">
        <v>7.8903871929374283</v>
      </c>
      <c r="R107" s="96">
        <v>7.7975836309271207</v>
      </c>
      <c r="S107" s="96">
        <v>7.7125275340092623</v>
      </c>
      <c r="T107" s="96">
        <v>7.5980876075722286</v>
      </c>
      <c r="U107" s="96">
        <v>7.4887516307757611</v>
      </c>
      <c r="V107" s="96">
        <v>7.3958884454001614</v>
      </c>
      <c r="W107" s="96">
        <v>7.3059908227755992</v>
      </c>
      <c r="X107" s="96">
        <v>7.1785988154817657</v>
      </c>
      <c r="Y107" s="96">
        <v>7.0963808402827864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X108" s="96">
        <v>0</v>
      </c>
      <c r="Y108" s="96">
        <v>0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X109" s="96">
        <v>0</v>
      </c>
      <c r="Y109" s="96">
        <v>0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0</v>
      </c>
      <c r="P110" s="96">
        <v>0</v>
      </c>
      <c r="Q110" s="96">
        <v>0</v>
      </c>
      <c r="R110" s="96">
        <v>0</v>
      </c>
      <c r="S110" s="96">
        <v>0</v>
      </c>
      <c r="T110" s="96">
        <v>0</v>
      </c>
      <c r="U110" s="96">
        <v>0</v>
      </c>
      <c r="V110" s="96">
        <v>0</v>
      </c>
      <c r="W110" s="96">
        <v>0</v>
      </c>
      <c r="X110" s="96">
        <v>0</v>
      </c>
      <c r="Y110" s="96">
        <v>0</v>
      </c>
      <c r="DA110" s="171" t="s">
        <v>883</v>
      </c>
    </row>
    <row r="111" spans="1:105" ht="11.45" customHeight="1" x14ac:dyDescent="0.25">
      <c r="A111" s="109" t="s">
        <v>154</v>
      </c>
      <c r="B111" s="130">
        <v>27.820106834523337</v>
      </c>
      <c r="C111" s="130">
        <v>27.768663873944096</v>
      </c>
      <c r="D111" s="130">
        <v>27.594397804800874</v>
      </c>
      <c r="E111" s="130">
        <v>27.207843796057134</v>
      </c>
      <c r="F111" s="130">
        <v>27.161711779847916</v>
      </c>
      <c r="G111" s="130">
        <v>27.051645189619883</v>
      </c>
      <c r="H111" s="130">
        <v>26.92189457164633</v>
      </c>
      <c r="I111" s="130">
        <v>26.700689085935739</v>
      </c>
      <c r="J111" s="130">
        <v>26.583603718886099</v>
      </c>
      <c r="K111" s="130">
        <v>26.445094456459326</v>
      </c>
      <c r="L111" s="130">
        <v>26.401084879627426</v>
      </c>
      <c r="M111" s="130">
        <v>26.141849970932221</v>
      </c>
      <c r="N111" s="130">
        <v>25.851126723265324</v>
      </c>
      <c r="O111" s="130">
        <v>25.539986849589898</v>
      </c>
      <c r="P111" s="130">
        <v>25.317672117675976</v>
      </c>
      <c r="Q111" s="130">
        <v>25.175049477626533</v>
      </c>
      <c r="R111" s="130">
        <v>24.780027299722295</v>
      </c>
      <c r="S111" s="130">
        <v>24.342166975854521</v>
      </c>
      <c r="T111" s="130">
        <v>23.92693631445924</v>
      </c>
      <c r="U111" s="130">
        <v>23.435418570509466</v>
      </c>
      <c r="V111" s="130">
        <v>23.280421625944577</v>
      </c>
      <c r="W111" s="130">
        <v>23.036398345578377</v>
      </c>
      <c r="X111" s="130">
        <v>22.967459397374597</v>
      </c>
      <c r="Y111" s="130">
        <v>22.4781353633349</v>
      </c>
      <c r="DA111" s="176" t="s">
        <v>884</v>
      </c>
    </row>
    <row r="112" spans="1:105" ht="11.45" customHeight="1" x14ac:dyDescent="0.25">
      <c r="A112" s="128" t="s">
        <v>27</v>
      </c>
      <c r="B112" s="97">
        <v>27.369316570539617</v>
      </c>
      <c r="C112" s="97">
        <v>27.300174249831603</v>
      </c>
      <c r="D112" s="97">
        <v>27.115690817943765</v>
      </c>
      <c r="E112" s="97">
        <v>26.823760336826791</v>
      </c>
      <c r="F112" s="97">
        <v>26.741389324729081</v>
      </c>
      <c r="G112" s="97">
        <v>26.59029095353231</v>
      </c>
      <c r="H112" s="97">
        <v>26.401729293996738</v>
      </c>
      <c r="I112" s="97">
        <v>26.198284776277283</v>
      </c>
      <c r="J112" s="97">
        <v>26.058864996920448</v>
      </c>
      <c r="K112" s="97">
        <v>26.01277173853418</v>
      </c>
      <c r="L112" s="97">
        <v>25.922124740951595</v>
      </c>
      <c r="M112" s="97">
        <v>25.633324427861957</v>
      </c>
      <c r="N112" s="97">
        <v>25.326937504031015</v>
      </c>
      <c r="O112" s="97">
        <v>24.980693092722802</v>
      </c>
      <c r="P112" s="97">
        <v>24.758294251071224</v>
      </c>
      <c r="Q112" s="97">
        <v>24.623929033837491</v>
      </c>
      <c r="R112" s="97">
        <v>24.220265629168441</v>
      </c>
      <c r="S112" s="97">
        <v>23.742790373034545</v>
      </c>
      <c r="T112" s="97">
        <v>23.391080014270788</v>
      </c>
      <c r="U112" s="97">
        <v>22.873887192444791</v>
      </c>
      <c r="V112" s="97">
        <v>22.752374817815031</v>
      </c>
      <c r="W112" s="97">
        <v>22.58068719952178</v>
      </c>
      <c r="X112" s="97">
        <v>22.478891662257936</v>
      </c>
      <c r="Y112" s="97">
        <v>22.087997123559841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36.376415242008164</v>
      </c>
      <c r="D113" s="98">
        <v>36.058207751983268</v>
      </c>
      <c r="E113" s="98">
        <v>35.795646720664045</v>
      </c>
      <c r="F113" s="98">
        <v>35.136383588228817</v>
      </c>
      <c r="G113" s="98">
        <v>34.834673798953219</v>
      </c>
      <c r="H113" s="98">
        <v>34.059778890693167</v>
      </c>
      <c r="I113" s="98">
        <v>33.646791896868123</v>
      </c>
      <c r="J113" s="98">
        <v>33.520838409075438</v>
      </c>
      <c r="K113" s="98">
        <v>33.168245137335646</v>
      </c>
      <c r="L113" s="98">
        <v>32.6015684048064</v>
      </c>
      <c r="M113" s="98">
        <v>32.024398675850236</v>
      </c>
      <c r="N113" s="98">
        <v>31.407143110119161</v>
      </c>
      <c r="O113" s="98">
        <v>30.893988697172912</v>
      </c>
      <c r="P113" s="98">
        <v>30.82012378509415</v>
      </c>
      <c r="Q113" s="98">
        <v>30.275694741488625</v>
      </c>
      <c r="R113" s="98">
        <v>29.920859461782566</v>
      </c>
      <c r="S113" s="98">
        <v>29.589715456081411</v>
      </c>
      <c r="T113" s="98">
        <v>29.406312176036835</v>
      </c>
      <c r="U113" s="98">
        <v>29.026475455722334</v>
      </c>
      <c r="V113" s="98">
        <v>28.180003484982624</v>
      </c>
      <c r="W113" s="98">
        <v>27.690962398389722</v>
      </c>
      <c r="X113" s="98">
        <v>27.039981584949498</v>
      </c>
      <c r="Y113" s="98">
        <v>26.558561602983964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1.1275000000068982</v>
      </c>
      <c r="C117" s="150">
        <f>IF(TrRoad_act!C59=0,0,TrRoad_ene!C62/TrRoad_tech!C90)</f>
        <v>1.1276421810767248</v>
      </c>
      <c r="D117" s="150">
        <f>IF(TrRoad_act!D59=0,0,TrRoad_ene!D62/TrRoad_tech!D90)</f>
        <v>1.1281324814135276</v>
      </c>
      <c r="E117" s="150">
        <f>IF(TrRoad_act!E59=0,0,TrRoad_ene!E62/TrRoad_tech!E90)</f>
        <v>1.0739269186132583</v>
      </c>
      <c r="F117" s="150">
        <f>IF(TrRoad_act!F59=0,0,TrRoad_ene!F62/TrRoad_tech!F90)</f>
        <v>1.0752538342844342</v>
      </c>
      <c r="G117" s="150">
        <f>IF(TrRoad_act!G59=0,0,TrRoad_ene!G62/TrRoad_tech!G90)</f>
        <v>1.0774434343352355</v>
      </c>
      <c r="H117" s="150">
        <f>IF(TrRoad_act!H59=0,0,TrRoad_ene!H62/TrRoad_tech!H90)</f>
        <v>1.0815711224247193</v>
      </c>
      <c r="I117" s="150">
        <f>IF(TrRoad_act!I59=0,0,TrRoad_ene!I62/TrRoad_tech!I90)</f>
        <v>1.0891820030818575</v>
      </c>
      <c r="J117" s="150">
        <f>IF(TrRoad_act!J59=0,0,TrRoad_ene!J62/TrRoad_tech!J90)</f>
        <v>1.0988814396092734</v>
      </c>
      <c r="K117" s="150">
        <f>IF(TrRoad_act!K59=0,0,TrRoad_ene!K62/TrRoad_tech!K90)</f>
        <v>1.1060381760373124</v>
      </c>
      <c r="L117" s="150">
        <f>IF(TrRoad_act!L59=0,0,TrRoad_ene!L62/TrRoad_tech!L90)</f>
        <v>1.109695717193163</v>
      </c>
      <c r="M117" s="150">
        <f>IF(TrRoad_act!M59=0,0,TrRoad_ene!M62/TrRoad_tech!M90)</f>
        <v>1.1139582502555216</v>
      </c>
      <c r="N117" s="150">
        <f>IF(TrRoad_act!N59=0,0,TrRoad_ene!N62/TrRoad_tech!N90)</f>
        <v>1.1183891642413595</v>
      </c>
      <c r="O117" s="150">
        <f>IF(TrRoad_act!O59=0,0,TrRoad_ene!O62/TrRoad_tech!O90)</f>
        <v>1.1234511920772505</v>
      </c>
      <c r="P117" s="150">
        <f>IF(TrRoad_act!P59=0,0,TrRoad_ene!P62/TrRoad_tech!P90)</f>
        <v>1.1294340630090793</v>
      </c>
      <c r="Q117" s="150">
        <f>IF(TrRoad_act!Q59=0,0,TrRoad_ene!Q62/TrRoad_tech!Q90)</f>
        <v>1.1894336289843424</v>
      </c>
      <c r="R117" s="150">
        <f>IF(TrRoad_act!R59=0,0,TrRoad_ene!R62/TrRoad_tech!R90)</f>
        <v>1.2051429029416234</v>
      </c>
      <c r="S117" s="150">
        <f>IF(TrRoad_act!S59=0,0,TrRoad_ene!S62/TrRoad_tech!S90)</f>
        <v>1.2180961136155295</v>
      </c>
      <c r="T117" s="150">
        <f>IF(TrRoad_act!T59=0,0,TrRoad_ene!T62/TrRoad_tech!T90)</f>
        <v>1.2347785462680749</v>
      </c>
      <c r="U117" s="150">
        <f>IF(TrRoad_act!U59=0,0,TrRoad_ene!U62/TrRoad_tech!U90)</f>
        <v>1.2698268139109181</v>
      </c>
      <c r="V117" s="150">
        <f>IF(TrRoad_act!V59=0,0,TrRoad_ene!V62/TrRoad_tech!V90)</f>
        <v>1.3065698102912917</v>
      </c>
      <c r="W117" s="150">
        <f>IF(TrRoad_act!W59=0,0,TrRoad_ene!W62/TrRoad_tech!W90)</f>
        <v>1.3388154315461154</v>
      </c>
      <c r="X117" s="150">
        <f>IF(TrRoad_act!X59=0,0,TrRoad_ene!X62/TrRoad_tech!X90)</f>
        <v>1.3686580008861609</v>
      </c>
      <c r="Y117" s="150">
        <f>IF(TrRoad_act!Y59=0,0,TrRoad_ene!Y62/TrRoad_tech!Y90)</f>
        <v>1.3937776642947528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0.91056602503484019</v>
      </c>
      <c r="C118" s="151">
        <f>IF(TrRoad_act!C60=0,0,TrRoad_ene!C63/TrRoad_tech!C91)</f>
        <v>0.95733523580536783</v>
      </c>
      <c r="D118" s="151">
        <f>IF(TrRoad_act!D60=0,0,TrRoad_ene!D63/TrRoad_tech!D91)</f>
        <v>0.95746801934789716</v>
      </c>
      <c r="E118" s="151">
        <f>IF(TrRoad_act!E60=0,0,TrRoad_ene!E63/TrRoad_tech!E91)</f>
        <v>0.94025104194942299</v>
      </c>
      <c r="F118" s="151">
        <f>IF(TrRoad_act!F60=0,0,TrRoad_ene!F63/TrRoad_tech!F91)</f>
        <v>0.94366657359631201</v>
      </c>
      <c r="G118" s="151">
        <f>IF(TrRoad_act!G60=0,0,TrRoad_ene!G63/TrRoad_tech!G91)</f>
        <v>0.94602038831138879</v>
      </c>
      <c r="H118" s="151">
        <f>IF(TrRoad_act!H60=0,0,TrRoad_ene!H63/TrRoad_tech!H91)</f>
        <v>0.93325672904014267</v>
      </c>
      <c r="I118" s="151">
        <f>IF(TrRoad_act!I60=0,0,TrRoad_ene!I63/TrRoad_tech!I91)</f>
        <v>0.96210202767727615</v>
      </c>
      <c r="J118" s="151">
        <f>IF(TrRoad_act!J60=0,0,TrRoad_ene!J63/TrRoad_tech!J91)</f>
        <v>0.96121027283535998</v>
      </c>
      <c r="K118" s="151">
        <f>IF(TrRoad_act!K60=0,0,TrRoad_ene!K63/TrRoad_tech!K91)</f>
        <v>0.9292174836956073</v>
      </c>
      <c r="L118" s="151">
        <f>IF(TrRoad_act!L60=0,0,TrRoad_ene!L63/TrRoad_tech!L91)</f>
        <v>0.92410590492006339</v>
      </c>
      <c r="M118" s="151">
        <f>IF(TrRoad_act!M60=0,0,TrRoad_ene!M63/TrRoad_tech!M91)</f>
        <v>0.9405986150272041</v>
      </c>
      <c r="N118" s="151">
        <f>IF(TrRoad_act!N60=0,0,TrRoad_ene!N63/TrRoad_tech!N91)</f>
        <v>0.91463468740490939</v>
      </c>
      <c r="O118" s="151">
        <f>IF(TrRoad_act!O60=0,0,TrRoad_ene!O63/TrRoad_tech!O91)</f>
        <v>0.92545623638439867</v>
      </c>
      <c r="P118" s="151">
        <f>IF(TrRoad_act!P60=0,0,TrRoad_ene!P63/TrRoad_tech!P91)</f>
        <v>0.97325776224494198</v>
      </c>
      <c r="Q118" s="151">
        <f>IF(TrRoad_act!Q60=0,0,TrRoad_ene!Q63/TrRoad_tech!Q91)</f>
        <v>0.98516610042864705</v>
      </c>
      <c r="R118" s="151">
        <f>IF(TrRoad_act!R60=0,0,TrRoad_ene!R63/TrRoad_tech!R91)</f>
        <v>0.98675709746338824</v>
      </c>
      <c r="S118" s="151">
        <f>IF(TrRoad_act!S60=0,0,TrRoad_ene!S63/TrRoad_tech!S91)</f>
        <v>0.99630270519282071</v>
      </c>
      <c r="T118" s="151">
        <f>IF(TrRoad_act!T60=0,0,TrRoad_ene!T63/TrRoad_tech!T91)</f>
        <v>1.0075841786095194</v>
      </c>
      <c r="U118" s="151">
        <f>IF(TrRoad_act!U60=0,0,TrRoad_ene!U63/TrRoad_tech!U91)</f>
        <v>1.0231052925317778</v>
      </c>
      <c r="V118" s="151">
        <f>IF(TrRoad_act!V60=0,0,TrRoad_ene!V63/TrRoad_tech!V91)</f>
        <v>1.0379408865624467</v>
      </c>
      <c r="W118" s="151">
        <f>IF(TrRoad_act!W60=0,0,TrRoad_ene!W63/TrRoad_tech!W91)</f>
        <v>1.0497553637811203</v>
      </c>
      <c r="X118" s="151">
        <f>IF(TrRoad_act!X60=0,0,TrRoad_ene!X63/TrRoad_tech!X91)</f>
        <v>1.0367762772913822</v>
      </c>
      <c r="Y118" s="151">
        <f>IF(TrRoad_act!Y60=0,0,TrRoad_ene!Y63/TrRoad_tech!Y91)</f>
        <v>1.0335734705325272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0.93950158337695155</v>
      </c>
      <c r="C119" s="91">
        <f>IF(TrRoad_act!C61=0,0,TrRoad_ene!C64/TrRoad_tech!C92)</f>
        <v>0.99449968938866506</v>
      </c>
      <c r="D119" s="91">
        <f>IF(TrRoad_act!D61=0,0,TrRoad_ene!D64/TrRoad_tech!D92)</f>
        <v>0.98656020596171368</v>
      </c>
      <c r="E119" s="91">
        <f>IF(TrRoad_act!E61=0,0,TrRoad_ene!E64/TrRoad_tech!E92)</f>
        <v>0.9631137893188344</v>
      </c>
      <c r="F119" s="91">
        <f>IF(TrRoad_act!F61=0,0,TrRoad_ene!F64/TrRoad_tech!F92)</f>
        <v>0.96577557033481198</v>
      </c>
      <c r="G119" s="91">
        <f>IF(TrRoad_act!G61=0,0,TrRoad_ene!G64/TrRoad_tech!G92)</f>
        <v>0.91319700829760553</v>
      </c>
      <c r="H119" s="91">
        <f>IF(TrRoad_act!H61=0,0,TrRoad_ene!H64/TrRoad_tech!H92)</f>
        <v>0.91030647215995542</v>
      </c>
      <c r="I119" s="91">
        <f>IF(TrRoad_act!I61=0,0,TrRoad_ene!I64/TrRoad_tech!I92)</f>
        <v>0.95309237857121176</v>
      </c>
      <c r="J119" s="91">
        <f>IF(TrRoad_act!J61=0,0,TrRoad_ene!J64/TrRoad_tech!J92)</f>
        <v>0.95904813722207083</v>
      </c>
      <c r="K119" s="91">
        <f>IF(TrRoad_act!K61=0,0,TrRoad_ene!K64/TrRoad_tech!K92)</f>
        <v>0.92262086880101202</v>
      </c>
      <c r="L119" s="91">
        <f>IF(TrRoad_act!L61=0,0,TrRoad_ene!L64/TrRoad_tech!L92)</f>
        <v>0.94211257805056392</v>
      </c>
      <c r="M119" s="91">
        <f>IF(TrRoad_act!M61=0,0,TrRoad_ene!M64/TrRoad_tech!M92)</f>
        <v>0.93151103898762122</v>
      </c>
      <c r="N119" s="91">
        <f>IF(TrRoad_act!N61=0,0,TrRoad_ene!N64/TrRoad_tech!N92)</f>
        <v>0.92353555844709212</v>
      </c>
      <c r="O119" s="91">
        <f>IF(TrRoad_act!O61=0,0,TrRoad_ene!O64/TrRoad_tech!O92)</f>
        <v>0.94143272669642442</v>
      </c>
      <c r="P119" s="91">
        <f>IF(TrRoad_act!P61=0,0,TrRoad_ene!P64/TrRoad_tech!P92)</f>
        <v>0.95393251304268567</v>
      </c>
      <c r="Q119" s="91">
        <f>IF(TrRoad_act!Q61=0,0,TrRoad_ene!Q64/TrRoad_tech!Q92)</f>
        <v>0.96787456377643211</v>
      </c>
      <c r="R119" s="91">
        <f>IF(TrRoad_act!R61=0,0,TrRoad_ene!R64/TrRoad_tech!R92)</f>
        <v>1.0368411006899962</v>
      </c>
      <c r="S119" s="91">
        <f>IF(TrRoad_act!S61=0,0,TrRoad_ene!S64/TrRoad_tech!S92)</f>
        <v>1.0418377511145553</v>
      </c>
      <c r="T119" s="91">
        <f>IF(TrRoad_act!T61=0,0,TrRoad_ene!T64/TrRoad_tech!T92)</f>
        <v>1.048471831177479</v>
      </c>
      <c r="U119" s="91">
        <f>IF(TrRoad_act!U61=0,0,TrRoad_ene!U64/TrRoad_tech!U92)</f>
        <v>1.0694381693716777</v>
      </c>
      <c r="V119" s="91">
        <f>IF(TrRoad_act!V61=0,0,TrRoad_ene!V64/TrRoad_tech!V92)</f>
        <v>1.0929413826157413</v>
      </c>
      <c r="W119" s="91">
        <f>IF(TrRoad_act!W61=0,0,TrRoad_ene!W64/TrRoad_tech!W92)</f>
        <v>1.0923627136485352</v>
      </c>
      <c r="X119" s="91">
        <f>IF(TrRoad_act!X61=0,0,TrRoad_ene!X64/TrRoad_tech!X92)</f>
        <v>1.0251438347941328</v>
      </c>
      <c r="Y119" s="91">
        <f>IF(TrRoad_act!Y61=0,0,TrRoad_ene!Y64/TrRoad_tech!Y92)</f>
        <v>1.0268368039146873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0.87978760633917119</v>
      </c>
      <c r="C120" s="91">
        <f>IF(TrRoad_act!C62=0,0,TrRoad_ene!C65/TrRoad_tech!C93)</f>
        <v>0.91070860045897783</v>
      </c>
      <c r="D120" s="91">
        <f>IF(TrRoad_act!D62=0,0,TrRoad_ene!D65/TrRoad_tech!D93)</f>
        <v>0.90692399991616224</v>
      </c>
      <c r="E120" s="91">
        <f>IF(TrRoad_act!E62=0,0,TrRoad_ene!E65/TrRoad_tech!E93)</f>
        <v>0.875611714676651</v>
      </c>
      <c r="F120" s="91">
        <f>IF(TrRoad_act!F62=0,0,TrRoad_ene!F65/TrRoad_tech!F93)</f>
        <v>0.89811004410140849</v>
      </c>
      <c r="G120" s="91">
        <f>IF(TrRoad_act!G62=0,0,TrRoad_ene!G65/TrRoad_tech!G93)</f>
        <v>0.89413465156710303</v>
      </c>
      <c r="H120" s="91">
        <f>IF(TrRoad_act!H62=0,0,TrRoad_ene!H65/TrRoad_tech!H93)</f>
        <v>0.8923168064025595</v>
      </c>
      <c r="I120" s="91">
        <f>IF(TrRoad_act!I62=0,0,TrRoad_ene!I65/TrRoad_tech!I93)</f>
        <v>0.97466502544460187</v>
      </c>
      <c r="J120" s="91">
        <f>IF(TrRoad_act!J62=0,0,TrRoad_ene!J65/TrRoad_tech!J93)</f>
        <v>0.98530658337691768</v>
      </c>
      <c r="K120" s="91">
        <f>IF(TrRoad_act!K62=0,0,TrRoad_ene!K65/TrRoad_tech!K93)</f>
        <v>0.91362791191293791</v>
      </c>
      <c r="L120" s="91">
        <f>IF(TrRoad_act!L62=0,0,TrRoad_ene!L65/TrRoad_tech!L93)</f>
        <v>0.93969628529444094</v>
      </c>
      <c r="M120" s="91">
        <f>IF(TrRoad_act!M62=0,0,TrRoad_ene!M65/TrRoad_tech!M93)</f>
        <v>0.96658681749965958</v>
      </c>
      <c r="N120" s="91">
        <f>IF(TrRoad_act!N62=0,0,TrRoad_ene!N65/TrRoad_tech!N93)</f>
        <v>0.92084881828032839</v>
      </c>
      <c r="O120" s="91">
        <f>IF(TrRoad_act!O62=0,0,TrRoad_ene!O65/TrRoad_tech!O93)</f>
        <v>0.94309436797016655</v>
      </c>
      <c r="P120" s="91">
        <f>IF(TrRoad_act!P62=0,0,TrRoad_ene!P65/TrRoad_tech!P93)</f>
        <v>1.0060307168186355</v>
      </c>
      <c r="Q120" s="91">
        <f>IF(TrRoad_act!Q62=0,0,TrRoad_ene!Q65/TrRoad_tech!Q93)</f>
        <v>1.0218072317869886</v>
      </c>
      <c r="R120" s="91">
        <f>IF(TrRoad_act!R62=0,0,TrRoad_ene!R65/TrRoad_tech!R93)</f>
        <v>1.0149747932136612</v>
      </c>
      <c r="S120" s="91">
        <f>IF(TrRoad_act!S62=0,0,TrRoad_ene!S65/TrRoad_tech!S93)</f>
        <v>1.0184349021651107</v>
      </c>
      <c r="T120" s="91">
        <f>IF(TrRoad_act!T62=0,0,TrRoad_ene!T65/TrRoad_tech!T93)</f>
        <v>1.0231440314914804</v>
      </c>
      <c r="U120" s="91">
        <f>IF(TrRoad_act!U62=0,0,TrRoad_ene!U65/TrRoad_tech!U93)</f>
        <v>1.0284774695707519</v>
      </c>
      <c r="V120" s="91">
        <f>IF(TrRoad_act!V62=0,0,TrRoad_ene!V65/TrRoad_tech!V93)</f>
        <v>1.0328222637086268</v>
      </c>
      <c r="W120" s="91">
        <f>IF(TrRoad_act!W62=0,0,TrRoad_ene!W65/TrRoad_tech!W93)</f>
        <v>1.0384682193789165</v>
      </c>
      <c r="X120" s="91">
        <f>IF(TrRoad_act!X62=0,0,TrRoad_ene!X65/TrRoad_tech!X93)</f>
        <v>1.0346577221870412</v>
      </c>
      <c r="Y120" s="91">
        <f>IF(TrRoad_act!Y62=0,0,TrRoad_ene!Y65/TrRoad_tech!Y93)</f>
        <v>1.0282548155902274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0.95954427415200738</v>
      </c>
      <c r="C121" s="91">
        <f>IF(TrRoad_act!C63=0,0,TrRoad_ene!C66/TrRoad_tech!C94)</f>
        <v>1.1275725860483969</v>
      </c>
      <c r="D121" s="91">
        <f>IF(TrRoad_act!D63=0,0,TrRoad_ene!D66/TrRoad_tech!D94)</f>
        <v>1.1568461077409375</v>
      </c>
      <c r="E121" s="91">
        <f>IF(TrRoad_act!E63=0,0,TrRoad_ene!E66/TrRoad_tech!E94)</f>
        <v>1.2207593381666884</v>
      </c>
      <c r="F121" s="91">
        <f>IF(TrRoad_act!F63=0,0,TrRoad_ene!F66/TrRoad_tech!F94)</f>
        <v>1.1749162157732647</v>
      </c>
      <c r="G121" s="91">
        <f>IF(TrRoad_act!G63=0,0,TrRoad_ene!G66/TrRoad_tech!G94)</f>
        <v>1.3752240736930246</v>
      </c>
      <c r="H121" s="91">
        <f>IF(TrRoad_act!H63=0,0,TrRoad_ene!H66/TrRoad_tech!H94)</f>
        <v>1.3128969037104188</v>
      </c>
      <c r="I121" s="91">
        <f>IF(TrRoad_act!I63=0,0,TrRoad_ene!I66/TrRoad_tech!I94)</f>
        <v>1.1107413255016794</v>
      </c>
      <c r="J121" s="91">
        <f>IF(TrRoad_act!J63=0,0,TrRoad_ene!J66/TrRoad_tech!J94)</f>
        <v>1.0561849145235733</v>
      </c>
      <c r="K121" s="91">
        <f>IF(TrRoad_act!K63=0,0,TrRoad_ene!K66/TrRoad_tech!K94)</f>
        <v>1.2039921029274607</v>
      </c>
      <c r="L121" s="91">
        <f>IF(TrRoad_act!L63=0,0,TrRoad_ene!L66/TrRoad_tech!L94)</f>
        <v>1.0684919713781129</v>
      </c>
      <c r="M121" s="91">
        <f>IF(TrRoad_act!M63=0,0,TrRoad_ene!M66/TrRoad_tech!M94)</f>
        <v>1.0868146950729312</v>
      </c>
      <c r="N121" s="91">
        <f>IF(TrRoad_act!N63=0,0,TrRoad_ene!N66/TrRoad_tech!N94)</f>
        <v>1.1559740278898591</v>
      </c>
      <c r="O121" s="91">
        <f>IF(TrRoad_act!O63=0,0,TrRoad_ene!O66/TrRoad_tech!O94)</f>
        <v>1.0777212559444991</v>
      </c>
      <c r="P121" s="91">
        <f>IF(TrRoad_act!P63=0,0,TrRoad_ene!P66/TrRoad_tech!P94)</f>
        <v>1.0780387049272027</v>
      </c>
      <c r="Q121" s="91">
        <f>IF(TrRoad_act!Q63=0,0,TrRoad_ene!Q66/TrRoad_tech!Q94)</f>
        <v>1.0623006952042733</v>
      </c>
      <c r="R121" s="91">
        <f>IF(TrRoad_act!R63=0,0,TrRoad_ene!R66/TrRoad_tech!R94)</f>
        <v>1.0031769710887906</v>
      </c>
      <c r="S121" s="91">
        <f>IF(TrRoad_act!S63=0,0,TrRoad_ene!S66/TrRoad_tech!S94)</f>
        <v>1.0249455429444381</v>
      </c>
      <c r="T121" s="91">
        <f>IF(TrRoad_act!T63=0,0,TrRoad_ene!T66/TrRoad_tech!T94)</f>
        <v>1.0391353407952597</v>
      </c>
      <c r="U121" s="91">
        <f>IF(TrRoad_act!U63=0,0,TrRoad_ene!U66/TrRoad_tech!U94)</f>
        <v>1.0502939307796482</v>
      </c>
      <c r="V121" s="91">
        <f>IF(TrRoad_act!V63=0,0,TrRoad_ene!V66/TrRoad_tech!V94)</f>
        <v>1.0923437227779962</v>
      </c>
      <c r="W121" s="91">
        <f>IF(TrRoad_act!W63=0,0,TrRoad_ene!W66/TrRoad_tech!W94)</f>
        <v>1.1639882263135464</v>
      </c>
      <c r="X121" s="91">
        <f>IF(TrRoad_act!X63=0,0,TrRoad_ene!X66/TrRoad_tech!X94)</f>
        <v>1.1800610983310889</v>
      </c>
      <c r="Y121" s="91">
        <f>IF(TrRoad_act!Y63=0,0,TrRoad_ene!Y66/TrRoad_tech!Y94)</f>
        <v>1.1707302267156114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1.0655555555606802</v>
      </c>
      <c r="O122" s="91">
        <f>IF(TrRoad_act!O64=0,0,TrRoad_ene!O67/TrRoad_tech!O95)</f>
        <v>1.069767923919789</v>
      </c>
      <c r="P122" s="91">
        <f>IF(TrRoad_act!P64=0,0,TrRoad_ene!P67/TrRoad_tech!P95)</f>
        <v>1.0756889210655765</v>
      </c>
      <c r="Q122" s="91">
        <f>IF(TrRoad_act!Q64=0,0,TrRoad_ene!Q67/TrRoad_tech!Q95)</f>
        <v>1.0777577798539855</v>
      </c>
      <c r="R122" s="91">
        <f>IF(TrRoad_act!R64=0,0,TrRoad_ene!R67/TrRoad_tech!R95)</f>
        <v>1.0804623949306529</v>
      </c>
      <c r="S122" s="91">
        <f>IF(TrRoad_act!S64=0,0,TrRoad_ene!S67/TrRoad_tech!S95)</f>
        <v>1.084574037028621</v>
      </c>
      <c r="T122" s="91">
        <f>IF(TrRoad_act!T64=0,0,TrRoad_ene!T67/TrRoad_tech!T95)</f>
        <v>1.0874463061937922</v>
      </c>
      <c r="U122" s="91">
        <f>IF(TrRoad_act!U64=0,0,TrRoad_ene!U67/TrRoad_tech!U95)</f>
        <v>1.0877880855933681</v>
      </c>
      <c r="V122" s="91">
        <f>IF(TrRoad_act!V64=0,0,TrRoad_ene!V67/TrRoad_tech!V95)</f>
        <v>1.0925370778497177</v>
      </c>
      <c r="W122" s="91">
        <f>IF(TrRoad_act!W64=0,0,TrRoad_ene!W67/TrRoad_tech!W95)</f>
        <v>1.0946405486515827</v>
      </c>
      <c r="X122" s="91">
        <f>IF(TrRoad_act!X64=0,0,TrRoad_ene!X67/TrRoad_tech!X95)</f>
        <v>1.0984843361463772</v>
      </c>
      <c r="Y122" s="91">
        <f>IF(TrRoad_act!Y64=0,0,TrRoad_ene!Y67/TrRoad_tech!Y95)</f>
        <v>1.0995366059567695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</v>
      </c>
      <c r="O123" s="91">
        <f>IF(TrRoad_act!O65=0,0,TrRoad_ene!O68/TrRoad_tech!O96)</f>
        <v>1.0000264527974405</v>
      </c>
      <c r="P123" s="91">
        <f>IF(TrRoad_act!P65=0,0,TrRoad_ene!P68/TrRoad_tech!P96)</f>
        <v>1.0172041829976644</v>
      </c>
      <c r="Q123" s="91">
        <f>IF(TrRoad_act!Q65=0,0,TrRoad_ene!Q68/TrRoad_tech!Q96)</f>
        <v>1.0282696844275319</v>
      </c>
      <c r="R123" s="91">
        <f>IF(TrRoad_act!R65=0,0,TrRoad_ene!R68/TrRoad_tech!R96)</f>
        <v>1.0764646363539108</v>
      </c>
      <c r="S123" s="91">
        <f>IF(TrRoad_act!S65=0,0,TrRoad_ene!S68/TrRoad_tech!S96)</f>
        <v>1.0806108583691181</v>
      </c>
      <c r="T123" s="91">
        <f>IF(TrRoad_act!T65=0,0,TrRoad_ene!T68/TrRoad_tech!T96)</f>
        <v>1.0851450659852662</v>
      </c>
      <c r="U123" s="91">
        <f>IF(TrRoad_act!U65=0,0,TrRoad_ene!U68/TrRoad_tech!U96)</f>
        <v>1.0953181411546282</v>
      </c>
      <c r="V123" s="91">
        <f>IF(TrRoad_act!V65=0,0,TrRoad_ene!V68/TrRoad_tech!V96)</f>
        <v>1.1078821171810875</v>
      </c>
      <c r="W123" s="91">
        <f>IF(TrRoad_act!W65=0,0,TrRoad_ene!W68/TrRoad_tech!W96)</f>
        <v>1.1055039999773633</v>
      </c>
      <c r="X123" s="91">
        <f>IF(TrRoad_act!X65=0,0,TrRoad_ene!X68/TrRoad_tech!X96)</f>
        <v>1.0684431506906344</v>
      </c>
      <c r="Y123" s="91">
        <f>IF(TrRoad_act!Y65=0,0,TrRoad_ene!Y68/TrRoad_tech!Y96)</f>
        <v>1.0711360476054737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1.06037037037527</v>
      </c>
      <c r="N124" s="91">
        <f>IF(TrRoad_act!N66=0,0,TrRoad_ene!N69/TrRoad_tech!N97)</f>
        <v>1.06037037037527</v>
      </c>
      <c r="O124" s="91">
        <f>IF(TrRoad_act!O66=0,0,TrRoad_ene!O69/TrRoad_tech!O97)</f>
        <v>1.0676103871178537</v>
      </c>
      <c r="P124" s="91">
        <f>IF(TrRoad_act!P66=0,0,TrRoad_ene!P69/TrRoad_tech!P97)</f>
        <v>1.0761786640906308</v>
      </c>
      <c r="Q124" s="91">
        <f>IF(TrRoad_act!Q66=0,0,TrRoad_ene!Q69/TrRoad_tech!Q97)</f>
        <v>1.0814274906081767</v>
      </c>
      <c r="R124" s="91">
        <f>IF(TrRoad_act!R66=0,0,TrRoad_ene!R69/TrRoad_tech!R97)</f>
        <v>1.0859862161964267</v>
      </c>
      <c r="S124" s="91">
        <f>IF(TrRoad_act!S66=0,0,TrRoad_ene!S69/TrRoad_tech!S97)</f>
        <v>1.0889513862041331</v>
      </c>
      <c r="T124" s="91">
        <f>IF(TrRoad_act!T66=0,0,TrRoad_ene!T69/TrRoad_tech!T97)</f>
        <v>1.0913473317823457</v>
      </c>
      <c r="U124" s="91">
        <f>IF(TrRoad_act!U66=0,0,TrRoad_ene!U69/TrRoad_tech!U97)</f>
        <v>1.0931469971266523</v>
      </c>
      <c r="V124" s="91">
        <f>IF(TrRoad_act!V66=0,0,TrRoad_ene!V69/TrRoad_tech!V97)</f>
        <v>1.0954425248403772</v>
      </c>
      <c r="W124" s="91">
        <f>IF(TrRoad_act!W66=0,0,TrRoad_ene!W69/TrRoad_tech!W97)</f>
        <v>1.0972540850926802</v>
      </c>
      <c r="X124" s="91">
        <f>IF(TrRoad_act!X66=0,0,TrRoad_ene!X69/TrRoad_tech!X97)</f>
        <v>1.0982251560273451</v>
      </c>
      <c r="Y124" s="91">
        <f>IF(TrRoad_act!Y66=0,0,TrRoad_ene!Y69/TrRoad_tech!Y97)</f>
        <v>1.099098099600714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1.1000000000067303</v>
      </c>
      <c r="C125" s="151">
        <f>IF(TrRoad_act!C67=0,0,TrRoad_ene!C70/TrRoad_tech!C98)</f>
        <v>1.0823022006162664</v>
      </c>
      <c r="D125" s="151">
        <f>IF(TrRoad_act!D67=0,0,TrRoad_ene!D70/TrRoad_tech!D98)</f>
        <v>1.0885907453697317</v>
      </c>
      <c r="E125" s="151">
        <f>IF(TrRoad_act!E67=0,0,TrRoad_ene!E70/TrRoad_tech!E98)</f>
        <v>1.1095596563305787</v>
      </c>
      <c r="F125" s="151">
        <f>IF(TrRoad_act!F67=0,0,TrRoad_ene!F70/TrRoad_tech!F98)</f>
        <v>1.120237022951023</v>
      </c>
      <c r="G125" s="151">
        <f>IF(TrRoad_act!G67=0,0,TrRoad_ene!G70/TrRoad_tech!G98)</f>
        <v>1.1301590489877023</v>
      </c>
      <c r="H125" s="151">
        <f>IF(TrRoad_act!H67=0,0,TrRoad_ene!H70/TrRoad_tech!H98)</f>
        <v>1.1384577291022941</v>
      </c>
      <c r="I125" s="151">
        <f>IF(TrRoad_act!I67=0,0,TrRoad_ene!I70/TrRoad_tech!I98)</f>
        <v>1.1466066607134193</v>
      </c>
      <c r="J125" s="151">
        <f>IF(TrRoad_act!J67=0,0,TrRoad_ene!J70/TrRoad_tech!J98)</f>
        <v>1.1543082722616456</v>
      </c>
      <c r="K125" s="151">
        <f>IF(TrRoad_act!K67=0,0,TrRoad_ene!K70/TrRoad_tech!K98)</f>
        <v>1.1600699441036344</v>
      </c>
      <c r="L125" s="151">
        <f>IF(TrRoad_act!L67=0,0,TrRoad_ene!L70/TrRoad_tech!L98)</f>
        <v>1.1747397263180108</v>
      </c>
      <c r="M125" s="151">
        <f>IF(TrRoad_act!M67=0,0,TrRoad_ene!M70/TrRoad_tech!M98)</f>
        <v>1.1890186839780772</v>
      </c>
      <c r="N125" s="151">
        <f>IF(TrRoad_act!N67=0,0,TrRoad_ene!N70/TrRoad_tech!N98)</f>
        <v>1.1865193376890959</v>
      </c>
      <c r="O125" s="151">
        <f>IF(TrRoad_act!O67=0,0,TrRoad_ene!O70/TrRoad_tech!O98)</f>
        <v>1.1909158123463035</v>
      </c>
      <c r="P125" s="151">
        <f>IF(TrRoad_act!P67=0,0,TrRoad_ene!P70/TrRoad_tech!P98)</f>
        <v>1.1871479418257469</v>
      </c>
      <c r="Q125" s="151">
        <f>IF(TrRoad_act!Q67=0,0,TrRoad_ene!Q70/TrRoad_tech!Q98)</f>
        <v>1.1553552312712994</v>
      </c>
      <c r="R125" s="151">
        <f>IF(TrRoad_act!R67=0,0,TrRoad_ene!R70/TrRoad_tech!R98)</f>
        <v>1.16265410683533</v>
      </c>
      <c r="S125" s="151">
        <f>IF(TrRoad_act!S67=0,0,TrRoad_ene!S70/TrRoad_tech!S98)</f>
        <v>1.1841321893320553</v>
      </c>
      <c r="T125" s="151">
        <f>IF(TrRoad_act!T67=0,0,TrRoad_ene!T70/TrRoad_tech!T98)</f>
        <v>1.2119137510927167</v>
      </c>
      <c r="U125" s="151">
        <f>IF(TrRoad_act!U67=0,0,TrRoad_ene!U70/TrRoad_tech!U98)</f>
        <v>1.2247292329899009</v>
      </c>
      <c r="V125" s="151">
        <f>IF(TrRoad_act!V67=0,0,TrRoad_ene!V70/TrRoad_tech!V98)</f>
        <v>1.2112014730883036</v>
      </c>
      <c r="W125" s="151">
        <f>IF(TrRoad_act!W67=0,0,TrRoad_ene!W70/TrRoad_tech!W98)</f>
        <v>1.1960743116423642</v>
      </c>
      <c r="X125" s="151">
        <f>IF(TrRoad_act!X67=0,0,TrRoad_ene!X70/TrRoad_tech!X98)</f>
        <v>1.1639547216841264</v>
      </c>
      <c r="Y125" s="151">
        <f>IF(TrRoad_act!Y67=0,0,TrRoad_ene!Y70/TrRoad_tech!Y98)</f>
        <v>1.1847381439812479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1.1093333333401458</v>
      </c>
      <c r="E126" s="93">
        <f>IF(TrRoad_act!E68=0,0,TrRoad_ene!E71/TrRoad_tech!E99)</f>
        <v>1.1116776536238033</v>
      </c>
      <c r="F126" s="93">
        <f>IF(TrRoad_act!F68=0,0,TrRoad_ene!F71/TrRoad_tech!F99)</f>
        <v>1.1118712365042942</v>
      </c>
      <c r="G126" s="93">
        <f>IF(TrRoad_act!G68=0,0,TrRoad_ene!G71/TrRoad_tech!G99)</f>
        <v>1.1127925284200357</v>
      </c>
      <c r="H126" s="93">
        <f>IF(TrRoad_act!H68=0,0,TrRoad_ene!H71/TrRoad_tech!H99)</f>
        <v>1.1152974895539458</v>
      </c>
      <c r="I126" s="93">
        <f>IF(TrRoad_act!I68=0,0,TrRoad_ene!I71/TrRoad_tech!I99)</f>
        <v>1.1157551561200241</v>
      </c>
      <c r="J126" s="93">
        <f>IF(TrRoad_act!J68=0,0,TrRoad_ene!J71/TrRoad_tech!J99)</f>
        <v>1.1175673218927424</v>
      </c>
      <c r="K126" s="93">
        <f>IF(TrRoad_act!K68=0,0,TrRoad_ene!K71/TrRoad_tech!K99)</f>
        <v>1.1180681178581189</v>
      </c>
      <c r="L126" s="93">
        <f>IF(TrRoad_act!L68=0,0,TrRoad_ene!L71/TrRoad_tech!L99)</f>
        <v>1.1180681178581189</v>
      </c>
      <c r="M126" s="93">
        <f>IF(TrRoad_act!M68=0,0,TrRoad_ene!M71/TrRoad_tech!M99)</f>
        <v>1.1213138776236407</v>
      </c>
      <c r="N126" s="93">
        <f>IF(TrRoad_act!N68=0,0,TrRoad_ene!N71/TrRoad_tech!N99)</f>
        <v>1.1224639375031853</v>
      </c>
      <c r="O126" s="93">
        <f>IF(TrRoad_act!O68=0,0,TrRoad_ene!O71/TrRoad_tech!O99)</f>
        <v>1.2480500192531618</v>
      </c>
      <c r="P126" s="93">
        <f>IF(TrRoad_act!P68=0,0,TrRoad_ene!P71/TrRoad_tech!P99)</f>
        <v>1.2560000000062246</v>
      </c>
      <c r="Q126" s="93">
        <f>IF(TrRoad_act!Q68=0,0,TrRoad_ene!Q71/TrRoad_tech!Q99)</f>
        <v>1.2560000000062246</v>
      </c>
      <c r="R126" s="93">
        <f>IF(TrRoad_act!R68=0,0,TrRoad_ene!R71/TrRoad_tech!R99)</f>
        <v>1.2560000000062244</v>
      </c>
      <c r="S126" s="93">
        <f>IF(TrRoad_act!S68=0,0,TrRoad_ene!S71/TrRoad_tech!S99)</f>
        <v>1.2560000000062244</v>
      </c>
      <c r="T126" s="93">
        <f>IF(TrRoad_act!T68=0,0,TrRoad_ene!T71/TrRoad_tech!T99)</f>
        <v>1.2560000000062246</v>
      </c>
      <c r="U126" s="93">
        <f>IF(TrRoad_act!U68=0,0,TrRoad_ene!U71/TrRoad_tech!U99)</f>
        <v>1.2560000000062246</v>
      </c>
      <c r="V126" s="93">
        <f>IF(TrRoad_act!V68=0,0,TrRoad_ene!V71/TrRoad_tech!V99)</f>
        <v>1.2560000000062244</v>
      </c>
      <c r="W126" s="93">
        <f>IF(TrRoad_act!W68=0,0,TrRoad_ene!W71/TrRoad_tech!W99)</f>
        <v>1.2560000000062244</v>
      </c>
      <c r="X126" s="93">
        <f>IF(TrRoad_act!X68=0,0,TrRoad_ene!X71/TrRoad_tech!X99)</f>
        <v>1.2560000000062246</v>
      </c>
      <c r="Y126" s="93">
        <f>IF(TrRoad_act!Y68=0,0,TrRoad_ene!Y71/TrRoad_tech!Y99)</f>
        <v>1.2560000000062246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1.1011128588685848</v>
      </c>
      <c r="D127" s="93">
        <f>IF(TrRoad_act!D69=0,0,TrRoad_ene!D72/TrRoad_tech!D100)</f>
        <v>1.1039327832444525</v>
      </c>
      <c r="E127" s="93">
        <f>IF(TrRoad_act!E69=0,0,TrRoad_ene!E72/TrRoad_tech!E100)</f>
        <v>1.1090535408092757</v>
      </c>
      <c r="F127" s="93">
        <f>IF(TrRoad_act!F69=0,0,TrRoad_ene!F72/TrRoad_tech!F100)</f>
        <v>1.1176282386464715</v>
      </c>
      <c r="G127" s="93">
        <f>IF(TrRoad_act!G69=0,0,TrRoad_ene!G72/TrRoad_tech!G100)</f>
        <v>1.1278868571160243</v>
      </c>
      <c r="H127" s="93">
        <f>IF(TrRoad_act!H69=0,0,TrRoad_ene!H72/TrRoad_tech!H100)</f>
        <v>1.13713955002008</v>
      </c>
      <c r="I127" s="93">
        <f>IF(TrRoad_act!I69=0,0,TrRoad_ene!I72/TrRoad_tech!I100)</f>
        <v>1.1473448951782041</v>
      </c>
      <c r="J127" s="93">
        <f>IF(TrRoad_act!J69=0,0,TrRoad_ene!J72/TrRoad_tech!J100)</f>
        <v>1.1575209818239069</v>
      </c>
      <c r="K127" s="93">
        <f>IF(TrRoad_act!K69=0,0,TrRoad_ene!K72/TrRoad_tech!K100)</f>
        <v>1.164666128061616</v>
      </c>
      <c r="L127" s="93">
        <f>IF(TrRoad_act!L69=0,0,TrRoad_ene!L72/TrRoad_tech!L100)</f>
        <v>1.1742421872228663</v>
      </c>
      <c r="M127" s="93">
        <f>IF(TrRoad_act!M69=0,0,TrRoad_ene!M72/TrRoad_tech!M100)</f>
        <v>1.1868643965301071</v>
      </c>
      <c r="N127" s="93">
        <f>IF(TrRoad_act!N69=0,0,TrRoad_ene!N72/TrRoad_tech!N100)</f>
        <v>1.191433674502947</v>
      </c>
      <c r="O127" s="93">
        <f>IF(TrRoad_act!O69=0,0,TrRoad_ene!O72/TrRoad_tech!O100)</f>
        <v>1.1987166977057608</v>
      </c>
      <c r="P127" s="93">
        <f>IF(TrRoad_act!P69=0,0,TrRoad_ene!P72/TrRoad_tech!P100)</f>
        <v>1.2069817113215739</v>
      </c>
      <c r="Q127" s="93">
        <f>IF(TrRoad_act!Q69=0,0,TrRoad_ene!Q72/TrRoad_tech!Q100)</f>
        <v>1.2140806472115517</v>
      </c>
      <c r="R127" s="93">
        <f>IF(TrRoad_act!R69=0,0,TrRoad_ene!R72/TrRoad_tech!R100)</f>
        <v>1.236285139344278</v>
      </c>
      <c r="S127" s="93">
        <f>IF(TrRoad_act!S69=0,0,TrRoad_ene!S72/TrRoad_tech!S100)</f>
        <v>1.262808424408284</v>
      </c>
      <c r="T127" s="93">
        <f>IF(TrRoad_act!T69=0,0,TrRoad_ene!T72/TrRoad_tech!T100)</f>
        <v>1.3006259205607558</v>
      </c>
      <c r="U127" s="93">
        <f>IF(TrRoad_act!U69=0,0,TrRoad_ene!U72/TrRoad_tech!U100)</f>
        <v>1.3070409704762651</v>
      </c>
      <c r="V127" s="93">
        <f>IF(TrRoad_act!V69=0,0,TrRoad_ene!V72/TrRoad_tech!V100)</f>
        <v>1.3200820473622286</v>
      </c>
      <c r="W127" s="93">
        <f>IF(TrRoad_act!W69=0,0,TrRoad_ene!W72/TrRoad_tech!W100)</f>
        <v>1.3367106907890021</v>
      </c>
      <c r="X127" s="93">
        <f>IF(TrRoad_act!X69=0,0,TrRoad_ene!X72/TrRoad_tech!X100)</f>
        <v>1.3428949575365614</v>
      </c>
      <c r="Y127" s="93">
        <f>IF(TrRoad_act!Y69=0,0,TrRoad_ene!Y72/TrRoad_tech!Y100)</f>
        <v>1.347587528182117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1.1093333333401461</v>
      </c>
      <c r="E128" s="93">
        <f>IF(TrRoad_act!E70=0,0,TrRoad_ene!E73/TrRoad_tech!E101)</f>
        <v>1.1093333333401461</v>
      </c>
      <c r="F128" s="93">
        <f>IF(TrRoad_act!F70=0,0,TrRoad_ene!F73/TrRoad_tech!F101)</f>
        <v>1.1093333333401461</v>
      </c>
      <c r="G128" s="93">
        <f>IF(TrRoad_act!G70=0,0,TrRoad_ene!G73/TrRoad_tech!G101)</f>
        <v>1.1093333333401461</v>
      </c>
      <c r="H128" s="93">
        <f>IF(TrRoad_act!H70=0,0,TrRoad_ene!H73/TrRoad_tech!H101)</f>
        <v>1.1093333333401463</v>
      </c>
      <c r="I128" s="93">
        <f>IF(TrRoad_act!I70=0,0,TrRoad_ene!I73/TrRoad_tech!I101)</f>
        <v>1.1093333333401461</v>
      </c>
      <c r="J128" s="93">
        <f>IF(TrRoad_act!J70=0,0,TrRoad_ene!J73/TrRoad_tech!J101)</f>
        <v>1.1093333333401463</v>
      </c>
      <c r="K128" s="93">
        <f>IF(TrRoad_act!K70=0,0,TrRoad_ene!K73/TrRoad_tech!K101)</f>
        <v>1.1093333333401463</v>
      </c>
      <c r="L128" s="93">
        <f>IF(TrRoad_act!L70=0,0,TrRoad_ene!L73/TrRoad_tech!L101)</f>
        <v>1.1093333333401461</v>
      </c>
      <c r="M128" s="93">
        <f>IF(TrRoad_act!M70=0,0,TrRoad_ene!M73/TrRoad_tech!M101)</f>
        <v>1.2049148676896253</v>
      </c>
      <c r="N128" s="93">
        <f>IF(TrRoad_act!N70=0,0,TrRoad_ene!N73/TrRoad_tech!N101)</f>
        <v>1.2049148676896253</v>
      </c>
      <c r="O128" s="93">
        <f>IF(TrRoad_act!O70=0,0,TrRoad_ene!O73/TrRoad_tech!O101)</f>
        <v>1.247018648360148</v>
      </c>
      <c r="P128" s="93">
        <f>IF(TrRoad_act!P70=0,0,TrRoad_ene!P73/TrRoad_tech!P101)</f>
        <v>1.2695035073489007</v>
      </c>
      <c r="Q128" s="93">
        <f>IF(TrRoad_act!Q70=0,0,TrRoad_ene!Q73/TrRoad_tech!Q101)</f>
        <v>1.2705653892952165</v>
      </c>
      <c r="R128" s="93">
        <f>IF(TrRoad_act!R70=0,0,TrRoad_ene!R73/TrRoad_tech!R101)</f>
        <v>1.2706201924245719</v>
      </c>
      <c r="S128" s="93">
        <f>IF(TrRoad_act!S70=0,0,TrRoad_ene!S73/TrRoad_tech!S101)</f>
        <v>1.2719995015875196</v>
      </c>
      <c r="T128" s="93">
        <f>IF(TrRoad_act!T70=0,0,TrRoad_ene!T73/TrRoad_tech!T101)</f>
        <v>1.2758552817560846</v>
      </c>
      <c r="U128" s="93">
        <f>IF(TrRoad_act!U70=0,0,TrRoad_ene!U73/TrRoad_tech!U101)</f>
        <v>1.2911290427064617</v>
      </c>
      <c r="V128" s="93">
        <f>IF(TrRoad_act!V70=0,0,TrRoad_ene!V73/TrRoad_tech!V101)</f>
        <v>1.2923303572998115</v>
      </c>
      <c r="W128" s="93">
        <f>IF(TrRoad_act!W70=0,0,TrRoad_ene!W73/TrRoad_tech!W101)</f>
        <v>1.293639798918037</v>
      </c>
      <c r="X128" s="93">
        <f>IF(TrRoad_act!X70=0,0,TrRoad_ene!X73/TrRoad_tech!X101)</f>
        <v>1.2950865658789126</v>
      </c>
      <c r="Y128" s="93">
        <f>IF(TrRoad_act!Y70=0,0,TrRoad_ene!Y73/TrRoad_tech!Y101)</f>
        <v>1.2987179923524428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1.2205844844091507</v>
      </c>
      <c r="L129" s="93">
        <f>IF(TrRoad_act!L71=0,0,TrRoad_ene!L74/TrRoad_tech!L102)</f>
        <v>1.374501099464889</v>
      </c>
      <c r="M129" s="93">
        <f>IF(TrRoad_act!M71=0,0,TrRoad_ene!M74/TrRoad_tech!M102)</f>
        <v>1.3941213729827049</v>
      </c>
      <c r="N129" s="93">
        <f>IF(TrRoad_act!N71=0,0,TrRoad_ene!N74/TrRoad_tech!N102)</f>
        <v>1.2819921109848174</v>
      </c>
      <c r="O129" s="93">
        <f>IF(TrRoad_act!O71=0,0,TrRoad_ene!O74/TrRoad_tech!O102)</f>
        <v>1.1877009338442137</v>
      </c>
      <c r="P129" s="93">
        <f>IF(TrRoad_act!P71=0,0,TrRoad_ene!P74/TrRoad_tech!P102)</f>
        <v>1.134531083786396</v>
      </c>
      <c r="Q129" s="93">
        <f>IF(TrRoad_act!Q71=0,0,TrRoad_ene!Q74/TrRoad_tech!Q102)</f>
        <v>1.0018821065025414</v>
      </c>
      <c r="R129" s="93">
        <f>IF(TrRoad_act!R71=0,0,TrRoad_ene!R74/TrRoad_tech!R102)</f>
        <v>0.94832928165664254</v>
      </c>
      <c r="S129" s="93">
        <f>IF(TrRoad_act!S71=0,0,TrRoad_ene!S74/TrRoad_tech!S102)</f>
        <v>0.94795273385564882</v>
      </c>
      <c r="T129" s="93">
        <f>IF(TrRoad_act!T71=0,0,TrRoad_ene!T74/TrRoad_tech!T102)</f>
        <v>0.95072900453489573</v>
      </c>
      <c r="U129" s="93">
        <f>IF(TrRoad_act!U71=0,0,TrRoad_ene!U74/TrRoad_tech!U102)</f>
        <v>0.96338197651310487</v>
      </c>
      <c r="V129" s="93">
        <f>IF(TrRoad_act!V71=0,0,TrRoad_ene!V74/TrRoad_tech!V102)</f>
        <v>0.98790068044395674</v>
      </c>
      <c r="W129" s="93">
        <f>IF(TrRoad_act!W71=0,0,TrRoad_ene!W74/TrRoad_tech!W102)</f>
        <v>1.0147914723984202</v>
      </c>
      <c r="X129" s="93">
        <f>IF(TrRoad_act!X71=0,0,TrRoad_ene!X74/TrRoad_tech!X102)</f>
        <v>0.8585455206141841</v>
      </c>
      <c r="Y129" s="93">
        <f>IF(TrRoad_act!Y71=0,0,TrRoad_ene!Y74/TrRoad_tech!Y102)</f>
        <v>0.87917470651607876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1.1240000000066173</v>
      </c>
      <c r="G130" s="93">
        <f>IF(TrRoad_act!G72=0,0,TrRoad_ene!G75/TrRoad_tech!G103)</f>
        <v>1.1306919432706315</v>
      </c>
      <c r="H130" s="93">
        <f>IF(TrRoad_act!H72=0,0,TrRoad_ene!H75/TrRoad_tech!H103)</f>
        <v>1.136335916508</v>
      </c>
      <c r="I130" s="93">
        <f>IF(TrRoad_act!I72=0,0,TrRoad_ene!I75/TrRoad_tech!I103)</f>
        <v>1.1413527404628849</v>
      </c>
      <c r="J130" s="93">
        <f>IF(TrRoad_act!J72=0,0,TrRoad_ene!J75/TrRoad_tech!J103)</f>
        <v>1.1428040364753991</v>
      </c>
      <c r="K130" s="93">
        <f>IF(TrRoad_act!K72=0,0,TrRoad_ene!K75/TrRoad_tech!K103)</f>
        <v>1.1443488911654331</v>
      </c>
      <c r="L130" s="93">
        <f>IF(TrRoad_act!L72=0,0,TrRoad_ene!L75/TrRoad_tech!L103)</f>
        <v>1.1444330755238117</v>
      </c>
      <c r="M130" s="93">
        <f>IF(TrRoad_act!M72=0,0,TrRoad_ene!M75/TrRoad_tech!M103)</f>
        <v>1.1460432447703559</v>
      </c>
      <c r="N130" s="93">
        <f>IF(TrRoad_act!N72=0,0,TrRoad_ene!N75/TrRoad_tech!N103)</f>
        <v>1.1464049860904033</v>
      </c>
      <c r="O130" s="93">
        <f>IF(TrRoad_act!O72=0,0,TrRoad_ene!O75/TrRoad_tech!O103)</f>
        <v>1.2338735133798868</v>
      </c>
      <c r="P130" s="93">
        <f>IF(TrRoad_act!P72=0,0,TrRoad_ene!P75/TrRoad_tech!P103)</f>
        <v>1.2379154721743488</v>
      </c>
      <c r="Q130" s="93">
        <f>IF(TrRoad_act!Q72=0,0,TrRoad_ene!Q75/TrRoad_tech!Q103)</f>
        <v>1.2386423917152642</v>
      </c>
      <c r="R130" s="93">
        <f>IF(TrRoad_act!R72=0,0,TrRoad_ene!R75/TrRoad_tech!R103)</f>
        <v>1.2429747715577322</v>
      </c>
      <c r="S130" s="93">
        <f>IF(TrRoad_act!S72=0,0,TrRoad_ene!S75/TrRoad_tech!S103)</f>
        <v>1.2477267617449521</v>
      </c>
      <c r="T130" s="93">
        <f>IF(TrRoad_act!T72=0,0,TrRoad_ene!T75/TrRoad_tech!T103)</f>
        <v>1.2521930985390755</v>
      </c>
      <c r="U130" s="93">
        <f>IF(TrRoad_act!U72=0,0,TrRoad_ene!U75/TrRoad_tech!U103)</f>
        <v>1.2685859800422885</v>
      </c>
      <c r="V130" s="93">
        <f>IF(TrRoad_act!V72=0,0,TrRoad_ene!V75/TrRoad_tech!V103)</f>
        <v>1.2773114244911574</v>
      </c>
      <c r="W130" s="93">
        <f>IF(TrRoad_act!W72=0,0,TrRoad_ene!W75/TrRoad_tech!W103)</f>
        <v>1.2798072252436292</v>
      </c>
      <c r="X130" s="93">
        <f>IF(TrRoad_act!X72=0,0,TrRoad_ene!X75/TrRoad_tech!X103)</f>
        <v>1.2887220824585319</v>
      </c>
      <c r="Y130" s="93">
        <f>IF(TrRoad_act!Y72=0,0,TrRoad_ene!Y75/TrRoad_tech!Y103)</f>
        <v>1.299054308737426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0.98713626601900917</v>
      </c>
      <c r="C132" s="150">
        <f>IF(TrRoad_act!C74=0,0,TrRoad_ene!C77/TrRoad_tech!C105)</f>
        <v>1.0136287282438905</v>
      </c>
      <c r="D132" s="150">
        <f>IF(TrRoad_act!D74=0,0,TrRoad_ene!D77/TrRoad_tech!D105)</f>
        <v>1.0030361374656089</v>
      </c>
      <c r="E132" s="150">
        <f>IF(TrRoad_act!E74=0,0,TrRoad_ene!E77/TrRoad_tech!E105)</f>
        <v>1.0096447931744834</v>
      </c>
      <c r="F132" s="150">
        <f>IF(TrRoad_act!F74=0,0,TrRoad_ene!F77/TrRoad_tech!F105)</f>
        <v>1.0463293040776671</v>
      </c>
      <c r="G132" s="150">
        <f>IF(TrRoad_act!G74=0,0,TrRoad_ene!G77/TrRoad_tech!G105)</f>
        <v>1.0394993133514308</v>
      </c>
      <c r="H132" s="150">
        <f>IF(TrRoad_act!H74=0,0,TrRoad_ene!H77/TrRoad_tech!H105)</f>
        <v>1.0319010946470994</v>
      </c>
      <c r="I132" s="150">
        <f>IF(TrRoad_act!I74=0,0,TrRoad_ene!I77/TrRoad_tech!I105)</f>
        <v>1.0790041937919248</v>
      </c>
      <c r="J132" s="150">
        <f>IF(TrRoad_act!J74=0,0,TrRoad_ene!J77/TrRoad_tech!J105)</f>
        <v>1.0766874856035207</v>
      </c>
      <c r="K132" s="150">
        <f>IF(TrRoad_act!K74=0,0,TrRoad_ene!K77/TrRoad_tech!K105)</f>
        <v>1.032436496341862</v>
      </c>
      <c r="L132" s="150">
        <f>IF(TrRoad_act!L74=0,0,TrRoad_ene!L77/TrRoad_tech!L105)</f>
        <v>1.0724427644728485</v>
      </c>
      <c r="M132" s="150">
        <f>IF(TrRoad_act!M74=0,0,TrRoad_ene!M77/TrRoad_tech!M105)</f>
        <v>1.0682184707413329</v>
      </c>
      <c r="N132" s="150">
        <f>IF(TrRoad_act!N74=0,0,TrRoad_ene!N77/TrRoad_tech!N105)</f>
        <v>1.0596881513353471</v>
      </c>
      <c r="O132" s="150">
        <f>IF(TrRoad_act!O74=0,0,TrRoad_ene!O77/TrRoad_tech!O105)</f>
        <v>1.0719025789737016</v>
      </c>
      <c r="P132" s="150">
        <f>IF(TrRoad_act!P74=0,0,TrRoad_ene!P77/TrRoad_tech!P105)</f>
        <v>1.1145029494527232</v>
      </c>
      <c r="Q132" s="150">
        <f>IF(TrRoad_act!Q74=0,0,TrRoad_ene!Q77/TrRoad_tech!Q105)</f>
        <v>1.1392278703498961</v>
      </c>
      <c r="R132" s="150">
        <f>IF(TrRoad_act!R74=0,0,TrRoad_ene!R77/TrRoad_tech!R105)</f>
        <v>1.1590188928612395</v>
      </c>
      <c r="S132" s="150">
        <f>IF(TrRoad_act!S74=0,0,TrRoad_ene!S77/TrRoad_tech!S105)</f>
        <v>1.2077187692347862</v>
      </c>
      <c r="T132" s="150">
        <f>IF(TrRoad_act!T74=0,0,TrRoad_ene!T77/TrRoad_tech!T105)</f>
        <v>1.2364666301446627</v>
      </c>
      <c r="U132" s="150">
        <f>IF(TrRoad_act!U74=0,0,TrRoad_ene!U77/TrRoad_tech!U105)</f>
        <v>1.2548143727484569</v>
      </c>
      <c r="V132" s="150">
        <f>IF(TrRoad_act!V74=0,0,TrRoad_ene!V77/TrRoad_tech!V105)</f>
        <v>1.2698563525113316</v>
      </c>
      <c r="W132" s="150">
        <f>IF(TrRoad_act!W74=0,0,TrRoad_ene!W77/TrRoad_tech!W105)</f>
        <v>1.2805551001303701</v>
      </c>
      <c r="X132" s="150">
        <f>IF(TrRoad_act!X74=0,0,TrRoad_ene!X77/TrRoad_tech!X105)</f>
        <v>1.3102444498250287</v>
      </c>
      <c r="Y132" s="150">
        <f>IF(TrRoad_act!Y74=0,0,TrRoad_ene!Y77/TrRoad_tech!Y105)</f>
        <v>1.3023528829096158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1.1000713505409547</v>
      </c>
      <c r="D133" s="91">
        <f>IF(TrRoad_act!D75=0,0,TrRoad_ene!D78/TrRoad_tech!D106)</f>
        <v>1.1002333132039797</v>
      </c>
      <c r="E133" s="91">
        <f>IF(TrRoad_act!E75=0,0,TrRoad_ene!E78/TrRoad_tech!E106)</f>
        <v>1.1004810934042943</v>
      </c>
      <c r="F133" s="91">
        <f>IF(TrRoad_act!F75=0,0,TrRoad_ene!F78/TrRoad_tech!F106)</f>
        <v>1.1008330194226921</v>
      </c>
      <c r="G133" s="91">
        <f>IF(TrRoad_act!G75=0,0,TrRoad_ene!G78/TrRoad_tech!G106)</f>
        <v>1.1013392313912493</v>
      </c>
      <c r="H133" s="91">
        <f>IF(TrRoad_act!H75=0,0,TrRoad_ene!H78/TrRoad_tech!H106)</f>
        <v>1.1037405725327321</v>
      </c>
      <c r="I133" s="91">
        <f>IF(TrRoad_act!I75=0,0,TrRoad_ene!I78/TrRoad_tech!I106)</f>
        <v>1.1063698190668803</v>
      </c>
      <c r="J133" s="91">
        <f>IF(TrRoad_act!J75=0,0,TrRoad_ene!J78/TrRoad_tech!J106)</f>
        <v>1.1067888563727908</v>
      </c>
      <c r="K133" s="91">
        <f>IF(TrRoad_act!K75=0,0,TrRoad_ene!K78/TrRoad_tech!K106)</f>
        <v>1.1128184706793414</v>
      </c>
      <c r="L133" s="91">
        <f>IF(TrRoad_act!L75=0,0,TrRoad_ene!L78/TrRoad_tech!L106)</f>
        <v>1.1162958395740474</v>
      </c>
      <c r="M133" s="91">
        <f>IF(TrRoad_act!M75=0,0,TrRoad_ene!M78/TrRoad_tech!M106)</f>
        <v>1.1212807981275863</v>
      </c>
      <c r="N133" s="91">
        <f>IF(TrRoad_act!N75=0,0,TrRoad_ene!N78/TrRoad_tech!N106)</f>
        <v>1.1300832509296561</v>
      </c>
      <c r="O133" s="91">
        <f>IF(TrRoad_act!O75=0,0,TrRoad_ene!O78/TrRoad_tech!O106)</f>
        <v>1.1402521527898792</v>
      </c>
      <c r="P133" s="91">
        <f>IF(TrRoad_act!P75=0,0,TrRoad_ene!P78/TrRoad_tech!P106)</f>
        <v>1.1537435470992039</v>
      </c>
      <c r="Q133" s="91">
        <f>IF(TrRoad_act!Q75=0,0,TrRoad_ene!Q78/TrRoad_tech!Q106)</f>
        <v>1.1672062083330621</v>
      </c>
      <c r="R133" s="91">
        <f>IF(TrRoad_act!R75=0,0,TrRoad_ene!R78/TrRoad_tech!R106)</f>
        <v>1.1752292800948545</v>
      </c>
      <c r="S133" s="91">
        <f>IF(TrRoad_act!S75=0,0,TrRoad_ene!S78/TrRoad_tech!S106)</f>
        <v>1.1878524776863055</v>
      </c>
      <c r="T133" s="91">
        <f>IF(TrRoad_act!T75=0,0,TrRoad_ene!T78/TrRoad_tech!T106)</f>
        <v>1.2106516604106847</v>
      </c>
      <c r="U133" s="91">
        <f>IF(TrRoad_act!U75=0,0,TrRoad_ene!U78/TrRoad_tech!U106)</f>
        <v>1.2820748879613759</v>
      </c>
      <c r="V133" s="91">
        <f>IF(TrRoad_act!V75=0,0,TrRoad_ene!V78/TrRoad_tech!V106)</f>
        <v>1.3004239133235163</v>
      </c>
      <c r="W133" s="91">
        <f>IF(TrRoad_act!W75=0,0,TrRoad_ene!W78/TrRoad_tech!W106)</f>
        <v>1.319658585301611</v>
      </c>
      <c r="X133" s="91">
        <f>IF(TrRoad_act!X75=0,0,TrRoad_ene!X78/TrRoad_tech!X106)</f>
        <v>1.3483691642514584</v>
      </c>
      <c r="Y133" s="91">
        <f>IF(TrRoad_act!Y75=0,0,TrRoad_ene!Y78/TrRoad_tech!Y106)</f>
        <v>1.3526316448861919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0.9694756524884538</v>
      </c>
      <c r="C134" s="91">
        <f>IF(TrRoad_act!C76=0,0,TrRoad_ene!C79/TrRoad_tech!C107)</f>
        <v>1.0179546077335353</v>
      </c>
      <c r="D134" s="91">
        <f>IF(TrRoad_act!D76=0,0,TrRoad_ene!D79/TrRoad_tech!D107)</f>
        <v>1.0184009894975856</v>
      </c>
      <c r="E134" s="91">
        <f>IF(TrRoad_act!E76=0,0,TrRoad_ene!E79/TrRoad_tech!E107)</f>
        <v>1.0284528782971347</v>
      </c>
      <c r="F134" s="91">
        <f>IF(TrRoad_act!F76=0,0,TrRoad_ene!F79/TrRoad_tech!F107)</f>
        <v>1.0725799120814952</v>
      </c>
      <c r="G134" s="91">
        <f>IF(TrRoad_act!G76=0,0,TrRoad_ene!G79/TrRoad_tech!G107)</f>
        <v>1.0622592087933245</v>
      </c>
      <c r="H134" s="91">
        <f>IF(TrRoad_act!H76=0,0,TrRoad_ene!H79/TrRoad_tech!H107)</f>
        <v>1.0466746185344902</v>
      </c>
      <c r="I134" s="91">
        <f>IF(TrRoad_act!I76=0,0,TrRoad_ene!I79/TrRoad_tech!I107)</f>
        <v>1.0925958696832452</v>
      </c>
      <c r="J134" s="91">
        <f>IF(TrRoad_act!J76=0,0,TrRoad_ene!J79/TrRoad_tech!J107)</f>
        <v>1.0820532270016605</v>
      </c>
      <c r="K134" s="91">
        <f>IF(TrRoad_act!K76=0,0,TrRoad_ene!K79/TrRoad_tech!K107)</f>
        <v>1.0273652765675581</v>
      </c>
      <c r="L134" s="91">
        <f>IF(TrRoad_act!L76=0,0,TrRoad_ene!L79/TrRoad_tech!L107)</f>
        <v>1.069405327073681</v>
      </c>
      <c r="M134" s="91">
        <f>IF(TrRoad_act!M76=0,0,TrRoad_ene!M79/TrRoad_tech!M107)</f>
        <v>1.0650616893722231</v>
      </c>
      <c r="N134" s="91">
        <f>IF(TrRoad_act!N76=0,0,TrRoad_ene!N79/TrRoad_tech!N107)</f>
        <v>1.0567430116459853</v>
      </c>
      <c r="O134" s="91">
        <f>IF(TrRoad_act!O76=0,0,TrRoad_ene!O79/TrRoad_tech!O107)</f>
        <v>1.0706483431571816</v>
      </c>
      <c r="P134" s="91">
        <f>IF(TrRoad_act!P76=0,0,TrRoad_ene!P79/TrRoad_tech!P107)</f>
        <v>1.1163175548618856</v>
      </c>
      <c r="Q134" s="91">
        <f>IF(TrRoad_act!Q76=0,0,TrRoad_ene!Q79/TrRoad_tech!Q107)</f>
        <v>1.1413638990865325</v>
      </c>
      <c r="R134" s="91">
        <f>IF(TrRoad_act!R76=0,0,TrRoad_ene!R79/TrRoad_tech!R107)</f>
        <v>1.1617286621861072</v>
      </c>
      <c r="S134" s="91">
        <f>IF(TrRoad_act!S76=0,0,TrRoad_ene!S79/TrRoad_tech!S107)</f>
        <v>1.2112022900025698</v>
      </c>
      <c r="T134" s="91">
        <f>IF(TrRoad_act!T76=0,0,TrRoad_ene!T79/TrRoad_tech!T107)</f>
        <v>1.2404379749433752</v>
      </c>
      <c r="U134" s="91">
        <f>IF(TrRoad_act!U76=0,0,TrRoad_ene!U79/TrRoad_tech!U107)</f>
        <v>1.2576854038341361</v>
      </c>
      <c r="V134" s="91">
        <f>IF(TrRoad_act!V76=0,0,TrRoad_ene!V79/TrRoad_tech!V107)</f>
        <v>1.2729151882038223</v>
      </c>
      <c r="W134" s="91">
        <f>IF(TrRoad_act!W76=0,0,TrRoad_ene!W79/TrRoad_tech!W107)</f>
        <v>1.2836677972826331</v>
      </c>
      <c r="X134" s="91">
        <f>IF(TrRoad_act!X76=0,0,TrRoad_ene!X79/TrRoad_tech!X107)</f>
        <v>1.3143144063994647</v>
      </c>
      <c r="Y134" s="91">
        <f>IF(TrRoad_act!Y76=0,0,TrRoad_ene!Y79/TrRoad_tech!Y107)</f>
        <v>1.3062433846631936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0</v>
      </c>
      <c r="T135" s="91">
        <f>IF(TrRoad_act!T77=0,0,TrRoad_ene!T80/TrRoad_tech!T108)</f>
        <v>0</v>
      </c>
      <c r="U135" s="91">
        <f>IF(TrRoad_act!U77=0,0,TrRoad_ene!U80/TrRoad_tech!U108)</f>
        <v>0</v>
      </c>
      <c r="V135" s="91">
        <f>IF(TrRoad_act!V77=0,0,TrRoad_ene!V80/TrRoad_tech!V108)</f>
        <v>0</v>
      </c>
      <c r="W135" s="91">
        <f>IF(TrRoad_act!W77=0,0,TrRoad_ene!W80/TrRoad_tech!W108)</f>
        <v>0</v>
      </c>
      <c r="X135" s="91">
        <f>IF(TrRoad_act!X77=0,0,TrRoad_ene!X80/TrRoad_tech!X108)</f>
        <v>0</v>
      </c>
      <c r="Y135" s="91">
        <f>IF(TrRoad_act!Y77=0,0,TrRoad_ene!Y80/TrRoad_tech!Y108)</f>
        <v>0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X136" s="91">
        <f>IF(TrRoad_act!X78=0,0,TrRoad_ene!X81/TrRoad_tech!X109)</f>
        <v>0</v>
      </c>
      <c r="Y136" s="91">
        <f>IF(TrRoad_act!Y78=0,0,TrRoad_ene!Y81/TrRoad_tech!Y109)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0</v>
      </c>
      <c r="O137" s="91">
        <f>IF(TrRoad_act!O79=0,0,TrRoad_ene!O82/TrRoad_tech!O110)</f>
        <v>0</v>
      </c>
      <c r="P137" s="91">
        <f>IF(TrRoad_act!P79=0,0,TrRoad_ene!P82/TrRoad_tech!P110)</f>
        <v>0</v>
      </c>
      <c r="Q137" s="91">
        <f>IF(TrRoad_act!Q79=0,0,TrRoad_ene!Q82/TrRoad_tech!Q110)</f>
        <v>0</v>
      </c>
      <c r="R137" s="91">
        <f>IF(TrRoad_act!R79=0,0,TrRoad_ene!R82/TrRoad_tech!R110)</f>
        <v>0</v>
      </c>
      <c r="S137" s="91">
        <f>IF(TrRoad_act!S79=0,0,TrRoad_ene!S82/TrRoad_tech!S110)</f>
        <v>0</v>
      </c>
      <c r="T137" s="91">
        <f>IF(TrRoad_act!T79=0,0,TrRoad_ene!T82/TrRoad_tech!T110)</f>
        <v>0</v>
      </c>
      <c r="U137" s="91">
        <f>IF(TrRoad_act!U79=0,0,TrRoad_ene!U82/TrRoad_tech!U110)</f>
        <v>0</v>
      </c>
      <c r="V137" s="91">
        <f>IF(TrRoad_act!V79=0,0,TrRoad_ene!V82/TrRoad_tech!V110)</f>
        <v>0</v>
      </c>
      <c r="W137" s="91">
        <f>IF(TrRoad_act!W79=0,0,TrRoad_ene!W82/TrRoad_tech!W110)</f>
        <v>0</v>
      </c>
      <c r="X137" s="91">
        <f>IF(TrRoad_act!X79=0,0,TrRoad_ene!X82/TrRoad_tech!X110)</f>
        <v>0</v>
      </c>
      <c r="Y137" s="91">
        <f>IF(TrRoad_act!Y79=0,0,TrRoad_ene!Y82/TrRoad_tech!Y110)</f>
        <v>0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1.4577383586668957</v>
      </c>
      <c r="C138" s="151">
        <f>IF(TrRoad_act!C80=0,0,TrRoad_ene!C83/TrRoad_tech!C111)</f>
        <v>1.9639997844242643</v>
      </c>
      <c r="D138" s="151">
        <f>IF(TrRoad_act!D80=0,0,TrRoad_ene!D83/TrRoad_tech!D111)</f>
        <v>1.9729370472952925</v>
      </c>
      <c r="E138" s="151">
        <f>IF(TrRoad_act!E80=0,0,TrRoad_ene!E83/TrRoad_tech!E111)</f>
        <v>1.3334225478822983</v>
      </c>
      <c r="F138" s="151">
        <f>IF(TrRoad_act!F80=0,0,TrRoad_ene!F83/TrRoad_tech!F111)</f>
        <v>1.5670719858524054</v>
      </c>
      <c r="G138" s="151">
        <f>IF(TrRoad_act!G80=0,0,TrRoad_ene!G83/TrRoad_tech!G111)</f>
        <v>1.5422192642816062</v>
      </c>
      <c r="H138" s="151">
        <f>IF(TrRoad_act!H80=0,0,TrRoad_ene!H83/TrRoad_tech!H111)</f>
        <v>1.3139239328619761</v>
      </c>
      <c r="I138" s="151">
        <f>IF(TrRoad_act!I80=0,0,TrRoad_ene!I83/TrRoad_tech!I111)</f>
        <v>1.9849147758847261</v>
      </c>
      <c r="J138" s="151">
        <f>IF(TrRoad_act!J80=0,0,TrRoad_ene!J83/TrRoad_tech!J111)</f>
        <v>2.347263339899794</v>
      </c>
      <c r="K138" s="151">
        <f>IF(TrRoad_act!K80=0,0,TrRoad_ene!K83/TrRoad_tech!K111)</f>
        <v>1.3067405080549868</v>
      </c>
      <c r="L138" s="151">
        <f>IF(TrRoad_act!L80=0,0,TrRoad_ene!L83/TrRoad_tech!L111)</f>
        <v>1.768021467336881</v>
      </c>
      <c r="M138" s="151">
        <f>IF(TrRoad_act!M80=0,0,TrRoad_ene!M83/TrRoad_tech!M111)</f>
        <v>2.0639084498458109</v>
      </c>
      <c r="N138" s="151">
        <f>IF(TrRoad_act!N80=0,0,TrRoad_ene!N83/TrRoad_tech!N111)</f>
        <v>1.2748549088431429</v>
      </c>
      <c r="O138" s="151">
        <f>IF(TrRoad_act!O80=0,0,TrRoad_ene!O83/TrRoad_tech!O111)</f>
        <v>1.3283123610015521</v>
      </c>
      <c r="P138" s="151">
        <f>IF(TrRoad_act!P80=0,0,TrRoad_ene!P83/TrRoad_tech!P111)</f>
        <v>2.2540530852284695</v>
      </c>
      <c r="Q138" s="151">
        <f>IF(TrRoad_act!Q80=0,0,TrRoad_ene!Q83/TrRoad_tech!Q111)</f>
        <v>2.3823692763431263</v>
      </c>
      <c r="R138" s="151">
        <f>IF(TrRoad_act!R80=0,0,TrRoad_ene!R83/TrRoad_tech!R111)</f>
        <v>2.2232475571148598</v>
      </c>
      <c r="S138" s="151">
        <f>IF(TrRoad_act!S80=0,0,TrRoad_ene!S83/TrRoad_tech!S111)</f>
        <v>2.3237404556786512</v>
      </c>
      <c r="T138" s="151">
        <f>IF(TrRoad_act!T80=0,0,TrRoad_ene!T83/TrRoad_tech!T111)</f>
        <v>2.5313023516286006</v>
      </c>
      <c r="U138" s="151">
        <f>IF(TrRoad_act!U80=0,0,TrRoad_ene!U83/TrRoad_tech!U111)</f>
        <v>2.6716204864107382</v>
      </c>
      <c r="V138" s="151">
        <f>IF(TrRoad_act!V80=0,0,TrRoad_ene!V83/TrRoad_tech!V111)</f>
        <v>2.7134325271040187</v>
      </c>
      <c r="W138" s="151">
        <f>IF(TrRoad_act!W80=0,0,TrRoad_ene!W83/TrRoad_tech!W111)</f>
        <v>2.9008477292128849</v>
      </c>
      <c r="X138" s="151">
        <f>IF(TrRoad_act!X80=0,0,TrRoad_ene!X83/TrRoad_tech!X111)</f>
        <v>2.9401488317134477</v>
      </c>
      <c r="Y138" s="151">
        <f>IF(TrRoad_act!Y80=0,0,TrRoad_ene!Y83/TrRoad_tech!Y111)</f>
        <v>2.6891114376023002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1.2059426666579138</v>
      </c>
      <c r="C139" s="93">
        <f>IF(TrRoad_act!C81=0,0,TrRoad_ene!C84/TrRoad_tech!C112)</f>
        <v>1.3943636641991204</v>
      </c>
      <c r="D139" s="93">
        <f>IF(TrRoad_act!D81=0,0,TrRoad_ene!D84/TrRoad_tech!D112)</f>
        <v>1.3970794985831321</v>
      </c>
      <c r="E139" s="93">
        <f>IF(TrRoad_act!E81=0,0,TrRoad_ene!E84/TrRoad_tech!E112)</f>
        <v>1.1651491476937372</v>
      </c>
      <c r="F139" s="93">
        <f>IF(TrRoad_act!F81=0,0,TrRoad_ene!F84/TrRoad_tech!F112)</f>
        <v>1.250924264714524</v>
      </c>
      <c r="G139" s="93">
        <f>IF(TrRoad_act!G81=0,0,TrRoad_ene!G84/TrRoad_tech!G112)</f>
        <v>1.2400496575126785</v>
      </c>
      <c r="H139" s="93">
        <f>IF(TrRoad_act!H81=0,0,TrRoad_ene!H84/TrRoad_tech!H112)</f>
        <v>1.154550702746119</v>
      </c>
      <c r="I139" s="93">
        <f>IF(TrRoad_act!I81=0,0,TrRoad_ene!I84/TrRoad_tech!I112)</f>
        <v>1.4087461638412266</v>
      </c>
      <c r="J139" s="93">
        <f>IF(TrRoad_act!J81=0,0,TrRoad_ene!J84/TrRoad_tech!J112)</f>
        <v>1.5432146813804308</v>
      </c>
      <c r="K139" s="93">
        <f>IF(TrRoad_act!K81=0,0,TrRoad_ene!K84/TrRoad_tech!K112)</f>
        <v>1.1624691077539038</v>
      </c>
      <c r="L139" s="93">
        <f>IF(TrRoad_act!L81=0,0,TrRoad_ene!L84/TrRoad_tech!L112)</f>
        <v>1.3287202847731898</v>
      </c>
      <c r="M139" s="93">
        <f>IF(TrRoad_act!M81=0,0,TrRoad_ene!M84/TrRoad_tech!M112)</f>
        <v>1.4437501211625039</v>
      </c>
      <c r="N139" s="93">
        <f>IF(TrRoad_act!N81=0,0,TrRoad_ene!N84/TrRoad_tech!N112)</f>
        <v>1.1616665761229801</v>
      </c>
      <c r="O139" s="93">
        <f>IF(TrRoad_act!O81=0,0,TrRoad_ene!O84/TrRoad_tech!O112)</f>
        <v>1.1915210338862838</v>
      </c>
      <c r="P139" s="93">
        <f>IF(TrRoad_act!P81=0,0,TrRoad_ene!P84/TrRoad_tech!P112)</f>
        <v>1.5467160449431483</v>
      </c>
      <c r="Q139" s="93">
        <f>IF(TrRoad_act!Q81=0,0,TrRoad_ene!Q84/TrRoad_tech!Q112)</f>
        <v>1.5934357185640438</v>
      </c>
      <c r="R139" s="93">
        <f>IF(TrRoad_act!R81=0,0,TrRoad_ene!R84/TrRoad_tech!R112)</f>
        <v>1.5498908444647472</v>
      </c>
      <c r="S139" s="93">
        <f>IF(TrRoad_act!S81=0,0,TrRoad_ene!S84/TrRoad_tech!S112)</f>
        <v>1.6097383942750636</v>
      </c>
      <c r="T139" s="93">
        <f>IF(TrRoad_act!T81=0,0,TrRoad_ene!T84/TrRoad_tech!T112)</f>
        <v>1.7048709215516444</v>
      </c>
      <c r="U139" s="93">
        <f>IF(TrRoad_act!U81=0,0,TrRoad_ene!U84/TrRoad_tech!U112)</f>
        <v>1.7847447509039251</v>
      </c>
      <c r="V139" s="93">
        <f>IF(TrRoad_act!V81=0,0,TrRoad_ene!V84/TrRoad_tech!V112)</f>
        <v>1.8049937282851551</v>
      </c>
      <c r="W139" s="93">
        <f>IF(TrRoad_act!W81=0,0,TrRoad_ene!W84/TrRoad_tech!W112)</f>
        <v>1.8782643657330478</v>
      </c>
      <c r="X139" s="93">
        <f>IF(TrRoad_act!X81=0,0,TrRoad_ene!X84/TrRoad_tech!X112)</f>
        <v>1.8826863984885061</v>
      </c>
      <c r="Y139" s="93">
        <f>IF(TrRoad_act!Y81=0,0,TrRoad_ene!Y84/TrRoad_tech!Y112)</f>
        <v>1.8120186004633045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1.7198250803437838</v>
      </c>
      <c r="C140" s="94">
        <f>IF(TrRoad_act!C82=0,0,TrRoad_ene!C85/TrRoad_tech!C113)</f>
        <v>2.7525055331838377</v>
      </c>
      <c r="D140" s="94">
        <f>IF(TrRoad_act!D82=0,0,TrRoad_ene!D85/TrRoad_tech!D113)</f>
        <v>2.7180112910213103</v>
      </c>
      <c r="E140" s="94">
        <f>IF(TrRoad_act!E82=0,0,TrRoad_ene!E85/TrRoad_tech!E113)</f>
        <v>1.4796411972887171</v>
      </c>
      <c r="F140" s="94">
        <f>IF(TrRoad_act!F82=0,0,TrRoad_ene!F85/TrRoad_tech!F113)</f>
        <v>1.9277423959505096</v>
      </c>
      <c r="G140" s="94">
        <f>IF(TrRoad_act!G82=0,0,TrRoad_ene!G85/TrRoad_tech!G113)</f>
        <v>1.8056026202214115</v>
      </c>
      <c r="H140" s="94">
        <f>IF(TrRoad_act!H82=0,0,TrRoad_ene!H85/TrRoad_tech!H113)</f>
        <v>1.319995089860289</v>
      </c>
      <c r="I140" s="94">
        <f>IF(TrRoad_act!I82=0,0,TrRoad_ene!I85/TrRoad_tech!I113)</f>
        <v>2.5257337813296248</v>
      </c>
      <c r="J140" s="94">
        <f>IF(TrRoad_act!J82=0,0,TrRoad_ene!J85/TrRoad_tech!J113)</f>
        <v>3.1093568125567561</v>
      </c>
      <c r="K140" s="94">
        <f>IF(TrRoad_act!K82=0,0,TrRoad_ene!K85/TrRoad_tech!K113)</f>
        <v>1.3307556690107076</v>
      </c>
      <c r="L140" s="94">
        <f>IF(TrRoad_act!L82=0,0,TrRoad_ene!L85/TrRoad_tech!L113)</f>
        <v>2.066951041650257</v>
      </c>
      <c r="M140" s="94">
        <f>IF(TrRoad_act!M82=0,0,TrRoad_ene!M85/TrRoad_tech!M113)</f>
        <v>2.4953983217231386</v>
      </c>
      <c r="N140" s="94">
        <f>IF(TrRoad_act!N82=0,0,TrRoad_ene!N85/TrRoad_tech!N113)</f>
        <v>1.2111771603524939</v>
      </c>
      <c r="O140" s="94">
        <f>IF(TrRoad_act!O82=0,0,TrRoad_ene!O85/TrRoad_tech!O113)</f>
        <v>1.2761031067377286</v>
      </c>
      <c r="P140" s="94">
        <f>IF(TrRoad_act!P82=0,0,TrRoad_ene!P85/TrRoad_tech!P113)</f>
        <v>2.7726495600781256</v>
      </c>
      <c r="Q140" s="94">
        <f>IF(TrRoad_act!Q82=0,0,TrRoad_ene!Q85/TrRoad_tech!Q113)</f>
        <v>2.8779171160656323</v>
      </c>
      <c r="R140" s="94">
        <f>IF(TrRoad_act!R82=0,0,TrRoad_ene!R85/TrRoad_tech!R113)</f>
        <v>2.5961482251739176</v>
      </c>
      <c r="S140" s="94">
        <f>IF(TrRoad_act!S82=0,0,TrRoad_ene!S85/TrRoad_tech!S113)</f>
        <v>2.7271622562099482</v>
      </c>
      <c r="T140" s="94">
        <f>IF(TrRoad_act!T82=0,0,TrRoad_ene!T85/TrRoad_tech!T113)</f>
        <v>3.0879002651349809</v>
      </c>
      <c r="U140" s="94">
        <f>IF(TrRoad_act!U82=0,0,TrRoad_ene!U85/TrRoad_tech!U113)</f>
        <v>3.306353007243791</v>
      </c>
      <c r="V140" s="94">
        <f>IF(TrRoad_act!V82=0,0,TrRoad_ene!V85/TrRoad_tech!V113)</f>
        <v>3.3493420146804493</v>
      </c>
      <c r="W140" s="94">
        <f>IF(TrRoad_act!W82=0,0,TrRoad_ene!W85/TrRoad_tech!W113)</f>
        <v>3.5693290622843366</v>
      </c>
      <c r="X140" s="94">
        <f>IF(TrRoad_act!X82=0,0,TrRoad_ene!X85/TrRoad_tech!X113)</f>
        <v>3.3790370371891707</v>
      </c>
      <c r="Y140" s="94">
        <f>IF(TrRoad_act!Y82=0,0,TrRoad_ene!Y85/TrRoad_tech!Y113)</f>
        <v>3.0794969613265009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3.9540419795235571</v>
      </c>
      <c r="C144" s="141">
        <v>3.9357329838776405</v>
      </c>
      <c r="D144" s="141">
        <v>3.9154890703530194</v>
      </c>
      <c r="E144" s="141">
        <v>3.8738404684457111</v>
      </c>
      <c r="F144" s="141">
        <v>3.8692902310021036</v>
      </c>
      <c r="G144" s="141">
        <v>3.825087924407057</v>
      </c>
      <c r="H144" s="141">
        <v>3.7598059463895819</v>
      </c>
      <c r="I144" s="141">
        <v>3.7132820900784083</v>
      </c>
      <c r="J144" s="141">
        <v>3.5615456006323871</v>
      </c>
      <c r="K144" s="141">
        <v>3.397876345645475</v>
      </c>
      <c r="L144" s="141">
        <v>3.2956817271415906</v>
      </c>
      <c r="M144" s="141">
        <v>3.0042560502397739</v>
      </c>
      <c r="N144" s="141">
        <v>2.9348689754018862</v>
      </c>
      <c r="O144" s="141">
        <v>2.8574012470726928</v>
      </c>
      <c r="P144" s="141">
        <v>2.7503656378694532</v>
      </c>
      <c r="Q144" s="141">
        <v>2.6729922419243981</v>
      </c>
      <c r="R144" s="141">
        <v>2.595289439672734</v>
      </c>
      <c r="S144" s="141">
        <v>2.5331271978714027</v>
      </c>
      <c r="T144" s="141">
        <v>2.4833974044303377</v>
      </c>
      <c r="U144" s="141">
        <v>2.4436135696774857</v>
      </c>
      <c r="V144" s="141">
        <v>2.4117865018752043</v>
      </c>
      <c r="W144" s="141">
        <v>2.3863248476333792</v>
      </c>
      <c r="X144" s="141">
        <v>2.3659555242399191</v>
      </c>
      <c r="Y144" s="141">
        <v>2.3496600655251507</v>
      </c>
      <c r="DA144" s="174" t="s">
        <v>887</v>
      </c>
    </row>
    <row r="145" spans="1:105" ht="11.45" customHeight="1" x14ac:dyDescent="0.25">
      <c r="A145" s="109" t="s">
        <v>20</v>
      </c>
      <c r="B145" s="130">
        <v>7.3785754695683572</v>
      </c>
      <c r="C145" s="130">
        <v>7.4268529316749579</v>
      </c>
      <c r="D145" s="130">
        <v>6.7219913702893042</v>
      </c>
      <c r="E145" s="130">
        <v>6.9764122493085585</v>
      </c>
      <c r="F145" s="130">
        <v>6.6171035309130515</v>
      </c>
      <c r="G145" s="130">
        <v>6.6828405967443709</v>
      </c>
      <c r="H145" s="130">
        <v>6.9000186023707579</v>
      </c>
      <c r="I145" s="130">
        <v>7.1011139510190375</v>
      </c>
      <c r="J145" s="130">
        <v>6.6757483109618336</v>
      </c>
      <c r="K145" s="130">
        <v>5.7586548811795621</v>
      </c>
      <c r="L145" s="130">
        <v>5.4195528792198893</v>
      </c>
      <c r="M145" s="130">
        <v>5.8020355587789449</v>
      </c>
      <c r="N145" s="130">
        <v>5.8816808399250347</v>
      </c>
      <c r="O145" s="130">
        <v>5.6232742308780121</v>
      </c>
      <c r="P145" s="130">
        <v>5.595769021566638</v>
      </c>
      <c r="Q145" s="130">
        <v>5.3689565950416229</v>
      </c>
      <c r="R145" s="130">
        <v>5.1246841942617607</v>
      </c>
      <c r="S145" s="130">
        <v>5.2127807486914799</v>
      </c>
      <c r="T145" s="130">
        <v>5.3709577305379979</v>
      </c>
      <c r="U145" s="130">
        <v>5.3139684026296798</v>
      </c>
      <c r="V145" s="130">
        <v>4.9911445735721234</v>
      </c>
      <c r="W145" s="130">
        <v>4.7435546447091017</v>
      </c>
      <c r="X145" s="130">
        <v>4.9274715372034636</v>
      </c>
      <c r="Y145" s="130">
        <v>4.8531181728401487</v>
      </c>
      <c r="DA145" s="176" t="s">
        <v>888</v>
      </c>
    </row>
    <row r="146" spans="1:105" ht="11.45" customHeight="1" x14ac:dyDescent="0.25">
      <c r="A146" s="111" t="s">
        <v>110</v>
      </c>
      <c r="B146" s="96">
        <v>8.5896927093307784</v>
      </c>
      <c r="C146" s="96">
        <v>8.5928052482616177</v>
      </c>
      <c r="D146" s="96">
        <v>8.5408432082027854</v>
      </c>
      <c r="E146" s="96">
        <v>8.4339396533110964</v>
      </c>
      <c r="F146" s="96">
        <v>8.4222601121969536</v>
      </c>
      <c r="G146" s="96">
        <v>8.3088017128024312</v>
      </c>
      <c r="H146" s="96">
        <v>8.1412360515117808</v>
      </c>
      <c r="I146" s="96">
        <v>8.0218187025692291</v>
      </c>
      <c r="J146" s="96">
        <v>7.6323417601098775</v>
      </c>
      <c r="K146" s="96">
        <v>7.2122358169736449</v>
      </c>
      <c r="L146" s="96">
        <v>6.9480833248815852</v>
      </c>
      <c r="M146" s="96">
        <v>6.1985829529388905</v>
      </c>
      <c r="N146" s="96">
        <v>6.0137754320509567</v>
      </c>
      <c r="O146" s="96">
        <v>5.8246936995634275</v>
      </c>
      <c r="P146" s="96">
        <v>5.5541723267278966</v>
      </c>
      <c r="Q146" s="96">
        <v>5.3590960776532981</v>
      </c>
      <c r="R146" s="96">
        <v>5.2831338127558904</v>
      </c>
      <c r="S146" s="96">
        <v>5.2613794837789349</v>
      </c>
      <c r="T146" s="96">
        <v>5.2873656686965349</v>
      </c>
      <c r="U146" s="96">
        <v>5.3901822234360033</v>
      </c>
      <c r="V146" s="96">
        <v>5.0223664044818896</v>
      </c>
      <c r="W146" s="96">
        <v>4.8196305060468339</v>
      </c>
      <c r="X146" s="96">
        <v>4.9590074384440355</v>
      </c>
      <c r="Y146" s="96">
        <v>4.8909973444773316</v>
      </c>
      <c r="DA146" s="171" t="s">
        <v>889</v>
      </c>
    </row>
    <row r="147" spans="1:105" ht="11.45" customHeight="1" x14ac:dyDescent="0.25">
      <c r="A147" s="111" t="s">
        <v>111</v>
      </c>
      <c r="B147" s="96">
        <v>6.1390659958781919</v>
      </c>
      <c r="C147" s="96">
        <v>6.1729930332433556</v>
      </c>
      <c r="D147" s="96">
        <v>6.1695855402371329</v>
      </c>
      <c r="E147" s="96">
        <v>6.1836414488878049</v>
      </c>
      <c r="F147" s="96">
        <v>6.1428580169695657</v>
      </c>
      <c r="G147" s="96">
        <v>6.1611732918780167</v>
      </c>
      <c r="H147" s="96">
        <v>6.2006789139189236</v>
      </c>
      <c r="I147" s="96">
        <v>6.1436034060646776</v>
      </c>
      <c r="J147" s="96">
        <v>5.8664251468396786</v>
      </c>
      <c r="K147" s="96">
        <v>5.6358869481373652</v>
      </c>
      <c r="L147" s="96">
        <v>5.4194046580857647</v>
      </c>
      <c r="M147" s="96">
        <v>5.8019611163045788</v>
      </c>
      <c r="N147" s="96">
        <v>5.8799852585599295</v>
      </c>
      <c r="O147" s="96">
        <v>5.7171393561070234</v>
      </c>
      <c r="P147" s="96">
        <v>5.6404819975998439</v>
      </c>
      <c r="Q147" s="96">
        <v>5.3786750244514101</v>
      </c>
      <c r="R147" s="96">
        <v>5.1549019128317948</v>
      </c>
      <c r="S147" s="96">
        <v>5.2689604869238744</v>
      </c>
      <c r="T147" s="96">
        <v>5.4785205478710086</v>
      </c>
      <c r="U147" s="96">
        <v>5.3023780758030963</v>
      </c>
      <c r="V147" s="96">
        <v>5.1753882227173875</v>
      </c>
      <c r="W147" s="96">
        <v>5.0610586935612885</v>
      </c>
      <c r="X147" s="96">
        <v>5.3489917286473379</v>
      </c>
      <c r="Y147" s="96">
        <v>5.4087224073936762</v>
      </c>
      <c r="DA147" s="171" t="s">
        <v>890</v>
      </c>
    </row>
    <row r="148" spans="1:105" ht="11.45" customHeight="1" x14ac:dyDescent="0.25">
      <c r="A148" s="111" t="s">
        <v>112</v>
      </c>
      <c r="B148" s="96">
        <v>6.0417036402768938</v>
      </c>
      <c r="C148" s="96">
        <v>6.2078384025086004</v>
      </c>
      <c r="D148" s="96">
        <v>6.2044116748537341</v>
      </c>
      <c r="E148" s="96">
        <v>6.2185469264300588</v>
      </c>
      <c r="F148" s="96">
        <v>6.1775332798108735</v>
      </c>
      <c r="G148" s="96">
        <v>0</v>
      </c>
      <c r="H148" s="96">
        <v>6.2356805647043938</v>
      </c>
      <c r="I148" s="96">
        <v>6.1782828764853797</v>
      </c>
      <c r="J148" s="96">
        <v>5.8995399988098178</v>
      </c>
      <c r="K148" s="96">
        <v>5.6677004559102446</v>
      </c>
      <c r="L148" s="96">
        <v>0</v>
      </c>
      <c r="M148" s="96">
        <v>0</v>
      </c>
      <c r="N148" s="96">
        <v>5.9131766547765308</v>
      </c>
      <c r="O148" s="96">
        <v>5.2965090985015628</v>
      </c>
      <c r="P148" s="96">
        <v>5.8604186281966379</v>
      </c>
      <c r="Q148" s="96">
        <v>5.5282953340514442</v>
      </c>
      <c r="R148" s="96">
        <v>4.5041835124832348</v>
      </c>
      <c r="S148" s="96">
        <v>4.9846613122909575</v>
      </c>
      <c r="T148" s="96">
        <v>5.6777946900355598</v>
      </c>
      <c r="U148" s="96">
        <v>5.9238324599371008</v>
      </c>
      <c r="V148" s="96">
        <v>4.831966839091991</v>
      </c>
      <c r="W148" s="96">
        <v>4.592131523546942</v>
      </c>
      <c r="X148" s="96">
        <v>4.4867949669210345</v>
      </c>
      <c r="Y148" s="96">
        <v>4.5207974711929166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6.8926986922475137</v>
      </c>
      <c r="O149" s="96">
        <v>5.2088883838099127</v>
      </c>
      <c r="P149" s="96">
        <v>5.0579194171025561</v>
      </c>
      <c r="Q149" s="96">
        <v>5.1080498858948333</v>
      </c>
      <c r="R149" s="96">
        <v>5.1789441877337259</v>
      </c>
      <c r="S149" s="96">
        <v>5.3155092762728859</v>
      </c>
      <c r="T149" s="96">
        <v>5.3358645901571853</v>
      </c>
      <c r="U149" s="96">
        <v>4.9428303241403375</v>
      </c>
      <c r="V149" s="96">
        <v>4.7050367477319375</v>
      </c>
      <c r="W149" s="96">
        <v>4.5019870081317617</v>
      </c>
      <c r="X149" s="96">
        <v>4.4943454407025971</v>
      </c>
      <c r="Y149" s="96">
        <v>4.5519143540345626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0</v>
      </c>
      <c r="O150" s="96">
        <v>3.5980198417212153</v>
      </c>
      <c r="P150" s="96">
        <v>2.5350167297310953</v>
      </c>
      <c r="Q150" s="96">
        <v>2.6599235619518398</v>
      </c>
      <c r="R150" s="96">
        <v>3.0696742286061891</v>
      </c>
      <c r="S150" s="96">
        <v>2.9862734788915359</v>
      </c>
      <c r="T150" s="96">
        <v>3.3496965617817804</v>
      </c>
      <c r="U150" s="96">
        <v>3.8223568914214088</v>
      </c>
      <c r="V150" s="96">
        <v>3.8006229174412214</v>
      </c>
      <c r="W150" s="96">
        <v>3.2306383011919317</v>
      </c>
      <c r="X150" s="96">
        <v>3.1868366309959262</v>
      </c>
      <c r="Y150" s="96">
        <v>2.6648359848727994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1.3424803607346911</v>
      </c>
      <c r="N151" s="96">
        <v>0</v>
      </c>
      <c r="O151" s="96">
        <v>1.2897678417884781</v>
      </c>
      <c r="P151" s="96">
        <v>1.2919174548581256</v>
      </c>
      <c r="Q151" s="96">
        <v>1.2990277134731134</v>
      </c>
      <c r="R151" s="96">
        <v>1.2477309639820386</v>
      </c>
      <c r="S151" s="96">
        <v>1.4139079965606192</v>
      </c>
      <c r="T151" s="96">
        <v>1.5432087472481899</v>
      </c>
      <c r="U151" s="96">
        <v>1.5118582452626879</v>
      </c>
      <c r="V151" s="96">
        <v>1.4596359080704842</v>
      </c>
      <c r="W151" s="96">
        <v>1.4430032062406621</v>
      </c>
      <c r="X151" s="96">
        <v>1.5105232024060338</v>
      </c>
      <c r="Y151" s="96">
        <v>1.4817228202250405</v>
      </c>
      <c r="DA151" s="171" t="s">
        <v>894</v>
      </c>
    </row>
    <row r="152" spans="1:105" ht="11.45" customHeight="1" x14ac:dyDescent="0.25">
      <c r="A152" s="109" t="s">
        <v>21</v>
      </c>
      <c r="B152" s="130">
        <v>48.819192837470283</v>
      </c>
      <c r="C152" s="130">
        <v>48.752461243701347</v>
      </c>
      <c r="D152" s="130">
        <v>47.894920705956174</v>
      </c>
      <c r="E152" s="130">
        <v>48.19841993078122</v>
      </c>
      <c r="F152" s="130">
        <v>48.252842412215209</v>
      </c>
      <c r="G152" s="130">
        <v>47.814350748019713</v>
      </c>
      <c r="H152" s="130">
        <v>47.4508562162735</v>
      </c>
      <c r="I152" s="130">
        <v>47.447088849939497</v>
      </c>
      <c r="J152" s="130">
        <v>47.20768015962873</v>
      </c>
      <c r="K152" s="130">
        <v>45.26612497222996</v>
      </c>
      <c r="L152" s="130">
        <v>45.380706963359877</v>
      </c>
      <c r="M152" s="130">
        <v>44.126685999784918</v>
      </c>
      <c r="N152" s="130">
        <v>44.51706348154314</v>
      </c>
      <c r="O152" s="130">
        <v>27.890875452801016</v>
      </c>
      <c r="P152" s="130">
        <v>39.586872659984714</v>
      </c>
      <c r="Q152" s="130">
        <v>37.64043705455196</v>
      </c>
      <c r="R152" s="130">
        <v>41.88702701583771</v>
      </c>
      <c r="S152" s="130">
        <v>40.468855687316371</v>
      </c>
      <c r="T152" s="130">
        <v>39.803472749433581</v>
      </c>
      <c r="U152" s="130">
        <v>35.158407231173932</v>
      </c>
      <c r="V152" s="130">
        <v>35.046938301679539</v>
      </c>
      <c r="W152" s="130">
        <v>35.197433828227624</v>
      </c>
      <c r="X152" s="130">
        <v>30.50693751170104</v>
      </c>
      <c r="Y152" s="130">
        <v>28.87453265276374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14.26734747075573</v>
      </c>
      <c r="E153" s="97">
        <v>14.08876672336139</v>
      </c>
      <c r="F153" s="97">
        <v>0</v>
      </c>
      <c r="G153" s="97">
        <v>13.879725714705808</v>
      </c>
      <c r="H153" s="97">
        <v>13.59980984978224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9.7304817504902008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896</v>
      </c>
    </row>
    <row r="154" spans="1:105" ht="11.45" customHeight="1" x14ac:dyDescent="0.25">
      <c r="A154" s="111" t="s">
        <v>111</v>
      </c>
      <c r="B154" s="97">
        <v>48.819192837470275</v>
      </c>
      <c r="C154" s="97">
        <v>48.752461243701347</v>
      </c>
      <c r="D154" s="97">
        <v>48.678422005052226</v>
      </c>
      <c r="E154" s="97">
        <v>48.524654658588645</v>
      </c>
      <c r="F154" s="97">
        <v>48.507837638082727</v>
      </c>
      <c r="G154" s="97">
        <v>48.342804897637244</v>
      </c>
      <c r="H154" s="97">
        <v>48.095326347897291</v>
      </c>
      <c r="I154" s="97">
        <v>47.916996442404383</v>
      </c>
      <c r="J154" s="97">
        <v>47.313398025964702</v>
      </c>
      <c r="K154" s="97">
        <v>46.634297056289654</v>
      </c>
      <c r="L154" s="97">
        <v>46.198377359096092</v>
      </c>
      <c r="M154" s="97">
        <v>44.846117379969392</v>
      </c>
      <c r="N154" s="97">
        <v>44.51706348154314</v>
      </c>
      <c r="O154" s="97">
        <v>44.140362637871341</v>
      </c>
      <c r="P154" s="97">
        <v>43.600795754961119</v>
      </c>
      <c r="Q154" s="97">
        <v>43.199999999908329</v>
      </c>
      <c r="R154" s="97">
        <v>42.499695362763951</v>
      </c>
      <c r="S154" s="97">
        <v>41.544099754742888</v>
      </c>
      <c r="T154" s="97">
        <v>40.376828797126244</v>
      </c>
      <c r="U154" s="97">
        <v>39.03951800856008</v>
      </c>
      <c r="V154" s="97">
        <v>37.570859976263989</v>
      </c>
      <c r="W154" s="97">
        <v>36.005995927416038</v>
      </c>
      <c r="X154" s="97">
        <v>34.376196490495921</v>
      </c>
      <c r="Y154" s="97">
        <v>32.70876832666535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39.916306044142821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36.7738162515749</v>
      </c>
      <c r="N155" s="97">
        <v>0</v>
      </c>
      <c r="O155" s="97">
        <v>36.195097363054501</v>
      </c>
      <c r="P155" s="97">
        <v>35.752652519068114</v>
      </c>
      <c r="Q155" s="97">
        <v>35.423999999924824</v>
      </c>
      <c r="R155" s="97">
        <v>0</v>
      </c>
      <c r="S155" s="97">
        <v>34.767964969130126</v>
      </c>
      <c r="T155" s="97">
        <v>34.441175590503711</v>
      </c>
      <c r="U155" s="97">
        <v>34.115542451752844</v>
      </c>
      <c r="V155" s="97">
        <v>0</v>
      </c>
      <c r="W155" s="97">
        <v>0</v>
      </c>
      <c r="X155" s="97">
        <v>0</v>
      </c>
      <c r="Y155" s="97">
        <v>32.828495056458266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37.307437645031726</v>
      </c>
      <c r="L156" s="97">
        <v>36.958701887276874</v>
      </c>
      <c r="M156" s="97">
        <v>35.876893903975514</v>
      </c>
      <c r="N156" s="97">
        <v>0</v>
      </c>
      <c r="O156" s="97">
        <v>35.312290110297077</v>
      </c>
      <c r="P156" s="97">
        <v>34.880636603968895</v>
      </c>
      <c r="Q156" s="97">
        <v>34.559999999926667</v>
      </c>
      <c r="R156" s="97">
        <v>34.334665503428177</v>
      </c>
      <c r="S156" s="97">
        <v>0</v>
      </c>
      <c r="T156" s="97">
        <v>0</v>
      </c>
      <c r="U156" s="97">
        <v>0</v>
      </c>
      <c r="V156" s="97">
        <v>33.814023749626855</v>
      </c>
      <c r="W156" s="97">
        <v>33.718957086298651</v>
      </c>
      <c r="X156" s="97">
        <v>0</v>
      </c>
      <c r="Y156" s="97">
        <v>33.540581828314238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29.026202381804474</v>
      </c>
      <c r="G157" s="97">
        <v>28.735940357986429</v>
      </c>
      <c r="H157" s="97">
        <v>28.448580954406566</v>
      </c>
      <c r="I157" s="97">
        <v>28.1640951448625</v>
      </c>
      <c r="J157" s="97">
        <v>27.882454193413874</v>
      </c>
      <c r="K157" s="97">
        <v>27.603629651479736</v>
      </c>
      <c r="L157" s="97">
        <v>0</v>
      </c>
      <c r="M157" s="97">
        <v>27.054317421415291</v>
      </c>
      <c r="N157" s="97">
        <v>0</v>
      </c>
      <c r="O157" s="97">
        <v>26.515936504729126</v>
      </c>
      <c r="P157" s="97">
        <v>26.250777139681833</v>
      </c>
      <c r="Q157" s="97">
        <v>0</v>
      </c>
      <c r="R157" s="97">
        <v>24.117981483684964</v>
      </c>
      <c r="S157" s="97">
        <v>23.091063203368307</v>
      </c>
      <c r="T157" s="97">
        <v>22.09325402770709</v>
      </c>
      <c r="U157" s="97">
        <v>21.125984038109415</v>
      </c>
      <c r="V157" s="97">
        <v>20.190243801280445</v>
      </c>
      <c r="W157" s="97">
        <v>19.286649950477887</v>
      </c>
      <c r="X157" s="97">
        <v>18.415503202967045</v>
      </c>
      <c r="Y157" s="97">
        <v>17.576839384748467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0</v>
      </c>
      <c r="C159" s="141">
        <v>8.131471228603468</v>
      </c>
      <c r="D159" s="141">
        <v>8.1343215163285816</v>
      </c>
      <c r="E159" s="141">
        <v>8.1625547778578227</v>
      </c>
      <c r="F159" s="141">
        <v>8.1875783555684034</v>
      </c>
      <c r="G159" s="141">
        <v>8.215558803710854</v>
      </c>
      <c r="H159" s="141">
        <v>8.3034078692075166</v>
      </c>
      <c r="I159" s="141">
        <v>8.2841525704271106</v>
      </c>
      <c r="J159" s="141">
        <v>8.1274547991466815</v>
      </c>
      <c r="K159" s="141">
        <v>8.1114748991211343</v>
      </c>
      <c r="L159" s="141">
        <v>9.0441460488586269</v>
      </c>
      <c r="M159" s="141">
        <v>8.2236888709620359</v>
      </c>
      <c r="N159" s="141">
        <v>8.0891858656000082</v>
      </c>
      <c r="O159" s="141">
        <v>7.7090248430876818</v>
      </c>
      <c r="P159" s="141">
        <v>7.4231763483685071</v>
      </c>
      <c r="Q159" s="141">
        <v>7.7549233943587055</v>
      </c>
      <c r="R159" s="141">
        <v>7.4711290444492668</v>
      </c>
      <c r="S159" s="141">
        <v>7.4465983063831267</v>
      </c>
      <c r="T159" s="141">
        <v>7.194782930536328</v>
      </c>
      <c r="U159" s="141">
        <v>7.1576856902452768</v>
      </c>
      <c r="V159" s="141">
        <v>7.0392667094522414</v>
      </c>
      <c r="W159" s="141">
        <v>6.9616548670965885</v>
      </c>
      <c r="X159" s="141">
        <v>6.6861521092130829</v>
      </c>
      <c r="Y159" s="141">
        <v>6.8250047461937191</v>
      </c>
      <c r="DA159" s="174" t="s">
        <v>901</v>
      </c>
    </row>
    <row r="160" spans="1:105" ht="11.45" customHeight="1" x14ac:dyDescent="0.25">
      <c r="A160" s="111" t="s">
        <v>110</v>
      </c>
      <c r="B160" s="96">
        <v>0</v>
      </c>
      <c r="C160" s="96">
        <v>9.353284423063343</v>
      </c>
      <c r="D160" s="96">
        <v>9.2967236462470346</v>
      </c>
      <c r="E160" s="96">
        <v>9.1803589288061502</v>
      </c>
      <c r="F160" s="96">
        <v>9.1676457266777156</v>
      </c>
      <c r="G160" s="96">
        <v>9.0441460488586269</v>
      </c>
      <c r="H160" s="96">
        <v>8.8617505162812744</v>
      </c>
      <c r="I160" s="96">
        <v>8.7317645108456379</v>
      </c>
      <c r="J160" s="96">
        <v>0</v>
      </c>
      <c r="K160" s="96">
        <v>7.8505320408613173</v>
      </c>
      <c r="L160" s="96">
        <v>7.565003899180839</v>
      </c>
      <c r="M160" s="96">
        <v>6.7507708878742028</v>
      </c>
      <c r="N160" s="96">
        <v>6.5537420776528776</v>
      </c>
      <c r="O160" s="96">
        <v>6.0532297410264029</v>
      </c>
      <c r="P160" s="96">
        <v>6.6304855308606774</v>
      </c>
      <c r="Q160" s="96">
        <v>5.6009769442830581</v>
      </c>
      <c r="R160" s="96">
        <v>5.7049867047203779</v>
      </c>
      <c r="S160" s="96">
        <v>6.0324511248796711</v>
      </c>
      <c r="T160" s="96">
        <v>6.6062858719836486</v>
      </c>
      <c r="U160" s="96">
        <v>7.4384413353005305</v>
      </c>
      <c r="V160" s="96">
        <v>5.6278364943141996</v>
      </c>
      <c r="W160" s="96">
        <v>5.6258515548515522</v>
      </c>
      <c r="X160" s="96">
        <v>5.7631970081758981</v>
      </c>
      <c r="Y160" s="96">
        <v>6.9106988726705394</v>
      </c>
      <c r="DA160" s="171" t="s">
        <v>902</v>
      </c>
    </row>
    <row r="161" spans="1:105" ht="11.45" customHeight="1" x14ac:dyDescent="0.25">
      <c r="A161" s="111" t="s">
        <v>111</v>
      </c>
      <c r="B161" s="96">
        <v>0</v>
      </c>
      <c r="C161" s="96">
        <v>8.1696898288126114</v>
      </c>
      <c r="D161" s="96">
        <v>8.1651801588996893</v>
      </c>
      <c r="E161" s="96">
        <v>8.1837825472904928</v>
      </c>
      <c r="F161" s="96">
        <v>8.1298074355202061</v>
      </c>
      <c r="G161" s="96">
        <v>8.1540469113021619</v>
      </c>
      <c r="H161" s="96">
        <v>8.2063308968551034</v>
      </c>
      <c r="I161" s="96">
        <v>8.130793925813661</v>
      </c>
      <c r="J161" s="96">
        <v>7.7639604638344073</v>
      </c>
      <c r="K161" s="96">
        <v>7.4588531087882739</v>
      </c>
      <c r="L161" s="96">
        <v>0</v>
      </c>
      <c r="M161" s="96">
        <v>7.6786451019425277</v>
      </c>
      <c r="N161" s="96">
        <v>7.7819066863883437</v>
      </c>
      <c r="O161" s="96">
        <v>7.3846864255902576</v>
      </c>
      <c r="P161" s="96">
        <v>7.2238056600375806</v>
      </c>
      <c r="Q161" s="96">
        <v>6.9261525343117158</v>
      </c>
      <c r="R161" s="96">
        <v>6.8667962724205509</v>
      </c>
      <c r="S161" s="96">
        <v>6.5504598694665015</v>
      </c>
      <c r="T161" s="96">
        <v>6.7488262095479925</v>
      </c>
      <c r="U161" s="96">
        <v>6.9364800366180637</v>
      </c>
      <c r="V161" s="96">
        <v>7.4136928105925026</v>
      </c>
      <c r="W161" s="96">
        <v>7.2554554141630643</v>
      </c>
      <c r="X161" s="96">
        <v>7.0821669526367845</v>
      </c>
      <c r="Y161" s="96">
        <v>7.0409088426045017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X162" s="96">
        <v>0</v>
      </c>
      <c r="Y162" s="96">
        <v>0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X163" s="96">
        <v>0</v>
      </c>
      <c r="Y163" s="96">
        <v>0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0</v>
      </c>
      <c r="O164" s="96">
        <v>0</v>
      </c>
      <c r="P164" s="96">
        <v>0</v>
      </c>
      <c r="Q164" s="96">
        <v>0</v>
      </c>
      <c r="R164" s="96">
        <v>0</v>
      </c>
      <c r="S164" s="96">
        <v>0</v>
      </c>
      <c r="T164" s="96">
        <v>0</v>
      </c>
      <c r="U164" s="96">
        <v>0</v>
      </c>
      <c r="V164" s="96">
        <v>0</v>
      </c>
      <c r="W164" s="96">
        <v>0</v>
      </c>
      <c r="X164" s="96">
        <v>0</v>
      </c>
      <c r="Y164" s="96">
        <v>0</v>
      </c>
      <c r="DA164" s="171" t="s">
        <v>906</v>
      </c>
    </row>
    <row r="165" spans="1:105" ht="11.45" customHeight="1" x14ac:dyDescent="0.25">
      <c r="A165" s="109" t="s">
        <v>154</v>
      </c>
      <c r="B165" s="130">
        <v>33.546147315091126</v>
      </c>
      <c r="C165" s="130">
        <v>26.778759009314339</v>
      </c>
      <c r="D165" s="130">
        <v>26.23148318318556</v>
      </c>
      <c r="E165" s="130">
        <v>25.934442979804164</v>
      </c>
      <c r="F165" s="130">
        <v>26.949273541766541</v>
      </c>
      <c r="G165" s="130">
        <v>26.157318673486618</v>
      </c>
      <c r="H165" s="130">
        <v>26.383011502774181</v>
      </c>
      <c r="I165" s="130">
        <v>25.646987557229238</v>
      </c>
      <c r="J165" s="130">
        <v>24.958245687793418</v>
      </c>
      <c r="K165" s="130">
        <v>24.724617987847338</v>
      </c>
      <c r="L165" s="130">
        <v>27.813784786573247</v>
      </c>
      <c r="M165" s="130">
        <v>24.866060633648196</v>
      </c>
      <c r="N165" s="130">
        <v>24.570953685171055</v>
      </c>
      <c r="O165" s="130">
        <v>24.261130396580437</v>
      </c>
      <c r="P165" s="130">
        <v>23.3004810583435</v>
      </c>
      <c r="Q165" s="130">
        <v>23.984386729498624</v>
      </c>
      <c r="R165" s="130">
        <v>22.86350426932988</v>
      </c>
      <c r="S165" s="130">
        <v>22.576701389193016</v>
      </c>
      <c r="T165" s="130">
        <v>22.107164051222348</v>
      </c>
      <c r="U165" s="130">
        <v>21.896885694909589</v>
      </c>
      <c r="V165" s="130">
        <v>22.365108948520529</v>
      </c>
      <c r="W165" s="130">
        <v>21.534958513405932</v>
      </c>
      <c r="X165" s="130">
        <v>23.342261902883589</v>
      </c>
      <c r="Y165" s="130">
        <v>21.098205660799291</v>
      </c>
      <c r="DA165" s="176" t="s">
        <v>907</v>
      </c>
    </row>
    <row r="166" spans="1:105" ht="11.45" customHeight="1" x14ac:dyDescent="0.25">
      <c r="A166" s="128" t="s">
        <v>27</v>
      </c>
      <c r="B166" s="97">
        <v>0</v>
      </c>
      <c r="C166" s="97">
        <v>26.025773195824463</v>
      </c>
      <c r="D166" s="97">
        <v>25.936946476642007</v>
      </c>
      <c r="E166" s="97">
        <v>25.826340677431549</v>
      </c>
      <c r="F166" s="97">
        <v>25.694236849612107</v>
      </c>
      <c r="G166" s="97">
        <v>25.540968302156642</v>
      </c>
      <c r="H166" s="97">
        <v>25.366918523086543</v>
      </c>
      <c r="I166" s="97">
        <v>25.172518817355872</v>
      </c>
      <c r="J166" s="97">
        <v>24.958245687793418</v>
      </c>
      <c r="K166" s="97">
        <v>24.724617987847338</v>
      </c>
      <c r="L166" s="97">
        <v>24.472193877492671</v>
      </c>
      <c r="M166" s="97">
        <v>24.201567614150456</v>
      </c>
      <c r="N166" s="97">
        <v>23.913366211701266</v>
      </c>
      <c r="O166" s="97">
        <v>23.608246001062707</v>
      </c>
      <c r="P166" s="97">
        <v>23.286889125013396</v>
      </c>
      <c r="Q166" s="97">
        <v>22.949999999951295</v>
      </c>
      <c r="R166" s="97">
        <v>22.583283940843867</v>
      </c>
      <c r="S166" s="97">
        <v>22.326582699468666</v>
      </c>
      <c r="T166" s="97">
        <v>22.057046396024706</v>
      </c>
      <c r="U166" s="97">
        <v>21.727613136259869</v>
      </c>
      <c r="V166" s="97">
        <v>21.837378832692778</v>
      </c>
      <c r="W166" s="97">
        <v>21.267781883161625</v>
      </c>
      <c r="X166" s="97">
        <v>21.150609715147169</v>
      </c>
      <c r="Y166" s="97">
        <v>20.939103617995698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0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137.61990705929463</v>
      </c>
      <c r="C171" s="152">
        <v>136.63630622309981</v>
      </c>
      <c r="D171" s="152">
        <v>135.18532917180565</v>
      </c>
      <c r="E171" s="152">
        <v>133.65143203389997</v>
      </c>
      <c r="F171" s="152">
        <v>132.06640038229489</v>
      </c>
      <c r="G171" s="152">
        <v>130.13544992131264</v>
      </c>
      <c r="H171" s="152">
        <v>127.20511170515222</v>
      </c>
      <c r="I171" s="152">
        <v>123.26430197118079</v>
      </c>
      <c r="J171" s="152">
        <v>118.64224501269702</v>
      </c>
      <c r="K171" s="152">
        <v>115.42242792103171</v>
      </c>
      <c r="L171" s="152">
        <v>113.8586105055094</v>
      </c>
      <c r="M171" s="152">
        <v>111.89464702870131</v>
      </c>
      <c r="N171" s="152">
        <v>110.08241369622287</v>
      </c>
      <c r="O171" s="152">
        <v>108.22334047745228</v>
      </c>
      <c r="P171" s="152">
        <v>106.19239174930462</v>
      </c>
      <c r="Q171" s="152">
        <v>104.16516931130978</v>
      </c>
      <c r="R171" s="152">
        <v>101.2515329907941</v>
      </c>
      <c r="S171" s="152">
        <v>98.107267750239089</v>
      </c>
      <c r="T171" s="152">
        <v>94.578972035024648</v>
      </c>
      <c r="U171" s="152">
        <v>88.487017763727849</v>
      </c>
      <c r="V171" s="152">
        <v>83.184075870709748</v>
      </c>
      <c r="W171" s="152">
        <v>79.462150377479091</v>
      </c>
      <c r="X171" s="152">
        <v>76.296240086280221</v>
      </c>
      <c r="Y171" s="152">
        <v>73.786525219069972</v>
      </c>
      <c r="DA171" s="174" t="s">
        <v>910</v>
      </c>
    </row>
    <row r="172" spans="1:105" ht="11.45" customHeight="1" x14ac:dyDescent="0.25">
      <c r="A172" s="109" t="s">
        <v>20</v>
      </c>
      <c r="B172" s="116">
        <v>231.29422615338481</v>
      </c>
      <c r="C172" s="116">
        <v>225.64265310558392</v>
      </c>
      <c r="D172" s="116">
        <v>218.78617287166202</v>
      </c>
      <c r="E172" s="116">
        <v>216.25922850654945</v>
      </c>
      <c r="F172" s="116">
        <v>210.05695674003081</v>
      </c>
      <c r="G172" s="116">
        <v>218.01303104292558</v>
      </c>
      <c r="H172" s="116">
        <v>208.58480143183223</v>
      </c>
      <c r="I172" s="116">
        <v>204.03565264330749</v>
      </c>
      <c r="J172" s="116">
        <v>208.7954784919543</v>
      </c>
      <c r="K172" s="116">
        <v>212.16804188683182</v>
      </c>
      <c r="L172" s="116">
        <v>213.72438199139555</v>
      </c>
      <c r="M172" s="116">
        <v>212.45720192951379</v>
      </c>
      <c r="N172" s="116">
        <v>207.8213650977321</v>
      </c>
      <c r="O172" s="116">
        <v>198.63278217921797</v>
      </c>
      <c r="P172" s="116">
        <v>197.06935234747527</v>
      </c>
      <c r="Q172" s="116">
        <v>194.3320493073563</v>
      </c>
      <c r="R172" s="116">
        <v>190.88103828594583</v>
      </c>
      <c r="S172" s="116">
        <v>187.23020036466269</v>
      </c>
      <c r="T172" s="116">
        <v>182.09206234478037</v>
      </c>
      <c r="U172" s="116">
        <v>176.05273890840164</v>
      </c>
      <c r="V172" s="116">
        <v>169.74043627483732</v>
      </c>
      <c r="W172" s="116">
        <v>164.12580015099184</v>
      </c>
      <c r="X172" s="116">
        <v>161.53148118698934</v>
      </c>
      <c r="Y172" s="116">
        <v>158.7834777798451</v>
      </c>
      <c r="DA172" s="176" t="s">
        <v>911</v>
      </c>
    </row>
    <row r="173" spans="1:105" ht="11.45" customHeight="1" x14ac:dyDescent="0.25">
      <c r="A173" s="111" t="s">
        <v>110</v>
      </c>
      <c r="B173" s="87">
        <v>255.5680371458447</v>
      </c>
      <c r="C173" s="87">
        <v>253.5062054294317</v>
      </c>
      <c r="D173" s="87">
        <v>253.06046142503482</v>
      </c>
      <c r="E173" s="87">
        <v>252.2596842369249</v>
      </c>
      <c r="F173" s="87">
        <v>251.67407927112174</v>
      </c>
      <c r="G173" s="87">
        <v>250.8725818022705</v>
      </c>
      <c r="H173" s="87">
        <v>249.58243659907129</v>
      </c>
      <c r="I173" s="87">
        <v>248.30097271723446</v>
      </c>
      <c r="J173" s="87">
        <v>246.94667906720383</v>
      </c>
      <c r="K173" s="87">
        <v>246.39165121271802</v>
      </c>
      <c r="L173" s="87">
        <v>245.73336959854731</v>
      </c>
      <c r="M173" s="87">
        <v>245.42088036485509</v>
      </c>
      <c r="N173" s="87">
        <v>245.42634331934403</v>
      </c>
      <c r="O173" s="87">
        <v>242.7579430574296</v>
      </c>
      <c r="P173" s="87">
        <v>236.3702766270097</v>
      </c>
      <c r="Q173" s="87">
        <v>229.05646842636446</v>
      </c>
      <c r="R173" s="87">
        <v>220.03566785623215</v>
      </c>
      <c r="S173" s="87">
        <v>208.01250647764687</v>
      </c>
      <c r="T173" s="87">
        <v>196.55879128565422</v>
      </c>
      <c r="U173" s="87">
        <v>182.56275821065742</v>
      </c>
      <c r="V173" s="87">
        <v>173.42721889539942</v>
      </c>
      <c r="W173" s="87">
        <v>166.65744617340727</v>
      </c>
      <c r="X173" s="87">
        <v>164.69412927339746</v>
      </c>
      <c r="Y173" s="87">
        <v>162.83093144158411</v>
      </c>
      <c r="DA173" s="171" t="s">
        <v>912</v>
      </c>
    </row>
    <row r="174" spans="1:105" ht="11.45" customHeight="1" x14ac:dyDescent="0.25">
      <c r="A174" s="111" t="s">
        <v>111</v>
      </c>
      <c r="B174" s="87">
        <v>214.70046832093774</v>
      </c>
      <c r="C174" s="87">
        <v>203.93325797912752</v>
      </c>
      <c r="D174" s="87">
        <v>200.04739738739988</v>
      </c>
      <c r="E174" s="87">
        <v>196.92710853548601</v>
      </c>
      <c r="F174" s="87">
        <v>194.50914418400254</v>
      </c>
      <c r="G174" s="87">
        <v>192.40145400981837</v>
      </c>
      <c r="H174" s="87">
        <v>191.54488251496662</v>
      </c>
      <c r="I174" s="87">
        <v>190.83323870441072</v>
      </c>
      <c r="J174" s="87">
        <v>190.20812779055868</v>
      </c>
      <c r="K174" s="87">
        <v>190.28762208694695</v>
      </c>
      <c r="L174" s="87">
        <v>190.22654012626128</v>
      </c>
      <c r="M174" s="87">
        <v>190.24284824503488</v>
      </c>
      <c r="N174" s="87">
        <v>190.32703056301565</v>
      </c>
      <c r="O174" s="87">
        <v>189.25332400955077</v>
      </c>
      <c r="P174" s="87">
        <v>187.34485546781869</v>
      </c>
      <c r="Q174" s="87">
        <v>183.56225391659467</v>
      </c>
      <c r="R174" s="87">
        <v>182.72127173978663</v>
      </c>
      <c r="S174" s="87">
        <v>182.10131309876959</v>
      </c>
      <c r="T174" s="87">
        <v>180.94135162635101</v>
      </c>
      <c r="U174" s="87">
        <v>179.44796680290219</v>
      </c>
      <c r="V174" s="87">
        <v>178.01996830396212</v>
      </c>
      <c r="W174" s="87">
        <v>175.76876840218392</v>
      </c>
      <c r="X174" s="87">
        <v>173.98015251055315</v>
      </c>
      <c r="Y174" s="87">
        <v>172.93655421757506</v>
      </c>
      <c r="DA174" s="171" t="s">
        <v>913</v>
      </c>
    </row>
    <row r="175" spans="1:105" ht="11.45" customHeight="1" x14ac:dyDescent="0.25">
      <c r="A175" s="111" t="s">
        <v>112</v>
      </c>
      <c r="B175" s="87">
        <v>179.92903849527954</v>
      </c>
      <c r="C175" s="87">
        <v>167.8532399346953</v>
      </c>
      <c r="D175" s="87">
        <v>162.29315854741668</v>
      </c>
      <c r="E175" s="87">
        <v>159.34159015026606</v>
      </c>
      <c r="F175" s="87">
        <v>157.73591987334359</v>
      </c>
      <c r="G175" s="87">
        <v>155.03843843116479</v>
      </c>
      <c r="H175" s="87">
        <v>156.6555126246177</v>
      </c>
      <c r="I175" s="87">
        <v>157.82101179959406</v>
      </c>
      <c r="J175" s="87">
        <v>157.99253323862726</v>
      </c>
      <c r="K175" s="87">
        <v>158.02164217066459</v>
      </c>
      <c r="L175" s="87">
        <v>157.99706342592879</v>
      </c>
      <c r="M175" s="87">
        <v>157.79152977781419</v>
      </c>
      <c r="N175" s="87">
        <v>158.32791511792578</v>
      </c>
      <c r="O175" s="87">
        <v>158.18059946243073</v>
      </c>
      <c r="P175" s="87">
        <v>157.78603431132592</v>
      </c>
      <c r="Q175" s="87">
        <v>157.72659828658587</v>
      </c>
      <c r="R175" s="87">
        <v>157.90181218618767</v>
      </c>
      <c r="S175" s="87">
        <v>157.90323220497532</v>
      </c>
      <c r="T175" s="87">
        <v>156.17056766725315</v>
      </c>
      <c r="U175" s="87">
        <v>155.77663628693355</v>
      </c>
      <c r="V175" s="87">
        <v>154.42883964259465</v>
      </c>
      <c r="W175" s="87">
        <v>151.64530543458054</v>
      </c>
      <c r="X175" s="87">
        <v>147.72167780478082</v>
      </c>
      <c r="Y175" s="87">
        <v>147.23314411649258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161.89534846317764</v>
      </c>
      <c r="O176" s="87">
        <v>130.02576559537218</v>
      </c>
      <c r="P176" s="87">
        <v>120.73324466917593</v>
      </c>
      <c r="Q176" s="87">
        <v>120.52780438683595</v>
      </c>
      <c r="R176" s="87">
        <v>120.80975974685578</v>
      </c>
      <c r="S176" s="87">
        <v>122.23776680225522</v>
      </c>
      <c r="T176" s="87">
        <v>123.13066595407599</v>
      </c>
      <c r="U176" s="87">
        <v>122.72037895285092</v>
      </c>
      <c r="V176" s="87">
        <v>116.7683483750576</v>
      </c>
      <c r="W176" s="87">
        <v>113.13926368765704</v>
      </c>
      <c r="X176" s="87">
        <v>107.48788228126433</v>
      </c>
      <c r="Y176" s="87">
        <v>106.18131798379002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78.258747422290682</v>
      </c>
      <c r="P177" s="87">
        <v>57.232945116133848</v>
      </c>
      <c r="Q177" s="87">
        <v>54.114925637752812</v>
      </c>
      <c r="R177" s="87">
        <v>54.010753770389449</v>
      </c>
      <c r="S177" s="87">
        <v>53.110690986013608</v>
      </c>
      <c r="T177" s="87">
        <v>55.286136765469465</v>
      </c>
      <c r="U177" s="87">
        <v>60.132098587605938</v>
      </c>
      <c r="V177" s="87">
        <v>60.925786064944042</v>
      </c>
      <c r="W177" s="87">
        <v>55.738730634879197</v>
      </c>
      <c r="X177" s="87">
        <v>52.630608936946388</v>
      </c>
      <c r="Y177" s="87">
        <v>46.65918189814731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1743.1568974309791</v>
      </c>
      <c r="C179" s="116">
        <v>1660.5638052182769</v>
      </c>
      <c r="D179" s="116">
        <v>1590.2671342908786</v>
      </c>
      <c r="E179" s="116">
        <v>1510.8196906075154</v>
      </c>
      <c r="F179" s="116">
        <v>1482.3802115057954</v>
      </c>
      <c r="G179" s="116">
        <v>1459.3296873748147</v>
      </c>
      <c r="H179" s="116">
        <v>1442.4740632508485</v>
      </c>
      <c r="I179" s="116">
        <v>1437.9515637646155</v>
      </c>
      <c r="J179" s="116">
        <v>1446.4958409861822</v>
      </c>
      <c r="K179" s="116">
        <v>1392.1330092388598</v>
      </c>
      <c r="L179" s="116">
        <v>1396.8848199765957</v>
      </c>
      <c r="M179" s="116">
        <v>1379.0457716580436</v>
      </c>
      <c r="N179" s="116">
        <v>1397.4260669788637</v>
      </c>
      <c r="O179" s="116">
        <v>669.32167787016226</v>
      </c>
      <c r="P179" s="116">
        <v>1173.0180201854309</v>
      </c>
      <c r="Q179" s="116">
        <v>1076.411096642702</v>
      </c>
      <c r="R179" s="116">
        <v>1209.3255875654329</v>
      </c>
      <c r="S179" s="116">
        <v>1170.5071867254023</v>
      </c>
      <c r="T179" s="116">
        <v>1162.0047448397588</v>
      </c>
      <c r="U179" s="116">
        <v>1022.4393186075505</v>
      </c>
      <c r="V179" s="116">
        <v>984.15045849511966</v>
      </c>
      <c r="W179" s="116">
        <v>1044.6741915753387</v>
      </c>
      <c r="X179" s="116">
        <v>941.66201740905672</v>
      </c>
      <c r="Y179" s="116">
        <v>904.46266884076124</v>
      </c>
      <c r="DA179" s="176" t="s">
        <v>918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413.96029560658144</v>
      </c>
      <c r="E180" s="101">
        <v>412.12334668619343</v>
      </c>
      <c r="F180" s="101">
        <v>411.97238855740835</v>
      </c>
      <c r="G180" s="101">
        <v>411.56620623837608</v>
      </c>
      <c r="H180" s="101">
        <v>410.15000139178278</v>
      </c>
      <c r="I180" s="101">
        <v>409.8994059748706</v>
      </c>
      <c r="J180" s="101">
        <v>408.8812317698127</v>
      </c>
      <c r="K180" s="101">
        <v>408.57633785484131</v>
      </c>
      <c r="L180" s="101">
        <v>408.57633785484131</v>
      </c>
      <c r="M180" s="101">
        <v>406.7050747464657</v>
      </c>
      <c r="N180" s="101">
        <v>406.02197300770558</v>
      </c>
      <c r="O180" s="101">
        <v>287.54054588114872</v>
      </c>
      <c r="P180" s="101">
        <v>282.32529628115992</v>
      </c>
      <c r="Q180" s="101">
        <v>282.32529628115998</v>
      </c>
      <c r="R180" s="101">
        <v>282.32529628116004</v>
      </c>
      <c r="S180" s="101">
        <v>282.32529628115998</v>
      </c>
      <c r="T180" s="101">
        <v>282.32529628115998</v>
      </c>
      <c r="U180" s="101">
        <v>282.32529628115998</v>
      </c>
      <c r="V180" s="101">
        <v>282.32529628115998</v>
      </c>
      <c r="W180" s="101">
        <v>282.32529628115992</v>
      </c>
      <c r="X180" s="101">
        <v>282.32529628115998</v>
      </c>
      <c r="Y180" s="101">
        <v>282.32529628115992</v>
      </c>
      <c r="DA180" s="175" t="s">
        <v>919</v>
      </c>
    </row>
    <row r="181" spans="1:105" ht="11.45" customHeight="1" x14ac:dyDescent="0.25">
      <c r="A181" s="111" t="s">
        <v>111</v>
      </c>
      <c r="B181" s="101">
        <v>1743.1568974309794</v>
      </c>
      <c r="C181" s="101">
        <v>1632.1958700020573</v>
      </c>
      <c r="D181" s="101">
        <v>1573.8337333044851</v>
      </c>
      <c r="E181" s="101">
        <v>1518.0450123410899</v>
      </c>
      <c r="F181" s="101">
        <v>1506.4265087925153</v>
      </c>
      <c r="G181" s="101">
        <v>1502.3817584092026</v>
      </c>
      <c r="H181" s="101">
        <v>1496.9101946662004</v>
      </c>
      <c r="I181" s="101">
        <v>1490.999718656564</v>
      </c>
      <c r="J181" s="101">
        <v>1481.5688726620383</v>
      </c>
      <c r="K181" s="101">
        <v>1473.2049531070318</v>
      </c>
      <c r="L181" s="101">
        <v>1462.2585041018394</v>
      </c>
      <c r="M181" s="101">
        <v>1442.2037537796562</v>
      </c>
      <c r="N181" s="101">
        <v>1436.1204957417262</v>
      </c>
      <c r="O181" s="101">
        <v>1427.3007444672492</v>
      </c>
      <c r="P181" s="101">
        <v>1418.0779642495511</v>
      </c>
      <c r="Q181" s="101">
        <v>1411.7236837365358</v>
      </c>
      <c r="R181" s="101">
        <v>1388.5563108921619</v>
      </c>
      <c r="S181" s="101">
        <v>1359.522436740363</v>
      </c>
      <c r="T181" s="101">
        <v>1311.1866071130726</v>
      </c>
      <c r="U181" s="101">
        <v>1296.6107992015425</v>
      </c>
      <c r="V181" s="101">
        <v>1277.0549088325499</v>
      </c>
      <c r="W181" s="101">
        <v>1240.2381386292534</v>
      </c>
      <c r="X181" s="101">
        <v>1214.4938214156598</v>
      </c>
      <c r="Y181" s="101">
        <v>1180.2171704956017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1054.5372338188442</v>
      </c>
      <c r="E182" s="101">
        <v>1054.5372338188445</v>
      </c>
      <c r="F182" s="101">
        <v>1054.5372338188445</v>
      </c>
      <c r="G182" s="101">
        <v>1054.5372338188445</v>
      </c>
      <c r="H182" s="101">
        <v>1054.5372338188445</v>
      </c>
      <c r="I182" s="101">
        <v>1054.5372338188445</v>
      </c>
      <c r="J182" s="101">
        <v>1054.5372338188445</v>
      </c>
      <c r="K182" s="101">
        <v>1054.5372338188445</v>
      </c>
      <c r="L182" s="101">
        <v>1054.5372338188445</v>
      </c>
      <c r="M182" s="101">
        <v>980.39169270516561</v>
      </c>
      <c r="N182" s="101">
        <v>980.39169270516538</v>
      </c>
      <c r="O182" s="101">
        <v>960.38933795156856</v>
      </c>
      <c r="P182" s="101">
        <v>948.58248950702978</v>
      </c>
      <c r="Q182" s="101">
        <v>947.99012594999158</v>
      </c>
      <c r="R182" s="101">
        <v>947.95696440969152</v>
      </c>
      <c r="S182" s="101">
        <v>947.27872472490537</v>
      </c>
      <c r="T182" s="101">
        <v>945.13531742890359</v>
      </c>
      <c r="U182" s="101">
        <v>935.53462985430781</v>
      </c>
      <c r="V182" s="101">
        <v>934.86400307498093</v>
      </c>
      <c r="W182" s="101">
        <v>934.13410933117609</v>
      </c>
      <c r="X182" s="101">
        <v>933.26610502148401</v>
      </c>
      <c r="Y182" s="101">
        <v>930.25545857728207</v>
      </c>
      <c r="DA182" s="175" t="s">
        <v>921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876.27515541974776</v>
      </c>
      <c r="L183" s="101">
        <v>873.05313218833123</v>
      </c>
      <c r="M183" s="101">
        <v>865.71807648764297</v>
      </c>
      <c r="N183" s="101">
        <v>865.46945591410304</v>
      </c>
      <c r="O183" s="101">
        <v>851.11281996294167</v>
      </c>
      <c r="P183" s="101">
        <v>846.28212888637597</v>
      </c>
      <c r="Q183" s="101">
        <v>828.91044000410852</v>
      </c>
      <c r="R183" s="101">
        <v>828.78097284400042</v>
      </c>
      <c r="S183" s="101">
        <v>827.39883917233988</v>
      </c>
      <c r="T183" s="101">
        <v>827.4030186531171</v>
      </c>
      <c r="U183" s="101">
        <v>826.25238922392782</v>
      </c>
      <c r="V183" s="101">
        <v>814.58451270640933</v>
      </c>
      <c r="W183" s="101">
        <v>811.1619886436672</v>
      </c>
      <c r="X183" s="101">
        <v>810.83687646833152</v>
      </c>
      <c r="Y183" s="101">
        <v>810.24505588947989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382.62743421752168</v>
      </c>
      <c r="C186" s="152">
        <v>363.59897363927098</v>
      </c>
      <c r="D186" s="152">
        <v>339.29760410916003</v>
      </c>
      <c r="E186" s="152">
        <v>320.29802354081147</v>
      </c>
      <c r="F186" s="152">
        <v>303.87357005418886</v>
      </c>
      <c r="G186" s="152">
        <v>290.24081694333665</v>
      </c>
      <c r="H186" s="152">
        <v>275.72999144174423</v>
      </c>
      <c r="I186" s="152">
        <v>265.3044624104009</v>
      </c>
      <c r="J186" s="152">
        <v>250.60177549337996</v>
      </c>
      <c r="K186" s="152">
        <v>234.48973232879112</v>
      </c>
      <c r="L186" s="152">
        <v>198.86158376781421</v>
      </c>
      <c r="M186" s="152">
        <v>236.26271189681856</v>
      </c>
      <c r="N186" s="152">
        <v>242.49847115100161</v>
      </c>
      <c r="O186" s="152">
        <v>238.79078776527976</v>
      </c>
      <c r="P186" s="152">
        <v>239.85739674908922</v>
      </c>
      <c r="Q186" s="152">
        <v>218.29074858536197</v>
      </c>
      <c r="R186" s="152">
        <v>222.84823594397622</v>
      </c>
      <c r="S186" s="152">
        <v>210.86816364587759</v>
      </c>
      <c r="T186" s="152">
        <v>221.46553380285343</v>
      </c>
      <c r="U186" s="152">
        <v>225.72718955706492</v>
      </c>
      <c r="V186" s="152">
        <v>241.57511193386321</v>
      </c>
      <c r="W186" s="152">
        <v>236.04527238415517</v>
      </c>
      <c r="X186" s="152">
        <v>235.85931305899206</v>
      </c>
      <c r="Y186" s="152">
        <v>227.43844436966307</v>
      </c>
      <c r="DA186" s="174" t="s">
        <v>924</v>
      </c>
    </row>
    <row r="187" spans="1:105" ht="11.45" customHeight="1" x14ac:dyDescent="0.25">
      <c r="A187" s="111" t="s">
        <v>110</v>
      </c>
      <c r="B187" s="87">
        <v>315.27923899637926</v>
      </c>
      <c r="C187" s="87">
        <v>305.31870222406184</v>
      </c>
      <c r="D187" s="87">
        <v>296.7452289451108</v>
      </c>
      <c r="E187" s="87">
        <v>289.94828238953795</v>
      </c>
      <c r="F187" s="87">
        <v>284.38549645255318</v>
      </c>
      <c r="G187" s="87">
        <v>279.51727834647954</v>
      </c>
      <c r="H187" s="87">
        <v>274.56541203711322</v>
      </c>
      <c r="I187" s="87">
        <v>271.30478299810824</v>
      </c>
      <c r="J187" s="87">
        <v>269.06742943485386</v>
      </c>
      <c r="K187" s="87">
        <v>265.1792044947955</v>
      </c>
      <c r="L187" s="87">
        <v>265.87711629132008</v>
      </c>
      <c r="M187" s="87">
        <v>265.14485901050705</v>
      </c>
      <c r="N187" s="87">
        <v>260.57359345854911</v>
      </c>
      <c r="O187" s="87">
        <v>254.71024681619858</v>
      </c>
      <c r="P187" s="87">
        <v>247.07385329334582</v>
      </c>
      <c r="Q187" s="87">
        <v>238.6793370190189</v>
      </c>
      <c r="R187" s="87">
        <v>233.74851434618321</v>
      </c>
      <c r="S187" s="87">
        <v>226.98582386759054</v>
      </c>
      <c r="T187" s="87">
        <v>218.61619462204351</v>
      </c>
      <c r="U187" s="87">
        <v>213.8189118170132</v>
      </c>
      <c r="V187" s="87">
        <v>208.40123020870777</v>
      </c>
      <c r="W187" s="87">
        <v>202.61621220516983</v>
      </c>
      <c r="X187" s="87">
        <v>197.70977059989647</v>
      </c>
      <c r="Y187" s="87">
        <v>196.84427679249399</v>
      </c>
      <c r="DA187" s="171" t="s">
        <v>925</v>
      </c>
    </row>
    <row r="188" spans="1:105" ht="11.45" customHeight="1" x14ac:dyDescent="0.25">
      <c r="A188" s="111" t="s">
        <v>111</v>
      </c>
      <c r="B188" s="87">
        <v>385.73745446426915</v>
      </c>
      <c r="C188" s="87">
        <v>358.08887964244275</v>
      </c>
      <c r="D188" s="87">
        <v>329.41065563354869</v>
      </c>
      <c r="E188" s="87">
        <v>309.82549695616194</v>
      </c>
      <c r="F188" s="87">
        <v>295.38679243708003</v>
      </c>
      <c r="G188" s="87">
        <v>282.68883033360027</v>
      </c>
      <c r="H188" s="87">
        <v>270.90535842748335</v>
      </c>
      <c r="I188" s="87">
        <v>263.81753977689289</v>
      </c>
      <c r="J188" s="87">
        <v>257.83632203137063</v>
      </c>
      <c r="K188" s="87">
        <v>252.62861617307883</v>
      </c>
      <c r="L188" s="87">
        <v>251.79395706659261</v>
      </c>
      <c r="M188" s="87">
        <v>252.46431421474446</v>
      </c>
      <c r="N188" s="87">
        <v>252.19071697477696</v>
      </c>
      <c r="O188" s="87">
        <v>249.82594273138105</v>
      </c>
      <c r="P188" s="87">
        <v>246.17973228175819</v>
      </c>
      <c r="Q188" s="87">
        <v>244.79285566648306</v>
      </c>
      <c r="R188" s="87">
        <v>241.91370051160561</v>
      </c>
      <c r="S188" s="87">
        <v>239.27490417027977</v>
      </c>
      <c r="T188" s="87">
        <v>235.72449837779106</v>
      </c>
      <c r="U188" s="87">
        <v>232.3324384784938</v>
      </c>
      <c r="V188" s="87">
        <v>229.45143355712236</v>
      </c>
      <c r="W188" s="87">
        <v>226.66243281206491</v>
      </c>
      <c r="X188" s="87">
        <v>222.71019922808364</v>
      </c>
      <c r="Y188" s="87">
        <v>220.15945330853114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X189" s="87">
        <v>0</v>
      </c>
      <c r="Y189" s="87">
        <v>0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X190" s="87">
        <v>0</v>
      </c>
      <c r="Y190" s="87">
        <v>0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863.09622461433696</v>
      </c>
      <c r="C192" s="116">
        <v>861.50024853405</v>
      </c>
      <c r="D192" s="116">
        <v>856.0937852429297</v>
      </c>
      <c r="E192" s="116">
        <v>844.1012610035101</v>
      </c>
      <c r="F192" s="116">
        <v>842.67005265981641</v>
      </c>
      <c r="G192" s="116">
        <v>839.25532607206299</v>
      </c>
      <c r="H192" s="116">
        <v>835.22991850693529</v>
      </c>
      <c r="I192" s="116">
        <v>828.36719793161865</v>
      </c>
      <c r="J192" s="116">
        <v>824.73471949222153</v>
      </c>
      <c r="K192" s="116">
        <v>820.43758209495206</v>
      </c>
      <c r="L192" s="116">
        <v>819.07222070951855</v>
      </c>
      <c r="M192" s="116">
        <v>811.02966816599576</v>
      </c>
      <c r="N192" s="116">
        <v>802.01021547440746</v>
      </c>
      <c r="O192" s="116">
        <v>792.35735353920472</v>
      </c>
      <c r="P192" s="116">
        <v>785.46021950113766</v>
      </c>
      <c r="Q192" s="116">
        <v>781.0354679031874</v>
      </c>
      <c r="R192" s="116">
        <v>768.780225591717</v>
      </c>
      <c r="S192" s="116">
        <v>755.19596458630224</v>
      </c>
      <c r="T192" s="116">
        <v>742.31377048381046</v>
      </c>
      <c r="U192" s="116">
        <v>727.06483159017694</v>
      </c>
      <c r="V192" s="116">
        <v>722.25617724257017</v>
      </c>
      <c r="W192" s="116">
        <v>714.6855531161126</v>
      </c>
      <c r="X192" s="116">
        <v>712.54677822651638</v>
      </c>
      <c r="Y192" s="116">
        <v>697.36589740155023</v>
      </c>
      <c r="DA192" s="176" t="s">
        <v>930</v>
      </c>
    </row>
    <row r="193" spans="1:105" ht="11.45" customHeight="1" x14ac:dyDescent="0.25">
      <c r="A193" s="128" t="s">
        <v>27</v>
      </c>
      <c r="B193" s="101">
        <v>794.10769249951943</v>
      </c>
      <c r="C193" s="101">
        <v>792.10156097592119</v>
      </c>
      <c r="D193" s="101">
        <v>786.748862013809</v>
      </c>
      <c r="E193" s="101">
        <v>778.27863806310904</v>
      </c>
      <c r="F193" s="101">
        <v>775.88868235569578</v>
      </c>
      <c r="G193" s="101">
        <v>771.50463503824619</v>
      </c>
      <c r="H193" s="101">
        <v>766.03360824217145</v>
      </c>
      <c r="I193" s="101">
        <v>760.13076240013186</v>
      </c>
      <c r="J193" s="101">
        <v>756.0855638659084</v>
      </c>
      <c r="K193" s="101">
        <v>754.74818991422183</v>
      </c>
      <c r="L193" s="101">
        <v>752.11811042733382</v>
      </c>
      <c r="M193" s="101">
        <v>743.73870681198707</v>
      </c>
      <c r="N193" s="101">
        <v>734.84903605720797</v>
      </c>
      <c r="O193" s="101">
        <v>724.80291927543999</v>
      </c>
      <c r="P193" s="101">
        <v>718.35012274676819</v>
      </c>
      <c r="Q193" s="101">
        <v>714.45157992657471</v>
      </c>
      <c r="R193" s="101">
        <v>702.73947838388278</v>
      </c>
      <c r="S193" s="101">
        <v>688.88576110537974</v>
      </c>
      <c r="T193" s="101">
        <v>678.68105245998015</v>
      </c>
      <c r="U193" s="101">
        <v>663.67494891848207</v>
      </c>
      <c r="V193" s="101">
        <v>660.14932520848993</v>
      </c>
      <c r="W193" s="101">
        <v>655.16789068701758</v>
      </c>
      <c r="X193" s="101">
        <v>652.21434162798278</v>
      </c>
      <c r="Y193" s="101">
        <v>640.87272265345803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1055.4443730732119</v>
      </c>
      <c r="D194" s="88">
        <v>1046.2117342169047</v>
      </c>
      <c r="E194" s="88">
        <v>1038.5936508722284</v>
      </c>
      <c r="F194" s="88">
        <v>1019.4654448938712</v>
      </c>
      <c r="G194" s="88">
        <v>1010.7114789718994</v>
      </c>
      <c r="H194" s="88">
        <v>988.22827205871033</v>
      </c>
      <c r="I194" s="88">
        <v>976.24565101468579</v>
      </c>
      <c r="J194" s="88">
        <v>972.59117052024112</v>
      </c>
      <c r="K194" s="88">
        <v>962.36084457510856</v>
      </c>
      <c r="L194" s="88">
        <v>945.91898891889718</v>
      </c>
      <c r="M194" s="88">
        <v>929.17268396602481</v>
      </c>
      <c r="N194" s="88">
        <v>911.26330753998718</v>
      </c>
      <c r="O194" s="88">
        <v>896.37437650985214</v>
      </c>
      <c r="P194" s="88">
        <v>894.23122124558506</v>
      </c>
      <c r="Q194" s="88">
        <v>878.43487169359548</v>
      </c>
      <c r="R194" s="88">
        <v>868.13949495451743</v>
      </c>
      <c r="S194" s="88">
        <v>858.53150925364514</v>
      </c>
      <c r="T194" s="88">
        <v>853.21015038311316</v>
      </c>
      <c r="U194" s="88">
        <v>842.18936874546671</v>
      </c>
      <c r="V194" s="88">
        <v>817.62938743511199</v>
      </c>
      <c r="W194" s="88">
        <v>803.4400930911761</v>
      </c>
      <c r="X194" s="88">
        <v>784.55219465607524</v>
      </c>
      <c r="Y194" s="88">
        <v>770.58402303525668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1.127500000006898</v>
      </c>
      <c r="C198" s="150">
        <f>IF(TrRoad_act!C59=0,0,TrRoad_emi!C56/TrRoad_tech!C171)</f>
        <v>1.127642181076725</v>
      </c>
      <c r="D198" s="150">
        <f>IF(TrRoad_act!D59=0,0,TrRoad_emi!D56/TrRoad_tech!D171)</f>
        <v>1.1281324814135274</v>
      </c>
      <c r="E198" s="150">
        <f>IF(TrRoad_act!E59=0,0,TrRoad_emi!E56/TrRoad_tech!E171)</f>
        <v>1.0739269186132581</v>
      </c>
      <c r="F198" s="150">
        <f>IF(TrRoad_act!F59=0,0,TrRoad_emi!F56/TrRoad_tech!F171)</f>
        <v>1.075253834284434</v>
      </c>
      <c r="G198" s="150">
        <f>IF(TrRoad_act!G59=0,0,TrRoad_emi!G56/TrRoad_tech!G171)</f>
        <v>1.0754653042072759</v>
      </c>
      <c r="H198" s="150">
        <f>IF(TrRoad_act!H59=0,0,TrRoad_emi!H56/TrRoad_tech!H171)</f>
        <v>1.066636162591462</v>
      </c>
      <c r="I198" s="150">
        <f>IF(TrRoad_act!I59=0,0,TrRoad_emi!I56/TrRoad_tech!I171)</f>
        <v>1.0614297443509213</v>
      </c>
      <c r="J198" s="150">
        <f>IF(TrRoad_act!J59=0,0,TrRoad_emi!J56/TrRoad_tech!J171)</f>
        <v>1.061338813040668</v>
      </c>
      <c r="K198" s="150">
        <f>IF(TrRoad_act!K59=0,0,TrRoad_emi!K56/TrRoad_tech!K171)</f>
        <v>1.0666706443613505</v>
      </c>
      <c r="L198" s="150">
        <f>IF(TrRoad_act!L59=0,0,TrRoad_emi!L56/TrRoad_tech!L171)</f>
        <v>1.0723567614611613</v>
      </c>
      <c r="M198" s="150">
        <f>IF(TrRoad_act!M59=0,0,TrRoad_emi!M56/TrRoad_tech!M171)</f>
        <v>1.073674534534127</v>
      </c>
      <c r="N198" s="150">
        <f>IF(TrRoad_act!N59=0,0,TrRoad_emi!N56/TrRoad_tech!N171)</f>
        <v>1.0792340981659052</v>
      </c>
      <c r="O198" s="150">
        <f>IF(TrRoad_act!O59=0,0,TrRoad_emi!O56/TrRoad_tech!O171)</f>
        <v>1.0899295714457757</v>
      </c>
      <c r="P198" s="150">
        <f>IF(TrRoad_act!P59=0,0,TrRoad_emi!P56/TrRoad_tech!P171)</f>
        <v>1.0983968121630456</v>
      </c>
      <c r="Q198" s="150">
        <f>IF(TrRoad_act!Q59=0,0,TrRoad_emi!Q56/TrRoad_tech!Q171)</f>
        <v>1.1345216660961437</v>
      </c>
      <c r="R198" s="150">
        <f>IF(TrRoad_act!R59=0,0,TrRoad_emi!R56/TrRoad_tech!R171)</f>
        <v>1.170148105476738</v>
      </c>
      <c r="S198" s="150">
        <f>IF(TrRoad_act!S59=0,0,TrRoad_emi!S56/TrRoad_tech!S171)</f>
        <v>1.1724946044064539</v>
      </c>
      <c r="T198" s="150">
        <f>IF(TrRoad_act!T59=0,0,TrRoad_emi!T56/TrRoad_tech!T171)</f>
        <v>1.1936887605676414</v>
      </c>
      <c r="U198" s="150">
        <f>IF(TrRoad_act!U59=0,0,TrRoad_emi!U56/TrRoad_tech!U171)</f>
        <v>1.2208020943727032</v>
      </c>
      <c r="V198" s="150">
        <f>IF(TrRoad_act!V59=0,0,TrRoad_emi!V56/TrRoad_tech!V171)</f>
        <v>1.2251969203480801</v>
      </c>
      <c r="W198" s="150">
        <f>IF(TrRoad_act!W59=0,0,TrRoad_emi!W56/TrRoad_tech!W171)</f>
        <v>1.2517448185565307</v>
      </c>
      <c r="X198" s="150">
        <f>IF(TrRoad_act!X59=0,0,TrRoad_emi!X56/TrRoad_tech!X171)</f>
        <v>1.273159806130101</v>
      </c>
      <c r="Y198" s="150">
        <f>IF(TrRoad_act!Y59=0,0,TrRoad_emi!Y56/TrRoad_tech!Y171)</f>
        <v>1.3024407639809501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0.91367454253051494</v>
      </c>
      <c r="C199" s="151">
        <f>IF(TrRoad_act!C60=0,0,TrRoad_emi!C57/TrRoad_tech!C172)</f>
        <v>0.96261315544064097</v>
      </c>
      <c r="D199" s="151">
        <f>IF(TrRoad_act!D60=0,0,TrRoad_emi!D57/TrRoad_tech!D172)</f>
        <v>0.96845989847192349</v>
      </c>
      <c r="E199" s="151">
        <f>IF(TrRoad_act!E60=0,0,TrRoad_emi!E57/TrRoad_tech!E172)</f>
        <v>0.94502820450830316</v>
      </c>
      <c r="F199" s="151">
        <f>IF(TrRoad_act!F60=0,0,TrRoad_emi!F57/TrRoad_tech!F172)</f>
        <v>0.95241996715736643</v>
      </c>
      <c r="G199" s="151">
        <f>IF(TrRoad_act!G60=0,0,TrRoad_emi!G57/TrRoad_tech!G172)</f>
        <v>0.90602798986123789</v>
      </c>
      <c r="H199" s="151">
        <f>IF(TrRoad_act!H60=0,0,TrRoad_emi!H57/TrRoad_tech!H172)</f>
        <v>0.91654064129427604</v>
      </c>
      <c r="I199" s="151">
        <f>IF(TrRoad_act!I60=0,0,TrRoad_emi!I57/TrRoad_tech!I172)</f>
        <v>0.95018169275313835</v>
      </c>
      <c r="J199" s="151">
        <f>IF(TrRoad_act!J60=0,0,TrRoad_emi!J57/TrRoad_tech!J172)</f>
        <v>0.9206156089027584</v>
      </c>
      <c r="K199" s="151">
        <f>IF(TrRoad_act!K60=0,0,TrRoad_emi!K57/TrRoad_tech!K172)</f>
        <v>0.87136745852026387</v>
      </c>
      <c r="L199" s="151">
        <f>IF(TrRoad_act!L60=0,0,TrRoad_emi!L57/TrRoad_tech!L172)</f>
        <v>0.85712761461211218</v>
      </c>
      <c r="M199" s="151">
        <f>IF(TrRoad_act!M60=0,0,TrRoad_emi!M57/TrRoad_tech!M172)</f>
        <v>0.87323168870484491</v>
      </c>
      <c r="N199" s="151">
        <f>IF(TrRoad_act!N60=0,0,TrRoad_emi!N57/TrRoad_tech!N172)</f>
        <v>0.85415881573548058</v>
      </c>
      <c r="O199" s="151">
        <f>IF(TrRoad_act!O60=0,0,TrRoad_emi!O57/TrRoad_tech!O172)</f>
        <v>0.89594581393269612</v>
      </c>
      <c r="P199" s="151">
        <f>IF(TrRoad_act!P60=0,0,TrRoad_emi!P57/TrRoad_tech!P172)</f>
        <v>0.93713591013387243</v>
      </c>
      <c r="Q199" s="151">
        <f>IF(TrRoad_act!Q60=0,0,TrRoad_emi!Q57/TrRoad_tech!Q172)</f>
        <v>0.93946658507260017</v>
      </c>
      <c r="R199" s="151">
        <f>IF(TrRoad_act!R60=0,0,TrRoad_emi!R57/TrRoad_tech!R172)</f>
        <v>0.95496391853509355</v>
      </c>
      <c r="S199" s="151">
        <f>IF(TrRoad_act!S60=0,0,TrRoad_emi!S57/TrRoad_tech!S172)</f>
        <v>0.96097830749160518</v>
      </c>
      <c r="T199" s="151">
        <f>IF(TrRoad_act!T60=0,0,TrRoad_emi!T57/TrRoad_tech!T172)</f>
        <v>0.97915997375264785</v>
      </c>
      <c r="U199" s="151">
        <f>IF(TrRoad_act!U60=0,0,TrRoad_emi!U57/TrRoad_tech!U172)</f>
        <v>1.0038081837404771</v>
      </c>
      <c r="V199" s="151">
        <f>IF(TrRoad_act!V60=0,0,TrRoad_emi!V57/TrRoad_tech!V172)</f>
        <v>1.0170436875101883</v>
      </c>
      <c r="W199" s="151">
        <f>IF(TrRoad_act!W60=0,0,TrRoad_emi!W57/TrRoad_tech!W172)</f>
        <v>1.0246019285321419</v>
      </c>
      <c r="X199" s="151">
        <f>IF(TrRoad_act!X60=0,0,TrRoad_emi!X57/TrRoad_tech!X172)</f>
        <v>1.0109591205397033</v>
      </c>
      <c r="Y199" s="151">
        <f>IF(TrRoad_act!Y60=0,0,TrRoad_emi!Y57/TrRoad_tech!Y172)</f>
        <v>1.010442452683032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0.93950158337695144</v>
      </c>
      <c r="C200" s="91">
        <f>IF(TrRoad_act!C61=0,0,TrRoad_emi!C58/TrRoad_tech!C173)</f>
        <v>0.99449968938866506</v>
      </c>
      <c r="D200" s="91">
        <f>IF(TrRoad_act!D61=0,0,TrRoad_emi!D58/TrRoad_tech!D173)</f>
        <v>0.98656020596171368</v>
      </c>
      <c r="E200" s="91">
        <f>IF(TrRoad_act!E61=0,0,TrRoad_emi!E58/TrRoad_tech!E173)</f>
        <v>0.96311378931883429</v>
      </c>
      <c r="F200" s="91">
        <f>IF(TrRoad_act!F61=0,0,TrRoad_emi!F58/TrRoad_tech!F173)</f>
        <v>0.96577557033481221</v>
      </c>
      <c r="G200" s="91">
        <f>IF(TrRoad_act!G61=0,0,TrRoad_emi!G58/TrRoad_tech!G173)</f>
        <v>0.91152042606849715</v>
      </c>
      <c r="H200" s="91">
        <f>IF(TrRoad_act!H61=0,0,TrRoad_emi!H58/TrRoad_tech!H173)</f>
        <v>0.89773643370775968</v>
      </c>
      <c r="I200" s="91">
        <f>IF(TrRoad_act!I61=0,0,TrRoad_emi!I58/TrRoad_tech!I173)</f>
        <v>0.92880767113962581</v>
      </c>
      <c r="J200" s="91">
        <f>IF(TrRoad_act!J61=0,0,TrRoad_emi!J58/TrRoad_tech!J173)</f>
        <v>0.92628283172210069</v>
      </c>
      <c r="K200" s="91">
        <f>IF(TrRoad_act!K61=0,0,TrRoad_emi!K58/TrRoad_tech!K173)</f>
        <v>0.88978176155829625</v>
      </c>
      <c r="L200" s="91">
        <f>IF(TrRoad_act!L61=0,0,TrRoad_emi!L58/TrRoad_tech!L173)</f>
        <v>0.9104124468331799</v>
      </c>
      <c r="M200" s="91">
        <f>IF(TrRoad_act!M61=0,0,TrRoad_emi!M58/TrRoad_tech!M173)</f>
        <v>0.89782510338158705</v>
      </c>
      <c r="N200" s="91">
        <f>IF(TrRoad_act!N61=0,0,TrRoad_emi!N58/TrRoad_tech!N173)</f>
        <v>0.89120236265959829</v>
      </c>
      <c r="O200" s="91">
        <f>IF(TrRoad_act!O61=0,0,TrRoad_emi!O58/TrRoad_tech!O173)</f>
        <v>0.91334218663831901</v>
      </c>
      <c r="P200" s="91">
        <f>IF(TrRoad_act!P61=0,0,TrRoad_emi!P58/TrRoad_tech!P173)</f>
        <v>0.92771810737954141</v>
      </c>
      <c r="Q200" s="91">
        <f>IF(TrRoad_act!Q61=0,0,TrRoad_emi!Q58/TrRoad_tech!Q173)</f>
        <v>0.92319120286296419</v>
      </c>
      <c r="R200" s="91">
        <f>IF(TrRoad_act!R61=0,0,TrRoad_emi!R58/TrRoad_tech!R173)</f>
        <v>1.0067334311071197</v>
      </c>
      <c r="S200" s="91">
        <f>IF(TrRoad_act!S61=0,0,TrRoad_emi!S58/TrRoad_tech!S173)</f>
        <v>1.0028347748544992</v>
      </c>
      <c r="T200" s="91">
        <f>IF(TrRoad_act!T61=0,0,TrRoad_emi!T58/TrRoad_tech!T173)</f>
        <v>1.0135817830905314</v>
      </c>
      <c r="U200" s="91">
        <f>IF(TrRoad_act!U61=0,0,TrRoad_emi!U58/TrRoad_tech!U173)</f>
        <v>1.0281499356199948</v>
      </c>
      <c r="V200" s="91">
        <f>IF(TrRoad_act!V61=0,0,TrRoad_emi!V58/TrRoad_tech!V173)</f>
        <v>1.0248732257201334</v>
      </c>
      <c r="W200" s="91">
        <f>IF(TrRoad_act!W61=0,0,TrRoad_emi!W58/TrRoad_tech!W173)</f>
        <v>1.0213202914869501</v>
      </c>
      <c r="X200" s="91">
        <f>IF(TrRoad_act!X61=0,0,TrRoad_emi!X58/TrRoad_tech!X173)</f>
        <v>0.95361436174479719</v>
      </c>
      <c r="Y200" s="91">
        <f>IF(TrRoad_act!Y61=0,0,TrRoad_emi!Y58/TrRoad_tech!Y173)</f>
        <v>0.95954623584179755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0.87978760633917097</v>
      </c>
      <c r="C201" s="91">
        <f>IF(TrRoad_act!C62=0,0,TrRoad_emi!C59/TrRoad_tech!C174)</f>
        <v>0.91070860045897772</v>
      </c>
      <c r="D201" s="91">
        <f>IF(TrRoad_act!D62=0,0,TrRoad_emi!D59/TrRoad_tech!D174)</f>
        <v>0.90692399991616224</v>
      </c>
      <c r="E201" s="91">
        <f>IF(TrRoad_act!E62=0,0,TrRoad_emi!E59/TrRoad_tech!E174)</f>
        <v>0.875611714676651</v>
      </c>
      <c r="F201" s="91">
        <f>IF(TrRoad_act!F62=0,0,TrRoad_emi!F59/TrRoad_tech!F174)</f>
        <v>0.89686293042279075</v>
      </c>
      <c r="G201" s="91">
        <f>IF(TrRoad_act!G62=0,0,TrRoad_emi!G59/TrRoad_tech!G174)</f>
        <v>0.89075571515248508</v>
      </c>
      <c r="H201" s="91">
        <f>IF(TrRoad_act!H62=0,0,TrRoad_emi!H59/TrRoad_tech!H174)</f>
        <v>0.87600147834042941</v>
      </c>
      <c r="I201" s="91">
        <f>IF(TrRoad_act!I62=0,0,TrRoad_emi!I59/TrRoad_tech!I174)</f>
        <v>0.93294970557326862</v>
      </c>
      <c r="J201" s="91">
        <f>IF(TrRoad_act!J62=0,0,TrRoad_emi!J59/TrRoad_tech!J174)</f>
        <v>0.9398210511755164</v>
      </c>
      <c r="K201" s="91">
        <f>IF(TrRoad_act!K62=0,0,TrRoad_emi!K59/TrRoad_tech!K174)</f>
        <v>0.87063193122577387</v>
      </c>
      <c r="L201" s="91">
        <f>IF(TrRoad_act!L62=0,0,TrRoad_emi!L59/TrRoad_tech!L174)</f>
        <v>0.90442115490507224</v>
      </c>
      <c r="M201" s="91">
        <f>IF(TrRoad_act!M62=0,0,TrRoad_emi!M59/TrRoad_tech!M174)</f>
        <v>0.93092456688857872</v>
      </c>
      <c r="N201" s="91">
        <f>IF(TrRoad_act!N62=0,0,TrRoad_emi!N59/TrRoad_tech!N174)</f>
        <v>0.87587913399936512</v>
      </c>
      <c r="O201" s="91">
        <f>IF(TrRoad_act!O62=0,0,TrRoad_emi!O59/TrRoad_tech!O174)</f>
        <v>0.89839944075691469</v>
      </c>
      <c r="P201" s="91">
        <f>IF(TrRoad_act!P62=0,0,TrRoad_emi!P59/TrRoad_tech!P174)</f>
        <v>0.96051551557536519</v>
      </c>
      <c r="Q201" s="91">
        <f>IF(TrRoad_act!Q62=0,0,TrRoad_emi!Q59/TrRoad_tech!Q174)</f>
        <v>0.97781383500797714</v>
      </c>
      <c r="R201" s="91">
        <f>IF(TrRoad_act!R62=0,0,TrRoad_emi!R59/TrRoad_tech!R174)</f>
        <v>0.98031684309174905</v>
      </c>
      <c r="S201" s="91">
        <f>IF(TrRoad_act!S62=0,0,TrRoad_emi!S59/TrRoad_tech!S174)</f>
        <v>0.97719060891794773</v>
      </c>
      <c r="T201" s="91">
        <f>IF(TrRoad_act!T62=0,0,TrRoad_emi!T59/TrRoad_tech!T174)</f>
        <v>0.98047887090518615</v>
      </c>
      <c r="U201" s="91">
        <f>IF(TrRoad_act!U62=0,0,TrRoad_emi!U59/TrRoad_tech!U174)</f>
        <v>0.98991808725775376</v>
      </c>
      <c r="V201" s="91">
        <f>IF(TrRoad_act!V62=0,0,TrRoad_emi!V59/TrRoad_tech!V174)</f>
        <v>0.9807896996293769</v>
      </c>
      <c r="W201" s="91">
        <f>IF(TrRoad_act!W62=0,0,TrRoad_emi!W59/TrRoad_tech!W174)</f>
        <v>0.97377554012621825</v>
      </c>
      <c r="X201" s="91">
        <f>IF(TrRoad_act!X62=0,0,TrRoad_emi!X59/TrRoad_tech!X174)</f>
        <v>0.97342815047731501</v>
      </c>
      <c r="Y201" s="91">
        <f>IF(TrRoad_act!Y62=0,0,TrRoad_emi!Y59/TrRoad_tech!Y174)</f>
        <v>0.9690716151872617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0.95954427415200738</v>
      </c>
      <c r="C202" s="91">
        <f>IF(TrRoad_act!C63=0,0,TrRoad_emi!C60/TrRoad_tech!C175)</f>
        <v>1.1275725860483969</v>
      </c>
      <c r="D202" s="91">
        <f>IF(TrRoad_act!D63=0,0,TrRoad_emi!D60/TrRoad_tech!D175)</f>
        <v>1.1568461077409373</v>
      </c>
      <c r="E202" s="91">
        <f>IF(TrRoad_act!E63=0,0,TrRoad_emi!E60/TrRoad_tech!E175)</f>
        <v>1.2207593381666881</v>
      </c>
      <c r="F202" s="91">
        <f>IF(TrRoad_act!F63=0,0,TrRoad_emi!F60/TrRoad_tech!F175)</f>
        <v>1.1749162157732647</v>
      </c>
      <c r="G202" s="91">
        <f>IF(TrRoad_act!G63=0,0,TrRoad_emi!G60/TrRoad_tech!G175)</f>
        <v>1.375224073693025</v>
      </c>
      <c r="H202" s="91">
        <f>IF(TrRoad_act!H63=0,0,TrRoad_emi!H60/TrRoad_tech!H175)</f>
        <v>1.3128969037104186</v>
      </c>
      <c r="I202" s="91">
        <f>IF(TrRoad_act!I63=0,0,TrRoad_emi!I60/TrRoad_tech!I175)</f>
        <v>1.1107413255016796</v>
      </c>
      <c r="J202" s="91">
        <f>IF(TrRoad_act!J63=0,0,TrRoad_emi!J60/TrRoad_tech!J175)</f>
        <v>1.0561849145235731</v>
      </c>
      <c r="K202" s="91">
        <f>IF(TrRoad_act!K63=0,0,TrRoad_emi!K60/TrRoad_tech!K175)</f>
        <v>1.2039921029274607</v>
      </c>
      <c r="L202" s="91">
        <f>IF(TrRoad_act!L63=0,0,TrRoad_emi!L60/TrRoad_tech!L175)</f>
        <v>1.0684919713781127</v>
      </c>
      <c r="M202" s="91">
        <f>IF(TrRoad_act!M63=0,0,TrRoad_emi!M60/TrRoad_tech!M175)</f>
        <v>1.0868146950729312</v>
      </c>
      <c r="N202" s="91">
        <f>IF(TrRoad_act!N63=0,0,TrRoad_emi!N60/TrRoad_tech!N175)</f>
        <v>1.1559740278898591</v>
      </c>
      <c r="O202" s="91">
        <f>IF(TrRoad_act!O63=0,0,TrRoad_emi!O60/TrRoad_tech!O175)</f>
        <v>1.0777212559444989</v>
      </c>
      <c r="P202" s="91">
        <f>IF(TrRoad_act!P63=0,0,TrRoad_emi!P60/TrRoad_tech!P175)</f>
        <v>1.0780387049272027</v>
      </c>
      <c r="Q202" s="91">
        <f>IF(TrRoad_act!Q63=0,0,TrRoad_emi!Q60/TrRoad_tech!Q175)</f>
        <v>1.0623006952042735</v>
      </c>
      <c r="R202" s="91">
        <f>IF(TrRoad_act!R63=0,0,TrRoad_emi!R60/TrRoad_tech!R175)</f>
        <v>1.0031769710887901</v>
      </c>
      <c r="S202" s="91">
        <f>IF(TrRoad_act!S63=0,0,TrRoad_emi!S60/TrRoad_tech!S175)</f>
        <v>1.0249455429444381</v>
      </c>
      <c r="T202" s="91">
        <f>IF(TrRoad_act!T63=0,0,TrRoad_emi!T60/TrRoad_tech!T175)</f>
        <v>1.0391353407952597</v>
      </c>
      <c r="U202" s="91">
        <f>IF(TrRoad_act!U63=0,0,TrRoad_emi!U60/TrRoad_tech!U175)</f>
        <v>1.0502939307796479</v>
      </c>
      <c r="V202" s="91">
        <f>IF(TrRoad_act!V63=0,0,TrRoad_emi!V60/TrRoad_tech!V175)</f>
        <v>1.092343722777996</v>
      </c>
      <c r="W202" s="91">
        <f>IF(TrRoad_act!W63=0,0,TrRoad_emi!W60/TrRoad_tech!W175)</f>
        <v>1.1639882263135464</v>
      </c>
      <c r="X202" s="91">
        <f>IF(TrRoad_act!X63=0,0,TrRoad_emi!X60/TrRoad_tech!X175)</f>
        <v>1.1800610983310889</v>
      </c>
      <c r="Y202" s="91">
        <f>IF(TrRoad_act!Y63=0,0,TrRoad_emi!Y60/TrRoad_tech!Y175)</f>
        <v>1.1707302267156112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1.0655555555606799</v>
      </c>
      <c r="O203" s="91">
        <f>IF(TrRoad_act!O64=0,0,TrRoad_emi!O61/TrRoad_tech!O176)</f>
        <v>1.069767923919789</v>
      </c>
      <c r="P203" s="91">
        <f>IF(TrRoad_act!P64=0,0,TrRoad_emi!P61/TrRoad_tech!P176)</f>
        <v>1.0756889210655765</v>
      </c>
      <c r="Q203" s="91">
        <f>IF(TrRoad_act!Q64=0,0,TrRoad_emi!Q61/TrRoad_tech!Q176)</f>
        <v>1.0777577798539855</v>
      </c>
      <c r="R203" s="91">
        <f>IF(TrRoad_act!R64=0,0,TrRoad_emi!R61/TrRoad_tech!R176)</f>
        <v>1.0804623949306527</v>
      </c>
      <c r="S203" s="91">
        <f>IF(TrRoad_act!S64=0,0,TrRoad_emi!S61/TrRoad_tech!S176)</f>
        <v>1.084574037028621</v>
      </c>
      <c r="T203" s="91">
        <f>IF(TrRoad_act!T64=0,0,TrRoad_emi!T61/TrRoad_tech!T176)</f>
        <v>1.0874463061937922</v>
      </c>
      <c r="U203" s="91">
        <f>IF(TrRoad_act!U64=0,0,TrRoad_emi!U61/TrRoad_tech!U176)</f>
        <v>1.0877880855933681</v>
      </c>
      <c r="V203" s="91">
        <f>IF(TrRoad_act!V64=0,0,TrRoad_emi!V61/TrRoad_tech!V176)</f>
        <v>1.0925370778497177</v>
      </c>
      <c r="W203" s="91">
        <f>IF(TrRoad_act!W64=0,0,TrRoad_emi!W61/TrRoad_tech!W176)</f>
        <v>1.0946405486515824</v>
      </c>
      <c r="X203" s="91">
        <f>IF(TrRoad_act!X64=0,0,TrRoad_emi!X61/TrRoad_tech!X176)</f>
        <v>1.098484336146377</v>
      </c>
      <c r="Y203" s="91">
        <f>IF(TrRoad_act!Y64=0,0,TrRoad_emi!Y61/TrRoad_tech!Y176)</f>
        <v>1.0942878094245434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</v>
      </c>
      <c r="O204" s="91">
        <f>IF(TrRoad_act!O65=0,0,TrRoad_emi!O62/TrRoad_tech!O177)</f>
        <v>0.94715579523786042</v>
      </c>
      <c r="P204" s="91">
        <f>IF(TrRoad_act!P65=0,0,TrRoad_emi!P62/TrRoad_tech!P177)</f>
        <v>0.96213652442110442</v>
      </c>
      <c r="Q204" s="91">
        <f>IF(TrRoad_act!Q65=0,0,TrRoad_emi!Q62/TrRoad_tech!Q177)</f>
        <v>0.95617264337754548</v>
      </c>
      <c r="R204" s="91">
        <f>IF(TrRoad_act!R65=0,0,TrRoad_emi!R62/TrRoad_tech!R177)</f>
        <v>1.0428764700891349</v>
      </c>
      <c r="S204" s="91">
        <f>IF(TrRoad_act!S65=0,0,TrRoad_emi!S62/TrRoad_tech!S177)</f>
        <v>1.0374592373414935</v>
      </c>
      <c r="T204" s="91">
        <f>IF(TrRoad_act!T65=0,0,TrRoad_emi!T62/TrRoad_tech!T177)</f>
        <v>1.0462922863184638</v>
      </c>
      <c r="U204" s="91">
        <f>IF(TrRoad_act!U65=0,0,TrRoad_emi!U62/TrRoad_tech!U177)</f>
        <v>1.0546697229454245</v>
      </c>
      <c r="V204" s="91">
        <f>IF(TrRoad_act!V65=0,0,TrRoad_emi!V62/TrRoad_tech!V177)</f>
        <v>1.0472168240011435</v>
      </c>
      <c r="W204" s="91">
        <f>IF(TrRoad_act!W65=0,0,TrRoad_emi!W62/TrRoad_tech!W177)</f>
        <v>1.0401820800921238</v>
      </c>
      <c r="X204" s="91">
        <f>IF(TrRoad_act!X65=0,0,TrRoad_emi!X62/TrRoad_tech!X177)</f>
        <v>0.97052221811947448</v>
      </c>
      <c r="Y204" s="91">
        <f>IF(TrRoad_act!Y65=0,0,TrRoad_emi!Y62/TrRoad_tech!Y177)</f>
        <v>0.97561998218977153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1.1000000000067303</v>
      </c>
      <c r="C206" s="151">
        <f>IF(TrRoad_act!C67=0,0,TrRoad_emi!C64/TrRoad_tech!C179)</f>
        <v>1.0823022006162664</v>
      </c>
      <c r="D206" s="151">
        <f>IF(TrRoad_act!D67=0,0,TrRoad_emi!D64/TrRoad_tech!D179)</f>
        <v>1.0892775876385954</v>
      </c>
      <c r="E206" s="151">
        <f>IF(TrRoad_act!E67=0,0,TrRoad_emi!E64/TrRoad_tech!E179)</f>
        <v>1.1095854783884598</v>
      </c>
      <c r="F206" s="151">
        <f>IF(TrRoad_act!F67=0,0,TrRoad_emi!F64/TrRoad_tech!F179)</f>
        <v>1.123787961058627</v>
      </c>
      <c r="G206" s="151">
        <f>IF(TrRoad_act!G67=0,0,TrRoad_emi!G64/TrRoad_tech!G179)</f>
        <v>1.1303726146199016</v>
      </c>
      <c r="H206" s="151">
        <f>IF(TrRoad_act!H67=0,0,TrRoad_emi!H64/TrRoad_tech!H179)</f>
        <v>1.1149308400463316</v>
      </c>
      <c r="I206" s="151">
        <f>IF(TrRoad_act!I67=0,0,TrRoad_emi!I64/TrRoad_tech!I179)</f>
        <v>1.0821168397245016</v>
      </c>
      <c r="J206" s="151">
        <f>IF(TrRoad_act!J67=0,0,TrRoad_emi!J64/TrRoad_tech!J179)</f>
        <v>1.0708586917275671</v>
      </c>
      <c r="K206" s="151">
        <f>IF(TrRoad_act!K67=0,0,TrRoad_emi!K64/TrRoad_tech!K179)</f>
        <v>1.0985318036386138</v>
      </c>
      <c r="L206" s="151">
        <f>IF(TrRoad_act!L67=0,0,TrRoad_emi!L64/TrRoad_tech!L179)</f>
        <v>1.1031321383348733</v>
      </c>
      <c r="M206" s="151">
        <f>IF(TrRoad_act!M67=0,0,TrRoad_emi!M64/TrRoad_tech!M179)</f>
        <v>1.1132021496580433</v>
      </c>
      <c r="N206" s="151">
        <f>IF(TrRoad_act!N67=0,0,TrRoad_emi!N64/TrRoad_tech!N179)</f>
        <v>1.0814673998802</v>
      </c>
      <c r="O206" s="151">
        <f>IF(TrRoad_act!O67=0,0,TrRoad_emi!O64/TrRoad_tech!O179)</f>
        <v>1.8401233856043184</v>
      </c>
      <c r="P206" s="151">
        <f>IF(TrRoad_act!P67=0,0,TrRoad_emi!P64/TrRoad_tech!P179)</f>
        <v>1.0521421455706614</v>
      </c>
      <c r="Q206" s="151">
        <f>IF(TrRoad_act!Q67=0,0,TrRoad_emi!Q64/TrRoad_tech!Q179)</f>
        <v>1.0857535868524097</v>
      </c>
      <c r="R206" s="151">
        <f>IF(TrRoad_act!R67=0,0,TrRoad_emi!R64/TrRoad_tech!R179)</f>
        <v>0.96174705828304452</v>
      </c>
      <c r="S206" s="151">
        <f>IF(TrRoad_act!S67=0,0,TrRoad_emi!S64/TrRoad_tech!S179)</f>
        <v>0.98846888230208974</v>
      </c>
      <c r="T206" s="151">
        <f>IF(TrRoad_act!T67=0,0,TrRoad_emi!T64/TrRoad_tech!T179)</f>
        <v>0.99560961876866461</v>
      </c>
      <c r="U206" s="151">
        <f>IF(TrRoad_act!U67=0,0,TrRoad_emi!U64/TrRoad_tech!U179)</f>
        <v>1.1403824062684593</v>
      </c>
      <c r="V206" s="151">
        <f>IF(TrRoad_act!V67=0,0,TrRoad_emi!V64/TrRoad_tech!V179)</f>
        <v>1.136970298230366</v>
      </c>
      <c r="W206" s="151">
        <f>IF(TrRoad_act!W67=0,0,TrRoad_emi!W64/TrRoad_tech!W179)</f>
        <v>0.98061292751650875</v>
      </c>
      <c r="X206" s="151">
        <f>IF(TrRoad_act!X67=0,0,TrRoad_emi!X64/TrRoad_tech!X179)</f>
        <v>1.0427129498286907</v>
      </c>
      <c r="Y206" s="151">
        <f>IF(TrRoad_act!Y67=0,0,TrRoad_emi!Y64/TrRoad_tech!Y179)</f>
        <v>1.084359128221307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1.1093333333401461</v>
      </c>
      <c r="E207" s="93">
        <f>IF(TrRoad_act!E68=0,0,TrRoad_emi!E65/TrRoad_tech!E180)</f>
        <v>1.1116776536238036</v>
      </c>
      <c r="F207" s="93">
        <f>IF(TrRoad_act!F68=0,0,TrRoad_emi!F65/TrRoad_tech!F180)</f>
        <v>1.111871236504294</v>
      </c>
      <c r="G207" s="93">
        <f>IF(TrRoad_act!G68=0,0,TrRoad_emi!G65/TrRoad_tech!G180)</f>
        <v>1.1107494991931754</v>
      </c>
      <c r="H207" s="93">
        <f>IF(TrRoad_act!H68=0,0,TrRoad_emi!H65/TrRoad_tech!H180)</f>
        <v>1.0998968165299854</v>
      </c>
      <c r="I207" s="93">
        <f>IF(TrRoad_act!I68=0,0,TrRoad_emi!I65/TrRoad_tech!I180)</f>
        <v>1.0873258158578785</v>
      </c>
      <c r="J207" s="93">
        <f>IF(TrRoad_act!J68=0,0,TrRoad_emi!J65/TrRoad_tech!J180)</f>
        <v>1.0793863033417204</v>
      </c>
      <c r="K207" s="93">
        <f>IF(TrRoad_act!K68=0,0,TrRoad_emi!K65/TrRoad_tech!K180)</f>
        <v>1.0782724010381444</v>
      </c>
      <c r="L207" s="93">
        <f>IF(TrRoad_act!L68=0,0,TrRoad_emi!L65/TrRoad_tech!L180)</f>
        <v>1.080447448235583</v>
      </c>
      <c r="M207" s="93">
        <f>IF(TrRoad_act!M68=0,0,TrRoad_emi!M65/TrRoad_tech!M180)</f>
        <v>1.0807641627036388</v>
      </c>
      <c r="N207" s="93">
        <f>IF(TrRoad_act!N68=0,0,TrRoad_emi!N65/TrRoad_tech!N180)</f>
        <v>1.083166212663313</v>
      </c>
      <c r="O207" s="93">
        <f>IF(TrRoad_act!O68=0,0,TrRoad_emi!O65/TrRoad_tech!O180)</f>
        <v>1.2108106095043916</v>
      </c>
      <c r="P207" s="93">
        <f>IF(TrRoad_act!P68=0,0,TrRoad_emi!P65/TrRoad_tech!P180)</f>
        <v>1.221484672073798</v>
      </c>
      <c r="Q207" s="93">
        <f>IF(TrRoad_act!Q68=0,0,TrRoad_emi!Q65/TrRoad_tech!Q180)</f>
        <v>1.198014902135053</v>
      </c>
      <c r="R207" s="93">
        <f>IF(TrRoad_act!R68=0,0,TrRoad_emi!R65/TrRoad_tech!R180)</f>
        <v>1.2195284201555461</v>
      </c>
      <c r="S207" s="93">
        <f>IF(TrRoad_act!S68=0,0,TrRoad_emi!S65/TrRoad_tech!S180)</f>
        <v>1.2089794940488747</v>
      </c>
      <c r="T207" s="93">
        <f>IF(TrRoad_act!T68=0,0,TrRoad_emi!T65/TrRoad_tech!T180)</f>
        <v>1.2142040269582797</v>
      </c>
      <c r="U207" s="93">
        <f>IF(TrRoad_act!U68=0,0,TrRoad_emi!U65/TrRoad_tech!U180)</f>
        <v>1.2075090978881162</v>
      </c>
      <c r="V207" s="93">
        <f>IF(TrRoad_act!V68=0,0,TrRoad_emi!V65/TrRoad_tech!V180)</f>
        <v>1.1777765870939094</v>
      </c>
      <c r="W207" s="93">
        <f>IF(TrRoad_act!W68=0,0,TrRoad_emi!W65/TrRoad_tech!W180)</f>
        <v>1.1743153350863065</v>
      </c>
      <c r="X207" s="93">
        <f>IF(TrRoad_act!X68=0,0,TrRoad_emi!X65/TrRoad_tech!X180)</f>
        <v>1.1683625240724669</v>
      </c>
      <c r="Y207" s="93">
        <f>IF(TrRoad_act!Y68=0,0,TrRoad_emi!Y65/TrRoad_tech!Y180)</f>
        <v>1.1736919319882515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</v>
      </c>
      <c r="C208" s="93">
        <f>IF(TrRoad_act!C69=0,0,TrRoad_emi!C66/TrRoad_tech!C181)</f>
        <v>1.1011128588685846</v>
      </c>
      <c r="D208" s="93">
        <f>IF(TrRoad_act!D69=0,0,TrRoad_emi!D66/TrRoad_tech!D181)</f>
        <v>1.1039327832444528</v>
      </c>
      <c r="E208" s="93">
        <f>IF(TrRoad_act!E69=0,0,TrRoad_emi!E66/TrRoad_tech!E181)</f>
        <v>1.1090535408092754</v>
      </c>
      <c r="F208" s="93">
        <f>IF(TrRoad_act!F69=0,0,TrRoad_emi!F66/TrRoad_tech!F181)</f>
        <v>1.1160763024743068</v>
      </c>
      <c r="G208" s="93">
        <f>IF(TrRoad_act!G69=0,0,TrRoad_emi!G66/TrRoad_tech!G181)</f>
        <v>1.1236245707071497</v>
      </c>
      <c r="H208" s="93">
        <f>IF(TrRoad_act!H69=0,0,TrRoad_emi!H66/TrRoad_tech!H181)</f>
        <v>1.1163478259621222</v>
      </c>
      <c r="I208" s="93">
        <f>IF(TrRoad_act!I69=0,0,TrRoad_emi!I66/TrRoad_tech!I181)</f>
        <v>1.0982389376896124</v>
      </c>
      <c r="J208" s="93">
        <f>IF(TrRoad_act!J69=0,0,TrRoad_emi!J66/TrRoad_tech!J181)</f>
        <v>1.1040853722574906</v>
      </c>
      <c r="K208" s="93">
        <f>IF(TrRoad_act!K69=0,0,TrRoad_emi!K66/TrRoad_tech!K181)</f>
        <v>1.1098561100048308</v>
      </c>
      <c r="L208" s="93">
        <f>IF(TrRoad_act!L69=0,0,TrRoad_emi!L66/TrRoad_tech!L181)</f>
        <v>1.1301624702853821</v>
      </c>
      <c r="M208" s="93">
        <f>IF(TrRoad_act!M69=0,0,TrRoad_emi!M66/TrRoad_tech!M181)</f>
        <v>1.1430749978086203</v>
      </c>
      <c r="N208" s="93">
        <f>IF(TrRoad_act!N69=0,0,TrRoad_emi!N66/TrRoad_tech!N181)</f>
        <v>1.1332499692947866</v>
      </c>
      <c r="O208" s="93">
        <f>IF(TrRoad_act!O69=0,0,TrRoad_emi!O66/TrRoad_tech!O181)</f>
        <v>1.1419073715419519</v>
      </c>
      <c r="P208" s="93">
        <f>IF(TrRoad_act!P69=0,0,TrRoad_emi!P66/TrRoad_tech!P181)</f>
        <v>1.1523750133655992</v>
      </c>
      <c r="Q208" s="93">
        <f>IF(TrRoad_act!Q69=0,0,TrRoad_emi!Q66/TrRoad_tech!Q181)</f>
        <v>1.161809015172808</v>
      </c>
      <c r="R208" s="93">
        <f>IF(TrRoad_act!R69=0,0,TrRoad_emi!R66/TrRoad_tech!R181)</f>
        <v>1.1940701907737916</v>
      </c>
      <c r="S208" s="93">
        <f>IF(TrRoad_act!S69=0,0,TrRoad_emi!S66/TrRoad_tech!S181)</f>
        <v>1.2116675602641371</v>
      </c>
      <c r="T208" s="93">
        <f>IF(TrRoad_act!T69=0,0,TrRoad_emi!T66/TrRoad_tech!T181)</f>
        <v>1.2463897504268895</v>
      </c>
      <c r="U208" s="93">
        <f>IF(TrRoad_act!U69=0,0,TrRoad_emi!U66/TrRoad_tech!U181)</f>
        <v>1.2580377652817154</v>
      </c>
      <c r="V208" s="93">
        <f>IF(TrRoad_act!V69=0,0,TrRoad_emi!V66/TrRoad_tech!V181)</f>
        <v>1.2535776195116877</v>
      </c>
      <c r="W208" s="93">
        <f>IF(TrRoad_act!W69=0,0,TrRoad_emi!W66/TrRoad_tech!W181)</f>
        <v>1.2534386229884249</v>
      </c>
      <c r="X208" s="93">
        <f>IF(TrRoad_act!X69=0,0,TrRoad_emi!X66/TrRoad_tech!X181)</f>
        <v>1.2634243448519056</v>
      </c>
      <c r="Y208" s="93">
        <f>IF(TrRoad_act!Y69=0,0,TrRoad_emi!Y66/TrRoad_tech!Y181)</f>
        <v>1.2700245141006716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1.1093333333401463</v>
      </c>
      <c r="E209" s="93">
        <f>IF(TrRoad_act!E70=0,0,TrRoad_emi!E67/TrRoad_tech!E182)</f>
        <v>1.1093333333401461</v>
      </c>
      <c r="F209" s="93">
        <f>IF(TrRoad_act!F70=0,0,TrRoad_emi!F67/TrRoad_tech!F182)</f>
        <v>1.1093333333401461</v>
      </c>
      <c r="G209" s="93">
        <f>IF(TrRoad_act!G70=0,0,TrRoad_emi!G67/TrRoad_tech!G182)</f>
        <v>1.1093333333401461</v>
      </c>
      <c r="H209" s="93">
        <f>IF(TrRoad_act!H70=0,0,TrRoad_emi!H67/TrRoad_tech!H182)</f>
        <v>1.1093333333401461</v>
      </c>
      <c r="I209" s="93">
        <f>IF(TrRoad_act!I70=0,0,TrRoad_emi!I67/TrRoad_tech!I182)</f>
        <v>1.1093333333401458</v>
      </c>
      <c r="J209" s="93">
        <f>IF(TrRoad_act!J70=0,0,TrRoad_emi!J67/TrRoad_tech!J182)</f>
        <v>1.1093333333401463</v>
      </c>
      <c r="K209" s="93">
        <f>IF(TrRoad_act!K70=0,0,TrRoad_emi!K67/TrRoad_tech!K182)</f>
        <v>1.1093333333401461</v>
      </c>
      <c r="L209" s="93">
        <f>IF(TrRoad_act!L70=0,0,TrRoad_emi!L67/TrRoad_tech!L182)</f>
        <v>1.1093333333401461</v>
      </c>
      <c r="M209" s="93">
        <f>IF(TrRoad_act!M70=0,0,TrRoad_emi!M67/TrRoad_tech!M182)</f>
        <v>1.2049148676896255</v>
      </c>
      <c r="N209" s="93">
        <f>IF(TrRoad_act!N70=0,0,TrRoad_emi!N67/TrRoad_tech!N182)</f>
        <v>1.2049148676896255</v>
      </c>
      <c r="O209" s="93">
        <f>IF(TrRoad_act!O70=0,0,TrRoad_emi!O67/TrRoad_tech!O182)</f>
        <v>1.247018648360148</v>
      </c>
      <c r="P209" s="93">
        <f>IF(TrRoad_act!P70=0,0,TrRoad_emi!P67/TrRoad_tech!P182)</f>
        <v>1.2695035073489005</v>
      </c>
      <c r="Q209" s="93">
        <f>IF(TrRoad_act!Q70=0,0,TrRoad_emi!Q67/TrRoad_tech!Q182)</f>
        <v>1.2705653892952165</v>
      </c>
      <c r="R209" s="93">
        <f>IF(TrRoad_act!R70=0,0,TrRoad_emi!R67/TrRoad_tech!R182)</f>
        <v>1.2706201924245717</v>
      </c>
      <c r="S209" s="93">
        <f>IF(TrRoad_act!S70=0,0,TrRoad_emi!S67/TrRoad_tech!S182)</f>
        <v>1.2719995015875194</v>
      </c>
      <c r="T209" s="93">
        <f>IF(TrRoad_act!T70=0,0,TrRoad_emi!T67/TrRoad_tech!T182)</f>
        <v>1.2758552817560846</v>
      </c>
      <c r="U209" s="93">
        <f>IF(TrRoad_act!U70=0,0,TrRoad_emi!U67/TrRoad_tech!U182)</f>
        <v>1.2911290427064614</v>
      </c>
      <c r="V209" s="93">
        <f>IF(TrRoad_act!V70=0,0,TrRoad_emi!V67/TrRoad_tech!V182)</f>
        <v>1.2923303572998113</v>
      </c>
      <c r="W209" s="93">
        <f>IF(TrRoad_act!W70=0,0,TrRoad_emi!W67/TrRoad_tech!W182)</f>
        <v>1.2936397989180368</v>
      </c>
      <c r="X209" s="93">
        <f>IF(TrRoad_act!X70=0,0,TrRoad_emi!X67/TrRoad_tech!X182)</f>
        <v>1.2950865658789126</v>
      </c>
      <c r="Y209" s="93">
        <f>IF(TrRoad_act!Y70=0,0,TrRoad_emi!Y67/TrRoad_tech!Y182)</f>
        <v>1.2987179923524428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1.2205844844091507</v>
      </c>
      <c r="L210" s="93">
        <f>IF(TrRoad_act!L71=0,0,TrRoad_emi!L68/TrRoad_tech!L183)</f>
        <v>1.374501099464889</v>
      </c>
      <c r="M210" s="93">
        <f>IF(TrRoad_act!M71=0,0,TrRoad_emi!M68/TrRoad_tech!M183)</f>
        <v>1.3941213729827049</v>
      </c>
      <c r="N210" s="93">
        <f>IF(TrRoad_act!N71=0,0,TrRoad_emi!N68/TrRoad_tech!N183)</f>
        <v>1.2819921109848178</v>
      </c>
      <c r="O210" s="93">
        <f>IF(TrRoad_act!O71=0,0,TrRoad_emi!O68/TrRoad_tech!O183)</f>
        <v>1.1877009338442137</v>
      </c>
      <c r="P210" s="93">
        <f>IF(TrRoad_act!P71=0,0,TrRoad_emi!P68/TrRoad_tech!P183)</f>
        <v>1.1345310837863962</v>
      </c>
      <c r="Q210" s="93">
        <f>IF(TrRoad_act!Q71=0,0,TrRoad_emi!Q68/TrRoad_tech!Q183)</f>
        <v>1.0018821065025412</v>
      </c>
      <c r="R210" s="93">
        <f>IF(TrRoad_act!R71=0,0,TrRoad_emi!R68/TrRoad_tech!R183)</f>
        <v>0.94832928165664254</v>
      </c>
      <c r="S210" s="93">
        <f>IF(TrRoad_act!S71=0,0,TrRoad_emi!S68/TrRoad_tech!S183)</f>
        <v>0.94795273385564893</v>
      </c>
      <c r="T210" s="93">
        <f>IF(TrRoad_act!T71=0,0,TrRoad_emi!T68/TrRoad_tech!T183)</f>
        <v>0.95072900453489562</v>
      </c>
      <c r="U210" s="93">
        <f>IF(TrRoad_act!U71=0,0,TrRoad_emi!U68/TrRoad_tech!U183)</f>
        <v>0.96338197651310475</v>
      </c>
      <c r="V210" s="93">
        <f>IF(TrRoad_act!V71=0,0,TrRoad_emi!V68/TrRoad_tech!V183)</f>
        <v>0.98790068044395685</v>
      </c>
      <c r="W210" s="93">
        <f>IF(TrRoad_act!W71=0,0,TrRoad_emi!W68/TrRoad_tech!W183)</f>
        <v>1.0147914723984204</v>
      </c>
      <c r="X210" s="93">
        <f>IF(TrRoad_act!X71=0,0,TrRoad_emi!X68/TrRoad_tech!X183)</f>
        <v>0.85854552061418421</v>
      </c>
      <c r="Y210" s="93">
        <f>IF(TrRoad_act!Y71=0,0,TrRoad_emi!Y68/TrRoad_tech!Y183)</f>
        <v>0.87497783928511719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0.96747434853112513</v>
      </c>
      <c r="C213" s="150">
        <f>IF(TrRoad_act!C74=0,0,TrRoad_emi!C71/TrRoad_tech!C186)</f>
        <v>0.99193448667204209</v>
      </c>
      <c r="D213" s="150">
        <f>IF(TrRoad_act!D74=0,0,TrRoad_emi!D71/TrRoad_tech!D186)</f>
        <v>0.98546318184761461</v>
      </c>
      <c r="E213" s="150">
        <f>IF(TrRoad_act!E74=0,0,TrRoad_emi!E71/TrRoad_tech!E186)</f>
        <v>0.99498358976250789</v>
      </c>
      <c r="F213" s="150">
        <f>IF(TrRoad_act!F74=0,0,TrRoad_emi!F71/TrRoad_tech!F186)</f>
        <v>1.0400100425204957</v>
      </c>
      <c r="G213" s="150">
        <f>IF(TrRoad_act!G74=0,0,TrRoad_emi!G71/TrRoad_tech!G186)</f>
        <v>1.033459690592442</v>
      </c>
      <c r="H213" s="150">
        <f>IF(TrRoad_act!H74=0,0,TrRoad_emi!H71/TrRoad_tech!H186)</f>
        <v>1.0169266755087569</v>
      </c>
      <c r="I213" s="150">
        <f>IF(TrRoad_act!I74=0,0,TrRoad_emi!I71/TrRoad_tech!I186)</f>
        <v>1.0462314825745802</v>
      </c>
      <c r="J213" s="150">
        <f>IF(TrRoad_act!J74=0,0,TrRoad_emi!J71/TrRoad_tech!J186)</f>
        <v>1.0694282638779196</v>
      </c>
      <c r="K213" s="150">
        <f>IF(TrRoad_act!K74=0,0,TrRoad_emi!K71/TrRoad_tech!K186)</f>
        <v>1.0662245864220135</v>
      </c>
      <c r="L213" s="150">
        <f>IF(TrRoad_act!L74=0,0,TrRoad_emi!L71/TrRoad_tech!L186)</f>
        <v>1.3129331052598883</v>
      </c>
      <c r="M213" s="150">
        <f>IF(TrRoad_act!M74=0,0,TrRoad_emi!M71/TrRoad_tech!M186)</f>
        <v>1.102499707430423</v>
      </c>
      <c r="N213" s="150">
        <f>IF(TrRoad_act!N74=0,0,TrRoad_emi!N71/TrRoad_tech!N186)</f>
        <v>1.0506236465399459</v>
      </c>
      <c r="O213" s="150">
        <f>IF(TrRoad_act!O74=0,0,TrRoad_emi!O71/TrRoad_tech!O186)</f>
        <v>1.071086532228388</v>
      </c>
      <c r="P213" s="150">
        <f>IF(TrRoad_act!P74=0,0,TrRoad_emi!P71/TrRoad_tech!P186)</f>
        <v>1.0956910991188593</v>
      </c>
      <c r="Q213" s="150">
        <f>IF(TrRoad_act!Q74=0,0,TrRoad_emi!Q71/TrRoad_tech!Q186)</f>
        <v>1.2246486709653468</v>
      </c>
      <c r="R213" s="150">
        <f>IF(TrRoad_act!R74=0,0,TrRoad_emi!R71/TrRoad_tech!R186)</f>
        <v>1.2176139578503797</v>
      </c>
      <c r="S213" s="150">
        <f>IF(TrRoad_act!S74=0,0,TrRoad_emi!S71/TrRoad_tech!S186)</f>
        <v>1.3170133594810534</v>
      </c>
      <c r="T213" s="150">
        <f>IF(TrRoad_act!T74=0,0,TrRoad_emi!T71/TrRoad_tech!T186)</f>
        <v>1.2632975370724613</v>
      </c>
      <c r="U213" s="150">
        <f>IF(TrRoad_act!U74=0,0,TrRoad_emi!U71/TrRoad_tech!U186)</f>
        <v>1.2441991286886704</v>
      </c>
      <c r="V213" s="150">
        <f>IF(TrRoad_act!V74=0,0,TrRoad_emi!V71/TrRoad_tech!V186)</f>
        <v>1.1462515855458848</v>
      </c>
      <c r="W213" s="150">
        <f>IF(TrRoad_act!W74=0,0,TrRoad_emi!W71/TrRoad_tech!W186)</f>
        <v>1.1541810315223113</v>
      </c>
      <c r="X213" s="150">
        <f>IF(TrRoad_act!X74=0,0,TrRoad_emi!X71/TrRoad_tech!X186)</f>
        <v>1.1658491725305529</v>
      </c>
      <c r="Y213" s="150">
        <f>IF(TrRoad_act!Y74=0,0,TrRoad_emi!Y71/TrRoad_tech!Y186)</f>
        <v>1.1904232061545337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1.1000713505409547</v>
      </c>
      <c r="D214" s="91">
        <f>IF(TrRoad_act!D75=0,0,TrRoad_emi!D72/TrRoad_tech!D187)</f>
        <v>1.1002333132039797</v>
      </c>
      <c r="E214" s="91">
        <f>IF(TrRoad_act!E75=0,0,TrRoad_emi!E72/TrRoad_tech!E187)</f>
        <v>1.1004810934042943</v>
      </c>
      <c r="F214" s="91">
        <f>IF(TrRoad_act!F75=0,0,TrRoad_emi!F72/TrRoad_tech!F187)</f>
        <v>1.1008330194226921</v>
      </c>
      <c r="G214" s="91">
        <f>IF(TrRoad_act!G75=0,0,TrRoad_emi!G72/TrRoad_tech!G187)</f>
        <v>1.0993172298222644</v>
      </c>
      <c r="H214" s="91">
        <f>IF(TrRoad_act!H75=0,0,TrRoad_emi!H72/TrRoad_tech!H187)</f>
        <v>1.088499484105595</v>
      </c>
      <c r="I214" s="91">
        <f>IF(TrRoad_act!I75=0,0,TrRoad_emi!I72/TrRoad_tech!I187)</f>
        <v>1.078179616342299</v>
      </c>
      <c r="J214" s="91">
        <f>IF(TrRoad_act!J75=0,0,TrRoad_emi!J72/TrRoad_tech!J187)</f>
        <v>1.0689760776440211</v>
      </c>
      <c r="K214" s="91">
        <f>IF(TrRoad_act!K75=0,0,TrRoad_emi!K72/TrRoad_tech!K187)</f>
        <v>1.0732096060459149</v>
      </c>
      <c r="L214" s="91">
        <f>IF(TrRoad_act!L75=0,0,TrRoad_emi!L72/TrRoad_tech!L187)</f>
        <v>1.0787348034342477</v>
      </c>
      <c r="M214" s="91">
        <f>IF(TrRoad_act!M75=0,0,TrRoad_emi!M72/TrRoad_tech!M187)</f>
        <v>1.0807322794508145</v>
      </c>
      <c r="N214" s="91">
        <f>IF(TrRoad_act!N75=0,0,TrRoad_emi!N72/TrRoad_tech!N187)</f>
        <v>1.0905187721456273</v>
      </c>
      <c r="O214" s="91">
        <f>IF(TrRoad_act!O75=0,0,TrRoad_emi!O72/TrRoad_tech!O187)</f>
        <v>1.1062292238370239</v>
      </c>
      <c r="P214" s="91">
        <f>IF(TrRoad_act!P75=0,0,TrRoad_emi!P72/TrRoad_tech!P187)</f>
        <v>1.1220382629607857</v>
      </c>
      <c r="Q214" s="91">
        <f>IF(TrRoad_act!Q75=0,0,TrRoad_emi!Q72/TrRoad_tech!Q187)</f>
        <v>1.1133204071979537</v>
      </c>
      <c r="R214" s="91">
        <f>IF(TrRoad_act!R75=0,0,TrRoad_emi!R72/TrRoad_tech!R187)</f>
        <v>1.1411031108817795</v>
      </c>
      <c r="S214" s="91">
        <f>IF(TrRoad_act!S75=0,0,TrRoad_emi!S72/TrRoad_tech!S187)</f>
        <v>1.1433831906614456</v>
      </c>
      <c r="T214" s="91">
        <f>IF(TrRoad_act!T75=0,0,TrRoad_emi!T72/TrRoad_tech!T187)</f>
        <v>1.1703647462636118</v>
      </c>
      <c r="U214" s="91">
        <f>IF(TrRoad_act!U75=0,0,TrRoad_emi!U72/TrRoad_tech!U187)</f>
        <v>1.2325773020538033</v>
      </c>
      <c r="V214" s="91">
        <f>IF(TrRoad_act!V75=0,0,TrRoad_emi!V72/TrRoad_tech!V187)</f>
        <v>1.2194337885365343</v>
      </c>
      <c r="W214" s="91">
        <f>IF(TrRoad_act!W75=0,0,TrRoad_emi!W72/TrRoad_tech!W187)</f>
        <v>1.2338338485591578</v>
      </c>
      <c r="X214" s="91">
        <f>IF(TrRoad_act!X75=0,0,TrRoad_emi!X72/TrRoad_tech!X187)</f>
        <v>1.2542866242981761</v>
      </c>
      <c r="Y214" s="91">
        <f>IF(TrRoad_act!Y75=0,0,TrRoad_emi!Y72/TrRoad_tech!Y187)</f>
        <v>1.26399112145466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0.96947565248845358</v>
      </c>
      <c r="C215" s="91">
        <f>IF(TrRoad_act!C76=0,0,TrRoad_emi!C73/TrRoad_tech!C188)</f>
        <v>1.0179546077335353</v>
      </c>
      <c r="D215" s="91">
        <f>IF(TrRoad_act!D76=0,0,TrRoad_emi!D73/TrRoad_tech!D188)</f>
        <v>1.0184009894975856</v>
      </c>
      <c r="E215" s="91">
        <f>IF(TrRoad_act!E76=0,0,TrRoad_emi!E73/TrRoad_tech!E188)</f>
        <v>1.0284528782971349</v>
      </c>
      <c r="F215" s="91">
        <f>IF(TrRoad_act!F76=0,0,TrRoad_emi!F73/TrRoad_tech!F188)</f>
        <v>1.0710905299188609</v>
      </c>
      <c r="G215" s="91">
        <f>IF(TrRoad_act!G76=0,0,TrRoad_emi!G73/TrRoad_tech!G188)</f>
        <v>1.0582449293824281</v>
      </c>
      <c r="H215" s="91">
        <f>IF(TrRoad_act!H76=0,0,TrRoad_emi!H73/TrRoad_tech!H188)</f>
        <v>1.0275369763280839</v>
      </c>
      <c r="I215" s="91">
        <f>IF(TrRoad_act!I76=0,0,TrRoad_emi!I73/TrRoad_tech!I188)</f>
        <v>1.0458331512065633</v>
      </c>
      <c r="J215" s="91">
        <f>IF(TrRoad_act!J76=0,0,TrRoad_emi!J73/TrRoad_tech!J188)</f>
        <v>1.0321014985439745</v>
      </c>
      <c r="K215" s="91">
        <f>IF(TrRoad_act!K76=0,0,TrRoad_emi!K73/TrRoad_tech!K188)</f>
        <v>0.97901673443789161</v>
      </c>
      <c r="L215" s="91">
        <f>IF(TrRoad_act!L76=0,0,TrRoad_emi!L73/TrRoad_tech!L188)</f>
        <v>1.0292610666972661</v>
      </c>
      <c r="M215" s="91">
        <f>IF(TrRoad_act!M76=0,0,TrRoad_emi!M73/TrRoad_tech!M188)</f>
        <v>1.0257662053091305</v>
      </c>
      <c r="N215" s="91">
        <f>IF(TrRoad_act!N76=0,0,TrRoad_emi!N73/TrRoad_tech!N188)</f>
        <v>1.0051369296741586</v>
      </c>
      <c r="O215" s="91">
        <f>IF(TrRoad_act!O76=0,0,TrRoad_emi!O73/TrRoad_tech!O188)</f>
        <v>1.0199084051471685</v>
      </c>
      <c r="P215" s="91">
        <f>IF(TrRoad_act!P76=0,0,TrRoad_emi!P73/TrRoad_tech!P188)</f>
        <v>1.0658127170756118</v>
      </c>
      <c r="Q215" s="91">
        <f>IF(TrRoad_act!Q76=0,0,TrRoad_emi!Q73/TrRoad_tech!Q188)</f>
        <v>1.0922230500890762</v>
      </c>
      <c r="R215" s="91">
        <f>IF(TrRoad_act!R76=0,0,TrRoad_emi!R73/TrRoad_tech!R188)</f>
        <v>1.1220595646888598</v>
      </c>
      <c r="S215" s="91">
        <f>IF(TrRoad_act!S76=0,0,TrRoad_emi!S73/TrRoad_tech!S188)</f>
        <v>1.1621513567280906</v>
      </c>
      <c r="T215" s="91">
        <f>IF(TrRoad_act!T76=0,0,TrRoad_emi!T73/TrRoad_tech!T188)</f>
        <v>1.1887116453462137</v>
      </c>
      <c r="U215" s="91">
        <f>IF(TrRoad_act!U76=0,0,TrRoad_emi!U73/TrRoad_tech!U188)</f>
        <v>1.2105326233885343</v>
      </c>
      <c r="V215" s="91">
        <f>IF(TrRoad_act!V76=0,0,TrRoad_emi!V73/TrRoad_tech!V188)</f>
        <v>1.2087869800648559</v>
      </c>
      <c r="W215" s="91">
        <f>IF(TrRoad_act!W76=0,0,TrRoad_emi!W73/TrRoad_tech!W188)</f>
        <v>1.2037001030124228</v>
      </c>
      <c r="X215" s="91">
        <f>IF(TrRoad_act!X76=0,0,TrRoad_emi!X73/TrRoad_tech!X188)</f>
        <v>1.2365351500617687</v>
      </c>
      <c r="Y215" s="91">
        <f>IF(TrRoad_act!Y76=0,0,TrRoad_emi!Y73/TrRoad_tech!Y188)</f>
        <v>1.2310600129566436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0</v>
      </c>
      <c r="T216" s="91">
        <f>IF(TrRoad_act!T77=0,0,TrRoad_emi!T74/TrRoad_tech!T189)</f>
        <v>0</v>
      </c>
      <c r="U216" s="91">
        <f>IF(TrRoad_act!U77=0,0,TrRoad_emi!U74/TrRoad_tech!U189)</f>
        <v>0</v>
      </c>
      <c r="V216" s="91">
        <f>IF(TrRoad_act!V77=0,0,TrRoad_emi!V74/TrRoad_tech!V189)</f>
        <v>0</v>
      </c>
      <c r="W216" s="91">
        <f>IF(TrRoad_act!W77=0,0,TrRoad_emi!W74/TrRoad_tech!W189)</f>
        <v>0</v>
      </c>
      <c r="X216" s="91">
        <f>IF(TrRoad_act!X77=0,0,TrRoad_emi!X74/TrRoad_tech!X189)</f>
        <v>0</v>
      </c>
      <c r="Y216" s="91">
        <f>IF(TrRoad_act!Y77=0,0,TrRoad_emi!Y74/TrRoad_tech!Y189)</f>
        <v>0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X217" s="91">
        <f>IF(TrRoad_act!X78=0,0,TrRoad_emi!X75/TrRoad_tech!X190)</f>
        <v>0</v>
      </c>
      <c r="Y217" s="91">
        <f>IF(TrRoad_act!Y78=0,0,TrRoad_emi!Y75/TrRoad_tech!Y190)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1.4577383586668953</v>
      </c>
      <c r="C219" s="151">
        <f>IF(TrRoad_act!C80=0,0,TrRoad_emi!C77/TrRoad_tech!C192)</f>
        <v>1.9639997844242643</v>
      </c>
      <c r="D219" s="151">
        <f>IF(TrRoad_act!D80=0,0,TrRoad_emi!D77/TrRoad_tech!D192)</f>
        <v>1.9729370472952921</v>
      </c>
      <c r="E219" s="151">
        <f>IF(TrRoad_act!E80=0,0,TrRoad_emi!E77/TrRoad_tech!E192)</f>
        <v>1.3334225478822985</v>
      </c>
      <c r="F219" s="151">
        <f>IF(TrRoad_act!F80=0,0,TrRoad_emi!F77/TrRoad_tech!F192)</f>
        <v>1.5648959530580164</v>
      </c>
      <c r="G219" s="151">
        <f>IF(TrRoad_act!G80=0,0,TrRoad_emi!G77/TrRoad_tech!G192)</f>
        <v>1.5363912149802246</v>
      </c>
      <c r="H219" s="151">
        <f>IF(TrRoad_act!H80=0,0,TrRoad_emi!H77/TrRoad_tech!H192)</f>
        <v>1.2898998420239334</v>
      </c>
      <c r="I219" s="151">
        <f>IF(TrRoad_act!I80=0,0,TrRoad_emi!I77/TrRoad_tech!I192)</f>
        <v>1.8999611224430253</v>
      </c>
      <c r="J219" s="151">
        <f>IF(TrRoad_act!J80=0,0,TrRoad_emi!J77/TrRoad_tech!J192)</f>
        <v>2.2389046584158416</v>
      </c>
      <c r="K219" s="151">
        <f>IF(TrRoad_act!K80=0,0,TrRoad_emi!K77/TrRoad_tech!K192)</f>
        <v>1.2452443684177585</v>
      </c>
      <c r="L219" s="151">
        <f>IF(TrRoad_act!L80=0,0,TrRoad_emi!L77/TrRoad_tech!L192)</f>
        <v>1.7016519511777644</v>
      </c>
      <c r="M219" s="151">
        <f>IF(TrRoad_act!M80=0,0,TrRoad_emi!M77/TrRoad_tech!M192)</f>
        <v>1.9877604835750478</v>
      </c>
      <c r="N219" s="151">
        <f>IF(TrRoad_act!N80=0,0,TrRoad_emi!N77/TrRoad_tech!N192)</f>
        <v>1.2125973247352815</v>
      </c>
      <c r="O219" s="151">
        <f>IF(TrRoad_act!O80=0,0,TrRoad_emi!O77/TrRoad_tech!O192)</f>
        <v>1.2653612647934314</v>
      </c>
      <c r="P219" s="151">
        <f>IF(TrRoad_act!P80=0,0,TrRoad_emi!P77/TrRoad_tech!P192)</f>
        <v>2.1520744099534053</v>
      </c>
      <c r="Q219" s="151">
        <f>IF(TrRoad_act!Q80=0,0,TrRoad_emi!Q77/TrRoad_tech!Q192)</f>
        <v>2.2797975645878714</v>
      </c>
      <c r="R219" s="151">
        <f>IF(TrRoad_act!R80=0,0,TrRoad_emi!R77/TrRoad_tech!R192)</f>
        <v>2.147331186128759</v>
      </c>
      <c r="S219" s="151">
        <f>IF(TrRoad_act!S80=0,0,TrRoad_emi!S77/TrRoad_tech!S192)</f>
        <v>2.2296342613793825</v>
      </c>
      <c r="T219" s="151">
        <f>IF(TrRoad_act!T80=0,0,TrRoad_emi!T77/TrRoad_tech!T192)</f>
        <v>2.4257469087968966</v>
      </c>
      <c r="U219" s="151">
        <f>IF(TrRoad_act!U80=0,0,TrRoad_emi!U77/TrRoad_tech!U192)</f>
        <v>2.5714568573778673</v>
      </c>
      <c r="V219" s="151">
        <f>IF(TrRoad_act!V80=0,0,TrRoad_emi!V77/TrRoad_tech!V192)</f>
        <v>2.5767324802495959</v>
      </c>
      <c r="W219" s="151">
        <f>IF(TrRoad_act!W80=0,0,TrRoad_emi!W77/TrRoad_tech!W192)</f>
        <v>2.7201357842492495</v>
      </c>
      <c r="X219" s="151">
        <f>IF(TrRoad_act!X80=0,0,TrRoad_emi!X77/TrRoad_tech!X192)</f>
        <v>2.7661550076030594</v>
      </c>
      <c r="Y219" s="151">
        <f>IF(TrRoad_act!Y80=0,0,TrRoad_emi!Y77/TrRoad_tech!Y192)</f>
        <v>2.5343344127787697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1.2894711630498037</v>
      </c>
      <c r="C220" s="93">
        <f>IF(TrRoad_act!C81=0,0,TrRoad_emi!C78/TrRoad_tech!C193)</f>
        <v>1.4909429656155095</v>
      </c>
      <c r="D220" s="93">
        <f>IF(TrRoad_act!D81=0,0,TrRoad_emi!D78/TrRoad_tech!D193)</f>
        <v>1.4938469097404055</v>
      </c>
      <c r="E220" s="93">
        <f>IF(TrRoad_act!E81=0,0,TrRoad_emi!E78/TrRoad_tech!E193)</f>
        <v>1.2458521189625673</v>
      </c>
      <c r="F220" s="93">
        <f>IF(TrRoad_act!F81=0,0,TrRoad_emi!F78/TrRoad_tech!F193)</f>
        <v>1.335711025064072</v>
      </c>
      <c r="G220" s="93">
        <f>IF(TrRoad_act!G81=0,0,TrRoad_emi!G78/TrRoad_tech!G193)</f>
        <v>1.3209298112471888</v>
      </c>
      <c r="H220" s="93">
        <f>IF(TrRoad_act!H81=0,0,TrRoad_emi!H78/TrRoad_tech!H193)</f>
        <v>1.2119473393636544</v>
      </c>
      <c r="I220" s="93">
        <f>IF(TrRoad_act!I81=0,0,TrRoad_emi!I78/TrRoad_tech!I193)</f>
        <v>1.4418516192794715</v>
      </c>
      <c r="J220" s="93">
        <f>IF(TrRoad_act!J81=0,0,TrRoad_emi!J78/TrRoad_tech!J193)</f>
        <v>1.5739288779288911</v>
      </c>
      <c r="K220" s="93">
        <f>IF(TrRoad_act!K81=0,0,TrRoad_emi!K78/TrRoad_tech!K193)</f>
        <v>1.184490620391965</v>
      </c>
      <c r="L220" s="93">
        <f>IF(TrRoad_act!L81=0,0,TrRoad_emi!L78/TrRoad_tech!L193)</f>
        <v>1.3674194112796569</v>
      </c>
      <c r="M220" s="93">
        <f>IF(TrRoad_act!M81=0,0,TrRoad_emi!M78/TrRoad_tech!M193)</f>
        <v>1.4867934206441975</v>
      </c>
      <c r="N220" s="93">
        <f>IF(TrRoad_act!N81=0,0,TrRoad_emi!N78/TrRoad_tech!N193)</f>
        <v>1.1814689498137638</v>
      </c>
      <c r="O220" s="93">
        <f>IF(TrRoad_act!O81=0,0,TrRoad_emi!O78/TrRoad_tech!O193)</f>
        <v>1.2136710935183881</v>
      </c>
      <c r="P220" s="93">
        <f>IF(TrRoad_act!P81=0,0,TrRoad_emi!P78/TrRoad_tech!P193)</f>
        <v>1.5790239147912215</v>
      </c>
      <c r="Q220" s="93">
        <f>IF(TrRoad_act!Q81=0,0,TrRoad_emi!Q78/TrRoad_tech!Q193)</f>
        <v>1.6304471546171413</v>
      </c>
      <c r="R220" s="93">
        <f>IF(TrRoad_act!R81=0,0,TrRoad_emi!R78/TrRoad_tech!R193)</f>
        <v>1.6006533720552691</v>
      </c>
      <c r="S220" s="93">
        <f>IF(TrRoad_act!S81=0,0,TrRoad_emi!S78/TrRoad_tech!S193)</f>
        <v>1.651529312637934</v>
      </c>
      <c r="T220" s="93">
        <f>IF(TrRoad_act!T81=0,0,TrRoad_emi!T78/TrRoad_tech!T193)</f>
        <v>1.7469398060539452</v>
      </c>
      <c r="U220" s="93">
        <f>IF(TrRoad_act!U81=0,0,TrRoad_emi!U78/TrRoad_tech!U193)</f>
        <v>1.8368156203810826</v>
      </c>
      <c r="V220" s="93">
        <f>IF(TrRoad_act!V81=0,0,TrRoad_emi!V78/TrRoad_tech!V193)</f>
        <v>1.8327826952617179</v>
      </c>
      <c r="W220" s="93">
        <f>IF(TrRoad_act!W81=0,0,TrRoad_emi!W78/TrRoad_tech!W193)</f>
        <v>1.8832472582456572</v>
      </c>
      <c r="X220" s="93">
        <f>IF(TrRoad_act!X81=0,0,TrRoad_emi!X78/TrRoad_tech!X193)</f>
        <v>1.893957181904065</v>
      </c>
      <c r="Y220" s="93">
        <f>IF(TrRoad_act!Y81=0,0,TrRoad_emi!Y78/TrRoad_tech!Y193)</f>
        <v>1.8260082931863439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1.8389471638307984</v>
      </c>
      <c r="C221" s="94">
        <f>IF(TrRoad_act!C82=0,0,TrRoad_emi!C79/TrRoad_tech!C194)</f>
        <v>2.9431552670840166</v>
      </c>
      <c r="D221" s="94">
        <f>IF(TrRoad_act!D82=0,0,TrRoad_emi!D79/TrRoad_tech!D194)</f>
        <v>2.9062718133431322</v>
      </c>
      <c r="E221" s="94">
        <f>IF(TrRoad_act!E82=0,0,TrRoad_emi!E79/TrRoad_tech!E194)</f>
        <v>1.5821271676636932</v>
      </c>
      <c r="F221" s="94">
        <f>IF(TrRoad_act!F82=0,0,TrRoad_emi!F79/TrRoad_tech!F194)</f>
        <v>2.0584034096917527</v>
      </c>
      <c r="G221" s="94">
        <f>IF(TrRoad_act!G82=0,0,TrRoad_emi!G79/TrRoad_tech!G194)</f>
        <v>1.9233700149561257</v>
      </c>
      <c r="H221" s="94">
        <f>IF(TrRoad_act!H82=0,0,TrRoad_emi!H79/TrRoad_tech!H194)</f>
        <v>1.3856165288576738</v>
      </c>
      <c r="I221" s="94">
        <f>IF(TrRoad_act!I82=0,0,TrRoad_emi!I79/TrRoad_tech!I194)</f>
        <v>2.5850883828134599</v>
      </c>
      <c r="J221" s="94">
        <f>IF(TrRoad_act!J82=0,0,TrRoad_emi!J79/TrRoad_tech!J194)</f>
        <v>3.1712415246661143</v>
      </c>
      <c r="K221" s="94">
        <f>IF(TrRoad_act!K82=0,0,TrRoad_emi!K79/TrRoad_tech!K194)</f>
        <v>1.3559651585255852</v>
      </c>
      <c r="L221" s="94">
        <f>IF(TrRoad_act!L82=0,0,TrRoad_emi!L79/TrRoad_tech!L194)</f>
        <v>2.1271512212969084</v>
      </c>
      <c r="M221" s="94">
        <f>IF(TrRoad_act!M82=0,0,TrRoad_emi!M79/TrRoad_tech!M194)</f>
        <v>2.5697949750730684</v>
      </c>
      <c r="N221" s="94">
        <f>IF(TrRoad_act!N82=0,0,TrRoad_emi!N79/TrRoad_tech!N194)</f>
        <v>1.2318235172573195</v>
      </c>
      <c r="O221" s="94">
        <f>IF(TrRoad_act!O82=0,0,TrRoad_emi!O79/TrRoad_tech!O194)</f>
        <v>1.299825524644832</v>
      </c>
      <c r="P221" s="94">
        <f>IF(TrRoad_act!P82=0,0,TrRoad_emi!P79/TrRoad_tech!P194)</f>
        <v>2.8305647807898975</v>
      </c>
      <c r="Q221" s="94">
        <f>IF(TrRoad_act!Q82=0,0,TrRoad_emi!Q79/TrRoad_tech!Q194)</f>
        <v>2.9447637695367668</v>
      </c>
      <c r="R221" s="94">
        <f>IF(TrRoad_act!R82=0,0,TrRoad_emi!R79/TrRoad_tech!R194)</f>
        <v>2.6811781138142288</v>
      </c>
      <c r="S221" s="94">
        <f>IF(TrRoad_act!S82=0,0,TrRoad_emi!S79/TrRoad_tech!S194)</f>
        <v>2.7979629624718485</v>
      </c>
      <c r="T221" s="94">
        <f>IF(TrRoad_act!T82=0,0,TrRoad_emi!T79/TrRoad_tech!T194)</f>
        <v>3.164096367705818</v>
      </c>
      <c r="U221" s="94">
        <f>IF(TrRoad_act!U82=0,0,TrRoad_emi!U79/TrRoad_tech!U194)</f>
        <v>3.4028176001769839</v>
      </c>
      <c r="V221" s="94">
        <f>IF(TrRoad_act!V82=0,0,TrRoad_emi!V79/TrRoad_tech!V194)</f>
        <v>3.4009071548693832</v>
      </c>
      <c r="W221" s="94">
        <f>IF(TrRoad_act!W82=0,0,TrRoad_emi!W79/TrRoad_tech!W194)</f>
        <v>3.5787982208245164</v>
      </c>
      <c r="X221" s="94">
        <f>IF(TrRoad_act!X82=0,0,TrRoad_emi!X79/TrRoad_tech!X194)</f>
        <v>3.3992657883130364</v>
      </c>
      <c r="Y221" s="94">
        <f>IF(TrRoad_act!Y82=0,0,TrRoad_emi!Y79/TrRoad_tech!Y194)</f>
        <v>3.1032722229156913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114.72464591189377</v>
      </c>
      <c r="C225" s="152">
        <v>114.19341911830942</v>
      </c>
      <c r="D225" s="152">
        <v>113.60605160349537</v>
      </c>
      <c r="E225" s="152">
        <v>112.39763724388933</v>
      </c>
      <c r="F225" s="152">
        <v>112.26561427037609</v>
      </c>
      <c r="G225" s="152">
        <v>110.98310538481876</v>
      </c>
      <c r="H225" s="152">
        <v>109.08897986686324</v>
      </c>
      <c r="I225" s="152">
        <v>107.73911232135015</v>
      </c>
      <c r="J225" s="152">
        <v>103.33655030664282</v>
      </c>
      <c r="K225" s="152">
        <v>98.587764779762949</v>
      </c>
      <c r="L225" s="152">
        <v>95.62263656851114</v>
      </c>
      <c r="M225" s="152">
        <v>87.167059271827142</v>
      </c>
      <c r="N225" s="152">
        <v>85.153826323653448</v>
      </c>
      <c r="O225" s="152">
        <v>82.906137060820569</v>
      </c>
      <c r="P225" s="152">
        <v>79.800549808738566</v>
      </c>
      <c r="Q225" s="152">
        <v>77.555597555129253</v>
      </c>
      <c r="R225" s="152">
        <v>75.301087734331105</v>
      </c>
      <c r="S225" s="152">
        <v>73.497479877692555</v>
      </c>
      <c r="T225" s="152">
        <v>72.054593592381735</v>
      </c>
      <c r="U225" s="152">
        <v>70.900284564133088</v>
      </c>
      <c r="V225" s="152">
        <v>69.976837341534164</v>
      </c>
      <c r="W225" s="152">
        <v>69.238079563455031</v>
      </c>
      <c r="X225" s="152">
        <v>68.64707334099171</v>
      </c>
      <c r="Y225" s="152">
        <v>68.174268363021056</v>
      </c>
      <c r="DA225" s="174" t="s">
        <v>933</v>
      </c>
    </row>
    <row r="226" spans="1:105" ht="11.45" customHeight="1" x14ac:dyDescent="0.25">
      <c r="A226" s="109" t="s">
        <v>20</v>
      </c>
      <c r="B226" s="116">
        <v>213.66699970287922</v>
      </c>
      <c r="C226" s="116">
        <v>214.98667817737172</v>
      </c>
      <c r="D226" s="116">
        <v>193.09613891297593</v>
      </c>
      <c r="E226" s="116">
        <v>201.8604919464662</v>
      </c>
      <c r="F226" s="116">
        <v>190.49931724009159</v>
      </c>
      <c r="G226" s="116">
        <v>203.27371820344069</v>
      </c>
      <c r="H226" s="116">
        <v>203.29346786997587</v>
      </c>
      <c r="I226" s="116">
        <v>205.12889108243212</v>
      </c>
      <c r="J226" s="116">
        <v>198.238946667059</v>
      </c>
      <c r="K226" s="116">
        <v>174.86296959765644</v>
      </c>
      <c r="L226" s="116">
        <v>168.13587351392192</v>
      </c>
      <c r="M226" s="116">
        <v>179.98873028146943</v>
      </c>
      <c r="N226" s="116">
        <v>181.09156414161652</v>
      </c>
      <c r="O226" s="116">
        <v>167.54198132592884</v>
      </c>
      <c r="P226" s="116">
        <v>167.95903477879403</v>
      </c>
      <c r="Q226" s="116">
        <v>162.77740147914065</v>
      </c>
      <c r="R226" s="116">
        <v>155.0309107461168</v>
      </c>
      <c r="S226" s="116">
        <v>157.47226307066535</v>
      </c>
      <c r="T226" s="116">
        <v>161.02243172585895</v>
      </c>
      <c r="U226" s="116">
        <v>158.09356012816525</v>
      </c>
      <c r="V226" s="116">
        <v>146.25219451367315</v>
      </c>
      <c r="W226" s="116">
        <v>137.78228687159128</v>
      </c>
      <c r="X226" s="116">
        <v>142.99083982348904</v>
      </c>
      <c r="Y226" s="116">
        <v>140.22564453434765</v>
      </c>
      <c r="DA226" s="176" t="s">
        <v>934</v>
      </c>
    </row>
    <row r="227" spans="1:105" ht="11.45" customHeight="1" x14ac:dyDescent="0.25">
      <c r="A227" s="111" t="s">
        <v>110</v>
      </c>
      <c r="B227" s="87">
        <v>249.2258452675029</v>
      </c>
      <c r="C227" s="87">
        <v>249.31615410301271</v>
      </c>
      <c r="D227" s="87">
        <v>247.80850024463669</v>
      </c>
      <c r="E227" s="87">
        <v>244.70674448554649</v>
      </c>
      <c r="F227" s="87">
        <v>244.36786815958121</v>
      </c>
      <c r="G227" s="87">
        <v>241.07592670734726</v>
      </c>
      <c r="H227" s="87">
        <v>236.21408880625381</v>
      </c>
      <c r="I227" s="87">
        <v>232.74925126934374</v>
      </c>
      <c r="J227" s="87">
        <v>221.44876317491028</v>
      </c>
      <c r="K227" s="87">
        <v>209.25958920524147</v>
      </c>
      <c r="L227" s="87">
        <v>201.59533038377657</v>
      </c>
      <c r="M227" s="87">
        <v>179.84893385403632</v>
      </c>
      <c r="N227" s="87">
        <v>174.48683160385286</v>
      </c>
      <c r="O227" s="87">
        <v>169.00071513863188</v>
      </c>
      <c r="P227" s="87">
        <v>161.15166627398241</v>
      </c>
      <c r="Q227" s="87">
        <v>155.49162176337748</v>
      </c>
      <c r="R227" s="87">
        <v>153.2876128054173</v>
      </c>
      <c r="S227" s="87">
        <v>152.65642130521152</v>
      </c>
      <c r="T227" s="87">
        <v>153.41039809117169</v>
      </c>
      <c r="U227" s="87">
        <v>156.39357148625729</v>
      </c>
      <c r="V227" s="87">
        <v>145.72157057963349</v>
      </c>
      <c r="W227" s="87">
        <v>139.83928498882801</v>
      </c>
      <c r="X227" s="87">
        <v>143.883240338913</v>
      </c>
      <c r="Y227" s="87">
        <v>141.90995983527381</v>
      </c>
      <c r="DA227" s="171" t="s">
        <v>935</v>
      </c>
    </row>
    <row r="228" spans="1:105" ht="11.45" customHeight="1" x14ac:dyDescent="0.25">
      <c r="A228" s="111" t="s">
        <v>111</v>
      </c>
      <c r="B228" s="87">
        <v>190.45953760053226</v>
      </c>
      <c r="C228" s="87">
        <v>191.51209638603214</v>
      </c>
      <c r="D228" s="87">
        <v>191.40638168239838</v>
      </c>
      <c r="E228" s="87">
        <v>191.84245483488763</v>
      </c>
      <c r="F228" s="87">
        <v>190.57718197577103</v>
      </c>
      <c r="G228" s="87">
        <v>191.14539850780247</v>
      </c>
      <c r="H228" s="87">
        <v>192.37102835305649</v>
      </c>
      <c r="I228" s="87">
        <v>190.60030706719093</v>
      </c>
      <c r="J228" s="87">
        <v>182.00107664348181</v>
      </c>
      <c r="K228" s="87">
        <v>174.84881622575986</v>
      </c>
      <c r="L228" s="87">
        <v>168.13262896052848</v>
      </c>
      <c r="M228" s="87">
        <v>180.00113244092313</v>
      </c>
      <c r="N228" s="87">
        <v>182.42176809879186</v>
      </c>
      <c r="O228" s="87">
        <v>177.36960620606325</v>
      </c>
      <c r="P228" s="87">
        <v>174.99137390415314</v>
      </c>
      <c r="Q228" s="87">
        <v>166.86902514948517</v>
      </c>
      <c r="R228" s="87">
        <v>159.92664606525324</v>
      </c>
      <c r="S228" s="87">
        <v>163.46522071089782</v>
      </c>
      <c r="T228" s="87">
        <v>169.96665143901319</v>
      </c>
      <c r="U228" s="87">
        <v>164.50197427079351</v>
      </c>
      <c r="V228" s="87">
        <v>160.56221719457011</v>
      </c>
      <c r="W228" s="87">
        <v>157.01523638807981</v>
      </c>
      <c r="X228" s="87">
        <v>165.948125</v>
      </c>
      <c r="Y228" s="87">
        <v>167.80122080679399</v>
      </c>
      <c r="DA228" s="171" t="s">
        <v>936</v>
      </c>
    </row>
    <row r="229" spans="1:105" ht="11.45" customHeight="1" x14ac:dyDescent="0.25">
      <c r="A229" s="111" t="s">
        <v>112</v>
      </c>
      <c r="B229" s="87">
        <v>159.61400429501231</v>
      </c>
      <c r="C229" s="87">
        <v>164.00307006706123</v>
      </c>
      <c r="D229" s="87">
        <v>163.91254034975179</v>
      </c>
      <c r="E229" s="87">
        <v>164.28597543365325</v>
      </c>
      <c r="F229" s="87">
        <v>163.20244787960578</v>
      </c>
      <c r="G229" s="87">
        <v>0</v>
      </c>
      <c r="H229" s="87">
        <v>164.73862402020052</v>
      </c>
      <c r="I229" s="87">
        <v>163.22225125526731</v>
      </c>
      <c r="J229" s="87">
        <v>155.85822456287696</v>
      </c>
      <c r="K229" s="87">
        <v>149.73332337615963</v>
      </c>
      <c r="L229" s="87">
        <v>0</v>
      </c>
      <c r="M229" s="87">
        <v>0</v>
      </c>
      <c r="N229" s="87">
        <v>156.218487394958</v>
      </c>
      <c r="O229" s="87">
        <v>139.92692729265607</v>
      </c>
      <c r="P229" s="87">
        <v>154.82468849608756</v>
      </c>
      <c r="Q229" s="87">
        <v>146.05042016806757</v>
      </c>
      <c r="R229" s="87">
        <v>118.99470899470897</v>
      </c>
      <c r="S229" s="87">
        <v>131.68831168831164</v>
      </c>
      <c r="T229" s="87">
        <v>150</v>
      </c>
      <c r="U229" s="87">
        <v>156.5</v>
      </c>
      <c r="V229" s="87">
        <v>127.6543209876543</v>
      </c>
      <c r="W229" s="87">
        <v>121.3181818181818</v>
      </c>
      <c r="X229" s="87">
        <v>118.5353260869565</v>
      </c>
      <c r="Y229" s="87">
        <v>119.4336283185841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161.89534846317764</v>
      </c>
      <c r="O230" s="87">
        <v>122.3460994967313</v>
      </c>
      <c r="P230" s="87">
        <v>118.80014825709516</v>
      </c>
      <c r="Q230" s="87">
        <v>119.97761010130378</v>
      </c>
      <c r="R230" s="87">
        <v>121.64277177639201</v>
      </c>
      <c r="S230" s="87">
        <v>124.8504054746152</v>
      </c>
      <c r="T230" s="87">
        <v>125.3285100286533</v>
      </c>
      <c r="U230" s="87">
        <v>116.0969416262314</v>
      </c>
      <c r="V230" s="87">
        <v>110.51165846881689</v>
      </c>
      <c r="W230" s="87">
        <v>105.7424367436744</v>
      </c>
      <c r="X230" s="87">
        <v>105.5629520052597</v>
      </c>
      <c r="Y230" s="87">
        <v>106.9151276480174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78.258747422290682</v>
      </c>
      <c r="P231" s="87">
        <v>45.82883874518437</v>
      </c>
      <c r="Q231" s="87">
        <v>45.56583249700536</v>
      </c>
      <c r="R231" s="87">
        <v>53.551658578075752</v>
      </c>
      <c r="S231" s="87">
        <v>52.003223523861955</v>
      </c>
      <c r="T231" s="87">
        <v>58.198899284534953</v>
      </c>
      <c r="U231" s="87">
        <v>68.847457627118644</v>
      </c>
      <c r="V231" s="87">
        <v>61.443478260869568</v>
      </c>
      <c r="W231" s="87">
        <v>47.025252525252533</v>
      </c>
      <c r="X231" s="87">
        <v>43.99846625766871</v>
      </c>
      <c r="Y231" s="87">
        <v>29.822456813819581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1514.5758165979312</v>
      </c>
      <c r="C233" s="116">
        <v>1512.5055230873045</v>
      </c>
      <c r="D233" s="116">
        <v>1484.7890589909071</v>
      </c>
      <c r="E233" s="116">
        <v>1495.0486063032988</v>
      </c>
      <c r="F233" s="116">
        <v>1485.2184173631485</v>
      </c>
      <c r="G233" s="116">
        <v>1460.4433158992551</v>
      </c>
      <c r="H233" s="116">
        <v>1445.6379320474757</v>
      </c>
      <c r="I233" s="116">
        <v>1451.2210756347772</v>
      </c>
      <c r="J233" s="116">
        <v>1459.8735759767042</v>
      </c>
      <c r="K233" s="116">
        <v>1361.2197377366811</v>
      </c>
      <c r="L233" s="116">
        <v>1383.2509430315338</v>
      </c>
      <c r="M233" s="116">
        <v>1347.0384806406466</v>
      </c>
      <c r="N233" s="116">
        <v>1381.1057466593288</v>
      </c>
      <c r="O233" s="116">
        <v>456.28279336453346</v>
      </c>
      <c r="P233" s="116">
        <v>1131.031835466481</v>
      </c>
      <c r="Q233" s="116">
        <v>1000.3404630140105</v>
      </c>
      <c r="R233" s="116">
        <v>1275.4552073773355</v>
      </c>
      <c r="S233" s="116">
        <v>1214.3223480086097</v>
      </c>
      <c r="T233" s="116">
        <v>1213.9500789136237</v>
      </c>
      <c r="U233" s="116">
        <v>950.34868515708547</v>
      </c>
      <c r="V233" s="116">
        <v>925.82066187466171</v>
      </c>
      <c r="W233" s="116">
        <v>1012.179971859444</v>
      </c>
      <c r="X233" s="116">
        <v>807.94968382279228</v>
      </c>
      <c r="Y233" s="116">
        <v>754.88048272782567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413.96029560658144</v>
      </c>
      <c r="E234" s="101">
        <v>408.77886022537041</v>
      </c>
      <c r="F234" s="101">
        <v>0</v>
      </c>
      <c r="G234" s="101">
        <v>402.71363486274885</v>
      </c>
      <c r="H234" s="101">
        <v>394.59200928194321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282.32529628115992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X234" s="101">
        <v>0</v>
      </c>
      <c r="Y234" s="101">
        <v>0</v>
      </c>
      <c r="DA234" s="175" t="s">
        <v>942</v>
      </c>
    </row>
    <row r="235" spans="1:105" ht="11.45" customHeight="1" x14ac:dyDescent="0.25">
      <c r="A235" s="111" t="s">
        <v>111</v>
      </c>
      <c r="B235" s="101">
        <v>1514.5758165979312</v>
      </c>
      <c r="C235" s="101">
        <v>1512.5055230873045</v>
      </c>
      <c r="D235" s="101">
        <v>1510.2085158280772</v>
      </c>
      <c r="E235" s="101">
        <v>1505.43800876313</v>
      </c>
      <c r="F235" s="101">
        <v>1504.9162743573547</v>
      </c>
      <c r="G235" s="101">
        <v>1499.7962675916187</v>
      </c>
      <c r="H235" s="101">
        <v>1492.1184465385188</v>
      </c>
      <c r="I235" s="101">
        <v>1486.5859060244845</v>
      </c>
      <c r="J235" s="101">
        <v>1467.8597552763579</v>
      </c>
      <c r="K235" s="101">
        <v>1446.791199122177</v>
      </c>
      <c r="L235" s="101">
        <v>1433.2671444835407</v>
      </c>
      <c r="M235" s="101">
        <v>1391.3143766662379</v>
      </c>
      <c r="N235" s="101">
        <v>1381.1057466593288</v>
      </c>
      <c r="O235" s="101">
        <v>1369.4189088654966</v>
      </c>
      <c r="P235" s="101">
        <v>1352.6792844515157</v>
      </c>
      <c r="Q235" s="101">
        <v>1340.2449215971562</v>
      </c>
      <c r="R235" s="101">
        <v>1318.5185388771172</v>
      </c>
      <c r="S235" s="101">
        <v>1288.8719610818973</v>
      </c>
      <c r="T235" s="101">
        <v>1252.6583274458585</v>
      </c>
      <c r="U235" s="101">
        <v>1211.1693461269538</v>
      </c>
      <c r="V235" s="101">
        <v>1165.6054232252898</v>
      </c>
      <c r="W235" s="101">
        <v>1117.0567867793898</v>
      </c>
      <c r="X235" s="101">
        <v>1066.4935826460858</v>
      </c>
      <c r="Y235" s="101">
        <v>1014.7629778149112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1054.5372338188442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971.51671359601198</v>
      </c>
      <c r="N236" s="101">
        <v>0</v>
      </c>
      <c r="O236" s="101">
        <v>956.22770826610702</v>
      </c>
      <c r="P236" s="101">
        <v>944.53888712672506</v>
      </c>
      <c r="Q236" s="101">
        <v>935.85631219001414</v>
      </c>
      <c r="R236" s="101">
        <v>0</v>
      </c>
      <c r="S236" s="101">
        <v>918.524714273678</v>
      </c>
      <c r="T236" s="101">
        <v>909.89136110224524</v>
      </c>
      <c r="U236" s="101">
        <v>901.28855429446264</v>
      </c>
      <c r="V236" s="101">
        <v>0</v>
      </c>
      <c r="W236" s="101">
        <v>0</v>
      </c>
      <c r="X236" s="101">
        <v>0</v>
      </c>
      <c r="Y236" s="101">
        <v>867.28642497601459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876.27515541974776</v>
      </c>
      <c r="L237" s="101">
        <v>868.0840680758613</v>
      </c>
      <c r="M237" s="101">
        <v>842.67461841809393</v>
      </c>
      <c r="N237" s="101">
        <v>0</v>
      </c>
      <c r="O237" s="101">
        <v>829.41323387157206</v>
      </c>
      <c r="P237" s="101">
        <v>819.27457876091808</v>
      </c>
      <c r="Q237" s="101">
        <v>811.74348287827775</v>
      </c>
      <c r="R237" s="101">
        <v>806.45083794191498</v>
      </c>
      <c r="S237" s="101">
        <v>0</v>
      </c>
      <c r="T237" s="101">
        <v>0</v>
      </c>
      <c r="U237" s="101">
        <v>0</v>
      </c>
      <c r="V237" s="101">
        <v>794.22203150200073</v>
      </c>
      <c r="W237" s="101">
        <v>791.98911065721438</v>
      </c>
      <c r="X237" s="101">
        <v>0</v>
      </c>
      <c r="Y237" s="101">
        <v>787.79944187318983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0</v>
      </c>
      <c r="C240" s="152">
        <v>255.57298126629254</v>
      </c>
      <c r="D240" s="152">
        <v>254.73807757296024</v>
      </c>
      <c r="E240" s="152">
        <v>254.95243276491146</v>
      </c>
      <c r="F240" s="152">
        <v>253.38803548701358</v>
      </c>
      <c r="G240" s="152">
        <v>253.68642894291523</v>
      </c>
      <c r="H240" s="152">
        <v>254.8857693650732</v>
      </c>
      <c r="I240" s="152">
        <v>252.37845563308863</v>
      </c>
      <c r="J240" s="152">
        <v>240.87056905456586</v>
      </c>
      <c r="K240" s="152">
        <v>231.13517179894444</v>
      </c>
      <c r="L240" s="152">
        <v>219.49498719287604</v>
      </c>
      <c r="M240" s="152">
        <v>237.10205404182102</v>
      </c>
      <c r="N240" s="152">
        <v>240.15730700950394</v>
      </c>
      <c r="O240" s="152">
        <v>227.55705171102335</v>
      </c>
      <c r="P240" s="152">
        <v>223.31599076296627</v>
      </c>
      <c r="Q240" s="152">
        <v>213.80619093535151</v>
      </c>
      <c r="R240" s="152">
        <v>212.81942420432813</v>
      </c>
      <c r="S240" s="152">
        <v>203.03221540800743</v>
      </c>
      <c r="T240" s="152">
        <v>209.15800432878225</v>
      </c>
      <c r="U240" s="152">
        <v>215.2404868024712</v>
      </c>
      <c r="V240" s="152">
        <v>229.40912719582875</v>
      </c>
      <c r="W240" s="152">
        <v>224.4422861586086</v>
      </c>
      <c r="X240" s="152">
        <v>219.08559489185311</v>
      </c>
      <c r="Y240" s="152">
        <v>218.11705764155181</v>
      </c>
      <c r="DA240" s="174" t="s">
        <v>947</v>
      </c>
    </row>
    <row r="241" spans="1:105" ht="11.45" customHeight="1" x14ac:dyDescent="0.25">
      <c r="A241" s="111" t="s">
        <v>110</v>
      </c>
      <c r="B241" s="87">
        <v>0</v>
      </c>
      <c r="C241" s="87">
        <v>271.38109537179753</v>
      </c>
      <c r="D241" s="87">
        <v>269.74001135540215</v>
      </c>
      <c r="E241" s="87">
        <v>266.36374446846037</v>
      </c>
      <c r="F241" s="87">
        <v>265.99487696018804</v>
      </c>
      <c r="G241" s="87">
        <v>262.41159259411381</v>
      </c>
      <c r="H241" s="87">
        <v>257.11947303665545</v>
      </c>
      <c r="I241" s="87">
        <v>253.34799096227903</v>
      </c>
      <c r="J241" s="87">
        <v>0</v>
      </c>
      <c r="K241" s="87">
        <v>227.77945031233969</v>
      </c>
      <c r="L241" s="87">
        <v>219.49498719287604</v>
      </c>
      <c r="M241" s="87">
        <v>195.87040394472737</v>
      </c>
      <c r="N241" s="87">
        <v>190.15370680186928</v>
      </c>
      <c r="O241" s="87">
        <v>175.63157959852435</v>
      </c>
      <c r="P241" s="87">
        <v>192.38038156680989</v>
      </c>
      <c r="Q241" s="87">
        <v>162.50967997334746</v>
      </c>
      <c r="R241" s="87">
        <v>165.52747366379032</v>
      </c>
      <c r="S241" s="87">
        <v>175.0286979416482</v>
      </c>
      <c r="T241" s="87">
        <v>191.67823998353052</v>
      </c>
      <c r="U241" s="87">
        <v>215.8228346456693</v>
      </c>
      <c r="V241" s="87">
        <v>163.28899703235521</v>
      </c>
      <c r="W241" s="87">
        <v>163.2314049586777</v>
      </c>
      <c r="X241" s="87">
        <v>167.2164179104478</v>
      </c>
      <c r="Y241" s="87">
        <v>200.5106382978723</v>
      </c>
      <c r="DA241" s="171" t="s">
        <v>948</v>
      </c>
    </row>
    <row r="242" spans="1:105" ht="11.45" customHeight="1" x14ac:dyDescent="0.25">
      <c r="A242" s="111" t="s">
        <v>111</v>
      </c>
      <c r="B242" s="87">
        <v>0</v>
      </c>
      <c r="C242" s="87">
        <v>253.45799315077031</v>
      </c>
      <c r="D242" s="87">
        <v>253.31808430357384</v>
      </c>
      <c r="E242" s="87">
        <v>253.89520829825912</v>
      </c>
      <c r="F242" s="87">
        <v>252.22067428337675</v>
      </c>
      <c r="G242" s="87">
        <v>252.97268433705759</v>
      </c>
      <c r="H242" s="87">
        <v>254.59475253424134</v>
      </c>
      <c r="I242" s="87">
        <v>252.25127934370104</v>
      </c>
      <c r="J242" s="87">
        <v>240.87056905456586</v>
      </c>
      <c r="K242" s="87">
        <v>231.4048611114319</v>
      </c>
      <c r="L242" s="87">
        <v>0</v>
      </c>
      <c r="M242" s="87">
        <v>238.22372922794412</v>
      </c>
      <c r="N242" s="87">
        <v>241.42733603696902</v>
      </c>
      <c r="O242" s="87">
        <v>229.10389998856019</v>
      </c>
      <c r="P242" s="87">
        <v>224.11270487246998</v>
      </c>
      <c r="Q242" s="87">
        <v>214.87825834116313</v>
      </c>
      <c r="R242" s="87">
        <v>213.03677851327441</v>
      </c>
      <c r="S242" s="87">
        <v>203.22269847678422</v>
      </c>
      <c r="T242" s="87">
        <v>209.37685310434432</v>
      </c>
      <c r="U242" s="87">
        <v>215.19866071428569</v>
      </c>
      <c r="V242" s="87">
        <v>230.00379953007021</v>
      </c>
      <c r="W242" s="87">
        <v>225.0946127946128</v>
      </c>
      <c r="X242" s="87">
        <v>219.71847898599071</v>
      </c>
      <c r="Y242" s="87">
        <v>218.43847962382449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X243" s="87">
        <v>0</v>
      </c>
      <c r="Y243" s="87">
        <v>0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X244" s="87">
        <v>0</v>
      </c>
      <c r="Y244" s="87">
        <v>0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1040.7419809790824</v>
      </c>
      <c r="C246" s="116">
        <v>830.78925391166183</v>
      </c>
      <c r="D246" s="116">
        <v>813.81046579398731</v>
      </c>
      <c r="E246" s="116">
        <v>804.59503468072455</v>
      </c>
      <c r="F246" s="116">
        <v>836.07932882319108</v>
      </c>
      <c r="G246" s="116">
        <v>811.5095721021595</v>
      </c>
      <c r="H246" s="116">
        <v>818.51150886822882</v>
      </c>
      <c r="I246" s="116">
        <v>795.67696360914078</v>
      </c>
      <c r="J246" s="116">
        <v>774.30930636829237</v>
      </c>
      <c r="K246" s="116">
        <v>767.06119668315762</v>
      </c>
      <c r="L246" s="116">
        <v>862.9000882101883</v>
      </c>
      <c r="M246" s="116">
        <v>771.44933991770074</v>
      </c>
      <c r="N246" s="116">
        <v>762.29388646803966</v>
      </c>
      <c r="O246" s="116">
        <v>752.68187051602604</v>
      </c>
      <c r="P246" s="116">
        <v>722.87850484448779</v>
      </c>
      <c r="Q246" s="116">
        <v>744.09612296067053</v>
      </c>
      <c r="R246" s="116">
        <v>709.32165479049297</v>
      </c>
      <c r="S246" s="116">
        <v>700.42382831818531</v>
      </c>
      <c r="T246" s="116">
        <v>685.85681367196366</v>
      </c>
      <c r="U246" s="116">
        <v>679.33309841338576</v>
      </c>
      <c r="V246" s="116">
        <v>693.85934465938317</v>
      </c>
      <c r="W246" s="116">
        <v>668.10460149210621</v>
      </c>
      <c r="X246" s="116">
        <v>724.17472162029833</v>
      </c>
      <c r="Y246" s="116">
        <v>654.5546988833014</v>
      </c>
      <c r="DA246" s="176" t="s">
        <v>953</v>
      </c>
    </row>
    <row r="247" spans="1:105" ht="11.45" customHeight="1" x14ac:dyDescent="0.25">
      <c r="A247" s="128" t="s">
        <v>27</v>
      </c>
      <c r="B247" s="101">
        <v>0</v>
      </c>
      <c r="C247" s="101">
        <v>755.12542100880569</v>
      </c>
      <c r="D247" s="101">
        <v>752.54815603324494</v>
      </c>
      <c r="E247" s="101">
        <v>749.33898141751399</v>
      </c>
      <c r="F247" s="101">
        <v>745.50605173475492</v>
      </c>
      <c r="G247" s="101">
        <v>741.05903778616323</v>
      </c>
      <c r="H247" s="101">
        <v>736.00906629413907</v>
      </c>
      <c r="I247" s="101">
        <v>730.36865136662357</v>
      </c>
      <c r="J247" s="101">
        <v>724.15161850637878</v>
      </c>
      <c r="K247" s="101">
        <v>717.3730219992284</v>
      </c>
      <c r="L247" s="101">
        <v>710.04905659116412</v>
      </c>
      <c r="M247" s="101">
        <v>702.19696437839116</v>
      </c>
      <c r="N247" s="101">
        <v>693.8349378701954</v>
      </c>
      <c r="O247" s="101">
        <v>684.98202019573796</v>
      </c>
      <c r="P247" s="101">
        <v>675.65800340304031</v>
      </c>
      <c r="Q247" s="101">
        <v>665.88332579858684</v>
      </c>
      <c r="R247" s="101">
        <v>655.24323390042889</v>
      </c>
      <c r="S247" s="101">
        <v>647.79516957171847</v>
      </c>
      <c r="T247" s="101">
        <v>639.97470202657234</v>
      </c>
      <c r="U247" s="101">
        <v>630.41635280472735</v>
      </c>
      <c r="V247" s="101">
        <v>633.60115223825665</v>
      </c>
      <c r="W247" s="101">
        <v>617.07456787575825</v>
      </c>
      <c r="X247" s="101">
        <v>613.67487319477073</v>
      </c>
      <c r="Y247" s="101">
        <v>607.53812446282302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0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611</v>
      </c>
      <c r="C4" s="28">
        <f t="shared" ref="C4:V4" si="1">SUM(C5,C6,C9)</f>
        <v>533</v>
      </c>
      <c r="D4" s="28">
        <f t="shared" si="1"/>
        <v>498</v>
      </c>
      <c r="E4" s="28">
        <f t="shared" si="1"/>
        <v>432</v>
      </c>
      <c r="F4" s="28">
        <f t="shared" si="1"/>
        <v>444</v>
      </c>
      <c r="G4" s="28">
        <f t="shared" si="1"/>
        <v>280</v>
      </c>
      <c r="H4" s="28">
        <f t="shared" si="1"/>
        <v>268</v>
      </c>
      <c r="I4" s="28">
        <f t="shared" si="1"/>
        <v>246</v>
      </c>
      <c r="J4" s="28">
        <f t="shared" si="1"/>
        <v>258</v>
      </c>
      <c r="K4" s="28">
        <f t="shared" si="1"/>
        <v>231</v>
      </c>
      <c r="L4" s="28">
        <f t="shared" si="1"/>
        <v>244</v>
      </c>
      <c r="M4" s="28">
        <f t="shared" si="1"/>
        <v>269</v>
      </c>
      <c r="N4" s="28">
        <f t="shared" si="1"/>
        <v>278</v>
      </c>
      <c r="O4" s="28">
        <f t="shared" si="1"/>
        <v>278</v>
      </c>
      <c r="P4" s="28">
        <f t="shared" si="1"/>
        <v>270</v>
      </c>
      <c r="Q4" s="28">
        <f t="shared" si="1"/>
        <v>262</v>
      </c>
      <c r="R4" s="28">
        <f t="shared" si="1"/>
        <v>280</v>
      </c>
      <c r="S4" s="28">
        <f t="shared" si="1"/>
        <v>315</v>
      </c>
      <c r="T4" s="28">
        <f t="shared" si="1"/>
        <v>354</v>
      </c>
      <c r="U4" s="28">
        <f t="shared" si="1"/>
        <v>359</v>
      </c>
      <c r="V4" s="28">
        <f t="shared" si="1"/>
        <v>237</v>
      </c>
      <c r="W4" s="28">
        <f t="shared" ref="W4:Y4" si="2">SUM(W5,W6,W9)</f>
        <v>287</v>
      </c>
      <c r="X4" s="28">
        <f t="shared" si="2"/>
        <v>382</v>
      </c>
      <c r="Y4" s="28">
        <f t="shared" si="2"/>
        <v>392</v>
      </c>
      <c r="DA4" s="173" t="s">
        <v>376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0</v>
      </c>
      <c r="E5" s="108">
        <v>0</v>
      </c>
      <c r="F5" s="108">
        <v>0</v>
      </c>
      <c r="G5" s="108">
        <v>0</v>
      </c>
      <c r="H5" s="108">
        <v>0</v>
      </c>
      <c r="I5" s="108">
        <v>0</v>
      </c>
      <c r="J5" s="108">
        <v>0</v>
      </c>
      <c r="K5" s="108">
        <v>0</v>
      </c>
      <c r="L5" s="108">
        <v>0</v>
      </c>
      <c r="M5" s="108">
        <v>0</v>
      </c>
      <c r="N5" s="108">
        <v>0</v>
      </c>
      <c r="O5" s="108">
        <v>0</v>
      </c>
      <c r="P5" s="108">
        <v>0</v>
      </c>
      <c r="Q5" s="108">
        <v>0</v>
      </c>
      <c r="R5" s="108">
        <v>0</v>
      </c>
      <c r="S5" s="108">
        <v>0</v>
      </c>
      <c r="T5" s="108">
        <v>0</v>
      </c>
      <c r="U5" s="108">
        <v>0</v>
      </c>
      <c r="V5" s="108">
        <v>0</v>
      </c>
      <c r="W5" s="108">
        <v>0</v>
      </c>
      <c r="X5" s="108">
        <v>0</v>
      </c>
      <c r="Y5" s="108">
        <v>0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611</v>
      </c>
      <c r="C6" s="110">
        <f t="shared" ref="C6:V6" si="4">SUM(C7:C8)</f>
        <v>533</v>
      </c>
      <c r="D6" s="110">
        <f t="shared" si="4"/>
        <v>498</v>
      </c>
      <c r="E6" s="110">
        <f t="shared" si="4"/>
        <v>432</v>
      </c>
      <c r="F6" s="110">
        <f t="shared" si="4"/>
        <v>444</v>
      </c>
      <c r="G6" s="110">
        <f t="shared" si="4"/>
        <v>280</v>
      </c>
      <c r="H6" s="110">
        <f t="shared" si="4"/>
        <v>268</v>
      </c>
      <c r="I6" s="110">
        <f t="shared" si="4"/>
        <v>246</v>
      </c>
      <c r="J6" s="110">
        <f t="shared" si="4"/>
        <v>258</v>
      </c>
      <c r="K6" s="110">
        <f t="shared" si="4"/>
        <v>231</v>
      </c>
      <c r="L6" s="110">
        <f t="shared" si="4"/>
        <v>244</v>
      </c>
      <c r="M6" s="110">
        <f t="shared" si="4"/>
        <v>269</v>
      </c>
      <c r="N6" s="110">
        <f t="shared" si="4"/>
        <v>278</v>
      </c>
      <c r="O6" s="110">
        <f t="shared" si="4"/>
        <v>278</v>
      </c>
      <c r="P6" s="110">
        <f t="shared" si="4"/>
        <v>270</v>
      </c>
      <c r="Q6" s="110">
        <f t="shared" si="4"/>
        <v>262</v>
      </c>
      <c r="R6" s="110">
        <f t="shared" si="4"/>
        <v>280</v>
      </c>
      <c r="S6" s="110">
        <f t="shared" si="4"/>
        <v>315</v>
      </c>
      <c r="T6" s="110">
        <f t="shared" si="4"/>
        <v>354</v>
      </c>
      <c r="U6" s="110">
        <f t="shared" si="4"/>
        <v>359</v>
      </c>
      <c r="V6" s="110">
        <f t="shared" si="4"/>
        <v>237</v>
      </c>
      <c r="W6" s="110">
        <f t="shared" ref="W6:Y6" si="5">SUM(W7:W8)</f>
        <v>287</v>
      </c>
      <c r="X6" s="110">
        <f t="shared" si="5"/>
        <v>382</v>
      </c>
      <c r="Y6" s="110">
        <f t="shared" si="5"/>
        <v>392</v>
      </c>
      <c r="DA6" s="176" t="s">
        <v>378</v>
      </c>
    </row>
    <row r="7" spans="1:105" ht="11.45" customHeight="1" x14ac:dyDescent="0.25">
      <c r="A7" s="111" t="s">
        <v>90</v>
      </c>
      <c r="B7" s="84">
        <v>549.26941314149622</v>
      </c>
      <c r="C7" s="84">
        <v>481.26827143283879</v>
      </c>
      <c r="D7" s="84">
        <v>445.62140399997833</v>
      </c>
      <c r="E7" s="84">
        <v>372.11458939271728</v>
      </c>
      <c r="F7" s="84">
        <v>372.78605489002524</v>
      </c>
      <c r="G7" s="84">
        <v>220.29175600799311</v>
      </c>
      <c r="H7" s="84">
        <v>207.33875890132248</v>
      </c>
      <c r="I7" s="84">
        <v>182.75776527512093</v>
      </c>
      <c r="J7" s="84">
        <v>189.47436583175326</v>
      </c>
      <c r="K7" s="84">
        <v>160.32306495263867</v>
      </c>
      <c r="L7" s="84">
        <v>175.2858660998937</v>
      </c>
      <c r="M7" s="84">
        <v>194.01909038754479</v>
      </c>
      <c r="N7" s="84">
        <v>198.80582992050108</v>
      </c>
      <c r="O7" s="84">
        <v>196.82427152856908</v>
      </c>
      <c r="P7" s="84">
        <v>177.92575973893537</v>
      </c>
      <c r="Q7" s="84">
        <v>180.80496320991062</v>
      </c>
      <c r="R7" s="84">
        <v>194.34378008343137</v>
      </c>
      <c r="S7" s="84">
        <v>227.50906829723286</v>
      </c>
      <c r="T7" s="84">
        <v>250.86914052494063</v>
      </c>
      <c r="U7" s="84">
        <v>263.12413343879405</v>
      </c>
      <c r="V7" s="84">
        <v>177.01071026936327</v>
      </c>
      <c r="W7" s="84">
        <v>215.79397170315988</v>
      </c>
      <c r="X7" s="84">
        <v>244.25181430751155</v>
      </c>
      <c r="Y7" s="84">
        <v>244.38831786900403</v>
      </c>
      <c r="DA7" s="171" t="s">
        <v>1031</v>
      </c>
    </row>
    <row r="8" spans="1:105" ht="11.45" customHeight="1" x14ac:dyDescent="0.25">
      <c r="A8" s="111" t="s">
        <v>93</v>
      </c>
      <c r="B8" s="84">
        <v>61.730586858503784</v>
      </c>
      <c r="C8" s="84">
        <v>51.731728567161213</v>
      </c>
      <c r="D8" s="84">
        <v>52.378596000021673</v>
      </c>
      <c r="E8" s="84">
        <v>59.885410607282722</v>
      </c>
      <c r="F8" s="84">
        <v>71.213945109974759</v>
      </c>
      <c r="G8" s="84">
        <v>59.708243992006885</v>
      </c>
      <c r="H8" s="84">
        <v>60.661241098677522</v>
      </c>
      <c r="I8" s="84">
        <v>63.242234724879069</v>
      </c>
      <c r="J8" s="84">
        <v>68.525634168246739</v>
      </c>
      <c r="K8" s="84">
        <v>70.676935047361326</v>
      </c>
      <c r="L8" s="84">
        <v>68.714133900106305</v>
      </c>
      <c r="M8" s="84">
        <v>74.980909612455207</v>
      </c>
      <c r="N8" s="84">
        <v>79.194170079498917</v>
      </c>
      <c r="O8" s="84">
        <v>81.175728471430915</v>
      </c>
      <c r="P8" s="84">
        <v>92.074240261064631</v>
      </c>
      <c r="Q8" s="84">
        <v>81.195036790089375</v>
      </c>
      <c r="R8" s="84">
        <v>85.656219916568631</v>
      </c>
      <c r="S8" s="84">
        <v>87.490931702767142</v>
      </c>
      <c r="T8" s="84">
        <v>103.13085947505937</v>
      </c>
      <c r="U8" s="84">
        <v>95.875866561205953</v>
      </c>
      <c r="V8" s="84">
        <v>59.989289730636727</v>
      </c>
      <c r="W8" s="84">
        <v>71.206028296840117</v>
      </c>
      <c r="X8" s="84">
        <v>137.74818569248845</v>
      </c>
      <c r="Y8" s="84">
        <v>147.61168213099597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X9" s="113">
        <v>0</v>
      </c>
      <c r="Y9" s="113">
        <v>0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8918.0000000000018</v>
      </c>
      <c r="C10" s="28">
        <f t="shared" ref="C10:V10" si="7">SUM(C11:C12)</f>
        <v>7741</v>
      </c>
      <c r="D10" s="28">
        <f t="shared" si="7"/>
        <v>9766.9999999999982</v>
      </c>
      <c r="E10" s="28">
        <f t="shared" si="7"/>
        <v>11457</v>
      </c>
      <c r="F10" s="28">
        <f t="shared" si="7"/>
        <v>11637</v>
      </c>
      <c r="G10" s="28">
        <f t="shared" si="7"/>
        <v>12456.999999999998</v>
      </c>
      <c r="H10" s="28">
        <f t="shared" si="7"/>
        <v>12896</v>
      </c>
      <c r="I10" s="28">
        <f t="shared" si="7"/>
        <v>14373</v>
      </c>
      <c r="J10" s="28">
        <f t="shared" si="7"/>
        <v>14748.000000000002</v>
      </c>
      <c r="K10" s="28">
        <f t="shared" si="7"/>
        <v>11887.999999999998</v>
      </c>
      <c r="L10" s="28">
        <f t="shared" si="7"/>
        <v>13431</v>
      </c>
      <c r="M10" s="28">
        <f t="shared" si="7"/>
        <v>15088</v>
      </c>
      <c r="N10" s="28">
        <f t="shared" si="7"/>
        <v>14172</v>
      </c>
      <c r="O10" s="28">
        <f t="shared" si="7"/>
        <v>13344</v>
      </c>
      <c r="P10" s="28">
        <f t="shared" si="7"/>
        <v>14307</v>
      </c>
      <c r="Q10" s="28">
        <f t="shared" si="7"/>
        <v>14035.999999999998</v>
      </c>
      <c r="R10" s="28">
        <f t="shared" si="7"/>
        <v>13790</v>
      </c>
      <c r="S10" s="28">
        <f t="shared" si="7"/>
        <v>15414</v>
      </c>
      <c r="T10" s="28">
        <f t="shared" si="7"/>
        <v>16885</v>
      </c>
      <c r="U10" s="28">
        <f t="shared" si="7"/>
        <v>16181.000000000002</v>
      </c>
      <c r="V10" s="28">
        <f t="shared" si="7"/>
        <v>15865</v>
      </c>
      <c r="W10" s="28">
        <f t="shared" ref="W10:Y10" si="8">SUM(W11:W12)</f>
        <v>14566</v>
      </c>
      <c r="X10" s="28">
        <f t="shared" si="8"/>
        <v>7375</v>
      </c>
      <c r="Y10" s="28">
        <f t="shared" si="8"/>
        <v>6307</v>
      </c>
      <c r="DA10" s="173" t="s">
        <v>384</v>
      </c>
    </row>
    <row r="11" spans="1:105" ht="11.45" customHeight="1" x14ac:dyDescent="0.25">
      <c r="A11" s="83" t="s">
        <v>90</v>
      </c>
      <c r="B11" s="84">
        <v>8918.0000000000018</v>
      </c>
      <c r="C11" s="84">
        <v>7741</v>
      </c>
      <c r="D11" s="84">
        <v>9766.9999999999982</v>
      </c>
      <c r="E11" s="84">
        <v>11457</v>
      </c>
      <c r="F11" s="84">
        <v>11637</v>
      </c>
      <c r="G11" s="84">
        <v>12456.999999999998</v>
      </c>
      <c r="H11" s="84">
        <v>12896</v>
      </c>
      <c r="I11" s="84">
        <v>14373</v>
      </c>
      <c r="J11" s="84">
        <v>14748.000000000002</v>
      </c>
      <c r="K11" s="84">
        <v>11887.999999999998</v>
      </c>
      <c r="L11" s="84">
        <v>13431</v>
      </c>
      <c r="M11" s="84">
        <v>15088</v>
      </c>
      <c r="N11" s="84">
        <v>14172</v>
      </c>
      <c r="O11" s="84">
        <v>13344</v>
      </c>
      <c r="P11" s="84">
        <v>14307</v>
      </c>
      <c r="Q11" s="84">
        <v>14035.999999999998</v>
      </c>
      <c r="R11" s="84">
        <v>13790</v>
      </c>
      <c r="S11" s="84">
        <v>15414</v>
      </c>
      <c r="T11" s="84">
        <v>16885</v>
      </c>
      <c r="U11" s="84">
        <v>16181.000000000002</v>
      </c>
      <c r="V11" s="84">
        <v>15865</v>
      </c>
      <c r="W11" s="84">
        <v>14566</v>
      </c>
      <c r="X11" s="84">
        <v>7375</v>
      </c>
      <c r="Y11" s="84">
        <v>6307</v>
      </c>
      <c r="DA11" s="171" t="s">
        <v>1033</v>
      </c>
    </row>
    <row r="12" spans="1:105" ht="11.45" customHeight="1" x14ac:dyDescent="0.25">
      <c r="A12" s="85" t="s">
        <v>93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  <c r="O12" s="86">
        <v>0</v>
      </c>
      <c r="P12" s="86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X12" s="86">
        <v>0</v>
      </c>
      <c r="Y12" s="86">
        <v>0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17.960568510899993</v>
      </c>
      <c r="C14" s="62">
        <f t="shared" ref="C14:V14" si="10">C15+C21</f>
        <v>15.896307805388627</v>
      </c>
      <c r="D14" s="62">
        <f t="shared" si="10"/>
        <v>16.753937702197778</v>
      </c>
      <c r="E14" s="62">
        <f t="shared" si="10"/>
        <v>18.179012331354038</v>
      </c>
      <c r="F14" s="62">
        <f t="shared" si="10"/>
        <v>18.121633467139453</v>
      </c>
      <c r="G14" s="62">
        <f t="shared" si="10"/>
        <v>17.6457330598335</v>
      </c>
      <c r="H14" s="62">
        <f t="shared" si="10"/>
        <v>16.945905578916069</v>
      </c>
      <c r="I14" s="62">
        <f t="shared" si="10"/>
        <v>17.538631560831181</v>
      </c>
      <c r="J14" s="62">
        <f t="shared" si="10"/>
        <v>18.870736636058755</v>
      </c>
      <c r="K14" s="62">
        <f t="shared" si="10"/>
        <v>14.808346935291748</v>
      </c>
      <c r="L14" s="62">
        <f t="shared" si="10"/>
        <v>15.726065829790027</v>
      </c>
      <c r="M14" s="62">
        <f t="shared" si="10"/>
        <v>16.975453761446865</v>
      </c>
      <c r="N14" s="62">
        <f t="shared" si="10"/>
        <v>16.247734459794206</v>
      </c>
      <c r="O14" s="62">
        <f t="shared" si="10"/>
        <v>15.179914947364267</v>
      </c>
      <c r="P14" s="62">
        <f t="shared" si="10"/>
        <v>16.10124430563495</v>
      </c>
      <c r="Q14" s="62">
        <f t="shared" si="10"/>
        <v>15.193954638258093</v>
      </c>
      <c r="R14" s="62">
        <f t="shared" si="10"/>
        <v>14.983013406766812</v>
      </c>
      <c r="S14" s="62">
        <f t="shared" si="10"/>
        <v>16.239923444489722</v>
      </c>
      <c r="T14" s="62">
        <f t="shared" si="10"/>
        <v>18.527350076377875</v>
      </c>
      <c r="U14" s="62">
        <f t="shared" si="10"/>
        <v>16.974518333630407</v>
      </c>
      <c r="V14" s="62">
        <f t="shared" si="10"/>
        <v>16.208899150099736</v>
      </c>
      <c r="W14" s="62">
        <f t="shared" ref="W14:Y14" si="11">W15+W21</f>
        <v>15.967377950476093</v>
      </c>
      <c r="X14" s="62">
        <f t="shared" si="11"/>
        <v>9.4601762440336863</v>
      </c>
      <c r="Y14" s="62">
        <f t="shared" si="11"/>
        <v>9.6829406893972436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4.7444977187534958</v>
      </c>
      <c r="C15" s="29">
        <f t="shared" ref="C15:V15" si="13">SUM(C16,C17,C20)</f>
        <v>4.1932664956822023</v>
      </c>
      <c r="D15" s="29">
        <f t="shared" si="13"/>
        <v>4.0150068911794881</v>
      </c>
      <c r="E15" s="29">
        <f t="shared" si="13"/>
        <v>3.5324429420373313</v>
      </c>
      <c r="F15" s="29">
        <f t="shared" si="13"/>
        <v>3.6075306788545736</v>
      </c>
      <c r="G15" s="29">
        <f t="shared" si="13"/>
        <v>2.3105455397396026</v>
      </c>
      <c r="H15" s="29">
        <f t="shared" si="13"/>
        <v>2.1526168292467185</v>
      </c>
      <c r="I15" s="29">
        <f t="shared" si="13"/>
        <v>1.977694517586748</v>
      </c>
      <c r="J15" s="29">
        <f t="shared" si="13"/>
        <v>2.2215409437835381</v>
      </c>
      <c r="K15" s="29">
        <f t="shared" si="13"/>
        <v>2.0895669186266419</v>
      </c>
      <c r="L15" s="29">
        <f t="shared" si="13"/>
        <v>2.2445764731916245</v>
      </c>
      <c r="M15" s="29">
        <f t="shared" si="13"/>
        <v>2.3761503840691054</v>
      </c>
      <c r="N15" s="29">
        <f t="shared" si="13"/>
        <v>2.4678997567482814</v>
      </c>
      <c r="O15" s="29">
        <f t="shared" si="13"/>
        <v>2.3890103113606926</v>
      </c>
      <c r="P15" s="29">
        <f t="shared" si="13"/>
        <v>2.2897802748535119</v>
      </c>
      <c r="Q15" s="29">
        <f t="shared" si="13"/>
        <v>2.32749843914806</v>
      </c>
      <c r="R15" s="29">
        <f t="shared" si="13"/>
        <v>2.2685941389829773</v>
      </c>
      <c r="S15" s="29">
        <f t="shared" si="13"/>
        <v>2.6493846046061491</v>
      </c>
      <c r="T15" s="29">
        <f t="shared" si="13"/>
        <v>3.1547835417237784</v>
      </c>
      <c r="U15" s="29">
        <f t="shared" si="13"/>
        <v>3.1266959358290043</v>
      </c>
      <c r="V15" s="29">
        <f t="shared" si="13"/>
        <v>2.6120956548384071</v>
      </c>
      <c r="W15" s="29">
        <f t="shared" ref="W15:Y15" si="14">SUM(W16,W17,W20)</f>
        <v>2.8126626784321793</v>
      </c>
      <c r="X15" s="29">
        <f t="shared" si="14"/>
        <v>2.7764623406566749</v>
      </c>
      <c r="Y15" s="29">
        <f t="shared" si="14"/>
        <v>2.8996793370243026</v>
      </c>
      <c r="DA15" s="173" t="s">
        <v>1036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</v>
      </c>
      <c r="E16" s="115">
        <v>0</v>
      </c>
      <c r="F16" s="115">
        <v>0</v>
      </c>
      <c r="G16" s="115">
        <v>0</v>
      </c>
      <c r="H16" s="115">
        <v>0</v>
      </c>
      <c r="I16" s="115">
        <v>0</v>
      </c>
      <c r="J16" s="115">
        <v>0</v>
      </c>
      <c r="K16" s="115">
        <v>0</v>
      </c>
      <c r="L16" s="115">
        <v>0</v>
      </c>
      <c r="M16" s="115">
        <v>0</v>
      </c>
      <c r="N16" s="115">
        <v>0</v>
      </c>
      <c r="O16" s="115">
        <v>0</v>
      </c>
      <c r="P16" s="115">
        <v>0</v>
      </c>
      <c r="Q16" s="115">
        <v>0</v>
      </c>
      <c r="R16" s="115">
        <v>0</v>
      </c>
      <c r="S16" s="115">
        <v>0</v>
      </c>
      <c r="T16" s="115">
        <v>0</v>
      </c>
      <c r="U16" s="115">
        <v>0</v>
      </c>
      <c r="V16" s="115">
        <v>0</v>
      </c>
      <c r="W16" s="115">
        <v>0</v>
      </c>
      <c r="X16" s="115">
        <v>0</v>
      </c>
      <c r="Y16" s="115">
        <v>0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4.7444977187534958</v>
      </c>
      <c r="C17" s="116">
        <f t="shared" ref="C17:V17" si="16">SUM(C18:C19)</f>
        <v>4.1932664956822023</v>
      </c>
      <c r="D17" s="116">
        <f t="shared" si="16"/>
        <v>4.0150068911794881</v>
      </c>
      <c r="E17" s="116">
        <f t="shared" si="16"/>
        <v>3.5324429420373313</v>
      </c>
      <c r="F17" s="116">
        <f t="shared" si="16"/>
        <v>3.6075306788545736</v>
      </c>
      <c r="G17" s="116">
        <f t="shared" si="16"/>
        <v>2.3105455397396026</v>
      </c>
      <c r="H17" s="116">
        <f t="shared" si="16"/>
        <v>2.1526168292467185</v>
      </c>
      <c r="I17" s="116">
        <f t="shared" si="16"/>
        <v>1.977694517586748</v>
      </c>
      <c r="J17" s="116">
        <f t="shared" si="16"/>
        <v>2.2215409437835381</v>
      </c>
      <c r="K17" s="116">
        <f t="shared" si="16"/>
        <v>2.0895669186266419</v>
      </c>
      <c r="L17" s="116">
        <f t="shared" si="16"/>
        <v>2.2445764731916245</v>
      </c>
      <c r="M17" s="116">
        <f t="shared" si="16"/>
        <v>2.3761503840691054</v>
      </c>
      <c r="N17" s="116">
        <f t="shared" si="16"/>
        <v>2.4678997567482814</v>
      </c>
      <c r="O17" s="116">
        <f t="shared" si="16"/>
        <v>2.3890103113606926</v>
      </c>
      <c r="P17" s="116">
        <f t="shared" si="16"/>
        <v>2.2897802748535119</v>
      </c>
      <c r="Q17" s="116">
        <f t="shared" si="16"/>
        <v>2.32749843914806</v>
      </c>
      <c r="R17" s="116">
        <f t="shared" si="16"/>
        <v>2.2685941389829773</v>
      </c>
      <c r="S17" s="116">
        <f t="shared" si="16"/>
        <v>2.6493846046061491</v>
      </c>
      <c r="T17" s="116">
        <f t="shared" si="16"/>
        <v>3.1547835417237784</v>
      </c>
      <c r="U17" s="116">
        <f t="shared" si="16"/>
        <v>3.1266959358290043</v>
      </c>
      <c r="V17" s="116">
        <f t="shared" si="16"/>
        <v>2.6120956548384071</v>
      </c>
      <c r="W17" s="116">
        <f t="shared" ref="W17:Y17" si="17">SUM(W18:W19)</f>
        <v>2.8126626784321793</v>
      </c>
      <c r="X17" s="116">
        <f t="shared" si="17"/>
        <v>2.7764623406566749</v>
      </c>
      <c r="Y17" s="116">
        <f t="shared" si="17"/>
        <v>2.8996793370243026</v>
      </c>
      <c r="DA17" s="176" t="s">
        <v>1038</v>
      </c>
    </row>
    <row r="18" spans="1:105" ht="11.45" customHeight="1" x14ac:dyDescent="0.25">
      <c r="A18" s="111" t="s">
        <v>92</v>
      </c>
      <c r="B18" s="87">
        <v>4.358469598866531</v>
      </c>
      <c r="C18" s="87">
        <v>3.8614340244614871</v>
      </c>
      <c r="D18" s="87">
        <v>3.6790549269073041</v>
      </c>
      <c r="E18" s="87">
        <v>3.1394656596096819</v>
      </c>
      <c r="F18" s="87">
        <v>3.1552238296212551</v>
      </c>
      <c r="G18" s="87">
        <v>1.8611969199705753</v>
      </c>
      <c r="H18" s="87">
        <v>1.7026606914898257</v>
      </c>
      <c r="I18" s="87">
        <v>1.5218246518303324</v>
      </c>
      <c r="J18" s="87">
        <v>1.6201917878093119</v>
      </c>
      <c r="K18" s="87">
        <v>1.4227231490896344</v>
      </c>
      <c r="L18" s="87">
        <v>1.5751172346099216</v>
      </c>
      <c r="M18" s="87">
        <v>1.7479747001592087</v>
      </c>
      <c r="N18" s="87">
        <v>1.7708095636203285</v>
      </c>
      <c r="O18" s="87">
        <v>1.7457397332962168</v>
      </c>
      <c r="P18" s="87">
        <v>1.5629475163192181</v>
      </c>
      <c r="Q18" s="87">
        <v>1.5922883740271789</v>
      </c>
      <c r="R18" s="87">
        <v>1.4596235860546691</v>
      </c>
      <c r="S18" s="87">
        <v>1.8555374979447465</v>
      </c>
      <c r="T18" s="87">
        <v>2.0230120660836635</v>
      </c>
      <c r="U18" s="87">
        <v>2.1002959110285375</v>
      </c>
      <c r="V18" s="87">
        <v>1.6926813695955627</v>
      </c>
      <c r="W18" s="87">
        <v>1.9807502294171782</v>
      </c>
      <c r="X18" s="87">
        <v>1.8950755208707764</v>
      </c>
      <c r="Y18" s="87">
        <v>1.9828120482539309</v>
      </c>
      <c r="DA18" s="171" t="s">
        <v>1039</v>
      </c>
    </row>
    <row r="19" spans="1:105" ht="11.45" customHeight="1" x14ac:dyDescent="0.25">
      <c r="A19" s="111" t="s">
        <v>93</v>
      </c>
      <c r="B19" s="87">
        <v>0.38602811988696489</v>
      </c>
      <c r="C19" s="87">
        <v>0.33183247122071524</v>
      </c>
      <c r="D19" s="87">
        <v>0.33595196427218393</v>
      </c>
      <c r="E19" s="87">
        <v>0.3929772824276494</v>
      </c>
      <c r="F19" s="87">
        <v>0.45230684923331838</v>
      </c>
      <c r="G19" s="87">
        <v>0.44934861976902729</v>
      </c>
      <c r="H19" s="87">
        <v>0.4499561377568928</v>
      </c>
      <c r="I19" s="87">
        <v>0.45586986575641553</v>
      </c>
      <c r="J19" s="87">
        <v>0.60134915597422611</v>
      </c>
      <c r="K19" s="87">
        <v>0.66684376953700752</v>
      </c>
      <c r="L19" s="87">
        <v>0.66945923858170286</v>
      </c>
      <c r="M19" s="87">
        <v>0.62817568390989664</v>
      </c>
      <c r="N19" s="87">
        <v>0.69709019312795295</v>
      </c>
      <c r="O19" s="87">
        <v>0.64327057806447585</v>
      </c>
      <c r="P19" s="87">
        <v>0.72683275853429374</v>
      </c>
      <c r="Q19" s="87">
        <v>0.73521006512088105</v>
      </c>
      <c r="R19" s="87">
        <v>0.80897055292830822</v>
      </c>
      <c r="S19" s="87">
        <v>0.79384710666140257</v>
      </c>
      <c r="T19" s="87">
        <v>1.1317714756401149</v>
      </c>
      <c r="U19" s="87">
        <v>1.0264000248004668</v>
      </c>
      <c r="V19" s="87">
        <v>0.91941428524284441</v>
      </c>
      <c r="W19" s="87">
        <v>0.83191244901500117</v>
      </c>
      <c r="X19" s="87">
        <v>0.8813868197858985</v>
      </c>
      <c r="Y19" s="87">
        <v>0.91686728877037171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X20" s="117">
        <v>0</v>
      </c>
      <c r="Y20" s="117">
        <v>0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13.216070792146498</v>
      </c>
      <c r="C21" s="29">
        <f t="shared" ref="C21:V21" si="19">SUM(C22:C23)</f>
        <v>11.703041309706425</v>
      </c>
      <c r="D21" s="29">
        <f t="shared" si="19"/>
        <v>12.738930811018289</v>
      </c>
      <c r="E21" s="29">
        <f t="shared" si="19"/>
        <v>14.646569389316705</v>
      </c>
      <c r="F21" s="29">
        <f t="shared" si="19"/>
        <v>14.514102788284879</v>
      </c>
      <c r="G21" s="29">
        <f t="shared" si="19"/>
        <v>15.335187520093898</v>
      </c>
      <c r="H21" s="29">
        <f t="shared" si="19"/>
        <v>14.793288749669349</v>
      </c>
      <c r="I21" s="29">
        <f t="shared" si="19"/>
        <v>15.560937043244435</v>
      </c>
      <c r="J21" s="29">
        <f t="shared" si="19"/>
        <v>16.649195692275217</v>
      </c>
      <c r="K21" s="29">
        <f t="shared" si="19"/>
        <v>12.718780016665107</v>
      </c>
      <c r="L21" s="29">
        <f t="shared" si="19"/>
        <v>13.481489356598402</v>
      </c>
      <c r="M21" s="29">
        <f t="shared" si="19"/>
        <v>14.59930337737776</v>
      </c>
      <c r="N21" s="29">
        <f t="shared" si="19"/>
        <v>13.779834703045925</v>
      </c>
      <c r="O21" s="29">
        <f t="shared" si="19"/>
        <v>12.790904636003575</v>
      </c>
      <c r="P21" s="29">
        <f t="shared" si="19"/>
        <v>13.811464030781439</v>
      </c>
      <c r="Q21" s="29">
        <f t="shared" si="19"/>
        <v>12.866456199110033</v>
      </c>
      <c r="R21" s="29">
        <f t="shared" si="19"/>
        <v>12.714419267783834</v>
      </c>
      <c r="S21" s="29">
        <f t="shared" si="19"/>
        <v>13.590538839883575</v>
      </c>
      <c r="T21" s="29">
        <f t="shared" si="19"/>
        <v>15.372566534654096</v>
      </c>
      <c r="U21" s="29">
        <f t="shared" si="19"/>
        <v>13.847822397801401</v>
      </c>
      <c r="V21" s="29">
        <f t="shared" si="19"/>
        <v>13.59680349526133</v>
      </c>
      <c r="W21" s="29">
        <f t="shared" ref="W21:Y21" si="20">SUM(W22:W23)</f>
        <v>13.154715272043914</v>
      </c>
      <c r="X21" s="29">
        <f t="shared" si="20"/>
        <v>6.6837139033770123</v>
      </c>
      <c r="Y21" s="29">
        <f t="shared" si="20"/>
        <v>6.783261352372941</v>
      </c>
      <c r="DA21" s="173" t="s">
        <v>1042</v>
      </c>
    </row>
    <row r="22" spans="1:105" ht="11.45" customHeight="1" x14ac:dyDescent="0.25">
      <c r="A22" s="83" t="s">
        <v>92</v>
      </c>
      <c r="B22" s="87">
        <v>13.216070792146498</v>
      </c>
      <c r="C22" s="87">
        <v>11.703041309706425</v>
      </c>
      <c r="D22" s="87">
        <v>12.738930811018289</v>
      </c>
      <c r="E22" s="87">
        <v>14.646569389316705</v>
      </c>
      <c r="F22" s="87">
        <v>14.514102788284879</v>
      </c>
      <c r="G22" s="87">
        <v>15.335187520093898</v>
      </c>
      <c r="H22" s="87">
        <v>14.793288749669349</v>
      </c>
      <c r="I22" s="87">
        <v>15.560937043244435</v>
      </c>
      <c r="J22" s="87">
        <v>16.649195692275217</v>
      </c>
      <c r="K22" s="87">
        <v>12.718780016665107</v>
      </c>
      <c r="L22" s="87">
        <v>13.481489356598402</v>
      </c>
      <c r="M22" s="87">
        <v>14.59930337737776</v>
      </c>
      <c r="N22" s="87">
        <v>13.779834703045925</v>
      </c>
      <c r="O22" s="87">
        <v>12.790904636003575</v>
      </c>
      <c r="P22" s="87">
        <v>13.811464030781439</v>
      </c>
      <c r="Q22" s="87">
        <v>12.866456199110033</v>
      </c>
      <c r="R22" s="87">
        <v>12.714419267783834</v>
      </c>
      <c r="S22" s="87">
        <v>13.590538839883575</v>
      </c>
      <c r="T22" s="87">
        <v>15.372566534654096</v>
      </c>
      <c r="U22" s="87">
        <v>13.847822397801401</v>
      </c>
      <c r="V22" s="87">
        <v>13.59680349526133</v>
      </c>
      <c r="W22" s="87">
        <v>13.154715272043914</v>
      </c>
      <c r="X22" s="87">
        <v>6.6837139033770123</v>
      </c>
      <c r="Y22" s="87">
        <v>6.783261352372941</v>
      </c>
      <c r="DA22" s="171" t="s">
        <v>1043</v>
      </c>
    </row>
    <row r="23" spans="1:105" ht="11.45" customHeight="1" x14ac:dyDescent="0.25">
      <c r="A23" s="85" t="s">
        <v>93</v>
      </c>
      <c r="B23" s="88">
        <v>0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X23" s="88">
        <v>0</v>
      </c>
      <c r="Y23" s="88">
        <v>0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97.710339000000005</v>
      </c>
      <c r="C25" s="62">
        <f t="shared" ref="C25:V25" si="22">C26+C32</f>
        <v>87.939306000000002</v>
      </c>
      <c r="D25" s="62">
        <f t="shared" si="22"/>
        <v>90.461367999999993</v>
      </c>
      <c r="E25" s="62">
        <f t="shared" si="22"/>
        <v>97.474082999999993</v>
      </c>
      <c r="F25" s="62">
        <f t="shared" si="22"/>
        <v>96.620719000000008</v>
      </c>
      <c r="G25" s="62">
        <f t="shared" si="22"/>
        <v>97.800775999999999</v>
      </c>
      <c r="H25" s="62">
        <f t="shared" si="22"/>
        <v>92.189685999999995</v>
      </c>
      <c r="I25" s="62">
        <f t="shared" si="22"/>
        <v>93.161707000000007</v>
      </c>
      <c r="J25" s="62">
        <f t="shared" si="22"/>
        <v>98.056252999999998</v>
      </c>
      <c r="K25" s="62">
        <f t="shared" si="22"/>
        <v>90.568391000000005</v>
      </c>
      <c r="L25" s="62">
        <f t="shared" si="22"/>
        <v>84.993752999999998</v>
      </c>
      <c r="M25" s="62">
        <f t="shared" si="22"/>
        <v>88.855391999999995</v>
      </c>
      <c r="N25" s="62">
        <f t="shared" si="22"/>
        <v>85.35184000000001</v>
      </c>
      <c r="O25" s="62">
        <f t="shared" si="22"/>
        <v>79.982704999999996</v>
      </c>
      <c r="P25" s="62">
        <f t="shared" si="22"/>
        <v>84.322524000000001</v>
      </c>
      <c r="Q25" s="62">
        <f t="shared" si="22"/>
        <v>79.84893799999999</v>
      </c>
      <c r="R25" s="62">
        <f t="shared" si="22"/>
        <v>78.696059000000005</v>
      </c>
      <c r="S25" s="62">
        <f t="shared" si="22"/>
        <v>85.615259999999992</v>
      </c>
      <c r="T25" s="62">
        <f t="shared" si="22"/>
        <v>97.894724999999994</v>
      </c>
      <c r="U25" s="62">
        <f t="shared" si="22"/>
        <v>91.544562999999997</v>
      </c>
      <c r="V25" s="62">
        <f t="shared" si="22"/>
        <v>86.29900099999999</v>
      </c>
      <c r="W25" s="62">
        <f t="shared" ref="W25:Y25" si="23">W26+W32</f>
        <v>85.751666999999998</v>
      </c>
      <c r="X25" s="62">
        <f t="shared" si="23"/>
        <v>78.315114999999992</v>
      </c>
      <c r="Y25" s="62">
        <f t="shared" si="23"/>
        <v>72.034638000000001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31.629985000000001</v>
      </c>
      <c r="C26" s="29">
        <f t="shared" ref="C26:V26" si="25">SUM(C27,C28,C31)</f>
        <v>28.466987</v>
      </c>
      <c r="D26" s="29">
        <f t="shared" si="25"/>
        <v>26.766712999999999</v>
      </c>
      <c r="E26" s="29">
        <f t="shared" si="25"/>
        <v>24.241236000000001</v>
      </c>
      <c r="F26" s="29">
        <f t="shared" si="25"/>
        <v>24.050205000000002</v>
      </c>
      <c r="G26" s="29">
        <f t="shared" si="25"/>
        <v>21.124838</v>
      </c>
      <c r="H26" s="29">
        <f t="shared" si="25"/>
        <v>18.223241999999999</v>
      </c>
      <c r="I26" s="29">
        <f t="shared" si="25"/>
        <v>15.357021</v>
      </c>
      <c r="J26" s="29">
        <f t="shared" si="25"/>
        <v>14.810274</v>
      </c>
      <c r="K26" s="29">
        <f t="shared" si="25"/>
        <v>13.930446999999997</v>
      </c>
      <c r="L26" s="29">
        <f t="shared" si="25"/>
        <v>14.963843999999998</v>
      </c>
      <c r="M26" s="29">
        <f t="shared" si="25"/>
        <v>15.858874999999999</v>
      </c>
      <c r="N26" s="29">
        <f t="shared" si="25"/>
        <v>16.452666000000001</v>
      </c>
      <c r="O26" s="29">
        <f t="shared" si="25"/>
        <v>16.028181</v>
      </c>
      <c r="P26" s="29">
        <f t="shared" si="25"/>
        <v>15.265203</v>
      </c>
      <c r="Q26" s="29">
        <f t="shared" si="25"/>
        <v>15.516656999999999</v>
      </c>
      <c r="R26" s="29">
        <f t="shared" si="25"/>
        <v>15.123962000000001</v>
      </c>
      <c r="S26" s="29">
        <f t="shared" si="25"/>
        <v>17.662565000000001</v>
      </c>
      <c r="T26" s="29">
        <f t="shared" si="25"/>
        <v>21.031891999999999</v>
      </c>
      <c r="U26" s="29">
        <f t="shared" si="25"/>
        <v>21.289764999999999</v>
      </c>
      <c r="V26" s="29">
        <f t="shared" si="25"/>
        <v>18.314982999999998</v>
      </c>
      <c r="W26" s="29">
        <f t="shared" ref="W26:Y26" si="26">SUM(W27,W28,W31)</f>
        <v>19.978089999999998</v>
      </c>
      <c r="X26" s="29">
        <f t="shared" si="26"/>
        <v>19.149573</v>
      </c>
      <c r="Y26" s="29">
        <f t="shared" si="26"/>
        <v>19.477131</v>
      </c>
      <c r="DA26" s="173" t="s">
        <v>1046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</v>
      </c>
      <c r="E27" s="115">
        <v>0</v>
      </c>
      <c r="F27" s="115">
        <v>0</v>
      </c>
      <c r="G27" s="115">
        <v>0</v>
      </c>
      <c r="H27" s="115">
        <v>0</v>
      </c>
      <c r="I27" s="115">
        <v>0</v>
      </c>
      <c r="J27" s="115">
        <v>0</v>
      </c>
      <c r="K27" s="115">
        <v>0</v>
      </c>
      <c r="L27" s="115">
        <v>0</v>
      </c>
      <c r="M27" s="115">
        <v>0</v>
      </c>
      <c r="N27" s="115">
        <v>0</v>
      </c>
      <c r="O27" s="115">
        <v>0</v>
      </c>
      <c r="P27" s="115">
        <v>0</v>
      </c>
      <c r="Q27" s="115">
        <v>0</v>
      </c>
      <c r="R27" s="115">
        <v>0</v>
      </c>
      <c r="S27" s="115">
        <v>0</v>
      </c>
      <c r="T27" s="115">
        <v>0</v>
      </c>
      <c r="U27" s="115">
        <v>0</v>
      </c>
      <c r="V27" s="115">
        <v>0</v>
      </c>
      <c r="W27" s="115">
        <v>0</v>
      </c>
      <c r="X27" s="115">
        <v>0</v>
      </c>
      <c r="Y27" s="115">
        <v>0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31.629985000000001</v>
      </c>
      <c r="C28" s="116">
        <f t="shared" ref="C28:V28" si="28">SUM(C29:C30)</f>
        <v>28.466987</v>
      </c>
      <c r="D28" s="116">
        <f t="shared" si="28"/>
        <v>26.766712999999999</v>
      </c>
      <c r="E28" s="116">
        <f t="shared" si="28"/>
        <v>24.241236000000001</v>
      </c>
      <c r="F28" s="116">
        <f t="shared" si="28"/>
        <v>24.050205000000002</v>
      </c>
      <c r="G28" s="116">
        <f t="shared" si="28"/>
        <v>21.124838</v>
      </c>
      <c r="H28" s="116">
        <f t="shared" si="28"/>
        <v>18.223241999999999</v>
      </c>
      <c r="I28" s="116">
        <f t="shared" si="28"/>
        <v>15.357021</v>
      </c>
      <c r="J28" s="116">
        <f t="shared" si="28"/>
        <v>14.810274</v>
      </c>
      <c r="K28" s="116">
        <f t="shared" si="28"/>
        <v>13.930446999999997</v>
      </c>
      <c r="L28" s="116">
        <f t="shared" si="28"/>
        <v>14.963843999999998</v>
      </c>
      <c r="M28" s="116">
        <f t="shared" si="28"/>
        <v>15.858874999999999</v>
      </c>
      <c r="N28" s="116">
        <f t="shared" si="28"/>
        <v>16.452666000000001</v>
      </c>
      <c r="O28" s="116">
        <f t="shared" si="28"/>
        <v>16.028181</v>
      </c>
      <c r="P28" s="116">
        <f t="shared" si="28"/>
        <v>15.265203</v>
      </c>
      <c r="Q28" s="116">
        <f t="shared" si="28"/>
        <v>15.516656999999999</v>
      </c>
      <c r="R28" s="116">
        <f t="shared" si="28"/>
        <v>15.123962000000001</v>
      </c>
      <c r="S28" s="116">
        <f t="shared" si="28"/>
        <v>17.662565000000001</v>
      </c>
      <c r="T28" s="116">
        <f t="shared" si="28"/>
        <v>21.031891999999999</v>
      </c>
      <c r="U28" s="116">
        <f t="shared" si="28"/>
        <v>21.289764999999999</v>
      </c>
      <c r="V28" s="116">
        <f t="shared" si="28"/>
        <v>18.314982999999998</v>
      </c>
      <c r="W28" s="116">
        <f t="shared" ref="W28:Y28" si="29">SUM(W29:W30)</f>
        <v>19.978089999999998</v>
      </c>
      <c r="X28" s="116">
        <f t="shared" si="29"/>
        <v>19.149573</v>
      </c>
      <c r="Y28" s="116">
        <f t="shared" si="29"/>
        <v>19.477131</v>
      </c>
      <c r="DA28" s="176" t="s">
        <v>1048</v>
      </c>
    </row>
    <row r="29" spans="1:105" ht="11.45" customHeight="1" x14ac:dyDescent="0.25">
      <c r="A29" s="111" t="s">
        <v>92</v>
      </c>
      <c r="B29" s="87">
        <v>29.056464000000002</v>
      </c>
      <c r="C29" s="87">
        <v>26.150818000000001</v>
      </c>
      <c r="D29" s="87">
        <v>24.527032999999999</v>
      </c>
      <c r="E29" s="87">
        <v>21.621387000000002</v>
      </c>
      <c r="F29" s="87">
        <v>21.034826000000002</v>
      </c>
      <c r="G29" s="87">
        <v>18.129180000000002</v>
      </c>
      <c r="H29" s="87">
        <v>15.223533999999999</v>
      </c>
      <c r="I29" s="87">
        <v>12.317888</v>
      </c>
      <c r="J29" s="87">
        <v>10.801278999999999</v>
      </c>
      <c r="K29" s="87">
        <v>9.4848209999999984</v>
      </c>
      <c r="L29" s="87">
        <v>10.500781999999999</v>
      </c>
      <c r="M29" s="87">
        <v>11.653165</v>
      </c>
      <c r="N29" s="87">
        <v>11.805397999999999</v>
      </c>
      <c r="O29" s="87">
        <v>11.638264999999999</v>
      </c>
      <c r="P29" s="87">
        <v>10.419651</v>
      </c>
      <c r="Q29" s="87">
        <v>10.615255999999999</v>
      </c>
      <c r="R29" s="87">
        <v>9.7308240000000001</v>
      </c>
      <c r="S29" s="87">
        <v>12.370249999999999</v>
      </c>
      <c r="T29" s="87">
        <v>13.486747999999999</v>
      </c>
      <c r="U29" s="87">
        <v>14.001973</v>
      </c>
      <c r="V29" s="87">
        <v>11.284542999999999</v>
      </c>
      <c r="W29" s="87">
        <v>13.205001999999999</v>
      </c>
      <c r="X29" s="87">
        <v>12.633837</v>
      </c>
      <c r="Y29" s="87">
        <v>13.218746999999999</v>
      </c>
      <c r="DA29" s="171" t="s">
        <v>1049</v>
      </c>
    </row>
    <row r="30" spans="1:105" ht="11.45" customHeight="1" x14ac:dyDescent="0.25">
      <c r="A30" s="111" t="s">
        <v>93</v>
      </c>
      <c r="B30" s="87">
        <v>2.5735209999999999</v>
      </c>
      <c r="C30" s="87">
        <v>2.3161689999999999</v>
      </c>
      <c r="D30" s="87">
        <v>2.2396800000000003</v>
      </c>
      <c r="E30" s="87">
        <v>2.6198490000000003</v>
      </c>
      <c r="F30" s="87">
        <v>3.0153790000000003</v>
      </c>
      <c r="G30" s="87">
        <v>2.9956580000000002</v>
      </c>
      <c r="H30" s="87">
        <v>2.999708</v>
      </c>
      <c r="I30" s="87">
        <v>3.0391330000000001</v>
      </c>
      <c r="J30" s="87">
        <v>4.0089950000000005</v>
      </c>
      <c r="K30" s="87">
        <v>4.4456259999999999</v>
      </c>
      <c r="L30" s="87">
        <v>4.4630619999999999</v>
      </c>
      <c r="M30" s="87">
        <v>4.2057099999999998</v>
      </c>
      <c r="N30" s="87">
        <v>4.6472680000000004</v>
      </c>
      <c r="O30" s="87">
        <v>4.3899160000000004</v>
      </c>
      <c r="P30" s="87">
        <v>4.8455520000000005</v>
      </c>
      <c r="Q30" s="87">
        <v>4.9014009999999999</v>
      </c>
      <c r="R30" s="87">
        <v>5.3931380000000004</v>
      </c>
      <c r="S30" s="87">
        <v>5.2923150000000003</v>
      </c>
      <c r="T30" s="87">
        <v>7.5451440000000005</v>
      </c>
      <c r="U30" s="87">
        <v>7.2877920000000005</v>
      </c>
      <c r="V30" s="87">
        <v>7.0304400000000005</v>
      </c>
      <c r="W30" s="87">
        <v>6.7730880000000004</v>
      </c>
      <c r="X30" s="87">
        <v>6.5157360000000004</v>
      </c>
      <c r="Y30" s="87">
        <v>6.2583840000000004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X31" s="117">
        <v>0</v>
      </c>
      <c r="Y31" s="117">
        <v>0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66.080354</v>
      </c>
      <c r="C32" s="29">
        <f t="shared" ref="C32:V32" si="31">SUM(C33:C34)</f>
        <v>59.472318999999999</v>
      </c>
      <c r="D32" s="29">
        <f t="shared" si="31"/>
        <v>63.694654999999997</v>
      </c>
      <c r="E32" s="29">
        <f t="shared" si="31"/>
        <v>73.232846999999992</v>
      </c>
      <c r="F32" s="29">
        <f t="shared" si="31"/>
        <v>72.570514000000003</v>
      </c>
      <c r="G32" s="29">
        <f t="shared" si="31"/>
        <v>76.675938000000002</v>
      </c>
      <c r="H32" s="29">
        <f t="shared" si="31"/>
        <v>73.966443999999996</v>
      </c>
      <c r="I32" s="29">
        <f t="shared" si="31"/>
        <v>77.804686000000004</v>
      </c>
      <c r="J32" s="29">
        <f t="shared" si="31"/>
        <v>83.245978999999991</v>
      </c>
      <c r="K32" s="29">
        <f t="shared" si="31"/>
        <v>76.637944000000005</v>
      </c>
      <c r="L32" s="29">
        <f t="shared" si="31"/>
        <v>70.029909000000004</v>
      </c>
      <c r="M32" s="29">
        <f t="shared" si="31"/>
        <v>72.996516999999997</v>
      </c>
      <c r="N32" s="29">
        <f t="shared" si="31"/>
        <v>68.899174000000002</v>
      </c>
      <c r="O32" s="29">
        <f t="shared" si="31"/>
        <v>63.954523999999999</v>
      </c>
      <c r="P32" s="29">
        <f t="shared" si="31"/>
        <v>69.057321000000002</v>
      </c>
      <c r="Q32" s="29">
        <f t="shared" si="31"/>
        <v>64.332280999999995</v>
      </c>
      <c r="R32" s="29">
        <f t="shared" si="31"/>
        <v>63.572096999999999</v>
      </c>
      <c r="S32" s="29">
        <f t="shared" si="31"/>
        <v>67.952694999999991</v>
      </c>
      <c r="T32" s="29">
        <f t="shared" si="31"/>
        <v>76.862832999999995</v>
      </c>
      <c r="U32" s="29">
        <f t="shared" si="31"/>
        <v>70.254797999999994</v>
      </c>
      <c r="V32" s="29">
        <f t="shared" si="31"/>
        <v>67.984017999999992</v>
      </c>
      <c r="W32" s="29">
        <f t="shared" ref="W32:Y32" si="32">SUM(W33:W34)</f>
        <v>65.773577000000003</v>
      </c>
      <c r="X32" s="29">
        <f t="shared" si="32"/>
        <v>59.165541999999995</v>
      </c>
      <c r="Y32" s="29">
        <f t="shared" si="32"/>
        <v>52.557506999999994</v>
      </c>
      <c r="DA32" s="173" t="s">
        <v>1052</v>
      </c>
    </row>
    <row r="33" spans="1:105" ht="11.45" customHeight="1" x14ac:dyDescent="0.25">
      <c r="A33" s="83" t="s">
        <v>92</v>
      </c>
      <c r="B33" s="87">
        <v>66.080354</v>
      </c>
      <c r="C33" s="87">
        <v>59.472318999999999</v>
      </c>
      <c r="D33" s="87">
        <v>63.694654999999997</v>
      </c>
      <c r="E33" s="87">
        <v>73.232846999999992</v>
      </c>
      <c r="F33" s="87">
        <v>72.570514000000003</v>
      </c>
      <c r="G33" s="87">
        <v>76.675938000000002</v>
      </c>
      <c r="H33" s="87">
        <v>73.966443999999996</v>
      </c>
      <c r="I33" s="87">
        <v>77.804686000000004</v>
      </c>
      <c r="J33" s="87">
        <v>83.245978999999991</v>
      </c>
      <c r="K33" s="87">
        <v>76.637944000000005</v>
      </c>
      <c r="L33" s="87">
        <v>70.029909000000004</v>
      </c>
      <c r="M33" s="87">
        <v>72.996516999999997</v>
      </c>
      <c r="N33" s="87">
        <v>68.899174000000002</v>
      </c>
      <c r="O33" s="87">
        <v>63.954523999999999</v>
      </c>
      <c r="P33" s="87">
        <v>69.057321000000002</v>
      </c>
      <c r="Q33" s="87">
        <v>64.332280999999995</v>
      </c>
      <c r="R33" s="87">
        <v>63.572096999999999</v>
      </c>
      <c r="S33" s="87">
        <v>67.952694999999991</v>
      </c>
      <c r="T33" s="87">
        <v>76.862832999999995</v>
      </c>
      <c r="U33" s="87">
        <v>70.254797999999994</v>
      </c>
      <c r="V33" s="87">
        <v>67.984017999999992</v>
      </c>
      <c r="W33" s="87">
        <v>65.773577000000003</v>
      </c>
      <c r="X33" s="87">
        <v>59.165541999999995</v>
      </c>
      <c r="Y33" s="87">
        <v>52.557506999999994</v>
      </c>
      <c r="DA33" s="171" t="s">
        <v>1053</v>
      </c>
    </row>
    <row r="34" spans="1:105" ht="11.45" customHeight="1" x14ac:dyDescent="0.25">
      <c r="A34" s="85" t="s">
        <v>93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X34" s="88">
        <v>0</v>
      </c>
      <c r="Y34" s="88">
        <v>0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0</v>
      </c>
      <c r="D36" s="54">
        <f t="shared" ref="D36:V36" si="34">D37+D43</f>
        <v>6.6012290000000036</v>
      </c>
      <c r="E36" s="54">
        <f t="shared" si="34"/>
        <v>12.363431</v>
      </c>
      <c r="F36" s="54">
        <f t="shared" si="34"/>
        <v>2.4634000000000174</v>
      </c>
      <c r="G36" s="54">
        <f t="shared" si="34"/>
        <v>6.5307730000000044</v>
      </c>
      <c r="H36" s="54">
        <f t="shared" si="34"/>
        <v>7.0227000000000039E-2</v>
      </c>
      <c r="I36" s="54">
        <f t="shared" si="34"/>
        <v>6.3227370000000134</v>
      </c>
      <c r="J36" s="54">
        <f t="shared" si="34"/>
        <v>8.8562249999999931</v>
      </c>
      <c r="K36" s="54">
        <f t="shared" si="34"/>
        <v>0.50280799999999903</v>
      </c>
      <c r="L36" s="54">
        <f t="shared" si="34"/>
        <v>1.9712680000000002</v>
      </c>
      <c r="M36" s="54">
        <f t="shared" si="34"/>
        <v>7.3695779999999989</v>
      </c>
      <c r="N36" s="54">
        <f t="shared" si="34"/>
        <v>1.531661999999999</v>
      </c>
      <c r="O36" s="54">
        <f t="shared" si="34"/>
        <v>0.70456099999999999</v>
      </c>
      <c r="P36" s="54">
        <f t="shared" si="34"/>
        <v>8.0035030000000074</v>
      </c>
      <c r="Q36" s="54">
        <f t="shared" si="34"/>
        <v>1.1893249999999975</v>
      </c>
      <c r="R36" s="54">
        <f t="shared" si="34"/>
        <v>2.17662300000001</v>
      </c>
      <c r="S36" s="54">
        <f t="shared" si="34"/>
        <v>10.270610999999995</v>
      </c>
      <c r="T36" s="54">
        <f t="shared" si="34"/>
        <v>15.596229000000008</v>
      </c>
      <c r="U36" s="54">
        <f t="shared" si="34"/>
        <v>1.3869190000000007</v>
      </c>
      <c r="V36" s="54">
        <f t="shared" si="34"/>
        <v>0.10811300000000301</v>
      </c>
      <c r="W36" s="54">
        <f t="shared" ref="W36:Y36" si="35">W37+W43</f>
        <v>2.9606050000000153</v>
      </c>
      <c r="X36" s="54">
        <f t="shared" si="35"/>
        <v>0.30052900000000093</v>
      </c>
      <c r="Y36" s="54">
        <f t="shared" si="35"/>
        <v>1.4566039999999987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0</v>
      </c>
      <c r="D37" s="28">
        <f t="shared" ref="D37:V37" si="37">SUM(D38,D39,D42)</f>
        <v>0</v>
      </c>
      <c r="E37" s="28">
        <f t="shared" si="37"/>
        <v>0.44634600000000013</v>
      </c>
      <c r="F37" s="28">
        <f t="shared" si="37"/>
        <v>0.74684000000000195</v>
      </c>
      <c r="G37" s="28">
        <f t="shared" si="37"/>
        <v>4.6456000000000053E-2</v>
      </c>
      <c r="H37" s="28">
        <f t="shared" si="37"/>
        <v>7.0227000000000039E-2</v>
      </c>
      <c r="I37" s="28">
        <f t="shared" si="37"/>
        <v>0.1056020000000002</v>
      </c>
      <c r="J37" s="28">
        <f t="shared" si="37"/>
        <v>1.0360390000000002</v>
      </c>
      <c r="K37" s="28">
        <f t="shared" si="37"/>
        <v>0.50280799999999903</v>
      </c>
      <c r="L37" s="28">
        <f t="shared" si="37"/>
        <v>1.9712680000000002</v>
      </c>
      <c r="M37" s="28">
        <f t="shared" si="37"/>
        <v>2.0240770000000001</v>
      </c>
      <c r="N37" s="28">
        <f t="shared" si="37"/>
        <v>1.531661999999999</v>
      </c>
      <c r="O37" s="28">
        <f t="shared" si="37"/>
        <v>0.70456099999999999</v>
      </c>
      <c r="P37" s="28">
        <f t="shared" si="37"/>
        <v>0.52181299999999986</v>
      </c>
      <c r="Q37" s="28">
        <f t="shared" si="37"/>
        <v>1.1893249999999975</v>
      </c>
      <c r="R37" s="28">
        <f t="shared" si="37"/>
        <v>0.55791400000000024</v>
      </c>
      <c r="S37" s="28">
        <f t="shared" si="37"/>
        <v>3.5111199999999982</v>
      </c>
      <c r="T37" s="28">
        <f t="shared" si="37"/>
        <v>4.3071979999999996</v>
      </c>
      <c r="U37" s="28">
        <f t="shared" si="37"/>
        <v>1.3869190000000007</v>
      </c>
      <c r="V37" s="28">
        <f t="shared" si="37"/>
        <v>0</v>
      </c>
      <c r="W37" s="28">
        <f t="shared" ref="W37:Y37" si="38">SUM(W38,W39,W42)</f>
        <v>2.792152999999999</v>
      </c>
      <c r="X37" s="28">
        <f t="shared" si="38"/>
        <v>0.30052900000000093</v>
      </c>
      <c r="Y37" s="28">
        <f t="shared" si="38"/>
        <v>1.4566039999999987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X38" s="108">
        <v>0</v>
      </c>
      <c r="Y38" s="108">
        <v>0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0</v>
      </c>
      <c r="E39" s="110">
        <f t="shared" si="40"/>
        <v>0.44634600000000013</v>
      </c>
      <c r="F39" s="110">
        <f t="shared" si="40"/>
        <v>0.74684000000000195</v>
      </c>
      <c r="G39" s="110">
        <f t="shared" si="40"/>
        <v>4.6456000000000053E-2</v>
      </c>
      <c r="H39" s="110">
        <f t="shared" si="40"/>
        <v>7.0227000000000039E-2</v>
      </c>
      <c r="I39" s="110">
        <f t="shared" si="40"/>
        <v>0.1056020000000002</v>
      </c>
      <c r="J39" s="110">
        <f t="shared" si="40"/>
        <v>1.0360390000000002</v>
      </c>
      <c r="K39" s="110">
        <f t="shared" si="40"/>
        <v>0.50280799999999903</v>
      </c>
      <c r="L39" s="110">
        <f t="shared" si="40"/>
        <v>1.9712680000000002</v>
      </c>
      <c r="M39" s="110">
        <f t="shared" si="40"/>
        <v>2.0240770000000001</v>
      </c>
      <c r="N39" s="110">
        <f t="shared" si="40"/>
        <v>1.531661999999999</v>
      </c>
      <c r="O39" s="110">
        <f t="shared" si="40"/>
        <v>0.70456099999999999</v>
      </c>
      <c r="P39" s="110">
        <f t="shared" si="40"/>
        <v>0.52181299999999986</v>
      </c>
      <c r="Q39" s="110">
        <f t="shared" si="40"/>
        <v>1.1893249999999975</v>
      </c>
      <c r="R39" s="110">
        <f t="shared" si="40"/>
        <v>0.55791400000000024</v>
      </c>
      <c r="S39" s="110">
        <f t="shared" si="40"/>
        <v>3.5111199999999982</v>
      </c>
      <c r="T39" s="110">
        <f t="shared" si="40"/>
        <v>4.3071979999999996</v>
      </c>
      <c r="U39" s="110">
        <f t="shared" si="40"/>
        <v>1.3869190000000007</v>
      </c>
      <c r="V39" s="110">
        <f t="shared" si="40"/>
        <v>0</v>
      </c>
      <c r="W39" s="110">
        <f t="shared" ref="W39:Y39" si="41">SUM(W40:W41)</f>
        <v>2.792152999999999</v>
      </c>
      <c r="X39" s="110">
        <f t="shared" si="41"/>
        <v>0.30052900000000093</v>
      </c>
      <c r="Y39" s="110">
        <f t="shared" si="41"/>
        <v>1.4566039999999987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0.28513300000000186</v>
      </c>
      <c r="G40" s="84">
        <v>0</v>
      </c>
      <c r="H40" s="84">
        <v>0</v>
      </c>
      <c r="I40" s="84">
        <v>0</v>
      </c>
      <c r="J40" s="84">
        <v>0</v>
      </c>
      <c r="K40" s="84">
        <v>0</v>
      </c>
      <c r="L40" s="84">
        <v>1.8876550000000005</v>
      </c>
      <c r="M40" s="84">
        <v>2.0240770000000001</v>
      </c>
      <c r="N40" s="84">
        <v>1.0239269999999987</v>
      </c>
      <c r="O40" s="84">
        <v>0.70456099999999999</v>
      </c>
      <c r="P40" s="84">
        <v>0</v>
      </c>
      <c r="Q40" s="84">
        <v>1.0672989999999984</v>
      </c>
      <c r="R40" s="84">
        <v>0</v>
      </c>
      <c r="S40" s="84">
        <v>3.5111199999999982</v>
      </c>
      <c r="T40" s="84">
        <v>1.9881919999999997</v>
      </c>
      <c r="U40" s="84">
        <v>1.3869190000000007</v>
      </c>
      <c r="V40" s="84">
        <v>0</v>
      </c>
      <c r="W40" s="84">
        <v>2.792152999999999</v>
      </c>
      <c r="X40" s="84">
        <v>0.30052900000000093</v>
      </c>
      <c r="Y40" s="84">
        <v>1.4566039999999987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0</v>
      </c>
      <c r="E41" s="84">
        <v>0.44634600000000013</v>
      </c>
      <c r="F41" s="84">
        <v>0.46170700000000009</v>
      </c>
      <c r="G41" s="84">
        <v>4.6456000000000053E-2</v>
      </c>
      <c r="H41" s="84">
        <v>7.0227000000000039E-2</v>
      </c>
      <c r="I41" s="84">
        <v>0.1056020000000002</v>
      </c>
      <c r="J41" s="84">
        <v>1.0360390000000002</v>
      </c>
      <c r="K41" s="84">
        <v>0.50280799999999903</v>
      </c>
      <c r="L41" s="84">
        <v>8.3612999999999715E-2</v>
      </c>
      <c r="M41" s="84">
        <v>0</v>
      </c>
      <c r="N41" s="84">
        <v>0.50773500000000027</v>
      </c>
      <c r="O41" s="84">
        <v>0</v>
      </c>
      <c r="P41" s="84">
        <v>0.52181299999999986</v>
      </c>
      <c r="Q41" s="84">
        <v>0.12202599999999908</v>
      </c>
      <c r="R41" s="84">
        <v>0.55791400000000024</v>
      </c>
      <c r="S41" s="84">
        <v>0</v>
      </c>
      <c r="T41" s="84">
        <v>2.3190059999999999</v>
      </c>
      <c r="U41" s="84">
        <v>0</v>
      </c>
      <c r="V41" s="84">
        <v>0</v>
      </c>
      <c r="W41" s="84">
        <v>0</v>
      </c>
      <c r="X41" s="84">
        <v>0</v>
      </c>
      <c r="Y41" s="84">
        <v>0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6.6012290000000036</v>
      </c>
      <c r="E43" s="28">
        <f t="shared" si="43"/>
        <v>11.917085</v>
      </c>
      <c r="F43" s="28">
        <f t="shared" si="43"/>
        <v>1.7165600000000154</v>
      </c>
      <c r="G43" s="28">
        <f t="shared" si="43"/>
        <v>6.4843170000000043</v>
      </c>
      <c r="H43" s="28">
        <f t="shared" si="43"/>
        <v>0</v>
      </c>
      <c r="I43" s="28">
        <f t="shared" si="43"/>
        <v>6.2171350000000132</v>
      </c>
      <c r="J43" s="28">
        <f t="shared" si="43"/>
        <v>7.8201859999999925</v>
      </c>
      <c r="K43" s="28">
        <f t="shared" si="43"/>
        <v>0</v>
      </c>
      <c r="L43" s="28">
        <f t="shared" si="43"/>
        <v>0</v>
      </c>
      <c r="M43" s="28">
        <f t="shared" si="43"/>
        <v>5.3455009999999987</v>
      </c>
      <c r="N43" s="28">
        <f t="shared" si="43"/>
        <v>0</v>
      </c>
      <c r="O43" s="28">
        <f t="shared" si="43"/>
        <v>0</v>
      </c>
      <c r="P43" s="28">
        <f t="shared" si="43"/>
        <v>7.4816900000000075</v>
      </c>
      <c r="Q43" s="28">
        <f t="shared" si="43"/>
        <v>0</v>
      </c>
      <c r="R43" s="28">
        <f t="shared" si="43"/>
        <v>1.6187090000000097</v>
      </c>
      <c r="S43" s="28">
        <f t="shared" si="43"/>
        <v>6.759490999999997</v>
      </c>
      <c r="T43" s="28">
        <f t="shared" si="43"/>
        <v>11.289031000000008</v>
      </c>
      <c r="U43" s="28">
        <f t="shared" si="43"/>
        <v>0</v>
      </c>
      <c r="V43" s="28">
        <f t="shared" si="43"/>
        <v>0.10811300000000301</v>
      </c>
      <c r="W43" s="28">
        <f t="shared" ref="W43:Y43" si="44">SUM(W44:W45)</f>
        <v>0.16845200000001626</v>
      </c>
      <c r="X43" s="28">
        <f t="shared" si="44"/>
        <v>0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6.6012290000000036</v>
      </c>
      <c r="E44" s="84">
        <v>11.917085</v>
      </c>
      <c r="F44" s="84">
        <v>1.7165600000000154</v>
      </c>
      <c r="G44" s="84">
        <v>6.4843170000000043</v>
      </c>
      <c r="H44" s="84">
        <v>0</v>
      </c>
      <c r="I44" s="84">
        <v>6.2171350000000132</v>
      </c>
      <c r="J44" s="84">
        <v>7.8201859999999925</v>
      </c>
      <c r="K44" s="84">
        <v>0</v>
      </c>
      <c r="L44" s="84">
        <v>0</v>
      </c>
      <c r="M44" s="84">
        <v>5.3455009999999987</v>
      </c>
      <c r="N44" s="84">
        <v>0</v>
      </c>
      <c r="O44" s="84">
        <v>0</v>
      </c>
      <c r="P44" s="84">
        <v>7.4816900000000075</v>
      </c>
      <c r="Q44" s="84">
        <v>0</v>
      </c>
      <c r="R44" s="84">
        <v>1.6187090000000097</v>
      </c>
      <c r="S44" s="84">
        <v>6.759490999999997</v>
      </c>
      <c r="T44" s="84">
        <v>11.289031000000008</v>
      </c>
      <c r="U44" s="84">
        <v>0</v>
      </c>
      <c r="V44" s="84">
        <v>0.10811300000000301</v>
      </c>
      <c r="W44" s="84">
        <v>0.16845200000001626</v>
      </c>
      <c r="X44" s="84">
        <v>0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X45" s="86">
        <v>0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128.7807553547577</v>
      </c>
      <c r="C50" s="29">
        <f t="shared" si="45"/>
        <v>127.10854426944459</v>
      </c>
      <c r="D50" s="29">
        <f t="shared" si="45"/>
        <v>124.03465635240855</v>
      </c>
      <c r="E50" s="29">
        <f t="shared" si="45"/>
        <v>122.29496897431686</v>
      </c>
      <c r="F50" s="29">
        <f t="shared" si="45"/>
        <v>123.07587641665583</v>
      </c>
      <c r="G50" s="29">
        <f t="shared" si="45"/>
        <v>121.18350198436507</v>
      </c>
      <c r="H50" s="29">
        <f t="shared" si="45"/>
        <v>124.49963057000872</v>
      </c>
      <c r="I50" s="29">
        <f t="shared" si="45"/>
        <v>124.38725890800254</v>
      </c>
      <c r="J50" s="29">
        <f t="shared" si="45"/>
        <v>116.1356043074302</v>
      </c>
      <c r="K50" s="29">
        <f t="shared" ref="K50:V50" si="46">IF(K4=0,0,K4/K15)</f>
        <v>110.54922335381519</v>
      </c>
      <c r="L50" s="29">
        <f t="shared" si="46"/>
        <v>108.70647666241005</v>
      </c>
      <c r="M50" s="29">
        <f t="shared" si="46"/>
        <v>113.20832292581726</v>
      </c>
      <c r="N50" s="29">
        <f t="shared" si="46"/>
        <v>112.64639061608173</v>
      </c>
      <c r="O50" s="29">
        <f t="shared" si="46"/>
        <v>116.36617836180933</v>
      </c>
      <c r="P50" s="29">
        <f t="shared" si="46"/>
        <v>117.91524408047107</v>
      </c>
      <c r="Q50" s="29">
        <f t="shared" si="46"/>
        <v>112.56720760504592</v>
      </c>
      <c r="R50" s="29">
        <f t="shared" si="46"/>
        <v>123.42445710695765</v>
      </c>
      <c r="S50" s="29">
        <f t="shared" si="46"/>
        <v>118.89553500550635</v>
      </c>
      <c r="T50" s="29">
        <f t="shared" si="46"/>
        <v>112.21055115767908</v>
      </c>
      <c r="U50" s="29">
        <f t="shared" si="46"/>
        <v>114.81768850184521</v>
      </c>
      <c r="V50" s="29">
        <f t="shared" si="46"/>
        <v>90.731746198116014</v>
      </c>
      <c r="W50" s="29">
        <f t="shared" ref="W50:Y50" si="47">IF(W4=0,0,W4/W15)</f>
        <v>102.03854241063068</v>
      </c>
      <c r="X50" s="29">
        <f t="shared" si="47"/>
        <v>137.5851544630176</v>
      </c>
      <c r="Y50" s="29">
        <f t="shared" si="47"/>
        <v>135.18736192474188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0</v>
      </c>
      <c r="E51" s="115">
        <f t="shared" si="48"/>
        <v>0</v>
      </c>
      <c r="F51" s="115">
        <f t="shared" si="48"/>
        <v>0</v>
      </c>
      <c r="G51" s="115">
        <f t="shared" si="48"/>
        <v>0</v>
      </c>
      <c r="H51" s="115">
        <f t="shared" si="48"/>
        <v>0</v>
      </c>
      <c r="I51" s="115">
        <f t="shared" si="48"/>
        <v>0</v>
      </c>
      <c r="J51" s="115">
        <f t="shared" si="48"/>
        <v>0</v>
      </c>
      <c r="K51" s="115">
        <f t="shared" ref="K51:V51" si="49">IF(K5=0,0,K5/K16)</f>
        <v>0</v>
      </c>
      <c r="L51" s="115">
        <f t="shared" si="49"/>
        <v>0</v>
      </c>
      <c r="M51" s="115">
        <f t="shared" si="49"/>
        <v>0</v>
      </c>
      <c r="N51" s="115">
        <f t="shared" si="49"/>
        <v>0</v>
      </c>
      <c r="O51" s="115">
        <f t="shared" si="49"/>
        <v>0</v>
      </c>
      <c r="P51" s="115">
        <f t="shared" si="49"/>
        <v>0</v>
      </c>
      <c r="Q51" s="115">
        <f t="shared" si="49"/>
        <v>0</v>
      </c>
      <c r="R51" s="115">
        <f t="shared" si="49"/>
        <v>0</v>
      </c>
      <c r="S51" s="115">
        <f t="shared" si="49"/>
        <v>0</v>
      </c>
      <c r="T51" s="115">
        <f t="shared" si="49"/>
        <v>0</v>
      </c>
      <c r="U51" s="115">
        <f t="shared" si="49"/>
        <v>0</v>
      </c>
      <c r="V51" s="115">
        <f t="shared" si="49"/>
        <v>0</v>
      </c>
      <c r="W51" s="115">
        <f t="shared" ref="W51:Y51" si="50">IF(W5=0,0,W5/W16)</f>
        <v>0</v>
      </c>
      <c r="X51" s="115">
        <f t="shared" si="50"/>
        <v>0</v>
      </c>
      <c r="Y51" s="115">
        <f t="shared" si="50"/>
        <v>0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128.7807553547577</v>
      </c>
      <c r="C52" s="116">
        <f t="shared" si="51"/>
        <v>127.10854426944459</v>
      </c>
      <c r="D52" s="116">
        <f t="shared" si="51"/>
        <v>124.03465635240855</v>
      </c>
      <c r="E52" s="116">
        <f t="shared" si="51"/>
        <v>122.29496897431686</v>
      </c>
      <c r="F52" s="116">
        <f t="shared" si="51"/>
        <v>123.07587641665583</v>
      </c>
      <c r="G52" s="116">
        <f t="shared" si="51"/>
        <v>121.18350198436507</v>
      </c>
      <c r="H52" s="116">
        <f t="shared" si="51"/>
        <v>124.49963057000872</v>
      </c>
      <c r="I52" s="116">
        <f t="shared" si="51"/>
        <v>124.38725890800254</v>
      </c>
      <c r="J52" s="116">
        <f t="shared" si="51"/>
        <v>116.1356043074302</v>
      </c>
      <c r="K52" s="116">
        <f t="shared" ref="K52:V52" si="52">IF(K6=0,0,K6/K17)</f>
        <v>110.54922335381519</v>
      </c>
      <c r="L52" s="116">
        <f t="shared" si="52"/>
        <v>108.70647666241005</v>
      </c>
      <c r="M52" s="116">
        <f t="shared" si="52"/>
        <v>113.20832292581726</v>
      </c>
      <c r="N52" s="116">
        <f t="shared" si="52"/>
        <v>112.64639061608173</v>
      </c>
      <c r="O52" s="116">
        <f t="shared" si="52"/>
        <v>116.36617836180933</v>
      </c>
      <c r="P52" s="116">
        <f t="shared" si="52"/>
        <v>117.91524408047107</v>
      </c>
      <c r="Q52" s="116">
        <f t="shared" si="52"/>
        <v>112.56720760504592</v>
      </c>
      <c r="R52" s="116">
        <f t="shared" si="52"/>
        <v>123.42445710695765</v>
      </c>
      <c r="S52" s="116">
        <f t="shared" si="52"/>
        <v>118.89553500550635</v>
      </c>
      <c r="T52" s="116">
        <f t="shared" si="52"/>
        <v>112.21055115767908</v>
      </c>
      <c r="U52" s="116">
        <f t="shared" si="52"/>
        <v>114.81768850184521</v>
      </c>
      <c r="V52" s="116">
        <f t="shared" si="52"/>
        <v>90.731746198116014</v>
      </c>
      <c r="W52" s="116">
        <f t="shared" ref="W52:Y52" si="53">IF(W6=0,0,W6/W17)</f>
        <v>102.03854241063068</v>
      </c>
      <c r="X52" s="116">
        <f t="shared" si="53"/>
        <v>137.5851544630176</v>
      </c>
      <c r="Y52" s="116">
        <f t="shared" si="53"/>
        <v>135.18736192474188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126.02345862050751</v>
      </c>
      <c r="C53" s="87">
        <f t="shared" si="54"/>
        <v>124.63459646962534</v>
      </c>
      <c r="D53" s="87">
        <f t="shared" si="54"/>
        <v>121.12387905406393</v>
      </c>
      <c r="E53" s="87">
        <f t="shared" si="54"/>
        <v>118.5280011755188</v>
      </c>
      <c r="F53" s="87">
        <f t="shared" si="54"/>
        <v>118.14884617386194</v>
      </c>
      <c r="G53" s="87">
        <f t="shared" si="54"/>
        <v>118.36026249789616</v>
      </c>
      <c r="H53" s="87">
        <f t="shared" si="54"/>
        <v>121.77338675734703</v>
      </c>
      <c r="I53" s="87">
        <f t="shared" si="54"/>
        <v>120.09121093899621</v>
      </c>
      <c r="J53" s="87">
        <f t="shared" si="54"/>
        <v>116.94564017507129</v>
      </c>
      <c r="K53" s="87">
        <f t="shared" ref="K53:V53" si="55">IF(K7=0,0,K7/K18)</f>
        <v>112.68746491910635</v>
      </c>
      <c r="L53" s="87">
        <f t="shared" si="55"/>
        <v>111.28432998404929</v>
      </c>
      <c r="M53" s="87">
        <f t="shared" si="55"/>
        <v>110.99650948602012</v>
      </c>
      <c r="N53" s="87">
        <f t="shared" si="55"/>
        <v>112.26832856834862</v>
      </c>
      <c r="O53" s="87">
        <f t="shared" si="55"/>
        <v>112.74548420624851</v>
      </c>
      <c r="P53" s="87">
        <f t="shared" si="55"/>
        <v>113.83988130193593</v>
      </c>
      <c r="Q53" s="87">
        <f t="shared" si="55"/>
        <v>113.55038833363011</v>
      </c>
      <c r="R53" s="87">
        <f t="shared" si="55"/>
        <v>133.14650567461601</v>
      </c>
      <c r="S53" s="87">
        <f t="shared" si="55"/>
        <v>122.61087073111122</v>
      </c>
      <c r="T53" s="87">
        <f t="shared" si="55"/>
        <v>124.00773318697829</v>
      </c>
      <c r="U53" s="87">
        <f t="shared" si="55"/>
        <v>125.27955325587399</v>
      </c>
      <c r="V53" s="87">
        <f t="shared" si="55"/>
        <v>104.57414694158119</v>
      </c>
      <c r="W53" s="87">
        <f t="shared" ref="W53:Y53" si="56">IF(W7=0,0,W7/W18)</f>
        <v>108.94557450923823</v>
      </c>
      <c r="X53" s="87">
        <f t="shared" si="56"/>
        <v>128.88764147788646</v>
      </c>
      <c r="Y53" s="87">
        <f t="shared" si="56"/>
        <v>123.2533956429269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159.91215063964634</v>
      </c>
      <c r="C54" s="87">
        <f t="shared" si="57"/>
        <v>155.89712597099137</v>
      </c>
      <c r="D54" s="87">
        <f t="shared" si="57"/>
        <v>155.91096814539</v>
      </c>
      <c r="E54" s="87">
        <f t="shared" si="57"/>
        <v>152.38898858818425</v>
      </c>
      <c r="F54" s="87">
        <f t="shared" si="57"/>
        <v>157.44609048190577</v>
      </c>
      <c r="G54" s="87">
        <f t="shared" si="57"/>
        <v>132.87732812598361</v>
      </c>
      <c r="H54" s="87">
        <f t="shared" si="57"/>
        <v>134.81589872533806</v>
      </c>
      <c r="I54" s="87">
        <f t="shared" si="57"/>
        <v>138.72870192887729</v>
      </c>
      <c r="J54" s="87">
        <f t="shared" si="57"/>
        <v>113.9531559784608</v>
      </c>
      <c r="K54" s="87">
        <f t="shared" ref="K54:V54" si="58">IF(K8=0,0,K8/K19)</f>
        <v>105.9872466026527</v>
      </c>
      <c r="L54" s="87">
        <f t="shared" si="58"/>
        <v>102.64125123686708</v>
      </c>
      <c r="M54" s="87">
        <f t="shared" si="58"/>
        <v>119.36296092481385</v>
      </c>
      <c r="N54" s="87">
        <f t="shared" si="58"/>
        <v>113.60677694251051</v>
      </c>
      <c r="O54" s="87">
        <f t="shared" si="58"/>
        <v>126.19219849239641</v>
      </c>
      <c r="P54" s="87">
        <f t="shared" si="58"/>
        <v>126.67871553662278</v>
      </c>
      <c r="Q54" s="87">
        <f t="shared" si="58"/>
        <v>110.4378743464829</v>
      </c>
      <c r="R54" s="87">
        <f t="shared" si="58"/>
        <v>105.88298870275389</v>
      </c>
      <c r="S54" s="87">
        <f t="shared" si="58"/>
        <v>110.21131269309319</v>
      </c>
      <c r="T54" s="87">
        <f t="shared" si="58"/>
        <v>91.123395221398312</v>
      </c>
      <c r="U54" s="87">
        <f t="shared" si="58"/>
        <v>93.409844353661541</v>
      </c>
      <c r="V54" s="87">
        <f t="shared" si="58"/>
        <v>65.247289163874356</v>
      </c>
      <c r="W54" s="87">
        <f t="shared" ref="W54:Y54" si="59">IF(W8=0,0,W8/W19)</f>
        <v>85.59317555729487</v>
      </c>
      <c r="X54" s="87">
        <f t="shared" si="59"/>
        <v>156.28573357376669</v>
      </c>
      <c r="Y54" s="87">
        <f t="shared" si="59"/>
        <v>160.99569036753491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:Y55" si="62">IF(W9=0,0,W9/W20)</f>
        <v>0</v>
      </c>
      <c r="X55" s="117">
        <f t="shared" si="62"/>
        <v>0</v>
      </c>
      <c r="Y55" s="117">
        <f t="shared" si="62"/>
        <v>0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674.7845210771286</v>
      </c>
      <c r="C56" s="29">
        <f t="shared" si="63"/>
        <v>661.45199313102194</v>
      </c>
      <c r="D56" s="29">
        <f t="shared" si="63"/>
        <v>766.70484712517805</v>
      </c>
      <c r="E56" s="29">
        <f t="shared" si="63"/>
        <v>782.23095767100278</v>
      </c>
      <c r="F56" s="29">
        <f t="shared" si="63"/>
        <v>801.77191589085726</v>
      </c>
      <c r="G56" s="29">
        <f t="shared" si="63"/>
        <v>812.31481412779772</v>
      </c>
      <c r="H56" s="29">
        <f t="shared" si="63"/>
        <v>871.74665608337045</v>
      </c>
      <c r="I56" s="29">
        <f t="shared" si="63"/>
        <v>923.65902901971049</v>
      </c>
      <c r="J56" s="29">
        <f t="shared" si="63"/>
        <v>885.80855631618772</v>
      </c>
      <c r="K56" s="29">
        <f t="shared" ref="K56:V56" si="64">IF(K10=0,0,K10/K21)</f>
        <v>934.6808408057567</v>
      </c>
      <c r="L56" s="29">
        <f t="shared" si="64"/>
        <v>996.25491254987412</v>
      </c>
      <c r="M56" s="29">
        <f t="shared" si="64"/>
        <v>1033.4739685853433</v>
      </c>
      <c r="N56" s="29">
        <f t="shared" si="64"/>
        <v>1028.459361480395</v>
      </c>
      <c r="O56" s="29">
        <f t="shared" si="64"/>
        <v>1043.2413015135446</v>
      </c>
      <c r="P56" s="29">
        <f t="shared" si="64"/>
        <v>1035.8785982510012</v>
      </c>
      <c r="Q56" s="29">
        <f t="shared" si="64"/>
        <v>1090.898673480182</v>
      </c>
      <c r="R56" s="29">
        <f t="shared" si="64"/>
        <v>1084.5953487582012</v>
      </c>
      <c r="S56" s="29">
        <f t="shared" si="64"/>
        <v>1134.1713659479926</v>
      </c>
      <c r="T56" s="29">
        <f t="shared" si="64"/>
        <v>1098.3852281228676</v>
      </c>
      <c r="U56" s="29">
        <f t="shared" si="64"/>
        <v>1168.4869674938232</v>
      </c>
      <c r="V56" s="29">
        <f t="shared" si="64"/>
        <v>1166.8183632667169</v>
      </c>
      <c r="W56" s="29">
        <f t="shared" ref="W56:Y56" si="65">IF(W10=0,0,W10/W21)</f>
        <v>1107.2835632524343</v>
      </c>
      <c r="X56" s="29">
        <f t="shared" si="65"/>
        <v>1103.4284391307815</v>
      </c>
      <c r="Y56" s="29">
        <f t="shared" si="65"/>
        <v>929.78873617978263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674.7845210771286</v>
      </c>
      <c r="C57" s="87">
        <f t="shared" si="66"/>
        <v>661.45199313102194</v>
      </c>
      <c r="D57" s="87">
        <f t="shared" si="66"/>
        <v>766.70484712517805</v>
      </c>
      <c r="E57" s="87">
        <f t="shared" si="66"/>
        <v>782.23095767100278</v>
      </c>
      <c r="F57" s="87">
        <f t="shared" si="66"/>
        <v>801.77191589085726</v>
      </c>
      <c r="G57" s="87">
        <f t="shared" si="66"/>
        <v>812.31481412779772</v>
      </c>
      <c r="H57" s="87">
        <f t="shared" si="66"/>
        <v>871.74665608337045</v>
      </c>
      <c r="I57" s="87">
        <f t="shared" si="66"/>
        <v>923.65902901971049</v>
      </c>
      <c r="J57" s="87">
        <f t="shared" si="66"/>
        <v>885.80855631618772</v>
      </c>
      <c r="K57" s="87">
        <f t="shared" ref="K57:V57" si="67">IF(K11=0,0,K11/K22)</f>
        <v>934.6808408057567</v>
      </c>
      <c r="L57" s="87">
        <f t="shared" si="67"/>
        <v>996.25491254987412</v>
      </c>
      <c r="M57" s="87">
        <f t="shared" si="67"/>
        <v>1033.4739685853433</v>
      </c>
      <c r="N57" s="87">
        <f t="shared" si="67"/>
        <v>1028.459361480395</v>
      </c>
      <c r="O57" s="87">
        <f t="shared" si="67"/>
        <v>1043.2413015135446</v>
      </c>
      <c r="P57" s="87">
        <f t="shared" si="67"/>
        <v>1035.8785982510012</v>
      </c>
      <c r="Q57" s="87">
        <f t="shared" si="67"/>
        <v>1090.898673480182</v>
      </c>
      <c r="R57" s="87">
        <f t="shared" si="67"/>
        <v>1084.5953487582012</v>
      </c>
      <c r="S57" s="87">
        <f t="shared" si="67"/>
        <v>1134.1713659479926</v>
      </c>
      <c r="T57" s="87">
        <f t="shared" si="67"/>
        <v>1098.3852281228676</v>
      </c>
      <c r="U57" s="87">
        <f t="shared" si="67"/>
        <v>1168.4869674938232</v>
      </c>
      <c r="V57" s="87">
        <f t="shared" si="67"/>
        <v>1166.8183632667169</v>
      </c>
      <c r="W57" s="87">
        <f t="shared" ref="W57:Y57" si="68">IF(W11=0,0,W11/W22)</f>
        <v>1107.2835632524343</v>
      </c>
      <c r="X57" s="87">
        <f t="shared" si="68"/>
        <v>1103.4284391307815</v>
      </c>
      <c r="Y57" s="87">
        <f t="shared" si="68"/>
        <v>929.78873617978263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0</v>
      </c>
      <c r="C58" s="88">
        <f t="shared" si="69"/>
        <v>0</v>
      </c>
      <c r="D58" s="88">
        <f t="shared" si="69"/>
        <v>0</v>
      </c>
      <c r="E58" s="88">
        <f t="shared" si="69"/>
        <v>0</v>
      </c>
      <c r="F58" s="88">
        <f t="shared" si="69"/>
        <v>0</v>
      </c>
      <c r="G58" s="88">
        <f t="shared" si="69"/>
        <v>0</v>
      </c>
      <c r="H58" s="88">
        <f t="shared" si="69"/>
        <v>0</v>
      </c>
      <c r="I58" s="88">
        <f t="shared" si="69"/>
        <v>0</v>
      </c>
      <c r="J58" s="88">
        <f t="shared" si="69"/>
        <v>0</v>
      </c>
      <c r="K58" s="88">
        <f t="shared" ref="K58:V58" si="70">IF(K12=0,0,K12/K23)</f>
        <v>0</v>
      </c>
      <c r="L58" s="88">
        <f t="shared" si="70"/>
        <v>0</v>
      </c>
      <c r="M58" s="88">
        <f t="shared" si="70"/>
        <v>0</v>
      </c>
      <c r="N58" s="88">
        <f t="shared" si="70"/>
        <v>0</v>
      </c>
      <c r="O58" s="88">
        <f t="shared" si="70"/>
        <v>0</v>
      </c>
      <c r="P58" s="88">
        <f t="shared" si="70"/>
        <v>0</v>
      </c>
      <c r="Q58" s="88">
        <f t="shared" si="70"/>
        <v>0</v>
      </c>
      <c r="R58" s="88">
        <f t="shared" si="70"/>
        <v>0</v>
      </c>
      <c r="S58" s="88">
        <f t="shared" si="70"/>
        <v>0</v>
      </c>
      <c r="T58" s="88">
        <f t="shared" si="70"/>
        <v>0</v>
      </c>
      <c r="U58" s="88">
        <f t="shared" si="70"/>
        <v>0</v>
      </c>
      <c r="V58" s="88">
        <f t="shared" si="70"/>
        <v>0</v>
      </c>
      <c r="W58" s="88">
        <f t="shared" ref="W58:Y58" si="71">IF(W12=0,0,W12/W23)</f>
        <v>0</v>
      </c>
      <c r="X58" s="88">
        <f t="shared" si="71"/>
        <v>0</v>
      </c>
      <c r="Y58" s="88">
        <f t="shared" si="71"/>
        <v>0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320</v>
      </c>
      <c r="C61" s="29">
        <f t="shared" ref="C61" si="73">IF(C26=0,0,(C62*C27+C64*C29+C65*C30+C66*C31)/(C27+C29+C30+C31))</f>
        <v>320.00000000000006</v>
      </c>
      <c r="D61" s="29">
        <f t="shared" ref="D61" si="74">IF(D26=0,0,(D62*D27+D64*D29+D65*D30+D66*D31)/(D27+D29+D30+D31))</f>
        <v>320</v>
      </c>
      <c r="E61" s="29">
        <f t="shared" ref="E61" si="75">IF(E26=0,0,(E62*E27+E64*E29+E65*E30+E66*E31)/(E27+E29+E30+E31))</f>
        <v>320</v>
      </c>
      <c r="F61" s="29">
        <f t="shared" ref="F61" si="76">IF(F26=0,0,(F62*F27+F64*F29+F65*F30+F66*F31)/(F27+F29+F30+F31))</f>
        <v>320.00000000000006</v>
      </c>
      <c r="G61" s="29">
        <f t="shared" ref="G61" si="77">IF(G26=0,0,(G62*G27+G64*G29+G65*G30+G66*G31)/(G27+G29+G30+G31))</f>
        <v>320.00000000000006</v>
      </c>
      <c r="H61" s="29">
        <f t="shared" ref="H61" si="78">IF(H26=0,0,(H62*H27+H64*H29+H65*H30+H66*H31)/(H27+H29+H30+H31))</f>
        <v>320</v>
      </c>
      <c r="I61" s="29">
        <f t="shared" ref="I61" si="79">IF(I26=0,0,(I62*I27+I64*I29+I65*I30+I66*I31)/(I27+I29+I30+I31))</f>
        <v>320</v>
      </c>
      <c r="J61" s="29">
        <f t="shared" ref="J61" si="80">IF(J26=0,0,(J62*J27+J64*J29+J65*J30+J66*J31)/(J27+J29+J30+J31))</f>
        <v>319.99999999999994</v>
      </c>
      <c r="K61" s="29">
        <f t="shared" ref="K61" si="81">IF(K26=0,0,(K62*K27+K64*K29+K65*K30+K66*K31)/(K27+K29+K30+K31))</f>
        <v>320</v>
      </c>
      <c r="L61" s="29">
        <f t="shared" ref="L61" si="82">IF(L26=0,0,(L62*L27+L64*L29+L65*L30+L66*L31)/(L27+L29+L30+L31))</f>
        <v>320.00000000000006</v>
      </c>
      <c r="M61" s="29">
        <f t="shared" ref="M61" si="83">IF(M26=0,0,(M62*M27+M64*M29+M65*M30+M66*M31)/(M27+M29+M30+M31))</f>
        <v>320</v>
      </c>
      <c r="N61" s="29">
        <f t="shared" ref="N61" si="84">IF(N26=0,0,(N62*N27+N64*N29+N65*N30+N66*N31)/(N27+N29+N30+N31))</f>
        <v>320</v>
      </c>
      <c r="O61" s="29">
        <f t="shared" ref="O61" si="85">IF(O26=0,0,(O62*O27+O64*O29+O65*O30+O66*O31)/(O27+O29+O30+O31))</f>
        <v>319.99999999999994</v>
      </c>
      <c r="P61" s="29">
        <f t="shared" ref="P61" si="86">IF(P26=0,0,(P62*P27+P64*P29+P65*P30+P66*P31)/(P27+P29+P30+P31))</f>
        <v>320.00000000000006</v>
      </c>
      <c r="Q61" s="29">
        <f t="shared" ref="Q61" si="87">IF(Q26=0,0,(Q62*Q27+Q64*Q29+Q65*Q30+Q66*Q31)/(Q27+Q29+Q30+Q31))</f>
        <v>320</v>
      </c>
      <c r="R61" s="29">
        <f t="shared" ref="R61" si="88">IF(R26=0,0,(R62*R27+R64*R29+R65*R30+R66*R31)/(R27+R29+R30+R31))</f>
        <v>320</v>
      </c>
      <c r="S61" s="29">
        <f t="shared" ref="S61" si="89">IF(S26=0,0,(S62*S27+S64*S29+S65*S30+S66*S31)/(S27+S29+S30+S31))</f>
        <v>320</v>
      </c>
      <c r="T61" s="29">
        <f t="shared" ref="T61" si="90">IF(T26=0,0,(T62*T27+T64*T29+T65*T30+T66*T31)/(T27+T29+T30+T31))</f>
        <v>320</v>
      </c>
      <c r="U61" s="29">
        <f t="shared" ref="U61" si="91">IF(U26=0,0,(U62*U27+U64*U29+U65*U30+U66*U31)/(U27+U29+U30+U31))</f>
        <v>320</v>
      </c>
      <c r="V61" s="29">
        <f t="shared" ref="V61" si="92">IF(V26=0,0,(V62*V27+V64*V29+V65*V30+V66*V31)/(V27+V29+V30+V31))</f>
        <v>320.00000000000006</v>
      </c>
      <c r="W61" s="29">
        <f t="shared" ref="W61:Y61" si="93">IF(W26=0,0,(W62*W27+W64*W29+W65*W30+W66*W31)/(W27+W29+W30+W31))</f>
        <v>320</v>
      </c>
      <c r="X61" s="29">
        <f t="shared" si="93"/>
        <v>320</v>
      </c>
      <c r="Y61" s="29">
        <f t="shared" si="93"/>
        <v>320</v>
      </c>
      <c r="DA61" s="173" t="s">
        <v>1074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0</v>
      </c>
      <c r="E62" s="115">
        <v>0</v>
      </c>
      <c r="F62" s="115">
        <v>0</v>
      </c>
      <c r="G62" s="115">
        <v>0</v>
      </c>
      <c r="H62" s="115">
        <v>0</v>
      </c>
      <c r="I62" s="115">
        <v>0</v>
      </c>
      <c r="J62" s="115">
        <v>0</v>
      </c>
      <c r="K62" s="115">
        <v>0</v>
      </c>
      <c r="L62" s="115">
        <v>0</v>
      </c>
      <c r="M62" s="115">
        <v>0</v>
      </c>
      <c r="N62" s="115">
        <v>0</v>
      </c>
      <c r="O62" s="115">
        <v>0</v>
      </c>
      <c r="P62" s="115">
        <v>0</v>
      </c>
      <c r="Q62" s="115">
        <v>0</v>
      </c>
      <c r="R62" s="115">
        <v>0</v>
      </c>
      <c r="S62" s="115">
        <v>0</v>
      </c>
      <c r="T62" s="115">
        <v>0</v>
      </c>
      <c r="U62" s="115">
        <v>0</v>
      </c>
      <c r="V62" s="115">
        <v>0</v>
      </c>
      <c r="W62" s="115">
        <v>0</v>
      </c>
      <c r="X62" s="115">
        <v>0</v>
      </c>
      <c r="Y62" s="115">
        <v>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320.00000000000006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320.00000000000006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319.99999999999994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320.00000000000006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319.99999999999994</v>
      </c>
      <c r="P63" s="116">
        <f t="shared" ref="P63" si="108">IF(P28=0,0,(P64*P29+P65*P30)/(P29+P30))</f>
        <v>320.00000000000006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320.00000000000006</v>
      </c>
      <c r="W63" s="116">
        <f t="shared" ref="W63:Y63" si="115">IF(W28=0,0,(W64*W29+W65*W30)/(W29+W30))</f>
        <v>320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X66" s="117">
        <v>0</v>
      </c>
      <c r="Y66" s="117">
        <v>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0</v>
      </c>
      <c r="C69" s="88">
        <v>0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  <c r="X69" s="88">
        <v>0</v>
      </c>
      <c r="Y69" s="88">
        <v>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0.4024398604836178</v>
      </c>
      <c r="C72" s="30">
        <f t="shared" ref="C72:J72" si="138">IF(C50=0,0,C50/C61)</f>
        <v>0.39721420084201431</v>
      </c>
      <c r="D72" s="30">
        <f t="shared" si="138"/>
        <v>0.3876083011012767</v>
      </c>
      <c r="E72" s="30">
        <f t="shared" si="138"/>
        <v>0.38217177804474017</v>
      </c>
      <c r="F72" s="30">
        <f t="shared" si="138"/>
        <v>0.3846121138020494</v>
      </c>
      <c r="G72" s="30">
        <f t="shared" si="138"/>
        <v>0.37869844370114075</v>
      </c>
      <c r="H72" s="30">
        <f t="shared" si="138"/>
        <v>0.38906134553127725</v>
      </c>
      <c r="I72" s="30">
        <f t="shared" si="138"/>
        <v>0.3887101840875079</v>
      </c>
      <c r="J72" s="30">
        <f t="shared" si="138"/>
        <v>0.36292376346071942</v>
      </c>
      <c r="K72" s="30">
        <f t="shared" ref="K72:V72" si="139">IF(K50=0,0,K50/K61)</f>
        <v>0.34546632298067248</v>
      </c>
      <c r="L72" s="30">
        <f t="shared" si="139"/>
        <v>0.33970773957003136</v>
      </c>
      <c r="M72" s="30">
        <f t="shared" si="139"/>
        <v>0.35377600914317892</v>
      </c>
      <c r="N72" s="30">
        <f t="shared" si="139"/>
        <v>0.35201997067525542</v>
      </c>
      <c r="O72" s="30">
        <f t="shared" si="139"/>
        <v>0.36364430738065423</v>
      </c>
      <c r="P72" s="30">
        <f t="shared" si="139"/>
        <v>0.36848513775147201</v>
      </c>
      <c r="Q72" s="30">
        <f t="shared" si="139"/>
        <v>0.35177252376576851</v>
      </c>
      <c r="R72" s="30">
        <f t="shared" si="139"/>
        <v>0.38570142845924266</v>
      </c>
      <c r="S72" s="30">
        <f t="shared" si="139"/>
        <v>0.37154854689220734</v>
      </c>
      <c r="T72" s="30">
        <f t="shared" si="139"/>
        <v>0.35065797236774709</v>
      </c>
      <c r="U72" s="30">
        <f t="shared" si="139"/>
        <v>0.35880527656826627</v>
      </c>
      <c r="V72" s="30">
        <f t="shared" si="139"/>
        <v>0.28353670686911248</v>
      </c>
      <c r="W72" s="30">
        <f t="shared" ref="W72:Y72" si="140">IF(W50=0,0,W50/W61)</f>
        <v>0.31887044503322087</v>
      </c>
      <c r="X72" s="30">
        <f t="shared" si="140"/>
        <v>0.42995360769693003</v>
      </c>
      <c r="Y72" s="30">
        <f t="shared" si="140"/>
        <v>0.42246050601481838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</v>
      </c>
      <c r="E73" s="118">
        <f t="shared" si="141"/>
        <v>0</v>
      </c>
      <c r="F73" s="118">
        <f t="shared" si="141"/>
        <v>0</v>
      </c>
      <c r="G73" s="118">
        <f t="shared" si="141"/>
        <v>0</v>
      </c>
      <c r="H73" s="118">
        <f t="shared" si="141"/>
        <v>0</v>
      </c>
      <c r="I73" s="118">
        <f t="shared" si="141"/>
        <v>0</v>
      </c>
      <c r="J73" s="118">
        <f t="shared" si="141"/>
        <v>0</v>
      </c>
      <c r="K73" s="118">
        <f t="shared" ref="K73:V73" si="142">IF(K51=0,0,K51/K62)</f>
        <v>0</v>
      </c>
      <c r="L73" s="118">
        <f t="shared" si="142"/>
        <v>0</v>
      </c>
      <c r="M73" s="118">
        <f t="shared" si="142"/>
        <v>0</v>
      </c>
      <c r="N73" s="118">
        <f t="shared" si="142"/>
        <v>0</v>
      </c>
      <c r="O73" s="118">
        <f t="shared" si="142"/>
        <v>0</v>
      </c>
      <c r="P73" s="118">
        <f t="shared" si="142"/>
        <v>0</v>
      </c>
      <c r="Q73" s="118">
        <f t="shared" si="142"/>
        <v>0</v>
      </c>
      <c r="R73" s="118">
        <f t="shared" si="142"/>
        <v>0</v>
      </c>
      <c r="S73" s="118">
        <f t="shared" si="142"/>
        <v>0</v>
      </c>
      <c r="T73" s="118">
        <f t="shared" si="142"/>
        <v>0</v>
      </c>
      <c r="U73" s="118">
        <f t="shared" si="142"/>
        <v>0</v>
      </c>
      <c r="V73" s="118">
        <f t="shared" si="142"/>
        <v>0</v>
      </c>
      <c r="W73" s="118">
        <f t="shared" ref="W73:Y73" si="143">IF(W51=0,0,W51/W62)</f>
        <v>0</v>
      </c>
      <c r="X73" s="118">
        <f t="shared" si="143"/>
        <v>0</v>
      </c>
      <c r="Y73" s="118">
        <f t="shared" si="143"/>
        <v>0</v>
      </c>
      <c r="DA73" s="203"/>
    </row>
    <row r="74" spans="1:105" ht="11.45" customHeight="1" x14ac:dyDescent="0.25">
      <c r="A74" s="109" t="s">
        <v>24</v>
      </c>
      <c r="B74" s="119">
        <f t="shared" si="141"/>
        <v>0.4024398604836178</v>
      </c>
      <c r="C74" s="119">
        <f t="shared" si="141"/>
        <v>0.39721420084201431</v>
      </c>
      <c r="D74" s="119">
        <f t="shared" si="141"/>
        <v>0.3876083011012767</v>
      </c>
      <c r="E74" s="119">
        <f t="shared" si="141"/>
        <v>0.38217177804474017</v>
      </c>
      <c r="F74" s="119">
        <f t="shared" si="141"/>
        <v>0.3846121138020494</v>
      </c>
      <c r="G74" s="119">
        <f t="shared" si="141"/>
        <v>0.37869844370114075</v>
      </c>
      <c r="H74" s="119">
        <f t="shared" si="141"/>
        <v>0.38906134553127725</v>
      </c>
      <c r="I74" s="119">
        <f t="shared" si="141"/>
        <v>0.3887101840875079</v>
      </c>
      <c r="J74" s="119">
        <f t="shared" si="141"/>
        <v>0.36292376346071942</v>
      </c>
      <c r="K74" s="119">
        <f t="shared" ref="K74:V74" si="144">IF(K52=0,0,K52/K63)</f>
        <v>0.34546632298067248</v>
      </c>
      <c r="L74" s="119">
        <f t="shared" si="144"/>
        <v>0.33970773957003136</v>
      </c>
      <c r="M74" s="119">
        <f t="shared" si="144"/>
        <v>0.35377600914317892</v>
      </c>
      <c r="N74" s="119">
        <f t="shared" si="144"/>
        <v>0.35201997067525542</v>
      </c>
      <c r="O74" s="119">
        <f t="shared" si="144"/>
        <v>0.36364430738065423</v>
      </c>
      <c r="P74" s="119">
        <f t="shared" si="144"/>
        <v>0.36848513775147201</v>
      </c>
      <c r="Q74" s="119">
        <f t="shared" si="144"/>
        <v>0.35177252376576851</v>
      </c>
      <c r="R74" s="119">
        <f t="shared" si="144"/>
        <v>0.38570142845924266</v>
      </c>
      <c r="S74" s="119">
        <f t="shared" si="144"/>
        <v>0.37154854689220734</v>
      </c>
      <c r="T74" s="119">
        <f t="shared" si="144"/>
        <v>0.35065797236774709</v>
      </c>
      <c r="U74" s="119">
        <f t="shared" si="144"/>
        <v>0.35880527656826627</v>
      </c>
      <c r="V74" s="119">
        <f t="shared" si="144"/>
        <v>0.28353670686911248</v>
      </c>
      <c r="W74" s="119">
        <f t="shared" ref="W74:Y74" si="145">IF(W52=0,0,W52/W63)</f>
        <v>0.31887044503322087</v>
      </c>
      <c r="X74" s="119">
        <f t="shared" si="145"/>
        <v>0.42995360769693003</v>
      </c>
      <c r="Y74" s="119">
        <f t="shared" si="145"/>
        <v>0.42246050601481838</v>
      </c>
      <c r="DA74" s="176"/>
    </row>
    <row r="75" spans="1:105" ht="11.45" customHeight="1" x14ac:dyDescent="0.25">
      <c r="A75" s="111" t="s">
        <v>92</v>
      </c>
      <c r="B75" s="120">
        <f t="shared" si="141"/>
        <v>0.39382330818908595</v>
      </c>
      <c r="C75" s="120">
        <f t="shared" si="141"/>
        <v>0.38948311396757918</v>
      </c>
      <c r="D75" s="120">
        <f t="shared" si="141"/>
        <v>0.37851212204394979</v>
      </c>
      <c r="E75" s="120">
        <f t="shared" si="141"/>
        <v>0.37040000367349624</v>
      </c>
      <c r="F75" s="120">
        <f t="shared" si="141"/>
        <v>0.36921514429331859</v>
      </c>
      <c r="G75" s="120">
        <f t="shared" si="141"/>
        <v>0.36987582030592547</v>
      </c>
      <c r="H75" s="120">
        <f t="shared" si="141"/>
        <v>0.38054183361670946</v>
      </c>
      <c r="I75" s="120">
        <f t="shared" si="141"/>
        <v>0.37528503418436315</v>
      </c>
      <c r="J75" s="120">
        <f t="shared" si="141"/>
        <v>0.3654551255470978</v>
      </c>
      <c r="K75" s="120">
        <f t="shared" ref="K75:V75" si="146">IF(K53=0,0,K53/K64)</f>
        <v>0.35214832787220735</v>
      </c>
      <c r="L75" s="120">
        <f t="shared" si="146"/>
        <v>0.34776353120015402</v>
      </c>
      <c r="M75" s="120">
        <f t="shared" si="146"/>
        <v>0.34686409214381286</v>
      </c>
      <c r="N75" s="120">
        <f t="shared" si="146"/>
        <v>0.35083852677608945</v>
      </c>
      <c r="O75" s="120">
        <f t="shared" si="146"/>
        <v>0.35232963814452656</v>
      </c>
      <c r="P75" s="120">
        <f t="shared" si="146"/>
        <v>0.35574962906854979</v>
      </c>
      <c r="Q75" s="120">
        <f t="shared" si="146"/>
        <v>0.35484496354259409</v>
      </c>
      <c r="R75" s="120">
        <f t="shared" si="146"/>
        <v>0.41608283023317505</v>
      </c>
      <c r="S75" s="120">
        <f t="shared" si="146"/>
        <v>0.38315897103472257</v>
      </c>
      <c r="T75" s="120">
        <f t="shared" si="146"/>
        <v>0.38752416620930713</v>
      </c>
      <c r="U75" s="120">
        <f t="shared" si="146"/>
        <v>0.39149860392460623</v>
      </c>
      <c r="V75" s="120">
        <f t="shared" si="146"/>
        <v>0.32679420919244123</v>
      </c>
      <c r="W75" s="120">
        <f t="shared" ref="W75:Y75" si="147">IF(W53=0,0,W53/W64)</f>
        <v>0.34045492034136948</v>
      </c>
      <c r="X75" s="120">
        <f t="shared" si="147"/>
        <v>0.40277387961839517</v>
      </c>
      <c r="Y75" s="120">
        <f t="shared" si="147"/>
        <v>0.38516686138414657</v>
      </c>
      <c r="DA75" s="171"/>
    </row>
    <row r="76" spans="1:105" ht="11.45" customHeight="1" x14ac:dyDescent="0.25">
      <c r="A76" s="111" t="s">
        <v>93</v>
      </c>
      <c r="B76" s="120">
        <f t="shared" si="141"/>
        <v>0.49972547074889484</v>
      </c>
      <c r="C76" s="120">
        <f t="shared" si="141"/>
        <v>0.48717851865934803</v>
      </c>
      <c r="D76" s="120">
        <f t="shared" si="141"/>
        <v>0.48722177545434375</v>
      </c>
      <c r="E76" s="120">
        <f t="shared" si="141"/>
        <v>0.47621558933807578</v>
      </c>
      <c r="F76" s="120">
        <f t="shared" si="141"/>
        <v>0.49201903275595554</v>
      </c>
      <c r="G76" s="120">
        <f t="shared" si="141"/>
        <v>0.41524165039369876</v>
      </c>
      <c r="H76" s="120">
        <f t="shared" si="141"/>
        <v>0.42129968351668146</v>
      </c>
      <c r="I76" s="120">
        <f t="shared" si="141"/>
        <v>0.43352719352774149</v>
      </c>
      <c r="J76" s="120">
        <f t="shared" si="141"/>
        <v>0.35610361243269001</v>
      </c>
      <c r="K76" s="120">
        <f t="shared" ref="K76:V76" si="148">IF(K54=0,0,K54/K65)</f>
        <v>0.33121014563328971</v>
      </c>
      <c r="L76" s="120">
        <f t="shared" si="148"/>
        <v>0.3207539101152096</v>
      </c>
      <c r="M76" s="120">
        <f t="shared" si="148"/>
        <v>0.37300925289004327</v>
      </c>
      <c r="N76" s="120">
        <f t="shared" si="148"/>
        <v>0.35502117794534532</v>
      </c>
      <c r="O76" s="120">
        <f t="shared" si="148"/>
        <v>0.3943506202887388</v>
      </c>
      <c r="P76" s="120">
        <f t="shared" si="148"/>
        <v>0.39587098605194615</v>
      </c>
      <c r="Q76" s="120">
        <f t="shared" si="148"/>
        <v>0.34511835733275908</v>
      </c>
      <c r="R76" s="120">
        <f t="shared" si="148"/>
        <v>0.33088433969610592</v>
      </c>
      <c r="S76" s="120">
        <f t="shared" si="148"/>
        <v>0.3444103521659162</v>
      </c>
      <c r="T76" s="120">
        <f t="shared" si="148"/>
        <v>0.2847606100668697</v>
      </c>
      <c r="U76" s="120">
        <f t="shared" si="148"/>
        <v>0.29190576360519233</v>
      </c>
      <c r="V76" s="120">
        <f t="shared" si="148"/>
        <v>0.20389777863710737</v>
      </c>
      <c r="W76" s="120">
        <f t="shared" ref="W76:Y76" si="149">IF(W54=0,0,W54/W65)</f>
        <v>0.26747867361654648</v>
      </c>
      <c r="X76" s="120">
        <f t="shared" si="149"/>
        <v>0.48839291741802093</v>
      </c>
      <c r="Y76" s="120">
        <f t="shared" si="149"/>
        <v>0.50311153239854656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:Y77" si="151">IF(W55=0,0,W55/W66)</f>
        <v>0</v>
      </c>
      <c r="X77" s="121">
        <f t="shared" si="151"/>
        <v>0</v>
      </c>
      <c r="Y77" s="121">
        <f t="shared" si="151"/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0.3213259624176803</v>
      </c>
      <c r="C78" s="30">
        <f t="shared" si="141"/>
        <v>0.31497713958620094</v>
      </c>
      <c r="D78" s="30">
        <f t="shared" si="141"/>
        <v>0.36509754625008478</v>
      </c>
      <c r="E78" s="30">
        <f t="shared" si="141"/>
        <v>0.37249093222428703</v>
      </c>
      <c r="F78" s="30">
        <f t="shared" si="141"/>
        <v>0.38179615042421772</v>
      </c>
      <c r="G78" s="30">
        <f t="shared" si="141"/>
        <v>0.38681657815609416</v>
      </c>
      <c r="H78" s="30">
        <f t="shared" si="141"/>
        <v>0.41511745527779548</v>
      </c>
      <c r="I78" s="30">
        <f t="shared" si="141"/>
        <v>0.43983763286652883</v>
      </c>
      <c r="J78" s="30">
        <f t="shared" si="141"/>
        <v>0.42181359824580367</v>
      </c>
      <c r="K78" s="30">
        <f t="shared" ref="K78:V78" si="152">IF(K56=0,0,K56/K67)</f>
        <v>0.44508611466940795</v>
      </c>
      <c r="L78" s="30">
        <f t="shared" si="152"/>
        <v>0.47440710121422575</v>
      </c>
      <c r="M78" s="30">
        <f t="shared" si="152"/>
        <v>0.49213046123111587</v>
      </c>
      <c r="N78" s="30">
        <f t="shared" si="152"/>
        <v>0.48974255308590242</v>
      </c>
      <c r="O78" s="30">
        <f t="shared" si="152"/>
        <v>0.49678157214930696</v>
      </c>
      <c r="P78" s="30">
        <f t="shared" si="152"/>
        <v>0.49327552297666727</v>
      </c>
      <c r="Q78" s="30">
        <f t="shared" si="152"/>
        <v>0.51947555880008667</v>
      </c>
      <c r="R78" s="30">
        <f t="shared" si="152"/>
        <v>0.51647397559914343</v>
      </c>
      <c r="S78" s="30">
        <f t="shared" si="152"/>
        <v>0.54008160283237749</v>
      </c>
      <c r="T78" s="30">
        <f t="shared" si="152"/>
        <v>0.52304058482041316</v>
      </c>
      <c r="U78" s="30">
        <f t="shared" si="152"/>
        <v>0.55642236547324908</v>
      </c>
      <c r="V78" s="30">
        <f t="shared" si="152"/>
        <v>0.55562779203176993</v>
      </c>
      <c r="W78" s="30">
        <f t="shared" ref="W78:Y78" si="153">IF(W56=0,0,W56/W67)</f>
        <v>0.5272778872630639</v>
      </c>
      <c r="X78" s="30">
        <f t="shared" si="153"/>
        <v>0.52544211387180073</v>
      </c>
      <c r="Y78" s="30">
        <f t="shared" si="153"/>
        <v>0.44275654103799172</v>
      </c>
      <c r="DA78" s="173"/>
    </row>
    <row r="79" spans="1:105" ht="11.45" customHeight="1" x14ac:dyDescent="0.25">
      <c r="A79" s="83" t="s">
        <v>92</v>
      </c>
      <c r="B79" s="120">
        <f t="shared" si="141"/>
        <v>0.3213259624176803</v>
      </c>
      <c r="C79" s="120">
        <f t="shared" si="141"/>
        <v>0.31497713958620094</v>
      </c>
      <c r="D79" s="120">
        <f t="shared" si="141"/>
        <v>0.36509754625008478</v>
      </c>
      <c r="E79" s="120">
        <f t="shared" si="141"/>
        <v>0.37249093222428703</v>
      </c>
      <c r="F79" s="120">
        <f t="shared" si="141"/>
        <v>0.38179615042421772</v>
      </c>
      <c r="G79" s="120">
        <f t="shared" si="141"/>
        <v>0.38681657815609416</v>
      </c>
      <c r="H79" s="120">
        <f t="shared" si="141"/>
        <v>0.41511745527779548</v>
      </c>
      <c r="I79" s="120">
        <f t="shared" si="141"/>
        <v>0.43983763286652883</v>
      </c>
      <c r="J79" s="120">
        <f t="shared" si="141"/>
        <v>0.42181359824580367</v>
      </c>
      <c r="K79" s="120">
        <f t="shared" ref="K79:V79" si="154">IF(K57=0,0,K57/K68)</f>
        <v>0.44508611466940795</v>
      </c>
      <c r="L79" s="120">
        <f t="shared" si="154"/>
        <v>0.47440710121422575</v>
      </c>
      <c r="M79" s="120">
        <f t="shared" si="154"/>
        <v>0.49213046123111587</v>
      </c>
      <c r="N79" s="120">
        <f t="shared" si="154"/>
        <v>0.48974255308590242</v>
      </c>
      <c r="O79" s="120">
        <f t="shared" si="154"/>
        <v>0.49678157214930696</v>
      </c>
      <c r="P79" s="120">
        <f t="shared" si="154"/>
        <v>0.49327552297666727</v>
      </c>
      <c r="Q79" s="120">
        <f t="shared" si="154"/>
        <v>0.51947555880008667</v>
      </c>
      <c r="R79" s="120">
        <f t="shared" si="154"/>
        <v>0.51647397559914343</v>
      </c>
      <c r="S79" s="120">
        <f t="shared" si="154"/>
        <v>0.54008160283237749</v>
      </c>
      <c r="T79" s="120">
        <f t="shared" si="154"/>
        <v>0.52304058482041316</v>
      </c>
      <c r="U79" s="120">
        <f t="shared" si="154"/>
        <v>0.55642236547324908</v>
      </c>
      <c r="V79" s="120">
        <f t="shared" si="154"/>
        <v>0.55562779203176993</v>
      </c>
      <c r="W79" s="120">
        <f t="shared" ref="W79:Y79" si="155">IF(W57=0,0,W57/W68)</f>
        <v>0.5272778872630639</v>
      </c>
      <c r="X79" s="120">
        <f t="shared" si="155"/>
        <v>0.52544211387180073</v>
      </c>
      <c r="Y79" s="120">
        <f t="shared" si="155"/>
        <v>0.44275654103799172</v>
      </c>
      <c r="DA79" s="171"/>
    </row>
    <row r="80" spans="1:105" ht="11.45" customHeight="1" x14ac:dyDescent="0.25">
      <c r="A80" s="85" t="s">
        <v>93</v>
      </c>
      <c r="B80" s="122">
        <f t="shared" si="141"/>
        <v>0</v>
      </c>
      <c r="C80" s="122">
        <f t="shared" si="141"/>
        <v>0</v>
      </c>
      <c r="D80" s="122">
        <f t="shared" si="141"/>
        <v>0</v>
      </c>
      <c r="E80" s="122">
        <f t="shared" si="141"/>
        <v>0</v>
      </c>
      <c r="F80" s="122">
        <f t="shared" si="141"/>
        <v>0</v>
      </c>
      <c r="G80" s="122">
        <f t="shared" si="141"/>
        <v>0</v>
      </c>
      <c r="H80" s="122">
        <f t="shared" si="141"/>
        <v>0</v>
      </c>
      <c r="I80" s="122">
        <f t="shared" si="141"/>
        <v>0</v>
      </c>
      <c r="J80" s="122">
        <f t="shared" si="141"/>
        <v>0</v>
      </c>
      <c r="K80" s="122">
        <f t="shared" ref="K80:V80" si="156">IF(K58=0,0,K58/K69)</f>
        <v>0</v>
      </c>
      <c r="L80" s="122">
        <f t="shared" si="156"/>
        <v>0</v>
      </c>
      <c r="M80" s="122">
        <f t="shared" si="156"/>
        <v>0</v>
      </c>
      <c r="N80" s="122">
        <f t="shared" si="156"/>
        <v>0</v>
      </c>
      <c r="O80" s="122">
        <f t="shared" si="156"/>
        <v>0</v>
      </c>
      <c r="P80" s="122">
        <f t="shared" si="156"/>
        <v>0</v>
      </c>
      <c r="Q80" s="122">
        <f t="shared" si="156"/>
        <v>0</v>
      </c>
      <c r="R80" s="122">
        <f t="shared" si="156"/>
        <v>0</v>
      </c>
      <c r="S80" s="122">
        <f t="shared" si="156"/>
        <v>0</v>
      </c>
      <c r="T80" s="122">
        <f t="shared" si="156"/>
        <v>0</v>
      </c>
      <c r="U80" s="122">
        <f t="shared" si="156"/>
        <v>0</v>
      </c>
      <c r="V80" s="122">
        <f t="shared" si="156"/>
        <v>0</v>
      </c>
      <c r="W80" s="122">
        <f t="shared" ref="W80:Y80" si="157">IF(W58=0,0,W58/W69)</f>
        <v>0</v>
      </c>
      <c r="X80" s="122">
        <f t="shared" si="157"/>
        <v>0</v>
      </c>
      <c r="Y80" s="122">
        <f t="shared" si="157"/>
        <v>0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183814.41201324656</v>
      </c>
      <c r="C82" s="54">
        <f t="shared" si="158"/>
        <v>180764.5355466943</v>
      </c>
      <c r="D82" s="54">
        <f t="shared" si="158"/>
        <v>185205.44263931294</v>
      </c>
      <c r="E82" s="54">
        <f t="shared" si="158"/>
        <v>186500.98335733038</v>
      </c>
      <c r="F82" s="54">
        <f t="shared" si="158"/>
        <v>187554.32224779294</v>
      </c>
      <c r="G82" s="54">
        <f t="shared" si="158"/>
        <v>180425.28680788277</v>
      </c>
      <c r="H82" s="54">
        <f t="shared" si="158"/>
        <v>183815.63398443584</v>
      </c>
      <c r="I82" s="54">
        <f t="shared" si="158"/>
        <v>188260.09232346053</v>
      </c>
      <c r="J82" s="54">
        <f t="shared" si="158"/>
        <v>192448.06994673511</v>
      </c>
      <c r="K82" s="54">
        <f t="shared" ref="K82:V82" si="159">IF(K14=0,0,K14/K25*1000000)</f>
        <v>163504.58224759396</v>
      </c>
      <c r="L82" s="54">
        <f t="shared" si="159"/>
        <v>185026.13750671805</v>
      </c>
      <c r="M82" s="54">
        <f t="shared" si="159"/>
        <v>191045.84853383875</v>
      </c>
      <c r="N82" s="54">
        <f t="shared" si="159"/>
        <v>190361.85347374121</v>
      </c>
      <c r="O82" s="54">
        <f t="shared" si="159"/>
        <v>189789.96706055725</v>
      </c>
      <c r="P82" s="54">
        <f t="shared" si="159"/>
        <v>190948.32011474122</v>
      </c>
      <c r="Q82" s="54">
        <f t="shared" si="159"/>
        <v>190283.74100928049</v>
      </c>
      <c r="R82" s="54">
        <f t="shared" si="159"/>
        <v>190390.89882209746</v>
      </c>
      <c r="S82" s="54">
        <f t="shared" si="159"/>
        <v>189684.91650308279</v>
      </c>
      <c r="T82" s="54">
        <f t="shared" si="159"/>
        <v>189257.90001839094</v>
      </c>
      <c r="U82" s="54">
        <f t="shared" si="159"/>
        <v>185423.55523211585</v>
      </c>
      <c r="V82" s="54">
        <f t="shared" si="159"/>
        <v>187822.55834108367</v>
      </c>
      <c r="W82" s="54">
        <f t="shared" ref="W82:Y82" si="160">IF(W14=0,0,W14/W25*1000000)</f>
        <v>186204.8693522902</v>
      </c>
      <c r="X82" s="54">
        <f t="shared" si="160"/>
        <v>120796.30150621227</v>
      </c>
      <c r="Y82" s="54">
        <f t="shared" si="160"/>
        <v>134420.61983288155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149999.99901212397</v>
      </c>
      <c r="C83" s="28">
        <f t="shared" si="161"/>
        <v>147302.78605467457</v>
      </c>
      <c r="D83" s="28">
        <f t="shared" si="161"/>
        <v>149999.99780247532</v>
      </c>
      <c r="E83" s="28">
        <f t="shared" si="161"/>
        <v>145720.41384512451</v>
      </c>
      <c r="F83" s="28">
        <f t="shared" si="161"/>
        <v>149999.99704179543</v>
      </c>
      <c r="G83" s="28">
        <f t="shared" si="161"/>
        <v>109375.77555575114</v>
      </c>
      <c r="H83" s="28">
        <f t="shared" si="161"/>
        <v>118124.8006939006</v>
      </c>
      <c r="I83" s="28">
        <f t="shared" si="161"/>
        <v>128781.12998521965</v>
      </c>
      <c r="J83" s="28">
        <f t="shared" si="161"/>
        <v>149999.98945215586</v>
      </c>
      <c r="K83" s="28">
        <f t="shared" ref="K83:V83" si="162">IF(K15=0,0,K15/K26*1000000)</f>
        <v>149999.99056933651</v>
      </c>
      <c r="L83" s="28">
        <f t="shared" si="162"/>
        <v>149999.99152568183</v>
      </c>
      <c r="M83" s="28">
        <f t="shared" si="162"/>
        <v>149830.9548482541</v>
      </c>
      <c r="N83" s="28">
        <f t="shared" si="162"/>
        <v>149999.99129309994</v>
      </c>
      <c r="O83" s="28">
        <f t="shared" si="162"/>
        <v>149050.61974036184</v>
      </c>
      <c r="P83" s="28">
        <f t="shared" si="162"/>
        <v>149999.98852642259</v>
      </c>
      <c r="Q83" s="28">
        <f t="shared" si="162"/>
        <v>149999.99285593929</v>
      </c>
      <c r="R83" s="28">
        <f t="shared" si="162"/>
        <v>149999.98935351576</v>
      </c>
      <c r="S83" s="28">
        <f t="shared" si="162"/>
        <v>149999.9917682482</v>
      </c>
      <c r="T83" s="28">
        <f t="shared" si="162"/>
        <v>149999.98771978187</v>
      </c>
      <c r="U83" s="28">
        <f t="shared" si="162"/>
        <v>146863.80689636566</v>
      </c>
      <c r="V83" s="28">
        <f t="shared" si="162"/>
        <v>142620.69775540644</v>
      </c>
      <c r="W83" s="28">
        <f t="shared" ref="W83:Y83" si="163">IF(W15=0,0,W15/W26*1000000)</f>
        <v>140787.36648158956</v>
      </c>
      <c r="X83" s="28">
        <f t="shared" si="163"/>
        <v>144988.21152078299</v>
      </c>
      <c r="Y83" s="28">
        <f t="shared" si="163"/>
        <v>148876.10177414236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0</v>
      </c>
      <c r="E84" s="108">
        <f t="shared" si="161"/>
        <v>0</v>
      </c>
      <c r="F84" s="108">
        <f t="shared" si="161"/>
        <v>0</v>
      </c>
      <c r="G84" s="108">
        <f t="shared" si="161"/>
        <v>0</v>
      </c>
      <c r="H84" s="108">
        <f t="shared" si="161"/>
        <v>0</v>
      </c>
      <c r="I84" s="108">
        <f t="shared" si="161"/>
        <v>0</v>
      </c>
      <c r="J84" s="108">
        <f t="shared" si="161"/>
        <v>0</v>
      </c>
      <c r="K84" s="108">
        <f t="shared" ref="K84:V84" si="164">IF(K16=0,0,K16/K27*1000000)</f>
        <v>0</v>
      </c>
      <c r="L84" s="108">
        <f t="shared" si="164"/>
        <v>0</v>
      </c>
      <c r="M84" s="108">
        <f t="shared" si="164"/>
        <v>0</v>
      </c>
      <c r="N84" s="108">
        <f t="shared" si="164"/>
        <v>0</v>
      </c>
      <c r="O84" s="108">
        <f t="shared" si="164"/>
        <v>0</v>
      </c>
      <c r="P84" s="108">
        <f t="shared" si="164"/>
        <v>0</v>
      </c>
      <c r="Q84" s="108">
        <f t="shared" si="164"/>
        <v>0</v>
      </c>
      <c r="R84" s="108">
        <f t="shared" si="164"/>
        <v>0</v>
      </c>
      <c r="S84" s="108">
        <f t="shared" si="164"/>
        <v>0</v>
      </c>
      <c r="T84" s="108">
        <f t="shared" si="164"/>
        <v>0</v>
      </c>
      <c r="U84" s="108">
        <f t="shared" si="164"/>
        <v>0</v>
      </c>
      <c r="V84" s="108">
        <f t="shared" si="164"/>
        <v>0</v>
      </c>
      <c r="W84" s="108">
        <f t="shared" ref="W84:Y84" si="165">IF(W16=0,0,W16/W27*1000000)</f>
        <v>0</v>
      </c>
      <c r="X84" s="108">
        <f t="shared" si="165"/>
        <v>0</v>
      </c>
      <c r="Y84" s="108">
        <f t="shared" si="165"/>
        <v>0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149999.99901212397</v>
      </c>
      <c r="C85" s="110">
        <f t="shared" si="161"/>
        <v>147302.78605467457</v>
      </c>
      <c r="D85" s="110">
        <f t="shared" si="161"/>
        <v>149999.99780247532</v>
      </c>
      <c r="E85" s="110">
        <f t="shared" si="161"/>
        <v>145720.41384512451</v>
      </c>
      <c r="F85" s="110">
        <f t="shared" si="161"/>
        <v>149999.99704179543</v>
      </c>
      <c r="G85" s="110">
        <f t="shared" si="161"/>
        <v>109375.77555575114</v>
      </c>
      <c r="H85" s="110">
        <f t="shared" si="161"/>
        <v>118124.8006939006</v>
      </c>
      <c r="I85" s="110">
        <f t="shared" si="161"/>
        <v>128781.12998521965</v>
      </c>
      <c r="J85" s="110">
        <f t="shared" si="161"/>
        <v>149999.98945215586</v>
      </c>
      <c r="K85" s="110">
        <f t="shared" ref="K85:V85" si="166">IF(K17=0,0,K17/K28*1000000)</f>
        <v>149999.99056933651</v>
      </c>
      <c r="L85" s="110">
        <f t="shared" si="166"/>
        <v>149999.99152568183</v>
      </c>
      <c r="M85" s="110">
        <f t="shared" si="166"/>
        <v>149830.9548482541</v>
      </c>
      <c r="N85" s="110">
        <f t="shared" si="166"/>
        <v>149999.99129309994</v>
      </c>
      <c r="O85" s="110">
        <f t="shared" si="166"/>
        <v>149050.61974036184</v>
      </c>
      <c r="P85" s="110">
        <f t="shared" si="166"/>
        <v>149999.98852642259</v>
      </c>
      <c r="Q85" s="110">
        <f t="shared" si="166"/>
        <v>149999.99285593929</v>
      </c>
      <c r="R85" s="110">
        <f t="shared" si="166"/>
        <v>149999.98935351576</v>
      </c>
      <c r="S85" s="110">
        <f t="shared" si="166"/>
        <v>149999.9917682482</v>
      </c>
      <c r="T85" s="110">
        <f t="shared" si="166"/>
        <v>149999.98771978187</v>
      </c>
      <c r="U85" s="110">
        <f t="shared" si="166"/>
        <v>146863.80689636566</v>
      </c>
      <c r="V85" s="110">
        <f t="shared" si="166"/>
        <v>142620.69775540644</v>
      </c>
      <c r="W85" s="110">
        <f t="shared" ref="W85:Y85" si="167">IF(W17=0,0,W17/W28*1000000)</f>
        <v>140787.36648158956</v>
      </c>
      <c r="X85" s="110">
        <f t="shared" si="167"/>
        <v>144988.21152078299</v>
      </c>
      <c r="Y85" s="110">
        <f t="shared" si="167"/>
        <v>148876.10177414236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149999.9999609908</v>
      </c>
      <c r="C86" s="84">
        <f t="shared" si="161"/>
        <v>147660.16208217604</v>
      </c>
      <c r="D86" s="84">
        <f t="shared" si="161"/>
        <v>149999.99905847985</v>
      </c>
      <c r="E86" s="84">
        <f t="shared" si="161"/>
        <v>145201.86237865689</v>
      </c>
      <c r="F86" s="84">
        <f t="shared" si="161"/>
        <v>149999.99665417982</v>
      </c>
      <c r="G86" s="84">
        <f t="shared" si="161"/>
        <v>102663.05039558187</v>
      </c>
      <c r="H86" s="84">
        <f t="shared" si="161"/>
        <v>111843.98389295321</v>
      </c>
      <c r="I86" s="84">
        <f t="shared" si="161"/>
        <v>123545.90753141549</v>
      </c>
      <c r="J86" s="84">
        <f t="shared" si="161"/>
        <v>149999.99424228483</v>
      </c>
      <c r="K86" s="84">
        <f t="shared" ref="K86:V86" si="168">IF(K18=0,0,K18/K29*1000000)</f>
        <v>149999.99990401871</v>
      </c>
      <c r="L86" s="84">
        <f t="shared" si="168"/>
        <v>149999.99377283728</v>
      </c>
      <c r="M86" s="84">
        <f t="shared" si="168"/>
        <v>149999.99572298245</v>
      </c>
      <c r="N86" s="84">
        <f t="shared" si="168"/>
        <v>149999.98844768543</v>
      </c>
      <c r="O86" s="84">
        <f t="shared" si="168"/>
        <v>149999.99856475316</v>
      </c>
      <c r="P86" s="84">
        <f t="shared" si="168"/>
        <v>149999.98717032059</v>
      </c>
      <c r="Q86" s="84">
        <f t="shared" si="168"/>
        <v>149999.99755325535</v>
      </c>
      <c r="R86" s="84">
        <f t="shared" si="168"/>
        <v>149999.99856689107</v>
      </c>
      <c r="S86" s="84">
        <f t="shared" si="168"/>
        <v>149999.99983385514</v>
      </c>
      <c r="T86" s="84">
        <f t="shared" si="168"/>
        <v>149999.99007052431</v>
      </c>
      <c r="U86" s="84">
        <f t="shared" si="168"/>
        <v>149999.99721671635</v>
      </c>
      <c r="V86" s="84">
        <f t="shared" si="168"/>
        <v>149999.99287481673</v>
      </c>
      <c r="W86" s="84">
        <f t="shared" ref="W86:Y86" si="169">IF(W18=0,0,W18/W29*1000000)</f>
        <v>149999.99465484204</v>
      </c>
      <c r="X86" s="84">
        <f t="shared" si="169"/>
        <v>149999.99769434863</v>
      </c>
      <c r="Y86" s="84">
        <f t="shared" si="169"/>
        <v>149999.99986790965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149999.9882988967</v>
      </c>
      <c r="C87" s="84">
        <f t="shared" si="161"/>
        <v>143267.81474957798</v>
      </c>
      <c r="D87" s="84">
        <f t="shared" si="161"/>
        <v>149999.98404780321</v>
      </c>
      <c r="E87" s="84">
        <f t="shared" si="161"/>
        <v>149999.97420753996</v>
      </c>
      <c r="F87" s="84">
        <f t="shared" si="161"/>
        <v>149999.99974574285</v>
      </c>
      <c r="G87" s="84">
        <f t="shared" si="161"/>
        <v>149999.97321757933</v>
      </c>
      <c r="H87" s="84">
        <f t="shared" si="161"/>
        <v>149999.97925027797</v>
      </c>
      <c r="I87" s="84">
        <f t="shared" si="161"/>
        <v>149999.97228038902</v>
      </c>
      <c r="J87" s="84">
        <f t="shared" si="161"/>
        <v>149999.97654629801</v>
      </c>
      <c r="K87" s="84">
        <f t="shared" ref="K87:V87" si="170">IF(K19=0,0,K19/K30*1000000)</f>
        <v>149999.97065362844</v>
      </c>
      <c r="L87" s="84">
        <f t="shared" si="170"/>
        <v>149999.98623852927</v>
      </c>
      <c r="M87" s="84">
        <f t="shared" si="170"/>
        <v>149362.57704641941</v>
      </c>
      <c r="N87" s="84">
        <f t="shared" si="170"/>
        <v>149999.9985212716</v>
      </c>
      <c r="O87" s="84">
        <f t="shared" si="170"/>
        <v>146533.68721963605</v>
      </c>
      <c r="P87" s="84">
        <f t="shared" si="170"/>
        <v>149999.99144252166</v>
      </c>
      <c r="Q87" s="84">
        <f t="shared" si="170"/>
        <v>149999.98268268217</v>
      </c>
      <c r="R87" s="84">
        <f t="shared" si="170"/>
        <v>149999.97272984823</v>
      </c>
      <c r="S87" s="84">
        <f t="shared" si="170"/>
        <v>149999.97291570937</v>
      </c>
      <c r="T87" s="84">
        <f t="shared" si="170"/>
        <v>149999.98351789109</v>
      </c>
      <c r="U87" s="84">
        <f t="shared" si="170"/>
        <v>140838.27101548272</v>
      </c>
      <c r="V87" s="84">
        <f t="shared" si="170"/>
        <v>130776.20820927912</v>
      </c>
      <c r="W87" s="84">
        <f t="shared" ref="W87:Y87" si="171">IF(W19=0,0,W19/W30*1000000)</f>
        <v>122826.16865674875</v>
      </c>
      <c r="X87" s="84">
        <f t="shared" si="171"/>
        <v>135270.49281706603</v>
      </c>
      <c r="Y87" s="84">
        <f t="shared" si="171"/>
        <v>146502.24223543517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:Y88" si="173">IF(W20=0,0,W20/W31*1000000)</f>
        <v>0</v>
      </c>
      <c r="X88" s="113">
        <f t="shared" si="173"/>
        <v>0</v>
      </c>
      <c r="Y88" s="113">
        <f t="shared" si="173"/>
        <v>0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199999.99988115224</v>
      </c>
      <c r="C89" s="28">
        <f t="shared" si="161"/>
        <v>196781.31787170476</v>
      </c>
      <c r="D89" s="28">
        <f t="shared" si="161"/>
        <v>199999.9970330052</v>
      </c>
      <c r="E89" s="28">
        <f t="shared" si="161"/>
        <v>199999.99985411883</v>
      </c>
      <c r="F89" s="28">
        <f t="shared" si="161"/>
        <v>199999.99983856911</v>
      </c>
      <c r="G89" s="28">
        <f t="shared" si="161"/>
        <v>199999.99895787251</v>
      </c>
      <c r="H89" s="28">
        <f t="shared" si="161"/>
        <v>199999.99931954753</v>
      </c>
      <c r="I89" s="28">
        <f t="shared" si="161"/>
        <v>199999.99798526833</v>
      </c>
      <c r="J89" s="28">
        <f t="shared" si="161"/>
        <v>199999.99870594614</v>
      </c>
      <c r="K89" s="28">
        <f t="shared" ref="K89:V89" si="174">IF(K21=0,0,K21/K32*1000000)</f>
        <v>165959.30622388705</v>
      </c>
      <c r="L89" s="28">
        <f t="shared" si="174"/>
        <v>192510.45087890091</v>
      </c>
      <c r="M89" s="28">
        <f t="shared" si="174"/>
        <v>199999.99969009153</v>
      </c>
      <c r="N89" s="28">
        <f t="shared" si="174"/>
        <v>199999.99859281222</v>
      </c>
      <c r="O89" s="28">
        <f t="shared" si="174"/>
        <v>199999.99743573379</v>
      </c>
      <c r="P89" s="28">
        <f t="shared" si="174"/>
        <v>199999.99754959272</v>
      </c>
      <c r="Q89" s="28">
        <f t="shared" si="174"/>
        <v>199999.99998616611</v>
      </c>
      <c r="R89" s="28">
        <f t="shared" si="174"/>
        <v>199999.99792021699</v>
      </c>
      <c r="S89" s="28">
        <f t="shared" si="174"/>
        <v>199999.99764370752</v>
      </c>
      <c r="T89" s="28">
        <f t="shared" si="174"/>
        <v>199999.99914983744</v>
      </c>
      <c r="U89" s="28">
        <f t="shared" si="174"/>
        <v>197108.56471043307</v>
      </c>
      <c r="V89" s="28">
        <f t="shared" si="174"/>
        <v>199999.99845936336</v>
      </c>
      <c r="W89" s="28">
        <f t="shared" ref="W89:Y89" si="175">IF(W21=0,0,W21/W32*1000000)</f>
        <v>199999.99805459741</v>
      </c>
      <c r="X89" s="28">
        <f t="shared" si="175"/>
        <v>112966.32596346388</v>
      </c>
      <c r="Y89" s="28">
        <f t="shared" si="175"/>
        <v>129063.60555444424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199999.99988115224</v>
      </c>
      <c r="C90" s="84">
        <f t="shared" si="161"/>
        <v>196781.31787170476</v>
      </c>
      <c r="D90" s="84">
        <f t="shared" si="161"/>
        <v>199999.9970330052</v>
      </c>
      <c r="E90" s="84">
        <f t="shared" si="161"/>
        <v>199999.99985411883</v>
      </c>
      <c r="F90" s="84">
        <f t="shared" si="161"/>
        <v>199999.99983856911</v>
      </c>
      <c r="G90" s="84">
        <f t="shared" si="161"/>
        <v>199999.99895787251</v>
      </c>
      <c r="H90" s="84">
        <f t="shared" si="161"/>
        <v>199999.99931954753</v>
      </c>
      <c r="I90" s="84">
        <f t="shared" si="161"/>
        <v>199999.99798526833</v>
      </c>
      <c r="J90" s="84">
        <f t="shared" si="161"/>
        <v>199999.99870594614</v>
      </c>
      <c r="K90" s="84">
        <f t="shared" ref="K90:V90" si="176">IF(K22=0,0,K22/K33*1000000)</f>
        <v>165959.30622388705</v>
      </c>
      <c r="L90" s="84">
        <f t="shared" si="176"/>
        <v>192510.45087890091</v>
      </c>
      <c r="M90" s="84">
        <f t="shared" si="176"/>
        <v>199999.99969009153</v>
      </c>
      <c r="N90" s="84">
        <f t="shared" si="176"/>
        <v>199999.99859281222</v>
      </c>
      <c r="O90" s="84">
        <f t="shared" si="176"/>
        <v>199999.99743573379</v>
      </c>
      <c r="P90" s="84">
        <f t="shared" si="176"/>
        <v>199999.99754959272</v>
      </c>
      <c r="Q90" s="84">
        <f t="shared" si="176"/>
        <v>199999.99998616611</v>
      </c>
      <c r="R90" s="84">
        <f t="shared" si="176"/>
        <v>199999.99792021699</v>
      </c>
      <c r="S90" s="84">
        <f t="shared" si="176"/>
        <v>199999.99764370752</v>
      </c>
      <c r="T90" s="84">
        <f t="shared" si="176"/>
        <v>199999.99914983744</v>
      </c>
      <c r="U90" s="84">
        <f t="shared" si="176"/>
        <v>197108.56471043307</v>
      </c>
      <c r="V90" s="84">
        <f t="shared" si="176"/>
        <v>199999.99845936336</v>
      </c>
      <c r="W90" s="84">
        <f t="shared" ref="W90:Y90" si="177">IF(W22=0,0,W22/W33*1000000)</f>
        <v>199999.99805459741</v>
      </c>
      <c r="X90" s="84">
        <f t="shared" si="177"/>
        <v>112966.32596346388</v>
      </c>
      <c r="Y90" s="84">
        <f t="shared" si="177"/>
        <v>129063.60555444424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0</v>
      </c>
      <c r="C91" s="86">
        <f t="shared" si="161"/>
        <v>0</v>
      </c>
      <c r="D91" s="86">
        <f t="shared" si="161"/>
        <v>0</v>
      </c>
      <c r="E91" s="86">
        <f t="shared" si="161"/>
        <v>0</v>
      </c>
      <c r="F91" s="86">
        <f t="shared" si="161"/>
        <v>0</v>
      </c>
      <c r="G91" s="86">
        <f t="shared" si="161"/>
        <v>0</v>
      </c>
      <c r="H91" s="86">
        <f t="shared" si="161"/>
        <v>0</v>
      </c>
      <c r="I91" s="86">
        <f t="shared" si="161"/>
        <v>0</v>
      </c>
      <c r="J91" s="86">
        <f t="shared" si="161"/>
        <v>0</v>
      </c>
      <c r="K91" s="86">
        <f t="shared" ref="K91:V91" si="178">IF(K23=0,0,K23/K34*1000000)</f>
        <v>0</v>
      </c>
      <c r="L91" s="86">
        <f t="shared" si="178"/>
        <v>0</v>
      </c>
      <c r="M91" s="86">
        <f t="shared" si="178"/>
        <v>0</v>
      </c>
      <c r="N91" s="86">
        <f t="shared" si="178"/>
        <v>0</v>
      </c>
      <c r="O91" s="86">
        <f t="shared" si="178"/>
        <v>0</v>
      </c>
      <c r="P91" s="86">
        <f t="shared" si="178"/>
        <v>0</v>
      </c>
      <c r="Q91" s="86">
        <f t="shared" si="178"/>
        <v>0</v>
      </c>
      <c r="R91" s="86">
        <f t="shared" si="178"/>
        <v>0</v>
      </c>
      <c r="S91" s="86">
        <f t="shared" si="178"/>
        <v>0</v>
      </c>
      <c r="T91" s="86">
        <f t="shared" si="178"/>
        <v>0</v>
      </c>
      <c r="U91" s="86">
        <f t="shared" si="178"/>
        <v>0</v>
      </c>
      <c r="V91" s="86">
        <f t="shared" si="178"/>
        <v>0</v>
      </c>
      <c r="W91" s="86">
        <f t="shared" ref="W91:Y91" si="179">IF(W23=0,0,W23/W34*1000000)</f>
        <v>0</v>
      </c>
      <c r="X91" s="86">
        <f t="shared" si="179"/>
        <v>0</v>
      </c>
      <c r="Y91" s="86">
        <f t="shared" si="179"/>
        <v>0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19317113.175994232</v>
      </c>
      <c r="C94" s="28">
        <f t="shared" si="180"/>
        <v>18723442.702243131</v>
      </c>
      <c r="D94" s="28">
        <f t="shared" si="180"/>
        <v>18605198.180292066</v>
      </c>
      <c r="E94" s="28">
        <f t="shared" si="180"/>
        <v>17820873.490114115</v>
      </c>
      <c r="F94" s="28">
        <f t="shared" si="180"/>
        <v>18461381.098414753</v>
      </c>
      <c r="G94" s="28">
        <f t="shared" si="180"/>
        <v>13254539.514101837</v>
      </c>
      <c r="H94" s="28">
        <f t="shared" si="180"/>
        <v>14706494.047546536</v>
      </c>
      <c r="I94" s="28">
        <f t="shared" si="180"/>
        <v>16018731.757936645</v>
      </c>
      <c r="J94" s="28">
        <f t="shared" si="180"/>
        <v>17420339.421134274</v>
      </c>
      <c r="K94" s="28">
        <f t="shared" ref="K94:V94" si="181">IF(K4=0,0,K4/K26*1000000)</f>
        <v>16582382.460519757</v>
      </c>
      <c r="L94" s="28">
        <f t="shared" si="181"/>
        <v>16305970.578148236</v>
      </c>
      <c r="M94" s="28">
        <f t="shared" si="181"/>
        <v>16962111.120744694</v>
      </c>
      <c r="N94" s="28">
        <f t="shared" si="181"/>
        <v>16896957.611611396</v>
      </c>
      <c r="O94" s="28">
        <f t="shared" si="181"/>
        <v>17344451.001645166</v>
      </c>
      <c r="P94" s="28">
        <f t="shared" si="181"/>
        <v>17687285.259160984</v>
      </c>
      <c r="Q94" s="28">
        <f t="shared" si="181"/>
        <v>16885080.33656992</v>
      </c>
      <c r="R94" s="28">
        <f t="shared" si="181"/>
        <v>18513667.252007112</v>
      </c>
      <c r="S94" s="28">
        <f t="shared" si="181"/>
        <v>17834329.272107422</v>
      </c>
      <c r="T94" s="28">
        <f t="shared" si="181"/>
        <v>16831581.295681816</v>
      </c>
      <c r="U94" s="28">
        <f t="shared" si="181"/>
        <v>16862562.832422055</v>
      </c>
      <c r="V94" s="28">
        <f t="shared" si="181"/>
        <v>12940224.951341752</v>
      </c>
      <c r="W94" s="28">
        <f t="shared" ref="W94:Y94" si="182">IF(W4=0,0,W4/W26*1000000)</f>
        <v>14365737.665612681</v>
      </c>
      <c r="X94" s="28">
        <f t="shared" si="182"/>
        <v>19948225.477403596</v>
      </c>
      <c r="Y94" s="28">
        <f t="shared" si="182"/>
        <v>20126167.452485688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0</v>
      </c>
      <c r="E95" s="108">
        <f t="shared" si="180"/>
        <v>0</v>
      </c>
      <c r="F95" s="108">
        <f t="shared" si="180"/>
        <v>0</v>
      </c>
      <c r="G95" s="108">
        <f t="shared" si="180"/>
        <v>0</v>
      </c>
      <c r="H95" s="108">
        <f t="shared" si="180"/>
        <v>0</v>
      </c>
      <c r="I95" s="108">
        <f t="shared" si="180"/>
        <v>0</v>
      </c>
      <c r="J95" s="108">
        <f t="shared" si="180"/>
        <v>0</v>
      </c>
      <c r="K95" s="108">
        <f t="shared" ref="K95:V95" si="183">IF(K5=0,0,K5/K27*1000000)</f>
        <v>0</v>
      </c>
      <c r="L95" s="108">
        <f t="shared" si="183"/>
        <v>0</v>
      </c>
      <c r="M95" s="108">
        <f t="shared" si="183"/>
        <v>0</v>
      </c>
      <c r="N95" s="108">
        <f t="shared" si="183"/>
        <v>0</v>
      </c>
      <c r="O95" s="108">
        <f t="shared" si="183"/>
        <v>0</v>
      </c>
      <c r="P95" s="108">
        <f t="shared" si="183"/>
        <v>0</v>
      </c>
      <c r="Q95" s="108">
        <f t="shared" si="183"/>
        <v>0</v>
      </c>
      <c r="R95" s="108">
        <f t="shared" si="183"/>
        <v>0</v>
      </c>
      <c r="S95" s="108">
        <f t="shared" si="183"/>
        <v>0</v>
      </c>
      <c r="T95" s="108">
        <f t="shared" si="183"/>
        <v>0</v>
      </c>
      <c r="U95" s="108">
        <f t="shared" si="183"/>
        <v>0</v>
      </c>
      <c r="V95" s="108">
        <f t="shared" si="183"/>
        <v>0</v>
      </c>
      <c r="W95" s="108">
        <f t="shared" ref="W95:Y95" si="184">IF(W5=0,0,W5/W27*1000000)</f>
        <v>0</v>
      </c>
      <c r="X95" s="108">
        <f t="shared" si="184"/>
        <v>0</v>
      </c>
      <c r="Y95" s="108">
        <f t="shared" si="184"/>
        <v>0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19317113.175994232</v>
      </c>
      <c r="C96" s="110">
        <f t="shared" si="180"/>
        <v>18723442.702243131</v>
      </c>
      <c r="D96" s="110">
        <f t="shared" si="180"/>
        <v>18605198.180292066</v>
      </c>
      <c r="E96" s="110">
        <f t="shared" si="180"/>
        <v>17820873.490114115</v>
      </c>
      <c r="F96" s="110">
        <f t="shared" si="180"/>
        <v>18461381.098414753</v>
      </c>
      <c r="G96" s="110">
        <f t="shared" si="180"/>
        <v>13254539.514101837</v>
      </c>
      <c r="H96" s="110">
        <f t="shared" si="180"/>
        <v>14706494.047546536</v>
      </c>
      <c r="I96" s="110">
        <f t="shared" si="180"/>
        <v>16018731.757936645</v>
      </c>
      <c r="J96" s="110">
        <f t="shared" si="180"/>
        <v>17420339.421134274</v>
      </c>
      <c r="K96" s="110">
        <f t="shared" ref="K96:V96" si="185">IF(K6=0,0,K6/K28*1000000)</f>
        <v>16582382.460519757</v>
      </c>
      <c r="L96" s="110">
        <f t="shared" si="185"/>
        <v>16305970.578148236</v>
      </c>
      <c r="M96" s="110">
        <f t="shared" si="185"/>
        <v>16962111.120744694</v>
      </c>
      <c r="N96" s="110">
        <f t="shared" si="185"/>
        <v>16896957.611611396</v>
      </c>
      <c r="O96" s="110">
        <f t="shared" si="185"/>
        <v>17344451.001645166</v>
      </c>
      <c r="P96" s="110">
        <f t="shared" si="185"/>
        <v>17687285.259160984</v>
      </c>
      <c r="Q96" s="110">
        <f t="shared" si="185"/>
        <v>16885080.33656992</v>
      </c>
      <c r="R96" s="110">
        <f t="shared" si="185"/>
        <v>18513667.252007112</v>
      </c>
      <c r="S96" s="110">
        <f t="shared" si="185"/>
        <v>17834329.272107422</v>
      </c>
      <c r="T96" s="110">
        <f t="shared" si="185"/>
        <v>16831581.295681816</v>
      </c>
      <c r="U96" s="110">
        <f t="shared" si="185"/>
        <v>16862562.832422055</v>
      </c>
      <c r="V96" s="110">
        <f t="shared" si="185"/>
        <v>12940224.951341752</v>
      </c>
      <c r="W96" s="110">
        <f t="shared" ref="W96:Y96" si="186">IF(W6=0,0,W6/W28*1000000)</f>
        <v>14365737.665612681</v>
      </c>
      <c r="X96" s="110">
        <f t="shared" si="186"/>
        <v>19948225.477403596</v>
      </c>
      <c r="Y96" s="110">
        <f t="shared" si="186"/>
        <v>20126167.452485688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18903518.788160052</v>
      </c>
      <c r="C97" s="84">
        <f t="shared" si="180"/>
        <v>18403564.715751484</v>
      </c>
      <c r="D97" s="84">
        <f t="shared" si="180"/>
        <v>18168581.744069017</v>
      </c>
      <c r="E97" s="84">
        <f t="shared" si="180"/>
        <v>17210486.514704965</v>
      </c>
      <c r="F97" s="84">
        <f t="shared" si="180"/>
        <v>17722326.5307745</v>
      </c>
      <c r="G97" s="84">
        <f t="shared" si="180"/>
        <v>12151225.593655813</v>
      </c>
      <c r="H97" s="84">
        <f t="shared" si="180"/>
        <v>13619620.707079085</v>
      </c>
      <c r="I97" s="84">
        <f t="shared" si="180"/>
        <v>14836777.642004939</v>
      </c>
      <c r="J97" s="84">
        <f t="shared" si="180"/>
        <v>17541845.352921009</v>
      </c>
      <c r="K97" s="84">
        <f t="shared" ref="K97:V97" si="187">IF(K7=0,0,K7/K29*1000000)</f>
        <v>16903119.727050062</v>
      </c>
      <c r="L97" s="84">
        <f t="shared" si="187"/>
        <v>16692648.804621762</v>
      </c>
      <c r="M97" s="84">
        <f t="shared" si="187"/>
        <v>16649475.948168999</v>
      </c>
      <c r="N97" s="84">
        <f t="shared" si="187"/>
        <v>16840247.988293245</v>
      </c>
      <c r="O97" s="84">
        <f t="shared" si="187"/>
        <v>16911822.469119675</v>
      </c>
      <c r="P97" s="84">
        <f t="shared" si="187"/>
        <v>17075980.734761208</v>
      </c>
      <c r="Q97" s="84">
        <f t="shared" si="187"/>
        <v>17032557.972215708</v>
      </c>
      <c r="R97" s="84">
        <f t="shared" si="187"/>
        <v>19971975.660378952</v>
      </c>
      <c r="S97" s="84">
        <f t="shared" si="187"/>
        <v>18391630.589295518</v>
      </c>
      <c r="T97" s="84">
        <f t="shared" si="187"/>
        <v>18601158.746714972</v>
      </c>
      <c r="U97" s="84">
        <f t="shared" si="187"/>
        <v>18791932.639692567</v>
      </c>
      <c r="V97" s="84">
        <f t="shared" si="187"/>
        <v>15686121.296127215</v>
      </c>
      <c r="W97" s="84">
        <f t="shared" ref="W97:Y97" si="188">IF(W7=0,0,W7/W29*1000000)</f>
        <v>16341835.594054427</v>
      </c>
      <c r="X97" s="84">
        <f t="shared" si="188"/>
        <v>19333145.924513001</v>
      </c>
      <c r="Y97" s="84">
        <f t="shared" si="188"/>
        <v>18488009.330158453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23986820.724798352</v>
      </c>
      <c r="C98" s="84">
        <f t="shared" si="180"/>
        <v>22335040.563603614</v>
      </c>
      <c r="D98" s="84">
        <f t="shared" si="180"/>
        <v>23386642.734686054</v>
      </c>
      <c r="E98" s="84">
        <f t="shared" si="180"/>
        <v>22858344.357740737</v>
      </c>
      <c r="F98" s="84">
        <f t="shared" si="180"/>
        <v>23616913.532254074</v>
      </c>
      <c r="G98" s="84">
        <f t="shared" si="180"/>
        <v>19931595.660121042</v>
      </c>
      <c r="H98" s="84">
        <f t="shared" si="180"/>
        <v>20222382.011408284</v>
      </c>
      <c r="I98" s="84">
        <f t="shared" si="180"/>
        <v>20809301.443825942</v>
      </c>
      <c r="J98" s="84">
        <f t="shared" si="180"/>
        <v>17092970.724145763</v>
      </c>
      <c r="K98" s="84">
        <f t="shared" ref="K98:V98" si="189">IF(K8=0,0,K8/K30*1000000)</f>
        <v>15898083.880056785</v>
      </c>
      <c r="L98" s="84">
        <f t="shared" si="189"/>
        <v>15396186.273035487</v>
      </c>
      <c r="M98" s="84">
        <f t="shared" si="189"/>
        <v>17828359.44762126</v>
      </c>
      <c r="N98" s="84">
        <f t="shared" si="189"/>
        <v>17041016.373383008</v>
      </c>
      <c r="O98" s="84">
        <f t="shared" si="189"/>
        <v>18491408.143443041</v>
      </c>
      <c r="P98" s="84">
        <f t="shared" si="189"/>
        <v>19001806.246443052</v>
      </c>
      <c r="Q98" s="84">
        <f t="shared" si="189"/>
        <v>16565679.239484666</v>
      </c>
      <c r="R98" s="84">
        <f t="shared" si="189"/>
        <v>15882445.417967912</v>
      </c>
      <c r="S98" s="84">
        <f t="shared" si="189"/>
        <v>16531693.918968756</v>
      </c>
      <c r="T98" s="84">
        <f t="shared" si="189"/>
        <v>13668507.781304022</v>
      </c>
      <c r="U98" s="84">
        <f t="shared" si="189"/>
        <v>13155680.974595042</v>
      </c>
      <c r="V98" s="84">
        <f t="shared" si="189"/>
        <v>8532793.0727858748</v>
      </c>
      <c r="W98" s="84">
        <f t="shared" ref="W98:Y98" si="190">IF(W8=0,0,W8/W30*1000000)</f>
        <v>10513081.816867005</v>
      </c>
      <c r="X98" s="84">
        <f t="shared" si="190"/>
        <v>21140848.200800098</v>
      </c>
      <c r="Y98" s="84">
        <f t="shared" si="190"/>
        <v>23586229.629085716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:Y99" si="192">IF(W9=0,0,W9/W31*1000000)</f>
        <v>0</v>
      </c>
      <c r="X99" s="113">
        <f t="shared" si="192"/>
        <v>0</v>
      </c>
      <c r="Y99" s="113">
        <f t="shared" si="192"/>
        <v>0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134956904.13522908</v>
      </c>
      <c r="C100" s="28">
        <f t="shared" si="180"/>
        <v>130161394.91718829</v>
      </c>
      <c r="D100" s="28">
        <f t="shared" si="180"/>
        <v>153340967.15022629</v>
      </c>
      <c r="E100" s="28">
        <f t="shared" si="180"/>
        <v>156446191.42008778</v>
      </c>
      <c r="F100" s="28">
        <f t="shared" si="180"/>
        <v>160354383.04874068</v>
      </c>
      <c r="G100" s="28">
        <f t="shared" si="180"/>
        <v>162462961.97902396</v>
      </c>
      <c r="H100" s="28">
        <f t="shared" si="180"/>
        <v>174349330.62349194</v>
      </c>
      <c r="I100" s="28">
        <f t="shared" si="180"/>
        <v>184731803.94301698</v>
      </c>
      <c r="J100" s="28">
        <f t="shared" si="180"/>
        <v>177161710.11695355</v>
      </c>
      <c r="K100" s="28">
        <f t="shared" ref="K100:V100" si="193">IF(K10=0,0,K10/K32*1000000)</f>
        <v>155118983.88088277</v>
      </c>
      <c r="L100" s="28">
        <f t="shared" si="193"/>
        <v>191789482.40529627</v>
      </c>
      <c r="M100" s="28">
        <f t="shared" si="193"/>
        <v>206694793.3967863</v>
      </c>
      <c r="N100" s="28">
        <f t="shared" si="193"/>
        <v>205691870.84884357</v>
      </c>
      <c r="O100" s="28">
        <f t="shared" si="193"/>
        <v>208648257.6275605</v>
      </c>
      <c r="P100" s="28">
        <f t="shared" si="193"/>
        <v>207175717.1118758</v>
      </c>
      <c r="Q100" s="28">
        <f t="shared" si="193"/>
        <v>218179734.68094501</v>
      </c>
      <c r="R100" s="28">
        <f t="shared" si="193"/>
        <v>216919067.49591726</v>
      </c>
      <c r="S100" s="28">
        <f t="shared" si="193"/>
        <v>226834270.51715907</v>
      </c>
      <c r="T100" s="28">
        <f t="shared" si="193"/>
        <v>219677044.69076753</v>
      </c>
      <c r="U100" s="28">
        <f t="shared" si="193"/>
        <v>230318789.04555392</v>
      </c>
      <c r="V100" s="28">
        <f t="shared" si="193"/>
        <v>233363670.85570025</v>
      </c>
      <c r="W100" s="28">
        <f t="shared" ref="W100:Y100" si="194">IF(W10=0,0,W10/W32*1000000)</f>
        <v>221456710.49637455</v>
      </c>
      <c r="X100" s="28">
        <f t="shared" si="194"/>
        <v>124650256.73220403</v>
      </c>
      <c r="Y100" s="28">
        <f t="shared" si="194"/>
        <v>120001886.69527267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134956904.13522908</v>
      </c>
      <c r="C101" s="84">
        <f t="shared" si="180"/>
        <v>130161394.91718829</v>
      </c>
      <c r="D101" s="84">
        <f t="shared" si="180"/>
        <v>153340967.15022629</v>
      </c>
      <c r="E101" s="84">
        <f t="shared" si="180"/>
        <v>156446191.42008778</v>
      </c>
      <c r="F101" s="84">
        <f t="shared" si="180"/>
        <v>160354383.04874068</v>
      </c>
      <c r="G101" s="84">
        <f t="shared" si="180"/>
        <v>162462961.97902396</v>
      </c>
      <c r="H101" s="84">
        <f t="shared" si="180"/>
        <v>174349330.62349194</v>
      </c>
      <c r="I101" s="84">
        <f t="shared" si="180"/>
        <v>184731803.94301698</v>
      </c>
      <c r="J101" s="84">
        <f t="shared" si="180"/>
        <v>177161710.11695355</v>
      </c>
      <c r="K101" s="84">
        <f t="shared" ref="K101:V101" si="195">IF(K11=0,0,K11/K33*1000000)</f>
        <v>155118983.88088277</v>
      </c>
      <c r="L101" s="84">
        <f t="shared" si="195"/>
        <v>191789482.40529627</v>
      </c>
      <c r="M101" s="84">
        <f t="shared" si="195"/>
        <v>206694793.3967863</v>
      </c>
      <c r="N101" s="84">
        <f t="shared" si="195"/>
        <v>205691870.84884357</v>
      </c>
      <c r="O101" s="84">
        <f t="shared" si="195"/>
        <v>208648257.6275605</v>
      </c>
      <c r="P101" s="84">
        <f t="shared" si="195"/>
        <v>207175717.1118758</v>
      </c>
      <c r="Q101" s="84">
        <f t="shared" si="195"/>
        <v>218179734.68094501</v>
      </c>
      <c r="R101" s="84">
        <f t="shared" si="195"/>
        <v>216919067.49591726</v>
      </c>
      <c r="S101" s="84">
        <f t="shared" si="195"/>
        <v>226834270.51715907</v>
      </c>
      <c r="T101" s="84">
        <f t="shared" si="195"/>
        <v>219677044.69076753</v>
      </c>
      <c r="U101" s="84">
        <f t="shared" si="195"/>
        <v>230318789.04555392</v>
      </c>
      <c r="V101" s="84">
        <f t="shared" si="195"/>
        <v>233363670.85570025</v>
      </c>
      <c r="W101" s="84">
        <f t="shared" ref="W101:Y101" si="196">IF(W11=0,0,W11/W33*1000000)</f>
        <v>221456710.49637455</v>
      </c>
      <c r="X101" s="84">
        <f t="shared" si="196"/>
        <v>124650256.73220403</v>
      </c>
      <c r="Y101" s="84">
        <f t="shared" si="196"/>
        <v>120001886.69527267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0</v>
      </c>
      <c r="C102" s="86">
        <f t="shared" si="180"/>
        <v>0</v>
      </c>
      <c r="D102" s="86">
        <f t="shared" si="180"/>
        <v>0</v>
      </c>
      <c r="E102" s="86">
        <f t="shared" si="180"/>
        <v>0</v>
      </c>
      <c r="F102" s="86">
        <f t="shared" si="180"/>
        <v>0</v>
      </c>
      <c r="G102" s="86">
        <f t="shared" si="180"/>
        <v>0</v>
      </c>
      <c r="H102" s="86">
        <f t="shared" si="180"/>
        <v>0</v>
      </c>
      <c r="I102" s="86">
        <f t="shared" si="180"/>
        <v>0</v>
      </c>
      <c r="J102" s="86">
        <f t="shared" si="180"/>
        <v>0</v>
      </c>
      <c r="K102" s="86">
        <f t="shared" ref="K102:V102" si="197">IF(K12=0,0,K12/K34*1000000)</f>
        <v>0</v>
      </c>
      <c r="L102" s="86">
        <f t="shared" si="197"/>
        <v>0</v>
      </c>
      <c r="M102" s="86">
        <f t="shared" si="197"/>
        <v>0</v>
      </c>
      <c r="N102" s="86">
        <f t="shared" si="197"/>
        <v>0</v>
      </c>
      <c r="O102" s="86">
        <f t="shared" si="197"/>
        <v>0</v>
      </c>
      <c r="P102" s="86">
        <f t="shared" si="197"/>
        <v>0</v>
      </c>
      <c r="Q102" s="86">
        <f t="shared" si="197"/>
        <v>0</v>
      </c>
      <c r="R102" s="86">
        <f t="shared" si="197"/>
        <v>0</v>
      </c>
      <c r="S102" s="86">
        <f t="shared" si="197"/>
        <v>0</v>
      </c>
      <c r="T102" s="86">
        <f t="shared" si="197"/>
        <v>0</v>
      </c>
      <c r="U102" s="86">
        <f t="shared" si="197"/>
        <v>0</v>
      </c>
      <c r="V102" s="86">
        <f t="shared" si="197"/>
        <v>0</v>
      </c>
      <c r="W102" s="86">
        <f t="shared" ref="W102:Y102" si="198">IF(W12=0,0,W12/W34*1000000)</f>
        <v>0</v>
      </c>
      <c r="X102" s="86">
        <f t="shared" si="198"/>
        <v>0</v>
      </c>
      <c r="Y102" s="86">
        <f t="shared" si="198"/>
        <v>0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0</v>
      </c>
      <c r="E106" s="123">
        <f t="shared" si="199"/>
        <v>0</v>
      </c>
      <c r="F106" s="123">
        <f t="shared" si="199"/>
        <v>0</v>
      </c>
      <c r="G106" s="123">
        <f t="shared" si="199"/>
        <v>0</v>
      </c>
      <c r="H106" s="123">
        <f t="shared" si="199"/>
        <v>0</v>
      </c>
      <c r="I106" s="123">
        <f t="shared" si="199"/>
        <v>0</v>
      </c>
      <c r="J106" s="123">
        <f t="shared" si="199"/>
        <v>0</v>
      </c>
      <c r="K106" s="123">
        <f t="shared" ref="K106:V106" si="202">IF(K5=0,0,K5/K$4)</f>
        <v>0</v>
      </c>
      <c r="L106" s="123">
        <f t="shared" si="202"/>
        <v>0</v>
      </c>
      <c r="M106" s="123">
        <f t="shared" si="202"/>
        <v>0</v>
      </c>
      <c r="N106" s="123">
        <f t="shared" si="202"/>
        <v>0</v>
      </c>
      <c r="O106" s="123">
        <f t="shared" si="202"/>
        <v>0</v>
      </c>
      <c r="P106" s="123">
        <f t="shared" si="202"/>
        <v>0</v>
      </c>
      <c r="Q106" s="123">
        <f t="shared" si="202"/>
        <v>0</v>
      </c>
      <c r="R106" s="123">
        <f t="shared" si="202"/>
        <v>0</v>
      </c>
      <c r="S106" s="123">
        <f t="shared" si="202"/>
        <v>0</v>
      </c>
      <c r="T106" s="123">
        <f t="shared" si="202"/>
        <v>0</v>
      </c>
      <c r="U106" s="123">
        <f t="shared" si="202"/>
        <v>0</v>
      </c>
      <c r="V106" s="123">
        <f t="shared" si="202"/>
        <v>0</v>
      </c>
      <c r="W106" s="123">
        <f t="shared" ref="W106:Y106" si="203">IF(W5=0,0,W5/W$4)</f>
        <v>0</v>
      </c>
      <c r="X106" s="123">
        <f t="shared" si="203"/>
        <v>0</v>
      </c>
      <c r="Y106" s="123">
        <f t="shared" si="203"/>
        <v>0</v>
      </c>
      <c r="DA106" s="203"/>
    </row>
    <row r="107" spans="1:105" ht="11.45" customHeight="1" x14ac:dyDescent="0.25">
      <c r="A107" s="109" t="s">
        <v>24</v>
      </c>
      <c r="B107" s="124">
        <f t="shared" si="199"/>
        <v>1</v>
      </c>
      <c r="C107" s="124">
        <f t="shared" si="199"/>
        <v>1</v>
      </c>
      <c r="D107" s="124">
        <f t="shared" si="199"/>
        <v>1</v>
      </c>
      <c r="E107" s="124">
        <f t="shared" si="199"/>
        <v>1</v>
      </c>
      <c r="F107" s="124">
        <f t="shared" si="199"/>
        <v>1</v>
      </c>
      <c r="G107" s="124">
        <f t="shared" si="199"/>
        <v>1</v>
      </c>
      <c r="H107" s="124">
        <f t="shared" si="199"/>
        <v>1</v>
      </c>
      <c r="I107" s="124">
        <f t="shared" si="199"/>
        <v>1</v>
      </c>
      <c r="J107" s="124">
        <f t="shared" si="199"/>
        <v>1</v>
      </c>
      <c r="K107" s="124">
        <f t="shared" ref="K107:V107" si="204">IF(K6=0,0,K6/K$4)</f>
        <v>1</v>
      </c>
      <c r="L107" s="124">
        <f t="shared" si="204"/>
        <v>1</v>
      </c>
      <c r="M107" s="124">
        <f t="shared" si="204"/>
        <v>1</v>
      </c>
      <c r="N107" s="124">
        <f t="shared" si="204"/>
        <v>1</v>
      </c>
      <c r="O107" s="124">
        <f t="shared" si="204"/>
        <v>1</v>
      </c>
      <c r="P107" s="124">
        <f t="shared" si="204"/>
        <v>1</v>
      </c>
      <c r="Q107" s="124">
        <f t="shared" si="204"/>
        <v>1</v>
      </c>
      <c r="R107" s="124">
        <f t="shared" si="204"/>
        <v>1</v>
      </c>
      <c r="S107" s="124">
        <f t="shared" si="204"/>
        <v>1</v>
      </c>
      <c r="T107" s="124">
        <f t="shared" si="204"/>
        <v>1</v>
      </c>
      <c r="U107" s="124">
        <f t="shared" si="204"/>
        <v>1</v>
      </c>
      <c r="V107" s="124">
        <f t="shared" si="204"/>
        <v>1</v>
      </c>
      <c r="W107" s="124">
        <f t="shared" ref="W107:Y107" si="205">IF(W6=0,0,W6/W$4)</f>
        <v>1</v>
      </c>
      <c r="X107" s="124">
        <f t="shared" si="205"/>
        <v>1</v>
      </c>
      <c r="Y107" s="124">
        <f t="shared" si="205"/>
        <v>1</v>
      </c>
      <c r="DA107" s="176"/>
    </row>
    <row r="108" spans="1:105" ht="11.45" customHeight="1" x14ac:dyDescent="0.25">
      <c r="A108" s="111" t="s">
        <v>92</v>
      </c>
      <c r="B108" s="125">
        <f t="shared" si="199"/>
        <v>0.89896794294843896</v>
      </c>
      <c r="C108" s="125">
        <f t="shared" si="199"/>
        <v>0.90294234790401273</v>
      </c>
      <c r="D108" s="125">
        <f t="shared" si="199"/>
        <v>0.8948220963854987</v>
      </c>
      <c r="E108" s="125">
        <f t="shared" si="199"/>
        <v>0.86137636433499365</v>
      </c>
      <c r="F108" s="125">
        <f t="shared" si="199"/>
        <v>0.83960823173429111</v>
      </c>
      <c r="G108" s="125">
        <f t="shared" si="199"/>
        <v>0.78675627145711824</v>
      </c>
      <c r="H108" s="125">
        <f t="shared" si="199"/>
        <v>0.77365208545269581</v>
      </c>
      <c r="I108" s="125">
        <f t="shared" si="199"/>
        <v>0.74291774502081676</v>
      </c>
      <c r="J108" s="125">
        <f t="shared" si="199"/>
        <v>0.73439676678974131</v>
      </c>
      <c r="K108" s="125">
        <f t="shared" ref="K108:V108" si="206">IF(K7=0,0,K7/K$4)</f>
        <v>0.69403924221921509</v>
      </c>
      <c r="L108" s="125">
        <f t="shared" si="206"/>
        <v>0.71838469713071185</v>
      </c>
      <c r="M108" s="125">
        <f t="shared" si="206"/>
        <v>0.72126055906150477</v>
      </c>
      <c r="N108" s="125">
        <f t="shared" si="206"/>
        <v>0.71512888460611901</v>
      </c>
      <c r="O108" s="125">
        <f t="shared" si="206"/>
        <v>0.70800097672147155</v>
      </c>
      <c r="P108" s="125">
        <f t="shared" si="206"/>
        <v>0.65898429532939029</v>
      </c>
      <c r="Q108" s="125">
        <f t="shared" si="206"/>
        <v>0.69009527942713977</v>
      </c>
      <c r="R108" s="125">
        <f t="shared" si="206"/>
        <v>0.69408492886939777</v>
      </c>
      <c r="S108" s="125">
        <f t="shared" si="206"/>
        <v>0.72225101046740592</v>
      </c>
      <c r="T108" s="125">
        <f t="shared" si="206"/>
        <v>0.70866988848853285</v>
      </c>
      <c r="U108" s="125">
        <f t="shared" si="206"/>
        <v>0.73293630484343741</v>
      </c>
      <c r="V108" s="125">
        <f t="shared" si="206"/>
        <v>0.74688063404794625</v>
      </c>
      <c r="W108" s="125">
        <f t="shared" ref="W108:Y108" si="207">IF(W7=0,0,W7/W$4)</f>
        <v>0.75189537178801358</v>
      </c>
      <c r="X108" s="125">
        <f t="shared" si="207"/>
        <v>0.63940265525526585</v>
      </c>
      <c r="Y108" s="125">
        <f t="shared" si="207"/>
        <v>0.62343958640052044</v>
      </c>
      <c r="DA108" s="171"/>
    </row>
    <row r="109" spans="1:105" ht="11.45" customHeight="1" x14ac:dyDescent="0.25">
      <c r="A109" s="111" t="s">
        <v>93</v>
      </c>
      <c r="B109" s="125">
        <f t="shared" si="199"/>
        <v>0.10103205705156103</v>
      </c>
      <c r="C109" s="125">
        <f t="shared" si="199"/>
        <v>9.7057652095987268E-2</v>
      </c>
      <c r="D109" s="125">
        <f t="shared" si="199"/>
        <v>0.10517790361450136</v>
      </c>
      <c r="E109" s="125">
        <f t="shared" si="199"/>
        <v>0.1386236356650063</v>
      </c>
      <c r="F109" s="125">
        <f t="shared" si="199"/>
        <v>0.16039176826570892</v>
      </c>
      <c r="G109" s="125">
        <f t="shared" si="199"/>
        <v>0.21324372854288173</v>
      </c>
      <c r="H109" s="125">
        <f t="shared" si="199"/>
        <v>0.22634791454730419</v>
      </c>
      <c r="I109" s="125">
        <f t="shared" si="199"/>
        <v>0.25708225497918319</v>
      </c>
      <c r="J109" s="125">
        <f t="shared" si="199"/>
        <v>0.26560323321025869</v>
      </c>
      <c r="K109" s="125">
        <f t="shared" ref="K109:V109" si="208">IF(K8=0,0,K8/K$4)</f>
        <v>0.30596075778078496</v>
      </c>
      <c r="L109" s="125">
        <f t="shared" si="208"/>
        <v>0.28161530286928815</v>
      </c>
      <c r="M109" s="125">
        <f t="shared" si="208"/>
        <v>0.27873944093849518</v>
      </c>
      <c r="N109" s="125">
        <f t="shared" si="208"/>
        <v>0.28487111539388099</v>
      </c>
      <c r="O109" s="125">
        <f t="shared" si="208"/>
        <v>0.29199902327852845</v>
      </c>
      <c r="P109" s="125">
        <f t="shared" si="208"/>
        <v>0.34101570467060976</v>
      </c>
      <c r="Q109" s="125">
        <f t="shared" si="208"/>
        <v>0.30990472057286023</v>
      </c>
      <c r="R109" s="125">
        <f t="shared" si="208"/>
        <v>0.30591507113060223</v>
      </c>
      <c r="S109" s="125">
        <f t="shared" si="208"/>
        <v>0.27774898953259408</v>
      </c>
      <c r="T109" s="125">
        <f t="shared" si="208"/>
        <v>0.29133011151146715</v>
      </c>
      <c r="U109" s="125">
        <f t="shared" si="208"/>
        <v>0.26706369515656253</v>
      </c>
      <c r="V109" s="125">
        <f t="shared" si="208"/>
        <v>0.2531193659520537</v>
      </c>
      <c r="W109" s="125">
        <f t="shared" ref="W109:Y109" si="209">IF(W8=0,0,W8/W$4)</f>
        <v>0.24810462821198648</v>
      </c>
      <c r="X109" s="125">
        <f t="shared" si="209"/>
        <v>0.36059734474473415</v>
      </c>
      <c r="Y109" s="125">
        <f t="shared" si="209"/>
        <v>0.3765604135994795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:Y110" si="211">IF(W9=0,0,W9/W$4)</f>
        <v>0</v>
      </c>
      <c r="X110" s="126">
        <f t="shared" si="211"/>
        <v>0</v>
      </c>
      <c r="Y110" s="126">
        <f t="shared" si="211"/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1</v>
      </c>
      <c r="C112" s="125">
        <f t="shared" si="212"/>
        <v>1</v>
      </c>
      <c r="D112" s="125">
        <f t="shared" si="212"/>
        <v>1</v>
      </c>
      <c r="E112" s="125">
        <f t="shared" si="212"/>
        <v>1</v>
      </c>
      <c r="F112" s="125">
        <f t="shared" si="212"/>
        <v>1</v>
      </c>
      <c r="G112" s="125">
        <f t="shared" si="212"/>
        <v>1</v>
      </c>
      <c r="H112" s="125">
        <f t="shared" si="212"/>
        <v>1</v>
      </c>
      <c r="I112" s="125">
        <f t="shared" si="212"/>
        <v>1</v>
      </c>
      <c r="J112" s="125">
        <f t="shared" si="212"/>
        <v>1</v>
      </c>
      <c r="K112" s="125">
        <f t="shared" ref="K112:V112" si="215">IF(K11=0,0,K11/K$10)</f>
        <v>1</v>
      </c>
      <c r="L112" s="125">
        <f t="shared" si="215"/>
        <v>1</v>
      </c>
      <c r="M112" s="125">
        <f t="shared" si="215"/>
        <v>1</v>
      </c>
      <c r="N112" s="125">
        <f t="shared" si="215"/>
        <v>1</v>
      </c>
      <c r="O112" s="125">
        <f t="shared" si="215"/>
        <v>1</v>
      </c>
      <c r="P112" s="125">
        <f t="shared" si="215"/>
        <v>1</v>
      </c>
      <c r="Q112" s="125">
        <f t="shared" si="215"/>
        <v>1</v>
      </c>
      <c r="R112" s="125">
        <f t="shared" si="215"/>
        <v>1</v>
      </c>
      <c r="S112" s="125">
        <f t="shared" si="215"/>
        <v>1</v>
      </c>
      <c r="T112" s="125">
        <f t="shared" si="215"/>
        <v>1</v>
      </c>
      <c r="U112" s="125">
        <f t="shared" si="215"/>
        <v>1</v>
      </c>
      <c r="V112" s="125">
        <f t="shared" si="215"/>
        <v>1</v>
      </c>
      <c r="W112" s="125">
        <f t="shared" ref="W112:Y112" si="216">IF(W11=0,0,W11/W$10)</f>
        <v>1</v>
      </c>
      <c r="X112" s="125">
        <f t="shared" si="216"/>
        <v>1</v>
      </c>
      <c r="Y112" s="125">
        <f t="shared" si="216"/>
        <v>1</v>
      </c>
      <c r="DA112" s="171"/>
    </row>
    <row r="113" spans="1:105" ht="11.45" customHeight="1" x14ac:dyDescent="0.25">
      <c r="A113" s="85" t="s">
        <v>93</v>
      </c>
      <c r="B113" s="127">
        <f t="shared" si="212"/>
        <v>0</v>
      </c>
      <c r="C113" s="127">
        <f t="shared" si="212"/>
        <v>0</v>
      </c>
      <c r="D113" s="127">
        <f t="shared" si="212"/>
        <v>0</v>
      </c>
      <c r="E113" s="127">
        <f t="shared" si="212"/>
        <v>0</v>
      </c>
      <c r="F113" s="127">
        <f t="shared" si="212"/>
        <v>0</v>
      </c>
      <c r="G113" s="127">
        <f t="shared" si="212"/>
        <v>0</v>
      </c>
      <c r="H113" s="127">
        <f t="shared" si="212"/>
        <v>0</v>
      </c>
      <c r="I113" s="127">
        <f t="shared" si="212"/>
        <v>0</v>
      </c>
      <c r="J113" s="127">
        <f t="shared" si="212"/>
        <v>0</v>
      </c>
      <c r="K113" s="127">
        <f t="shared" ref="K113:V113" si="217">IF(K12=0,0,K12/K$10)</f>
        <v>0</v>
      </c>
      <c r="L113" s="127">
        <f t="shared" si="217"/>
        <v>0</v>
      </c>
      <c r="M113" s="127">
        <f t="shared" si="217"/>
        <v>0</v>
      </c>
      <c r="N113" s="127">
        <f t="shared" si="217"/>
        <v>0</v>
      </c>
      <c r="O113" s="127">
        <f t="shared" si="217"/>
        <v>0</v>
      </c>
      <c r="P113" s="127">
        <f t="shared" si="217"/>
        <v>0</v>
      </c>
      <c r="Q113" s="127">
        <f t="shared" si="217"/>
        <v>0</v>
      </c>
      <c r="R113" s="127">
        <f t="shared" si="217"/>
        <v>0</v>
      </c>
      <c r="S113" s="127">
        <f t="shared" si="217"/>
        <v>0</v>
      </c>
      <c r="T113" s="127">
        <f t="shared" si="217"/>
        <v>0</v>
      </c>
      <c r="U113" s="127">
        <f t="shared" si="217"/>
        <v>0</v>
      </c>
      <c r="V113" s="127">
        <f t="shared" si="217"/>
        <v>0</v>
      </c>
      <c r="W113" s="127">
        <f t="shared" ref="W113:Y113" si="218">IF(W12=0,0,W12/W$10)</f>
        <v>0</v>
      </c>
      <c r="X113" s="127">
        <f t="shared" si="218"/>
        <v>0</v>
      </c>
      <c r="Y113" s="127">
        <f t="shared" si="218"/>
        <v>0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0</v>
      </c>
      <c r="E117" s="123">
        <f t="shared" si="219"/>
        <v>0</v>
      </c>
      <c r="F117" s="123">
        <f t="shared" si="219"/>
        <v>0</v>
      </c>
      <c r="G117" s="123">
        <f t="shared" si="219"/>
        <v>0</v>
      </c>
      <c r="H117" s="123">
        <f t="shared" si="219"/>
        <v>0</v>
      </c>
      <c r="I117" s="123">
        <f t="shared" si="219"/>
        <v>0</v>
      </c>
      <c r="J117" s="123">
        <f t="shared" si="219"/>
        <v>0</v>
      </c>
      <c r="K117" s="123">
        <f t="shared" ref="K117:V117" si="222">IF(K16=0,0,K16/K$15)</f>
        <v>0</v>
      </c>
      <c r="L117" s="123">
        <f t="shared" si="222"/>
        <v>0</v>
      </c>
      <c r="M117" s="123">
        <f t="shared" si="222"/>
        <v>0</v>
      </c>
      <c r="N117" s="123">
        <f t="shared" si="222"/>
        <v>0</v>
      </c>
      <c r="O117" s="123">
        <f t="shared" si="222"/>
        <v>0</v>
      </c>
      <c r="P117" s="123">
        <f t="shared" si="222"/>
        <v>0</v>
      </c>
      <c r="Q117" s="123">
        <f t="shared" si="222"/>
        <v>0</v>
      </c>
      <c r="R117" s="123">
        <f t="shared" si="222"/>
        <v>0</v>
      </c>
      <c r="S117" s="123">
        <f t="shared" si="222"/>
        <v>0</v>
      </c>
      <c r="T117" s="123">
        <f t="shared" si="222"/>
        <v>0</v>
      </c>
      <c r="U117" s="123">
        <f t="shared" si="222"/>
        <v>0</v>
      </c>
      <c r="V117" s="123">
        <f t="shared" si="222"/>
        <v>0</v>
      </c>
      <c r="W117" s="123">
        <f t="shared" ref="W117:Y117" si="223">IF(W16=0,0,W16/W$15)</f>
        <v>0</v>
      </c>
      <c r="X117" s="123">
        <f t="shared" si="223"/>
        <v>0</v>
      </c>
      <c r="Y117" s="123">
        <f t="shared" si="223"/>
        <v>0</v>
      </c>
      <c r="DA117" s="203"/>
    </row>
    <row r="118" spans="1:105" ht="11.45" customHeight="1" x14ac:dyDescent="0.25">
      <c r="A118" s="109" t="s">
        <v>24</v>
      </c>
      <c r="B118" s="124">
        <f t="shared" si="219"/>
        <v>1</v>
      </c>
      <c r="C118" s="124">
        <f t="shared" si="219"/>
        <v>1</v>
      </c>
      <c r="D118" s="124">
        <f t="shared" si="219"/>
        <v>1</v>
      </c>
      <c r="E118" s="124">
        <f t="shared" si="219"/>
        <v>1</v>
      </c>
      <c r="F118" s="124">
        <f t="shared" si="219"/>
        <v>1</v>
      </c>
      <c r="G118" s="124">
        <f t="shared" si="219"/>
        <v>1</v>
      </c>
      <c r="H118" s="124">
        <f t="shared" si="219"/>
        <v>1</v>
      </c>
      <c r="I118" s="124">
        <f t="shared" si="219"/>
        <v>1</v>
      </c>
      <c r="J118" s="124">
        <f t="shared" si="219"/>
        <v>1</v>
      </c>
      <c r="K118" s="124">
        <f t="shared" ref="K118:V118" si="224">IF(K17=0,0,K17/K$15)</f>
        <v>1</v>
      </c>
      <c r="L118" s="124">
        <f t="shared" si="224"/>
        <v>1</v>
      </c>
      <c r="M118" s="124">
        <f t="shared" si="224"/>
        <v>1</v>
      </c>
      <c r="N118" s="124">
        <f t="shared" si="224"/>
        <v>1</v>
      </c>
      <c r="O118" s="124">
        <f t="shared" si="224"/>
        <v>1</v>
      </c>
      <c r="P118" s="124">
        <f t="shared" si="224"/>
        <v>1</v>
      </c>
      <c r="Q118" s="124">
        <f t="shared" si="224"/>
        <v>1</v>
      </c>
      <c r="R118" s="124">
        <f t="shared" si="224"/>
        <v>1</v>
      </c>
      <c r="S118" s="124">
        <f t="shared" si="224"/>
        <v>1</v>
      </c>
      <c r="T118" s="124">
        <f t="shared" si="224"/>
        <v>1</v>
      </c>
      <c r="U118" s="124">
        <f t="shared" si="224"/>
        <v>1</v>
      </c>
      <c r="V118" s="124">
        <f t="shared" si="224"/>
        <v>1</v>
      </c>
      <c r="W118" s="124">
        <f t="shared" ref="W118:Y118" si="225">IF(W17=0,0,W17/W$15)</f>
        <v>1</v>
      </c>
      <c r="X118" s="124">
        <f t="shared" si="225"/>
        <v>1</v>
      </c>
      <c r="Y118" s="124">
        <f t="shared" si="225"/>
        <v>1</v>
      </c>
      <c r="DA118" s="176"/>
    </row>
    <row r="119" spans="1:105" ht="11.45" customHeight="1" x14ac:dyDescent="0.25">
      <c r="A119" s="111" t="s">
        <v>92</v>
      </c>
      <c r="B119" s="125">
        <f t="shared" si="219"/>
        <v>0.91863667288507311</v>
      </c>
      <c r="C119" s="125">
        <f t="shared" si="219"/>
        <v>0.92086539895272512</v>
      </c>
      <c r="D119" s="125">
        <f t="shared" si="219"/>
        <v>0.91632593084454428</v>
      </c>
      <c r="E119" s="125">
        <f t="shared" si="219"/>
        <v>0.88875198018032242</v>
      </c>
      <c r="F119" s="125">
        <f t="shared" si="219"/>
        <v>0.87462148225529979</v>
      </c>
      <c r="G119" s="125">
        <f t="shared" si="219"/>
        <v>0.80552271658767272</v>
      </c>
      <c r="H119" s="125">
        <f t="shared" si="219"/>
        <v>0.79097248909163764</v>
      </c>
      <c r="I119" s="125">
        <f t="shared" si="219"/>
        <v>0.76949429666585523</v>
      </c>
      <c r="J119" s="125">
        <f t="shared" si="219"/>
        <v>0.72930989291151227</v>
      </c>
      <c r="K119" s="125">
        <f t="shared" ref="K119:V119" si="226">IF(K18=0,0,K18/K$15)</f>
        <v>0.68086986657728699</v>
      </c>
      <c r="L119" s="125">
        <f t="shared" si="226"/>
        <v>0.70174362665853818</v>
      </c>
      <c r="M119" s="125">
        <f t="shared" si="226"/>
        <v>0.73563302721852164</v>
      </c>
      <c r="N119" s="125">
        <f t="shared" si="226"/>
        <v>0.71753707125995958</v>
      </c>
      <c r="O119" s="125">
        <f t="shared" si="226"/>
        <v>0.73073763013685256</v>
      </c>
      <c r="P119" s="125">
        <f t="shared" si="226"/>
        <v>0.68257532545091359</v>
      </c>
      <c r="Q119" s="125">
        <f t="shared" si="226"/>
        <v>0.68412006093976507</v>
      </c>
      <c r="R119" s="125">
        <f t="shared" si="226"/>
        <v>0.64340445960467219</v>
      </c>
      <c r="S119" s="125">
        <f t="shared" si="226"/>
        <v>0.70036547155847395</v>
      </c>
      <c r="T119" s="125">
        <f t="shared" si="226"/>
        <v>0.64125225687537557</v>
      </c>
      <c r="U119" s="125">
        <f t="shared" si="226"/>
        <v>0.67173014393920283</v>
      </c>
      <c r="V119" s="125">
        <f t="shared" si="226"/>
        <v>0.64801660936887762</v>
      </c>
      <c r="W119" s="125">
        <f t="shared" ref="W119:Y119" si="227">IF(W18=0,0,W18/W$15)</f>
        <v>0.70422601494512604</v>
      </c>
      <c r="X119" s="125">
        <f t="shared" si="227"/>
        <v>0.68255041428819185</v>
      </c>
      <c r="Y119" s="125">
        <f t="shared" si="227"/>
        <v>0.68380390305112992</v>
      </c>
      <c r="DA119" s="171"/>
    </row>
    <row r="120" spans="1:105" ht="11.45" customHeight="1" x14ac:dyDescent="0.25">
      <c r="A120" s="111" t="s">
        <v>93</v>
      </c>
      <c r="B120" s="125">
        <f t="shared" si="219"/>
        <v>8.1363327114926845E-2</v>
      </c>
      <c r="C120" s="125">
        <f t="shared" si="219"/>
        <v>7.9134601047274822E-2</v>
      </c>
      <c r="D120" s="125">
        <f t="shared" si="219"/>
        <v>8.3674069155455763E-2</v>
      </c>
      <c r="E120" s="125">
        <f t="shared" si="219"/>
        <v>0.11124801981967763</v>
      </c>
      <c r="F120" s="125">
        <f t="shared" si="219"/>
        <v>0.12537851774470016</v>
      </c>
      <c r="G120" s="125">
        <f t="shared" si="219"/>
        <v>0.19447728341232723</v>
      </c>
      <c r="H120" s="125">
        <f t="shared" si="219"/>
        <v>0.20902751090836233</v>
      </c>
      <c r="I120" s="125">
        <f t="shared" si="219"/>
        <v>0.2305057033341448</v>
      </c>
      <c r="J120" s="125">
        <f t="shared" si="219"/>
        <v>0.27069010708848779</v>
      </c>
      <c r="K120" s="125">
        <f t="shared" ref="K120:V120" si="228">IF(K19=0,0,K19/K$15)</f>
        <v>0.31913013342271301</v>
      </c>
      <c r="L120" s="125">
        <f t="shared" si="228"/>
        <v>0.29825637334146182</v>
      </c>
      <c r="M120" s="125">
        <f t="shared" si="228"/>
        <v>0.26436697278147842</v>
      </c>
      <c r="N120" s="125">
        <f t="shared" si="228"/>
        <v>0.28246292874004042</v>
      </c>
      <c r="O120" s="125">
        <f t="shared" si="228"/>
        <v>0.26926236986314744</v>
      </c>
      <c r="P120" s="125">
        <f t="shared" si="228"/>
        <v>0.31742467454908646</v>
      </c>
      <c r="Q120" s="125">
        <f t="shared" si="228"/>
        <v>0.31587993906023493</v>
      </c>
      <c r="R120" s="125">
        <f t="shared" si="228"/>
        <v>0.35659554039532781</v>
      </c>
      <c r="S120" s="125">
        <f t="shared" si="228"/>
        <v>0.2996345284415261</v>
      </c>
      <c r="T120" s="125">
        <f t="shared" si="228"/>
        <v>0.35874774312462443</v>
      </c>
      <c r="U120" s="125">
        <f t="shared" si="228"/>
        <v>0.32826985606079717</v>
      </c>
      <c r="V120" s="125">
        <f t="shared" si="228"/>
        <v>0.35198339063112238</v>
      </c>
      <c r="W120" s="125">
        <f t="shared" ref="W120:Y120" si="229">IF(W19=0,0,W19/W$15)</f>
        <v>0.29577398505487396</v>
      </c>
      <c r="X120" s="125">
        <f t="shared" si="229"/>
        <v>0.31744958571180815</v>
      </c>
      <c r="Y120" s="125">
        <f t="shared" si="229"/>
        <v>0.31619609694887008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:Y121" si="231">IF(W20=0,0,W20/W$15)</f>
        <v>0</v>
      </c>
      <c r="X121" s="126">
        <f t="shared" si="231"/>
        <v>0</v>
      </c>
      <c r="Y121" s="126">
        <f t="shared" si="231"/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1</v>
      </c>
      <c r="C123" s="125">
        <f t="shared" si="232"/>
        <v>1</v>
      </c>
      <c r="D123" s="125">
        <f t="shared" si="232"/>
        <v>1</v>
      </c>
      <c r="E123" s="125">
        <f t="shared" si="232"/>
        <v>1</v>
      </c>
      <c r="F123" s="125">
        <f t="shared" si="232"/>
        <v>1</v>
      </c>
      <c r="G123" s="125">
        <f t="shared" si="232"/>
        <v>1</v>
      </c>
      <c r="H123" s="125">
        <f t="shared" si="232"/>
        <v>1</v>
      </c>
      <c r="I123" s="125">
        <f t="shared" si="232"/>
        <v>1</v>
      </c>
      <c r="J123" s="125">
        <f t="shared" si="232"/>
        <v>1</v>
      </c>
      <c r="K123" s="125">
        <f t="shared" ref="K123:V123" si="235">IF(K22=0,0,K22/K$21)</f>
        <v>1</v>
      </c>
      <c r="L123" s="125">
        <f t="shared" si="235"/>
        <v>1</v>
      </c>
      <c r="M123" s="125">
        <f t="shared" si="235"/>
        <v>1</v>
      </c>
      <c r="N123" s="125">
        <f t="shared" si="235"/>
        <v>1</v>
      </c>
      <c r="O123" s="125">
        <f t="shared" si="235"/>
        <v>1</v>
      </c>
      <c r="P123" s="125">
        <f t="shared" si="235"/>
        <v>1</v>
      </c>
      <c r="Q123" s="125">
        <f t="shared" si="235"/>
        <v>1</v>
      </c>
      <c r="R123" s="125">
        <f t="shared" si="235"/>
        <v>1</v>
      </c>
      <c r="S123" s="125">
        <f t="shared" si="235"/>
        <v>1</v>
      </c>
      <c r="T123" s="125">
        <f t="shared" si="235"/>
        <v>1</v>
      </c>
      <c r="U123" s="125">
        <f t="shared" si="235"/>
        <v>1</v>
      </c>
      <c r="V123" s="125">
        <f t="shared" si="235"/>
        <v>1</v>
      </c>
      <c r="W123" s="125">
        <f t="shared" ref="W123:Y123" si="236">IF(W22=0,0,W22/W$21)</f>
        <v>1</v>
      </c>
      <c r="X123" s="125">
        <f t="shared" si="236"/>
        <v>1</v>
      </c>
      <c r="Y123" s="125">
        <f t="shared" si="236"/>
        <v>1</v>
      </c>
      <c r="DA123" s="171"/>
    </row>
    <row r="124" spans="1:105" ht="11.45" customHeight="1" x14ac:dyDescent="0.25">
      <c r="A124" s="85" t="s">
        <v>93</v>
      </c>
      <c r="B124" s="127">
        <f t="shared" si="232"/>
        <v>0</v>
      </c>
      <c r="C124" s="127">
        <f t="shared" si="232"/>
        <v>0</v>
      </c>
      <c r="D124" s="127">
        <f t="shared" si="232"/>
        <v>0</v>
      </c>
      <c r="E124" s="127">
        <f t="shared" si="232"/>
        <v>0</v>
      </c>
      <c r="F124" s="127">
        <f t="shared" si="232"/>
        <v>0</v>
      </c>
      <c r="G124" s="127">
        <f t="shared" si="232"/>
        <v>0</v>
      </c>
      <c r="H124" s="127">
        <f t="shared" si="232"/>
        <v>0</v>
      </c>
      <c r="I124" s="127">
        <f t="shared" si="232"/>
        <v>0</v>
      </c>
      <c r="J124" s="127">
        <f t="shared" si="232"/>
        <v>0</v>
      </c>
      <c r="K124" s="127">
        <f t="shared" ref="K124:V124" si="237">IF(K23=0,0,K23/K$21)</f>
        <v>0</v>
      </c>
      <c r="L124" s="127">
        <f t="shared" si="237"/>
        <v>0</v>
      </c>
      <c r="M124" s="127">
        <f t="shared" si="237"/>
        <v>0</v>
      </c>
      <c r="N124" s="127">
        <f t="shared" si="237"/>
        <v>0</v>
      </c>
      <c r="O124" s="127">
        <f t="shared" si="237"/>
        <v>0</v>
      </c>
      <c r="P124" s="127">
        <f t="shared" si="237"/>
        <v>0</v>
      </c>
      <c r="Q124" s="127">
        <f t="shared" si="237"/>
        <v>0</v>
      </c>
      <c r="R124" s="127">
        <f t="shared" si="237"/>
        <v>0</v>
      </c>
      <c r="S124" s="127">
        <f t="shared" si="237"/>
        <v>0</v>
      </c>
      <c r="T124" s="127">
        <f t="shared" si="237"/>
        <v>0</v>
      </c>
      <c r="U124" s="127">
        <f t="shared" si="237"/>
        <v>0</v>
      </c>
      <c r="V124" s="127">
        <f t="shared" si="237"/>
        <v>0</v>
      </c>
      <c r="W124" s="127">
        <f t="shared" ref="W124:Y124" si="238">IF(W23=0,0,W23/W$21)</f>
        <v>0</v>
      </c>
      <c r="X124" s="127">
        <f t="shared" si="238"/>
        <v>0</v>
      </c>
      <c r="Y124" s="127">
        <f t="shared" si="238"/>
        <v>0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72.126655202063617</v>
      </c>
      <c r="C4" s="146">
        <f t="shared" ref="C4:V4" si="0">SUM(C5,C8)</f>
        <v>63.866466036113501</v>
      </c>
      <c r="D4" s="146">
        <f t="shared" si="0"/>
        <v>67.953568357695602</v>
      </c>
      <c r="E4" s="146">
        <f t="shared" si="0"/>
        <v>75.192003439380898</v>
      </c>
      <c r="F4" s="146">
        <f t="shared" si="0"/>
        <v>74.256233877901977</v>
      </c>
      <c r="G4" s="146">
        <f t="shared" si="0"/>
        <v>75.27798796216679</v>
      </c>
      <c r="H4" s="146">
        <f t="shared" si="0"/>
        <v>72.21263972484951</v>
      </c>
      <c r="I4" s="146">
        <f t="shared" si="0"/>
        <v>74.75494411006018</v>
      </c>
      <c r="J4" s="146">
        <f t="shared" si="0"/>
        <v>75.955631986242466</v>
      </c>
      <c r="K4" s="146">
        <f t="shared" si="0"/>
        <v>58.553568357695603</v>
      </c>
      <c r="L4" s="146">
        <f t="shared" si="0"/>
        <v>61.639638865004294</v>
      </c>
      <c r="M4" s="146">
        <f t="shared" si="0"/>
        <v>63.611092003439374</v>
      </c>
      <c r="N4" s="146">
        <f t="shared" si="0"/>
        <v>60.17601031814273</v>
      </c>
      <c r="O4" s="146">
        <f t="shared" si="0"/>
        <v>55.091487532244194</v>
      </c>
      <c r="P4" s="146">
        <f t="shared" si="0"/>
        <v>58.118572656921749</v>
      </c>
      <c r="Q4" s="146">
        <f t="shared" si="0"/>
        <v>53.898022355975925</v>
      </c>
      <c r="R4" s="146">
        <f t="shared" si="0"/>
        <v>52.960275150472917</v>
      </c>
      <c r="S4" s="146">
        <f t="shared" si="0"/>
        <v>56.912811693895094</v>
      </c>
      <c r="T4" s="146">
        <f t="shared" si="0"/>
        <v>64.397678417884762</v>
      </c>
      <c r="U4" s="146">
        <f t="shared" si="0"/>
        <v>58.439122957867589</v>
      </c>
      <c r="V4" s="146">
        <f t="shared" si="0"/>
        <v>56.524935511607907</v>
      </c>
      <c r="W4" s="146">
        <f t="shared" ref="W4:Y4" si="1">SUM(W5,W8)</f>
        <v>55.194325021496127</v>
      </c>
      <c r="X4" s="146">
        <f t="shared" si="1"/>
        <v>30.21840068787618</v>
      </c>
      <c r="Y4" s="146">
        <f t="shared" si="1"/>
        <v>30.788048151332763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71.524763542562326</v>
      </c>
      <c r="C5" s="101">
        <f t="shared" ref="C5:V5" si="2">SUM(C6:C7)</f>
        <v>63.350558899398109</v>
      </c>
      <c r="D5" s="101">
        <f t="shared" si="2"/>
        <v>67.437661220980218</v>
      </c>
      <c r="E5" s="101">
        <f t="shared" si="2"/>
        <v>74.590111779879607</v>
      </c>
      <c r="F5" s="101">
        <f t="shared" si="2"/>
        <v>73.568357695614793</v>
      </c>
      <c r="G5" s="101">
        <f t="shared" si="2"/>
        <v>74.590111779879607</v>
      </c>
      <c r="H5" s="101">
        <f t="shared" si="2"/>
        <v>71.524763542562326</v>
      </c>
      <c r="I5" s="101">
        <f t="shared" si="2"/>
        <v>74.067067927772996</v>
      </c>
      <c r="J5" s="101">
        <f t="shared" si="2"/>
        <v>75.095786758383483</v>
      </c>
      <c r="K5" s="101">
        <f t="shared" si="2"/>
        <v>57.60773860705072</v>
      </c>
      <c r="L5" s="101">
        <f t="shared" si="2"/>
        <v>60.693809114359411</v>
      </c>
      <c r="M5" s="101">
        <f t="shared" si="2"/>
        <v>62.751246775580391</v>
      </c>
      <c r="N5" s="101">
        <f t="shared" si="2"/>
        <v>59.230180567497847</v>
      </c>
      <c r="O5" s="101">
        <f t="shared" si="2"/>
        <v>54.231642304385211</v>
      </c>
      <c r="P5" s="101">
        <f t="shared" si="2"/>
        <v>57.172742906276866</v>
      </c>
      <c r="Q5" s="101">
        <f t="shared" si="2"/>
        <v>52.952192605331042</v>
      </c>
      <c r="R5" s="101">
        <f t="shared" si="2"/>
        <v>51.928460877042134</v>
      </c>
      <c r="S5" s="101">
        <f t="shared" si="2"/>
        <v>55.906792777300083</v>
      </c>
      <c r="T5" s="101">
        <f t="shared" si="2"/>
        <v>62.970335339638844</v>
      </c>
      <c r="U5" s="101">
        <f t="shared" si="2"/>
        <v>57.149355116079114</v>
      </c>
      <c r="V5" s="101">
        <f t="shared" si="2"/>
        <v>55.372742906276869</v>
      </c>
      <c r="W5" s="101">
        <f t="shared" ref="W5:Y5" si="3">SUM(W6:W7)</f>
        <v>54.153912295786753</v>
      </c>
      <c r="X5" s="101">
        <f t="shared" si="3"/>
        <v>29.117798796216679</v>
      </c>
      <c r="Y5" s="101">
        <f t="shared" si="3"/>
        <v>29.644453998280312</v>
      </c>
      <c r="DA5" s="175"/>
    </row>
    <row r="6" spans="1:105" ht="11.45" customHeight="1" x14ac:dyDescent="0.25">
      <c r="A6" s="164" t="s">
        <v>175</v>
      </c>
      <c r="B6" s="165">
        <v>71.524763542562326</v>
      </c>
      <c r="C6" s="165">
        <v>63.350558899398109</v>
      </c>
      <c r="D6" s="165">
        <v>67.437661220980218</v>
      </c>
      <c r="E6" s="165">
        <v>74.590111779879607</v>
      </c>
      <c r="F6" s="165">
        <v>73.568357695614793</v>
      </c>
      <c r="G6" s="165">
        <v>74.590111779879607</v>
      </c>
      <c r="H6" s="165">
        <v>71.524763542562326</v>
      </c>
      <c r="I6" s="165">
        <v>74.067067927772996</v>
      </c>
      <c r="J6" s="165">
        <v>75.095786758383483</v>
      </c>
      <c r="K6" s="165">
        <v>57.60773860705072</v>
      </c>
      <c r="L6" s="165">
        <v>60.693809114359411</v>
      </c>
      <c r="M6" s="165">
        <v>62.751246775580391</v>
      </c>
      <c r="N6" s="165">
        <v>56.579019776440241</v>
      </c>
      <c r="O6" s="165">
        <v>52.46414445399828</v>
      </c>
      <c r="P6" s="165">
        <v>54.52158211521926</v>
      </c>
      <c r="Q6" s="165">
        <v>51.184694754944111</v>
      </c>
      <c r="R6" s="165">
        <v>50.160963026655203</v>
      </c>
      <c r="S6" s="165">
        <v>54.050988822012037</v>
      </c>
      <c r="T6" s="165">
        <v>61.114531384350798</v>
      </c>
      <c r="U6" s="165">
        <v>55.381857265692183</v>
      </c>
      <c r="V6" s="165">
        <v>52.986672398968182</v>
      </c>
      <c r="W6" s="165">
        <v>49.91203783319002</v>
      </c>
      <c r="X6" s="165">
        <v>27.261994840928629</v>
      </c>
      <c r="Y6" s="165">
        <v>27.876956147893381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2.6511607910576092</v>
      </c>
      <c r="O7" s="167">
        <v>1.7674978503869301</v>
      </c>
      <c r="P7" s="167">
        <v>2.6511607910576092</v>
      </c>
      <c r="Q7" s="167">
        <v>1.7674978503869301</v>
      </c>
      <c r="R7" s="167">
        <v>1.7674978503869301</v>
      </c>
      <c r="S7" s="167">
        <v>1.8558039552880481</v>
      </c>
      <c r="T7" s="167">
        <v>1.8558039552880481</v>
      </c>
      <c r="U7" s="167">
        <v>1.7674978503869301</v>
      </c>
      <c r="V7" s="167">
        <v>2.3860705073086841</v>
      </c>
      <c r="W7" s="167">
        <v>4.2418744625967317</v>
      </c>
      <c r="X7" s="167">
        <v>1.8558039552880481</v>
      </c>
      <c r="Y7" s="167">
        <v>1.7674978503869301</v>
      </c>
      <c r="DA7" s="177" t="s">
        <v>1105</v>
      </c>
    </row>
    <row r="8" spans="1:105" ht="11.45" customHeight="1" x14ac:dyDescent="0.25">
      <c r="A8" s="85" t="s">
        <v>91</v>
      </c>
      <c r="B8" s="88">
        <v>0.60189165950128976</v>
      </c>
      <c r="C8" s="88">
        <v>0.51590713671539123</v>
      </c>
      <c r="D8" s="88">
        <v>0.51590713671539123</v>
      </c>
      <c r="E8" s="88">
        <v>0.60189165950128976</v>
      </c>
      <c r="F8" s="88">
        <v>0.68787618228718828</v>
      </c>
      <c r="G8" s="88">
        <v>0.68787618228718828</v>
      </c>
      <c r="H8" s="88">
        <v>0.68787618228718828</v>
      </c>
      <c r="I8" s="88">
        <v>0.68787618228718828</v>
      </c>
      <c r="J8" s="88">
        <v>0.85984522785898532</v>
      </c>
      <c r="K8" s="88">
        <v>0.94582975064488384</v>
      </c>
      <c r="L8" s="88">
        <v>0.94582975064488384</v>
      </c>
      <c r="M8" s="88">
        <v>0.85984522785898532</v>
      </c>
      <c r="N8" s="88">
        <v>0.94582975064488384</v>
      </c>
      <c r="O8" s="88">
        <v>0.85984522785898532</v>
      </c>
      <c r="P8" s="88">
        <v>0.94582975064488384</v>
      </c>
      <c r="Q8" s="88">
        <v>0.94582975064488384</v>
      </c>
      <c r="R8" s="88">
        <v>1.031814273430782</v>
      </c>
      <c r="S8" s="88">
        <v>1.0060189165950131</v>
      </c>
      <c r="T8" s="88">
        <v>1.427343078245916</v>
      </c>
      <c r="U8" s="88">
        <v>1.2897678417884779</v>
      </c>
      <c r="V8" s="88">
        <v>1.1521926053310401</v>
      </c>
      <c r="W8" s="88">
        <v>1.040412725709372</v>
      </c>
      <c r="X8" s="88">
        <v>1.1006018916595011</v>
      </c>
      <c r="Y8" s="88">
        <v>1.14359415305245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72.126655202063617</v>
      </c>
      <c r="C10" s="62">
        <f t="shared" ref="C10:V10" si="5">SUM(C11,C17)</f>
        <v>63.866466036113501</v>
      </c>
      <c r="D10" s="62">
        <f t="shared" si="5"/>
        <v>67.953568357695616</v>
      </c>
      <c r="E10" s="62">
        <f t="shared" si="5"/>
        <v>75.192003439380898</v>
      </c>
      <c r="F10" s="62">
        <f t="shared" si="5"/>
        <v>74.256233877901991</v>
      </c>
      <c r="G10" s="62">
        <f t="shared" si="5"/>
        <v>75.277987962166804</v>
      </c>
      <c r="H10" s="62">
        <f t="shared" si="5"/>
        <v>72.212639724849524</v>
      </c>
      <c r="I10" s="62">
        <f t="shared" si="5"/>
        <v>74.75494411006018</v>
      </c>
      <c r="J10" s="62">
        <f t="shared" si="5"/>
        <v>75.955631986242466</v>
      </c>
      <c r="K10" s="62">
        <f t="shared" si="5"/>
        <v>58.553568357695596</v>
      </c>
      <c r="L10" s="62">
        <f t="shared" si="5"/>
        <v>61.639638865004301</v>
      </c>
      <c r="M10" s="62">
        <f t="shared" si="5"/>
        <v>63.611092003439381</v>
      </c>
      <c r="N10" s="62">
        <f t="shared" si="5"/>
        <v>60.17601031814273</v>
      </c>
      <c r="O10" s="62">
        <f t="shared" si="5"/>
        <v>55.091487532244194</v>
      </c>
      <c r="P10" s="62">
        <f t="shared" si="5"/>
        <v>58.118572656921749</v>
      </c>
      <c r="Q10" s="62">
        <f t="shared" si="5"/>
        <v>53.898022355975932</v>
      </c>
      <c r="R10" s="62">
        <f t="shared" si="5"/>
        <v>52.960275150472917</v>
      </c>
      <c r="S10" s="62">
        <f t="shared" si="5"/>
        <v>56.912811693895101</v>
      </c>
      <c r="T10" s="62">
        <f t="shared" si="5"/>
        <v>64.397678417884762</v>
      </c>
      <c r="U10" s="62">
        <f t="shared" si="5"/>
        <v>58.439122957867596</v>
      </c>
      <c r="V10" s="62">
        <f t="shared" si="5"/>
        <v>56.524935511607922</v>
      </c>
      <c r="W10" s="62">
        <f t="shared" ref="W10:Y10" si="6">SUM(W11,W17)</f>
        <v>55.194325021496127</v>
      </c>
      <c r="X10" s="62">
        <f t="shared" si="6"/>
        <v>30.218400687876183</v>
      </c>
      <c r="Y10" s="62">
        <f t="shared" si="6"/>
        <v>30.788048151332763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10.220261464427242</v>
      </c>
      <c r="C11" s="29">
        <f t="shared" ref="C11:V11" si="8">SUM(C12,C13,C16)</f>
        <v>9.0368339199923771</v>
      </c>
      <c r="D11" s="29">
        <f t="shared" si="8"/>
        <v>8.5470616120297063</v>
      </c>
      <c r="E11" s="29">
        <f t="shared" si="8"/>
        <v>7.3993320517237642</v>
      </c>
      <c r="F11" s="29">
        <f t="shared" si="8"/>
        <v>7.5223030882952893</v>
      </c>
      <c r="G11" s="29">
        <f t="shared" si="8"/>
        <v>4.6841226965839917</v>
      </c>
      <c r="H11" s="29">
        <f t="shared" si="8"/>
        <v>4.2894944101994472</v>
      </c>
      <c r="I11" s="29">
        <f t="shared" si="8"/>
        <v>3.9340864378340776</v>
      </c>
      <c r="J11" s="29">
        <f t="shared" si="8"/>
        <v>4.2191452638110842</v>
      </c>
      <c r="K11" s="29">
        <f t="shared" si="8"/>
        <v>3.8783612413549409</v>
      </c>
      <c r="L11" s="29">
        <f t="shared" si="8"/>
        <v>4.1354316335133392</v>
      </c>
      <c r="M11" s="29">
        <f t="shared" si="8"/>
        <v>4.3571751915564469</v>
      </c>
      <c r="N11" s="29">
        <f t="shared" si="8"/>
        <v>4.4187076390712114</v>
      </c>
      <c r="O11" s="29">
        <f t="shared" si="8"/>
        <v>4.1760945379243131</v>
      </c>
      <c r="P11" s="29">
        <f t="shared" si="8"/>
        <v>3.9014924645906124</v>
      </c>
      <c r="Q11" s="29">
        <f t="shared" si="8"/>
        <v>3.9412075460259555</v>
      </c>
      <c r="R11" s="29">
        <f t="shared" si="8"/>
        <v>3.7531579158533619</v>
      </c>
      <c r="S11" s="29">
        <f t="shared" si="8"/>
        <v>4.4423636502004831</v>
      </c>
      <c r="T11" s="29">
        <f t="shared" si="8"/>
        <v>5.1550247623922916</v>
      </c>
      <c r="U11" s="29">
        <f t="shared" si="8"/>
        <v>5.1452691154578476</v>
      </c>
      <c r="V11" s="29">
        <f t="shared" si="8"/>
        <v>4.2506504439528676</v>
      </c>
      <c r="W11" s="29">
        <f t="shared" ref="W11:Y11" si="9">SUM(W12,W13,W16)</f>
        <v>4.6584880289288417</v>
      </c>
      <c r="X11" s="29">
        <f t="shared" si="9"/>
        <v>4.5566719757569967</v>
      </c>
      <c r="Y11" s="29">
        <f t="shared" si="9"/>
        <v>4.755352352202344</v>
      </c>
      <c r="DA11" s="173" t="s">
        <v>395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10.220261464427242</v>
      </c>
      <c r="C13" s="116">
        <f t="shared" ref="C13:V13" si="11">SUM(C14:C15)</f>
        <v>9.0368339199923771</v>
      </c>
      <c r="D13" s="116">
        <f t="shared" si="11"/>
        <v>8.5470616120297063</v>
      </c>
      <c r="E13" s="116">
        <f t="shared" si="11"/>
        <v>7.3993320517237642</v>
      </c>
      <c r="F13" s="116">
        <f t="shared" si="11"/>
        <v>7.5223030882952893</v>
      </c>
      <c r="G13" s="116">
        <f t="shared" si="11"/>
        <v>4.6841226965839917</v>
      </c>
      <c r="H13" s="116">
        <f t="shared" si="11"/>
        <v>4.2894944101994472</v>
      </c>
      <c r="I13" s="116">
        <f t="shared" si="11"/>
        <v>3.9340864378340776</v>
      </c>
      <c r="J13" s="116">
        <f t="shared" si="11"/>
        <v>4.2191452638110842</v>
      </c>
      <c r="K13" s="116">
        <f t="shared" si="11"/>
        <v>3.8783612413549409</v>
      </c>
      <c r="L13" s="116">
        <f t="shared" si="11"/>
        <v>4.1354316335133392</v>
      </c>
      <c r="M13" s="116">
        <f t="shared" si="11"/>
        <v>4.3571751915564469</v>
      </c>
      <c r="N13" s="116">
        <f t="shared" si="11"/>
        <v>4.4187076390712114</v>
      </c>
      <c r="O13" s="116">
        <f t="shared" si="11"/>
        <v>4.1760945379243131</v>
      </c>
      <c r="P13" s="116">
        <f t="shared" si="11"/>
        <v>3.9014924645906124</v>
      </c>
      <c r="Q13" s="116">
        <f t="shared" si="11"/>
        <v>3.9412075460259555</v>
      </c>
      <c r="R13" s="116">
        <f t="shared" si="11"/>
        <v>3.7531579158533619</v>
      </c>
      <c r="S13" s="116">
        <f t="shared" si="11"/>
        <v>4.4423636502004831</v>
      </c>
      <c r="T13" s="116">
        <f t="shared" si="11"/>
        <v>5.1550247623922916</v>
      </c>
      <c r="U13" s="116">
        <f t="shared" si="11"/>
        <v>5.1452691154578476</v>
      </c>
      <c r="V13" s="116">
        <f t="shared" si="11"/>
        <v>4.2506504439528676</v>
      </c>
      <c r="W13" s="116">
        <f t="shared" ref="W13:Y13" si="12">SUM(W14:W15)</f>
        <v>4.6584880289288417</v>
      </c>
      <c r="X13" s="116">
        <f t="shared" si="12"/>
        <v>4.5566719757569967</v>
      </c>
      <c r="Y13" s="116">
        <f t="shared" si="12"/>
        <v>4.755352352202344</v>
      </c>
      <c r="DA13" s="176" t="s">
        <v>397</v>
      </c>
    </row>
    <row r="14" spans="1:105" ht="11.45" customHeight="1" x14ac:dyDescent="0.25">
      <c r="A14" s="111" t="s">
        <v>95</v>
      </c>
      <c r="B14" s="87">
        <v>9.6183698049259529</v>
      </c>
      <c r="C14" s="87">
        <v>8.5209267832769857</v>
      </c>
      <c r="D14" s="87">
        <v>8.0311544753143149</v>
      </c>
      <c r="E14" s="87">
        <v>6.7974403922224749</v>
      </c>
      <c r="F14" s="87">
        <v>6.8344269060081011</v>
      </c>
      <c r="G14" s="87">
        <v>3.9962465142968031</v>
      </c>
      <c r="H14" s="87">
        <v>3.6016182279122586</v>
      </c>
      <c r="I14" s="87">
        <v>3.2462102555468895</v>
      </c>
      <c r="J14" s="87">
        <v>3.3593000359520988</v>
      </c>
      <c r="K14" s="87">
        <v>2.932531490710057</v>
      </c>
      <c r="L14" s="87">
        <v>3.1896018828684554</v>
      </c>
      <c r="M14" s="87">
        <v>3.4973299636974615</v>
      </c>
      <c r="N14" s="87">
        <v>3.4728778884263281</v>
      </c>
      <c r="O14" s="87">
        <v>3.3162493100653281</v>
      </c>
      <c r="P14" s="87">
        <v>2.9556627139457285</v>
      </c>
      <c r="Q14" s="87">
        <v>2.9953777953810716</v>
      </c>
      <c r="R14" s="87">
        <v>2.7213436424225796</v>
      </c>
      <c r="S14" s="87">
        <v>3.4363447336054698</v>
      </c>
      <c r="T14" s="87">
        <v>3.7276816841463756</v>
      </c>
      <c r="U14" s="87">
        <v>3.8555012736693697</v>
      </c>
      <c r="V14" s="87">
        <v>3.0984578386218278</v>
      </c>
      <c r="W14" s="87">
        <v>3.6180753032194701</v>
      </c>
      <c r="X14" s="87">
        <v>3.4560700840974952</v>
      </c>
      <c r="Y14" s="87">
        <v>3.6117581991498939</v>
      </c>
      <c r="DA14" s="171" t="s">
        <v>1108</v>
      </c>
    </row>
    <row r="15" spans="1:105" ht="11.45" customHeight="1" x14ac:dyDescent="0.25">
      <c r="A15" s="111" t="s">
        <v>93</v>
      </c>
      <c r="B15" s="87">
        <v>0.60189165950128976</v>
      </c>
      <c r="C15" s="87">
        <v>0.51590713671539123</v>
      </c>
      <c r="D15" s="87">
        <v>0.51590713671539123</v>
      </c>
      <c r="E15" s="87">
        <v>0.60189165950128976</v>
      </c>
      <c r="F15" s="87">
        <v>0.68787618228718828</v>
      </c>
      <c r="G15" s="87">
        <v>0.68787618228718828</v>
      </c>
      <c r="H15" s="87">
        <v>0.68787618228718828</v>
      </c>
      <c r="I15" s="87">
        <v>0.68787618228718828</v>
      </c>
      <c r="J15" s="87">
        <v>0.85984522785898532</v>
      </c>
      <c r="K15" s="87">
        <v>0.94582975064488384</v>
      </c>
      <c r="L15" s="87">
        <v>0.94582975064488384</v>
      </c>
      <c r="M15" s="87">
        <v>0.85984522785898532</v>
      </c>
      <c r="N15" s="87">
        <v>0.94582975064488384</v>
      </c>
      <c r="O15" s="87">
        <v>0.85984522785898532</v>
      </c>
      <c r="P15" s="87">
        <v>0.94582975064488384</v>
      </c>
      <c r="Q15" s="87">
        <v>0.94582975064488384</v>
      </c>
      <c r="R15" s="87">
        <v>1.031814273430782</v>
      </c>
      <c r="S15" s="87">
        <v>1.0060189165950131</v>
      </c>
      <c r="T15" s="87">
        <v>1.4273430782459162</v>
      </c>
      <c r="U15" s="87">
        <v>1.2897678417884779</v>
      </c>
      <c r="V15" s="87">
        <v>1.1521926053310401</v>
      </c>
      <c r="W15" s="87">
        <v>1.040412725709372</v>
      </c>
      <c r="X15" s="87">
        <v>1.1006018916595011</v>
      </c>
      <c r="Y15" s="87">
        <v>1.14359415305245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X16" s="117">
        <v>0</v>
      </c>
      <c r="Y16" s="117">
        <v>0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61.906393737636378</v>
      </c>
      <c r="C17" s="29">
        <f t="shared" si="13"/>
        <v>54.829632116121125</v>
      </c>
      <c r="D17" s="29">
        <f t="shared" si="13"/>
        <v>59.406506745665908</v>
      </c>
      <c r="E17" s="29">
        <f t="shared" si="13"/>
        <v>67.792671387657137</v>
      </c>
      <c r="F17" s="29">
        <f t="shared" si="13"/>
        <v>66.733930789606703</v>
      </c>
      <c r="G17" s="29">
        <f t="shared" si="13"/>
        <v>70.593865265582807</v>
      </c>
      <c r="H17" s="29">
        <f t="shared" si="13"/>
        <v>67.923145314650071</v>
      </c>
      <c r="I17" s="29">
        <f t="shared" si="13"/>
        <v>70.820857672226097</v>
      </c>
      <c r="J17" s="29">
        <f t="shared" si="13"/>
        <v>71.73648672243138</v>
      </c>
      <c r="K17" s="29">
        <f t="shared" si="13"/>
        <v>54.675207116340658</v>
      </c>
      <c r="L17" s="29">
        <f t="shared" si="13"/>
        <v>57.504207231490959</v>
      </c>
      <c r="M17" s="29">
        <f t="shared" si="13"/>
        <v>59.253916811882931</v>
      </c>
      <c r="N17" s="29">
        <f t="shared" si="13"/>
        <v>55.757302679071515</v>
      </c>
      <c r="O17" s="29">
        <f t="shared" si="13"/>
        <v>50.91539299431988</v>
      </c>
      <c r="P17" s="29">
        <f t="shared" si="13"/>
        <v>54.217080192331139</v>
      </c>
      <c r="Q17" s="29">
        <f t="shared" si="13"/>
        <v>49.956814809949975</v>
      </c>
      <c r="R17" s="29">
        <f t="shared" si="13"/>
        <v>49.207117234619552</v>
      </c>
      <c r="S17" s="29">
        <f t="shared" si="13"/>
        <v>52.470448043694617</v>
      </c>
      <c r="T17" s="29">
        <f t="shared" si="13"/>
        <v>59.242653655492468</v>
      </c>
      <c r="U17" s="29">
        <f t="shared" si="13"/>
        <v>53.293853842409746</v>
      </c>
      <c r="V17" s="29">
        <f t="shared" si="13"/>
        <v>52.27428506765505</v>
      </c>
      <c r="W17" s="29">
        <f t="shared" si="13"/>
        <v>50.535836992567283</v>
      </c>
      <c r="X17" s="29">
        <f t="shared" ref="X17:Y17" si="14">SUM(X18:X19)</f>
        <v>25.661728712119185</v>
      </c>
      <c r="Y17" s="29">
        <f t="shared" si="14"/>
        <v>26.032695799130419</v>
      </c>
      <c r="DA17" s="173" t="s">
        <v>402</v>
      </c>
    </row>
    <row r="18" spans="1:105" ht="11.45" customHeight="1" x14ac:dyDescent="0.25">
      <c r="A18" s="83" t="s">
        <v>95</v>
      </c>
      <c r="B18" s="87">
        <v>61.906393737636378</v>
      </c>
      <c r="C18" s="87">
        <v>54.829632116121125</v>
      </c>
      <c r="D18" s="87">
        <v>59.406506745665908</v>
      </c>
      <c r="E18" s="87">
        <v>67.792671387657137</v>
      </c>
      <c r="F18" s="87">
        <v>66.733930789606703</v>
      </c>
      <c r="G18" s="87">
        <v>70.593865265582807</v>
      </c>
      <c r="H18" s="87">
        <v>67.923145314650071</v>
      </c>
      <c r="I18" s="87">
        <v>70.820857672226097</v>
      </c>
      <c r="J18" s="87">
        <v>71.73648672243138</v>
      </c>
      <c r="K18" s="87">
        <v>54.675207116340658</v>
      </c>
      <c r="L18" s="87">
        <v>57.504207231490959</v>
      </c>
      <c r="M18" s="87">
        <v>59.253916811882931</v>
      </c>
      <c r="N18" s="87">
        <v>55.757302679071515</v>
      </c>
      <c r="O18" s="87">
        <v>50.91539299431988</v>
      </c>
      <c r="P18" s="87">
        <v>54.217080192331139</v>
      </c>
      <c r="Q18" s="87">
        <v>49.956814809949975</v>
      </c>
      <c r="R18" s="87">
        <v>49.207117234619552</v>
      </c>
      <c r="S18" s="87">
        <v>52.470448043694617</v>
      </c>
      <c r="T18" s="87">
        <v>59.242653655492468</v>
      </c>
      <c r="U18" s="87">
        <v>53.293853842409746</v>
      </c>
      <c r="V18" s="87">
        <v>52.27428506765505</v>
      </c>
      <c r="W18" s="87">
        <v>50.535836992567283</v>
      </c>
      <c r="X18" s="87">
        <v>25.661728712119185</v>
      </c>
      <c r="Y18" s="87">
        <v>26.032695799130419</v>
      </c>
      <c r="DA18" s="171" t="s">
        <v>1110</v>
      </c>
    </row>
    <row r="19" spans="1:105" ht="11.45" customHeight="1" x14ac:dyDescent="0.25">
      <c r="A19" s="85" t="s">
        <v>93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X19" s="88">
        <v>0</v>
      </c>
      <c r="Y19" s="88">
        <v>0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401.58336390237901</v>
      </c>
      <c r="C23" s="62">
        <f>IF(C10=0,0,C10/TrRail_act!C14*100)</f>
        <v>401.76918324683959</v>
      </c>
      <c r="D23" s="62">
        <f>IF(D10=0,0,D10/TrRail_act!D14*100)</f>
        <v>405.59759481964346</v>
      </c>
      <c r="E23" s="62">
        <f>IF(E10=0,0,E10/TrRail_act!E14*100)</f>
        <v>413.61984946615814</v>
      </c>
      <c r="F23" s="62">
        <f>IF(F10=0,0,F10/TrRail_act!F14*100)</f>
        <v>409.76567599467916</v>
      </c>
      <c r="G23" s="62">
        <f>IF(G10=0,0,G10/TrRail_act!G14*100)</f>
        <v>426.6073146800573</v>
      </c>
      <c r="H23" s="62">
        <f>IF(H10=0,0,H10/TrRail_act!H14*100)</f>
        <v>426.13620964993333</v>
      </c>
      <c r="I23" s="62">
        <f>IF(I10=0,0,I10/TrRail_act!I14*100)</f>
        <v>426.23019846662106</v>
      </c>
      <c r="J23" s="62">
        <f>IF(J10=0,0,J10/TrRail_act!J14*100)</f>
        <v>402.50485951409132</v>
      </c>
      <c r="K23" s="62">
        <f>IF(K10=0,0,K10/TrRail_act!K14*100)</f>
        <v>395.40921490803794</v>
      </c>
      <c r="L23" s="62">
        <f>IF(L10=0,0,L10/TrRail_act!L14*100)</f>
        <v>391.95841815846768</v>
      </c>
      <c r="M23" s="62">
        <f>IF(M10=0,0,M10/TrRail_act!M14*100)</f>
        <v>374.72395670451658</v>
      </c>
      <c r="N23" s="62">
        <f>IF(N10=0,0,N10/TrRail_act!N14*100)</f>
        <v>370.36554522140386</v>
      </c>
      <c r="O23" s="62">
        <f>IF(O10=0,0,O10/TrRail_act!O14*100)</f>
        <v>362.92355868443053</v>
      </c>
      <c r="P23" s="62">
        <f>IF(P10=0,0,P10/TrRail_act!P14*100)</f>
        <v>360.9570263869731</v>
      </c>
      <c r="Q23" s="62">
        <f>IF(Q10=0,0,Q10/TrRail_act!Q14*100)</f>
        <v>354.73333729891306</v>
      </c>
      <c r="R23" s="62">
        <f>IF(R10=0,0,R10/TrRail_act!R14*100)</f>
        <v>353.4687830323528</v>
      </c>
      <c r="S23" s="62">
        <f>IF(S10=0,0,S10/TrRail_act!S14*100)</f>
        <v>350.44999989335463</v>
      </c>
      <c r="T23" s="62">
        <f>IF(T10=0,0,T10/TrRail_act!T14*100)</f>
        <v>347.58170031013202</v>
      </c>
      <c r="U23" s="62">
        <f>IF(U10=0,0,U10/TrRail_act!U14*100)</f>
        <v>344.27558891073988</v>
      </c>
      <c r="V23" s="62">
        <f>IF(V10=0,0,V10/TrRail_act!V14*100)</f>
        <v>348.72778828573388</v>
      </c>
      <c r="W23" s="62">
        <f>IF(W10=0,0,W10/TrRail_act!W14*100)</f>
        <v>345.66930896660097</v>
      </c>
      <c r="X23" s="62">
        <f>IF(X10=0,0,X10/TrRail_act!X14*100)</f>
        <v>319.42746000038034</v>
      </c>
      <c r="Y23" s="62">
        <f>IF(Y10=0,0,Y10/TrRail_act!Y14*100)</f>
        <v>317.96175499706891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215.41292820164691</v>
      </c>
      <c r="C24" s="29">
        <f>IF(C11=0,0,C11/TrRail_act!C15*100)</f>
        <v>215.50821845684234</v>
      </c>
      <c r="D24" s="29">
        <f>IF(D11=0,0,D11/TrRail_act!D15*100)</f>
        <v>212.87788150019432</v>
      </c>
      <c r="E24" s="29">
        <f>IF(E11=0,0,E11/TrRail_act!E15*100)</f>
        <v>209.46784344820045</v>
      </c>
      <c r="F24" s="29">
        <f>IF(F11=0,0,F11/TrRail_act!F15*100)</f>
        <v>208.51667686118458</v>
      </c>
      <c r="G24" s="29">
        <f>IF(G11=0,0,G11/TrRail_act!G15*100)</f>
        <v>202.72799717731988</v>
      </c>
      <c r="H24" s="29">
        <f>IF(H11=0,0,H11/TrRail_act!H15*100)</f>
        <v>199.26883186639876</v>
      </c>
      <c r="I24" s="29">
        <f>IF(I11=0,0,I11/TrRail_act!I15*100)</f>
        <v>198.92285703631254</v>
      </c>
      <c r="J24" s="29">
        <f>IF(J11=0,0,J11/TrRail_act!J15*100)</f>
        <v>189.91976157888848</v>
      </c>
      <c r="K24" s="29">
        <f>IF(K11=0,0,K11/TrRail_act!K15*100)</f>
        <v>185.60598403347501</v>
      </c>
      <c r="L24" s="29">
        <f>IF(L11=0,0,L11/TrRail_act!L15*100)</f>
        <v>184.24106653996319</v>
      </c>
      <c r="M24" s="29">
        <f>IF(M11=0,0,M11/TrRail_act!M15*100)</f>
        <v>183.37118815244682</v>
      </c>
      <c r="N24" s="29">
        <f>IF(N11=0,0,N11/TrRail_act!N15*100)</f>
        <v>179.04729019031655</v>
      </c>
      <c r="O24" s="29">
        <f>IF(O11=0,0,O11/TrRail_act!O15*100)</f>
        <v>174.80437476830156</v>
      </c>
      <c r="P24" s="29">
        <f>IF(P11=0,0,P11/TrRail_act!P15*100)</f>
        <v>170.38719860752622</v>
      </c>
      <c r="Q24" s="29">
        <f>IF(Q11=0,0,Q11/TrRail_act!Q15*100)</f>
        <v>169.33233894964783</v>
      </c>
      <c r="R24" s="29">
        <f>IF(R11=0,0,R11/TrRail_act!R15*100)</f>
        <v>165.43981364317207</v>
      </c>
      <c r="S24" s="29">
        <f>IF(S11=0,0,S11/TrRail_act!S15*100)</f>
        <v>167.67530250146046</v>
      </c>
      <c r="T24" s="29">
        <f>IF(T11=0,0,T11/TrRail_act!T15*100)</f>
        <v>163.40343780212504</v>
      </c>
      <c r="U24" s="29">
        <f>IF(U11=0,0,U11/TrRail_act!U15*100)</f>
        <v>164.55930544757763</v>
      </c>
      <c r="V24" s="29">
        <f>IF(V11=0,0,V11/TrRail_act!V15*100)</f>
        <v>162.72950939140961</v>
      </c>
      <c r="W24" s="29">
        <f>IF(W11=0,0,W11/TrRail_act!W15*100)</f>
        <v>165.62554993354388</v>
      </c>
      <c r="X24" s="29">
        <f>IF(X11=0,0,X11/TrRail_act!X15*100)</f>
        <v>164.11791037220681</v>
      </c>
      <c r="Y24" s="29">
        <f>IF(Y11=0,0,Y11/TrRail_act!Y15*100)</f>
        <v>163.99580089715585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0</v>
      </c>
      <c r="E25" s="115">
        <f>IF(E12=0,0,E12/TrRail_act!E16*100)</f>
        <v>0</v>
      </c>
      <c r="F25" s="115">
        <f>IF(F12=0,0,F12/TrRail_act!F16*100)</f>
        <v>0</v>
      </c>
      <c r="G25" s="115">
        <f>IF(G12=0,0,G12/TrRail_act!G16*100)</f>
        <v>0</v>
      </c>
      <c r="H25" s="115">
        <f>IF(H12=0,0,H12/TrRail_act!H16*100)</f>
        <v>0</v>
      </c>
      <c r="I25" s="115">
        <f>IF(I12=0,0,I12/TrRail_act!I16*100)</f>
        <v>0</v>
      </c>
      <c r="J25" s="115">
        <f>IF(J12=0,0,J12/TrRail_act!J16*100)</f>
        <v>0</v>
      </c>
      <c r="K25" s="115">
        <f>IF(K12=0,0,K12/TrRail_act!K16*100)</f>
        <v>0</v>
      </c>
      <c r="L25" s="115">
        <f>IF(L12=0,0,L12/TrRail_act!L16*100)</f>
        <v>0</v>
      </c>
      <c r="M25" s="115">
        <f>IF(M12=0,0,M12/TrRail_act!M16*100)</f>
        <v>0</v>
      </c>
      <c r="N25" s="115">
        <f>IF(N12=0,0,N12/TrRail_act!N16*100)</f>
        <v>0</v>
      </c>
      <c r="O25" s="115">
        <f>IF(O12=0,0,O12/TrRail_act!O16*100)</f>
        <v>0</v>
      </c>
      <c r="P25" s="115">
        <f>IF(P12=0,0,P12/TrRail_act!P16*100)</f>
        <v>0</v>
      </c>
      <c r="Q25" s="115">
        <f>IF(Q12=0,0,Q12/TrRail_act!Q16*100)</f>
        <v>0</v>
      </c>
      <c r="R25" s="115">
        <f>IF(R12=0,0,R12/TrRail_act!R16*100)</f>
        <v>0</v>
      </c>
      <c r="S25" s="115">
        <f>IF(S12=0,0,S12/TrRail_act!S16*100)</f>
        <v>0</v>
      </c>
      <c r="T25" s="115">
        <f>IF(T12=0,0,T12/TrRail_act!T16*100)</f>
        <v>0</v>
      </c>
      <c r="U25" s="115">
        <f>IF(U12=0,0,U12/TrRail_act!U16*100)</f>
        <v>0</v>
      </c>
      <c r="V25" s="115">
        <f>IF(V12=0,0,V12/TrRail_act!V16*100)</f>
        <v>0</v>
      </c>
      <c r="W25" s="115">
        <f>IF(W12=0,0,W12/TrRail_act!W16*100)</f>
        <v>0</v>
      </c>
      <c r="X25" s="115">
        <f>IF(X12=0,0,X12/TrRail_act!X16*100)</f>
        <v>0</v>
      </c>
      <c r="Y25" s="115">
        <f>IF(Y12=0,0,Y12/TrRail_act!Y16*100)</f>
        <v>0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215.41292820164691</v>
      </c>
      <c r="C26" s="116">
        <f>IF(C13=0,0,C13/TrRail_act!C17*100)</f>
        <v>215.50821845684234</v>
      </c>
      <c r="D26" s="116">
        <f>IF(D13=0,0,D13/TrRail_act!D17*100)</f>
        <v>212.87788150019432</v>
      </c>
      <c r="E26" s="116">
        <f>IF(E13=0,0,E13/TrRail_act!E17*100)</f>
        <v>209.46784344820045</v>
      </c>
      <c r="F26" s="116">
        <f>IF(F13=0,0,F13/TrRail_act!F17*100)</f>
        <v>208.51667686118458</v>
      </c>
      <c r="G26" s="116">
        <f>IF(G13=0,0,G13/TrRail_act!G17*100)</f>
        <v>202.72799717731988</v>
      </c>
      <c r="H26" s="116">
        <f>IF(H13=0,0,H13/TrRail_act!H17*100)</f>
        <v>199.26883186639876</v>
      </c>
      <c r="I26" s="116">
        <f>IF(I13=0,0,I13/TrRail_act!I17*100)</f>
        <v>198.92285703631254</v>
      </c>
      <c r="J26" s="116">
        <f>IF(J13=0,0,J13/TrRail_act!J17*100)</f>
        <v>189.91976157888848</v>
      </c>
      <c r="K26" s="116">
        <f>IF(K13=0,0,K13/TrRail_act!K17*100)</f>
        <v>185.60598403347501</v>
      </c>
      <c r="L26" s="116">
        <f>IF(L13=0,0,L13/TrRail_act!L17*100)</f>
        <v>184.24106653996319</v>
      </c>
      <c r="M26" s="116">
        <f>IF(M13=0,0,M13/TrRail_act!M17*100)</f>
        <v>183.37118815244682</v>
      </c>
      <c r="N26" s="116">
        <f>IF(N13=0,0,N13/TrRail_act!N17*100)</f>
        <v>179.04729019031655</v>
      </c>
      <c r="O26" s="116">
        <f>IF(O13=0,0,O13/TrRail_act!O17*100)</f>
        <v>174.80437476830156</v>
      </c>
      <c r="P26" s="116">
        <f>IF(P13=0,0,P13/TrRail_act!P17*100)</f>
        <v>170.38719860752622</v>
      </c>
      <c r="Q26" s="116">
        <f>IF(Q13=0,0,Q13/TrRail_act!Q17*100)</f>
        <v>169.33233894964783</v>
      </c>
      <c r="R26" s="116">
        <f>IF(R13=0,0,R13/TrRail_act!R17*100)</f>
        <v>165.43981364317207</v>
      </c>
      <c r="S26" s="116">
        <f>IF(S13=0,0,S13/TrRail_act!S17*100)</f>
        <v>167.67530250146046</v>
      </c>
      <c r="T26" s="116">
        <f>IF(T13=0,0,T13/TrRail_act!T17*100)</f>
        <v>163.40343780212504</v>
      </c>
      <c r="U26" s="116">
        <f>IF(U13=0,0,U13/TrRail_act!U17*100)</f>
        <v>164.55930544757763</v>
      </c>
      <c r="V26" s="116">
        <f>IF(V13=0,0,V13/TrRail_act!V17*100)</f>
        <v>162.72950939140961</v>
      </c>
      <c r="W26" s="116">
        <f>IF(W13=0,0,W13/TrRail_act!W17*100)</f>
        <v>165.62554993354388</v>
      </c>
      <c r="X26" s="116">
        <f>IF(X13=0,0,X13/TrRail_act!X17*100)</f>
        <v>164.11791037220681</v>
      </c>
      <c r="Y26" s="116">
        <f>IF(Y13=0,0,Y13/TrRail_act!Y17*100)</f>
        <v>163.99580089715585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220.68227359959832</v>
      </c>
      <c r="C27" s="87">
        <f>IF(C14=0,0,C14/TrRail_act!C18*100)</f>
        <v>220.66741861439181</v>
      </c>
      <c r="D27" s="87">
        <f>IF(D14=0,0,D14/TrRail_act!D18*100)</f>
        <v>218.29395415048842</v>
      </c>
      <c r="E27" s="87">
        <f>IF(E14=0,0,E14/TrRail_act!E18*100)</f>
        <v>216.51583833752062</v>
      </c>
      <c r="F27" s="87">
        <f>IF(F14=0,0,F14/TrRail_act!F18*100)</f>
        <v>216.60672190183377</v>
      </c>
      <c r="G27" s="87">
        <f>IF(G14=0,0,G14/TrRail_act!G18*100)</f>
        <v>214.7137936570399</v>
      </c>
      <c r="H27" s="87">
        <f>IF(H14=0,0,H14/TrRail_act!H18*100)</f>
        <v>211.52882931483239</v>
      </c>
      <c r="I27" s="87">
        <f>IF(I14=0,0,I14/TrRail_act!I18*100)</f>
        <v>213.31040022532162</v>
      </c>
      <c r="J27" s="87">
        <f>IF(J14=0,0,J14/TrRail_act!J18*100)</f>
        <v>207.33965331933101</v>
      </c>
      <c r="K27" s="87">
        <f>IF(K14=0,0,K14/TrRail_act!K18*100)</f>
        <v>206.12102168904133</v>
      </c>
      <c r="L27" s="87">
        <f>IF(L14=0,0,L14/TrRail_act!L18*100)</f>
        <v>202.49933228991438</v>
      </c>
      <c r="M27" s="87">
        <f>IF(M14=0,0,M14/TrRail_act!M18*100)</f>
        <v>200.07898074147857</v>
      </c>
      <c r="N27" s="87">
        <f>IF(N14=0,0,N14/TrRail_act!N18*100)</f>
        <v>196.11808970165086</v>
      </c>
      <c r="O27" s="87">
        <f>IF(O14=0,0,O14/TrRail_act!O18*100)</f>
        <v>189.96241231238719</v>
      </c>
      <c r="P27" s="87">
        <f>IF(P14=0,0,P14/TrRail_act!P18*100)</f>
        <v>189.10825111430424</v>
      </c>
      <c r="Q27" s="87">
        <f>IF(Q14=0,0,Q14/TrRail_act!Q18*100)</f>
        <v>188.11779601236626</v>
      </c>
      <c r="R27" s="87">
        <f>IF(R14=0,0,R14/TrRail_act!R18*100)</f>
        <v>186.4414680896129</v>
      </c>
      <c r="S27" s="87">
        <f>IF(S14=0,0,S14/TrRail_act!S18*100)</f>
        <v>185.19403339526562</v>
      </c>
      <c r="T27" s="87">
        <f>IF(T14=0,0,T14/TrRail_act!T18*100)</f>
        <v>184.26393725682374</v>
      </c>
      <c r="U27" s="87">
        <f>IF(U14=0,0,U14/TrRail_act!U18*100)</f>
        <v>183.56943197500627</v>
      </c>
      <c r="V27" s="87">
        <f>IF(V14=0,0,V14/TrRail_act!V18*100)</f>
        <v>183.05027126057112</v>
      </c>
      <c r="W27" s="87">
        <f>IF(W14=0,0,W14/TrRail_act!W18*100)</f>
        <v>182.66186465539693</v>
      </c>
      <c r="X27" s="87">
        <f>IF(X14=0,0,X14/TrRail_act!X18*100)</f>
        <v>182.37110057278619</v>
      </c>
      <c r="Y27" s="87">
        <f>IF(Y14=0,0,Y14/TrRail_act!Y18*100)</f>
        <v>182.15333129180937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155.91912311401904</v>
      </c>
      <c r="C28" s="87">
        <f>IF(C15=0,0,C15/TrRail_act!C19*100)</f>
        <v>155.47216787360162</v>
      </c>
      <c r="D28" s="87">
        <f>IF(D15=0,0,D15/TrRail_act!D19*100)</f>
        <v>153.56574498174683</v>
      </c>
      <c r="E28" s="87">
        <f>IF(E15=0,0,E15/TrRail_act!E19*100)</f>
        <v>153.16194762787677</v>
      </c>
      <c r="F28" s="87">
        <f>IF(F15=0,0,F15/TrRail_act!F19*100)</f>
        <v>152.08175234427051</v>
      </c>
      <c r="G28" s="87">
        <f>IF(G15=0,0,G15/TrRail_act!G19*100)</f>
        <v>153.08296321033947</v>
      </c>
      <c r="H28" s="87">
        <f>IF(H15=0,0,H15/TrRail_act!H19*100)</f>
        <v>152.87627494456837</v>
      </c>
      <c r="I28" s="87">
        <f>IF(I15=0,0,I15/TrRail_act!I19*100)</f>
        <v>150.89310216761299</v>
      </c>
      <c r="J28" s="87">
        <f>IF(J15=0,0,J15/TrRail_act!J19*100)</f>
        <v>142.98602057002608</v>
      </c>
      <c r="K28" s="87">
        <f>IF(K15=0,0,K15/TrRail_act!K19*100)</f>
        <v>141.83678304463689</v>
      </c>
      <c r="L28" s="87">
        <f>IF(L15=0,0,L15/TrRail_act!L19*100)</f>
        <v>141.28264965745961</v>
      </c>
      <c r="M28" s="87">
        <f>IF(M15=0,0,M15/TrRail_act!M19*100)</f>
        <v>136.87973760893274</v>
      </c>
      <c r="N28" s="87">
        <f>IF(N15=0,0,N15/TrRail_act!N19*100)</f>
        <v>135.68255011604705</v>
      </c>
      <c r="O28" s="87">
        <f>IF(O15=0,0,O15/TrRail_act!O19*100)</f>
        <v>133.66773752441105</v>
      </c>
      <c r="P28" s="87">
        <f>IF(P15=0,0,P15/TrRail_act!P19*100)</f>
        <v>130.13031396001082</v>
      </c>
      <c r="Q28" s="87">
        <f>IF(Q15=0,0,Q15/TrRail_act!Q19*100)</f>
        <v>128.64755197405702</v>
      </c>
      <c r="R28" s="87">
        <f>IF(R15=0,0,R15/TrRail_act!R19*100)</f>
        <v>127.54657999550479</v>
      </c>
      <c r="S28" s="87">
        <f>IF(S15=0,0,S15/TrRail_act!S19*100)</f>
        <v>126.7270370016109</v>
      </c>
      <c r="T28" s="87">
        <f>IF(T15=0,0,T15/TrRail_act!T19*100)</f>
        <v>126.11583777887934</v>
      </c>
      <c r="U28" s="87">
        <f>IF(U15=0,0,U15/TrRail_act!U19*100)</f>
        <v>125.65937359941219</v>
      </c>
      <c r="V28" s="87">
        <f>IF(V15=0,0,V15/TrRail_act!V19*100)</f>
        <v>125.31810999942338</v>
      </c>
      <c r="W28" s="87">
        <f>IF(W15=0,0,W15/TrRail_act!W19*100)</f>
        <v>125.06276675403029</v>
      </c>
      <c r="X28" s="87">
        <f>IF(X15=0,0,X15/TrRail_act!X19*100)</f>
        <v>124.87160767015475</v>
      </c>
      <c r="Y28" s="87">
        <f>IF(Y15=0,0,Y15/TrRail_act!Y19*100)</f>
        <v>124.72842766439472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X29" s="117">
        <f>IF(X16=0,0,X16/TrRail_act!X20*100)</f>
        <v>0</v>
      </c>
      <c r="Y29" s="117">
        <f>IF(Y16=0,0,Y16/TrRail_act!Y20*100)</f>
        <v>0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468.41754036626043</v>
      </c>
      <c r="C30" s="29">
        <f>IF(C17=0,0,C17/TrRail_act!C21*100)</f>
        <v>468.50755000450857</v>
      </c>
      <c r="D30" s="29">
        <f>IF(D17=0,0,D17/TrRail_act!D21*100)</f>
        <v>466.33824790290419</v>
      </c>
      <c r="E30" s="29">
        <f>IF(E17=0,0,E17/TrRail_act!E21*100)</f>
        <v>462.85699801555927</v>
      </c>
      <c r="F30" s="29">
        <f>IF(F17=0,0,F17/TrRail_act!F21*100)</f>
        <v>459.78681399081233</v>
      </c>
      <c r="G30" s="29">
        <f>IF(G17=0,0,G17/TrRail_act!G21*100)</f>
        <v>460.33910686180218</v>
      </c>
      <c r="H30" s="29">
        <f>IF(H17=0,0,H17/TrRail_act!H21*100)</f>
        <v>459.14837778156834</v>
      </c>
      <c r="I30" s="29">
        <f>IF(I17=0,0,I17/TrRail_act!I21*100)</f>
        <v>455.11949232499467</v>
      </c>
      <c r="J30" s="29">
        <f>IF(J17=0,0,J17/TrRail_act!J21*100)</f>
        <v>430.87058407100824</v>
      </c>
      <c r="K30" s="29">
        <f>IF(K17=0,0,K17/TrRail_act!K21*100)</f>
        <v>429.87776378474251</v>
      </c>
      <c r="L30" s="29">
        <f>IF(L17=0,0,L17/TrRail_act!L21*100)</f>
        <v>426.54194733570739</v>
      </c>
      <c r="M30" s="29">
        <f>IF(M17=0,0,M17/TrRail_act!M21*100)</f>
        <v>405.86811082848919</v>
      </c>
      <c r="N30" s="29">
        <f>IF(N17=0,0,N17/TrRail_act!N21*100)</f>
        <v>404.62969172443559</v>
      </c>
      <c r="O30" s="29">
        <f>IF(O17=0,0,O17/TrRail_act!O21*100)</f>
        <v>398.059358921372</v>
      </c>
      <c r="P30" s="29">
        <f>IF(P17=0,0,P17/TrRail_act!P21*100)</f>
        <v>392.55128979446499</v>
      </c>
      <c r="Q30" s="29">
        <f>IF(Q17=0,0,Q17/TrRail_act!Q21*100)</f>
        <v>388.27175126438829</v>
      </c>
      <c r="R30" s="29">
        <f>IF(R17=0,0,R17/TrRail_act!R21*100)</f>
        <v>387.01820506503179</v>
      </c>
      <c r="S30" s="29">
        <f>IF(S17=0,0,S17/TrRail_act!S21*100)</f>
        <v>386.08070409770534</v>
      </c>
      <c r="T30" s="29">
        <f>IF(T17=0,0,T17/TrRail_act!T21*100)</f>
        <v>385.37906810774138</v>
      </c>
      <c r="U30" s="29">
        <f>IF(U17=0,0,U17/TrRail_act!U21*100)</f>
        <v>384.8536781557159</v>
      </c>
      <c r="V30" s="29">
        <f>IF(V17=0,0,V17/TrRail_act!V21*100)</f>
        <v>384.46010553784458</v>
      </c>
      <c r="W30" s="29">
        <f>IF(W17=0,0,W17/TrRail_act!W21*100)</f>
        <v>384.16519056071729</v>
      </c>
      <c r="X30" s="29">
        <f>IF(X17=0,0,X17/TrRail_act!X21*100)</f>
        <v>383.94415265371163</v>
      </c>
      <c r="Y30" s="29">
        <f>IF(Y17=0,0,Y17/TrRail_act!Y21*100)</f>
        <v>383.77845768869838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468.41754036626043</v>
      </c>
      <c r="C31" s="87">
        <f>IF(C18=0,0,C18/TrRail_act!C22*100)</f>
        <v>468.50755000450857</v>
      </c>
      <c r="D31" s="87">
        <f>IF(D18=0,0,D18/TrRail_act!D22*100)</f>
        <v>466.33824790290419</v>
      </c>
      <c r="E31" s="87">
        <f>IF(E18=0,0,E18/TrRail_act!E22*100)</f>
        <v>462.85699801555927</v>
      </c>
      <c r="F31" s="87">
        <f>IF(F18=0,0,F18/TrRail_act!F22*100)</f>
        <v>459.78681399081233</v>
      </c>
      <c r="G31" s="87">
        <f>IF(G18=0,0,G18/TrRail_act!G22*100)</f>
        <v>460.33910686180218</v>
      </c>
      <c r="H31" s="87">
        <f>IF(H18=0,0,H18/TrRail_act!H22*100)</f>
        <v>459.14837778156834</v>
      </c>
      <c r="I31" s="87">
        <f>IF(I18=0,0,I18/TrRail_act!I22*100)</f>
        <v>455.11949232499467</v>
      </c>
      <c r="J31" s="87">
        <f>IF(J18=0,0,J18/TrRail_act!J22*100)</f>
        <v>430.87058407100824</v>
      </c>
      <c r="K31" s="87">
        <f>IF(K18=0,0,K18/TrRail_act!K22*100)</f>
        <v>429.87776378474251</v>
      </c>
      <c r="L31" s="87">
        <f>IF(L18=0,0,L18/TrRail_act!L22*100)</f>
        <v>426.54194733570739</v>
      </c>
      <c r="M31" s="87">
        <f>IF(M18=0,0,M18/TrRail_act!M22*100)</f>
        <v>405.86811082848919</v>
      </c>
      <c r="N31" s="87">
        <f>IF(N18=0,0,N18/TrRail_act!N22*100)</f>
        <v>404.62969172443559</v>
      </c>
      <c r="O31" s="87">
        <f>IF(O18=0,0,O18/TrRail_act!O22*100)</f>
        <v>398.059358921372</v>
      </c>
      <c r="P31" s="87">
        <f>IF(P18=0,0,P18/TrRail_act!P22*100)</f>
        <v>392.55128979446499</v>
      </c>
      <c r="Q31" s="87">
        <f>IF(Q18=0,0,Q18/TrRail_act!Q22*100)</f>
        <v>388.27175126438829</v>
      </c>
      <c r="R31" s="87">
        <f>IF(R18=0,0,R18/TrRail_act!R22*100)</f>
        <v>387.01820506503179</v>
      </c>
      <c r="S31" s="87">
        <f>IF(S18=0,0,S18/TrRail_act!S22*100)</f>
        <v>386.08070409770534</v>
      </c>
      <c r="T31" s="87">
        <f>IF(T18=0,0,T18/TrRail_act!T22*100)</f>
        <v>385.37906810774138</v>
      </c>
      <c r="U31" s="87">
        <f>IF(U18=0,0,U18/TrRail_act!U22*100)</f>
        <v>384.8536781557159</v>
      </c>
      <c r="V31" s="87">
        <f>IF(V18=0,0,V18/TrRail_act!V22*100)</f>
        <v>384.46010553784458</v>
      </c>
      <c r="W31" s="87">
        <f>IF(W18=0,0,W18/TrRail_act!W22*100)</f>
        <v>384.16519056071729</v>
      </c>
      <c r="X31" s="87">
        <f>IF(X18=0,0,X18/TrRail_act!X22*100)</f>
        <v>383.94415265371163</v>
      </c>
      <c r="Y31" s="87">
        <f>IF(Y18=0,0,Y18/TrRail_act!Y22*100)</f>
        <v>383.77845768869838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0</v>
      </c>
      <c r="C32" s="88">
        <f>IF(C19=0,0,C19/TrRail_act!C23*100)</f>
        <v>0</v>
      </c>
      <c r="D32" s="88">
        <f>IF(D19=0,0,D19/TrRail_act!D23*100)</f>
        <v>0</v>
      </c>
      <c r="E32" s="88">
        <f>IF(E19=0,0,E19/TrRail_act!E23*100)</f>
        <v>0</v>
      </c>
      <c r="F32" s="88">
        <f>IF(F19=0,0,F19/TrRail_act!F23*100)</f>
        <v>0</v>
      </c>
      <c r="G32" s="88">
        <f>IF(G19=0,0,G19/TrRail_act!G23*100)</f>
        <v>0</v>
      </c>
      <c r="H32" s="88">
        <f>IF(H19=0,0,H19/TrRail_act!H23*100)</f>
        <v>0</v>
      </c>
      <c r="I32" s="88">
        <f>IF(I19=0,0,I19/TrRail_act!I23*100)</f>
        <v>0</v>
      </c>
      <c r="J32" s="88">
        <f>IF(J19=0,0,J19/TrRail_act!J23*100)</f>
        <v>0</v>
      </c>
      <c r="K32" s="88">
        <f>IF(K19=0,0,K19/TrRail_act!K23*100)</f>
        <v>0</v>
      </c>
      <c r="L32" s="88">
        <f>IF(L19=0,0,L19/TrRail_act!L23*100)</f>
        <v>0</v>
      </c>
      <c r="M32" s="88">
        <f>IF(M19=0,0,M19/TrRail_act!M23*100)</f>
        <v>0</v>
      </c>
      <c r="N32" s="88">
        <f>IF(N19=0,0,N19/TrRail_act!N23*100)</f>
        <v>0</v>
      </c>
      <c r="O32" s="88">
        <f>IF(O19=0,0,O19/TrRail_act!O23*100)</f>
        <v>0</v>
      </c>
      <c r="P32" s="88">
        <f>IF(P19=0,0,P19/TrRail_act!P23*100)</f>
        <v>0</v>
      </c>
      <c r="Q32" s="88">
        <f>IF(Q19=0,0,Q19/TrRail_act!Q23*100)</f>
        <v>0</v>
      </c>
      <c r="R32" s="88">
        <f>IF(R19=0,0,R19/TrRail_act!R23*100)</f>
        <v>0</v>
      </c>
      <c r="S32" s="88">
        <f>IF(S19=0,0,S19/TrRail_act!S23*100)</f>
        <v>0</v>
      </c>
      <c r="T32" s="88">
        <f>IF(T19=0,0,T19/TrRail_act!T23*100)</f>
        <v>0</v>
      </c>
      <c r="U32" s="88">
        <f>IF(U19=0,0,U19/TrRail_act!U23*100)</f>
        <v>0</v>
      </c>
      <c r="V32" s="88">
        <f>IF(V19=0,0,V19/TrRail_act!V23*100)</f>
        <v>0</v>
      </c>
      <c r="W32" s="88">
        <f>IF(W19=0,0,W19/TrRail_act!W23*100)</f>
        <v>0</v>
      </c>
      <c r="X32" s="88">
        <f>IF(X19=0,0,X19/TrRail_act!X23*100)</f>
        <v>0</v>
      </c>
      <c r="Y32" s="88">
        <f>IF(Y19=0,0,Y19/TrRail_act!Y23*100)</f>
        <v>0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16.727105506427566</v>
      </c>
      <c r="C35" s="29">
        <f>IF(C11=0,0,C11/TrRail_act!C4*1000)</f>
        <v>16.954660262649863</v>
      </c>
      <c r="D35" s="29">
        <f>IF(D11=0,0,D11/TrRail_act!D4*1000)</f>
        <v>17.162774321344795</v>
      </c>
      <c r="E35" s="29">
        <f>IF(E11=0,0,E11/TrRail_act!E4*1000)</f>
        <v>17.128083453064271</v>
      </c>
      <c r="F35" s="29">
        <f>IF(F11=0,0,F11/TrRail_act!F4*1000)</f>
        <v>16.942124072737137</v>
      </c>
      <c r="G35" s="29">
        <f>IF(G11=0,0,G11/TrRail_act!G4*1000)</f>
        <v>16.729009630657114</v>
      </c>
      <c r="H35" s="29">
        <f>IF(H11=0,0,H11/TrRail_act!H4*1000)</f>
        <v>16.005576157460624</v>
      </c>
      <c r="I35" s="29">
        <f>IF(I11=0,0,I11/TrRail_act!I4*1000)</f>
        <v>15.992221292008447</v>
      </c>
      <c r="J35" s="29">
        <f>IF(J11=0,0,J11/TrRail_act!J4*1000)</f>
        <v>16.353276216322033</v>
      </c>
      <c r="K35" s="29">
        <f>IF(K11=0,0,K11/TrRail_act!K4*1000)</f>
        <v>16.789442603268142</v>
      </c>
      <c r="L35" s="29">
        <f>IF(L11=0,0,L11/TrRail_act!L4*1000)</f>
        <v>16.948490301284178</v>
      </c>
      <c r="M35" s="29">
        <f>IF(M11=0,0,M11/TrRail_act!M4*1000)</f>
        <v>16.1976772920314</v>
      </c>
      <c r="N35" s="29">
        <f>IF(N11=0,0,N11/TrRail_act!N4*1000)</f>
        <v>15.894631795220183</v>
      </c>
      <c r="O35" s="29">
        <f>IF(O11=0,0,O11/TrRail_act!O4*1000)</f>
        <v>15.021922798288895</v>
      </c>
      <c r="P35" s="29">
        <f>IF(P11=0,0,P11/TrRail_act!P4*1000)</f>
        <v>14.449972091076344</v>
      </c>
      <c r="Q35" s="29">
        <f>IF(Q11=0,0,Q11/TrRail_act!Q4*1000)</f>
        <v>15.042776893228837</v>
      </c>
      <c r="R35" s="29">
        <f>IF(R11=0,0,R11/TrRail_act!R4*1000)</f>
        <v>13.404135413762006</v>
      </c>
      <c r="S35" s="29">
        <f>IF(S11=0,0,S11/TrRail_act!S4*1000)</f>
        <v>14.102741746668199</v>
      </c>
      <c r="T35" s="29">
        <f>IF(T11=0,0,T11/TrRail_act!T4*1000)</f>
        <v>14.562216842916078</v>
      </c>
      <c r="U35" s="29">
        <f>IF(U11=0,0,U11/TrRail_act!U4*1000)</f>
        <v>14.332225948350549</v>
      </c>
      <c r="V35" s="29">
        <f>IF(V11=0,0,V11/TrRail_act!V4*1000)</f>
        <v>17.9352339407294</v>
      </c>
      <c r="W35" s="29">
        <f>IF(W11=0,0,W11/TrRail_act!W4*1000)</f>
        <v>16.231665606023839</v>
      </c>
      <c r="X35" s="29">
        <f>IF(X11=0,0,X11/TrRail_act!X4*1000)</f>
        <v>11.928460669520934</v>
      </c>
      <c r="Y35" s="29">
        <f>IF(Y11=0,0,Y11/TrRail_act!Y4*1000)</f>
        <v>12.131000898475367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0</v>
      </c>
      <c r="E36" s="115">
        <f>IF(E12=0,0,E12/TrRail_act!E5*1000)</f>
        <v>0</v>
      </c>
      <c r="F36" s="115">
        <f>IF(F12=0,0,F12/TrRail_act!F5*1000)</f>
        <v>0</v>
      </c>
      <c r="G36" s="115">
        <f>IF(G12=0,0,G12/TrRail_act!G5*1000)</f>
        <v>0</v>
      </c>
      <c r="H36" s="115">
        <f>IF(H12=0,0,H12/TrRail_act!H5*1000)</f>
        <v>0</v>
      </c>
      <c r="I36" s="115">
        <f>IF(I12=0,0,I12/TrRail_act!I5*1000)</f>
        <v>0</v>
      </c>
      <c r="J36" s="115">
        <f>IF(J12=0,0,J12/TrRail_act!J5*1000)</f>
        <v>0</v>
      </c>
      <c r="K36" s="115">
        <f>IF(K12=0,0,K12/TrRail_act!K5*1000)</f>
        <v>0</v>
      </c>
      <c r="L36" s="115">
        <f>IF(L12=0,0,L12/TrRail_act!L5*1000)</f>
        <v>0</v>
      </c>
      <c r="M36" s="115">
        <f>IF(M12=0,0,M12/TrRail_act!M5*1000)</f>
        <v>0</v>
      </c>
      <c r="N36" s="115">
        <f>IF(N12=0,0,N12/TrRail_act!N5*1000)</f>
        <v>0</v>
      </c>
      <c r="O36" s="115">
        <f>IF(O12=0,0,O12/TrRail_act!O5*1000)</f>
        <v>0</v>
      </c>
      <c r="P36" s="115">
        <f>IF(P12=0,0,P12/TrRail_act!P5*1000)</f>
        <v>0</v>
      </c>
      <c r="Q36" s="115">
        <f>IF(Q12=0,0,Q12/TrRail_act!Q5*1000)</f>
        <v>0</v>
      </c>
      <c r="R36" s="115">
        <f>IF(R12=0,0,R12/TrRail_act!R5*1000)</f>
        <v>0</v>
      </c>
      <c r="S36" s="115">
        <f>IF(S12=0,0,S12/TrRail_act!S5*1000)</f>
        <v>0</v>
      </c>
      <c r="T36" s="115">
        <f>IF(T12=0,0,T12/TrRail_act!T5*1000)</f>
        <v>0</v>
      </c>
      <c r="U36" s="115">
        <f>IF(U12=0,0,U12/TrRail_act!U5*1000)</f>
        <v>0</v>
      </c>
      <c r="V36" s="115">
        <f>IF(V12=0,0,V12/TrRail_act!V5*1000)</f>
        <v>0</v>
      </c>
      <c r="W36" s="115">
        <f>IF(W12=0,0,W12/TrRail_act!W5*1000)</f>
        <v>0</v>
      </c>
      <c r="X36" s="115">
        <f>IF(X12=0,0,X12/TrRail_act!X5*1000)</f>
        <v>0</v>
      </c>
      <c r="Y36" s="115">
        <f>IF(Y12=0,0,Y12/TrRail_act!Y5*1000)</f>
        <v>0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16.727105506427566</v>
      </c>
      <c r="C37" s="116">
        <f>IF(C13=0,0,C13/TrRail_act!C6*1000)</f>
        <v>16.954660262649863</v>
      </c>
      <c r="D37" s="116">
        <f>IF(D13=0,0,D13/TrRail_act!D6*1000)</f>
        <v>17.162774321344795</v>
      </c>
      <c r="E37" s="116">
        <f>IF(E13=0,0,E13/TrRail_act!E6*1000)</f>
        <v>17.128083453064271</v>
      </c>
      <c r="F37" s="116">
        <f>IF(F13=0,0,F13/TrRail_act!F6*1000)</f>
        <v>16.942124072737137</v>
      </c>
      <c r="G37" s="116">
        <f>IF(G13=0,0,G13/TrRail_act!G6*1000)</f>
        <v>16.729009630657114</v>
      </c>
      <c r="H37" s="116">
        <f>IF(H13=0,0,H13/TrRail_act!H6*1000)</f>
        <v>16.005576157460624</v>
      </c>
      <c r="I37" s="116">
        <f>IF(I13=0,0,I13/TrRail_act!I6*1000)</f>
        <v>15.992221292008447</v>
      </c>
      <c r="J37" s="116">
        <f>IF(J13=0,0,J13/TrRail_act!J6*1000)</f>
        <v>16.353276216322033</v>
      </c>
      <c r="K37" s="116">
        <f>IF(K13=0,0,K13/TrRail_act!K6*1000)</f>
        <v>16.789442603268142</v>
      </c>
      <c r="L37" s="116">
        <f>IF(L13=0,0,L13/TrRail_act!L6*1000)</f>
        <v>16.948490301284178</v>
      </c>
      <c r="M37" s="116">
        <f>IF(M13=0,0,M13/TrRail_act!M6*1000)</f>
        <v>16.1976772920314</v>
      </c>
      <c r="N37" s="116">
        <f>IF(N13=0,0,N13/TrRail_act!N6*1000)</f>
        <v>15.894631795220183</v>
      </c>
      <c r="O37" s="116">
        <f>IF(O13=0,0,O13/TrRail_act!O6*1000)</f>
        <v>15.021922798288895</v>
      </c>
      <c r="P37" s="116">
        <f>IF(P13=0,0,P13/TrRail_act!P6*1000)</f>
        <v>14.449972091076344</v>
      </c>
      <c r="Q37" s="116">
        <f>IF(Q13=0,0,Q13/TrRail_act!Q6*1000)</f>
        <v>15.042776893228837</v>
      </c>
      <c r="R37" s="116">
        <f>IF(R13=0,0,R13/TrRail_act!R6*1000)</f>
        <v>13.404135413762006</v>
      </c>
      <c r="S37" s="116">
        <f>IF(S13=0,0,S13/TrRail_act!S6*1000)</f>
        <v>14.102741746668199</v>
      </c>
      <c r="T37" s="116">
        <f>IF(T13=0,0,T13/TrRail_act!T6*1000)</f>
        <v>14.562216842916078</v>
      </c>
      <c r="U37" s="116">
        <f>IF(U13=0,0,U13/TrRail_act!U6*1000)</f>
        <v>14.332225948350549</v>
      </c>
      <c r="V37" s="116">
        <f>IF(V13=0,0,V13/TrRail_act!V6*1000)</f>
        <v>17.9352339407294</v>
      </c>
      <c r="W37" s="116">
        <f>IF(W13=0,0,W13/TrRail_act!W6*1000)</f>
        <v>16.231665606023839</v>
      </c>
      <c r="X37" s="116">
        <f>IF(X13=0,0,X13/TrRail_act!X6*1000)</f>
        <v>11.928460669520934</v>
      </c>
      <c r="Y37" s="116">
        <f>IF(Y13=0,0,Y13/TrRail_act!Y6*1000)</f>
        <v>12.131000898475367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17.511205930646248</v>
      </c>
      <c r="C38" s="87">
        <f>IF(C14=0,0,C14/TrRail_act!C7*1000)</f>
        <v>17.705149682750456</v>
      </c>
      <c r="D38" s="87">
        <f>IF(D14=0,0,D14/TrRail_act!D7*1000)</f>
        <v>18.022371464263653</v>
      </c>
      <c r="E38" s="87">
        <f>IF(E14=0,0,E14/TrRail_act!E7*1000)</f>
        <v>18.267062313562462</v>
      </c>
      <c r="F38" s="87">
        <f>IF(F14=0,0,F14/TrRail_act!F7*1000)</f>
        <v>18.333375984314408</v>
      </c>
      <c r="G38" s="87">
        <f>IF(G14=0,0,G14/TrRail_act!G7*1000)</f>
        <v>18.140699346696397</v>
      </c>
      <c r="H38" s="87">
        <f>IF(H14=0,0,H14/TrRail_act!H7*1000)</f>
        <v>17.370694447082879</v>
      </c>
      <c r="I38" s="87">
        <f>IF(I14=0,0,I14/TrRail_act!I7*1000)</f>
        <v>17.762365668348433</v>
      </c>
      <c r="J38" s="87">
        <f>IF(J14=0,0,J14/TrRail_act!J7*1000)</f>
        <v>17.729575297457611</v>
      </c>
      <c r="K38" s="87">
        <f>IF(K14=0,0,K14/TrRail_act!K7*1000)</f>
        <v>18.291388650637145</v>
      </c>
      <c r="L38" s="87">
        <f>IF(L14=0,0,L14/TrRail_act!L7*1000)</f>
        <v>18.196571998855472</v>
      </c>
      <c r="M38" s="87">
        <f>IF(M14=0,0,M14/TrRail_act!M7*1000)</f>
        <v>18.025700237598759</v>
      </c>
      <c r="N38" s="87">
        <f>IF(N14=0,0,N14/TrRail_act!N7*1000)</f>
        <v>17.468692391038385</v>
      </c>
      <c r="O38" s="87">
        <f>IF(O14=0,0,O14/TrRail_act!O7*1000)</f>
        <v>16.848782339245055</v>
      </c>
      <c r="P38" s="87">
        <f>IF(P14=0,0,P14/TrRail_act!P7*1000)</f>
        <v>16.611775148705146</v>
      </c>
      <c r="Q38" s="87">
        <f>IF(Q14=0,0,Q14/TrRail_act!Q7*1000)</f>
        <v>16.566900278636176</v>
      </c>
      <c r="R38" s="87">
        <f>IF(R14=0,0,R14/TrRail_act!R7*1000)</f>
        <v>14.002730837355911</v>
      </c>
      <c r="S38" s="87">
        <f>IF(S14=0,0,S14/TrRail_act!S7*1000)</f>
        <v>15.104209952264419</v>
      </c>
      <c r="T38" s="87">
        <f>IF(T14=0,0,T14/TrRail_act!T7*1000)</f>
        <v>14.859068263024486</v>
      </c>
      <c r="U38" s="87">
        <f>IF(U14=0,0,U14/TrRail_act!U7*1000)</f>
        <v>14.652784688661816</v>
      </c>
      <c r="V38" s="87">
        <f>IF(V14=0,0,V14/TrRail_act!V7*1000)</f>
        <v>17.504352329340964</v>
      </c>
      <c r="W38" s="87">
        <f>IF(W14=0,0,W14/TrRail_act!W7*1000)</f>
        <v>16.766340943927723</v>
      </c>
      <c r="X38" s="87">
        <f>IF(X14=0,0,X14/TrRail_act!X7*1000)</f>
        <v>14.149618883675204</v>
      </c>
      <c r="Y38" s="87">
        <f>IF(Y14=0,0,Y14/TrRail_act!Y7*1000)</f>
        <v>14.778767784988204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9.7502986790149926</v>
      </c>
      <c r="C39" s="87">
        <f>IF(C15=0,0,C15/TrRail_act!C8*1000)</f>
        <v>9.9727411204829526</v>
      </c>
      <c r="D39" s="87">
        <f>IF(D15=0,0,D15/TrRail_act!D8*1000)</f>
        <v>9.8495793341840958</v>
      </c>
      <c r="E39" s="87">
        <f>IF(E15=0,0,E15/TrRail_act!E8*1000)</f>
        <v>10.050722761982584</v>
      </c>
      <c r="F39" s="87">
        <f>IF(F15=0,0,F15/TrRail_act!F8*1000)</f>
        <v>9.6592904834145923</v>
      </c>
      <c r="G39" s="87">
        <f>IF(G15=0,0,G15/TrRail_act!G8*1000)</f>
        <v>11.520623222134516</v>
      </c>
      <c r="H39" s="87">
        <f>IF(H15=0,0,H15/TrRail_act!H8*1000)</f>
        <v>11.339632520347241</v>
      </c>
      <c r="I39" s="87">
        <f>IF(I15=0,0,I15/TrRail_act!I8*1000)</f>
        <v>10.876848126566635</v>
      </c>
      <c r="J39" s="87">
        <f>IF(J15=0,0,J15/TrRail_act!J8*1000)</f>
        <v>12.547789426477406</v>
      </c>
      <c r="K39" s="87">
        <f>IF(K15=0,0,K15/TrRail_act!K8*1000)</f>
        <v>13.382438698156248</v>
      </c>
      <c r="L39" s="87">
        <f>IF(L15=0,0,L15/TrRail_act!L8*1000)</f>
        <v>13.764704536913628</v>
      </c>
      <c r="M39" s="87">
        <f>IF(M15=0,0,M15/TrRail_act!M8*1000)</f>
        <v>11.467521963966078</v>
      </c>
      <c r="N39" s="87">
        <f>IF(N15=0,0,N15/TrRail_act!N8*1000)</f>
        <v>11.94317396969265</v>
      </c>
      <c r="O39" s="87">
        <f>IF(O15=0,0,O15/TrRail_act!O8*1000)</f>
        <v>10.592393121074364</v>
      </c>
      <c r="P39" s="87">
        <f>IF(P15=0,0,P15/TrRail_act!P8*1000)</f>
        <v>10.272468694426427</v>
      </c>
      <c r="Q39" s="87">
        <f>IF(Q15=0,0,Q15/TrRail_act!Q8*1000)</f>
        <v>11.64886165505539</v>
      </c>
      <c r="R39" s="87">
        <f>IF(R15=0,0,R15/TrRail_act!R8*1000)</f>
        <v>12.045993559321154</v>
      </c>
      <c r="S39" s="87">
        <f>IF(S15=0,0,S15/TrRail_act!S8*1000)</f>
        <v>11.498550729951763</v>
      </c>
      <c r="T39" s="87">
        <f>IF(T15=0,0,T15/TrRail_act!T8*1000)</f>
        <v>13.840116193263157</v>
      </c>
      <c r="U39" s="87">
        <f>IF(U15=0,0,U15/TrRail_act!U8*1000)</f>
        <v>13.452476499548572</v>
      </c>
      <c r="V39" s="87">
        <f>IF(V15=0,0,V15/TrRail_act!V8*1000)</f>
        <v>19.206638560059687</v>
      </c>
      <c r="W39" s="87">
        <f>IF(W15=0,0,W15/TrRail_act!W8*1000)</f>
        <v>14.611301186075872</v>
      </c>
      <c r="X39" s="87">
        <f>IF(X15=0,0,X15/TrRail_act!X8*1000)</f>
        <v>7.9899556290091889</v>
      </c>
      <c r="Y39" s="87">
        <f>IF(Y15=0,0,Y15/TrRail_act!Y8*1000)</f>
        <v>7.7473146877195189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X40" s="117">
        <f>IF(X16=0,0,X16/TrRail_act!X9*1000)</f>
        <v>0</v>
      </c>
      <c r="Y40" s="117">
        <f>IF(Y16=0,0,Y16/TrRail_act!Y9*1000)</f>
        <v>0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6.9417351129890523</v>
      </c>
      <c r="C41" s="29">
        <f>IF(C17=0,0,C17/TrRail_act!C10*1000)</f>
        <v>7.0830166795144196</v>
      </c>
      <c r="D41" s="29">
        <f>IF(D17=0,0,D17/TrRail_act!D10*1000)</f>
        <v>6.0823698930752457</v>
      </c>
      <c r="E41" s="29">
        <f>IF(E17=0,0,E17/TrRail_act!E10*1000)</f>
        <v>5.9171398610157233</v>
      </c>
      <c r="F41" s="29">
        <f>IF(F17=0,0,F17/TrRail_act!F10*1000)</f>
        <v>5.73463356445877</v>
      </c>
      <c r="G41" s="29">
        <f>IF(G17=0,0,G17/TrRail_act!G10*1000)</f>
        <v>5.6670037140228633</v>
      </c>
      <c r="H41" s="29">
        <f>IF(H17=0,0,H17/TrRail_act!H10*1000)</f>
        <v>5.2669932781211291</v>
      </c>
      <c r="I41" s="29">
        <f>IF(I17=0,0,I17/TrRail_act!I10*1000)</f>
        <v>4.927353904698121</v>
      </c>
      <c r="J41" s="29">
        <f>IF(J17=0,0,J17/TrRail_act!J10*1000)</f>
        <v>4.8641501710354875</v>
      </c>
      <c r="K41" s="29">
        <f>IF(K17=0,0,K17/TrRail_act!K10*1000)</f>
        <v>4.5991930616033532</v>
      </c>
      <c r="L41" s="29">
        <f>IF(L17=0,0,L17/TrRail_act!L10*1000)</f>
        <v>4.2814538925985381</v>
      </c>
      <c r="M41" s="29">
        <f>IF(M17=0,0,M17/TrRail_act!M10*1000)</f>
        <v>3.9272214217843935</v>
      </c>
      <c r="N41" s="29">
        <f>IF(N17=0,0,N17/TrRail_act!N10*1000)</f>
        <v>3.9343284419327906</v>
      </c>
      <c r="O41" s="29">
        <f>IF(O17=0,0,O17/TrRail_act!O10*1000)</f>
        <v>3.8156019929796074</v>
      </c>
      <c r="P41" s="29">
        <f>IF(P17=0,0,P17/TrRail_act!P10*1000)</f>
        <v>3.7895491851772656</v>
      </c>
      <c r="Q41" s="29">
        <f>IF(Q17=0,0,Q17/TrRail_act!Q10*1000)</f>
        <v>3.5591917077479325</v>
      </c>
      <c r="R41" s="29">
        <f>IF(R17=0,0,R17/TrRail_act!R10*1000)</f>
        <v>3.5683188712559502</v>
      </c>
      <c r="S41" s="29">
        <f>IF(S17=0,0,S17/TrRail_act!S10*1000)</f>
        <v>3.4040773351300517</v>
      </c>
      <c r="T41" s="29">
        <f>IF(T17=0,0,T17/TrRail_act!T10*1000)</f>
        <v>3.5085966038195124</v>
      </c>
      <c r="U41" s="29">
        <f>IF(U17=0,0,U17/TrRail_act!U10*1000)</f>
        <v>3.2936069366794229</v>
      </c>
      <c r="V41" s="29">
        <f>IF(V17=0,0,V17/TrRail_act!V10*1000)</f>
        <v>3.2949439059347654</v>
      </c>
      <c r="W41" s="29">
        <f>IF(W17=0,0,W17/TrRail_act!W10*1000)</f>
        <v>3.4694382117648832</v>
      </c>
      <c r="X41" s="29">
        <f>IF(X17=0,0,X17/TrRail_act!X10*1000)</f>
        <v>3.4795564355415847</v>
      </c>
      <c r="Y41" s="29">
        <f>IF(Y17=0,0,Y17/TrRail_act!Y10*1000)</f>
        <v>4.1275877277834816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6.9417351129890523</v>
      </c>
      <c r="C42" s="87">
        <f>IF(C18=0,0,C18/TrRail_act!C11*1000)</f>
        <v>7.0830166795144196</v>
      </c>
      <c r="D42" s="87">
        <f>IF(D18=0,0,D18/TrRail_act!D11*1000)</f>
        <v>6.0823698930752457</v>
      </c>
      <c r="E42" s="87">
        <f>IF(E18=0,0,E18/TrRail_act!E11*1000)</f>
        <v>5.9171398610157233</v>
      </c>
      <c r="F42" s="87">
        <f>IF(F18=0,0,F18/TrRail_act!F11*1000)</f>
        <v>5.73463356445877</v>
      </c>
      <c r="G42" s="87">
        <f>IF(G18=0,0,G18/TrRail_act!G11*1000)</f>
        <v>5.6670037140228633</v>
      </c>
      <c r="H42" s="87">
        <f>IF(H18=0,0,H18/TrRail_act!H11*1000)</f>
        <v>5.2669932781211291</v>
      </c>
      <c r="I42" s="87">
        <f>IF(I18=0,0,I18/TrRail_act!I11*1000)</f>
        <v>4.927353904698121</v>
      </c>
      <c r="J42" s="87">
        <f>IF(J18=0,0,J18/TrRail_act!J11*1000)</f>
        <v>4.8641501710354875</v>
      </c>
      <c r="K42" s="87">
        <f>IF(K18=0,0,K18/TrRail_act!K11*1000)</f>
        <v>4.5991930616033532</v>
      </c>
      <c r="L42" s="87">
        <f>IF(L18=0,0,L18/TrRail_act!L11*1000)</f>
        <v>4.2814538925985381</v>
      </c>
      <c r="M42" s="87">
        <f>IF(M18=0,0,M18/TrRail_act!M11*1000)</f>
        <v>3.9272214217843935</v>
      </c>
      <c r="N42" s="87">
        <f>IF(N18=0,0,N18/TrRail_act!N11*1000)</f>
        <v>3.9343284419327906</v>
      </c>
      <c r="O42" s="87">
        <f>IF(O18=0,0,O18/TrRail_act!O11*1000)</f>
        <v>3.8156019929796074</v>
      </c>
      <c r="P42" s="87">
        <f>IF(P18=0,0,P18/TrRail_act!P11*1000)</f>
        <v>3.7895491851772656</v>
      </c>
      <c r="Q42" s="87">
        <f>IF(Q18=0,0,Q18/TrRail_act!Q11*1000)</f>
        <v>3.5591917077479325</v>
      </c>
      <c r="R42" s="87">
        <f>IF(R18=0,0,R18/TrRail_act!R11*1000)</f>
        <v>3.5683188712559502</v>
      </c>
      <c r="S42" s="87">
        <f>IF(S18=0,0,S18/TrRail_act!S11*1000)</f>
        <v>3.4040773351300517</v>
      </c>
      <c r="T42" s="87">
        <f>IF(T18=0,0,T18/TrRail_act!T11*1000)</f>
        <v>3.5085966038195124</v>
      </c>
      <c r="U42" s="87">
        <f>IF(U18=0,0,U18/TrRail_act!U11*1000)</f>
        <v>3.2936069366794229</v>
      </c>
      <c r="V42" s="87">
        <f>IF(V18=0,0,V18/TrRail_act!V11*1000)</f>
        <v>3.2949439059347654</v>
      </c>
      <c r="W42" s="87">
        <f>IF(W18=0,0,W18/TrRail_act!W11*1000)</f>
        <v>3.4694382117648832</v>
      </c>
      <c r="X42" s="87">
        <f>IF(X18=0,0,X18/TrRail_act!X11*1000)</f>
        <v>3.4795564355415847</v>
      </c>
      <c r="Y42" s="87">
        <f>IF(Y18=0,0,Y18/TrRail_act!Y11*1000)</f>
        <v>4.1275877277834816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0</v>
      </c>
      <c r="C43" s="88">
        <f>IF(C19=0,0,C19/TrRail_act!C12*1000)</f>
        <v>0</v>
      </c>
      <c r="D43" s="88">
        <f>IF(D19=0,0,D19/TrRail_act!D12*1000)</f>
        <v>0</v>
      </c>
      <c r="E43" s="88">
        <f>IF(E19=0,0,E19/TrRail_act!E12*1000)</f>
        <v>0</v>
      </c>
      <c r="F43" s="88">
        <f>IF(F19=0,0,F19/TrRail_act!F12*1000)</f>
        <v>0</v>
      </c>
      <c r="G43" s="88">
        <f>IF(G19=0,0,G19/TrRail_act!G12*1000)</f>
        <v>0</v>
      </c>
      <c r="H43" s="88">
        <f>IF(H19=0,0,H19/TrRail_act!H12*1000)</f>
        <v>0</v>
      </c>
      <c r="I43" s="88">
        <f>IF(I19=0,0,I19/TrRail_act!I12*1000)</f>
        <v>0</v>
      </c>
      <c r="J43" s="88">
        <f>IF(J19=0,0,J19/TrRail_act!J12*1000)</f>
        <v>0</v>
      </c>
      <c r="K43" s="88">
        <f>IF(K19=0,0,K19/TrRail_act!K12*1000)</f>
        <v>0</v>
      </c>
      <c r="L43" s="88">
        <f>IF(L19=0,0,L19/TrRail_act!L12*1000)</f>
        <v>0</v>
      </c>
      <c r="M43" s="88">
        <f>IF(M19=0,0,M19/TrRail_act!M12*1000)</f>
        <v>0</v>
      </c>
      <c r="N43" s="88">
        <f>IF(N19=0,0,N19/TrRail_act!N12*1000)</f>
        <v>0</v>
      </c>
      <c r="O43" s="88">
        <f>IF(O19=0,0,O19/TrRail_act!O12*1000)</f>
        <v>0</v>
      </c>
      <c r="P43" s="88">
        <f>IF(P19=0,0,P19/TrRail_act!P12*1000)</f>
        <v>0</v>
      </c>
      <c r="Q43" s="88">
        <f>IF(Q19=0,0,Q19/TrRail_act!Q12*1000)</f>
        <v>0</v>
      </c>
      <c r="R43" s="88">
        <f>IF(R19=0,0,R19/TrRail_act!R12*1000)</f>
        <v>0</v>
      </c>
      <c r="S43" s="88">
        <f>IF(S19=0,0,S19/TrRail_act!S12*1000)</f>
        <v>0</v>
      </c>
      <c r="T43" s="88">
        <f>IF(T19=0,0,T19/TrRail_act!T12*1000)</f>
        <v>0</v>
      </c>
      <c r="U43" s="88">
        <f>IF(U19=0,0,U19/TrRail_act!U12*1000)</f>
        <v>0</v>
      </c>
      <c r="V43" s="88">
        <f>IF(V19=0,0,V19/TrRail_act!V12*1000)</f>
        <v>0</v>
      </c>
      <c r="W43" s="88">
        <f>IF(W19=0,0,W19/TrRail_act!W12*1000)</f>
        <v>0</v>
      </c>
      <c r="X43" s="88">
        <f>IF(X19=0,0,X19/TrRail_act!X12*1000)</f>
        <v>0</v>
      </c>
      <c r="Y43" s="88">
        <f>IF(Y19=0,0,Y19/TrRail_act!Y12*1000)</f>
        <v>0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738168.09910017415</v>
      </c>
      <c r="C45" s="54">
        <f>IF(C10=0,0,1000000*C10/TrRail_act!C25)</f>
        <v>726256.19806589675</v>
      </c>
      <c r="D45" s="54">
        <f>IF(D10=0,0,1000000*D10/TrRail_act!D25)</f>
        <v>751188.8208201275</v>
      </c>
      <c r="E45" s="54">
        <f>IF(E10=0,0,1000000*E10/TrRail_act!E25)</f>
        <v>771405.08661549457</v>
      </c>
      <c r="F45" s="54">
        <f>IF(F10=0,0,1000000*F10/TrRail_act!F25)</f>
        <v>768533.23641590762</v>
      </c>
      <c r="G45" s="54">
        <f>IF(G10=0,0,1000000*G10/TrRail_act!G25)</f>
        <v>769707.47105490044</v>
      </c>
      <c r="H45" s="54">
        <f>IF(H10=0,0,1000000*H10/TrRail_act!H25)</f>
        <v>783304.97540526954</v>
      </c>
      <c r="I45" s="54">
        <f>IF(I10=0,0,1000000*I10/TrRail_act!I25)</f>
        <v>802421.36514372996</v>
      </c>
      <c r="J45" s="54">
        <f>IF(J10=0,0,1000000*J10/TrRail_act!J25)</f>
        <v>774612.83357668656</v>
      </c>
      <c r="K45" s="54">
        <f>IF(K10=0,0,1000000*K10/TrRail_act!K25)</f>
        <v>646512.18500387832</v>
      </c>
      <c r="L45" s="54">
        <f>IF(L10=0,0,1000000*L10/TrRail_act!L25)</f>
        <v>725225.52175104327</v>
      </c>
      <c r="M45" s="54">
        <f>IF(M10=0,0,1000000*M10/TrRail_act!M25)</f>
        <v>715894.56274571817</v>
      </c>
      <c r="N45" s="54">
        <f>IF(N10=0,0,1000000*N10/TrRail_act!N25)</f>
        <v>705034.71651159157</v>
      </c>
      <c r="O45" s="54">
        <f>IF(O10=0,0,1000000*O10/TrRail_act!O25)</f>
        <v>688792.50248218293</v>
      </c>
      <c r="P45" s="54">
        <f>IF(P10=0,0,1000000*P10/TrRail_act!P25)</f>
        <v>689241.3782220484</v>
      </c>
      <c r="Q45" s="54">
        <f>IF(Q10=0,0,1000000*Q10/TrRail_act!Q25)</f>
        <v>674999.86481944122</v>
      </c>
      <c r="R45" s="54">
        <f>IF(R10=0,0,1000000*R10/TrRail_act!R25)</f>
        <v>672972.39307082596</v>
      </c>
      <c r="S45" s="54">
        <f>IF(S10=0,0,1000000*S10/TrRail_act!S25)</f>
        <v>664750.7896827634</v>
      </c>
      <c r="T45" s="54">
        <f>IF(T10=0,0,1000000*T10/TrRail_act!T25)</f>
        <v>657825.82685517287</v>
      </c>
      <c r="U45" s="54">
        <f>IF(U10=0,0,1000000*U10/TrRail_act!U25)</f>
        <v>638368.03675459779</v>
      </c>
      <c r="V45" s="54">
        <f>IF(V10=0,0,1000000*V10/TrRail_act!V25)</f>
        <v>654989.45360454323</v>
      </c>
      <c r="W45" s="54">
        <f>IF(W10=0,0,1000000*W10/TrRail_act!W25)</f>
        <v>643653.08515222359</v>
      </c>
      <c r="X45" s="54">
        <f>IF(X10=0,0,1000000*X10/TrRail_act!X25)</f>
        <v>385856.55767569499</v>
      </c>
      <c r="Y45" s="54">
        <f>IF(Y10=0,0,1000000*Y10/TrRail_act!Y25)</f>
        <v>427406.16189856833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323119.39017445763</v>
      </c>
      <c r="C46" s="28">
        <f>IF(C11=0,0,1000000*C11/TrRail_act!C26)</f>
        <v>317449.60996372317</v>
      </c>
      <c r="D46" s="28">
        <f>IF(D11=0,0,1000000*D11/TrRail_act!D26)</f>
        <v>319316.81757224759</v>
      </c>
      <c r="E46" s="28">
        <f>IF(E11=0,0,1000000*E11/TrRail_act!E26)</f>
        <v>305237.40834517532</v>
      </c>
      <c r="F46" s="28">
        <f>IF(F11=0,0,1000000*F11/TrRail_act!F26)</f>
        <v>312775.00912342698</v>
      </c>
      <c r="G46" s="28">
        <f>IF(G11=0,0,1000000*G11/TrRail_act!G26)</f>
        <v>221735.31918133487</v>
      </c>
      <c r="H46" s="28">
        <f>IF(H11=0,0,1000000*H11/TrRail_act!H26)</f>
        <v>235385.91048724743</v>
      </c>
      <c r="I46" s="28">
        <f>IF(I11=0,0,1000000*I11/TrRail_act!I26)</f>
        <v>256175.10309024632</v>
      </c>
      <c r="J46" s="28">
        <f>IF(J11=0,0,1000000*J11/TrRail_act!J26)</f>
        <v>284879.62233589229</v>
      </c>
      <c r="K46" s="28">
        <f>IF(K11=0,0,1000000*K11/TrRail_act!K26)</f>
        <v>278408.9585463368</v>
      </c>
      <c r="L46" s="28">
        <f>IF(L11=0,0,1000000*L11/TrRail_act!L26)</f>
        <v>276361.58419677056</v>
      </c>
      <c r="M46" s="28">
        <f>IF(M11=0,0,1000000*M11/TrRail_act!M26)</f>
        <v>274746.80212539964</v>
      </c>
      <c r="N46" s="28">
        <f>IF(N11=0,0,1000000*N11/TrRail_act!N26)</f>
        <v>268570.91969600617</v>
      </c>
      <c r="O46" s="28">
        <f>IF(O11=0,0,1000000*O11/TrRail_act!O26)</f>
        <v>260547.00392541816</v>
      </c>
      <c r="P46" s="28">
        <f>IF(P11=0,0,1000000*P11/TrRail_act!P26)</f>
        <v>255580.77836178217</v>
      </c>
      <c r="Q46" s="28">
        <f>IF(Q11=0,0,1000000*Q11/TrRail_act!Q26)</f>
        <v>253998.49632726662</v>
      </c>
      <c r="R46" s="28">
        <f>IF(R11=0,0,1000000*R11/TrRail_act!R26)</f>
        <v>248159.70285123447</v>
      </c>
      <c r="S46" s="28">
        <f>IF(S11=0,0,1000000*S11/TrRail_act!S26)</f>
        <v>251512.93994957602</v>
      </c>
      <c r="T46" s="28">
        <f>IF(T11=0,0,1000000*T11/TrRail_act!T26)</f>
        <v>245105.13663688896</v>
      </c>
      <c r="U46" s="28">
        <f>IF(U11=0,0,1000000*U11/TrRail_act!U26)</f>
        <v>241678.060582531</v>
      </c>
      <c r="V46" s="28">
        <f>IF(V11=0,0,1000000*V11/TrRail_act!V26)</f>
        <v>232085.96174797806</v>
      </c>
      <c r="W46" s="28">
        <f>IF(W11=0,0,1000000*W11/TrRail_act!W26)</f>
        <v>233179.84997208652</v>
      </c>
      <c r="X46" s="28">
        <f>IF(X11=0,0,1000000*X11/TrRail_act!X26)</f>
        <v>237951.62303394423</v>
      </c>
      <c r="Y46" s="28">
        <f>IF(Y11=0,0,1000000*Y11/TrRail_act!Y26)</f>
        <v>244150.55544896956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0</v>
      </c>
      <c r="E47" s="108">
        <f>IF(E12=0,0,1000000*E12/TrRail_act!E27)</f>
        <v>0</v>
      </c>
      <c r="F47" s="108">
        <f>IF(F12=0,0,1000000*F12/TrRail_act!F27)</f>
        <v>0</v>
      </c>
      <c r="G47" s="108">
        <f>IF(G12=0,0,1000000*G12/TrRail_act!G27)</f>
        <v>0</v>
      </c>
      <c r="H47" s="108">
        <f>IF(H12=0,0,1000000*H12/TrRail_act!H27)</f>
        <v>0</v>
      </c>
      <c r="I47" s="108">
        <f>IF(I12=0,0,1000000*I12/TrRail_act!I27)</f>
        <v>0</v>
      </c>
      <c r="J47" s="108">
        <f>IF(J12=0,0,1000000*J12/TrRail_act!J27)</f>
        <v>0</v>
      </c>
      <c r="K47" s="108">
        <f>IF(K12=0,0,1000000*K12/TrRail_act!K27)</f>
        <v>0</v>
      </c>
      <c r="L47" s="108">
        <f>IF(L12=0,0,1000000*L12/TrRail_act!L27)</f>
        <v>0</v>
      </c>
      <c r="M47" s="108">
        <f>IF(M12=0,0,1000000*M12/TrRail_act!M27)</f>
        <v>0</v>
      </c>
      <c r="N47" s="108">
        <f>IF(N12=0,0,1000000*N12/TrRail_act!N27)</f>
        <v>0</v>
      </c>
      <c r="O47" s="108">
        <f>IF(O12=0,0,1000000*O12/TrRail_act!O27)</f>
        <v>0</v>
      </c>
      <c r="P47" s="108">
        <f>IF(P12=0,0,1000000*P12/TrRail_act!P27)</f>
        <v>0</v>
      </c>
      <c r="Q47" s="108">
        <f>IF(Q12=0,0,1000000*Q12/TrRail_act!Q27)</f>
        <v>0</v>
      </c>
      <c r="R47" s="108">
        <f>IF(R12=0,0,1000000*R12/TrRail_act!R27)</f>
        <v>0</v>
      </c>
      <c r="S47" s="108">
        <f>IF(S12=0,0,1000000*S12/TrRail_act!S27)</f>
        <v>0</v>
      </c>
      <c r="T47" s="108">
        <f>IF(T12=0,0,1000000*T12/TrRail_act!T27)</f>
        <v>0</v>
      </c>
      <c r="U47" s="108">
        <f>IF(U12=0,0,1000000*U12/TrRail_act!U27)</f>
        <v>0</v>
      </c>
      <c r="V47" s="108">
        <f>IF(V12=0,0,1000000*V12/TrRail_act!V27)</f>
        <v>0</v>
      </c>
      <c r="W47" s="108">
        <f>IF(W12=0,0,1000000*W12/TrRail_act!W27)</f>
        <v>0</v>
      </c>
      <c r="X47" s="108">
        <f>IF(X12=0,0,1000000*X12/TrRail_act!X27)</f>
        <v>0</v>
      </c>
      <c r="Y47" s="108">
        <f>IF(Y12=0,0,1000000*Y12/TrRail_act!Y27)</f>
        <v>0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323119.39017445763</v>
      </c>
      <c r="C48" s="110">
        <f>IF(C13=0,0,1000000*C13/TrRail_act!C28)</f>
        <v>317449.60996372317</v>
      </c>
      <c r="D48" s="110">
        <f>IF(D13=0,0,1000000*D13/TrRail_act!D28)</f>
        <v>319316.81757224759</v>
      </c>
      <c r="E48" s="110">
        <f>IF(E13=0,0,1000000*E13/TrRail_act!E28)</f>
        <v>305237.40834517532</v>
      </c>
      <c r="F48" s="110">
        <f>IF(F13=0,0,1000000*F13/TrRail_act!F28)</f>
        <v>312775.00912342698</v>
      </c>
      <c r="G48" s="110">
        <f>IF(G13=0,0,1000000*G13/TrRail_act!G28)</f>
        <v>221735.31918133487</v>
      </c>
      <c r="H48" s="110">
        <f>IF(H13=0,0,1000000*H13/TrRail_act!H28)</f>
        <v>235385.91048724743</v>
      </c>
      <c r="I48" s="110">
        <f>IF(I13=0,0,1000000*I13/TrRail_act!I28)</f>
        <v>256175.10309024632</v>
      </c>
      <c r="J48" s="110">
        <f>IF(J13=0,0,1000000*J13/TrRail_act!J28)</f>
        <v>284879.62233589229</v>
      </c>
      <c r="K48" s="110">
        <f>IF(K13=0,0,1000000*K13/TrRail_act!K28)</f>
        <v>278408.9585463368</v>
      </c>
      <c r="L48" s="110">
        <f>IF(L13=0,0,1000000*L13/TrRail_act!L28)</f>
        <v>276361.58419677056</v>
      </c>
      <c r="M48" s="110">
        <f>IF(M13=0,0,1000000*M13/TrRail_act!M28)</f>
        <v>274746.80212539964</v>
      </c>
      <c r="N48" s="110">
        <f>IF(N13=0,0,1000000*N13/TrRail_act!N28)</f>
        <v>268570.91969600617</v>
      </c>
      <c r="O48" s="110">
        <f>IF(O13=0,0,1000000*O13/TrRail_act!O28)</f>
        <v>260547.00392541816</v>
      </c>
      <c r="P48" s="110">
        <f>IF(P13=0,0,1000000*P13/TrRail_act!P28)</f>
        <v>255580.77836178217</v>
      </c>
      <c r="Q48" s="110">
        <f>IF(Q13=0,0,1000000*Q13/TrRail_act!Q28)</f>
        <v>253998.49632726662</v>
      </c>
      <c r="R48" s="110">
        <f>IF(R13=0,0,1000000*R13/TrRail_act!R28)</f>
        <v>248159.70285123447</v>
      </c>
      <c r="S48" s="110">
        <f>IF(S13=0,0,1000000*S13/TrRail_act!S28)</f>
        <v>251512.93994957602</v>
      </c>
      <c r="T48" s="110">
        <f>IF(T13=0,0,1000000*T13/TrRail_act!T28)</f>
        <v>245105.13663688896</v>
      </c>
      <c r="U48" s="110">
        <f>IF(U13=0,0,1000000*U13/TrRail_act!U28)</f>
        <v>241678.060582531</v>
      </c>
      <c r="V48" s="110">
        <f>IF(V13=0,0,1000000*V13/TrRail_act!V28)</f>
        <v>232085.96174797806</v>
      </c>
      <c r="W48" s="110">
        <f>IF(W13=0,0,1000000*W13/TrRail_act!W28)</f>
        <v>233179.84997208652</v>
      </c>
      <c r="X48" s="110">
        <f>IF(X13=0,0,1000000*X13/TrRail_act!X28)</f>
        <v>237951.62303394423</v>
      </c>
      <c r="Y48" s="110">
        <f>IF(Y13=0,0,1000000*Y13/TrRail_act!Y28)</f>
        <v>244150.55544896956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331023.41031331103</v>
      </c>
      <c r="C49" s="84">
        <f>IF(C14=0,0,1000000*C14/TrRail_act!C29)</f>
        <v>325837.86798856489</v>
      </c>
      <c r="D49" s="84">
        <f>IF(D14=0,0,1000000*D14/TrRail_act!D29)</f>
        <v>327440.92917045101</v>
      </c>
      <c r="E49" s="84">
        <f>IF(E14=0,0,1000000*E14/TrRail_act!E29)</f>
        <v>314385.029610842</v>
      </c>
      <c r="F49" s="84">
        <f>IF(F14=0,0,1000000*F14/TrRail_act!F29)</f>
        <v>324910.07560547924</v>
      </c>
      <c r="G49" s="84">
        <f>IF(G14=0,0,1000000*G14/TrRail_act!G29)</f>
        <v>220431.73018839257</v>
      </c>
      <c r="H49" s="84">
        <f>IF(H14=0,0,1000000*H14/TrRail_act!H29)</f>
        <v>236582.26978783371</v>
      </c>
      <c r="I49" s="84">
        <f>IF(I14=0,0,1000000*I14/TrRail_act!I29)</f>
        <v>263536.26981726813</v>
      </c>
      <c r="J49" s="84">
        <f>IF(J14=0,0,1000000*J14/TrRail_act!J29)</f>
        <v>311009.46804096986</v>
      </c>
      <c r="K49" s="84">
        <f>IF(K14=0,0,1000000*K14/TrRail_act!K29)</f>
        <v>309181.53233572433</v>
      </c>
      <c r="L49" s="84">
        <f>IF(L14=0,0,1000000*L14/TrRail_act!L29)</f>
        <v>303748.9858249086</v>
      </c>
      <c r="M49" s="84">
        <f>IF(M14=0,0,1000000*M14/TrRail_act!M29)</f>
        <v>300118.46255480475</v>
      </c>
      <c r="N49" s="84">
        <f>IF(N14=0,0,1000000*N14/TrRail_act!N29)</f>
        <v>294177.11189629766</v>
      </c>
      <c r="O49" s="84">
        <f>IF(O14=0,0,1000000*O14/TrRail_act!O29)</f>
        <v>284943.61574215128</v>
      </c>
      <c r="P49" s="84">
        <f>IF(P14=0,0,1000000*P14/TrRail_act!P29)</f>
        <v>283662.35240947403</v>
      </c>
      <c r="Q49" s="84">
        <f>IF(Q14=0,0,1000000*Q14/TrRail_act!Q29)</f>
        <v>282176.68941578723</v>
      </c>
      <c r="R49" s="84">
        <f>IF(R14=0,0,1000000*R14/TrRail_act!R29)</f>
        <v>279662.19946251001</v>
      </c>
      <c r="S49" s="84">
        <f>IF(S14=0,0,1000000*S14/TrRail_act!S29)</f>
        <v>277791.04978520807</v>
      </c>
      <c r="T49" s="84">
        <f>IF(T14=0,0,1000000*T14/TrRail_act!T29)</f>
        <v>276395.88758879277</v>
      </c>
      <c r="U49" s="84">
        <f>IF(U14=0,0,1000000*U14/TrRail_act!U29)</f>
        <v>275354.14285325143</v>
      </c>
      <c r="V49" s="84">
        <f>IF(V14=0,0,1000000*V14/TrRail_act!V29)</f>
        <v>274575.39384818933</v>
      </c>
      <c r="W49" s="84">
        <f>IF(W14=0,0,1000000*W14/TrRail_act!W29)</f>
        <v>273992.7872195302</v>
      </c>
      <c r="X49" s="84">
        <f>IF(X14=0,0,1000000*X14/TrRail_act!X29)</f>
        <v>273556.64665433753</v>
      </c>
      <c r="Y49" s="84">
        <f>IF(Y14=0,0,1000000*Y14/TrRail_act!Y29)</f>
        <v>273229.9966971071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233878.66642677085</v>
      </c>
      <c r="C50" s="84">
        <f>IF(C15=0,0,1000000*C15/TrRail_act!C30)</f>
        <v>222741.57745630445</v>
      </c>
      <c r="D50" s="84">
        <f>IF(D15=0,0,1000000*D15/TrRail_act!D30)</f>
        <v>230348.5929755104</v>
      </c>
      <c r="E50" s="84">
        <f>IF(E15=0,0,1000000*E15/TrRail_act!E30)</f>
        <v>229742.881937581</v>
      </c>
      <c r="F50" s="84">
        <f>IF(F15=0,0,1000000*F15/TrRail_act!F30)</f>
        <v>228122.62812972703</v>
      </c>
      <c r="G50" s="84">
        <f>IF(G15=0,0,1000000*G15/TrRail_act!G30)</f>
        <v>229624.40381618604</v>
      </c>
      <c r="H50" s="84">
        <f>IF(H15=0,0,1000000*H15/TrRail_act!H30)</f>
        <v>229314.38069545044</v>
      </c>
      <c r="I50" s="84">
        <f>IF(I15=0,0,1000000*I15/TrRail_act!I30)</f>
        <v>226339.61142443857</v>
      </c>
      <c r="J50" s="84">
        <f>IF(J15=0,0,1000000*J15/TrRail_act!J30)</f>
        <v>214478.99731952403</v>
      </c>
      <c r="K50" s="84">
        <f>IF(K15=0,0,1000000*K15/TrRail_act!K30)</f>
        <v>212755.13294300597</v>
      </c>
      <c r="L50" s="84">
        <f>IF(L15=0,0,1000000*L15/TrRail_act!L30)</f>
        <v>211923.95504361892</v>
      </c>
      <c r="M50" s="84">
        <f>IF(M15=0,0,1000000*M15/TrRail_act!M30)</f>
        <v>204447.10354707894</v>
      </c>
      <c r="N50" s="84">
        <f>IF(N15=0,0,1000000*N15/TrRail_act!N30)</f>
        <v>203523.82316769418</v>
      </c>
      <c r="O50" s="84">
        <f>IF(O15=0,0,1000000*O15/TrRail_act!O30)</f>
        <v>195868.26441758458</v>
      </c>
      <c r="P50" s="84">
        <f>IF(P15=0,0,1000000*P15/TrRail_act!P30)</f>
        <v>195195.4598041428</v>
      </c>
      <c r="Q50" s="84">
        <f>IF(Q15=0,0,1000000*Q15/TrRail_act!Q30)</f>
        <v>192971.30568278005</v>
      </c>
      <c r="R50" s="84">
        <f>IF(R15=0,0,1000000*R15/TrRail_act!R30)</f>
        <v>191319.83521111123</v>
      </c>
      <c r="S50" s="84">
        <f>IF(S15=0,0,1000000*S15/TrRail_act!S30)</f>
        <v>190090.52117929736</v>
      </c>
      <c r="T50" s="84">
        <f>IF(T15=0,0,1000000*T15/TrRail_act!T30)</f>
        <v>189173.73588176927</v>
      </c>
      <c r="U50" s="84">
        <f>IF(U15=0,0,1000000*U15/TrRail_act!U30)</f>
        <v>176976.48914629806</v>
      </c>
      <c r="V50" s="84">
        <f>IF(V15=0,0,1000000*V15/TrRail_act!V30)</f>
        <v>163886.27245677938</v>
      </c>
      <c r="W50" s="84">
        <f>IF(W15=0,0,1000000*W15/TrRail_act!W30)</f>
        <v>153609.80482010156</v>
      </c>
      <c r="X50" s="84">
        <f>IF(X15=0,0,1000000*X15/TrRail_act!X30)</f>
        <v>168914.43908401154</v>
      </c>
      <c r="Y50" s="84">
        <f>IF(Y15=0,0,1000000*Y15/TrRail_act!Y30)</f>
        <v>182729.9432333411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X51" s="113">
        <f>IF(X16=0,0,1000000*X16/TrRail_act!X31)</f>
        <v>0</v>
      </c>
      <c r="Y51" s="113">
        <f>IF(Y16=0,0,1000000*Y16/TrRail_act!Y31)</f>
        <v>0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936835.08017581713</v>
      </c>
      <c r="C52" s="28">
        <f>IF(C17=0,0,1000000*C17/TrRail_act!C32)</f>
        <v>921935.33122730814</v>
      </c>
      <c r="D52" s="28">
        <f>IF(D17=0,0,1000000*D17/TrRail_act!D32)</f>
        <v>932676.48196957668</v>
      </c>
      <c r="E52" s="28">
        <f>IF(E17=0,0,1000000*E17/TrRail_act!E32)</f>
        <v>925713.99535589735</v>
      </c>
      <c r="F52" s="28">
        <f>IF(F17=0,0,1000000*F17/TrRail_act!F32)</f>
        <v>919573.62723938678</v>
      </c>
      <c r="G52" s="28">
        <f>IF(G17=0,0,1000000*G17/TrRail_act!G32)</f>
        <v>920678.20892628399</v>
      </c>
      <c r="H52" s="28">
        <f>IF(H17=0,0,1000000*H17/TrRail_act!H32)</f>
        <v>918296.75243885024</v>
      </c>
      <c r="I52" s="28">
        <f>IF(I17=0,0,1000000*I17/TrRail_act!I32)</f>
        <v>910238.97548055265</v>
      </c>
      <c r="J52" s="28">
        <f>IF(J17=0,0,1000000*J17/TrRail_act!J32)</f>
        <v>861741.16256631911</v>
      </c>
      <c r="K52" s="28">
        <f>IF(K17=0,0,1000000*K17/TrRail_act!K32)</f>
        <v>713422.15438791853</v>
      </c>
      <c r="L52" s="28">
        <f>IF(L17=0,0,1000000*L17/TrRail_act!L32)</f>
        <v>821137.82600361458</v>
      </c>
      <c r="M52" s="28">
        <f>IF(M17=0,0,1000000*M17/TrRail_act!M32)</f>
        <v>811736.22039915866</v>
      </c>
      <c r="N52" s="28">
        <f>IF(N17=0,0,1000000*N17/TrRail_act!N32)</f>
        <v>809259.3777549715</v>
      </c>
      <c r="O52" s="28">
        <f>IF(O17=0,0,1000000*O17/TrRail_act!O32)</f>
        <v>796118.70763544238</v>
      </c>
      <c r="P52" s="28">
        <f>IF(P17=0,0,1000000*P17/TrRail_act!P32)</f>
        <v>785102.56996982452</v>
      </c>
      <c r="Q52" s="28">
        <f>IF(Q17=0,0,1000000*Q17/TrRail_act!Q32)</f>
        <v>776543.50247506343</v>
      </c>
      <c r="R52" s="28">
        <f>IF(R17=0,0,1000000*R17/TrRail_act!R32)</f>
        <v>774036.40208092472</v>
      </c>
      <c r="S52" s="28">
        <f>IF(S17=0,0,1000000*S17/TrRail_act!S32)</f>
        <v>772161.39909822005</v>
      </c>
      <c r="T52" s="28">
        <f>IF(T17=0,0,1000000*T17/TrRail_act!T32)</f>
        <v>770758.13293913426</v>
      </c>
      <c r="U52" s="28">
        <f>IF(U17=0,0,1000000*U17/TrRail_act!U32)</f>
        <v>758579.56124804099</v>
      </c>
      <c r="V52" s="28">
        <f>IF(V17=0,0,1000000*V17/TrRail_act!V32)</f>
        <v>768920.20515255595</v>
      </c>
      <c r="W52" s="28">
        <f>IF(W17=0,0,1000000*W17/TrRail_act!W32)</f>
        <v>768330.37364787515</v>
      </c>
      <c r="X52" s="28">
        <f>IF(X17=0,0,1000000*X17/TrRail_act!X32)</f>
        <v>433727.60300445126</v>
      </c>
      <c r="Y52" s="28">
        <f>IF(Y17=0,0,1000000*Y17/TrRail_act!Y32)</f>
        <v>495318.31483427132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936835.08017581713</v>
      </c>
      <c r="C53" s="84">
        <f>IF(C18=0,0,1000000*C18/TrRail_act!C33)</f>
        <v>921935.33122730814</v>
      </c>
      <c r="D53" s="84">
        <f>IF(D18=0,0,1000000*D18/TrRail_act!D33)</f>
        <v>932676.48196957668</v>
      </c>
      <c r="E53" s="84">
        <f>IF(E18=0,0,1000000*E18/TrRail_act!E33)</f>
        <v>925713.99535589735</v>
      </c>
      <c r="F53" s="84">
        <f>IF(F18=0,0,1000000*F18/TrRail_act!F33)</f>
        <v>919573.62723938678</v>
      </c>
      <c r="G53" s="84">
        <f>IF(G18=0,0,1000000*G18/TrRail_act!G33)</f>
        <v>920678.20892628399</v>
      </c>
      <c r="H53" s="84">
        <f>IF(H18=0,0,1000000*H18/TrRail_act!H33)</f>
        <v>918296.75243885024</v>
      </c>
      <c r="I53" s="84">
        <f>IF(I18=0,0,1000000*I18/TrRail_act!I33)</f>
        <v>910238.97548055265</v>
      </c>
      <c r="J53" s="84">
        <f>IF(J18=0,0,1000000*J18/TrRail_act!J33)</f>
        <v>861741.16256631911</v>
      </c>
      <c r="K53" s="84">
        <f>IF(K18=0,0,1000000*K18/TrRail_act!K33)</f>
        <v>713422.15438791853</v>
      </c>
      <c r="L53" s="84">
        <f>IF(L18=0,0,1000000*L18/TrRail_act!L33)</f>
        <v>821137.82600361458</v>
      </c>
      <c r="M53" s="84">
        <f>IF(M18=0,0,1000000*M18/TrRail_act!M33)</f>
        <v>811736.22039915866</v>
      </c>
      <c r="N53" s="84">
        <f>IF(N18=0,0,1000000*N18/TrRail_act!N33)</f>
        <v>809259.3777549715</v>
      </c>
      <c r="O53" s="84">
        <f>IF(O18=0,0,1000000*O18/TrRail_act!O33)</f>
        <v>796118.70763544238</v>
      </c>
      <c r="P53" s="84">
        <f>IF(P18=0,0,1000000*P18/TrRail_act!P33)</f>
        <v>785102.56996982452</v>
      </c>
      <c r="Q53" s="84">
        <f>IF(Q18=0,0,1000000*Q18/TrRail_act!Q33)</f>
        <v>776543.50247506343</v>
      </c>
      <c r="R53" s="84">
        <f>IF(R18=0,0,1000000*R18/TrRail_act!R33)</f>
        <v>774036.40208092472</v>
      </c>
      <c r="S53" s="84">
        <f>IF(S18=0,0,1000000*S18/TrRail_act!S33)</f>
        <v>772161.39909822005</v>
      </c>
      <c r="T53" s="84">
        <f>IF(T18=0,0,1000000*T18/TrRail_act!T33)</f>
        <v>770758.13293913426</v>
      </c>
      <c r="U53" s="84">
        <f>IF(U18=0,0,1000000*U18/TrRail_act!U33)</f>
        <v>758579.56124804099</v>
      </c>
      <c r="V53" s="84">
        <f>IF(V18=0,0,1000000*V18/TrRail_act!V33)</f>
        <v>768920.20515255595</v>
      </c>
      <c r="W53" s="84">
        <f>IF(W18=0,0,1000000*W18/TrRail_act!W33)</f>
        <v>768330.37364787515</v>
      </c>
      <c r="X53" s="84">
        <f>IF(X18=0,0,1000000*X18/TrRail_act!X33)</f>
        <v>433727.60300445126</v>
      </c>
      <c r="Y53" s="84">
        <f>IF(Y18=0,0,1000000*Y18/TrRail_act!Y33)</f>
        <v>495318.31483427132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0</v>
      </c>
      <c r="C54" s="86">
        <f>IF(C19=0,0,1000000*C19/TrRail_act!C34)</f>
        <v>0</v>
      </c>
      <c r="D54" s="86">
        <f>IF(D19=0,0,1000000*D19/TrRail_act!D34)</f>
        <v>0</v>
      </c>
      <c r="E54" s="86">
        <f>IF(E19=0,0,1000000*E19/TrRail_act!E34)</f>
        <v>0</v>
      </c>
      <c r="F54" s="86">
        <f>IF(F19=0,0,1000000*F19/TrRail_act!F34)</f>
        <v>0</v>
      </c>
      <c r="G54" s="86">
        <f>IF(G19=0,0,1000000*G19/TrRail_act!G34)</f>
        <v>0</v>
      </c>
      <c r="H54" s="86">
        <f>IF(H19=0,0,1000000*H19/TrRail_act!H34)</f>
        <v>0</v>
      </c>
      <c r="I54" s="86">
        <f>IF(I19=0,0,1000000*I19/TrRail_act!I34)</f>
        <v>0</v>
      </c>
      <c r="J54" s="86">
        <f>IF(J19=0,0,1000000*J19/TrRail_act!J34)</f>
        <v>0</v>
      </c>
      <c r="K54" s="86">
        <f>IF(K19=0,0,1000000*K19/TrRail_act!K34)</f>
        <v>0</v>
      </c>
      <c r="L54" s="86">
        <f>IF(L19=0,0,1000000*L19/TrRail_act!L34)</f>
        <v>0</v>
      </c>
      <c r="M54" s="86">
        <f>IF(M19=0,0,1000000*M19/TrRail_act!M34)</f>
        <v>0</v>
      </c>
      <c r="N54" s="86">
        <f>IF(N19=0,0,1000000*N19/TrRail_act!N34)</f>
        <v>0</v>
      </c>
      <c r="O54" s="86">
        <f>IF(O19=0,0,1000000*O19/TrRail_act!O34)</f>
        <v>0</v>
      </c>
      <c r="P54" s="86">
        <f>IF(P19=0,0,1000000*P19/TrRail_act!P34)</f>
        <v>0</v>
      </c>
      <c r="Q54" s="86">
        <f>IF(Q19=0,0,1000000*Q19/TrRail_act!Q34)</f>
        <v>0</v>
      </c>
      <c r="R54" s="86">
        <f>IF(R19=0,0,1000000*R19/TrRail_act!R34)</f>
        <v>0</v>
      </c>
      <c r="S54" s="86">
        <f>IF(S19=0,0,1000000*S19/TrRail_act!S34)</f>
        <v>0</v>
      </c>
      <c r="T54" s="86">
        <f>IF(T19=0,0,1000000*T19/TrRail_act!T34)</f>
        <v>0</v>
      </c>
      <c r="U54" s="86">
        <f>IF(U19=0,0,1000000*U19/TrRail_act!U34)</f>
        <v>0</v>
      </c>
      <c r="V54" s="86">
        <f>IF(V19=0,0,1000000*V19/TrRail_act!V34)</f>
        <v>0</v>
      </c>
      <c r="W54" s="86">
        <f>IF(W19=0,0,1000000*W19/TrRail_act!W34)</f>
        <v>0</v>
      </c>
      <c r="X54" s="86">
        <f>IF(X19=0,0,1000000*X19/TrRail_act!X34)</f>
        <v>0</v>
      </c>
      <c r="Y54" s="86">
        <f>IF(Y19=0,0,1000000*Y19/TrRail_act!Y34)</f>
        <v>0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0.14169881350791974</v>
      </c>
      <c r="C57" s="31">
        <f t="shared" ref="C57:V57" si="18">IF(C11=0,0,C11/C$10)</f>
        <v>0.14149575639401232</v>
      </c>
      <c r="D57" s="31">
        <f t="shared" si="18"/>
        <v>0.12577796602290964</v>
      </c>
      <c r="E57" s="31">
        <f t="shared" si="18"/>
        <v>9.8405837233596763E-2</v>
      </c>
      <c r="F57" s="31">
        <f t="shared" si="18"/>
        <v>0.10130197419739949</v>
      </c>
      <c r="G57" s="31">
        <f t="shared" si="18"/>
        <v>6.2224334408859827E-2</v>
      </c>
      <c r="H57" s="31">
        <f t="shared" si="18"/>
        <v>5.9400880878245521E-2</v>
      </c>
      <c r="I57" s="31">
        <f t="shared" si="18"/>
        <v>5.2626438086048229E-2</v>
      </c>
      <c r="J57" s="31">
        <f t="shared" si="18"/>
        <v>5.5547497314949346E-2</v>
      </c>
      <c r="K57" s="31">
        <f t="shared" si="18"/>
        <v>6.6236121044964708E-2</v>
      </c>
      <c r="L57" s="31">
        <f t="shared" si="18"/>
        <v>6.7090458504636324E-2</v>
      </c>
      <c r="M57" s="31">
        <f t="shared" si="18"/>
        <v>6.8497097822512773E-2</v>
      </c>
      <c r="N57" s="31">
        <f t="shared" si="18"/>
        <v>7.3429720842410118E-2</v>
      </c>
      <c r="O57" s="31">
        <f t="shared" si="18"/>
        <v>7.5802900320673133E-2</v>
      </c>
      <c r="P57" s="31">
        <f t="shared" si="18"/>
        <v>6.7129874087263161E-2</v>
      </c>
      <c r="Q57" s="31">
        <f t="shared" si="18"/>
        <v>7.3123416662596252E-2</v>
      </c>
      <c r="R57" s="31">
        <f t="shared" si="18"/>
        <v>7.0867417232817143E-2</v>
      </c>
      <c r="S57" s="31">
        <f t="shared" si="18"/>
        <v>7.8055599749555241E-2</v>
      </c>
      <c r="T57" s="31">
        <f t="shared" si="18"/>
        <v>8.0049854110278276E-2</v>
      </c>
      <c r="U57" s="31">
        <f t="shared" si="18"/>
        <v>8.8044940701238666E-2</v>
      </c>
      <c r="V57" s="31">
        <f t="shared" si="18"/>
        <v>7.5199562909363374E-2</v>
      </c>
      <c r="W57" s="31">
        <f t="shared" ref="W57:Y57" si="19">IF(W11=0,0,W11/W$10)</f>
        <v>8.4401576196729194E-2</v>
      </c>
      <c r="X57" s="31">
        <f t="shared" si="19"/>
        <v>0.15079130172448746</v>
      </c>
      <c r="Y57" s="31">
        <f t="shared" si="19"/>
        <v>0.1544544924974886</v>
      </c>
      <c r="DA57" s="173"/>
    </row>
    <row r="58" spans="1:105" ht="11.45" customHeight="1" x14ac:dyDescent="0.25">
      <c r="A58" s="107" t="s">
        <v>23</v>
      </c>
      <c r="B58" s="123">
        <f t="shared" si="15"/>
        <v>0</v>
      </c>
      <c r="C58" s="123">
        <f t="shared" ref="C58:V58" si="20">IF(C12=0,0,C12/C$10)</f>
        <v>0</v>
      </c>
      <c r="D58" s="123">
        <f t="shared" si="20"/>
        <v>0</v>
      </c>
      <c r="E58" s="123">
        <f t="shared" si="20"/>
        <v>0</v>
      </c>
      <c r="F58" s="123">
        <f t="shared" si="20"/>
        <v>0</v>
      </c>
      <c r="G58" s="123">
        <f t="shared" si="20"/>
        <v>0</v>
      </c>
      <c r="H58" s="123">
        <f t="shared" si="20"/>
        <v>0</v>
      </c>
      <c r="I58" s="123">
        <f t="shared" si="20"/>
        <v>0</v>
      </c>
      <c r="J58" s="123">
        <f t="shared" si="20"/>
        <v>0</v>
      </c>
      <c r="K58" s="123">
        <f t="shared" si="20"/>
        <v>0</v>
      </c>
      <c r="L58" s="123">
        <f t="shared" si="20"/>
        <v>0</v>
      </c>
      <c r="M58" s="123">
        <f t="shared" si="20"/>
        <v>0</v>
      </c>
      <c r="N58" s="123">
        <f t="shared" si="20"/>
        <v>0</v>
      </c>
      <c r="O58" s="123">
        <f t="shared" si="20"/>
        <v>0</v>
      </c>
      <c r="P58" s="123">
        <f t="shared" si="20"/>
        <v>0</v>
      </c>
      <c r="Q58" s="123">
        <f t="shared" si="20"/>
        <v>0</v>
      </c>
      <c r="R58" s="123">
        <f t="shared" si="20"/>
        <v>0</v>
      </c>
      <c r="S58" s="123">
        <f t="shared" si="20"/>
        <v>0</v>
      </c>
      <c r="T58" s="123">
        <f t="shared" si="20"/>
        <v>0</v>
      </c>
      <c r="U58" s="123">
        <f t="shared" si="20"/>
        <v>0</v>
      </c>
      <c r="V58" s="123">
        <f t="shared" si="20"/>
        <v>0</v>
      </c>
      <c r="W58" s="123">
        <f t="shared" ref="W58:Y58" si="21">IF(W12=0,0,W12/W$10)</f>
        <v>0</v>
      </c>
      <c r="X58" s="123">
        <f t="shared" si="21"/>
        <v>0</v>
      </c>
      <c r="Y58" s="123">
        <f t="shared" si="21"/>
        <v>0</v>
      </c>
      <c r="DA58" s="203"/>
    </row>
    <row r="59" spans="1:105" ht="11.45" customHeight="1" x14ac:dyDescent="0.25">
      <c r="A59" s="109" t="s">
        <v>24</v>
      </c>
      <c r="B59" s="124">
        <f t="shared" si="15"/>
        <v>0.14169881350791974</v>
      </c>
      <c r="C59" s="124">
        <f t="shared" ref="C59:V59" si="22">IF(C13=0,0,C13/C$10)</f>
        <v>0.14149575639401232</v>
      </c>
      <c r="D59" s="124">
        <f t="shared" si="22"/>
        <v>0.12577796602290964</v>
      </c>
      <c r="E59" s="124">
        <f t="shared" si="22"/>
        <v>9.8405837233596763E-2</v>
      </c>
      <c r="F59" s="124">
        <f t="shared" si="22"/>
        <v>0.10130197419739949</v>
      </c>
      <c r="G59" s="124">
        <f t="shared" si="22"/>
        <v>6.2224334408859827E-2</v>
      </c>
      <c r="H59" s="124">
        <f t="shared" si="22"/>
        <v>5.9400880878245521E-2</v>
      </c>
      <c r="I59" s="124">
        <f t="shared" si="22"/>
        <v>5.2626438086048229E-2</v>
      </c>
      <c r="J59" s="124">
        <f t="shared" si="22"/>
        <v>5.5547497314949346E-2</v>
      </c>
      <c r="K59" s="124">
        <f t="shared" si="22"/>
        <v>6.6236121044964708E-2</v>
      </c>
      <c r="L59" s="124">
        <f t="shared" si="22"/>
        <v>6.7090458504636324E-2</v>
      </c>
      <c r="M59" s="124">
        <f t="shared" si="22"/>
        <v>6.8497097822512773E-2</v>
      </c>
      <c r="N59" s="124">
        <f t="shared" si="22"/>
        <v>7.3429720842410118E-2</v>
      </c>
      <c r="O59" s="124">
        <f t="shared" si="22"/>
        <v>7.5802900320673133E-2</v>
      </c>
      <c r="P59" s="124">
        <f t="shared" si="22"/>
        <v>6.7129874087263161E-2</v>
      </c>
      <c r="Q59" s="124">
        <f t="shared" si="22"/>
        <v>7.3123416662596252E-2</v>
      </c>
      <c r="R59" s="124">
        <f t="shared" si="22"/>
        <v>7.0867417232817143E-2</v>
      </c>
      <c r="S59" s="124">
        <f t="shared" si="22"/>
        <v>7.8055599749555241E-2</v>
      </c>
      <c r="T59" s="124">
        <f t="shared" si="22"/>
        <v>8.0049854110278276E-2</v>
      </c>
      <c r="U59" s="124">
        <f t="shared" si="22"/>
        <v>8.8044940701238666E-2</v>
      </c>
      <c r="V59" s="124">
        <f t="shared" si="22"/>
        <v>7.5199562909363374E-2</v>
      </c>
      <c r="W59" s="124">
        <f t="shared" ref="W59:Y59" si="23">IF(W13=0,0,W13/W$10)</f>
        <v>8.4401576196729194E-2</v>
      </c>
      <c r="X59" s="124">
        <f t="shared" si="23"/>
        <v>0.15079130172448746</v>
      </c>
      <c r="Y59" s="124">
        <f t="shared" si="23"/>
        <v>0.1544544924974886</v>
      </c>
      <c r="DA59" s="176"/>
    </row>
    <row r="60" spans="1:105" ht="11.45" customHeight="1" x14ac:dyDescent="0.25">
      <c r="A60" s="111" t="s">
        <v>92</v>
      </c>
      <c r="B60" s="125">
        <f t="shared" si="15"/>
        <v>0.13335388668696732</v>
      </c>
      <c r="C60" s="125">
        <f t="shared" ref="C60:V60" si="24">IF(C14=0,0,C14/C$10)</f>
        <v>0.1334178530945927</v>
      </c>
      <c r="D60" s="125">
        <f t="shared" si="24"/>
        <v>0.11818591237239717</v>
      </c>
      <c r="E60" s="125">
        <f t="shared" si="24"/>
        <v>9.0401107581905421E-2</v>
      </c>
      <c r="F60" s="125">
        <f t="shared" si="24"/>
        <v>9.2038426258538905E-2</v>
      </c>
      <c r="G60" s="125">
        <f t="shared" si="24"/>
        <v>5.308652133881734E-2</v>
      </c>
      <c r="H60" s="125">
        <f t="shared" si="24"/>
        <v>4.9875177553894132E-2</v>
      </c>
      <c r="I60" s="125">
        <f t="shared" si="24"/>
        <v>4.3424689753865112E-2</v>
      </c>
      <c r="J60" s="125">
        <f t="shared" si="24"/>
        <v>4.4227135606752045E-2</v>
      </c>
      <c r="K60" s="125">
        <f t="shared" si="24"/>
        <v>5.0082882614354611E-2</v>
      </c>
      <c r="L60" s="125">
        <f t="shared" si="24"/>
        <v>5.1745953441647126E-2</v>
      </c>
      <c r="M60" s="125">
        <f t="shared" si="24"/>
        <v>5.4979876206312644E-2</v>
      </c>
      <c r="N60" s="125">
        <f t="shared" si="24"/>
        <v>5.7711999683356788E-2</v>
      </c>
      <c r="O60" s="125">
        <f t="shared" si="24"/>
        <v>6.0195312535795638E-2</v>
      </c>
      <c r="P60" s="125">
        <f t="shared" si="24"/>
        <v>5.0855734730328374E-2</v>
      </c>
      <c r="Q60" s="125">
        <f t="shared" si="24"/>
        <v>5.5574910997619555E-2</v>
      </c>
      <c r="R60" s="125">
        <f t="shared" si="24"/>
        <v>5.1384620542294882E-2</v>
      </c>
      <c r="S60" s="125">
        <f t="shared" si="24"/>
        <v>6.0379106765763219E-2</v>
      </c>
      <c r="T60" s="125">
        <f t="shared" si="24"/>
        <v>5.7885342697557712E-2</v>
      </c>
      <c r="U60" s="125">
        <f t="shared" si="24"/>
        <v>6.5974660099691107E-2</v>
      </c>
      <c r="V60" s="125">
        <f t="shared" si="24"/>
        <v>5.4815769546265658E-2</v>
      </c>
      <c r="W60" s="125">
        <f t="shared" ref="W60:Y60" si="25">IF(W14=0,0,W14/W$10)</f>
        <v>6.5551581649206964E-2</v>
      </c>
      <c r="X60" s="125">
        <f t="shared" si="25"/>
        <v>0.11436972193846423</v>
      </c>
      <c r="Y60" s="125">
        <f t="shared" si="25"/>
        <v>0.11731039854806603</v>
      </c>
      <c r="DA60" s="171"/>
    </row>
    <row r="61" spans="1:105" ht="11.45" customHeight="1" x14ac:dyDescent="0.25">
      <c r="A61" s="111" t="s">
        <v>93</v>
      </c>
      <c r="B61" s="125">
        <f t="shared" si="15"/>
        <v>8.344926820952444E-3</v>
      </c>
      <c r="C61" s="125">
        <f t="shared" ref="C61:V61" si="26">IF(C15=0,0,C15/C$10)</f>
        <v>8.0779032994196028E-3</v>
      </c>
      <c r="D61" s="125">
        <f t="shared" si="26"/>
        <v>7.5920536505124639E-3</v>
      </c>
      <c r="E61" s="125">
        <f t="shared" si="26"/>
        <v>8.0047296516913436E-3</v>
      </c>
      <c r="F61" s="125">
        <f t="shared" si="26"/>
        <v>9.2635479388605817E-3</v>
      </c>
      <c r="G61" s="125">
        <f t="shared" si="26"/>
        <v>9.1378130700424803E-3</v>
      </c>
      <c r="H61" s="125">
        <f t="shared" si="26"/>
        <v>9.5257033243513894E-3</v>
      </c>
      <c r="I61" s="125">
        <f t="shared" si="26"/>
        <v>9.2017483321831153E-3</v>
      </c>
      <c r="J61" s="125">
        <f t="shared" si="26"/>
        <v>1.13203617081973E-2</v>
      </c>
      <c r="K61" s="125">
        <f t="shared" si="26"/>
        <v>1.6153238430610097E-2</v>
      </c>
      <c r="L61" s="125">
        <f t="shared" si="26"/>
        <v>1.5344505062989192E-2</v>
      </c>
      <c r="M61" s="125">
        <f t="shared" si="26"/>
        <v>1.3517221616200118E-2</v>
      </c>
      <c r="N61" s="125">
        <f t="shared" si="26"/>
        <v>1.5717721159053337E-2</v>
      </c>
      <c r="O61" s="125">
        <f t="shared" si="26"/>
        <v>1.5607587784877495E-2</v>
      </c>
      <c r="P61" s="125">
        <f t="shared" si="26"/>
        <v>1.627413935693478E-2</v>
      </c>
      <c r="Q61" s="125">
        <f t="shared" si="26"/>
        <v>1.7548505664976687E-2</v>
      </c>
      <c r="R61" s="125">
        <f t="shared" si="26"/>
        <v>1.9482796690522261E-2</v>
      </c>
      <c r="S61" s="125">
        <f t="shared" si="26"/>
        <v>1.7676492983792019E-2</v>
      </c>
      <c r="T61" s="125">
        <f t="shared" si="26"/>
        <v>2.2164511412720574E-2</v>
      </c>
      <c r="U61" s="125">
        <f t="shared" si="26"/>
        <v>2.2070280601547559E-2</v>
      </c>
      <c r="V61" s="125">
        <f t="shared" si="26"/>
        <v>2.0383793363097719E-2</v>
      </c>
      <c r="W61" s="125">
        <f t="shared" ref="W61:Y61" si="27">IF(W15=0,0,W15/W$10)</f>
        <v>1.8849994547522234E-2</v>
      </c>
      <c r="X61" s="125">
        <f t="shared" si="27"/>
        <v>3.6421579786023207E-2</v>
      </c>
      <c r="Y61" s="125">
        <f t="shared" si="27"/>
        <v>3.7144093949422571E-2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0</v>
      </c>
      <c r="G62" s="126">
        <f t="shared" si="28"/>
        <v>0</v>
      </c>
      <c r="H62" s="126">
        <f t="shared" si="28"/>
        <v>0</v>
      </c>
      <c r="I62" s="126">
        <f t="shared" si="28"/>
        <v>0</v>
      </c>
      <c r="J62" s="126">
        <f t="shared" si="28"/>
        <v>0</v>
      </c>
      <c r="K62" s="126">
        <f t="shared" si="28"/>
        <v>0</v>
      </c>
      <c r="L62" s="126">
        <f t="shared" si="28"/>
        <v>0</v>
      </c>
      <c r="M62" s="126">
        <f t="shared" si="28"/>
        <v>0</v>
      </c>
      <c r="N62" s="126">
        <f t="shared" si="28"/>
        <v>0</v>
      </c>
      <c r="O62" s="126">
        <f t="shared" si="28"/>
        <v>0</v>
      </c>
      <c r="P62" s="126">
        <f t="shared" si="28"/>
        <v>0</v>
      </c>
      <c r="Q62" s="126">
        <f t="shared" si="28"/>
        <v>0</v>
      </c>
      <c r="R62" s="126">
        <f t="shared" si="28"/>
        <v>0</v>
      </c>
      <c r="S62" s="126">
        <f t="shared" si="28"/>
        <v>0</v>
      </c>
      <c r="T62" s="126">
        <f t="shared" si="28"/>
        <v>0</v>
      </c>
      <c r="U62" s="126">
        <f t="shared" si="28"/>
        <v>0</v>
      </c>
      <c r="V62" s="126">
        <f t="shared" si="28"/>
        <v>0</v>
      </c>
      <c r="W62" s="126">
        <f t="shared" ref="W62:Y62" si="29">IF(W16=0,0,W16/W$10)</f>
        <v>0</v>
      </c>
      <c r="X62" s="126">
        <f t="shared" si="29"/>
        <v>0</v>
      </c>
      <c r="Y62" s="126">
        <f t="shared" si="29"/>
        <v>0</v>
      </c>
      <c r="DA62" s="204"/>
    </row>
    <row r="63" spans="1:105" ht="11.45" customHeight="1" x14ac:dyDescent="0.25">
      <c r="A63" s="27" t="s">
        <v>34</v>
      </c>
      <c r="B63" s="31">
        <f t="shared" si="15"/>
        <v>0.85830118649208031</v>
      </c>
      <c r="C63" s="31">
        <f t="shared" ref="C63:V63" si="30">IF(C17=0,0,C17/C$10)</f>
        <v>0.85850424360598776</v>
      </c>
      <c r="D63" s="31">
        <f t="shared" si="30"/>
        <v>0.87422203397709031</v>
      </c>
      <c r="E63" s="31">
        <f t="shared" si="30"/>
        <v>0.90159416276640325</v>
      </c>
      <c r="F63" s="31">
        <f t="shared" si="30"/>
        <v>0.8986980258026005</v>
      </c>
      <c r="G63" s="31">
        <f t="shared" si="30"/>
        <v>0.93777566559114012</v>
      </c>
      <c r="H63" s="31">
        <f t="shared" si="30"/>
        <v>0.94059911912175442</v>
      </c>
      <c r="I63" s="31">
        <f t="shared" si="30"/>
        <v>0.94737356191395172</v>
      </c>
      <c r="J63" s="31">
        <f t="shared" si="30"/>
        <v>0.94445250268505065</v>
      </c>
      <c r="K63" s="31">
        <f t="shared" si="30"/>
        <v>0.93376387895503532</v>
      </c>
      <c r="L63" s="31">
        <f t="shared" si="30"/>
        <v>0.93290954149536365</v>
      </c>
      <c r="M63" s="31">
        <f t="shared" si="30"/>
        <v>0.93150290217748721</v>
      </c>
      <c r="N63" s="31">
        <f t="shared" si="30"/>
        <v>0.92657027915758983</v>
      </c>
      <c r="O63" s="31">
        <f t="shared" si="30"/>
        <v>0.92419709967932684</v>
      </c>
      <c r="P63" s="31">
        <f t="shared" si="30"/>
        <v>0.93287012591273688</v>
      </c>
      <c r="Q63" s="31">
        <f t="shared" si="30"/>
        <v>0.92687658333740375</v>
      </c>
      <c r="R63" s="31">
        <f t="shared" si="30"/>
        <v>0.9291325827671828</v>
      </c>
      <c r="S63" s="31">
        <f t="shared" si="30"/>
        <v>0.92194440025044477</v>
      </c>
      <c r="T63" s="31">
        <f t="shared" si="30"/>
        <v>0.91995014588972168</v>
      </c>
      <c r="U63" s="31">
        <f t="shared" si="30"/>
        <v>0.91195505929876131</v>
      </c>
      <c r="V63" s="31">
        <f t="shared" si="30"/>
        <v>0.92480043709063653</v>
      </c>
      <c r="W63" s="31">
        <f t="shared" ref="W63:Y63" si="31">IF(W17=0,0,W17/W$10)</f>
        <v>0.91559842380327083</v>
      </c>
      <c r="X63" s="31">
        <f t="shared" si="31"/>
        <v>0.84920869827551249</v>
      </c>
      <c r="Y63" s="31">
        <f t="shared" si="31"/>
        <v>0.84554550750251145</v>
      </c>
      <c r="DA63" s="173"/>
    </row>
    <row r="64" spans="1:105" ht="11.45" customHeight="1" x14ac:dyDescent="0.25">
      <c r="A64" s="83" t="s">
        <v>92</v>
      </c>
      <c r="B64" s="125">
        <f t="shared" si="15"/>
        <v>0.85830118649208031</v>
      </c>
      <c r="C64" s="125">
        <f t="shared" ref="C64:V64" si="32">IF(C18=0,0,C18/C$10)</f>
        <v>0.85850424360598776</v>
      </c>
      <c r="D64" s="125">
        <f t="shared" si="32"/>
        <v>0.87422203397709031</v>
      </c>
      <c r="E64" s="125">
        <f t="shared" si="32"/>
        <v>0.90159416276640325</v>
      </c>
      <c r="F64" s="125">
        <f t="shared" si="32"/>
        <v>0.8986980258026005</v>
      </c>
      <c r="G64" s="125">
        <f t="shared" si="32"/>
        <v>0.93777566559114012</v>
      </c>
      <c r="H64" s="125">
        <f t="shared" si="32"/>
        <v>0.94059911912175442</v>
      </c>
      <c r="I64" s="125">
        <f t="shared" si="32"/>
        <v>0.94737356191395172</v>
      </c>
      <c r="J64" s="125">
        <f t="shared" si="32"/>
        <v>0.94445250268505065</v>
      </c>
      <c r="K64" s="125">
        <f t="shared" si="32"/>
        <v>0.93376387895503532</v>
      </c>
      <c r="L64" s="125">
        <f t="shared" si="32"/>
        <v>0.93290954149536365</v>
      </c>
      <c r="M64" s="125">
        <f t="shared" si="32"/>
        <v>0.93150290217748721</v>
      </c>
      <c r="N64" s="125">
        <f t="shared" si="32"/>
        <v>0.92657027915758983</v>
      </c>
      <c r="O64" s="125">
        <f t="shared" si="32"/>
        <v>0.92419709967932684</v>
      </c>
      <c r="P64" s="125">
        <f t="shared" si="32"/>
        <v>0.93287012591273688</v>
      </c>
      <c r="Q64" s="125">
        <f t="shared" si="32"/>
        <v>0.92687658333740375</v>
      </c>
      <c r="R64" s="125">
        <f t="shared" si="32"/>
        <v>0.9291325827671828</v>
      </c>
      <c r="S64" s="125">
        <f t="shared" si="32"/>
        <v>0.92194440025044477</v>
      </c>
      <c r="T64" s="125">
        <f t="shared" si="32"/>
        <v>0.91995014588972168</v>
      </c>
      <c r="U64" s="125">
        <f t="shared" si="32"/>
        <v>0.91195505929876131</v>
      </c>
      <c r="V64" s="125">
        <f t="shared" si="32"/>
        <v>0.92480043709063653</v>
      </c>
      <c r="W64" s="125">
        <f t="shared" ref="W64:Y64" si="33">IF(W18=0,0,W18/W$10)</f>
        <v>0.91559842380327083</v>
      </c>
      <c r="X64" s="125">
        <f t="shared" si="33"/>
        <v>0.84920869827551249</v>
      </c>
      <c r="Y64" s="125">
        <f t="shared" si="33"/>
        <v>0.84554550750251145</v>
      </c>
      <c r="DA64" s="171"/>
    </row>
    <row r="65" spans="1:105" ht="11.45" customHeight="1" x14ac:dyDescent="0.25">
      <c r="A65" s="85" t="s">
        <v>93</v>
      </c>
      <c r="B65" s="127">
        <f t="shared" si="15"/>
        <v>0</v>
      </c>
      <c r="C65" s="127">
        <f t="shared" ref="C65:V65" si="34">IF(C19=0,0,C19/C$10)</f>
        <v>0</v>
      </c>
      <c r="D65" s="127">
        <f t="shared" si="34"/>
        <v>0</v>
      </c>
      <c r="E65" s="127">
        <f t="shared" si="34"/>
        <v>0</v>
      </c>
      <c r="F65" s="127">
        <f t="shared" si="34"/>
        <v>0</v>
      </c>
      <c r="G65" s="127">
        <f t="shared" si="34"/>
        <v>0</v>
      </c>
      <c r="H65" s="127">
        <f t="shared" si="34"/>
        <v>0</v>
      </c>
      <c r="I65" s="127">
        <f t="shared" si="34"/>
        <v>0</v>
      </c>
      <c r="J65" s="127">
        <f t="shared" si="34"/>
        <v>0</v>
      </c>
      <c r="K65" s="127">
        <f t="shared" si="34"/>
        <v>0</v>
      </c>
      <c r="L65" s="127">
        <f t="shared" si="34"/>
        <v>0</v>
      </c>
      <c r="M65" s="127">
        <f t="shared" si="34"/>
        <v>0</v>
      </c>
      <c r="N65" s="127">
        <f t="shared" si="34"/>
        <v>0</v>
      </c>
      <c r="O65" s="127">
        <f t="shared" si="34"/>
        <v>0</v>
      </c>
      <c r="P65" s="127">
        <f t="shared" si="34"/>
        <v>0</v>
      </c>
      <c r="Q65" s="127">
        <f t="shared" si="34"/>
        <v>0</v>
      </c>
      <c r="R65" s="127">
        <f t="shared" si="34"/>
        <v>0</v>
      </c>
      <c r="S65" s="127">
        <f t="shared" si="34"/>
        <v>0</v>
      </c>
      <c r="T65" s="127">
        <f t="shared" si="34"/>
        <v>0</v>
      </c>
      <c r="U65" s="127">
        <f t="shared" si="34"/>
        <v>0</v>
      </c>
      <c r="V65" s="127">
        <f t="shared" si="34"/>
        <v>0</v>
      </c>
      <c r="W65" s="127">
        <f t="shared" ref="W65:Y65" si="35">IF(W19=0,0,W19/W$10)</f>
        <v>0</v>
      </c>
      <c r="X65" s="127">
        <f t="shared" si="35"/>
        <v>0</v>
      </c>
      <c r="Y65" s="127">
        <f t="shared" si="35"/>
        <v>0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221.89977107999997</v>
      </c>
      <c r="C4" s="26">
        <f t="shared" ref="C4:W4" si="0">SUM(C5:C6)</f>
        <v>196.53996492000002</v>
      </c>
      <c r="D4" s="26">
        <f t="shared" si="0"/>
        <v>209.21986799999999</v>
      </c>
      <c r="E4" s="26">
        <f t="shared" si="0"/>
        <v>231.40976507999997</v>
      </c>
      <c r="F4" s="26">
        <f t="shared" si="0"/>
        <v>228.23985600000003</v>
      </c>
      <c r="G4" s="26">
        <f t="shared" si="0"/>
        <v>231.40976507999997</v>
      </c>
      <c r="H4" s="26">
        <f t="shared" si="0"/>
        <v>221.89977107999997</v>
      </c>
      <c r="I4" s="26">
        <f t="shared" si="0"/>
        <v>229.78706399999999</v>
      </c>
      <c r="J4" s="26">
        <f t="shared" si="0"/>
        <v>232.97858063999999</v>
      </c>
      <c r="K4" s="26">
        <f t="shared" si="0"/>
        <v>178.72333127999997</v>
      </c>
      <c r="L4" s="26">
        <f t="shared" si="0"/>
        <v>188.29761443999999</v>
      </c>
      <c r="M4" s="26">
        <f t="shared" si="0"/>
        <v>194.68064772</v>
      </c>
      <c r="N4" s="26">
        <f t="shared" si="0"/>
        <v>175.53181464000002</v>
      </c>
      <c r="O4" s="26">
        <f t="shared" si="0"/>
        <v>162.76574808000001</v>
      </c>
      <c r="P4" s="26">
        <f t="shared" si="0"/>
        <v>169.14878136000002</v>
      </c>
      <c r="Q4" s="26">
        <f t="shared" si="0"/>
        <v>158.79635928000002</v>
      </c>
      <c r="R4" s="26">
        <f t="shared" si="0"/>
        <v>155.62031472000001</v>
      </c>
      <c r="S4" s="26">
        <f t="shared" si="0"/>
        <v>167.68880387999999</v>
      </c>
      <c r="T4" s="26">
        <f t="shared" si="0"/>
        <v>189.60287111999995</v>
      </c>
      <c r="U4" s="26">
        <f t="shared" si="0"/>
        <v>171.81771516000003</v>
      </c>
      <c r="V4" s="26">
        <f t="shared" si="0"/>
        <v>164.38684860000001</v>
      </c>
      <c r="W4" s="26">
        <f t="shared" si="0"/>
        <v>154.84804452</v>
      </c>
      <c r="X4" s="26">
        <f t="shared" ref="X4:Y4" si="1">SUM(X5:X6)</f>
        <v>84.578125319999998</v>
      </c>
      <c r="Y4" s="26">
        <f t="shared" si="1"/>
        <v>86.485992840000009</v>
      </c>
      <c r="DA4" s="202" t="s">
        <v>1137</v>
      </c>
    </row>
    <row r="5" spans="1:105" ht="11.45" customHeight="1" x14ac:dyDescent="0.25">
      <c r="A5" s="107" t="s">
        <v>92</v>
      </c>
      <c r="B5" s="129">
        <v>221.89977107999997</v>
      </c>
      <c r="C5" s="129">
        <v>196.53996492000002</v>
      </c>
      <c r="D5" s="129">
        <v>209.21986799999999</v>
      </c>
      <c r="E5" s="129">
        <v>231.40976507999997</v>
      </c>
      <c r="F5" s="129">
        <v>228.23985600000003</v>
      </c>
      <c r="G5" s="129">
        <v>231.40976507999997</v>
      </c>
      <c r="H5" s="129">
        <v>221.89977107999997</v>
      </c>
      <c r="I5" s="129">
        <v>229.78706399999999</v>
      </c>
      <c r="J5" s="129">
        <v>232.97858063999999</v>
      </c>
      <c r="K5" s="129">
        <v>178.72333127999997</v>
      </c>
      <c r="L5" s="129">
        <v>188.29761443999999</v>
      </c>
      <c r="M5" s="129">
        <v>194.68064772</v>
      </c>
      <c r="N5" s="129">
        <v>175.53181464000002</v>
      </c>
      <c r="O5" s="129">
        <v>162.76574808000001</v>
      </c>
      <c r="P5" s="129">
        <v>169.14878136000002</v>
      </c>
      <c r="Q5" s="129">
        <v>158.79635928000002</v>
      </c>
      <c r="R5" s="129">
        <v>155.62031472000001</v>
      </c>
      <c r="S5" s="129">
        <v>167.68880387999999</v>
      </c>
      <c r="T5" s="129">
        <v>189.60287111999995</v>
      </c>
      <c r="U5" s="129">
        <v>171.81771516000003</v>
      </c>
      <c r="V5" s="129">
        <v>164.38684860000001</v>
      </c>
      <c r="W5" s="129">
        <v>154.84804452</v>
      </c>
      <c r="X5" s="129">
        <v>84.578125319999998</v>
      </c>
      <c r="Y5" s="129">
        <v>86.485992840000009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221.89977107999999</v>
      </c>
      <c r="C8" s="79">
        <f t="shared" si="2"/>
        <v>196.53996492000002</v>
      </c>
      <c r="D8" s="79">
        <f t="shared" si="2"/>
        <v>209.21986799999999</v>
      </c>
      <c r="E8" s="79">
        <f t="shared" si="2"/>
        <v>231.40976507999997</v>
      </c>
      <c r="F8" s="79">
        <f t="shared" si="2"/>
        <v>228.23985600000006</v>
      </c>
      <c r="G8" s="79">
        <f t="shared" si="2"/>
        <v>231.40976507999997</v>
      </c>
      <c r="H8" s="79">
        <f t="shared" si="2"/>
        <v>221.89977107999997</v>
      </c>
      <c r="I8" s="79">
        <f t="shared" si="2"/>
        <v>229.78706399999996</v>
      </c>
      <c r="J8" s="79">
        <f t="shared" si="2"/>
        <v>232.97858063999996</v>
      </c>
      <c r="K8" s="79">
        <f t="shared" si="2"/>
        <v>178.72333127999994</v>
      </c>
      <c r="L8" s="79">
        <f t="shared" si="2"/>
        <v>188.29761444000002</v>
      </c>
      <c r="M8" s="79">
        <f t="shared" si="2"/>
        <v>194.68064772</v>
      </c>
      <c r="N8" s="79">
        <f t="shared" si="2"/>
        <v>175.53181464000005</v>
      </c>
      <c r="O8" s="79">
        <f t="shared" si="2"/>
        <v>162.76574807999998</v>
      </c>
      <c r="P8" s="79">
        <f t="shared" si="2"/>
        <v>169.14878136000002</v>
      </c>
      <c r="Q8" s="79">
        <f t="shared" si="2"/>
        <v>158.79635928000002</v>
      </c>
      <c r="R8" s="79">
        <f t="shared" si="2"/>
        <v>155.62031472000001</v>
      </c>
      <c r="S8" s="79">
        <f t="shared" si="2"/>
        <v>167.68880388000002</v>
      </c>
      <c r="T8" s="79">
        <f t="shared" si="2"/>
        <v>189.60287111999997</v>
      </c>
      <c r="U8" s="79">
        <f t="shared" si="2"/>
        <v>171.81771516000003</v>
      </c>
      <c r="V8" s="79">
        <f t="shared" si="2"/>
        <v>164.38684860000004</v>
      </c>
      <c r="W8" s="79">
        <f t="shared" si="2"/>
        <v>154.84804452</v>
      </c>
      <c r="X8" s="79">
        <f t="shared" ref="X8:Y8" si="3">SUM(X9,X15)</f>
        <v>84.578125319999984</v>
      </c>
      <c r="Y8" s="79">
        <f t="shared" si="3"/>
        <v>86.485992840000009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29.840211308154611</v>
      </c>
      <c r="C9" s="32">
        <f t="shared" si="4"/>
        <v>26.435483445862047</v>
      </c>
      <c r="D9" s="32">
        <f t="shared" si="4"/>
        <v>24.916004629919268</v>
      </c>
      <c r="E9" s="32">
        <f t="shared" si="4"/>
        <v>21.088506864710382</v>
      </c>
      <c r="F9" s="32">
        <f t="shared" si="4"/>
        <v>21.203254520425368</v>
      </c>
      <c r="G9" s="32">
        <f t="shared" si="4"/>
        <v>12.398030315388871</v>
      </c>
      <c r="H9" s="32">
        <f t="shared" si="4"/>
        <v>11.173728100697675</v>
      </c>
      <c r="I9" s="32">
        <f t="shared" si="4"/>
        <v>10.071103725561475</v>
      </c>
      <c r="J9" s="32">
        <f t="shared" si="4"/>
        <v>10.421955586378468</v>
      </c>
      <c r="K9" s="32">
        <f t="shared" si="4"/>
        <v>9.0979408283709073</v>
      </c>
      <c r="L9" s="32">
        <f t="shared" si="4"/>
        <v>9.8954808459264942</v>
      </c>
      <c r="M9" s="32">
        <f t="shared" si="4"/>
        <v>10.850182229178323</v>
      </c>
      <c r="N9" s="32">
        <f t="shared" si="4"/>
        <v>10.292059756324955</v>
      </c>
      <c r="O9" s="32">
        <f t="shared" si="4"/>
        <v>9.9530786241544558</v>
      </c>
      <c r="P9" s="32">
        <f t="shared" si="4"/>
        <v>8.7444946798279695</v>
      </c>
      <c r="Q9" s="32">
        <f t="shared" si="4"/>
        <v>8.9827269688314981</v>
      </c>
      <c r="R9" s="32">
        <f t="shared" si="4"/>
        <v>8.155380439598261</v>
      </c>
      <c r="S9" s="32">
        <f t="shared" si="4"/>
        <v>10.307093458088847</v>
      </c>
      <c r="T9" s="32">
        <f t="shared" si="4"/>
        <v>11.224001684658063</v>
      </c>
      <c r="U9" s="32">
        <f t="shared" si="4"/>
        <v>11.591441728306764</v>
      </c>
      <c r="V9" s="32">
        <f t="shared" si="4"/>
        <v>9.198491764677815</v>
      </c>
      <c r="W9" s="32">
        <f t="shared" si="4"/>
        <v>10.345547752294701</v>
      </c>
      <c r="X9" s="32">
        <f t="shared" ref="X9:Y9" si="5">SUM(X10,X11,X14)</f>
        <v>10.038805842888127</v>
      </c>
      <c r="Y9" s="32">
        <f t="shared" si="5"/>
        <v>10.537097217901518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29.840211308154611</v>
      </c>
      <c r="C11" s="130">
        <f t="shared" si="6"/>
        <v>26.435483445862047</v>
      </c>
      <c r="D11" s="130">
        <f t="shared" si="6"/>
        <v>24.916004629919268</v>
      </c>
      <c r="E11" s="130">
        <f t="shared" si="6"/>
        <v>21.088506864710382</v>
      </c>
      <c r="F11" s="130">
        <f t="shared" si="6"/>
        <v>21.203254520425368</v>
      </c>
      <c r="G11" s="130">
        <f t="shared" si="6"/>
        <v>12.398030315388871</v>
      </c>
      <c r="H11" s="130">
        <f t="shared" si="6"/>
        <v>11.173728100697675</v>
      </c>
      <c r="I11" s="130">
        <f t="shared" si="6"/>
        <v>10.071103725561475</v>
      </c>
      <c r="J11" s="130">
        <f t="shared" si="6"/>
        <v>10.421955586378468</v>
      </c>
      <c r="K11" s="130">
        <f t="shared" si="6"/>
        <v>9.0979408283709073</v>
      </c>
      <c r="L11" s="130">
        <f t="shared" si="6"/>
        <v>9.8954808459264942</v>
      </c>
      <c r="M11" s="130">
        <f t="shared" si="6"/>
        <v>10.850182229178323</v>
      </c>
      <c r="N11" s="130">
        <f t="shared" si="6"/>
        <v>10.292059756324955</v>
      </c>
      <c r="O11" s="130">
        <f t="shared" si="6"/>
        <v>9.9530786241544558</v>
      </c>
      <c r="P11" s="130">
        <f t="shared" si="6"/>
        <v>8.7444946798279695</v>
      </c>
      <c r="Q11" s="130">
        <f t="shared" si="6"/>
        <v>8.9827269688314981</v>
      </c>
      <c r="R11" s="130">
        <f t="shared" si="6"/>
        <v>8.155380439598261</v>
      </c>
      <c r="S11" s="130">
        <f t="shared" si="6"/>
        <v>10.307093458088847</v>
      </c>
      <c r="T11" s="130">
        <f t="shared" si="6"/>
        <v>11.224001684658063</v>
      </c>
      <c r="U11" s="130">
        <f t="shared" si="6"/>
        <v>11.591441728306764</v>
      </c>
      <c r="V11" s="130">
        <f t="shared" si="6"/>
        <v>9.198491764677815</v>
      </c>
      <c r="W11" s="130">
        <f t="shared" si="6"/>
        <v>10.345547752294701</v>
      </c>
      <c r="X11" s="130">
        <f t="shared" ref="X11:Y11" si="7">SUM(X12:X13)</f>
        <v>10.038805842888127</v>
      </c>
      <c r="Y11" s="130">
        <f t="shared" si="7"/>
        <v>10.537097217901518</v>
      </c>
      <c r="DA11" s="176" t="s">
        <v>409</v>
      </c>
    </row>
    <row r="12" spans="1:105" ht="11.45" customHeight="1" x14ac:dyDescent="0.25">
      <c r="A12" s="111" t="s">
        <v>92</v>
      </c>
      <c r="B12" s="96">
        <v>29.840211308154611</v>
      </c>
      <c r="C12" s="96">
        <v>26.435483445862047</v>
      </c>
      <c r="D12" s="96">
        <v>24.916004629919268</v>
      </c>
      <c r="E12" s="96">
        <v>21.088506864710382</v>
      </c>
      <c r="F12" s="96">
        <v>21.203254520425368</v>
      </c>
      <c r="G12" s="96">
        <v>12.398030315388871</v>
      </c>
      <c r="H12" s="96">
        <v>11.173728100697675</v>
      </c>
      <c r="I12" s="96">
        <v>10.071103725561475</v>
      </c>
      <c r="J12" s="96">
        <v>10.421955586378468</v>
      </c>
      <c r="K12" s="96">
        <v>9.0979408283709073</v>
      </c>
      <c r="L12" s="96">
        <v>9.8954808459264942</v>
      </c>
      <c r="M12" s="96">
        <v>10.850182229178323</v>
      </c>
      <c r="N12" s="96">
        <v>10.292059756324955</v>
      </c>
      <c r="O12" s="96">
        <v>9.9530786241544558</v>
      </c>
      <c r="P12" s="96">
        <v>8.7444946798279695</v>
      </c>
      <c r="Q12" s="96">
        <v>8.9827269688314981</v>
      </c>
      <c r="R12" s="96">
        <v>8.155380439598261</v>
      </c>
      <c r="S12" s="96">
        <v>10.307093458088847</v>
      </c>
      <c r="T12" s="96">
        <v>11.224001684658063</v>
      </c>
      <c r="U12" s="96">
        <v>11.591441728306764</v>
      </c>
      <c r="V12" s="96">
        <v>9.198491764677815</v>
      </c>
      <c r="W12" s="96">
        <v>10.345547752294701</v>
      </c>
      <c r="X12" s="96">
        <v>10.038805842888127</v>
      </c>
      <c r="Y12" s="96">
        <v>10.537097217901518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192.05955977184539</v>
      </c>
      <c r="C15" s="32">
        <f t="shared" si="8"/>
        <v>170.10448147413797</v>
      </c>
      <c r="D15" s="32">
        <f t="shared" si="8"/>
        <v>184.30386337008073</v>
      </c>
      <c r="E15" s="32">
        <f t="shared" si="8"/>
        <v>210.32125821528959</v>
      </c>
      <c r="F15" s="32">
        <f t="shared" si="8"/>
        <v>207.0366014795747</v>
      </c>
      <c r="G15" s="32">
        <f t="shared" si="8"/>
        <v>219.01173476461111</v>
      </c>
      <c r="H15" s="32">
        <f t="shared" si="8"/>
        <v>210.72604297930229</v>
      </c>
      <c r="I15" s="32">
        <f t="shared" si="8"/>
        <v>219.71596027443849</v>
      </c>
      <c r="J15" s="32">
        <f t="shared" si="8"/>
        <v>222.5566250536215</v>
      </c>
      <c r="K15" s="32">
        <f t="shared" si="8"/>
        <v>169.62539045162904</v>
      </c>
      <c r="L15" s="32">
        <f t="shared" si="8"/>
        <v>178.40213359407352</v>
      </c>
      <c r="M15" s="32">
        <f t="shared" si="8"/>
        <v>183.83046549082167</v>
      </c>
      <c r="N15" s="32">
        <f t="shared" si="8"/>
        <v>165.23975488367509</v>
      </c>
      <c r="O15" s="32">
        <f t="shared" si="8"/>
        <v>152.81266945584554</v>
      </c>
      <c r="P15" s="32">
        <f t="shared" si="8"/>
        <v>160.40428668017205</v>
      </c>
      <c r="Q15" s="32">
        <f t="shared" si="8"/>
        <v>149.81363231116853</v>
      </c>
      <c r="R15" s="32">
        <f t="shared" si="8"/>
        <v>147.46493428040174</v>
      </c>
      <c r="S15" s="32">
        <f t="shared" si="8"/>
        <v>157.38171042191118</v>
      </c>
      <c r="T15" s="32">
        <f t="shared" si="8"/>
        <v>178.3788694353419</v>
      </c>
      <c r="U15" s="32">
        <f t="shared" si="8"/>
        <v>160.22627343169327</v>
      </c>
      <c r="V15" s="32">
        <f t="shared" si="8"/>
        <v>155.18835683532222</v>
      </c>
      <c r="W15" s="32">
        <f t="shared" si="8"/>
        <v>144.50249676770531</v>
      </c>
      <c r="X15" s="32">
        <f t="shared" ref="X15:Y15" si="9">SUM(X16:X17)</f>
        <v>74.53931947711186</v>
      </c>
      <c r="Y15" s="32">
        <f t="shared" si="9"/>
        <v>75.94889562209849</v>
      </c>
      <c r="DA15" s="173" t="s">
        <v>414</v>
      </c>
    </row>
    <row r="16" spans="1:105" ht="11.45" customHeight="1" x14ac:dyDescent="0.25">
      <c r="A16" s="83" t="s">
        <v>92</v>
      </c>
      <c r="B16" s="96">
        <v>192.05955977184539</v>
      </c>
      <c r="C16" s="96">
        <v>170.10448147413797</v>
      </c>
      <c r="D16" s="96">
        <v>184.30386337008073</v>
      </c>
      <c r="E16" s="96">
        <v>210.32125821528959</v>
      </c>
      <c r="F16" s="96">
        <v>207.0366014795747</v>
      </c>
      <c r="G16" s="96">
        <v>219.01173476461111</v>
      </c>
      <c r="H16" s="96">
        <v>210.72604297930229</v>
      </c>
      <c r="I16" s="96">
        <v>219.71596027443849</v>
      </c>
      <c r="J16" s="96">
        <v>222.5566250536215</v>
      </c>
      <c r="K16" s="96">
        <v>169.62539045162904</v>
      </c>
      <c r="L16" s="96">
        <v>178.40213359407352</v>
      </c>
      <c r="M16" s="96">
        <v>183.83046549082167</v>
      </c>
      <c r="N16" s="96">
        <v>165.23975488367509</v>
      </c>
      <c r="O16" s="96">
        <v>152.81266945584554</v>
      </c>
      <c r="P16" s="96">
        <v>160.40428668017205</v>
      </c>
      <c r="Q16" s="96">
        <v>149.81363231116853</v>
      </c>
      <c r="R16" s="96">
        <v>147.46493428040174</v>
      </c>
      <c r="S16" s="96">
        <v>157.38171042191118</v>
      </c>
      <c r="T16" s="96">
        <v>178.3788694353419</v>
      </c>
      <c r="U16" s="96">
        <v>160.22627343169327</v>
      </c>
      <c r="V16" s="96">
        <v>155.18835683532222</v>
      </c>
      <c r="W16" s="96">
        <v>144.50249676770531</v>
      </c>
      <c r="X16" s="96">
        <v>74.53931947711186</v>
      </c>
      <c r="Y16" s="96">
        <v>75.94889562209849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3.0765293421460531</v>
      </c>
      <c r="C22" s="134">
        <f>IF(C4=0,0,C4/TrRail_ene!C4)</f>
        <v>3.0773577609392988</v>
      </c>
      <c r="D22" s="134">
        <f>IF(D4=0,0,D4/TrRail_ene!D4)</f>
        <v>3.0788650700240421</v>
      </c>
      <c r="E22" s="134">
        <f>IF(E4=0,0,E4/TrRail_ene!E4)</f>
        <v>3.0775847762396755</v>
      </c>
      <c r="F22" s="134">
        <f>IF(F4=0,0,F4/TrRail_ene!F4)</f>
        <v>3.073679394719778</v>
      </c>
      <c r="G22" s="134">
        <f>IF(G4=0,0,G4/TrRail_ene!G4)</f>
        <v>3.0740694769406147</v>
      </c>
      <c r="H22" s="134">
        <f>IF(H4=0,0,H4/TrRail_ene!H4)</f>
        <v>3.07286607892331</v>
      </c>
      <c r="I22" s="134">
        <f>IF(I4=0,0,I4/TrRail_ene!I4)</f>
        <v>3.0738711229813669</v>
      </c>
      <c r="J22" s="134">
        <f>IF(J4=0,0,J4/TrRail_ene!J4)</f>
        <v>3.0672982970136888</v>
      </c>
      <c r="K22" s="134">
        <f>IF(K4=0,0,K4/TrRail_ene!K4)</f>
        <v>3.0523046894119927</v>
      </c>
      <c r="L22" s="134">
        <f>IF(L4=0,0,L4/TrRail_ene!L4)</f>
        <v>3.0548137190158871</v>
      </c>
      <c r="M22" s="134">
        <f>IF(M4=0,0,M4/TrRail_ene!M4)</f>
        <v>3.0604827175341347</v>
      </c>
      <c r="N22" s="134">
        <f>IF(N4=0,0,N4/TrRail_ene!N4)</f>
        <v>2.9169732873945313</v>
      </c>
      <c r="O22" s="134">
        <f>IF(O4=0,0,O4/TrRail_ene!O4)</f>
        <v>2.9544627558792227</v>
      </c>
      <c r="P22" s="134">
        <f>IF(P4=0,0,P4/TrRail_ene!P4)</f>
        <v>2.9104083880121734</v>
      </c>
      <c r="Q22" s="134">
        <f>IF(Q4=0,0,Q4/TrRail_ene!Q4)</f>
        <v>2.9462372149985487</v>
      </c>
      <c r="R22" s="134">
        <f>IF(R4=0,0,R4/TrRail_ene!R4)</f>
        <v>2.9384347848995338</v>
      </c>
      <c r="S22" s="134">
        <f>IF(S4=0,0,S4/TrRail_ene!S4)</f>
        <v>2.946415734683999</v>
      </c>
      <c r="T22" s="134">
        <f>IF(T4=0,0,T4/TrRail_ene!T4)</f>
        <v>2.9442500999747647</v>
      </c>
      <c r="U22" s="134">
        <f>IF(U4=0,0,U4/TrRail_ene!U4)</f>
        <v>2.9401145407995624</v>
      </c>
      <c r="V22" s="134">
        <f>IF(V4=0,0,V4/TrRail_ene!V4)</f>
        <v>2.9082182423054985</v>
      </c>
      <c r="W22" s="134">
        <f>IF(W4=0,0,W4/TrRail_ene!W4)</f>
        <v>2.8055066251773617</v>
      </c>
      <c r="X22" s="134">
        <f>IF(X4=0,0,X4/TrRail_ene!X4)</f>
        <v>2.7988948254939676</v>
      </c>
      <c r="Y22" s="134">
        <f>IF(Y4=0,0,Y4/TrRail_ene!Y4)</f>
        <v>2.8090768344551966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1.4817767982318282</v>
      </c>
      <c r="O23" s="129">
        <f>IF(O5=0,0,O5/SUM(TrRail_ene!O5:O7))</f>
        <v>1.5006529506007478</v>
      </c>
      <c r="P23" s="129">
        <f>IF(P5=0,0,P5/SUM(TrRail_ene!P5:P7))</f>
        <v>1.4792781731434959</v>
      </c>
      <c r="Q23" s="129">
        <f>IF(Q5=0,0,Q5/SUM(TrRail_ene!Q5:Q7))</f>
        <v>1.4994313877005818</v>
      </c>
      <c r="R23" s="129">
        <f>IF(R5=0,0,R5/SUM(TrRail_ene!R5:R7))</f>
        <v>1.4984106219562596</v>
      </c>
      <c r="S23" s="129">
        <f>IF(S5=0,0,S5/SUM(TrRail_ene!S5:S7))</f>
        <v>1.4997176152455567</v>
      </c>
      <c r="T23" s="129">
        <f>IF(T5=0,0,T5/SUM(TrRail_ene!T5:T7))</f>
        <v>1.5054935796145259</v>
      </c>
      <c r="U23" s="129">
        <f>IF(U5=0,0,U5/SUM(TrRail_ene!U5:U7))</f>
        <v>1.5032340680923859</v>
      </c>
      <c r="V23" s="129">
        <f>IF(V5=0,0,V5/SUM(TrRail_ene!V5:V7))</f>
        <v>1.4843661336972136</v>
      </c>
      <c r="W23" s="129">
        <f>IF(W5=0,0,W5/SUM(TrRail_ene!W5:W7))</f>
        <v>1.4297032103075533</v>
      </c>
      <c r="X23" s="129">
        <f>IF(X5=0,0,X5/SUM(TrRail_ene!X5:X7))</f>
        <v>1.4523440784780299</v>
      </c>
      <c r="Y23" s="129">
        <f>IF(Y5=0,0,Y5/SUM(TrRail_ene!Y5:Y7))</f>
        <v>1.4587212981729585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12354.830023633855</v>
      </c>
      <c r="C26" s="54">
        <f>IF(C8=0,0,C8/TrRail_act!C14*1000)</f>
        <v>12363.875141709052</v>
      </c>
      <c r="D26" s="54">
        <f>IF(D8=0,0,D8/TrRail_act!D14*1000)</f>
        <v>12487.80267175964</v>
      </c>
      <c r="E26" s="54">
        <f>IF(E8=0,0,E8/TrRail_act!E14*1000)</f>
        <v>12729.501518675946</v>
      </c>
      <c r="F26" s="54">
        <f>IF(F8=0,0,F8/TrRail_act!F14*1000)</f>
        <v>12594.883149682661</v>
      </c>
      <c r="G26" s="54">
        <f>IF(G8=0,0,G8/TrRail_act!G14*1000)</f>
        <v>13114.205246975638</v>
      </c>
      <c r="H26" s="54">
        <f>IF(H8=0,0,H8/TrRail_act!H14*1000)</f>
        <v>13094.59503634232</v>
      </c>
      <c r="I26" s="54">
        <f>IF(I8=0,0,I8/TrRail_act!I14*1000)</f>
        <v>13101.766988091631</v>
      </c>
      <c r="J26" s="54">
        <f>IF(J8=0,0,J8/TrRail_act!J14*1000)</f>
        <v>12346.024701273065</v>
      </c>
      <c r="K26" s="54">
        <f>IF(K8=0,0,K8/TrRail_act!K14*1000)</f>
        <v>12069.094009005186</v>
      </c>
      <c r="L26" s="54">
        <f>IF(L8=0,0,L8/TrRail_act!L14*1000)</f>
        <v>11973.599530742531</v>
      </c>
      <c r="M26" s="54">
        <f>IF(M8=0,0,M8/TrRail_act!M14*1000)</f>
        <v>11468.361933401822</v>
      </c>
      <c r="N26" s="54">
        <f>IF(N8=0,0,N8/TrRail_act!N14*1000)</f>
        <v>10803.464019821466</v>
      </c>
      <c r="O26" s="54">
        <f>IF(O8=0,0,O8/TrRail_act!O14*1000)</f>
        <v>10722.441373642971</v>
      </c>
      <c r="P26" s="54">
        <f>IF(P8=0,0,P8/TrRail_act!P14*1000)</f>
        <v>10505.32357308578</v>
      </c>
      <c r="Q26" s="54">
        <f>IF(Q8=0,0,Q8/TrRail_act!Q14*1000)</f>
        <v>10451.285597506903</v>
      </c>
      <c r="R26" s="54">
        <f>IF(R8=0,0,R8/TrRail_act!R14*1000)</f>
        <v>10386.449674383715</v>
      </c>
      <c r="S26" s="54">
        <f>IF(S8=0,0,S8/TrRail_act!S14*1000)</f>
        <v>10325.713939057858</v>
      </c>
      <c r="T26" s="54">
        <f>IF(T8=0,0,T8/TrRail_act!T14*1000)</f>
        <v>10233.674558875049</v>
      </c>
      <c r="U26" s="54">
        <f>IF(U8=0,0,U8/TrRail_act!U14*1000)</f>
        <v>10122.096649987989</v>
      </c>
      <c r="V26" s="54">
        <f>IF(V8=0,0,V8/TrRail_act!V14*1000)</f>
        <v>10141.765154914208</v>
      </c>
      <c r="W26" s="54">
        <f>IF(W8=0,0,W8/TrRail_act!W14*1000)</f>
        <v>9697.775364262794</v>
      </c>
      <c r="X26" s="54">
        <f>IF(X8=0,0,X8/TrRail_act!X14*1000)</f>
        <v>8940.4386491574551</v>
      </c>
      <c r="Y26" s="54">
        <f>IF(Y8=0,0,Y8/TrRail_act!Y14*1000)</f>
        <v>8931.7900020498528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6289.4352736656847</v>
      </c>
      <c r="C27" s="28">
        <f>IF(C9=0,0,C9/TrRail_act!C15*1000)</f>
        <v>6304.2698271341942</v>
      </c>
      <c r="D27" s="28">
        <f>IF(D9=0,0,D9/TrRail_act!D15*1000)</f>
        <v>6205.7190199740089</v>
      </c>
      <c r="E27" s="28">
        <f>IF(E9=0,0,E9/TrRail_act!E15*1000)</f>
        <v>5969.9497517000564</v>
      </c>
      <c r="F27" s="28">
        <f>IF(F9=0,0,F9/TrRail_act!F15*1000)</f>
        <v>5877.4980472675034</v>
      </c>
      <c r="G27" s="28">
        <f>IF(G9=0,0,G9/TrRail_act!G15*1000)</f>
        <v>5365.8454690255203</v>
      </c>
      <c r="H27" s="28">
        <f>IF(H9=0,0,H9/TrRail_act!H15*1000)</f>
        <v>5190.7650023380065</v>
      </c>
      <c r="I27" s="28">
        <f>IF(I9=0,0,I9/TrRail_act!I15*1000)</f>
        <v>5092.3454739868457</v>
      </c>
      <c r="J27" s="28">
        <f>IF(J9=0,0,J9/TrRail_act!J15*1000)</f>
        <v>4691.3182561599278</v>
      </c>
      <c r="K27" s="28">
        <f>IF(K9=0,0,K9/TrRail_act!K15*1000)</f>
        <v>4353.9839510622069</v>
      </c>
      <c r="L27" s="28">
        <f>IF(L9=0,0,L9/TrRail_act!L15*1000)</f>
        <v>4408.6182690206324</v>
      </c>
      <c r="M27" s="28">
        <f>IF(M9=0,0,M9/TrRail_act!M15*1000)</f>
        <v>4566.2859985307932</v>
      </c>
      <c r="N27" s="28">
        <f>IF(N9=0,0,N9/TrRail_act!N15*1000)</f>
        <v>4170.3718832914956</v>
      </c>
      <c r="O27" s="28">
        <f>IF(O9=0,0,O9/TrRail_act!O15*1000)</f>
        <v>4166.1932461419756</v>
      </c>
      <c r="P27" s="28">
        <f>IF(P9=0,0,P9/TrRail_act!P15*1000)</f>
        <v>3818.9230538233178</v>
      </c>
      <c r="Q27" s="28">
        <f>IF(Q9=0,0,Q9/TrRail_act!Q15*1000)</f>
        <v>3859.3911891599237</v>
      </c>
      <c r="R27" s="28">
        <f>IF(R9=0,0,R9/TrRail_act!R15*1000)</f>
        <v>3594.9050116361318</v>
      </c>
      <c r="S27" s="28">
        <f>IF(S9=0,0,S9/TrRail_act!S15*1000)</f>
        <v>3890.3726700038983</v>
      </c>
      <c r="T27" s="28">
        <f>IF(T9=0,0,T9/TrRail_act!T15*1000)</f>
        <v>3557.7723594073436</v>
      </c>
      <c r="U27" s="28">
        <f>IF(U9=0,0,U9/TrRail_act!U15*1000)</f>
        <v>3707.2494307744182</v>
      </c>
      <c r="V27" s="28">
        <f>IF(V9=0,0,V9/TrRail_act!V15*1000)</f>
        <v>3521.4988194017205</v>
      </c>
      <c r="W27" s="28">
        <f>IF(W9=0,0,W9/TrRail_act!W15*1000)</f>
        <v>3678.2042267725706</v>
      </c>
      <c r="X27" s="28">
        <f>IF(X9=0,0,X9/TrRail_act!X15*1000)</f>
        <v>3615.6823364345723</v>
      </c>
      <c r="Y27" s="28">
        <f>IF(Y9=0,0,Y9/TrRail_act!Y15*1000)</f>
        <v>3633.8836102873556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6289.4352736656847</v>
      </c>
      <c r="C29" s="110">
        <f>IF(C11=0,0,C11/TrRail_act!C17*1000)</f>
        <v>6304.2698271341942</v>
      </c>
      <c r="D29" s="110">
        <f>IF(D11=0,0,D11/TrRail_act!D17*1000)</f>
        <v>6205.7190199740089</v>
      </c>
      <c r="E29" s="110">
        <f>IF(E11=0,0,E11/TrRail_act!E17*1000)</f>
        <v>5969.9497517000564</v>
      </c>
      <c r="F29" s="110">
        <f>IF(F11=0,0,F11/TrRail_act!F17*1000)</f>
        <v>5877.4980472675034</v>
      </c>
      <c r="G29" s="110">
        <f>IF(G11=0,0,G11/TrRail_act!G17*1000)</f>
        <v>5365.8454690255203</v>
      </c>
      <c r="H29" s="110">
        <f>IF(H11=0,0,H11/TrRail_act!H17*1000)</f>
        <v>5190.7650023380065</v>
      </c>
      <c r="I29" s="110">
        <f>IF(I11=0,0,I11/TrRail_act!I17*1000)</f>
        <v>5092.3454739868457</v>
      </c>
      <c r="J29" s="110">
        <f>IF(J11=0,0,J11/TrRail_act!J17*1000)</f>
        <v>4691.3182561599278</v>
      </c>
      <c r="K29" s="110">
        <f>IF(K11=0,0,K11/TrRail_act!K17*1000)</f>
        <v>4353.9839510622069</v>
      </c>
      <c r="L29" s="110">
        <f>IF(L11=0,0,L11/TrRail_act!L17*1000)</f>
        <v>4408.6182690206324</v>
      </c>
      <c r="M29" s="110">
        <f>IF(M11=0,0,M11/TrRail_act!M17*1000)</f>
        <v>4566.2859985307932</v>
      </c>
      <c r="N29" s="110">
        <f>IF(N11=0,0,N11/TrRail_act!N17*1000)</f>
        <v>4170.3718832914956</v>
      </c>
      <c r="O29" s="110">
        <f>IF(O11=0,0,O11/TrRail_act!O17*1000)</f>
        <v>4166.1932461419756</v>
      </c>
      <c r="P29" s="110">
        <f>IF(P11=0,0,P11/TrRail_act!P17*1000)</f>
        <v>3818.9230538233178</v>
      </c>
      <c r="Q29" s="110">
        <f>IF(Q11=0,0,Q11/TrRail_act!Q17*1000)</f>
        <v>3859.3911891599237</v>
      </c>
      <c r="R29" s="110">
        <f>IF(R11=0,0,R11/TrRail_act!R17*1000)</f>
        <v>3594.9050116361318</v>
      </c>
      <c r="S29" s="110">
        <f>IF(S11=0,0,S11/TrRail_act!S17*1000)</f>
        <v>3890.3726700038983</v>
      </c>
      <c r="T29" s="110">
        <f>IF(T11=0,0,T11/TrRail_act!T17*1000)</f>
        <v>3557.7723594073436</v>
      </c>
      <c r="U29" s="110">
        <f>IF(U11=0,0,U11/TrRail_act!U17*1000)</f>
        <v>3707.2494307744182</v>
      </c>
      <c r="V29" s="110">
        <f>IF(V11=0,0,V11/TrRail_act!V17*1000)</f>
        <v>3521.4988194017205</v>
      </c>
      <c r="W29" s="110">
        <f>IF(W11=0,0,W11/TrRail_act!W17*1000)</f>
        <v>3678.2042267725706</v>
      </c>
      <c r="X29" s="110">
        <f>IF(X11=0,0,X11/TrRail_act!X17*1000)</f>
        <v>3615.6823364345723</v>
      </c>
      <c r="Y29" s="110">
        <f>IF(Y11=0,0,Y11/TrRail_act!Y17*1000)</f>
        <v>3633.8836102873556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6846.4883444213747</v>
      </c>
      <c r="C30" s="84">
        <f>IF(C12=0,0,C12/TrRail_act!C18*1000)</f>
        <v>6846.0274805675908</v>
      </c>
      <c r="D30" s="84">
        <f>IF(D12=0,0,D12/TrRail_act!D18*1000)</f>
        <v>6772.3926728281331</v>
      </c>
      <c r="E30" s="84">
        <f>IF(E12=0,0,E12/TrRail_act!E18*1000)</f>
        <v>6717.2280735608483</v>
      </c>
      <c r="F30" s="84">
        <f>IF(F12=0,0,F12/TrRail_act!F18*1000)</f>
        <v>6720.0476623462091</v>
      </c>
      <c r="G30" s="84">
        <f>IF(G12=0,0,G12/TrRail_act!G18*1000)</f>
        <v>6661.3211006092133</v>
      </c>
      <c r="H30" s="84">
        <f>IF(H12=0,0,H12/TrRail_act!H18*1000)</f>
        <v>6562.5101680832713</v>
      </c>
      <c r="I30" s="84">
        <f>IF(I12=0,0,I12/TrRail_act!I18*1000)</f>
        <v>6617.7819589456203</v>
      </c>
      <c r="J30" s="84">
        <f>IF(J12=0,0,J12/TrRail_act!J18*1000)</f>
        <v>6432.5443844337506</v>
      </c>
      <c r="K30" s="84">
        <f>IF(K12=0,0,K12/TrRail_act!K18*1000)</f>
        <v>6394.7373276328963</v>
      </c>
      <c r="L30" s="84">
        <f>IF(L12=0,0,L12/TrRail_act!L18*1000)</f>
        <v>6282.3773548367744</v>
      </c>
      <c r="M30" s="84">
        <f>IF(M12=0,0,M12/TrRail_act!M18*1000)</f>
        <v>6207.2879133720116</v>
      </c>
      <c r="N30" s="84">
        <f>IF(N12=0,0,N12/TrRail_act!N18*1000)</f>
        <v>5812.0647006690942</v>
      </c>
      <c r="O30" s="84">
        <f>IF(O12=0,0,O12/TrRail_act!O18*1000)</f>
        <v>5701.3530907963932</v>
      </c>
      <c r="P30" s="84">
        <f>IF(P12=0,0,P12/TrRail_act!P18*1000)</f>
        <v>5594.87416469459</v>
      </c>
      <c r="Q30" s="84">
        <f>IF(Q12=0,0,Q12/TrRail_act!Q18*1000)</f>
        <v>5641.3945585199453</v>
      </c>
      <c r="R30" s="84">
        <f>IF(R12=0,0,R12/TrRail_act!R18*1000)</f>
        <v>5587.3175231718997</v>
      </c>
      <c r="S30" s="84">
        <f>IF(S12=0,0,S12/TrRail_act!S18*1000)</f>
        <v>5554.7750824250752</v>
      </c>
      <c r="T30" s="84">
        <f>IF(T12=0,0,T12/TrRail_act!T18*1000)</f>
        <v>5548.1634898928396</v>
      </c>
      <c r="U30" s="84">
        <f>IF(U12=0,0,U12/TrRail_act!U18*1000)</f>
        <v>5518.9564801039442</v>
      </c>
      <c r="V30" s="84">
        <f>IF(V12=0,0,V12/TrRail_act!V18*1000)</f>
        <v>5434.2724684656023</v>
      </c>
      <c r="W30" s="84">
        <f>IF(W12=0,0,W12/TrRail_act!W18*1000)</f>
        <v>5223.0450859716957</v>
      </c>
      <c r="X30" s="84">
        <f>IF(X12=0,0,X12/TrRail_act!X18*1000)</f>
        <v>5297.3117600481446</v>
      </c>
      <c r="Y30" s="84">
        <f>IF(Y12=0,0,Y12/TrRail_act!Y18*1000)</f>
        <v>5314.2188777703423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14532.273834820455</v>
      </c>
      <c r="C33" s="28">
        <f>IF(C15=0,0,C15/TrRail_act!C21*1000)</f>
        <v>14535.066310759277</v>
      </c>
      <c r="D33" s="28">
        <f>IF(D15=0,0,D15/TrRail_act!D21*1000)</f>
        <v>14467.765474530304</v>
      </c>
      <c r="E33" s="28">
        <f>IF(E15=0,0,E15/TrRail_act!E21*1000)</f>
        <v>14359.762523550338</v>
      </c>
      <c r="F33" s="28">
        <f>IF(F15=0,0,F15/TrRail_act!F21*1000)</f>
        <v>14264.512557171995</v>
      </c>
      <c r="G33" s="28">
        <f>IF(G15=0,0,G15/TrRail_act!G21*1000)</f>
        <v>14281.646995032643</v>
      </c>
      <c r="H33" s="28">
        <f>IF(H15=0,0,H15/TrRail_act!H21*1000)</f>
        <v>14244.705592190399</v>
      </c>
      <c r="I33" s="28">
        <f>IF(I15=0,0,I15/TrRail_act!I21*1000)</f>
        <v>14119.71269235519</v>
      </c>
      <c r="J33" s="28">
        <f>IF(J15=0,0,J15/TrRail_act!J21*1000)</f>
        <v>13367.410003888766</v>
      </c>
      <c r="K33" s="28">
        <f>IF(K15=0,0,K15/TrRail_act!K21*1000)</f>
        <v>13336.608560677443</v>
      </c>
      <c r="L33" s="28">
        <f>IF(L15=0,0,L15/TrRail_act!L21*1000)</f>
        <v>13233.117564029088</v>
      </c>
      <c r="M33" s="28">
        <f>IF(M15=0,0,M15/TrRail_act!M21*1000)</f>
        <v>12591.728573547885</v>
      </c>
      <c r="N33" s="28">
        <f>IF(N15=0,0,N15/TrRail_act!N21*1000)</f>
        <v>11991.417781459319</v>
      </c>
      <c r="O33" s="28">
        <f>IF(O15=0,0,O15/TrRail_act!O21*1000)</f>
        <v>11946.979029591979</v>
      </c>
      <c r="P33" s="28">
        <f>IF(P15=0,0,P15/TrRail_act!P21*1000)</f>
        <v>11613.851096645585</v>
      </c>
      <c r="Q33" s="28">
        <f>IF(Q15=0,0,Q15/TrRail_act!Q21*1000)</f>
        <v>11643.737016065937</v>
      </c>
      <c r="R33" s="28">
        <f>IF(R15=0,0,R15/TrRail_act!R21*1000)</f>
        <v>11598.243787197791</v>
      </c>
      <c r="S33" s="28">
        <f>IF(S15=0,0,S15/TrRail_act!S21*1000)</f>
        <v>11580.240656834723</v>
      </c>
      <c r="T33" s="28">
        <f>IF(T15=0,0,T15/TrRail_act!T21*1000)</f>
        <v>11603.714255080677</v>
      </c>
      <c r="U33" s="28">
        <f>IF(U15=0,0,U15/TrRail_act!U21*1000)</f>
        <v>11570.503204686693</v>
      </c>
      <c r="V33" s="28">
        <f>IF(V15=0,0,V15/TrRail_act!V21*1000)</f>
        <v>11413.59120836066</v>
      </c>
      <c r="W33" s="28">
        <f>IF(W15=0,0,W15/TrRail_act!W21*1000)</f>
        <v>10984.844124661411</v>
      </c>
      <c r="X33" s="28">
        <f>IF(X15=0,0,X15/TrRail_act!X21*1000)</f>
        <v>11152.380331457654</v>
      </c>
      <c r="Y33" s="28">
        <f>IF(Y15=0,0,Y15/TrRail_act!Y21*1000)</f>
        <v>11196.516200209478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14532.273834820455</v>
      </c>
      <c r="C34" s="84">
        <f>IF(C16=0,0,C16/TrRail_act!C22*1000)</f>
        <v>14535.066310759277</v>
      </c>
      <c r="D34" s="84">
        <f>IF(D16=0,0,D16/TrRail_act!D22*1000)</f>
        <v>14467.765474530304</v>
      </c>
      <c r="E34" s="84">
        <f>IF(E16=0,0,E16/TrRail_act!E22*1000)</f>
        <v>14359.762523550338</v>
      </c>
      <c r="F34" s="84">
        <f>IF(F16=0,0,F16/TrRail_act!F22*1000)</f>
        <v>14264.512557171995</v>
      </c>
      <c r="G34" s="84">
        <f>IF(G16=0,0,G16/TrRail_act!G22*1000)</f>
        <v>14281.646995032643</v>
      </c>
      <c r="H34" s="84">
        <f>IF(H16=0,0,H16/TrRail_act!H22*1000)</f>
        <v>14244.705592190399</v>
      </c>
      <c r="I34" s="84">
        <f>IF(I16=0,0,I16/TrRail_act!I22*1000)</f>
        <v>14119.71269235519</v>
      </c>
      <c r="J34" s="84">
        <f>IF(J16=0,0,J16/TrRail_act!J22*1000)</f>
        <v>13367.410003888766</v>
      </c>
      <c r="K34" s="84">
        <f>IF(K16=0,0,K16/TrRail_act!K22*1000)</f>
        <v>13336.608560677443</v>
      </c>
      <c r="L34" s="84">
        <f>IF(L16=0,0,L16/TrRail_act!L22*1000)</f>
        <v>13233.117564029088</v>
      </c>
      <c r="M34" s="84">
        <f>IF(M16=0,0,M16/TrRail_act!M22*1000)</f>
        <v>12591.728573547885</v>
      </c>
      <c r="N34" s="84">
        <f>IF(N16=0,0,N16/TrRail_act!N22*1000)</f>
        <v>11991.417781459319</v>
      </c>
      <c r="O34" s="84">
        <f>IF(O16=0,0,O16/TrRail_act!O22*1000)</f>
        <v>11946.979029591979</v>
      </c>
      <c r="P34" s="84">
        <f>IF(P16=0,0,P16/TrRail_act!P22*1000)</f>
        <v>11613.851096645585</v>
      </c>
      <c r="Q34" s="84">
        <f>IF(Q16=0,0,Q16/TrRail_act!Q22*1000)</f>
        <v>11643.737016065937</v>
      </c>
      <c r="R34" s="84">
        <f>IF(R16=0,0,R16/TrRail_act!R22*1000)</f>
        <v>11598.243787197791</v>
      </c>
      <c r="S34" s="84">
        <f>IF(S16=0,0,S16/TrRail_act!S22*1000)</f>
        <v>11580.240656834723</v>
      </c>
      <c r="T34" s="84">
        <f>IF(T16=0,0,T16/TrRail_act!T22*1000)</f>
        <v>11603.714255080677</v>
      </c>
      <c r="U34" s="84">
        <f>IF(U16=0,0,U16/TrRail_act!U22*1000)</f>
        <v>11570.503204686693</v>
      </c>
      <c r="V34" s="84">
        <f>IF(V16=0,0,V16/TrRail_act!V22*1000)</f>
        <v>11413.59120836066</v>
      </c>
      <c r="W34" s="84">
        <f>IF(W16=0,0,W16/TrRail_act!W22*1000)</f>
        <v>10984.844124661411</v>
      </c>
      <c r="X34" s="84">
        <f>IF(X16=0,0,X16/TrRail_act!X22*1000)</f>
        <v>11152.380331457654</v>
      </c>
      <c r="Y34" s="84">
        <f>IF(Y16=0,0,Y16/TrRail_act!Y22*1000)</f>
        <v>11196.516200209478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48.838316379958449</v>
      </c>
      <c r="C38" s="29">
        <f>IF(C9=0,0,C9/TrRail_act!C4*1000)</f>
        <v>49.597529917189583</v>
      </c>
      <c r="D38" s="29">
        <f>IF(D9=0,0,D9/TrRail_act!D4*1000)</f>
        <v>50.032137811082862</v>
      </c>
      <c r="E38" s="29">
        <f>IF(E9=0,0,E9/TrRail_act!E4*1000)</f>
        <v>48.815988112755512</v>
      </c>
      <c r="F38" s="29">
        <f>IF(F9=0,0,F9/TrRail_act!F4*1000)</f>
        <v>47.755077748705787</v>
      </c>
      <c r="G38" s="29">
        <f>IF(G9=0,0,G9/TrRail_act!G4*1000)</f>
        <v>44.278679697817395</v>
      </c>
      <c r="H38" s="29">
        <f>IF(H9=0,0,H9/TrRail_act!H4*1000)</f>
        <v>41.693015301110727</v>
      </c>
      <c r="I38" s="29">
        <f>IF(I9=0,0,I9/TrRail_act!I4*1000)</f>
        <v>40.939446038867779</v>
      </c>
      <c r="J38" s="29">
        <f>IF(J9=0,0,J9/TrRail_act!J4*1000)</f>
        <v>40.395176691389409</v>
      </c>
      <c r="K38" s="29">
        <f>IF(K9=0,0,K9/TrRail_act!K4*1000)</f>
        <v>39.385025231042889</v>
      </c>
      <c r="L38" s="29">
        <f>IF(L9=0,0,L9/TrRail_act!L4*1000)</f>
        <v>40.555249368551202</v>
      </c>
      <c r="M38" s="29">
        <f>IF(M9=0,0,M9/TrRail_act!M4*1000)</f>
        <v>40.335249922595999</v>
      </c>
      <c r="N38" s="29">
        <f>IF(N9=0,0,N9/TrRail_act!N4*1000)</f>
        <v>37.021797684622136</v>
      </c>
      <c r="O38" s="29">
        <f>IF(O9=0,0,O9/TrRail_act!O4*1000)</f>
        <v>35.802441094080777</v>
      </c>
      <c r="P38" s="29">
        <f>IF(P9=0,0,P9/TrRail_act!P4*1000)</f>
        <v>32.387017332696182</v>
      </c>
      <c r="Q38" s="29">
        <f>IF(Q9=0,0,Q9/TrRail_act!Q4*1000)</f>
        <v>34.285217438288164</v>
      </c>
      <c r="R38" s="29">
        <f>IF(R9=0,0,R9/TrRail_act!R4*1000)</f>
        <v>29.126358712850934</v>
      </c>
      <c r="S38" s="29">
        <f>IF(S9=0,0,S9/TrRail_act!S4*1000)</f>
        <v>32.720931612980465</v>
      </c>
      <c r="T38" s="29">
        <f>IF(T9=0,0,T9/TrRail_act!T4*1000)</f>
        <v>31.706219448186619</v>
      </c>
      <c r="U38" s="29">
        <f>IF(U9=0,0,U9/TrRail_act!U4*1000)</f>
        <v>32.288138518960345</v>
      </c>
      <c r="V38" s="29">
        <f>IF(V9=0,0,V9/TrRail_act!V4*1000)</f>
        <v>38.812201538724956</v>
      </c>
      <c r="W38" s="29">
        <f>IF(W9=0,0,W9/TrRail_act!W4*1000)</f>
        <v>36.047204711828229</v>
      </c>
      <c r="X38" s="29">
        <f>IF(X9=0,0,X9/TrRail_act!X4*1000)</f>
        <v>26.279596447351121</v>
      </c>
      <c r="Y38" s="29">
        <f>IF(Y9=0,0,Y9/TrRail_act!Y4*1000)</f>
        <v>26.880350045667136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48.838316379958449</v>
      </c>
      <c r="C40" s="116">
        <f>IF(C11=0,0,C11/TrRail_act!C6*1000)</f>
        <v>49.597529917189583</v>
      </c>
      <c r="D40" s="116">
        <f>IF(D11=0,0,D11/TrRail_act!D6*1000)</f>
        <v>50.032137811082862</v>
      </c>
      <c r="E40" s="116">
        <f>IF(E11=0,0,E11/TrRail_act!E6*1000)</f>
        <v>48.815988112755512</v>
      </c>
      <c r="F40" s="116">
        <f>IF(F11=0,0,F11/TrRail_act!F6*1000)</f>
        <v>47.755077748705787</v>
      </c>
      <c r="G40" s="116">
        <f>IF(G11=0,0,G11/TrRail_act!G6*1000)</f>
        <v>44.278679697817395</v>
      </c>
      <c r="H40" s="116">
        <f>IF(H11=0,0,H11/TrRail_act!H6*1000)</f>
        <v>41.693015301110727</v>
      </c>
      <c r="I40" s="116">
        <f>IF(I11=0,0,I11/TrRail_act!I6*1000)</f>
        <v>40.939446038867779</v>
      </c>
      <c r="J40" s="116">
        <f>IF(J11=0,0,J11/TrRail_act!J6*1000)</f>
        <v>40.395176691389409</v>
      </c>
      <c r="K40" s="116">
        <f>IF(K11=0,0,K11/TrRail_act!K6*1000)</f>
        <v>39.385025231042889</v>
      </c>
      <c r="L40" s="116">
        <f>IF(L11=0,0,L11/TrRail_act!L6*1000)</f>
        <v>40.555249368551202</v>
      </c>
      <c r="M40" s="116">
        <f>IF(M11=0,0,M11/TrRail_act!M6*1000)</f>
        <v>40.335249922595999</v>
      </c>
      <c r="N40" s="116">
        <f>IF(N11=0,0,N11/TrRail_act!N6*1000)</f>
        <v>37.021797684622136</v>
      </c>
      <c r="O40" s="116">
        <f>IF(O11=0,0,O11/TrRail_act!O6*1000)</f>
        <v>35.802441094080777</v>
      </c>
      <c r="P40" s="116">
        <f>IF(P11=0,0,P11/TrRail_act!P6*1000)</f>
        <v>32.387017332696182</v>
      </c>
      <c r="Q40" s="116">
        <f>IF(Q11=0,0,Q11/TrRail_act!Q6*1000)</f>
        <v>34.285217438288164</v>
      </c>
      <c r="R40" s="116">
        <f>IF(R11=0,0,R11/TrRail_act!R6*1000)</f>
        <v>29.126358712850934</v>
      </c>
      <c r="S40" s="116">
        <f>IF(S11=0,0,S11/TrRail_act!S6*1000)</f>
        <v>32.720931612980465</v>
      </c>
      <c r="T40" s="116">
        <f>IF(T11=0,0,T11/TrRail_act!T6*1000)</f>
        <v>31.706219448186619</v>
      </c>
      <c r="U40" s="116">
        <f>IF(U11=0,0,U11/TrRail_act!U6*1000)</f>
        <v>32.288138518960345</v>
      </c>
      <c r="V40" s="116">
        <f>IF(V11=0,0,V11/TrRail_act!V6*1000)</f>
        <v>38.812201538724956</v>
      </c>
      <c r="W40" s="116">
        <f>IF(W11=0,0,W11/TrRail_act!W6*1000)</f>
        <v>36.047204711828229</v>
      </c>
      <c r="X40" s="116">
        <f>IF(X11=0,0,X11/TrRail_act!X6*1000)</f>
        <v>26.279596447351121</v>
      </c>
      <c r="Y40" s="116">
        <f>IF(Y11=0,0,Y11/TrRail_act!Y6*1000)</f>
        <v>26.880350045667136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54.327094489908418</v>
      </c>
      <c r="C41" s="87">
        <f>IF(C12=0,0,C12/TrRail_act!C7*1000)</f>
        <v>54.928789232579049</v>
      </c>
      <c r="D41" s="87">
        <f>IF(D12=0,0,D12/TrRail_act!D7*1000)</f>
        <v>55.912944051315087</v>
      </c>
      <c r="E41" s="87">
        <f>IF(E12=0,0,E12/TrRail_act!E7*1000)</f>
        <v>56.672077542367681</v>
      </c>
      <c r="F41" s="87">
        <f>IF(F12=0,0,F12/TrRail_act!F7*1000)</f>
        <v>56.87781032120553</v>
      </c>
      <c r="G41" s="87">
        <f>IF(G12=0,0,G12/TrRail_act!G7*1000)</f>
        <v>56.280046698338623</v>
      </c>
      <c r="H41" s="87">
        <f>IF(H12=0,0,H12/TrRail_act!H7*1000)</f>
        <v>53.891169021685528</v>
      </c>
      <c r="I41" s="87">
        <f>IF(I12=0,0,I12/TrRail_act!I7*1000)</f>
        <v>55.106297181958745</v>
      </c>
      <c r="J41" s="87">
        <f>IF(J12=0,0,J12/TrRail_act!J7*1000)</f>
        <v>55.004567718848079</v>
      </c>
      <c r="K41" s="87">
        <f>IF(K12=0,0,K12/TrRail_act!K7*1000)</f>
        <v>56.747548027843322</v>
      </c>
      <c r="L41" s="87">
        <f>IF(L12=0,0,L12/TrRail_act!L7*1000)</f>
        <v>56.453387064802797</v>
      </c>
      <c r="M41" s="87">
        <f>IF(M12=0,0,M12/TrRail_act!M7*1000)</f>
        <v>55.923271300290864</v>
      </c>
      <c r="N41" s="87">
        <f>IF(N12=0,0,N12/TrRail_act!N7*1000)</f>
        <v>51.769406160979116</v>
      </c>
      <c r="O41" s="87">
        <f>IF(O12=0,0,O12/TrRail_act!O7*1000)</f>
        <v>50.56834986283571</v>
      </c>
      <c r="P41" s="87">
        <f>IF(P12=0,0,P12/TrRail_act!P7*1000)</f>
        <v>49.146872789294136</v>
      </c>
      <c r="Q41" s="87">
        <f>IF(Q12=0,0,Q12/TrRail_act!Q7*1000)</f>
        <v>49.681860549385185</v>
      </c>
      <c r="R41" s="87">
        <f>IF(R12=0,0,R12/TrRail_act!R7*1000)</f>
        <v>41.963681246177131</v>
      </c>
      <c r="S41" s="87">
        <f>IF(S12=0,0,S12/TrRail_act!S7*1000)</f>
        <v>45.304099459556397</v>
      </c>
      <c r="T41" s="87">
        <f>IF(T12=0,0,T12/TrRail_act!T7*1000)</f>
        <v>44.740463738074666</v>
      </c>
      <c r="U41" s="87">
        <f>IF(U12=0,0,U12/TrRail_act!U7*1000)</f>
        <v>44.053130272837855</v>
      </c>
      <c r="V41" s="87">
        <f>IF(V12=0,0,V12/TrRail_act!V7*1000)</f>
        <v>51.965735579955329</v>
      </c>
      <c r="W41" s="87">
        <f>IF(W12=0,0,W12/TrRail_act!W7*1000)</f>
        <v>47.941782945288878</v>
      </c>
      <c r="X41" s="87">
        <f>IF(X12=0,0,X12/TrRail_act!X7*1000)</f>
        <v>41.100230396853192</v>
      </c>
      <c r="Y41" s="87">
        <f>IF(Y12=0,0,Y12/TrRail_act!Y7*1000)</f>
        <v>43.11620665742938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21.536169519157362</v>
      </c>
      <c r="C44" s="29">
        <f>IF(C15=0,0,C15/TrRail_act!C10*1000)</f>
        <v>21.974484107239114</v>
      </c>
      <c r="D44" s="29">
        <f>IF(D15=0,0,D15/TrRail_act!D10*1000)</f>
        <v>18.87005870483063</v>
      </c>
      <c r="E44" s="29">
        <f>IF(E15=0,0,E15/TrRail_act!E10*1000)</f>
        <v>18.357445947044564</v>
      </c>
      <c r="F44" s="29">
        <f>IF(F15=0,0,F15/TrRail_act!F10*1000)</f>
        <v>17.7912349814879</v>
      </c>
      <c r="G44" s="29">
        <f>IF(G15=0,0,G15/TrRail_act!G10*1000)</f>
        <v>17.581418862054356</v>
      </c>
      <c r="H44" s="29">
        <f>IF(H15=0,0,H15/TrRail_act!H10*1000)</f>
        <v>16.340418965516616</v>
      </c>
      <c r="I44" s="29">
        <f>IF(I15=0,0,I15/TrRail_act!I10*1000)</f>
        <v>15.28671538818886</v>
      </c>
      <c r="J44" s="29">
        <f>IF(J15=0,0,J15/TrRail_act!J10*1000)</f>
        <v>15.090630936643713</v>
      </c>
      <c r="K44" s="29">
        <f>IF(K15=0,0,K15/TrRail_act!K10*1000)</f>
        <v>14.268623019147803</v>
      </c>
      <c r="L44" s="29">
        <f>IF(L15=0,0,L15/TrRail_act!L10*1000)</f>
        <v>13.282863047730887</v>
      </c>
      <c r="M44" s="29">
        <f>IF(M15=0,0,M15/TrRail_act!M10*1000)</f>
        <v>12.183885570706632</v>
      </c>
      <c r="N44" s="29">
        <f>IF(N15=0,0,N15/TrRail_act!N10*1000)</f>
        <v>11.659593203759179</v>
      </c>
      <c r="O44" s="29">
        <f>IF(O15=0,0,O15/TrRail_act!O10*1000)</f>
        <v>11.451788778165884</v>
      </c>
      <c r="P44" s="29">
        <f>IF(P15=0,0,P15/TrRail_act!P10*1000)</f>
        <v>11.211594791372898</v>
      </c>
      <c r="Q44" s="29">
        <f>IF(Q15=0,0,Q15/TrRail_act!Q10*1000)</f>
        <v>10.673527522881772</v>
      </c>
      <c r="R44" s="29">
        <f>IF(R15=0,0,R15/TrRail_act!R10*1000)</f>
        <v>10.693613798433773</v>
      </c>
      <c r="S44" s="29">
        <f>IF(S15=0,0,S15/TrRail_act!S10*1000)</f>
        <v>10.210309486305384</v>
      </c>
      <c r="T44" s="29">
        <f>IF(T15=0,0,T15/TrRail_act!T10*1000)</f>
        <v>10.564339321015215</v>
      </c>
      <c r="U44" s="29">
        <f>IF(U15=0,0,U15/TrRail_act!U10*1000)</f>
        <v>9.9021243082438186</v>
      </c>
      <c r="V44" s="29">
        <f>IF(V15=0,0,V15/TrRail_act!V10*1000)</f>
        <v>9.7818062928031662</v>
      </c>
      <c r="W44" s="29">
        <f>IF(W15=0,0,W15/TrRail_act!W10*1000)</f>
        <v>9.9205338986478999</v>
      </c>
      <c r="X44" s="29">
        <f>IF(X15=0,0,X15/TrRail_act!X10*1000)</f>
        <v>10.107026369777881</v>
      </c>
      <c r="Y44" s="29">
        <f>IF(Y15=0,0,Y15/TrRail_act!Y10*1000)</f>
        <v>12.042000257190185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21.536169519157362</v>
      </c>
      <c r="C45" s="87">
        <f>IF(C16=0,0,C16/TrRail_act!C11*1000)</f>
        <v>21.974484107239114</v>
      </c>
      <c r="D45" s="87">
        <f>IF(D16=0,0,D16/TrRail_act!D11*1000)</f>
        <v>18.87005870483063</v>
      </c>
      <c r="E45" s="87">
        <f>IF(E16=0,0,E16/TrRail_act!E11*1000)</f>
        <v>18.357445947044564</v>
      </c>
      <c r="F45" s="87">
        <f>IF(F16=0,0,F16/TrRail_act!F11*1000)</f>
        <v>17.7912349814879</v>
      </c>
      <c r="G45" s="87">
        <f>IF(G16=0,0,G16/TrRail_act!G11*1000)</f>
        <v>17.581418862054356</v>
      </c>
      <c r="H45" s="87">
        <f>IF(H16=0,0,H16/TrRail_act!H11*1000)</f>
        <v>16.340418965516616</v>
      </c>
      <c r="I45" s="87">
        <f>IF(I16=0,0,I16/TrRail_act!I11*1000)</f>
        <v>15.28671538818886</v>
      </c>
      <c r="J45" s="87">
        <f>IF(J16=0,0,J16/TrRail_act!J11*1000)</f>
        <v>15.090630936643713</v>
      </c>
      <c r="K45" s="87">
        <f>IF(K16=0,0,K16/TrRail_act!K11*1000)</f>
        <v>14.268623019147803</v>
      </c>
      <c r="L45" s="87">
        <f>IF(L16=0,0,L16/TrRail_act!L11*1000)</f>
        <v>13.282863047730887</v>
      </c>
      <c r="M45" s="87">
        <f>IF(M16=0,0,M16/TrRail_act!M11*1000)</f>
        <v>12.183885570706632</v>
      </c>
      <c r="N45" s="87">
        <f>IF(N16=0,0,N16/TrRail_act!N11*1000)</f>
        <v>11.659593203759179</v>
      </c>
      <c r="O45" s="87">
        <f>IF(O16=0,0,O16/TrRail_act!O11*1000)</f>
        <v>11.451788778165884</v>
      </c>
      <c r="P45" s="87">
        <f>IF(P16=0,0,P16/TrRail_act!P11*1000)</f>
        <v>11.211594791372898</v>
      </c>
      <c r="Q45" s="87">
        <f>IF(Q16=0,0,Q16/TrRail_act!Q11*1000)</f>
        <v>10.673527522881772</v>
      </c>
      <c r="R45" s="87">
        <f>IF(R16=0,0,R16/TrRail_act!R11*1000)</f>
        <v>10.693613798433773</v>
      </c>
      <c r="S45" s="87">
        <f>IF(S16=0,0,S16/TrRail_act!S11*1000)</f>
        <v>10.210309486305384</v>
      </c>
      <c r="T45" s="87">
        <f>IF(T16=0,0,T16/TrRail_act!T11*1000)</f>
        <v>10.564339321015215</v>
      </c>
      <c r="U45" s="87">
        <f>IF(U16=0,0,U16/TrRail_act!U11*1000)</f>
        <v>9.9021243082438186</v>
      </c>
      <c r="V45" s="87">
        <f>IF(V16=0,0,V16/TrRail_act!V11*1000)</f>
        <v>9.7818062928031662</v>
      </c>
      <c r="W45" s="87">
        <f>IF(W16=0,0,W16/TrRail_act!W11*1000)</f>
        <v>9.9205338986478999</v>
      </c>
      <c r="X45" s="87">
        <f>IF(X16=0,0,X16/TrRail_act!X11*1000)</f>
        <v>10.107026369777881</v>
      </c>
      <c r="Y45" s="87">
        <f>IF(Y16=0,0,Y16/TrRail_act!Y11*1000)</f>
        <v>12.042000257190185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2270.9958163178612</v>
      </c>
      <c r="C48" s="62">
        <f>IF(C8=0,0,1000000*C8/TrRail_act!C25/1000)</f>
        <v>2234.9501475483557</v>
      </c>
      <c r="D48" s="62">
        <f>IF(D8=0,0,1000000*D8/TrRail_act!D25/1000)</f>
        <v>2312.8090214156391</v>
      </c>
      <c r="E48" s="62">
        <f>IF(E8=0,0,1000000*E8/TrRail_act!E25/1000)</f>
        <v>2374.0645508816947</v>
      </c>
      <c r="F48" s="62">
        <f>IF(F8=0,0,1000000*F8/TrRail_act!F25/1000)</f>
        <v>2362.2247729288792</v>
      </c>
      <c r="G48" s="62">
        <f>IF(G8=0,0,1000000*G8/TrRail_act!G25/1000)</f>
        <v>2366.134242943021</v>
      </c>
      <c r="H48" s="62">
        <f>IF(H8=0,0,1000000*H8/TrRail_act!H25/1000)</f>
        <v>2406.9912883747097</v>
      </c>
      <c r="I48" s="62">
        <f>IF(I8=0,0,1000000*I8/TrRail_act!I25/1000)</f>
        <v>2466.539862778598</v>
      </c>
      <c r="J48" s="62">
        <f>IF(J8=0,0,1000000*J8/TrRail_act!J25/1000)</f>
        <v>2375.9686252747183</v>
      </c>
      <c r="K48" s="62">
        <f>IF(K8=0,0,1000000*K8/TrRail_act!K25/1000)</f>
        <v>1973.3521740493318</v>
      </c>
      <c r="L48" s="62">
        <f>IF(L8=0,0,1000000*L8/TrRail_act!L25/1000)</f>
        <v>2215.4288732255422</v>
      </c>
      <c r="M48" s="62">
        <f>IF(M8=0,0,1000000*M8/TrRail_act!M25/1000)</f>
        <v>2190.9829368599262</v>
      </c>
      <c r="N48" s="62">
        <f>IF(N8=0,0,1000000*N8/TrRail_act!N25/1000)</f>
        <v>2056.567434750089</v>
      </c>
      <c r="O48" s="62">
        <f>IF(O8=0,0,1000000*O8/TrRail_act!O25/1000)</f>
        <v>2035.0117951124557</v>
      </c>
      <c r="P48" s="62">
        <f>IF(P8=0,0,1000000*P8/TrRail_act!P25/1000)</f>
        <v>2005.9738885425206</v>
      </c>
      <c r="Q48" s="62">
        <f>IF(Q8=0,0,1000000*Q8/TrRail_act!Q25/1000)</f>
        <v>1988.7097218500271</v>
      </c>
      <c r="R48" s="62">
        <f>IF(R8=0,0,1000000*R8/TrRail_act!R25/1000)</f>
        <v>1977.485489076397</v>
      </c>
      <c r="S48" s="62">
        <f>IF(S8=0,0,1000000*S8/TrRail_act!S25/1000)</f>
        <v>1958.6321863649077</v>
      </c>
      <c r="T48" s="62">
        <f>IF(T8=0,0,1000000*T8/TrRail_act!T25/1000)</f>
        <v>1936.8037564843253</v>
      </c>
      <c r="U48" s="62">
        <f>IF(U8=0,0,1000000*U8/TrRail_act!U25/1000)</f>
        <v>1876.8751472438623</v>
      </c>
      <c r="V48" s="62">
        <f>IF(V8=0,0,1000000*V8/TrRail_act!V25/1000)</f>
        <v>1904.8522774904434</v>
      </c>
      <c r="W48" s="62">
        <f>IF(W8=0,0,1000000*W8/TrRail_act!W25/1000)</f>
        <v>1805.7729947104121</v>
      </c>
      <c r="X48" s="62">
        <f>IF(X8=0,0,1000000*X8/TrRail_act!X25/1000)</f>
        <v>1079.9719226614172</v>
      </c>
      <c r="Y48" s="62">
        <f>IF(Y8=0,0,1000000*Y8/TrRail_act!Y25/1000)</f>
        <v>1200.6167482926755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943.41528483667037</v>
      </c>
      <c r="C49" s="29">
        <f>IF(C9=0,0,1000000*C9/TrRail_act!C26/1000)</f>
        <v>928.63650957728851</v>
      </c>
      <c r="D49" s="29">
        <f>IF(D9=0,0,1000000*D9/TrRail_act!D26/1000)</f>
        <v>930.85783935888094</v>
      </c>
      <c r="E49" s="29">
        <f>IF(E9=0,0,1000000*E9/TrRail_act!E26/1000)</f>
        <v>869.94354845233067</v>
      </c>
      <c r="F49" s="29">
        <f>IF(F9=0,0,1000000*F9/TrRail_act!F26/1000)</f>
        <v>881.62468970328382</v>
      </c>
      <c r="G49" s="29">
        <f>IF(G9=0,0,1000000*G9/TrRail_act!G26/1000)</f>
        <v>586.89350968697943</v>
      </c>
      <c r="H49" s="29">
        <f>IF(H9=0,0,1000000*H9/TrRail_act!H26/1000)</f>
        <v>613.15808135005148</v>
      </c>
      <c r="I49" s="29">
        <f>IF(I9=0,0,1000000*I9/TrRail_act!I26/1000)</f>
        <v>655.79800441514499</v>
      </c>
      <c r="J49" s="29">
        <f>IF(J9=0,0,1000000*J9/TrRail_act!J26/1000)</f>
        <v>703.69768894069534</v>
      </c>
      <c r="K49" s="29">
        <f>IF(K9=0,0,1000000*K9/TrRail_act!K26/1000)</f>
        <v>653.09755159837357</v>
      </c>
      <c r="L49" s="29">
        <f>IF(L9=0,0,1000000*L9/TrRail_act!L26/1000)</f>
        <v>661.29270299306086</v>
      </c>
      <c r="M49" s="29">
        <f>IF(M9=0,0,1000000*M9/TrRail_act!M26/1000)</f>
        <v>684.17099127008203</v>
      </c>
      <c r="N49" s="29">
        <f>IF(N9=0,0,1000000*N9/TrRail_act!N26/1000)</f>
        <v>625.55574618271305</v>
      </c>
      <c r="O49" s="29">
        <f>IF(O9=0,0,1000000*O9/TrRail_act!O26/1000)</f>
        <v>620.97368529557139</v>
      </c>
      <c r="P49" s="29">
        <f>IF(P9=0,0,1000000*P9/TrRail_act!P26/1000)</f>
        <v>572.8384142567885</v>
      </c>
      <c r="Q49" s="29">
        <f>IF(Q9=0,0,1000000*Q9/TrRail_act!Q26/1000)</f>
        <v>578.90865080226365</v>
      </c>
      <c r="R49" s="29">
        <f>IF(R9=0,0,1000000*R9/TrRail_act!R26/1000)</f>
        <v>539.2357134723203</v>
      </c>
      <c r="S49" s="29">
        <f>IF(S9=0,0,1000000*S9/TrRail_act!S26/1000)</f>
        <v>583.55586847600262</v>
      </c>
      <c r="T49" s="29">
        <f>IF(T9=0,0,1000000*T9/TrRail_act!T26/1000)</f>
        <v>533.66581022088087</v>
      </c>
      <c r="U49" s="29">
        <f>IF(U9=0,0,1000000*U9/TrRail_act!U26/1000)</f>
        <v>544.46076451791578</v>
      </c>
      <c r="V49" s="29">
        <f>IF(V9=0,0,1000000*V9/TrRail_act!V26/1000)</f>
        <v>502.23861876791347</v>
      </c>
      <c r="W49" s="29">
        <f>IF(W9=0,0,1000000*W9/TrRail_act!W26/1000)</f>
        <v>517.84468646876155</v>
      </c>
      <c r="X49" s="29">
        <f>IF(X9=0,0,1000000*X9/TrRail_act!X26/1000)</f>
        <v>524.23131538693463</v>
      </c>
      <c r="Y49" s="29">
        <f>IF(Y9=0,0,1000000*Y9/TrRail_act!Y26/1000)</f>
        <v>540.99842620052812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943.41528483667037</v>
      </c>
      <c r="C51" s="116">
        <f>IF(C11=0,0,1000000*C11/TrRail_act!C28/1000)</f>
        <v>928.63650957728851</v>
      </c>
      <c r="D51" s="116">
        <f>IF(D11=0,0,1000000*D11/TrRail_act!D28/1000)</f>
        <v>930.85783935888094</v>
      </c>
      <c r="E51" s="116">
        <f>IF(E11=0,0,1000000*E11/TrRail_act!E28/1000)</f>
        <v>869.94354845233067</v>
      </c>
      <c r="F51" s="116">
        <f>IF(F11=0,0,1000000*F11/TrRail_act!F28/1000)</f>
        <v>881.62468970328382</v>
      </c>
      <c r="G51" s="116">
        <f>IF(G11=0,0,1000000*G11/TrRail_act!G28/1000)</f>
        <v>586.89350968697943</v>
      </c>
      <c r="H51" s="116">
        <f>IF(H11=0,0,1000000*H11/TrRail_act!H28/1000)</f>
        <v>613.15808135005148</v>
      </c>
      <c r="I51" s="116">
        <f>IF(I11=0,0,1000000*I11/TrRail_act!I28/1000)</f>
        <v>655.79800441514499</v>
      </c>
      <c r="J51" s="116">
        <f>IF(J11=0,0,1000000*J11/TrRail_act!J28/1000)</f>
        <v>703.69768894069534</v>
      </c>
      <c r="K51" s="116">
        <f>IF(K11=0,0,1000000*K11/TrRail_act!K28/1000)</f>
        <v>653.09755159837357</v>
      </c>
      <c r="L51" s="116">
        <f>IF(L11=0,0,1000000*L11/TrRail_act!L28/1000)</f>
        <v>661.29270299306086</v>
      </c>
      <c r="M51" s="116">
        <f>IF(M11=0,0,1000000*M11/TrRail_act!M28/1000)</f>
        <v>684.17099127008203</v>
      </c>
      <c r="N51" s="116">
        <f>IF(N11=0,0,1000000*N11/TrRail_act!N28/1000)</f>
        <v>625.55574618271305</v>
      </c>
      <c r="O51" s="116">
        <f>IF(O11=0,0,1000000*O11/TrRail_act!O28/1000)</f>
        <v>620.97368529557139</v>
      </c>
      <c r="P51" s="116">
        <f>IF(P11=0,0,1000000*P11/TrRail_act!P28/1000)</f>
        <v>572.8384142567885</v>
      </c>
      <c r="Q51" s="116">
        <f>IF(Q11=0,0,1000000*Q11/TrRail_act!Q28/1000)</f>
        <v>578.90865080226365</v>
      </c>
      <c r="R51" s="116">
        <f>IF(R11=0,0,1000000*R11/TrRail_act!R28/1000)</f>
        <v>539.2357134723203</v>
      </c>
      <c r="S51" s="116">
        <f>IF(S11=0,0,1000000*S11/TrRail_act!S28/1000)</f>
        <v>583.55586847600262</v>
      </c>
      <c r="T51" s="116">
        <f>IF(T11=0,0,1000000*T11/TrRail_act!T28/1000)</f>
        <v>533.66581022088087</v>
      </c>
      <c r="U51" s="116">
        <f>IF(U11=0,0,1000000*U11/TrRail_act!U28/1000)</f>
        <v>544.46076451791578</v>
      </c>
      <c r="V51" s="116">
        <f>IF(V11=0,0,1000000*V11/TrRail_act!V28/1000)</f>
        <v>502.23861876791347</v>
      </c>
      <c r="W51" s="116">
        <f>IF(W11=0,0,1000000*W11/TrRail_act!W28/1000)</f>
        <v>517.84468646876155</v>
      </c>
      <c r="X51" s="116">
        <f>IF(X11=0,0,1000000*X11/TrRail_act!X28/1000)</f>
        <v>524.23131538693463</v>
      </c>
      <c r="Y51" s="116">
        <f>IF(Y11=0,0,1000000*Y11/TrRail_act!Y28/1000)</f>
        <v>540.99842620052812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1026.9732513961303</v>
      </c>
      <c r="C52" s="87">
        <f>IF(C12=0,0,1000000*C12/TrRail_act!C29/1000)</f>
        <v>1010.8855273996418</v>
      </c>
      <c r="D52" s="87">
        <f>IF(D12=0,0,1000000*D12/TrRail_act!D29/1000)</f>
        <v>1015.8588945478757</v>
      </c>
      <c r="E52" s="87">
        <f>IF(E12=0,0,1000000*E12/TrRail_act!E29/1000)</f>
        <v>975.35402630323301</v>
      </c>
      <c r="F52" s="87">
        <f>IF(F12=0,0,1000000*F12/TrRail_act!F29/1000)</f>
        <v>1008.0071268678602</v>
      </c>
      <c r="G52" s="87">
        <f>IF(G12=0,0,1000000*G12/TrRail_act!G29/1000)</f>
        <v>683.87154385299664</v>
      </c>
      <c r="H52" s="87">
        <f>IF(H12=0,0,1000000*H12/TrRail_act!H29/1000)</f>
        <v>733.97728153644709</v>
      </c>
      <c r="I52" s="87">
        <f>IF(I12=0,0,1000000*I12/TrRail_act!I29/1000)</f>
        <v>817.59987796296537</v>
      </c>
      <c r="J52" s="87">
        <f>IF(J12=0,0,1000000*J12/TrRail_act!J29/1000)</f>
        <v>964.88162062830418</v>
      </c>
      <c r="K52" s="87">
        <f>IF(K12=0,0,1000000*K12/TrRail_act!K29/1000)</f>
        <v>959.21059853115923</v>
      </c>
      <c r="L52" s="87">
        <f>IF(L12=0,0,1000000*L12/TrRail_act!L29/1000)</f>
        <v>942.35656410413003</v>
      </c>
      <c r="M52" s="87">
        <f>IF(M12=0,0,1000000*M12/TrRail_act!M29/1000)</f>
        <v>931.09316045712239</v>
      </c>
      <c r="N52" s="87">
        <f>IF(N12=0,0,1000000*N12/TrRail_act!N29/1000)</f>
        <v>871.80963795756441</v>
      </c>
      <c r="O52" s="87">
        <f>IF(O12=0,0,1000000*O12/TrRail_act!O29/1000)</f>
        <v>855.20295543660995</v>
      </c>
      <c r="P52" s="87">
        <f>IF(P12=0,0,1000000*P12/TrRail_act!P29/1000)</f>
        <v>839.23105292374669</v>
      </c>
      <c r="Q52" s="87">
        <f>IF(Q12=0,0,1000000*Q12/TrRail_act!Q29/1000)</f>
        <v>846.20916997493975</v>
      </c>
      <c r="R52" s="87">
        <f>IF(R12=0,0,1000000*R12/TrRail_act!R29/1000)</f>
        <v>838.09762046855042</v>
      </c>
      <c r="S52" s="87">
        <f>IF(S12=0,0,1000000*S12/TrRail_act!S29/1000)</f>
        <v>833.21626144086406</v>
      </c>
      <c r="T52" s="87">
        <f>IF(T12=0,0,1000000*T12/TrRail_act!T29/1000)</f>
        <v>832.22446839357156</v>
      </c>
      <c r="U52" s="87">
        <f>IF(U12=0,0,1000000*U12/TrRail_act!U29/1000)</f>
        <v>827.84345665477042</v>
      </c>
      <c r="V52" s="87">
        <f>IF(V12=0,0,1000000*V12/TrRail_act!V29/1000)</f>
        <v>815.14083154965294</v>
      </c>
      <c r="W52" s="87">
        <f>IF(W12=0,0,1000000*W12/TrRail_act!W29/1000)</f>
        <v>783.45673497775329</v>
      </c>
      <c r="X52" s="87">
        <f>IF(X12=0,0,1000000*X12/TrRail_act!X29/1000)</f>
        <v>794.59675179346766</v>
      </c>
      <c r="Y52" s="87">
        <f>IF(Y12=0,0,1000000*Y12/TrRail_act!Y29/1000)</f>
        <v>797.13283096359442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2906.4547652369629</v>
      </c>
      <c r="C55" s="29">
        <f>IF(C15=0,0,1000000*C15/TrRail_act!C32/1000)</f>
        <v>2860.2295039838277</v>
      </c>
      <c r="D55" s="29">
        <f>IF(D15=0,0,1000000*D15/TrRail_act!D32/1000)</f>
        <v>2893.553051980276</v>
      </c>
      <c r="E55" s="29">
        <f>IF(E15=0,0,1000000*E15/TrRail_act!E32/1000)</f>
        <v>2871.9525026152487</v>
      </c>
      <c r="F55" s="29">
        <f>IF(F15=0,0,1000000*F15/TrRail_act!F32/1000)</f>
        <v>2852.9025091316662</v>
      </c>
      <c r="G55" s="29">
        <f>IF(G15=0,0,1000000*G15/TrRail_act!G32/1000)</f>
        <v>2856.3293841232316</v>
      </c>
      <c r="H55" s="29">
        <f>IF(H15=0,0,1000000*H15/TrRail_act!H32/1000)</f>
        <v>2848.9411087452345</v>
      </c>
      <c r="I55" s="29">
        <f>IF(I15=0,0,1000000*I15/TrRail_act!I32/1000)</f>
        <v>2823.9425100236053</v>
      </c>
      <c r="J55" s="29">
        <f>IF(J15=0,0,1000000*J15/TrRail_act!J32/1000)</f>
        <v>2673.4819834796044</v>
      </c>
      <c r="K55" s="29">
        <f>IF(K15=0,0,1000000*K15/TrRail_act!K32/1000)</f>
        <v>2213.3343041095809</v>
      </c>
      <c r="L55" s="29">
        <f>IF(L15=0,0,1000000*L15/TrRail_act!L32/1000)</f>
        <v>2547.5134287847427</v>
      </c>
      <c r="M55" s="29">
        <f>IF(M15=0,0,1000000*M15/TrRail_act!M32/1000)</f>
        <v>2518.345710807293</v>
      </c>
      <c r="N55" s="29">
        <f>IF(N15=0,0,1000000*N15/TrRail_act!N32/1000)</f>
        <v>2398.2835394176873</v>
      </c>
      <c r="O55" s="29">
        <f>IF(O15=0,0,1000000*O15/TrRail_act!O32/1000)</f>
        <v>2389.3957752831611</v>
      </c>
      <c r="P55" s="29">
        <f>IF(P15=0,0,1000000*P15/TrRail_act!P32/1000)</f>
        <v>2322.7701908704516</v>
      </c>
      <c r="Q55" s="29">
        <f>IF(Q15=0,0,1000000*Q15/TrRail_act!Q32/1000)</f>
        <v>2328.7474030521089</v>
      </c>
      <c r="R55" s="29">
        <f>IF(R15=0,0,1000000*R15/TrRail_act!R32/1000)</f>
        <v>2319.6487333177283</v>
      </c>
      <c r="S55" s="29">
        <f>IF(S15=0,0,1000000*S15/TrRail_act!S32/1000)</f>
        <v>2316.0481040805107</v>
      </c>
      <c r="T55" s="29">
        <f>IF(T15=0,0,1000000*T15/TrRail_act!T32/1000)</f>
        <v>2320.7428411510919</v>
      </c>
      <c r="U55" s="29">
        <f>IF(U15=0,0,1000000*U15/TrRail_act!U32/1000)</f>
        <v>2280.6452796532599</v>
      </c>
      <c r="V55" s="29">
        <f>IF(V15=0,0,1000000*V15/TrRail_act!V32/1000)</f>
        <v>2282.7182240879356</v>
      </c>
      <c r="W55" s="29">
        <f>IF(W15=0,0,1000000*W15/TrRail_act!W32/1000)</f>
        <v>2196.9688035623381</v>
      </c>
      <c r="X55" s="29">
        <f>IF(X15=0,0,1000000*X15/TrRail_act!X32/1000)</f>
        <v>1259.8434317919689</v>
      </c>
      <c r="Y55" s="29">
        <f>IF(Y15=0,0,1000000*Y15/TrRail_act!Y32/1000)</f>
        <v>1445.0627504477809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2906.4547652369629</v>
      </c>
      <c r="C56" s="87">
        <f>IF(C16=0,0,1000000*C16/TrRail_act!C33/1000)</f>
        <v>2860.2295039838277</v>
      </c>
      <c r="D56" s="87">
        <f>IF(D16=0,0,1000000*D16/TrRail_act!D33/1000)</f>
        <v>2893.553051980276</v>
      </c>
      <c r="E56" s="87">
        <f>IF(E16=0,0,1000000*E16/TrRail_act!E33/1000)</f>
        <v>2871.9525026152487</v>
      </c>
      <c r="F56" s="87">
        <f>IF(F16=0,0,1000000*F16/TrRail_act!F33/1000)</f>
        <v>2852.9025091316662</v>
      </c>
      <c r="G56" s="87">
        <f>IF(G16=0,0,1000000*G16/TrRail_act!G33/1000)</f>
        <v>2856.3293841232316</v>
      </c>
      <c r="H56" s="87">
        <f>IF(H16=0,0,1000000*H16/TrRail_act!H33/1000)</f>
        <v>2848.9411087452345</v>
      </c>
      <c r="I56" s="87">
        <f>IF(I16=0,0,1000000*I16/TrRail_act!I33/1000)</f>
        <v>2823.9425100236053</v>
      </c>
      <c r="J56" s="87">
        <f>IF(J16=0,0,1000000*J16/TrRail_act!J33/1000)</f>
        <v>2673.4819834796044</v>
      </c>
      <c r="K56" s="87">
        <f>IF(K16=0,0,1000000*K16/TrRail_act!K33/1000)</f>
        <v>2213.3343041095809</v>
      </c>
      <c r="L56" s="87">
        <f>IF(L16=0,0,1000000*L16/TrRail_act!L33/1000)</f>
        <v>2547.5134287847427</v>
      </c>
      <c r="M56" s="87">
        <f>IF(M16=0,0,1000000*M16/TrRail_act!M33/1000)</f>
        <v>2518.345710807293</v>
      </c>
      <c r="N56" s="87">
        <f>IF(N16=0,0,1000000*N16/TrRail_act!N33/1000)</f>
        <v>2398.2835394176873</v>
      </c>
      <c r="O56" s="87">
        <f>IF(O16=0,0,1000000*O16/TrRail_act!O33/1000)</f>
        <v>2389.3957752831611</v>
      </c>
      <c r="P56" s="87">
        <f>IF(P16=0,0,1000000*P16/TrRail_act!P33/1000)</f>
        <v>2322.7701908704516</v>
      </c>
      <c r="Q56" s="87">
        <f>IF(Q16=0,0,1000000*Q16/TrRail_act!Q33/1000)</f>
        <v>2328.7474030521089</v>
      </c>
      <c r="R56" s="87">
        <f>IF(R16=0,0,1000000*R16/TrRail_act!R33/1000)</f>
        <v>2319.6487333177283</v>
      </c>
      <c r="S56" s="87">
        <f>IF(S16=0,0,1000000*S16/TrRail_act!S33/1000)</f>
        <v>2316.0481040805107</v>
      </c>
      <c r="T56" s="87">
        <f>IF(T16=0,0,1000000*T16/TrRail_act!T33/1000)</f>
        <v>2320.7428411510919</v>
      </c>
      <c r="U56" s="87">
        <f>IF(U16=0,0,1000000*U16/TrRail_act!U33/1000)</f>
        <v>2280.6452796532599</v>
      </c>
      <c r="V56" s="87">
        <f>IF(V16=0,0,1000000*V16/TrRail_act!V33/1000)</f>
        <v>2282.7182240879356</v>
      </c>
      <c r="W56" s="87">
        <f>IF(W16=0,0,1000000*W16/TrRail_act!W33/1000)</f>
        <v>2196.9688035623381</v>
      </c>
      <c r="X56" s="87">
        <f>IF(X16=0,0,1000000*X16/TrRail_act!X33/1000)</f>
        <v>1259.8434317919689</v>
      </c>
      <c r="Y56" s="87">
        <f>IF(Y16=0,0,1000000*Y16/TrRail_act!Y33/1000)</f>
        <v>1445.0627504477809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0.1344760797314952</v>
      </c>
      <c r="C60" s="31">
        <f t="shared" ref="C60:V60" si="13">IF(C9=0,0,C9/C$8)</f>
        <v>0.13450436635939358</v>
      </c>
      <c r="D60" s="31">
        <f t="shared" si="13"/>
        <v>0.11909005042446193</v>
      </c>
      <c r="E60" s="31">
        <f t="shared" si="13"/>
        <v>9.1130583263934167E-2</v>
      </c>
      <c r="F60" s="31">
        <f t="shared" si="13"/>
        <v>9.2899000604107301E-2</v>
      </c>
      <c r="G60" s="31">
        <f t="shared" si="13"/>
        <v>5.3576089630888245E-2</v>
      </c>
      <c r="H60" s="31">
        <f t="shared" si="13"/>
        <v>5.0354842847806676E-2</v>
      </c>
      <c r="I60" s="31">
        <f t="shared" si="13"/>
        <v>4.382798383098483E-2</v>
      </c>
      <c r="J60" s="31">
        <f t="shared" si="13"/>
        <v>4.4733535408057717E-2</v>
      </c>
      <c r="K60" s="31">
        <f t="shared" si="13"/>
        <v>5.0905165896429405E-2</v>
      </c>
      <c r="L60" s="31">
        <f t="shared" si="13"/>
        <v>5.2552343136984529E-2</v>
      </c>
      <c r="M60" s="31">
        <f t="shared" si="13"/>
        <v>5.5733234691018846E-2</v>
      </c>
      <c r="N60" s="31">
        <f t="shared" si="13"/>
        <v>5.8633586039277513E-2</v>
      </c>
      <c r="O60" s="31">
        <f t="shared" si="13"/>
        <v>6.1149712034392394E-2</v>
      </c>
      <c r="P60" s="31">
        <f t="shared" si="13"/>
        <v>5.1697059887277741E-2</v>
      </c>
      <c r="Q60" s="31">
        <f t="shared" si="13"/>
        <v>5.6567587629591513E-2</v>
      </c>
      <c r="R60" s="31">
        <f t="shared" si="13"/>
        <v>5.2405628752723171E-2</v>
      </c>
      <c r="S60" s="31">
        <f t="shared" si="13"/>
        <v>6.1465603067123779E-2</v>
      </c>
      <c r="T60" s="31">
        <f t="shared" si="13"/>
        <v>5.9197424692764136E-2</v>
      </c>
      <c r="U60" s="31">
        <f t="shared" si="13"/>
        <v>6.7463600697475146E-2</v>
      </c>
      <c r="V60" s="31">
        <f t="shared" si="13"/>
        <v>5.5956372684413232E-2</v>
      </c>
      <c r="W60" s="31">
        <f t="shared" ref="W60:Y60" si="14">IF(W9=0,0,W9/W$8)</f>
        <v>6.6810968032331081E-2</v>
      </c>
      <c r="X60" s="31">
        <f t="shared" si="14"/>
        <v>0.11869269749011895</v>
      </c>
      <c r="Y60" s="31">
        <f t="shared" si="14"/>
        <v>0.12183588199531059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0.1344760797314952</v>
      </c>
      <c r="C62" s="124">
        <f t="shared" ref="C62:V62" si="17">IF(C11=0,0,C11/C$8)</f>
        <v>0.13450436635939358</v>
      </c>
      <c r="D62" s="124">
        <f t="shared" si="17"/>
        <v>0.11909005042446193</v>
      </c>
      <c r="E62" s="124">
        <f t="shared" si="17"/>
        <v>9.1130583263934167E-2</v>
      </c>
      <c r="F62" s="124">
        <f t="shared" si="17"/>
        <v>9.2899000604107301E-2</v>
      </c>
      <c r="G62" s="124">
        <f t="shared" si="17"/>
        <v>5.3576089630888245E-2</v>
      </c>
      <c r="H62" s="124">
        <f t="shared" si="17"/>
        <v>5.0354842847806676E-2</v>
      </c>
      <c r="I62" s="124">
        <f t="shared" si="17"/>
        <v>4.382798383098483E-2</v>
      </c>
      <c r="J62" s="124">
        <f t="shared" si="17"/>
        <v>4.4733535408057717E-2</v>
      </c>
      <c r="K62" s="124">
        <f t="shared" si="17"/>
        <v>5.0905165896429405E-2</v>
      </c>
      <c r="L62" s="124">
        <f t="shared" si="17"/>
        <v>5.2552343136984529E-2</v>
      </c>
      <c r="M62" s="124">
        <f t="shared" si="17"/>
        <v>5.5733234691018846E-2</v>
      </c>
      <c r="N62" s="124">
        <f t="shared" si="17"/>
        <v>5.8633586039277513E-2</v>
      </c>
      <c r="O62" s="124">
        <f t="shared" si="17"/>
        <v>6.1149712034392394E-2</v>
      </c>
      <c r="P62" s="124">
        <f t="shared" si="17"/>
        <v>5.1697059887277741E-2</v>
      </c>
      <c r="Q62" s="124">
        <f t="shared" si="17"/>
        <v>5.6567587629591513E-2</v>
      </c>
      <c r="R62" s="124">
        <f t="shared" si="17"/>
        <v>5.2405628752723171E-2</v>
      </c>
      <c r="S62" s="124">
        <f t="shared" si="17"/>
        <v>6.1465603067123779E-2</v>
      </c>
      <c r="T62" s="124">
        <f t="shared" si="17"/>
        <v>5.9197424692764136E-2</v>
      </c>
      <c r="U62" s="124">
        <f t="shared" si="17"/>
        <v>6.7463600697475146E-2</v>
      </c>
      <c r="V62" s="124">
        <f t="shared" si="17"/>
        <v>5.5956372684413232E-2</v>
      </c>
      <c r="W62" s="124">
        <f t="shared" ref="W62:Y62" si="18">IF(W11=0,0,W11/W$8)</f>
        <v>6.6810968032331081E-2</v>
      </c>
      <c r="X62" s="124">
        <f t="shared" si="18"/>
        <v>0.11869269749011895</v>
      </c>
      <c r="Y62" s="124">
        <f t="shared" si="18"/>
        <v>0.12183588199531059</v>
      </c>
      <c r="DA62" s="176"/>
    </row>
    <row r="63" spans="1:105" ht="11.45" customHeight="1" x14ac:dyDescent="0.25">
      <c r="A63" s="111" t="s">
        <v>92</v>
      </c>
      <c r="B63" s="125">
        <f t="shared" si="10"/>
        <v>0.1344760797314952</v>
      </c>
      <c r="C63" s="125">
        <f t="shared" ref="C63:V63" si="19">IF(C12=0,0,C12/C$8)</f>
        <v>0.13450436635939358</v>
      </c>
      <c r="D63" s="125">
        <f t="shared" si="19"/>
        <v>0.11909005042446193</v>
      </c>
      <c r="E63" s="125">
        <f t="shared" si="19"/>
        <v>9.1130583263934167E-2</v>
      </c>
      <c r="F63" s="125">
        <f t="shared" si="19"/>
        <v>9.2899000604107301E-2</v>
      </c>
      <c r="G63" s="125">
        <f t="shared" si="19"/>
        <v>5.3576089630888245E-2</v>
      </c>
      <c r="H63" s="125">
        <f t="shared" si="19"/>
        <v>5.0354842847806676E-2</v>
      </c>
      <c r="I63" s="125">
        <f t="shared" si="19"/>
        <v>4.382798383098483E-2</v>
      </c>
      <c r="J63" s="125">
        <f t="shared" si="19"/>
        <v>4.4733535408057717E-2</v>
      </c>
      <c r="K63" s="125">
        <f t="shared" si="19"/>
        <v>5.0905165896429405E-2</v>
      </c>
      <c r="L63" s="125">
        <f t="shared" si="19"/>
        <v>5.2552343136984529E-2</v>
      </c>
      <c r="M63" s="125">
        <f t="shared" si="19"/>
        <v>5.5733234691018846E-2</v>
      </c>
      <c r="N63" s="125">
        <f t="shared" si="19"/>
        <v>5.8633586039277513E-2</v>
      </c>
      <c r="O63" s="125">
        <f t="shared" si="19"/>
        <v>6.1149712034392394E-2</v>
      </c>
      <c r="P63" s="125">
        <f t="shared" si="19"/>
        <v>5.1697059887277741E-2</v>
      </c>
      <c r="Q63" s="125">
        <f t="shared" si="19"/>
        <v>5.6567587629591513E-2</v>
      </c>
      <c r="R63" s="125">
        <f t="shared" si="19"/>
        <v>5.2405628752723171E-2</v>
      </c>
      <c r="S63" s="125">
        <f t="shared" si="19"/>
        <v>6.1465603067123779E-2</v>
      </c>
      <c r="T63" s="125">
        <f t="shared" si="19"/>
        <v>5.9197424692764136E-2</v>
      </c>
      <c r="U63" s="125">
        <f t="shared" si="19"/>
        <v>6.7463600697475146E-2</v>
      </c>
      <c r="V63" s="125">
        <f t="shared" si="19"/>
        <v>5.5956372684413232E-2</v>
      </c>
      <c r="W63" s="125">
        <f t="shared" ref="W63:Y63" si="20">IF(W12=0,0,W12/W$8)</f>
        <v>6.6810968032331081E-2</v>
      </c>
      <c r="X63" s="125">
        <f t="shared" si="20"/>
        <v>0.11869269749011895</v>
      </c>
      <c r="Y63" s="125">
        <f t="shared" si="20"/>
        <v>0.12183588199531059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0.86552392026850478</v>
      </c>
      <c r="C66" s="31">
        <f t="shared" ref="C66:V66" si="25">IF(C15=0,0,C15/C$8)</f>
        <v>0.86549563364060644</v>
      </c>
      <c r="D66" s="31">
        <f t="shared" si="25"/>
        <v>0.88090994957553814</v>
      </c>
      <c r="E66" s="31">
        <f t="shared" si="25"/>
        <v>0.9088694167360658</v>
      </c>
      <c r="F66" s="31">
        <f t="shared" si="25"/>
        <v>0.90710099939589273</v>
      </c>
      <c r="G66" s="31">
        <f t="shared" si="25"/>
        <v>0.94642391036911178</v>
      </c>
      <c r="H66" s="31">
        <f t="shared" si="25"/>
        <v>0.94964515715219333</v>
      </c>
      <c r="I66" s="31">
        <f t="shared" si="25"/>
        <v>0.95617201616901515</v>
      </c>
      <c r="J66" s="31">
        <f t="shared" si="25"/>
        <v>0.95526646459194231</v>
      </c>
      <c r="K66" s="31">
        <f t="shared" si="25"/>
        <v>0.94909483410357065</v>
      </c>
      <c r="L66" s="31">
        <f t="shared" si="25"/>
        <v>0.94744765686301546</v>
      </c>
      <c r="M66" s="31">
        <f t="shared" si="25"/>
        <v>0.94426676530898113</v>
      </c>
      <c r="N66" s="31">
        <f t="shared" si="25"/>
        <v>0.9413664139607224</v>
      </c>
      <c r="O66" s="31">
        <f t="shared" si="25"/>
        <v>0.93885028796560765</v>
      </c>
      <c r="P66" s="31">
        <f t="shared" si="25"/>
        <v>0.94830294011272231</v>
      </c>
      <c r="Q66" s="31">
        <f t="shared" si="25"/>
        <v>0.94343241237040854</v>
      </c>
      <c r="R66" s="31">
        <f t="shared" si="25"/>
        <v>0.94759437124727675</v>
      </c>
      <c r="S66" s="31">
        <f t="shared" si="25"/>
        <v>0.93853439693287621</v>
      </c>
      <c r="T66" s="31">
        <f t="shared" si="25"/>
        <v>0.94080257530723577</v>
      </c>
      <c r="U66" s="31">
        <f t="shared" si="25"/>
        <v>0.93253639930252485</v>
      </c>
      <c r="V66" s="31">
        <f t="shared" si="25"/>
        <v>0.94404362731558678</v>
      </c>
      <c r="W66" s="31">
        <f t="shared" ref="W66:Y66" si="26">IF(W15=0,0,W15/W$8)</f>
        <v>0.933189031967669</v>
      </c>
      <c r="X66" s="31">
        <f t="shared" si="26"/>
        <v>0.8813073025098811</v>
      </c>
      <c r="Y66" s="31">
        <f t="shared" si="26"/>
        <v>0.87816411800468941</v>
      </c>
      <c r="DA66" s="173"/>
    </row>
    <row r="67" spans="1:105" ht="11.45" customHeight="1" x14ac:dyDescent="0.25">
      <c r="A67" s="83" t="s">
        <v>92</v>
      </c>
      <c r="B67" s="125">
        <f t="shared" si="10"/>
        <v>0.86552392026850478</v>
      </c>
      <c r="C67" s="125">
        <f t="shared" ref="C67:V67" si="27">IF(C16=0,0,C16/C$8)</f>
        <v>0.86549563364060644</v>
      </c>
      <c r="D67" s="125">
        <f t="shared" si="27"/>
        <v>0.88090994957553814</v>
      </c>
      <c r="E67" s="125">
        <f t="shared" si="27"/>
        <v>0.9088694167360658</v>
      </c>
      <c r="F67" s="125">
        <f t="shared" si="27"/>
        <v>0.90710099939589273</v>
      </c>
      <c r="G67" s="125">
        <f t="shared" si="27"/>
        <v>0.94642391036911178</v>
      </c>
      <c r="H67" s="125">
        <f t="shared" si="27"/>
        <v>0.94964515715219333</v>
      </c>
      <c r="I67" s="125">
        <f t="shared" si="27"/>
        <v>0.95617201616901515</v>
      </c>
      <c r="J67" s="125">
        <f t="shared" si="27"/>
        <v>0.95526646459194231</v>
      </c>
      <c r="K67" s="125">
        <f t="shared" si="27"/>
        <v>0.94909483410357065</v>
      </c>
      <c r="L67" s="125">
        <f t="shared" si="27"/>
        <v>0.94744765686301546</v>
      </c>
      <c r="M67" s="125">
        <f t="shared" si="27"/>
        <v>0.94426676530898113</v>
      </c>
      <c r="N67" s="125">
        <f t="shared" si="27"/>
        <v>0.9413664139607224</v>
      </c>
      <c r="O67" s="125">
        <f t="shared" si="27"/>
        <v>0.93885028796560765</v>
      </c>
      <c r="P67" s="125">
        <f t="shared" si="27"/>
        <v>0.94830294011272231</v>
      </c>
      <c r="Q67" s="125">
        <f t="shared" si="27"/>
        <v>0.94343241237040854</v>
      </c>
      <c r="R67" s="125">
        <f t="shared" si="27"/>
        <v>0.94759437124727675</v>
      </c>
      <c r="S67" s="125">
        <f t="shared" si="27"/>
        <v>0.93853439693287621</v>
      </c>
      <c r="T67" s="125">
        <f t="shared" si="27"/>
        <v>0.94080257530723577</v>
      </c>
      <c r="U67" s="125">
        <f t="shared" si="27"/>
        <v>0.93253639930252485</v>
      </c>
      <c r="V67" s="125">
        <f t="shared" si="27"/>
        <v>0.94404362731558678</v>
      </c>
      <c r="W67" s="125">
        <f t="shared" ref="W67:Y67" si="28">IF(W16=0,0,W16/W$8)</f>
        <v>0.933189031967669</v>
      </c>
      <c r="X67" s="125">
        <f t="shared" si="28"/>
        <v>0.8813073025098811</v>
      </c>
      <c r="Y67" s="125">
        <f t="shared" si="28"/>
        <v>0.87816411800468941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615.10985958143181</v>
      </c>
      <c r="C4" s="11">
        <f t="shared" si="0"/>
        <v>829.90355800769714</v>
      </c>
      <c r="D4" s="11">
        <f t="shared" ref="D4:V4" si="1">SUM(D5:D7)</f>
        <v>759.86505393269613</v>
      </c>
      <c r="E4" s="11">
        <f t="shared" si="1"/>
        <v>879.67699746122469</v>
      </c>
      <c r="F4" s="11">
        <f t="shared" si="1"/>
        <v>953.04907416925448</v>
      </c>
      <c r="G4" s="11">
        <f t="shared" si="1"/>
        <v>1295.4798764795214</v>
      </c>
      <c r="H4" s="11">
        <f t="shared" si="1"/>
        <v>1548.2025682930889</v>
      </c>
      <c r="I4" s="11">
        <f t="shared" si="1"/>
        <v>1858.3006832172157</v>
      </c>
      <c r="J4" s="11">
        <f t="shared" si="1"/>
        <v>1860.5447641818705</v>
      </c>
      <c r="K4" s="11">
        <f t="shared" si="1"/>
        <v>1186.487982304604</v>
      </c>
      <c r="L4" s="11">
        <f t="shared" si="1"/>
        <v>1518.5124658497882</v>
      </c>
      <c r="M4" s="11">
        <f t="shared" si="1"/>
        <v>1771.2798800726016</v>
      </c>
      <c r="N4" s="11">
        <f t="shared" si="1"/>
        <v>2203.4952877129858</v>
      </c>
      <c r="O4" s="11">
        <f t="shared" si="1"/>
        <v>2466.0616288600454</v>
      </c>
      <c r="P4" s="11">
        <f t="shared" si="1"/>
        <v>2687.3632829276644</v>
      </c>
      <c r="Q4" s="11">
        <f t="shared" si="1"/>
        <v>2970.7182403043334</v>
      </c>
      <c r="R4" s="11">
        <f t="shared" si="1"/>
        <v>3322.3874128023813</v>
      </c>
      <c r="S4" s="11">
        <f t="shared" si="1"/>
        <v>3670.1570391597975</v>
      </c>
      <c r="T4" s="11">
        <f t="shared" si="1"/>
        <v>4495.9696497122914</v>
      </c>
      <c r="U4" s="11">
        <f t="shared" si="1"/>
        <v>4650.182037945895</v>
      </c>
      <c r="V4" s="11">
        <f t="shared" si="1"/>
        <v>1317.5955430746621</v>
      </c>
      <c r="W4" s="11">
        <f t="shared" ref="W4:Y4" si="2">SUM(W5:W7)</f>
        <v>1876.3420285748489</v>
      </c>
      <c r="X4" s="11">
        <f t="shared" si="2"/>
        <v>4306.6701213269098</v>
      </c>
      <c r="Y4" s="11">
        <f t="shared" si="2"/>
        <v>5053.2685452917613</v>
      </c>
      <c r="DA4" s="189" t="s">
        <v>190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191</v>
      </c>
    </row>
    <row r="6" spans="1:105" ht="11.45" customHeight="1" x14ac:dyDescent="0.25">
      <c r="A6" s="83" t="s">
        <v>181</v>
      </c>
      <c r="B6" s="84">
        <v>456.25278329440022</v>
      </c>
      <c r="C6" s="84">
        <v>620.04693280887602</v>
      </c>
      <c r="D6" s="84">
        <v>571.76002360391089</v>
      </c>
      <c r="E6" s="84">
        <v>665.98380524342201</v>
      </c>
      <c r="F6" s="84">
        <v>722.65341919854939</v>
      </c>
      <c r="G6" s="84">
        <v>1024.3829244816761</v>
      </c>
      <c r="H6" s="84">
        <v>1229.9521435063748</v>
      </c>
      <c r="I6" s="84">
        <v>1431.2711787338328</v>
      </c>
      <c r="J6" s="84">
        <v>1515.9305817434383</v>
      </c>
      <c r="K6" s="84">
        <v>938.71574584468931</v>
      </c>
      <c r="L6" s="84">
        <v>1298.393311085056</v>
      </c>
      <c r="M6" s="84">
        <v>1605.4008142782636</v>
      </c>
      <c r="N6" s="84">
        <v>1984.7169559765182</v>
      </c>
      <c r="O6" s="84">
        <v>2149.1762969434844</v>
      </c>
      <c r="P6" s="84">
        <v>2269.648890884951</v>
      </c>
      <c r="Q6" s="84">
        <v>2520.8034591613705</v>
      </c>
      <c r="R6" s="84">
        <v>2840.213250569745</v>
      </c>
      <c r="S6" s="84">
        <v>3025.5794664217219</v>
      </c>
      <c r="T6" s="84">
        <v>3515.4840284652155</v>
      </c>
      <c r="U6" s="84">
        <v>3470.4597807346436</v>
      </c>
      <c r="V6" s="84">
        <v>1061.8444325908165</v>
      </c>
      <c r="W6" s="84">
        <v>1358.6035863166851</v>
      </c>
      <c r="X6" s="84">
        <v>3206.5759444990981</v>
      </c>
      <c r="Y6" s="84">
        <v>3657.1320930042848</v>
      </c>
      <c r="DA6" s="171" t="s">
        <v>192</v>
      </c>
    </row>
    <row r="7" spans="1:105" ht="11.45" customHeight="1" x14ac:dyDescent="0.25">
      <c r="A7" s="83" t="s">
        <v>182</v>
      </c>
      <c r="B7" s="84">
        <v>158.85707628703162</v>
      </c>
      <c r="C7" s="84">
        <v>209.85662519882112</v>
      </c>
      <c r="D7" s="84">
        <v>188.10503032878523</v>
      </c>
      <c r="E7" s="84">
        <v>213.6931922178027</v>
      </c>
      <c r="F7" s="84">
        <v>230.39565497070515</v>
      </c>
      <c r="G7" s="84">
        <v>271.09695199784534</v>
      </c>
      <c r="H7" s="84">
        <v>318.25042478671418</v>
      </c>
      <c r="I7" s="84">
        <v>427.02950448338288</v>
      </c>
      <c r="J7" s="84">
        <v>344.61418243843212</v>
      </c>
      <c r="K7" s="84">
        <v>247.77223645991467</v>
      </c>
      <c r="L7" s="84">
        <v>220.11915476473214</v>
      </c>
      <c r="M7" s="84">
        <v>165.87906579433803</v>
      </c>
      <c r="N7" s="84">
        <v>218.77833173646758</v>
      </c>
      <c r="O7" s="84">
        <v>316.88533191656097</v>
      </c>
      <c r="P7" s="84">
        <v>417.71439204271354</v>
      </c>
      <c r="Q7" s="84">
        <v>449.91478114296274</v>
      </c>
      <c r="R7" s="84">
        <v>482.17416223263632</v>
      </c>
      <c r="S7" s="84">
        <v>644.57757273807567</v>
      </c>
      <c r="T7" s="84">
        <v>980.48562124707541</v>
      </c>
      <c r="U7" s="84">
        <v>1179.7222572112512</v>
      </c>
      <c r="V7" s="84">
        <v>255.75111048384557</v>
      </c>
      <c r="W7" s="84">
        <v>517.73844225816379</v>
      </c>
      <c r="X7" s="84">
        <v>1100.0941768278119</v>
      </c>
      <c r="Y7" s="84">
        <v>1396.1364522874769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4.9143598127909716</v>
      </c>
      <c r="C8" s="13">
        <f t="shared" si="3"/>
        <v>5.2833232795051668</v>
      </c>
      <c r="D8" s="13">
        <f t="shared" ref="D8:V8" si="4">SUM(D9:D11)</f>
        <v>4.8620740834166378</v>
      </c>
      <c r="E8" s="13">
        <f t="shared" si="4"/>
        <v>2.8596926090442869</v>
      </c>
      <c r="F8" s="13">
        <f t="shared" si="4"/>
        <v>2.9288870990918809</v>
      </c>
      <c r="G8" s="13">
        <f t="shared" si="4"/>
        <v>3.6279864564298263</v>
      </c>
      <c r="H8" s="13">
        <f t="shared" si="4"/>
        <v>5.046382846394347</v>
      </c>
      <c r="I8" s="13">
        <f t="shared" si="4"/>
        <v>6.5685028001523369</v>
      </c>
      <c r="J8" s="13">
        <f t="shared" si="4"/>
        <v>4.4918878875091002</v>
      </c>
      <c r="K8" s="13">
        <f t="shared" si="4"/>
        <v>2.539678932106475</v>
      </c>
      <c r="L8" s="13">
        <f t="shared" si="4"/>
        <v>3.839319856016834</v>
      </c>
      <c r="M8" s="13">
        <f t="shared" si="4"/>
        <v>4.2397350886962082</v>
      </c>
      <c r="N8" s="13">
        <f t="shared" si="4"/>
        <v>19.38900178326157</v>
      </c>
      <c r="O8" s="13">
        <f t="shared" si="4"/>
        <v>13.630083032963828</v>
      </c>
      <c r="P8" s="13">
        <f t="shared" si="4"/>
        <v>12.088770540927374</v>
      </c>
      <c r="Q8" s="13">
        <f t="shared" si="4"/>
        <v>12.858599254035564</v>
      </c>
      <c r="R8" s="13">
        <f t="shared" si="4"/>
        <v>11.510412113176981</v>
      </c>
      <c r="S8" s="13">
        <f t="shared" si="4"/>
        <v>10.834191653052738</v>
      </c>
      <c r="T8" s="13">
        <f t="shared" si="4"/>
        <v>13.526243745054082</v>
      </c>
      <c r="U8" s="13">
        <f t="shared" si="4"/>
        <v>15.649737788385078</v>
      </c>
      <c r="V8" s="13">
        <f t="shared" si="4"/>
        <v>15.090362958303821</v>
      </c>
      <c r="W8" s="13">
        <f t="shared" ref="W8:Y8" si="5">SUM(W9:W11)</f>
        <v>14.859439234662368</v>
      </c>
      <c r="X8" s="13">
        <f t="shared" si="5"/>
        <v>16.818664664231228</v>
      </c>
      <c r="Y8" s="13">
        <f t="shared" si="5"/>
        <v>17.929627120828741</v>
      </c>
      <c r="DA8" s="193" t="s">
        <v>194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X9" s="102">
        <v>0</v>
      </c>
      <c r="Y9" s="102">
        <v>0</v>
      </c>
      <c r="DA9" s="175" t="s">
        <v>195</v>
      </c>
    </row>
    <row r="10" spans="1:105" ht="11.45" customHeight="1" x14ac:dyDescent="0.25">
      <c r="A10" s="92" t="s">
        <v>181</v>
      </c>
      <c r="B10" s="102">
        <v>4.3979382740740913</v>
      </c>
      <c r="C10" s="102">
        <v>4.7421545249659749</v>
      </c>
      <c r="D10" s="102">
        <v>4.3511140343313217</v>
      </c>
      <c r="E10" s="102">
        <v>2.3954204821803677</v>
      </c>
      <c r="F10" s="102">
        <v>2.3656218936126123</v>
      </c>
      <c r="G10" s="102">
        <v>2.8907689701255039</v>
      </c>
      <c r="H10" s="102">
        <v>3.2568414170907305</v>
      </c>
      <c r="I10" s="102">
        <v>3.6060111116001696</v>
      </c>
      <c r="J10" s="102">
        <v>3.2771341184886991</v>
      </c>
      <c r="K10" s="102">
        <v>2.3518406648713852</v>
      </c>
      <c r="L10" s="102">
        <v>3.5483679366515957</v>
      </c>
      <c r="M10" s="102">
        <v>3.754202995592963</v>
      </c>
      <c r="N10" s="102">
        <v>4.0248030015442371</v>
      </c>
      <c r="O10" s="102">
        <v>6.6153695549884981</v>
      </c>
      <c r="P10" s="102">
        <v>7.9154531276649589</v>
      </c>
      <c r="Q10" s="102">
        <v>8.6319447209443041</v>
      </c>
      <c r="R10" s="102">
        <v>8.4258694684757351</v>
      </c>
      <c r="S10" s="102">
        <v>9.1555472397721758</v>
      </c>
      <c r="T10" s="102">
        <v>10.233020149484036</v>
      </c>
      <c r="U10" s="102">
        <v>10.656328675087988</v>
      </c>
      <c r="V10" s="102">
        <v>9.7754012099460699</v>
      </c>
      <c r="W10" s="102">
        <v>9.4943946869264515</v>
      </c>
      <c r="X10" s="102">
        <v>9.406052386849554</v>
      </c>
      <c r="Y10" s="102">
        <v>10.373719025613344</v>
      </c>
      <c r="DA10" s="175" t="s">
        <v>196</v>
      </c>
    </row>
    <row r="11" spans="1:105" ht="11.45" customHeight="1" x14ac:dyDescent="0.25">
      <c r="A11" s="85" t="s">
        <v>182</v>
      </c>
      <c r="B11" s="86">
        <v>0.51642153871688068</v>
      </c>
      <c r="C11" s="86">
        <v>0.54116875453919178</v>
      </c>
      <c r="D11" s="86">
        <v>0.51096004908531645</v>
      </c>
      <c r="E11" s="86">
        <v>0.464272126863919</v>
      </c>
      <c r="F11" s="86">
        <v>0.56326520547926839</v>
      </c>
      <c r="G11" s="86">
        <v>0.73721748630432216</v>
      </c>
      <c r="H11" s="86">
        <v>1.7895414293036163</v>
      </c>
      <c r="I11" s="86">
        <v>2.9624916885521673</v>
      </c>
      <c r="J11" s="86">
        <v>1.2147537690204011</v>
      </c>
      <c r="K11" s="86">
        <v>0.18783826723508987</v>
      </c>
      <c r="L11" s="86">
        <v>0.29095191936523829</v>
      </c>
      <c r="M11" s="86">
        <v>0.48553209310324513</v>
      </c>
      <c r="N11" s="86">
        <v>15.364198781717334</v>
      </c>
      <c r="O11" s="86">
        <v>7.01471347797533</v>
      </c>
      <c r="P11" s="86">
        <v>4.1733174132624145</v>
      </c>
      <c r="Q11" s="86">
        <v>4.2266545330912608</v>
      </c>
      <c r="R11" s="86">
        <v>3.0845426447012465</v>
      </c>
      <c r="S11" s="86">
        <v>1.6786444132805611</v>
      </c>
      <c r="T11" s="86">
        <v>3.2932235955700451</v>
      </c>
      <c r="U11" s="86">
        <v>4.9934091132970915</v>
      </c>
      <c r="V11" s="86">
        <v>5.314961748357752</v>
      </c>
      <c r="W11" s="86">
        <v>5.3650445477359163</v>
      </c>
      <c r="X11" s="86">
        <v>7.4126122773816761</v>
      </c>
      <c r="Y11" s="86">
        <v>7.5559080952153961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10.170374703718128</v>
      </c>
      <c r="C13" s="54">
        <f t="shared" si="6"/>
        <v>13.324231089776893</v>
      </c>
      <c r="D13" s="54">
        <f t="shared" ref="D13:V13" si="7">SUM(D14,D18)</f>
        <v>12.004886585036465</v>
      </c>
      <c r="E13" s="54">
        <f t="shared" si="7"/>
        <v>13.66276674446943</v>
      </c>
      <c r="F13" s="54">
        <f t="shared" si="7"/>
        <v>14.615433865145762</v>
      </c>
      <c r="G13" s="54">
        <f t="shared" si="7"/>
        <v>19.47321563631219</v>
      </c>
      <c r="H13" s="54">
        <f t="shared" si="7"/>
        <v>20.89401759206752</v>
      </c>
      <c r="I13" s="54">
        <f t="shared" si="7"/>
        <v>23.16428523255415</v>
      </c>
      <c r="J13" s="54">
        <f t="shared" si="7"/>
        <v>23.697835796263842</v>
      </c>
      <c r="K13" s="54">
        <f t="shared" si="7"/>
        <v>13.129889163120142</v>
      </c>
      <c r="L13" s="54">
        <f t="shared" si="7"/>
        <v>16.624641954178728</v>
      </c>
      <c r="M13" s="54">
        <f t="shared" si="7"/>
        <v>17.627135314935934</v>
      </c>
      <c r="N13" s="54">
        <f t="shared" si="7"/>
        <v>19.563696024414792</v>
      </c>
      <c r="O13" s="54">
        <f t="shared" si="7"/>
        <v>20.525077662946465</v>
      </c>
      <c r="P13" s="54">
        <f t="shared" si="7"/>
        <v>23.302198007481557</v>
      </c>
      <c r="Q13" s="54">
        <f t="shared" si="7"/>
        <v>24.98384690630995</v>
      </c>
      <c r="R13" s="54">
        <f t="shared" si="7"/>
        <v>26.642088098033732</v>
      </c>
      <c r="S13" s="54">
        <f t="shared" si="7"/>
        <v>28.310831886421166</v>
      </c>
      <c r="T13" s="54">
        <f t="shared" si="7"/>
        <v>32.650630068763192</v>
      </c>
      <c r="U13" s="54">
        <f t="shared" si="7"/>
        <v>33.4077135166877</v>
      </c>
      <c r="V13" s="54">
        <f t="shared" si="7"/>
        <v>13.558009669477981</v>
      </c>
      <c r="W13" s="54">
        <f t="shared" ref="W13:Y13" si="8">SUM(W14,W18)</f>
        <v>18.472275458304164</v>
      </c>
      <c r="X13" s="54">
        <f t="shared" si="8"/>
        <v>31.164521079221199</v>
      </c>
      <c r="Y13" s="54">
        <f t="shared" si="8"/>
        <v>33.245852580602261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10.002985662161022</v>
      </c>
      <c r="C14" s="11">
        <f t="shared" si="9"/>
        <v>13.153505176735454</v>
      </c>
      <c r="D14" s="11">
        <f t="shared" ref="D14:V14" si="10">SUM(D15:D17)</f>
        <v>11.837497543479358</v>
      </c>
      <c r="E14" s="11">
        <f t="shared" si="10"/>
        <v>13.568879074132971</v>
      </c>
      <c r="F14" s="11">
        <f t="shared" si="10"/>
        <v>14.511957230545644</v>
      </c>
      <c r="G14" s="11">
        <f t="shared" si="10"/>
        <v>19.343303916788379</v>
      </c>
      <c r="H14" s="11">
        <f t="shared" si="10"/>
        <v>20.7052544785445</v>
      </c>
      <c r="I14" s="11">
        <f t="shared" si="10"/>
        <v>22.935466373919766</v>
      </c>
      <c r="J14" s="11">
        <f t="shared" si="10"/>
        <v>23.509792592818261</v>
      </c>
      <c r="K14" s="11">
        <f t="shared" si="10"/>
        <v>13.021403333560183</v>
      </c>
      <c r="L14" s="11">
        <f t="shared" si="10"/>
        <v>16.460390696434366</v>
      </c>
      <c r="M14" s="11">
        <f t="shared" si="10"/>
        <v>17.464439765678804</v>
      </c>
      <c r="N14" s="11">
        <f t="shared" si="10"/>
        <v>19.240040419195012</v>
      </c>
      <c r="O14" s="11">
        <f t="shared" si="10"/>
        <v>20.188411401694751</v>
      </c>
      <c r="P14" s="11">
        <f t="shared" si="10"/>
        <v>22.991396489632226</v>
      </c>
      <c r="Q14" s="11">
        <f t="shared" si="10"/>
        <v>24.651953018295419</v>
      </c>
      <c r="R14" s="11">
        <f t="shared" si="10"/>
        <v>26.353086274378235</v>
      </c>
      <c r="S14" s="11">
        <f t="shared" si="10"/>
        <v>27.990117450760039</v>
      </c>
      <c r="T14" s="11">
        <f t="shared" si="10"/>
        <v>32.279976114217739</v>
      </c>
      <c r="U14" s="11">
        <f t="shared" si="10"/>
        <v>33.025425308309288</v>
      </c>
      <c r="V14" s="11">
        <f t="shared" si="10"/>
        <v>13.099565159470282</v>
      </c>
      <c r="W14" s="11">
        <f t="shared" ref="W14:Y14" si="11">SUM(W15:W17)</f>
        <v>17.999323737643007</v>
      </c>
      <c r="X14" s="11">
        <f t="shared" si="11"/>
        <v>30.687836234197071</v>
      </c>
      <c r="Y14" s="11">
        <f t="shared" si="11"/>
        <v>32.751005627954605</v>
      </c>
      <c r="DA14" s="189" t="s">
        <v>199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X15" s="84">
        <v>0</v>
      </c>
      <c r="Y15" s="84">
        <v>0</v>
      </c>
      <c r="DA15" s="171" t="s">
        <v>200</v>
      </c>
    </row>
    <row r="16" spans="1:105" ht="11.45" customHeight="1" x14ac:dyDescent="0.25">
      <c r="A16" s="83" t="s">
        <v>181</v>
      </c>
      <c r="B16" s="84">
        <v>7.8139617879988954</v>
      </c>
      <c r="C16" s="84">
        <v>10.274407956561479</v>
      </c>
      <c r="D16" s="84">
        <v>9.2465628194422003</v>
      </c>
      <c r="E16" s="84">
        <v>10.601310912162607</v>
      </c>
      <c r="F16" s="84">
        <v>11.337114290652305</v>
      </c>
      <c r="G16" s="84">
        <v>15.65332796798838</v>
      </c>
      <c r="H16" s="84">
        <v>16.300024859494094</v>
      </c>
      <c r="I16" s="84">
        <v>17.850029812099166</v>
      </c>
      <c r="J16" s="84">
        <v>19.00406024364105</v>
      </c>
      <c r="K16" s="84">
        <v>10.225390568002634</v>
      </c>
      <c r="L16" s="84">
        <v>13.69621136174877</v>
      </c>
      <c r="M16" s="84">
        <v>14.83313423320689</v>
      </c>
      <c r="N16" s="84">
        <v>16.417733448529347</v>
      </c>
      <c r="O16" s="84">
        <v>17.198762623196757</v>
      </c>
      <c r="P16" s="84">
        <v>19.039826284800927</v>
      </c>
      <c r="Q16" s="84">
        <v>20.341355058722062</v>
      </c>
      <c r="R16" s="84">
        <v>21.883828942858447</v>
      </c>
      <c r="S16" s="84">
        <v>22.864336107784453</v>
      </c>
      <c r="T16" s="84">
        <v>25.405993566984272</v>
      </c>
      <c r="U16" s="84">
        <v>24.96238193637749</v>
      </c>
      <c r="V16" s="84">
        <v>10.821033867859098</v>
      </c>
      <c r="W16" s="84">
        <v>13.518777130500149</v>
      </c>
      <c r="X16" s="84">
        <v>24.237594520553891</v>
      </c>
      <c r="Y16" s="84">
        <v>24.970183176567929</v>
      </c>
      <c r="DA16" s="171" t="s">
        <v>201</v>
      </c>
    </row>
    <row r="17" spans="1:105" ht="11.45" customHeight="1" x14ac:dyDescent="0.25">
      <c r="A17" s="83" t="s">
        <v>182</v>
      </c>
      <c r="B17" s="84">
        <v>2.189023874162126</v>
      </c>
      <c r="C17" s="84">
        <v>2.879097220173974</v>
      </c>
      <c r="D17" s="84">
        <v>2.5909347240371585</v>
      </c>
      <c r="E17" s="84">
        <v>2.9675681619703647</v>
      </c>
      <c r="F17" s="84">
        <v>3.1748429398933373</v>
      </c>
      <c r="G17" s="84">
        <v>3.6899759488000003</v>
      </c>
      <c r="H17" s="84">
        <v>4.405229619050405</v>
      </c>
      <c r="I17" s="84">
        <v>5.0854365618206012</v>
      </c>
      <c r="J17" s="84">
        <v>4.5057323491772117</v>
      </c>
      <c r="K17" s="84">
        <v>2.7960127655575482</v>
      </c>
      <c r="L17" s="84">
        <v>2.7641793346855978</v>
      </c>
      <c r="M17" s="84">
        <v>2.6313055324719135</v>
      </c>
      <c r="N17" s="84">
        <v>2.8223069706656645</v>
      </c>
      <c r="O17" s="84">
        <v>2.9896487784979953</v>
      </c>
      <c r="P17" s="84">
        <v>3.9515702048312993</v>
      </c>
      <c r="Q17" s="84">
        <v>4.3105979595733572</v>
      </c>
      <c r="R17" s="84">
        <v>4.4692573315197901</v>
      </c>
      <c r="S17" s="84">
        <v>5.1257813429755839</v>
      </c>
      <c r="T17" s="84">
        <v>6.8739825472334681</v>
      </c>
      <c r="U17" s="84">
        <v>8.063043371931796</v>
      </c>
      <c r="V17" s="84">
        <v>2.2785312916111846</v>
      </c>
      <c r="W17" s="84">
        <v>4.4805466071428572</v>
      </c>
      <c r="X17" s="84">
        <v>6.4502417136431784</v>
      </c>
      <c r="Y17" s="84">
        <v>7.7808224513866753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0.16738904155710577</v>
      </c>
      <c r="C18" s="13">
        <f t="shared" si="12"/>
        <v>0.17072591304143889</v>
      </c>
      <c r="D18" s="13">
        <f t="shared" ref="D18:V18" si="13">SUM(D19:D21)</f>
        <v>0.16738904155710577</v>
      </c>
      <c r="E18" s="13">
        <f t="shared" si="13"/>
        <v>9.3887670336459492E-2</v>
      </c>
      <c r="F18" s="13">
        <f t="shared" si="13"/>
        <v>0.10347663460011894</v>
      </c>
      <c r="G18" s="13">
        <f t="shared" si="13"/>
        <v>0.12991171952380953</v>
      </c>
      <c r="H18" s="13">
        <f t="shared" si="13"/>
        <v>0.18876311352302083</v>
      </c>
      <c r="I18" s="13">
        <f t="shared" si="13"/>
        <v>0.22881885863438495</v>
      </c>
      <c r="J18" s="13">
        <f t="shared" si="13"/>
        <v>0.18804320344558212</v>
      </c>
      <c r="K18" s="13">
        <f t="shared" si="13"/>
        <v>0.10848582955995814</v>
      </c>
      <c r="L18" s="13">
        <f t="shared" si="13"/>
        <v>0.16425125774436089</v>
      </c>
      <c r="M18" s="13">
        <f t="shared" si="13"/>
        <v>0.16269554925712887</v>
      </c>
      <c r="N18" s="13">
        <f t="shared" si="13"/>
        <v>0.32365560521978021</v>
      </c>
      <c r="O18" s="13">
        <f t="shared" si="13"/>
        <v>0.33666626125171523</v>
      </c>
      <c r="P18" s="13">
        <f t="shared" si="13"/>
        <v>0.31080151784933036</v>
      </c>
      <c r="Q18" s="13">
        <f t="shared" si="13"/>
        <v>0.33189388801452924</v>
      </c>
      <c r="R18" s="13">
        <f t="shared" si="13"/>
        <v>0.28900182365549515</v>
      </c>
      <c r="S18" s="13">
        <f t="shared" si="13"/>
        <v>0.32071443566112606</v>
      </c>
      <c r="T18" s="13">
        <f t="shared" si="13"/>
        <v>0.37065395454545452</v>
      </c>
      <c r="U18" s="13">
        <f t="shared" si="13"/>
        <v>0.38228820837841399</v>
      </c>
      <c r="V18" s="13">
        <f t="shared" si="13"/>
        <v>0.45844451000769826</v>
      </c>
      <c r="W18" s="13">
        <f t="shared" ref="W18:Y18" si="14">SUM(W19:W21)</f>
        <v>0.47295172066115693</v>
      </c>
      <c r="X18" s="13">
        <f t="shared" si="14"/>
        <v>0.47668484502412761</v>
      </c>
      <c r="Y18" s="13">
        <f t="shared" si="14"/>
        <v>0.49484695264765788</v>
      </c>
      <c r="DA18" s="193" t="s">
        <v>203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X19" s="102">
        <v>0</v>
      </c>
      <c r="Y19" s="102">
        <v>0</v>
      </c>
      <c r="DA19" s="175" t="s">
        <v>204</v>
      </c>
    </row>
    <row r="20" spans="1:105" ht="11.45" customHeight="1" x14ac:dyDescent="0.25">
      <c r="A20" s="92" t="s">
        <v>181</v>
      </c>
      <c r="B20" s="102">
        <v>0.16012922398037538</v>
      </c>
      <c r="C20" s="102">
        <v>0.1634660954647085</v>
      </c>
      <c r="D20" s="102">
        <v>0.16012922398037538</v>
      </c>
      <c r="E20" s="102">
        <v>8.6627852759729118E-2</v>
      </c>
      <c r="F20" s="102">
        <v>9.4401862629205968E-2</v>
      </c>
      <c r="G20" s="102">
        <v>0.11728196952380954</v>
      </c>
      <c r="H20" s="102">
        <v>0.15704953394870882</v>
      </c>
      <c r="I20" s="102">
        <v>0.17542802899993806</v>
      </c>
      <c r="J20" s="102">
        <v>0.16570041683476708</v>
      </c>
      <c r="K20" s="102">
        <v>0.10542245197800924</v>
      </c>
      <c r="L20" s="102">
        <v>0.1595836577443609</v>
      </c>
      <c r="M20" s="102">
        <v>0.15474608069510437</v>
      </c>
      <c r="N20" s="102">
        <v>0.15244468214285714</v>
      </c>
      <c r="O20" s="102">
        <v>0.25830567901471069</v>
      </c>
      <c r="P20" s="102">
        <v>0.26548562698365546</v>
      </c>
      <c r="Q20" s="102">
        <v>0.28460916480489173</v>
      </c>
      <c r="R20" s="102">
        <v>0.25702234726962969</v>
      </c>
      <c r="S20" s="102">
        <v>0.30304933549931179</v>
      </c>
      <c r="T20" s="102">
        <v>0.33626195454545454</v>
      </c>
      <c r="U20" s="102">
        <v>0.3323917006861063</v>
      </c>
      <c r="V20" s="102">
        <v>0.38109817667436491</v>
      </c>
      <c r="W20" s="102">
        <v>0.38970172066115694</v>
      </c>
      <c r="X20" s="102">
        <v>0.37633362983425417</v>
      </c>
      <c r="Y20" s="102">
        <v>0.39876345264765789</v>
      </c>
      <c r="DA20" s="175" t="s">
        <v>205</v>
      </c>
    </row>
    <row r="21" spans="1:105" ht="11.45" customHeight="1" x14ac:dyDescent="0.25">
      <c r="A21" s="85" t="s">
        <v>182</v>
      </c>
      <c r="B21" s="86">
        <v>7.259817576730377E-3</v>
      </c>
      <c r="C21" s="86">
        <v>7.259817576730377E-3</v>
      </c>
      <c r="D21" s="86">
        <v>7.259817576730377E-3</v>
      </c>
      <c r="E21" s="86">
        <v>7.259817576730377E-3</v>
      </c>
      <c r="F21" s="86">
        <v>9.0747719709129721E-3</v>
      </c>
      <c r="G21" s="86">
        <v>1.262975E-2</v>
      </c>
      <c r="H21" s="86">
        <v>3.1713579574311992E-2</v>
      </c>
      <c r="I21" s="86">
        <v>5.3390829634446871E-2</v>
      </c>
      <c r="J21" s="86">
        <v>2.2342786610815044E-2</v>
      </c>
      <c r="K21" s="86">
        <v>3.063377581948894E-3</v>
      </c>
      <c r="L21" s="86">
        <v>4.6676E-3</v>
      </c>
      <c r="M21" s="86">
        <v>7.9494685620244941E-3</v>
      </c>
      <c r="N21" s="86">
        <v>0.17121092307692307</v>
      </c>
      <c r="O21" s="86">
        <v>7.8360582237004553E-2</v>
      </c>
      <c r="P21" s="86">
        <v>4.5315890865674897E-2</v>
      </c>
      <c r="Q21" s="86">
        <v>4.7284723209637509E-2</v>
      </c>
      <c r="R21" s="86">
        <v>3.1979476385865437E-2</v>
      </c>
      <c r="S21" s="86">
        <v>1.7665100161814284E-2</v>
      </c>
      <c r="T21" s="86">
        <v>3.4391999999999999E-2</v>
      </c>
      <c r="U21" s="86">
        <v>4.9896507692307697E-2</v>
      </c>
      <c r="V21" s="86">
        <v>7.7346333333333323E-2</v>
      </c>
      <c r="W21" s="86">
        <v>8.3250000000000005E-2</v>
      </c>
      <c r="X21" s="86">
        <v>0.10035121518987343</v>
      </c>
      <c r="Y21" s="86">
        <v>9.6083500000000002E-2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8130</v>
      </c>
      <c r="C23" s="54">
        <f t="shared" si="15"/>
        <v>10631</v>
      </c>
      <c r="D23" s="54">
        <f t="shared" ref="D23:V23" si="16">SUM(D24,D28)</f>
        <v>9583</v>
      </c>
      <c r="E23" s="54">
        <f t="shared" si="16"/>
        <v>10864</v>
      </c>
      <c r="F23" s="54">
        <f t="shared" si="16"/>
        <v>11622</v>
      </c>
      <c r="G23" s="54">
        <f t="shared" si="16"/>
        <v>15092</v>
      </c>
      <c r="H23" s="54">
        <f t="shared" si="16"/>
        <v>16098</v>
      </c>
      <c r="I23" s="54">
        <f t="shared" si="16"/>
        <v>17382</v>
      </c>
      <c r="J23" s="54">
        <f t="shared" si="16"/>
        <v>19961</v>
      </c>
      <c r="K23" s="54">
        <f t="shared" si="16"/>
        <v>13149</v>
      </c>
      <c r="L23" s="54">
        <f t="shared" si="16"/>
        <v>16019</v>
      </c>
      <c r="M23" s="54">
        <f t="shared" si="16"/>
        <v>16911</v>
      </c>
      <c r="N23" s="54">
        <f t="shared" si="16"/>
        <v>17858</v>
      </c>
      <c r="O23" s="54">
        <f t="shared" si="16"/>
        <v>17897</v>
      </c>
      <c r="P23" s="54">
        <f t="shared" si="16"/>
        <v>20077</v>
      </c>
      <c r="Q23" s="54">
        <f t="shared" si="16"/>
        <v>21268</v>
      </c>
      <c r="R23" s="54">
        <f t="shared" si="16"/>
        <v>22818</v>
      </c>
      <c r="S23" s="54">
        <f t="shared" si="16"/>
        <v>24119</v>
      </c>
      <c r="T23" s="54">
        <f t="shared" si="16"/>
        <v>26784</v>
      </c>
      <c r="U23" s="54">
        <f t="shared" si="16"/>
        <v>27426</v>
      </c>
      <c r="V23" s="54">
        <f t="shared" si="16"/>
        <v>11076</v>
      </c>
      <c r="W23" s="54">
        <f t="shared" ref="W23:Y23" si="17">SUM(W24,W28)</f>
        <v>13329</v>
      </c>
      <c r="X23" s="54">
        <f t="shared" si="17"/>
        <v>22190</v>
      </c>
      <c r="Y23" s="54">
        <f t="shared" si="17"/>
        <v>23271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7926</v>
      </c>
      <c r="C24" s="11">
        <f t="shared" si="18"/>
        <v>10422</v>
      </c>
      <c r="D24" s="11">
        <f t="shared" ref="D24:V24" si="19">SUM(D25:D27)</f>
        <v>9379</v>
      </c>
      <c r="E24" s="11">
        <f t="shared" si="19"/>
        <v>10752</v>
      </c>
      <c r="F24" s="11">
        <f t="shared" si="19"/>
        <v>11499</v>
      </c>
      <c r="G24" s="11">
        <f t="shared" si="19"/>
        <v>14943</v>
      </c>
      <c r="H24" s="11">
        <f t="shared" si="19"/>
        <v>15908</v>
      </c>
      <c r="I24" s="11">
        <f t="shared" si="19"/>
        <v>17179</v>
      </c>
      <c r="J24" s="11">
        <f t="shared" si="19"/>
        <v>19783</v>
      </c>
      <c r="K24" s="11">
        <f t="shared" si="19"/>
        <v>13000</v>
      </c>
      <c r="L24" s="11">
        <f t="shared" si="19"/>
        <v>15828</v>
      </c>
      <c r="M24" s="11">
        <f t="shared" si="19"/>
        <v>16710</v>
      </c>
      <c r="N24" s="11">
        <f t="shared" si="19"/>
        <v>17587</v>
      </c>
      <c r="O24" s="11">
        <f t="shared" si="19"/>
        <v>17533</v>
      </c>
      <c r="P24" s="11">
        <f t="shared" si="19"/>
        <v>19718</v>
      </c>
      <c r="Q24" s="11">
        <f t="shared" si="19"/>
        <v>20878</v>
      </c>
      <c r="R24" s="11">
        <f t="shared" si="19"/>
        <v>22450</v>
      </c>
      <c r="S24" s="11">
        <f t="shared" si="19"/>
        <v>23675</v>
      </c>
      <c r="T24" s="11">
        <f t="shared" si="19"/>
        <v>26277</v>
      </c>
      <c r="U24" s="11">
        <f t="shared" si="19"/>
        <v>26899</v>
      </c>
      <c r="V24" s="11">
        <f t="shared" si="19"/>
        <v>10442</v>
      </c>
      <c r="W24" s="11">
        <f t="shared" ref="W24:Y24" si="20">SUM(W25:W27)</f>
        <v>12738</v>
      </c>
      <c r="X24" s="11">
        <f t="shared" si="20"/>
        <v>21687</v>
      </c>
      <c r="Y24" s="11">
        <f t="shared" si="20"/>
        <v>22779</v>
      </c>
      <c r="DA24" s="189" t="s">
        <v>208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X25" s="84">
        <v>0</v>
      </c>
      <c r="Y25" s="84">
        <v>0</v>
      </c>
      <c r="DA25" s="171" t="s">
        <v>209</v>
      </c>
    </row>
    <row r="26" spans="1:105" ht="11.45" customHeight="1" x14ac:dyDescent="0.25">
      <c r="A26" s="83" t="s">
        <v>181</v>
      </c>
      <c r="B26" s="84">
        <v>7060</v>
      </c>
      <c r="C26" s="84">
        <v>9283</v>
      </c>
      <c r="D26" s="84">
        <v>8354</v>
      </c>
      <c r="E26" s="84">
        <v>9578</v>
      </c>
      <c r="F26" s="84">
        <v>10243</v>
      </c>
      <c r="G26" s="84">
        <v>13477</v>
      </c>
      <c r="H26" s="84">
        <v>14169</v>
      </c>
      <c r="I26" s="84">
        <v>15165</v>
      </c>
      <c r="J26" s="84">
        <v>16861</v>
      </c>
      <c r="K26" s="84">
        <v>11250</v>
      </c>
      <c r="L26" s="84">
        <v>13935</v>
      </c>
      <c r="M26" s="84">
        <v>14561</v>
      </c>
      <c r="N26" s="84">
        <v>14992</v>
      </c>
      <c r="O26" s="84">
        <v>15045</v>
      </c>
      <c r="P26" s="84">
        <v>16537</v>
      </c>
      <c r="Q26" s="84">
        <v>17382</v>
      </c>
      <c r="R26" s="84">
        <v>18719</v>
      </c>
      <c r="S26" s="84">
        <v>19816</v>
      </c>
      <c r="T26" s="84">
        <v>21832</v>
      </c>
      <c r="U26" s="84">
        <v>21588</v>
      </c>
      <c r="V26" s="84">
        <v>9085</v>
      </c>
      <c r="W26" s="84">
        <v>10273</v>
      </c>
      <c r="X26" s="84">
        <v>19083</v>
      </c>
      <c r="Y26" s="84">
        <v>19669</v>
      </c>
      <c r="DA26" s="171" t="s">
        <v>210</v>
      </c>
    </row>
    <row r="27" spans="1:105" ht="11.45" customHeight="1" x14ac:dyDescent="0.25">
      <c r="A27" s="83" t="s">
        <v>182</v>
      </c>
      <c r="B27" s="84">
        <v>866</v>
      </c>
      <c r="C27" s="84">
        <v>1139</v>
      </c>
      <c r="D27" s="84">
        <v>1025</v>
      </c>
      <c r="E27" s="84">
        <v>1174</v>
      </c>
      <c r="F27" s="84">
        <v>1256</v>
      </c>
      <c r="G27" s="84">
        <v>1466</v>
      </c>
      <c r="H27" s="84">
        <v>1739</v>
      </c>
      <c r="I27" s="84">
        <v>2014</v>
      </c>
      <c r="J27" s="84">
        <v>2922</v>
      </c>
      <c r="K27" s="84">
        <v>1750</v>
      </c>
      <c r="L27" s="84">
        <v>1893</v>
      </c>
      <c r="M27" s="84">
        <v>2149</v>
      </c>
      <c r="N27" s="84">
        <v>2595</v>
      </c>
      <c r="O27" s="84">
        <v>2488</v>
      </c>
      <c r="P27" s="84">
        <v>3181</v>
      </c>
      <c r="Q27" s="84">
        <v>3496</v>
      </c>
      <c r="R27" s="84">
        <v>3731</v>
      </c>
      <c r="S27" s="84">
        <v>3859</v>
      </c>
      <c r="T27" s="84">
        <v>4445</v>
      </c>
      <c r="U27" s="84">
        <v>5311</v>
      </c>
      <c r="V27" s="84">
        <v>1357</v>
      </c>
      <c r="W27" s="84">
        <v>2465</v>
      </c>
      <c r="X27" s="84">
        <v>2604</v>
      </c>
      <c r="Y27" s="84">
        <v>3110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204</v>
      </c>
      <c r="C28" s="13">
        <f t="shared" si="21"/>
        <v>209</v>
      </c>
      <c r="D28" s="13">
        <f t="shared" ref="D28:V28" si="22">SUM(D29:D31)</f>
        <v>204</v>
      </c>
      <c r="E28" s="13">
        <f t="shared" si="22"/>
        <v>112</v>
      </c>
      <c r="F28" s="13">
        <f t="shared" si="22"/>
        <v>123</v>
      </c>
      <c r="G28" s="13">
        <f t="shared" si="22"/>
        <v>149</v>
      </c>
      <c r="H28" s="13">
        <f t="shared" si="22"/>
        <v>190</v>
      </c>
      <c r="I28" s="13">
        <f t="shared" si="22"/>
        <v>203</v>
      </c>
      <c r="J28" s="13">
        <f t="shared" si="22"/>
        <v>178</v>
      </c>
      <c r="K28" s="13">
        <f t="shared" si="22"/>
        <v>149</v>
      </c>
      <c r="L28" s="13">
        <f t="shared" si="22"/>
        <v>191</v>
      </c>
      <c r="M28" s="13">
        <f t="shared" si="22"/>
        <v>201</v>
      </c>
      <c r="N28" s="13">
        <f t="shared" si="22"/>
        <v>271</v>
      </c>
      <c r="O28" s="13">
        <f t="shared" si="22"/>
        <v>364</v>
      </c>
      <c r="P28" s="13">
        <f t="shared" si="22"/>
        <v>359</v>
      </c>
      <c r="Q28" s="13">
        <f t="shared" si="22"/>
        <v>390</v>
      </c>
      <c r="R28" s="13">
        <f t="shared" si="22"/>
        <v>368</v>
      </c>
      <c r="S28" s="13">
        <f t="shared" si="22"/>
        <v>444</v>
      </c>
      <c r="T28" s="13">
        <f t="shared" si="22"/>
        <v>507</v>
      </c>
      <c r="U28" s="13">
        <f t="shared" si="22"/>
        <v>527</v>
      </c>
      <c r="V28" s="13">
        <f t="shared" si="22"/>
        <v>634</v>
      </c>
      <c r="W28" s="13">
        <f t="shared" ref="W28:Y28" si="23">SUM(W29:W31)</f>
        <v>591</v>
      </c>
      <c r="X28" s="13">
        <f t="shared" si="23"/>
        <v>503</v>
      </c>
      <c r="Y28" s="13">
        <f t="shared" si="23"/>
        <v>492</v>
      </c>
      <c r="DA28" s="193" t="s">
        <v>212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X29" s="102">
        <v>0</v>
      </c>
      <c r="Y29" s="102">
        <v>0</v>
      </c>
      <c r="DA29" s="175" t="s">
        <v>213</v>
      </c>
    </row>
    <row r="30" spans="1:105" ht="11.45" customHeight="1" x14ac:dyDescent="0.25">
      <c r="A30" s="92" t="s">
        <v>181</v>
      </c>
      <c r="B30" s="102">
        <v>200</v>
      </c>
      <c r="C30" s="102">
        <v>205</v>
      </c>
      <c r="D30" s="102">
        <v>200</v>
      </c>
      <c r="E30" s="102">
        <v>108</v>
      </c>
      <c r="F30" s="102">
        <v>118</v>
      </c>
      <c r="G30" s="102">
        <v>142</v>
      </c>
      <c r="H30" s="102">
        <v>174</v>
      </c>
      <c r="I30" s="102">
        <v>178</v>
      </c>
      <c r="J30" s="102">
        <v>161</v>
      </c>
      <c r="K30" s="102">
        <v>147</v>
      </c>
      <c r="L30" s="102">
        <v>188</v>
      </c>
      <c r="M30" s="102">
        <v>197</v>
      </c>
      <c r="N30" s="102">
        <v>203</v>
      </c>
      <c r="O30" s="102">
        <v>331</v>
      </c>
      <c r="P30" s="102">
        <v>338</v>
      </c>
      <c r="Q30" s="102">
        <v>365</v>
      </c>
      <c r="R30" s="102">
        <v>348</v>
      </c>
      <c r="S30" s="102">
        <v>432</v>
      </c>
      <c r="T30" s="102">
        <v>483</v>
      </c>
      <c r="U30" s="102">
        <v>498</v>
      </c>
      <c r="V30" s="102">
        <v>587</v>
      </c>
      <c r="W30" s="102">
        <v>546</v>
      </c>
      <c r="X30" s="102">
        <v>452</v>
      </c>
      <c r="Y30" s="102">
        <v>449</v>
      </c>
      <c r="DA30" s="175" t="s">
        <v>214</v>
      </c>
    </row>
    <row r="31" spans="1:105" ht="11.45" customHeight="1" x14ac:dyDescent="0.25">
      <c r="A31" s="85" t="s">
        <v>182</v>
      </c>
      <c r="B31" s="86">
        <v>4</v>
      </c>
      <c r="C31" s="86">
        <v>4</v>
      </c>
      <c r="D31" s="86">
        <v>4</v>
      </c>
      <c r="E31" s="86">
        <v>4</v>
      </c>
      <c r="F31" s="86">
        <v>5</v>
      </c>
      <c r="G31" s="86">
        <v>7</v>
      </c>
      <c r="H31" s="86">
        <v>16</v>
      </c>
      <c r="I31" s="86">
        <v>25</v>
      </c>
      <c r="J31" s="86">
        <v>17</v>
      </c>
      <c r="K31" s="86">
        <v>2</v>
      </c>
      <c r="L31" s="86">
        <v>3</v>
      </c>
      <c r="M31" s="86">
        <v>4</v>
      </c>
      <c r="N31" s="86">
        <v>68</v>
      </c>
      <c r="O31" s="86">
        <v>33</v>
      </c>
      <c r="P31" s="86">
        <v>21</v>
      </c>
      <c r="Q31" s="86">
        <v>25</v>
      </c>
      <c r="R31" s="86">
        <v>20</v>
      </c>
      <c r="S31" s="86">
        <v>12</v>
      </c>
      <c r="T31" s="86">
        <v>24</v>
      </c>
      <c r="U31" s="86">
        <v>29</v>
      </c>
      <c r="V31" s="86">
        <v>47</v>
      </c>
      <c r="W31" s="86">
        <v>45</v>
      </c>
      <c r="X31" s="86">
        <v>51</v>
      </c>
      <c r="Y31" s="86">
        <v>43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322902</v>
      </c>
      <c r="C34" s="11">
        <f t="shared" si="24"/>
        <v>435248</v>
      </c>
      <c r="D34" s="11">
        <f t="shared" ref="D34:V34" si="25">SUM(D35:D37)</f>
        <v>402425</v>
      </c>
      <c r="E34" s="11">
        <f t="shared" si="25"/>
        <v>475332</v>
      </c>
      <c r="F34" s="11">
        <f t="shared" si="25"/>
        <v>526070</v>
      </c>
      <c r="G34" s="11">
        <f t="shared" si="25"/>
        <v>720657</v>
      </c>
      <c r="H34" s="11">
        <f t="shared" si="25"/>
        <v>906636</v>
      </c>
      <c r="I34" s="11">
        <f t="shared" si="25"/>
        <v>1100744</v>
      </c>
      <c r="J34" s="11">
        <f t="shared" si="25"/>
        <v>1283527</v>
      </c>
      <c r="K34" s="11">
        <f t="shared" si="25"/>
        <v>942069</v>
      </c>
      <c r="L34" s="11">
        <f t="shared" si="25"/>
        <v>1174514</v>
      </c>
      <c r="M34" s="11">
        <f t="shared" si="25"/>
        <v>1355378</v>
      </c>
      <c r="N34" s="11">
        <f t="shared" si="25"/>
        <v>1593704</v>
      </c>
      <c r="O34" s="11">
        <f t="shared" si="25"/>
        <v>1756658</v>
      </c>
      <c r="P34" s="11">
        <f t="shared" si="25"/>
        <v>1913488</v>
      </c>
      <c r="Q34" s="11">
        <f t="shared" si="25"/>
        <v>2119094</v>
      </c>
      <c r="R34" s="11">
        <f t="shared" si="25"/>
        <v>2392583</v>
      </c>
      <c r="S34" s="11">
        <f t="shared" si="25"/>
        <v>2626485</v>
      </c>
      <c r="T34" s="11">
        <f t="shared" si="25"/>
        <v>3123674</v>
      </c>
      <c r="U34" s="11">
        <f t="shared" si="25"/>
        <v>3240945</v>
      </c>
      <c r="V34" s="11">
        <f t="shared" si="25"/>
        <v>906757</v>
      </c>
      <c r="W34" s="11">
        <f t="shared" ref="W34:Y34" si="26">SUM(W35:W37)</f>
        <v>1212938</v>
      </c>
      <c r="X34" s="11">
        <f t="shared" si="26"/>
        <v>2683100</v>
      </c>
      <c r="Y34" s="11">
        <f t="shared" si="26"/>
        <v>3006783</v>
      </c>
      <c r="DA34" s="189" t="s">
        <v>216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4">
        <v>0</v>
      </c>
      <c r="Y35" s="84">
        <v>0</v>
      </c>
      <c r="DA35" s="171" t="s">
        <v>217</v>
      </c>
    </row>
    <row r="36" spans="1:105" ht="11.45" customHeight="1" x14ac:dyDescent="0.25">
      <c r="A36" s="83" t="s">
        <v>181</v>
      </c>
      <c r="B36" s="84">
        <v>265389</v>
      </c>
      <c r="C36" s="84">
        <v>359271</v>
      </c>
      <c r="D36" s="84">
        <v>334323</v>
      </c>
      <c r="E36" s="84">
        <v>397966</v>
      </c>
      <c r="F36" s="84">
        <v>442657</v>
      </c>
      <c r="G36" s="84">
        <v>622091</v>
      </c>
      <c r="H36" s="84">
        <v>791664</v>
      </c>
      <c r="I36" s="84">
        <v>945976</v>
      </c>
      <c r="J36" s="84">
        <v>1079005</v>
      </c>
      <c r="K36" s="84">
        <v>800149</v>
      </c>
      <c r="L36" s="84">
        <v>1036560</v>
      </c>
      <c r="M36" s="84">
        <v>1223428</v>
      </c>
      <c r="N36" s="84">
        <v>1448300</v>
      </c>
      <c r="O36" s="84">
        <v>1563810</v>
      </c>
      <c r="P36" s="84">
        <v>1638905</v>
      </c>
      <c r="Q36" s="84">
        <v>1812765</v>
      </c>
      <c r="R36" s="84">
        <v>2051740</v>
      </c>
      <c r="S36" s="84">
        <v>2211546</v>
      </c>
      <c r="T36" s="84">
        <v>2575940</v>
      </c>
      <c r="U36" s="84">
        <v>2571126</v>
      </c>
      <c r="V36" s="84">
        <v>781525</v>
      </c>
      <c r="W36" s="84">
        <v>954108</v>
      </c>
      <c r="X36" s="84">
        <v>2290181</v>
      </c>
      <c r="Y36" s="84">
        <v>2525763</v>
      </c>
      <c r="DA36" s="171" t="s">
        <v>218</v>
      </c>
    </row>
    <row r="37" spans="1:105" ht="11.45" customHeight="1" x14ac:dyDescent="0.25">
      <c r="A37" s="83" t="s">
        <v>182</v>
      </c>
      <c r="B37" s="84">
        <v>57513</v>
      </c>
      <c r="C37" s="84">
        <v>75977</v>
      </c>
      <c r="D37" s="84">
        <v>68102</v>
      </c>
      <c r="E37" s="84">
        <v>77366</v>
      </c>
      <c r="F37" s="84">
        <v>83413</v>
      </c>
      <c r="G37" s="84">
        <v>98566</v>
      </c>
      <c r="H37" s="84">
        <v>114972</v>
      </c>
      <c r="I37" s="84">
        <v>154768</v>
      </c>
      <c r="J37" s="84">
        <v>204522</v>
      </c>
      <c r="K37" s="84">
        <v>141920</v>
      </c>
      <c r="L37" s="84">
        <v>137954</v>
      </c>
      <c r="M37" s="84">
        <v>131950</v>
      </c>
      <c r="N37" s="84">
        <v>145404</v>
      </c>
      <c r="O37" s="84">
        <v>192848</v>
      </c>
      <c r="P37" s="84">
        <v>274583</v>
      </c>
      <c r="Q37" s="84">
        <v>306329</v>
      </c>
      <c r="R37" s="84">
        <v>340843</v>
      </c>
      <c r="S37" s="84">
        <v>414939</v>
      </c>
      <c r="T37" s="84">
        <v>547734</v>
      </c>
      <c r="U37" s="84">
        <v>669819</v>
      </c>
      <c r="V37" s="84">
        <v>125232</v>
      </c>
      <c r="W37" s="84">
        <v>258830</v>
      </c>
      <c r="X37" s="84">
        <v>392919</v>
      </c>
      <c r="Y37" s="84">
        <v>481020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3442.1148441106607</v>
      </c>
      <c r="C38" s="13">
        <f t="shared" si="27"/>
        <v>3566.7135430304634</v>
      </c>
      <c r="D38" s="13">
        <f t="shared" ref="D38:V38" si="28">SUM(D39:D41)</f>
        <v>3484.6415407578284</v>
      </c>
      <c r="E38" s="13">
        <f t="shared" si="28"/>
        <v>2054.8496612222066</v>
      </c>
      <c r="F38" s="13">
        <f t="shared" si="28"/>
        <v>2136.079968046427</v>
      </c>
      <c r="G38" s="13">
        <f t="shared" si="28"/>
        <v>2468.2603660582222</v>
      </c>
      <c r="H38" s="13">
        <f t="shared" si="28"/>
        <v>3161.7316477215727</v>
      </c>
      <c r="I38" s="13">
        <f t="shared" si="28"/>
        <v>3583.7037431843237</v>
      </c>
      <c r="J38" s="13">
        <f t="shared" si="28"/>
        <v>2970.1970080002152</v>
      </c>
      <c r="K38" s="13">
        <f t="shared" si="28"/>
        <v>2113.5373222968701</v>
      </c>
      <c r="L38" s="13">
        <f t="shared" si="28"/>
        <v>2884.4813713518374</v>
      </c>
      <c r="M38" s="13">
        <f t="shared" si="28"/>
        <v>3292.2818766165806</v>
      </c>
      <c r="N38" s="13">
        <f t="shared" si="28"/>
        <v>7401.2391159662566</v>
      </c>
      <c r="O38" s="13">
        <f t="shared" si="28"/>
        <v>7515.5039854040406</v>
      </c>
      <c r="P38" s="13">
        <f t="shared" si="28"/>
        <v>7631.5994521720449</v>
      </c>
      <c r="Q38" s="13">
        <f t="shared" si="28"/>
        <v>8400.9371232933245</v>
      </c>
      <c r="R38" s="13">
        <f t="shared" si="28"/>
        <v>8723.9222883426082</v>
      </c>
      <c r="S38" s="13">
        <f t="shared" si="28"/>
        <v>9251.0020509917977</v>
      </c>
      <c r="T38" s="13">
        <f t="shared" si="28"/>
        <v>11052.123537198702</v>
      </c>
      <c r="U38" s="13">
        <f t="shared" si="28"/>
        <v>11998.538282236508</v>
      </c>
      <c r="V38" s="13">
        <f t="shared" si="28"/>
        <v>12729.804145971848</v>
      </c>
      <c r="W38" s="13">
        <f t="shared" ref="W38:Y38" si="29">SUM(W39:W41)</f>
        <v>12112.959624411666</v>
      </c>
      <c r="X38" s="13">
        <f t="shared" si="29"/>
        <v>11172.079683960057</v>
      </c>
      <c r="Y38" s="13">
        <f t="shared" si="29"/>
        <v>10780.446677426791</v>
      </c>
      <c r="DA38" s="193" t="s">
        <v>220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DA39" s="175" t="s">
        <v>221</v>
      </c>
    </row>
    <row r="40" spans="1:105" ht="11.45" customHeight="1" x14ac:dyDescent="0.25">
      <c r="A40" s="92" t="s">
        <v>181</v>
      </c>
      <c r="B40" s="102">
        <v>3233.5615530863151</v>
      </c>
      <c r="C40" s="102">
        <v>3351.2440149502759</v>
      </c>
      <c r="D40" s="102">
        <v>3273.0287870152702</v>
      </c>
      <c r="E40" s="102">
        <v>1859.9432411493394</v>
      </c>
      <c r="F40" s="102">
        <v>1895.7817727056342</v>
      </c>
      <c r="G40" s="102">
        <v>2158.7515769541533</v>
      </c>
      <c r="H40" s="102">
        <v>2439.1055245543125</v>
      </c>
      <c r="I40" s="102">
        <v>2454.0581896905792</v>
      </c>
      <c r="J40" s="102">
        <v>2206.6739720198543</v>
      </c>
      <c r="K40" s="102">
        <v>2013.7374553826021</v>
      </c>
      <c r="L40" s="102">
        <v>2726.8975944523104</v>
      </c>
      <c r="M40" s="102">
        <v>3072.0162224626019</v>
      </c>
      <c r="N40" s="102">
        <v>3383.6593062739921</v>
      </c>
      <c r="O40" s="102">
        <v>5546.5691796518531</v>
      </c>
      <c r="P40" s="102">
        <v>6235.9014853886038</v>
      </c>
      <c r="Q40" s="102">
        <v>6744.3263938501614</v>
      </c>
      <c r="R40" s="102">
        <v>7255.0759522520229</v>
      </c>
      <c r="S40" s="102">
        <v>8371.0908799532535</v>
      </c>
      <c r="T40" s="102">
        <v>9285.897757816947</v>
      </c>
      <c r="U40" s="102">
        <v>9811.8941115807156</v>
      </c>
      <c r="V40" s="102">
        <v>10354.977089204889</v>
      </c>
      <c r="W40" s="102">
        <v>9701.5440824865091</v>
      </c>
      <c r="X40" s="102">
        <v>8086.4943068237444</v>
      </c>
      <c r="Y40" s="102">
        <v>8068.5467222608731</v>
      </c>
      <c r="DA40" s="175" t="s">
        <v>222</v>
      </c>
    </row>
    <row r="41" spans="1:105" ht="11.45" customHeight="1" x14ac:dyDescent="0.25">
      <c r="A41" s="85" t="s">
        <v>182</v>
      </c>
      <c r="B41" s="86">
        <v>208.55329102434544</v>
      </c>
      <c r="C41" s="86">
        <v>215.46952808018762</v>
      </c>
      <c r="D41" s="86">
        <v>211.6127537425582</v>
      </c>
      <c r="E41" s="86">
        <v>194.90642007286701</v>
      </c>
      <c r="F41" s="86">
        <v>240.29819534079266</v>
      </c>
      <c r="G41" s="86">
        <v>309.50878910406874</v>
      </c>
      <c r="H41" s="86">
        <v>722.62612316725995</v>
      </c>
      <c r="I41" s="86">
        <v>1129.6455534937445</v>
      </c>
      <c r="J41" s="86">
        <v>763.52303598036099</v>
      </c>
      <c r="K41" s="86">
        <v>99.799866914268023</v>
      </c>
      <c r="L41" s="86">
        <v>157.58377689952687</v>
      </c>
      <c r="M41" s="86">
        <v>220.26565415397883</v>
      </c>
      <c r="N41" s="86">
        <v>4017.579809692264</v>
      </c>
      <c r="O41" s="86">
        <v>1968.9348057521877</v>
      </c>
      <c r="P41" s="86">
        <v>1395.6979667834412</v>
      </c>
      <c r="Q41" s="86">
        <v>1656.6107294431624</v>
      </c>
      <c r="R41" s="86">
        <v>1468.8463360905848</v>
      </c>
      <c r="S41" s="86">
        <v>879.91117103854356</v>
      </c>
      <c r="T41" s="86">
        <v>1766.225779381756</v>
      </c>
      <c r="U41" s="86">
        <v>2186.6441706557921</v>
      </c>
      <c r="V41" s="86">
        <v>2374.8270567669597</v>
      </c>
      <c r="W41" s="86">
        <v>2411.415541925157</v>
      </c>
      <c r="X41" s="86">
        <v>3085.5853771363122</v>
      </c>
      <c r="Y41" s="86">
        <v>2711.8999551659185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6.8204140601693402</v>
      </c>
      <c r="C43" s="54">
        <f t="shared" si="30"/>
        <v>8.9163041554038323</v>
      </c>
      <c r="D43" s="54">
        <f t="shared" ref="D43:V43" si="31">SUM(D44,D48)</f>
        <v>8.2482293837528751</v>
      </c>
      <c r="E43" s="54">
        <f t="shared" si="31"/>
        <v>9.170734962378198</v>
      </c>
      <c r="F43" s="54">
        <f t="shared" si="31"/>
        <v>9.7811489862035614</v>
      </c>
      <c r="G43" s="54">
        <f t="shared" si="31"/>
        <v>12.736400290505935</v>
      </c>
      <c r="H43" s="54">
        <f t="shared" si="31"/>
        <v>13.714216689257581</v>
      </c>
      <c r="I43" s="54">
        <f t="shared" si="31"/>
        <v>15.132056902911891</v>
      </c>
      <c r="J43" s="54">
        <f t="shared" si="31"/>
        <v>16.311953704868642</v>
      </c>
      <c r="K43" s="54">
        <f t="shared" si="31"/>
        <v>15.643695714018101</v>
      </c>
      <c r="L43" s="54">
        <f t="shared" si="31"/>
        <v>15.193710480884295</v>
      </c>
      <c r="M43" s="54">
        <f t="shared" si="31"/>
        <v>14.734291668798862</v>
      </c>
      <c r="N43" s="54">
        <f t="shared" si="31"/>
        <v>14.939270336119206</v>
      </c>
      <c r="O43" s="54">
        <f t="shared" si="31"/>
        <v>14.636967335834155</v>
      </c>
      <c r="P43" s="54">
        <f t="shared" si="31"/>
        <v>16.30375748847765</v>
      </c>
      <c r="Q43" s="54">
        <f t="shared" si="31"/>
        <v>17.355567994271009</v>
      </c>
      <c r="R43" s="54">
        <f t="shared" si="31"/>
        <v>18.477365243184703</v>
      </c>
      <c r="S43" s="54">
        <f t="shared" si="31"/>
        <v>19.678630139220985</v>
      </c>
      <c r="T43" s="54">
        <f t="shared" si="31"/>
        <v>22.382882534423509</v>
      </c>
      <c r="U43" s="54">
        <f t="shared" si="31"/>
        <v>23.064514418142014</v>
      </c>
      <c r="V43" s="54">
        <f t="shared" si="31"/>
        <v>22.801172491734306</v>
      </c>
      <c r="W43" s="54">
        <f t="shared" ref="W43:Y43" si="32">SUM(W44,W48)</f>
        <v>22.463788275027337</v>
      </c>
      <c r="X43" s="54">
        <f t="shared" si="32"/>
        <v>22.231409497365423</v>
      </c>
      <c r="Y43" s="54">
        <f t="shared" si="32"/>
        <v>22.563893190132333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6.6416411409824523</v>
      </c>
      <c r="C44" s="11">
        <f t="shared" si="33"/>
        <v>8.7334395831891207</v>
      </c>
      <c r="D44" s="11">
        <f t="shared" ref="D44:V44" si="34">SUM(D45:D47)</f>
        <v>8.0694564645659881</v>
      </c>
      <c r="E44" s="11">
        <f t="shared" si="34"/>
        <v>9.0091813795133291</v>
      </c>
      <c r="F44" s="11">
        <f t="shared" si="34"/>
        <v>9.6353962999444001</v>
      </c>
      <c r="G44" s="11">
        <f t="shared" si="34"/>
        <v>12.60235995851739</v>
      </c>
      <c r="H44" s="11">
        <f t="shared" si="34"/>
        <v>13.533541477035703</v>
      </c>
      <c r="I44" s="11">
        <f t="shared" si="34"/>
        <v>14.926583037568472</v>
      </c>
      <c r="J44" s="11">
        <f t="shared" si="34"/>
        <v>16.120093756041566</v>
      </c>
      <c r="K44" s="11">
        <f t="shared" si="34"/>
        <v>15.455929641943319</v>
      </c>
      <c r="L44" s="11">
        <f t="shared" si="34"/>
        <v>14.96655490574115</v>
      </c>
      <c r="M44" s="11">
        <f t="shared" si="34"/>
        <v>14.505915766145142</v>
      </c>
      <c r="N44" s="11">
        <f t="shared" si="34"/>
        <v>14.631664476455603</v>
      </c>
      <c r="O44" s="11">
        <f t="shared" si="34"/>
        <v>14.221038417987447</v>
      </c>
      <c r="P44" s="11">
        <f t="shared" si="34"/>
        <v>15.884642526223004</v>
      </c>
      <c r="Q44" s="11">
        <f t="shared" si="34"/>
        <v>16.918740767448433</v>
      </c>
      <c r="R44" s="11">
        <f t="shared" si="34"/>
        <v>18.058388119127667</v>
      </c>
      <c r="S44" s="11">
        <f t="shared" si="34"/>
        <v>19.203016382992313</v>
      </c>
      <c r="T44" s="11">
        <f t="shared" si="34"/>
        <v>21.868654838383044</v>
      </c>
      <c r="U44" s="11">
        <f t="shared" si="34"/>
        <v>22.543474802183731</v>
      </c>
      <c r="V44" s="11">
        <f t="shared" si="34"/>
        <v>22.21139274513461</v>
      </c>
      <c r="W44" s="11">
        <f t="shared" ref="W44:Y44" si="35">SUM(W45:W47)</f>
        <v>21.879310688085489</v>
      </c>
      <c r="X44" s="11">
        <f t="shared" si="35"/>
        <v>21.649441995858403</v>
      </c>
      <c r="Y44" s="11">
        <f t="shared" si="35"/>
        <v>21.990820363786817</v>
      </c>
      <c r="DA44" s="189" t="s">
        <v>225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X45" s="84">
        <v>0</v>
      </c>
      <c r="Y45" s="84">
        <v>0</v>
      </c>
      <c r="DA45" s="171" t="s">
        <v>226</v>
      </c>
    </row>
    <row r="46" spans="1:105" ht="11.45" customHeight="1" x14ac:dyDescent="0.25">
      <c r="A46" s="83" t="s">
        <v>181</v>
      </c>
      <c r="B46" s="84">
        <v>5.2515929868893538</v>
      </c>
      <c r="C46" s="84">
        <v>6.905189181905012</v>
      </c>
      <c r="D46" s="84">
        <v>6.3802108786911891</v>
      </c>
      <c r="E46" s="84">
        <v>7.124751202948322</v>
      </c>
      <c r="F46" s="84">
        <v>7.619344935578428</v>
      </c>
      <c r="G46" s="84">
        <v>10.256759958517389</v>
      </c>
      <c r="H46" s="84">
        <v>10.737721541344385</v>
      </c>
      <c r="I46" s="84">
        <v>11.69901893500437</v>
      </c>
      <c r="J46" s="84">
        <v>12.765329117694838</v>
      </c>
      <c r="K46" s="84">
        <v>12.240169819005901</v>
      </c>
      <c r="L46" s="84">
        <v>11.889799898213042</v>
      </c>
      <c r="M46" s="84">
        <v>11.568165574026343</v>
      </c>
      <c r="N46" s="84">
        <v>11.832919099746114</v>
      </c>
      <c r="O46" s="84">
        <v>11.561297856687268</v>
      </c>
      <c r="P46" s="84">
        <v>12.674753525213923</v>
      </c>
      <c r="Q46" s="84">
        <v>13.405172928252455</v>
      </c>
      <c r="R46" s="84">
        <v>14.371629225847034</v>
      </c>
      <c r="S46" s="84">
        <v>15.153698439655482</v>
      </c>
      <c r="T46" s="84">
        <v>16.759459436084192</v>
      </c>
      <c r="U46" s="84">
        <v>16.508247529456458</v>
      </c>
      <c r="V46" s="84">
        <v>16.245667880111991</v>
      </c>
      <c r="W46" s="84">
        <v>15.983088230767525</v>
      </c>
      <c r="X46" s="84">
        <v>15.822721946245096</v>
      </c>
      <c r="Y46" s="84">
        <v>16.233602721878164</v>
      </c>
      <c r="DA46" s="171" t="s">
        <v>227</v>
      </c>
    </row>
    <row r="47" spans="1:105" ht="11.45" customHeight="1" x14ac:dyDescent="0.25">
      <c r="A47" s="83" t="s">
        <v>182</v>
      </c>
      <c r="B47" s="84">
        <v>1.390048154093098</v>
      </c>
      <c r="C47" s="84">
        <v>1.8282504012841092</v>
      </c>
      <c r="D47" s="84">
        <v>1.6892455858747994</v>
      </c>
      <c r="E47" s="84">
        <v>1.884430176565008</v>
      </c>
      <c r="F47" s="84">
        <v>2.0160513643659712</v>
      </c>
      <c r="G47" s="84">
        <v>2.3456000000000001</v>
      </c>
      <c r="H47" s="84">
        <v>2.7958199356913185</v>
      </c>
      <c r="I47" s="84">
        <v>3.2275641025641026</v>
      </c>
      <c r="J47" s="84">
        <v>3.3547646383467278</v>
      </c>
      <c r="K47" s="84">
        <v>3.215759822937418</v>
      </c>
      <c r="L47" s="84">
        <v>3.0767550075281083</v>
      </c>
      <c r="M47" s="84">
        <v>2.9377501921187985</v>
      </c>
      <c r="N47" s="84">
        <v>2.7987453767094888</v>
      </c>
      <c r="O47" s="84">
        <v>2.659740561300179</v>
      </c>
      <c r="P47" s="84">
        <v>3.2098890010090817</v>
      </c>
      <c r="Q47" s="84">
        <v>3.5135678391959799</v>
      </c>
      <c r="R47" s="84">
        <v>3.6867588932806323</v>
      </c>
      <c r="S47" s="84">
        <v>4.0493179433368311</v>
      </c>
      <c r="T47" s="84">
        <v>5.1091954022988508</v>
      </c>
      <c r="U47" s="84">
        <v>6.0352272727272727</v>
      </c>
      <c r="V47" s="84">
        <v>5.9657248650226178</v>
      </c>
      <c r="W47" s="84">
        <v>5.8962224573179629</v>
      </c>
      <c r="X47" s="84">
        <v>5.826720049613308</v>
      </c>
      <c r="Y47" s="84">
        <v>5.7572176419086531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0.17877291918688773</v>
      </c>
      <c r="C48" s="13">
        <f t="shared" si="36"/>
        <v>0.18286457221471097</v>
      </c>
      <c r="D48" s="13">
        <f t="shared" ref="D48:V48" si="37">SUM(D49:D51)</f>
        <v>0.17877291918688773</v>
      </c>
      <c r="E48" s="13">
        <f t="shared" si="37"/>
        <v>0.16155358286486871</v>
      </c>
      <c r="F48" s="13">
        <f t="shared" si="37"/>
        <v>0.14575268625916177</v>
      </c>
      <c r="G48" s="13">
        <f t="shared" si="37"/>
        <v>0.13404033198854493</v>
      </c>
      <c r="H48" s="13">
        <f t="shared" si="37"/>
        <v>0.1806752122218786</v>
      </c>
      <c r="I48" s="13">
        <f t="shared" si="37"/>
        <v>0.20547386534341985</v>
      </c>
      <c r="J48" s="13">
        <f t="shared" si="37"/>
        <v>0.19185994882707688</v>
      </c>
      <c r="K48" s="13">
        <f t="shared" si="37"/>
        <v>0.18776607207478196</v>
      </c>
      <c r="L48" s="13">
        <f t="shared" si="37"/>
        <v>0.22715557514314591</v>
      </c>
      <c r="M48" s="13">
        <f t="shared" si="37"/>
        <v>0.22837590265372057</v>
      </c>
      <c r="N48" s="13">
        <f t="shared" si="37"/>
        <v>0.30760585966360321</v>
      </c>
      <c r="O48" s="13">
        <f t="shared" si="37"/>
        <v>0.4159289178467086</v>
      </c>
      <c r="P48" s="13">
        <f t="shared" si="37"/>
        <v>0.41911496225464789</v>
      </c>
      <c r="Q48" s="13">
        <f t="shared" si="37"/>
        <v>0.43682722682257458</v>
      </c>
      <c r="R48" s="13">
        <f t="shared" si="37"/>
        <v>0.41897712405703724</v>
      </c>
      <c r="S48" s="13">
        <f t="shared" si="37"/>
        <v>0.47561375622867264</v>
      </c>
      <c r="T48" s="13">
        <f t="shared" si="37"/>
        <v>0.51422769604046381</v>
      </c>
      <c r="U48" s="13">
        <f t="shared" si="37"/>
        <v>0.5210396159582823</v>
      </c>
      <c r="V48" s="13">
        <f t="shared" si="37"/>
        <v>0.58977974659969634</v>
      </c>
      <c r="W48" s="13">
        <f t="shared" ref="W48:Y48" si="38">SUM(W49:W51)</f>
        <v>0.58447758694184815</v>
      </c>
      <c r="X48" s="13">
        <f t="shared" si="38"/>
        <v>0.58196750150701904</v>
      </c>
      <c r="Y48" s="13">
        <f t="shared" si="38"/>
        <v>0.57307282634551515</v>
      </c>
      <c r="DA48" s="193" t="s">
        <v>229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X49" s="102">
        <v>0</v>
      </c>
      <c r="Y49" s="102">
        <v>0</v>
      </c>
      <c r="DA49" s="175" t="s">
        <v>230</v>
      </c>
    </row>
    <row r="50" spans="1:105" ht="11.45" customHeight="1" x14ac:dyDescent="0.25">
      <c r="A50" s="92" t="s">
        <v>181</v>
      </c>
      <c r="B50" s="102">
        <v>0.17309916032163949</v>
      </c>
      <c r="C50" s="102">
        <v>0.17719081334946274</v>
      </c>
      <c r="D50" s="102">
        <v>0.17309916032163949</v>
      </c>
      <c r="E50" s="102">
        <v>0.15587982399962047</v>
      </c>
      <c r="F50" s="102">
        <v>0.13866048767760147</v>
      </c>
      <c r="G50" s="102">
        <v>0.1241533263388274</v>
      </c>
      <c r="H50" s="102">
        <v>0.15683020477031376</v>
      </c>
      <c r="I50" s="102">
        <v>0.16647230528101736</v>
      </c>
      <c r="J50" s="102">
        <v>0.1534257646511992</v>
      </c>
      <c r="K50" s="102">
        <v>0.14989926378542912</v>
      </c>
      <c r="L50" s="102">
        <v>0.18985614274031787</v>
      </c>
      <c r="M50" s="102">
        <v>0.19164384613741736</v>
      </c>
      <c r="N50" s="102">
        <v>0.1901619909243977</v>
      </c>
      <c r="O50" s="102">
        <v>0.2990524249940279</v>
      </c>
      <c r="P50" s="102">
        <v>0.30280584528849203</v>
      </c>
      <c r="Q50" s="102">
        <v>0.32108548574294349</v>
      </c>
      <c r="R50" s="102">
        <v>0.30380275886393099</v>
      </c>
      <c r="S50" s="102">
        <v>0.36100676692209122</v>
      </c>
      <c r="T50" s="102">
        <v>0.40018808262040723</v>
      </c>
      <c r="U50" s="102">
        <v>0.40756737842475049</v>
      </c>
      <c r="V50" s="102">
        <v>0.47659119700942698</v>
      </c>
      <c r="W50" s="102">
        <v>0.47157272529484123</v>
      </c>
      <c r="X50" s="102">
        <v>0.46934632780327451</v>
      </c>
      <c r="Y50" s="102">
        <v>0.46073534058503307</v>
      </c>
      <c r="DA50" s="175" t="s">
        <v>231</v>
      </c>
    </row>
    <row r="51" spans="1:105" ht="11.45" customHeight="1" x14ac:dyDescent="0.25">
      <c r="A51" s="85" t="s">
        <v>182</v>
      </c>
      <c r="B51" s="86">
        <v>5.6737588652482273E-3</v>
      </c>
      <c r="C51" s="86">
        <v>5.6737588652482273E-3</v>
      </c>
      <c r="D51" s="86">
        <v>5.6737588652482273E-3</v>
      </c>
      <c r="E51" s="86">
        <v>5.6737588652482273E-3</v>
      </c>
      <c r="F51" s="86">
        <v>7.0921985815602835E-3</v>
      </c>
      <c r="G51" s="86">
        <v>9.887005649717515E-3</v>
      </c>
      <c r="H51" s="86">
        <v>2.3845007451564829E-2</v>
      </c>
      <c r="I51" s="86">
        <v>3.9001560062402497E-2</v>
      </c>
      <c r="J51" s="86">
        <v>3.8434184175877677E-2</v>
      </c>
      <c r="K51" s="86">
        <v>3.7866808289352856E-2</v>
      </c>
      <c r="L51" s="86">
        <v>3.7299432402828035E-2</v>
      </c>
      <c r="M51" s="86">
        <v>3.6732056516303214E-2</v>
      </c>
      <c r="N51" s="86">
        <v>0.11744386873920552</v>
      </c>
      <c r="O51" s="86">
        <v>0.1168764928526807</v>
      </c>
      <c r="P51" s="86">
        <v>0.11630911696615588</v>
      </c>
      <c r="Q51" s="86">
        <v>0.11574174107963106</v>
      </c>
      <c r="R51" s="86">
        <v>0.11517436519310624</v>
      </c>
      <c r="S51" s="86">
        <v>0.11460698930658142</v>
      </c>
      <c r="T51" s="86">
        <v>0.1140396134200566</v>
      </c>
      <c r="U51" s="86">
        <v>0.11347223753353178</v>
      </c>
      <c r="V51" s="86">
        <v>0.11318854959026936</v>
      </c>
      <c r="W51" s="86">
        <v>0.11290486164700694</v>
      </c>
      <c r="X51" s="86">
        <v>0.11262117370374453</v>
      </c>
      <c r="Y51" s="86">
        <v>0.11233748576048211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3.0981627099999976E-4</v>
      </c>
      <c r="C53" s="54">
        <f t="shared" si="39"/>
        <v>2.3931002337494927</v>
      </c>
      <c r="D53" s="54">
        <f t="shared" ref="D53:V53" si="40">SUM(D54,D58)</f>
        <v>2.0943304511767489E-3</v>
      </c>
      <c r="E53" s="54">
        <f t="shared" si="40"/>
        <v>1.231058886254341</v>
      </c>
      <c r="F53" s="54">
        <f t="shared" si="40"/>
        <v>0.91896733145438025</v>
      </c>
      <c r="G53" s="54">
        <f t="shared" si="40"/>
        <v>3.2611125657726245</v>
      </c>
      <c r="H53" s="54">
        <f t="shared" si="40"/>
        <v>1.2751170350037608</v>
      </c>
      <c r="I53" s="54">
        <f t="shared" si="40"/>
        <v>1.751174834344859</v>
      </c>
      <c r="J53" s="54">
        <f t="shared" si="40"/>
        <v>1.4870468772369145</v>
      </c>
      <c r="K53" s="54">
        <f t="shared" si="40"/>
        <v>4.372613202012543E-3</v>
      </c>
      <c r="L53" s="54">
        <f t="shared" si="40"/>
        <v>0.19724227779603759</v>
      </c>
      <c r="M53" s="54">
        <f t="shared" si="40"/>
        <v>0.1878086988444132</v>
      </c>
      <c r="N53" s="54">
        <f t="shared" si="40"/>
        <v>0.84231095013691271</v>
      </c>
      <c r="O53" s="54">
        <f t="shared" si="40"/>
        <v>0.33540753312204308</v>
      </c>
      <c r="P53" s="54">
        <f t="shared" si="40"/>
        <v>1.978626993841563</v>
      </c>
      <c r="Q53" s="54">
        <f t="shared" si="40"/>
        <v>1.3514821462587747</v>
      </c>
      <c r="R53" s="54">
        <f t="shared" si="40"/>
        <v>1.4308525021903467</v>
      </c>
      <c r="S53" s="54">
        <f t="shared" si="40"/>
        <v>1.5008761500285566</v>
      </c>
      <c r="T53" s="54">
        <f t="shared" si="40"/>
        <v>3.0030649606612383</v>
      </c>
      <c r="U53" s="54">
        <f t="shared" si="40"/>
        <v>1.1303355920510785</v>
      </c>
      <c r="V53" s="54">
        <f t="shared" si="40"/>
        <v>7.4930179030119878E-2</v>
      </c>
      <c r="W53" s="54">
        <f t="shared" ref="W53:Y53" si="41">SUM(W54,W58)</f>
        <v>3.1382978965484136E-3</v>
      </c>
      <c r="X53" s="54">
        <f t="shared" si="41"/>
        <v>0.10430973270295001</v>
      </c>
      <c r="Y53" s="54">
        <f t="shared" si="41"/>
        <v>0.64490284922079499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9.0497738000000017E-5</v>
      </c>
      <c r="C54" s="11">
        <f t="shared" si="42"/>
        <v>2.3829130949806694</v>
      </c>
      <c r="D54" s="11">
        <f t="shared" ref="D54:V54" si="43">SUM(D55:D57)</f>
        <v>9.04977379999998E-5</v>
      </c>
      <c r="E54" s="11">
        <f t="shared" si="43"/>
        <v>1.2308395677213411</v>
      </c>
      <c r="F54" s="11">
        <f t="shared" si="43"/>
        <v>0.91732957320506825</v>
      </c>
      <c r="G54" s="11">
        <f t="shared" si="43"/>
        <v>3.2580783113469907</v>
      </c>
      <c r="H54" s="11">
        <f t="shared" si="43"/>
        <v>1.2223866690294272</v>
      </c>
      <c r="I54" s="11">
        <f t="shared" si="43"/>
        <v>1.7190762839522251</v>
      </c>
      <c r="J54" s="11">
        <f t="shared" si="43"/>
        <v>1.4847158689842064</v>
      </c>
      <c r="K54" s="11">
        <f t="shared" si="43"/>
        <v>0</v>
      </c>
      <c r="L54" s="11">
        <f t="shared" si="43"/>
        <v>0.14938628477336624</v>
      </c>
      <c r="M54" s="11">
        <f t="shared" si="43"/>
        <v>0.17812188137953111</v>
      </c>
      <c r="N54" s="11">
        <f t="shared" si="43"/>
        <v>0.75499275376324748</v>
      </c>
      <c r="O54" s="11">
        <f t="shared" si="43"/>
        <v>0.21861798498463025</v>
      </c>
      <c r="P54" s="11">
        <f t="shared" si="43"/>
        <v>1.9669744594793164</v>
      </c>
      <c r="Q54" s="11">
        <f t="shared" si="43"/>
        <v>1.3253033917365407</v>
      </c>
      <c r="R54" s="11">
        <f t="shared" si="43"/>
        <v>1.4308525021903467</v>
      </c>
      <c r="S54" s="11">
        <f t="shared" si="43"/>
        <v>1.4358334143757587</v>
      </c>
      <c r="T54" s="11">
        <f t="shared" si="43"/>
        <v>2.9568436059018444</v>
      </c>
      <c r="U54" s="11">
        <f t="shared" si="43"/>
        <v>1.1170499358017352</v>
      </c>
      <c r="V54" s="11">
        <f t="shared" si="43"/>
        <v>4.4342307603528752E-13</v>
      </c>
      <c r="W54" s="11">
        <f t="shared" ref="W54:Y54" si="44">SUM(W55:W57)</f>
        <v>4.4342307603528752E-13</v>
      </c>
      <c r="X54" s="11">
        <f t="shared" si="44"/>
        <v>9.8364263965753596E-2</v>
      </c>
      <c r="Y54" s="11">
        <f t="shared" si="44"/>
        <v>0.64490284922079499</v>
      </c>
      <c r="DA54" s="189" t="s">
        <v>234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X55" s="84">
        <v>0</v>
      </c>
      <c r="Y55" s="84">
        <v>0</v>
      </c>
      <c r="DA55" s="171" t="s">
        <v>235</v>
      </c>
    </row>
    <row r="56" spans="1:105" ht="11.45" customHeight="1" x14ac:dyDescent="0.25">
      <c r="A56" s="83" t="s">
        <v>181</v>
      </c>
      <c r="B56" s="84">
        <v>9.0497738000000017E-5</v>
      </c>
      <c r="C56" s="84">
        <v>1.8837691677466581</v>
      </c>
      <c r="D56" s="84">
        <v>9.04977379999998E-5</v>
      </c>
      <c r="E56" s="84">
        <v>0.97471329698813247</v>
      </c>
      <c r="F56" s="84">
        <v>0.72476670536110521</v>
      </c>
      <c r="G56" s="84">
        <v>2.8675879956699619</v>
      </c>
      <c r="H56" s="84">
        <v>0.71122505329510899</v>
      </c>
      <c r="I56" s="84">
        <v>1.2263904370364411</v>
      </c>
      <c r="J56" s="84">
        <v>1.2965736531585814</v>
      </c>
      <c r="K56" s="84">
        <v>0</v>
      </c>
      <c r="L56" s="84">
        <v>0.14938628477336624</v>
      </c>
      <c r="M56" s="84">
        <v>0.17812188137953111</v>
      </c>
      <c r="N56" s="84">
        <v>0.75499275376324748</v>
      </c>
      <c r="O56" s="84">
        <v>0.21861798498463025</v>
      </c>
      <c r="P56" s="84">
        <v>1.3558843397274138</v>
      </c>
      <c r="Q56" s="84">
        <v>0.96068287350664261</v>
      </c>
      <c r="R56" s="84">
        <v>1.1967197680626944</v>
      </c>
      <c r="S56" s="84">
        <v>1.0123326842765596</v>
      </c>
      <c r="T56" s="84">
        <v>1.8360244668968246</v>
      </c>
      <c r="U56" s="84">
        <v>0.13007638533031307</v>
      </c>
      <c r="V56" s="84">
        <v>4.4342307603528752E-13</v>
      </c>
      <c r="W56" s="84">
        <v>4.4342307603528752E-13</v>
      </c>
      <c r="X56" s="84">
        <v>9.8364263965753596E-2</v>
      </c>
      <c r="Y56" s="84">
        <v>0.64490284922079499</v>
      </c>
      <c r="DA56" s="171" t="s">
        <v>236</v>
      </c>
    </row>
    <row r="57" spans="1:105" ht="11.45" customHeight="1" x14ac:dyDescent="0.25">
      <c r="A57" s="83" t="s">
        <v>182</v>
      </c>
      <c r="B57" s="84">
        <v>0</v>
      </c>
      <c r="C57" s="84">
        <v>0.49914392723401124</v>
      </c>
      <c r="D57" s="84">
        <v>0</v>
      </c>
      <c r="E57" s="84">
        <v>0.25612627073320859</v>
      </c>
      <c r="F57" s="84">
        <v>0.19256286784396304</v>
      </c>
      <c r="G57" s="84">
        <v>0.39049031567702874</v>
      </c>
      <c r="H57" s="84">
        <v>0.51116161573431818</v>
      </c>
      <c r="I57" s="84">
        <v>0.49268584691578399</v>
      </c>
      <c r="J57" s="84">
        <v>0.18814221582562496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0.61109011975190253</v>
      </c>
      <c r="Q57" s="84">
        <v>0.36462051822989805</v>
      </c>
      <c r="R57" s="84">
        <v>0.23413273412765223</v>
      </c>
      <c r="S57" s="84">
        <v>0.42350073009919909</v>
      </c>
      <c r="T57" s="84">
        <v>1.1208191390050199</v>
      </c>
      <c r="U57" s="84">
        <v>0.9869735504714221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2.1931853299999974E-4</v>
      </c>
      <c r="C58" s="13">
        <f t="shared" si="45"/>
        <v>1.018713876882324E-2</v>
      </c>
      <c r="D58" s="13">
        <f t="shared" ref="D58:V58" si="46">SUM(D59:D61)</f>
        <v>2.0038327131767491E-3</v>
      </c>
      <c r="E58" s="13">
        <f t="shared" si="46"/>
        <v>2.1931853299999974E-4</v>
      </c>
      <c r="F58" s="13">
        <f t="shared" si="46"/>
        <v>1.6377582493120558E-3</v>
      </c>
      <c r="G58" s="13">
        <f t="shared" si="46"/>
        <v>3.0342544256338824E-3</v>
      </c>
      <c r="H58" s="13">
        <f t="shared" si="46"/>
        <v>5.2730365974333664E-2</v>
      </c>
      <c r="I58" s="13">
        <f t="shared" si="46"/>
        <v>3.2098550392633936E-2</v>
      </c>
      <c r="J58" s="13">
        <f t="shared" si="46"/>
        <v>2.3310082527081138E-3</v>
      </c>
      <c r="K58" s="13">
        <f t="shared" si="46"/>
        <v>4.372613202012543E-3</v>
      </c>
      <c r="L58" s="13">
        <f t="shared" si="46"/>
        <v>4.785599302267135E-2</v>
      </c>
      <c r="M58" s="13">
        <f t="shared" si="46"/>
        <v>9.6868174648820915E-3</v>
      </c>
      <c r="N58" s="13">
        <f t="shared" si="46"/>
        <v>8.7318196373665252E-2</v>
      </c>
      <c r="O58" s="13">
        <f t="shared" si="46"/>
        <v>0.11678954813741282</v>
      </c>
      <c r="P58" s="13">
        <f t="shared" si="46"/>
        <v>1.1652534362246725E-2</v>
      </c>
      <c r="Q58" s="13">
        <f t="shared" si="46"/>
        <v>2.617875452223406E-2</v>
      </c>
      <c r="R58" s="13">
        <f t="shared" si="46"/>
        <v>0</v>
      </c>
      <c r="S58" s="13">
        <f t="shared" si="46"/>
        <v>6.5042735652797931E-2</v>
      </c>
      <c r="T58" s="13">
        <f t="shared" si="46"/>
        <v>4.6221354759393728E-2</v>
      </c>
      <c r="U58" s="13">
        <f t="shared" si="46"/>
        <v>1.3285656249343258E-2</v>
      </c>
      <c r="V58" s="13">
        <f t="shared" si="46"/>
        <v>7.4930179029676455E-2</v>
      </c>
      <c r="W58" s="13">
        <f t="shared" ref="W58:Y58" si="47">SUM(W59:W61)</f>
        <v>3.1382978961049905E-3</v>
      </c>
      <c r="X58" s="13">
        <f t="shared" si="47"/>
        <v>5.9454687371964148E-3</v>
      </c>
      <c r="Y58" s="13">
        <f t="shared" si="47"/>
        <v>0</v>
      </c>
      <c r="DA58" s="193" t="s">
        <v>238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3.0193237000000002E-5</v>
      </c>
      <c r="C60" s="102">
        <v>9.9980134728232389E-3</v>
      </c>
      <c r="D60" s="102">
        <v>1.8147074171767493E-3</v>
      </c>
      <c r="E60" s="102">
        <v>3.0193237000000002E-5</v>
      </c>
      <c r="F60" s="102">
        <v>3.0193237000000002E-5</v>
      </c>
      <c r="G60" s="102">
        <v>5.032206147665059E-5</v>
      </c>
      <c r="H60" s="102">
        <v>3.8583238876486348E-2</v>
      </c>
      <c r="I60" s="102">
        <v>1.6752872485796266E-2</v>
      </c>
      <c r="J60" s="102">
        <v>2.3310082527081138E-3</v>
      </c>
      <c r="K60" s="102">
        <v>4.372613202012543E-3</v>
      </c>
      <c r="L60" s="102">
        <v>4.785599302267135E-2</v>
      </c>
      <c r="M60" s="102">
        <v>9.6868174648820915E-3</v>
      </c>
      <c r="N60" s="102">
        <v>6.4172588547629361E-3</v>
      </c>
      <c r="O60" s="102">
        <v>0.11678954813741282</v>
      </c>
      <c r="P60" s="102">
        <v>1.1652534362246725E-2</v>
      </c>
      <c r="Q60" s="102">
        <v>2.617875452223406E-2</v>
      </c>
      <c r="R60" s="102">
        <v>0</v>
      </c>
      <c r="S60" s="102">
        <v>6.5042735652797931E-2</v>
      </c>
      <c r="T60" s="102">
        <v>4.6221354759393728E-2</v>
      </c>
      <c r="U60" s="102">
        <v>1.3285656249343258E-2</v>
      </c>
      <c r="V60" s="102">
        <v>7.4930179029676455E-2</v>
      </c>
      <c r="W60" s="102">
        <v>3.1382978961049905E-3</v>
      </c>
      <c r="X60" s="102">
        <v>5.9454687371964148E-3</v>
      </c>
      <c r="Y60" s="102">
        <v>0</v>
      </c>
      <c r="DA60" s="175" t="s">
        <v>240</v>
      </c>
    </row>
    <row r="61" spans="1:105" ht="11.45" customHeight="1" x14ac:dyDescent="0.25">
      <c r="A61" s="85" t="s">
        <v>182</v>
      </c>
      <c r="B61" s="86">
        <v>1.8912529599999974E-4</v>
      </c>
      <c r="C61" s="86">
        <v>1.8912529599999974E-4</v>
      </c>
      <c r="D61" s="86">
        <v>1.8912529599999974E-4</v>
      </c>
      <c r="E61" s="86">
        <v>1.8912529599999974E-4</v>
      </c>
      <c r="F61" s="86">
        <v>1.6075650123120559E-3</v>
      </c>
      <c r="G61" s="86">
        <v>2.9839323641572321E-3</v>
      </c>
      <c r="H61" s="86">
        <v>1.4147127097847314E-2</v>
      </c>
      <c r="I61" s="86">
        <v>1.5345677906837669E-2</v>
      </c>
      <c r="J61" s="86">
        <v>0</v>
      </c>
      <c r="K61" s="86">
        <v>0</v>
      </c>
      <c r="L61" s="86">
        <v>0</v>
      </c>
      <c r="M61" s="86">
        <v>0</v>
      </c>
      <c r="N61" s="86">
        <v>8.0900937518902316E-2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X61" s="86">
        <v>0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40.739591218773654</v>
      </c>
      <c r="C66" s="14">
        <f t="shared" si="48"/>
        <v>41.762425638073303</v>
      </c>
      <c r="D66" s="14">
        <f t="shared" ref="D66:V66" si="49">IF(D34=0,0,D34/D24)</f>
        <v>42.907026335430217</v>
      </c>
      <c r="E66" s="14">
        <f t="shared" si="49"/>
        <v>44.208705357142854</v>
      </c>
      <c r="F66" s="14">
        <f t="shared" si="49"/>
        <v>45.749195582224544</v>
      </c>
      <c r="G66" s="14">
        <f t="shared" si="49"/>
        <v>48.22706283878739</v>
      </c>
      <c r="H66" s="14">
        <f t="shared" si="49"/>
        <v>56.992456625597185</v>
      </c>
      <c r="I66" s="14">
        <f t="shared" si="49"/>
        <v>64.074975260492465</v>
      </c>
      <c r="J66" s="14">
        <f t="shared" si="49"/>
        <v>64.880301268766118</v>
      </c>
      <c r="K66" s="14">
        <f t="shared" si="49"/>
        <v>72.466846153846149</v>
      </c>
      <c r="L66" s="14">
        <f t="shared" si="49"/>
        <v>74.204826889057372</v>
      </c>
      <c r="M66" s="14">
        <f t="shared" si="49"/>
        <v>81.111789347695989</v>
      </c>
      <c r="N66" s="14">
        <f t="shared" si="49"/>
        <v>90.618297606186388</v>
      </c>
      <c r="O66" s="14">
        <f t="shared" si="49"/>
        <v>100.19152455369874</v>
      </c>
      <c r="P66" s="14">
        <f t="shared" si="49"/>
        <v>97.042702099604426</v>
      </c>
      <c r="Q66" s="14">
        <f t="shared" si="49"/>
        <v>101.49889836191205</v>
      </c>
      <c r="R66" s="14">
        <f t="shared" si="49"/>
        <v>106.57385300668152</v>
      </c>
      <c r="S66" s="14">
        <f t="shared" si="49"/>
        <v>110.93917634635692</v>
      </c>
      <c r="T66" s="14">
        <f t="shared" si="49"/>
        <v>118.87483350458577</v>
      </c>
      <c r="U66" s="14">
        <f t="shared" si="49"/>
        <v>120.48570578831927</v>
      </c>
      <c r="V66" s="14">
        <f t="shared" si="49"/>
        <v>86.837483240758473</v>
      </c>
      <c r="W66" s="14">
        <f t="shared" ref="W66:Y66" si="50">IF(W34=0,0,W34/W24)</f>
        <v>95.222012874862614</v>
      </c>
      <c r="X66" s="14">
        <f t="shared" si="50"/>
        <v>123.71927883063586</v>
      </c>
      <c r="Y66" s="14">
        <f t="shared" si="50"/>
        <v>131.99802449624653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:Y67" si="52">IF(W35=0,0,W35/W25)</f>
        <v>0</v>
      </c>
      <c r="X67" s="87">
        <f t="shared" si="52"/>
        <v>0</v>
      </c>
      <c r="Y67" s="87">
        <f t="shared" si="52"/>
        <v>0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37.590509915014167</v>
      </c>
      <c r="C68" s="87">
        <f t="shared" si="48"/>
        <v>38.702035979747926</v>
      </c>
      <c r="D68" s="87">
        <f t="shared" ref="D68:V68" si="53">IF(D36=0,0,D36/D26)</f>
        <v>40.019511611204216</v>
      </c>
      <c r="E68" s="87">
        <f t="shared" si="53"/>
        <v>41.550010440593027</v>
      </c>
      <c r="F68" s="87">
        <f t="shared" si="53"/>
        <v>43.215561847115104</v>
      </c>
      <c r="G68" s="87">
        <f t="shared" si="53"/>
        <v>46.159456852415225</v>
      </c>
      <c r="H68" s="87">
        <f t="shared" si="53"/>
        <v>55.872962100359942</v>
      </c>
      <c r="I68" s="87">
        <f t="shared" si="53"/>
        <v>62.378898780085727</v>
      </c>
      <c r="J68" s="87">
        <f t="shared" si="53"/>
        <v>63.994128462131549</v>
      </c>
      <c r="K68" s="87">
        <f t="shared" si="53"/>
        <v>71.124355555555553</v>
      </c>
      <c r="L68" s="87">
        <f t="shared" si="53"/>
        <v>74.385360602798713</v>
      </c>
      <c r="M68" s="87">
        <f t="shared" si="53"/>
        <v>84.020877686972042</v>
      </c>
      <c r="N68" s="87">
        <f t="shared" si="53"/>
        <v>96.604855923159022</v>
      </c>
      <c r="O68" s="87">
        <f t="shared" si="53"/>
        <v>103.94217347956132</v>
      </c>
      <c r="P68" s="87">
        <f t="shared" si="53"/>
        <v>99.10533954163391</v>
      </c>
      <c r="Q68" s="87">
        <f t="shared" si="53"/>
        <v>104.28978253365551</v>
      </c>
      <c r="R68" s="87">
        <f t="shared" si="53"/>
        <v>109.60735082002243</v>
      </c>
      <c r="S68" s="87">
        <f t="shared" si="53"/>
        <v>111.60405732741219</v>
      </c>
      <c r="T68" s="87">
        <f t="shared" si="53"/>
        <v>117.98919017955295</v>
      </c>
      <c r="U68" s="87">
        <f t="shared" si="53"/>
        <v>119.09977765425236</v>
      </c>
      <c r="V68" s="87">
        <f t="shared" si="53"/>
        <v>86.023665382498621</v>
      </c>
      <c r="W68" s="87">
        <f t="shared" ref="W68:Y68" si="54">IF(W36=0,0,W36/W26)</f>
        <v>92.875304195463841</v>
      </c>
      <c r="X68" s="87">
        <f t="shared" si="54"/>
        <v>120.01158098831421</v>
      </c>
      <c r="Y68" s="87">
        <f t="shared" si="54"/>
        <v>128.41339163150136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66.412240184757508</v>
      </c>
      <c r="C69" s="87">
        <f t="shared" si="48"/>
        <v>66.705004389815628</v>
      </c>
      <c r="D69" s="87">
        <f t="shared" ref="D69:V69" si="55">IF(D37=0,0,D37/D27)</f>
        <v>66.440975609756094</v>
      </c>
      <c r="E69" s="87">
        <f t="shared" si="55"/>
        <v>65.899488926746173</v>
      </c>
      <c r="F69" s="87">
        <f t="shared" si="55"/>
        <v>66.41162420382166</v>
      </c>
      <c r="G69" s="87">
        <f t="shared" si="55"/>
        <v>67.234652114597537</v>
      </c>
      <c r="H69" s="87">
        <f t="shared" si="55"/>
        <v>66.113858539390449</v>
      </c>
      <c r="I69" s="87">
        <f t="shared" si="55"/>
        <v>76.846077457795431</v>
      </c>
      <c r="J69" s="87">
        <f t="shared" si="55"/>
        <v>69.993839835728949</v>
      </c>
      <c r="K69" s="87">
        <f t="shared" si="55"/>
        <v>81.097142857142856</v>
      </c>
      <c r="L69" s="87">
        <f t="shared" si="55"/>
        <v>72.875858425779185</v>
      </c>
      <c r="M69" s="87">
        <f t="shared" si="55"/>
        <v>61.400651465798049</v>
      </c>
      <c r="N69" s="87">
        <f t="shared" si="55"/>
        <v>56.032369942196532</v>
      </c>
      <c r="O69" s="87">
        <f t="shared" si="55"/>
        <v>77.511254019292608</v>
      </c>
      <c r="P69" s="87">
        <f t="shared" si="55"/>
        <v>86.319710782772717</v>
      </c>
      <c r="Q69" s="87">
        <f t="shared" si="55"/>
        <v>87.622711670480555</v>
      </c>
      <c r="R69" s="87">
        <f t="shared" si="55"/>
        <v>91.354328598231035</v>
      </c>
      <c r="S69" s="87">
        <f t="shared" si="55"/>
        <v>107.52500647836227</v>
      </c>
      <c r="T69" s="87">
        <f t="shared" si="55"/>
        <v>123.22474690663667</v>
      </c>
      <c r="U69" s="87">
        <f t="shared" si="55"/>
        <v>126.1191865938618</v>
      </c>
      <c r="V69" s="87">
        <f t="shared" si="55"/>
        <v>92.285924834193068</v>
      </c>
      <c r="W69" s="87">
        <f t="shared" ref="W69:Y69" si="56">IF(W37=0,0,W37/W27)</f>
        <v>105.00202839756592</v>
      </c>
      <c r="X69" s="87">
        <f t="shared" si="56"/>
        <v>150.89055299539172</v>
      </c>
      <c r="Y69" s="87">
        <f t="shared" si="56"/>
        <v>154.66881028938906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16.87311198093461</v>
      </c>
      <c r="C70" s="15">
        <f t="shared" si="48"/>
        <v>17.065615038423271</v>
      </c>
      <c r="D70" s="15">
        <f t="shared" ref="D70:V70" si="57">IF(D38=0,0,D38/D28)</f>
        <v>17.081576180185433</v>
      </c>
      <c r="E70" s="15">
        <f t="shared" si="57"/>
        <v>18.346871975198273</v>
      </c>
      <c r="F70" s="15">
        <f t="shared" si="57"/>
        <v>17.366503805255505</v>
      </c>
      <c r="G70" s="15">
        <f t="shared" si="57"/>
        <v>16.56550581247129</v>
      </c>
      <c r="H70" s="15">
        <f t="shared" si="57"/>
        <v>16.640692882745121</v>
      </c>
      <c r="I70" s="15">
        <f t="shared" si="57"/>
        <v>17.653713020612432</v>
      </c>
      <c r="J70" s="15">
        <f t="shared" si="57"/>
        <v>16.686500044945028</v>
      </c>
      <c r="K70" s="15">
        <f t="shared" si="57"/>
        <v>14.184814243603155</v>
      </c>
      <c r="L70" s="15">
        <f t="shared" si="57"/>
        <v>15.101996708648363</v>
      </c>
      <c r="M70" s="15">
        <f t="shared" si="57"/>
        <v>16.379511823963089</v>
      </c>
      <c r="N70" s="15">
        <f t="shared" si="57"/>
        <v>27.310845446369949</v>
      </c>
      <c r="O70" s="15">
        <f t="shared" si="57"/>
        <v>20.64698897089022</v>
      </c>
      <c r="P70" s="15">
        <f t="shared" si="57"/>
        <v>21.25793719267979</v>
      </c>
      <c r="Q70" s="15">
        <f t="shared" si="57"/>
        <v>21.540864418700831</v>
      </c>
      <c r="R70" s="15">
        <f t="shared" si="57"/>
        <v>23.706310566148392</v>
      </c>
      <c r="S70" s="15">
        <f t="shared" si="57"/>
        <v>20.83559020493648</v>
      </c>
      <c r="T70" s="15">
        <f t="shared" si="57"/>
        <v>21.79906023116115</v>
      </c>
      <c r="U70" s="15">
        <f t="shared" si="57"/>
        <v>22.767624823978196</v>
      </c>
      <c r="V70" s="15">
        <f t="shared" si="57"/>
        <v>20.078555435286827</v>
      </c>
      <c r="W70" s="15">
        <f t="shared" ref="W70:Y70" si="58">IF(W38=0,0,W38/W28)</f>
        <v>20.495701564148334</v>
      </c>
      <c r="X70" s="15">
        <f t="shared" si="58"/>
        <v>22.210894003896733</v>
      </c>
      <c r="Y70" s="15">
        <f t="shared" si="58"/>
        <v>21.911476986639819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:Y71" si="60">IF(W39=0,0,W39/W29)</f>
        <v>0</v>
      </c>
      <c r="X71" s="41">
        <f t="shared" si="60"/>
        <v>0</v>
      </c>
      <c r="Y71" s="41">
        <f t="shared" si="60"/>
        <v>0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16.36514393507635</v>
      </c>
      <c r="E72" s="41">
        <f t="shared" si="61"/>
        <v>17.221696677308699</v>
      </c>
      <c r="F72" s="41">
        <f t="shared" si="61"/>
        <v>16.065947226318933</v>
      </c>
      <c r="G72" s="41">
        <f t="shared" si="61"/>
        <v>15.202475894043333</v>
      </c>
      <c r="H72" s="41">
        <f t="shared" si="61"/>
        <v>14.017847842266164</v>
      </c>
      <c r="I72" s="41">
        <f t="shared" si="61"/>
        <v>13.786843762306624</v>
      </c>
      <c r="J72" s="41">
        <f t="shared" si="61"/>
        <v>13.706049515651269</v>
      </c>
      <c r="K72" s="41">
        <f t="shared" si="61"/>
        <v>13.698894254303415</v>
      </c>
      <c r="L72" s="41">
        <f t="shared" si="61"/>
        <v>14.504774438576119</v>
      </c>
      <c r="M72" s="41">
        <f t="shared" si="61"/>
        <v>15.593990976967522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18.449412678664508</v>
      </c>
      <c r="Q72" s="41">
        <f t="shared" si="61"/>
        <v>18.477606558493594</v>
      </c>
      <c r="R72" s="41">
        <f t="shared" si="61"/>
        <v>20.847919403023056</v>
      </c>
      <c r="S72" s="41">
        <f t="shared" si="61"/>
        <v>19.377525185076976</v>
      </c>
      <c r="T72" s="41">
        <f t="shared" si="61"/>
        <v>19.22546119630838</v>
      </c>
      <c r="U72" s="41">
        <f t="shared" si="61"/>
        <v>19.70259861763196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17.890474130141026</v>
      </c>
      <c r="Y72" s="41">
        <f t="shared" si="62"/>
        <v>17.970037243342702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53.587012042781268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1250.968598243312</v>
      </c>
      <c r="C75" s="62">
        <f t="shared" si="65"/>
        <v>1253.3375119722409</v>
      </c>
      <c r="D75" s="62">
        <f t="shared" ref="D75:V75" si="66">IF(D13=0,0,D13*1000000/D23)</f>
        <v>1252.7273906956552</v>
      </c>
      <c r="E75" s="62">
        <f t="shared" si="66"/>
        <v>1257.6184411330478</v>
      </c>
      <c r="F75" s="62">
        <f t="shared" si="66"/>
        <v>1257.5661560097885</v>
      </c>
      <c r="G75" s="62">
        <f t="shared" si="66"/>
        <v>1290.3005324882183</v>
      </c>
      <c r="H75" s="62">
        <f t="shared" si="66"/>
        <v>1297.9263009111394</v>
      </c>
      <c r="I75" s="62">
        <f t="shared" si="66"/>
        <v>1332.6593736367593</v>
      </c>
      <c r="J75" s="62">
        <f t="shared" si="66"/>
        <v>1187.2068431573491</v>
      </c>
      <c r="K75" s="62">
        <f t="shared" si="66"/>
        <v>998.54659389460346</v>
      </c>
      <c r="L75" s="62">
        <f t="shared" si="66"/>
        <v>1037.8077254621842</v>
      </c>
      <c r="M75" s="62">
        <f t="shared" si="66"/>
        <v>1042.3473073701102</v>
      </c>
      <c r="N75" s="62">
        <f t="shared" si="66"/>
        <v>1095.5143926763799</v>
      </c>
      <c r="O75" s="62">
        <f t="shared" si="66"/>
        <v>1146.8445919956678</v>
      </c>
      <c r="P75" s="62">
        <f t="shared" si="66"/>
        <v>1160.6414308652465</v>
      </c>
      <c r="Q75" s="62">
        <f t="shared" si="66"/>
        <v>1174.7153896139716</v>
      </c>
      <c r="R75" s="62">
        <f t="shared" si="66"/>
        <v>1167.5908536258098</v>
      </c>
      <c r="S75" s="62">
        <f t="shared" si="66"/>
        <v>1173.7979139442418</v>
      </c>
      <c r="T75" s="62">
        <f t="shared" si="66"/>
        <v>1219.0348741324369</v>
      </c>
      <c r="U75" s="62">
        <f t="shared" si="66"/>
        <v>1218.1037525227048</v>
      </c>
      <c r="V75" s="62">
        <f t="shared" si="66"/>
        <v>1224.0889914660511</v>
      </c>
      <c r="W75" s="62">
        <f t="shared" ref="W75:Y75" si="67">IF(W13=0,0,W13*1000000/W23)</f>
        <v>1385.87106746974</v>
      </c>
      <c r="X75" s="62">
        <f t="shared" si="67"/>
        <v>1404.4398864002344</v>
      </c>
      <c r="Y75" s="62">
        <f t="shared" si="67"/>
        <v>1428.6387598557114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1262.0471438507473</v>
      </c>
      <c r="C76" s="14">
        <f t="shared" si="65"/>
        <v>1262.0903067295581</v>
      </c>
      <c r="D76" s="14">
        <f t="shared" ref="D76:V76" si="68">IF(D14=0,0,D14*1000000/D24)</f>
        <v>1262.1278967351911</v>
      </c>
      <c r="E76" s="14">
        <f t="shared" si="68"/>
        <v>1261.9865210317123</v>
      </c>
      <c r="F76" s="14">
        <f t="shared" si="68"/>
        <v>1262.0190651835503</v>
      </c>
      <c r="G76" s="14">
        <f t="shared" si="68"/>
        <v>1294.4725902956823</v>
      </c>
      <c r="H76" s="14">
        <f t="shared" si="68"/>
        <v>1301.5623886437327</v>
      </c>
      <c r="I76" s="14">
        <f t="shared" si="68"/>
        <v>1335.0873958856607</v>
      </c>
      <c r="J76" s="14">
        <f t="shared" si="68"/>
        <v>1188.3835916098801</v>
      </c>
      <c r="K76" s="14">
        <f t="shared" si="68"/>
        <v>1001.6464102738603</v>
      </c>
      <c r="L76" s="14">
        <f t="shared" si="68"/>
        <v>1039.9539232015647</v>
      </c>
      <c r="M76" s="14">
        <f t="shared" si="68"/>
        <v>1045.1489985445126</v>
      </c>
      <c r="N76" s="14">
        <f t="shared" si="68"/>
        <v>1093.9921771305517</v>
      </c>
      <c r="O76" s="14">
        <f t="shared" si="68"/>
        <v>1151.4521988076629</v>
      </c>
      <c r="P76" s="14">
        <f t="shared" si="68"/>
        <v>1166.0105735689333</v>
      </c>
      <c r="Q76" s="14">
        <f t="shared" si="68"/>
        <v>1180.7621907412308</v>
      </c>
      <c r="R76" s="14">
        <f t="shared" si="68"/>
        <v>1173.8568496382288</v>
      </c>
      <c r="S76" s="14">
        <f t="shared" si="68"/>
        <v>1182.2647286487872</v>
      </c>
      <c r="T76" s="14">
        <f t="shared" si="68"/>
        <v>1228.4498273858408</v>
      </c>
      <c r="U76" s="14">
        <f t="shared" si="68"/>
        <v>1227.7566195140819</v>
      </c>
      <c r="V76" s="14">
        <f t="shared" si="68"/>
        <v>1254.5072935711821</v>
      </c>
      <c r="W76" s="14">
        <f t="shared" ref="W76:Y76" si="69">IF(W14=0,0,W14*1000000/W24)</f>
        <v>1413.0415871913178</v>
      </c>
      <c r="X76" s="14">
        <f t="shared" si="69"/>
        <v>1415.0337176279372</v>
      </c>
      <c r="Y76" s="14">
        <f t="shared" si="69"/>
        <v>1437.771878833777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:Y77" si="71">IF(W15=0,0,W15*1000000/W25)</f>
        <v>0</v>
      </c>
      <c r="X77" s="39">
        <f t="shared" si="71"/>
        <v>0</v>
      </c>
      <c r="Y77" s="39">
        <f t="shared" si="71"/>
        <v>0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1106.7934543907784</v>
      </c>
      <c r="C78" s="39">
        <f t="shared" si="65"/>
        <v>1106.7982286503802</v>
      </c>
      <c r="D78" s="39">
        <f t="shared" ref="D78:V78" si="72">IF(D16=0,0,D16*1000000/D26)</f>
        <v>1106.8425687625329</v>
      </c>
      <c r="E78" s="39">
        <f t="shared" si="72"/>
        <v>1106.8397277263109</v>
      </c>
      <c r="F78" s="39">
        <f t="shared" si="72"/>
        <v>1106.815805003642</v>
      </c>
      <c r="G78" s="39">
        <f t="shared" si="72"/>
        <v>1161.4846010231045</v>
      </c>
      <c r="H78" s="39">
        <f t="shared" si="72"/>
        <v>1150.4005123504901</v>
      </c>
      <c r="I78" s="39">
        <f t="shared" si="72"/>
        <v>1177.0543891921639</v>
      </c>
      <c r="J78" s="39">
        <f t="shared" si="72"/>
        <v>1127.1016098476393</v>
      </c>
      <c r="K78" s="39">
        <f t="shared" si="72"/>
        <v>908.92360604467854</v>
      </c>
      <c r="L78" s="39">
        <f t="shared" si="72"/>
        <v>982.86410920335629</v>
      </c>
      <c r="M78" s="39">
        <f t="shared" si="72"/>
        <v>1018.6892543923419</v>
      </c>
      <c r="N78" s="39">
        <f t="shared" si="72"/>
        <v>1095.0996163640173</v>
      </c>
      <c r="O78" s="39">
        <f t="shared" si="72"/>
        <v>1143.1547107475412</v>
      </c>
      <c r="P78" s="39">
        <f t="shared" si="72"/>
        <v>1151.3470571930175</v>
      </c>
      <c r="Q78" s="39">
        <f t="shared" si="72"/>
        <v>1170.2540017674642</v>
      </c>
      <c r="R78" s="39">
        <f t="shared" si="72"/>
        <v>1169.0704066915139</v>
      </c>
      <c r="S78" s="39">
        <f t="shared" si="72"/>
        <v>1153.832060344391</v>
      </c>
      <c r="T78" s="39">
        <f t="shared" si="72"/>
        <v>1163.7043590593748</v>
      </c>
      <c r="U78" s="39">
        <f t="shared" si="72"/>
        <v>1156.3082238455386</v>
      </c>
      <c r="V78" s="39">
        <f t="shared" si="72"/>
        <v>1191.0879326207044</v>
      </c>
      <c r="W78" s="39">
        <f t="shared" ref="W78:Y78" si="73">IF(W16=0,0,W16*1000000/W26)</f>
        <v>1315.9522175119389</v>
      </c>
      <c r="X78" s="39">
        <f t="shared" si="73"/>
        <v>1270.1144746923383</v>
      </c>
      <c r="Y78" s="39">
        <f t="shared" si="73"/>
        <v>1269.5197100293826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2527.7411941825935</v>
      </c>
      <c r="C79" s="39">
        <f t="shared" si="65"/>
        <v>2527.7411941825935</v>
      </c>
      <c r="D79" s="39">
        <f t="shared" ref="D79:V79" si="74">IF(D17=0,0,D17*1000000/D27)</f>
        <v>2527.7411941825935</v>
      </c>
      <c r="E79" s="39">
        <f t="shared" si="74"/>
        <v>2527.7411941825935</v>
      </c>
      <c r="F79" s="39">
        <f t="shared" si="74"/>
        <v>2527.7411941825935</v>
      </c>
      <c r="G79" s="39">
        <f t="shared" si="74"/>
        <v>2517.0368000000003</v>
      </c>
      <c r="H79" s="39">
        <f t="shared" si="74"/>
        <v>2533.1970207305376</v>
      </c>
      <c r="I79" s="39">
        <f t="shared" si="74"/>
        <v>2525.042980049951</v>
      </c>
      <c r="J79" s="39">
        <f t="shared" si="74"/>
        <v>1542.002857350175</v>
      </c>
      <c r="K79" s="39">
        <f t="shared" si="74"/>
        <v>1597.7215803185989</v>
      </c>
      <c r="L79" s="39">
        <f t="shared" si="74"/>
        <v>1460.2109533468558</v>
      </c>
      <c r="M79" s="39">
        <f t="shared" si="74"/>
        <v>1224.4325418668745</v>
      </c>
      <c r="N79" s="39">
        <f t="shared" si="74"/>
        <v>1087.5942083490036</v>
      </c>
      <c r="O79" s="39">
        <f t="shared" si="74"/>
        <v>1201.6273225474258</v>
      </c>
      <c r="P79" s="39">
        <f t="shared" si="74"/>
        <v>1242.2414979035836</v>
      </c>
      <c r="Q79" s="39">
        <f t="shared" si="74"/>
        <v>1233.008569672013</v>
      </c>
      <c r="R79" s="39">
        <f t="shared" si="74"/>
        <v>1197.8711689948511</v>
      </c>
      <c r="S79" s="39">
        <f t="shared" si="74"/>
        <v>1328.2667382678371</v>
      </c>
      <c r="T79" s="39">
        <f t="shared" si="74"/>
        <v>1546.4527665317139</v>
      </c>
      <c r="U79" s="39">
        <f t="shared" si="74"/>
        <v>1518.1780026231963</v>
      </c>
      <c r="V79" s="39">
        <f t="shared" si="74"/>
        <v>1679.0945406125165</v>
      </c>
      <c r="W79" s="39">
        <f t="shared" ref="W79:Y79" si="75">IF(W17=0,0,W17*1000000/W27)</f>
        <v>1817.6659663865546</v>
      </c>
      <c r="X79" s="39">
        <f t="shared" si="75"/>
        <v>2477.0513493253375</v>
      </c>
      <c r="Y79" s="39">
        <f t="shared" si="75"/>
        <v>2501.8721708638827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820.53451743679295</v>
      </c>
      <c r="C80" s="15">
        <f t="shared" si="65"/>
        <v>816.8703973274587</v>
      </c>
      <c r="D80" s="15">
        <f t="shared" ref="D80:V80" si="76">IF(D18=0,0,D18*1000000/D28)</f>
        <v>820.53451743679295</v>
      </c>
      <c r="E80" s="15">
        <f t="shared" si="76"/>
        <v>838.28277086124547</v>
      </c>
      <c r="F80" s="15">
        <f t="shared" si="76"/>
        <v>841.27345203348727</v>
      </c>
      <c r="G80" s="15">
        <f t="shared" si="76"/>
        <v>871.89073505912438</v>
      </c>
      <c r="H80" s="15">
        <f t="shared" si="76"/>
        <v>993.49007117379392</v>
      </c>
      <c r="I80" s="15">
        <f t="shared" si="76"/>
        <v>1127.1864957358864</v>
      </c>
      <c r="J80" s="15">
        <f t="shared" si="76"/>
        <v>1056.4224912673153</v>
      </c>
      <c r="K80" s="15">
        <f t="shared" si="76"/>
        <v>728.09281583864527</v>
      </c>
      <c r="L80" s="15">
        <f t="shared" si="76"/>
        <v>859.95422902806752</v>
      </c>
      <c r="M80" s="15">
        <f t="shared" si="76"/>
        <v>809.43059331904919</v>
      </c>
      <c r="N80" s="15">
        <f t="shared" si="76"/>
        <v>1194.3011262722518</v>
      </c>
      <c r="O80" s="15">
        <f t="shared" si="76"/>
        <v>924.90731113108586</v>
      </c>
      <c r="P80" s="15">
        <f t="shared" si="76"/>
        <v>865.74238955245232</v>
      </c>
      <c r="Q80" s="15">
        <f t="shared" si="76"/>
        <v>851.00996926802372</v>
      </c>
      <c r="R80" s="15">
        <f t="shared" si="76"/>
        <v>785.33104254210627</v>
      </c>
      <c r="S80" s="15">
        <f t="shared" si="76"/>
        <v>722.32981004758119</v>
      </c>
      <c r="T80" s="15">
        <f t="shared" si="76"/>
        <v>731.07288864981172</v>
      </c>
      <c r="U80" s="15">
        <f t="shared" si="76"/>
        <v>725.40456997801516</v>
      </c>
      <c r="V80" s="15">
        <f t="shared" si="76"/>
        <v>723.0985962266534</v>
      </c>
      <c r="W80" s="15">
        <f t="shared" ref="W80:Y80" si="77">IF(W18=0,0,W18*1000000/W28)</f>
        <v>800.25671854679683</v>
      </c>
      <c r="X80" s="15">
        <f t="shared" si="77"/>
        <v>947.68358851715232</v>
      </c>
      <c r="Y80" s="15">
        <f t="shared" si="77"/>
        <v>1005.7864891212558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:Y81" si="79">IF(W19=0,0,W19*1000000/W29)</f>
        <v>0</v>
      </c>
      <c r="X81" s="41">
        <f t="shared" si="79"/>
        <v>0</v>
      </c>
      <c r="Y81" s="41">
        <f t="shared" si="79"/>
        <v>0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800.646119901877</v>
      </c>
      <c r="C82" s="41">
        <f t="shared" si="65"/>
        <v>797.3955876327243</v>
      </c>
      <c r="D82" s="41">
        <f t="shared" ref="D82:V82" si="80">IF(D20=0,0,D20*1000000/D30)</f>
        <v>800.646119901877</v>
      </c>
      <c r="E82" s="41">
        <f t="shared" si="80"/>
        <v>802.10974777526962</v>
      </c>
      <c r="F82" s="41">
        <f t="shared" si="80"/>
        <v>800.01578499327093</v>
      </c>
      <c r="G82" s="41">
        <f t="shared" si="80"/>
        <v>825.92936284372911</v>
      </c>
      <c r="H82" s="41">
        <f t="shared" si="80"/>
        <v>902.58352844085528</v>
      </c>
      <c r="I82" s="41">
        <f t="shared" si="80"/>
        <v>985.55072471875326</v>
      </c>
      <c r="J82" s="41">
        <f t="shared" si="80"/>
        <v>1029.1951356196712</v>
      </c>
      <c r="K82" s="41">
        <f t="shared" si="80"/>
        <v>717.15953726536895</v>
      </c>
      <c r="L82" s="41">
        <f t="shared" si="80"/>
        <v>848.84924332106857</v>
      </c>
      <c r="M82" s="41">
        <f t="shared" si="80"/>
        <v>785.51309997514909</v>
      </c>
      <c r="N82" s="41">
        <f t="shared" si="80"/>
        <v>750.95902533427159</v>
      </c>
      <c r="O82" s="41">
        <f t="shared" si="80"/>
        <v>780.3796949084915</v>
      </c>
      <c r="P82" s="41">
        <f t="shared" si="80"/>
        <v>785.4604348628859</v>
      </c>
      <c r="Q82" s="41">
        <f t="shared" si="80"/>
        <v>779.75113645175816</v>
      </c>
      <c r="R82" s="41">
        <f t="shared" si="80"/>
        <v>738.56996341847605</v>
      </c>
      <c r="S82" s="41">
        <f t="shared" si="80"/>
        <v>701.50309143359209</v>
      </c>
      <c r="T82" s="41">
        <f t="shared" si="80"/>
        <v>696.19452286843591</v>
      </c>
      <c r="U82" s="41">
        <f t="shared" si="80"/>
        <v>667.45321422912912</v>
      </c>
      <c r="V82" s="41">
        <f t="shared" si="80"/>
        <v>649.2302839427</v>
      </c>
      <c r="W82" s="41">
        <f t="shared" ref="W82:Y82" si="81">IF(W20=0,0,W20*1000000/W30)</f>
        <v>713.73941513032401</v>
      </c>
      <c r="X82" s="41">
        <f t="shared" si="81"/>
        <v>832.59652618197822</v>
      </c>
      <c r="Y82" s="41">
        <f t="shared" si="81"/>
        <v>888.11459387006209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1814.9543941825943</v>
      </c>
      <c r="C83" s="40">
        <f t="shared" si="65"/>
        <v>1814.9543941825943</v>
      </c>
      <c r="D83" s="40">
        <f t="shared" ref="D83:V83" si="82">IF(D21=0,0,D21*1000000/D31)</f>
        <v>1814.9543941825943</v>
      </c>
      <c r="E83" s="40">
        <f t="shared" si="82"/>
        <v>1814.9543941825943</v>
      </c>
      <c r="F83" s="40">
        <f t="shared" si="82"/>
        <v>1814.9543941825946</v>
      </c>
      <c r="G83" s="40">
        <f t="shared" si="82"/>
        <v>1804.25</v>
      </c>
      <c r="H83" s="40">
        <f t="shared" si="82"/>
        <v>1982.0987233944995</v>
      </c>
      <c r="I83" s="40">
        <f t="shared" si="82"/>
        <v>2135.6331853778747</v>
      </c>
      <c r="J83" s="40">
        <f t="shared" si="82"/>
        <v>1314.2815653420614</v>
      </c>
      <c r="K83" s="40">
        <f t="shared" si="82"/>
        <v>1531.6887909744469</v>
      </c>
      <c r="L83" s="40">
        <f t="shared" si="82"/>
        <v>1555.8666666666668</v>
      </c>
      <c r="M83" s="40">
        <f t="shared" si="82"/>
        <v>1987.3671405061236</v>
      </c>
      <c r="N83" s="40">
        <f t="shared" si="82"/>
        <v>2517.8076923076919</v>
      </c>
      <c r="O83" s="40">
        <f t="shared" si="82"/>
        <v>2374.5630980910469</v>
      </c>
      <c r="P83" s="40">
        <f t="shared" si="82"/>
        <v>2157.8995650321381</v>
      </c>
      <c r="Q83" s="40">
        <f t="shared" si="82"/>
        <v>1891.3889283855003</v>
      </c>
      <c r="R83" s="40">
        <f t="shared" si="82"/>
        <v>1598.9738192932718</v>
      </c>
      <c r="S83" s="40">
        <f t="shared" si="82"/>
        <v>1472.0916801511903</v>
      </c>
      <c r="T83" s="40">
        <f t="shared" si="82"/>
        <v>1433</v>
      </c>
      <c r="U83" s="40">
        <f t="shared" si="82"/>
        <v>1720.5692307692311</v>
      </c>
      <c r="V83" s="40">
        <f t="shared" si="82"/>
        <v>1645.6666666666665</v>
      </c>
      <c r="W83" s="40">
        <f t="shared" ref="W83:Y83" si="83">IF(W21=0,0,W21*1000000/W31)</f>
        <v>1850</v>
      </c>
      <c r="X83" s="40">
        <f t="shared" si="83"/>
        <v>1967.6708860759495</v>
      </c>
      <c r="Y83" s="40">
        <f t="shared" si="83"/>
        <v>2234.5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77606.593436970943</v>
      </c>
      <c r="C86" s="11">
        <f t="shared" si="84"/>
        <v>79629.97102357485</v>
      </c>
      <c r="D86" s="11">
        <f t="shared" ref="D86:V86" si="85">IF(D4=0,0,D4*1000000/D24)</f>
        <v>81017.704865411681</v>
      </c>
      <c r="E86" s="11">
        <f t="shared" si="85"/>
        <v>81815.196936497829</v>
      </c>
      <c r="F86" s="11">
        <f t="shared" si="85"/>
        <v>82881.039583377205</v>
      </c>
      <c r="G86" s="11">
        <f t="shared" si="85"/>
        <v>86694.765206419164</v>
      </c>
      <c r="H86" s="11">
        <f t="shared" si="85"/>
        <v>97322.263533636462</v>
      </c>
      <c r="I86" s="11">
        <f t="shared" si="85"/>
        <v>108172.80884901425</v>
      </c>
      <c r="J86" s="11">
        <f t="shared" si="85"/>
        <v>94047.655268759569</v>
      </c>
      <c r="K86" s="11">
        <f t="shared" si="85"/>
        <v>91268.306331123385</v>
      </c>
      <c r="L86" s="11">
        <f t="shared" si="85"/>
        <v>95938.366556089721</v>
      </c>
      <c r="M86" s="11">
        <f t="shared" si="85"/>
        <v>106001.18971110722</v>
      </c>
      <c r="N86" s="11">
        <f t="shared" si="85"/>
        <v>125291.14048518712</v>
      </c>
      <c r="O86" s="11">
        <f t="shared" si="85"/>
        <v>140652.57679005564</v>
      </c>
      <c r="P86" s="11">
        <f t="shared" si="85"/>
        <v>136289.8510461337</v>
      </c>
      <c r="Q86" s="11">
        <f t="shared" si="85"/>
        <v>142289.40704590161</v>
      </c>
      <c r="R86" s="11">
        <f t="shared" si="85"/>
        <v>147990.53063707711</v>
      </c>
      <c r="S86" s="11">
        <f t="shared" si="85"/>
        <v>155022.47261498618</v>
      </c>
      <c r="T86" s="11">
        <f t="shared" si="85"/>
        <v>171099.04668387913</v>
      </c>
      <c r="U86" s="11">
        <f t="shared" si="85"/>
        <v>172875.64734547364</v>
      </c>
      <c r="V86" s="11">
        <f t="shared" si="85"/>
        <v>126182.2967893758</v>
      </c>
      <c r="W86" s="11">
        <f t="shared" ref="W86:Y86" si="86">IF(W4=0,0,W4*1000000/W24)</f>
        <v>147302.71852526683</v>
      </c>
      <c r="X86" s="11">
        <f t="shared" si="86"/>
        <v>198583.02768141791</v>
      </c>
      <c r="Y86" s="11">
        <f t="shared" si="86"/>
        <v>221838.91063223852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:Y87" si="88">IF(W5=0,0,W5*1000000/W25)</f>
        <v>0</v>
      </c>
      <c r="X87" s="36">
        <f t="shared" si="88"/>
        <v>0</v>
      </c>
      <c r="Y87" s="36">
        <f t="shared" si="88"/>
        <v>0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64625.040126685584</v>
      </c>
      <c r="C88" s="36">
        <f t="shared" si="84"/>
        <v>66793.809416015953</v>
      </c>
      <c r="D88" s="36">
        <f t="shared" ref="D88:V88" si="89">IF(D6=0,0,D6*1000000/D26)</f>
        <v>68441.467991849524</v>
      </c>
      <c r="E88" s="36">
        <f t="shared" si="89"/>
        <v>69532.658722428692</v>
      </c>
      <c r="F88" s="36">
        <f t="shared" si="89"/>
        <v>70550.953743878694</v>
      </c>
      <c r="G88" s="36">
        <f t="shared" si="89"/>
        <v>76009.714660657133</v>
      </c>
      <c r="H88" s="36">
        <f t="shared" si="89"/>
        <v>86805.853871577026</v>
      </c>
      <c r="I88" s="36">
        <f t="shared" si="89"/>
        <v>94379.899685712677</v>
      </c>
      <c r="J88" s="36">
        <f t="shared" si="89"/>
        <v>89907.513299533734</v>
      </c>
      <c r="K88" s="36">
        <f t="shared" si="89"/>
        <v>83441.399630639047</v>
      </c>
      <c r="L88" s="36">
        <f t="shared" si="89"/>
        <v>93174.977472913961</v>
      </c>
      <c r="M88" s="36">
        <f t="shared" si="89"/>
        <v>110253.47258280775</v>
      </c>
      <c r="N88" s="36">
        <f t="shared" si="89"/>
        <v>132385.0691019556</v>
      </c>
      <c r="O88" s="36">
        <f t="shared" si="89"/>
        <v>142849.87018567527</v>
      </c>
      <c r="P88" s="36">
        <f t="shared" si="89"/>
        <v>137246.71287929799</v>
      </c>
      <c r="Q88" s="36">
        <f t="shared" si="89"/>
        <v>145023.78662762456</v>
      </c>
      <c r="R88" s="36">
        <f t="shared" si="89"/>
        <v>151728.8984758665</v>
      </c>
      <c r="S88" s="36">
        <f t="shared" si="89"/>
        <v>152683.66302087819</v>
      </c>
      <c r="T88" s="36">
        <f t="shared" si="89"/>
        <v>161024.36920415974</v>
      </c>
      <c r="U88" s="36">
        <f t="shared" si="89"/>
        <v>160758.74470699663</v>
      </c>
      <c r="V88" s="36">
        <f t="shared" si="89"/>
        <v>116878.85884323792</v>
      </c>
      <c r="W88" s="36">
        <f t="shared" ref="W88:Y88" si="90">IF(W6=0,0,W6*1000000/W26)</f>
        <v>132249.93539537478</v>
      </c>
      <c r="X88" s="36">
        <f t="shared" si="90"/>
        <v>168033.11557402392</v>
      </c>
      <c r="Y88" s="36">
        <f t="shared" si="90"/>
        <v>185933.8091923476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183437.73243306193</v>
      </c>
      <c r="C89" s="36">
        <f t="shared" si="84"/>
        <v>184246.37857666472</v>
      </c>
      <c r="D89" s="36">
        <f t="shared" ref="D89:V89" si="91">IF(D7=0,0,D7*1000000/D27)</f>
        <v>183517.10275979049</v>
      </c>
      <c r="E89" s="36">
        <f t="shared" si="91"/>
        <v>182021.45844787284</v>
      </c>
      <c r="F89" s="36">
        <f t="shared" si="91"/>
        <v>183436.03102763148</v>
      </c>
      <c r="G89" s="36">
        <f t="shared" si="91"/>
        <v>184922.88676524241</v>
      </c>
      <c r="H89" s="36">
        <f t="shared" si="91"/>
        <v>183007.71983134802</v>
      </c>
      <c r="I89" s="36">
        <f t="shared" si="91"/>
        <v>212030.53847238474</v>
      </c>
      <c r="J89" s="36">
        <f t="shared" si="91"/>
        <v>117937.77633074336</v>
      </c>
      <c r="K89" s="36">
        <f t="shared" si="91"/>
        <v>141584.13511995124</v>
      </c>
      <c r="L89" s="36">
        <f t="shared" si="91"/>
        <v>116280.58888786696</v>
      </c>
      <c r="M89" s="36">
        <f t="shared" si="91"/>
        <v>77188.955697691024</v>
      </c>
      <c r="N89" s="36">
        <f t="shared" si="91"/>
        <v>84307.642287656097</v>
      </c>
      <c r="O89" s="36">
        <f t="shared" si="91"/>
        <v>127365.48710472707</v>
      </c>
      <c r="P89" s="36">
        <f t="shared" si="91"/>
        <v>131315.43289616899</v>
      </c>
      <c r="Q89" s="36">
        <f t="shared" si="91"/>
        <v>128694.15936583602</v>
      </c>
      <c r="R89" s="36">
        <f t="shared" si="91"/>
        <v>129234.56505833191</v>
      </c>
      <c r="S89" s="36">
        <f t="shared" si="91"/>
        <v>167032.28109304886</v>
      </c>
      <c r="T89" s="36">
        <f t="shared" si="91"/>
        <v>220581.69206908334</v>
      </c>
      <c r="U89" s="36">
        <f t="shared" si="91"/>
        <v>222128.08458129378</v>
      </c>
      <c r="V89" s="36">
        <f t="shared" si="91"/>
        <v>188468.02541182429</v>
      </c>
      <c r="W89" s="36">
        <f t="shared" ref="W89:Y89" si="92">IF(W7=0,0,W7*1000000/W27)</f>
        <v>210035.87921223685</v>
      </c>
      <c r="X89" s="36">
        <f t="shared" si="92"/>
        <v>422463.20154677879</v>
      </c>
      <c r="Y89" s="36">
        <f t="shared" si="92"/>
        <v>448918.47340433346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24089.999082308681</v>
      </c>
      <c r="C90" s="13">
        <f t="shared" si="84"/>
        <v>25279.058753613241</v>
      </c>
      <c r="D90" s="13">
        <f t="shared" ref="D90:V90" si="93">IF(D8=0,0,D8*1000000/D28)</f>
        <v>23833.69648733646</v>
      </c>
      <c r="E90" s="13">
        <f t="shared" si="93"/>
        <v>25532.969723609705</v>
      </c>
      <c r="F90" s="13">
        <f t="shared" si="93"/>
        <v>23812.090236519358</v>
      </c>
      <c r="G90" s="13">
        <f t="shared" si="93"/>
        <v>24348.902392146483</v>
      </c>
      <c r="H90" s="13">
        <f t="shared" si="93"/>
        <v>26559.909717864983</v>
      </c>
      <c r="I90" s="13">
        <f t="shared" si="93"/>
        <v>32357.156650996734</v>
      </c>
      <c r="J90" s="13">
        <f t="shared" si="93"/>
        <v>25235.325210725281</v>
      </c>
      <c r="K90" s="13">
        <f t="shared" si="93"/>
        <v>17044.825047694463</v>
      </c>
      <c r="L90" s="13">
        <f t="shared" si="93"/>
        <v>20101.151078622166</v>
      </c>
      <c r="M90" s="13">
        <f t="shared" si="93"/>
        <v>21093.209396498547</v>
      </c>
      <c r="N90" s="13">
        <f t="shared" si="93"/>
        <v>71546.132041555611</v>
      </c>
      <c r="O90" s="13">
        <f t="shared" si="93"/>
        <v>37445.283057592933</v>
      </c>
      <c r="P90" s="13">
        <f t="shared" si="93"/>
        <v>33673.455545758705</v>
      </c>
      <c r="Q90" s="13">
        <f t="shared" si="93"/>
        <v>32970.767318039907</v>
      </c>
      <c r="R90" s="13">
        <f t="shared" si="93"/>
        <v>31278.293785807015</v>
      </c>
      <c r="S90" s="13">
        <f t="shared" si="93"/>
        <v>24401.332551920579</v>
      </c>
      <c r="T90" s="13">
        <f t="shared" si="93"/>
        <v>26678.9817456688</v>
      </c>
      <c r="U90" s="13">
        <f t="shared" si="93"/>
        <v>29695.897131660491</v>
      </c>
      <c r="V90" s="13">
        <f t="shared" si="93"/>
        <v>23801.834319091198</v>
      </c>
      <c r="W90" s="13">
        <f t="shared" ref="W90:Y90" si="94">IF(W8=0,0,W8*1000000/W28)</f>
        <v>25142.875185553919</v>
      </c>
      <c r="X90" s="13">
        <f t="shared" si="94"/>
        <v>33436.709074018348</v>
      </c>
      <c r="Y90" s="13">
        <f t="shared" si="94"/>
        <v>36442.331546399881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:Y91" si="96">IF(W9=0,0,W9*1000000/W29)</f>
        <v>0</v>
      </c>
      <c r="X91" s="34">
        <f t="shared" si="96"/>
        <v>0</v>
      </c>
      <c r="Y91" s="34">
        <f t="shared" si="96"/>
        <v>0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21989.691370370459</v>
      </c>
      <c r="C92" s="34">
        <f t="shared" si="84"/>
        <v>23132.461097394997</v>
      </c>
      <c r="D92" s="34">
        <f t="shared" ref="D92:V92" si="97">IF(D10=0,0,D10*1000000/D30)</f>
        <v>21755.570171656607</v>
      </c>
      <c r="E92" s="34">
        <f t="shared" si="97"/>
        <v>22179.819279447849</v>
      </c>
      <c r="F92" s="34">
        <f t="shared" si="97"/>
        <v>20047.643166208582</v>
      </c>
      <c r="G92" s="34">
        <f t="shared" si="97"/>
        <v>20357.527958630308</v>
      </c>
      <c r="H92" s="34">
        <f t="shared" si="97"/>
        <v>18717.479408567415</v>
      </c>
      <c r="I92" s="34">
        <f t="shared" si="97"/>
        <v>20258.489391012186</v>
      </c>
      <c r="J92" s="34">
        <f t="shared" si="97"/>
        <v>20354.870301172046</v>
      </c>
      <c r="K92" s="34">
        <f t="shared" si="97"/>
        <v>15998.916087560445</v>
      </c>
      <c r="L92" s="34">
        <f t="shared" si="97"/>
        <v>18874.297535380829</v>
      </c>
      <c r="M92" s="34">
        <f t="shared" si="97"/>
        <v>19056.867997933823</v>
      </c>
      <c r="N92" s="34">
        <f t="shared" si="97"/>
        <v>19826.615771153876</v>
      </c>
      <c r="O92" s="34">
        <f t="shared" si="97"/>
        <v>19986.010740146517</v>
      </c>
      <c r="P92" s="34">
        <f t="shared" si="97"/>
        <v>23418.50037770698</v>
      </c>
      <c r="Q92" s="34">
        <f t="shared" si="97"/>
        <v>23649.16361902549</v>
      </c>
      <c r="R92" s="34">
        <f t="shared" si="97"/>
        <v>24212.268587573952</v>
      </c>
      <c r="S92" s="34">
        <f t="shared" si="97"/>
        <v>21193.396388361518</v>
      </c>
      <c r="T92" s="34">
        <f t="shared" si="97"/>
        <v>21186.377121084963</v>
      </c>
      <c r="U92" s="34">
        <f t="shared" si="97"/>
        <v>21398.250351582305</v>
      </c>
      <c r="V92" s="34">
        <f t="shared" si="97"/>
        <v>16653.153679635554</v>
      </c>
      <c r="W92" s="34">
        <f t="shared" ref="W92:Y92" si="98">IF(W10=0,0,W10*1000000/W30)</f>
        <v>17389.001258107051</v>
      </c>
      <c r="X92" s="34">
        <f t="shared" si="98"/>
        <v>20809.850413383971</v>
      </c>
      <c r="Y92" s="34">
        <f t="shared" si="98"/>
        <v>23104.051281989628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129105.38467922017</v>
      </c>
      <c r="C93" s="35">
        <f t="shared" si="84"/>
        <v>135292.18863479793</v>
      </c>
      <c r="D93" s="35">
        <f t="shared" ref="D93:V93" si="99">IF(D11=0,0,D11*1000000/D31)</f>
        <v>127740.01227132911</v>
      </c>
      <c r="E93" s="35">
        <f t="shared" si="99"/>
        <v>116068.03171597976</v>
      </c>
      <c r="F93" s="35">
        <f t="shared" si="99"/>
        <v>112653.0410958537</v>
      </c>
      <c r="G93" s="35">
        <f t="shared" si="99"/>
        <v>105316.78375776031</v>
      </c>
      <c r="H93" s="35">
        <f t="shared" si="99"/>
        <v>111846.33933147602</v>
      </c>
      <c r="I93" s="35">
        <f t="shared" si="99"/>
        <v>118499.6675420867</v>
      </c>
      <c r="J93" s="35">
        <f t="shared" si="99"/>
        <v>71456.104060023601</v>
      </c>
      <c r="K93" s="35">
        <f t="shared" si="99"/>
        <v>93919.13361754494</v>
      </c>
      <c r="L93" s="35">
        <f t="shared" si="99"/>
        <v>96983.973121746094</v>
      </c>
      <c r="M93" s="35">
        <f t="shared" si="99"/>
        <v>121383.02327581128</v>
      </c>
      <c r="N93" s="35">
        <f t="shared" si="99"/>
        <v>225944.09973113728</v>
      </c>
      <c r="O93" s="35">
        <f t="shared" si="99"/>
        <v>212567.07509016152</v>
      </c>
      <c r="P93" s="35">
        <f t="shared" si="99"/>
        <v>198729.40063154354</v>
      </c>
      <c r="Q93" s="35">
        <f t="shared" si="99"/>
        <v>169066.18132365044</v>
      </c>
      <c r="R93" s="35">
        <f t="shared" si="99"/>
        <v>154227.13223506234</v>
      </c>
      <c r="S93" s="35">
        <f t="shared" si="99"/>
        <v>139887.03444004676</v>
      </c>
      <c r="T93" s="35">
        <f t="shared" si="99"/>
        <v>137217.64981541855</v>
      </c>
      <c r="U93" s="35">
        <f t="shared" si="99"/>
        <v>172186.52114817558</v>
      </c>
      <c r="V93" s="35">
        <f t="shared" si="99"/>
        <v>113084.29251825005</v>
      </c>
      <c r="W93" s="35">
        <f t="shared" ref="W93:Y93" si="100">IF(W11=0,0,W11*1000000/W31)</f>
        <v>119223.21217190925</v>
      </c>
      <c r="X93" s="35">
        <f t="shared" si="100"/>
        <v>145345.33877218972</v>
      </c>
      <c r="Y93" s="35">
        <f t="shared" si="100"/>
        <v>175718.79291198595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1192.0097413848428</v>
      </c>
      <c r="C95" s="62">
        <f t="shared" si="101"/>
        <v>1192.3101561712604</v>
      </c>
      <c r="D95" s="62">
        <f t="shared" ref="D95:V95" si="102">IF(D23=0,0,D23/D43)</f>
        <v>1161.8251086562066</v>
      </c>
      <c r="E95" s="62">
        <f t="shared" si="102"/>
        <v>1184.637877396764</v>
      </c>
      <c r="F95" s="62">
        <f t="shared" si="102"/>
        <v>1188.2039642165744</v>
      </c>
      <c r="G95" s="62">
        <f t="shared" si="102"/>
        <v>1184.9501943849859</v>
      </c>
      <c r="H95" s="62">
        <f t="shared" si="102"/>
        <v>1173.818407916046</v>
      </c>
      <c r="I95" s="62">
        <f t="shared" si="102"/>
        <v>1148.6871951066446</v>
      </c>
      <c r="J95" s="62">
        <f t="shared" si="102"/>
        <v>1223.7038163026557</v>
      </c>
      <c r="K95" s="62">
        <f t="shared" si="102"/>
        <v>840.5302839160546</v>
      </c>
      <c r="L95" s="62">
        <f t="shared" si="102"/>
        <v>1054.3178389606692</v>
      </c>
      <c r="M95" s="62">
        <f t="shared" si="102"/>
        <v>1147.7307752642434</v>
      </c>
      <c r="N95" s="62">
        <f t="shared" si="102"/>
        <v>1195.3729732585452</v>
      </c>
      <c r="O95" s="62">
        <f t="shared" si="102"/>
        <v>1222.7259642907482</v>
      </c>
      <c r="P95" s="62">
        <f t="shared" si="102"/>
        <v>1231.4339203210679</v>
      </c>
      <c r="Q95" s="62">
        <f t="shared" si="102"/>
        <v>1225.4280589964251</v>
      </c>
      <c r="R95" s="62">
        <f t="shared" si="102"/>
        <v>1234.9163259851846</v>
      </c>
      <c r="S95" s="62">
        <f t="shared" si="102"/>
        <v>1225.6442561989629</v>
      </c>
      <c r="T95" s="62">
        <f t="shared" si="102"/>
        <v>1196.6287165564061</v>
      </c>
      <c r="U95" s="62">
        <f t="shared" si="102"/>
        <v>1189.09938890486</v>
      </c>
      <c r="V95" s="62">
        <f t="shared" si="102"/>
        <v>485.76449320819711</v>
      </c>
      <c r="W95" s="62">
        <f t="shared" ref="W95:Y95" si="103">IF(W23=0,0,W23/W43)</f>
        <v>593.35495139159821</v>
      </c>
      <c r="X95" s="62">
        <f t="shared" si="103"/>
        <v>998.13734269208931</v>
      </c>
      <c r="Y95" s="62">
        <f t="shared" si="103"/>
        <v>1031.3379789520054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1193.3797433125935</v>
      </c>
      <c r="C96" s="11">
        <f t="shared" si="104"/>
        <v>1193.3442603829499</v>
      </c>
      <c r="D96" s="11">
        <f t="shared" ref="D96:V96" si="105">IF(D24=0,0,D24/D44)</f>
        <v>1162.2839829651953</v>
      </c>
      <c r="E96" s="11">
        <f t="shared" si="105"/>
        <v>1193.4491655867646</v>
      </c>
      <c r="F96" s="11">
        <f t="shared" si="105"/>
        <v>1193.4122522875737</v>
      </c>
      <c r="G96" s="11">
        <f t="shared" si="105"/>
        <v>1185.7302956896317</v>
      </c>
      <c r="H96" s="11">
        <f t="shared" si="105"/>
        <v>1175.4499017861201</v>
      </c>
      <c r="I96" s="11">
        <f t="shared" si="105"/>
        <v>1150.8997040221768</v>
      </c>
      <c r="J96" s="11">
        <f t="shared" si="105"/>
        <v>1227.2261129117585</v>
      </c>
      <c r="K96" s="11">
        <f t="shared" si="105"/>
        <v>841.10113730858518</v>
      </c>
      <c r="L96" s="11">
        <f t="shared" si="105"/>
        <v>1057.5580084851993</v>
      </c>
      <c r="M96" s="11">
        <f t="shared" si="105"/>
        <v>1151.9438186039172</v>
      </c>
      <c r="N96" s="11">
        <f t="shared" si="105"/>
        <v>1201.9821824304368</v>
      </c>
      <c r="O96" s="11">
        <f t="shared" si="105"/>
        <v>1232.8916837622369</v>
      </c>
      <c r="P96" s="11">
        <f t="shared" si="105"/>
        <v>1241.3247554956768</v>
      </c>
      <c r="Q96" s="11">
        <f t="shared" si="105"/>
        <v>1234.0161887325066</v>
      </c>
      <c r="R96" s="11">
        <f t="shared" si="105"/>
        <v>1243.1895832508264</v>
      </c>
      <c r="S96" s="11">
        <f t="shared" si="105"/>
        <v>1232.8792272951673</v>
      </c>
      <c r="T96" s="11">
        <f t="shared" si="105"/>
        <v>1201.5828222721589</v>
      </c>
      <c r="U96" s="11">
        <f t="shared" si="105"/>
        <v>1193.2055832579263</v>
      </c>
      <c r="V96" s="11">
        <f t="shared" si="105"/>
        <v>470.1191014817075</v>
      </c>
      <c r="W96" s="11">
        <f t="shared" ref="W96:Y96" si="106">IF(W24=0,0,W24/W44)</f>
        <v>582.19384429403226</v>
      </c>
      <c r="X96" s="11">
        <f t="shared" si="106"/>
        <v>1001.7348255049152</v>
      </c>
      <c r="Y96" s="11">
        <f t="shared" si="106"/>
        <v>1035.8413021058145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:Y97" si="108">IF(W25=0,0,W25/W45)</f>
        <v>0</v>
      </c>
      <c r="X97" s="36">
        <f t="shared" si="108"/>
        <v>0</v>
      </c>
      <c r="Y97" s="36">
        <f t="shared" si="108"/>
        <v>0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1344.3539927076126</v>
      </c>
      <c r="C98" s="36">
        <f t="shared" si="104"/>
        <v>1344.3512922609016</v>
      </c>
      <c r="D98" s="36">
        <f t="shared" ref="D98:V98" si="109">IF(D26=0,0,D26/D46)</f>
        <v>1309.3611102888351</v>
      </c>
      <c r="E98" s="36">
        <f t="shared" si="109"/>
        <v>1344.3276441760506</v>
      </c>
      <c r="F98" s="36">
        <f t="shared" si="109"/>
        <v>1344.3412900458738</v>
      </c>
      <c r="G98" s="36">
        <f t="shared" si="109"/>
        <v>1313.9626991863515</v>
      </c>
      <c r="H98" s="36">
        <f t="shared" si="109"/>
        <v>1319.5536823565283</v>
      </c>
      <c r="I98" s="36">
        <f t="shared" si="109"/>
        <v>1296.2625399831729</v>
      </c>
      <c r="J98" s="36">
        <f t="shared" si="109"/>
        <v>1320.843344072335</v>
      </c>
      <c r="K98" s="36">
        <f t="shared" si="109"/>
        <v>919.10489530395103</v>
      </c>
      <c r="L98" s="36">
        <f t="shared" si="109"/>
        <v>1172.0129959541487</v>
      </c>
      <c r="M98" s="36">
        <f t="shared" si="109"/>
        <v>1258.7129659255031</v>
      </c>
      <c r="N98" s="36">
        <f t="shared" si="109"/>
        <v>1266.9739287173581</v>
      </c>
      <c r="O98" s="36">
        <f t="shared" si="109"/>
        <v>1301.3244867917397</v>
      </c>
      <c r="P98" s="36">
        <f t="shared" si="109"/>
        <v>1304.7196513212584</v>
      </c>
      <c r="Q98" s="36">
        <f t="shared" si="109"/>
        <v>1296.6636158319204</v>
      </c>
      <c r="R98" s="36">
        <f t="shared" si="109"/>
        <v>1302.4967250292209</v>
      </c>
      <c r="S98" s="36">
        <f t="shared" si="109"/>
        <v>1307.6675690037366</v>
      </c>
      <c r="T98" s="36">
        <f t="shared" si="109"/>
        <v>1302.6673135408116</v>
      </c>
      <c r="U98" s="36">
        <f t="shared" si="109"/>
        <v>1307.7099771783464</v>
      </c>
      <c r="V98" s="36">
        <f t="shared" si="109"/>
        <v>559.2260082530612</v>
      </c>
      <c r="W98" s="36">
        <f t="shared" ref="W98:Y98" si="110">IF(W26=0,0,W26/W46)</f>
        <v>642.74186888516476</v>
      </c>
      <c r="X98" s="36">
        <f t="shared" si="110"/>
        <v>1206.0503916349617</v>
      </c>
      <c r="Y98" s="36">
        <f t="shared" si="110"/>
        <v>1211.6226038654945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623</v>
      </c>
      <c r="C99" s="36">
        <f t="shared" si="104"/>
        <v>623</v>
      </c>
      <c r="D99" s="36">
        <f t="shared" ref="D99:V99" si="111">IF(D27=0,0,D27/D47)</f>
        <v>606.77974154313949</v>
      </c>
      <c r="E99" s="36">
        <f t="shared" si="111"/>
        <v>623</v>
      </c>
      <c r="F99" s="36">
        <f t="shared" si="111"/>
        <v>623</v>
      </c>
      <c r="G99" s="36">
        <f t="shared" si="111"/>
        <v>625</v>
      </c>
      <c r="H99" s="36">
        <f t="shared" si="111"/>
        <v>622</v>
      </c>
      <c r="I99" s="36">
        <f t="shared" si="111"/>
        <v>624</v>
      </c>
      <c r="J99" s="36">
        <f t="shared" si="111"/>
        <v>871</v>
      </c>
      <c r="K99" s="36">
        <f t="shared" si="111"/>
        <v>544.19487037482554</v>
      </c>
      <c r="L99" s="36">
        <f t="shared" si="111"/>
        <v>615.25860699609382</v>
      </c>
      <c r="M99" s="36">
        <f t="shared" si="111"/>
        <v>731.5121638882689</v>
      </c>
      <c r="N99" s="36">
        <f t="shared" si="111"/>
        <v>927.20117435297595</v>
      </c>
      <c r="O99" s="36">
        <f t="shared" si="111"/>
        <v>935.42958144149748</v>
      </c>
      <c r="P99" s="36">
        <f t="shared" si="111"/>
        <v>991</v>
      </c>
      <c r="Q99" s="36">
        <f t="shared" si="111"/>
        <v>995</v>
      </c>
      <c r="R99" s="36">
        <f t="shared" si="111"/>
        <v>1012</v>
      </c>
      <c r="S99" s="36">
        <f t="shared" si="111"/>
        <v>953</v>
      </c>
      <c r="T99" s="36">
        <f t="shared" si="111"/>
        <v>870</v>
      </c>
      <c r="U99" s="36">
        <f t="shared" si="111"/>
        <v>880</v>
      </c>
      <c r="V99" s="36">
        <f t="shared" si="111"/>
        <v>227.46607171848768</v>
      </c>
      <c r="W99" s="36">
        <f t="shared" ref="W99:Y99" si="112">IF(W27=0,0,W27/W47)</f>
        <v>418.06428062099678</v>
      </c>
      <c r="X99" s="36">
        <f t="shared" si="112"/>
        <v>446.90666066457322</v>
      </c>
      <c r="Y99" s="36">
        <f t="shared" si="112"/>
        <v>540.19149412752824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1141.1124287048201</v>
      </c>
      <c r="C100" s="13">
        <f t="shared" si="104"/>
        <v>1142.9223138673467</v>
      </c>
      <c r="D100" s="13">
        <f t="shared" ref="D100:V100" si="113">IF(D28=0,0,D28/D48)</f>
        <v>1141.1124287048201</v>
      </c>
      <c r="E100" s="13">
        <f t="shared" si="113"/>
        <v>693.26843771507231</v>
      </c>
      <c r="F100" s="13">
        <f t="shared" si="113"/>
        <v>843.89525268367686</v>
      </c>
      <c r="G100" s="13">
        <f t="shared" si="113"/>
        <v>1111.6057218713358</v>
      </c>
      <c r="H100" s="13">
        <f t="shared" si="113"/>
        <v>1051.6107752881455</v>
      </c>
      <c r="I100" s="13">
        <f t="shared" si="113"/>
        <v>987.96019464915821</v>
      </c>
      <c r="J100" s="13">
        <f t="shared" si="113"/>
        <v>927.76007232458483</v>
      </c>
      <c r="K100" s="13">
        <f t="shared" si="113"/>
        <v>793.54059204400608</v>
      </c>
      <c r="L100" s="13">
        <f t="shared" si="113"/>
        <v>840.8334238754129</v>
      </c>
      <c r="M100" s="13">
        <f t="shared" si="113"/>
        <v>880.12788417861316</v>
      </c>
      <c r="N100" s="13">
        <f t="shared" si="113"/>
        <v>880.99752162187269</v>
      </c>
      <c r="O100" s="13">
        <f t="shared" si="113"/>
        <v>875.14953729221804</v>
      </c>
      <c r="P100" s="13">
        <f t="shared" si="113"/>
        <v>856.56689054655374</v>
      </c>
      <c r="Q100" s="13">
        <f t="shared" si="113"/>
        <v>892.8014923355629</v>
      </c>
      <c r="R100" s="13">
        <f t="shared" si="113"/>
        <v>878.32957665226252</v>
      </c>
      <c r="S100" s="13">
        <f t="shared" si="113"/>
        <v>933.53061004931715</v>
      </c>
      <c r="T100" s="13">
        <f t="shared" si="113"/>
        <v>985.94456094816201</v>
      </c>
      <c r="U100" s="13">
        <f t="shared" si="113"/>
        <v>1011.4394066385058</v>
      </c>
      <c r="V100" s="13">
        <f t="shared" si="113"/>
        <v>1074.9775719753861</v>
      </c>
      <c r="W100" s="13">
        <f t="shared" ref="W100:Y100" si="114">IF(W28=0,0,W28/W48)</f>
        <v>1011.1593895195862</v>
      </c>
      <c r="X100" s="13">
        <f t="shared" si="114"/>
        <v>864.30943084874878</v>
      </c>
      <c r="Y100" s="13">
        <f t="shared" si="114"/>
        <v>858.52962726828889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:Y101" si="116">IF(W29=0,0,W29/W49)</f>
        <v>0</v>
      </c>
      <c r="X101" s="34">
        <f t="shared" si="116"/>
        <v>0</v>
      </c>
      <c r="Y101" s="34">
        <f t="shared" si="116"/>
        <v>0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1155.4071067033221</v>
      </c>
      <c r="C102" s="34">
        <f t="shared" si="104"/>
        <v>1156.9448558018123</v>
      </c>
      <c r="D102" s="34">
        <f t="shared" ref="D102:V102" si="117">IF(D30=0,0,D30/D50)</f>
        <v>1155.4071067033221</v>
      </c>
      <c r="E102" s="34">
        <f t="shared" si="117"/>
        <v>692.84142892195564</v>
      </c>
      <c r="F102" s="34">
        <f t="shared" si="117"/>
        <v>850.99945901215187</v>
      </c>
      <c r="G102" s="34">
        <f t="shared" si="117"/>
        <v>1143.7470439774377</v>
      </c>
      <c r="H102" s="34">
        <f t="shared" si="117"/>
        <v>1109.4801556551706</v>
      </c>
      <c r="I102" s="34">
        <f t="shared" si="117"/>
        <v>1069.2469218800272</v>
      </c>
      <c r="J102" s="34">
        <f t="shared" si="117"/>
        <v>1049.367427733016</v>
      </c>
      <c r="K102" s="34">
        <f t="shared" si="117"/>
        <v>980.65858555797035</v>
      </c>
      <c r="L102" s="34">
        <f t="shared" si="117"/>
        <v>990.22342541291027</v>
      </c>
      <c r="M102" s="34">
        <f t="shared" si="117"/>
        <v>1027.9484782346835</v>
      </c>
      <c r="N102" s="34">
        <f t="shared" si="117"/>
        <v>1067.5109101098246</v>
      </c>
      <c r="O102" s="34">
        <f t="shared" si="117"/>
        <v>1106.8293460807417</v>
      </c>
      <c r="P102" s="34">
        <f t="shared" si="117"/>
        <v>1116.226800965409</v>
      </c>
      <c r="Q102" s="34">
        <f t="shared" si="117"/>
        <v>1136.7689173350359</v>
      </c>
      <c r="R102" s="34">
        <f t="shared" si="117"/>
        <v>1145.4800519302207</v>
      </c>
      <c r="S102" s="34">
        <f t="shared" si="117"/>
        <v>1196.6534690836691</v>
      </c>
      <c r="T102" s="34">
        <f t="shared" si="117"/>
        <v>1206.9324924354203</v>
      </c>
      <c r="U102" s="34">
        <f t="shared" si="117"/>
        <v>1221.8838561731116</v>
      </c>
      <c r="V102" s="34">
        <f t="shared" si="117"/>
        <v>1231.6635382344025</v>
      </c>
      <c r="W102" s="34">
        <f t="shared" ref="W102:Y102" si="118">IF(W30=0,0,W30/W50)</f>
        <v>1157.8277765293246</v>
      </c>
      <c r="X102" s="34">
        <f t="shared" si="118"/>
        <v>963.04151800981981</v>
      </c>
      <c r="Y102" s="34">
        <f t="shared" si="118"/>
        <v>974.52910694861885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705</v>
      </c>
      <c r="C103" s="35">
        <f t="shared" si="104"/>
        <v>705</v>
      </c>
      <c r="D103" s="35">
        <f t="shared" ref="D103:V103" si="119">IF(D31=0,0,D31/D51)</f>
        <v>705</v>
      </c>
      <c r="E103" s="35">
        <f t="shared" si="119"/>
        <v>705</v>
      </c>
      <c r="F103" s="35">
        <f t="shared" si="119"/>
        <v>705</v>
      </c>
      <c r="G103" s="35">
        <f t="shared" si="119"/>
        <v>707.99999999999989</v>
      </c>
      <c r="H103" s="35">
        <f t="shared" si="119"/>
        <v>671</v>
      </c>
      <c r="I103" s="35">
        <f t="shared" si="119"/>
        <v>641</v>
      </c>
      <c r="J103" s="35">
        <f t="shared" si="119"/>
        <v>442.31457918312356</v>
      </c>
      <c r="K103" s="35">
        <f t="shared" si="119"/>
        <v>52.816703872091246</v>
      </c>
      <c r="L103" s="35">
        <f t="shared" si="119"/>
        <v>80.430178336240331</v>
      </c>
      <c r="M103" s="35">
        <f t="shared" si="119"/>
        <v>108.89670710989552</v>
      </c>
      <c r="N103" s="35">
        <f t="shared" si="119"/>
        <v>579</v>
      </c>
      <c r="O103" s="35">
        <f t="shared" si="119"/>
        <v>282.34933470835324</v>
      </c>
      <c r="P103" s="35">
        <f t="shared" si="119"/>
        <v>180.55334394904457</v>
      </c>
      <c r="Q103" s="35">
        <f t="shared" si="119"/>
        <v>215.99813314368444</v>
      </c>
      <c r="R103" s="35">
        <f t="shared" si="119"/>
        <v>173.64975241206798</v>
      </c>
      <c r="S103" s="35">
        <f t="shared" si="119"/>
        <v>104.70565602154674</v>
      </c>
      <c r="T103" s="35">
        <f t="shared" si="119"/>
        <v>210.45318622396368</v>
      </c>
      <c r="U103" s="35">
        <f t="shared" si="119"/>
        <v>255.56912096168293</v>
      </c>
      <c r="V103" s="35">
        <f t="shared" si="119"/>
        <v>415.23634828907211</v>
      </c>
      <c r="W103" s="35">
        <f t="shared" ref="W103:Y103" si="120">IF(W31=0,0,W31/W51)</f>
        <v>398.56565380409313</v>
      </c>
      <c r="X103" s="35">
        <f t="shared" si="120"/>
        <v>452.84557355225206</v>
      </c>
      <c r="Y103" s="35">
        <f t="shared" si="120"/>
        <v>382.77516813649811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:Y107" si="126">IF(W5=0,0,W5/W$4)</f>
        <v>0</v>
      </c>
      <c r="X107" s="43">
        <f t="shared" si="126"/>
        <v>0</v>
      </c>
      <c r="Y107" s="43">
        <f t="shared" si="126"/>
        <v>0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0.74174194444691521</v>
      </c>
      <c r="C108" s="43">
        <f t="shared" si="127"/>
        <v>0.74713131041079983</v>
      </c>
      <c r="D108" s="43">
        <f t="shared" ref="D108:V108" si="128">IF(D6=0,0,D6/D$4)</f>
        <v>0.75244942591418829</v>
      </c>
      <c r="E108" s="43">
        <f t="shared" si="128"/>
        <v>0.75707766278471766</v>
      </c>
      <c r="F108" s="43">
        <f t="shared" si="128"/>
        <v>0.7582541537312395</v>
      </c>
      <c r="G108" s="43">
        <f t="shared" si="128"/>
        <v>0.79073626930079854</v>
      </c>
      <c r="H108" s="43">
        <f t="shared" si="128"/>
        <v>0.79443876963878901</v>
      </c>
      <c r="I108" s="43">
        <f t="shared" si="128"/>
        <v>0.77020430098315384</v>
      </c>
      <c r="J108" s="43">
        <f t="shared" si="128"/>
        <v>0.8147778064399499</v>
      </c>
      <c r="K108" s="43">
        <f t="shared" si="128"/>
        <v>0.7911717268483005</v>
      </c>
      <c r="L108" s="43">
        <f t="shared" si="128"/>
        <v>0.85504290566258245</v>
      </c>
      <c r="M108" s="43">
        <f t="shared" si="128"/>
        <v>0.90635073109533715</v>
      </c>
      <c r="N108" s="43">
        <f t="shared" si="128"/>
        <v>0.90071304760377391</v>
      </c>
      <c r="O108" s="43">
        <f t="shared" si="128"/>
        <v>0.87150145470490792</v>
      </c>
      <c r="P108" s="43">
        <f t="shared" si="128"/>
        <v>0.84456348172337625</v>
      </c>
      <c r="Q108" s="43">
        <f t="shared" si="128"/>
        <v>0.84855016708118647</v>
      </c>
      <c r="R108" s="43">
        <f t="shared" si="128"/>
        <v>0.85487118077360824</v>
      </c>
      <c r="S108" s="43">
        <f t="shared" si="128"/>
        <v>0.82437329905489887</v>
      </c>
      <c r="T108" s="43">
        <f t="shared" si="128"/>
        <v>0.78191898574986607</v>
      </c>
      <c r="U108" s="43">
        <f t="shared" si="128"/>
        <v>0.74630622036199579</v>
      </c>
      <c r="V108" s="43">
        <f t="shared" si="128"/>
        <v>0.80589558622288582</v>
      </c>
      <c r="W108" s="43">
        <f t="shared" ref="W108:Y108" si="129">IF(W6=0,0,W6/W$4)</f>
        <v>0.724070327065367</v>
      </c>
      <c r="X108" s="43">
        <f t="shared" si="129"/>
        <v>0.7445603805640757</v>
      </c>
      <c r="Y108" s="43">
        <f t="shared" si="129"/>
        <v>0.7237161572209958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0.25825805555308484</v>
      </c>
      <c r="C109" s="43">
        <f t="shared" si="130"/>
        <v>0.25286868958920011</v>
      </c>
      <c r="D109" s="43">
        <f t="shared" ref="D109:V109" si="131">IF(D7=0,0,D7/D$4)</f>
        <v>0.24755057408581174</v>
      </c>
      <c r="E109" s="43">
        <f t="shared" si="131"/>
        <v>0.24292233721528236</v>
      </c>
      <c r="F109" s="43">
        <f t="shared" si="131"/>
        <v>0.24174584626876053</v>
      </c>
      <c r="G109" s="43">
        <f t="shared" si="131"/>
        <v>0.20926373069920146</v>
      </c>
      <c r="H109" s="43">
        <f t="shared" si="131"/>
        <v>0.20556123036121102</v>
      </c>
      <c r="I109" s="43">
        <f t="shared" si="131"/>
        <v>0.22979569901684616</v>
      </c>
      <c r="J109" s="43">
        <f t="shared" si="131"/>
        <v>0.18522219356005007</v>
      </c>
      <c r="K109" s="43">
        <f t="shared" si="131"/>
        <v>0.20882827315169952</v>
      </c>
      <c r="L109" s="43">
        <f t="shared" si="131"/>
        <v>0.14495709433741746</v>
      </c>
      <c r="M109" s="43">
        <f t="shared" si="131"/>
        <v>9.3649268904662852E-2</v>
      </c>
      <c r="N109" s="43">
        <f t="shared" si="131"/>
        <v>9.9286952396226022E-2</v>
      </c>
      <c r="O109" s="43">
        <f t="shared" si="131"/>
        <v>0.12849854529509203</v>
      </c>
      <c r="P109" s="43">
        <f t="shared" si="131"/>
        <v>0.15543651827662378</v>
      </c>
      <c r="Q109" s="43">
        <f t="shared" si="131"/>
        <v>0.15144983291881342</v>
      </c>
      <c r="R109" s="43">
        <f t="shared" si="131"/>
        <v>0.14512881922639179</v>
      </c>
      <c r="S109" s="43">
        <f t="shared" si="131"/>
        <v>0.17562670094510116</v>
      </c>
      <c r="T109" s="43">
        <f t="shared" si="131"/>
        <v>0.21808101425013382</v>
      </c>
      <c r="U109" s="43">
        <f t="shared" si="131"/>
        <v>0.25369377963800421</v>
      </c>
      <c r="V109" s="43">
        <f t="shared" si="131"/>
        <v>0.19410441377711407</v>
      </c>
      <c r="W109" s="43">
        <f t="shared" ref="W109:Y109" si="132">IF(W7=0,0,W7/W$4)</f>
        <v>0.27592967293463294</v>
      </c>
      <c r="X109" s="43">
        <f t="shared" si="132"/>
        <v>0.25543961943592436</v>
      </c>
      <c r="Y109" s="43">
        <f t="shared" si="132"/>
        <v>0.27628384277900436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:Y111" si="138">IF(W9=0,0,W9/W$8)</f>
        <v>0</v>
      </c>
      <c r="X111" s="44">
        <f t="shared" si="138"/>
        <v>0</v>
      </c>
      <c r="Y111" s="44">
        <f t="shared" si="138"/>
        <v>0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0.89491580625155864</v>
      </c>
      <c r="C112" s="44">
        <f t="shared" si="139"/>
        <v>0.89757038782039522</v>
      </c>
      <c r="D112" s="44">
        <f t="shared" ref="D112:V112" si="140">IF(D10=0,0,D10/D$8)</f>
        <v>0.89490903669524957</v>
      </c>
      <c r="E112" s="44">
        <f t="shared" si="140"/>
        <v>0.83764963919703261</v>
      </c>
      <c r="F112" s="44">
        <f t="shared" si="140"/>
        <v>0.80768626907677243</v>
      </c>
      <c r="G112" s="44">
        <f t="shared" si="140"/>
        <v>0.79679706769639047</v>
      </c>
      <c r="H112" s="44">
        <f t="shared" si="140"/>
        <v>0.64538135853441081</v>
      </c>
      <c r="I112" s="44">
        <f t="shared" si="140"/>
        <v>0.54898524386965919</v>
      </c>
      <c r="J112" s="44">
        <f t="shared" si="140"/>
        <v>0.72956721106099953</v>
      </c>
      <c r="K112" s="44">
        <f t="shared" si="140"/>
        <v>0.92603857721523408</v>
      </c>
      <c r="L112" s="44">
        <f t="shared" si="140"/>
        <v>0.92421784840112509</v>
      </c>
      <c r="M112" s="44">
        <f t="shared" si="140"/>
        <v>0.88548055882129306</v>
      </c>
      <c r="N112" s="44">
        <f t="shared" si="140"/>
        <v>0.207581754158114</v>
      </c>
      <c r="O112" s="44">
        <f t="shared" si="140"/>
        <v>0.48535064232473735</v>
      </c>
      <c r="P112" s="44">
        <f t="shared" si="140"/>
        <v>0.65477734901714291</v>
      </c>
      <c r="Q112" s="44">
        <f t="shared" si="140"/>
        <v>0.67129743686780197</v>
      </c>
      <c r="R112" s="44">
        <f t="shared" si="140"/>
        <v>0.73202152847593538</v>
      </c>
      <c r="S112" s="44">
        <f t="shared" si="140"/>
        <v>0.8450604837872171</v>
      </c>
      <c r="T112" s="44">
        <f t="shared" si="140"/>
        <v>0.75653081094489183</v>
      </c>
      <c r="U112" s="44">
        <f t="shared" si="140"/>
        <v>0.68092697904477995</v>
      </c>
      <c r="V112" s="44">
        <f t="shared" si="140"/>
        <v>0.64779099329528911</v>
      </c>
      <c r="W112" s="44">
        <f t="shared" ref="W112:Y112" si="141">IF(W10=0,0,W10/W$8)</f>
        <v>0.63894703810753739</v>
      </c>
      <c r="X112" s="44">
        <f t="shared" si="141"/>
        <v>0.5592627342677029</v>
      </c>
      <c r="Y112" s="44">
        <f t="shared" si="141"/>
        <v>0.57857974154756719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0.1050841937484414</v>
      </c>
      <c r="C113" s="45">
        <f t="shared" si="142"/>
        <v>0.10242961217960475</v>
      </c>
      <c r="D113" s="45">
        <f t="shared" ref="D113:V113" si="143">IF(D11=0,0,D11/D$8)</f>
        <v>0.10509096330475053</v>
      </c>
      <c r="E113" s="45">
        <f t="shared" si="143"/>
        <v>0.16235036080296733</v>
      </c>
      <c r="F113" s="45">
        <f t="shared" si="143"/>
        <v>0.19231373092322751</v>
      </c>
      <c r="G113" s="45">
        <f t="shared" si="143"/>
        <v>0.2032029323036095</v>
      </c>
      <c r="H113" s="45">
        <f t="shared" si="143"/>
        <v>0.35461864146558919</v>
      </c>
      <c r="I113" s="45">
        <f t="shared" si="143"/>
        <v>0.45101475613034087</v>
      </c>
      <c r="J113" s="45">
        <f t="shared" si="143"/>
        <v>0.27043278893900047</v>
      </c>
      <c r="K113" s="45">
        <f t="shared" si="143"/>
        <v>7.3961422784765946E-2</v>
      </c>
      <c r="L113" s="45">
        <f t="shared" si="143"/>
        <v>7.57821515988749E-2</v>
      </c>
      <c r="M113" s="45">
        <f t="shared" si="143"/>
        <v>0.11451944117870691</v>
      </c>
      <c r="N113" s="45">
        <f t="shared" si="143"/>
        <v>0.79241824584188614</v>
      </c>
      <c r="O113" s="45">
        <f t="shared" si="143"/>
        <v>0.51464935767526265</v>
      </c>
      <c r="P113" s="45">
        <f t="shared" si="143"/>
        <v>0.34522265098285698</v>
      </c>
      <c r="Q113" s="45">
        <f t="shared" si="143"/>
        <v>0.32870256313219814</v>
      </c>
      <c r="R113" s="45">
        <f t="shared" si="143"/>
        <v>0.26797847152406468</v>
      </c>
      <c r="S113" s="45">
        <f t="shared" si="143"/>
        <v>0.15493951621278285</v>
      </c>
      <c r="T113" s="45">
        <f t="shared" si="143"/>
        <v>0.24346918905510806</v>
      </c>
      <c r="U113" s="45">
        <f t="shared" si="143"/>
        <v>0.31907302095522005</v>
      </c>
      <c r="V113" s="45">
        <f t="shared" si="143"/>
        <v>0.35220900670471095</v>
      </c>
      <c r="W113" s="45">
        <f t="shared" ref="W113:Y113" si="144">IF(W11=0,0,W11/W$8)</f>
        <v>0.36105296189246266</v>
      </c>
      <c r="X113" s="45">
        <f t="shared" si="144"/>
        <v>0.44073726573229721</v>
      </c>
      <c r="Y113" s="45">
        <f t="shared" si="144"/>
        <v>0.42142025845243275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:Y117" si="150">IF(W15=0,0,W15/W$14)</f>
        <v>0</v>
      </c>
      <c r="X117" s="43">
        <f t="shared" si="150"/>
        <v>0</v>
      </c>
      <c r="Y117" s="43">
        <f t="shared" si="150"/>
        <v>0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0.78116294993376856</v>
      </c>
      <c r="C118" s="43">
        <f t="shared" si="151"/>
        <v>0.78111558998994268</v>
      </c>
      <c r="D118" s="43">
        <f t="shared" ref="D118:V118" si="152">IF(D16=0,0,D16/D$14)</f>
        <v>0.78112479309747651</v>
      </c>
      <c r="E118" s="43">
        <f t="shared" si="152"/>
        <v>0.78129599757229862</v>
      </c>
      <c r="F118" s="43">
        <f t="shared" si="152"/>
        <v>0.78122572376310917</v>
      </c>
      <c r="G118" s="43">
        <f t="shared" si="152"/>
        <v>0.80923755503849548</v>
      </c>
      <c r="H118" s="43">
        <f t="shared" si="152"/>
        <v>0.78724098157715194</v>
      </c>
      <c r="I118" s="43">
        <f t="shared" si="152"/>
        <v>0.77827193574736631</v>
      </c>
      <c r="J118" s="43">
        <f t="shared" si="152"/>
        <v>0.80834657169397506</v>
      </c>
      <c r="K118" s="43">
        <f t="shared" si="152"/>
        <v>0.78527561938340706</v>
      </c>
      <c r="L118" s="43">
        <f t="shared" si="152"/>
        <v>0.83207085508095679</v>
      </c>
      <c r="M118" s="43">
        <f t="shared" si="152"/>
        <v>0.84933352756937741</v>
      </c>
      <c r="N118" s="43">
        <f t="shared" si="152"/>
        <v>0.85331075667336109</v>
      </c>
      <c r="O118" s="43">
        <f t="shared" si="152"/>
        <v>0.85191262853663552</v>
      </c>
      <c r="P118" s="43">
        <f t="shared" si="152"/>
        <v>0.82812830849082064</v>
      </c>
      <c r="Q118" s="43">
        <f t="shared" si="152"/>
        <v>0.82514172583509904</v>
      </c>
      <c r="R118" s="43">
        <f t="shared" si="152"/>
        <v>0.83040857966358883</v>
      </c>
      <c r="S118" s="43">
        <f t="shared" si="152"/>
        <v>0.81687174582268851</v>
      </c>
      <c r="T118" s="43">
        <f t="shared" si="152"/>
        <v>0.7870511885476329</v>
      </c>
      <c r="U118" s="43">
        <f t="shared" si="152"/>
        <v>0.75585345845937935</v>
      </c>
      <c r="V118" s="43">
        <f t="shared" si="152"/>
        <v>0.82606053988258321</v>
      </c>
      <c r="W118" s="43">
        <f t="shared" ref="W118:Y118" si="153">IF(W16=0,0,W16/W$14)</f>
        <v>0.75107139176721205</v>
      </c>
      <c r="X118" s="43">
        <f t="shared" si="153"/>
        <v>0.78981112697494993</v>
      </c>
      <c r="Y118" s="43">
        <f t="shared" si="153"/>
        <v>0.76242493009908197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0.21883705006623136</v>
      </c>
      <c r="C119" s="43">
        <f t="shared" si="154"/>
        <v>0.21888441001005726</v>
      </c>
      <c r="D119" s="43">
        <f t="shared" ref="D119:V119" si="155">IF(D17=0,0,D17/D$14)</f>
        <v>0.21887520690252352</v>
      </c>
      <c r="E119" s="43">
        <f t="shared" si="155"/>
        <v>0.21870400242770144</v>
      </c>
      <c r="F119" s="43">
        <f t="shared" si="155"/>
        <v>0.2187742762368908</v>
      </c>
      <c r="G119" s="43">
        <f t="shared" si="155"/>
        <v>0.19076244496150463</v>
      </c>
      <c r="H119" s="43">
        <f t="shared" si="155"/>
        <v>0.21275901842284797</v>
      </c>
      <c r="I119" s="43">
        <f t="shared" si="155"/>
        <v>0.22172806425263369</v>
      </c>
      <c r="J119" s="43">
        <f t="shared" si="155"/>
        <v>0.19165342830602497</v>
      </c>
      <c r="K119" s="43">
        <f t="shared" si="155"/>
        <v>0.21472438061659288</v>
      </c>
      <c r="L119" s="43">
        <f t="shared" si="155"/>
        <v>0.16792914491904323</v>
      </c>
      <c r="M119" s="43">
        <f t="shared" si="155"/>
        <v>0.15066647243062253</v>
      </c>
      <c r="N119" s="43">
        <f t="shared" si="155"/>
        <v>0.14668924332663891</v>
      </c>
      <c r="O119" s="43">
        <f t="shared" si="155"/>
        <v>0.14808737146336456</v>
      </c>
      <c r="P119" s="43">
        <f t="shared" si="155"/>
        <v>0.17187169150917936</v>
      </c>
      <c r="Q119" s="43">
        <f t="shared" si="155"/>
        <v>0.17485827416490093</v>
      </c>
      <c r="R119" s="43">
        <f t="shared" si="155"/>
        <v>0.16959142033641128</v>
      </c>
      <c r="S119" s="43">
        <f t="shared" si="155"/>
        <v>0.18312825417731141</v>
      </c>
      <c r="T119" s="43">
        <f t="shared" si="155"/>
        <v>0.21294881145236713</v>
      </c>
      <c r="U119" s="43">
        <f t="shared" si="155"/>
        <v>0.2441465415406206</v>
      </c>
      <c r="V119" s="43">
        <f t="shared" si="155"/>
        <v>0.17393946011741687</v>
      </c>
      <c r="W119" s="43">
        <f t="shared" ref="W119:Y119" si="156">IF(W17=0,0,W17/W$14)</f>
        <v>0.24892860823278798</v>
      </c>
      <c r="X119" s="43">
        <f t="shared" si="156"/>
        <v>0.21018887302505004</v>
      </c>
      <c r="Y119" s="43">
        <f t="shared" si="156"/>
        <v>0.23757506990091803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:Y121" si="162">IF(W19=0,0,W19/W$18)</f>
        <v>0</v>
      </c>
      <c r="X121" s="44">
        <f t="shared" si="162"/>
        <v>0</v>
      </c>
      <c r="Y121" s="44">
        <f t="shared" si="162"/>
        <v>0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0.95662907494303528</v>
      </c>
      <c r="C122" s="44">
        <f t="shared" si="163"/>
        <v>0.95747676818709837</v>
      </c>
      <c r="D122" s="44">
        <f t="shared" ref="D122:V122" si="164">IF(D20=0,0,D20/D$18)</f>
        <v>0.95662907494303528</v>
      </c>
      <c r="E122" s="44">
        <f t="shared" si="164"/>
        <v>0.92267549561392026</v>
      </c>
      <c r="F122" s="44">
        <f t="shared" si="164"/>
        <v>0.91230124553255876</v>
      </c>
      <c r="G122" s="44">
        <f t="shared" si="164"/>
        <v>0.90278205810611811</v>
      </c>
      <c r="H122" s="44">
        <f t="shared" si="164"/>
        <v>0.8319927077784488</v>
      </c>
      <c r="I122" s="44">
        <f t="shared" si="164"/>
        <v>0.7666677040822204</v>
      </c>
      <c r="J122" s="44">
        <f t="shared" si="164"/>
        <v>0.8811826952454529</v>
      </c>
      <c r="K122" s="44">
        <f t="shared" si="164"/>
        <v>0.9717624173186985</v>
      </c>
      <c r="L122" s="44">
        <f t="shared" si="164"/>
        <v>0.97158256159435563</v>
      </c>
      <c r="M122" s="44">
        <f t="shared" si="164"/>
        <v>0.95113899182662387</v>
      </c>
      <c r="N122" s="44">
        <f t="shared" si="164"/>
        <v>0.47100893568439423</v>
      </c>
      <c r="O122" s="44">
        <f t="shared" si="164"/>
        <v>0.76724551505202154</v>
      </c>
      <c r="P122" s="44">
        <f t="shared" si="164"/>
        <v>0.85419668739313226</v>
      </c>
      <c r="Q122" s="44">
        <f t="shared" si="164"/>
        <v>0.85753059963681066</v>
      </c>
      <c r="R122" s="44">
        <f t="shared" si="164"/>
        <v>0.88934507062492929</v>
      </c>
      <c r="S122" s="44">
        <f t="shared" si="164"/>
        <v>0.94491953527006312</v>
      </c>
      <c r="T122" s="44">
        <f t="shared" si="164"/>
        <v>0.90721264516879074</v>
      </c>
      <c r="U122" s="44">
        <f t="shared" si="164"/>
        <v>0.8694793441211327</v>
      </c>
      <c r="V122" s="44">
        <f t="shared" si="164"/>
        <v>0.8312852883066818</v>
      </c>
      <c r="W122" s="44">
        <f t="shared" ref="W122:Y122" si="165">IF(W20=0,0,W20/W$18)</f>
        <v>0.82397780499958495</v>
      </c>
      <c r="X122" s="44">
        <f t="shared" si="165"/>
        <v>0.78948100356579587</v>
      </c>
      <c r="Y122" s="44">
        <f t="shared" si="165"/>
        <v>0.80583188501836933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4.337092505696466E-2</v>
      </c>
      <c r="C123" s="45">
        <f t="shared" si="166"/>
        <v>4.2523231812901546E-2</v>
      </c>
      <c r="D123" s="45">
        <f t="shared" ref="D123:V123" si="167">IF(D21=0,0,D21/D$18)</f>
        <v>4.337092505696466E-2</v>
      </c>
      <c r="E123" s="45">
        <f t="shared" si="167"/>
        <v>7.7324504386079809E-2</v>
      </c>
      <c r="F123" s="45">
        <f t="shared" si="167"/>
        <v>8.7698754467441298E-2</v>
      </c>
      <c r="G123" s="45">
        <f t="shared" si="167"/>
        <v>9.7217941893881915E-2</v>
      </c>
      <c r="H123" s="45">
        <f t="shared" si="167"/>
        <v>0.16800729222155114</v>
      </c>
      <c r="I123" s="45">
        <f t="shared" si="167"/>
        <v>0.23333229591777954</v>
      </c>
      <c r="J123" s="45">
        <f t="shared" si="167"/>
        <v>0.11881730475454716</v>
      </c>
      <c r="K123" s="45">
        <f t="shared" si="167"/>
        <v>2.823758268130144E-2</v>
      </c>
      <c r="L123" s="45">
        <f t="shared" si="167"/>
        <v>2.841743840564441E-2</v>
      </c>
      <c r="M123" s="45">
        <f t="shared" si="167"/>
        <v>4.8861008173376137E-2</v>
      </c>
      <c r="N123" s="45">
        <f t="shared" si="167"/>
        <v>0.52899106431560583</v>
      </c>
      <c r="O123" s="45">
        <f t="shared" si="167"/>
        <v>0.23275448494797851</v>
      </c>
      <c r="P123" s="45">
        <f t="shared" si="167"/>
        <v>0.14580331260686774</v>
      </c>
      <c r="Q123" s="45">
        <f t="shared" si="167"/>
        <v>0.14246940036318939</v>
      </c>
      <c r="R123" s="45">
        <f t="shared" si="167"/>
        <v>0.11065492937507064</v>
      </c>
      <c r="S123" s="45">
        <f t="shared" si="167"/>
        <v>5.508046472993694E-2</v>
      </c>
      <c r="T123" s="45">
        <f t="shared" si="167"/>
        <v>9.2787354831209271E-2</v>
      </c>
      <c r="U123" s="45">
        <f t="shared" si="167"/>
        <v>0.13052065587886733</v>
      </c>
      <c r="V123" s="45">
        <f t="shared" si="167"/>
        <v>0.16871471169331817</v>
      </c>
      <c r="W123" s="45">
        <f t="shared" ref="W123:Y123" si="168">IF(W21=0,0,W21/W$18)</f>
        <v>0.17602219500041508</v>
      </c>
      <c r="X123" s="45">
        <f t="shared" si="168"/>
        <v>0.21051899643420405</v>
      </c>
      <c r="Y123" s="45">
        <f t="shared" si="168"/>
        <v>0.1941681149816307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23.731728288907995</v>
      </c>
      <c r="C3" s="79">
        <f t="shared" si="0"/>
        <v>31.17420464316422</v>
      </c>
      <c r="D3" s="79">
        <f t="shared" ref="D3" si="1">SUM(D4:D5)</f>
        <v>28.023817712811702</v>
      </c>
      <c r="E3" s="79">
        <f t="shared" ref="E3" si="2">SUM(E4:E5)</f>
        <v>32.096130696474631</v>
      </c>
      <c r="F3" s="79">
        <f t="shared" ref="F3" si="3">SUM(F4:F5)</f>
        <v>34.291573516766981</v>
      </c>
      <c r="G3" s="79">
        <f t="shared" ref="G3" si="4">SUM(G4:G5)</f>
        <v>46.431642304385207</v>
      </c>
      <c r="H3" s="79">
        <f t="shared" ref="H3" si="5">SUM(H4:H5)</f>
        <v>52.622527944969896</v>
      </c>
      <c r="I3" s="79">
        <f t="shared" ref="I3" si="6">SUM(I4:I5)</f>
        <v>65.974978503869266</v>
      </c>
      <c r="J3" s="79">
        <f t="shared" ref="J3" si="7">SUM(J4:J5)</f>
        <v>76.283576956147897</v>
      </c>
      <c r="K3" s="79">
        <f t="shared" ref="K3" si="8">SUM(K4:K5)</f>
        <v>36.080051590713659</v>
      </c>
      <c r="L3" s="79">
        <f t="shared" ref="L3" si="9">SUM(L4:L5)</f>
        <v>48.450386930352515</v>
      </c>
      <c r="M3" s="79">
        <f t="shared" ref="M3" si="10">SUM(M4:M5)</f>
        <v>55.666380051590707</v>
      </c>
      <c r="N3" s="79">
        <f t="shared" ref="N3" si="11">SUM(N4:N5)</f>
        <v>62.882373172828885</v>
      </c>
      <c r="O3" s="79">
        <f t="shared" ref="O3" si="12">SUM(O4:O5)</f>
        <v>70.098366294067063</v>
      </c>
      <c r="P3" s="79">
        <f t="shared" ref="P3" si="13">SUM(P4:P5)</f>
        <v>77.314445399828017</v>
      </c>
      <c r="Q3" s="79">
        <f t="shared" ref="Q3" si="14">SUM(Q4:Q5)</f>
        <v>81.588822012037838</v>
      </c>
      <c r="R3" s="79">
        <f t="shared" ref="R3" si="15">SUM(R4:R5)</f>
        <v>95.958727429062776</v>
      </c>
      <c r="S3" s="79">
        <f t="shared" ref="S3" si="16">SUM(S4:S5)</f>
        <v>105.85889939810832</v>
      </c>
      <c r="T3" s="79">
        <f t="shared" ref="T3" si="17">SUM(T4:T5)</f>
        <v>126.01109200343936</v>
      </c>
      <c r="U3" s="79">
        <f t="shared" ref="U3" si="18">SUM(U4:U5)</f>
        <v>123.3233877901978</v>
      </c>
      <c r="V3" s="79">
        <f t="shared" ref="V3:W3" si="19">SUM(V4:V5)</f>
        <v>54.167153912295781</v>
      </c>
      <c r="W3" s="79">
        <f t="shared" si="19"/>
        <v>61.816766981943267</v>
      </c>
      <c r="X3" s="79">
        <f t="shared" ref="X3:Y3" si="20">SUM(X4:X5)</f>
        <v>101.52123817712811</v>
      </c>
      <c r="Y3" s="79">
        <f t="shared" si="20"/>
        <v>104.92940670679278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23.731728288907995</v>
      </c>
      <c r="C5" s="96">
        <f t="shared" si="24"/>
        <v>31.17420464316422</v>
      </c>
      <c r="D5" s="96">
        <f t="shared" ref="D5:V5" si="25">SUM(D8:D9,D12:D13)</f>
        <v>28.023817712811702</v>
      </c>
      <c r="E5" s="96">
        <f t="shared" si="25"/>
        <v>32.096130696474631</v>
      </c>
      <c r="F5" s="96">
        <f t="shared" si="25"/>
        <v>34.291573516766981</v>
      </c>
      <c r="G5" s="96">
        <f t="shared" si="25"/>
        <v>46.431642304385207</v>
      </c>
      <c r="H5" s="96">
        <f t="shared" si="25"/>
        <v>52.622527944969896</v>
      </c>
      <c r="I5" s="96">
        <f t="shared" si="25"/>
        <v>65.974978503869266</v>
      </c>
      <c r="J5" s="96">
        <f t="shared" si="25"/>
        <v>76.283576956147897</v>
      </c>
      <c r="K5" s="96">
        <f t="shared" si="25"/>
        <v>36.080051590713659</v>
      </c>
      <c r="L5" s="96">
        <f t="shared" si="25"/>
        <v>48.450386930352515</v>
      </c>
      <c r="M5" s="96">
        <f t="shared" si="25"/>
        <v>55.666380051590707</v>
      </c>
      <c r="N5" s="96">
        <f t="shared" si="25"/>
        <v>62.882373172828885</v>
      </c>
      <c r="O5" s="96">
        <f t="shared" si="25"/>
        <v>70.098366294067063</v>
      </c>
      <c r="P5" s="96">
        <f t="shared" si="25"/>
        <v>77.314445399828017</v>
      </c>
      <c r="Q5" s="96">
        <f t="shared" si="25"/>
        <v>81.588822012037838</v>
      </c>
      <c r="R5" s="96">
        <f t="shared" si="25"/>
        <v>95.958727429062776</v>
      </c>
      <c r="S5" s="96">
        <f t="shared" si="25"/>
        <v>105.85889939810832</v>
      </c>
      <c r="T5" s="96">
        <f t="shared" si="25"/>
        <v>126.01109200343936</v>
      </c>
      <c r="U5" s="96">
        <f t="shared" si="25"/>
        <v>123.3233877901978</v>
      </c>
      <c r="V5" s="96">
        <f t="shared" si="25"/>
        <v>54.167153912295781</v>
      </c>
      <c r="W5" s="96">
        <f t="shared" ref="W5:Y5" si="26">SUM(W8:W9,W12:W13)</f>
        <v>61.816766981943267</v>
      </c>
      <c r="X5" s="96">
        <f t="shared" si="26"/>
        <v>101.52123817712811</v>
      </c>
      <c r="Y5" s="96">
        <f t="shared" si="26"/>
        <v>104.92940670679278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23.238620665594016</v>
      </c>
      <c r="C6" s="21">
        <f t="shared" si="27"/>
        <v>30.669744535225707</v>
      </c>
      <c r="D6" s="21">
        <f t="shared" ref="D6:V6" si="28">SUM(D7:D9)</f>
        <v>27.53015938261165</v>
      </c>
      <c r="E6" s="21">
        <f t="shared" si="28"/>
        <v>31.823007535824601</v>
      </c>
      <c r="F6" s="21">
        <f t="shared" si="28"/>
        <v>33.992862852728742</v>
      </c>
      <c r="G6" s="21">
        <f t="shared" si="28"/>
        <v>46.06169634321337</v>
      </c>
      <c r="H6" s="21">
        <f t="shared" si="28"/>
        <v>52.081381554360007</v>
      </c>
      <c r="I6" s="21">
        <f t="shared" si="28"/>
        <v>65.286438974727332</v>
      </c>
      <c r="J6" s="21">
        <f t="shared" si="28"/>
        <v>75.594611097634669</v>
      </c>
      <c r="K6" s="21">
        <f t="shared" si="28"/>
        <v>35.774224382140531</v>
      </c>
      <c r="L6" s="21">
        <f t="shared" si="28"/>
        <v>48.039228543592806</v>
      </c>
      <c r="M6" s="21">
        <f t="shared" si="28"/>
        <v>55.234126597212374</v>
      </c>
      <c r="N6" s="21">
        <f t="shared" si="28"/>
        <v>62.035020363661445</v>
      </c>
      <c r="O6" s="21">
        <f t="shared" si="28"/>
        <v>69.175860371781056</v>
      </c>
      <c r="P6" s="21">
        <f t="shared" si="28"/>
        <v>76.505051673907445</v>
      </c>
      <c r="Q6" s="21">
        <f t="shared" si="28"/>
        <v>80.747573851425102</v>
      </c>
      <c r="R6" s="21">
        <f t="shared" si="28"/>
        <v>95.135250533120001</v>
      </c>
      <c r="S6" s="21">
        <f t="shared" si="28"/>
        <v>104.85811499595924</v>
      </c>
      <c r="T6" s="21">
        <f t="shared" si="28"/>
        <v>124.88079618836991</v>
      </c>
      <c r="U6" s="21">
        <f t="shared" si="28"/>
        <v>122.20493901173801</v>
      </c>
      <c r="V6" s="21">
        <f t="shared" si="28"/>
        <v>52.359046589975463</v>
      </c>
      <c r="W6" s="21">
        <f t="shared" ref="W6:Y6" si="29">SUM(W7:W9)</f>
        <v>60.215879037618222</v>
      </c>
      <c r="X6" s="21">
        <f t="shared" si="29"/>
        <v>100.34100123571251</v>
      </c>
      <c r="Y6" s="21">
        <f t="shared" si="29"/>
        <v>103.75190818697489</v>
      </c>
      <c r="DA6" s="189" t="s">
        <v>280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281</v>
      </c>
    </row>
    <row r="8" spans="1:105" ht="11.45" customHeight="1" x14ac:dyDescent="0.25">
      <c r="A8" s="83" t="s">
        <v>181</v>
      </c>
      <c r="B8" s="96">
        <v>19.691935179707766</v>
      </c>
      <c r="C8" s="96">
        <v>25.987710090126757</v>
      </c>
      <c r="D8" s="96">
        <v>23.327604398215005</v>
      </c>
      <c r="E8" s="96">
        <v>26.968965559747282</v>
      </c>
      <c r="F8" s="96">
        <v>28.806108560085239</v>
      </c>
      <c r="G8" s="96">
        <v>39.960746777561042</v>
      </c>
      <c r="H8" s="96">
        <v>45.5844596789196</v>
      </c>
      <c r="I8" s="96">
        <v>57.297080153447837</v>
      </c>
      <c r="J8" s="96">
        <v>66.309591755438163</v>
      </c>
      <c r="K8" s="96">
        <v>30.740191531993496</v>
      </c>
      <c r="L8" s="96">
        <v>41.902795532221838</v>
      </c>
      <c r="M8" s="96">
        <v>48.47221384220434</v>
      </c>
      <c r="N8" s="96">
        <v>55.15085051992574</v>
      </c>
      <c r="O8" s="96">
        <v>61.681095340527335</v>
      </c>
      <c r="P8" s="96">
        <v>68.261000410159383</v>
      </c>
      <c r="Q8" s="96">
        <v>72.451603536239986</v>
      </c>
      <c r="R8" s="96">
        <v>86.329867493888429</v>
      </c>
      <c r="S8" s="96">
        <v>95.38751975032568</v>
      </c>
      <c r="T8" s="96">
        <v>114.06312587798408</v>
      </c>
      <c r="U8" s="96">
        <v>111.41713531652978</v>
      </c>
      <c r="V8" s="96">
        <v>45.83065734091857</v>
      </c>
      <c r="W8" s="96">
        <v>53.513632251409334</v>
      </c>
      <c r="X8" s="96">
        <v>92.04970103266848</v>
      </c>
      <c r="Y8" s="96">
        <v>94.299858663688696</v>
      </c>
      <c r="DA8" s="171" t="s">
        <v>282</v>
      </c>
    </row>
    <row r="9" spans="1:105" ht="11.45" customHeight="1" x14ac:dyDescent="0.25">
      <c r="A9" s="83" t="s">
        <v>182</v>
      </c>
      <c r="B9" s="96">
        <v>3.5466854858862509</v>
      </c>
      <c r="C9" s="96">
        <v>4.6820344450989486</v>
      </c>
      <c r="D9" s="96">
        <v>4.2025549843966434</v>
      </c>
      <c r="E9" s="96">
        <v>4.8540419760773208</v>
      </c>
      <c r="F9" s="96">
        <v>5.1867542926435037</v>
      </c>
      <c r="G9" s="96">
        <v>6.100949565652332</v>
      </c>
      <c r="H9" s="96">
        <v>6.4969218754404094</v>
      </c>
      <c r="I9" s="96">
        <v>7.9893588212794979</v>
      </c>
      <c r="J9" s="96">
        <v>9.2850193421965024</v>
      </c>
      <c r="K9" s="96">
        <v>5.0340328501470317</v>
      </c>
      <c r="L9" s="96">
        <v>6.1364330113709666</v>
      </c>
      <c r="M9" s="96">
        <v>6.7619127550080309</v>
      </c>
      <c r="N9" s="96">
        <v>6.8841698437357071</v>
      </c>
      <c r="O9" s="96">
        <v>7.4947650312537144</v>
      </c>
      <c r="P9" s="96">
        <v>8.244051263748057</v>
      </c>
      <c r="Q9" s="96">
        <v>8.2959703151851123</v>
      </c>
      <c r="R9" s="96">
        <v>8.8053830392315788</v>
      </c>
      <c r="S9" s="96">
        <v>9.4705952456335556</v>
      </c>
      <c r="T9" s="96">
        <v>10.817670310385841</v>
      </c>
      <c r="U9" s="96">
        <v>10.787803695208227</v>
      </c>
      <c r="V9" s="96">
        <v>6.5283892490568949</v>
      </c>
      <c r="W9" s="96">
        <v>6.7022467862088853</v>
      </c>
      <c r="X9" s="96">
        <v>8.2913002030440328</v>
      </c>
      <c r="Y9" s="96">
        <v>9.4520495232861972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0.49310762331397567</v>
      </c>
      <c r="C10" s="22">
        <f t="shared" si="30"/>
        <v>0.50446010793851381</v>
      </c>
      <c r="D10" s="22">
        <f t="shared" ref="D10:V10" si="31">SUM(D11:D13)</f>
        <v>0.49365833020005045</v>
      </c>
      <c r="E10" s="22">
        <f t="shared" si="31"/>
        <v>0.27312316065003034</v>
      </c>
      <c r="F10" s="22">
        <f t="shared" si="31"/>
        <v>0.29871066403824026</v>
      </c>
      <c r="G10" s="22">
        <f t="shared" si="31"/>
        <v>0.36994596117183481</v>
      </c>
      <c r="H10" s="22">
        <f t="shared" si="31"/>
        <v>0.54114639060989145</v>
      </c>
      <c r="I10" s="22">
        <f t="shared" si="31"/>
        <v>0.68853952914193506</v>
      </c>
      <c r="J10" s="22">
        <f t="shared" si="31"/>
        <v>0.68896585851321912</v>
      </c>
      <c r="K10" s="22">
        <f t="shared" si="31"/>
        <v>0.30582720857312806</v>
      </c>
      <c r="L10" s="22">
        <f t="shared" si="31"/>
        <v>0.41115838675971017</v>
      </c>
      <c r="M10" s="22">
        <f t="shared" si="31"/>
        <v>0.43225345437833373</v>
      </c>
      <c r="N10" s="22">
        <f t="shared" si="31"/>
        <v>0.84735280916743561</v>
      </c>
      <c r="O10" s="22">
        <f t="shared" si="31"/>
        <v>0.9225059222860108</v>
      </c>
      <c r="P10" s="22">
        <f t="shared" si="31"/>
        <v>0.80939372592057468</v>
      </c>
      <c r="Q10" s="22">
        <f t="shared" si="31"/>
        <v>0.84124816061274332</v>
      </c>
      <c r="R10" s="22">
        <f t="shared" si="31"/>
        <v>0.82347689594277473</v>
      </c>
      <c r="S10" s="22">
        <f t="shared" si="31"/>
        <v>1.000784402149077</v>
      </c>
      <c r="T10" s="22">
        <f t="shared" si="31"/>
        <v>1.1302958150694518</v>
      </c>
      <c r="U10" s="22">
        <f t="shared" si="31"/>
        <v>1.1184487784598018</v>
      </c>
      <c r="V10" s="22">
        <f t="shared" si="31"/>
        <v>1.8081073223203146</v>
      </c>
      <c r="W10" s="22">
        <f t="shared" ref="W10:Y10" si="32">SUM(W11:W13)</f>
        <v>1.6008879443250486</v>
      </c>
      <c r="X10" s="22">
        <f t="shared" si="32"/>
        <v>1.180236941415602</v>
      </c>
      <c r="Y10" s="22">
        <f t="shared" si="32"/>
        <v>1.177498519817894</v>
      </c>
      <c r="DA10" s="193" t="s">
        <v>284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285</v>
      </c>
    </row>
    <row r="12" spans="1:105" ht="11.45" customHeight="1" x14ac:dyDescent="0.25">
      <c r="A12" s="92" t="s">
        <v>181</v>
      </c>
      <c r="B12" s="97">
        <v>0.48364111315341612</v>
      </c>
      <c r="C12" s="97">
        <v>0.49495852420311265</v>
      </c>
      <c r="D12" s="97">
        <v>0.48418124775854038</v>
      </c>
      <c r="E12" s="97">
        <v>0.26356618343856064</v>
      </c>
      <c r="F12" s="97">
        <v>0.28677899582402067</v>
      </c>
      <c r="G12" s="97">
        <v>0.35311198791343673</v>
      </c>
      <c r="H12" s="97">
        <v>0.50179665171623444</v>
      </c>
      <c r="I12" s="97">
        <v>0.61435327185619493</v>
      </c>
      <c r="J12" s="97">
        <v>0.64314337135491995</v>
      </c>
      <c r="K12" s="97">
        <v>0.30030346617383941</v>
      </c>
      <c r="L12" s="97">
        <v>0.40060688227061803</v>
      </c>
      <c r="M12" s="97">
        <v>0.4118811836682692</v>
      </c>
      <c r="N12" s="97">
        <v>0.41369553013091398</v>
      </c>
      <c r="O12" s="97">
        <v>0.72462271008003365</v>
      </c>
      <c r="P12" s="97">
        <v>0.71965060701571237</v>
      </c>
      <c r="Q12" s="97">
        <v>0.76018828805041561</v>
      </c>
      <c r="R12" s="97">
        <v>0.77001667631595627</v>
      </c>
      <c r="S12" s="97">
        <v>0.97312733204511126</v>
      </c>
      <c r="T12" s="97">
        <v>1.0847998917170425</v>
      </c>
      <c r="U12" s="97">
        <v>1.0657637384600807</v>
      </c>
      <c r="V12" s="97">
        <v>1.6772437110212406</v>
      </c>
      <c r="W12" s="97">
        <v>1.4945150252758599</v>
      </c>
      <c r="X12" s="97">
        <v>1.0806220264594328</v>
      </c>
      <c r="Y12" s="97">
        <v>1.0712006325215855</v>
      </c>
      <c r="DA12" s="175" t="s">
        <v>286</v>
      </c>
    </row>
    <row r="13" spans="1:105" ht="11.45" customHeight="1" x14ac:dyDescent="0.25">
      <c r="A13" s="85" t="s">
        <v>182</v>
      </c>
      <c r="B13" s="98">
        <v>9.4665101605595388E-3</v>
      </c>
      <c r="C13" s="98">
        <v>9.501583735401135E-3</v>
      </c>
      <c r="D13" s="98">
        <v>9.4770824415100572E-3</v>
      </c>
      <c r="E13" s="98">
        <v>9.5569772114696989E-3</v>
      </c>
      <c r="F13" s="98">
        <v>1.193166821421961E-2</v>
      </c>
      <c r="G13" s="98">
        <v>1.6833973258398062E-2</v>
      </c>
      <c r="H13" s="98">
        <v>3.9349738893657046E-2</v>
      </c>
      <c r="I13" s="98">
        <v>7.4186257285740118E-2</v>
      </c>
      <c r="J13" s="98">
        <v>4.5822487158299188E-2</v>
      </c>
      <c r="K13" s="98">
        <v>5.5237423992886368E-3</v>
      </c>
      <c r="L13" s="98">
        <v>1.0551504489092117E-2</v>
      </c>
      <c r="M13" s="98">
        <v>2.0372270710064533E-2</v>
      </c>
      <c r="N13" s="98">
        <v>0.43365727903652157</v>
      </c>
      <c r="O13" s="98">
        <v>0.19788321220597715</v>
      </c>
      <c r="P13" s="98">
        <v>8.9743118904862265E-2</v>
      </c>
      <c r="Q13" s="98">
        <v>8.1059872562327731E-2</v>
      </c>
      <c r="R13" s="98">
        <v>5.3460219626818413E-2</v>
      </c>
      <c r="S13" s="98">
        <v>2.7657070103965807E-2</v>
      </c>
      <c r="T13" s="98">
        <v>4.5495923352409373E-2</v>
      </c>
      <c r="U13" s="98">
        <v>5.268503999972126E-2</v>
      </c>
      <c r="V13" s="98">
        <v>0.13086361129907398</v>
      </c>
      <c r="W13" s="98">
        <v>0.10637291904918865</v>
      </c>
      <c r="X13" s="98">
        <v>9.9614914956169059E-2</v>
      </c>
      <c r="Y13" s="98">
        <v>0.10629788729630851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233.34173007639581</v>
      </c>
      <c r="C17" s="62">
        <f>IF(C3=0,0,C3/TrAvia_act!C13*100)</f>
        <v>233.96625616229997</v>
      </c>
      <c r="D17" s="62">
        <f>IF(D3=0,0,D3/TrAvia_act!D13*100)</f>
        <v>233.43675522717638</v>
      </c>
      <c r="E17" s="62">
        <f>IF(E3=0,0,E3/TrAvia_act!E13*100)</f>
        <v>234.91677269149656</v>
      </c>
      <c r="F17" s="62">
        <f>IF(F3=0,0,F3/TrAvia_act!F13*100)</f>
        <v>234.62576501778716</v>
      </c>
      <c r="G17" s="62">
        <f>IF(G3=0,0,G3/TrAvia_act!G13*100)</f>
        <v>238.43849506705493</v>
      </c>
      <c r="H17" s="62">
        <f>IF(H3=0,0,H3/TrAvia_act!H13*100)</f>
        <v>251.85452109960988</v>
      </c>
      <c r="I17" s="62">
        <f>IF(I3=0,0,I3/TrAvia_act!I13*100)</f>
        <v>284.81335746613371</v>
      </c>
      <c r="J17" s="62">
        <f>IF(J3=0,0,J3/TrAvia_act!J13*100)</f>
        <v>321.90102763803702</v>
      </c>
      <c r="K17" s="62">
        <f>IF(K3=0,0,K3/TrAvia_act!K13*100)</f>
        <v>274.79326856815385</v>
      </c>
      <c r="L17" s="62">
        <f>IF(L3=0,0,L3/TrAvia_act!L13*100)</f>
        <v>291.43717539236474</v>
      </c>
      <c r="M17" s="62">
        <f>IF(M3=0,0,M3/TrAvia_act!M13*100)</f>
        <v>315.79935739429607</v>
      </c>
      <c r="N17" s="62">
        <f>IF(N3=0,0,N3/TrAvia_act!N13*100)</f>
        <v>321.42378972947614</v>
      </c>
      <c r="O17" s="62">
        <f>IF(O3=0,0,O3/TrAvia_act!O13*100)</f>
        <v>341.52546190173166</v>
      </c>
      <c r="P17" s="62">
        <f>IF(P3=0,0,P3/TrAvia_act!P13*100)</f>
        <v>331.79035460519617</v>
      </c>
      <c r="Q17" s="62">
        <f>IF(Q3=0,0,Q3/TrAvia_act!Q13*100)</f>
        <v>326.56629028346981</v>
      </c>
      <c r="R17" s="62">
        <f>IF(R3=0,0,R3/TrAvia_act!R13*100)</f>
        <v>360.17720186183465</v>
      </c>
      <c r="S17" s="62">
        <f>IF(S3=0,0,S3/TrAvia_act!S13*100)</f>
        <v>373.91659779832128</v>
      </c>
      <c r="T17" s="62">
        <f>IF(T3=0,0,T3/TrAvia_act!T13*100)</f>
        <v>385.93770392196495</v>
      </c>
      <c r="U17" s="62">
        <f>IF(U3=0,0,U3/TrAvia_act!U13*100)</f>
        <v>369.14644795608581</v>
      </c>
      <c r="V17" s="62">
        <f>IF(V3=0,0,V3/TrAvia_act!V13*100)</f>
        <v>399.52142853414381</v>
      </c>
      <c r="W17" s="62">
        <f>IF(W3=0,0,W3/TrAvia_act!W13*100)</f>
        <v>334.64619516678817</v>
      </c>
      <c r="X17" s="62">
        <f>IF(X3=0,0,X3/TrAvia_act!X13*100)</f>
        <v>325.75901910720177</v>
      </c>
      <c r="Y17" s="62">
        <f>IF(Y3=0,0,Y3/TrAvia_act!Y13*100)</f>
        <v>315.61653127228044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232.31684469468289</v>
      </c>
      <c r="C18" s="14">
        <f>IF(C6=0,0,C6/TrAvia_act!C14*100)</f>
        <v>233.16784479220905</v>
      </c>
      <c r="D18" s="14">
        <f>IF(D6=0,0,D6/TrAvia_act!D14*100)</f>
        <v>232.56739257172251</v>
      </c>
      <c r="E18" s="14">
        <f>IF(E6=0,0,E6/TrAvia_act!E14*100)</f>
        <v>234.52937683327417</v>
      </c>
      <c r="F18" s="14">
        <f>IF(F6=0,0,F6/TrAvia_act!F14*100)</f>
        <v>234.24037373248669</v>
      </c>
      <c r="G18" s="14">
        <f>IF(G6=0,0,G6/TrAvia_act!G14*100)</f>
        <v>238.1273465037979</v>
      </c>
      <c r="H18" s="14">
        <f>IF(H6=0,0,H6/TrAvia_act!H14*100)</f>
        <v>251.53702703016054</v>
      </c>
      <c r="I18" s="14">
        <f>IF(I6=0,0,I6/TrAvia_act!I14*100)</f>
        <v>284.65276402212356</v>
      </c>
      <c r="J18" s="14">
        <f>IF(J6=0,0,J6/TrAvia_act!J14*100)</f>
        <v>321.54520631852449</v>
      </c>
      <c r="K18" s="14">
        <f>IF(K6=0,0,K6/TrAvia_act!K14*100)</f>
        <v>274.73401649374682</v>
      </c>
      <c r="L18" s="14">
        <f>IF(L6=0,0,L6/TrAvia_act!L14*100)</f>
        <v>291.84743806839901</v>
      </c>
      <c r="M18" s="14">
        <f>IF(M6=0,0,M6/TrAvia_act!M14*100)</f>
        <v>316.26623778541546</v>
      </c>
      <c r="N18" s="14">
        <f>IF(N6=0,0,N6/TrAvia_act!N14*100)</f>
        <v>322.42666341683781</v>
      </c>
      <c r="O18" s="14">
        <f>IF(O6=0,0,O6/TrAvia_act!O14*100)</f>
        <v>342.65133098077229</v>
      </c>
      <c r="P18" s="14">
        <f>IF(P6=0,0,P6/TrAvia_act!P14*100)</f>
        <v>332.75513172245428</v>
      </c>
      <c r="Q18" s="14">
        <f>IF(Q6=0,0,Q6/TrAvia_act!Q14*100)</f>
        <v>327.5504127056318</v>
      </c>
      <c r="R18" s="14">
        <f>IF(R6=0,0,R6/TrAvia_act!R14*100)</f>
        <v>361.00231123826723</v>
      </c>
      <c r="S18" s="14">
        <f>IF(S6=0,0,S6/TrAvia_act!S14*100)</f>
        <v>374.6254912306984</v>
      </c>
      <c r="T18" s="14">
        <f>IF(T6=0,0,T6/TrAvia_act!T14*100)</f>
        <v>386.867684618162</v>
      </c>
      <c r="U18" s="14">
        <f>IF(U6=0,0,U6/TrAvia_act!U14*100)</f>
        <v>370.03290001837132</v>
      </c>
      <c r="V18" s="14">
        <f>IF(V6=0,0,V6/TrAvia_act!V14*100)</f>
        <v>399.7006461861269</v>
      </c>
      <c r="W18" s="14">
        <f>IF(W6=0,0,W6/TrAvia_act!W14*100)</f>
        <v>334.54523022820763</v>
      </c>
      <c r="X18" s="14">
        <f>IF(X6=0,0,X6/TrAvia_act!X14*100)</f>
        <v>326.9732035518922</v>
      </c>
      <c r="Y18" s="14">
        <f>IF(Y6=0,0,Y6/TrAvia_act!Y14*100)</f>
        <v>316.78999223894823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X19" s="87">
        <f>IF(X7=0,0,X7/TrAvia_act!X15*100)</f>
        <v>0</v>
      </c>
      <c r="Y19" s="87">
        <f>IF(Y7=0,0,Y7/TrAvia_act!Y15*100)</f>
        <v>0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252.00961706712852</v>
      </c>
      <c r="C20" s="87">
        <f>IF(C8=0,0,C8/TrAvia_act!C16*100)</f>
        <v>252.93632684236948</v>
      </c>
      <c r="D20" s="87">
        <f>IF(D8=0,0,D8/TrAvia_act!D16*100)</f>
        <v>252.28406331880896</v>
      </c>
      <c r="E20" s="87">
        <f>IF(E8=0,0,E8/TrAvia_act!E16*100)</f>
        <v>254.39274239949415</v>
      </c>
      <c r="F20" s="87">
        <f>IF(F8=0,0,F8/TrAvia_act!F16*100)</f>
        <v>254.08677924184371</v>
      </c>
      <c r="G20" s="87">
        <f>IF(G8=0,0,G8/TrAvia_act!G16*100)</f>
        <v>255.28594851703238</v>
      </c>
      <c r="H20" s="87">
        <f>IF(H8=0,0,H8/TrAvia_act!H16*100)</f>
        <v>279.65883531992608</v>
      </c>
      <c r="I20" s="87">
        <f>IF(I8=0,0,I8/TrAvia_act!I16*100)</f>
        <v>320.99150957501786</v>
      </c>
      <c r="J20" s="87">
        <f>IF(J8=0,0,J8/TrAvia_act!J16*100)</f>
        <v>348.92328747287581</v>
      </c>
      <c r="K20" s="87">
        <f>IF(K8=0,0,K8/TrAvia_act!K16*100)</f>
        <v>300.6260868722797</v>
      </c>
      <c r="L20" s="87">
        <f>IF(L8=0,0,L8/TrAvia_act!L16*100)</f>
        <v>305.94442817412516</v>
      </c>
      <c r="M20" s="87">
        <f>IF(M8=0,0,M8/TrAvia_act!M16*100)</f>
        <v>326.78335596592763</v>
      </c>
      <c r="N20" s="87">
        <f>IF(N8=0,0,N8/TrAvia_act!N16*100)</f>
        <v>335.92243833673638</v>
      </c>
      <c r="O20" s="87">
        <f>IF(O8=0,0,O8/TrAvia_act!O16*100)</f>
        <v>358.63681993805312</v>
      </c>
      <c r="P20" s="87">
        <f>IF(P8=0,0,P8/TrAvia_act!P16*100)</f>
        <v>358.51692861636366</v>
      </c>
      <c r="Q20" s="87">
        <f>IF(Q8=0,0,Q8/TrAvia_act!Q16*100)</f>
        <v>356.17884515109455</v>
      </c>
      <c r="R20" s="87">
        <f>IF(R8=0,0,R8/TrAvia_act!R16*100)</f>
        <v>394.49160254042863</v>
      </c>
      <c r="S20" s="87">
        <f>IF(S8=0,0,S8/TrAvia_act!S16*100)</f>
        <v>417.18910752825133</v>
      </c>
      <c r="T20" s="87">
        <f>IF(T8=0,0,T8/TrAvia_act!T16*100)</f>
        <v>448.96148453021726</v>
      </c>
      <c r="U20" s="87">
        <f>IF(U8=0,0,U8/TrAvia_act!U16*100)</f>
        <v>446.34015936661251</v>
      </c>
      <c r="V20" s="87">
        <f>IF(V8=0,0,V8/TrAvia_act!V16*100)</f>
        <v>423.53307364692682</v>
      </c>
      <c r="W20" s="87">
        <f>IF(W8=0,0,W8/TrAvia_act!W16*100)</f>
        <v>395.84669334236969</v>
      </c>
      <c r="X20" s="87">
        <f>IF(X8=0,0,X8/TrAvia_act!X16*100)</f>
        <v>379.78067895561492</v>
      </c>
      <c r="Y20" s="87">
        <f>IF(Y8=0,0,Y8/TrAvia_act!Y16*100)</f>
        <v>377.64984740752669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162.02132501838454</v>
      </c>
      <c r="C21" s="87">
        <f>IF(C9=0,0,C9/TrAvia_act!C17*100)</f>
        <v>162.62161667524481</v>
      </c>
      <c r="D21" s="87">
        <f>IF(D9=0,0,D9/TrAvia_act!D17*100)</f>
        <v>162.20227184451335</v>
      </c>
      <c r="E21" s="87">
        <f>IF(E9=0,0,E9/TrAvia_act!E17*100)</f>
        <v>163.56968774238371</v>
      </c>
      <c r="F21" s="87">
        <f>IF(F9=0,0,F9/TrAvia_act!F17*100)</f>
        <v>163.37042149296869</v>
      </c>
      <c r="G21" s="87">
        <f>IF(G9=0,0,G9/TrAvia_act!G17*100)</f>
        <v>165.33846426929674</v>
      </c>
      <c r="H21" s="87">
        <f>IF(H9=0,0,H9/TrAvia_act!H17*100)</f>
        <v>147.48202562119545</v>
      </c>
      <c r="I21" s="87">
        <f>IF(I9=0,0,I9/TrAvia_act!I17*100)</f>
        <v>157.10271329034697</v>
      </c>
      <c r="J21" s="87">
        <f>IF(J9=0,0,J9/TrAvia_act!J17*100)</f>
        <v>206.07125818052711</v>
      </c>
      <c r="K21" s="87">
        <f>IF(K9=0,0,K9/TrAvia_act!K17*100)</f>
        <v>180.0432713383268</v>
      </c>
      <c r="L21" s="87">
        <f>IF(L9=0,0,L9/TrAvia_act!L17*100)</f>
        <v>221.99836799188481</v>
      </c>
      <c r="M21" s="87">
        <f>IF(M9=0,0,M9/TrAvia_act!M17*100)</f>
        <v>256.97938424716961</v>
      </c>
      <c r="N21" s="87">
        <f>IF(N9=0,0,N9/TrAvia_act!N17*100)</f>
        <v>243.9199532612152</v>
      </c>
      <c r="O21" s="87">
        <f>IF(O9=0,0,O9/TrAvia_act!O17*100)</f>
        <v>250.69048528901433</v>
      </c>
      <c r="P21" s="87">
        <f>IF(P9=0,0,P9/TrAvia_act!P17*100)</f>
        <v>208.62722503749654</v>
      </c>
      <c r="Q21" s="87">
        <f>IF(Q9=0,0,Q9/TrAvia_act!Q17*100)</f>
        <v>192.45520906816856</v>
      </c>
      <c r="R21" s="87">
        <f>IF(R9=0,0,R9/TrAvia_act!R17*100)</f>
        <v>197.02116897881265</v>
      </c>
      <c r="S21" s="87">
        <f>IF(S9=0,0,S9/TrAvia_act!S17*100)</f>
        <v>184.76393376811018</v>
      </c>
      <c r="T21" s="87">
        <f>IF(T9=0,0,T9/TrAvia_act!T17*100)</f>
        <v>157.37122164704311</v>
      </c>
      <c r="U21" s="87">
        <f>IF(U9=0,0,U9/TrAvia_act!U17*100)</f>
        <v>133.79319938624633</v>
      </c>
      <c r="V21" s="87">
        <f>IF(V9=0,0,V9/TrAvia_act!V17*100)</f>
        <v>286.51742783135404</v>
      </c>
      <c r="W21" s="87">
        <f>IF(W9=0,0,W9/TrAvia_act!W17*100)</f>
        <v>149.58547190479413</v>
      </c>
      <c r="X21" s="87">
        <f>IF(X9=0,0,X9/TrAvia_act!X17*100)</f>
        <v>128.542472842634</v>
      </c>
      <c r="Y21" s="87">
        <f>IF(Y9=0,0,Y9/TrAvia_act!Y17*100)</f>
        <v>121.47879716239613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294.58775719541296</v>
      </c>
      <c r="C22" s="15">
        <f>IF(C10=0,0,C10/TrAvia_act!C18*100)</f>
        <v>295.47951974699373</v>
      </c>
      <c r="D22" s="15">
        <f>IF(D10=0,0,D10/TrAvia_act!D18*100)</f>
        <v>294.91675536694913</v>
      </c>
      <c r="E22" s="15">
        <f>IF(E10=0,0,E10/TrAvia_act!E18*100)</f>
        <v>290.90418334085359</v>
      </c>
      <c r="F22" s="15">
        <f>IF(F10=0,0,F10/TrAvia_act!F18*100)</f>
        <v>288.67450627148338</v>
      </c>
      <c r="G22" s="15">
        <f>IF(G10=0,0,G10/TrAvia_act!G18*100)</f>
        <v>284.76719616049195</v>
      </c>
      <c r="H22" s="15">
        <f>IF(H10=0,0,H10/TrAvia_act!H18*100)</f>
        <v>286.68015721402867</v>
      </c>
      <c r="I22" s="15">
        <f>IF(I10=0,0,I10/TrAvia_act!I18*100)</f>
        <v>300.91030662910021</v>
      </c>
      <c r="J22" s="15">
        <f>IF(J10=0,0,J10/TrAvia_act!J18*100)</f>
        <v>366.38700356569871</v>
      </c>
      <c r="K22" s="15">
        <f>IF(K10=0,0,K10/TrAvia_act!K18*100)</f>
        <v>281.90521270255203</v>
      </c>
      <c r="L22" s="15">
        <f>IF(L10=0,0,L10/TrAvia_act!L18*100)</f>
        <v>250.32282395038533</v>
      </c>
      <c r="M22" s="15">
        <f>IF(M10=0,0,M10/TrAvia_act!M18*100)</f>
        <v>265.6824088624499</v>
      </c>
      <c r="N22" s="15">
        <f>IF(N10=0,0,N10/TrAvia_act!N18*100)</f>
        <v>261.80693165874135</v>
      </c>
      <c r="O22" s="15">
        <f>IF(O10=0,0,O10/TrAvia_act!O18*100)</f>
        <v>274.01199005096652</v>
      </c>
      <c r="P22" s="15">
        <f>IF(P10=0,0,P10/TrAvia_act!P18*100)</f>
        <v>260.4214199214274</v>
      </c>
      <c r="Q22" s="15">
        <f>IF(Q10=0,0,Q10/TrAvia_act!Q18*100)</f>
        <v>253.46901253448698</v>
      </c>
      <c r="R22" s="15">
        <f>IF(R10=0,0,R10/TrAvia_act!R18*100)</f>
        <v>284.9383043770689</v>
      </c>
      <c r="S22" s="15">
        <f>IF(S10=0,0,S10/TrAvia_act!S18*100)</f>
        <v>312.04844274815491</v>
      </c>
      <c r="T22" s="15">
        <f>IF(T10=0,0,T10/TrAvia_act!T18*100)</f>
        <v>304.94637955652507</v>
      </c>
      <c r="U22" s="15">
        <f>IF(U10=0,0,U10/TrAvia_act!U18*100)</f>
        <v>292.56690474551277</v>
      </c>
      <c r="V22" s="15">
        <f>IF(V10=0,0,V10/TrAvia_act!V18*100)</f>
        <v>394.40047439764362</v>
      </c>
      <c r="W22" s="15">
        <f>IF(W10=0,0,W10/TrAvia_act!W18*100)</f>
        <v>338.48866055230911</v>
      </c>
      <c r="X22" s="15">
        <f>IF(X10=0,0,X10/TrAvia_act!X18*100)</f>
        <v>247.59271324345625</v>
      </c>
      <c r="Y22" s="15">
        <f>IF(Y10=0,0,Y10/TrAvia_act!Y18*100)</f>
        <v>237.95206043358203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X23" s="101">
        <f>IF(X11=0,0,X11/TrAvia_act!X19*100)</f>
        <v>0</v>
      </c>
      <c r="Y23" s="101">
        <f>IF(Y11=0,0,Y11/TrAvia_act!Y19*100)</f>
        <v>0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302.03175980712223</v>
      </c>
      <c r="C24" s="101">
        <f>IF(C12=0,0,C12/TrAvia_act!C20*100)</f>
        <v>302.78971476991796</v>
      </c>
      <c r="D24" s="101">
        <f>IF(D12=0,0,D12/TrAvia_act!D20*100)</f>
        <v>302.369071505573</v>
      </c>
      <c r="E24" s="101">
        <f>IF(E12=0,0,E12/TrAvia_act!E20*100)</f>
        <v>304.25108673718074</v>
      </c>
      <c r="F24" s="101">
        <f>IF(F12=0,0,F12/TrAvia_act!F20*100)</f>
        <v>303.78531507417227</v>
      </c>
      <c r="G24" s="101">
        <f>IF(G12=0,0,G12/TrAvia_act!G20*100)</f>
        <v>301.07951746304116</v>
      </c>
      <c r="H24" s="101">
        <f>IF(H12=0,0,H12/TrAvia_act!H20*100)</f>
        <v>319.51489386789098</v>
      </c>
      <c r="I24" s="101">
        <f>IF(I12=0,0,I12/TrAvia_act!I20*100)</f>
        <v>350.20245929822983</v>
      </c>
      <c r="J24" s="101">
        <f>IF(J12=0,0,J12/TrAvia_act!J20*100)</f>
        <v>388.1362422861306</v>
      </c>
      <c r="K24" s="101">
        <f>IF(K12=0,0,K12/TrAvia_act!K20*100)</f>
        <v>284.85722020246851</v>
      </c>
      <c r="L24" s="101">
        <f>IF(L12=0,0,L12/TrAvia_act!L20*100)</f>
        <v>251.03252296194097</v>
      </c>
      <c r="M24" s="101">
        <f>IF(M12=0,0,M12/TrAvia_act!M20*100)</f>
        <v>266.16582586010509</v>
      </c>
      <c r="N24" s="101">
        <f>IF(N12=0,0,N12/TrAvia_act!N20*100)</f>
        <v>271.37419575137199</v>
      </c>
      <c r="O24" s="101">
        <f>IF(O12=0,0,O12/TrAvia_act!O20*100)</f>
        <v>280.52914393677185</v>
      </c>
      <c r="P24" s="101">
        <f>IF(P12=0,0,P12/TrAvia_act!P20*100)</f>
        <v>271.06951709292247</v>
      </c>
      <c r="Q24" s="101">
        <f>IF(Q12=0,0,Q12/TrAvia_act!Q20*100)</f>
        <v>267.09901930654547</v>
      </c>
      <c r="R24" s="101">
        <f>IF(R12=0,0,R12/TrAvia_act!R20*100)</f>
        <v>299.59133300894223</v>
      </c>
      <c r="S24" s="101">
        <f>IF(S12=0,0,S12/TrAvia_act!S20*100)</f>
        <v>321.11185145539486</v>
      </c>
      <c r="T24" s="101">
        <f>IF(T12=0,0,T12/TrAvia_act!T20*100)</f>
        <v>322.60559871646251</v>
      </c>
      <c r="U24" s="101">
        <f>IF(U12=0,0,U12/TrAvia_act!U20*100)</f>
        <v>320.63488235722627</v>
      </c>
      <c r="V24" s="101">
        <f>IF(V12=0,0,V12/TrAvia_act!V20*100)</f>
        <v>440.10803873627208</v>
      </c>
      <c r="W24" s="101">
        <f>IF(W12=0,0,W12/TrAvia_act!W20*100)</f>
        <v>383.50229060839348</v>
      </c>
      <c r="X24" s="101">
        <f>IF(X12=0,0,X12/TrAvia_act!X20*100)</f>
        <v>287.14468779613537</v>
      </c>
      <c r="Y24" s="101">
        <f>IF(Y12=0,0,Y12/TrAvia_act!Y20*100)</f>
        <v>268.63059425560851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130.39597841827583</v>
      </c>
      <c r="C25" s="88">
        <f>IF(C13=0,0,C13/TrAvia_act!C21*100)</f>
        <v>130.87909764917796</v>
      </c>
      <c r="D25" s="88">
        <f>IF(D13=0,0,D13/TrAvia_act!D21*100)</f>
        <v>130.54160578203226</v>
      </c>
      <c r="E25" s="88">
        <f>IF(E13=0,0,E13/TrAvia_act!E21*100)</f>
        <v>131.64211235971442</v>
      </c>
      <c r="F25" s="88">
        <f>IF(F13=0,0,F13/TrAvia_act!F21*100)</f>
        <v>131.48174138660167</v>
      </c>
      <c r="G25" s="88">
        <f>IF(G13=0,0,G13/TrAvia_act!G21*100)</f>
        <v>133.28825399076041</v>
      </c>
      <c r="H25" s="88">
        <f>IF(H13=0,0,H13/TrAvia_act!H21*100)</f>
        <v>124.07851596017987</v>
      </c>
      <c r="I25" s="88">
        <f>IF(I13=0,0,I13/TrAvia_act!I21*100)</f>
        <v>138.9494371855132</v>
      </c>
      <c r="J25" s="88">
        <f>IF(J13=0,0,J13/TrAvia_act!J21*100)</f>
        <v>205.0885055497902</v>
      </c>
      <c r="K25" s="88">
        <f>IF(K13=0,0,K13/TrAvia_act!K21*100)</f>
        <v>180.31542803726077</v>
      </c>
      <c r="L25" s="88">
        <f>IF(L13=0,0,L13/TrAvia_act!L21*100)</f>
        <v>226.05845593221608</v>
      </c>
      <c r="M25" s="88">
        <f>IF(M13=0,0,M13/TrAvia_act!M21*100)</f>
        <v>256.2721086461699</v>
      </c>
      <c r="N25" s="88">
        <f>IF(N13=0,0,N13/TrAvia_act!N21*100)</f>
        <v>253.28832485862156</v>
      </c>
      <c r="O25" s="88">
        <f>IF(O13=0,0,O13/TrAvia_act!O21*100)</f>
        <v>252.52902231822611</v>
      </c>
      <c r="P25" s="88">
        <f>IF(P13=0,0,P13/TrAvia_act!P21*100)</f>
        <v>198.03895982289811</v>
      </c>
      <c r="Q25" s="88">
        <f>IF(Q13=0,0,Q13/TrAvia_act!Q21*100)</f>
        <v>171.42930540789592</v>
      </c>
      <c r="R25" s="88">
        <f>IF(R13=0,0,R13/TrAvia_act!R21*100)</f>
        <v>167.17040323539263</v>
      </c>
      <c r="S25" s="88">
        <f>IF(S13=0,0,S13/TrAvia_act!S21*100)</f>
        <v>156.56333590313085</v>
      </c>
      <c r="T25" s="88">
        <f>IF(T13=0,0,T13/TrAvia_act!T21*100)</f>
        <v>132.2863554094248</v>
      </c>
      <c r="U25" s="88">
        <f>IF(U13=0,0,U13/TrAvia_act!U21*100)</f>
        <v>105.58863222374069</v>
      </c>
      <c r="V25" s="88">
        <f>IF(V13=0,0,V13/TrAvia_act!V21*100)</f>
        <v>169.1917453088584</v>
      </c>
      <c r="W25" s="88">
        <f>IF(W13=0,0,W13/TrAvia_act!W21*100)</f>
        <v>127.77527813716354</v>
      </c>
      <c r="X25" s="88">
        <f>IF(X13=0,0,X13/TrAvia_act!X21*100)</f>
        <v>99.266276713927951</v>
      </c>
      <c r="Y25" s="88">
        <f>IF(Y13=0,0,Y13/TrAvia_act!Y21*100)</f>
        <v>110.63074023771877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37.779626360415307</v>
      </c>
      <c r="C28" s="14">
        <f>IF(C6=0,0,C6/TrAvia_act!C4*1000)</f>
        <v>36.955793524795631</v>
      </c>
      <c r="D28" s="14">
        <f>IF(D6=0,0,D6/TrAvia_act!D4*1000)</f>
        <v>36.230327003628844</v>
      </c>
      <c r="E28" s="14">
        <f>IF(E6=0,0,E6/TrAvia_act!E4*1000)</f>
        <v>36.175786825922238</v>
      </c>
      <c r="F28" s="14">
        <f>IF(F6=0,0,F6/TrAvia_act!F4*1000)</f>
        <v>35.667484260828168</v>
      </c>
      <c r="G28" s="14">
        <f>IF(G6=0,0,G6/TrAvia_act!G4*1000)</f>
        <v>35.555701929069293</v>
      </c>
      <c r="H28" s="14">
        <f>IF(H6=0,0,H6/TrAvia_act!H4*1000)</f>
        <v>33.639901277117971</v>
      </c>
      <c r="I28" s="14">
        <f>IF(I6=0,0,I6/TrAvia_act!I4*1000)</f>
        <v>35.132333300173492</v>
      </c>
      <c r="J28" s="14">
        <f>IF(J6=0,0,J6/TrAvia_act!J4*1000)</f>
        <v>40.630364048712131</v>
      </c>
      <c r="K28" s="14">
        <f>IF(K6=0,0,K6/TrAvia_act!K4*1000)</f>
        <v>30.15135839189335</v>
      </c>
      <c r="L28" s="14">
        <f>IF(L6=0,0,L6/TrAvia_act!L4*1000)</f>
        <v>31.635715625626524</v>
      </c>
      <c r="M28" s="14">
        <f>IF(M6=0,0,M6/TrAvia_act!M4*1000)</f>
        <v>31.183172811147397</v>
      </c>
      <c r="N28" s="14">
        <f>IF(N6=0,0,N6/TrAvia_act!N4*1000)</f>
        <v>28.153007954942247</v>
      </c>
      <c r="O28" s="14">
        <f>IF(O6=0,0,O6/TrAvia_act!O4*1000)</f>
        <v>28.051148260945162</v>
      </c>
      <c r="P28" s="14">
        <f>IF(P6=0,0,P6/TrAvia_act!P4*1000)</f>
        <v>28.46844420325688</v>
      </c>
      <c r="Q28" s="14">
        <f>IF(Q6=0,0,Q6/TrAvia_act!Q4*1000)</f>
        <v>27.181162035465526</v>
      </c>
      <c r="R28" s="14">
        <f>IF(R6=0,0,R6/TrAvia_act!R4*1000)</f>
        <v>28.634604792484126</v>
      </c>
      <c r="S28" s="14">
        <f>IF(S6=0,0,S6/TrAvia_act!S4*1000)</f>
        <v>28.570470930029799</v>
      </c>
      <c r="T28" s="14">
        <f>IF(T6=0,0,T6/TrAvia_act!T4*1000)</f>
        <v>27.77616530315354</v>
      </c>
      <c r="U28" s="14">
        <f>IF(U6=0,0,U6/TrAvia_act!U4*1000)</f>
        <v>26.279603253062987</v>
      </c>
      <c r="V28" s="14">
        <f>IF(V6=0,0,V6/TrAvia_act!V4*1000)</f>
        <v>39.738330070389829</v>
      </c>
      <c r="W28" s="14">
        <f>IF(W6=0,0,W6/TrAvia_act!W4*1000)</f>
        <v>32.092165565013971</v>
      </c>
      <c r="X28" s="14">
        <f>IF(X6=0,0,X6/TrAvia_act!X4*1000)</f>
        <v>23.298975405340975</v>
      </c>
      <c r="Y28" s="14">
        <f>IF(Y6=0,0,Y6/TrAvia_act!Y4*1000)</f>
        <v>20.531643481255863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X29" s="87">
        <f>IF(X7=0,0,X7/TrAvia_act!X5*1000)</f>
        <v>0</v>
      </c>
      <c r="Y29" s="87">
        <f>IF(Y7=0,0,Y7/TrAvia_act!Y5*1000)</f>
        <v>0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43.160142580437501</v>
      </c>
      <c r="C30" s="87">
        <f>IF(C8=0,0,C8/TrAvia_act!C6*1000)</f>
        <v>41.912488740811554</v>
      </c>
      <c r="D30" s="87">
        <f>IF(D8=0,0,D8/TrAvia_act!D6*1000)</f>
        <v>40.799642219084731</v>
      </c>
      <c r="E30" s="87">
        <f>IF(E8=0,0,E8/TrAvia_act!E6*1000)</f>
        <v>40.494926974823251</v>
      </c>
      <c r="F30" s="87">
        <f>IF(F8=0,0,F8/TrAvia_act!F6*1000)</f>
        <v>39.861582045833714</v>
      </c>
      <c r="G30" s="87">
        <f>IF(G8=0,0,G8/TrAvia_act!G6*1000)</f>
        <v>39.009579154963603</v>
      </c>
      <c r="H30" s="87">
        <f>IF(H8=0,0,H8/TrAvia_act!H6*1000)</f>
        <v>37.061978321340547</v>
      </c>
      <c r="I30" s="87">
        <f>IF(I8=0,0,I8/TrAvia_act!I6*1000)</f>
        <v>40.032302057626445</v>
      </c>
      <c r="J30" s="87">
        <f>IF(J8=0,0,J8/TrAvia_act!J6*1000)</f>
        <v>43.741839206896245</v>
      </c>
      <c r="K30" s="87">
        <f>IF(K8=0,0,K8/TrAvia_act!K6*1000)</f>
        <v>32.74707137711043</v>
      </c>
      <c r="L30" s="87">
        <f>IF(L8=0,0,L8/TrAvia_act!L6*1000)</f>
        <v>32.27280607076144</v>
      </c>
      <c r="M30" s="87">
        <f>IF(M8=0,0,M8/TrAvia_act!M6*1000)</f>
        <v>30.193216180718011</v>
      </c>
      <c r="N30" s="87">
        <f>IF(N8=0,0,N8/TrAvia_act!N6*1000)</f>
        <v>27.787766086167426</v>
      </c>
      <c r="O30" s="87">
        <f>IF(O8=0,0,O8/TrAvia_act!O6*1000)</f>
        <v>28.699876984614505</v>
      </c>
      <c r="P30" s="87">
        <f>IF(P8=0,0,P8/TrAvia_act!P6*1000)</f>
        <v>30.075577189185402</v>
      </c>
      <c r="Q30" s="87">
        <f>IF(Q8=0,0,Q8/TrAvia_act!Q6*1000)</f>
        <v>28.741472593957575</v>
      </c>
      <c r="R30" s="87">
        <f>IF(R8=0,0,R8/TrAvia_act!R6*1000)</f>
        <v>30.395558318225124</v>
      </c>
      <c r="S30" s="87">
        <f>IF(S8=0,0,S8/TrAvia_act!S6*1000)</f>
        <v>31.52702509021789</v>
      </c>
      <c r="T30" s="87">
        <f>IF(T8=0,0,T8/TrAvia_act!T6*1000)</f>
        <v>32.44592350709145</v>
      </c>
      <c r="U30" s="87">
        <f>IF(U8=0,0,U8/TrAvia_act!U6*1000)</f>
        <v>32.104430639142706</v>
      </c>
      <c r="V30" s="87">
        <f>IF(V8=0,0,V8/TrAvia_act!V6*1000)</f>
        <v>43.161367083778352</v>
      </c>
      <c r="W30" s="87">
        <f>IF(W8=0,0,W8/TrAvia_act!W6*1000)</f>
        <v>39.38870233405634</v>
      </c>
      <c r="X30" s="87">
        <f>IF(X8=0,0,X8/TrAvia_act!X6*1000)</f>
        <v>28.706540130627605</v>
      </c>
      <c r="Y30" s="87">
        <f>IF(Y8=0,0,Y8/TrAvia_act!Y6*1000)</f>
        <v>25.785193497405952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22.326266911005629</v>
      </c>
      <c r="C31" s="87">
        <f>IF(C9=0,0,C9/TrAvia_act!C7*1000)</f>
        <v>22.310634418442223</v>
      </c>
      <c r="D31" s="87">
        <f>IF(D9=0,0,D9/TrAvia_act!D7*1000)</f>
        <v>22.34153428566518</v>
      </c>
      <c r="E31" s="87">
        <f>IF(E9=0,0,E9/TrAvia_act!E7*1000)</f>
        <v>22.715005217058721</v>
      </c>
      <c r="F31" s="87">
        <f>IF(F9=0,0,F9/TrAvia_act!F7*1000)</f>
        <v>22.51237894787122</v>
      </c>
      <c r="G31" s="87">
        <f>IF(G9=0,0,G9/TrAvia_act!G7*1000)</f>
        <v>22.504677830906864</v>
      </c>
      <c r="H31" s="87">
        <f>IF(H9=0,0,H9/TrAvia_act!H7*1000)</f>
        <v>20.414495533806534</v>
      </c>
      <c r="I31" s="87">
        <f>IF(I9=0,0,I9/TrAvia_act!I7*1000)</f>
        <v>18.709149455480752</v>
      </c>
      <c r="J31" s="87">
        <f>IF(J9=0,0,J9/TrAvia_act!J7*1000)</f>
        <v>26.943230474431623</v>
      </c>
      <c r="K31" s="87">
        <f>IF(K9=0,0,K9/TrAvia_act!K7*1000)</f>
        <v>20.317178881990891</v>
      </c>
      <c r="L31" s="87">
        <f>IF(L9=0,0,L9/TrAvia_act!L7*1000)</f>
        <v>27.87777836930962</v>
      </c>
      <c r="M31" s="87">
        <f>IF(M9=0,0,M9/TrAvia_act!M7*1000)</f>
        <v>40.764111629321917</v>
      </c>
      <c r="N31" s="87">
        <f>IF(N9=0,0,N9/TrAvia_act!N7*1000)</f>
        <v>31.466415293942944</v>
      </c>
      <c r="O31" s="87">
        <f>IF(O9=0,0,O9/TrAvia_act!O7*1000)</f>
        <v>23.651347274184214</v>
      </c>
      <c r="P31" s="87">
        <f>IF(P9=0,0,P9/TrAvia_act!P7*1000)</f>
        <v>19.7360958128181</v>
      </c>
      <c r="Q31" s="87">
        <f>IF(Q9=0,0,Q9/TrAvia_act!Q7*1000)</f>
        <v>18.438981475803136</v>
      </c>
      <c r="R31" s="87">
        <f>IF(R9=0,0,R9/TrAvia_act!R7*1000)</f>
        <v>18.261830950168608</v>
      </c>
      <c r="S31" s="87">
        <f>IF(S9=0,0,S9/TrAvia_act!S7*1000)</f>
        <v>14.692716045647986</v>
      </c>
      <c r="T31" s="87">
        <f>IF(T9=0,0,T9/TrAvia_act!T7*1000)</f>
        <v>11.032971902868798</v>
      </c>
      <c r="U31" s="87">
        <f>IF(U9=0,0,U9/TrAvia_act!U7*1000)</f>
        <v>9.1443588770712427</v>
      </c>
      <c r="V31" s="87">
        <f>IF(V9=0,0,V9/TrAvia_act!V7*1000)</f>
        <v>25.526337839574147</v>
      </c>
      <c r="W31" s="87">
        <f>IF(W9=0,0,W9/TrAvia_act!W7*1000)</f>
        <v>12.945236897952604</v>
      </c>
      <c r="X31" s="87">
        <f>IF(X9=0,0,X9/TrAvia_act!X7*1000)</f>
        <v>7.5369003651600979</v>
      </c>
      <c r="Y31" s="87">
        <f>IF(Y9=0,0,Y9/TrAvia_act!Y7*1000)</f>
        <v>6.7701473647505166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100.34015458748617</v>
      </c>
      <c r="C32" s="15">
        <f>IF(C10=0,0,C10/TrAvia_act!C8*1000)</f>
        <v>95.481590137668292</v>
      </c>
      <c r="D32" s="15">
        <f>IF(D10=0,0,D10/TrAvia_act!D8*1000)</f>
        <v>101.53245749253389</v>
      </c>
      <c r="E32" s="15">
        <f>IF(E10=0,0,E10/TrAvia_act!E8*1000)</f>
        <v>95.507873743572901</v>
      </c>
      <c r="F32" s="15">
        <f>IF(F10=0,0,F10/TrAvia_act!F8*1000)</f>
        <v>101.98777007514468</v>
      </c>
      <c r="G32" s="15">
        <f>IF(G10=0,0,G10/TrAvia_act!G8*1000)</f>
        <v>101.9700502233643</v>
      </c>
      <c r="H32" s="15">
        <f>IF(H10=0,0,H10/TrAvia_act!H8*1000)</f>
        <v>107.23450976307552</v>
      </c>
      <c r="I32" s="15">
        <f>IF(I10=0,0,I10/TrAvia_act!I8*1000)</f>
        <v>104.82442500077283</v>
      </c>
      <c r="J32" s="15">
        <f>IF(J10=0,0,J10/TrAvia_act!J8*1000)</f>
        <v>153.38002099942736</v>
      </c>
      <c r="K32" s="15">
        <f>IF(K10=0,0,K10/TrAvia_act!K8*1000)</f>
        <v>120.41963442972184</v>
      </c>
      <c r="L32" s="15">
        <f>IF(L10=0,0,L10/TrAvia_act!L8*1000)</f>
        <v>107.09146468100558</v>
      </c>
      <c r="M32" s="15">
        <f>IF(M10=0,0,M10/TrAvia_act!M8*1000)</f>
        <v>101.95293935481689</v>
      </c>
      <c r="N32" s="15">
        <f>IF(N10=0,0,N10/TrAvia_act!N8*1000)</f>
        <v>43.702755749857694</v>
      </c>
      <c r="O32" s="15">
        <f>IF(O10=0,0,O10/TrAvia_act!O8*1000)</f>
        <v>67.681606931884858</v>
      </c>
      <c r="P32" s="15">
        <f>IF(P10=0,0,P10/TrAvia_act!P8*1000)</f>
        <v>66.954180591013454</v>
      </c>
      <c r="Q32" s="15">
        <f>IF(Q10=0,0,Q10/TrAvia_act!Q8*1000)</f>
        <v>65.423001681052042</v>
      </c>
      <c r="R32" s="15">
        <f>IF(R10=0,0,R10/TrAvia_act!R8*1000)</f>
        <v>71.541912474190937</v>
      </c>
      <c r="S32" s="15">
        <f>IF(S10=0,0,S10/TrAvia_act!S8*1000)</f>
        <v>92.372780009580794</v>
      </c>
      <c r="T32" s="15">
        <f>IF(T10=0,0,T10/TrAvia_act!T8*1000)</f>
        <v>83.563170705300095</v>
      </c>
      <c r="U32" s="15">
        <f>IF(U10=0,0,U10/TrAvia_act!U8*1000)</f>
        <v>71.467573040737605</v>
      </c>
      <c r="V32" s="15">
        <f>IF(V10=0,0,V10/TrAvia_act!V8*1000)</f>
        <v>119.81867681488481</v>
      </c>
      <c r="W32" s="15">
        <f>IF(W10=0,0,W10/TrAvia_act!W8*1000)</f>
        <v>107.73542117192981</v>
      </c>
      <c r="X32" s="15">
        <f>IF(X10=0,0,X10/TrAvia_act!X8*1000)</f>
        <v>70.174235884829088</v>
      </c>
      <c r="Y32" s="15">
        <f>IF(Y10=0,0,Y10/TrAvia_act!Y8*1000)</f>
        <v>65.673341218011217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X33" s="101">
        <f>IF(X11=0,0,X11/TrAvia_act!X9*1000)</f>
        <v>0</v>
      </c>
      <c r="Y33" s="101">
        <f>IF(Y11=0,0,Y11/TrAvia_act!Y9*1000)</f>
        <v>0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109.96996388159593</v>
      </c>
      <c r="C34" s="101">
        <f>IF(C12=0,0,C12/TrAvia_act!C10*1000)</f>
        <v>104.37418721749984</v>
      </c>
      <c r="D34" s="101">
        <f>IF(D12=0,0,D12/TrAvia_act!D10*1000)</f>
        <v>111.2775358076657</v>
      </c>
      <c r="E34" s="101">
        <f>IF(E12=0,0,E12/TrAvia_act!E10*1000)</f>
        <v>110.02919337095112</v>
      </c>
      <c r="F34" s="101">
        <f>IF(F12=0,0,F12/TrAvia_act!F10*1000)</f>
        <v>121.2277399859839</v>
      </c>
      <c r="G34" s="101">
        <f>IF(G12=0,0,G12/TrAvia_act!G10*1000)</f>
        <v>122.15157681663722</v>
      </c>
      <c r="H34" s="101">
        <f>IF(H12=0,0,H12/TrAvia_act!H10*1000)</f>
        <v>154.07463473136468</v>
      </c>
      <c r="I34" s="101">
        <f>IF(I12=0,0,I12/TrAvia_act!I10*1000)</f>
        <v>170.36921208586494</v>
      </c>
      <c r="J34" s="101">
        <f>IF(J12=0,0,J12/TrAvia_act!J10*1000)</f>
        <v>196.25177002261827</v>
      </c>
      <c r="K34" s="101">
        <f>IF(K12=0,0,K12/TrAvia_act!K10*1000)</f>
        <v>127.68869535226871</v>
      </c>
      <c r="L34" s="101">
        <f>IF(L12=0,0,L12/TrAvia_act!L10*1000)</f>
        <v>112.89891280233167</v>
      </c>
      <c r="M34" s="101">
        <f>IF(M12=0,0,M12/TrAvia_act!M10*1000)</f>
        <v>109.71201721158236</v>
      </c>
      <c r="N34" s="101">
        <f>IF(N12=0,0,N12/TrAvia_act!N10*1000)</f>
        <v>102.78652892382242</v>
      </c>
      <c r="O34" s="101">
        <f>IF(O12=0,0,O12/TrAvia_act!O10*1000)</f>
        <v>109.53624042569358</v>
      </c>
      <c r="P34" s="101">
        <f>IF(P12=0,0,P12/TrAvia_act!P10*1000)</f>
        <v>90.91717118512048</v>
      </c>
      <c r="Q34" s="101">
        <f>IF(Q12=0,0,Q12/TrAvia_act!Q10*1000)</f>
        <v>88.066862407716357</v>
      </c>
      <c r="R34" s="101">
        <f>IF(R12=0,0,R12/TrAvia_act!R10*1000)</f>
        <v>91.387206886704192</v>
      </c>
      <c r="S34" s="101">
        <f>IF(S12=0,0,S12/TrAvia_act!S10*1000)</f>
        <v>106.28827601017613</v>
      </c>
      <c r="T34" s="101">
        <f>IF(T12=0,0,T12/TrAvia_act!T10*1000)</f>
        <v>106.0097484291321</v>
      </c>
      <c r="U34" s="101">
        <f>IF(U12=0,0,U12/TrAvia_act!U10*1000)</f>
        <v>100.01228105431731</v>
      </c>
      <c r="V34" s="101">
        <f>IF(V12=0,0,V12/TrAvia_act!V10*1000)</f>
        <v>171.57799204340725</v>
      </c>
      <c r="W34" s="101">
        <f>IF(W12=0,0,W12/TrAvia_act!W10*1000)</f>
        <v>157.41024831564778</v>
      </c>
      <c r="X34" s="101">
        <f>IF(X12=0,0,X12/TrAvia_act!X10*1000)</f>
        <v>114.88581840881862</v>
      </c>
      <c r="Y34" s="101">
        <f>IF(Y12=0,0,Y12/TrAvia_act!Y10*1000)</f>
        <v>103.26100310570644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18.330974699623038</v>
      </c>
      <c r="C35" s="88">
        <f>IF(C13=0,0,C13/TrAvia_act!C11*1000)</f>
        <v>17.557524627399797</v>
      </c>
      <c r="D35" s="88">
        <f>IF(D13=0,0,D13/TrAvia_act!D11*1000)</f>
        <v>18.54759967726487</v>
      </c>
      <c r="E35" s="88">
        <f>IF(E13=0,0,E13/TrAvia_act!E11*1000)</f>
        <v>20.584861029727307</v>
      </c>
      <c r="F35" s="88">
        <f>IF(F13=0,0,F13/TrAvia_act!F11*1000)</f>
        <v>21.183037933378557</v>
      </c>
      <c r="G35" s="88">
        <f>IF(G13=0,0,G13/TrAvia_act!G11*1000)</f>
        <v>22.834473640589998</v>
      </c>
      <c r="H35" s="88">
        <f>IF(H13=0,0,H13/TrAvia_act!H11*1000)</f>
        <v>21.988727530588459</v>
      </c>
      <c r="I35" s="88">
        <f>IF(I13=0,0,I13/TrAvia_act!I11*1000)</f>
        <v>25.041844867418519</v>
      </c>
      <c r="J35" s="88">
        <f>IF(J13=0,0,J13/TrAvia_act!J11*1000)</f>
        <v>37.721625836362911</v>
      </c>
      <c r="K35" s="88">
        <f>IF(K13=0,0,K13/TrAvia_act!K11*1000)</f>
        <v>29.406906700088811</v>
      </c>
      <c r="L35" s="88">
        <f>IF(L13=0,0,L13/TrAvia_act!L11*1000)</f>
        <v>36.265457578393161</v>
      </c>
      <c r="M35" s="88">
        <f>IF(M13=0,0,M13/TrAvia_act!M11*1000)</f>
        <v>41.958649076843841</v>
      </c>
      <c r="N35" s="88">
        <f>IF(N13=0,0,N13/TrAvia_act!N11*1000)</f>
        <v>28.225180186587608</v>
      </c>
      <c r="O35" s="88">
        <f>IF(O13=0,0,O13/TrAvia_act!O11*1000)</f>
        <v>28.209735554743222</v>
      </c>
      <c r="P35" s="88">
        <f>IF(P13=0,0,P13/TrAvia_act!P11*1000)</f>
        <v>21.504024261290784</v>
      </c>
      <c r="Q35" s="88">
        <f>IF(Q13=0,0,Q13/TrAvia_act!Q11*1000)</f>
        <v>19.178258343021646</v>
      </c>
      <c r="R35" s="88">
        <f>IF(R13=0,0,R13/TrAvia_act!R11*1000)</f>
        <v>17.331651977207891</v>
      </c>
      <c r="S35" s="88">
        <f>IF(S13=0,0,S13/TrAvia_act!S11*1000)</f>
        <v>16.475836028856058</v>
      </c>
      <c r="T35" s="88">
        <f>IF(T13=0,0,T13/TrAvia_act!T11*1000)</f>
        <v>13.815011957769663</v>
      </c>
      <c r="U35" s="88">
        <f>IF(U13=0,0,U13/TrAvia_act!U11*1000)</f>
        <v>10.55091597830924</v>
      </c>
      <c r="V35" s="88">
        <f>IF(V13=0,0,V13/TrAvia_act!V11*1000)</f>
        <v>24.621740944703689</v>
      </c>
      <c r="W35" s="88">
        <f>IF(W13=0,0,W13/TrAvia_act!W11*1000)</f>
        <v>19.827033699855988</v>
      </c>
      <c r="X35" s="88">
        <f>IF(X13=0,0,X13/TrAvia_act!X11*1000)</f>
        <v>13.43857080723445</v>
      </c>
      <c r="Y35" s="88">
        <f>IF(Y13=0,0,Y13/TrAvia_act!Y11*1000)</f>
        <v>14.068181607928661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2919.0317698533818</v>
      </c>
      <c r="C37" s="62">
        <f>IF(C3=0,0,C3/TrAvia_act!C23*1000000)</f>
        <v>2932.3868538391703</v>
      </c>
      <c r="D37" s="62">
        <f>IF(D3=0,0,D3/TrAvia_act!D23*1000000)</f>
        <v>2924.3261726820097</v>
      </c>
      <c r="E37" s="62">
        <f>IF(E3=0,0,E3/TrAvia_act!E23*1000000)</f>
        <v>2954.3566546828638</v>
      </c>
      <c r="F37" s="62">
        <f>IF(F3=0,0,F3/TrAvia_act!F23*1000000)</f>
        <v>2950.5742141427449</v>
      </c>
      <c r="G37" s="62">
        <f>IF(G3=0,0,G3/TrAvia_act!G23*1000000)</f>
        <v>3076.5731715071038</v>
      </c>
      <c r="H37" s="62">
        <f>IF(H3=0,0,H3/TrAvia_act!H23*1000000)</f>
        <v>3268.8860693856318</v>
      </c>
      <c r="I37" s="62">
        <f>IF(I3=0,0,I3/TrAvia_act!I23*1000000)</f>
        <v>3795.5919056420012</v>
      </c>
      <c r="J37" s="62">
        <f>IF(J3=0,0,J3/TrAvia_act!J23*1000000)</f>
        <v>3821.631028312604</v>
      </c>
      <c r="K37" s="62">
        <f>IF(K3=0,0,K3/TrAvia_act!K23*1000000)</f>
        <v>2743.9388235389506</v>
      </c>
      <c r="L37" s="62">
        <f>IF(L3=0,0,L3/TrAvia_act!L23*1000000)</f>
        <v>3024.5575210907368</v>
      </c>
      <c r="M37" s="62">
        <f>IF(M3=0,0,M3/TrAvia_act!M23*1000000)</f>
        <v>3291.7260984915561</v>
      </c>
      <c r="N37" s="62">
        <f>IF(N3=0,0,N3/TrAvia_act!N23*1000000)</f>
        <v>3521.2438779722752</v>
      </c>
      <c r="O37" s="62">
        <f>IF(O3=0,0,O3/TrAvia_act!O23*1000000)</f>
        <v>3916.766290108234</v>
      </c>
      <c r="P37" s="62">
        <f>IF(P3=0,0,P3/TrAvia_act!P23*1000000)</f>
        <v>3850.8963191626244</v>
      </c>
      <c r="Q37" s="62">
        <f>IF(Q3=0,0,Q3/TrAvia_act!Q23*1000000)</f>
        <v>3836.2244692513559</v>
      </c>
      <c r="R37" s="62">
        <f>IF(R3=0,0,R3/TrAvia_act!R23*1000000)</f>
        <v>4205.3960657841517</v>
      </c>
      <c r="S37" s="62">
        <f>IF(S3=0,0,S3/TrAvia_act!S23*1000000)</f>
        <v>4389.0252248479756</v>
      </c>
      <c r="T37" s="62">
        <f>IF(T3=0,0,T3/TrAvia_act!T23*1000000)</f>
        <v>4704.7152032347431</v>
      </c>
      <c r="U37" s="62">
        <f>IF(U3=0,0,U3/TrAvia_act!U23*1000000)</f>
        <v>4496.5867348573538</v>
      </c>
      <c r="V37" s="62">
        <f>IF(V3=0,0,V3/TrAvia_act!V23*1000000)</f>
        <v>4890.4978252343608</v>
      </c>
      <c r="W37" s="62">
        <f>IF(W3=0,0,W3/TrAvia_act!W23*1000000)</f>
        <v>4637.7647972048371</v>
      </c>
      <c r="X37" s="62">
        <f>IF(X3=0,0,X3/TrAvia_act!X23*1000000)</f>
        <v>4575.0895978877024</v>
      </c>
      <c r="Y37" s="62">
        <f>IF(Y3=0,0,Y3/TrAvia_act!Y23*1000000)</f>
        <v>4509.0200982679207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2931.9481031534215</v>
      </c>
      <c r="C38" s="14">
        <f>IF(C6=0,0,C6/TrAvia_act!C24*1000000)</f>
        <v>2942.7887675326911</v>
      </c>
      <c r="D38" s="14">
        <f>IF(D6=0,0,D6/TrAvia_act!D24*1000000)</f>
        <v>2935.2979403573572</v>
      </c>
      <c r="E38" s="14">
        <f>IF(E6=0,0,E6/TrAvia_act!E24*1000000)</f>
        <v>2959.7291234955919</v>
      </c>
      <c r="F38" s="14">
        <f>IF(F6=0,0,F6/TrAvia_act!F24*1000000)</f>
        <v>2956.1581748611829</v>
      </c>
      <c r="G38" s="14">
        <f>IF(G6=0,0,G6/TrAvia_act!G24*1000000)</f>
        <v>3082.4932304900872</v>
      </c>
      <c r="H38" s="14">
        <f>IF(H6=0,0,H6/TrAvia_act!H24*1000000)</f>
        <v>3273.9113373371893</v>
      </c>
      <c r="I38" s="14">
        <f>IF(I6=0,0,I6/TrAvia_act!I24*1000000)</f>
        <v>3800.3631744995246</v>
      </c>
      <c r="J38" s="14">
        <f>IF(J6=0,0,J6/TrAvia_act!J24*1000000)</f>
        <v>3821.1904714974812</v>
      </c>
      <c r="K38" s="14">
        <f>IF(K6=0,0,K6/TrAvia_act!K24*1000000)</f>
        <v>2751.8634140108102</v>
      </c>
      <c r="L38" s="14">
        <f>IF(L6=0,0,L6/TrAvia_act!L24*1000000)</f>
        <v>3035.0788819555728</v>
      </c>
      <c r="M38" s="14">
        <f>IF(M6=0,0,M6/TrAvia_act!M24*1000000)</f>
        <v>3305.453416948676</v>
      </c>
      <c r="N38" s="14">
        <f>IF(N6=0,0,N6/TrAvia_act!N24*1000000)</f>
        <v>3527.3224747632594</v>
      </c>
      <c r="O38" s="14">
        <f>IF(O6=0,0,O6/TrAvia_act!O24*1000000)</f>
        <v>3945.466284821825</v>
      </c>
      <c r="P38" s="14">
        <f>IF(P6=0,0,P6/TrAvia_act!P24*1000000)</f>
        <v>3879.9600199770489</v>
      </c>
      <c r="Q38" s="14">
        <f>IF(Q6=0,0,Q6/TrAvia_act!Q24*1000000)</f>
        <v>3867.5914288449612</v>
      </c>
      <c r="R38" s="14">
        <f>IF(R6=0,0,R6/TrAvia_act!R24*1000000)</f>
        <v>4237.6503578227175</v>
      </c>
      <c r="S38" s="14">
        <f>IF(S6=0,0,S6/TrAvia_act!S24*1000000)</f>
        <v>4429.0650473478026</v>
      </c>
      <c r="T38" s="14">
        <f>IF(T6=0,0,T6/TrAvia_act!T24*1000000)</f>
        <v>4752.4754039034106</v>
      </c>
      <c r="U38" s="14">
        <f>IF(U6=0,0,U6/TrAvia_act!U24*1000000)</f>
        <v>4543.1034243554786</v>
      </c>
      <c r="V38" s="14">
        <f>IF(V6=0,0,V6/TrAvia_act!V24*1000000)</f>
        <v>5014.2737588561058</v>
      </c>
      <c r="W38" s="14">
        <f>IF(W6=0,0,W6/TrAvia_act!W24*1000000)</f>
        <v>4727.2632310895133</v>
      </c>
      <c r="X38" s="14">
        <f>IF(X6=0,0,X6/TrAvia_act!X24*1000000)</f>
        <v>4626.7810778675012</v>
      </c>
      <c r="Y38" s="14">
        <f>IF(Y6=0,0,Y6/TrAvia_act!Y24*1000000)</f>
        <v>4554.7174233713022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X39" s="87">
        <f>IF(X7=0,0,X7/TrAvia_act!X25*1000000)</f>
        <v>0</v>
      </c>
      <c r="Y39" s="87">
        <f>IF(Y7=0,0,Y7/TrAvia_act!Y25*1000000)</f>
        <v>0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2789.2259461342446</v>
      </c>
      <c r="C40" s="87">
        <f>IF(C8=0,0,C8/TrAvia_act!C26*1000000)</f>
        <v>2799.4947851046813</v>
      </c>
      <c r="D40" s="87">
        <f>IF(D8=0,0,D8/TrAvia_act!D26*1000000)</f>
        <v>2792.3874070164002</v>
      </c>
      <c r="E40" s="87">
        <f>IF(E8=0,0,E8/TrAvia_act!E26*1000000)</f>
        <v>2815.7199373300564</v>
      </c>
      <c r="F40" s="87">
        <f>IF(F8=0,0,F8/TrAvia_act!F26*1000000)</f>
        <v>2812.2726310734392</v>
      </c>
      <c r="G40" s="87">
        <f>IF(G8=0,0,G8/TrAvia_act!G26*1000000)</f>
        <v>2965.106980601101</v>
      </c>
      <c r="H40" s="87">
        <f>IF(H8=0,0,H8/TrAvia_act!H26*1000000)</f>
        <v>3217.1966743538428</v>
      </c>
      <c r="I40" s="87">
        <f>IF(I8=0,0,I8/TrAvia_act!I26*1000000)</f>
        <v>3778.2446523869326</v>
      </c>
      <c r="J40" s="87">
        <f>IF(J8=0,0,J8/TrAvia_act!J26*1000000)</f>
        <v>3932.7199902400898</v>
      </c>
      <c r="K40" s="87">
        <f>IF(K8=0,0,K8/TrAvia_act!K26*1000000)</f>
        <v>2732.4614695105333</v>
      </c>
      <c r="L40" s="87">
        <f>IF(L8=0,0,L8/TrAvia_act!L26*1000000)</f>
        <v>3007.0179786309177</v>
      </c>
      <c r="M40" s="87">
        <f>IF(M8=0,0,M8/TrAvia_act!M26*1000000)</f>
        <v>3328.9069323675808</v>
      </c>
      <c r="N40" s="87">
        <f>IF(N8=0,0,N8/TrAvia_act!N26*1000000)</f>
        <v>3678.6853335062528</v>
      </c>
      <c r="O40" s="87">
        <f>IF(O8=0,0,O8/TrAvia_act!O26*1000000)</f>
        <v>4099.7737015970315</v>
      </c>
      <c r="P40" s="87">
        <f>IF(P8=0,0,P8/TrAvia_act!P26*1000000)</f>
        <v>4127.7741071632936</v>
      </c>
      <c r="Q40" s="87">
        <f>IF(Q8=0,0,Q8/TrAvia_act!Q26*1000000)</f>
        <v>4168.197188829824</v>
      </c>
      <c r="R40" s="87">
        <f>IF(R8=0,0,R8/TrAvia_act!R26*1000000)</f>
        <v>4611.8845821832592</v>
      </c>
      <c r="S40" s="87">
        <f>IF(S8=0,0,S8/TrAvia_act!S26*1000000)</f>
        <v>4813.6616749255991</v>
      </c>
      <c r="T40" s="87">
        <f>IF(T8=0,0,T8/TrAvia_act!T26*1000000)</f>
        <v>5224.5843659758193</v>
      </c>
      <c r="U40" s="87">
        <f>IF(U8=0,0,U8/TrAvia_act!U26*1000000)</f>
        <v>5161.0679690814241</v>
      </c>
      <c r="V40" s="87">
        <f>IF(V8=0,0,V8/TrAvia_act!V26*1000000)</f>
        <v>5044.651330866106</v>
      </c>
      <c r="W40" s="87">
        <f>IF(W8=0,0,W8/TrAvia_act!W26*1000000)</f>
        <v>5209.153338986599</v>
      </c>
      <c r="X40" s="87">
        <f>IF(X8=0,0,X8/TrAvia_act!X26*1000000)</f>
        <v>4823.6493755001038</v>
      </c>
      <c r="Y40" s="87">
        <f>IF(Y8=0,0,Y8/TrAvia_act!Y26*1000000)</f>
        <v>4794.3392477344396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4095.4797758501741</v>
      </c>
      <c r="C41" s="87">
        <f>IF(C9=0,0,C9/TrAvia_act!C27*1000000)</f>
        <v>4110.6535953458724</v>
      </c>
      <c r="D41" s="87">
        <f>IF(D9=0,0,D9/TrAvia_act!D27*1000000)</f>
        <v>4100.0536433137986</v>
      </c>
      <c r="E41" s="87">
        <f>IF(E9=0,0,E9/TrAvia_act!E27*1000000)</f>
        <v>4134.6183782600683</v>
      </c>
      <c r="F41" s="87">
        <f>IF(F9=0,0,F9/TrAvia_act!F27*1000000)</f>
        <v>4129.5814431875024</v>
      </c>
      <c r="G41" s="87">
        <f>IF(G9=0,0,G9/TrAvia_act!G27*1000000)</f>
        <v>4161.6299902130504</v>
      </c>
      <c r="H41" s="87">
        <f>IF(H9=0,0,H9/TrAvia_act!H27*1000000)</f>
        <v>3736.0102791491718</v>
      </c>
      <c r="I41" s="87">
        <f>IF(I9=0,0,I9/TrAvia_act!I27*1000000)</f>
        <v>3966.9110334059073</v>
      </c>
      <c r="J41" s="87">
        <f>IF(J9=0,0,J9/TrAvia_act!J27*1000000)</f>
        <v>3177.6246893211846</v>
      </c>
      <c r="K41" s="87">
        <f>IF(K9=0,0,K9/TrAvia_act!K27*1000000)</f>
        <v>2876.5902000840179</v>
      </c>
      <c r="L41" s="87">
        <f>IF(L9=0,0,L9/TrAvia_act!L27*1000000)</f>
        <v>3241.6444856687622</v>
      </c>
      <c r="M41" s="87">
        <f>IF(M9=0,0,M9/TrAvia_act!M27*1000000)</f>
        <v>3146.5392066114619</v>
      </c>
      <c r="N41" s="87">
        <f>IF(N9=0,0,N9/TrAvia_act!N27*1000000)</f>
        <v>2652.8592846765732</v>
      </c>
      <c r="O41" s="87">
        <f>IF(O9=0,0,O9/TrAvia_act!O27*1000000)</f>
        <v>3012.3653662595311</v>
      </c>
      <c r="P41" s="87">
        <f>IF(P9=0,0,P9/TrAvia_act!P27*1000000)</f>
        <v>2591.653965340477</v>
      </c>
      <c r="Q41" s="87">
        <f>IF(Q9=0,0,Q9/TrAvia_act!Q27*1000000)</f>
        <v>2372.9892205907072</v>
      </c>
      <c r="R41" s="87">
        <f>IF(R9=0,0,R9/TrAvia_act!R27*1000000)</f>
        <v>2360.0597800138244</v>
      </c>
      <c r="S41" s="87">
        <f>IF(S9=0,0,S9/TrAvia_act!S27*1000000)</f>
        <v>2454.1578765570239</v>
      </c>
      <c r="T41" s="87">
        <f>IF(T9=0,0,T9/TrAvia_act!T27*1000000)</f>
        <v>2433.6716108854534</v>
      </c>
      <c r="U41" s="87">
        <f>IF(U9=0,0,U9/TrAvia_act!U27*1000000)</f>
        <v>2031.2189220877851</v>
      </c>
      <c r="V41" s="87">
        <f>IF(V9=0,0,V9/TrAvia_act!V27*1000000)</f>
        <v>4810.8984886196713</v>
      </c>
      <c r="W41" s="87">
        <f>IF(W9=0,0,W9/TrAvia_act!W27*1000000)</f>
        <v>2718.9642134721644</v>
      </c>
      <c r="X41" s="87">
        <f>IF(X9=0,0,X9/TrAvia_act!X27*1000000)</f>
        <v>3184.0630580046209</v>
      </c>
      <c r="Y41" s="87">
        <f>IF(Y9=0,0,Y9/TrAvia_act!Y27*1000000)</f>
        <v>3039.2442197061728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2417.1942319312534</v>
      </c>
      <c r="C42" s="15">
        <f>IF(C10=0,0,C10/TrAvia_act!C28*1000000)</f>
        <v>2413.6847269785349</v>
      </c>
      <c r="D42" s="15">
        <f>IF(D10=0,0,D10/TrAvia_act!D28*1000000)</f>
        <v>2419.8937754904432</v>
      </c>
      <c r="E42" s="15">
        <f>IF(E10=0,0,E10/TrAvia_act!E28*1000000)</f>
        <v>2438.5996486609852</v>
      </c>
      <c r="F42" s="15">
        <f>IF(F10=0,0,F10/TrAvia_act!F28*1000000)</f>
        <v>2428.5419840507338</v>
      </c>
      <c r="G42" s="15">
        <f>IF(G10=0,0,G10/TrAvia_act!G28*1000000)</f>
        <v>2482.858799810972</v>
      </c>
      <c r="H42" s="15">
        <f>IF(H10=0,0,H10/TrAvia_act!H28*1000000)</f>
        <v>2848.1388979467974</v>
      </c>
      <c r="I42" s="15">
        <f>IF(I10=0,0,I10/TrAvia_act!I28*1000000)</f>
        <v>3391.8203406006651</v>
      </c>
      <c r="J42" s="15">
        <f>IF(J10=0,0,J10/TrAvia_act!J28*1000000)</f>
        <v>3870.5947107484221</v>
      </c>
      <c r="K42" s="15">
        <f>IF(K10=0,0,K10/TrAvia_act!K28*1000000)</f>
        <v>2052.5316011619334</v>
      </c>
      <c r="L42" s="15">
        <f>IF(L10=0,0,L10/TrAvia_act!L28*1000000)</f>
        <v>2152.6617107838229</v>
      </c>
      <c r="M42" s="15">
        <f>IF(M10=0,0,M10/TrAvia_act!M28*1000000)</f>
        <v>2150.5146983996701</v>
      </c>
      <c r="N42" s="15">
        <f>IF(N10=0,0,N10/TrAvia_act!N28*1000000)</f>
        <v>3126.763133459172</v>
      </c>
      <c r="O42" s="15">
        <f>IF(O10=0,0,O10/TrAvia_act!O28*1000000)</f>
        <v>2534.3569293571727</v>
      </c>
      <c r="P42" s="15">
        <f>IF(P10=0,0,P10/TrAvia_act!P28*1000000)</f>
        <v>2254.5786237341913</v>
      </c>
      <c r="Q42" s="15">
        <f>IF(Q10=0,0,Q10/TrAvia_act!Q28*1000000)</f>
        <v>2157.0465656737006</v>
      </c>
      <c r="R42" s="15">
        <f>IF(R10=0,0,R10/TrAvia_act!R28*1000000)</f>
        <v>2237.7089563662353</v>
      </c>
      <c r="S42" s="15">
        <f>IF(S10=0,0,S10/TrAvia_act!S28*1000000)</f>
        <v>2254.0189237591826</v>
      </c>
      <c r="T42" s="15">
        <f>IF(T10=0,0,T10/TrAvia_act!T28*1000000)</f>
        <v>2229.3803058569065</v>
      </c>
      <c r="U42" s="15">
        <f>IF(U10=0,0,U10/TrAvia_act!U28*1000000)</f>
        <v>2122.2936972671764</v>
      </c>
      <c r="V42" s="15">
        <f>IF(V10=0,0,V10/TrAvia_act!V28*1000000)</f>
        <v>2851.9042938806224</v>
      </c>
      <c r="W42" s="15">
        <f>IF(W10=0,0,W10/TrAvia_act!W28*1000000)</f>
        <v>2708.7782475889144</v>
      </c>
      <c r="X42" s="15">
        <f>IF(X10=0,0,X10/TrAvia_act!X28*1000000)</f>
        <v>2346.3955097725684</v>
      </c>
      <c r="Y42" s="15">
        <f>IF(Y10=0,0,Y10/TrAvia_act!Y28*1000000)</f>
        <v>2393.2896744266136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X43" s="101">
        <f>IF(X11=0,0,X11/TrAvia_act!X29*1000000)</f>
        <v>0</v>
      </c>
      <c r="Y43" s="101">
        <f>IF(Y11=0,0,Y11/TrAvia_act!Y29*1000000)</f>
        <v>0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2418.2055657670803</v>
      </c>
      <c r="C44" s="101">
        <f>IF(C12=0,0,C12/TrAvia_act!C30*1000000)</f>
        <v>2414.4318253810375</v>
      </c>
      <c r="D44" s="101">
        <f>IF(D12=0,0,D12/TrAvia_act!D30*1000000)</f>
        <v>2420.906238792702</v>
      </c>
      <c r="E44" s="101">
        <f>IF(E12=0,0,E12/TrAvia_act!E30*1000000)</f>
        <v>2440.4276244311168</v>
      </c>
      <c r="F44" s="101">
        <f>IF(F12=0,0,F12/TrAvia_act!F30*1000000)</f>
        <v>2430.3304730849209</v>
      </c>
      <c r="G44" s="101">
        <f>IF(G12=0,0,G12/TrAvia_act!G30*1000000)</f>
        <v>2486.7041402354703</v>
      </c>
      <c r="H44" s="101">
        <f>IF(H12=0,0,H12/TrAvia_act!H30*1000000)</f>
        <v>2883.8888029668647</v>
      </c>
      <c r="I44" s="101">
        <f>IF(I12=0,0,I12/TrAvia_act!I30*1000000)</f>
        <v>3451.422875596601</v>
      </c>
      <c r="J44" s="101">
        <f>IF(J12=0,0,J12/TrAvia_act!J30*1000000)</f>
        <v>3994.6793251858385</v>
      </c>
      <c r="K44" s="101">
        <f>IF(K12=0,0,K12/TrAvia_act!K30*1000000)</f>
        <v>2042.8807222710163</v>
      </c>
      <c r="L44" s="101">
        <f>IF(L12=0,0,L12/TrAvia_act!L30*1000000)</f>
        <v>2130.8876716522236</v>
      </c>
      <c r="M44" s="101">
        <f>IF(M12=0,0,M12/TrAvia_act!M30*1000000)</f>
        <v>2090.7674297881686</v>
      </c>
      <c r="N44" s="101">
        <f>IF(N12=0,0,N12/TrAvia_act!N30*1000000)</f>
        <v>2037.9090154232213</v>
      </c>
      <c r="O44" s="101">
        <f>IF(O12=0,0,O12/TrAvia_act!O30*1000000)</f>
        <v>2189.1924775831831</v>
      </c>
      <c r="P44" s="101">
        <f>IF(P12=0,0,P12/TrAvia_act!P30*1000000)</f>
        <v>2129.1438077387938</v>
      </c>
      <c r="Q44" s="101">
        <f>IF(Q12=0,0,Q12/TrAvia_act!Q30*1000000)</f>
        <v>2082.7076384942893</v>
      </c>
      <c r="R44" s="101">
        <f>IF(R12=0,0,R12/TrAvia_act!R30*1000000)</f>
        <v>2212.6915986090694</v>
      </c>
      <c r="S44" s="101">
        <f>IF(S12=0,0,S12/TrAvia_act!S30*1000000)</f>
        <v>2252.6095649192389</v>
      </c>
      <c r="T44" s="101">
        <f>IF(T12=0,0,T12/TrAvia_act!T30*1000000)</f>
        <v>2245.9625087309369</v>
      </c>
      <c r="U44" s="101">
        <f>IF(U12=0,0,U12/TrAvia_act!U30*1000000)</f>
        <v>2140.0878282330937</v>
      </c>
      <c r="V44" s="101">
        <f>IF(V12=0,0,V12/TrAvia_act!V30*1000000)</f>
        <v>2857.3146695421474</v>
      </c>
      <c r="W44" s="101">
        <f>IF(W12=0,0,W12/TrAvia_act!W30*1000000)</f>
        <v>2737.2070059997436</v>
      </c>
      <c r="X44" s="101">
        <f>IF(X12=0,0,X12/TrAvia_act!X30*1000000)</f>
        <v>2390.7566957067097</v>
      </c>
      <c r="Y44" s="101">
        <f>IF(Y12=0,0,Y12/TrAvia_act!Y30*1000000)</f>
        <v>2385.7475111839321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2366.6275401398848</v>
      </c>
      <c r="C45" s="88">
        <f>IF(C13=0,0,C13/TrAvia_act!C31*1000000)</f>
        <v>2375.3959338502837</v>
      </c>
      <c r="D45" s="88">
        <f>IF(D13=0,0,D13/TrAvia_act!D31*1000000)</f>
        <v>2369.2706103775145</v>
      </c>
      <c r="E45" s="88">
        <f>IF(E13=0,0,E13/TrAvia_act!E31*1000000)</f>
        <v>2389.2443028674247</v>
      </c>
      <c r="F45" s="88">
        <f>IF(F13=0,0,F13/TrAvia_act!F31*1000000)</f>
        <v>2386.333642843922</v>
      </c>
      <c r="G45" s="88">
        <f>IF(G13=0,0,G13/TrAvia_act!G31*1000000)</f>
        <v>2404.8533226282943</v>
      </c>
      <c r="H45" s="88">
        <f>IF(H13=0,0,H13/TrAvia_act!H31*1000000)</f>
        <v>2459.3586808535656</v>
      </c>
      <c r="I45" s="88">
        <f>IF(I13=0,0,I13/TrAvia_act!I31*1000000)</f>
        <v>2967.4502914296049</v>
      </c>
      <c r="J45" s="88">
        <f>IF(J13=0,0,J13/TrAvia_act!J31*1000000)</f>
        <v>2695.4404210764228</v>
      </c>
      <c r="K45" s="88">
        <f>IF(K13=0,0,K13/TrAvia_act!K31*1000000)</f>
        <v>2761.8711996443185</v>
      </c>
      <c r="L45" s="88">
        <f>IF(L13=0,0,L13/TrAvia_act!L31*1000000)</f>
        <v>3517.1681630307057</v>
      </c>
      <c r="M45" s="88">
        <f>IF(M13=0,0,M13/TrAvia_act!M31*1000000)</f>
        <v>5093.0676775161328</v>
      </c>
      <c r="N45" s="88">
        <f>IF(N13=0,0,N13/TrAvia_act!N31*1000000)</f>
        <v>6377.3129270076697</v>
      </c>
      <c r="O45" s="88">
        <f>IF(O13=0,0,O13/TrAvia_act!O31*1000000)</f>
        <v>5996.4609759387013</v>
      </c>
      <c r="P45" s="88">
        <f>IF(P13=0,0,P13/TrAvia_act!P31*1000000)</f>
        <v>4273.4818526124882</v>
      </c>
      <c r="Q45" s="88">
        <f>IF(Q13=0,0,Q13/TrAvia_act!Q31*1000000)</f>
        <v>3242.3949024931094</v>
      </c>
      <c r="R45" s="88">
        <f>IF(R13=0,0,R13/TrAvia_act!R31*1000000)</f>
        <v>2673.0109813409208</v>
      </c>
      <c r="S45" s="88">
        <f>IF(S13=0,0,S13/TrAvia_act!S31*1000000)</f>
        <v>2304.7558419971506</v>
      </c>
      <c r="T45" s="88">
        <f>IF(T13=0,0,T13/TrAvia_act!T31*1000000)</f>
        <v>1895.6634730170572</v>
      </c>
      <c r="U45" s="88">
        <f>IF(U13=0,0,U13/TrAvia_act!U31*1000000)</f>
        <v>1816.7255172317675</v>
      </c>
      <c r="V45" s="88">
        <f>IF(V13=0,0,V13/TrAvia_act!V31*1000000)</f>
        <v>2784.3321552994466</v>
      </c>
      <c r="W45" s="88">
        <f>IF(W13=0,0,W13/TrAvia_act!W31*1000000)</f>
        <v>2363.8426455375256</v>
      </c>
      <c r="X45" s="88">
        <f>IF(X13=0,0,X13/TrAvia_act!X31*1000000)</f>
        <v>1953.2336265915503</v>
      </c>
      <c r="Y45" s="88">
        <f>IF(Y13=0,0,Y13/TrAvia_act!Y31*1000000)</f>
        <v>2472.0438906118256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0.97922158819151606</v>
      </c>
      <c r="C48" s="16">
        <f t="shared" si="36"/>
        <v>0.98381802795892248</v>
      </c>
      <c r="D48" s="16">
        <f t="shared" ref="D48:V48" si="37">IF(D6=0,0,D6/D$3)</f>
        <v>0.98238432981333712</v>
      </c>
      <c r="E48" s="16">
        <f t="shared" si="37"/>
        <v>0.99149046459110945</v>
      </c>
      <c r="F48" s="16">
        <f t="shared" si="37"/>
        <v>0.99128909427582312</v>
      </c>
      <c r="G48" s="16">
        <f t="shared" si="37"/>
        <v>0.99203246013253987</v>
      </c>
      <c r="H48" s="16">
        <f t="shared" si="37"/>
        <v>0.98971645012615517</v>
      </c>
      <c r="I48" s="16">
        <f t="shared" si="37"/>
        <v>0.98956362632082473</v>
      </c>
      <c r="J48" s="16">
        <f t="shared" si="37"/>
        <v>0.99096835929823679</v>
      </c>
      <c r="K48" s="16">
        <f t="shared" si="37"/>
        <v>0.99152364824633898</v>
      </c>
      <c r="L48" s="16">
        <f t="shared" si="37"/>
        <v>0.99151382655930587</v>
      </c>
      <c r="M48" s="16">
        <f t="shared" si="37"/>
        <v>0.99223492790481926</v>
      </c>
      <c r="N48" s="16">
        <f t="shared" si="37"/>
        <v>0.9865247959577077</v>
      </c>
      <c r="O48" s="16">
        <f t="shared" si="37"/>
        <v>0.98683983705959655</v>
      </c>
      <c r="P48" s="16">
        <f t="shared" si="37"/>
        <v>0.98953114490138516</v>
      </c>
      <c r="Q48" s="16">
        <f t="shared" si="37"/>
        <v>0.98968917383696731</v>
      </c>
      <c r="R48" s="16">
        <f t="shared" si="37"/>
        <v>0.99141842625464649</v>
      </c>
      <c r="S48" s="16">
        <f t="shared" si="37"/>
        <v>0.99054605321008127</v>
      </c>
      <c r="T48" s="16">
        <f t="shared" si="37"/>
        <v>0.99103018792156328</v>
      </c>
      <c r="U48" s="16">
        <f t="shared" si="37"/>
        <v>0.99093076505194178</v>
      </c>
      <c r="V48" s="16">
        <f t="shared" si="37"/>
        <v>0.96661985739092182</v>
      </c>
      <c r="W48" s="16">
        <f t="shared" ref="W48:Y48" si="38">IF(W6=0,0,W6/W$3)</f>
        <v>0.97410269054037291</v>
      </c>
      <c r="X48" s="16">
        <f t="shared" si="38"/>
        <v>0.98837448239789594</v>
      </c>
      <c r="Y48" s="16">
        <f t="shared" si="38"/>
        <v>0.9887781837639833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</v>
      </c>
      <c r="C49" s="103">
        <f t="shared" si="39"/>
        <v>0</v>
      </c>
      <c r="D49" s="103">
        <f t="shared" ref="D49:V49" si="40">IF(D7=0,0,D7/D$3)</f>
        <v>0</v>
      </c>
      <c r="E49" s="103">
        <f t="shared" si="40"/>
        <v>0</v>
      </c>
      <c r="F49" s="103">
        <f t="shared" si="40"/>
        <v>0</v>
      </c>
      <c r="G49" s="103">
        <f t="shared" si="40"/>
        <v>0</v>
      </c>
      <c r="H49" s="103">
        <f t="shared" si="40"/>
        <v>0</v>
      </c>
      <c r="I49" s="103">
        <f t="shared" si="40"/>
        <v>0</v>
      </c>
      <c r="J49" s="103">
        <f t="shared" si="40"/>
        <v>0</v>
      </c>
      <c r="K49" s="103">
        <f t="shared" si="40"/>
        <v>0</v>
      </c>
      <c r="L49" s="103">
        <f t="shared" si="40"/>
        <v>0</v>
      </c>
      <c r="M49" s="103">
        <f t="shared" si="40"/>
        <v>0</v>
      </c>
      <c r="N49" s="103">
        <f t="shared" si="40"/>
        <v>0</v>
      </c>
      <c r="O49" s="103">
        <f t="shared" si="40"/>
        <v>0</v>
      </c>
      <c r="P49" s="103">
        <f t="shared" si="40"/>
        <v>0</v>
      </c>
      <c r="Q49" s="103">
        <f t="shared" si="40"/>
        <v>0</v>
      </c>
      <c r="R49" s="103">
        <f t="shared" si="40"/>
        <v>0</v>
      </c>
      <c r="S49" s="103">
        <f t="shared" si="40"/>
        <v>0</v>
      </c>
      <c r="T49" s="103">
        <f t="shared" si="40"/>
        <v>0</v>
      </c>
      <c r="U49" s="103">
        <f t="shared" si="40"/>
        <v>0</v>
      </c>
      <c r="V49" s="103">
        <f t="shared" si="40"/>
        <v>0</v>
      </c>
      <c r="W49" s="103">
        <f t="shared" ref="W49:Y49" si="41">IF(W7=0,0,W7/W$3)</f>
        <v>0</v>
      </c>
      <c r="X49" s="103">
        <f t="shared" si="41"/>
        <v>0</v>
      </c>
      <c r="Y49" s="103">
        <f t="shared" si="41"/>
        <v>0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0.8297724860144976</v>
      </c>
      <c r="C50" s="103">
        <f t="shared" si="42"/>
        <v>0.83362864867268582</v>
      </c>
      <c r="D50" s="103">
        <f t="shared" ref="D50:V50" si="43">IF(D8=0,0,D8/D$3)</f>
        <v>0.83242064437031649</v>
      </c>
      <c r="E50" s="103">
        <f t="shared" si="43"/>
        <v>0.84025597399220131</v>
      </c>
      <c r="F50" s="103">
        <f t="shared" si="43"/>
        <v>0.84003460926050522</v>
      </c>
      <c r="G50" s="103">
        <f t="shared" si="43"/>
        <v>0.86063608337599062</v>
      </c>
      <c r="H50" s="103">
        <f t="shared" si="43"/>
        <v>0.86625370272195268</v>
      </c>
      <c r="I50" s="103">
        <f t="shared" si="43"/>
        <v>0.86846682564796152</v>
      </c>
      <c r="J50" s="103">
        <f t="shared" si="43"/>
        <v>0.86925121240128345</v>
      </c>
      <c r="K50" s="103">
        <f t="shared" si="43"/>
        <v>0.85199965567414693</v>
      </c>
      <c r="L50" s="103">
        <f t="shared" si="43"/>
        <v>0.86485987392540642</v>
      </c>
      <c r="M50" s="103">
        <f t="shared" si="43"/>
        <v>0.8707628158554781</v>
      </c>
      <c r="N50" s="103">
        <f t="shared" si="43"/>
        <v>0.87704785518107808</v>
      </c>
      <c r="O50" s="103">
        <f t="shared" si="43"/>
        <v>0.87992200961961442</v>
      </c>
      <c r="P50" s="103">
        <f t="shared" si="43"/>
        <v>0.88290099032788549</v>
      </c>
      <c r="Q50" s="103">
        <f t="shared" si="43"/>
        <v>0.88800894227337024</v>
      </c>
      <c r="R50" s="103">
        <f t="shared" si="43"/>
        <v>0.8996562356217942</v>
      </c>
      <c r="S50" s="103">
        <f t="shared" si="43"/>
        <v>0.90108172569976897</v>
      </c>
      <c r="T50" s="103">
        <f t="shared" si="43"/>
        <v>0.90518321890957687</v>
      </c>
      <c r="U50" s="103">
        <f t="shared" si="43"/>
        <v>0.9034550324393994</v>
      </c>
      <c r="V50" s="103">
        <f t="shared" si="43"/>
        <v>0.84609683231880395</v>
      </c>
      <c r="W50" s="103">
        <f t="shared" ref="W50:Y50" si="44">IF(W8=0,0,W8/W$3)</f>
        <v>0.86568151108647773</v>
      </c>
      <c r="X50" s="103">
        <f t="shared" si="44"/>
        <v>0.90670388467943752</v>
      </c>
      <c r="Y50" s="103">
        <f t="shared" si="44"/>
        <v>0.8986981021172975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0.14944910217701848</v>
      </c>
      <c r="C51" s="103">
        <f t="shared" si="45"/>
        <v>0.15018937928623657</v>
      </c>
      <c r="D51" s="103">
        <f t="shared" ref="D51:V51" si="46">IF(D9=0,0,D9/D$3)</f>
        <v>0.14996368544302061</v>
      </c>
      <c r="E51" s="103">
        <f t="shared" si="46"/>
        <v>0.15123449059890817</v>
      </c>
      <c r="F51" s="103">
        <f t="shared" si="46"/>
        <v>0.15125448501531791</v>
      </c>
      <c r="G51" s="103">
        <f t="shared" si="46"/>
        <v>0.1313963767565493</v>
      </c>
      <c r="H51" s="103">
        <f t="shared" si="46"/>
        <v>0.12346274740420257</v>
      </c>
      <c r="I51" s="103">
        <f t="shared" si="46"/>
        <v>0.12109680067286331</v>
      </c>
      <c r="J51" s="103">
        <f t="shared" si="46"/>
        <v>0.1217171468969534</v>
      </c>
      <c r="K51" s="103">
        <f t="shared" si="46"/>
        <v>0.13952399257219186</v>
      </c>
      <c r="L51" s="103">
        <f t="shared" si="46"/>
        <v>0.12665395263389942</v>
      </c>
      <c r="M51" s="103">
        <f t="shared" si="46"/>
        <v>0.12147211204934107</v>
      </c>
      <c r="N51" s="103">
        <f t="shared" si="46"/>
        <v>0.10947694077662956</v>
      </c>
      <c r="O51" s="103">
        <f t="shared" si="46"/>
        <v>0.10691782743998203</v>
      </c>
      <c r="P51" s="103">
        <f t="shared" si="46"/>
        <v>0.1066301545734996</v>
      </c>
      <c r="Q51" s="103">
        <f t="shared" si="46"/>
        <v>0.10168023156359705</v>
      </c>
      <c r="R51" s="103">
        <f t="shared" si="46"/>
        <v>9.1762190632852375E-2</v>
      </c>
      <c r="S51" s="103">
        <f t="shared" si="46"/>
        <v>8.9464327510312219E-2</v>
      </c>
      <c r="T51" s="103">
        <f t="shared" si="46"/>
        <v>8.5846969011986518E-2</v>
      </c>
      <c r="U51" s="103">
        <f t="shared" si="46"/>
        <v>8.7475732612542462E-2</v>
      </c>
      <c r="V51" s="103">
        <f t="shared" si="46"/>
        <v>0.12052302507211793</v>
      </c>
      <c r="W51" s="103">
        <f t="shared" ref="W51:Y51" si="47">IF(W9=0,0,W9/W$3)</f>
        <v>0.10842117945389505</v>
      </c>
      <c r="X51" s="103">
        <f t="shared" si="47"/>
        <v>8.1670597718458415E-2</v>
      </c>
      <c r="Y51" s="103">
        <f t="shared" si="47"/>
        <v>9.0080081646685836E-2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2.0778411808483832E-2</v>
      </c>
      <c r="C52" s="17">
        <f t="shared" si="48"/>
        <v>1.6181972041077564E-2</v>
      </c>
      <c r="D52" s="17">
        <f t="shared" ref="D52:V52" si="49">IF(D10=0,0,D10/D$3)</f>
        <v>1.7615670186662817E-2</v>
      </c>
      <c r="E52" s="17">
        <f t="shared" si="49"/>
        <v>8.5095354088905676E-3</v>
      </c>
      <c r="F52" s="17">
        <f t="shared" si="49"/>
        <v>8.7109057241769525E-3</v>
      </c>
      <c r="G52" s="17">
        <f t="shared" si="49"/>
        <v>7.9675398674600734E-3</v>
      </c>
      <c r="H52" s="17">
        <f t="shared" si="49"/>
        <v>1.0283549873844835E-2</v>
      </c>
      <c r="I52" s="17">
        <f t="shared" si="49"/>
        <v>1.0436373679175263E-2</v>
      </c>
      <c r="J52" s="17">
        <f t="shared" si="49"/>
        <v>9.0316407017630492E-3</v>
      </c>
      <c r="K52" s="17">
        <f t="shared" si="49"/>
        <v>8.4763517536610832E-3</v>
      </c>
      <c r="L52" s="17">
        <f t="shared" si="49"/>
        <v>8.4861734406941024E-3</v>
      </c>
      <c r="M52" s="17">
        <f t="shared" si="49"/>
        <v>7.765072095180757E-3</v>
      </c>
      <c r="N52" s="17">
        <f t="shared" si="49"/>
        <v>1.3475204042292284E-2</v>
      </c>
      <c r="O52" s="17">
        <f t="shared" si="49"/>
        <v>1.3160162940403494E-2</v>
      </c>
      <c r="P52" s="17">
        <f t="shared" si="49"/>
        <v>1.0468855098614924E-2</v>
      </c>
      <c r="Q52" s="17">
        <f t="shared" si="49"/>
        <v>1.0310826163032765E-2</v>
      </c>
      <c r="R52" s="17">
        <f t="shared" si="49"/>
        <v>8.5815737453534668E-3</v>
      </c>
      <c r="S52" s="17">
        <f t="shared" si="49"/>
        <v>9.4539467899187411E-3</v>
      </c>
      <c r="T52" s="17">
        <f t="shared" si="49"/>
        <v>8.9698120784367247E-3</v>
      </c>
      <c r="U52" s="17">
        <f t="shared" si="49"/>
        <v>9.0692349480582489E-3</v>
      </c>
      <c r="V52" s="17">
        <f t="shared" si="49"/>
        <v>3.3380142609078074E-2</v>
      </c>
      <c r="W52" s="17">
        <f t="shared" ref="W52:Y52" si="50">IF(W10=0,0,W10/W$3)</f>
        <v>2.589730945962718E-2</v>
      </c>
      <c r="X52" s="17">
        <f t="shared" si="50"/>
        <v>1.1625517602104065E-2</v>
      </c>
      <c r="Y52" s="17">
        <f t="shared" si="50"/>
        <v>1.1221816236016769E-2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0</v>
      </c>
      <c r="C53" s="104">
        <f t="shared" si="51"/>
        <v>0</v>
      </c>
      <c r="D53" s="104">
        <f t="shared" ref="D53:V53" si="52">IF(D11=0,0,D11/D$3)</f>
        <v>0</v>
      </c>
      <c r="E53" s="104">
        <f t="shared" si="52"/>
        <v>0</v>
      </c>
      <c r="F53" s="104">
        <f t="shared" si="52"/>
        <v>0</v>
      </c>
      <c r="G53" s="104">
        <f t="shared" si="52"/>
        <v>0</v>
      </c>
      <c r="H53" s="104">
        <f t="shared" si="52"/>
        <v>0</v>
      </c>
      <c r="I53" s="104">
        <f t="shared" si="52"/>
        <v>0</v>
      </c>
      <c r="J53" s="104">
        <f t="shared" si="52"/>
        <v>0</v>
      </c>
      <c r="K53" s="104">
        <f t="shared" si="52"/>
        <v>0</v>
      </c>
      <c r="L53" s="104">
        <f t="shared" si="52"/>
        <v>0</v>
      </c>
      <c r="M53" s="104">
        <f t="shared" si="52"/>
        <v>0</v>
      </c>
      <c r="N53" s="104">
        <f t="shared" si="52"/>
        <v>0</v>
      </c>
      <c r="O53" s="104">
        <f t="shared" si="52"/>
        <v>0</v>
      </c>
      <c r="P53" s="104">
        <f t="shared" si="52"/>
        <v>0</v>
      </c>
      <c r="Q53" s="104">
        <f t="shared" si="52"/>
        <v>0</v>
      </c>
      <c r="R53" s="104">
        <f t="shared" si="52"/>
        <v>0</v>
      </c>
      <c r="S53" s="104">
        <f t="shared" si="52"/>
        <v>0</v>
      </c>
      <c r="T53" s="104">
        <f t="shared" si="52"/>
        <v>0</v>
      </c>
      <c r="U53" s="104">
        <f t="shared" si="52"/>
        <v>0</v>
      </c>
      <c r="V53" s="104">
        <f t="shared" si="52"/>
        <v>0</v>
      </c>
      <c r="W53" s="104">
        <f t="shared" ref="W53:Y53" si="53">IF(W11=0,0,W11/W$3)</f>
        <v>0</v>
      </c>
      <c r="X53" s="104">
        <f t="shared" si="53"/>
        <v>0</v>
      </c>
      <c r="Y53" s="104">
        <f t="shared" si="53"/>
        <v>0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2.0379515021645762E-2</v>
      </c>
      <c r="C54" s="104">
        <f t="shared" si="54"/>
        <v>1.5877182108370021E-2</v>
      </c>
      <c r="D54" s="104">
        <f t="shared" ref="D54:V54" si="55">IF(D12=0,0,D12/D$3)</f>
        <v>1.7277490623170386E-2</v>
      </c>
      <c r="E54" s="104">
        <f t="shared" si="55"/>
        <v>8.2117743702829014E-3</v>
      </c>
      <c r="F54" s="104">
        <f t="shared" si="55"/>
        <v>8.3629581968234588E-3</v>
      </c>
      <c r="G54" s="104">
        <f t="shared" si="55"/>
        <v>7.6049859619134619E-3</v>
      </c>
      <c r="H54" s="104">
        <f t="shared" si="55"/>
        <v>9.5357762409473985E-3</v>
      </c>
      <c r="I54" s="104">
        <f t="shared" si="55"/>
        <v>9.311913179633164E-3</v>
      </c>
      <c r="J54" s="104">
        <f t="shared" si="55"/>
        <v>8.4309545647634626E-3</v>
      </c>
      <c r="K54" s="104">
        <f t="shared" si="55"/>
        <v>8.3232548994229272E-3</v>
      </c>
      <c r="L54" s="104">
        <f t="shared" si="55"/>
        <v>8.2683938695162721E-3</v>
      </c>
      <c r="M54" s="104">
        <f t="shared" si="55"/>
        <v>7.3991012759684451E-3</v>
      </c>
      <c r="N54" s="104">
        <f t="shared" si="55"/>
        <v>6.5788790921407127E-3</v>
      </c>
      <c r="O54" s="104">
        <f t="shared" si="55"/>
        <v>1.0337226791280638E-2</v>
      </c>
      <c r="P54" s="104">
        <f t="shared" si="55"/>
        <v>9.3081002300937823E-3</v>
      </c>
      <c r="Q54" s="104">
        <f t="shared" si="55"/>
        <v>9.317309274771186E-3</v>
      </c>
      <c r="R54" s="104">
        <f t="shared" si="55"/>
        <v>8.024456940461085E-3</v>
      </c>
      <c r="S54" s="104">
        <f t="shared" si="55"/>
        <v>9.1926832564679095E-3</v>
      </c>
      <c r="T54" s="104">
        <f t="shared" si="55"/>
        <v>8.6087651052768749E-3</v>
      </c>
      <c r="U54" s="104">
        <f t="shared" si="55"/>
        <v>8.6420244980067885E-3</v>
      </c>
      <c r="V54" s="104">
        <f t="shared" si="55"/>
        <v>3.0964220747815796E-2</v>
      </c>
      <c r="W54" s="104">
        <f t="shared" ref="W54:Y54" si="56">IF(W12=0,0,W12/W$3)</f>
        <v>2.4176531679704457E-2</v>
      </c>
      <c r="X54" s="104">
        <f t="shared" si="56"/>
        <v>1.0644295182590552E-2</v>
      </c>
      <c r="Y54" s="104">
        <f t="shared" si="56"/>
        <v>1.020877431924181E-2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3.9889678683807043E-4</v>
      </c>
      <c r="C55" s="105">
        <f t="shared" si="57"/>
        <v>3.04789932707541E-4</v>
      </c>
      <c r="D55" s="105">
        <f t="shared" ref="D55:V55" si="58">IF(D13=0,0,D13/D$3)</f>
        <v>3.3817956349242885E-4</v>
      </c>
      <c r="E55" s="105">
        <f t="shared" si="58"/>
        <v>2.9776103860766672E-4</v>
      </c>
      <c r="F55" s="105">
        <f t="shared" si="58"/>
        <v>3.4794752735349343E-4</v>
      </c>
      <c r="G55" s="105">
        <f t="shared" si="58"/>
        <v>3.6255390554661013E-4</v>
      </c>
      <c r="H55" s="105">
        <f t="shared" si="58"/>
        <v>7.4777363289743712E-4</v>
      </c>
      <c r="I55" s="105">
        <f t="shared" si="58"/>
        <v>1.1244604995420996E-3</v>
      </c>
      <c r="J55" s="105">
        <f t="shared" si="58"/>
        <v>6.0068613699958693E-4</v>
      </c>
      <c r="K55" s="105">
        <f t="shared" si="58"/>
        <v>1.5309685423815599E-4</v>
      </c>
      <c r="L55" s="105">
        <f t="shared" si="58"/>
        <v>2.1777957117783016E-4</v>
      </c>
      <c r="M55" s="105">
        <f t="shared" si="58"/>
        <v>3.6597081921231162E-4</v>
      </c>
      <c r="N55" s="105">
        <f t="shared" si="58"/>
        <v>6.89632495015157E-3</v>
      </c>
      <c r="O55" s="105">
        <f t="shared" si="58"/>
        <v>2.8229361491228571E-3</v>
      </c>
      <c r="P55" s="105">
        <f t="shared" si="58"/>
        <v>1.1607548685211406E-3</v>
      </c>
      <c r="Q55" s="105">
        <f t="shared" si="58"/>
        <v>9.9351688826158002E-4</v>
      </c>
      <c r="R55" s="105">
        <f t="shared" si="58"/>
        <v>5.5711680489238177E-4</v>
      </c>
      <c r="S55" s="105">
        <f t="shared" si="58"/>
        <v>2.6126353345083084E-4</v>
      </c>
      <c r="T55" s="105">
        <f t="shared" si="58"/>
        <v>3.6104697315985171E-4</v>
      </c>
      <c r="U55" s="105">
        <f t="shared" si="58"/>
        <v>4.2721045005146108E-4</v>
      </c>
      <c r="V55" s="105">
        <f t="shared" si="58"/>
        <v>2.4159218612622795E-3</v>
      </c>
      <c r="W55" s="105">
        <f t="shared" ref="W55:Y55" si="59">IF(W13=0,0,W13/W$3)</f>
        <v>1.7207777799227233E-3</v>
      </c>
      <c r="X55" s="105">
        <f t="shared" si="59"/>
        <v>9.8122241951351086E-4</v>
      </c>
      <c r="Y55" s="105">
        <f t="shared" si="59"/>
        <v>1.0130419167749581E-3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340.45633247004986</v>
      </c>
      <c r="C57" s="62">
        <v>340.36822707311649</v>
      </c>
      <c r="D57" s="62">
        <v>340.39205765186443</v>
      </c>
      <c r="E57" s="62">
        <v>340.18580136290399</v>
      </c>
      <c r="F57" s="62">
        <v>340.19254811589155</v>
      </c>
      <c r="G57" s="62">
        <v>335.51129975565158</v>
      </c>
      <c r="H57" s="62">
        <v>341.53781939608257</v>
      </c>
      <c r="I57" s="62">
        <v>345.50030524569274</v>
      </c>
      <c r="J57" s="62">
        <v>339.24139433300513</v>
      </c>
      <c r="K57" s="62">
        <v>366.18160825752557</v>
      </c>
      <c r="L57" s="62">
        <v>360.06417826375377</v>
      </c>
      <c r="M57" s="62">
        <v>356.60651798261841</v>
      </c>
      <c r="N57" s="62">
        <v>350.60579402594459</v>
      </c>
      <c r="O57" s="62">
        <v>345.92313978630017</v>
      </c>
      <c r="P57" s="62">
        <v>346.891887266303</v>
      </c>
      <c r="Q57" s="62">
        <v>347.23435786236632</v>
      </c>
      <c r="R57" s="62">
        <v>348.84299194860273</v>
      </c>
      <c r="S57" s="62">
        <v>350.97777502100286</v>
      </c>
      <c r="T57" s="62">
        <v>352.60304686592792</v>
      </c>
      <c r="U57" s="62">
        <v>350.99198563641369</v>
      </c>
      <c r="V57" s="62">
        <v>361.08292815422379</v>
      </c>
      <c r="W57" s="62">
        <v>349.44262455809519</v>
      </c>
      <c r="X57" s="62">
        <v>348.28170935474935</v>
      </c>
      <c r="Y57" s="62">
        <v>350.9004758753257</v>
      </c>
      <c r="DA57" s="172" t="s">
        <v>314</v>
      </c>
    </row>
    <row r="58" spans="1:105" ht="11.45" customHeight="1" x14ac:dyDescent="0.25">
      <c r="A58" s="10" t="s">
        <v>33</v>
      </c>
      <c r="B58" s="14">
        <v>340.00782411652739</v>
      </c>
      <c r="C58" s="14">
        <v>340.01233302506614</v>
      </c>
      <c r="D58" s="14">
        <v>340.01214783449478</v>
      </c>
      <c r="E58" s="14">
        <v>340.0099907988515</v>
      </c>
      <c r="F58" s="14">
        <v>340.01212673363779</v>
      </c>
      <c r="G58" s="14">
        <v>335.35194506104875</v>
      </c>
      <c r="H58" s="14">
        <v>341.44990284293141</v>
      </c>
      <c r="I58" s="14">
        <v>345.46529107720283</v>
      </c>
      <c r="J58" s="14">
        <v>339.23591845150537</v>
      </c>
      <c r="K58" s="14">
        <v>366.03531845914267</v>
      </c>
      <c r="L58" s="14">
        <v>360.11355240665978</v>
      </c>
      <c r="M58" s="14">
        <v>356.49464234200883</v>
      </c>
      <c r="N58" s="14">
        <v>349.75552535035149</v>
      </c>
      <c r="O58" s="14">
        <v>345.38958638830991</v>
      </c>
      <c r="P58" s="14">
        <v>346.56807381953814</v>
      </c>
      <c r="Q58" s="14">
        <v>346.93161660900267</v>
      </c>
      <c r="R58" s="14">
        <v>348.52329620699771</v>
      </c>
      <c r="S58" s="14">
        <v>350.54274630930894</v>
      </c>
      <c r="T58" s="14">
        <v>352.18013773159208</v>
      </c>
      <c r="U58" s="14">
        <v>350.54061555999237</v>
      </c>
      <c r="V58" s="14">
        <v>360.08468971180474</v>
      </c>
      <c r="W58" s="14">
        <v>348.64149277925821</v>
      </c>
      <c r="X58" s="14">
        <v>348.24515515037717</v>
      </c>
      <c r="Y58" s="14">
        <v>350.81564721476275</v>
      </c>
      <c r="DA58" s="189" t="s">
        <v>315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X59" s="87">
        <v>0</v>
      </c>
      <c r="Y59" s="87">
        <v>0</v>
      </c>
      <c r="DA59" s="171" t="s">
        <v>316</v>
      </c>
    </row>
    <row r="60" spans="1:105" ht="11.45" customHeight="1" x14ac:dyDescent="0.25">
      <c r="A60" s="83" t="s">
        <v>181</v>
      </c>
      <c r="B60" s="87">
        <v>332.28083521777768</v>
      </c>
      <c r="C60" s="87">
        <v>332.28446676840252</v>
      </c>
      <c r="D60" s="87">
        <v>332.28464565343984</v>
      </c>
      <c r="E60" s="87">
        <v>332.28962126670581</v>
      </c>
      <c r="F60" s="87">
        <v>332.28917994909114</v>
      </c>
      <c r="G60" s="87">
        <v>327.9853614984284</v>
      </c>
      <c r="H60" s="87">
        <v>330.24964454993045</v>
      </c>
      <c r="I60" s="87">
        <v>330.82031255799234</v>
      </c>
      <c r="J60" s="87">
        <v>335.14120178754058</v>
      </c>
      <c r="K60" s="87">
        <v>365.08308447795235</v>
      </c>
      <c r="L60" s="87">
        <v>355.56395530133301</v>
      </c>
      <c r="M60" s="87">
        <v>353.39382922446271</v>
      </c>
      <c r="N60" s="87">
        <v>346.78202854699373</v>
      </c>
      <c r="O60" s="87">
        <v>342.04540565487184</v>
      </c>
      <c r="P60" s="87">
        <v>341.91346796831971</v>
      </c>
      <c r="Q60" s="87">
        <v>340.67948720117192</v>
      </c>
      <c r="R60" s="87">
        <v>340.93262766920611</v>
      </c>
      <c r="S60" s="87">
        <v>342.75079650959896</v>
      </c>
      <c r="T60" s="87">
        <v>342.50811325437229</v>
      </c>
      <c r="U60" s="87">
        <v>342.71486730848585</v>
      </c>
      <c r="V60" s="87">
        <v>337.22437882018687</v>
      </c>
      <c r="W60" s="87">
        <v>339.93960400139258</v>
      </c>
      <c r="X60" s="87">
        <v>341.22647776895781</v>
      </c>
      <c r="Y60" s="87">
        <v>343.97143817416031</v>
      </c>
      <c r="DA60" s="171" t="s">
        <v>317</v>
      </c>
    </row>
    <row r="61" spans="1:105" ht="11.45" customHeight="1" x14ac:dyDescent="0.25">
      <c r="A61" s="83" t="s">
        <v>182</v>
      </c>
      <c r="B61" s="87">
        <v>367.59016193558483</v>
      </c>
      <c r="C61" s="87">
        <v>367.59016193558483</v>
      </c>
      <c r="D61" s="87">
        <v>367.59016193558483</v>
      </c>
      <c r="E61" s="87">
        <v>367.59016193558483</v>
      </c>
      <c r="F61" s="87">
        <v>367.59016193558489</v>
      </c>
      <c r="G61" s="87">
        <v>366.60189088977114</v>
      </c>
      <c r="H61" s="87">
        <v>382.89257539266004</v>
      </c>
      <c r="I61" s="87">
        <v>396.86959039106006</v>
      </c>
      <c r="J61" s="87">
        <v>356.50641659302005</v>
      </c>
      <c r="K61" s="87">
        <v>369.51776478046838</v>
      </c>
      <c r="L61" s="87">
        <v>382.65631682988158</v>
      </c>
      <c r="M61" s="87">
        <v>373.97447379337285</v>
      </c>
      <c r="N61" s="87">
        <v>367.05275007997341</v>
      </c>
      <c r="O61" s="87">
        <v>364.62788990313419</v>
      </c>
      <c r="P61" s="87">
        <v>368.99533241235378</v>
      </c>
      <c r="Q61" s="87">
        <v>376.43489790558442</v>
      </c>
      <c r="R61" s="87">
        <v>385.69119224006874</v>
      </c>
      <c r="S61" s="87">
        <v>385.29993691785904</v>
      </c>
      <c r="T61" s="87">
        <v>387.92759416743286</v>
      </c>
      <c r="U61" s="87">
        <v>374.76835535760688</v>
      </c>
      <c r="V61" s="87">
        <v>468.65120328075534</v>
      </c>
      <c r="W61" s="87">
        <v>374.89697125476971</v>
      </c>
      <c r="X61" s="87">
        <v>374.61871818780691</v>
      </c>
      <c r="Y61" s="87">
        <v>372.78005451364766</v>
      </c>
      <c r="DA61" s="171" t="s">
        <v>318</v>
      </c>
    </row>
    <row r="62" spans="1:105" ht="11.45" customHeight="1" x14ac:dyDescent="0.25">
      <c r="A62" s="12" t="s">
        <v>34</v>
      </c>
      <c r="B62" s="15">
        <v>367.25870010362138</v>
      </c>
      <c r="C62" s="15">
        <v>367.78793226024811</v>
      </c>
      <c r="D62" s="15">
        <v>367.25870010362138</v>
      </c>
      <c r="E62" s="15">
        <v>365.59438030659589</v>
      </c>
      <c r="F62" s="15">
        <v>365.49552972967854</v>
      </c>
      <c r="G62" s="15">
        <v>359.23853775672382</v>
      </c>
      <c r="H62" s="15">
        <v>351.18130626117005</v>
      </c>
      <c r="I62" s="15">
        <v>349.00992105621879</v>
      </c>
      <c r="J62" s="15">
        <v>339.92600742172192</v>
      </c>
      <c r="K62" s="15">
        <v>383.74056942374523</v>
      </c>
      <c r="L62" s="15">
        <v>355.11616329147597</v>
      </c>
      <c r="M62" s="15">
        <v>368.61573025421865</v>
      </c>
      <c r="N62" s="15">
        <v>401.15089017677394</v>
      </c>
      <c r="O62" s="15">
        <v>377.91801644352853</v>
      </c>
      <c r="P62" s="15">
        <v>370.84583509371458</v>
      </c>
      <c r="Q62" s="15">
        <v>369.72095199420534</v>
      </c>
      <c r="R62" s="15">
        <v>377.99495145358009</v>
      </c>
      <c r="S62" s="15">
        <v>388.94458717795612</v>
      </c>
      <c r="T62" s="15">
        <v>389.4338875663442</v>
      </c>
      <c r="U62" s="15">
        <v>389.98531166257806</v>
      </c>
      <c r="V62" s="15">
        <v>389.60653185260435</v>
      </c>
      <c r="W62" s="15">
        <v>379.93163562172663</v>
      </c>
      <c r="X62" s="15">
        <v>350.63498206554408</v>
      </c>
      <c r="Y62" s="15">
        <v>356.51478535959029</v>
      </c>
      <c r="DA62" s="193" t="s">
        <v>319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DA63" s="175" t="s">
        <v>320</v>
      </c>
    </row>
    <row r="64" spans="1:105" ht="11.45" customHeight="1" x14ac:dyDescent="0.25">
      <c r="A64" s="92" t="s">
        <v>181</v>
      </c>
      <c r="B64" s="101">
        <v>369.00637571343032</v>
      </c>
      <c r="C64" s="101">
        <v>369.52343629412422</v>
      </c>
      <c r="D64" s="101">
        <v>369.00637571343032</v>
      </c>
      <c r="E64" s="101">
        <v>368.68543327076287</v>
      </c>
      <c r="F64" s="101">
        <v>369.03165757264208</v>
      </c>
      <c r="G64" s="101">
        <v>362.56213435011159</v>
      </c>
      <c r="H64" s="101">
        <v>349.81954470366497</v>
      </c>
      <c r="I64" s="101">
        <v>336.53097682462283</v>
      </c>
      <c r="J64" s="101">
        <v>332.60385541094996</v>
      </c>
      <c r="K64" s="101">
        <v>382.94276851607395</v>
      </c>
      <c r="L64" s="101">
        <v>352.8396432489464</v>
      </c>
      <c r="M64" s="101">
        <v>366.26458923227096</v>
      </c>
      <c r="N64" s="101">
        <v>376.05012080871552</v>
      </c>
      <c r="O64" s="101">
        <v>368.75784090310862</v>
      </c>
      <c r="P64" s="101">
        <v>367.7152182902621</v>
      </c>
      <c r="Q64" s="101">
        <v>369.24834299272436</v>
      </c>
      <c r="R64" s="101">
        <v>379.78394731922418</v>
      </c>
      <c r="S64" s="101">
        <v>390.47043528373996</v>
      </c>
      <c r="T64" s="101">
        <v>392.20654853084716</v>
      </c>
      <c r="U64" s="101">
        <v>399.19599488940491</v>
      </c>
      <c r="V64" s="101">
        <v>406.2719855761531</v>
      </c>
      <c r="W64" s="101">
        <v>385.08309692459329</v>
      </c>
      <c r="X64" s="101">
        <v>358.41954799559556</v>
      </c>
      <c r="Y64" s="101">
        <v>351.52771787869415</v>
      </c>
      <c r="DA64" s="175" t="s">
        <v>321</v>
      </c>
    </row>
    <row r="65" spans="1:105" ht="11.45" customHeight="1" x14ac:dyDescent="0.25">
      <c r="A65" s="85" t="s">
        <v>182</v>
      </c>
      <c r="B65" s="88">
        <v>328.71035695170355</v>
      </c>
      <c r="C65" s="88">
        <v>328.71035695170355</v>
      </c>
      <c r="D65" s="88">
        <v>328.71035695170355</v>
      </c>
      <c r="E65" s="88">
        <v>328.71035695170355</v>
      </c>
      <c r="F65" s="88">
        <v>328.71035695170355</v>
      </c>
      <c r="G65" s="88">
        <v>328.37506426159149</v>
      </c>
      <c r="H65" s="88">
        <v>357.92491643782307</v>
      </c>
      <c r="I65" s="88">
        <v>390.0124041705966</v>
      </c>
      <c r="J65" s="88">
        <v>394.22915507498453</v>
      </c>
      <c r="K65" s="88">
        <v>411.19592731778619</v>
      </c>
      <c r="L65" s="88">
        <v>432.94960988398907</v>
      </c>
      <c r="M65" s="88">
        <v>414.38355177199196</v>
      </c>
      <c r="N65" s="88">
        <v>423.50039182706104</v>
      </c>
      <c r="O65" s="88">
        <v>408.11336843447805</v>
      </c>
      <c r="P65" s="88">
        <v>389.18672498979527</v>
      </c>
      <c r="Q65" s="88">
        <v>372.56560972000852</v>
      </c>
      <c r="R65" s="88">
        <v>363.61660732138154</v>
      </c>
      <c r="S65" s="88">
        <v>362.7682705822395</v>
      </c>
      <c r="T65" s="88">
        <v>362.32466463032245</v>
      </c>
      <c r="U65" s="88">
        <v>328.62721660058673</v>
      </c>
      <c r="V65" s="88">
        <v>307.49308505061725</v>
      </c>
      <c r="W65" s="88">
        <v>355.81712110345029</v>
      </c>
      <c r="X65" s="88">
        <v>321.44157421694644</v>
      </c>
      <c r="Y65" s="88">
        <v>377.21199400903589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0.68537932128762213</v>
      </c>
      <c r="C67" s="59">
        <f t="shared" ref="C67:W67" si="61">IF(C3=0,0,C17/C57)</f>
        <v>0.68739158814621171</v>
      </c>
      <c r="D67" s="59">
        <f t="shared" si="61"/>
        <v>0.68578790244842769</v>
      </c>
      <c r="E67" s="59">
        <f t="shared" si="61"/>
        <v>0.69055431399646117</v>
      </c>
      <c r="F67" s="59">
        <f t="shared" si="61"/>
        <v>0.68968519833026576</v>
      </c>
      <c r="G67" s="59">
        <f t="shared" si="61"/>
        <v>0.71067202577292188</v>
      </c>
      <c r="H67" s="59">
        <f t="shared" si="61"/>
        <v>0.73741327254752231</v>
      </c>
      <c r="I67" s="59">
        <f t="shared" si="61"/>
        <v>0.82435052340575143</v>
      </c>
      <c r="J67" s="59">
        <f t="shared" si="61"/>
        <v>0.94888487376647646</v>
      </c>
      <c r="K67" s="59">
        <f t="shared" si="61"/>
        <v>0.75042891934348388</v>
      </c>
      <c r="L67" s="59">
        <f t="shared" si="61"/>
        <v>0.80940341468481636</v>
      </c>
      <c r="M67" s="59">
        <f t="shared" si="61"/>
        <v>0.88556810229051575</v>
      </c>
      <c r="N67" s="59">
        <f t="shared" si="61"/>
        <v>0.91676690803829386</v>
      </c>
      <c r="O67" s="59">
        <f t="shared" si="61"/>
        <v>0.98728712428059817</v>
      </c>
      <c r="P67" s="59">
        <f t="shared" si="61"/>
        <v>0.95646616938748519</v>
      </c>
      <c r="Q67" s="59">
        <f t="shared" si="61"/>
        <v>0.94047804570338989</v>
      </c>
      <c r="R67" s="59">
        <f t="shared" si="61"/>
        <v>1.0324908631528475</v>
      </c>
      <c r="S67" s="59">
        <f t="shared" si="61"/>
        <v>1.0653569097813835</v>
      </c>
      <c r="T67" s="59">
        <f t="shared" si="61"/>
        <v>1.0945387663332133</v>
      </c>
      <c r="U67" s="59">
        <f t="shared" si="61"/>
        <v>1.0517232958660145</v>
      </c>
      <c r="V67" s="59">
        <f t="shared" si="61"/>
        <v>1.1064533861415413</v>
      </c>
      <c r="W67" s="59">
        <f t="shared" si="61"/>
        <v>0.95765705626204423</v>
      </c>
      <c r="X67" s="59">
        <f t="shared" ref="X67:Y67" si="62">IF(X3=0,0,X17/X57)</f>
        <v>0.93533197511498756</v>
      </c>
      <c r="Y67" s="59">
        <f t="shared" si="62"/>
        <v>0.89944743017224749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0.68326911387504807</v>
      </c>
      <c r="C68" s="23">
        <f t="shared" ref="C68:W68" si="64">IF(C6=0,0,C18/C58)</f>
        <v>0.68576290370920057</v>
      </c>
      <c r="D68" s="23">
        <f t="shared" si="64"/>
        <v>0.6839973043696298</v>
      </c>
      <c r="E68" s="23">
        <f t="shared" si="64"/>
        <v>0.68977201605825977</v>
      </c>
      <c r="F68" s="23">
        <f t="shared" si="64"/>
        <v>0.68891770414997089</v>
      </c>
      <c r="G68" s="23">
        <f t="shared" si="64"/>
        <v>0.71008190055509679</v>
      </c>
      <c r="H68" s="23">
        <f t="shared" si="64"/>
        <v>0.73667330093184646</v>
      </c>
      <c r="I68" s="23">
        <f t="shared" si="64"/>
        <v>0.82396921304175474</v>
      </c>
      <c r="J68" s="23">
        <f t="shared" si="64"/>
        <v>0.94785130002231821</v>
      </c>
      <c r="K68" s="23">
        <f t="shared" si="64"/>
        <v>0.75056696072461926</v>
      </c>
      <c r="L68" s="23">
        <f t="shared" si="64"/>
        <v>0.81043169888488131</v>
      </c>
      <c r="M68" s="23">
        <f t="shared" si="64"/>
        <v>0.88715565459185886</v>
      </c>
      <c r="N68" s="23">
        <f t="shared" si="64"/>
        <v>0.92186295868767687</v>
      </c>
      <c r="O68" s="23">
        <f t="shared" si="64"/>
        <v>0.99207198040864186</v>
      </c>
      <c r="P68" s="23">
        <f t="shared" si="64"/>
        <v>0.96014363947362213</v>
      </c>
      <c r="Q68" s="23">
        <f t="shared" si="64"/>
        <v>0.94413537718813967</v>
      </c>
      <c r="R68" s="23">
        <f t="shared" si="64"/>
        <v>1.035805397134365</v>
      </c>
      <c r="S68" s="23">
        <f t="shared" si="64"/>
        <v>1.0687013072583722</v>
      </c>
      <c r="T68" s="23">
        <f t="shared" si="64"/>
        <v>1.0984937626238491</v>
      </c>
      <c r="U68" s="23">
        <f t="shared" si="64"/>
        <v>1.0556063508567755</v>
      </c>
      <c r="V68" s="23">
        <f t="shared" si="64"/>
        <v>1.1100184417894272</v>
      </c>
      <c r="W68" s="23">
        <f t="shared" si="64"/>
        <v>0.95956802950021902</v>
      </c>
      <c r="X68" s="23">
        <f t="shared" ref="X68:Y68" si="65">IF(X6=0,0,X18/X58)</f>
        <v>0.93891673356001337</v>
      </c>
      <c r="Y68" s="23">
        <f t="shared" si="65"/>
        <v>0.90300987072282823</v>
      </c>
      <c r="DA68" s="189"/>
    </row>
    <row r="69" spans="1:105" ht="11.45" customHeight="1" x14ac:dyDescent="0.25">
      <c r="A69" s="83" t="s">
        <v>27</v>
      </c>
      <c r="B69" s="91">
        <f t="shared" si="63"/>
        <v>0</v>
      </c>
      <c r="C69" s="91">
        <f t="shared" ref="C69:W69" si="66">IF(C7=0,0,C19/C59)</f>
        <v>0</v>
      </c>
      <c r="D69" s="91">
        <f t="shared" si="66"/>
        <v>0</v>
      </c>
      <c r="E69" s="91">
        <f t="shared" si="66"/>
        <v>0</v>
      </c>
      <c r="F69" s="91">
        <f t="shared" si="66"/>
        <v>0</v>
      </c>
      <c r="G69" s="91">
        <f t="shared" si="66"/>
        <v>0</v>
      </c>
      <c r="H69" s="91">
        <f t="shared" si="66"/>
        <v>0</v>
      </c>
      <c r="I69" s="91">
        <f t="shared" si="66"/>
        <v>0</v>
      </c>
      <c r="J69" s="91">
        <f t="shared" si="66"/>
        <v>0</v>
      </c>
      <c r="K69" s="91">
        <f t="shared" si="66"/>
        <v>0</v>
      </c>
      <c r="L69" s="91">
        <f t="shared" si="66"/>
        <v>0</v>
      </c>
      <c r="M69" s="91">
        <f t="shared" si="66"/>
        <v>0</v>
      </c>
      <c r="N69" s="91">
        <f t="shared" si="66"/>
        <v>0</v>
      </c>
      <c r="O69" s="91">
        <f t="shared" si="66"/>
        <v>0</v>
      </c>
      <c r="P69" s="91">
        <f t="shared" si="66"/>
        <v>0</v>
      </c>
      <c r="Q69" s="91">
        <f t="shared" si="66"/>
        <v>0</v>
      </c>
      <c r="R69" s="91">
        <f t="shared" si="66"/>
        <v>0</v>
      </c>
      <c r="S69" s="91">
        <f t="shared" si="66"/>
        <v>0</v>
      </c>
      <c r="T69" s="91">
        <f t="shared" si="66"/>
        <v>0</v>
      </c>
      <c r="U69" s="91">
        <f t="shared" si="66"/>
        <v>0</v>
      </c>
      <c r="V69" s="91">
        <f t="shared" si="66"/>
        <v>0</v>
      </c>
      <c r="W69" s="91">
        <f t="shared" si="66"/>
        <v>0</v>
      </c>
      <c r="X69" s="91">
        <f t="shared" ref="X69:Y69" si="67">IF(X7=0,0,X19/X59)</f>
        <v>0</v>
      </c>
      <c r="Y69" s="91">
        <f t="shared" si="67"/>
        <v>0</v>
      </c>
      <c r="DA69" s="171"/>
    </row>
    <row r="70" spans="1:105" ht="11.45" customHeight="1" x14ac:dyDescent="0.25">
      <c r="A70" s="83" t="s">
        <v>181</v>
      </c>
      <c r="B70" s="91">
        <f t="shared" si="63"/>
        <v>0.7584235693339364</v>
      </c>
      <c r="C70" s="91">
        <f t="shared" ref="C70:W70" si="68">IF(C8=0,0,C20/C60)</f>
        <v>0.76120418538451406</v>
      </c>
      <c r="D70" s="91">
        <f t="shared" si="68"/>
        <v>0.7592408094051134</v>
      </c>
      <c r="E70" s="91">
        <f t="shared" si="68"/>
        <v>0.76557534788397974</v>
      </c>
      <c r="F70" s="91">
        <f t="shared" si="68"/>
        <v>0.76465559089456803</v>
      </c>
      <c r="G70" s="91">
        <f t="shared" si="68"/>
        <v>0.77834555588315679</v>
      </c>
      <c r="H70" s="91">
        <f t="shared" si="68"/>
        <v>0.84681040520437101</v>
      </c>
      <c r="I70" s="91">
        <f t="shared" si="68"/>
        <v>0.97028960251268881</v>
      </c>
      <c r="J70" s="91">
        <f t="shared" si="68"/>
        <v>1.0411232209344174</v>
      </c>
      <c r="K70" s="91">
        <f t="shared" si="68"/>
        <v>0.82344567484455644</v>
      </c>
      <c r="L70" s="91">
        <f t="shared" si="68"/>
        <v>0.86044837676204744</v>
      </c>
      <c r="M70" s="91">
        <f t="shared" si="68"/>
        <v>0.92470023226796894</v>
      </c>
      <c r="N70" s="91">
        <f t="shared" si="68"/>
        <v>0.96868467995369101</v>
      </c>
      <c r="O70" s="91">
        <f t="shared" si="68"/>
        <v>1.0485064672961057</v>
      </c>
      <c r="P70" s="91">
        <f t="shared" si="68"/>
        <v>1.048560417191821</v>
      </c>
      <c r="Q70" s="91">
        <f t="shared" si="68"/>
        <v>1.0454954246798258</v>
      </c>
      <c r="R70" s="91">
        <f t="shared" si="68"/>
        <v>1.1570954802342612</v>
      </c>
      <c r="S70" s="91">
        <f t="shared" si="68"/>
        <v>1.2171791044009075</v>
      </c>
      <c r="T70" s="91">
        <f t="shared" si="68"/>
        <v>1.3108054003870697</v>
      </c>
      <c r="U70" s="91">
        <f t="shared" si="68"/>
        <v>1.3023659080563057</v>
      </c>
      <c r="V70" s="91">
        <f t="shared" si="68"/>
        <v>1.2559384796813906</v>
      </c>
      <c r="W70" s="91">
        <f t="shared" si="68"/>
        <v>1.164461829933614</v>
      </c>
      <c r="X70" s="91">
        <f t="shared" ref="X70:Y70" si="69">IF(X8=0,0,X20/X60)</f>
        <v>1.1129871322962279</v>
      </c>
      <c r="Y70" s="91">
        <f t="shared" si="69"/>
        <v>1.09791048178923</v>
      </c>
      <c r="DA70" s="171"/>
    </row>
    <row r="71" spans="1:105" ht="11.45" customHeight="1" x14ac:dyDescent="0.25">
      <c r="A71" s="83" t="s">
        <v>182</v>
      </c>
      <c r="B71" s="91">
        <f t="shared" si="63"/>
        <v>0.44076621682485773</v>
      </c>
      <c r="C71" s="91">
        <f t="shared" ref="C71:W71" si="70">IF(C9=0,0,C21/C61)</f>
        <v>0.44239926286096315</v>
      </c>
      <c r="D71" s="91">
        <f t="shared" si="70"/>
        <v>0.44125846837254878</v>
      </c>
      <c r="E71" s="91">
        <f t="shared" si="70"/>
        <v>0.44497841531201554</v>
      </c>
      <c r="F71" s="91">
        <f t="shared" si="70"/>
        <v>0.44443632722030552</v>
      </c>
      <c r="G71" s="91">
        <f t="shared" si="70"/>
        <v>0.45100275906381032</v>
      </c>
      <c r="H71" s="91">
        <f t="shared" si="70"/>
        <v>0.38517859864467524</v>
      </c>
      <c r="I71" s="91">
        <f t="shared" si="70"/>
        <v>0.3958547520245731</v>
      </c>
      <c r="J71" s="91">
        <f t="shared" si="70"/>
        <v>0.57802959102352869</v>
      </c>
      <c r="K71" s="91">
        <f t="shared" si="70"/>
        <v>0.48723847267611359</v>
      </c>
      <c r="L71" s="91">
        <f t="shared" si="70"/>
        <v>0.58015079910618372</v>
      </c>
      <c r="M71" s="91">
        <f t="shared" si="70"/>
        <v>0.6871575528685816</v>
      </c>
      <c r="N71" s="91">
        <f t="shared" si="70"/>
        <v>0.66453650928393793</v>
      </c>
      <c r="O71" s="91">
        <f t="shared" si="70"/>
        <v>0.68752416430792473</v>
      </c>
      <c r="P71" s="91">
        <f t="shared" si="70"/>
        <v>0.56539258552017335</v>
      </c>
      <c r="Q71" s="91">
        <f t="shared" si="70"/>
        <v>0.51125761755606214</v>
      </c>
      <c r="R71" s="91">
        <f t="shared" si="70"/>
        <v>0.51082620744986895</v>
      </c>
      <c r="S71" s="91">
        <f t="shared" si="70"/>
        <v>0.47953273817301312</v>
      </c>
      <c r="T71" s="91">
        <f t="shared" si="70"/>
        <v>0.40567163566900155</v>
      </c>
      <c r="U71" s="91">
        <f t="shared" si="70"/>
        <v>0.35700239220726043</v>
      </c>
      <c r="V71" s="91">
        <f t="shared" si="70"/>
        <v>0.61136603475166962</v>
      </c>
      <c r="W71" s="91">
        <f t="shared" si="70"/>
        <v>0.39900421548922022</v>
      </c>
      <c r="X71" s="91">
        <f t="shared" ref="X71:Y71" si="71">IF(X9=0,0,X21/X61)</f>
        <v>0.34312880430654841</v>
      </c>
      <c r="Y71" s="91">
        <f t="shared" si="71"/>
        <v>0.32587257738583958</v>
      </c>
      <c r="DA71" s="171"/>
    </row>
    <row r="72" spans="1:105" ht="11.45" customHeight="1" x14ac:dyDescent="0.25">
      <c r="A72" s="12" t="s">
        <v>34</v>
      </c>
      <c r="B72" s="24">
        <f t="shared" si="63"/>
        <v>0.80212601393049521</v>
      </c>
      <c r="C72" s="24">
        <f t="shared" ref="C72:W72" si="72">IF(C10=0,0,C22/C62)</f>
        <v>0.80339645167561213</v>
      </c>
      <c r="D72" s="24">
        <f t="shared" si="72"/>
        <v>0.80302183524512527</v>
      </c>
      <c r="E72" s="24">
        <f t="shared" si="72"/>
        <v>0.79570201023575537</v>
      </c>
      <c r="F72" s="24">
        <f t="shared" si="72"/>
        <v>0.78981679060476562</v>
      </c>
      <c r="G72" s="24">
        <f t="shared" si="72"/>
        <v>0.7926966798682834</v>
      </c>
      <c r="H72" s="24">
        <f t="shared" si="72"/>
        <v>0.81633091540706182</v>
      </c>
      <c r="I72" s="24">
        <f t="shared" si="72"/>
        <v>0.8621826729694293</v>
      </c>
      <c r="J72" s="24">
        <f t="shared" si="72"/>
        <v>1.0778433999348231</v>
      </c>
      <c r="K72" s="24">
        <f t="shared" si="72"/>
        <v>0.73462447070916403</v>
      </c>
      <c r="L72" s="24">
        <f t="shared" si="72"/>
        <v>0.70490405626770281</v>
      </c>
      <c r="M72" s="24">
        <f t="shared" si="72"/>
        <v>0.72075711114992302</v>
      </c>
      <c r="N72" s="24">
        <f t="shared" si="72"/>
        <v>0.65263953806352437</v>
      </c>
      <c r="O72" s="24">
        <f t="shared" si="72"/>
        <v>0.7250567004706735</v>
      </c>
      <c r="P72" s="24">
        <f t="shared" si="72"/>
        <v>0.70223633455561829</v>
      </c>
      <c r="Q72" s="24">
        <f t="shared" si="72"/>
        <v>0.6855684298315331</v>
      </c>
      <c r="R72" s="24">
        <f t="shared" si="72"/>
        <v>0.75381510594609336</v>
      </c>
      <c r="S72" s="24">
        <f t="shared" si="72"/>
        <v>0.80229537326195399</v>
      </c>
      <c r="T72" s="24">
        <f t="shared" si="72"/>
        <v>0.78305044653972034</v>
      </c>
      <c r="U72" s="24">
        <f t="shared" si="72"/>
        <v>0.75019980495738936</v>
      </c>
      <c r="V72" s="24">
        <f t="shared" si="72"/>
        <v>1.0123045743669743</v>
      </c>
      <c r="W72" s="24">
        <f t="shared" si="72"/>
        <v>0.89091991510104307</v>
      </c>
      <c r="X72" s="24">
        <f t="shared" ref="X72:Y72" si="73">IF(X10=0,0,X22/X62)</f>
        <v>0.70612667277212471</v>
      </c>
      <c r="Y72" s="24">
        <f t="shared" si="73"/>
        <v>0.66743952903265225</v>
      </c>
      <c r="DA72" s="193"/>
    </row>
    <row r="73" spans="1:105" ht="11.45" customHeight="1" x14ac:dyDescent="0.25">
      <c r="A73" s="92" t="s">
        <v>27</v>
      </c>
      <c r="B73" s="93">
        <f t="shared" si="63"/>
        <v>0</v>
      </c>
      <c r="C73" s="93">
        <f t="shared" ref="C73:W73" si="74">IF(C11=0,0,C23/C63)</f>
        <v>0</v>
      </c>
      <c r="D73" s="93">
        <f t="shared" si="74"/>
        <v>0</v>
      </c>
      <c r="E73" s="93">
        <f t="shared" si="74"/>
        <v>0</v>
      </c>
      <c r="F73" s="93">
        <f t="shared" si="74"/>
        <v>0</v>
      </c>
      <c r="G73" s="93">
        <f t="shared" si="74"/>
        <v>0</v>
      </c>
      <c r="H73" s="93">
        <f t="shared" si="74"/>
        <v>0</v>
      </c>
      <c r="I73" s="93">
        <f t="shared" si="74"/>
        <v>0</v>
      </c>
      <c r="J73" s="93">
        <f t="shared" si="74"/>
        <v>0</v>
      </c>
      <c r="K73" s="93">
        <f t="shared" si="74"/>
        <v>0</v>
      </c>
      <c r="L73" s="93">
        <f t="shared" si="74"/>
        <v>0</v>
      </c>
      <c r="M73" s="93">
        <f t="shared" si="74"/>
        <v>0</v>
      </c>
      <c r="N73" s="93">
        <f t="shared" si="74"/>
        <v>0</v>
      </c>
      <c r="O73" s="93">
        <f t="shared" si="74"/>
        <v>0</v>
      </c>
      <c r="P73" s="93">
        <f t="shared" si="74"/>
        <v>0</v>
      </c>
      <c r="Q73" s="93">
        <f t="shared" si="74"/>
        <v>0</v>
      </c>
      <c r="R73" s="93">
        <f t="shared" si="74"/>
        <v>0</v>
      </c>
      <c r="S73" s="93">
        <f t="shared" si="74"/>
        <v>0</v>
      </c>
      <c r="T73" s="93">
        <f t="shared" si="74"/>
        <v>0</v>
      </c>
      <c r="U73" s="93">
        <f t="shared" si="74"/>
        <v>0</v>
      </c>
      <c r="V73" s="93">
        <f t="shared" si="74"/>
        <v>0</v>
      </c>
      <c r="W73" s="93">
        <f t="shared" si="74"/>
        <v>0</v>
      </c>
      <c r="X73" s="93">
        <f t="shared" ref="X73:Y73" si="75">IF(X11=0,0,X23/X63)</f>
        <v>0</v>
      </c>
      <c r="Y73" s="93">
        <f t="shared" si="75"/>
        <v>0</v>
      </c>
      <c r="DA73" s="175"/>
    </row>
    <row r="74" spans="1:105" ht="11.45" customHeight="1" x14ac:dyDescent="0.25">
      <c r="A74" s="92" t="s">
        <v>181</v>
      </c>
      <c r="B74" s="93">
        <f t="shared" si="63"/>
        <v>0.81850011188337712</v>
      </c>
      <c r="C74" s="93">
        <f t="shared" ref="C74:W74" si="76">IF(C12=0,0,C24/C64)</f>
        <v>0.81940598357315231</v>
      </c>
      <c r="D74" s="93">
        <f t="shared" si="76"/>
        <v>0.81941421993313279</v>
      </c>
      <c r="E74" s="93">
        <f t="shared" si="76"/>
        <v>0.82523218787908692</v>
      </c>
      <c r="F74" s="93">
        <f t="shared" si="76"/>
        <v>0.82319581217601534</v>
      </c>
      <c r="G74" s="93">
        <f t="shared" si="76"/>
        <v>0.83042184756199844</v>
      </c>
      <c r="H74" s="93">
        <f t="shared" si="76"/>
        <v>0.91337061838141342</v>
      </c>
      <c r="I74" s="93">
        <f t="shared" si="76"/>
        <v>1.0406247371418995</v>
      </c>
      <c r="J74" s="93">
        <f t="shared" si="76"/>
        <v>1.1669625471014682</v>
      </c>
      <c r="K74" s="93">
        <f t="shared" si="76"/>
        <v>0.7438636883164218</v>
      </c>
      <c r="L74" s="93">
        <f t="shared" si="76"/>
        <v>0.71146348706861351</v>
      </c>
      <c r="M74" s="93">
        <f t="shared" si="76"/>
        <v>0.72670368276118802</v>
      </c>
      <c r="N74" s="93">
        <f t="shared" si="76"/>
        <v>0.72164368719724792</v>
      </c>
      <c r="O74" s="93">
        <f t="shared" si="76"/>
        <v>0.76074082451979941</v>
      </c>
      <c r="P74" s="93">
        <f t="shared" si="76"/>
        <v>0.73717241933389133</v>
      </c>
      <c r="Q74" s="93">
        <f t="shared" si="76"/>
        <v>0.72335874859107596</v>
      </c>
      <c r="R74" s="93">
        <f t="shared" si="76"/>
        <v>0.78884675122174996</v>
      </c>
      <c r="S74" s="93">
        <f t="shared" si="76"/>
        <v>0.82237174044189831</v>
      </c>
      <c r="T74" s="93">
        <f t="shared" si="76"/>
        <v>0.82254006192629769</v>
      </c>
      <c r="U74" s="93">
        <f t="shared" si="76"/>
        <v>0.80320165147462574</v>
      </c>
      <c r="V74" s="93">
        <f t="shared" si="76"/>
        <v>1.0832842390354198</v>
      </c>
      <c r="W74" s="93">
        <f t="shared" si="76"/>
        <v>0.99589489559831457</v>
      </c>
      <c r="X74" s="93">
        <f t="shared" ref="X74:Y74" si="77">IF(X12=0,0,X24/X64)</f>
        <v>0.80114125862260155</v>
      </c>
      <c r="Y74" s="93">
        <f t="shared" si="77"/>
        <v>0.76418040624696359</v>
      </c>
      <c r="DA74" s="175"/>
    </row>
    <row r="75" spans="1:105" ht="11.45" customHeight="1" x14ac:dyDescent="0.25">
      <c r="A75" s="85" t="s">
        <v>182</v>
      </c>
      <c r="B75" s="94">
        <f t="shared" si="63"/>
        <v>0.3966895951423719</v>
      </c>
      <c r="C75" s="94">
        <f t="shared" ref="C75:W75" si="78">IF(C13=0,0,C25/C65)</f>
        <v>0.39815933657486685</v>
      </c>
      <c r="D75" s="94">
        <f t="shared" si="78"/>
        <v>0.39713262153529394</v>
      </c>
      <c r="E75" s="94">
        <f t="shared" si="78"/>
        <v>0.40048057378081398</v>
      </c>
      <c r="F75" s="94">
        <f t="shared" si="78"/>
        <v>0.39999269449827496</v>
      </c>
      <c r="G75" s="94">
        <f t="shared" si="78"/>
        <v>0.40590248315742933</v>
      </c>
      <c r="H75" s="94">
        <f t="shared" si="78"/>
        <v>0.34666073878020776</v>
      </c>
      <c r="I75" s="94">
        <f t="shared" si="78"/>
        <v>0.35626927682211584</v>
      </c>
      <c r="J75" s="94">
        <f t="shared" si="78"/>
        <v>0.52022663192117602</v>
      </c>
      <c r="K75" s="94">
        <f t="shared" si="78"/>
        <v>0.43851462540850239</v>
      </c>
      <c r="L75" s="94">
        <f t="shared" si="78"/>
        <v>0.52213571919556534</v>
      </c>
      <c r="M75" s="94">
        <f t="shared" si="78"/>
        <v>0.61844179758172346</v>
      </c>
      <c r="N75" s="94">
        <f t="shared" si="78"/>
        <v>0.59808285835554409</v>
      </c>
      <c r="O75" s="94">
        <f t="shared" si="78"/>
        <v>0.61877174787713241</v>
      </c>
      <c r="P75" s="94">
        <f t="shared" si="78"/>
        <v>0.50885332696815599</v>
      </c>
      <c r="Q75" s="94">
        <f t="shared" si="78"/>
        <v>0.46013185580045596</v>
      </c>
      <c r="R75" s="94">
        <f t="shared" si="78"/>
        <v>0.45974358670488208</v>
      </c>
      <c r="S75" s="94">
        <f t="shared" si="78"/>
        <v>0.43157946435571182</v>
      </c>
      <c r="T75" s="94">
        <f t="shared" si="78"/>
        <v>0.3651044721021014</v>
      </c>
      <c r="U75" s="94">
        <f t="shared" si="78"/>
        <v>0.32130215298653436</v>
      </c>
      <c r="V75" s="94">
        <f t="shared" si="78"/>
        <v>0.5502294312765027</v>
      </c>
      <c r="W75" s="94">
        <f t="shared" si="78"/>
        <v>0.35910379394029818</v>
      </c>
      <c r="X75" s="94">
        <f t="shared" ref="X75:Y75" si="79">IF(X13=0,0,X25/X65)</f>
        <v>0.30881592387589363</v>
      </c>
      <c r="Y75" s="94">
        <f t="shared" si="79"/>
        <v>0.29328531964725563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71.439839999999975</v>
      </c>
      <c r="C3" s="79">
        <f t="shared" si="0"/>
        <v>93.843995039999996</v>
      </c>
      <c r="D3" s="79">
        <f t="shared" ref="D3" si="1">SUM(D4:D5)</f>
        <v>84.360356280000005</v>
      </c>
      <c r="E3" s="79">
        <f t="shared" ref="E3" si="2">SUM(E4:E5)</f>
        <v>96.619277519999983</v>
      </c>
      <c r="F3" s="79">
        <f t="shared" ref="F3" si="3">SUM(F4:F5)</f>
        <v>103.22823924000002</v>
      </c>
      <c r="G3" s="79">
        <f t="shared" ref="G3" si="4">SUM(G4:G5)</f>
        <v>139.77360000000004</v>
      </c>
      <c r="H3" s="79">
        <f t="shared" ref="H3" si="5">SUM(H4:H5)</f>
        <v>158.41007999999997</v>
      </c>
      <c r="I3" s="79">
        <f t="shared" ref="I3" si="6">SUM(I4:I5)</f>
        <v>198.60508476000001</v>
      </c>
      <c r="J3" s="79">
        <f t="shared" ref="J3" si="7">SUM(J4:J5)</f>
        <v>229.63715351999997</v>
      </c>
      <c r="K3" s="79">
        <f t="shared" ref="K3" si="8">SUM(K4:K5)</f>
        <v>108.61211123999999</v>
      </c>
      <c r="L3" s="79">
        <f t="shared" ref="L3" si="9">SUM(L4:L5)</f>
        <v>145.85064552000003</v>
      </c>
      <c r="M3" s="79">
        <f t="shared" ref="M3" si="10">SUM(M4:M5)</f>
        <v>167.573016</v>
      </c>
      <c r="N3" s="79">
        <f t="shared" ref="N3" si="11">SUM(N4:N5)</f>
        <v>189.29538647999999</v>
      </c>
      <c r="O3" s="79">
        <f t="shared" ref="O3" si="12">SUM(O4:O5)</f>
        <v>211.01775696000004</v>
      </c>
      <c r="P3" s="79">
        <f t="shared" ref="P3" si="13">SUM(P4:P5)</f>
        <v>232.74038628000002</v>
      </c>
      <c r="Q3" s="79">
        <f t="shared" ref="Q3" si="14">SUM(Q4:Q5)</f>
        <v>245.60758152000011</v>
      </c>
      <c r="R3" s="79">
        <f t="shared" ref="R3" si="15">SUM(R4:R5)</f>
        <v>288.86544000000004</v>
      </c>
      <c r="S3" s="79">
        <f t="shared" ref="S3" si="16">SUM(S4:S5)</f>
        <v>318.66801875999994</v>
      </c>
      <c r="T3" s="79">
        <f t="shared" ref="T3" si="17">SUM(T4:T5)</f>
        <v>379.33234956000018</v>
      </c>
      <c r="U3" s="79">
        <f t="shared" ref="U3" si="18">SUM(U4:U5)</f>
        <v>371.24152884000011</v>
      </c>
      <c r="V3" s="79">
        <f t="shared" ref="V3:W3" si="19">SUM(V4:V5)</f>
        <v>163.05988176000008</v>
      </c>
      <c r="W3" s="79">
        <f t="shared" si="19"/>
        <v>186.08758236000003</v>
      </c>
      <c r="X3" s="79">
        <f t="shared" ref="X3:Y3" si="20">SUM(X4:X5)</f>
        <v>305.61031727999995</v>
      </c>
      <c r="Y3" s="79">
        <f t="shared" si="20"/>
        <v>315.86995836000017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71.439839999999975</v>
      </c>
      <c r="C5" s="96">
        <f t="shared" si="24"/>
        <v>93.843995039999996</v>
      </c>
      <c r="D5" s="96">
        <f t="shared" ref="D5:V5" si="25">SUM(D8:D9,D12:D13)</f>
        <v>84.360356280000005</v>
      </c>
      <c r="E5" s="96">
        <f t="shared" si="25"/>
        <v>96.619277519999983</v>
      </c>
      <c r="F5" s="96">
        <f t="shared" si="25"/>
        <v>103.22823924000002</v>
      </c>
      <c r="G5" s="96">
        <f t="shared" si="25"/>
        <v>139.77360000000004</v>
      </c>
      <c r="H5" s="96">
        <f t="shared" si="25"/>
        <v>158.41007999999997</v>
      </c>
      <c r="I5" s="96">
        <f t="shared" si="25"/>
        <v>198.60508476000001</v>
      </c>
      <c r="J5" s="96">
        <f t="shared" si="25"/>
        <v>229.63715351999997</v>
      </c>
      <c r="K5" s="96">
        <f t="shared" si="25"/>
        <v>108.61211123999999</v>
      </c>
      <c r="L5" s="96">
        <f t="shared" si="25"/>
        <v>145.85064552000003</v>
      </c>
      <c r="M5" s="96">
        <f t="shared" si="25"/>
        <v>167.573016</v>
      </c>
      <c r="N5" s="96">
        <f t="shared" si="25"/>
        <v>189.29538647999999</v>
      </c>
      <c r="O5" s="96">
        <f t="shared" si="25"/>
        <v>211.01775696000004</v>
      </c>
      <c r="P5" s="96">
        <f t="shared" si="25"/>
        <v>232.74038628000002</v>
      </c>
      <c r="Q5" s="96">
        <f t="shared" si="25"/>
        <v>245.60758152000011</v>
      </c>
      <c r="R5" s="96">
        <f t="shared" si="25"/>
        <v>288.86544000000004</v>
      </c>
      <c r="S5" s="96">
        <f t="shared" si="25"/>
        <v>318.66801875999994</v>
      </c>
      <c r="T5" s="96">
        <f t="shared" si="25"/>
        <v>379.33234956000018</v>
      </c>
      <c r="U5" s="96">
        <f t="shared" si="25"/>
        <v>371.24152884000011</v>
      </c>
      <c r="V5" s="96">
        <f t="shared" si="25"/>
        <v>163.05988176000008</v>
      </c>
      <c r="W5" s="96">
        <f t="shared" ref="W5:Y5" si="26">SUM(W8:W9,W12:W13)</f>
        <v>186.08758236000003</v>
      </c>
      <c r="X5" s="96">
        <f t="shared" si="26"/>
        <v>305.61031727999995</v>
      </c>
      <c r="Y5" s="96">
        <f t="shared" si="26"/>
        <v>315.86995836000017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69.955433584947784</v>
      </c>
      <c r="C6" s="21">
        <f t="shared" si="27"/>
        <v>92.325414136039697</v>
      </c>
      <c r="D6" s="21">
        <f t="shared" ref="D6:V6" si="28">SUM(D7:D9)</f>
        <v>82.874292066942161</v>
      </c>
      <c r="E6" s="21">
        <f t="shared" si="28"/>
        <v>95.797092356762121</v>
      </c>
      <c r="F6" s="21">
        <f t="shared" si="28"/>
        <v>102.32902777990759</v>
      </c>
      <c r="G6" s="21">
        <f t="shared" si="28"/>
        <v>138.65994826958161</v>
      </c>
      <c r="H6" s="21">
        <f t="shared" si="28"/>
        <v>156.78106204180023</v>
      </c>
      <c r="I6" s="21">
        <f t="shared" si="28"/>
        <v>196.53236788086039</v>
      </c>
      <c r="J6" s="21">
        <f t="shared" si="28"/>
        <v>227.56315325763171</v>
      </c>
      <c r="K6" s="21">
        <f t="shared" si="28"/>
        <v>107.69147678042199</v>
      </c>
      <c r="L6" s="21">
        <f t="shared" si="28"/>
        <v>144.61293164568011</v>
      </c>
      <c r="M6" s="21">
        <f t="shared" si="28"/>
        <v>166.2717994495531</v>
      </c>
      <c r="N6" s="21">
        <f t="shared" si="28"/>
        <v>186.7445925229174</v>
      </c>
      <c r="O6" s="21">
        <f t="shared" si="28"/>
        <v>208.24072889508798</v>
      </c>
      <c r="P6" s="21">
        <f t="shared" si="28"/>
        <v>230.30386090043902</v>
      </c>
      <c r="Q6" s="21">
        <f t="shared" si="28"/>
        <v>243.07516444262447</v>
      </c>
      <c r="R6" s="21">
        <f t="shared" si="28"/>
        <v>286.38651992415606</v>
      </c>
      <c r="S6" s="21">
        <f t="shared" si="28"/>
        <v>315.65534826699405</v>
      </c>
      <c r="T6" s="21">
        <f t="shared" si="28"/>
        <v>375.92980966917509</v>
      </c>
      <c r="U6" s="21">
        <f t="shared" si="28"/>
        <v>367.87465219247383</v>
      </c>
      <c r="V6" s="21">
        <f t="shared" si="28"/>
        <v>157.61691965303186</v>
      </c>
      <c r="W6" s="21">
        <f t="shared" ref="W6:Y6" si="29">SUM(W7:W9)</f>
        <v>181.26841465302925</v>
      </c>
      <c r="X6" s="21">
        <f t="shared" si="29"/>
        <v>302.05743915707671</v>
      </c>
      <c r="Y6" s="21">
        <f t="shared" si="29"/>
        <v>312.32532373280594</v>
      </c>
      <c r="DA6" s="189" t="s">
        <v>327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328</v>
      </c>
    </row>
    <row r="8" spans="1:105" ht="11.45" customHeight="1" x14ac:dyDescent="0.25">
      <c r="A8" s="83" t="s">
        <v>181</v>
      </c>
      <c r="B8" s="96">
        <v>59.278813637277935</v>
      </c>
      <c r="C8" s="96">
        <v>78.231042771241434</v>
      </c>
      <c r="D8" s="96">
        <v>70.223302133907083</v>
      </c>
      <c r="E8" s="96">
        <v>81.18492513899038</v>
      </c>
      <c r="F8" s="96">
        <v>86.715293614623363</v>
      </c>
      <c r="G8" s="96">
        <v>120.2942036633624</v>
      </c>
      <c r="H8" s="96">
        <v>137.22331834848072</v>
      </c>
      <c r="I8" s="96">
        <v>172.48192751906154</v>
      </c>
      <c r="J8" s="96">
        <v>199.61237410963963</v>
      </c>
      <c r="K8" s="96">
        <v>92.537481378522159</v>
      </c>
      <c r="L8" s="96">
        <v>126.14037089636636</v>
      </c>
      <c r="M8" s="96">
        <v>145.91635127355508</v>
      </c>
      <c r="N8" s="96">
        <v>166.02111270795723</v>
      </c>
      <c r="O8" s="96">
        <v>185.67916876966663</v>
      </c>
      <c r="P8" s="96">
        <v>205.48671753590662</v>
      </c>
      <c r="Q8" s="96">
        <v>218.10172867989581</v>
      </c>
      <c r="R8" s="96">
        <v>259.87959435163327</v>
      </c>
      <c r="S8" s="96">
        <v>287.1459282695871</v>
      </c>
      <c r="T8" s="96">
        <v>343.36527721125373</v>
      </c>
      <c r="U8" s="96">
        <v>335.40002748099448</v>
      </c>
      <c r="V8" s="96">
        <v>137.96444943541479</v>
      </c>
      <c r="W8" s="96">
        <v>161.09257949183421</v>
      </c>
      <c r="X8" s="96">
        <v>277.0980618758914</v>
      </c>
      <c r="Y8" s="96">
        <v>283.87173209400186</v>
      </c>
      <c r="DA8" s="171" t="s">
        <v>329</v>
      </c>
    </row>
    <row r="9" spans="1:105" ht="11.45" customHeight="1" x14ac:dyDescent="0.25">
      <c r="A9" s="83" t="s">
        <v>182</v>
      </c>
      <c r="B9" s="96">
        <v>10.676619947669852</v>
      </c>
      <c r="C9" s="96">
        <v>14.094371364798263</v>
      </c>
      <c r="D9" s="96">
        <v>12.650989933035071</v>
      </c>
      <c r="E9" s="96">
        <v>14.61216721777174</v>
      </c>
      <c r="F9" s="96">
        <v>15.613734165284235</v>
      </c>
      <c r="G9" s="96">
        <v>18.365744606219224</v>
      </c>
      <c r="H9" s="96">
        <v>19.557743693319523</v>
      </c>
      <c r="I9" s="96">
        <v>24.050440361798838</v>
      </c>
      <c r="J9" s="96">
        <v>27.95077914799208</v>
      </c>
      <c r="K9" s="96">
        <v>15.15399540189984</v>
      </c>
      <c r="L9" s="96">
        <v>18.472560749313736</v>
      </c>
      <c r="M9" s="96">
        <v>20.355448175998024</v>
      </c>
      <c r="N9" s="96">
        <v>20.723479814960164</v>
      </c>
      <c r="O9" s="96">
        <v>22.561560125421348</v>
      </c>
      <c r="P9" s="96">
        <v>24.817143364532409</v>
      </c>
      <c r="Q9" s="96">
        <v>24.973435762728645</v>
      </c>
      <c r="R9" s="96">
        <v>26.506925572522782</v>
      </c>
      <c r="S9" s="96">
        <v>28.509419997406955</v>
      </c>
      <c r="T9" s="96">
        <v>32.564532457921366</v>
      </c>
      <c r="U9" s="96">
        <v>32.474624711479329</v>
      </c>
      <c r="V9" s="96">
        <v>19.652470217617068</v>
      </c>
      <c r="W9" s="96">
        <v>20.175835161195039</v>
      </c>
      <c r="X9" s="96">
        <v>24.959377281185322</v>
      </c>
      <c r="Y9" s="96">
        <v>28.453591638804067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1.4844064150521954</v>
      </c>
      <c r="C10" s="22">
        <f t="shared" si="30"/>
        <v>1.5185809039603015</v>
      </c>
      <c r="D10" s="22">
        <f t="shared" ref="D10:V10" si="31">SUM(D11:D13)</f>
        <v>1.4860642130578494</v>
      </c>
      <c r="E10" s="22">
        <f t="shared" si="31"/>
        <v>0.82218516323786428</v>
      </c>
      <c r="F10" s="22">
        <f t="shared" si="31"/>
        <v>0.89921146009242414</v>
      </c>
      <c r="G10" s="22">
        <f t="shared" si="31"/>
        <v>1.1136517304184175</v>
      </c>
      <c r="H10" s="22">
        <f t="shared" si="31"/>
        <v>1.6290179581997504</v>
      </c>
      <c r="I10" s="22">
        <f t="shared" si="31"/>
        <v>2.072716879139636</v>
      </c>
      <c r="J10" s="22">
        <f t="shared" si="31"/>
        <v>2.0740002623682421</v>
      </c>
      <c r="K10" s="22">
        <f t="shared" si="31"/>
        <v>0.9206344595780066</v>
      </c>
      <c r="L10" s="22">
        <f t="shared" si="31"/>
        <v>1.2377138743199143</v>
      </c>
      <c r="M10" s="22">
        <f t="shared" si="31"/>
        <v>1.3012165504468785</v>
      </c>
      <c r="N10" s="22">
        <f t="shared" si="31"/>
        <v>2.5507939570825755</v>
      </c>
      <c r="O10" s="22">
        <f t="shared" si="31"/>
        <v>2.7770280649120638</v>
      </c>
      <c r="P10" s="22">
        <f t="shared" si="31"/>
        <v>2.4365253795609854</v>
      </c>
      <c r="Q10" s="22">
        <f t="shared" si="31"/>
        <v>2.5324170773756194</v>
      </c>
      <c r="R10" s="22">
        <f t="shared" si="31"/>
        <v>2.4789200758439773</v>
      </c>
      <c r="S10" s="22">
        <f t="shared" si="31"/>
        <v>3.0126704930058668</v>
      </c>
      <c r="T10" s="22">
        <f t="shared" si="31"/>
        <v>3.4025398908250715</v>
      </c>
      <c r="U10" s="22">
        <f t="shared" si="31"/>
        <v>3.3668766475263046</v>
      </c>
      <c r="V10" s="22">
        <f t="shared" si="31"/>
        <v>5.4429621069682099</v>
      </c>
      <c r="W10" s="22">
        <f t="shared" ref="W10:Y10" si="32">SUM(W11:W13)</f>
        <v>4.8191677069707799</v>
      </c>
      <c r="X10" s="22">
        <f t="shared" si="32"/>
        <v>3.5528781229232478</v>
      </c>
      <c r="Y10" s="22">
        <f t="shared" si="32"/>
        <v>3.5446346271941898</v>
      </c>
      <c r="DA10" s="193" t="s">
        <v>331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332</v>
      </c>
    </row>
    <row r="12" spans="1:105" ht="11.45" customHeight="1" x14ac:dyDescent="0.25">
      <c r="A12" s="92" t="s">
        <v>181</v>
      </c>
      <c r="B12" s="97">
        <v>1.4559092924239696</v>
      </c>
      <c r="C12" s="97">
        <v>1.4899781990270531</v>
      </c>
      <c r="D12" s="97">
        <v>1.4575352645950133</v>
      </c>
      <c r="E12" s="97">
        <v>0.79341570681398665</v>
      </c>
      <c r="F12" s="97">
        <v>0.86329344949581122</v>
      </c>
      <c r="G12" s="97">
        <v>1.0629762658461077</v>
      </c>
      <c r="H12" s="97">
        <v>1.5105630771905767</v>
      </c>
      <c r="I12" s="97">
        <v>1.8493933063188053</v>
      </c>
      <c r="J12" s="97">
        <v>1.936060407708732</v>
      </c>
      <c r="K12" s="97">
        <v>0.90400628701499797</v>
      </c>
      <c r="L12" s="97">
        <v>1.205950583282559</v>
      </c>
      <c r="M12" s="97">
        <v>1.2398897165034806</v>
      </c>
      <c r="N12" s="97">
        <v>1.2453514603519675</v>
      </c>
      <c r="O12" s="97">
        <v>2.1813384106828582</v>
      </c>
      <c r="P12" s="97">
        <v>2.1663708430849846</v>
      </c>
      <c r="Q12" s="97">
        <v>2.2884017972504167</v>
      </c>
      <c r="R12" s="97">
        <v>2.3179882848673454</v>
      </c>
      <c r="S12" s="97">
        <v>2.9294141604268535</v>
      </c>
      <c r="T12" s="97">
        <v>3.2655830941948185</v>
      </c>
      <c r="U12" s="97">
        <v>3.2082783869127756</v>
      </c>
      <c r="V12" s="97">
        <v>5.0490221739293837</v>
      </c>
      <c r="W12" s="97">
        <v>4.4989523301261523</v>
      </c>
      <c r="X12" s="97">
        <v>3.2530064279734745</v>
      </c>
      <c r="Y12" s="97">
        <v>3.2246451191255492</v>
      </c>
      <c r="DA12" s="175" t="s">
        <v>333</v>
      </c>
    </row>
    <row r="13" spans="1:105" ht="11.45" customHeight="1" x14ac:dyDescent="0.25">
      <c r="A13" s="85" t="s">
        <v>182</v>
      </c>
      <c r="B13" s="98">
        <v>2.8497122628225856E-2</v>
      </c>
      <c r="C13" s="98">
        <v>2.8602704933248412E-2</v>
      </c>
      <c r="D13" s="98">
        <v>2.8528948462836184E-2</v>
      </c>
      <c r="E13" s="98">
        <v>2.8769456423877585E-2</v>
      </c>
      <c r="F13" s="98">
        <v>3.591801059661287E-2</v>
      </c>
      <c r="G13" s="98">
        <v>5.0675464572309675E-2</v>
      </c>
      <c r="H13" s="98">
        <v>0.11845488100917365</v>
      </c>
      <c r="I13" s="98">
        <v>0.2233235728208306</v>
      </c>
      <c r="J13" s="98">
        <v>0.13793985465950989</v>
      </c>
      <c r="K13" s="98">
        <v>1.6628172563008668E-2</v>
      </c>
      <c r="L13" s="98">
        <v>3.1763291037355319E-2</v>
      </c>
      <c r="M13" s="98">
        <v>6.1326833943397802E-2</v>
      </c>
      <c r="N13" s="98">
        <v>1.3054424967306082</v>
      </c>
      <c r="O13" s="98">
        <v>0.59568965422920539</v>
      </c>
      <c r="P13" s="98">
        <v>0.27015453647600091</v>
      </c>
      <c r="Q13" s="98">
        <v>0.24401528012520279</v>
      </c>
      <c r="R13" s="98">
        <v>0.16093179097663204</v>
      </c>
      <c r="S13" s="98">
        <v>8.3256332579013229E-2</v>
      </c>
      <c r="T13" s="98">
        <v>0.13695679663025284</v>
      </c>
      <c r="U13" s="98">
        <v>0.15859826061352891</v>
      </c>
      <c r="V13" s="98">
        <v>0.39393993303882646</v>
      </c>
      <c r="W13" s="98">
        <v>0.32021537684462781</v>
      </c>
      <c r="X13" s="98">
        <v>0.29987169494977334</v>
      </c>
      <c r="Y13" s="98">
        <v>0.31998950806864074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X18" s="97">
        <f>IF(X4=0,0,X4/TrAvia_ene!X4)</f>
        <v>0</v>
      </c>
      <c r="Y18" s="97">
        <f>IF(Y4=0,0,Y4/TrAvia_ene!Y4)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3.0103091999999991</v>
      </c>
      <c r="C19" s="98">
        <f>IF(C5=0,0,C5/TrAvia_ene!C5)</f>
        <v>3.0103092000000009</v>
      </c>
      <c r="D19" s="98">
        <f>IF(D5=0,0,D5/TrAvia_ene!D5)</f>
        <v>3.0103091999999991</v>
      </c>
      <c r="E19" s="98">
        <f>IF(E5=0,0,E5/TrAvia_ene!E5)</f>
        <v>3.0103091999999996</v>
      </c>
      <c r="F19" s="98">
        <f>IF(F5=0,0,F5/TrAvia_ene!F5)</f>
        <v>3.0103092000000009</v>
      </c>
      <c r="G19" s="98">
        <f>IF(G5=0,0,G5/TrAvia_ene!G5)</f>
        <v>3.0103092000000014</v>
      </c>
      <c r="H19" s="98">
        <f>IF(H5=0,0,H5/TrAvia_ene!H5)</f>
        <v>3.0103092</v>
      </c>
      <c r="I19" s="98">
        <f>IF(I5=0,0,I5/TrAvia_ene!I5)</f>
        <v>3.0103092000000018</v>
      </c>
      <c r="J19" s="98">
        <f>IF(J5=0,0,J5/TrAvia_ene!J5)</f>
        <v>3.0103091999999996</v>
      </c>
      <c r="K19" s="98">
        <f>IF(K5=0,0,K5/TrAvia_ene!K5)</f>
        <v>3.0103092000000009</v>
      </c>
      <c r="L19" s="98">
        <f>IF(L5=0,0,L5/TrAvia_ene!L5)</f>
        <v>3.0103092000000018</v>
      </c>
      <c r="M19" s="98">
        <f>IF(M5=0,0,M5/TrAvia_ene!M5)</f>
        <v>3.0103092000000005</v>
      </c>
      <c r="N19" s="98">
        <f>IF(N5=0,0,N5/TrAvia_ene!N5)</f>
        <v>3.0103092</v>
      </c>
      <c r="O19" s="98">
        <f>IF(O5=0,0,O5/TrAvia_ene!O5)</f>
        <v>3.0103092000000009</v>
      </c>
      <c r="P19" s="98">
        <f>IF(P5=0,0,P5/TrAvia_ene!P5)</f>
        <v>3.0103092000000009</v>
      </c>
      <c r="Q19" s="98">
        <f>IF(Q5=0,0,Q5/TrAvia_ene!Q5)</f>
        <v>3.0103092000000014</v>
      </c>
      <c r="R19" s="98">
        <f>IF(R5=0,0,R5/TrAvia_ene!R5)</f>
        <v>3.0103092</v>
      </c>
      <c r="S19" s="98">
        <f>IF(S5=0,0,S5/TrAvia_ene!S5)</f>
        <v>3.0103092</v>
      </c>
      <c r="T19" s="98">
        <f>IF(T5=0,0,T5/TrAvia_ene!T5)</f>
        <v>3.0103092000000018</v>
      </c>
      <c r="U19" s="98">
        <f>IF(U5=0,0,U5/TrAvia_ene!U5)</f>
        <v>3.0103092</v>
      </c>
      <c r="V19" s="98">
        <f>IF(V5=0,0,V5/TrAvia_ene!V5)</f>
        <v>3.0103092000000018</v>
      </c>
      <c r="W19" s="98">
        <f>IF(W5=0,0,W5/TrAvia_ene!W5)</f>
        <v>3.0103091999999996</v>
      </c>
      <c r="X19" s="98">
        <f>IF(X5=0,0,X5/TrAvia_ene!X5)</f>
        <v>3.0103091999999996</v>
      </c>
      <c r="Y19" s="98">
        <f>IF(Y5=0,0,Y5/TrAvia_ene!Y5)</f>
        <v>3.0103092000000018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7024.3075679289086</v>
      </c>
      <c r="C21" s="54">
        <f>IF(C3=0,0,C3/TrAvia_act!C13*1000)</f>
        <v>7043.1077341492855</v>
      </c>
      <c r="D21" s="54">
        <f>IF(D3=0,0,D3/TrAvia_act!D13*1000)</f>
        <v>7027.1681187851691</v>
      </c>
      <c r="E21" s="54">
        <f>IF(E3=0,0,E3/TrAvia_act!E13*1000)</f>
        <v>7071.7212206752074</v>
      </c>
      <c r="F21" s="54">
        <f>IF(F3=0,0,F3/TrAvia_act!F13*1000)</f>
        <v>7062.9609899008292</v>
      </c>
      <c r="G21" s="54">
        <f>IF(G3=0,0,G3/TrAvia_act!G13*1000)</f>
        <v>7177.7359533451026</v>
      </c>
      <c r="H21" s="54">
        <f>IF(H3=0,0,H3/TrAvia_act!H13*1000)</f>
        <v>7581.5998192774969</v>
      </c>
      <c r="I21" s="54">
        <f>IF(I3=0,0,I3/TrAvia_act!I13*1000)</f>
        <v>8573.7627026319133</v>
      </c>
      <c r="J21" s="54">
        <f>IF(J3=0,0,J3/TrAvia_act!J13*1000)</f>
        <v>9690.2162498823691</v>
      </c>
      <c r="K21" s="54">
        <f>IF(K3=0,0,K3/TrAvia_act!K13*1000)</f>
        <v>8272.1270446878461</v>
      </c>
      <c r="L21" s="54">
        <f>IF(L3=0,0,L3/TrAvia_act!L13*1000)</f>
        <v>8773.160103056498</v>
      </c>
      <c r="M21" s="54">
        <f>IF(M3=0,0,M3/TrAvia_act!M13*1000)</f>
        <v>9506.5371091813759</v>
      </c>
      <c r="N21" s="54">
        <f>IF(N3=0,0,N3/TrAvia_act!N13*1000)</f>
        <v>9675.8499132150755</v>
      </c>
      <c r="O21" s="54">
        <f>IF(O3=0,0,O3/TrAvia_act!O13*1000)</f>
        <v>10280.972399970326</v>
      </c>
      <c r="P21" s="54">
        <f>IF(P3=0,0,P3/TrAvia_act!P13*1000)</f>
        <v>9987.915569392846</v>
      </c>
      <c r="Q21" s="54">
        <f>IF(Q3=0,0,Q3/TrAvia_act!Q13*1000)</f>
        <v>9830.6550805020015</v>
      </c>
      <c r="R21" s="54">
        <f>IF(R3=0,0,R3/TrAvia_act!R13*1000)</f>
        <v>10842.447443949381</v>
      </c>
      <c r="S21" s="54">
        <f>IF(S3=0,0,S3/TrAvia_act!S13*1000)</f>
        <v>11256.045743849862</v>
      </c>
      <c r="T21" s="54">
        <f>IF(T3=0,0,T3/TrAvia_act!T13*1000)</f>
        <v>11617.91820743168</v>
      </c>
      <c r="U21" s="54">
        <f>IF(U3=0,0,U3/TrAvia_act!U13*1000)</f>
        <v>11112.449484295263</v>
      </c>
      <c r="V21" s="54">
        <f>IF(V3=0,0,V3/TrAvia_act!V13*1000)</f>
        <v>12026.830319134764</v>
      </c>
      <c r="W21" s="54">
        <f>IF(W3=0,0,W3/TrAvia_act!W13*1000)</f>
        <v>10073.885200555778</v>
      </c>
      <c r="X21" s="54">
        <f>IF(X3=0,0,X3/TrAvia_act!X13*1000)</f>
        <v>9806.3537220138514</v>
      </c>
      <c r="Y21" s="54">
        <f>IF(Y3=0,0,Y3/TrAvia_act!Y13*1000)</f>
        <v>9501.0334776103391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6993.4553489937498</v>
      </c>
      <c r="C22" s="11">
        <f>IF(C6=0,0,C6/TrAvia_act!C14*1000)</f>
        <v>7019.0730832215922</v>
      </c>
      <c r="D22" s="11">
        <f>IF(D6=0,0,D6/TrAvia_act!D14*1000)</f>
        <v>7000.9976147866792</v>
      </c>
      <c r="E22" s="11">
        <f>IF(E6=0,0,E6/TrAvia_act!E14*1000)</f>
        <v>7060.059407514721</v>
      </c>
      <c r="F22" s="11">
        <f>IF(F6=0,0,F6/TrAvia_act!F14*1000)</f>
        <v>7051.3595205834308</v>
      </c>
      <c r="G22" s="11">
        <f>IF(G6=0,0,G6/TrAvia_act!G14*1000)</f>
        <v>7168.3694195197077</v>
      </c>
      <c r="H22" s="11">
        <f>IF(H6=0,0,H6/TrAvia_act!H14*1000)</f>
        <v>7572.0422660954091</v>
      </c>
      <c r="I22" s="11">
        <f>IF(I6=0,0,I6/TrAvia_act!I14*1000)</f>
        <v>8568.9283434122808</v>
      </c>
      <c r="J22" s="11">
        <f>IF(J6=0,0,J6/TrAvia_act!J14*1000)</f>
        <v>9679.5049279655232</v>
      </c>
      <c r="K22" s="11">
        <f>IF(K6=0,0,K6/TrAvia_act!K14*1000)</f>
        <v>8270.3433740407818</v>
      </c>
      <c r="L22" s="11">
        <f>IF(L6=0,0,L6/TrAvia_act!L14*1000)</f>
        <v>8785.5102781373225</v>
      </c>
      <c r="M22" s="11">
        <f>IF(M6=0,0,M6/TrAvia_act!M14*1000)</f>
        <v>9520.5916525482353</v>
      </c>
      <c r="N22" s="11">
        <f>IF(N6=0,0,N6/TrAvia_act!N14*1000)</f>
        <v>9706.039512090103</v>
      </c>
      <c r="O22" s="11">
        <f>IF(O6=0,0,O6/TrAvia_act!O14*1000)</f>
        <v>10314.864540436642</v>
      </c>
      <c r="P22" s="11">
        <f>IF(P6=0,0,P6/TrAvia_act!P14*1000)</f>
        <v>10016.958343713162</v>
      </c>
      <c r="Q22" s="11">
        <f>IF(Q6=0,0,Q6/TrAvia_act!Q14*1000)</f>
        <v>9860.2802083156057</v>
      </c>
      <c r="R22" s="11">
        <f>IF(R6=0,0,R6/TrAvia_act!R14*1000)</f>
        <v>10867.285787418194</v>
      </c>
      <c r="S22" s="11">
        <f>IF(S6=0,0,S6/TrAvia_act!S14*1000)</f>
        <v>11277.385628062908</v>
      </c>
      <c r="T22" s="11">
        <f>IF(T6=0,0,T6/TrAvia_act!T14*1000)</f>
        <v>11645.913501887522</v>
      </c>
      <c r="U22" s="11">
        <f>IF(U6=0,0,U6/TrAvia_act!U14*1000)</f>
        <v>11139.134432279834</v>
      </c>
      <c r="V22" s="11">
        <f>IF(V6=0,0,V6/TrAvia_act!V14*1000)</f>
        <v>12032.225324600435</v>
      </c>
      <c r="W22" s="11">
        <f>IF(W6=0,0,W6/TrAvia_act!W14*1000)</f>
        <v>10070.845843720914</v>
      </c>
      <c r="X22" s="11">
        <f>IF(X6=0,0,X6/TrAvia_act!X14*1000)</f>
        <v>9842.9044280573362</v>
      </c>
      <c r="Y22" s="11">
        <f>IF(Y6=0,0,Y6/TrAvia_act!Y14*1000)</f>
        <v>9536.3582810483476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X23" s="84">
        <f>IF(X7=0,0,X7/TrAvia_act!X15*1000)</f>
        <v>0</v>
      </c>
      <c r="Y23" s="84">
        <f>IF(Y7=0,0,Y7/TrAvia_act!Y15*1000)</f>
        <v>0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7586.2686874565388</v>
      </c>
      <c r="C24" s="84">
        <f>IF(C8=0,0,C8/TrAvia_act!C16*1000)</f>
        <v>7614.1655170779204</v>
      </c>
      <c r="D24" s="84">
        <f>IF(D8=0,0,D8/TrAvia_act!D16*1000)</f>
        <v>7594.5303682199301</v>
      </c>
      <c r="E24" s="84">
        <f>IF(E8=0,0,E8/TrAvia_act!E16*1000)</f>
        <v>7658.0081285842716</v>
      </c>
      <c r="F24" s="84">
        <f>IF(F8=0,0,F8/TrAvia_act!F16*1000)</f>
        <v>7648.7976915009122</v>
      </c>
      <c r="G24" s="84">
        <f>IF(G8=0,0,G8/TrAvia_act!G16*1000)</f>
        <v>7684.896394515491</v>
      </c>
      <c r="H24" s="84">
        <f>IF(H8=0,0,H8/TrAvia_act!H16*1000)</f>
        <v>8418.5956482485835</v>
      </c>
      <c r="I24" s="84">
        <f>IF(I8=0,0,I8/TrAvia_act!I16*1000)</f>
        <v>9662.83694395565</v>
      </c>
      <c r="J24" s="84">
        <f>IF(J8=0,0,J8/TrAvia_act!J16*1000)</f>
        <v>10503.669823738428</v>
      </c>
      <c r="K24" s="84">
        <f>IF(K8=0,0,K8/TrAvia_act!K16*1000)</f>
        <v>9049.774750716233</v>
      </c>
      <c r="L24" s="84">
        <f>IF(L8=0,0,L8/TrAvia_act!L16*1000)</f>
        <v>9209.8732682130867</v>
      </c>
      <c r="M24" s="84">
        <f>IF(M8=0,0,M8/TrAvia_act!M16*1000)</f>
        <v>9837.1894287110681</v>
      </c>
      <c r="N24" s="84">
        <f>IF(N8=0,0,N8/TrAvia_act!N16*1000)</f>
        <v>10112.304066115101</v>
      </c>
      <c r="O24" s="84">
        <f>IF(O8=0,0,O8/TrAvia_act!O16*1000)</f>
        <v>10796.077185182652</v>
      </c>
      <c r="P24" s="84">
        <f>IF(P8=0,0,P8/TrAvia_act!P16*1000)</f>
        <v>10792.468085695831</v>
      </c>
      <c r="Q24" s="84">
        <f>IF(Q8=0,0,Q8/TrAvia_act!Q16*1000)</f>
        <v>10722.084544037156</v>
      </c>
      <c r="R24" s="84">
        <f>IF(R8=0,0,R8/TrAvia_act!R16*1000)</f>
        <v>11875.417004501956</v>
      </c>
      <c r="S24" s="84">
        <f>IF(S8=0,0,S8/TrAvia_act!S16*1000)</f>
        <v>12558.682085320843</v>
      </c>
      <c r="T24" s="84">
        <f>IF(T8=0,0,T8/TrAvia_act!T16*1000)</f>
        <v>13515.128873269714</v>
      </c>
      <c r="U24" s="84">
        <f>IF(U8=0,0,U8/TrAvia_act!U16*1000)</f>
        <v>13436.218880707796</v>
      </c>
      <c r="V24" s="84">
        <f>IF(V8=0,0,V8/TrAvia_act!V16*1000)</f>
        <v>12749.655081036222</v>
      </c>
      <c r="W24" s="84">
        <f>IF(W8=0,0,W8/TrAvia_act!W16*1000)</f>
        <v>11916.209427581141</v>
      </c>
      <c r="X24" s="84">
        <f>IF(X8=0,0,X8/TrAvia_act!X16*1000)</f>
        <v>11432.572718423336</v>
      </c>
      <c r="Y24" s="84">
        <f>IF(Y8=0,0,Y8/TrAvia_act!Y16*1000)</f>
        <v>11368.428100294741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4877.3428529903322</v>
      </c>
      <c r="C25" s="84">
        <f>IF(C9=0,0,C9/TrAvia_act!C17*1000)</f>
        <v>4895.4134879636294</v>
      </c>
      <c r="D25" s="84">
        <f>IF(D9=0,0,D9/TrAvia_act!D17*1000)</f>
        <v>4882.7899119443946</v>
      </c>
      <c r="E25" s="84">
        <f>IF(E9=0,0,E9/TrAvia_act!E17*1000)</f>
        <v>4923.9533585202489</v>
      </c>
      <c r="F25" s="84">
        <f>IF(F9=0,0,F9/TrAvia_act!F17*1000)</f>
        <v>4917.9548282816149</v>
      </c>
      <c r="G25" s="84">
        <f>IF(G9=0,0,G9/TrAvia_act!G17*1000)</f>
        <v>4977.1990010373538</v>
      </c>
      <c r="H25" s="84">
        <f>IF(H9=0,0,H9/TrAvia_act!H17*1000)</f>
        <v>4439.6649856212043</v>
      </c>
      <c r="I25" s="84">
        <f>IF(I9=0,0,I9/TrAvia_act!I17*1000)</f>
        <v>4729.2774316289397</v>
      </c>
      <c r="J25" s="84">
        <f>IF(J9=0,0,J9/TrAvia_act!J17*1000)</f>
        <v>6203.3820435641619</v>
      </c>
      <c r="K25" s="84">
        <f>IF(K9=0,0,K9/TrAvia_act!K17*1000)</f>
        <v>5419.8591610786179</v>
      </c>
      <c r="L25" s="84">
        <f>IF(L9=0,0,L9/TrAvia_act!L17*1000)</f>
        <v>6682.8372955095674</v>
      </c>
      <c r="M25" s="84">
        <f>IF(M9=0,0,M9/TrAvia_act!M17*1000)</f>
        <v>7735.8740460958988</v>
      </c>
      <c r="N25" s="84">
        <f>IF(N9=0,0,N9/TrAvia_act!N17*1000)</f>
        <v>7342.744793658062</v>
      </c>
      <c r="O25" s="84">
        <f>IF(O9=0,0,O9/TrAvia_act!O17*1000)</f>
        <v>7546.5587421798473</v>
      </c>
      <c r="P25" s="84">
        <f>IF(P9=0,0,P9/TrAvia_act!P17*1000)</f>
        <v>6280.3245490084628</v>
      </c>
      <c r="Q25" s="84">
        <f>IF(Q9=0,0,Q9/TrAvia_act!Q17*1000)</f>
        <v>5793.4968644583123</v>
      </c>
      <c r="R25" s="84">
        <f>IF(R9=0,0,R9/TrAvia_act!R17*1000)</f>
        <v>5930.9463757167432</v>
      </c>
      <c r="S25" s="84">
        <f>IF(S9=0,0,S9/TrAvia_act!S17*1000)</f>
        <v>5561.9656965033273</v>
      </c>
      <c r="T25" s="84">
        <f>IF(T9=0,0,T9/TrAvia_act!T17*1000)</f>
        <v>4737.3603633933317</v>
      </c>
      <c r="U25" s="84">
        <f>IF(U9=0,0,U9/TrAvia_act!U17*1000)</f>
        <v>4027.5889900985176</v>
      </c>
      <c r="V25" s="84">
        <f>IF(V9=0,0,V9/TrAvia_act!V17*1000)</f>
        <v>8625.0604896106142</v>
      </c>
      <c r="W25" s="84">
        <f>IF(W9=0,0,W9/TrAvia_act!W17*1000)</f>
        <v>4502.9852226134326</v>
      </c>
      <c r="X25" s="84">
        <f>IF(X9=0,0,X9/TrAvia_act!X17*1000)</f>
        <v>3869.5258858893135</v>
      </c>
      <c r="Y25" s="84">
        <f>IF(Y9=0,0,Y9/TrAvia_act!Y17*1000)</f>
        <v>3656.8874070289512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8868.002356927178</v>
      </c>
      <c r="C26" s="13">
        <f>IF(C10=0,0,C10/TrAvia_act!C18*1000)</f>
        <v>8894.8471670595718</v>
      </c>
      <c r="D26" s="13">
        <f>IF(D10=0,0,D10/TrAvia_act!D18*1000)</f>
        <v>8877.906219152761</v>
      </c>
      <c r="E26" s="13">
        <f>IF(E10=0,0,E10/TrAvia_act!E18*1000)</f>
        <v>8757.1153942945839</v>
      </c>
      <c r="F26" s="13">
        <f>IF(F10=0,0,F10/TrAvia_act!F18*1000)</f>
        <v>8689.995220345043</v>
      </c>
      <c r="G26" s="13">
        <f>IF(G10=0,0,G10/TrAvia_act!G18*1000)</f>
        <v>8572.3731046013381</v>
      </c>
      <c r="H26" s="13">
        <f>IF(H10=0,0,H10/TrAvia_act!H18*1000)</f>
        <v>8629.9591471883687</v>
      </c>
      <c r="I26" s="13">
        <f>IF(I10=0,0,I10/TrAvia_act!I18*1000)</f>
        <v>9058.3306442040157</v>
      </c>
      <c r="J26" s="13">
        <f>IF(J10=0,0,J10/TrAvia_act!J18*1000)</f>
        <v>11029.381675942559</v>
      </c>
      <c r="K26" s="13">
        <f>IF(K10=0,0,K10/TrAvia_act!K18*1000)</f>
        <v>8486.2185532644944</v>
      </c>
      <c r="L26" s="13">
        <f>IF(L10=0,0,L10/TrAvia_act!L18*1000)</f>
        <v>7535.4909990782571</v>
      </c>
      <c r="M26" s="13">
        <f>IF(M10=0,0,M10/TrAvia_act!M18*1000)</f>
        <v>7997.861996767946</v>
      </c>
      <c r="N26" s="13">
        <f>IF(N10=0,0,N10/TrAvia_act!N18*1000)</f>
        <v>7881.1981499608028</v>
      </c>
      <c r="O26" s="13">
        <f>IF(O10=0,0,O10/TrAvia_act!O18*1000)</f>
        <v>8248.6081456073298</v>
      </c>
      <c r="P26" s="13">
        <f>IF(P10=0,0,P10/TrAvia_act!P18*1000)</f>
        <v>7839.4899626653641</v>
      </c>
      <c r="Q26" s="13">
        <f>IF(Q10=0,0,Q10/TrAvia_act!Q18*1000)</f>
        <v>7630.2010034748164</v>
      </c>
      <c r="R26" s="13">
        <f>IF(R10=0,0,R10/TrAvia_act!R18*1000)</f>
        <v>8577.5239909869088</v>
      </c>
      <c r="S26" s="13">
        <f>IF(S10=0,0,S10/TrAvia_act!S18*1000)</f>
        <v>9393.6229805044404</v>
      </c>
      <c r="T26" s="13">
        <f>IF(T10=0,0,T10/TrAvia_act!T18*1000)</f>
        <v>9179.8289188569997</v>
      </c>
      <c r="U26" s="13">
        <f>IF(U10=0,0,U10/TrAvia_act!U18*1000)</f>
        <v>8807.168449709412</v>
      </c>
      <c r="V26" s="13">
        <f>IF(V10=0,0,V10/TrAvia_act!V18*1000)</f>
        <v>11872.673765635913</v>
      </c>
      <c r="W26" s="13">
        <f>IF(W10=0,0,W10/TrAvia_act!W18*1000)</f>
        <v>10189.555289562928</v>
      </c>
      <c r="X26" s="13">
        <f>IF(X10=0,0,X10/TrAvia_act!X18*1000)</f>
        <v>7453.3062252973814</v>
      </c>
      <c r="Y26" s="13">
        <f>IF(Y10=0,0,Y10/TrAvia_act!Y18*1000)</f>
        <v>7163.0927668216827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X27" s="102">
        <f>IF(X11=0,0,X11/TrAvia_act!X19*1000)</f>
        <v>0</v>
      </c>
      <c r="Y27" s="102">
        <f>IF(Y11=0,0,Y11/TrAvia_act!Y19*1000)</f>
        <v>0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9092.0898523957021</v>
      </c>
      <c r="C28" s="102">
        <f>IF(C12=0,0,C12/TrAvia_act!C20*1000)</f>
        <v>9114.906640372601</v>
      </c>
      <c r="D28" s="102">
        <f>IF(D12=0,0,D12/TrAvia_act!D20*1000)</f>
        <v>9102.2439774868417</v>
      </c>
      <c r="E28" s="102">
        <f>IF(E12=0,0,E12/TrAvia_act!E20*1000)</f>
        <v>9158.8984551493304</v>
      </c>
      <c r="F28" s="102">
        <f>IF(F12=0,0,F12/TrAvia_act!F20*1000)</f>
        <v>9144.8772879267981</v>
      </c>
      <c r="G28" s="102">
        <f>IF(G12=0,0,G12/TrAvia_act!G20*1000)</f>
        <v>9063.424413505536</v>
      </c>
      <c r="H28" s="102">
        <f>IF(H12=0,0,H12/TrAvia_act!H20*1000)</f>
        <v>9618.3862454753598</v>
      </c>
      <c r="I28" s="102">
        <f>IF(I12=0,0,I12/TrAvia_act!I20*1000)</f>
        <v>10542.176850880871</v>
      </c>
      <c r="J28" s="102">
        <f>IF(J12=0,0,J12/TrAvia_act!J20*1000)</f>
        <v>11684.10101007368</v>
      </c>
      <c r="K28" s="102">
        <f>IF(K12=0,0,K12/TrAvia_act!K20*1000)</f>
        <v>8575.0831066191713</v>
      </c>
      <c r="L28" s="102">
        <f>IF(L12=0,0,L12/TrAvia_act!L20*1000)</f>
        <v>7556.8551337154249</v>
      </c>
      <c r="M28" s="102">
        <f>IF(M12=0,0,M12/TrAvia_act!M20*1000)</f>
        <v>8012.414343122723</v>
      </c>
      <c r="N28" s="102">
        <f>IF(N12=0,0,N12/TrAvia_act!N20*1000)</f>
        <v>8169.2023811295603</v>
      </c>
      <c r="O28" s="102">
        <f>IF(O12=0,0,O12/TrAvia_act!O20*1000)</f>
        <v>8444.794628609885</v>
      </c>
      <c r="P28" s="102">
        <f>IF(P12=0,0,P12/TrAvia_act!P20*1000)</f>
        <v>8160.0306114438226</v>
      </c>
      <c r="Q28" s="102">
        <f>IF(Q12=0,0,Q12/TrAvia_act!Q20*1000)</f>
        <v>8040.5063512947163</v>
      </c>
      <c r="R28" s="102">
        <f>IF(R12=0,0,R12/TrAvia_act!R20*1000)</f>
        <v>9018.6254599708263</v>
      </c>
      <c r="S28" s="102">
        <f>IF(S12=0,0,S12/TrAvia_act!S20*1000)</f>
        <v>9666.4596066520862</v>
      </c>
      <c r="T28" s="102">
        <f>IF(T12=0,0,T12/TrAvia_act!T20*1000)</f>
        <v>9711.4260178767581</v>
      </c>
      <c r="U28" s="102">
        <f>IF(U12=0,0,U12/TrAvia_act!U20*1000)</f>
        <v>9652.1013620087633</v>
      </c>
      <c r="V28" s="102">
        <f>IF(V12=0,0,V12/TrAvia_act!V20*1000)</f>
        <v>13248.612780017567</v>
      </c>
      <c r="W28" s="102">
        <f>IF(W12=0,0,W12/TrAvia_act!W20*1000)</f>
        <v>11544.604736395202</v>
      </c>
      <c r="X28" s="102">
        <f>IF(X12=0,0,X12/TrAvia_act!X20*1000)</f>
        <v>8643.9429540383408</v>
      </c>
      <c r="Y28" s="102">
        <f>IF(Y12=0,0,Y12/TrAvia_act!Y20*1000)</f>
        <v>8086.6114928912584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3925.3221347553722</v>
      </c>
      <c r="C29" s="86">
        <f>IF(C13=0,0,C13/TrAvia_act!C21*1000)</f>
        <v>3939.8655174101891</v>
      </c>
      <c r="D29" s="86">
        <f>IF(D13=0,0,D13/TrAvia_act!D21*1000)</f>
        <v>3929.705968684249</v>
      </c>
      <c r="E29" s="86">
        <f>IF(E13=0,0,E13/TrAvia_act!E21*1000)</f>
        <v>3962.8346194388205</v>
      </c>
      <c r="F29" s="86">
        <f>IF(F13=0,0,F13/TrAvia_act!F21*1000)</f>
        <v>3958.0069572810785</v>
      </c>
      <c r="G29" s="86">
        <f>IF(G13=0,0,G13/TrAvia_act!G21*1000)</f>
        <v>4012.3885724032284</v>
      </c>
      <c r="H29" s="86">
        <f>IF(H13=0,0,H13/TrAvia_act!H21*1000)</f>
        <v>3735.1469811727634</v>
      </c>
      <c r="I29" s="86">
        <f>IF(I13=0,0,I13/TrAvia_act!I21*1000)</f>
        <v>4182.8076909437268</v>
      </c>
      <c r="J29" s="86">
        <f>IF(J13=0,0,J13/TrAvia_act!J21*1000)</f>
        <v>6173.7981507078439</v>
      </c>
      <c r="K29" s="86">
        <f>IF(K13=0,0,K13/TrAvia_act!K21*1000)</f>
        <v>5428.051919225044</v>
      </c>
      <c r="L29" s="86">
        <f>IF(L13=0,0,L13/TrAvia_act!L21*1000)</f>
        <v>6805.0584963054498</v>
      </c>
      <c r="M29" s="86">
        <f>IF(M13=0,0,M13/TrAvia_act!M21*1000)</f>
        <v>7714.5828636096485</v>
      </c>
      <c r="N29" s="86">
        <f>IF(N13=0,0,N13/TrAvia_act!N21*1000)</f>
        <v>7624.7617457449724</v>
      </c>
      <c r="O29" s="86">
        <f>IF(O13=0,0,O13/TrAvia_act!O21*1000)</f>
        <v>7601.9043915156144</v>
      </c>
      <c r="P29" s="86">
        <f>IF(P13=0,0,P13/TrAvia_act!P21*1000)</f>
        <v>5961.5850271330082</v>
      </c>
      <c r="Q29" s="86">
        <f>IF(Q13=0,0,Q13/TrAvia_act!Q21*1000)</f>
        <v>5160.5521521899891</v>
      </c>
      <c r="R29" s="86">
        <f>IF(R13=0,0,R13/TrAvia_act!R21*1000)</f>
        <v>5032.3460282721217</v>
      </c>
      <c r="S29" s="86">
        <f>IF(S13=0,0,S13/TrAvia_act!S21*1000)</f>
        <v>4713.0405045188509</v>
      </c>
      <c r="T29" s="86">
        <f>IF(T13=0,0,T13/TrAvia_act!T21*1000)</f>
        <v>3982.228327234614</v>
      </c>
      <c r="U29" s="86">
        <f>IF(U13=0,0,U13/TrAvia_act!U21*1000)</f>
        <v>3178.5443099854306</v>
      </c>
      <c r="V29" s="86">
        <f>IF(V13=0,0,V13/TrAvia_act!V21*1000)</f>
        <v>5093.1946746731346</v>
      </c>
      <c r="W29" s="86">
        <f>IF(W13=0,0,W13/TrAvia_act!W21*1000)</f>
        <v>3846.4309530886221</v>
      </c>
      <c r="X29" s="86">
        <f>IF(X13=0,0,X13/TrAvia_act!X21*1000)</f>
        <v>2988.2218604168311</v>
      </c>
      <c r="Y29" s="86">
        <f>IF(Y13=0,0,Y13/TrAvia_act!Y21*1000)</f>
        <v>3330.3273514041507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113.72835680532069</v>
      </c>
      <c r="C32" s="14">
        <f>IF(C6=0,0,C6/TrAvia_act!C4*1000)</f>
        <v>111.24836524099274</v>
      </c>
      <c r="D32" s="14">
        <f>IF(D6=0,0,D6/TrAvia_act!D4*1000)</f>
        <v>109.06448669803234</v>
      </c>
      <c r="E32" s="14">
        <f>IF(E6=0,0,E6/TrAvia_act!E4*1000)</f>
        <v>108.9003038993125</v>
      </c>
      <c r="F32" s="14">
        <f>IF(F6=0,0,F6/TrAvia_act!F4*1000)</f>
        <v>107.37015601122626</v>
      </c>
      <c r="G32" s="14">
        <f>IF(G6=0,0,G6/TrAvia_act!G4*1000)</f>
        <v>107.03365662953507</v>
      </c>
      <c r="H32" s="14">
        <f>IF(H6=0,0,H6/TrAvia_act!H4*1000)</f>
        <v>101.26650430159998</v>
      </c>
      <c r="I32" s="14">
        <f>IF(I6=0,0,I6/TrAvia_act!I4*1000)</f>
        <v>105.75918615097869</v>
      </c>
      <c r="J32" s="14">
        <f>IF(J6=0,0,J6/TrAvia_act!J4*1000)</f>
        <v>122.30995869518738</v>
      </c>
      <c r="K32" s="14">
        <f>IF(K6=0,0,K6/TrAvia_act!K4*1000)</f>
        <v>90.764911559613793</v>
      </c>
      <c r="L32" s="14">
        <f>IF(L6=0,0,L6/TrAvia_act!L4*1000)</f>
        <v>95.23328579640733</v>
      </c>
      <c r="M32" s="14">
        <f>IF(M6=0,0,M6/TrAvia_act!M4*1000)</f>
        <v>93.870991998586874</v>
      </c>
      <c r="N32" s="14">
        <f>IF(N6=0,0,N6/TrAvia_act!N4*1000)</f>
        <v>84.749258854435837</v>
      </c>
      <c r="O32" s="14">
        <f>IF(O6=0,0,O6/TrAvia_act!O4*1000)</f>
        <v>84.442629680487244</v>
      </c>
      <c r="P32" s="14">
        <f>IF(P6=0,0,P6/TrAvia_act!P4*1000)</f>
        <v>85.698819494750879</v>
      </c>
      <c r="Q32" s="14">
        <f>IF(Q6=0,0,Q6/TrAvia_act!Q4*1000)</f>
        <v>81.823702142052625</v>
      </c>
      <c r="R32" s="14">
        <f>IF(R6=0,0,R6/TrAvia_act!R4*1000)</f>
        <v>86.199014245179058</v>
      </c>
      <c r="S32" s="14">
        <f>IF(S6=0,0,S6/TrAvia_act!S4*1000)</f>
        <v>86.005951489001262</v>
      </c>
      <c r="T32" s="14">
        <f>IF(T6=0,0,T6/TrAvia_act!T4*1000)</f>
        <v>83.614845952803933</v>
      </c>
      <c r="U32" s="14">
        <f>IF(U6=0,0,U6/TrAvia_act!U4*1000)</f>
        <v>79.109731445045441</v>
      </c>
      <c r="V32" s="14">
        <f>IF(V6=0,0,V6/TrAvia_act!V4*1000)</f>
        <v>119.62466060353123</v>
      </c>
      <c r="W32" s="14">
        <f>IF(W6=0,0,W6/TrAvia_act!W4*1000)</f>
        <v>96.60734124828474</v>
      </c>
      <c r="X32" s="14">
        <f>IF(X6=0,0,X6/TrAvia_act!X4*1000)</f>
        <v>70.137120013271655</v>
      </c>
      <c r="Y32" s="14">
        <f>IF(Y6=0,0,Y6/TrAvia_act!Y4*1000)</f>
        <v>61.806595262744572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X33" s="87">
        <f>IF(X7=0,0,X7/TrAvia_act!X5*1000)</f>
        <v>0</v>
      </c>
      <c r="Y33" s="87">
        <f>IF(Y7=0,0,Y7/TrAvia_act!Y5*1000)</f>
        <v>0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129.92537428320273</v>
      </c>
      <c r="C34" s="87">
        <f>IF(C8=0,0,C8/TrAvia_act!C6*1000)</f>
        <v>126.1695504513615</v>
      </c>
      <c r="D34" s="87">
        <f>IF(D8=0,0,D8/TrAvia_act!D6*1000)</f>
        <v>122.81953832881916</v>
      </c>
      <c r="E34" s="87">
        <f>IF(E8=0,0,E8/TrAvia_act!E6*1000)</f>
        <v>121.90225122563857</v>
      </c>
      <c r="F34" s="87">
        <f>IF(F8=0,0,F8/TrAvia_act!F6*1000)</f>
        <v>119.99568715912807</v>
      </c>
      <c r="G34" s="87">
        <f>IF(G8=0,0,G8/TrAvia_act!G6*1000)</f>
        <v>117.43089501831517</v>
      </c>
      <c r="H34" s="87">
        <f>IF(H8=0,0,H8/TrAvia_act!H6*1000)</f>
        <v>111.56801431093201</v>
      </c>
      <c r="I34" s="87">
        <f>IF(I8=0,0,I8/TrAvia_act!I6*1000)</f>
        <v>120.50960718125188</v>
      </c>
      <c r="J34" s="87">
        <f>IF(J8=0,0,J8/TrAvia_act!J6*1000)</f>
        <v>131.67646098944044</v>
      </c>
      <c r="K34" s="87">
        <f>IF(K8=0,0,K8/TrAvia_act!K6*1000)</f>
        <v>98.578810239572249</v>
      </c>
      <c r="L34" s="87">
        <f>IF(L8=0,0,L8/TrAvia_act!L6*1000)</f>
        <v>97.151125024629053</v>
      </c>
      <c r="M34" s="87">
        <f>IF(M8=0,0,M8/TrAvia_act!M6*1000)</f>
        <v>90.89091644640429</v>
      </c>
      <c r="N34" s="87">
        <f>IF(N8=0,0,N8/TrAvia_act!N6*1000)</f>
        <v>83.649767896637798</v>
      </c>
      <c r="O34" s="87">
        <f>IF(O8=0,0,O8/TrAvia_act!O6*1000)</f>
        <v>86.395503725653327</v>
      </c>
      <c r="P34" s="87">
        <f>IF(P8=0,0,P8/TrAvia_act!P6*1000)</f>
        <v>90.536786707914985</v>
      </c>
      <c r="Q34" s="87">
        <f>IF(Q8=0,0,Q8/TrAvia_act!Q6*1000)</f>
        <v>86.520719371138384</v>
      </c>
      <c r="R34" s="87">
        <f>IF(R8=0,0,R8/TrAvia_act!R6*1000)</f>
        <v>91.50002884448962</v>
      </c>
      <c r="S34" s="87">
        <f>IF(S8=0,0,S8/TrAvia_act!S6*1000)</f>
        <v>94.906093677713741</v>
      </c>
      <c r="T34" s="87">
        <f>IF(T8=0,0,T8/TrAvia_act!T6*1000)</f>
        <v>97.672262035893695</v>
      </c>
      <c r="U34" s="87">
        <f>IF(U8=0,0,U8/TrAvia_act!U6*1000)</f>
        <v>96.644262913773176</v>
      </c>
      <c r="V34" s="87">
        <f>IF(V8=0,0,V8/TrAvia_act!V6*1000)</f>
        <v>129.92906041687525</v>
      </c>
      <c r="W34" s="87">
        <f>IF(W8=0,0,W8/TrAvia_act!W6*1000)</f>
        <v>118.57217301227126</v>
      </c>
      <c r="X34" s="87">
        <f>IF(X8=0,0,X8/TrAvia_act!X6*1000)</f>
        <v>86.41556185539747</v>
      </c>
      <c r="Y34" s="87">
        <f>IF(Y8=0,0,Y8/TrAvia_act!Y6*1000)</f>
        <v>77.621405209021333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67.208966683855834</v>
      </c>
      <c r="C35" s="87">
        <f>IF(C9=0,0,C9/TrAvia_act!C7*1000)</f>
        <v>67.161908047673307</v>
      </c>
      <c r="D35" s="87">
        <f>IF(D9=0,0,D9/TrAvia_act!D7*1000)</f>
        <v>67.254926202253301</v>
      </c>
      <c r="E35" s="87">
        <f>IF(E9=0,0,E9/TrAvia_act!E7*1000)</f>
        <v>68.379189182959877</v>
      </c>
      <c r="F35" s="87">
        <f>IF(F9=0,0,F9/TrAvia_act!F7*1000)</f>
        <v>67.769221460663061</v>
      </c>
      <c r="G35" s="87">
        <f>IF(G9=0,0,G9/TrAvia_act!G7*1000)</f>
        <v>67.74603871741499</v>
      </c>
      <c r="H35" s="87">
        <f>IF(H9=0,0,H9/TrAvia_act!H7*1000)</f>
        <v>61.453943718776735</v>
      </c>
      <c r="I35" s="87">
        <f>IF(I9=0,0,I9/TrAvia_act!I7*1000)</f>
        <v>56.320324730008721</v>
      </c>
      <c r="J35" s="87">
        <f>IF(J9=0,0,J9/TrAvia_act!J7*1000)</f>
        <v>81.107454574901865</v>
      </c>
      <c r="K35" s="87">
        <f>IF(K9=0,0,K9/TrAvia_act!K7*1000)</f>
        <v>61.160990506502927</v>
      </c>
      <c r="L35" s="87">
        <f>IF(L9=0,0,L9/TrAvia_act!L7*1000)</f>
        <v>83.92073270069379</v>
      </c>
      <c r="M35" s="87">
        <f>IF(M9=0,0,M9/TrAvia_act!M7*1000)</f>
        <v>122.71258026757478</v>
      </c>
      <c r="N35" s="87">
        <f>IF(N9=0,0,N9/TrAvia_act!N7*1000)</f>
        <v>94.723639450377178</v>
      </c>
      <c r="O35" s="87">
        <f>IF(O9=0,0,O9/TrAvia_act!O7*1000)</f>
        <v>71.197868291871671</v>
      </c>
      <c r="P35" s="87">
        <f>IF(P9=0,0,P9/TrAvia_act!P7*1000)</f>
        <v>59.411750797407819</v>
      </c>
      <c r="Q35" s="87">
        <f>IF(Q9=0,0,Q9/TrAvia_act!Q7*1000)</f>
        <v>55.507035575239762</v>
      </c>
      <c r="R35" s="87">
        <f>IF(R9=0,0,R9/TrAvia_act!R7*1000)</f>
        <v>54.973757718137314</v>
      </c>
      <c r="S35" s="87">
        <f>IF(S9=0,0,S9/TrAvia_act!S7*1000)</f>
        <v>44.229618285201752</v>
      </c>
      <c r="T35" s="87">
        <f>IF(T9=0,0,T9/TrAvia_act!T7*1000)</f>
        <v>33.212656822547459</v>
      </c>
      <c r="U35" s="87">
        <f>IF(U9=0,0,U9/TrAvia_act!U7*1000)</f>
        <v>27.527347655749232</v>
      </c>
      <c r="V35" s="87">
        <f>IF(V9=0,0,V9/TrAvia_act!V7*1000)</f>
        <v>76.842169640778195</v>
      </c>
      <c r="W35" s="87">
        <f>IF(W9=0,0,W9/TrAvia_act!W7*1000)</f>
        <v>38.969165730086182</v>
      </c>
      <c r="X35" s="87">
        <f>IF(X9=0,0,X9/TrAvia_act!X7*1000)</f>
        <v>22.688400508724804</v>
      </c>
      <c r="Y35" s="87">
        <f>IF(Y9=0,0,Y9/TrAvia_act!Y7*1000)</f>
        <v>20.380236897464243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302.05489048413182</v>
      </c>
      <c r="C36" s="15">
        <f>IF(C10=0,0,C10/TrAvia_act!C8*1000)</f>
        <v>287.42910922205215</v>
      </c>
      <c r="D36" s="15">
        <f>IF(D10=0,0,D10/TrAvia_act!D8*1000)</f>
        <v>305.64409088838363</v>
      </c>
      <c r="E36" s="15">
        <f>IF(E10=0,0,E10/TrAvia_act!E8*1000)</f>
        <v>287.50823100271595</v>
      </c>
      <c r="F36" s="15">
        <f>IF(F10=0,0,F10/TrAvia_act!F8*1000)</f>
        <v>307.01472254469286</v>
      </c>
      <c r="G36" s="15">
        <f>IF(G10=0,0,G10/TrAvia_act!G8*1000)</f>
        <v>306.96138031185563</v>
      </c>
      <c r="H36" s="15">
        <f>IF(H10=0,0,H10/TrAvia_act!H8*1000)</f>
        <v>322.80903129727619</v>
      </c>
      <c r="I36" s="15">
        <f>IF(I10=0,0,I10/TrAvia_act!I8*1000)</f>
        <v>315.55393096453662</v>
      </c>
      <c r="J36" s="15">
        <f>IF(J10=0,0,J10/TrAvia_act!J8*1000)</f>
        <v>461.72128831076935</v>
      </c>
      <c r="K36" s="15">
        <f>IF(K10=0,0,K10/TrAvia_act!K8*1000)</f>
        <v>362.50033338442853</v>
      </c>
      <c r="L36" s="15">
        <f>IF(L10=0,0,L10/TrAvia_act!L8*1000)</f>
        <v>322.37842137070629</v>
      </c>
      <c r="M36" s="15">
        <f>IF(M10=0,0,M10/TrAvia_act!M8*1000)</f>
        <v>306.90987130684738</v>
      </c>
      <c r="N36" s="15">
        <f>IF(N10=0,0,N10/TrAvia_act!N8*1000)</f>
        <v>131.5588076991495</v>
      </c>
      <c r="O36" s="15">
        <f>IF(O10=0,0,O10/TrAvia_act!O8*1000)</f>
        <v>203.7425640178368</v>
      </c>
      <c r="P36" s="15">
        <f>IF(P10=0,0,P10/TrAvia_act!P8*1000)</f>
        <v>201.55278581158927</v>
      </c>
      <c r="Q36" s="15">
        <f>IF(Q10=0,0,Q10/TrAvia_act!Q8*1000)</f>
        <v>196.9434638520865</v>
      </c>
      <c r="R36" s="15">
        <f>IF(R10=0,0,R10/TrAvia_act!R8*1000)</f>
        <v>215.36327730665172</v>
      </c>
      <c r="S36" s="15">
        <f>IF(S10=0,0,S10/TrAvia_act!S8*1000)</f>
        <v>278.0706294924172</v>
      </c>
      <c r="T36" s="15">
        <f>IF(T10=0,0,T10/TrAvia_act!T8*1000)</f>
        <v>251.55098155533551</v>
      </c>
      <c r="U36" s="15">
        <f>IF(U10=0,0,U10/TrAvia_act!U8*1000)</f>
        <v>215.13949262620443</v>
      </c>
      <c r="V36" s="15">
        <f>IF(V10=0,0,V10/TrAvia_act!V8*1000)</f>
        <v>360.69126514767453</v>
      </c>
      <c r="W36" s="15">
        <f>IF(W10=0,0,W10/TrAvia_act!W8*1000)</f>
        <v>324.31692951973503</v>
      </c>
      <c r="X36" s="15">
        <f>IF(X10=0,0,X10/TrAvia_act!X8*1000)</f>
        <v>211.24614788707115</v>
      </c>
      <c r="Y36" s="15">
        <f>IF(Y10=0,0,Y10/TrAvia_act!Y8*1000)</f>
        <v>197.69706326331846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X37" s="101">
        <f>IF(X11=0,0,X11/TrAvia_act!X9*1000)</f>
        <v>0</v>
      </c>
      <c r="Y37" s="101">
        <f>IF(Y11=0,0,Y11/TrAvia_act!Y9*1000)</f>
        <v>0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331.0435939964359</v>
      </c>
      <c r="C38" s="101">
        <f>IF(C12=0,0,C12/TrAvia_act!C10*1000)</f>
        <v>314.19857602336219</v>
      </c>
      <c r="D38" s="101">
        <f>IF(D12=0,0,D12/TrAvia_act!D10*1000)</f>
        <v>334.97978979514539</v>
      </c>
      <c r="E38" s="101">
        <f>IF(E12=0,0,E12/TrAvia_act!E10*1000)</f>
        <v>331.22189307315313</v>
      </c>
      <c r="F38" s="101">
        <f>IF(F12=0,0,F12/TrAvia_act!F10*1000)</f>
        <v>364.93298097501537</v>
      </c>
      <c r="G38" s="101">
        <f>IF(G12=0,0,G12/TrAvia_act!G10*1000)</f>
        <v>367.71401548562983</v>
      </c>
      <c r="H38" s="101">
        <f>IF(H12=0,0,H12/TrAvia_act!H10*1000)</f>
        <v>463.81229041846677</v>
      </c>
      <c r="I38" s="101">
        <f>IF(I12=0,0,I12/TrAvia_act!I10*1000)</f>
        <v>512.86400653883061</v>
      </c>
      <c r="J38" s="101">
        <f>IF(J12=0,0,J12/TrAvia_act!J10*1000)</f>
        <v>590.77850881537199</v>
      </c>
      <c r="K38" s="101">
        <f>IF(K12=0,0,K12/TrAvia_act!K10*1000)</f>
        <v>384.38245435493189</v>
      </c>
      <c r="L38" s="101">
        <f>IF(L12=0,0,L12/TrAvia_act!L10*1000)</f>
        <v>339.86063587885695</v>
      </c>
      <c r="M38" s="101">
        <f>IF(M12=0,0,M12/TrAvia_act!M10*1000)</f>
        <v>330.26709476258469</v>
      </c>
      <c r="N38" s="101">
        <f>IF(N12=0,0,N12/TrAvia_act!N10*1000)</f>
        <v>309.41923365544869</v>
      </c>
      <c r="O38" s="101">
        <f>IF(O12=0,0,O12/TrAvia_act!O10*1000)</f>
        <v>329.73795228687732</v>
      </c>
      <c r="P38" s="101">
        <f>IF(P12=0,0,P12/TrAvia_act!P10*1000)</f>
        <v>273.68879685654326</v>
      </c>
      <c r="Q38" s="101">
        <f>IF(Q12=0,0,Q12/TrAvia_act!Q10*1000)</f>
        <v>265.10848612108276</v>
      </c>
      <c r="R38" s="101">
        <f>IF(R12=0,0,R12/TrAvia_act!R10*1000)</f>
        <v>275.10374965334898</v>
      </c>
      <c r="S38" s="101">
        <f>IF(S12=0,0,S12/TrAvia_act!S10*1000)</f>
        <v>319.96057512557252</v>
      </c>
      <c r="T38" s="101">
        <f>IF(T12=0,0,T12/TrAvia_act!T10*1000)</f>
        <v>319.12212098590209</v>
      </c>
      <c r="U38" s="101">
        <f>IF(U12=0,0,U12/TrAvia_act!U10*1000)</f>
        <v>301.06788977079719</v>
      </c>
      <c r="V38" s="101">
        <f>IF(V12=0,0,V12/TrAvia_act!V10*1000)</f>
        <v>516.5028079657958</v>
      </c>
      <c r="W38" s="101">
        <f>IF(W12=0,0,W12/TrAvia_act!W10*1000)</f>
        <v>473.85351867887891</v>
      </c>
      <c r="X38" s="101">
        <f>IF(X12=0,0,X12/TrAvia_act!X10*1000)</f>
        <v>345.84183610559609</v>
      </c>
      <c r="Y38" s="101">
        <f>IF(Y12=0,0,Y12/TrAvia_act!Y10*1000)</f>
        <v>310.84754765033676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55.181901783242466</v>
      </c>
      <c r="C39" s="88">
        <f>IF(C13=0,0,C13/TrAvia_act!C11*1000)</f>
        <v>52.853577915088195</v>
      </c>
      <c r="D39" s="88">
        <f>IF(D13=0,0,D13/TrAvia_act!D11*1000)</f>
        <v>55.834009946387468</v>
      </c>
      <c r="E39" s="88">
        <f>IF(E13=0,0,E13/TrAvia_act!E11*1000)</f>
        <v>61.966796538509598</v>
      </c>
      <c r="F39" s="88">
        <f>IF(F13=0,0,F13/TrAvia_act!F11*1000)</f>
        <v>63.767493974798469</v>
      </c>
      <c r="G39" s="88">
        <f>IF(G13=0,0,G13/TrAvia_act!G11*1000)</f>
        <v>68.738826077425585</v>
      </c>
      <c r="H39" s="88">
        <f>IF(H13=0,0,H13/TrAvia_act!H11*1000)</f>
        <v>66.19286878162373</v>
      </c>
      <c r="I39" s="88">
        <f>IF(I13=0,0,I13/TrAvia_act!I11*1000)</f>
        <v>75.383695989362792</v>
      </c>
      <c r="J39" s="88">
        <f>IF(J13=0,0,J13/TrAvia_act!J11*1000)</f>
        <v>113.55375729416096</v>
      </c>
      <c r="K39" s="88">
        <f>IF(K13=0,0,K13/TrAvia_act!K11*1000)</f>
        <v>88.523881782819046</v>
      </c>
      <c r="L39" s="88">
        <f>IF(L13=0,0,L13/TrAvia_act!L11*1000)</f>
        <v>109.17024059044672</v>
      </c>
      <c r="M39" s="88">
        <f>IF(M13=0,0,M13/TrAvia_act!M11*1000)</f>
        <v>126.30850733559451</v>
      </c>
      <c r="N39" s="88">
        <f>IF(N13=0,0,N13/TrAvia_act!N11*1000)</f>
        <v>84.966519587342404</v>
      </c>
      <c r="O39" s="88">
        <f>IF(O13=0,0,O13/TrAvia_act!O11*1000)</f>
        <v>84.92002647001064</v>
      </c>
      <c r="P39" s="88">
        <f>IF(P13=0,0,P13/TrAvia_act!P11*1000)</f>
        <v>64.733762070786881</v>
      </c>
      <c r="Q39" s="88">
        <f>IF(Q13=0,0,Q13/TrAvia_act!Q11*1000)</f>
        <v>57.732487529974826</v>
      </c>
      <c r="R39" s="88">
        <f>IF(R13=0,0,R13/TrAvia_act!R11*1000)</f>
        <v>52.173631398187105</v>
      </c>
      <c r="S39" s="88">
        <f>IF(S13=0,0,S13/TrAvia_act!S11*1000)</f>
        <v>49.597360775356854</v>
      </c>
      <c r="T39" s="88">
        <f>IF(T13=0,0,T13/TrAvia_act!T11*1000)</f>
        <v>41.587457594584045</v>
      </c>
      <c r="U39" s="88">
        <f>IF(U13=0,0,U13/TrAvia_act!U11*1000)</f>
        <v>31.761519437931312</v>
      </c>
      <c r="V39" s="88">
        <f>IF(V13=0,0,V13/TrAvia_act!V11*1000)</f>
        <v>74.119053285858229</v>
      </c>
      <c r="W39" s="88">
        <f>IF(W13=0,0,W13/TrAvia_act!W11*1000)</f>
        <v>59.685501955386513</v>
      </c>
      <c r="X39" s="88">
        <f>IF(X13=0,0,X13/TrAvia_act!X11*1000)</f>
        <v>40.454253335869296</v>
      </c>
      <c r="Y39" s="88">
        <f>IF(Y13=0,0,Y13/TrAvia_act!Y11*1000)</f>
        <v>42.349576521618452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8787.1881918819163</v>
      </c>
      <c r="C41" s="54">
        <f>IF(C3=0,0,C3/TrAvia_act!C23*1000000)</f>
        <v>8827.3911240711132</v>
      </c>
      <c r="D41" s="54">
        <f>IF(D3=0,0,D3/TrAvia_act!D23*1000000)</f>
        <v>8803.1259814254408</v>
      </c>
      <c r="E41" s="54">
        <f>IF(E3=0,0,E3/TrAvia_act!E23*1000000)</f>
        <v>8893.5270176730464</v>
      </c>
      <c r="F41" s="54">
        <f>IF(F3=0,0,F3/TrAvia_act!F23*1000000)</f>
        <v>8882.1407021166779</v>
      </c>
      <c r="G41" s="54">
        <f>IF(G3=0,0,G3/TrAvia_act!G23*1000000)</f>
        <v>9261.4365226610153</v>
      </c>
      <c r="H41" s="54">
        <f>IF(H3=0,0,H3/TrAvia_act!H23*1000000)</f>
        <v>9840.3578084234032</v>
      </c>
      <c r="I41" s="54">
        <f>IF(I3=0,0,I3/TrAvia_act!I23*1000000)</f>
        <v>11425.905232999656</v>
      </c>
      <c r="J41" s="54">
        <f>IF(J3=0,0,J3/TrAvia_act!J23*1000000)</f>
        <v>11504.291043534891</v>
      </c>
      <c r="K41" s="54">
        <f>IF(K3=0,0,K3/TrAvia_act!K23*1000000)</f>
        <v>8260.1042847364824</v>
      </c>
      <c r="L41" s="54">
        <f>IF(L3=0,0,L3/TrAvia_act!L23*1000000)</f>
        <v>9104.8533316686444</v>
      </c>
      <c r="M41" s="54">
        <f>IF(M3=0,0,M3/TrAvia_act!M23*1000000)</f>
        <v>9909.1133581692375</v>
      </c>
      <c r="N41" s="54">
        <f>IF(N3=0,0,N3/TrAvia_act!N23*1000000)</f>
        <v>10600.032841303617</v>
      </c>
      <c r="O41" s="54">
        <f>IF(O3=0,0,O3/TrAvia_act!O23*1000000)</f>
        <v>11790.677597362688</v>
      </c>
      <c r="P41" s="54">
        <f>IF(P3=0,0,P3/TrAvia_act!P23*1000000)</f>
        <v>11592.388617821389</v>
      </c>
      <c r="Q41" s="54">
        <f>IF(Q3=0,0,Q3/TrAvia_act!Q23*1000000)</f>
        <v>11548.221813052478</v>
      </c>
      <c r="R41" s="54">
        <f>IF(R3=0,0,R3/TrAvia_act!R23*1000000)</f>
        <v>12659.542466473838</v>
      </c>
      <c r="S41" s="54">
        <f>IF(S3=0,0,S3/TrAvia_act!S23*1000000)</f>
        <v>13212.32301339193</v>
      </c>
      <c r="T41" s="54">
        <f>IF(T3=0,0,T3/TrAvia_act!T23*1000000)</f>
        <v>14162.647459677426</v>
      </c>
      <c r="U41" s="54">
        <f>IF(U3=0,0,U3/TrAvia_act!U23*1000000)</f>
        <v>13536.116416539055</v>
      </c>
      <c r="V41" s="54">
        <f>IF(V3=0,0,V3/TrAvia_act!V23*1000000)</f>
        <v>14721.910595882997</v>
      </c>
      <c r="W41" s="54">
        <f>IF(W3=0,0,W3/TrAvia_act!W23*1000000)</f>
        <v>13961.106036461852</v>
      </c>
      <c r="X41" s="54">
        <f>IF(X3=0,0,X3/TrAvia_act!X23*1000000)</f>
        <v>13772.434307345649</v>
      </c>
      <c r="Y41" s="54">
        <f>IF(Y3=0,0,Y3/TrAvia_act!Y23*1000000)</f>
        <v>13573.544684800832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8826.0703488452909</v>
      </c>
      <c r="C42" s="11">
        <f>IF(C6=0,0,C6/TrAvia_act!C24*1000000)</f>
        <v>8858.7041005603242</v>
      </c>
      <c r="D42" s="11">
        <f>IF(D6=0,0,D6/TrAvia_act!D24*1000000)</f>
        <v>8836.1543945988014</v>
      </c>
      <c r="E42" s="11">
        <f>IF(E6=0,0,E6/TrAvia_act!E24*1000000)</f>
        <v>8909.6998099667162</v>
      </c>
      <c r="F42" s="11">
        <f>IF(F6=0,0,F6/TrAvia_act!F24*1000000)</f>
        <v>8898.9501504398286</v>
      </c>
      <c r="G42" s="11">
        <f>IF(G6=0,0,G6/TrAvia_act!G24*1000000)</f>
        <v>9279.2577306820313</v>
      </c>
      <c r="H42" s="11">
        <f>IF(H6=0,0,H6/TrAvia_act!H24*1000000)</f>
        <v>9855.4854187704441</v>
      </c>
      <c r="I42" s="11">
        <f>IF(I6=0,0,I6/TrAvia_act!I24*1000000)</f>
        <v>11440.268227537132</v>
      </c>
      <c r="J42" s="11">
        <f>IF(J6=0,0,J6/TrAvia_act!J24*1000000)</f>
        <v>11502.964831301204</v>
      </c>
      <c r="K42" s="11">
        <f>IF(K6=0,0,K6/TrAvia_act!K24*1000000)</f>
        <v>8283.9597523401535</v>
      </c>
      <c r="L42" s="11">
        <f>IF(L6=0,0,L6/TrAvia_act!L24*1000000)</f>
        <v>9136.525881076579</v>
      </c>
      <c r="M42" s="11">
        <f>IF(M6=0,0,M6/TrAvia_act!M24*1000000)</f>
        <v>9950.436831212035</v>
      </c>
      <c r="N42" s="11">
        <f>IF(N6=0,0,N6/TrAvia_act!N24*1000000)</f>
        <v>10618.331297146608</v>
      </c>
      <c r="O42" s="11">
        <f>IF(O6=0,0,O6/TrAvia_act!O24*1000000)</f>
        <v>11877.073455488962</v>
      </c>
      <c r="P42" s="11">
        <f>IF(P6=0,0,P6/TrAvia_act!P24*1000000)</f>
        <v>11679.879343769095</v>
      </c>
      <c r="Q42" s="11">
        <f>IF(Q6=0,0,Q6/TrAvia_act!Q24*1000000)</f>
        <v>11642.646060093135</v>
      </c>
      <c r="R42" s="11">
        <f>IF(R6=0,0,R6/TrAvia_act!R24*1000000)</f>
        <v>12756.637858537018</v>
      </c>
      <c r="S42" s="11">
        <f>IF(S6=0,0,S6/TrAvia_act!S24*1000000)</f>
        <v>13332.855259429527</v>
      </c>
      <c r="T42" s="11">
        <f>IF(T6=0,0,T6/TrAvia_act!T24*1000000)</f>
        <v>14306.420431144161</v>
      </c>
      <c r="U42" s="11">
        <f>IF(U6=0,0,U6/TrAvia_act!U24*1000000)</f>
        <v>13676.146034888799</v>
      </c>
      <c r="V42" s="11">
        <f>IF(V6=0,0,V6/TrAvia_act!V24*1000000)</f>
        <v>15094.514427603128</v>
      </c>
      <c r="W42" s="11">
        <f>IF(W6=0,0,W6/TrAvia_act!W24*1000000)</f>
        <v>14230.523995370486</v>
      </c>
      <c r="X42" s="11">
        <f>IF(X6=0,0,X6/TrAvia_act!X24*1000000)</f>
        <v>13928.041645090456</v>
      </c>
      <c r="Y42" s="11">
        <f>IF(Y6=0,0,Y6/TrAvia_act!Y24*1000000)</f>
        <v>13711.107762974931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X43" s="84">
        <f>IF(X7=0,0,X7/TrAvia_act!X25*1000000)</f>
        <v>0</v>
      </c>
      <c r="Y43" s="84">
        <f>IF(Y7=0,0,Y7/TrAvia_act!Y25*1000000)</f>
        <v>0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8396.4325265266198</v>
      </c>
      <c r="C44" s="84">
        <f>IF(C8=0,0,C8/TrAvia_act!C26*1000000)</f>
        <v>8427.3449069526487</v>
      </c>
      <c r="D44" s="84">
        <f>IF(D8=0,0,D8/TrAvia_act!D26*1000000)</f>
        <v>8405.949501305613</v>
      </c>
      <c r="E44" s="84">
        <f>IF(E8=0,0,E8/TrAvia_act!E26*1000000)</f>
        <v>8476.1876319680923</v>
      </c>
      <c r="F44" s="84">
        <f>IF(F8=0,0,F8/TrAvia_act!F26*1000000)</f>
        <v>8465.8101742285817</v>
      </c>
      <c r="G44" s="84">
        <f>IF(G8=0,0,G8/TrAvia_act!G26*1000000)</f>
        <v>8925.8888226877207</v>
      </c>
      <c r="H44" s="84">
        <f>IF(H8=0,0,H8/TrAvia_act!H26*1000000)</f>
        <v>9684.7567470167778</v>
      </c>
      <c r="I44" s="84">
        <f>IF(I8=0,0,I8/TrAvia_act!I26*1000000)</f>
        <v>11373.684636931193</v>
      </c>
      <c r="J44" s="84">
        <f>IF(J8=0,0,J8/TrAvia_act!J26*1000000)</f>
        <v>11838.703167643653</v>
      </c>
      <c r="K44" s="84">
        <f>IF(K8=0,0,K8/TrAvia_act!K26*1000000)</f>
        <v>8225.5539003130816</v>
      </c>
      <c r="L44" s="84">
        <f>IF(L8=0,0,L8/TrAvia_act!L26*1000000)</f>
        <v>9052.0538856380608</v>
      </c>
      <c r="M44" s="84">
        <f>IF(M8=0,0,M8/TrAvia_act!M26*1000000)</f>
        <v>10021.039164449905</v>
      </c>
      <c r="N44" s="84">
        <f>IF(N8=0,0,N8/TrAvia_act!N26*1000000)</f>
        <v>11073.98030335894</v>
      </c>
      <c r="O44" s="84">
        <f>IF(O8=0,0,O8/TrAvia_act!O26*1000000)</f>
        <v>12341.586491835602</v>
      </c>
      <c r="P44" s="84">
        <f>IF(P8=0,0,P8/TrAvia_act!P26*1000000)</f>
        <v>12425.876370315451</v>
      </c>
      <c r="Q44" s="84">
        <f>IF(Q8=0,0,Q8/TrAvia_act!Q26*1000000)</f>
        <v>12547.562344948557</v>
      </c>
      <c r="R44" s="84">
        <f>IF(R8=0,0,R8/TrAvia_act!R26*1000000)</f>
        <v>13883.19858708442</v>
      </c>
      <c r="S44" s="84">
        <f>IF(S8=0,0,S8/TrAvia_act!S26*1000000)</f>
        <v>14490.610025715943</v>
      </c>
      <c r="T44" s="84">
        <f>IF(T8=0,0,T8/TrAvia_act!T26*1000000)</f>
        <v>15727.614383073182</v>
      </c>
      <c r="U44" s="84">
        <f>IF(U8=0,0,U8/TrAvia_act!U26*1000000)</f>
        <v>15536.410389151126</v>
      </c>
      <c r="V44" s="84">
        <f>IF(V8=0,0,V8/TrAvia_act!V26*1000000)</f>
        <v>15185.960312098492</v>
      </c>
      <c r="W44" s="84">
        <f>IF(W8=0,0,W8/TrAvia_act!W26*1000000)</f>
        <v>15681.162220562077</v>
      </c>
      <c r="X44" s="84">
        <f>IF(X8=0,0,X8/TrAvia_act!X26*1000000)</f>
        <v>14520.676092642216</v>
      </c>
      <c r="Y44" s="84">
        <f>IF(Y8=0,0,Y8/TrAvia_act!Y26*1000000)</f>
        <v>14432.443545376067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12328.660447655719</v>
      </c>
      <c r="C45" s="84">
        <f>IF(C9=0,0,C9/TrAvia_act!C27*1000000)</f>
        <v>12374.338336082759</v>
      </c>
      <c r="D45" s="84">
        <f>IF(D9=0,0,D9/TrAvia_act!D27*1000000)</f>
        <v>12342.429202961044</v>
      </c>
      <c r="E45" s="84">
        <f>IF(E9=0,0,E9/TrAvia_act!E27*1000000)</f>
        <v>12446.479742565367</v>
      </c>
      <c r="F45" s="84">
        <f>IF(F9=0,0,F9/TrAvia_act!F27*1000000)</f>
        <v>12431.31701057662</v>
      </c>
      <c r="G45" s="84">
        <f>IF(G9=0,0,G9/TrAvia_act!G27*1000000)</f>
        <v>12527.79304653426</v>
      </c>
      <c r="H45" s="84">
        <f>IF(H9=0,0,H9/TrAvia_act!H27*1000000)</f>
        <v>11246.546114617322</v>
      </c>
      <c r="I45" s="84">
        <f>IF(I9=0,0,I9/TrAvia_act!I27*1000000)</f>
        <v>11941.628779443316</v>
      </c>
      <c r="J45" s="84">
        <f>IF(J9=0,0,J9/TrAvia_act!J27*1000000)</f>
        <v>9565.6328364107048</v>
      </c>
      <c r="K45" s="84">
        <f>IF(K9=0,0,K9/TrAvia_act!K27*1000000)</f>
        <v>8659.425943942766</v>
      </c>
      <c r="L45" s="84">
        <f>IF(L9=0,0,L9/TrAvia_act!L27*1000000)</f>
        <v>9758.3522183379482</v>
      </c>
      <c r="M45" s="84">
        <f>IF(M9=0,0,M9/TrAvia_act!M27*1000000)</f>
        <v>9472.0559218231847</v>
      </c>
      <c r="N45" s="84">
        <f>IF(N9=0,0,N9/TrAvia_act!N27*1000000)</f>
        <v>7985.9267109673083</v>
      </c>
      <c r="O45" s="84">
        <f>IF(O9=0,0,O9/TrAvia_act!O27*1000000)</f>
        <v>9068.1511758124398</v>
      </c>
      <c r="P45" s="84">
        <f>IF(P9=0,0,P9/TrAvia_act!P27*1000000)</f>
        <v>7801.679775080921</v>
      </c>
      <c r="Q45" s="84">
        <f>IF(Q9=0,0,Q9/TrAvia_act!Q27*1000000)</f>
        <v>7143.4312822450356</v>
      </c>
      <c r="R45" s="84">
        <f>IF(R9=0,0,R9/TrAvia_act!R27*1000000)</f>
        <v>7104.5096683255915</v>
      </c>
      <c r="S45" s="84">
        <f>IF(S9=0,0,S9/TrAvia_act!S27*1000000)</f>
        <v>7387.7740340520741</v>
      </c>
      <c r="T45" s="84">
        <f>IF(T9=0,0,T9/TrAvia_act!T27*1000000)</f>
        <v>7326.1040400273041</v>
      </c>
      <c r="U45" s="84">
        <f>IF(U9=0,0,U9/TrAvia_act!U27*1000000)</f>
        <v>6114.5970083749444</v>
      </c>
      <c r="V45" s="84">
        <f>IF(V9=0,0,V9/TrAvia_act!V27*1000000)</f>
        <v>14482.291980557899</v>
      </c>
      <c r="W45" s="84">
        <f>IF(W9=0,0,W9/TrAvia_act!W27*1000000)</f>
        <v>8184.9229862860202</v>
      </c>
      <c r="X45" s="84">
        <f>IF(X9=0,0,X9/TrAvia_act!X27*1000000)</f>
        <v>9585.0143168914456</v>
      </c>
      <c r="Y45" s="84">
        <f>IF(Y9=0,0,Y9/TrAvia_act!Y27*1000000)</f>
        <v>9149.0648356283164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7276.5020345695848</v>
      </c>
      <c r="C46" s="13">
        <f>IF(C10=0,0,C10/TrAvia_act!C28*1000000)</f>
        <v>7265.9373395229741</v>
      </c>
      <c r="D46" s="13">
        <f>IF(D10=0,0,D10/TrAvia_act!D28*1000000)</f>
        <v>7284.6284953816148</v>
      </c>
      <c r="E46" s="13">
        <f>IF(E10=0,0,E10/TrAvia_act!E28*1000000)</f>
        <v>7340.9389574809311</v>
      </c>
      <c r="F46" s="13">
        <f>IF(F10=0,0,F10/TrAvia_act!F28*1000000)</f>
        <v>7310.6622771741804</v>
      </c>
      <c r="G46" s="13">
        <f>IF(G10=0,0,G10/TrAvia_act!G28*1000000)</f>
        <v>7474.1726873719299</v>
      </c>
      <c r="H46" s="13">
        <f>IF(H10=0,0,H10/TrAvia_act!H28*1000000)</f>
        <v>8573.7787273671056</v>
      </c>
      <c r="I46" s="13">
        <f>IF(I10=0,0,I10/TrAvia_act!I28*1000000)</f>
        <v>10210.427976057319</v>
      </c>
      <c r="J46" s="13">
        <f>IF(J10=0,0,J10/TrAvia_act!J28*1000000)</f>
        <v>11651.686867237315</v>
      </c>
      <c r="K46" s="13">
        <f>IF(K10=0,0,K10/TrAvia_act!K28*1000000)</f>
        <v>6178.7547622685006</v>
      </c>
      <c r="L46" s="13">
        <f>IF(L10=0,0,L10/TrAvia_act!L28*1000000)</f>
        <v>6480.1773524602841</v>
      </c>
      <c r="M46" s="13">
        <f>IF(M10=0,0,M10/TrAvia_act!M28*1000000)</f>
        <v>6473.7141813277531</v>
      </c>
      <c r="N46" s="13">
        <f>IF(N10=0,0,N10/TrAvia_act!N28*1000000)</f>
        <v>9412.5238268729718</v>
      </c>
      <c r="O46" s="13">
        <f>IF(O10=0,0,O10/TrAvia_act!O28*1000000)</f>
        <v>7629.1979805276478</v>
      </c>
      <c r="P46" s="13">
        <f>IF(P10=0,0,P10/TrAvia_act!P28*1000000)</f>
        <v>6786.9787731503766</v>
      </c>
      <c r="Q46" s="13">
        <f>IF(Q10=0,0,Q10/TrAvia_act!Q28*1000000)</f>
        <v>6493.3771214759472</v>
      </c>
      <c r="R46" s="13">
        <f>IF(R10=0,0,R10/TrAvia_act!R28*1000000)</f>
        <v>6736.195858271677</v>
      </c>
      <c r="S46" s="13">
        <f>IF(S10=0,0,S10/TrAvia_act!S28*1000000)</f>
        <v>6785.2939031663664</v>
      </c>
      <c r="T46" s="13">
        <f>IF(T10=0,0,T10/TrAvia_act!T28*1000000)</f>
        <v>6711.1240450198648</v>
      </c>
      <c r="U46" s="13">
        <f>IF(U10=0,0,U10/TrAvia_act!U28*1000000)</f>
        <v>6388.7602419853974</v>
      </c>
      <c r="V46" s="13">
        <f>IF(V10=0,0,V10/TrAvia_act!V28*1000000)</f>
        <v>8585.1137333883435</v>
      </c>
      <c r="W46" s="13">
        <f>IF(W10=0,0,W10/TrAvia_act!W28*1000000)</f>
        <v>8154.2600794767841</v>
      </c>
      <c r="X46" s="13">
        <f>IF(X10=0,0,X10/TrAvia_act!X28*1000000)</f>
        <v>7063.3759899070528</v>
      </c>
      <c r="Y46" s="13">
        <f>IF(Y10=0,0,Y10/TrAvia_act!Y28*1000000)</f>
        <v>7204.5419251914427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X47" s="102">
        <f>IF(X11=0,0,X11/TrAvia_act!X29*1000000)</f>
        <v>0</v>
      </c>
      <c r="Y47" s="102">
        <f>IF(Y11=0,0,Y11/TrAvia_act!Y29*1000000)</f>
        <v>0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7279.546462119848</v>
      </c>
      <c r="C48" s="102">
        <f>IF(C12=0,0,C12/TrAvia_act!C30*1000000)</f>
        <v>7268.1863367173319</v>
      </c>
      <c r="D48" s="102">
        <f>IF(D12=0,0,D12/TrAvia_act!D30*1000000)</f>
        <v>7287.6763229750668</v>
      </c>
      <c r="E48" s="102">
        <f>IF(E12=0,0,E12/TrAvia_act!E30*1000000)</f>
        <v>7346.4417297591353</v>
      </c>
      <c r="F48" s="102">
        <f>IF(F12=0,0,F12/TrAvia_act!F30*1000000)</f>
        <v>7316.0461821678919</v>
      </c>
      <c r="G48" s="102">
        <f>IF(G12=0,0,G12/TrAvia_act!G30*1000000)</f>
        <v>7485.7483510289276</v>
      </c>
      <c r="H48" s="102">
        <f>IF(H12=0,0,H12/TrAvia_act!H30*1000000)</f>
        <v>8681.396995348141</v>
      </c>
      <c r="I48" s="102">
        <f>IF(I12=0,0,I12/TrAvia_act!I30*1000000)</f>
        <v>10389.850035498906</v>
      </c>
      <c r="J48" s="102">
        <f>IF(J12=0,0,J12/TrAvia_act!J30*1000000)</f>
        <v>12025.219923656721</v>
      </c>
      <c r="K48" s="102">
        <f>IF(K12=0,0,K12/TrAvia_act!K30*1000000)</f>
        <v>6149.7026327550875</v>
      </c>
      <c r="L48" s="102">
        <f>IF(L12=0,0,L12/TrAvia_act!L30*1000000)</f>
        <v>6414.6307621412716</v>
      </c>
      <c r="M48" s="102">
        <f>IF(M12=0,0,M12/TrAvia_act!M30*1000000)</f>
        <v>6293.856428951678</v>
      </c>
      <c r="N48" s="102">
        <f>IF(N12=0,0,N12/TrAvia_act!N30*1000000)</f>
        <v>6134.7362578914663</v>
      </c>
      <c r="O48" s="102">
        <f>IF(O12=0,0,O12/TrAvia_act!O30*1000000)</f>
        <v>6590.1462558394514</v>
      </c>
      <c r="P48" s="102">
        <f>IF(P12=0,0,P12/TrAvia_act!P30*1000000)</f>
        <v>6409.3811925591262</v>
      </c>
      <c r="Q48" s="102">
        <f>IF(Q12=0,0,Q12/TrAvia_act!Q30*1000000)</f>
        <v>6269.5939650696346</v>
      </c>
      <c r="R48" s="102">
        <f>IF(R12=0,0,R12/TrAvia_act!R30*1000000)</f>
        <v>6660.8858760555904</v>
      </c>
      <c r="S48" s="102">
        <f>IF(S12=0,0,S12/TrAvia_act!S30*1000000)</f>
        <v>6781.0512972843835</v>
      </c>
      <c r="T48" s="102">
        <f>IF(T12=0,0,T12/TrAvia_act!T30*1000000)</f>
        <v>6761.0416028878226</v>
      </c>
      <c r="U48" s="102">
        <f>IF(U12=0,0,U12/TrAvia_act!U30*1000000)</f>
        <v>6442.3260781381032</v>
      </c>
      <c r="V48" s="102">
        <f>IF(V12=0,0,V12/TrAvia_act!V30*1000000)</f>
        <v>8601.4006370176885</v>
      </c>
      <c r="W48" s="102">
        <f>IF(W12=0,0,W12/TrAvia_act!W30*1000000)</f>
        <v>8239.8394324654801</v>
      </c>
      <c r="X48" s="102">
        <f>IF(X12=0,0,X12/TrAvia_act!X30*1000000)</f>
        <v>7196.9168760475095</v>
      </c>
      <c r="Y48" s="102">
        <f>IF(Y12=0,0,Y12/TrAvia_act!Y30*1000000)</f>
        <v>7181.8376817940962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7124.2806570564644</v>
      </c>
      <c r="C49" s="86">
        <f>IF(C13=0,0,C13/TrAvia_act!C31*1000000)</f>
        <v>7150.6762333121032</v>
      </c>
      <c r="D49" s="86">
        <f>IF(D13=0,0,D13/TrAvia_act!D31*1000000)</f>
        <v>7132.2371157090465</v>
      </c>
      <c r="E49" s="86">
        <f>IF(E13=0,0,E13/TrAvia_act!E31*1000000)</f>
        <v>7192.3641059693964</v>
      </c>
      <c r="F49" s="86">
        <f>IF(F13=0,0,F13/TrAvia_act!F31*1000000)</f>
        <v>7183.6021193225743</v>
      </c>
      <c r="G49" s="86">
        <f>IF(G13=0,0,G13/TrAvia_act!G31*1000000)</f>
        <v>7239.3520817585259</v>
      </c>
      <c r="H49" s="86">
        <f>IF(H13=0,0,H13/TrAvia_act!H31*1000000)</f>
        <v>7403.4300630733533</v>
      </c>
      <c r="I49" s="86">
        <f>IF(I13=0,0,I13/TrAvia_act!I31*1000000)</f>
        <v>8932.9429128332231</v>
      </c>
      <c r="J49" s="86">
        <f>IF(J13=0,0,J13/TrAvia_act!J31*1000000)</f>
        <v>8114.1090976182286</v>
      </c>
      <c r="K49" s="86">
        <f>IF(K13=0,0,K13/TrAvia_act!K31*1000000)</f>
        <v>8314.0862815043329</v>
      </c>
      <c r="L49" s="86">
        <f>IF(L13=0,0,L13/TrAvia_act!L31*1000000)</f>
        <v>10587.76367911844</v>
      </c>
      <c r="M49" s="86">
        <f>IF(M13=0,0,M13/TrAvia_act!M31*1000000)</f>
        <v>15331.708485849451</v>
      </c>
      <c r="N49" s="86">
        <f>IF(N13=0,0,N13/TrAvia_act!N31*1000000)</f>
        <v>19197.683775450121</v>
      </c>
      <c r="O49" s="86">
        <f>IF(O13=0,0,O13/TrAvia_act!O31*1000000)</f>
        <v>18051.201643309258</v>
      </c>
      <c r="P49" s="86">
        <f>IF(P13=0,0,P13/TrAvia_act!P31*1000000)</f>
        <v>12864.501736952425</v>
      </c>
      <c r="Q49" s="86">
        <f>IF(Q13=0,0,Q13/TrAvia_act!Q31*1000000)</f>
        <v>9760.6112050081119</v>
      </c>
      <c r="R49" s="86">
        <f>IF(R13=0,0,R13/TrAvia_act!R31*1000000)</f>
        <v>8046.5895488316019</v>
      </c>
      <c r="S49" s="86">
        <f>IF(S13=0,0,S13/TrAvia_act!S31*1000000)</f>
        <v>6938.0277149177691</v>
      </c>
      <c r="T49" s="86">
        <f>IF(T13=0,0,T13/TrAvia_act!T31*1000000)</f>
        <v>5706.5331929272015</v>
      </c>
      <c r="U49" s="86">
        <f>IF(U13=0,0,U13/TrAvia_act!U31*1000000)</f>
        <v>5468.9055383975483</v>
      </c>
      <c r="V49" s="86">
        <f>IF(V13=0,0,V13/TrAvia_act!V31*1000000)</f>
        <v>8381.7007029537544</v>
      </c>
      <c r="W49" s="86">
        <f>IF(W13=0,0,W13/TrAvia_act!W31*1000000)</f>
        <v>7115.8972632139512</v>
      </c>
      <c r="X49" s="86">
        <f>IF(X13=0,0,X13/TrAvia_act!X31*1000000)</f>
        <v>5879.8371558779081</v>
      </c>
      <c r="Y49" s="86">
        <f>IF(Y13=0,0,Y13/TrAvia_act!Y31*1000000)</f>
        <v>7441.6164667125759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0.97922158819151617</v>
      </c>
      <c r="C52" s="16">
        <f t="shared" si="36"/>
        <v>0.98381802795892248</v>
      </c>
      <c r="D52" s="16">
        <f t="shared" ref="D52:V52" si="37">IF(D6=0,0,D6/D$3)</f>
        <v>0.98238432981333723</v>
      </c>
      <c r="E52" s="16">
        <f t="shared" si="37"/>
        <v>0.99149046459110945</v>
      </c>
      <c r="F52" s="16">
        <f t="shared" si="37"/>
        <v>0.99128909427582301</v>
      </c>
      <c r="G52" s="16">
        <f t="shared" si="37"/>
        <v>0.99203246013253976</v>
      </c>
      <c r="H52" s="16">
        <f t="shared" si="37"/>
        <v>0.98971645012615528</v>
      </c>
      <c r="I52" s="16">
        <f t="shared" si="37"/>
        <v>0.98956362632082484</v>
      </c>
      <c r="J52" s="16">
        <f t="shared" si="37"/>
        <v>0.9909683592982369</v>
      </c>
      <c r="K52" s="16">
        <f t="shared" si="37"/>
        <v>0.99152364824633898</v>
      </c>
      <c r="L52" s="16">
        <f t="shared" si="37"/>
        <v>0.99151382655930587</v>
      </c>
      <c r="M52" s="16">
        <f t="shared" si="37"/>
        <v>0.99223492790481915</v>
      </c>
      <c r="N52" s="16">
        <f t="shared" si="37"/>
        <v>0.98652479595770759</v>
      </c>
      <c r="O52" s="16">
        <f t="shared" si="37"/>
        <v>0.98683983705959655</v>
      </c>
      <c r="P52" s="16">
        <f t="shared" si="37"/>
        <v>0.98953114490138494</v>
      </c>
      <c r="Q52" s="16">
        <f t="shared" si="37"/>
        <v>0.9896891738369672</v>
      </c>
      <c r="R52" s="16">
        <f t="shared" si="37"/>
        <v>0.9914184262546466</v>
      </c>
      <c r="S52" s="16">
        <f t="shared" si="37"/>
        <v>0.99054605321008116</v>
      </c>
      <c r="T52" s="16">
        <f t="shared" si="37"/>
        <v>0.99103018792156317</v>
      </c>
      <c r="U52" s="16">
        <f t="shared" si="37"/>
        <v>0.99093076505194178</v>
      </c>
      <c r="V52" s="16">
        <f t="shared" si="37"/>
        <v>0.96661985739092182</v>
      </c>
      <c r="W52" s="16">
        <f t="shared" ref="W52:Y52" si="38">IF(W6=0,0,W6/W$3)</f>
        <v>0.97410269054037291</v>
      </c>
      <c r="X52" s="16">
        <f t="shared" si="38"/>
        <v>0.98837448239789594</v>
      </c>
      <c r="Y52" s="16">
        <f t="shared" si="38"/>
        <v>0.98877818376398308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</v>
      </c>
      <c r="C53" s="103">
        <f t="shared" si="39"/>
        <v>0</v>
      </c>
      <c r="D53" s="103">
        <f t="shared" ref="D53:V53" si="40">IF(D7=0,0,D7/D$3)</f>
        <v>0</v>
      </c>
      <c r="E53" s="103">
        <f t="shared" si="40"/>
        <v>0</v>
      </c>
      <c r="F53" s="103">
        <f t="shared" si="40"/>
        <v>0</v>
      </c>
      <c r="G53" s="103">
        <f t="shared" si="40"/>
        <v>0</v>
      </c>
      <c r="H53" s="103">
        <f t="shared" si="40"/>
        <v>0</v>
      </c>
      <c r="I53" s="103">
        <f t="shared" si="40"/>
        <v>0</v>
      </c>
      <c r="J53" s="103">
        <f t="shared" si="40"/>
        <v>0</v>
      </c>
      <c r="K53" s="103">
        <f t="shared" si="40"/>
        <v>0</v>
      </c>
      <c r="L53" s="103">
        <f t="shared" si="40"/>
        <v>0</v>
      </c>
      <c r="M53" s="103">
        <f t="shared" si="40"/>
        <v>0</v>
      </c>
      <c r="N53" s="103">
        <f t="shared" si="40"/>
        <v>0</v>
      </c>
      <c r="O53" s="103">
        <f t="shared" si="40"/>
        <v>0</v>
      </c>
      <c r="P53" s="103">
        <f t="shared" si="40"/>
        <v>0</v>
      </c>
      <c r="Q53" s="103">
        <f t="shared" si="40"/>
        <v>0</v>
      </c>
      <c r="R53" s="103">
        <f t="shared" si="40"/>
        <v>0</v>
      </c>
      <c r="S53" s="103">
        <f t="shared" si="40"/>
        <v>0</v>
      </c>
      <c r="T53" s="103">
        <f t="shared" si="40"/>
        <v>0</v>
      </c>
      <c r="U53" s="103">
        <f t="shared" si="40"/>
        <v>0</v>
      </c>
      <c r="V53" s="103">
        <f t="shared" si="40"/>
        <v>0</v>
      </c>
      <c r="W53" s="103">
        <f t="shared" ref="W53:Y53" si="41">IF(W7=0,0,W7/W$3)</f>
        <v>0</v>
      </c>
      <c r="X53" s="103">
        <f t="shared" si="41"/>
        <v>0</v>
      </c>
      <c r="Y53" s="103">
        <f t="shared" si="41"/>
        <v>0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0.82977248601449771</v>
      </c>
      <c r="C54" s="103">
        <f t="shared" si="42"/>
        <v>0.83362864867268593</v>
      </c>
      <c r="D54" s="103">
        <f t="shared" ref="D54:V54" si="43">IF(D8=0,0,D8/D$3)</f>
        <v>0.83242064437031649</v>
      </c>
      <c r="E54" s="103">
        <f t="shared" si="43"/>
        <v>0.8402559739922012</v>
      </c>
      <c r="F54" s="103">
        <f t="shared" si="43"/>
        <v>0.84003460926050511</v>
      </c>
      <c r="G54" s="103">
        <f t="shared" si="43"/>
        <v>0.86063608337599062</v>
      </c>
      <c r="H54" s="103">
        <f t="shared" si="43"/>
        <v>0.86625370272195268</v>
      </c>
      <c r="I54" s="103">
        <f t="shared" si="43"/>
        <v>0.86846682564796152</v>
      </c>
      <c r="J54" s="103">
        <f t="shared" si="43"/>
        <v>0.86925121240128345</v>
      </c>
      <c r="K54" s="103">
        <f t="shared" si="43"/>
        <v>0.85199965567414715</v>
      </c>
      <c r="L54" s="103">
        <f t="shared" si="43"/>
        <v>0.86485987392540642</v>
      </c>
      <c r="M54" s="103">
        <f t="shared" si="43"/>
        <v>0.8707628158554781</v>
      </c>
      <c r="N54" s="103">
        <f t="shared" si="43"/>
        <v>0.87704785518107808</v>
      </c>
      <c r="O54" s="103">
        <f t="shared" si="43"/>
        <v>0.87992200961961453</v>
      </c>
      <c r="P54" s="103">
        <f t="shared" si="43"/>
        <v>0.88290099032788538</v>
      </c>
      <c r="Q54" s="103">
        <f t="shared" si="43"/>
        <v>0.88800894227337013</v>
      </c>
      <c r="R54" s="103">
        <f t="shared" si="43"/>
        <v>0.8996562356217942</v>
      </c>
      <c r="S54" s="103">
        <f t="shared" si="43"/>
        <v>0.90108172569976897</v>
      </c>
      <c r="T54" s="103">
        <f t="shared" si="43"/>
        <v>0.90518321890957676</v>
      </c>
      <c r="U54" s="103">
        <f t="shared" si="43"/>
        <v>0.90345503243939929</v>
      </c>
      <c r="V54" s="103">
        <f t="shared" si="43"/>
        <v>0.84609683231880395</v>
      </c>
      <c r="W54" s="103">
        <f t="shared" ref="W54:Y54" si="44">IF(W8=0,0,W8/W$3)</f>
        <v>0.86568151108647784</v>
      </c>
      <c r="X54" s="103">
        <f t="shared" si="44"/>
        <v>0.90670388467943763</v>
      </c>
      <c r="Y54" s="103">
        <f t="shared" si="44"/>
        <v>0.89869810211729728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0.14944910217701854</v>
      </c>
      <c r="C55" s="103">
        <f t="shared" si="45"/>
        <v>0.15018937928623657</v>
      </c>
      <c r="D55" s="103">
        <f t="shared" ref="D55:V55" si="46">IF(D9=0,0,D9/D$3)</f>
        <v>0.14996368544302063</v>
      </c>
      <c r="E55" s="103">
        <f t="shared" si="46"/>
        <v>0.1512344905989082</v>
      </c>
      <c r="F55" s="103">
        <f t="shared" si="46"/>
        <v>0.15125448501531791</v>
      </c>
      <c r="G55" s="103">
        <f t="shared" si="46"/>
        <v>0.13139637675654928</v>
      </c>
      <c r="H55" s="103">
        <f t="shared" si="46"/>
        <v>0.12346274740420261</v>
      </c>
      <c r="I55" s="103">
        <f t="shared" si="46"/>
        <v>0.12109680067286328</v>
      </c>
      <c r="J55" s="103">
        <f t="shared" si="46"/>
        <v>0.12171714689695341</v>
      </c>
      <c r="K55" s="103">
        <f t="shared" si="46"/>
        <v>0.13952399257219192</v>
      </c>
      <c r="L55" s="103">
        <f t="shared" si="46"/>
        <v>0.12665395263389939</v>
      </c>
      <c r="M55" s="103">
        <f t="shared" si="46"/>
        <v>0.12147211204934108</v>
      </c>
      <c r="N55" s="103">
        <f t="shared" si="46"/>
        <v>0.10947694077662957</v>
      </c>
      <c r="O55" s="103">
        <f t="shared" si="46"/>
        <v>0.10691782743998202</v>
      </c>
      <c r="P55" s="103">
        <f t="shared" si="46"/>
        <v>0.1066301545734996</v>
      </c>
      <c r="Q55" s="103">
        <f t="shared" si="46"/>
        <v>0.10168023156359703</v>
      </c>
      <c r="R55" s="103">
        <f t="shared" si="46"/>
        <v>9.1762190632852375E-2</v>
      </c>
      <c r="S55" s="103">
        <f t="shared" si="46"/>
        <v>8.9464327510312219E-2</v>
      </c>
      <c r="T55" s="103">
        <f t="shared" si="46"/>
        <v>8.5846969011986504E-2</v>
      </c>
      <c r="U55" s="103">
        <f t="shared" si="46"/>
        <v>8.7475732612542489E-2</v>
      </c>
      <c r="V55" s="103">
        <f t="shared" si="46"/>
        <v>0.12052302507211789</v>
      </c>
      <c r="W55" s="103">
        <f t="shared" ref="W55:Y55" si="47">IF(W9=0,0,W9/W$3)</f>
        <v>0.10842117945389505</v>
      </c>
      <c r="X55" s="103">
        <f t="shared" si="47"/>
        <v>8.1670597718458429E-2</v>
      </c>
      <c r="Y55" s="103">
        <f t="shared" si="47"/>
        <v>9.0080081646685822E-2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2.0778411808483836E-2</v>
      </c>
      <c r="C56" s="17">
        <f t="shared" si="48"/>
        <v>1.6181972041077564E-2</v>
      </c>
      <c r="D56" s="17">
        <f t="shared" ref="D56:V56" si="49">IF(D10=0,0,D10/D$3)</f>
        <v>1.7615670186662817E-2</v>
      </c>
      <c r="E56" s="17">
        <f t="shared" si="49"/>
        <v>8.5095354088905676E-3</v>
      </c>
      <c r="F56" s="17">
        <f t="shared" si="49"/>
        <v>8.7109057241769525E-3</v>
      </c>
      <c r="G56" s="17">
        <f t="shared" si="49"/>
        <v>7.9675398674600717E-3</v>
      </c>
      <c r="H56" s="17">
        <f t="shared" si="49"/>
        <v>1.0283549873844838E-2</v>
      </c>
      <c r="I56" s="17">
        <f t="shared" si="49"/>
        <v>1.0436373679175262E-2</v>
      </c>
      <c r="J56" s="17">
        <f t="shared" si="49"/>
        <v>9.0316407017630509E-3</v>
      </c>
      <c r="K56" s="17">
        <f t="shared" si="49"/>
        <v>8.4763517536610832E-3</v>
      </c>
      <c r="L56" s="17">
        <f t="shared" si="49"/>
        <v>8.4861734406941006E-3</v>
      </c>
      <c r="M56" s="17">
        <f t="shared" si="49"/>
        <v>7.765072095180757E-3</v>
      </c>
      <c r="N56" s="17">
        <f t="shared" si="49"/>
        <v>1.3475204042292282E-2</v>
      </c>
      <c r="O56" s="17">
        <f t="shared" si="49"/>
        <v>1.3160162940403492E-2</v>
      </c>
      <c r="P56" s="17">
        <f t="shared" si="49"/>
        <v>1.0468855098614924E-2</v>
      </c>
      <c r="Q56" s="17">
        <f t="shared" si="49"/>
        <v>1.0310826163032763E-2</v>
      </c>
      <c r="R56" s="17">
        <f t="shared" si="49"/>
        <v>8.5815737453534668E-3</v>
      </c>
      <c r="S56" s="17">
        <f t="shared" si="49"/>
        <v>9.4539467899187411E-3</v>
      </c>
      <c r="T56" s="17">
        <f t="shared" si="49"/>
        <v>8.9698120784367247E-3</v>
      </c>
      <c r="U56" s="17">
        <f t="shared" si="49"/>
        <v>9.0692349480582524E-3</v>
      </c>
      <c r="V56" s="17">
        <f t="shared" si="49"/>
        <v>3.3380142609078067E-2</v>
      </c>
      <c r="W56" s="17">
        <f t="shared" ref="W56:Y56" si="50">IF(W10=0,0,W10/W$3)</f>
        <v>2.5897309459627177E-2</v>
      </c>
      <c r="X56" s="17">
        <f t="shared" si="50"/>
        <v>1.1625517602104066E-2</v>
      </c>
      <c r="Y56" s="17">
        <f t="shared" si="50"/>
        <v>1.1221816236016766E-2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0</v>
      </c>
      <c r="C57" s="104">
        <f t="shared" si="51"/>
        <v>0</v>
      </c>
      <c r="D57" s="104">
        <f t="shared" ref="D57:V57" si="52">IF(D11=0,0,D11/D$3)</f>
        <v>0</v>
      </c>
      <c r="E57" s="104">
        <f t="shared" si="52"/>
        <v>0</v>
      </c>
      <c r="F57" s="104">
        <f t="shared" si="52"/>
        <v>0</v>
      </c>
      <c r="G57" s="104">
        <f t="shared" si="52"/>
        <v>0</v>
      </c>
      <c r="H57" s="104">
        <f t="shared" si="52"/>
        <v>0</v>
      </c>
      <c r="I57" s="104">
        <f t="shared" si="52"/>
        <v>0</v>
      </c>
      <c r="J57" s="104">
        <f t="shared" si="52"/>
        <v>0</v>
      </c>
      <c r="K57" s="104">
        <f t="shared" si="52"/>
        <v>0</v>
      </c>
      <c r="L57" s="104">
        <f t="shared" si="52"/>
        <v>0</v>
      </c>
      <c r="M57" s="104">
        <f t="shared" si="52"/>
        <v>0</v>
      </c>
      <c r="N57" s="104">
        <f t="shared" si="52"/>
        <v>0</v>
      </c>
      <c r="O57" s="104">
        <f t="shared" si="52"/>
        <v>0</v>
      </c>
      <c r="P57" s="104">
        <f t="shared" si="52"/>
        <v>0</v>
      </c>
      <c r="Q57" s="104">
        <f t="shared" si="52"/>
        <v>0</v>
      </c>
      <c r="R57" s="104">
        <f t="shared" si="52"/>
        <v>0</v>
      </c>
      <c r="S57" s="104">
        <f t="shared" si="52"/>
        <v>0</v>
      </c>
      <c r="T57" s="104">
        <f t="shared" si="52"/>
        <v>0</v>
      </c>
      <c r="U57" s="104">
        <f t="shared" si="52"/>
        <v>0</v>
      </c>
      <c r="V57" s="104">
        <f t="shared" si="52"/>
        <v>0</v>
      </c>
      <c r="W57" s="104">
        <f t="shared" ref="W57:Y57" si="53">IF(W11=0,0,W11/W$3)</f>
        <v>0</v>
      </c>
      <c r="X57" s="104">
        <f t="shared" si="53"/>
        <v>0</v>
      </c>
      <c r="Y57" s="104">
        <f t="shared" si="53"/>
        <v>0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2.0379515021645766E-2</v>
      </c>
      <c r="C58" s="104">
        <f t="shared" si="54"/>
        <v>1.5877182108370021E-2</v>
      </c>
      <c r="D58" s="104">
        <f t="shared" ref="D58:V58" si="55">IF(D12=0,0,D12/D$3)</f>
        <v>1.727749062317039E-2</v>
      </c>
      <c r="E58" s="104">
        <f t="shared" si="55"/>
        <v>8.2117743702828996E-3</v>
      </c>
      <c r="F58" s="104">
        <f t="shared" si="55"/>
        <v>8.3629581968234588E-3</v>
      </c>
      <c r="G58" s="104">
        <f t="shared" si="55"/>
        <v>7.6049859619134611E-3</v>
      </c>
      <c r="H58" s="104">
        <f t="shared" si="55"/>
        <v>9.5357762409474002E-3</v>
      </c>
      <c r="I58" s="104">
        <f t="shared" si="55"/>
        <v>9.3119131796331623E-3</v>
      </c>
      <c r="J58" s="104">
        <f t="shared" si="55"/>
        <v>8.4309545647634643E-3</v>
      </c>
      <c r="K58" s="104">
        <f t="shared" si="55"/>
        <v>8.3232548994229272E-3</v>
      </c>
      <c r="L58" s="104">
        <f t="shared" si="55"/>
        <v>8.2683938695162704E-3</v>
      </c>
      <c r="M58" s="104">
        <f t="shared" si="55"/>
        <v>7.3991012759684451E-3</v>
      </c>
      <c r="N58" s="104">
        <f t="shared" si="55"/>
        <v>6.5788790921407119E-3</v>
      </c>
      <c r="O58" s="104">
        <f t="shared" si="55"/>
        <v>1.0337226791280634E-2</v>
      </c>
      <c r="P58" s="104">
        <f t="shared" si="55"/>
        <v>9.3081002300937857E-3</v>
      </c>
      <c r="Q58" s="104">
        <f t="shared" si="55"/>
        <v>9.3173092747711843E-3</v>
      </c>
      <c r="R58" s="104">
        <f t="shared" si="55"/>
        <v>8.024456940461085E-3</v>
      </c>
      <c r="S58" s="104">
        <f t="shared" si="55"/>
        <v>9.1926832564679112E-3</v>
      </c>
      <c r="T58" s="104">
        <f t="shared" si="55"/>
        <v>8.6087651052768732E-3</v>
      </c>
      <c r="U58" s="104">
        <f t="shared" si="55"/>
        <v>8.6420244980067902E-3</v>
      </c>
      <c r="V58" s="104">
        <f t="shared" si="55"/>
        <v>3.0964220747815789E-2</v>
      </c>
      <c r="W58" s="104">
        <f t="shared" ref="W58:Y58" si="56">IF(W12=0,0,W12/W$3)</f>
        <v>2.4176531679704454E-2</v>
      </c>
      <c r="X58" s="104">
        <f t="shared" si="56"/>
        <v>1.0644295182590555E-2</v>
      </c>
      <c r="Y58" s="104">
        <f t="shared" si="56"/>
        <v>1.0208774319241809E-2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3.9889678683807054E-4</v>
      </c>
      <c r="C59" s="105">
        <f t="shared" si="57"/>
        <v>3.04789932707541E-4</v>
      </c>
      <c r="D59" s="105">
        <f t="shared" ref="D59:V59" si="58">IF(D13=0,0,D13/D$3)</f>
        <v>3.3817956349242891E-4</v>
      </c>
      <c r="E59" s="105">
        <f t="shared" si="58"/>
        <v>2.9776103860766677E-4</v>
      </c>
      <c r="F59" s="105">
        <f t="shared" si="58"/>
        <v>3.4794752735349343E-4</v>
      </c>
      <c r="G59" s="105">
        <f t="shared" si="58"/>
        <v>3.6255390554661008E-4</v>
      </c>
      <c r="H59" s="105">
        <f t="shared" si="58"/>
        <v>7.4777363289743734E-4</v>
      </c>
      <c r="I59" s="105">
        <f t="shared" si="58"/>
        <v>1.1244604995420994E-3</v>
      </c>
      <c r="J59" s="105">
        <f t="shared" si="58"/>
        <v>6.0068613699958704E-4</v>
      </c>
      <c r="K59" s="105">
        <f t="shared" si="58"/>
        <v>1.5309685423815604E-4</v>
      </c>
      <c r="L59" s="105">
        <f t="shared" si="58"/>
        <v>2.1777957117783013E-4</v>
      </c>
      <c r="M59" s="105">
        <f t="shared" si="58"/>
        <v>3.6597081921231162E-4</v>
      </c>
      <c r="N59" s="105">
        <f t="shared" si="58"/>
        <v>6.8963249501515708E-3</v>
      </c>
      <c r="O59" s="105">
        <f t="shared" si="58"/>
        <v>2.8229361491228567E-3</v>
      </c>
      <c r="P59" s="105">
        <f t="shared" si="58"/>
        <v>1.1607548685211406E-3</v>
      </c>
      <c r="Q59" s="105">
        <f t="shared" si="58"/>
        <v>9.935168882615798E-4</v>
      </c>
      <c r="R59" s="105">
        <f t="shared" si="58"/>
        <v>5.5711680489238177E-4</v>
      </c>
      <c r="S59" s="105">
        <f t="shared" si="58"/>
        <v>2.6126353345083084E-4</v>
      </c>
      <c r="T59" s="105">
        <f t="shared" si="58"/>
        <v>3.6104697315985165E-4</v>
      </c>
      <c r="U59" s="105">
        <f t="shared" si="58"/>
        <v>4.2721045005146108E-4</v>
      </c>
      <c r="V59" s="105">
        <f t="shared" si="58"/>
        <v>2.4159218612622786E-3</v>
      </c>
      <c r="W59" s="105">
        <f t="shared" ref="W59:Y59" si="59">IF(W13=0,0,W13/W$3)</f>
        <v>1.7207777799227236E-3</v>
      </c>
      <c r="X59" s="105">
        <f t="shared" si="59"/>
        <v>9.8122241951351108E-4</v>
      </c>
      <c r="Y59" s="105">
        <f t="shared" si="59"/>
        <v>1.0130419167749579E-3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497482</v>
      </c>
      <c r="C4" s="11">
        <f t="shared" si="0"/>
        <v>670499</v>
      </c>
      <c r="D4" s="11">
        <f t="shared" ref="D4" si="1">SUM(D5:D7)</f>
        <v>619946</v>
      </c>
      <c r="E4" s="11">
        <f t="shared" ref="E4" si="2">SUM(E5:E7)</f>
        <v>733498</v>
      </c>
      <c r="F4" s="11">
        <f t="shared" ref="F4" si="3">SUM(F5:F7)</f>
        <v>808951</v>
      </c>
      <c r="G4" s="11">
        <f t="shared" ref="G4" si="4">SUM(G5:G7)</f>
        <v>1098917</v>
      </c>
      <c r="H4" s="11">
        <f t="shared" ref="H4" si="5">SUM(H5:H7)</f>
        <v>1373006</v>
      </c>
      <c r="I4" s="11">
        <f t="shared" ref="I4" si="6">SUM(I5:I7)</f>
        <v>1655934</v>
      </c>
      <c r="J4" s="11">
        <f t="shared" ref="J4" si="7">SUM(J5:J7)</f>
        <v>1968903</v>
      </c>
      <c r="K4" s="11">
        <f t="shared" ref="K4" si="8">SUM(K5:K7)</f>
        <v>1340811</v>
      </c>
      <c r="L4" s="11">
        <f t="shared" ref="L4" si="9">SUM(L5:L7)</f>
        <v>1701162</v>
      </c>
      <c r="M4" s="11">
        <f t="shared" ref="M4" si="10">SUM(M5:M7)</f>
        <v>1888788</v>
      </c>
      <c r="N4" s="11">
        <f t="shared" ref="N4" si="11">SUM(N5:N7)</f>
        <v>2165299</v>
      </c>
      <c r="O4" s="11">
        <f t="shared" ref="O4" si="12">SUM(O5:O7)</f>
        <v>2296214</v>
      </c>
      <c r="P4" s="11">
        <f t="shared" ref="P4" si="13">SUM(P5:P7)</f>
        <v>2551470</v>
      </c>
      <c r="Q4" s="11">
        <f t="shared" ref="Q4" si="14">SUM(Q5:Q7)</f>
        <v>2772319</v>
      </c>
      <c r="R4" s="11">
        <f t="shared" ref="R4" si="15">SUM(R5:R7)</f>
        <v>3093189</v>
      </c>
      <c r="S4" s="11">
        <f t="shared" ref="S4" si="16">SUM(S5:S7)</f>
        <v>3344083</v>
      </c>
      <c r="T4" s="11">
        <f t="shared" ref="T4" si="17">SUM(T5:T7)</f>
        <v>3923322</v>
      </c>
      <c r="U4" s="11">
        <f t="shared" ref="U4" si="18">SUM(U5:U7)</f>
        <v>4047271</v>
      </c>
      <c r="V4" s="11">
        <f t="shared" ref="V4:W4" si="19">SUM(V5:V7)</f>
        <v>1590683</v>
      </c>
      <c r="W4" s="11">
        <f t="shared" si="19"/>
        <v>2002083</v>
      </c>
      <c r="X4" s="11">
        <f t="shared" ref="X4:Y4" si="20">SUM(X5:X7)</f>
        <v>3453822</v>
      </c>
      <c r="Y4" s="11">
        <f t="shared" si="20"/>
        <v>3675892</v>
      </c>
      <c r="DA4" s="189" t="s">
        <v>362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363</v>
      </c>
    </row>
    <row r="6" spans="1:105" ht="11.45" customHeight="1" x14ac:dyDescent="0.25">
      <c r="A6" s="83" t="s">
        <v>181</v>
      </c>
      <c r="B6" s="84">
        <v>428223</v>
      </c>
      <c r="C6" s="84">
        <v>578846</v>
      </c>
      <c r="D6" s="84">
        <v>537551</v>
      </c>
      <c r="E6" s="84">
        <v>639072</v>
      </c>
      <c r="F6" s="84">
        <v>706973</v>
      </c>
      <c r="G6" s="84">
        <v>978383</v>
      </c>
      <c r="H6" s="84">
        <v>1230696</v>
      </c>
      <c r="I6" s="84">
        <v>1474586</v>
      </c>
      <c r="J6" s="84">
        <v>1687807</v>
      </c>
      <c r="K6" s="84">
        <v>1163566</v>
      </c>
      <c r="L6" s="84">
        <v>1521363</v>
      </c>
      <c r="M6" s="84">
        <v>1702720</v>
      </c>
      <c r="N6" s="84">
        <v>1927895</v>
      </c>
      <c r="O6" s="84">
        <v>2007060</v>
      </c>
      <c r="P6" s="84">
        <v>2139602</v>
      </c>
      <c r="Q6" s="84">
        <v>2318610</v>
      </c>
      <c r="R6" s="84">
        <v>2581902</v>
      </c>
      <c r="S6" s="84">
        <v>2766080</v>
      </c>
      <c r="T6" s="84">
        <v>3185356</v>
      </c>
      <c r="U6" s="84">
        <v>3165547</v>
      </c>
      <c r="V6" s="84">
        <v>1374372</v>
      </c>
      <c r="W6" s="84">
        <v>1614429</v>
      </c>
      <c r="X6" s="84">
        <v>2976423</v>
      </c>
      <c r="Y6" s="84">
        <v>3116731</v>
      </c>
      <c r="DA6" s="171" t="s">
        <v>364</v>
      </c>
    </row>
    <row r="7" spans="1:105" ht="11.45" customHeight="1" x14ac:dyDescent="0.25">
      <c r="A7" s="85" t="s">
        <v>182</v>
      </c>
      <c r="B7" s="86">
        <v>69259</v>
      </c>
      <c r="C7" s="86">
        <v>91653</v>
      </c>
      <c r="D7" s="86">
        <v>82395</v>
      </c>
      <c r="E7" s="86">
        <v>94426</v>
      </c>
      <c r="F7" s="86">
        <v>101978</v>
      </c>
      <c r="G7" s="86">
        <v>120534</v>
      </c>
      <c r="H7" s="86">
        <v>142310</v>
      </c>
      <c r="I7" s="86">
        <v>181348</v>
      </c>
      <c r="J7" s="86">
        <v>281096</v>
      </c>
      <c r="K7" s="86">
        <v>177245</v>
      </c>
      <c r="L7" s="86">
        <v>179799</v>
      </c>
      <c r="M7" s="86">
        <v>186068</v>
      </c>
      <c r="N7" s="86">
        <v>237404</v>
      </c>
      <c r="O7" s="86">
        <v>289154</v>
      </c>
      <c r="P7" s="86">
        <v>411868</v>
      </c>
      <c r="Q7" s="86">
        <v>453709</v>
      </c>
      <c r="R7" s="86">
        <v>511287</v>
      </c>
      <c r="S7" s="86">
        <v>578003</v>
      </c>
      <c r="T7" s="86">
        <v>737966</v>
      </c>
      <c r="U7" s="86">
        <v>881724</v>
      </c>
      <c r="V7" s="86">
        <v>216311</v>
      </c>
      <c r="W7" s="86">
        <v>387654</v>
      </c>
      <c r="X7" s="86">
        <v>477399</v>
      </c>
      <c r="Y7" s="86">
        <v>559161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62.765833964168557</v>
      </c>
      <c r="C12" s="14">
        <f>IF(C4=0,0,C4/TrAvia_act!C24)</f>
        <v>64.33496449817693</v>
      </c>
      <c r="D12" s="14">
        <f>IF(D4=0,0,D4/TrAvia_act!D24)</f>
        <v>66.099370935067711</v>
      </c>
      <c r="E12" s="14">
        <f>IF(E4=0,0,E4/TrAvia_act!E24)</f>
        <v>68.21968005952381</v>
      </c>
      <c r="F12" s="14">
        <f>IF(F4=0,0,F4/TrAvia_act!F24)</f>
        <v>70.349682581094015</v>
      </c>
      <c r="G12" s="14">
        <f>IF(G4=0,0,G4/TrAvia_act!G24)</f>
        <v>73.540587566084454</v>
      </c>
      <c r="H12" s="14">
        <f>IF(H4=0,0,H4/TrAvia_act!H24)</f>
        <v>86.309152627608754</v>
      </c>
      <c r="I12" s="14">
        <f>IF(I4=0,0,I4/TrAvia_act!I24)</f>
        <v>96.392921590313762</v>
      </c>
      <c r="J12" s="14">
        <f>IF(J4=0,0,J4/TrAvia_act!J24)</f>
        <v>99.524996208866199</v>
      </c>
      <c r="K12" s="14">
        <f>IF(K4=0,0,K4/TrAvia_act!K24)</f>
        <v>103.1393076923077</v>
      </c>
      <c r="L12" s="14">
        <f>IF(L4=0,0,L4/TrAvia_act!L24)</f>
        <v>107.47801364670205</v>
      </c>
      <c r="M12" s="14">
        <f>IF(M4=0,0,M4/TrAvia_act!M24)</f>
        <v>113.03339317773788</v>
      </c>
      <c r="N12" s="14">
        <f>IF(N4=0,0,N4/TrAvia_act!N24)</f>
        <v>123.11929265935066</v>
      </c>
      <c r="O12" s="14">
        <f>IF(O4=0,0,O4/TrAvia_act!O24)</f>
        <v>130.9652654993441</v>
      </c>
      <c r="P12" s="14">
        <f>IF(P4=0,0,P4/TrAvia_act!P24)</f>
        <v>129.3980119687595</v>
      </c>
      <c r="Q12" s="14">
        <f>IF(Q4=0,0,Q4/TrAvia_act!Q24)</f>
        <v>132.78661749209695</v>
      </c>
      <c r="R12" s="14">
        <f>IF(R4=0,0,R4/TrAvia_act!R24)</f>
        <v>137.78124721603564</v>
      </c>
      <c r="S12" s="14">
        <f>IF(S4=0,0,S4/TrAvia_act!S24)</f>
        <v>141.24954593453009</v>
      </c>
      <c r="T12" s="14">
        <f>IF(T4=0,0,T4/TrAvia_act!T24)</f>
        <v>149.30631350610801</v>
      </c>
      <c r="U12" s="14">
        <f>IF(U4=0,0,U4/TrAvia_act!U24)</f>
        <v>150.46176437785792</v>
      </c>
      <c r="V12" s="14">
        <f>IF(V4=0,0,V4/TrAvia_act!V24)</f>
        <v>152.33508906339782</v>
      </c>
      <c r="W12" s="14">
        <f>IF(W4=0,0,W4/TrAvia_act!W24)</f>
        <v>157.1740461610928</v>
      </c>
      <c r="X12" s="14">
        <f>IF(X4=0,0,X4/TrAvia_act!X24)</f>
        <v>159.25771199336009</v>
      </c>
      <c r="Y12" s="14">
        <f>IF(Y4=0,0,Y4/TrAvia_act!Y24)</f>
        <v>161.37196540673426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X13" s="87">
        <f>IF(X5=0,0,X5/TrAvia_act!X25)</f>
        <v>0</v>
      </c>
      <c r="Y13" s="87">
        <f>IF(Y5=0,0,Y5/TrAvia_act!Y25)</f>
        <v>0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60.654815864022666</v>
      </c>
      <c r="C14" s="87">
        <f>IF(C6=0,0,C6/TrAvia_act!C26)</f>
        <v>62.355488527415709</v>
      </c>
      <c r="D14" s="87">
        <f>IF(D6=0,0,D6/TrAvia_act!D26)</f>
        <v>64.346540579363179</v>
      </c>
      <c r="E14" s="87">
        <f>IF(E6=0,0,E6/TrAvia_act!E26)</f>
        <v>66.722906661098349</v>
      </c>
      <c r="F14" s="87">
        <f>IF(F6=0,0,F6/TrAvia_act!F26)</f>
        <v>69.020111295518888</v>
      </c>
      <c r="G14" s="87">
        <f>IF(G6=0,0,G6/TrAvia_act!G26)</f>
        <v>72.59649773688507</v>
      </c>
      <c r="H14" s="87">
        <f>IF(H6=0,0,H6/TrAvia_act!H26)</f>
        <v>86.858352741901328</v>
      </c>
      <c r="I14" s="87">
        <f>IF(I6=0,0,I6/TrAvia_act!I26)</f>
        <v>97.236135839103198</v>
      </c>
      <c r="J14" s="87">
        <f>IF(J6=0,0,J6/TrAvia_act!J26)</f>
        <v>100.10123954688333</v>
      </c>
      <c r="K14" s="87">
        <f>IF(K6=0,0,K6/TrAvia_act!K26)</f>
        <v>103.42808888888889</v>
      </c>
      <c r="L14" s="87">
        <f>IF(L6=0,0,L6/TrAvia_act!L26)</f>
        <v>109.1756727664155</v>
      </c>
      <c r="M14" s="87">
        <f>IF(M6=0,0,M6/TrAvia_act!M26)</f>
        <v>116.93702355607445</v>
      </c>
      <c r="N14" s="87">
        <f>IF(N6=0,0,N6/TrAvia_act!N26)</f>
        <v>128.59491728922092</v>
      </c>
      <c r="O14" s="87">
        <f>IF(O6=0,0,O6/TrAvia_act!O26)</f>
        <v>133.40378863409771</v>
      </c>
      <c r="P14" s="87">
        <f>IF(P6=0,0,P6/TrAvia_act!P26)</f>
        <v>129.38271754248049</v>
      </c>
      <c r="Q14" s="87">
        <f>IF(Q6=0,0,Q6/TrAvia_act!Q26)</f>
        <v>133.39143942008974</v>
      </c>
      <c r="R14" s="87">
        <f>IF(R6=0,0,R6/TrAvia_act!R26)</f>
        <v>137.92948341257545</v>
      </c>
      <c r="S14" s="87">
        <f>IF(S6=0,0,S6/TrAvia_act!S26)</f>
        <v>139.58821154622527</v>
      </c>
      <c r="T14" s="87">
        <f>IF(T6=0,0,T6/TrAvia_act!T26)</f>
        <v>145.90307805056798</v>
      </c>
      <c r="U14" s="87">
        <f>IF(U6=0,0,U6/TrAvia_act!U26)</f>
        <v>146.63456549935148</v>
      </c>
      <c r="V14" s="87">
        <f>IF(V6=0,0,V6/TrAvia_act!V26)</f>
        <v>151.27925151348376</v>
      </c>
      <c r="W14" s="87">
        <f>IF(W6=0,0,W6/TrAvia_act!W26)</f>
        <v>157.15263311593498</v>
      </c>
      <c r="X14" s="87">
        <f>IF(X6=0,0,X6/TrAvia_act!X26)</f>
        <v>155.97248860242101</v>
      </c>
      <c r="Y14" s="87">
        <f>IF(Y6=0,0,Y6/TrAvia_act!Y26)</f>
        <v>158.45904723168437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79.975750577367208</v>
      </c>
      <c r="C15" s="88">
        <f>IF(C7=0,0,C7/TrAvia_act!C27)</f>
        <v>80.467954345917477</v>
      </c>
      <c r="D15" s="88">
        <f>IF(D7=0,0,D7/TrAvia_act!D27)</f>
        <v>80.385365853658541</v>
      </c>
      <c r="E15" s="88">
        <f>IF(E7=0,0,E7/TrAvia_act!E27)</f>
        <v>80.431005110732542</v>
      </c>
      <c r="F15" s="88">
        <f>IF(F7=0,0,F7/TrAvia_act!F27)</f>
        <v>81.192675159235662</v>
      </c>
      <c r="G15" s="88">
        <f>IF(G7=0,0,G7/TrAvia_act!G27)</f>
        <v>82.219645293315139</v>
      </c>
      <c r="H15" s="88">
        <f>IF(H7=0,0,H7/TrAvia_act!H27)</f>
        <v>81.834387579068434</v>
      </c>
      <c r="I15" s="88">
        <f>IF(I7=0,0,I7/TrAvia_act!I27)</f>
        <v>90.043694141012907</v>
      </c>
      <c r="J15" s="88">
        <f>IF(J7=0,0,J7/TrAvia_act!J27)</f>
        <v>96.199863107460644</v>
      </c>
      <c r="K15" s="88">
        <f>IF(K7=0,0,K7/TrAvia_act!K27)</f>
        <v>101.28285714285714</v>
      </c>
      <c r="L15" s="88">
        <f>IF(L7=0,0,L7/TrAvia_act!L27)</f>
        <v>94.980982567353408</v>
      </c>
      <c r="M15" s="88">
        <f>IF(M7=0,0,M7/TrAvia_act!M27)</f>
        <v>86.583527221963706</v>
      </c>
      <c r="N15" s="88">
        <f>IF(N7=0,0,N7/TrAvia_act!N27)</f>
        <v>91.485163776493252</v>
      </c>
      <c r="O15" s="88">
        <f>IF(O7=0,0,O7/TrAvia_act!O27)</f>
        <v>116.21945337620579</v>
      </c>
      <c r="P15" s="88">
        <f>IF(P7=0,0,P7/TrAvia_act!P27)</f>
        <v>129.47752279157498</v>
      </c>
      <c r="Q15" s="88">
        <f>IF(Q7=0,0,Q7/TrAvia_act!Q27)</f>
        <v>129.77946224256294</v>
      </c>
      <c r="R15" s="88">
        <f>IF(R7=0,0,R7/TrAvia_act!R27)</f>
        <v>137.03752345215759</v>
      </c>
      <c r="S15" s="88">
        <f>IF(S7=0,0,S7/TrAvia_act!S27)</f>
        <v>149.78051308629179</v>
      </c>
      <c r="T15" s="88">
        <f>IF(T7=0,0,T7/TrAvia_act!T27)</f>
        <v>166.02159730033745</v>
      </c>
      <c r="U15" s="88">
        <f>IF(U7=0,0,U7/TrAvia_act!U27)</f>
        <v>166.0184522688759</v>
      </c>
      <c r="V15" s="88">
        <f>IF(V7=0,0,V7/TrAvia_act!V27)</f>
        <v>159.40383198231393</v>
      </c>
      <c r="W15" s="88">
        <f>IF(W7=0,0,W7/TrAvia_act!W27)</f>
        <v>157.26328600405679</v>
      </c>
      <c r="X15" s="88">
        <f>IF(X7=0,0,X7/TrAvia_act!X27)</f>
        <v>183.33294930875576</v>
      </c>
      <c r="Y15" s="88">
        <f>IF(Y7=0,0,Y7/TrAvia_act!Y27)</f>
        <v>179.79453376205788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0.64907273026963785</v>
      </c>
      <c r="C18" s="25">
        <f>IF(TrAvia_act!C34=0,0,(TrAvia_act!C34/TrAvia_act!C24)/TrAvia_png!C12)</f>
        <v>0.64914041631680286</v>
      </c>
      <c r="D18" s="25">
        <f>IF(TrAvia_act!D34=0,0,(TrAvia_act!D34/TrAvia_act!D24)/TrAvia_png!D12)</f>
        <v>0.64912911769734782</v>
      </c>
      <c r="E18" s="25">
        <f>IF(TrAvia_act!E34=0,0,(TrAvia_act!E34/TrAvia_act!E24)/TrAvia_png!E12)</f>
        <v>0.64803448680159992</v>
      </c>
      <c r="F18" s="25">
        <f>IF(TrAvia_act!F34=0,0,(TrAvia_act!F34/TrAvia_act!F24)/TrAvia_png!F12)</f>
        <v>0.65031132911634948</v>
      </c>
      <c r="G18" s="25">
        <f>IF(TrAvia_act!G34=0,0,(TrAvia_act!G34/TrAvia_act!G24)/TrAvia_png!G12)</f>
        <v>0.65578838074213064</v>
      </c>
      <c r="H18" s="25">
        <f>IF(TrAvia_act!H34=0,0,(TrAvia_act!H34/TrAvia_act!H24)/TrAvia_png!H12)</f>
        <v>0.66032923381252517</v>
      </c>
      <c r="I18" s="25">
        <f>IF(TrAvia_act!I34=0,0,(TrAvia_act!I34/TrAvia_act!I24)/TrAvia_png!I12)</f>
        <v>0.66472697583357787</v>
      </c>
      <c r="J18" s="25">
        <f>IF(TrAvia_act!J34=0,0,(TrAvia_act!J34/TrAvia_act!J24)/TrAvia_png!J12)</f>
        <v>0.65189956031353502</v>
      </c>
      <c r="K18" s="25">
        <f>IF(TrAvia_act!K34=0,0,(TrAvia_act!K34/TrAvia_act!K24)/TrAvia_png!K12)</f>
        <v>0.70261133000847986</v>
      </c>
      <c r="L18" s="25">
        <f>IF(TrAvia_act!L34=0,0,(TrAvia_act!L34/TrAvia_act!L24)/TrAvia_png!L12)</f>
        <v>0.69041866677012542</v>
      </c>
      <c r="M18" s="25">
        <f>IF(TrAvia_act!M34=0,0,(TrAvia_act!M34/TrAvia_act!M24)/TrAvia_png!M12)</f>
        <v>0.71759138664582789</v>
      </c>
      <c r="N18" s="25">
        <f>IF(TrAvia_act!N34=0,0,(TrAvia_act!N34/TrAvia_act!N24)/TrAvia_png!N12)</f>
        <v>0.73602029096212573</v>
      </c>
      <c r="O18" s="25">
        <f>IF(TrAvia_act!O34=0,0,(TrAvia_act!O34/TrAvia_act!O24)/TrAvia_png!O12)</f>
        <v>0.76502364326669903</v>
      </c>
      <c r="P18" s="25">
        <f>IF(TrAvia_act!P34=0,0,(TrAvia_act!P34/TrAvia_act!P24)/TrAvia_png!P12)</f>
        <v>0.74995512390896235</v>
      </c>
      <c r="Q18" s="25">
        <f>IF(TrAvia_act!Q34=0,0,(TrAvia_act!Q34/TrAvia_act!Q24)/TrAvia_png!Q12)</f>
        <v>0.76437596106364369</v>
      </c>
      <c r="R18" s="25">
        <f>IF(TrAvia_act!R34=0,0,(TrAvia_act!R34/TrAvia_act!R24)/TrAvia_png!R12)</f>
        <v>0.7735004230262037</v>
      </c>
      <c r="S18" s="25">
        <f>IF(TrAvia_act!S34=0,0,(TrAvia_act!S34/TrAvia_act!S24)/TrAvia_png!S12)</f>
        <v>0.78541262283262714</v>
      </c>
      <c r="T18" s="25">
        <f>IF(TrAvia_act!T34=0,0,(TrAvia_act!T34/TrAvia_act!T24)/TrAvia_png!T12)</f>
        <v>0.79618088956246769</v>
      </c>
      <c r="U18" s="25">
        <f>IF(TrAvia_act!U34=0,0,(TrAvia_act!U34/TrAvia_act!U24)/TrAvia_png!U12)</f>
        <v>0.80077291587343669</v>
      </c>
      <c r="V18" s="25">
        <f>IF(TrAvia_act!V34=0,0,(TrAvia_act!V34/TrAvia_act!V24)/TrAvia_png!V12)</f>
        <v>0.57004255404753801</v>
      </c>
      <c r="W18" s="25">
        <f>IF(TrAvia_act!W34=0,0,(TrAvia_act!W34/TrAvia_act!W24)/TrAvia_png!W12)</f>
        <v>0.60583801970247986</v>
      </c>
      <c r="X18" s="25">
        <f>IF(TrAvia_act!X34=0,0,(TrAvia_act!X34/TrAvia_act!X24)/TrAvia_png!X12)</f>
        <v>0.77684953075172947</v>
      </c>
      <c r="Y18" s="25">
        <f>IF(TrAvia_act!Y34=0,0,(TrAvia_act!Y34/TrAvia_act!Y24)/TrAvia_png!Y12)</f>
        <v>0.81797370542986569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X19" s="89">
        <f>IF(TrAvia_act!X35=0,0,(TrAvia_act!X35/TrAvia_act!X25)/TrAvia_png!X13)</f>
        <v>0</v>
      </c>
      <c r="Y19" s="89">
        <f>IF(TrAvia_act!Y35=0,0,(TrAvia_act!Y35/TrAvia_act!Y25)/TrAvia_png!Y13)</f>
        <v>0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0.61974485256513545</v>
      </c>
      <c r="C20" s="89">
        <f>IF(TrAvia_act!C36=0,0,(TrAvia_act!C36/TrAvia_act!C26)/TrAvia_png!C14)</f>
        <v>0.62066767326715566</v>
      </c>
      <c r="D20" s="89">
        <f>IF(TrAvia_act!D36=0,0,(TrAvia_act!D36/TrAvia_act!D26)/TrAvia_png!D14)</f>
        <v>0.62193726734765631</v>
      </c>
      <c r="E20" s="89">
        <f>IF(TrAvia_act!E36=0,0,(TrAvia_act!E36/TrAvia_act!E26)/TrAvia_png!E14)</f>
        <v>0.62272482599769674</v>
      </c>
      <c r="F20" s="89">
        <f>IF(TrAvia_act!F36=0,0,(TrAvia_act!F36/TrAvia_act!F26)/TrAvia_png!F14)</f>
        <v>0.62612999364897959</v>
      </c>
      <c r="G20" s="89">
        <f>IF(TrAvia_act!G36=0,0,(TrAvia_act!G36/TrAvia_act!G26)/TrAvia_png!G14)</f>
        <v>0.63583586386926172</v>
      </c>
      <c r="H20" s="89">
        <f>IF(TrAvia_act!H36=0,0,(TrAvia_act!H36/TrAvia_act!H26)/TrAvia_png!H14)</f>
        <v>0.64326527428381997</v>
      </c>
      <c r="I20" s="89">
        <f>IF(TrAvia_act!I36=0,0,(TrAvia_act!I36/TrAvia_act!I26)/TrAvia_png!I14)</f>
        <v>0.64151972146758485</v>
      </c>
      <c r="J20" s="89">
        <f>IF(TrAvia_act!J36=0,0,(TrAvia_act!J36/TrAvia_act!J26)/TrAvia_png!J14)</f>
        <v>0.63929406620543705</v>
      </c>
      <c r="K20" s="89">
        <f>IF(TrAvia_act!K36=0,0,(TrAvia_act!K36/TrAvia_act!K26)/TrAvia_png!K14)</f>
        <v>0.68766962939790255</v>
      </c>
      <c r="L20" s="89">
        <f>IF(TrAvia_act!L36=0,0,(TrAvia_act!L36/TrAvia_act!L26)/TrAvia_png!L14)</f>
        <v>0.68133640689302954</v>
      </c>
      <c r="M20" s="89">
        <f>IF(TrAvia_act!M36=0,0,(TrAvia_act!M36/TrAvia_act!M26)/TrAvia_png!M14)</f>
        <v>0.71851390716030816</v>
      </c>
      <c r="N20" s="89">
        <f>IF(TrAvia_act!N36=0,0,(TrAvia_act!N36/TrAvia_act!N26)/TrAvia_png!N14)</f>
        <v>0.75123385869043702</v>
      </c>
      <c r="O20" s="89">
        <f>IF(TrAvia_act!O36=0,0,(TrAvia_act!O36/TrAvia_act!O26)/TrAvia_png!O14)</f>
        <v>0.77915458431735973</v>
      </c>
      <c r="P20" s="89">
        <f>IF(TrAvia_act!P36=0,0,(TrAvia_act!P36/TrAvia_act!P26)/TrAvia_png!P14)</f>
        <v>0.76598591700699481</v>
      </c>
      <c r="Q20" s="89">
        <f>IF(TrAvia_act!Q36=0,0,(TrAvia_act!Q36/TrAvia_act!Q26)/TrAvia_png!Q14)</f>
        <v>0.78183264973410804</v>
      </c>
      <c r="R20" s="89">
        <f>IF(TrAvia_act!R36=0,0,(TrAvia_act!R36/TrAvia_act!R26)/TrAvia_png!R14)</f>
        <v>0.79466222962761557</v>
      </c>
      <c r="S20" s="89">
        <f>IF(TrAvia_act!S36=0,0,(TrAvia_act!S36/TrAvia_act!S26)/TrAvia_png!S14)</f>
        <v>0.79952351341971317</v>
      </c>
      <c r="T20" s="89">
        <f>IF(TrAvia_act!T36=0,0,(TrAvia_act!T36/TrAvia_act!T26)/TrAvia_png!T14)</f>
        <v>0.80868198091516297</v>
      </c>
      <c r="U20" s="89">
        <f>IF(TrAvia_act!U36=0,0,(TrAvia_act!U36/TrAvia_act!U26)/TrAvia_png!U14)</f>
        <v>0.81222171081332872</v>
      </c>
      <c r="V20" s="89">
        <f>IF(TrAvia_act!V36=0,0,(TrAvia_act!V36/TrAvia_act!V26)/TrAvia_png!V14)</f>
        <v>0.56864153227801495</v>
      </c>
      <c r="W20" s="89">
        <f>IF(TrAvia_act!W36=0,0,(TrAvia_act!W36/TrAvia_act!W26)/TrAvia_png!W14)</f>
        <v>0.59098789726894152</v>
      </c>
      <c r="X20" s="89">
        <f>IF(TrAvia_act!X36=0,0,(TrAvia_act!X36/TrAvia_act!X26)/TrAvia_png!X14)</f>
        <v>0.76944070113690155</v>
      </c>
      <c r="Y20" s="89">
        <f>IF(TrAvia_act!Y36=0,0,(TrAvia_act!Y36/TrAvia_act!Y26)/TrAvia_png!Y14)</f>
        <v>0.81038851283604529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0.83040471274491401</v>
      </c>
      <c r="C21" s="90">
        <f>IF(TrAvia_act!C37=0,0,(TrAvia_act!C37/TrAvia_act!C27)/TrAvia_png!C15)</f>
        <v>0.82896359093537575</v>
      </c>
      <c r="D21" s="90">
        <f>IF(TrAvia_act!D37=0,0,(TrAvia_act!D37/TrAvia_act!D27)/TrAvia_png!D15)</f>
        <v>0.82653073608835481</v>
      </c>
      <c r="E21" s="90">
        <f>IF(TrAvia_act!E37=0,0,(TrAvia_act!E37/TrAvia_act!E27)/TrAvia_png!E15)</f>
        <v>0.81932942198123404</v>
      </c>
      <c r="F21" s="90">
        <f>IF(TrAvia_act!F37=0,0,(TrAvia_act!F37/TrAvia_act!F27)/TrAvia_png!F15)</f>
        <v>0.81795093059287305</v>
      </c>
      <c r="G21" s="90">
        <f>IF(TrAvia_act!G37=0,0,(TrAvia_act!G37/TrAvia_act!G27)/TrAvia_png!G15)</f>
        <v>0.81774437088290441</v>
      </c>
      <c r="H21" s="90">
        <f>IF(TrAvia_act!H37=0,0,(TrAvia_act!H37/TrAvia_act!H27)/TrAvia_png!H15)</f>
        <v>0.80789825029864371</v>
      </c>
      <c r="I21" s="90">
        <f>IF(TrAvia_act!I37=0,0,(TrAvia_act!I37/TrAvia_act!I27)/TrAvia_png!I15)</f>
        <v>0.85343097249487176</v>
      </c>
      <c r="J21" s="90">
        <f>IF(TrAvia_act!J37=0,0,(TrAvia_act!J37/TrAvia_act!J27)/TrAvia_png!J15)</f>
        <v>0.72758772803597338</v>
      </c>
      <c r="K21" s="90">
        <f>IF(TrAvia_act!K37=0,0,(TrAvia_act!K37/TrAvia_act!K27)/TrAvia_png!K15)</f>
        <v>0.80069959660357137</v>
      </c>
      <c r="L21" s="90">
        <f>IF(TrAvia_act!L37=0,0,(TrAvia_act!L37/TrAvia_act!L27)/TrAvia_png!L15)</f>
        <v>0.7672678935922892</v>
      </c>
      <c r="M21" s="90">
        <f>IF(TrAvia_act!M37=0,0,(TrAvia_act!M37/TrAvia_act!M27)/TrAvia_png!M15)</f>
        <v>0.70914934325085455</v>
      </c>
      <c r="N21" s="90">
        <f>IF(TrAvia_act!N37=0,0,(TrAvia_act!N37/TrAvia_act!N27)/TrAvia_png!N15)</f>
        <v>0.61247493723778879</v>
      </c>
      <c r="O21" s="90">
        <f>IF(TrAvia_act!O37=0,0,(TrAvia_act!O37/TrAvia_act!O27)/TrAvia_png!O15)</f>
        <v>0.66693872469341597</v>
      </c>
      <c r="P21" s="90">
        <f>IF(TrAvia_act!P37=0,0,(TrAvia_act!P37/TrAvia_act!P27)/TrAvia_png!P15)</f>
        <v>0.66667718783687979</v>
      </c>
      <c r="Q21" s="90">
        <f>IF(TrAvia_act!Q37=0,0,(TrAvia_act!Q37/TrAvia_act!Q27)/TrAvia_png!Q15)</f>
        <v>0.67516624091653454</v>
      </c>
      <c r="R21" s="90">
        <f>IF(TrAvia_act!R37=0,0,(TrAvia_act!R37/TrAvia_act!R27)/TrAvia_png!R15)</f>
        <v>0.66663732893658556</v>
      </c>
      <c r="S21" s="90">
        <f>IF(TrAvia_act!S37=0,0,(TrAvia_act!S37/TrAvia_act!S27)/TrAvia_png!S15)</f>
        <v>0.71788381721202132</v>
      </c>
      <c r="T21" s="90">
        <f>IF(TrAvia_act!T37=0,0,(TrAvia_act!T37/TrAvia_act!T27)/TrAvia_png!T15)</f>
        <v>0.74222118634191825</v>
      </c>
      <c r="U21" s="90">
        <f>IF(TrAvia_act!U37=0,0,(TrAvia_act!U37/TrAvia_act!U27)/TrAvia_png!U15)</f>
        <v>0.75966969255685457</v>
      </c>
      <c r="V21" s="90">
        <f>IF(TrAvia_act!V37=0,0,(TrAvia_act!V37/TrAvia_act!V27)/TrAvia_png!V15)</f>
        <v>0.57894420533398672</v>
      </c>
      <c r="W21" s="90">
        <f>IF(TrAvia_act!W37=0,0,(TrAvia_act!W37/TrAvia_act!W27)/TrAvia_png!W15)</f>
        <v>0.66768303693499875</v>
      </c>
      <c r="X21" s="90">
        <f>IF(TrAvia_act!X37=0,0,(TrAvia_act!X37/TrAvia_act!X27)/TrAvia_png!X15)</f>
        <v>0.82304110398220365</v>
      </c>
      <c r="Y21" s="90">
        <f>IF(TrAvia_act!Y37=0,0,(TrAvia_act!Y37/TrAvia_act!Y27)/TrAvia_png!Y15)</f>
        <v>0.86025312924184616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3.7013265023660279E-2</v>
      </c>
      <c r="C24" s="23">
        <f>IF(TrAvia_ene!C6=0,0,TrAvia_ene!C6/(C12*TrAvia_act!C14))</f>
        <v>3.6242787512351292E-2</v>
      </c>
      <c r="D24" s="23">
        <f>IF(TrAvia_ene!D6=0,0,TrAvia_ene!D6/(D12*TrAvia_act!D14))</f>
        <v>3.5184509214192618E-2</v>
      </c>
      <c r="E24" s="23">
        <f>IF(TrAvia_ene!E6=0,0,TrAvia_ene!E6/(E12*TrAvia_act!E14))</f>
        <v>3.4378551266825048E-2</v>
      </c>
      <c r="F24" s="23">
        <f>IF(TrAvia_ene!F6=0,0,TrAvia_ene!F6/(F12*TrAvia_act!F14))</f>
        <v>3.3296578625279703E-2</v>
      </c>
      <c r="G24" s="23">
        <f>IF(TrAvia_ene!G6=0,0,TrAvia_ene!G6/(G12*TrAvia_act!G14))</f>
        <v>3.2380397598783639E-2</v>
      </c>
      <c r="H24" s="23">
        <f>IF(TrAvia_ene!H6=0,0,TrAvia_ene!H6/(H12*TrAvia_act!H14))</f>
        <v>2.9143725708378507E-2</v>
      </c>
      <c r="I24" s="23">
        <f>IF(TrAvia_ene!I6=0,0,TrAvia_ene!I6/(I12*TrAvia_act!I14))</f>
        <v>2.9530463370738572E-2</v>
      </c>
      <c r="J24" s="23">
        <f>IF(TrAvia_ene!J6=0,0,TrAvia_ene!J6/(J12*TrAvia_act!J14))</f>
        <v>3.2307984784417362E-2</v>
      </c>
      <c r="K24" s="23">
        <f>IF(TrAvia_ene!K6=0,0,TrAvia_ene!K6/(K12*TrAvia_act!K14))</f>
        <v>2.6637178650971004E-2</v>
      </c>
      <c r="L24" s="23">
        <f>IF(TrAvia_ene!L6=0,0,TrAvia_ene!L6/(L12*TrAvia_act!L14))</f>
        <v>2.7154152571869226E-2</v>
      </c>
      <c r="M24" s="23">
        <f>IF(TrAvia_ene!M6=0,0,TrAvia_ene!M6/(M12*TrAvia_act!M14))</f>
        <v>2.7979894161728535E-2</v>
      </c>
      <c r="N24" s="23">
        <f>IF(TrAvia_ene!N6=0,0,TrAvia_ene!N6/(N12*TrAvia_act!N14))</f>
        <v>2.6188151056791353E-2</v>
      </c>
      <c r="O24" s="23">
        <f>IF(TrAvia_ene!O6=0,0,TrAvia_ene!O6/(O12*TrAvia_act!O14))</f>
        <v>2.6163527380661734E-2</v>
      </c>
      <c r="P24" s="23">
        <f>IF(TrAvia_ene!P6=0,0,TrAvia_ene!P6/(P12*TrAvia_act!P14))</f>
        <v>2.5715629371708678E-2</v>
      </c>
      <c r="Q24" s="23">
        <f>IF(TrAvia_ene!Q6=0,0,TrAvia_ene!Q6/(Q12*TrAvia_act!Q14))</f>
        <v>2.466742649914451E-2</v>
      </c>
      <c r="R24" s="23">
        <f>IF(TrAvia_ene!R6=0,0,TrAvia_ene!R6/(R12*TrAvia_act!R14))</f>
        <v>2.6201120873309388E-2</v>
      </c>
      <c r="S24" s="23">
        <f>IF(TrAvia_ene!S6=0,0,TrAvia_ene!S6/(S12*TrAvia_act!S14))</f>
        <v>2.6522243930209823E-2</v>
      </c>
      <c r="T24" s="23">
        <f>IF(TrAvia_ene!T6=0,0,TrAvia_ene!T6/(T12*TrAvia_act!T14))</f>
        <v>2.5911006409138588E-2</v>
      </c>
      <c r="U24" s="23">
        <f>IF(TrAvia_ene!U6=0,0,TrAvia_ene!U6/(U12*TrAvia_act!U14))</f>
        <v>2.4593151725185117E-2</v>
      </c>
      <c r="V24" s="23">
        <f>IF(TrAvia_ene!V6=0,0,TrAvia_ene!V6/(V12*TrAvia_act!V14))</f>
        <v>2.6238252043150879E-2</v>
      </c>
      <c r="W24" s="23">
        <f>IF(TrAvia_ene!W6=0,0,TrAvia_ene!W6/(W12*TrAvia_act!W14))</f>
        <v>2.1285017367646139E-2</v>
      </c>
      <c r="X24" s="23">
        <f>IF(TrAvia_ene!X6=0,0,TrAvia_ene!X6/(X12*TrAvia_act!X14))</f>
        <v>2.0531075039274996E-2</v>
      </c>
      <c r="Y24" s="23">
        <f>IF(TrAvia_ene!Y6=0,0,TrAvia_ene!Y6/(Y12*TrAvia_act!Y14))</f>
        <v>1.9631042569289311E-2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X25" s="91">
        <f>IF(TrAvia_ene!X7=0,0,TrAvia_ene!X7/(X13*TrAvia_act!X15))</f>
        <v>0</v>
      </c>
      <c r="Y25" s="91">
        <f>IF(TrAvia_ene!Y7=0,0,TrAvia_ene!Y7/(Y13*TrAvia_act!Y15))</f>
        <v>0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4.1548162907969151E-2</v>
      </c>
      <c r="C26" s="93">
        <f>IF(TrAvia_ene!C8=0,0,TrAvia_ene!C8/(C14*TrAvia_act!C16))</f>
        <v>4.056360279034002E-2</v>
      </c>
      <c r="D26" s="93">
        <f>IF(TrAvia_ene!D8=0,0,TrAvia_ene!D8/(D14*TrAvia_act!D16))</f>
        <v>3.920709039635923E-2</v>
      </c>
      <c r="E26" s="93">
        <f>IF(TrAvia_ene!E8=0,0,TrAvia_ene!E8/(E14*TrAvia_act!E16))</f>
        <v>3.8126747638800557E-2</v>
      </c>
      <c r="F26" s="93">
        <f>IF(TrAvia_ene!F8=0,0,TrAvia_ene!F8/(F14*TrAvia_act!F16))</f>
        <v>3.6813440962727081E-2</v>
      </c>
      <c r="G26" s="93">
        <f>IF(TrAvia_ene!G8=0,0,TrAvia_ene!G8/(G14*TrAvia_act!G16))</f>
        <v>3.5165050171191085E-2</v>
      </c>
      <c r="H26" s="93">
        <f>IF(TrAvia_ene!H8=0,0,TrAvia_ene!H8/(H14*TrAvia_act!H16))</f>
        <v>3.2197114784219924E-2</v>
      </c>
      <c r="I26" s="93">
        <f>IF(TrAvia_ene!I8=0,0,TrAvia_ene!I8/(I14*TrAvia_act!I16))</f>
        <v>3.3011545224931917E-2</v>
      </c>
      <c r="J26" s="93">
        <f>IF(TrAvia_ene!J8=0,0,TrAvia_ene!J8/(J14*TrAvia_act!J16))</f>
        <v>3.4857039638300821E-2</v>
      </c>
      <c r="K26" s="93">
        <f>IF(TrAvia_ene!K8=0,0,TrAvia_ene!K8/(K14*TrAvia_act!K16))</f>
        <v>2.9066193729561939E-2</v>
      </c>
      <c r="L26" s="93">
        <f>IF(TrAvia_ene!L8=0,0,TrAvia_ene!L8/(L14*TrAvia_act!L16))</f>
        <v>2.802313193239506E-2</v>
      </c>
      <c r="M26" s="93">
        <f>IF(TrAvia_ene!M8=0,0,TrAvia_ene!M8/(M14*TrAvia_act!M16))</f>
        <v>2.7945243176916181E-2</v>
      </c>
      <c r="N26" s="93">
        <f>IF(TrAvia_ene!N8=0,0,TrAvia_ene!N8/(N14*TrAvia_act!N16))</f>
        <v>2.6122528434091855E-2</v>
      </c>
      <c r="O26" s="93">
        <f>IF(TrAvia_ene!O8=0,0,TrAvia_ene!O8/(O14*TrAvia_act!O16))</f>
        <v>2.6883555827768024E-2</v>
      </c>
      <c r="P26" s="93">
        <f>IF(TrAvia_ene!P8=0,0,TrAvia_ene!P8/(P14*TrAvia_act!P16))</f>
        <v>2.7709800460687575E-2</v>
      </c>
      <c r="Q26" s="93">
        <f>IF(TrAvia_ene!Q8=0,0,TrAvia_ene!Q8/(Q14*TrAvia_act!Q16))</f>
        <v>2.6701776868107725E-2</v>
      </c>
      <c r="R26" s="93">
        <f>IF(TrAvia_ene!R8=0,0,TrAvia_ene!R8/(R14*TrAvia_act!R16))</f>
        <v>2.8600962809410598E-2</v>
      </c>
      <c r="S26" s="93">
        <f>IF(TrAvia_ene!S8=0,0,TrAvia_ene!S8/(S14*TrAvia_act!S16))</f>
        <v>2.9887130360581868E-2</v>
      </c>
      <c r="T26" s="93">
        <f>IF(TrAvia_ene!T8=0,0,TrAvia_ene!T8/(T14*TrAvia_act!T16))</f>
        <v>3.0771214050372087E-2</v>
      </c>
      <c r="U26" s="93">
        <f>IF(TrAvia_ene!U8=0,0,TrAvia_ene!U8/(U14*TrAvia_act!U16))</f>
        <v>3.0438945813808582E-2</v>
      </c>
      <c r="V26" s="93">
        <f>IF(TrAvia_ene!V8=0,0,TrAvia_ene!V8/(V14*TrAvia_act!V16))</f>
        <v>2.7996772155445038E-2</v>
      </c>
      <c r="W26" s="93">
        <f>IF(TrAvia_ene!W8=0,0,TrAvia_ene!W8/(W14*TrAvia_act!W16))</f>
        <v>2.5188677115600404E-2</v>
      </c>
      <c r="X26" s="93">
        <f>IF(TrAvia_ene!X8=0,0,TrAvia_ene!X8/(X14*TrAvia_act!X16))</f>
        <v>2.4349209425239618E-2</v>
      </c>
      <c r="Y26" s="93">
        <f>IF(TrAvia_ene!Y8=0,0,TrAvia_ene!Y8/(Y14*TrAvia_act!Y16))</f>
        <v>2.3832646605236846E-2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2.0258806431788071E-2</v>
      </c>
      <c r="C27" s="94">
        <f>IF(TrAvia_ene!C9=0,0,TrAvia_ene!C9/(C15*TrAvia_act!C17))</f>
        <v>2.0209488112020755E-2</v>
      </c>
      <c r="D27" s="94">
        <f>IF(TrAvia_ene!D9=0,0,TrAvia_ene!D9/(D15*TrAvia_act!D17))</f>
        <v>2.0178084670262292E-2</v>
      </c>
      <c r="E27" s="94">
        <f>IF(TrAvia_ene!E9=0,0,TrAvia_ene!E9/(E15*TrAvia_act!E17))</f>
        <v>2.0336645988346266E-2</v>
      </c>
      <c r="F27" s="94">
        <f>IF(TrAvia_ene!F9=0,0,TrAvia_ene!F9/(F15*TrAvia_act!F17))</f>
        <v>2.0121325128475621E-2</v>
      </c>
      <c r="G27" s="94">
        <f>IF(TrAvia_ene!G9=0,0,TrAvia_ene!G9/(G15*TrAvia_act!G17))</f>
        <v>2.0109362388934994E-2</v>
      </c>
      <c r="H27" s="94">
        <f>IF(TrAvia_ene!H9=0,0,TrAvia_ene!H9/(H15*TrAvia_act!H17))</f>
        <v>1.8022011282078483E-2</v>
      </c>
      <c r="I27" s="94">
        <f>IF(TrAvia_ene!I9=0,0,TrAvia_ene!I9/(I15*TrAvia_act!I17))</f>
        <v>1.7447386492641707E-2</v>
      </c>
      <c r="J27" s="94">
        <f>IF(TrAvia_ene!J9=0,0,TrAvia_ene!J9/(J15*TrAvia_act!J17))</f>
        <v>2.1421159191290531E-2</v>
      </c>
      <c r="K27" s="94">
        <f>IF(TrAvia_ene!K9=0,0,TrAvia_ene!K9/(K15*TrAvia_act!K17))</f>
        <v>1.7776282819942559E-2</v>
      </c>
      <c r="L27" s="94">
        <f>IF(TrAvia_ene!L9=0,0,TrAvia_ene!L9/(L15*TrAvia_act!L17))</f>
        <v>2.3372928136899424E-2</v>
      </c>
      <c r="M27" s="94">
        <f>IF(TrAvia_ene!M9=0,0,TrAvia_ene!M9/(M15*TrAvia_act!M17))</f>
        <v>2.9679939417157568E-2</v>
      </c>
      <c r="N27" s="94">
        <f>IF(TrAvia_ene!N9=0,0,TrAvia_ene!N9/(N15*TrAvia_act!N17))</f>
        <v>2.6662241525536787E-2</v>
      </c>
      <c r="O27" s="94">
        <f>IF(TrAvia_ene!O9=0,0,TrAvia_ene!O9/(O15*TrAvia_act!O17))</f>
        <v>2.1570440920722789E-2</v>
      </c>
      <c r="P27" s="94">
        <f>IF(TrAvia_ene!P9=0,0,TrAvia_ene!P9/(P15*TrAvia_act!P17))</f>
        <v>1.6113007148996192E-2</v>
      </c>
      <c r="Q27" s="94">
        <f>IF(TrAvia_ene!Q9=0,0,TrAvia_ene!Q9/(Q15*TrAvia_act!Q17))</f>
        <v>1.4829404109292899E-2</v>
      </c>
      <c r="R27" s="94">
        <f>IF(TrAvia_ene!R9=0,0,TrAvia_ene!R9/(R15*TrAvia_act!R17))</f>
        <v>1.4377169407005265E-2</v>
      </c>
      <c r="S27" s="94">
        <f>IF(TrAvia_ene!S9=0,0,TrAvia_ene!S9/(S15*TrAvia_act!S17))</f>
        <v>1.2335645669851836E-2</v>
      </c>
      <c r="T27" s="94">
        <f>IF(TrAvia_ene!T9=0,0,TrAvia_ene!T9/(T15*TrAvia_act!T17))</f>
        <v>9.4789608223293052E-3</v>
      </c>
      <c r="U27" s="94">
        <f>IF(TrAvia_ene!U9=0,0,TrAvia_ene!U9/(U15*TrAvia_act!U17))</f>
        <v>8.0589354711945501E-3</v>
      </c>
      <c r="V27" s="94">
        <f>IF(TrAvia_ene!V9=0,0,TrAvia_ene!V9/(V15*TrAvia_act!V17))</f>
        <v>1.7974312428269825E-2</v>
      </c>
      <c r="W27" s="94">
        <f>IF(TrAvia_ene!W9=0,0,TrAvia_ene!W9/(W15*TrAvia_act!W17))</f>
        <v>9.5117859804185571E-3</v>
      </c>
      <c r="X27" s="94">
        <f>IF(TrAvia_ene!X9=0,0,TrAvia_ene!X9/(X15*TrAvia_act!X17))</f>
        <v>7.0114222962808668E-3</v>
      </c>
      <c r="Y27" s="94">
        <f>IF(TrAvia_ene!Y9=0,0,TrAvia_ene!Y9/(Y15*TrAvia_act!Y17))</f>
        <v>6.7565345075041349E-3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229.25059999999999</v>
      </c>
      <c r="C3" s="54">
        <f t="shared" si="0"/>
        <v>162.90459999999999</v>
      </c>
      <c r="D3" s="54">
        <f t="shared" si="0"/>
        <v>162.88399999999999</v>
      </c>
      <c r="E3" s="54">
        <f t="shared" si="0"/>
        <v>163.0342</v>
      </c>
      <c r="F3" s="54">
        <f t="shared" si="0"/>
        <v>135.292</v>
      </c>
      <c r="G3" s="54">
        <f t="shared" si="0"/>
        <v>160.34539999999998</v>
      </c>
      <c r="H3" s="54">
        <f t="shared" si="0"/>
        <v>157.67009999999999</v>
      </c>
      <c r="I3" s="54">
        <f t="shared" si="0"/>
        <v>159.96299999999999</v>
      </c>
      <c r="J3" s="54">
        <f t="shared" si="0"/>
        <v>161.97800000000001</v>
      </c>
      <c r="K3" s="54">
        <f t="shared" si="0"/>
        <v>152.97800000000001</v>
      </c>
      <c r="L3" s="54">
        <f t="shared" si="0"/>
        <v>152.97800000000001</v>
      </c>
      <c r="M3" s="54">
        <f t="shared" si="0"/>
        <v>169.95500000000001</v>
      </c>
      <c r="N3" s="54">
        <f t="shared" si="0"/>
        <v>162.21</v>
      </c>
      <c r="O3" s="54">
        <f t="shared" si="0"/>
        <v>156.691</v>
      </c>
      <c r="P3" s="54">
        <f t="shared" si="0"/>
        <v>161.465</v>
      </c>
      <c r="Q3" s="54">
        <f t="shared" si="0"/>
        <v>168.59899999999999</v>
      </c>
      <c r="R3" s="54">
        <f t="shared" ref="R3:V3" si="1">SUM(R4:R5)</f>
        <v>133.59299999999999</v>
      </c>
      <c r="S3" s="54">
        <f t="shared" si="1"/>
        <v>180.87899999999999</v>
      </c>
      <c r="T3" s="54">
        <f t="shared" si="1"/>
        <v>158.05799999999999</v>
      </c>
      <c r="U3" s="54">
        <f t="shared" si="1"/>
        <v>174.24</v>
      </c>
      <c r="V3" s="54">
        <f t="shared" si="1"/>
        <v>121.07000000000001</v>
      </c>
      <c r="W3" s="54">
        <f t="shared" ref="W3:Y3" si="2">SUM(W4:W5)</f>
        <v>130.60399999999998</v>
      </c>
      <c r="X3" s="54">
        <f t="shared" si="2"/>
        <v>110.483</v>
      </c>
      <c r="Y3" s="54">
        <f t="shared" si="2"/>
        <v>93.361000000000004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227.767</v>
      </c>
      <c r="C4" s="56">
        <v>162.369</v>
      </c>
      <c r="D4" s="56">
        <v>162.369</v>
      </c>
      <c r="E4" s="56">
        <v>162.369</v>
      </c>
      <c r="F4" s="56">
        <v>134.67099999999999</v>
      </c>
      <c r="G4" s="56">
        <v>159.02099999999999</v>
      </c>
      <c r="H4" s="56">
        <v>155.875</v>
      </c>
      <c r="I4" s="56">
        <v>149.96299999999999</v>
      </c>
      <c r="J4" s="56">
        <v>149.97800000000001</v>
      </c>
      <c r="K4" s="56">
        <v>149.97800000000001</v>
      </c>
      <c r="L4" s="56">
        <v>149.97800000000001</v>
      </c>
      <c r="M4" s="56">
        <v>166.95500000000001</v>
      </c>
      <c r="N4" s="56">
        <v>161.21</v>
      </c>
      <c r="O4" s="56">
        <v>156.691</v>
      </c>
      <c r="P4" s="56">
        <v>161.465</v>
      </c>
      <c r="Q4" s="56">
        <v>168.59899999999999</v>
      </c>
      <c r="R4" s="56">
        <v>133.59299999999999</v>
      </c>
      <c r="S4" s="56">
        <v>180.87899999999999</v>
      </c>
      <c r="T4" s="56">
        <v>158.05799999999999</v>
      </c>
      <c r="U4" s="56">
        <v>174.24</v>
      </c>
      <c r="V4" s="56">
        <v>121.06</v>
      </c>
      <c r="W4" s="56">
        <v>127.604</v>
      </c>
      <c r="X4" s="56">
        <v>101.483</v>
      </c>
      <c r="Y4" s="56">
        <v>81.361000000000004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1.4835999999999998</v>
      </c>
      <c r="C5" s="58">
        <v>0.53560000000000008</v>
      </c>
      <c r="D5" s="58">
        <v>0.51500000000000001</v>
      </c>
      <c r="E5" s="58">
        <v>0.6651999999999999</v>
      </c>
      <c r="F5" s="58">
        <v>0.621</v>
      </c>
      <c r="G5" s="58">
        <v>1.3244</v>
      </c>
      <c r="H5" s="58">
        <v>1.7950999999999999</v>
      </c>
      <c r="I5" s="58">
        <v>10</v>
      </c>
      <c r="J5" s="58">
        <v>12</v>
      </c>
      <c r="K5" s="58">
        <v>3</v>
      </c>
      <c r="L5" s="58">
        <v>3</v>
      </c>
      <c r="M5" s="58">
        <v>3</v>
      </c>
      <c r="N5" s="58">
        <v>1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0.01</v>
      </c>
      <c r="W5" s="58">
        <v>3</v>
      </c>
      <c r="X5" s="58">
        <v>9</v>
      </c>
      <c r="Y5" s="58">
        <v>12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0.11</v>
      </c>
      <c r="C7" s="59">
        <f t="shared" si="3"/>
        <v>7.5999999999999998E-2</v>
      </c>
      <c r="D7" s="59">
        <f t="shared" si="3"/>
        <v>7.4999999999999997E-2</v>
      </c>
      <c r="E7" s="59">
        <f t="shared" si="3"/>
        <v>7.4999999999999997E-2</v>
      </c>
      <c r="F7" s="59">
        <f t="shared" si="3"/>
        <v>6.4000000000000001E-2</v>
      </c>
      <c r="G7" s="59">
        <f t="shared" si="3"/>
        <v>8.0999999999999989E-2</v>
      </c>
      <c r="H7" s="59">
        <f t="shared" si="3"/>
        <v>7.5999999999999998E-2</v>
      </c>
      <c r="I7" s="59">
        <f t="shared" si="3"/>
        <v>0.11799999999999999</v>
      </c>
      <c r="J7" s="59">
        <f t="shared" si="3"/>
        <v>0.13999999999999999</v>
      </c>
      <c r="K7" s="59">
        <f t="shared" si="3"/>
        <v>6.9000000000000006E-2</v>
      </c>
      <c r="L7" s="59">
        <f t="shared" si="3"/>
        <v>7.3000000000000009E-2</v>
      </c>
      <c r="M7" s="59">
        <f t="shared" si="3"/>
        <v>8.1000000000000003E-2</v>
      </c>
      <c r="N7" s="59">
        <f t="shared" si="3"/>
        <v>6.8000000000000005E-2</v>
      </c>
      <c r="O7" s="59">
        <f t="shared" si="3"/>
        <v>0.06</v>
      </c>
      <c r="P7" s="59">
        <f t="shared" si="3"/>
        <v>6.2E-2</v>
      </c>
      <c r="Q7" s="59">
        <f t="shared" si="3"/>
        <v>0.06</v>
      </c>
      <c r="R7" s="59">
        <f t="shared" ref="R7:V7" si="4">SUM(R8:R9)</f>
        <v>4.4999999999999998E-2</v>
      </c>
      <c r="S7" s="59">
        <f t="shared" si="4"/>
        <v>6.0999999999999999E-2</v>
      </c>
      <c r="T7" s="59">
        <f t="shared" si="4"/>
        <v>5.5E-2</v>
      </c>
      <c r="U7" s="59">
        <f t="shared" si="4"/>
        <v>6.3E-2</v>
      </c>
      <c r="V7" s="59">
        <f t="shared" si="4"/>
        <v>4.101006271783935E-2</v>
      </c>
      <c r="W7" s="59">
        <f t="shared" ref="W7:Y7" si="5">SUM(W8:W9)</f>
        <v>4.5999999999999999E-2</v>
      </c>
      <c r="X7" s="59">
        <f t="shared" si="5"/>
        <v>4.4000000000000004E-2</v>
      </c>
      <c r="Y7" s="59">
        <f t="shared" si="5"/>
        <v>4.1000000000000002E-2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0.106</v>
      </c>
      <c r="C8" s="60">
        <v>7.3999999999999996E-2</v>
      </c>
      <c r="D8" s="60">
        <v>7.1999999999999995E-2</v>
      </c>
      <c r="E8" s="60">
        <v>7.1999999999999995E-2</v>
      </c>
      <c r="F8" s="60">
        <v>5.8999999999999997E-2</v>
      </c>
      <c r="G8" s="60">
        <v>7.2999999999999995E-2</v>
      </c>
      <c r="H8" s="60">
        <v>6.3E-2</v>
      </c>
      <c r="I8" s="60">
        <v>5.5E-2</v>
      </c>
      <c r="J8" s="60">
        <v>5.2999999999999999E-2</v>
      </c>
      <c r="K8" s="60">
        <v>5.2999999999999999E-2</v>
      </c>
      <c r="L8" s="60">
        <v>5.6000000000000001E-2</v>
      </c>
      <c r="M8" s="60">
        <v>6.6000000000000003E-2</v>
      </c>
      <c r="N8" s="60">
        <v>6.3E-2</v>
      </c>
      <c r="O8" s="60">
        <v>0.06</v>
      </c>
      <c r="P8" s="60">
        <v>6.2E-2</v>
      </c>
      <c r="Q8" s="60">
        <v>0.06</v>
      </c>
      <c r="R8" s="60">
        <v>4.4999999999999998E-2</v>
      </c>
      <c r="S8" s="60">
        <v>6.0999999999999999E-2</v>
      </c>
      <c r="T8" s="60">
        <v>5.5E-2</v>
      </c>
      <c r="U8" s="60">
        <v>6.3E-2</v>
      </c>
      <c r="V8" s="60">
        <v>4.1000000000000002E-2</v>
      </c>
      <c r="W8" s="60">
        <v>4.2999999999999997E-2</v>
      </c>
      <c r="X8" s="60">
        <v>3.4000000000000002E-2</v>
      </c>
      <c r="Y8" s="60">
        <v>2.7E-2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4.0000000000000001E-3</v>
      </c>
      <c r="C9" s="61">
        <v>2E-3</v>
      </c>
      <c r="D9" s="61">
        <v>3.0000000000000001E-3</v>
      </c>
      <c r="E9" s="61">
        <v>3.0000000000000001E-3</v>
      </c>
      <c r="F9" s="61">
        <v>5.0000000000000001E-3</v>
      </c>
      <c r="G9" s="61">
        <v>8.0000000000000002E-3</v>
      </c>
      <c r="H9" s="61">
        <v>1.2999999999999999E-2</v>
      </c>
      <c r="I9" s="61">
        <v>6.3E-2</v>
      </c>
      <c r="J9" s="61">
        <v>8.6999999999999994E-2</v>
      </c>
      <c r="K9" s="61">
        <v>1.6E-2</v>
      </c>
      <c r="L9" s="61">
        <v>1.7000000000000001E-2</v>
      </c>
      <c r="M9" s="61">
        <v>1.4999999999999999E-2</v>
      </c>
      <c r="N9" s="61">
        <v>5.0000000000000001E-3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1.0062717839348538E-5</v>
      </c>
      <c r="W9" s="61">
        <v>3.0000000000000001E-3</v>
      </c>
      <c r="X9" s="61">
        <v>0.01</v>
      </c>
      <c r="Y9" s="61">
        <v>1.4E-2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2084.0963636363635</v>
      </c>
      <c r="C13" s="62">
        <f t="shared" si="6"/>
        <v>2143.4815789473682</v>
      </c>
      <c r="D13" s="62">
        <f t="shared" si="6"/>
        <v>2171.7866666666664</v>
      </c>
      <c r="E13" s="62">
        <f t="shared" si="6"/>
        <v>2173.7893333333336</v>
      </c>
      <c r="F13" s="62">
        <f t="shared" ref="F13:V13" si="7">IF(F3=0,0,F3/F7)</f>
        <v>2113.9375</v>
      </c>
      <c r="G13" s="62">
        <f t="shared" si="7"/>
        <v>1979.5728395061728</v>
      </c>
      <c r="H13" s="62">
        <f t="shared" si="7"/>
        <v>2074.6065789473682</v>
      </c>
      <c r="I13" s="62">
        <f t="shared" si="7"/>
        <v>1355.6186440677966</v>
      </c>
      <c r="J13" s="62">
        <f t="shared" si="7"/>
        <v>1156.9857142857145</v>
      </c>
      <c r="K13" s="62">
        <f t="shared" si="7"/>
        <v>2217.072463768116</v>
      </c>
      <c r="L13" s="62">
        <f t="shared" si="7"/>
        <v>2095.5890410958905</v>
      </c>
      <c r="M13" s="62">
        <f t="shared" si="7"/>
        <v>2098.2098765432102</v>
      </c>
      <c r="N13" s="62">
        <f t="shared" si="7"/>
        <v>2385.4411764705883</v>
      </c>
      <c r="O13" s="62">
        <f t="shared" si="7"/>
        <v>2611.5166666666669</v>
      </c>
      <c r="P13" s="62">
        <f t="shared" si="7"/>
        <v>2604.2741935483873</v>
      </c>
      <c r="Q13" s="62">
        <f t="shared" si="7"/>
        <v>2809.9833333333331</v>
      </c>
      <c r="R13" s="62">
        <f t="shared" si="7"/>
        <v>2968.7333333333331</v>
      </c>
      <c r="S13" s="62">
        <f t="shared" si="7"/>
        <v>2965.2295081967213</v>
      </c>
      <c r="T13" s="62">
        <f t="shared" si="7"/>
        <v>2873.7818181818179</v>
      </c>
      <c r="U13" s="62">
        <f t="shared" si="7"/>
        <v>2765.7142857142858</v>
      </c>
      <c r="V13" s="62">
        <f t="shared" si="7"/>
        <v>2952.2022639417869</v>
      </c>
      <c r="W13" s="62">
        <f t="shared" ref="W13:Y13" si="8">IF(W3=0,0,W3/W7)</f>
        <v>2839.2173913043475</v>
      </c>
      <c r="X13" s="62">
        <f t="shared" si="8"/>
        <v>2510.9772727272725</v>
      </c>
      <c r="Y13" s="62">
        <f t="shared" si="8"/>
        <v>2277.0975609756097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2148.7452830188681</v>
      </c>
      <c r="C14" s="63">
        <f t="shared" si="6"/>
        <v>2194.1756756756758</v>
      </c>
      <c r="D14" s="63">
        <f t="shared" si="6"/>
        <v>2255.125</v>
      </c>
      <c r="E14" s="63">
        <f t="shared" si="6"/>
        <v>2255.125</v>
      </c>
      <c r="F14" s="63">
        <f t="shared" ref="F14:V14" si="9">IF(F4=0,0,F4/F8)</f>
        <v>2282.5593220338983</v>
      </c>
      <c r="G14" s="63">
        <f t="shared" si="9"/>
        <v>2178.3698630136987</v>
      </c>
      <c r="H14" s="63">
        <f t="shared" si="9"/>
        <v>2474.2063492063494</v>
      </c>
      <c r="I14" s="63">
        <f t="shared" si="9"/>
        <v>2726.6</v>
      </c>
      <c r="J14" s="63">
        <f t="shared" si="9"/>
        <v>2829.7735849056608</v>
      </c>
      <c r="K14" s="63">
        <f t="shared" si="9"/>
        <v>2829.7735849056608</v>
      </c>
      <c r="L14" s="63">
        <f t="shared" si="9"/>
        <v>2678.1785714285716</v>
      </c>
      <c r="M14" s="63">
        <f t="shared" si="9"/>
        <v>2529.621212121212</v>
      </c>
      <c r="N14" s="63">
        <f t="shared" si="9"/>
        <v>2558.8888888888891</v>
      </c>
      <c r="O14" s="63">
        <f t="shared" si="9"/>
        <v>2611.5166666666669</v>
      </c>
      <c r="P14" s="63">
        <f t="shared" si="9"/>
        <v>2604.2741935483873</v>
      </c>
      <c r="Q14" s="63">
        <f t="shared" si="9"/>
        <v>2809.9833333333331</v>
      </c>
      <c r="R14" s="63">
        <f t="shared" si="9"/>
        <v>2968.7333333333331</v>
      </c>
      <c r="S14" s="63">
        <f t="shared" si="9"/>
        <v>2965.2295081967213</v>
      </c>
      <c r="T14" s="63">
        <f t="shared" si="9"/>
        <v>2873.7818181818179</v>
      </c>
      <c r="U14" s="63">
        <f t="shared" si="9"/>
        <v>2765.7142857142858</v>
      </c>
      <c r="V14" s="63">
        <f t="shared" si="9"/>
        <v>2952.6829268292681</v>
      </c>
      <c r="W14" s="63">
        <f t="shared" ref="W14:Y14" si="10">IF(W4=0,0,W4/W8)</f>
        <v>2967.5348837209303</v>
      </c>
      <c r="X14" s="63">
        <f t="shared" si="10"/>
        <v>2984.7941176470586</v>
      </c>
      <c r="Y14" s="63">
        <f t="shared" si="10"/>
        <v>3013.3703703703704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370.89999999999992</v>
      </c>
      <c r="C15" s="64">
        <f t="shared" si="6"/>
        <v>267.8</v>
      </c>
      <c r="D15" s="64">
        <f t="shared" si="6"/>
        <v>171.66666666666666</v>
      </c>
      <c r="E15" s="64">
        <f t="shared" si="6"/>
        <v>221.73333333333329</v>
      </c>
      <c r="F15" s="64">
        <f t="shared" ref="F15:V15" si="11">IF(F5=0,0,F5/F9)</f>
        <v>124.2</v>
      </c>
      <c r="G15" s="64">
        <f t="shared" si="11"/>
        <v>165.55</v>
      </c>
      <c r="H15" s="64">
        <f t="shared" si="11"/>
        <v>138.08461538461538</v>
      </c>
      <c r="I15" s="64">
        <f t="shared" si="11"/>
        <v>158.73015873015873</v>
      </c>
      <c r="J15" s="64">
        <f t="shared" si="11"/>
        <v>137.93103448275863</v>
      </c>
      <c r="K15" s="64">
        <f t="shared" si="11"/>
        <v>187.5</v>
      </c>
      <c r="L15" s="64">
        <f t="shared" si="11"/>
        <v>176.47058823529412</v>
      </c>
      <c r="M15" s="64">
        <f t="shared" si="11"/>
        <v>200</v>
      </c>
      <c r="N15" s="64">
        <f t="shared" si="11"/>
        <v>200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993.76730617415399</v>
      </c>
      <c r="W15" s="64">
        <f t="shared" ref="W15:Y15" si="12">IF(W5=0,0,W5/W9)</f>
        <v>1000</v>
      </c>
      <c r="X15" s="64">
        <f t="shared" si="12"/>
        <v>900</v>
      </c>
      <c r="Y15" s="64">
        <f t="shared" si="12"/>
        <v>857.14285714285711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0.99352847931477606</v>
      </c>
      <c r="C18" s="66">
        <f t="shared" si="16"/>
        <v>0.99671218615066737</v>
      </c>
      <c r="D18" s="66">
        <f t="shared" si="16"/>
        <v>0.9968382407111811</v>
      </c>
      <c r="E18" s="66">
        <f t="shared" si="16"/>
        <v>0.99591987448032382</v>
      </c>
      <c r="F18" s="66">
        <f t="shared" ref="F18:V18" si="17">IF(F4=0,0,F4/F$3)</f>
        <v>0.99540992815539719</v>
      </c>
      <c r="G18" s="66">
        <f t="shared" si="17"/>
        <v>0.99174033056140054</v>
      </c>
      <c r="H18" s="66">
        <f t="shared" si="17"/>
        <v>0.98861483566002695</v>
      </c>
      <c r="I18" s="66">
        <f t="shared" si="17"/>
        <v>0.9374855435319418</v>
      </c>
      <c r="J18" s="66">
        <f t="shared" si="17"/>
        <v>0.92591586511748514</v>
      </c>
      <c r="K18" s="66">
        <f t="shared" si="17"/>
        <v>0.98038933702885378</v>
      </c>
      <c r="L18" s="66">
        <f t="shared" si="17"/>
        <v>0.98038933702885378</v>
      </c>
      <c r="M18" s="66">
        <f t="shared" si="17"/>
        <v>0.98234826865935099</v>
      </c>
      <c r="N18" s="66">
        <f t="shared" si="17"/>
        <v>0.99383515196350414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0.99991740315519939</v>
      </c>
      <c r="W18" s="66">
        <f t="shared" ref="W18:Y18" si="18">IF(W4=0,0,W4/W$3)</f>
        <v>0.97702980000612549</v>
      </c>
      <c r="X18" s="66">
        <f t="shared" si="18"/>
        <v>0.91853950381506655</v>
      </c>
      <c r="Y18" s="66">
        <f t="shared" si="18"/>
        <v>0.87146667237925901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6.4715206852239424E-3</v>
      </c>
      <c r="C19" s="67">
        <f t="shared" si="19"/>
        <v>3.2878138493326776E-3</v>
      </c>
      <c r="D19" s="67">
        <f t="shared" si="19"/>
        <v>3.1617592888190374E-3</v>
      </c>
      <c r="E19" s="67">
        <f t="shared" si="19"/>
        <v>4.0801255196762391E-3</v>
      </c>
      <c r="F19" s="67">
        <f t="shared" ref="F19:V19" si="20">IF(F5=0,0,F5/F$3)</f>
        <v>4.5900718446027847E-3</v>
      </c>
      <c r="G19" s="67">
        <f t="shared" si="20"/>
        <v>8.2596694385994249E-3</v>
      </c>
      <c r="H19" s="67">
        <f t="shared" si="20"/>
        <v>1.1385164339973147E-2</v>
      </c>
      <c r="I19" s="67">
        <f t="shared" si="20"/>
        <v>6.2514456468058241E-2</v>
      </c>
      <c r="J19" s="67">
        <f t="shared" si="20"/>
        <v>7.4084134882514904E-2</v>
      </c>
      <c r="K19" s="67">
        <f t="shared" si="20"/>
        <v>1.9610662971146178E-2</v>
      </c>
      <c r="L19" s="67">
        <f t="shared" si="20"/>
        <v>1.9610662971146178E-2</v>
      </c>
      <c r="M19" s="67">
        <f t="shared" si="20"/>
        <v>1.7651731340648995E-2</v>
      </c>
      <c r="N19" s="67">
        <f t="shared" si="20"/>
        <v>6.1648480364958997E-3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8.2596844800528611E-5</v>
      </c>
      <c r="W19" s="67">
        <f t="shared" ref="W19:Y19" si="21">IF(W5=0,0,W5/W$3)</f>
        <v>2.2970199993874615E-2</v>
      </c>
      <c r="X19" s="67">
        <f t="shared" si="21"/>
        <v>8.1460496184933423E-2</v>
      </c>
      <c r="Y19" s="67">
        <f t="shared" si="21"/>
        <v>0.12853332762074099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0.96363636363636362</v>
      </c>
      <c r="C22" s="66">
        <f t="shared" si="25"/>
        <v>0.97368421052631582</v>
      </c>
      <c r="D22" s="66">
        <f t="shared" si="25"/>
        <v>0.96</v>
      </c>
      <c r="E22" s="66">
        <f t="shared" si="25"/>
        <v>0.96</v>
      </c>
      <c r="F22" s="66">
        <f t="shared" ref="F22:V22" si="26">IF(F8=0,0,F8/F$7)</f>
        <v>0.92187499999999989</v>
      </c>
      <c r="G22" s="66">
        <f t="shared" si="26"/>
        <v>0.90123456790123468</v>
      </c>
      <c r="H22" s="66">
        <f t="shared" si="26"/>
        <v>0.82894736842105265</v>
      </c>
      <c r="I22" s="66">
        <f t="shared" si="26"/>
        <v>0.46610169491525427</v>
      </c>
      <c r="J22" s="66">
        <f t="shared" si="26"/>
        <v>0.37857142857142861</v>
      </c>
      <c r="K22" s="66">
        <f t="shared" si="26"/>
        <v>0.76811594202898548</v>
      </c>
      <c r="L22" s="66">
        <f t="shared" si="26"/>
        <v>0.76712328767123283</v>
      </c>
      <c r="M22" s="66">
        <f t="shared" si="26"/>
        <v>0.81481481481481488</v>
      </c>
      <c r="N22" s="66">
        <f t="shared" si="26"/>
        <v>0.92647058823529405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0.99975462807973292</v>
      </c>
      <c r="W22" s="66">
        <f t="shared" ref="W22:Y22" si="27">IF(W8=0,0,W8/W$7)</f>
        <v>0.93478260869565211</v>
      </c>
      <c r="X22" s="66">
        <f t="shared" si="27"/>
        <v>0.77272727272727271</v>
      </c>
      <c r="Y22" s="66">
        <f t="shared" si="27"/>
        <v>0.65853658536585358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3.6363636363636362E-2</v>
      </c>
      <c r="C23" s="67">
        <f t="shared" si="28"/>
        <v>2.6315789473684213E-2</v>
      </c>
      <c r="D23" s="67">
        <f t="shared" si="28"/>
        <v>0.04</v>
      </c>
      <c r="E23" s="67">
        <f t="shared" si="28"/>
        <v>0.04</v>
      </c>
      <c r="F23" s="67">
        <f t="shared" ref="F23:V23" si="29">IF(F9=0,0,F9/F$7)</f>
        <v>7.8125E-2</v>
      </c>
      <c r="G23" s="67">
        <f t="shared" si="29"/>
        <v>9.8765432098765454E-2</v>
      </c>
      <c r="H23" s="67">
        <f t="shared" si="29"/>
        <v>0.17105263157894737</v>
      </c>
      <c r="I23" s="67">
        <f t="shared" si="29"/>
        <v>0.53389830508474578</v>
      </c>
      <c r="J23" s="67">
        <f t="shared" si="29"/>
        <v>0.62142857142857144</v>
      </c>
      <c r="K23" s="67">
        <f t="shared" si="29"/>
        <v>0.23188405797101447</v>
      </c>
      <c r="L23" s="67">
        <f t="shared" si="29"/>
        <v>0.23287671232876711</v>
      </c>
      <c r="M23" s="67">
        <f t="shared" si="29"/>
        <v>0.18518518518518517</v>
      </c>
      <c r="N23" s="67">
        <f t="shared" si="29"/>
        <v>7.3529411764705885E-2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2.4537192026705346E-4</v>
      </c>
      <c r="W23" s="67">
        <f t="shared" ref="W23:Y23" si="30">IF(W9=0,0,W9/W$7)</f>
        <v>6.5217391304347824E-2</v>
      </c>
      <c r="X23" s="67">
        <f t="shared" si="30"/>
        <v>0.22727272727272727</v>
      </c>
      <c r="Y23" s="67">
        <f t="shared" si="30"/>
        <v>0.34146341463414631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3.065348237317282</v>
      </c>
      <c r="C3" s="62">
        <f t="shared" ref="C3:V3" si="0">SUM(C4,C10)</f>
        <v>3.065348237317282</v>
      </c>
      <c r="D3" s="62">
        <f t="shared" si="0"/>
        <v>4.0871023215821154</v>
      </c>
      <c r="E3" s="62">
        <f t="shared" si="0"/>
        <v>4.0871023215821154</v>
      </c>
      <c r="F3" s="62">
        <f t="shared" si="0"/>
        <v>5.1089423903697329</v>
      </c>
      <c r="G3" s="62">
        <f t="shared" si="0"/>
        <v>5.1089423903697329</v>
      </c>
      <c r="H3" s="62">
        <f t="shared" si="0"/>
        <v>6.1306964746345649</v>
      </c>
      <c r="I3" s="62">
        <f t="shared" si="0"/>
        <v>5.1435081685296655</v>
      </c>
      <c r="J3" s="62">
        <f t="shared" si="0"/>
        <v>6.1722269991401557</v>
      </c>
      <c r="K3" s="62">
        <f t="shared" si="0"/>
        <v>5.1435081685296646</v>
      </c>
      <c r="L3" s="62">
        <f t="shared" si="0"/>
        <v>6.1722269991401548</v>
      </c>
      <c r="M3" s="62">
        <f t="shared" si="0"/>
        <v>5.1435081685296646</v>
      </c>
      <c r="N3" s="62">
        <f t="shared" si="0"/>
        <v>5.1435081685296646</v>
      </c>
      <c r="O3" s="62">
        <f t="shared" si="0"/>
        <v>5.1435081685296646</v>
      </c>
      <c r="P3" s="62">
        <f t="shared" si="0"/>
        <v>5.1435081685296646</v>
      </c>
      <c r="Q3" s="62">
        <f t="shared" si="0"/>
        <v>5.1184866723989666</v>
      </c>
      <c r="R3" s="62">
        <f t="shared" si="0"/>
        <v>4.0947549441100586</v>
      </c>
      <c r="S3" s="62">
        <f t="shared" si="0"/>
        <v>5.5279449699054171</v>
      </c>
      <c r="T3" s="62">
        <f t="shared" si="0"/>
        <v>4.8113499570077387</v>
      </c>
      <c r="U3" s="62">
        <f t="shared" si="0"/>
        <v>5.3232158211521918</v>
      </c>
      <c r="V3" s="62">
        <f t="shared" si="0"/>
        <v>3.7920894239036964</v>
      </c>
      <c r="W3" s="62">
        <f t="shared" ref="W3:Y3" si="1">SUM(W4,W10)</f>
        <v>3.9970765262252792</v>
      </c>
      <c r="X3" s="62">
        <f t="shared" si="1"/>
        <v>3.1771281169389516</v>
      </c>
      <c r="Y3" s="62">
        <f t="shared" si="1"/>
        <v>2.5622527944969899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3.0541881771082831</v>
      </c>
      <c r="C4" s="71">
        <f t="shared" ref="C4:V4" si="2">SUM(C5:C9)</f>
        <v>3.0577353373506702</v>
      </c>
      <c r="D4" s="71">
        <f t="shared" si="2"/>
        <v>4.0732875603504874</v>
      </c>
      <c r="E4" s="71">
        <f t="shared" si="2"/>
        <v>4.0724019338442359</v>
      </c>
      <c r="F4" s="71">
        <f t="shared" si="2"/>
        <v>5.0747305102274893</v>
      </c>
      <c r="G4" s="71">
        <f t="shared" si="2"/>
        <v>5.0638991701395648</v>
      </c>
      <c r="H4" s="71">
        <f t="shared" si="2"/>
        <v>6.0335028845300211</v>
      </c>
      <c r="I4" s="71">
        <f t="shared" si="2"/>
        <v>4.7177171682262209</v>
      </c>
      <c r="J4" s="71">
        <f t="shared" si="2"/>
        <v>5.516760017885475</v>
      </c>
      <c r="K4" s="71">
        <f t="shared" si="2"/>
        <v>5.0236122114896995</v>
      </c>
      <c r="L4" s="71">
        <f t="shared" si="2"/>
        <v>6.0333025105228977</v>
      </c>
      <c r="M4" s="71">
        <f t="shared" si="2"/>
        <v>5.0555581815008761</v>
      </c>
      <c r="N4" s="71">
        <f t="shared" si="2"/>
        <v>5.111615070958992</v>
      </c>
      <c r="O4" s="71">
        <f t="shared" si="2"/>
        <v>5.1435081685296646</v>
      </c>
      <c r="P4" s="71">
        <f t="shared" si="2"/>
        <v>5.1435081685296646</v>
      </c>
      <c r="Q4" s="71">
        <f t="shared" si="2"/>
        <v>5.1184866723989666</v>
      </c>
      <c r="R4" s="71">
        <f t="shared" si="2"/>
        <v>4.0947549441100586</v>
      </c>
      <c r="S4" s="71">
        <f t="shared" si="2"/>
        <v>5.5279449699054171</v>
      </c>
      <c r="T4" s="71">
        <f t="shared" si="2"/>
        <v>4.8113499570077387</v>
      </c>
      <c r="U4" s="71">
        <f t="shared" si="2"/>
        <v>5.3232158211521918</v>
      </c>
      <c r="V4" s="71">
        <f t="shared" si="2"/>
        <v>3.7919956393581336</v>
      </c>
      <c r="W4" s="71">
        <f t="shared" ref="W4:Y4" si="3">SUM(W5:W9)</f>
        <v>3.9695472868730972</v>
      </c>
      <c r="X4" s="71">
        <f t="shared" si="3"/>
        <v>3.0936080209216921</v>
      </c>
      <c r="Y4" s="71">
        <f t="shared" si="3"/>
        <v>2.4465712519508593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3.0541881771082831</v>
      </c>
      <c r="C5" s="73">
        <v>3.0577353373506702</v>
      </c>
      <c r="D5" s="73">
        <v>4.0732875603504874</v>
      </c>
      <c r="E5" s="73">
        <v>4.0724019338442359</v>
      </c>
      <c r="F5" s="73">
        <v>5.0747305102274893</v>
      </c>
      <c r="G5" s="73">
        <v>5.0638991701395648</v>
      </c>
      <c r="H5" s="73">
        <v>6.0335028845300211</v>
      </c>
      <c r="I5" s="73">
        <v>4.7177171682262209</v>
      </c>
      <c r="J5" s="73">
        <v>5.516760017885475</v>
      </c>
      <c r="K5" s="73">
        <v>5.0236122114896995</v>
      </c>
      <c r="L5" s="73">
        <v>6.0333025105228977</v>
      </c>
      <c r="M5" s="73">
        <v>5.0555581815008761</v>
      </c>
      <c r="N5" s="73">
        <v>5.111615070958992</v>
      </c>
      <c r="O5" s="73">
        <v>5.1435081685296646</v>
      </c>
      <c r="P5" s="73">
        <v>5.1435081685296646</v>
      </c>
      <c r="Q5" s="73">
        <v>5.1184866723989666</v>
      </c>
      <c r="R5" s="73">
        <v>4.0947549441100586</v>
      </c>
      <c r="S5" s="73">
        <v>5.5279449699054171</v>
      </c>
      <c r="T5" s="73">
        <v>4.8113499570077387</v>
      </c>
      <c r="U5" s="73">
        <v>5.3232158211521918</v>
      </c>
      <c r="V5" s="73">
        <v>3.7919956393581336</v>
      </c>
      <c r="W5" s="73">
        <v>3.9695472868730972</v>
      </c>
      <c r="X5" s="73">
        <v>3.0936080209216921</v>
      </c>
      <c r="Y5" s="73">
        <v>2.4465712519508593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1.1160060208999149E-2</v>
      </c>
      <c r="C10" s="71">
        <f t="shared" ref="C10:V10" si="4">SUM(C11:C15)</f>
        <v>7.6128999666117718E-3</v>
      </c>
      <c r="D10" s="71">
        <f t="shared" si="4"/>
        <v>1.3814761231627875E-2</v>
      </c>
      <c r="E10" s="71">
        <f t="shared" si="4"/>
        <v>1.4700387737879168E-2</v>
      </c>
      <c r="F10" s="71">
        <f t="shared" si="4"/>
        <v>3.4211880142243356E-2</v>
      </c>
      <c r="G10" s="71">
        <f t="shared" si="4"/>
        <v>4.5043220230167852E-2</v>
      </c>
      <c r="H10" s="71">
        <f t="shared" si="4"/>
        <v>9.7193590104544078E-2</v>
      </c>
      <c r="I10" s="71">
        <f t="shared" si="4"/>
        <v>0.42579100030344469</v>
      </c>
      <c r="J10" s="71">
        <f t="shared" si="4"/>
        <v>0.65546698125468028</v>
      </c>
      <c r="K10" s="71">
        <f t="shared" si="4"/>
        <v>0.11989595703996524</v>
      </c>
      <c r="L10" s="71">
        <f t="shared" si="4"/>
        <v>0.13892448861725692</v>
      </c>
      <c r="M10" s="71">
        <f t="shared" si="4"/>
        <v>8.7949987028788396E-2</v>
      </c>
      <c r="N10" s="71">
        <f t="shared" si="4"/>
        <v>3.1893097570672789E-2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9.3784545563025822E-5</v>
      </c>
      <c r="W10" s="71">
        <f t="shared" ref="W10:Y10" si="5">SUM(W11:W15)</f>
        <v>2.7529239352181913E-2</v>
      </c>
      <c r="X10" s="71">
        <f t="shared" si="5"/>
        <v>8.3520096017259321E-2</v>
      </c>
      <c r="Y10" s="71">
        <f t="shared" si="5"/>
        <v>0.1156815425461306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1.1160060208999149E-2</v>
      </c>
      <c r="C11" s="73">
        <v>7.6128999666117718E-3</v>
      </c>
      <c r="D11" s="73">
        <v>1.3814761231627875E-2</v>
      </c>
      <c r="E11" s="73">
        <v>1.4700387737879168E-2</v>
      </c>
      <c r="F11" s="73">
        <v>3.4211880142243356E-2</v>
      </c>
      <c r="G11" s="73">
        <v>4.5043220230167852E-2</v>
      </c>
      <c r="H11" s="73">
        <v>9.7193590104544078E-2</v>
      </c>
      <c r="I11" s="73">
        <v>0.42579100030344469</v>
      </c>
      <c r="J11" s="73">
        <v>0.65546698125468028</v>
      </c>
      <c r="K11" s="73">
        <v>0.11989595703996524</v>
      </c>
      <c r="L11" s="73">
        <v>0.13892448861725692</v>
      </c>
      <c r="M11" s="73">
        <v>8.7949987028788396E-2</v>
      </c>
      <c r="N11" s="73">
        <v>3.1893097570672789E-2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9.3784545563025822E-5</v>
      </c>
      <c r="W11" s="73">
        <v>2.7529239352181913E-2</v>
      </c>
      <c r="X11" s="73">
        <v>8.3520096017259321E-2</v>
      </c>
      <c r="Y11" s="73">
        <v>0.1156815425461306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2786.6802157429838</v>
      </c>
      <c r="C19" s="62">
        <f>IF(C3=0,0,C3/TrNavi_act!C7*100)</f>
        <v>4033.352943838529</v>
      </c>
      <c r="D19" s="62">
        <f>IF(D3=0,0,D3/TrNavi_act!D7*100)</f>
        <v>5449.4697621094874</v>
      </c>
      <c r="E19" s="62">
        <f>IF(E3=0,0,E3/TrNavi_act!E7*100)</f>
        <v>5449.4697621094874</v>
      </c>
      <c r="F19" s="62">
        <f>IF(F3=0,0,F3/TrNavi_act!F7*100)</f>
        <v>7982.7224849527074</v>
      </c>
      <c r="G19" s="62">
        <f>IF(G3=0,0,G3/TrNavi_act!G7*100)</f>
        <v>6307.3362844070789</v>
      </c>
      <c r="H19" s="62">
        <f>IF(H3=0,0,H3/TrNavi_act!H7*100)</f>
        <v>8066.7058876770598</v>
      </c>
      <c r="I19" s="62">
        <f>IF(I3=0,0,I3/TrNavi_act!I7*100)</f>
        <v>4358.905227567514</v>
      </c>
      <c r="J19" s="62">
        <f>IF(J3=0,0,J3/TrNavi_act!J7*100)</f>
        <v>4408.7335708143974</v>
      </c>
      <c r="K19" s="62">
        <f>IF(K3=0,0,K3/TrNavi_act!K7*100)</f>
        <v>7454.3596645357457</v>
      </c>
      <c r="L19" s="62">
        <f>IF(L3=0,0,L3/TrNavi_act!L7*100)</f>
        <v>8455.105478274183</v>
      </c>
      <c r="M19" s="62">
        <f>IF(M3=0,0,M3/TrNavi_act!M7*100)</f>
        <v>6350.0100846045243</v>
      </c>
      <c r="N19" s="62">
        <f>IF(N3=0,0,N3/TrNavi_act!N7*100)</f>
        <v>7563.9826007789179</v>
      </c>
      <c r="O19" s="62">
        <f>IF(O3=0,0,O3/TrNavi_act!O7*100)</f>
        <v>8572.5136142161082</v>
      </c>
      <c r="P19" s="62">
        <f>IF(P3=0,0,P3/TrNavi_act!P7*100)</f>
        <v>8295.9809169833316</v>
      </c>
      <c r="Q19" s="62">
        <f>IF(Q3=0,0,Q3/TrNavi_act!Q7*100)</f>
        <v>8530.8111206649446</v>
      </c>
      <c r="R19" s="62">
        <f>IF(R3=0,0,R3/TrNavi_act!R7*100)</f>
        <v>9099.4554313556855</v>
      </c>
      <c r="S19" s="62">
        <f>IF(S3=0,0,S3/TrNavi_act!S7*100)</f>
        <v>9062.2048686974049</v>
      </c>
      <c r="T19" s="62">
        <f>IF(T3=0,0,T3/TrNavi_act!T7*100)</f>
        <v>8747.9090127413438</v>
      </c>
      <c r="U19" s="62">
        <f>IF(U3=0,0,U3/TrNavi_act!U7*100)</f>
        <v>8449.5489224637968</v>
      </c>
      <c r="V19" s="62">
        <f>IF(V3=0,0,V3/TrNavi_act!V7*100)</f>
        <v>9246.7291503412889</v>
      </c>
      <c r="W19" s="62">
        <f>IF(W3=0,0,W3/TrNavi_act!W7*100)</f>
        <v>8689.2967961419126</v>
      </c>
      <c r="X19" s="62">
        <f>IF(X3=0,0,X3/TrNavi_act!X7*100)</f>
        <v>7220.7457203157983</v>
      </c>
      <c r="Y19" s="62">
        <f>IF(Y3=0,0,Y3/TrNavi_act!Y7*100)</f>
        <v>6249.3970597487551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2881.3096010455502</v>
      </c>
      <c r="C20" s="63">
        <f>IF(C4=0,0,C4/TrNavi_act!C8*100)</f>
        <v>4132.0747802036085</v>
      </c>
      <c r="D20" s="63">
        <f>IF(D4=0,0,D4/TrNavi_act!D8*100)</f>
        <v>5657.3438338201222</v>
      </c>
      <c r="E20" s="63">
        <f>IF(E4=0,0,E4/TrNavi_act!E8*100)</f>
        <v>5656.1137970058835</v>
      </c>
      <c r="F20" s="63">
        <f>IF(F4=0,0,F4/TrNavi_act!F8*100)</f>
        <v>8601.2381529279482</v>
      </c>
      <c r="G20" s="63">
        <f>IF(G4=0,0,G4/TrNavi_act!G8*100)</f>
        <v>6936.848178273377</v>
      </c>
      <c r="H20" s="63">
        <f>IF(H4=0,0,H4/TrNavi_act!H8*100)</f>
        <v>9576.9887056032076</v>
      </c>
      <c r="I20" s="63">
        <f>IF(I4=0,0,I4/TrNavi_act!I8*100)</f>
        <v>8577.6675785931293</v>
      </c>
      <c r="J20" s="63">
        <f>IF(J4=0,0,J4/TrNavi_act!J8*100)</f>
        <v>10408.981165821651</v>
      </c>
      <c r="K20" s="63">
        <f>IF(K4=0,0,K4/TrNavi_act!K8*100)</f>
        <v>9478.513606584338</v>
      </c>
      <c r="L20" s="63">
        <f>IF(L4=0,0,L4/TrNavi_act!L8*100)</f>
        <v>10773.754483076602</v>
      </c>
      <c r="M20" s="63">
        <f>IF(M4=0,0,M4/TrNavi_act!M8*100)</f>
        <v>7659.9366386376896</v>
      </c>
      <c r="N20" s="63">
        <f>IF(N4=0,0,N4/TrNavi_act!N8*100)</f>
        <v>8113.6747158079233</v>
      </c>
      <c r="O20" s="63">
        <f>IF(O4=0,0,O4/TrNavi_act!O8*100)</f>
        <v>8572.5136142161082</v>
      </c>
      <c r="P20" s="63">
        <f>IF(P4=0,0,P4/TrNavi_act!P8*100)</f>
        <v>8295.9809169833316</v>
      </c>
      <c r="Q20" s="63">
        <f>IF(Q4=0,0,Q4/TrNavi_act!Q8*100)</f>
        <v>8530.8111206649446</v>
      </c>
      <c r="R20" s="63">
        <f>IF(R4=0,0,R4/TrNavi_act!R8*100)</f>
        <v>9099.4554313556855</v>
      </c>
      <c r="S20" s="63">
        <f>IF(S4=0,0,S4/TrNavi_act!S8*100)</f>
        <v>9062.2048686974049</v>
      </c>
      <c r="T20" s="63">
        <f>IF(T4=0,0,T4/TrNavi_act!T8*100)</f>
        <v>8747.9090127413438</v>
      </c>
      <c r="U20" s="63">
        <f>IF(U4=0,0,U4/TrNavi_act!U8*100)</f>
        <v>8449.5489224637968</v>
      </c>
      <c r="V20" s="63">
        <f>IF(V4=0,0,V4/TrNavi_act!V8*100)</f>
        <v>9248.769852093008</v>
      </c>
      <c r="W20" s="63">
        <f>IF(W4=0,0,W4/TrNavi_act!W8*100)</f>
        <v>9231.5053183095279</v>
      </c>
      <c r="X20" s="63">
        <f>IF(X4=0,0,X4/TrNavi_act!X8*100)</f>
        <v>9098.8471203579174</v>
      </c>
      <c r="Y20" s="63">
        <f>IF(Y4=0,0,Y4/TrNavi_act!Y8*100)</f>
        <v>9061.3750072254043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279.0015052249787</v>
      </c>
      <c r="C21" s="64">
        <f>IF(C10=0,0,C10/TrNavi_act!C9*100)</f>
        <v>380.64499833058858</v>
      </c>
      <c r="D21" s="64">
        <f>IF(D10=0,0,D10/TrNavi_act!D9*100)</f>
        <v>460.49204105426247</v>
      </c>
      <c r="E21" s="64">
        <f>IF(E10=0,0,E10/TrNavi_act!E9*100)</f>
        <v>490.01292459597227</v>
      </c>
      <c r="F21" s="64">
        <f>IF(F10=0,0,F10/TrNavi_act!F9*100)</f>
        <v>684.23760284486707</v>
      </c>
      <c r="G21" s="64">
        <f>IF(G10=0,0,G10/TrNavi_act!G9*100)</f>
        <v>563.04025287709817</v>
      </c>
      <c r="H21" s="64">
        <f>IF(H10=0,0,H10/TrNavi_act!H9*100)</f>
        <v>747.64300080418525</v>
      </c>
      <c r="I21" s="64">
        <f>IF(I10=0,0,I10/TrNavi_act!I9*100)</f>
        <v>675.85873064038844</v>
      </c>
      <c r="J21" s="64">
        <f>IF(J10=0,0,J10/TrNavi_act!J9*100)</f>
        <v>753.41032328124174</v>
      </c>
      <c r="K21" s="64">
        <f>IF(K10=0,0,K10/TrNavi_act!K9*100)</f>
        <v>749.34973149978271</v>
      </c>
      <c r="L21" s="64">
        <f>IF(L10=0,0,L10/TrNavi_act!L9*100)</f>
        <v>817.20287421915839</v>
      </c>
      <c r="M21" s="64">
        <f>IF(M10=0,0,M10/TrNavi_act!M9*100)</f>
        <v>586.33324685858929</v>
      </c>
      <c r="N21" s="64">
        <f>IF(N10=0,0,N10/TrNavi_act!N9*100)</f>
        <v>637.86195141345581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932.0001520493538</v>
      </c>
      <c r="W21" s="64">
        <f>IF(W10=0,0,W10/TrNavi_act!W9*100)</f>
        <v>917.641311739397</v>
      </c>
      <c r="X21" s="64">
        <f>IF(X10=0,0,X10/TrNavi_act!X9*100)</f>
        <v>835.20096017259323</v>
      </c>
      <c r="Y21" s="64">
        <f>IF(Y10=0,0,Y10/TrNavi_act!Y9*100)</f>
        <v>826.29673247236133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13.371167784587181</v>
      </c>
      <c r="C23" s="62">
        <f>IF(C3=0,0,C3/TrNavi_act!C3*1000)</f>
        <v>18.81683044749677</v>
      </c>
      <c r="D23" s="62">
        <f>IF(D3=0,0,D3/TrNavi_act!D3*1000)</f>
        <v>25.09210432935166</v>
      </c>
      <c r="E23" s="62">
        <f>IF(E3=0,0,E3/TrNavi_act!E3*1000)</f>
        <v>25.068987498218874</v>
      </c>
      <c r="F23" s="62">
        <f>IF(F3=0,0,F3/TrNavi_act!F3*1000)</f>
        <v>37.762339165432792</v>
      </c>
      <c r="G23" s="62">
        <f>IF(G3=0,0,G3/TrNavi_act!G3*1000)</f>
        <v>31.862107614996958</v>
      </c>
      <c r="H23" s="62">
        <f>IF(H3=0,0,H3/TrNavi_act!H3*1000)</f>
        <v>38.883063273471414</v>
      </c>
      <c r="I23" s="62">
        <f>IF(I3=0,0,I3/TrNavi_act!I3*1000)</f>
        <v>32.154361749464975</v>
      </c>
      <c r="J23" s="62">
        <f>IF(J3=0,0,J3/TrNavi_act!J3*1000)</f>
        <v>38.105341460816632</v>
      </c>
      <c r="K23" s="62">
        <f>IF(K3=0,0,K3/TrNavi_act!K3*1000)</f>
        <v>33.62253506079086</v>
      </c>
      <c r="L23" s="62">
        <f>IF(L3=0,0,L3/TrNavi_act!L3*1000)</f>
        <v>40.347154487182173</v>
      </c>
      <c r="M23" s="62">
        <f>IF(M3=0,0,M3/TrNavi_act!M3*1000)</f>
        <v>30.263941446439727</v>
      </c>
      <c r="N23" s="62">
        <f>IF(N3=0,0,N3/TrNavi_act!N3*1000)</f>
        <v>31.708946233460725</v>
      </c>
      <c r="O23" s="62">
        <f>IF(O3=0,0,O3/TrNavi_act!O3*1000)</f>
        <v>32.825804727327444</v>
      </c>
      <c r="P23" s="62">
        <f>IF(P3=0,0,P3/TrNavi_act!P3*1000)</f>
        <v>31.855251407609483</v>
      </c>
      <c r="Q23" s="62">
        <f>IF(Q3=0,0,Q3/TrNavi_act!Q3*1000)</f>
        <v>30.358938501408474</v>
      </c>
      <c r="R23" s="62">
        <f>IF(R3=0,0,R3/TrNavi_act!R3*1000)</f>
        <v>30.650969318078484</v>
      </c>
      <c r="S23" s="62">
        <f>IF(S3=0,0,S3/TrNavi_act!S3*1000)</f>
        <v>30.561563088614033</v>
      </c>
      <c r="T23" s="62">
        <f>IF(T3=0,0,T3/TrNavi_act!T3*1000)</f>
        <v>30.4404076795084</v>
      </c>
      <c r="U23" s="62">
        <f>IF(U3=0,0,U3/TrNavi_act!U3*1000)</f>
        <v>30.551054988247198</v>
      </c>
      <c r="V23" s="62">
        <f>IF(V3=0,0,V3/TrNavi_act!V3*1000)</f>
        <v>31.32146216158996</v>
      </c>
      <c r="W23" s="62">
        <f>IF(W3=0,0,W3/TrNavi_act!W3*1000)</f>
        <v>30.604549066072092</v>
      </c>
      <c r="X23" s="62">
        <f>IF(X3=0,0,X3/TrNavi_act!X3*1000)</f>
        <v>28.756714760994466</v>
      </c>
      <c r="Y23" s="62">
        <f>IF(Y3=0,0,Y3/TrNavi_act!Y3*1000)</f>
        <v>27.444573156853394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13.409265508648238</v>
      </c>
      <c r="C24" s="63">
        <f>IF(C4=0,0,C4/TrNavi_act!C4*1000)</f>
        <v>18.832014346030771</v>
      </c>
      <c r="D24" s="63">
        <f>IF(D4=0,0,D4/TrNavi_act!D4*1000)</f>
        <v>25.086608652824662</v>
      </c>
      <c r="E24" s="63">
        <f>IF(E4=0,0,E4/TrNavi_act!E4*1000)</f>
        <v>25.081154246464756</v>
      </c>
      <c r="F24" s="63">
        <f>IF(F4=0,0,F4/TrNavi_act!F4*1000)</f>
        <v>37.68242984924364</v>
      </c>
      <c r="G24" s="63">
        <f>IF(G4=0,0,G4/TrNavi_act!G4*1000)</f>
        <v>31.844216613777835</v>
      </c>
      <c r="H24" s="63">
        <f>IF(H4=0,0,H4/TrNavi_act!H4*1000)</f>
        <v>38.707316019438792</v>
      </c>
      <c r="I24" s="63">
        <f>IF(I4=0,0,I4/TrNavi_act!I4*1000)</f>
        <v>31.459207726080574</v>
      </c>
      <c r="J24" s="63">
        <f>IF(J4=0,0,J4/TrNavi_act!J4*1000)</f>
        <v>36.783795075847621</v>
      </c>
      <c r="K24" s="63">
        <f>IF(K4=0,0,K4/TrNavi_act!K4*1000)</f>
        <v>33.495660773511446</v>
      </c>
      <c r="L24" s="63">
        <f>IF(L4=0,0,L4/TrNavi_act!L4*1000)</f>
        <v>40.227916831287899</v>
      </c>
      <c r="M24" s="63">
        <f>IF(M4=0,0,M4/TrNavi_act!M4*1000)</f>
        <v>30.280963022975509</v>
      </c>
      <c r="N24" s="63">
        <f>IF(N4=0,0,N4/TrNavi_act!N4*1000)</f>
        <v>31.70780392630105</v>
      </c>
      <c r="O24" s="63">
        <f>IF(O4=0,0,O4/TrNavi_act!O4*1000)</f>
        <v>32.825804727327444</v>
      </c>
      <c r="P24" s="63">
        <f>IF(P4=0,0,P4/TrNavi_act!P4*1000)</f>
        <v>31.855251407609483</v>
      </c>
      <c r="Q24" s="63">
        <f>IF(Q4=0,0,Q4/TrNavi_act!Q4*1000)</f>
        <v>30.358938501408474</v>
      </c>
      <c r="R24" s="63">
        <f>IF(R4=0,0,R4/TrNavi_act!R4*1000)</f>
        <v>30.650969318078484</v>
      </c>
      <c r="S24" s="63">
        <f>IF(S4=0,0,S4/TrNavi_act!S4*1000)</f>
        <v>30.561563088614033</v>
      </c>
      <c r="T24" s="63">
        <f>IF(T4=0,0,T4/TrNavi_act!T4*1000)</f>
        <v>30.4404076795084</v>
      </c>
      <c r="U24" s="63">
        <f>IF(U4=0,0,U4/TrNavi_act!U4*1000)</f>
        <v>30.551054988247198</v>
      </c>
      <c r="V24" s="63">
        <f>IF(V4=0,0,V4/TrNavi_act!V4*1000)</f>
        <v>31.323274734496394</v>
      </c>
      <c r="W24" s="63">
        <f>IF(W4=0,0,W4/TrNavi_act!W4*1000)</f>
        <v>31.108329573313512</v>
      </c>
      <c r="X24" s="63">
        <f>IF(X4=0,0,X4/TrNavi_act!X4*1000)</f>
        <v>30.484002452841285</v>
      </c>
      <c r="Y24" s="63">
        <f>IF(Y4=0,0,Y4/TrNavi_act!Y4*1000)</f>
        <v>30.070565159607909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7.5222837752757821</v>
      </c>
      <c r="C25" s="64">
        <f>IF(C10=0,0,C10/TrNavi_act!C5*1000)</f>
        <v>14.213778877169101</v>
      </c>
      <c r="D25" s="64">
        <f>IF(D10=0,0,D10/TrNavi_act!D5*1000)</f>
        <v>26.824779090539561</v>
      </c>
      <c r="E25" s="64">
        <f>IF(E10=0,0,E10/TrNavi_act!E5*1000)</f>
        <v>22.099199846481014</v>
      </c>
      <c r="F25" s="64">
        <f>IF(F10=0,0,F10/TrNavi_act!F5*1000)</f>
        <v>55.09159443195388</v>
      </c>
      <c r="G25" s="64">
        <f>IF(G10=0,0,G10/TrNavi_act!G5*1000)</f>
        <v>34.010284075934649</v>
      </c>
      <c r="H25" s="64">
        <f>IF(H10=0,0,H10/TrNavi_act!H5*1000)</f>
        <v>54.143830485512829</v>
      </c>
      <c r="I25" s="64">
        <f>IF(I10=0,0,I10/TrNavi_act!I5*1000)</f>
        <v>42.57910003034447</v>
      </c>
      <c r="J25" s="64">
        <f>IF(J10=0,0,J10/TrNavi_act!J5*1000)</f>
        <v>54.622248437890022</v>
      </c>
      <c r="K25" s="64">
        <f>IF(K10=0,0,K10/TrNavi_act!K5*1000)</f>
        <v>39.965319013321746</v>
      </c>
      <c r="L25" s="64">
        <f>IF(L10=0,0,L10/TrNavi_act!L5*1000)</f>
        <v>46.308162872418976</v>
      </c>
      <c r="M25" s="64">
        <f>IF(M10=0,0,M10/TrNavi_act!M5*1000)</f>
        <v>29.316662342929465</v>
      </c>
      <c r="N25" s="64">
        <f>IF(N10=0,0,N10/TrNavi_act!N5*1000)</f>
        <v>31.89309757067279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9.3784545563025823</v>
      </c>
      <c r="W25" s="64">
        <f>IF(W10=0,0,W10/TrNavi_act!W5*1000)</f>
        <v>9.1764131173939703</v>
      </c>
      <c r="X25" s="64">
        <f>IF(X10=0,0,X10/TrNavi_act!X5*1000)</f>
        <v>9.2800106685843691</v>
      </c>
      <c r="Y25" s="64">
        <f>IF(Y10=0,0,Y10/TrNavi_act!Y5*1000)</f>
        <v>9.6401285455108834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0.99635928470601243</v>
      </c>
      <c r="C28" s="77">
        <f t="shared" si="9"/>
        <v>0.99751646489167756</v>
      </c>
      <c r="D28" s="77">
        <f t="shared" si="9"/>
        <v>0.99661991304727593</v>
      </c>
      <c r="E28" s="77">
        <f t="shared" si="9"/>
        <v>0.99640322493022659</v>
      </c>
      <c r="F28" s="77">
        <f t="shared" si="9"/>
        <v>0.99330352986427639</v>
      </c>
      <c r="G28" s="77">
        <f t="shared" si="9"/>
        <v>0.99118345505029104</v>
      </c>
      <c r="H28" s="77">
        <f t="shared" si="9"/>
        <v>0.98414640318491098</v>
      </c>
      <c r="I28" s="77">
        <f t="shared" si="9"/>
        <v>0.91721778475853721</v>
      </c>
      <c r="J28" s="77">
        <f t="shared" si="9"/>
        <v>0.89380381159895883</v>
      </c>
      <c r="K28" s="77">
        <f t="shared" si="9"/>
        <v>0.97668984803532666</v>
      </c>
      <c r="L28" s="77">
        <f t="shared" si="9"/>
        <v>0.97749199946200771</v>
      </c>
      <c r="M28" s="77">
        <f t="shared" si="9"/>
        <v>0.98290077819514188</v>
      </c>
      <c r="N28" s="77">
        <f t="shared" si="9"/>
        <v>0.99379934929124658</v>
      </c>
      <c r="O28" s="77">
        <f t="shared" si="9"/>
        <v>1</v>
      </c>
      <c r="P28" s="77">
        <f t="shared" si="9"/>
        <v>1</v>
      </c>
      <c r="Q28" s="77">
        <f t="shared" si="9"/>
        <v>1</v>
      </c>
      <c r="R28" s="77">
        <f t="shared" si="9"/>
        <v>1</v>
      </c>
      <c r="S28" s="77">
        <f t="shared" si="9"/>
        <v>1</v>
      </c>
      <c r="T28" s="77">
        <f t="shared" si="9"/>
        <v>1</v>
      </c>
      <c r="U28" s="77">
        <f t="shared" si="9"/>
        <v>1</v>
      </c>
      <c r="V28" s="77">
        <f t="shared" ref="V28:W28" si="10">IF(V4=0,0,V4/V$3)</f>
        <v>0.99997526837184492</v>
      </c>
      <c r="W28" s="77">
        <f t="shared" si="10"/>
        <v>0.99311265641987101</v>
      </c>
      <c r="X28" s="77">
        <f t="shared" ref="X28:Y28" si="11">IF(X4=0,0,X4/X$3)</f>
        <v>0.97371207803299786</v>
      </c>
      <c r="Y28" s="77">
        <f t="shared" si="11"/>
        <v>0.95485162791330247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3.6407152939876616E-3</v>
      </c>
      <c r="C29" s="78">
        <f t="shared" si="12"/>
        <v>2.4835351083224385E-3</v>
      </c>
      <c r="D29" s="78">
        <f t="shared" si="12"/>
        <v>3.3800869527240481E-3</v>
      </c>
      <c r="E29" s="78">
        <f t="shared" si="12"/>
        <v>3.5967750697733095E-3</v>
      </c>
      <c r="F29" s="78">
        <f t="shared" si="12"/>
        <v>6.6964701357236193E-3</v>
      </c>
      <c r="G29" s="78">
        <f t="shared" si="12"/>
        <v>8.8165449497088749E-3</v>
      </c>
      <c r="H29" s="78">
        <f t="shared" si="12"/>
        <v>1.5853596815089029E-2</v>
      </c>
      <c r="I29" s="78">
        <f t="shared" si="12"/>
        <v>8.2782215241462759E-2</v>
      </c>
      <c r="J29" s="78">
        <f t="shared" si="12"/>
        <v>0.10619618840104106</v>
      </c>
      <c r="K29" s="78">
        <f t="shared" si="12"/>
        <v>2.331015196467336E-2</v>
      </c>
      <c r="L29" s="78">
        <f t="shared" si="12"/>
        <v>2.2508000537992255E-2</v>
      </c>
      <c r="M29" s="78">
        <f t="shared" si="12"/>
        <v>1.709922180485814E-2</v>
      </c>
      <c r="N29" s="78">
        <f t="shared" si="12"/>
        <v>6.2006507087534824E-3</v>
      </c>
      <c r="O29" s="78">
        <f t="shared" si="12"/>
        <v>0</v>
      </c>
      <c r="P29" s="78">
        <f t="shared" si="12"/>
        <v>0</v>
      </c>
      <c r="Q29" s="78">
        <f t="shared" si="12"/>
        <v>0</v>
      </c>
      <c r="R29" s="78">
        <f t="shared" si="12"/>
        <v>0</v>
      </c>
      <c r="S29" s="78">
        <f t="shared" si="12"/>
        <v>0</v>
      </c>
      <c r="T29" s="78">
        <f t="shared" si="12"/>
        <v>0</v>
      </c>
      <c r="U29" s="78">
        <f t="shared" si="12"/>
        <v>0</v>
      </c>
      <c r="V29" s="78">
        <f t="shared" ref="V29:W29" si="13">IF(V10=0,0,V10/V$3)</f>
        <v>2.4731628155140141E-5</v>
      </c>
      <c r="W29" s="78">
        <f t="shared" si="13"/>
        <v>6.8873435801289776E-3</v>
      </c>
      <c r="X29" s="78">
        <f t="shared" ref="X29:Y29" si="14">IF(X10=0,0,X10/X$3)</f>
        <v>2.628792196700205E-2</v>
      </c>
      <c r="Y29" s="78">
        <f t="shared" si="14"/>
        <v>4.5148372086697509E-2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9.5099939999999972</v>
      </c>
      <c r="C3" s="54">
        <f t="shared" ref="C3:V3" si="1">SUM(C4:C5)</f>
        <v>9.5099939999999989</v>
      </c>
      <c r="D3" s="54">
        <f t="shared" si="1"/>
        <v>12.679903080000001</v>
      </c>
      <c r="E3" s="54">
        <f t="shared" si="1"/>
        <v>12.679903080000001</v>
      </c>
      <c r="F3" s="54">
        <f t="shared" si="1"/>
        <v>15.850078919999998</v>
      </c>
      <c r="G3" s="54">
        <f t="shared" si="1"/>
        <v>15.850078919999998</v>
      </c>
      <c r="H3" s="54">
        <f t="shared" si="1"/>
        <v>19.019988000000001</v>
      </c>
      <c r="I3" s="54">
        <f t="shared" si="1"/>
        <v>15.957316440000003</v>
      </c>
      <c r="J3" s="54">
        <f t="shared" si="1"/>
        <v>19.148833079999999</v>
      </c>
      <c r="K3" s="54">
        <f t="shared" si="1"/>
        <v>15.95731644</v>
      </c>
      <c r="L3" s="54">
        <f t="shared" si="1"/>
        <v>19.148833079999996</v>
      </c>
      <c r="M3" s="54">
        <f t="shared" si="1"/>
        <v>15.95731644</v>
      </c>
      <c r="N3" s="54">
        <f t="shared" si="1"/>
        <v>15.957316440000001</v>
      </c>
      <c r="O3" s="54">
        <f t="shared" si="1"/>
        <v>15.957316440000001</v>
      </c>
      <c r="P3" s="54">
        <f t="shared" si="1"/>
        <v>15.957316440000001</v>
      </c>
      <c r="Q3" s="54">
        <f t="shared" si="1"/>
        <v>15.879689279999996</v>
      </c>
      <c r="R3" s="54">
        <f t="shared" si="1"/>
        <v>12.703644719999996</v>
      </c>
      <c r="S3" s="54">
        <f t="shared" si="1"/>
        <v>17.1500004</v>
      </c>
      <c r="T3" s="54">
        <f t="shared" si="1"/>
        <v>14.926822560000002</v>
      </c>
      <c r="U3" s="54">
        <f t="shared" si="1"/>
        <v>16.514844839999999</v>
      </c>
      <c r="V3" s="54">
        <f t="shared" si="1"/>
        <v>11.764649519999999</v>
      </c>
      <c r="W3" s="54">
        <f t="shared" ref="W3:Y3" si="2">SUM(W4:W5)</f>
        <v>12.400605359999998</v>
      </c>
      <c r="X3" s="54">
        <f t="shared" si="2"/>
        <v>9.8567820000000026</v>
      </c>
      <c r="Y3" s="54">
        <f t="shared" si="2"/>
        <v>7.9491812399999988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9.4753708193984671</v>
      </c>
      <c r="C4" s="56">
        <v>9.4863755960210625</v>
      </c>
      <c r="D4" s="56">
        <v>12.637043905037487</v>
      </c>
      <c r="E4" s="56">
        <v>12.634296320714714</v>
      </c>
      <c r="F4" s="56">
        <v>15.743939339863356</v>
      </c>
      <c r="G4" s="56">
        <v>15.710335986745385</v>
      </c>
      <c r="H4" s="56">
        <v>18.718452778820168</v>
      </c>
      <c r="I4" s="56">
        <v>14.636334435787791</v>
      </c>
      <c r="J4" s="56">
        <v>17.115299994576233</v>
      </c>
      <c r="K4" s="56">
        <v>15.58534896883522</v>
      </c>
      <c r="L4" s="56">
        <v>18.717831134733434</v>
      </c>
      <c r="M4" s="56">
        <v>15.684458746782131</v>
      </c>
      <c r="N4" s="56">
        <v>15.858370694506512</v>
      </c>
      <c r="O4" s="56">
        <v>15.957316440000001</v>
      </c>
      <c r="P4" s="56">
        <v>15.957316440000001</v>
      </c>
      <c r="Q4" s="56">
        <v>15.879689279999996</v>
      </c>
      <c r="R4" s="56">
        <v>12.703644719999996</v>
      </c>
      <c r="S4" s="56">
        <v>17.1500004</v>
      </c>
      <c r="T4" s="56">
        <v>14.926822560000002</v>
      </c>
      <c r="U4" s="56">
        <v>16.514844839999999</v>
      </c>
      <c r="V4" s="56">
        <v>11.764358561062695</v>
      </c>
      <c r="W4" s="56">
        <v>12.31519813028409</v>
      </c>
      <c r="X4" s="56">
        <v>9.5976676839382513</v>
      </c>
      <c r="Y4" s="56">
        <v>7.5902886475918834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3.4623180601530891E-2</v>
      </c>
      <c r="C5" s="58">
        <v>2.3618403978935734E-2</v>
      </c>
      <c r="D5" s="58">
        <v>4.2859174962513479E-2</v>
      </c>
      <c r="E5" s="58">
        <v>4.5606759285285806E-2</v>
      </c>
      <c r="F5" s="58">
        <v>0.10613958013664247</v>
      </c>
      <c r="G5" s="58">
        <v>0.13974293325461307</v>
      </c>
      <c r="H5" s="58">
        <v>0.3015352211798315</v>
      </c>
      <c r="I5" s="58">
        <v>1.3209820042122127</v>
      </c>
      <c r="J5" s="58">
        <v>2.0335330854237674</v>
      </c>
      <c r="K5" s="58">
        <v>0.37196747116478052</v>
      </c>
      <c r="L5" s="58">
        <v>0.43100194526656382</v>
      </c>
      <c r="M5" s="58">
        <v>0.27285769321786929</v>
      </c>
      <c r="N5" s="58">
        <v>9.8945745493489598E-2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2.9095893730418789E-4</v>
      </c>
      <c r="W5" s="58">
        <v>8.5407229715908986E-2</v>
      </c>
      <c r="X5" s="58">
        <v>0.25911431606175045</v>
      </c>
      <c r="Y5" s="58">
        <v>0.35889259240811544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3.1024188000000001</v>
      </c>
      <c r="C9" s="79">
        <f>IF(C3=0,0,C3/TrNavi_ene!C3)</f>
        <v>3.1024188000000006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3.1024188000000006</v>
      </c>
      <c r="I9" s="79">
        <f>IF(I3=0,0,I3/TrNavi_ene!I3)</f>
        <v>3.1024188000000001</v>
      </c>
      <c r="J9" s="79">
        <f>IF(J3=0,0,J3/TrNavi_ene!J3)</f>
        <v>3.1024187999999993</v>
      </c>
      <c r="K9" s="79">
        <f>IF(K3=0,0,K3/TrNavi_ene!K3)</f>
        <v>3.1024188000000001</v>
      </c>
      <c r="L9" s="79">
        <f>IF(L3=0,0,L3/TrNavi_ene!L3)</f>
        <v>3.1024187999999993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3.1024188000000001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3.1024188000000006</v>
      </c>
      <c r="W9" s="79">
        <f>IF(W3=0,0,W3/TrNavi_ene!W3)</f>
        <v>3.1024187999999997</v>
      </c>
      <c r="X9" s="79">
        <f>IF(X3=0,0,X3/TrNavi_ene!X3)</f>
        <v>3.1024188000000001</v>
      </c>
      <c r="Y9" s="79">
        <f>IF(Y3=0,0,Y3/TrNavi_ene!Y3)</f>
        <v>3.1024188000000001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3.1024188000000001</v>
      </c>
      <c r="C10" s="80">
        <f>IF(C4=0,0,C4/TrNavi_ene!C4)</f>
        <v>3.1024188000000006</v>
      </c>
      <c r="D10" s="80">
        <f>IF(D4=0,0,D4/TrNavi_ene!D4)</f>
        <v>3.1024188000000001</v>
      </c>
      <c r="E10" s="80">
        <f>IF(E4=0,0,E4/TrNavi_ene!E4)</f>
        <v>3.1024188000000001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3.1024188000000001</v>
      </c>
      <c r="I10" s="80">
        <f>IF(I4=0,0,I4/TrNavi_ene!I4)</f>
        <v>3.1024188000000001</v>
      </c>
      <c r="J10" s="80">
        <f>IF(J4=0,0,J4/TrNavi_ene!J4)</f>
        <v>3.1024187999999997</v>
      </c>
      <c r="K10" s="80">
        <f>IF(K4=0,0,K4/TrNavi_ene!K4)</f>
        <v>3.1024188000000001</v>
      </c>
      <c r="L10" s="80">
        <f>IF(L4=0,0,L4/TrNavi_ene!L4)</f>
        <v>3.1024187999999997</v>
      </c>
      <c r="M10" s="80">
        <f>IF(M4=0,0,M4/TrNavi_ene!M4)</f>
        <v>3.1024188000000001</v>
      </c>
      <c r="N10" s="80">
        <f>IF(N4=0,0,N4/TrNavi_ene!N4)</f>
        <v>3.1024188000000001</v>
      </c>
      <c r="O10" s="80">
        <f>IF(O4=0,0,O4/TrNavi_ene!O4)</f>
        <v>3.1024188000000001</v>
      </c>
      <c r="P10" s="80">
        <f>IF(P4=0,0,P4/TrNavi_ene!P4)</f>
        <v>3.1024188000000001</v>
      </c>
      <c r="Q10" s="80">
        <f>IF(Q4=0,0,Q4/TrNavi_ene!Q4)</f>
        <v>3.1024188000000001</v>
      </c>
      <c r="R10" s="80">
        <f>IF(R4=0,0,R4/TrNavi_ene!R4)</f>
        <v>3.1024188000000001</v>
      </c>
      <c r="S10" s="80">
        <f>IF(S4=0,0,S4/TrNavi_ene!S4)</f>
        <v>3.1024188000000001</v>
      </c>
      <c r="T10" s="80">
        <f>IF(T4=0,0,T4/TrNavi_ene!T4)</f>
        <v>3.1024188000000001</v>
      </c>
      <c r="U10" s="80">
        <f>IF(U4=0,0,U4/TrNavi_ene!U4)</f>
        <v>3.1024188000000001</v>
      </c>
      <c r="V10" s="80">
        <f>IF(V4=0,0,V4/TrNavi_ene!V4)</f>
        <v>3.1024188000000001</v>
      </c>
      <c r="W10" s="80">
        <f>IF(W4=0,0,W4/TrNavi_ene!W4)</f>
        <v>3.1024188000000001</v>
      </c>
      <c r="X10" s="80">
        <f>IF(X4=0,0,X4/TrNavi_ene!X4)</f>
        <v>3.1024188000000001</v>
      </c>
      <c r="Y10" s="80">
        <f>IF(Y4=0,0,Y4/TrNavi_ene!Y4)</f>
        <v>3.1024188000000001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3.1024187999999997</v>
      </c>
      <c r="H11" s="81">
        <f>IF(H5=0,0,H5/TrNavi_ene!H10)</f>
        <v>3.1024187999999997</v>
      </c>
      <c r="I11" s="81">
        <f>IF(I5=0,0,I5/TrNavi_ene!I10)</f>
        <v>3.1024188000000006</v>
      </c>
      <c r="J11" s="81">
        <f>IF(J5=0,0,J5/TrNavi_ene!J10)</f>
        <v>3.1024187999999997</v>
      </c>
      <c r="K11" s="81">
        <f>IF(K5=0,0,K5/TrNavi_ene!K10)</f>
        <v>3.1024188000000001</v>
      </c>
      <c r="L11" s="81">
        <f>IF(L5=0,0,L5/TrNavi_ene!L10)</f>
        <v>3.1024187999999997</v>
      </c>
      <c r="M11" s="81">
        <f>IF(M5=0,0,M5/TrNavi_ene!M10)</f>
        <v>3.1024188000000001</v>
      </c>
      <c r="N11" s="81">
        <f>IF(N5=0,0,N5/TrNavi_ene!N10)</f>
        <v>3.1024188000000001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3.1024188000000001</v>
      </c>
      <c r="W11" s="81">
        <f>IF(W5=0,0,W5/TrNavi_ene!W10)</f>
        <v>3.1024188000000001</v>
      </c>
      <c r="X11" s="81">
        <f>IF(X5=0,0,X5/TrNavi_ene!X10)</f>
        <v>3.1024188000000001</v>
      </c>
      <c r="Y11" s="81">
        <f>IF(Y5=0,0,Y5/TrNavi_ene!Y10)</f>
        <v>3.1024188000000001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86454.490909090877</v>
      </c>
      <c r="C13" s="54">
        <f>IF(C3=0,0,C3/TrNavi_act!C7*1000)</f>
        <v>125131.49999999999</v>
      </c>
      <c r="D13" s="54">
        <f>IF(D3=0,0,D3/TrNavi_act!D7*1000)</f>
        <v>169065.37440000003</v>
      </c>
      <c r="E13" s="54">
        <f>IF(E3=0,0,E3/TrNavi_act!E7*1000)</f>
        <v>169065.37440000003</v>
      </c>
      <c r="F13" s="54">
        <f>IF(F3=0,0,F3/TrNavi_act!F7*1000)</f>
        <v>247657.48312499997</v>
      </c>
      <c r="G13" s="54">
        <f>IF(G3=0,0,G3/TrNavi_act!G7*1000)</f>
        <v>195679.98666666669</v>
      </c>
      <c r="H13" s="54">
        <f>IF(H3=0,0,H3/TrNavi_act!H7*1000)</f>
        <v>250263.00000000003</v>
      </c>
      <c r="I13" s="54">
        <f>IF(I3=0,0,I3/TrNavi_act!I7*1000)</f>
        <v>135231.49525423732</v>
      </c>
      <c r="J13" s="54">
        <f>IF(J3=0,0,J3/TrNavi_act!J7*1000)</f>
        <v>136777.37914285716</v>
      </c>
      <c r="K13" s="54">
        <f>IF(K3=0,0,K3/TrNavi_act!K7*1000)</f>
        <v>231265.4556521739</v>
      </c>
      <c r="L13" s="54">
        <f>IF(L3=0,0,L3/TrNavi_act!L7*1000)</f>
        <v>262312.78191780811</v>
      </c>
      <c r="M13" s="54">
        <f>IF(M3=0,0,M3/TrNavi_act!M7*1000)</f>
        <v>197003.90666666668</v>
      </c>
      <c r="N13" s="54">
        <f>IF(N3=0,0,N3/TrNavi_act!N7*1000)</f>
        <v>234666.41823529411</v>
      </c>
      <c r="O13" s="54">
        <f>IF(O3=0,0,O3/TrNavi_act!O7*1000)</f>
        <v>265955.27400000003</v>
      </c>
      <c r="P13" s="54">
        <f>IF(P3=0,0,P3/TrNavi_act!P7*1000)</f>
        <v>257376.07161290327</v>
      </c>
      <c r="Q13" s="54">
        <f>IF(Q3=0,0,Q3/TrNavi_act!Q7*1000)</f>
        <v>264661.48799999995</v>
      </c>
      <c r="R13" s="54">
        <f>IF(R3=0,0,R3/TrNavi_act!R7*1000)</f>
        <v>282303.2159999999</v>
      </c>
      <c r="S13" s="54">
        <f>IF(S3=0,0,S3/TrNavi_act!S7*1000)</f>
        <v>281147.54754098365</v>
      </c>
      <c r="T13" s="54">
        <f>IF(T3=0,0,T3/TrNavi_act!T7*1000)</f>
        <v>271396.77381818183</v>
      </c>
      <c r="U13" s="54">
        <f>IF(U3=0,0,U3/TrNavi_act!U7*1000)</f>
        <v>262140.39428571425</v>
      </c>
      <c r="V13" s="54">
        <f>IF(V3=0,0,V3/TrNavi_act!V7*1000)</f>
        <v>286872.26354526851</v>
      </c>
      <c r="W13" s="54">
        <f>IF(W3=0,0,W3/TrNavi_act!W7*1000)</f>
        <v>269578.37739130436</v>
      </c>
      <c r="X13" s="54">
        <f>IF(X3=0,0,X3/TrNavi_act!X7*1000)</f>
        <v>224017.77272727276</v>
      </c>
      <c r="Y13" s="54">
        <f>IF(Y3=0,0,Y3/TrNavi_act!Y7*1000)</f>
        <v>193882.46926829265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89390.290749042149</v>
      </c>
      <c r="C14" s="56">
        <f>IF(C4=0,0,C4/TrNavi_act!C8*1000)</f>
        <v>128194.26481109545</v>
      </c>
      <c r="D14" s="56">
        <f>IF(D4=0,0,D4/TrNavi_act!D8*1000)</f>
        <v>175514.49868107622</v>
      </c>
      <c r="E14" s="56">
        <f>IF(E4=0,0,E4/TrNavi_act!E8*1000)</f>
        <v>175476.33778770437</v>
      </c>
      <c r="F14" s="56">
        <f>IF(F4=0,0,F4/TrNavi_act!F8*1000)</f>
        <v>266846.42948920949</v>
      </c>
      <c r="G14" s="56">
        <f>IF(G4=0,0,G4/TrNavi_act!G8*1000)</f>
        <v>215210.08201021075</v>
      </c>
      <c r="H14" s="56">
        <f>IF(H4=0,0,H4/TrNavi_act!H8*1000)</f>
        <v>297118.2980765106</v>
      </c>
      <c r="I14" s="56">
        <f>IF(I4=0,0,I4/TrNavi_act!I8*1000)</f>
        <v>266115.17155977804</v>
      </c>
      <c r="J14" s="56">
        <f>IF(J4=0,0,J4/TrNavi_act!J8*1000)</f>
        <v>322930.18857691012</v>
      </c>
      <c r="K14" s="56">
        <f>IF(K4=0,0,K4/TrNavi_act!K8*1000)</f>
        <v>294063.18809123058</v>
      </c>
      <c r="L14" s="56">
        <f>IF(L4=0,0,L4/TrNavi_act!L8*1000)</f>
        <v>334246.98454881134</v>
      </c>
      <c r="M14" s="56">
        <f>IF(M4=0,0,M4/TrNavi_act!M8*1000)</f>
        <v>237643.31434518378</v>
      </c>
      <c r="N14" s="56">
        <f>IF(N4=0,0,N4/TrNavi_act!N8*1000)</f>
        <v>251720.1697540716</v>
      </c>
      <c r="O14" s="56">
        <f>IF(O4=0,0,O4/TrNavi_act!O8*1000)</f>
        <v>265955.27400000003</v>
      </c>
      <c r="P14" s="56">
        <f>IF(P4=0,0,P4/TrNavi_act!P8*1000)</f>
        <v>257376.07161290327</v>
      </c>
      <c r="Q14" s="56">
        <f>IF(Q4=0,0,Q4/TrNavi_act!Q8*1000)</f>
        <v>264661.48799999995</v>
      </c>
      <c r="R14" s="56">
        <f>IF(R4=0,0,R4/TrNavi_act!R8*1000)</f>
        <v>282303.2159999999</v>
      </c>
      <c r="S14" s="56">
        <f>IF(S4=0,0,S4/TrNavi_act!S8*1000)</f>
        <v>281147.54754098365</v>
      </c>
      <c r="T14" s="56">
        <f>IF(T4=0,0,T4/TrNavi_act!T8*1000)</f>
        <v>271396.77381818183</v>
      </c>
      <c r="U14" s="56">
        <f>IF(U4=0,0,U4/TrNavi_act!U8*1000)</f>
        <v>262140.39428571425</v>
      </c>
      <c r="V14" s="56">
        <f>IF(V4=0,0,V4/TrNavi_act!V8*1000)</f>
        <v>286935.5746600657</v>
      </c>
      <c r="W14" s="56">
        <f>IF(W4=0,0,W4/TrNavi_act!W8*1000)</f>
        <v>286399.95651823469</v>
      </c>
      <c r="X14" s="56">
        <f>IF(X4=0,0,X4/TrNavi_act!X8*1000)</f>
        <v>282284.34364524262</v>
      </c>
      <c r="Y14" s="56">
        <f>IF(Y4=0,0,Y4/TrNavi_act!Y8*1000)</f>
        <v>281121.80176266236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8655.7951503827226</v>
      </c>
      <c r="C15" s="58">
        <f>IF(C5=0,0,C5/TrNavi_act!C9*1000)</f>
        <v>11809.201989467867</v>
      </c>
      <c r="D15" s="58">
        <f>IF(D5=0,0,D5/TrNavi_act!D9*1000)</f>
        <v>14286.391654171161</v>
      </c>
      <c r="E15" s="58">
        <f>IF(E5=0,0,E5/TrNavi_act!E9*1000)</f>
        <v>15202.253095095268</v>
      </c>
      <c r="F15" s="58">
        <f>IF(F5=0,0,F5/TrNavi_act!F9*1000)</f>
        <v>21227.916027328494</v>
      </c>
      <c r="G15" s="58">
        <f>IF(G5=0,0,G5/TrNavi_act!G9*1000)</f>
        <v>17467.866656826634</v>
      </c>
      <c r="H15" s="58">
        <f>IF(H5=0,0,H5/TrNavi_act!H9*1000)</f>
        <v>23195.017013833196</v>
      </c>
      <c r="I15" s="58">
        <f>IF(I5=0,0,I5/TrNavi_act!I9*1000)</f>
        <v>20967.968320828775</v>
      </c>
      <c r="J15" s="58">
        <f>IF(J5=0,0,J5/TrNavi_act!J9*1000)</f>
        <v>23373.943510618021</v>
      </c>
      <c r="K15" s="58">
        <f>IF(K5=0,0,K5/TrNavi_act!K9*1000)</f>
        <v>23247.966947798785</v>
      </c>
      <c r="L15" s="58">
        <f>IF(L5=0,0,L5/TrNavi_act!L9*1000)</f>
        <v>25353.055603915516</v>
      </c>
      <c r="M15" s="58">
        <f>IF(M5=0,0,M5/TrNavi_act!M9*1000)</f>
        <v>18190.512881191284</v>
      </c>
      <c r="N15" s="58">
        <f>IF(N5=0,0,N5/TrNavi_act!N9*1000)</f>
        <v>19789.149098697919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28914.547933207738</v>
      </c>
      <c r="W15" s="58">
        <f>IF(W5=0,0,W5/TrNavi_act!W9*1000)</f>
        <v>28469.076571969661</v>
      </c>
      <c r="X15" s="58">
        <f>IF(X5=0,0,X5/TrNavi_act!X9*1000)</f>
        <v>25911.431606175043</v>
      </c>
      <c r="Y15" s="58">
        <f>IF(Y5=0,0,Y5/TrNavi_act!Y9*1000)</f>
        <v>25635.185172008245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41.482962312857623</v>
      </c>
      <c r="C17" s="62">
        <f>IF(C3=0,0,C3/TrNavi_act!C3*1000)</f>
        <v>58.377688536726403</v>
      </c>
      <c r="D17" s="62">
        <f>IF(D3=0,0,D3/TrNavi_act!D3*1000)</f>
        <v>77.846216202941974</v>
      </c>
      <c r="E17" s="62">
        <f>IF(E3=0,0,E3/TrNavi_act!E3*1000)</f>
        <v>77.7744981114392</v>
      </c>
      <c r="F17" s="62">
        <f>IF(F3=0,0,F3/TrNavi_act!F3*1000)</f>
        <v>117.15459095881499</v>
      </c>
      <c r="G17" s="62">
        <f>IF(G3=0,0,G3/TrNavi_act!G3*1000)</f>
        <v>98.849601672389724</v>
      </c>
      <c r="H17" s="62">
        <f>IF(H3=0,0,H3/TrNavi_act!H3*1000)</f>
        <v>120.6315465012073</v>
      </c>
      <c r="I17" s="62">
        <f>IF(I3=0,0,I3/TrNavi_act!I3*1000)</f>
        <v>99.756296393541021</v>
      </c>
      <c r="J17" s="62">
        <f>IF(J3=0,0,J3/TrNavi_act!J3*1000)</f>
        <v>118.21872772845694</v>
      </c>
      <c r="K17" s="62">
        <f>IF(K3=0,0,K3/TrNavi_act!K3*1000)</f>
        <v>104.3111848762567</v>
      </c>
      <c r="L17" s="62">
        <f>IF(L3=0,0,L3/TrNavi_act!L3*1000)</f>
        <v>125.17377060753832</v>
      </c>
      <c r="M17" s="62">
        <f>IF(M3=0,0,M3/TrNavi_act!M3*1000)</f>
        <v>93.891420905533806</v>
      </c>
      <c r="N17" s="62">
        <f>IF(N3=0,0,N3/TrNavi_act!N3*1000)</f>
        <v>98.374430922877764</v>
      </c>
      <c r="O17" s="62">
        <f>IF(O3=0,0,O3/TrNavi_act!O3*1000)</f>
        <v>101.83939371118956</v>
      </c>
      <c r="P17" s="62">
        <f>IF(P3=0,0,P3/TrNavi_act!P3*1000)</f>
        <v>98.828330845694111</v>
      </c>
      <c r="Q17" s="62">
        <f>IF(Q3=0,0,Q3/TrNavi_act!Q3*1000)</f>
        <v>94.186141554813474</v>
      </c>
      <c r="R17" s="62">
        <f>IF(R3=0,0,R3/TrNavi_act!R3*1000)</f>
        <v>95.092143450629877</v>
      </c>
      <c r="S17" s="62">
        <f>IF(S3=0,0,S3/TrNavi_act!S3*1000)</f>
        <v>94.814767883502242</v>
      </c>
      <c r="T17" s="62">
        <f>IF(T3=0,0,T3/TrNavi_act!T3*1000)</f>
        <v>94.438893064571246</v>
      </c>
      <c r="U17" s="62">
        <f>IF(U3=0,0,U3/TrNavi_act!U3*1000)</f>
        <v>94.782167355371882</v>
      </c>
      <c r="V17" s="62">
        <f>IF(V3=0,0,V3/TrNavi_act!V3*1000)</f>
        <v>97.17229305360533</v>
      </c>
      <c r="W17" s="62">
        <f>IF(W3=0,0,W3/TrNavi_act!W3*1000)</f>
        <v>94.948128388104493</v>
      </c>
      <c r="X17" s="62">
        <f>IF(X3=0,0,X3/TrNavi_act!X3*1000)</f>
        <v>89.215372500746739</v>
      </c>
      <c r="Y17" s="62">
        <f>IF(Y3=0,0,Y3/TrNavi_act!Y3*1000)</f>
        <v>85.144559719797329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41.601157408221852</v>
      </c>
      <c r="C18" s="63">
        <f>IF(C4=0,0,C4/TrNavi_act!C4*1000)</f>
        <v>58.42479534899558</v>
      </c>
      <c r="D18" s="63">
        <f>IF(D4=0,0,D4/TrNavi_act!D4*1000)</f>
        <v>77.829166312765906</v>
      </c>
      <c r="E18" s="63">
        <f>IF(E4=0,0,E4/TrNavi_act!E4*1000)</f>
        <v>77.812244459932089</v>
      </c>
      <c r="F18" s="63">
        <f>IF(F4=0,0,F4/TrNavi_act!F4*1000)</f>
        <v>116.90667879397462</v>
      </c>
      <c r="G18" s="63">
        <f>IF(G4=0,0,G4/TrNavi_act!G4*1000)</f>
        <v>98.794096293856697</v>
      </c>
      <c r="H18" s="63">
        <f>IF(H4=0,0,H4/TrNavi_act!H4*1000)</f>
        <v>120.08630491624807</v>
      </c>
      <c r="I18" s="63">
        <f>IF(I4=0,0,I4/TrNavi_act!I4*1000)</f>
        <v>97.599637482497627</v>
      </c>
      <c r="J18" s="63">
        <f>IF(J4=0,0,J4/TrNavi_act!J4*1000)</f>
        <v>114.11873737865709</v>
      </c>
      <c r="K18" s="63">
        <f>IF(K4=0,0,K4/TrNavi_act!K4*1000)</f>
        <v>103.91756770216443</v>
      </c>
      <c r="L18" s="63">
        <f>IF(L4=0,0,L4/TrNavi_act!L4*1000)</f>
        <v>124.803845462224</v>
      </c>
      <c r="M18" s="63">
        <f>IF(M4=0,0,M4/TrNavi_act!M4*1000)</f>
        <v>93.944228964584042</v>
      </c>
      <c r="N18" s="63">
        <f>IF(N4=0,0,N4/TrNavi_act!N4*1000)</f>
        <v>98.370887007670191</v>
      </c>
      <c r="O18" s="63">
        <f>IF(O4=0,0,O4/TrNavi_act!O4*1000)</f>
        <v>101.83939371118956</v>
      </c>
      <c r="P18" s="63">
        <f>IF(P4=0,0,P4/TrNavi_act!P4*1000)</f>
        <v>98.828330845694111</v>
      </c>
      <c r="Q18" s="63">
        <f>IF(Q4=0,0,Q4/TrNavi_act!Q4*1000)</f>
        <v>94.186141554813474</v>
      </c>
      <c r="R18" s="63">
        <f>IF(R4=0,0,R4/TrNavi_act!R4*1000)</f>
        <v>95.092143450629877</v>
      </c>
      <c r="S18" s="63">
        <f>IF(S4=0,0,S4/TrNavi_act!S4*1000)</f>
        <v>94.814767883502242</v>
      </c>
      <c r="T18" s="63">
        <f>IF(T4=0,0,T4/TrNavi_act!T4*1000)</f>
        <v>94.438893064571246</v>
      </c>
      <c r="U18" s="63">
        <f>IF(U4=0,0,U4/TrNavi_act!U4*1000)</f>
        <v>94.782167355371882</v>
      </c>
      <c r="V18" s="63">
        <f>IF(V4=0,0,V4/TrNavi_act!V4*1000)</f>
        <v>97.177916413866626</v>
      </c>
      <c r="W18" s="63">
        <f>IF(W4=0,0,W4/TrNavi_act!W4*1000)</f>
        <v>96.511066504843811</v>
      </c>
      <c r="X18" s="63">
        <f>IF(X4=0,0,X4/TrNavi_act!X4*1000)</f>
        <v>94.574142308940921</v>
      </c>
      <c r="Y18" s="63">
        <f>IF(Y4=0,0,Y4/TrNavi_act!Y4*1000)</f>
        <v>93.291486677792591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23.337274603350561</v>
      </c>
      <c r="C19" s="64">
        <f>IF(C5=0,0,C5/TrNavi_act!C5*1000)</f>
        <v>44.097094807572311</v>
      </c>
      <c r="D19" s="64">
        <f>IF(D5=0,0,D5/TrNavi_act!D5*1000)</f>
        <v>83.221698956336851</v>
      </c>
      <c r="E19" s="64">
        <f>IF(E5=0,0,E5/TrNavi_act!E5*1000)</f>
        <v>68.560973068679814</v>
      </c>
      <c r="F19" s="64">
        <f>IF(F5=0,0,F5/TrNavi_act!F5*1000)</f>
        <v>170.91719828766904</v>
      </c>
      <c r="G19" s="64">
        <f>IF(G5=0,0,G5/TrNavi_act!G5*1000)</f>
        <v>105.51414471052028</v>
      </c>
      <c r="H19" s="64">
        <f>IF(H5=0,0,H5/TrNavi_act!H5*1000)</f>
        <v>167.97683760226812</v>
      </c>
      <c r="I19" s="64">
        <f>IF(I5=0,0,I5/TrNavi_act!I5*1000)</f>
        <v>132.09820042122129</v>
      </c>
      <c r="J19" s="64">
        <f>IF(J5=0,0,J5/TrNavi_act!J5*1000)</f>
        <v>169.46109045198062</v>
      </c>
      <c r="K19" s="64">
        <f>IF(K5=0,0,K5/TrNavi_act!K5*1000)</f>
        <v>123.98915705492685</v>
      </c>
      <c r="L19" s="64">
        <f>IF(L5=0,0,L5/TrNavi_act!L5*1000)</f>
        <v>143.66731508885462</v>
      </c>
      <c r="M19" s="64">
        <f>IF(M5=0,0,M5/TrNavi_act!M5*1000)</f>
        <v>90.952564405956437</v>
      </c>
      <c r="N19" s="64">
        <f>IF(N5=0,0,N5/TrNavi_act!N5*1000)</f>
        <v>98.945745493489596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29.095893730418791</v>
      </c>
      <c r="W19" s="64">
        <f>IF(W5=0,0,W5/TrNavi_act!W5*1000)</f>
        <v>28.469076571969662</v>
      </c>
      <c r="X19" s="64">
        <f>IF(X5=0,0,X5/TrNavi_act!X5*1000)</f>
        <v>28.790479562416717</v>
      </c>
      <c r="Y19" s="64">
        <f>IF(Y5=0,0,Y5/TrNavi_act!Y5*1000)</f>
        <v>29.907716034009621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0.99635928470601243</v>
      </c>
      <c r="C22" s="77">
        <f t="shared" si="6"/>
        <v>0.99751646489167745</v>
      </c>
      <c r="D22" s="77">
        <f t="shared" si="6"/>
        <v>0.99661991304727593</v>
      </c>
      <c r="E22" s="77">
        <f t="shared" si="6"/>
        <v>0.99640322493022659</v>
      </c>
      <c r="F22" s="77">
        <f t="shared" si="6"/>
        <v>0.99330352986427639</v>
      </c>
      <c r="G22" s="77">
        <f t="shared" si="6"/>
        <v>0.99118345505029115</v>
      </c>
      <c r="H22" s="77">
        <f t="shared" si="6"/>
        <v>0.98414640318491087</v>
      </c>
      <c r="I22" s="77">
        <f t="shared" si="6"/>
        <v>0.91721778475853732</v>
      </c>
      <c r="J22" s="77">
        <f t="shared" si="6"/>
        <v>0.89380381159895905</v>
      </c>
      <c r="K22" s="77">
        <f t="shared" si="6"/>
        <v>0.97668984803532666</v>
      </c>
      <c r="L22" s="77">
        <f t="shared" si="6"/>
        <v>0.97749199946200782</v>
      </c>
      <c r="M22" s="77">
        <f t="shared" si="6"/>
        <v>0.98290077819514188</v>
      </c>
      <c r="N22" s="77">
        <f t="shared" si="6"/>
        <v>0.99379934929124647</v>
      </c>
      <c r="O22" s="77">
        <f t="shared" si="6"/>
        <v>1</v>
      </c>
      <c r="P22" s="77">
        <f t="shared" si="6"/>
        <v>1</v>
      </c>
      <c r="Q22" s="77">
        <f t="shared" si="6"/>
        <v>1</v>
      </c>
      <c r="R22" s="77">
        <f t="shared" si="6"/>
        <v>1</v>
      </c>
      <c r="S22" s="77">
        <f t="shared" si="6"/>
        <v>1</v>
      </c>
      <c r="T22" s="77">
        <f t="shared" si="6"/>
        <v>1</v>
      </c>
      <c r="U22" s="77">
        <f t="shared" si="6"/>
        <v>1</v>
      </c>
      <c r="V22" s="77">
        <f t="shared" ref="V22:W22" si="7">IF(V4=0,0,V4/V$3)</f>
        <v>0.99997526837184481</v>
      </c>
      <c r="W22" s="77">
        <f t="shared" si="7"/>
        <v>0.99311265641987101</v>
      </c>
      <c r="X22" s="77">
        <f t="shared" ref="X22:Y22" si="8">IF(X4=0,0,X4/X$3)</f>
        <v>0.97371207803299786</v>
      </c>
      <c r="Y22" s="77">
        <f t="shared" si="8"/>
        <v>0.95485162791330247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3.640715293987662E-3</v>
      </c>
      <c r="C23" s="78">
        <f t="shared" si="9"/>
        <v>2.4835351083224381E-3</v>
      </c>
      <c r="D23" s="78">
        <f t="shared" si="9"/>
        <v>3.3800869527240486E-3</v>
      </c>
      <c r="E23" s="78">
        <f t="shared" si="9"/>
        <v>3.5967750697733095E-3</v>
      </c>
      <c r="F23" s="78">
        <f t="shared" si="9"/>
        <v>6.6964701357236202E-3</v>
      </c>
      <c r="G23" s="78">
        <f t="shared" si="9"/>
        <v>8.8165449497088749E-3</v>
      </c>
      <c r="H23" s="78">
        <f t="shared" si="9"/>
        <v>1.5853596815089025E-2</v>
      </c>
      <c r="I23" s="78">
        <f t="shared" si="9"/>
        <v>8.2782215241462773E-2</v>
      </c>
      <c r="J23" s="78">
        <f t="shared" si="9"/>
        <v>0.10619618840104107</v>
      </c>
      <c r="K23" s="78">
        <f t="shared" si="9"/>
        <v>2.331015196467336E-2</v>
      </c>
      <c r="L23" s="78">
        <f t="shared" si="9"/>
        <v>2.2508000537992255E-2</v>
      </c>
      <c r="M23" s="78">
        <f t="shared" si="9"/>
        <v>1.7099221804858143E-2</v>
      </c>
      <c r="N23" s="78">
        <f t="shared" si="9"/>
        <v>6.2006507087534824E-3</v>
      </c>
      <c r="O23" s="78">
        <f t="shared" si="9"/>
        <v>0</v>
      </c>
      <c r="P23" s="78">
        <f t="shared" si="9"/>
        <v>0</v>
      </c>
      <c r="Q23" s="78">
        <f t="shared" si="9"/>
        <v>0</v>
      </c>
      <c r="R23" s="78">
        <f t="shared" si="9"/>
        <v>0</v>
      </c>
      <c r="S23" s="78">
        <f t="shared" si="9"/>
        <v>0</v>
      </c>
      <c r="T23" s="78">
        <f t="shared" si="9"/>
        <v>0</v>
      </c>
      <c r="U23" s="78">
        <f t="shared" si="9"/>
        <v>0</v>
      </c>
      <c r="V23" s="78">
        <f t="shared" ref="V23:W23" si="10">IF(V5=0,0,V5/V$3)</f>
        <v>2.4731628155140138E-5</v>
      </c>
      <c r="W23" s="78">
        <f t="shared" si="10"/>
        <v>6.8873435801289785E-3</v>
      </c>
      <c r="X23" s="78">
        <f t="shared" ref="X23:Y23" si="11">IF(X5=0,0,X5/X$3)</f>
        <v>2.6287921967002047E-2</v>
      </c>
      <c r="Y23" s="78">
        <f t="shared" si="11"/>
        <v>4.5148372086697509E-2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36996.781946999996</v>
      </c>
      <c r="C3" s="54">
        <f t="shared" si="0"/>
        <v>39455.121976000002</v>
      </c>
      <c r="D3" s="54">
        <f t="shared" si="0"/>
        <v>43451.863495999998</v>
      </c>
      <c r="E3" s="54">
        <f t="shared" si="0"/>
        <v>43412.033990999997</v>
      </c>
      <c r="F3" s="54">
        <f t="shared" si="0"/>
        <v>44965.029962000001</v>
      </c>
      <c r="G3" s="54">
        <f t="shared" si="0"/>
        <v>52914.668848000001</v>
      </c>
      <c r="H3" s="54">
        <f t="shared" si="0"/>
        <v>59414.611768000002</v>
      </c>
      <c r="I3" s="54">
        <f t="shared" si="0"/>
        <v>68018.431718000007</v>
      </c>
      <c r="J3" s="54">
        <f t="shared" si="0"/>
        <v>90089.391537000003</v>
      </c>
      <c r="K3" s="54">
        <f t="shared" si="0"/>
        <v>92230.708299999984</v>
      </c>
      <c r="L3" s="54">
        <f t="shared" si="0"/>
        <v>99034.870553000015</v>
      </c>
      <c r="M3" s="54">
        <f t="shared" si="0"/>
        <v>116685.56220700001</v>
      </c>
      <c r="N3" s="54">
        <f t="shared" si="0"/>
        <v>105168.19001000001</v>
      </c>
      <c r="O3" s="54">
        <f t="shared" si="0"/>
        <v>106837.258619</v>
      </c>
      <c r="P3" s="54">
        <f t="shared" si="0"/>
        <v>125752.423891</v>
      </c>
      <c r="Q3" s="54">
        <f t="shared" si="0"/>
        <v>138986.10666399999</v>
      </c>
      <c r="R3" s="54">
        <f t="shared" ref="R3:W3" si="1">SUM(R4:R5)</f>
        <v>149340.60113400003</v>
      </c>
      <c r="S3" s="54">
        <f t="shared" si="1"/>
        <v>164493.89346300001</v>
      </c>
      <c r="T3" s="54">
        <f t="shared" si="1"/>
        <v>167432.28626600001</v>
      </c>
      <c r="U3" s="54">
        <f t="shared" si="1"/>
        <v>162680.71166299999</v>
      </c>
      <c r="V3" s="54">
        <f t="shared" si="1"/>
        <v>165973.07236300001</v>
      </c>
      <c r="W3" s="54">
        <f t="shared" si="1"/>
        <v>166647.20517299999</v>
      </c>
      <c r="X3" s="54">
        <f t="shared" ref="X3:Y3" si="2">SUM(X4:X5)</f>
        <v>107127.46605099998</v>
      </c>
      <c r="Y3" s="54">
        <f t="shared" si="2"/>
        <v>93785.210298999998</v>
      </c>
      <c r="DA3" s="172" t="s">
        <v>388</v>
      </c>
    </row>
    <row r="4" spans="1:105" ht="11.45" customHeight="1" x14ac:dyDescent="0.25">
      <c r="A4" s="55" t="s">
        <v>166</v>
      </c>
      <c r="B4" s="56">
        <v>14706.173085</v>
      </c>
      <c r="C4" s="56">
        <v>15479.542592</v>
      </c>
      <c r="D4" s="56">
        <v>17041.777635999999</v>
      </c>
      <c r="E4" s="56">
        <v>17058.988451999998</v>
      </c>
      <c r="F4" s="56">
        <v>17664.083149000002</v>
      </c>
      <c r="G4" s="56">
        <v>19895.224925999999</v>
      </c>
      <c r="H4" s="56">
        <v>14148.462991</v>
      </c>
      <c r="I4" s="56">
        <v>12259.310439000001</v>
      </c>
      <c r="J4" s="56">
        <v>13843.452320999999</v>
      </c>
      <c r="K4" s="56">
        <v>11973.543959999999</v>
      </c>
      <c r="L4" s="56">
        <v>12982.884872999999</v>
      </c>
      <c r="M4" s="56">
        <v>16591.168522</v>
      </c>
      <c r="N4" s="56">
        <v>15928.674920000001</v>
      </c>
      <c r="O4" s="56">
        <v>14227.734057000001</v>
      </c>
      <c r="P4" s="56">
        <v>15198.145814</v>
      </c>
      <c r="Q4" s="56">
        <v>15325.501630000001</v>
      </c>
      <c r="R4" s="56">
        <v>14724.365444999999</v>
      </c>
      <c r="S4" s="56">
        <v>16312.351367000001</v>
      </c>
      <c r="T4" s="56">
        <v>16904.872963999998</v>
      </c>
      <c r="U4" s="56">
        <v>16749.036705999999</v>
      </c>
      <c r="V4" s="56">
        <v>16978.764808</v>
      </c>
      <c r="W4" s="56">
        <v>14740.78226</v>
      </c>
      <c r="X4" s="56">
        <v>14222.687378999999</v>
      </c>
      <c r="Y4" s="56">
        <v>13993.312916999999</v>
      </c>
      <c r="DA4" s="181" t="s">
        <v>389</v>
      </c>
    </row>
    <row r="5" spans="1:105" ht="11.45" customHeight="1" x14ac:dyDescent="0.25">
      <c r="A5" s="57" t="s">
        <v>167</v>
      </c>
      <c r="B5" s="58">
        <v>22290.608861999997</v>
      </c>
      <c r="C5" s="58">
        <v>23975.579384000001</v>
      </c>
      <c r="D5" s="58">
        <v>26410.085859999999</v>
      </c>
      <c r="E5" s="58">
        <v>26353.045538999999</v>
      </c>
      <c r="F5" s="58">
        <v>27300.946812999999</v>
      </c>
      <c r="G5" s="58">
        <v>33019.443921999999</v>
      </c>
      <c r="H5" s="58">
        <v>45266.148777000002</v>
      </c>
      <c r="I5" s="58">
        <v>55759.121278999999</v>
      </c>
      <c r="J5" s="58">
        <v>76245.939215999999</v>
      </c>
      <c r="K5" s="58">
        <v>80257.164339999988</v>
      </c>
      <c r="L5" s="58">
        <v>86051.985680000013</v>
      </c>
      <c r="M5" s="58">
        <v>100094.393685</v>
      </c>
      <c r="N5" s="58">
        <v>89239.515090000001</v>
      </c>
      <c r="O5" s="58">
        <v>92609.524562000006</v>
      </c>
      <c r="P5" s="58">
        <v>110554.278077</v>
      </c>
      <c r="Q5" s="58">
        <v>123660.60503399999</v>
      </c>
      <c r="R5" s="58">
        <v>134616.23568900002</v>
      </c>
      <c r="S5" s="58">
        <v>148181.54209600002</v>
      </c>
      <c r="T5" s="58">
        <v>150527.413302</v>
      </c>
      <c r="U5" s="58">
        <v>145931.67495700001</v>
      </c>
      <c r="V5" s="58">
        <v>148994.30755500001</v>
      </c>
      <c r="W5" s="58">
        <v>151906.42291299999</v>
      </c>
      <c r="X5" s="58">
        <v>92904.778671999986</v>
      </c>
      <c r="Y5" s="58">
        <v>79791.897381999996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3.911613</v>
      </c>
      <c r="C7" s="59">
        <f t="shared" si="3"/>
        <v>4.0242139999999997</v>
      </c>
      <c r="D7" s="59">
        <f t="shared" si="3"/>
        <v>4.331188</v>
      </c>
      <c r="E7" s="59">
        <f t="shared" si="3"/>
        <v>4.3251949999999999</v>
      </c>
      <c r="F7" s="59">
        <f t="shared" si="3"/>
        <v>4.4401650000000004</v>
      </c>
      <c r="G7" s="59">
        <f t="shared" si="3"/>
        <v>5.1291139999999995</v>
      </c>
      <c r="H7" s="59">
        <f t="shared" si="3"/>
        <v>4.1218839999999997</v>
      </c>
      <c r="I7" s="59">
        <f t="shared" si="3"/>
        <v>3.8947660000000002</v>
      </c>
      <c r="J7" s="59">
        <f t="shared" si="3"/>
        <v>4.5104620000000004</v>
      </c>
      <c r="K7" s="59">
        <f t="shared" si="3"/>
        <v>4.4364759999999999</v>
      </c>
      <c r="L7" s="59">
        <f t="shared" si="3"/>
        <v>4.6408369999999994</v>
      </c>
      <c r="M7" s="59">
        <f t="shared" si="3"/>
        <v>5.5758890000000001</v>
      </c>
      <c r="N7" s="59">
        <f t="shared" si="3"/>
        <v>5.1325139999999996</v>
      </c>
      <c r="O7" s="59">
        <f t="shared" si="3"/>
        <v>4.9000839999999997</v>
      </c>
      <c r="P7" s="59">
        <f t="shared" si="3"/>
        <v>5.4692610000000004</v>
      </c>
      <c r="Q7" s="59">
        <f t="shared" si="3"/>
        <v>5.4138140000000003</v>
      </c>
      <c r="R7" s="59">
        <f t="shared" si="3"/>
        <v>5.4294159999999998</v>
      </c>
      <c r="S7" s="59">
        <f t="shared" si="3"/>
        <v>5.8774389999999999</v>
      </c>
      <c r="T7" s="59">
        <f t="shared" si="3"/>
        <v>6.1205959999999999</v>
      </c>
      <c r="U7" s="59">
        <f t="shared" si="3"/>
        <v>6.0945230000000006</v>
      </c>
      <c r="V7" s="59">
        <f t="shared" si="3"/>
        <v>6.0208059999999994</v>
      </c>
      <c r="W7" s="59">
        <f t="shared" si="3"/>
        <v>5.7632849999999998</v>
      </c>
      <c r="X7" s="59">
        <f t="shared" ref="X7:Y7" si="4">SUM(X8:X9)</f>
        <v>4.4963430000000004</v>
      </c>
      <c r="Y7" s="59">
        <f t="shared" si="4"/>
        <v>4.0225059999999999</v>
      </c>
      <c r="DA7" s="172" t="s">
        <v>963</v>
      </c>
    </row>
    <row r="8" spans="1:105" ht="11.45" customHeight="1" x14ac:dyDescent="0.25">
      <c r="A8" s="55" t="s">
        <v>166</v>
      </c>
      <c r="B8" s="60">
        <v>2.582938</v>
      </c>
      <c r="C8" s="60">
        <v>2.6516069999999998</v>
      </c>
      <c r="D8" s="60">
        <v>2.8385959999999999</v>
      </c>
      <c r="E8" s="60">
        <v>2.8292739999999998</v>
      </c>
      <c r="F8" s="60">
        <v>2.9101569999999999</v>
      </c>
      <c r="G8" s="60">
        <v>3.4190209999999999</v>
      </c>
      <c r="H8" s="60">
        <v>2.1666719999999997</v>
      </c>
      <c r="I8" s="60">
        <v>1.7019220000000002</v>
      </c>
      <c r="J8" s="60">
        <v>1.8628480000000001</v>
      </c>
      <c r="K8" s="60">
        <v>1.6052759999999999</v>
      </c>
      <c r="L8" s="60">
        <v>1.8218559999999999</v>
      </c>
      <c r="M8" s="60">
        <v>2.469252</v>
      </c>
      <c r="N8" s="60">
        <v>2.3615539999999999</v>
      </c>
      <c r="O8" s="60">
        <v>2.069753</v>
      </c>
      <c r="P8" s="60">
        <v>2.2104320000000004</v>
      </c>
      <c r="Q8" s="60">
        <v>2.0557850000000002</v>
      </c>
      <c r="R8" s="60">
        <v>1.897087</v>
      </c>
      <c r="S8" s="60">
        <v>2.0736050000000001</v>
      </c>
      <c r="T8" s="60">
        <v>2.2113260000000001</v>
      </c>
      <c r="U8" s="60">
        <v>2.2557270000000003</v>
      </c>
      <c r="V8" s="60">
        <v>2.0940339999999997</v>
      </c>
      <c r="W8" s="60">
        <v>1.9024030000000001</v>
      </c>
      <c r="X8" s="60">
        <v>1.8008599999999999</v>
      </c>
      <c r="Y8" s="60">
        <v>1.702248</v>
      </c>
      <c r="DA8" s="181" t="s">
        <v>964</v>
      </c>
    </row>
    <row r="9" spans="1:105" ht="11.45" customHeight="1" x14ac:dyDescent="0.25">
      <c r="A9" s="57" t="s">
        <v>167</v>
      </c>
      <c r="B9" s="61">
        <v>1.3286750000000001</v>
      </c>
      <c r="C9" s="61">
        <v>1.3726069999999999</v>
      </c>
      <c r="D9" s="61">
        <v>1.4925920000000001</v>
      </c>
      <c r="E9" s="61">
        <v>1.4959210000000001</v>
      </c>
      <c r="F9" s="61">
        <v>1.530008</v>
      </c>
      <c r="G9" s="61">
        <v>1.7100930000000001</v>
      </c>
      <c r="H9" s="61">
        <v>1.955212</v>
      </c>
      <c r="I9" s="61">
        <v>2.192844</v>
      </c>
      <c r="J9" s="61">
        <v>2.6476139999999999</v>
      </c>
      <c r="K9" s="61">
        <v>2.8311999999999999</v>
      </c>
      <c r="L9" s="61">
        <v>2.818981</v>
      </c>
      <c r="M9" s="61">
        <v>3.1066369999999996</v>
      </c>
      <c r="N9" s="61">
        <v>2.7709599999999996</v>
      </c>
      <c r="O9" s="61">
        <v>2.8303309999999997</v>
      </c>
      <c r="P9" s="61">
        <v>3.258829</v>
      </c>
      <c r="Q9" s="61">
        <v>3.3580290000000002</v>
      </c>
      <c r="R9" s="61">
        <v>3.5323290000000003</v>
      </c>
      <c r="S9" s="61">
        <v>3.8038339999999997</v>
      </c>
      <c r="T9" s="61">
        <v>3.9092699999999998</v>
      </c>
      <c r="U9" s="61">
        <v>3.8387959999999999</v>
      </c>
      <c r="V9" s="61">
        <v>3.9267719999999997</v>
      </c>
      <c r="W9" s="61">
        <v>3.8608819999999997</v>
      </c>
      <c r="X9" s="61">
        <v>2.6954830000000003</v>
      </c>
      <c r="Y9" s="61">
        <v>2.3202580000000004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9458.190763503444</v>
      </c>
      <c r="C13" s="62">
        <f t="shared" si="5"/>
        <v>9804.4293807436698</v>
      </c>
      <c r="D13" s="62">
        <f t="shared" si="5"/>
        <v>10032.31988452129</v>
      </c>
      <c r="E13" s="62">
        <f t="shared" si="5"/>
        <v>10037.011970789756</v>
      </c>
      <c r="F13" s="62">
        <f t="shared" si="5"/>
        <v>10126.882663594708</v>
      </c>
      <c r="G13" s="62">
        <f t="shared" si="5"/>
        <v>10316.532026388964</v>
      </c>
      <c r="H13" s="62">
        <f t="shared" si="5"/>
        <v>14414.430820469477</v>
      </c>
      <c r="I13" s="62">
        <f t="shared" si="5"/>
        <v>17464.06118313655</v>
      </c>
      <c r="J13" s="62">
        <f t="shared" si="5"/>
        <v>19973.42878334858</v>
      </c>
      <c r="K13" s="62">
        <f t="shared" si="5"/>
        <v>20789.182292432099</v>
      </c>
      <c r="L13" s="62">
        <f t="shared" si="5"/>
        <v>21339.872646464424</v>
      </c>
      <c r="M13" s="62">
        <f t="shared" si="5"/>
        <v>20926.808659031773</v>
      </c>
      <c r="N13" s="62">
        <f t="shared" si="5"/>
        <v>20490.580251705112</v>
      </c>
      <c r="O13" s="62">
        <f t="shared" si="5"/>
        <v>21803.14839888459</v>
      </c>
      <c r="P13" s="62">
        <f t="shared" si="5"/>
        <v>22992.580513345401</v>
      </c>
      <c r="Q13" s="62">
        <f t="shared" si="5"/>
        <v>25672.493858119244</v>
      </c>
      <c r="R13" s="62">
        <f t="shared" si="5"/>
        <v>27505.831406913752</v>
      </c>
      <c r="S13" s="62">
        <f t="shared" si="5"/>
        <v>27987.341674324485</v>
      </c>
      <c r="T13" s="62">
        <f t="shared" si="5"/>
        <v>27355.55267264822</v>
      </c>
      <c r="U13" s="62">
        <f t="shared" si="5"/>
        <v>26692.93588079001</v>
      </c>
      <c r="V13" s="62">
        <f t="shared" si="5"/>
        <v>27566.586992339569</v>
      </c>
      <c r="W13" s="62">
        <f t="shared" si="5"/>
        <v>28915.315687667709</v>
      </c>
      <c r="X13" s="62">
        <f t="shared" ref="X13:Y13" si="6">IF(X3=0,0,X3/X7)</f>
        <v>23825.46572870441</v>
      </c>
      <c r="Y13" s="62">
        <f t="shared" si="6"/>
        <v>23315.120051778667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5693.5834638694387</v>
      </c>
      <c r="C14" s="63">
        <f t="shared" si="5"/>
        <v>5837.7966991337707</v>
      </c>
      <c r="D14" s="63">
        <f t="shared" si="5"/>
        <v>6003.5939020558053</v>
      </c>
      <c r="E14" s="63">
        <f t="shared" si="5"/>
        <v>6029.4578934383871</v>
      </c>
      <c r="F14" s="63">
        <f t="shared" si="5"/>
        <v>6069.8041889148944</v>
      </c>
      <c r="G14" s="63">
        <f t="shared" si="5"/>
        <v>5818.9829562322075</v>
      </c>
      <c r="H14" s="63">
        <f t="shared" si="5"/>
        <v>6530.04376804611</v>
      </c>
      <c r="I14" s="63">
        <f t="shared" si="5"/>
        <v>7203.2152113904158</v>
      </c>
      <c r="J14" s="63">
        <f t="shared" si="5"/>
        <v>7431.3375653837556</v>
      </c>
      <c r="K14" s="63">
        <f t="shared" si="5"/>
        <v>7458.8693533074684</v>
      </c>
      <c r="L14" s="63">
        <f t="shared" si="5"/>
        <v>7126.1860833128412</v>
      </c>
      <c r="M14" s="63">
        <f t="shared" si="5"/>
        <v>6719.1070502322164</v>
      </c>
      <c r="N14" s="63">
        <f t="shared" si="5"/>
        <v>6744.9971163056198</v>
      </c>
      <c r="O14" s="63">
        <f t="shared" si="5"/>
        <v>6874.1217222538153</v>
      </c>
      <c r="P14" s="63">
        <f t="shared" si="5"/>
        <v>6875.6450386168844</v>
      </c>
      <c r="Q14" s="63">
        <f t="shared" si="5"/>
        <v>7454.8173228231544</v>
      </c>
      <c r="R14" s="63">
        <f t="shared" si="5"/>
        <v>7761.5657294578477</v>
      </c>
      <c r="S14" s="63">
        <f t="shared" si="5"/>
        <v>7866.6628248870929</v>
      </c>
      <c r="T14" s="63">
        <f t="shared" si="5"/>
        <v>7644.676978428326</v>
      </c>
      <c r="U14" s="63">
        <f t="shared" si="5"/>
        <v>7425.1169161871085</v>
      </c>
      <c r="V14" s="63">
        <f t="shared" si="5"/>
        <v>8108.1609983410026</v>
      </c>
      <c r="W14" s="63">
        <f t="shared" si="5"/>
        <v>7748.5066308242785</v>
      </c>
      <c r="X14" s="63">
        <f t="shared" ref="X14:Y14" si="7">IF(X4=0,0,X4/X8)</f>
        <v>7897.719633397377</v>
      </c>
      <c r="Y14" s="63">
        <f t="shared" si="7"/>
        <v>8220.4901500838896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16776.569787194006</v>
      </c>
      <c r="C15" s="64">
        <f t="shared" si="5"/>
        <v>17467.184258859237</v>
      </c>
      <c r="D15" s="64">
        <f t="shared" si="5"/>
        <v>17694.109214038395</v>
      </c>
      <c r="E15" s="64">
        <f t="shared" si="5"/>
        <v>17616.602440235813</v>
      </c>
      <c r="F15" s="64">
        <f t="shared" si="5"/>
        <v>17843.662786730525</v>
      </c>
      <c r="G15" s="64">
        <f t="shared" si="5"/>
        <v>19308.566213650367</v>
      </c>
      <c r="H15" s="64">
        <f t="shared" si="5"/>
        <v>23151.529745623495</v>
      </c>
      <c r="I15" s="64">
        <f t="shared" si="5"/>
        <v>25427.764710576765</v>
      </c>
      <c r="J15" s="64">
        <f t="shared" si="5"/>
        <v>28797.981584928923</v>
      </c>
      <c r="K15" s="64">
        <f t="shared" si="5"/>
        <v>28347.401928510877</v>
      </c>
      <c r="L15" s="64">
        <f t="shared" si="5"/>
        <v>30525.919004065658</v>
      </c>
      <c r="M15" s="64">
        <f t="shared" si="5"/>
        <v>32219.533110884862</v>
      </c>
      <c r="N15" s="64">
        <f t="shared" si="5"/>
        <v>32205.270047203863</v>
      </c>
      <c r="O15" s="64">
        <f t="shared" si="5"/>
        <v>32720.386612731872</v>
      </c>
      <c r="P15" s="64">
        <f t="shared" si="5"/>
        <v>33924.541016727169</v>
      </c>
      <c r="Q15" s="64">
        <f t="shared" si="5"/>
        <v>36825.35351362361</v>
      </c>
      <c r="R15" s="64">
        <f t="shared" si="5"/>
        <v>38109.767150511747</v>
      </c>
      <c r="S15" s="64">
        <f t="shared" si="5"/>
        <v>38955.838266338658</v>
      </c>
      <c r="T15" s="64">
        <f t="shared" si="5"/>
        <v>38505.248627493114</v>
      </c>
      <c r="U15" s="64">
        <f t="shared" si="5"/>
        <v>38014.959627185191</v>
      </c>
      <c r="V15" s="64">
        <f t="shared" si="5"/>
        <v>37943.203108049056</v>
      </c>
      <c r="W15" s="64">
        <f t="shared" si="5"/>
        <v>39345.00534152559</v>
      </c>
      <c r="X15" s="64">
        <f t="shared" ref="X15:Y15" si="8">IF(X5=0,0,X5/X9)</f>
        <v>34466.839031075309</v>
      </c>
      <c r="Y15" s="64">
        <f t="shared" si="8"/>
        <v>34389.234896291695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0.39749870964635342</v>
      </c>
      <c r="C18" s="66">
        <f t="shared" si="9"/>
        <v>0.39233290424031608</v>
      </c>
      <c r="D18" s="66">
        <f t="shared" si="9"/>
        <v>0.39219900517198292</v>
      </c>
      <c r="E18" s="66">
        <f t="shared" si="9"/>
        <v>0.3929552910498641</v>
      </c>
      <c r="F18" s="66">
        <f t="shared" si="9"/>
        <v>0.3928404621086195</v>
      </c>
      <c r="G18" s="66">
        <f t="shared" si="9"/>
        <v>0.37598694953851103</v>
      </c>
      <c r="H18" s="66">
        <f t="shared" si="9"/>
        <v>0.23813103494215193</v>
      </c>
      <c r="I18" s="66">
        <f t="shared" si="9"/>
        <v>0.18023512347103657</v>
      </c>
      <c r="J18" s="66">
        <f t="shared" si="9"/>
        <v>0.15366351226064667</v>
      </c>
      <c r="K18" s="66">
        <f t="shared" si="9"/>
        <v>0.12982166331254338</v>
      </c>
      <c r="L18" s="66">
        <f t="shared" si="9"/>
        <v>0.13109407626328962</v>
      </c>
      <c r="M18" s="66">
        <f t="shared" si="9"/>
        <v>0.14218698704615479</v>
      </c>
      <c r="N18" s="66">
        <f t="shared" si="9"/>
        <v>0.15145905732983908</v>
      </c>
      <c r="O18" s="66">
        <f t="shared" si="9"/>
        <v>0.13317202482458432</v>
      </c>
      <c r="P18" s="66">
        <f t="shared" si="9"/>
        <v>0.12085767688401368</v>
      </c>
      <c r="Q18" s="66">
        <f t="shared" si="9"/>
        <v>0.11026642876650629</v>
      </c>
      <c r="R18" s="66">
        <f t="shared" si="9"/>
        <v>9.8595862968223563E-2</v>
      </c>
      <c r="S18" s="66">
        <f t="shared" si="9"/>
        <v>9.9166911449324865E-2</v>
      </c>
      <c r="T18" s="66">
        <f t="shared" si="9"/>
        <v>0.10096543110653815</v>
      </c>
      <c r="U18" s="66">
        <f t="shared" si="9"/>
        <v>0.10295650009631345</v>
      </c>
      <c r="V18" s="66">
        <f t="shared" si="9"/>
        <v>0.10229830999853827</v>
      </c>
      <c r="W18" s="66">
        <f t="shared" si="9"/>
        <v>8.8455022361144803E-2</v>
      </c>
      <c r="X18" s="66">
        <f t="shared" ref="X18:Y18" si="11">IF(X4=0,0,X4/X$3)</f>
        <v>0.13276415380000708</v>
      </c>
      <c r="Y18" s="66">
        <f t="shared" si="11"/>
        <v>0.14920596619005722</v>
      </c>
      <c r="DA18" s="181"/>
    </row>
    <row r="19" spans="1:105" ht="11.45" customHeight="1" x14ac:dyDescent="0.25">
      <c r="A19" s="57" t="s">
        <v>167</v>
      </c>
      <c r="B19" s="67">
        <f t="shared" si="9"/>
        <v>0.60250129035364663</v>
      </c>
      <c r="C19" s="67">
        <f t="shared" si="9"/>
        <v>0.60766709575968392</v>
      </c>
      <c r="D19" s="67">
        <f t="shared" si="9"/>
        <v>0.60780099482801708</v>
      </c>
      <c r="E19" s="67">
        <f t="shared" si="9"/>
        <v>0.60704470895013585</v>
      </c>
      <c r="F19" s="67">
        <f t="shared" si="9"/>
        <v>0.60715953789138055</v>
      </c>
      <c r="G19" s="67">
        <f t="shared" si="9"/>
        <v>0.62401305046148892</v>
      </c>
      <c r="H19" s="67">
        <f t="shared" si="9"/>
        <v>0.76186896505784807</v>
      </c>
      <c r="I19" s="67">
        <f t="shared" si="9"/>
        <v>0.81976487652896335</v>
      </c>
      <c r="J19" s="67">
        <f t="shared" si="9"/>
        <v>0.84633648773935322</v>
      </c>
      <c r="K19" s="67">
        <f t="shared" si="9"/>
        <v>0.8701783366874567</v>
      </c>
      <c r="L19" s="67">
        <f t="shared" si="9"/>
        <v>0.86890592373671038</v>
      </c>
      <c r="M19" s="67">
        <f t="shared" si="9"/>
        <v>0.85781301295384516</v>
      </c>
      <c r="N19" s="67">
        <f t="shared" si="9"/>
        <v>0.84854094267016089</v>
      </c>
      <c r="O19" s="67">
        <f t="shared" si="9"/>
        <v>0.86682797517541577</v>
      </c>
      <c r="P19" s="67">
        <f t="shared" si="9"/>
        <v>0.87914232311598628</v>
      </c>
      <c r="Q19" s="67">
        <f t="shared" si="9"/>
        <v>0.88973357123349373</v>
      </c>
      <c r="R19" s="67">
        <f t="shared" si="9"/>
        <v>0.90140413703177646</v>
      </c>
      <c r="S19" s="67">
        <f t="shared" si="9"/>
        <v>0.90083308855067512</v>
      </c>
      <c r="T19" s="67">
        <f t="shared" si="9"/>
        <v>0.89903456889346178</v>
      </c>
      <c r="U19" s="67">
        <f t="shared" si="9"/>
        <v>0.89704349990368659</v>
      </c>
      <c r="V19" s="67">
        <f t="shared" si="9"/>
        <v>0.89770169000146172</v>
      </c>
      <c r="W19" s="67">
        <f t="shared" si="9"/>
        <v>0.91154497763885511</v>
      </c>
      <c r="X19" s="67">
        <f t="shared" ref="X19:Y19" si="12">IF(X5=0,0,X5/X$3)</f>
        <v>0.86723584619999294</v>
      </c>
      <c r="Y19" s="67">
        <f t="shared" si="12"/>
        <v>0.85079403380994278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0.66032554856525938</v>
      </c>
      <c r="C22" s="66">
        <f t="shared" si="13"/>
        <v>0.65891302003322882</v>
      </c>
      <c r="D22" s="66">
        <f t="shared" si="13"/>
        <v>0.65538508141415242</v>
      </c>
      <c r="E22" s="66">
        <f t="shared" si="13"/>
        <v>0.65413790592100474</v>
      </c>
      <c r="F22" s="66">
        <f t="shared" si="13"/>
        <v>0.65541640907488785</v>
      </c>
      <c r="G22" s="66">
        <f t="shared" si="13"/>
        <v>0.6665909550850303</v>
      </c>
      <c r="H22" s="66">
        <f t="shared" si="13"/>
        <v>0.52565089167962997</v>
      </c>
      <c r="I22" s="66">
        <f t="shared" si="13"/>
        <v>0.43697670155280188</v>
      </c>
      <c r="J22" s="66">
        <f t="shared" si="13"/>
        <v>0.41300602909413714</v>
      </c>
      <c r="K22" s="66">
        <f t="shared" si="13"/>
        <v>0.36183583546941311</v>
      </c>
      <c r="L22" s="66">
        <f t="shared" si="13"/>
        <v>0.39257056431846243</v>
      </c>
      <c r="M22" s="66">
        <f t="shared" si="13"/>
        <v>0.44284454012624713</v>
      </c>
      <c r="N22" s="66">
        <f t="shared" si="13"/>
        <v>0.46011642637506689</v>
      </c>
      <c r="O22" s="66">
        <f t="shared" si="13"/>
        <v>0.42239133043433541</v>
      </c>
      <c r="P22" s="66">
        <f t="shared" si="13"/>
        <v>0.40415551570861225</v>
      </c>
      <c r="Q22" s="66">
        <f t="shared" si="13"/>
        <v>0.37972952155356648</v>
      </c>
      <c r="R22" s="66">
        <f t="shared" si="13"/>
        <v>0.34940903404712403</v>
      </c>
      <c r="S22" s="66">
        <f t="shared" si="13"/>
        <v>0.35280757486381403</v>
      </c>
      <c r="T22" s="66">
        <f t="shared" si="13"/>
        <v>0.36129259307426925</v>
      </c>
      <c r="U22" s="66">
        <f t="shared" si="13"/>
        <v>0.3701236339578996</v>
      </c>
      <c r="V22" s="66">
        <f t="shared" si="13"/>
        <v>0.34779961354011407</v>
      </c>
      <c r="W22" s="66">
        <f t="shared" si="13"/>
        <v>0.33009004413281662</v>
      </c>
      <c r="X22" s="66">
        <f t="shared" ref="X22:Y22" si="15">IF(X8=0,0,X8/X$7)</f>
        <v>0.40051659759942687</v>
      </c>
      <c r="Y22" s="66">
        <f t="shared" si="15"/>
        <v>0.42318097225958146</v>
      </c>
      <c r="DA22" s="181"/>
    </row>
    <row r="23" spans="1:105" ht="11.45" customHeight="1" x14ac:dyDescent="0.25">
      <c r="A23" s="57" t="s">
        <v>167</v>
      </c>
      <c r="B23" s="67">
        <f t="shared" si="13"/>
        <v>0.33967445143474062</v>
      </c>
      <c r="C23" s="67">
        <f t="shared" si="13"/>
        <v>0.34108697996677118</v>
      </c>
      <c r="D23" s="67">
        <f t="shared" si="13"/>
        <v>0.34461491858584758</v>
      </c>
      <c r="E23" s="67">
        <f t="shared" si="13"/>
        <v>0.34586209407899532</v>
      </c>
      <c r="F23" s="67">
        <f t="shared" si="13"/>
        <v>0.34458359092511198</v>
      </c>
      <c r="G23" s="67">
        <f t="shared" si="13"/>
        <v>0.33340904491496975</v>
      </c>
      <c r="H23" s="67">
        <f t="shared" si="13"/>
        <v>0.47434910832037003</v>
      </c>
      <c r="I23" s="67">
        <f t="shared" si="13"/>
        <v>0.56302329844719812</v>
      </c>
      <c r="J23" s="67">
        <f t="shared" si="13"/>
        <v>0.58699397090586281</v>
      </c>
      <c r="K23" s="67">
        <f t="shared" si="13"/>
        <v>0.63816416453058689</v>
      </c>
      <c r="L23" s="67">
        <f t="shared" si="13"/>
        <v>0.60742943568153773</v>
      </c>
      <c r="M23" s="67">
        <f t="shared" si="13"/>
        <v>0.55715545987375281</v>
      </c>
      <c r="N23" s="67">
        <f t="shared" si="13"/>
        <v>0.53988357362493311</v>
      </c>
      <c r="O23" s="67">
        <f t="shared" si="13"/>
        <v>0.57760866956566459</v>
      </c>
      <c r="P23" s="67">
        <f t="shared" si="13"/>
        <v>0.59584448429138781</v>
      </c>
      <c r="Q23" s="67">
        <f t="shared" si="13"/>
        <v>0.62027047844643346</v>
      </c>
      <c r="R23" s="67">
        <f t="shared" si="13"/>
        <v>0.65059096595287602</v>
      </c>
      <c r="S23" s="67">
        <f t="shared" si="13"/>
        <v>0.64719242513618602</v>
      </c>
      <c r="T23" s="67">
        <f t="shared" si="13"/>
        <v>0.63870740692573069</v>
      </c>
      <c r="U23" s="67">
        <f t="shared" si="13"/>
        <v>0.62987636604210029</v>
      </c>
      <c r="V23" s="67">
        <f t="shared" si="13"/>
        <v>0.65220038645988598</v>
      </c>
      <c r="W23" s="67">
        <f t="shared" si="13"/>
        <v>0.66990995586718338</v>
      </c>
      <c r="X23" s="67">
        <f t="shared" ref="X23:Y23" si="16">IF(X9=0,0,X9/X$7)</f>
        <v>0.59948340240057307</v>
      </c>
      <c r="Y23" s="67">
        <f t="shared" si="16"/>
        <v>0.5768190277404186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91.232416165090271</v>
      </c>
      <c r="C3" s="62">
        <f t="shared" ref="C3:W3" si="0">SUM(C4,C10)</f>
        <v>98.804815133275994</v>
      </c>
      <c r="D3" s="62">
        <f t="shared" si="0"/>
        <v>108.42072226999139</v>
      </c>
      <c r="E3" s="62">
        <f t="shared" si="0"/>
        <v>108.15322441960447</v>
      </c>
      <c r="F3" s="62">
        <f t="shared" si="0"/>
        <v>112.10662080825452</v>
      </c>
      <c r="G3" s="62">
        <f t="shared" si="0"/>
        <v>141.57497850386932</v>
      </c>
      <c r="H3" s="62">
        <f t="shared" si="0"/>
        <v>136.5998280309544</v>
      </c>
      <c r="I3" s="62">
        <f t="shared" si="0"/>
        <v>117.7380911435942</v>
      </c>
      <c r="J3" s="62">
        <f t="shared" si="0"/>
        <v>89.033619948409296</v>
      </c>
      <c r="K3" s="62">
        <f t="shared" si="0"/>
        <v>125.53645743766126</v>
      </c>
      <c r="L3" s="62">
        <f t="shared" si="0"/>
        <v>139.15279449699057</v>
      </c>
      <c r="M3" s="62">
        <f t="shared" si="0"/>
        <v>140.26036113499575</v>
      </c>
      <c r="N3" s="62">
        <f t="shared" si="0"/>
        <v>120.21736887360275</v>
      </c>
      <c r="O3" s="62">
        <f t="shared" si="0"/>
        <v>86.514789337919183</v>
      </c>
      <c r="P3" s="62">
        <f t="shared" si="0"/>
        <v>11.058297506448838</v>
      </c>
      <c r="Q3" s="62">
        <f t="shared" si="0"/>
        <v>75.75434221840068</v>
      </c>
      <c r="R3" s="62">
        <f t="shared" si="0"/>
        <v>162.18675838349094</v>
      </c>
      <c r="S3" s="62">
        <f t="shared" si="0"/>
        <v>174.72287188306103</v>
      </c>
      <c r="T3" s="62">
        <f t="shared" si="0"/>
        <v>201.22321582115222</v>
      </c>
      <c r="U3" s="62">
        <f t="shared" si="0"/>
        <v>194.47506448839209</v>
      </c>
      <c r="V3" s="62">
        <f t="shared" si="0"/>
        <v>181.92871883061051</v>
      </c>
      <c r="W3" s="62">
        <f t="shared" si="0"/>
        <v>188.39776440240757</v>
      </c>
      <c r="X3" s="62">
        <f t="shared" ref="X3:Y3" si="1">SUM(X4,X10)</f>
        <v>154.42699914015475</v>
      </c>
      <c r="Y3" s="62">
        <f t="shared" si="1"/>
        <v>123.73112639724849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51.340663310145189</v>
      </c>
      <c r="C4" s="71">
        <f t="shared" ref="C4:W4" si="2">SUM(C5:C9)</f>
        <v>55.567267944870942</v>
      </c>
      <c r="D4" s="71">
        <f t="shared" si="2"/>
        <v>60.759159199416366</v>
      </c>
      <c r="E4" s="71">
        <f t="shared" si="2"/>
        <v>60.632513148988508</v>
      </c>
      <c r="F4" s="71">
        <f t="shared" si="2"/>
        <v>62.879956294258946</v>
      </c>
      <c r="G4" s="71">
        <f t="shared" si="2"/>
        <v>80.160590145183988</v>
      </c>
      <c r="H4" s="71">
        <f t="shared" si="2"/>
        <v>65.847628377200451</v>
      </c>
      <c r="I4" s="71">
        <f t="shared" si="2"/>
        <v>49.757222058413134</v>
      </c>
      <c r="J4" s="71">
        <f t="shared" si="2"/>
        <v>35.784728883595307</v>
      </c>
      <c r="K4" s="71">
        <f t="shared" si="2"/>
        <v>46.213630635523643</v>
      </c>
      <c r="L4" s="71">
        <f t="shared" si="2"/>
        <v>51.835173951406212</v>
      </c>
      <c r="M4" s="71">
        <f t="shared" si="2"/>
        <v>55.432270804904199</v>
      </c>
      <c r="N4" s="71">
        <f t="shared" si="2"/>
        <v>48.862504594896166</v>
      </c>
      <c r="O4" s="71">
        <f t="shared" si="2"/>
        <v>32.529469438212438</v>
      </c>
      <c r="P4" s="71">
        <f t="shared" si="2"/>
        <v>3.9824707715192931</v>
      </c>
      <c r="Q4" s="71">
        <f t="shared" si="2"/>
        <v>26.107873572069476</v>
      </c>
      <c r="R4" s="71">
        <f t="shared" si="2"/>
        <v>52.210827266499614</v>
      </c>
      <c r="S4" s="71">
        <f t="shared" si="2"/>
        <v>56.354337732345492</v>
      </c>
      <c r="T4" s="71">
        <f t="shared" si="2"/>
        <v>65.721960461568287</v>
      </c>
      <c r="U4" s="71">
        <f t="shared" si="2"/>
        <v>64.911834714659008</v>
      </c>
      <c r="V4" s="71">
        <f t="shared" si="2"/>
        <v>53.075176974738774</v>
      </c>
      <c r="W4" s="71">
        <f t="shared" si="2"/>
        <v>51.637732417273774</v>
      </c>
      <c r="X4" s="71">
        <f t="shared" ref="X4:Y4" si="3">SUM(X5:X9)</f>
        <v>56.49240246746556</v>
      </c>
      <c r="Y4" s="71">
        <f t="shared" si="3"/>
        <v>47.916558736199349</v>
      </c>
      <c r="DA4" s="186" t="s">
        <v>971</v>
      </c>
    </row>
    <row r="5" spans="1:105" ht="11.45" customHeight="1" x14ac:dyDescent="0.25">
      <c r="A5" s="72" t="s">
        <v>144</v>
      </c>
      <c r="B5" s="73">
        <v>19.510348344540596</v>
      </c>
      <c r="C5" s="73">
        <v>18.623179384168402</v>
      </c>
      <c r="D5" s="73">
        <v>19.486853002946269</v>
      </c>
      <c r="E5" s="73">
        <v>15.945585528121264</v>
      </c>
      <c r="F5" s="73">
        <v>17.720270003189892</v>
      </c>
      <c r="G5" s="73">
        <v>16.022609731358614</v>
      </c>
      <c r="H5" s="73">
        <v>12.715338409717567</v>
      </c>
      <c r="I5" s="73">
        <v>11.398975805393286</v>
      </c>
      <c r="J5" s="73">
        <v>11.210221567416198</v>
      </c>
      <c r="K5" s="73">
        <v>12.359119975982024</v>
      </c>
      <c r="L5" s="73">
        <v>14.015286605436975</v>
      </c>
      <c r="M5" s="73">
        <v>15.904567220123871</v>
      </c>
      <c r="N5" s="73">
        <v>16.091408888760803</v>
      </c>
      <c r="O5" s="73">
        <v>10.163088035456056</v>
      </c>
      <c r="P5" s="73">
        <v>3.9824707715192931</v>
      </c>
      <c r="Q5" s="73">
        <v>26.107873572069476</v>
      </c>
      <c r="R5" s="73">
        <v>49.070741045738764</v>
      </c>
      <c r="S5" s="73">
        <v>53.596472842275254</v>
      </c>
      <c r="T5" s="73">
        <v>61.277955260054391</v>
      </c>
      <c r="U5" s="73">
        <v>58.891710165101358</v>
      </c>
      <c r="V5" s="73">
        <v>52.369462669269573</v>
      </c>
      <c r="W5" s="73">
        <v>51.637732417273774</v>
      </c>
      <c r="X5" s="73">
        <v>55.329672506583655</v>
      </c>
      <c r="Y5" s="73">
        <v>38.469320731032127</v>
      </c>
      <c r="DA5" s="187" t="s">
        <v>972</v>
      </c>
    </row>
    <row r="6" spans="1:105" ht="11.45" customHeight="1" x14ac:dyDescent="0.25">
      <c r="A6" s="72" t="s">
        <v>145</v>
      </c>
      <c r="B6" s="73">
        <v>31.830314965604593</v>
      </c>
      <c r="C6" s="73">
        <v>36.944088560702539</v>
      </c>
      <c r="D6" s="73">
        <v>41.272306196470097</v>
      </c>
      <c r="E6" s="73">
        <v>44.686927620867245</v>
      </c>
      <c r="F6" s="73">
        <v>45.15968629106905</v>
      </c>
      <c r="G6" s="73">
        <v>64.137980413825375</v>
      </c>
      <c r="H6" s="73">
        <v>53.132289967482883</v>
      </c>
      <c r="I6" s="73">
        <v>38.35824625301985</v>
      </c>
      <c r="J6" s="73">
        <v>24.574507316179105</v>
      </c>
      <c r="K6" s="73">
        <v>33.854510659541617</v>
      </c>
      <c r="L6" s="73">
        <v>37.819887345969235</v>
      </c>
      <c r="M6" s="73">
        <v>39.527703584780326</v>
      </c>
      <c r="N6" s="73">
        <v>32.771095706135362</v>
      </c>
      <c r="O6" s="73">
        <v>22.366381402756382</v>
      </c>
      <c r="P6" s="73">
        <v>0</v>
      </c>
      <c r="Q6" s="73">
        <v>0</v>
      </c>
      <c r="R6" s="73">
        <v>3.1400862207608471</v>
      </c>
      <c r="S6" s="73">
        <v>2.7578648900702389</v>
      </c>
      <c r="T6" s="73">
        <v>4.4440052015138996</v>
      </c>
      <c r="U6" s="73">
        <v>6.0201245495576448</v>
      </c>
      <c r="V6" s="73">
        <v>0.70571430546920233</v>
      </c>
      <c r="W6" s="73">
        <v>0</v>
      </c>
      <c r="X6" s="73">
        <v>1.1627299608819044</v>
      </c>
      <c r="Y6" s="73">
        <v>9.4472380051672236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39.891752854945082</v>
      </c>
      <c r="C10" s="71">
        <f t="shared" ref="C10:W10" si="4">SUM(C11:C15)</f>
        <v>43.237547188405053</v>
      </c>
      <c r="D10" s="71">
        <f t="shared" si="4"/>
        <v>47.661563070575028</v>
      </c>
      <c r="E10" s="71">
        <f t="shared" si="4"/>
        <v>47.520711270615962</v>
      </c>
      <c r="F10" s="71">
        <f t="shared" si="4"/>
        <v>49.226664513995573</v>
      </c>
      <c r="G10" s="71">
        <f t="shared" si="4"/>
        <v>61.414388358685336</v>
      </c>
      <c r="H10" s="71">
        <f t="shared" si="4"/>
        <v>70.752199653753948</v>
      </c>
      <c r="I10" s="71">
        <f t="shared" si="4"/>
        <v>67.98086908518107</v>
      </c>
      <c r="J10" s="71">
        <f t="shared" si="4"/>
        <v>53.248891064813982</v>
      </c>
      <c r="K10" s="71">
        <f t="shared" si="4"/>
        <v>79.322826802137612</v>
      </c>
      <c r="L10" s="71">
        <f t="shared" si="4"/>
        <v>87.317620545584347</v>
      </c>
      <c r="M10" s="71">
        <f t="shared" si="4"/>
        <v>84.828090330091541</v>
      </c>
      <c r="N10" s="71">
        <f t="shared" si="4"/>
        <v>71.354864278706586</v>
      </c>
      <c r="O10" s="71">
        <f t="shared" si="4"/>
        <v>53.985319899706738</v>
      </c>
      <c r="P10" s="71">
        <f t="shared" si="4"/>
        <v>7.0758267349295449</v>
      </c>
      <c r="Q10" s="71">
        <f t="shared" si="4"/>
        <v>49.646468646331201</v>
      </c>
      <c r="R10" s="71">
        <f t="shared" si="4"/>
        <v>109.97593111699132</v>
      </c>
      <c r="S10" s="71">
        <f t="shared" si="4"/>
        <v>118.36853415071553</v>
      </c>
      <c r="T10" s="71">
        <f t="shared" si="4"/>
        <v>135.50125535958392</v>
      </c>
      <c r="U10" s="71">
        <f t="shared" si="4"/>
        <v>129.5632297737331</v>
      </c>
      <c r="V10" s="71">
        <f t="shared" si="4"/>
        <v>128.85354185587173</v>
      </c>
      <c r="W10" s="71">
        <f t="shared" si="4"/>
        <v>136.76003198513379</v>
      </c>
      <c r="X10" s="71">
        <f t="shared" ref="X10:Y10" si="5">SUM(X11:X15)</f>
        <v>97.934596672689196</v>
      </c>
      <c r="Y10" s="71">
        <f t="shared" si="5"/>
        <v>75.814567661049139</v>
      </c>
      <c r="DA10" s="186" t="s">
        <v>977</v>
      </c>
    </row>
    <row r="11" spans="1:105" ht="11.45" customHeight="1" x14ac:dyDescent="0.25">
      <c r="A11" s="72" t="s">
        <v>144</v>
      </c>
      <c r="B11" s="73">
        <v>2.9688434009452136</v>
      </c>
      <c r="C11" s="73">
        <v>2.8342582770525766</v>
      </c>
      <c r="D11" s="73">
        <v>2.9923387425395416</v>
      </c>
      <c r="E11" s="73">
        <v>2.4465038957824348</v>
      </c>
      <c r="F11" s="73">
        <v>2.7154135737662588</v>
      </c>
      <c r="G11" s="73">
        <v>2.3694796925450841</v>
      </c>
      <c r="H11" s="73">
        <v>2.6114027768688435</v>
      </c>
      <c r="I11" s="73">
        <v>3.0029158541080041</v>
      </c>
      <c r="J11" s="73">
        <v>3.1916700920850927</v>
      </c>
      <c r="K11" s="73">
        <v>4.1002093447402448</v>
      </c>
      <c r="L11" s="73">
        <v>4.501480376506275</v>
      </c>
      <c r="M11" s="73">
        <v>4.6696374230403572</v>
      </c>
      <c r="N11" s="73">
        <v>4.482795754403428</v>
      </c>
      <c r="O11" s="73">
        <v>3.2101707779575355</v>
      </c>
      <c r="P11" s="73">
        <v>4.2471938888418412</v>
      </c>
      <c r="Q11" s="73">
        <v>14.839847838076695</v>
      </c>
      <c r="R11" s="73">
        <v>19.516705213934493</v>
      </c>
      <c r="S11" s="73">
        <v>21.235513400201093</v>
      </c>
      <c r="T11" s="73">
        <v>23.995733475973118</v>
      </c>
      <c r="U11" s="73">
        <v>21.877679344786856</v>
      </c>
      <c r="V11" s="73">
        <v>24.189694682407129</v>
      </c>
      <c r="W11" s="73">
        <v>55.360547892270525</v>
      </c>
      <c r="X11" s="73">
        <v>21.126991293932242</v>
      </c>
      <c r="Y11" s="73">
        <v>10.930249346353946</v>
      </c>
      <c r="DA11" s="187" t="s">
        <v>978</v>
      </c>
    </row>
    <row r="12" spans="1:105" ht="11.45" customHeight="1" x14ac:dyDescent="0.25">
      <c r="A12" s="72" t="s">
        <v>145</v>
      </c>
      <c r="B12" s="73">
        <v>36.922909453999871</v>
      </c>
      <c r="C12" s="73">
        <v>40.403288911352476</v>
      </c>
      <c r="D12" s="73">
        <v>44.669224328035483</v>
      </c>
      <c r="E12" s="73">
        <v>45.074207374833527</v>
      </c>
      <c r="F12" s="73">
        <v>46.511250940229317</v>
      </c>
      <c r="G12" s="73">
        <v>59.044908666140252</v>
      </c>
      <c r="H12" s="73">
        <v>68.140796876885105</v>
      </c>
      <c r="I12" s="73">
        <v>64.977953231073059</v>
      </c>
      <c r="J12" s="73">
        <v>50.057220972728892</v>
      </c>
      <c r="K12" s="73">
        <v>75.222617457397362</v>
      </c>
      <c r="L12" s="73">
        <v>82.816140169078068</v>
      </c>
      <c r="M12" s="73">
        <v>80.158452907051185</v>
      </c>
      <c r="N12" s="73">
        <v>66.87206852430316</v>
      </c>
      <c r="O12" s="73">
        <v>50.775149121749202</v>
      </c>
      <c r="P12" s="73">
        <v>2.8286328460877037</v>
      </c>
      <c r="Q12" s="73">
        <v>34.806620808254507</v>
      </c>
      <c r="R12" s="73">
        <v>90.459225903056833</v>
      </c>
      <c r="S12" s="73">
        <v>97.133020750514447</v>
      </c>
      <c r="T12" s="73">
        <v>111.50552188361081</v>
      </c>
      <c r="U12" s="73">
        <v>107.68555042894623</v>
      </c>
      <c r="V12" s="73">
        <v>104.6638471734646</v>
      </c>
      <c r="W12" s="73">
        <v>81.399484092863275</v>
      </c>
      <c r="X12" s="73">
        <v>76.807605378756946</v>
      </c>
      <c r="Y12" s="73">
        <v>64.884318314695193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2332.3477083517791</v>
      </c>
      <c r="C19" s="62">
        <f>IF(C3=0,0,C3/MBunk_act!C7*100)</f>
        <v>2455.2574771937079</v>
      </c>
      <c r="D19" s="62">
        <f>IF(D3=0,0,D3/MBunk_act!D7*100)</f>
        <v>2503.2559720333402</v>
      </c>
      <c r="E19" s="62">
        <f>IF(E3=0,0,E3/MBunk_act!E7*100)</f>
        <v>2500.5398466336078</v>
      </c>
      <c r="F19" s="62">
        <f>IF(F3=0,0,F3/MBunk_act!F7*100)</f>
        <v>2524.8300639335366</v>
      </c>
      <c r="G19" s="62">
        <f>IF(G3=0,0,G3/MBunk_act!G7*100)</f>
        <v>2760.2228865232737</v>
      </c>
      <c r="H19" s="62">
        <f>IF(H3=0,0,H3/MBunk_act!H7*100)</f>
        <v>3314.014368937952</v>
      </c>
      <c r="I19" s="62">
        <f>IF(I3=0,0,I3/MBunk_act!I7*100)</f>
        <v>3022.9824113590957</v>
      </c>
      <c r="J19" s="62">
        <f>IF(J3=0,0,J3/MBunk_act!J7*100)</f>
        <v>1973.9357065508873</v>
      </c>
      <c r="K19" s="62">
        <f>IF(K3=0,0,K3/MBunk_act!K7*100)</f>
        <v>2829.6435602866163</v>
      </c>
      <c r="L19" s="62">
        <f>IF(L3=0,0,L3/MBunk_act!L7*100)</f>
        <v>2998.4417573164192</v>
      </c>
      <c r="M19" s="62">
        <f>IF(M3=0,0,M3/MBunk_act!M7*100)</f>
        <v>2515.4797940740168</v>
      </c>
      <c r="N19" s="62">
        <f>IF(N3=0,0,N3/MBunk_act!N7*100)</f>
        <v>2342.2706469695504</v>
      </c>
      <c r="O19" s="62">
        <f>IF(O3=0,0,O3/MBunk_act!O7*100)</f>
        <v>1765.5776786259007</v>
      </c>
      <c r="P19" s="62">
        <f>IF(P3=0,0,P3/MBunk_act!P7*100)</f>
        <v>202.18997605798731</v>
      </c>
      <c r="Q19" s="62">
        <f>IF(Q3=0,0,Q3/MBunk_act!Q7*100)</f>
        <v>1399.2786272007254</v>
      </c>
      <c r="R19" s="62">
        <f>IF(R3=0,0,R3/MBunk_act!R7*100)</f>
        <v>2987.1860690632461</v>
      </c>
      <c r="S19" s="62">
        <f>IF(S3=0,0,S3/MBunk_act!S7*100)</f>
        <v>2972.7721867136529</v>
      </c>
      <c r="T19" s="62">
        <f>IF(T3=0,0,T3/MBunk_act!T7*100)</f>
        <v>3287.6408738814362</v>
      </c>
      <c r="U19" s="62">
        <f>IF(U3=0,0,U3/MBunk_act!U7*100)</f>
        <v>3190.980893638306</v>
      </c>
      <c r="V19" s="62">
        <f>IF(V3=0,0,V3/MBunk_act!V7*100)</f>
        <v>3021.6671792881307</v>
      </c>
      <c r="W19" s="62">
        <f>IF(W3=0,0,W3/MBunk_act!W7*100)</f>
        <v>3268.9302091152458</v>
      </c>
      <c r="X19" s="62">
        <f>IF(X3=0,0,X3/MBunk_act!X7*100)</f>
        <v>3434.5021974559045</v>
      </c>
      <c r="Y19" s="62">
        <f>IF(Y3=0,0,Y3/MBunk_act!Y7*100)</f>
        <v>3075.9712079297951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1987.6846951086395</v>
      </c>
      <c r="C20" s="63">
        <f>IF(C4=0,0,C4/MBunk_act!C8*100)</f>
        <v>2095.6072278007618</v>
      </c>
      <c r="D20" s="63">
        <f>IF(D4=0,0,D4/MBunk_act!D8*100)</f>
        <v>2140.4651876990024</v>
      </c>
      <c r="E20" s="63">
        <f>IF(E4=0,0,E4/MBunk_act!E8*100)</f>
        <v>2143.0414003376313</v>
      </c>
      <c r="F20" s="63">
        <f>IF(F4=0,0,F4/MBunk_act!F8*100)</f>
        <v>2160.7066661440927</v>
      </c>
      <c r="G20" s="63">
        <f>IF(G4=0,0,G4/MBunk_act!G8*100)</f>
        <v>2344.5480488474332</v>
      </c>
      <c r="H20" s="63">
        <f>IF(H4=0,0,H4/MBunk_act!H8*100)</f>
        <v>3039.1138288213656</v>
      </c>
      <c r="I20" s="63">
        <f>IF(I4=0,0,I4/MBunk_act!I8*100)</f>
        <v>2923.5900386981971</v>
      </c>
      <c r="J20" s="63">
        <f>IF(J4=0,0,J4/MBunk_act!J8*100)</f>
        <v>1920.9688006533706</v>
      </c>
      <c r="K20" s="63">
        <f>IF(K4=0,0,K4/MBunk_act!K8*100)</f>
        <v>2878.8588775714361</v>
      </c>
      <c r="L20" s="63">
        <f>IF(L4=0,0,L4/MBunk_act!L8*100)</f>
        <v>2845.1850174440906</v>
      </c>
      <c r="M20" s="63">
        <f>IF(M4=0,0,M4/MBunk_act!M8*100)</f>
        <v>2244.9013225423814</v>
      </c>
      <c r="N20" s="63">
        <f>IF(N4=0,0,N4/MBunk_act!N8*100)</f>
        <v>2069.0826716177639</v>
      </c>
      <c r="O20" s="63">
        <f>IF(O4=0,0,O4/MBunk_act!O8*100)</f>
        <v>1571.6594897174898</v>
      </c>
      <c r="P20" s="63">
        <f>IF(P4=0,0,P4/MBunk_act!P8*100)</f>
        <v>180.16707917363178</v>
      </c>
      <c r="Q20" s="63">
        <f>IF(Q4=0,0,Q4/MBunk_act!Q8*100)</f>
        <v>1269.9710121471589</v>
      </c>
      <c r="R20" s="63">
        <f>IF(R4=0,0,R4/MBunk_act!R8*100)</f>
        <v>2752.1577695962078</v>
      </c>
      <c r="S20" s="63">
        <f>IF(S4=0,0,S4/MBunk_act!S8*100)</f>
        <v>2717.6987773633596</v>
      </c>
      <c r="T20" s="63">
        <f>IF(T4=0,0,T4/MBunk_act!T8*100)</f>
        <v>2972.0611280999856</v>
      </c>
      <c r="U20" s="63">
        <f>IF(U4=0,0,U4/MBunk_act!U8*100)</f>
        <v>2877.6458638239023</v>
      </c>
      <c r="V20" s="63">
        <f>IF(V4=0,0,V4/MBunk_act!V8*100)</f>
        <v>2534.5900293280233</v>
      </c>
      <c r="W20" s="63">
        <f>IF(W4=0,0,W4/MBunk_act!W8*100)</f>
        <v>2714.3424614697187</v>
      </c>
      <c r="X20" s="63">
        <f>IF(X4=0,0,X4/MBunk_act!X8*100)</f>
        <v>3136.9680301336894</v>
      </c>
      <c r="Y20" s="63">
        <f>IF(Y4=0,0,Y4/MBunk_act!Y8*100)</f>
        <v>2814.8988124056746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3002.3709977944254</v>
      </c>
      <c r="C21" s="64">
        <f>IF(C10=0,0,C10/MBunk_act!C9*100)</f>
        <v>3150.0310859849219</v>
      </c>
      <c r="D21" s="64">
        <f>IF(D10=0,0,D10/MBunk_act!D9*100)</f>
        <v>3193.207726597424</v>
      </c>
      <c r="E21" s="64">
        <f>IF(E10=0,0,E10/MBunk_act!E9*100)</f>
        <v>3176.6858858600126</v>
      </c>
      <c r="F21" s="64">
        <f>IF(F10=0,0,F10/MBunk_act!F9*100)</f>
        <v>3217.4122301318407</v>
      </c>
      <c r="G21" s="64">
        <f>IF(G10=0,0,G10/MBunk_act!G9*100)</f>
        <v>3591.2893835999171</v>
      </c>
      <c r="H21" s="64">
        <f>IF(H10=0,0,H10/MBunk_act!H9*100)</f>
        <v>3618.645939865035</v>
      </c>
      <c r="I21" s="64">
        <f>IF(I10=0,0,I10/MBunk_act!I9*100)</f>
        <v>3100.1233596726929</v>
      </c>
      <c r="J21" s="64">
        <f>IF(J10=0,0,J10/MBunk_act!J9*100)</f>
        <v>2011.2029572594035</v>
      </c>
      <c r="K21" s="64">
        <f>IF(K10=0,0,K10/MBunk_act!K9*100)</f>
        <v>2801.7387257042105</v>
      </c>
      <c r="L21" s="64">
        <f>IF(L10=0,0,L10/MBunk_act!L9*100)</f>
        <v>3097.4887927795307</v>
      </c>
      <c r="M21" s="64">
        <f>IF(M10=0,0,M10/MBunk_act!M9*100)</f>
        <v>2730.5440040175777</v>
      </c>
      <c r="N21" s="64">
        <f>IF(N10=0,0,N10/MBunk_act!N9*100)</f>
        <v>2575.0954282525404</v>
      </c>
      <c r="O21" s="64">
        <f>IF(O10=0,0,O10/MBunk_act!O9*100)</f>
        <v>1907.3853870698069</v>
      </c>
      <c r="P21" s="64">
        <f>IF(P10=0,0,P10/MBunk_act!P9*100)</f>
        <v>217.12789271635748</v>
      </c>
      <c r="Q21" s="64">
        <f>IF(Q10=0,0,Q10/MBunk_act!Q9*100)</f>
        <v>1478.4407355127428</v>
      </c>
      <c r="R21" s="64">
        <f>IF(R10=0,0,R10/MBunk_act!R9*100)</f>
        <v>3113.4113248508652</v>
      </c>
      <c r="S21" s="64">
        <f>IF(S10=0,0,S10/MBunk_act!S9*100)</f>
        <v>3111.8217606424346</v>
      </c>
      <c r="T21" s="64">
        <f>IF(T10=0,0,T10/MBunk_act!T9*100)</f>
        <v>3466.1523854730917</v>
      </c>
      <c r="U21" s="64">
        <f>IF(U10=0,0,U10/MBunk_act!U9*100)</f>
        <v>3375.1006767156446</v>
      </c>
      <c r="V21" s="64">
        <f>IF(V10=0,0,V10/MBunk_act!V9*100)</f>
        <v>3281.4113438690028</v>
      </c>
      <c r="W21" s="64">
        <f>IF(W10=0,0,W10/MBunk_act!W9*100)</f>
        <v>3542.1966272249138</v>
      </c>
      <c r="X21" s="64">
        <f>IF(X10=0,0,X10/MBunk_act!X9*100)</f>
        <v>3633.2856364773656</v>
      </c>
      <c r="Y21" s="64">
        <f>IF(Y10=0,0,Y10/MBunk_act!Y9*100)</f>
        <v>3267.5059265413211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2.465955452444105</v>
      </c>
      <c r="C23" s="62">
        <f>IF(C3=0,0,C3/MBunk_act!C3*1000)</f>
        <v>2.5042329153963223</v>
      </c>
      <c r="D23" s="62">
        <f>IF(D3=0,0,D3/MBunk_act!D3*1000)</f>
        <v>2.4951915417844428</v>
      </c>
      <c r="E23" s="62">
        <f>IF(E3=0,0,E3/MBunk_act!E3*1000)</f>
        <v>2.491318984086909</v>
      </c>
      <c r="F23" s="62">
        <f>IF(F3=0,0,F3/MBunk_act!F3*1000)</f>
        <v>2.4931957323946179</v>
      </c>
      <c r="G23" s="62">
        <f>IF(G3=0,0,G3/MBunk_act!G3*1000)</f>
        <v>2.6755336768817441</v>
      </c>
      <c r="H23" s="62">
        <f>IF(H3=0,0,H3/MBunk_act!H3*1000)</f>
        <v>2.2990948516897558</v>
      </c>
      <c r="I23" s="62">
        <f>IF(I3=0,0,I3/MBunk_act!I3*1000)</f>
        <v>1.7309733284020523</v>
      </c>
      <c r="J23" s="62">
        <f>IF(J3=0,0,J3/MBunk_act!J3*1000)</f>
        <v>0.98828084449702269</v>
      </c>
      <c r="K23" s="62">
        <f>IF(K3=0,0,K3/MBunk_act!K3*1000)</f>
        <v>1.3611134485634355</v>
      </c>
      <c r="L23" s="62">
        <f>IF(L3=0,0,L3/MBunk_act!L3*1000)</f>
        <v>1.4050888714245438</v>
      </c>
      <c r="M23" s="62">
        <f>IF(M3=0,0,M3/MBunk_act!M3*1000)</f>
        <v>1.2020369828288959</v>
      </c>
      <c r="N23" s="62">
        <f>IF(N3=0,0,N3/MBunk_act!N3*1000)</f>
        <v>1.1430962999569718</v>
      </c>
      <c r="O23" s="62">
        <f>IF(O3=0,0,O3/MBunk_act!O3*1000)</f>
        <v>0.80978106754354084</v>
      </c>
      <c r="P23" s="62">
        <f>IF(P3=0,0,P3/MBunk_act!P3*1000)</f>
        <v>8.793705253772266E-2</v>
      </c>
      <c r="Q23" s="62">
        <f>IF(Q3=0,0,Q3/MBunk_act!Q3*1000)</f>
        <v>0.5450497466019204</v>
      </c>
      <c r="R23" s="62">
        <f>IF(R3=0,0,R3/MBunk_act!R3*1000)</f>
        <v>1.0860191880302152</v>
      </c>
      <c r="S23" s="62">
        <f>IF(S3=0,0,S3/MBunk_act!S3*1000)</f>
        <v>1.062184548038325</v>
      </c>
      <c r="T23" s="62">
        <f>IF(T3=0,0,T3/MBunk_act!T3*1000)</f>
        <v>1.2018184802270961</v>
      </c>
      <c r="U23" s="62">
        <f>IF(U3=0,0,U3/MBunk_act!U3*1000)</f>
        <v>1.1954402123052883</v>
      </c>
      <c r="V23" s="62">
        <f>IF(V3=0,0,V3/MBunk_act!V3*1000)</f>
        <v>1.0961339465519677</v>
      </c>
      <c r="W23" s="62">
        <f>IF(W3=0,0,W3/MBunk_act!W3*1000)</f>
        <v>1.13051859589741</v>
      </c>
      <c r="X23" s="62">
        <f>IF(X3=0,0,X3/MBunk_act!X3*1000)</f>
        <v>1.4415257340879972</v>
      </c>
      <c r="Y23" s="62">
        <f>IF(Y3=0,0,Y3/MBunk_act!Y3*1000)</f>
        <v>1.3193031822691108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3.4910960868882759</v>
      </c>
      <c r="C24" s="63">
        <f>IF(C4=0,0,C4/MBunk_act!C4*1000)</f>
        <v>3.5897228625856634</v>
      </c>
      <c r="D24" s="63">
        <f>IF(D4=0,0,D4/MBunk_act!D4*1000)</f>
        <v>3.5653064191534418</v>
      </c>
      <c r="E24" s="63">
        <f>IF(E4=0,0,E4/MBunk_act!E4*1000)</f>
        <v>3.5542853739302429</v>
      </c>
      <c r="F24" s="63">
        <f>IF(F4=0,0,F4/MBunk_act!F4*1000)</f>
        <v>3.5597633776887365</v>
      </c>
      <c r="G24" s="63">
        <f>IF(G4=0,0,G4/MBunk_act!G4*1000)</f>
        <v>4.0291371644874658</v>
      </c>
      <c r="H24" s="63">
        <f>IF(H4=0,0,H4/MBunk_act!H4*1000)</f>
        <v>4.6540481760518357</v>
      </c>
      <c r="I24" s="63">
        <f>IF(I4=0,0,I4/MBunk_act!I4*1000)</f>
        <v>4.0587292658910643</v>
      </c>
      <c r="J24" s="63">
        <f>IF(J4=0,0,J4/MBunk_act!J4*1000)</f>
        <v>2.5849569929396305</v>
      </c>
      <c r="K24" s="63">
        <f>IF(K4=0,0,K4/MBunk_act!K4*1000)</f>
        <v>3.8596451301226651</v>
      </c>
      <c r="L24" s="63">
        <f>IF(L4=0,0,L4/MBunk_act!L4*1000)</f>
        <v>3.9925774940210554</v>
      </c>
      <c r="M24" s="63">
        <f>IF(M4=0,0,M4/MBunk_act!M4*1000)</f>
        <v>3.3410709276685751</v>
      </c>
      <c r="N24" s="63">
        <f>IF(N4=0,0,N4/MBunk_act!N4*1000)</f>
        <v>3.0675812545803507</v>
      </c>
      <c r="O24" s="63">
        <f>IF(O4=0,0,O4/MBunk_act!O4*1000)</f>
        <v>2.2863422459184948</v>
      </c>
      <c r="P24" s="63">
        <f>IF(P4=0,0,P4/MBunk_act!P4*1000)</f>
        <v>0.26203662079954387</v>
      </c>
      <c r="Q24" s="63">
        <f>IF(Q4=0,0,Q4/MBunk_act!Q4*1000)</f>
        <v>1.7035575214688403</v>
      </c>
      <c r="R24" s="63">
        <f>IF(R4=0,0,R4/MBunk_act!R4*1000)</f>
        <v>3.5458796144066778</v>
      </c>
      <c r="S24" s="63">
        <f>IF(S4=0,0,S4/MBunk_act!S4*1000)</f>
        <v>3.4547035227766552</v>
      </c>
      <c r="T24" s="63">
        <f>IF(T4=0,0,T4/MBunk_act!T4*1000)</f>
        <v>3.8877524014245703</v>
      </c>
      <c r="U24" s="63">
        <f>IF(U4=0,0,U4/MBunk_act!U4*1000)</f>
        <v>3.8755562993903805</v>
      </c>
      <c r="V24" s="63">
        <f>IF(V4=0,0,V4/MBunk_act!V4*1000)</f>
        <v>3.1259739783739144</v>
      </c>
      <c r="W24" s="63">
        <f>IF(W4=0,0,W4/MBunk_act!W4*1000)</f>
        <v>3.5030523825995226</v>
      </c>
      <c r="X24" s="63">
        <f>IF(X4=0,0,X4/MBunk_act!X4*1000)</f>
        <v>3.9719921391844277</v>
      </c>
      <c r="Y24" s="63">
        <f>IF(Y4=0,0,Y4/MBunk_act!Y4*1000)</f>
        <v>3.4242469256859933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1.7896214994356079</v>
      </c>
      <c r="C25" s="64">
        <f>IF(C10=0,0,C10/MBunk_act!C5*1000)</f>
        <v>1.80339947143298</v>
      </c>
      <c r="D25" s="64">
        <f>IF(D10=0,0,D10/MBunk_act!D5*1000)</f>
        <v>1.8046727800594522</v>
      </c>
      <c r="E25" s="64">
        <f>IF(E10=0,0,E10/MBunk_act!E5*1000)</f>
        <v>1.8032341347526544</v>
      </c>
      <c r="F25" s="64">
        <f>IF(F10=0,0,F10/MBunk_act!F5*1000)</f>
        <v>1.8031119891620433</v>
      </c>
      <c r="G25" s="64">
        <f>IF(G10=0,0,G10/MBunk_act!G5*1000)</f>
        <v>1.8599461730415916</v>
      </c>
      <c r="H25" s="64">
        <f>IF(H10=0,0,H10/MBunk_act!H5*1000)</f>
        <v>1.5630267112474909</v>
      </c>
      <c r="I25" s="64">
        <f>IF(I10=0,0,I10/MBunk_act!I5*1000)</f>
        <v>1.2191883144109739</v>
      </c>
      <c r="J25" s="64">
        <f>IF(J10=0,0,J10/MBunk_act!J5*1000)</f>
        <v>0.69838330555497774</v>
      </c>
      <c r="K25" s="64">
        <f>IF(K10=0,0,K10/MBunk_act!K5*1000)</f>
        <v>0.98835820396165308</v>
      </c>
      <c r="L25" s="64">
        <f>IF(L10=0,0,L10/MBunk_act!L5*1000)</f>
        <v>1.0147077938479052</v>
      </c>
      <c r="M25" s="64">
        <f>IF(M10=0,0,M10/MBunk_act!M5*1000)</f>
        <v>0.84748093481686926</v>
      </c>
      <c r="N25" s="64">
        <f>IF(N10=0,0,N10/MBunk_act!N5*1000)</f>
        <v>0.79958821164305571</v>
      </c>
      <c r="O25" s="64">
        <f>IF(O10=0,0,O10/MBunk_act!O5*1000)</f>
        <v>0.58293485637716214</v>
      </c>
      <c r="P25" s="64">
        <f>IF(P10=0,0,P10/MBunk_act!P5*1000)</f>
        <v>6.4003192440922993E-2</v>
      </c>
      <c r="Q25" s="64">
        <f>IF(Q10=0,0,Q10/MBunk_act!Q5*1000)</f>
        <v>0.40147360295286522</v>
      </c>
      <c r="R25" s="64">
        <f>IF(R10=0,0,R10/MBunk_act!R5*1000)</f>
        <v>0.81695889469874583</v>
      </c>
      <c r="S25" s="64">
        <f>IF(S10=0,0,S10/MBunk_act!S5*1000)</f>
        <v>0.79880754698874701</v>
      </c>
      <c r="T25" s="64">
        <f>IF(T10=0,0,T10/MBunk_act!T5*1000)</f>
        <v>0.90017660163820523</v>
      </c>
      <c r="U25" s="64">
        <f>IF(U10=0,0,U10/MBunk_act!U5*1000)</f>
        <v>0.8878348707496847</v>
      </c>
      <c r="V25" s="64">
        <f>IF(V10=0,0,V10/MBunk_act!V5*1000)</f>
        <v>0.86482191145662735</v>
      </c>
      <c r="W25" s="64">
        <f>IF(W10=0,0,W10/MBunk_act!W5*1000)</f>
        <v>0.90029130673071767</v>
      </c>
      <c r="X25" s="64">
        <f>IF(X10=0,0,X10/MBunk_act!X5*1000)</f>
        <v>1.0541394971559748</v>
      </c>
      <c r="Y25" s="64">
        <f>IF(Y10=0,0,Y10/MBunk_act!Y5*1000)</f>
        <v>0.95015371420597294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0.56274584701605757</v>
      </c>
      <c r="C28" s="77">
        <f t="shared" si="6"/>
        <v>0.56239433138878181</v>
      </c>
      <c r="D28" s="77">
        <f t="shared" si="6"/>
        <v>0.56040171959113805</v>
      </c>
      <c r="E28" s="77">
        <f t="shared" si="6"/>
        <v>0.56061678673352533</v>
      </c>
      <c r="F28" s="77">
        <f t="shared" si="6"/>
        <v>0.56089422587991378</v>
      </c>
      <c r="G28" s="77">
        <f t="shared" si="6"/>
        <v>0.56620591429574652</v>
      </c>
      <c r="H28" s="77">
        <f t="shared" si="6"/>
        <v>0.48204766672384797</v>
      </c>
      <c r="I28" s="77">
        <f t="shared" si="6"/>
        <v>0.42260938303924833</v>
      </c>
      <c r="J28" s="77">
        <f t="shared" si="6"/>
        <v>0.40192377783056377</v>
      </c>
      <c r="K28" s="77">
        <f t="shared" si="6"/>
        <v>0.36812916007664431</v>
      </c>
      <c r="L28" s="77">
        <f t="shared" si="6"/>
        <v>0.37250544725874868</v>
      </c>
      <c r="M28" s="77">
        <f t="shared" si="6"/>
        <v>0.39520981092835311</v>
      </c>
      <c r="N28" s="77">
        <f t="shared" si="6"/>
        <v>0.40645128946608783</v>
      </c>
      <c r="O28" s="77">
        <f t="shared" si="6"/>
        <v>0.37599894407827988</v>
      </c>
      <c r="P28" s="77">
        <f t="shared" si="6"/>
        <v>0.36013416795820929</v>
      </c>
      <c r="Q28" s="77">
        <f t="shared" si="6"/>
        <v>0.3446386412649477</v>
      </c>
      <c r="R28" s="77">
        <f t="shared" si="6"/>
        <v>0.3219179406930805</v>
      </c>
      <c r="S28" s="77">
        <f t="shared" si="6"/>
        <v>0.32253555086973656</v>
      </c>
      <c r="T28" s="77">
        <f t="shared" si="6"/>
        <v>0.32661221615691777</v>
      </c>
      <c r="U28" s="77">
        <f t="shared" si="6"/>
        <v>0.33377973101807862</v>
      </c>
      <c r="V28" s="77">
        <f t="shared" si="6"/>
        <v>0.29173611135114852</v>
      </c>
      <c r="W28" s="77">
        <f t="shared" si="6"/>
        <v>0.27408888094329154</v>
      </c>
      <c r="X28" s="77">
        <f t="shared" ref="X28:Y28" si="8">IF(X4=0,0,X4/X$3)</f>
        <v>0.36581946668661369</v>
      </c>
      <c r="Y28" s="77">
        <f t="shared" si="8"/>
        <v>0.38726357814249163</v>
      </c>
      <c r="DA28" s="184"/>
    </row>
    <row r="29" spans="1:105" ht="11.45" customHeight="1" x14ac:dyDescent="0.25">
      <c r="A29" s="57" t="s">
        <v>167</v>
      </c>
      <c r="B29" s="78">
        <f>IF(B10=0,0,B10/B$3)</f>
        <v>0.43725415298394243</v>
      </c>
      <c r="C29" s="78">
        <f t="shared" ref="C29:W29" si="9">IF(C10=0,0,C10/C$3)</f>
        <v>0.43760566861121819</v>
      </c>
      <c r="D29" s="78">
        <f t="shared" si="9"/>
        <v>0.43959828040886206</v>
      </c>
      <c r="E29" s="78">
        <f t="shared" si="9"/>
        <v>0.43938321326647461</v>
      </c>
      <c r="F29" s="78">
        <f t="shared" si="9"/>
        <v>0.43910577412008628</v>
      </c>
      <c r="G29" s="78">
        <f t="shared" si="9"/>
        <v>0.43379408570425354</v>
      </c>
      <c r="H29" s="78">
        <f t="shared" si="9"/>
        <v>0.51795233327615209</v>
      </c>
      <c r="I29" s="78">
        <f t="shared" si="9"/>
        <v>0.57739061696075167</v>
      </c>
      <c r="J29" s="78">
        <f t="shared" si="9"/>
        <v>0.59807622216943612</v>
      </c>
      <c r="K29" s="78">
        <f t="shared" si="9"/>
        <v>0.63187083992335569</v>
      </c>
      <c r="L29" s="78">
        <f t="shared" si="9"/>
        <v>0.62749455274125132</v>
      </c>
      <c r="M29" s="78">
        <f t="shared" si="9"/>
        <v>0.60479018907164683</v>
      </c>
      <c r="N29" s="78">
        <f t="shared" si="9"/>
        <v>0.59354871053391223</v>
      </c>
      <c r="O29" s="78">
        <f t="shared" si="9"/>
        <v>0.62400105592172006</v>
      </c>
      <c r="P29" s="78">
        <f t="shared" si="9"/>
        <v>0.63986583204179071</v>
      </c>
      <c r="Q29" s="78">
        <f t="shared" si="9"/>
        <v>0.65536135873505219</v>
      </c>
      <c r="R29" s="78">
        <f t="shared" si="9"/>
        <v>0.67808205930691945</v>
      </c>
      <c r="S29" s="78">
        <f t="shared" si="9"/>
        <v>0.67746444913026338</v>
      </c>
      <c r="T29" s="78">
        <f t="shared" si="9"/>
        <v>0.67338778384308218</v>
      </c>
      <c r="U29" s="78">
        <f t="shared" si="9"/>
        <v>0.66622026898192144</v>
      </c>
      <c r="V29" s="78">
        <f t="shared" si="9"/>
        <v>0.70826388864885148</v>
      </c>
      <c r="W29" s="78">
        <f t="shared" si="9"/>
        <v>0.72591111905670846</v>
      </c>
      <c r="X29" s="78">
        <f t="shared" ref="X29:Y29" si="10">IF(X10=0,0,X10/X$3)</f>
        <v>0.63418053331338642</v>
      </c>
      <c r="Y29" s="78">
        <f t="shared" si="10"/>
        <v>0.61273642185750832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292.54041108000001</v>
      </c>
      <c r="C3" s="62">
        <f t="shared" ref="C3:W3" si="1">SUM(C4:C5)</f>
        <v>317.22057000000001</v>
      </c>
      <c r="D3" s="62">
        <f t="shared" si="1"/>
        <v>348.24054708000006</v>
      </c>
      <c r="E3" s="62">
        <f t="shared" si="1"/>
        <v>347.93839008000003</v>
      </c>
      <c r="F3" s="62">
        <f t="shared" si="1"/>
        <v>360.46734804000005</v>
      </c>
      <c r="G3" s="62">
        <f t="shared" si="1"/>
        <v>456.24436488000003</v>
      </c>
      <c r="H3" s="62">
        <f t="shared" si="1"/>
        <v>440.54549784000005</v>
      </c>
      <c r="I3" s="62">
        <f t="shared" si="1"/>
        <v>379.55025144000024</v>
      </c>
      <c r="J3" s="62">
        <f t="shared" si="1"/>
        <v>286.53102432000003</v>
      </c>
      <c r="K3" s="62">
        <f t="shared" si="1"/>
        <v>404.53724160000019</v>
      </c>
      <c r="L3" s="62">
        <f t="shared" si="1"/>
        <v>448.37785008000009</v>
      </c>
      <c r="M3" s="62">
        <f t="shared" si="1"/>
        <v>451.68274728000017</v>
      </c>
      <c r="N3" s="62">
        <f t="shared" si="1"/>
        <v>386.73176328</v>
      </c>
      <c r="O3" s="62">
        <f t="shared" si="1"/>
        <v>278.51066460000004</v>
      </c>
      <c r="P3" s="62">
        <f t="shared" si="1"/>
        <v>34.698286440000004</v>
      </c>
      <c r="Q3" s="62">
        <f t="shared" si="1"/>
        <v>239.83073136000002</v>
      </c>
      <c r="R3" s="62">
        <f t="shared" si="1"/>
        <v>516.1033411200001</v>
      </c>
      <c r="S3" s="62">
        <f t="shared" si="1"/>
        <v>555.86488680000002</v>
      </c>
      <c r="T3" s="62">
        <f t="shared" si="1"/>
        <v>640.29878459999998</v>
      </c>
      <c r="U3" s="62">
        <f t="shared" si="1"/>
        <v>619.05317256000001</v>
      </c>
      <c r="V3" s="62">
        <f t="shared" si="1"/>
        <v>578.97739980000006</v>
      </c>
      <c r="W3" s="62">
        <f t="shared" si="1"/>
        <v>595.73527704000014</v>
      </c>
      <c r="X3" s="62">
        <f t="shared" ref="X3:Y3" si="2">SUM(X4:X5)</f>
        <v>489.86994995999999</v>
      </c>
      <c r="Y3" s="62">
        <f t="shared" si="2"/>
        <v>394.13574756000003</v>
      </c>
      <c r="DA3" s="172" t="s">
        <v>987</v>
      </c>
    </row>
    <row r="4" spans="1:105" ht="11.45" customHeight="1" x14ac:dyDescent="0.25">
      <c r="A4" s="55" t="s">
        <v>166</v>
      </c>
      <c r="B4" s="63">
        <v>163.67805542689848</v>
      </c>
      <c r="C4" s="63">
        <v>177.49729456634134</v>
      </c>
      <c r="D4" s="63">
        <v>194.20272119471389</v>
      </c>
      <c r="E4" s="63">
        <v>194.28159122724972</v>
      </c>
      <c r="F4" s="63">
        <v>201.31941951108107</v>
      </c>
      <c r="G4" s="63">
        <v>257.55330746660144</v>
      </c>
      <c r="H4" s="63">
        <v>211.62791117682352</v>
      </c>
      <c r="I4" s="63">
        <v>159.66748522839637</v>
      </c>
      <c r="J4" s="63">
        <v>114.41453770000459</v>
      </c>
      <c r="K4" s="63">
        <v>148.05152465247369</v>
      </c>
      <c r="L4" s="63">
        <v>166.03978021133634</v>
      </c>
      <c r="M4" s="63">
        <v>177.43544052099497</v>
      </c>
      <c r="N4" s="63">
        <v>156.11975164587304</v>
      </c>
      <c r="O4" s="63">
        <v>104.01027520581871</v>
      </c>
      <c r="P4" s="63">
        <v>12.35529219201196</v>
      </c>
      <c r="Q4" s="63">
        <v>80.997557798011499</v>
      </c>
      <c r="R4" s="63">
        <v>162.41370020378071</v>
      </c>
      <c r="S4" s="63">
        <v>175.21579559019565</v>
      </c>
      <c r="T4" s="63">
        <v>204.5110490210902</v>
      </c>
      <c r="U4" s="63">
        <v>202.21546325756563</v>
      </c>
      <c r="V4" s="63">
        <v>164.75893145334328</v>
      </c>
      <c r="W4" s="63">
        <v>160.2018718407196</v>
      </c>
      <c r="X4" s="63">
        <v>175.42373935963883</v>
      </c>
      <c r="Y4" s="63">
        <v>149.96250462513024</v>
      </c>
      <c r="DA4" s="181" t="s">
        <v>988</v>
      </c>
    </row>
    <row r="5" spans="1:105" ht="11.45" customHeight="1" x14ac:dyDescent="0.25">
      <c r="A5" s="57" t="s">
        <v>167</v>
      </c>
      <c r="B5" s="64">
        <v>128.86235565310153</v>
      </c>
      <c r="C5" s="64">
        <v>139.72327543365867</v>
      </c>
      <c r="D5" s="64">
        <v>154.03782588528617</v>
      </c>
      <c r="E5" s="64">
        <v>153.65679885275031</v>
      </c>
      <c r="F5" s="64">
        <v>159.14792852891895</v>
      </c>
      <c r="G5" s="64">
        <v>198.69105741339857</v>
      </c>
      <c r="H5" s="64">
        <v>228.91758666317654</v>
      </c>
      <c r="I5" s="64">
        <v>219.88276621160384</v>
      </c>
      <c r="J5" s="64">
        <v>172.11648661999544</v>
      </c>
      <c r="K5" s="64">
        <v>256.4857169475265</v>
      </c>
      <c r="L5" s="64">
        <v>282.33806986866375</v>
      </c>
      <c r="M5" s="64">
        <v>274.2473067590052</v>
      </c>
      <c r="N5" s="64">
        <v>230.61201163412699</v>
      </c>
      <c r="O5" s="64">
        <v>174.50038939418133</v>
      </c>
      <c r="P5" s="64">
        <v>22.342994247988045</v>
      </c>
      <c r="Q5" s="64">
        <v>158.8331735619885</v>
      </c>
      <c r="R5" s="64">
        <v>353.68964091621933</v>
      </c>
      <c r="S5" s="64">
        <v>380.6490912098044</v>
      </c>
      <c r="T5" s="64">
        <v>435.7877355789098</v>
      </c>
      <c r="U5" s="64">
        <v>416.8377093024344</v>
      </c>
      <c r="V5" s="64">
        <v>414.21846834665678</v>
      </c>
      <c r="W5" s="64">
        <v>435.53340519928054</v>
      </c>
      <c r="X5" s="64">
        <v>314.44621060036116</v>
      </c>
      <c r="Y5" s="64">
        <v>244.17324293486979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3.2065402120955717</v>
      </c>
      <c r="C9" s="79">
        <f>IF(C3=0,0,C3/MBunk_ene!C3)</f>
        <v>3.2105780429031423</v>
      </c>
      <c r="D9" s="79">
        <f>IF(D3=0,0,D3/MBunk_ene!D3)</f>
        <v>3.2119371628313331</v>
      </c>
      <c r="E9" s="79">
        <f>IF(E3=0,0,E3/MBunk_ene!E3)</f>
        <v>3.2170875343493757</v>
      </c>
      <c r="F9" s="79">
        <f>IF(F3=0,0,F3/MBunk_ene!F3)</f>
        <v>3.2153974978564199</v>
      </c>
      <c r="G9" s="79">
        <f>IF(G3=0,0,G3/MBunk_ene!G3)</f>
        <v>3.222634180852308</v>
      </c>
      <c r="H9" s="79">
        <f>IF(H3=0,0,H3/MBunk_ene!H3)</f>
        <v>3.2250809110840875</v>
      </c>
      <c r="I9" s="79">
        <f>IF(I3=0,0,I3/MBunk_ene!I3)</f>
        <v>3.2236827330341042</v>
      </c>
      <c r="J9" s="79">
        <f>IF(J3=0,0,J3/MBunk_ene!J3)</f>
        <v>3.2182340163865177</v>
      </c>
      <c r="K9" s="79">
        <f>IF(K3=0,0,K3/MBunk_ene!K3)</f>
        <v>3.222468196546687</v>
      </c>
      <c r="L9" s="79">
        <f>IF(L3=0,0,L3/MBunk_ene!L3)</f>
        <v>3.2221979565756911</v>
      </c>
      <c r="M9" s="79">
        <f>IF(M3=0,0,M3/MBunk_ene!M3)</f>
        <v>3.2203164431130413</v>
      </c>
      <c r="N9" s="79">
        <f>IF(N3=0,0,N3/MBunk_ene!N3)</f>
        <v>3.2169375099750521</v>
      </c>
      <c r="O9" s="79">
        <f>IF(O3=0,0,O3/MBunk_ene!O3)</f>
        <v>3.2192260621725817</v>
      </c>
      <c r="P9" s="79">
        <f>IF(P3=0,0,P3/MBunk_ene!P3)</f>
        <v>3.1377602582825337</v>
      </c>
      <c r="Q9" s="79">
        <f>IF(Q3=0,0,Q3/MBunk_ene!Q3)</f>
        <v>3.1659007831995312</v>
      </c>
      <c r="R9" s="79">
        <f>IF(R3=0,0,R3/MBunk_ene!R3)</f>
        <v>3.1821546115353798</v>
      </c>
      <c r="S9" s="79">
        <f>IF(S3=0,0,S3/MBunk_ene!S3)</f>
        <v>3.1814088264988611</v>
      </c>
      <c r="T9" s="79">
        <f>IF(T3=0,0,T3/MBunk_ene!T3)</f>
        <v>3.1820323613608252</v>
      </c>
      <c r="U9" s="79">
        <f>IF(U3=0,0,U3/MBunk_ene!U3)</f>
        <v>3.1832007573235708</v>
      </c>
      <c r="V9" s="79">
        <f>IF(V3=0,0,V3/MBunk_ene!V3)</f>
        <v>3.1824409225850268</v>
      </c>
      <c r="W9" s="79">
        <f>IF(W3=0,0,W3/MBunk_ene!W3)</f>
        <v>3.1621143644122092</v>
      </c>
      <c r="X9" s="79">
        <f>IF(X3=0,0,X3/MBunk_ene!X3)</f>
        <v>3.1721781339246524</v>
      </c>
      <c r="Y9" s="79">
        <f>IF(Y3=0,0,Y3/MBunk_ene!Y3)</f>
        <v>3.1854211550179885</v>
      </c>
      <c r="DA9" s="172"/>
    </row>
    <row r="10" spans="1:105" ht="11.45" customHeight="1" x14ac:dyDescent="0.25">
      <c r="A10" s="55" t="s">
        <v>166</v>
      </c>
      <c r="B10" s="80">
        <f>IF(B4=0,0,B4/MBunk_ene!B4)</f>
        <v>3.188078315976</v>
      </c>
      <c r="C10" s="80">
        <f>IF(C4=0,0,C4/MBunk_ene!C4)</f>
        <v>3.1942778749251963</v>
      </c>
      <c r="D10" s="80">
        <f>IF(D4=0,0,D4/MBunk_ene!D4)</f>
        <v>3.1962707146312739</v>
      </c>
      <c r="E10" s="80">
        <f>IF(E4=0,0,E4/MBunk_ene!E4)</f>
        <v>3.2042477069992734</v>
      </c>
      <c r="F10" s="80">
        <f>IF(F4=0,0,F4/MBunk_ene!F4)</f>
        <v>3.2016469376818235</v>
      </c>
      <c r="G10" s="80">
        <f>IF(G4=0,0,G4/MBunk_ene!G4)</f>
        <v>3.2129667084552409</v>
      </c>
      <c r="H10" s="80">
        <f>IF(H4=0,0,H4/MBunk_ene!H4)</f>
        <v>3.2139033157661765</v>
      </c>
      <c r="I10" s="80">
        <f>IF(I4=0,0,I4/MBunk_ene!I4)</f>
        <v>3.2089308571317079</v>
      </c>
      <c r="J10" s="80">
        <f>IF(J4=0,0,J4/MBunk_ene!J4)</f>
        <v>3.1973006718085077</v>
      </c>
      <c r="K10" s="80">
        <f>IF(K4=0,0,K4/MBunk_ene!K4)</f>
        <v>3.2036332704548203</v>
      </c>
      <c r="L10" s="80">
        <f>IF(L4=0,0,L4/MBunk_ene!L4)</f>
        <v>3.2032260635797849</v>
      </c>
      <c r="M10" s="80">
        <f>IF(M4=0,0,M4/MBunk_ene!M4)</f>
        <v>3.2009412197000762</v>
      </c>
      <c r="N10" s="80">
        <f>IF(N4=0,0,N4/MBunk_ene!N4)</f>
        <v>3.1950828746952977</v>
      </c>
      <c r="O10" s="80">
        <f>IF(O4=0,0,O4/MBunk_ene!O4)</f>
        <v>3.197416896189448</v>
      </c>
      <c r="P10" s="80">
        <f>IF(P4=0,0,P4/MBunk_ene!P4)</f>
        <v>3.1024188000000001</v>
      </c>
      <c r="Q10" s="80">
        <f>IF(Q4=0,0,Q4/MBunk_ene!Q4)</f>
        <v>3.1024188000000001</v>
      </c>
      <c r="R10" s="80">
        <f>IF(R4=0,0,R4/MBunk_ene!R4)</f>
        <v>3.110728343275865</v>
      </c>
      <c r="S10" s="80">
        <f>IF(S4=0,0,S4/MBunk_ene!S4)</f>
        <v>3.109180280360702</v>
      </c>
      <c r="T10" s="80">
        <f>IF(T4=0,0,T4/MBunk_ene!T4)</f>
        <v>3.1117612375650374</v>
      </c>
      <c r="U10" s="80">
        <f>IF(U4=0,0,U4/MBunk_ene!U4)</f>
        <v>3.1152325942791355</v>
      </c>
      <c r="V10" s="80">
        <f>IF(V4=0,0,V4/MBunk_ene!V4)</f>
        <v>3.104255903503828</v>
      </c>
      <c r="W10" s="80">
        <f>IF(W4=0,0,W4/MBunk_ene!W4)</f>
        <v>3.1024188000000001</v>
      </c>
      <c r="X10" s="80">
        <f>IF(X4=0,0,X4/MBunk_ene!X4)</f>
        <v>3.1052625078330984</v>
      </c>
      <c r="Y10" s="80">
        <f>IF(Y4=0,0,Y4/MBunk_ene!Y4)</f>
        <v>3.1296593198759619</v>
      </c>
      <c r="DA10" s="181"/>
    </row>
    <row r="11" spans="1:105" ht="11.45" customHeight="1" x14ac:dyDescent="0.25">
      <c r="A11" s="57" t="s">
        <v>167</v>
      </c>
      <c r="B11" s="81">
        <f>IF(B5=0,0,B5/MBunk_ene!B10)</f>
        <v>3.2303006619356269</v>
      </c>
      <c r="C11" s="81">
        <f>IF(C5=0,0,C5/MBunk_ene!C10)</f>
        <v>3.2315264051594501</v>
      </c>
      <c r="D11" s="81">
        <f>IF(D5=0,0,D5/MBunk_ene!D10)</f>
        <v>3.2319088162760026</v>
      </c>
      <c r="E11" s="81">
        <f>IF(E5=0,0,E5/MBunk_ene!E10)</f>
        <v>3.2334700963906386</v>
      </c>
      <c r="F11" s="81">
        <f>IF(F5=0,0,F5/MBunk_ene!F10)</f>
        <v>3.2329618530963398</v>
      </c>
      <c r="G11" s="81">
        <f>IF(G5=0,0,G5/MBunk_ene!G10)</f>
        <v>3.2352525641541998</v>
      </c>
      <c r="H11" s="81">
        <f>IF(H5=0,0,H5/MBunk_ene!H10)</f>
        <v>3.2354836709452144</v>
      </c>
      <c r="I11" s="81">
        <f>IF(I5=0,0,I5/MBunk_ene!I10)</f>
        <v>3.2344800702104495</v>
      </c>
      <c r="J11" s="81">
        <f>IF(J5=0,0,J5/MBunk_ene!J10)</f>
        <v>3.232301803440321</v>
      </c>
      <c r="K11" s="81">
        <f>IF(K5=0,0,K5/MBunk_ene!K10)</f>
        <v>3.2334414605180792</v>
      </c>
      <c r="L11" s="81">
        <f>IF(L5=0,0,L5/MBunk_ene!L10)</f>
        <v>3.233460418464662</v>
      </c>
      <c r="M11" s="81">
        <f>IF(M5=0,0,M5/MBunk_ene!M10)</f>
        <v>3.2329774923828496</v>
      </c>
      <c r="N11" s="81">
        <f>IF(N5=0,0,N5/MBunk_ene!N10)</f>
        <v>3.2319031640698563</v>
      </c>
      <c r="O11" s="81">
        <f>IF(O5=0,0,O5/MBunk_ene!O10)</f>
        <v>3.2323674235582192</v>
      </c>
      <c r="P11" s="81">
        <f>IF(P5=0,0,P5/MBunk_ene!P10)</f>
        <v>3.1576514073885837</v>
      </c>
      <c r="Q11" s="81">
        <f>IF(Q5=0,0,Q5/MBunk_ene!Q10)</f>
        <v>3.1992844182629701</v>
      </c>
      <c r="R11" s="81">
        <f>IF(R5=0,0,R5/MBunk_ene!R10)</f>
        <v>3.2160640726011929</v>
      </c>
      <c r="S11" s="81">
        <f>IF(S5=0,0,S5/MBunk_ene!S10)</f>
        <v>3.2157962750905908</v>
      </c>
      <c r="T11" s="81">
        <f>IF(T5=0,0,T5/MBunk_ene!T10)</f>
        <v>3.2161158538527652</v>
      </c>
      <c r="U11" s="81">
        <f>IF(U5=0,0,U5/MBunk_ene!U10)</f>
        <v>3.217253151456569</v>
      </c>
      <c r="V11" s="81">
        <f>IF(V5=0,0,V5/MBunk_ene!V10)</f>
        <v>3.2146455765257747</v>
      </c>
      <c r="W11" s="81">
        <f>IF(W5=0,0,W5/MBunk_ene!W10)</f>
        <v>3.1846541630424907</v>
      </c>
      <c r="X11" s="81">
        <f>IF(X5=0,0,X5/MBunk_ene!X10)</f>
        <v>3.210777613668879</v>
      </c>
      <c r="Y11" s="81">
        <f>IF(Y5=0,0,Y5/MBunk_ene!Y10)</f>
        <v>3.2206639234100312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7478.7667154189339</v>
      </c>
      <c r="C13" s="62">
        <f>IF(C3=0,0,C3/MBunk_act!C7*100)</f>
        <v>7882.7957459518811</v>
      </c>
      <c r="D13" s="62">
        <f>IF(D3=0,0,D3/MBunk_act!D7*100)</f>
        <v>8040.3008846533567</v>
      </c>
      <c r="E13" s="62">
        <f>IF(E3=0,0,E3/MBunk_act!E7*100)</f>
        <v>8044.4555697488795</v>
      </c>
      <c r="F13" s="62">
        <f>IF(F3=0,0,F3/MBunk_act!F7*100)</f>
        <v>8118.3322700845583</v>
      </c>
      <c r="G13" s="62">
        <f>IF(G3=0,0,G3/MBunk_act!G7*100)</f>
        <v>8895.1886208807227</v>
      </c>
      <c r="H13" s="62">
        <f>IF(H3=0,0,H3/MBunk_act!H7*100)</f>
        <v>10687.964480320166</v>
      </c>
      <c r="I13" s="62">
        <f>IF(I3=0,0,I3/MBunk_act!I7*100)</f>
        <v>9745.1362017641168</v>
      </c>
      <c r="J13" s="62">
        <f>IF(J3=0,0,J3/MBunk_act!J7*100)</f>
        <v>6352.5870369820213</v>
      </c>
      <c r="K13" s="62">
        <f>IF(K3=0,0,K3/MBunk_act!K7*100)</f>
        <v>9118.4363805867597</v>
      </c>
      <c r="L13" s="62">
        <f>IF(L3=0,0,L3/MBunk_act!L7*100)</f>
        <v>9661.5729033361895</v>
      </c>
      <c r="M13" s="62">
        <f>IF(M3=0,0,M3/MBunk_act!M7*100)</f>
        <v>8100.6409431751636</v>
      </c>
      <c r="N13" s="62">
        <f>IF(N3=0,0,N3/MBunk_act!N7*100)</f>
        <v>7534.9383027498816</v>
      </c>
      <c r="O13" s="62">
        <f>IF(O3=0,0,O3/MBunk_act!O7*100)</f>
        <v>5683.7936778226667</v>
      </c>
      <c r="P13" s="62">
        <f>IF(P3=0,0,P3/MBunk_act!P7*100)</f>
        <v>634.42367149784957</v>
      </c>
      <c r="Q13" s="62">
        <f>IF(Q3=0,0,Q3/MBunk_act!Q7*100)</f>
        <v>4429.9773017691405</v>
      </c>
      <c r="R13" s="62">
        <f>IF(R3=0,0,R3/MBunk_act!R7*100)</f>
        <v>9505.6879251838527</v>
      </c>
      <c r="S13" s="62">
        <f>IF(S3=0,0,S3/MBunk_act!S7*100)</f>
        <v>9457.6036739811352</v>
      </c>
      <c r="T13" s="62">
        <f>IF(T3=0,0,T3/MBunk_act!T7*100)</f>
        <v>10461.379653223314</v>
      </c>
      <c r="U13" s="62">
        <f>IF(U3=0,0,U3/MBunk_act!U7*100)</f>
        <v>10157.532797234499</v>
      </c>
      <c r="V13" s="62">
        <f>IF(V3=0,0,V3/MBunk_act!V7*100)</f>
        <v>9616.2772857986147</v>
      </c>
      <c r="W13" s="62">
        <f>IF(W3=0,0,W3/MBunk_act!W7*100)</f>
        <v>10336.731170504325</v>
      </c>
      <c r="X13" s="62">
        <f>IF(X3=0,0,X3/MBunk_act!X7*100)</f>
        <v>10894.852771685788</v>
      </c>
      <c r="Y13" s="62">
        <f>IF(Y3=0,0,Y3/MBunk_act!Y7*100)</f>
        <v>9798.2637579658058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6336.8944754732202</v>
      </c>
      <c r="C14" s="63">
        <f>IF(C4=0,0,C4/MBunk_act!C8*100)</f>
        <v>6693.9518022972989</v>
      </c>
      <c r="D14" s="63">
        <f>IF(D4=0,0,D4/MBunk_act!D8*100)</f>
        <v>6841.5061951300531</v>
      </c>
      <c r="E14" s="63">
        <f>IF(E4=0,0,E4/MBunk_act!E8*100)</f>
        <v>6866.8354930363666</v>
      </c>
      <c r="F14" s="63">
        <f>IF(F4=0,0,F4/MBunk_act!F8*100)</f>
        <v>6917.8198808889374</v>
      </c>
      <c r="G14" s="63">
        <f>IF(G4=0,0,G4/MBunk_act!G8*100)</f>
        <v>7532.9548273204946</v>
      </c>
      <c r="H14" s="63">
        <f>IF(H4=0,0,H4/MBunk_act!H8*100)</f>
        <v>9767.4180114398278</v>
      </c>
      <c r="I14" s="63">
        <f>IF(I4=0,0,I4/MBunk_act!I8*100)</f>
        <v>9381.598288781528</v>
      </c>
      <c r="J14" s="63">
        <f>IF(J4=0,0,J4/MBunk_act!J8*100)</f>
        <v>6141.9148368522056</v>
      </c>
      <c r="K14" s="63">
        <f>IF(K4=0,0,K4/MBunk_act!K8*100)</f>
        <v>9222.8080811320724</v>
      </c>
      <c r="L14" s="63">
        <f>IF(L4=0,0,L4/MBunk_act!L8*100)</f>
        <v>9113.7708035836167</v>
      </c>
      <c r="M14" s="63">
        <f>IF(M4=0,0,M4/MBunk_act!M8*100)</f>
        <v>7185.7971774851239</v>
      </c>
      <c r="N14" s="63">
        <f>IF(N4=0,0,N4/MBunk_act!N8*100)</f>
        <v>6610.8906104147127</v>
      </c>
      <c r="O14" s="63">
        <f>IF(O4=0,0,O4/MBunk_act!O8*100)</f>
        <v>5025.2506074791881</v>
      </c>
      <c r="P14" s="63">
        <f>IF(P4=0,0,P4/MBunk_act!P8*100)</f>
        <v>558.95373356936375</v>
      </c>
      <c r="Q14" s="63">
        <f>IF(Q4=0,0,Q4/MBunk_act!Q8*100)</f>
        <v>3939.9819435403751</v>
      </c>
      <c r="R14" s="63">
        <f>IF(R4=0,0,R4/MBunk_act!R8*100)</f>
        <v>8561.2151790498119</v>
      </c>
      <c r="S14" s="63">
        <f>IF(S4=0,0,S4/MBunk_act!S8*100)</f>
        <v>8449.8154465385469</v>
      </c>
      <c r="T14" s="63">
        <f>IF(T4=0,0,T4/MBunk_act!T8*100)</f>
        <v>9248.3446140953511</v>
      </c>
      <c r="U14" s="63">
        <f>IF(U4=0,0,U4/MBunk_act!U8*100)</f>
        <v>8964.5361897767598</v>
      </c>
      <c r="V14" s="63">
        <f>IF(V4=0,0,V4/MBunk_act!V8*100)</f>
        <v>7868.0160615034565</v>
      </c>
      <c r="W14" s="63">
        <f>IF(W4=0,0,W4/MBunk_act!W8*100)</f>
        <v>8421.0270821019312</v>
      </c>
      <c r="X14" s="63">
        <f>IF(X4=0,0,X4/MBunk_act!X8*100)</f>
        <v>9741.1092122451955</v>
      </c>
      <c r="Y14" s="63">
        <f>IF(Y4=0,0,Y4/MBunk_act!Y8*100)</f>
        <v>8809.6743027531975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9698.5610215516608</v>
      </c>
      <c r="C15" s="64">
        <f>IF(C5=0,0,C5/MBunk_act!C9*100)</f>
        <v>10179.408631433373</v>
      </c>
      <c r="D15" s="64">
        <f>IF(D5=0,0,D5/MBunk_act!D9*100)</f>
        <v>10320.156203790866</v>
      </c>
      <c r="E15" s="64">
        <f>IF(E5=0,0,E5/MBunk_act!E9*100)</f>
        <v>10271.718817554558</v>
      </c>
      <c r="F15" s="64">
        <f>IF(F5=0,0,F5/MBunk_act!F9*100)</f>
        <v>10401.771005701861</v>
      </c>
      <c r="G15" s="64">
        <f>IF(G5=0,0,G5/MBunk_act!G9*100)</f>
        <v>11618.728186911387</v>
      </c>
      <c r="H15" s="64">
        <f>IF(H5=0,0,H5/MBunk_act!H9*100)</f>
        <v>11708.06984936552</v>
      </c>
      <c r="I15" s="64">
        <f>IF(I5=0,0,I5/MBunk_act!I9*100)</f>
        <v>10027.287222055185</v>
      </c>
      <c r="J15" s="64">
        <f>IF(J5=0,0,J5/MBunk_act!J9*100)</f>
        <v>6500.8149458340768</v>
      </c>
      <c r="K15" s="64">
        <f>IF(K5=0,0,K5/MBunk_act!K9*100)</f>
        <v>9059.2581572310864</v>
      </c>
      <c r="L15" s="64">
        <f>IF(L5=0,0,L5/MBunk_act!L9*100)</f>
        <v>10015.607408090504</v>
      </c>
      <c r="M15" s="64">
        <f>IF(M5=0,0,M5/MBunk_act!M9*100)</f>
        <v>8827.7873069497728</v>
      </c>
      <c r="N15" s="64">
        <f>IF(N5=0,0,N5/MBunk_act!N9*100)</f>
        <v>8322.4590623512067</v>
      </c>
      <c r="O15" s="64">
        <f>IF(O5=0,0,O5/MBunk_act!O9*100)</f>
        <v>6165.3703893354286</v>
      </c>
      <c r="P15" s="64">
        <f>IF(P5=0,0,P5/MBunk_act!P9*100)</f>
        <v>685.6141960191236</v>
      </c>
      <c r="Q15" s="64">
        <f>IF(Q5=0,0,Q5/MBunk_act!Q9*100)</f>
        <v>4729.9524084511622</v>
      </c>
      <c r="R15" s="64">
        <f>IF(R5=0,0,R5/MBunk_act!R9*100)</f>
        <v>10012.930305082547</v>
      </c>
      <c r="S15" s="64">
        <f>IF(S5=0,0,S5/MBunk_act!S9*100)</f>
        <v>10006.984826619786</v>
      </c>
      <c r="T15" s="64">
        <f>IF(T5=0,0,T5/MBunk_act!T9*100)</f>
        <v>11147.547638789591</v>
      </c>
      <c r="U15" s="64">
        <f>IF(U5=0,0,U5/MBunk_act!U9*100)</f>
        <v>10858.553288646606</v>
      </c>
      <c r="V15" s="64">
        <f>IF(V5=0,0,V5/MBunk_act!V9*100)</f>
        <v>10548.574461329988</v>
      </c>
      <c r="W15" s="64">
        <f>IF(W5=0,0,W5/MBunk_act!W9*100)</f>
        <v>11280.671235206893</v>
      </c>
      <c r="X15" s="64">
        <f>IF(X5=0,0,X5/MBunk_act!X9*100)</f>
        <v>11665.67218566621</v>
      </c>
      <c r="Y15" s="64">
        <f>IF(Y5=0,0,Y5/MBunk_act!Y9*100)</f>
        <v>10523.538457140099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7.9071853194983523</v>
      </c>
      <c r="C17" s="62">
        <f>IF(C3=0,0,C3/MBunk_act!C3*1000)</f>
        <v>8.0400352124867549</v>
      </c>
      <c r="D17" s="62">
        <f>IF(D3=0,0,D3/MBunk_act!D3*1000)</f>
        <v>8.0143984414398624</v>
      </c>
      <c r="E17" s="62">
        <f>IF(E3=0,0,E3/MBunk_act!E3*1000)</f>
        <v>8.014791247793946</v>
      </c>
      <c r="F17" s="62">
        <f>IF(F3=0,0,F3/MBunk_act!F3*1000)</f>
        <v>8.0166153196079577</v>
      </c>
      <c r="G17" s="62">
        <f>IF(G3=0,0,G3/MBunk_act!G3*1000)</f>
        <v>8.6222662791405629</v>
      </c>
      <c r="H17" s="62">
        <f>IF(H3=0,0,H3/MBunk_act!H3*1000)</f>
        <v>7.4147669189563326</v>
      </c>
      <c r="I17" s="62">
        <f>IF(I3=0,0,I3/MBunk_act!I3*1000)</f>
        <v>5.5801088301122679</v>
      </c>
      <c r="J17" s="62">
        <f>IF(J3=0,0,J3/MBunk_act!J3*1000)</f>
        <v>3.180519031503513</v>
      </c>
      <c r="K17" s="62">
        <f>IF(K3=0,0,K3/MBunk_act!K3*1000)</f>
        <v>4.3861447998876555</v>
      </c>
      <c r="L17" s="62">
        <f>IF(L3=0,0,L3/MBunk_act!L3*1000)</f>
        <v>4.527474490311409</v>
      </c>
      <c r="M17" s="62">
        <f>IF(M3=0,0,M3/MBunk_act!M3*1000)</f>
        <v>3.8709394610338825</v>
      </c>
      <c r="N17" s="62">
        <f>IF(N3=0,0,N3/MBunk_act!N3*1000)</f>
        <v>3.6772693648452757</v>
      </c>
      <c r="O17" s="62">
        <f>IF(O3=0,0,O3/MBunk_act!O3*1000)</f>
        <v>2.6068683172901026</v>
      </c>
      <c r="P17" s="62">
        <f>IF(P3=0,0,P3/MBunk_act!P3*1000)</f>
        <v>0.27592538868336941</v>
      </c>
      <c r="Q17" s="62">
        <f>IF(Q3=0,0,Q3/MBunk_act!Q3*1000)</f>
        <v>1.7255734196497259</v>
      </c>
      <c r="R17" s="62">
        <f>IF(R3=0,0,R3/MBunk_act!R3*1000)</f>
        <v>3.4558809674062578</v>
      </c>
      <c r="S17" s="62">
        <f>IF(S3=0,0,S3/MBunk_act!S3*1000)</f>
        <v>3.3792432964998298</v>
      </c>
      <c r="T17" s="62">
        <f>IF(T3=0,0,T3/MBunk_act!T3*1000)</f>
        <v>3.824225296564105</v>
      </c>
      <c r="U17" s="62">
        <f>IF(U3=0,0,U3/MBunk_act!U3*1000)</f>
        <v>3.8053261891452439</v>
      </c>
      <c r="V17" s="62">
        <f>IF(V3=0,0,V3/MBunk_act!V3*1000)</f>
        <v>3.4883815281416104</v>
      </c>
      <c r="W17" s="62">
        <f>IF(W3=0,0,W3/MBunk_act!W3*1000)</f>
        <v>3.574829091322322</v>
      </c>
      <c r="X17" s="62">
        <f>IF(X3=0,0,X3/MBunk_act!X3*1000)</f>
        <v>4.5727764131636279</v>
      </c>
      <c r="Y17" s="62">
        <f>IF(Y3=0,0,Y3/MBunk_act!Y3*1000)</f>
        <v>4.2025362666825794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11.12988773359718</v>
      </c>
      <c r="C18" s="63">
        <f>IF(C4=0,0,C4/MBunk_act!C4*1000)</f>
        <v>11.466572317070526</v>
      </c>
      <c r="D18" s="63">
        <f>IF(D4=0,0,D4/MBunk_act!D4*1000)</f>
        <v>11.395684496227039</v>
      </c>
      <c r="E18" s="63">
        <f>IF(E4=0,0,E4/MBunk_act!E4*1000)</f>
        <v>11.388810759437035</v>
      </c>
      <c r="F18" s="63">
        <f>IF(F4=0,0,F4/MBunk_act!F4*1000)</f>
        <v>11.397105517049049</v>
      </c>
      <c r="G18" s="63">
        <f>IF(G4=0,0,G4/MBunk_act!G4*1000)</f>
        <v>12.945483573297976</v>
      </c>
      <c r="H18" s="63">
        <f>IF(H4=0,0,H4/MBunk_act!H4*1000)</f>
        <v>14.957660864748522</v>
      </c>
      <c r="I18" s="63">
        <f>IF(I4=0,0,I4/MBunk_act!I4*1000)</f>
        <v>13.02418158206136</v>
      </c>
      <c r="J18" s="63">
        <f>IF(J4=0,0,J4/MBunk_act!J4*1000)</f>
        <v>8.264884730121981</v>
      </c>
      <c r="K18" s="63">
        <f>IF(K4=0,0,K4/MBunk_act!K4*1000)</f>
        <v>12.364887551009893</v>
      </c>
      <c r="L18" s="63">
        <f>IF(L4=0,0,L4/MBunk_act!L4*1000)</f>
        <v>12.789128289710311</v>
      </c>
      <c r="M18" s="63">
        <f>IF(M4=0,0,M4/MBunk_act!M4*1000)</f>
        <v>10.694571650315915</v>
      </c>
      <c r="N18" s="63">
        <f>IF(N4=0,0,N4/MBunk_act!N4*1000)</f>
        <v>9.8011763332459925</v>
      </c>
      <c r="O18" s="63">
        <f>IF(O4=0,0,O4/MBunk_act!O4*1000)</f>
        <v>7.3103893275715244</v>
      </c>
      <c r="P18" s="63">
        <f>IF(P4=0,0,P4/MBunk_act!P4*1000)</f>
        <v>0.81294733865697599</v>
      </c>
      <c r="Q18" s="63">
        <f>IF(Q4=0,0,Q4/MBunk_act!Q4*1000)</f>
        <v>5.2851488814863341</v>
      </c>
      <c r="R18" s="63">
        <f>IF(R4=0,0,R4/MBunk_act!R4*1000)</f>
        <v>11.03026821837895</v>
      </c>
      <c r="S18" s="63">
        <f>IF(S4=0,0,S4/MBunk_act!S4*1000)</f>
        <v>10.741296067509827</v>
      </c>
      <c r="T18" s="63">
        <f>IF(T4=0,0,T4/MBunk_act!T4*1000)</f>
        <v>12.097757224003367</v>
      </c>
      <c r="U18" s="63">
        <f>IF(U4=0,0,U4/MBunk_act!U4*1000)</f>
        <v>12.073259304824742</v>
      </c>
      <c r="V18" s="63">
        <f>IF(V4=0,0,V4/MBunk_act!V4*1000)</f>
        <v>9.7038231765665728</v>
      </c>
      <c r="W18" s="63">
        <f>IF(W4=0,0,W4/MBunk_act!W4*1000)</f>
        <v>10.867935569161551</v>
      </c>
      <c r="X18" s="63">
        <f>IF(X4=0,0,X4/MBunk_act!X4*1000)</f>
        <v>12.334078271217187</v>
      </c>
      <c r="Y18" s="63">
        <f>IF(Y4=0,0,Y4/MBunk_act!Y4*1000)</f>
        <v>10.716726304529779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5.7810155142410729</v>
      </c>
      <c r="C19" s="64">
        <f>IF(C5=0,0,C5/MBunk_act!C5*1000)</f>
        <v>5.8277330109862699</v>
      </c>
      <c r="D19" s="64">
        <f>IF(D5=0,0,D5/MBunk_act!D5*1000)</f>
        <v>5.8325378683674671</v>
      </c>
      <c r="E19" s="64">
        <f>IF(E5=0,0,E5/MBunk_act!E5*1000)</f>
        <v>5.8307036515135557</v>
      </c>
      <c r="F19" s="64">
        <f>IF(F5=0,0,F5/MBunk_act!F5*1000)</f>
        <v>5.8293922778215466</v>
      </c>
      <c r="G19" s="64">
        <f>IF(G5=0,0,G5/MBunk_act!G5*1000)</f>
        <v>6.0173956255215995</v>
      </c>
      <c r="H19" s="64">
        <f>IF(H5=0,0,H5/MBunk_act!H5*1000)</f>
        <v>5.0571474014924567</v>
      </c>
      <c r="I19" s="64">
        <f>IF(I5=0,0,I5/MBunk_act!I5*1000)</f>
        <v>3.9434403047957662</v>
      </c>
      <c r="J19" s="64">
        <f>IF(J5=0,0,J5/MBunk_act!J5*1000)</f>
        <v>2.2573856180379672</v>
      </c>
      <c r="K19" s="64">
        <f>IF(K5=0,0,K5/MBunk_act!K5*1000)</f>
        <v>3.1957983945327935</v>
      </c>
      <c r="L19" s="64">
        <f>IF(L5=0,0,L5/MBunk_act!L5*1000)</f>
        <v>3.2810174877148017</v>
      </c>
      <c r="M19" s="64">
        <f>IF(M5=0,0,M5/MBunk_act!M5*1000)</f>
        <v>2.7398867874865154</v>
      </c>
      <c r="N19" s="64">
        <f>IF(N5=0,0,N5/MBunk_act!N5*1000)</f>
        <v>2.5841916711621495</v>
      </c>
      <c r="O19" s="64">
        <f>IF(O5=0,0,O5/MBunk_act!O5*1000)</f>
        <v>1.8842596398101279</v>
      </c>
      <c r="P19" s="64">
        <f>IF(P5=0,0,P5/MBunk_act!P5*1000)</f>
        <v>0.20209977068844287</v>
      </c>
      <c r="Q19" s="64">
        <f>IF(Q5=0,0,Q5/MBunk_act!Q5*1000)</f>
        <v>1.2844282422709961</v>
      </c>
      <c r="R19" s="64">
        <f>IF(R5=0,0,R5/MBunk_act!R5*1000)</f>
        <v>2.6273921500326174</v>
      </c>
      <c r="S19" s="64">
        <f>IF(S5=0,0,S5/MBunk_act!S5*1000)</f>
        <v>2.5688023341206652</v>
      </c>
      <c r="T19" s="64">
        <f>IF(T5=0,0,T5/MBunk_act!T5*1000)</f>
        <v>2.8950722397959363</v>
      </c>
      <c r="U19" s="64">
        <f>IF(U5=0,0,U5/MBunk_act!U5*1000)</f>
        <v>2.8563895358924589</v>
      </c>
      <c r="V19" s="64">
        <f>IF(V5=0,0,V5/MBunk_act!V5*1000)</f>
        <v>2.7800959321466121</v>
      </c>
      <c r="W19" s="64">
        <f>IF(W5=0,0,W5/MBunk_act!W5*1000)</f>
        <v>2.8671164579309445</v>
      </c>
      <c r="X19" s="64">
        <f>IF(X5=0,0,X5/MBunk_act!X5*1000)</f>
        <v>3.384607499152573</v>
      </c>
      <c r="Y19" s="64">
        <f>IF(Y5=0,0,Y5/MBunk_act!Y5*1000)</f>
        <v>3.060125789037222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0.5595057955331102</v>
      </c>
      <c r="C22" s="77">
        <f t="shared" si="3"/>
        <v>0.55953904428814727</v>
      </c>
      <c r="D22" s="77">
        <f t="shared" si="3"/>
        <v>0.55766832100140362</v>
      </c>
      <c r="E22" s="77">
        <f t="shared" si="3"/>
        <v>0.55837929003056941</v>
      </c>
      <c r="F22" s="77">
        <f t="shared" si="3"/>
        <v>0.55849557693847274</v>
      </c>
      <c r="G22" s="77">
        <f t="shared" si="3"/>
        <v>0.56450737212796542</v>
      </c>
      <c r="H22" s="77">
        <f t="shared" si="3"/>
        <v>0.4803769694944966</v>
      </c>
      <c r="I22" s="77">
        <f t="shared" si="3"/>
        <v>0.42067548268674193</v>
      </c>
      <c r="J22" s="77">
        <f t="shared" si="3"/>
        <v>0.39930942197807368</v>
      </c>
      <c r="K22" s="77">
        <f t="shared" si="3"/>
        <v>0.36597749089035569</v>
      </c>
      <c r="L22" s="77">
        <f t="shared" si="3"/>
        <v>0.37031218241871522</v>
      </c>
      <c r="M22" s="77">
        <f t="shared" si="3"/>
        <v>0.39283200784067573</v>
      </c>
      <c r="N22" s="77">
        <f t="shared" si="3"/>
        <v>0.40369001584397873</v>
      </c>
      <c r="O22" s="77">
        <f t="shared" si="3"/>
        <v>0.37345167861058165</v>
      </c>
      <c r="P22" s="77">
        <f t="shared" si="3"/>
        <v>0.35607787760287907</v>
      </c>
      <c r="Q22" s="77">
        <f t="shared" si="3"/>
        <v>0.33772801900199106</v>
      </c>
      <c r="R22" s="77">
        <f t="shared" si="3"/>
        <v>0.31469220844671419</v>
      </c>
      <c r="S22" s="77">
        <f t="shared" si="3"/>
        <v>0.31521292269219775</v>
      </c>
      <c r="T22" s="77">
        <f t="shared" si="3"/>
        <v>0.31939940218510637</v>
      </c>
      <c r="U22" s="77">
        <f t="shared" si="3"/>
        <v>0.3266528179176183</v>
      </c>
      <c r="V22" s="77">
        <f t="shared" si="3"/>
        <v>0.28456884761003975</v>
      </c>
      <c r="W22" s="77">
        <f t="shared" si="3"/>
        <v>0.26891452968289298</v>
      </c>
      <c r="X22" s="77">
        <f t="shared" ref="X22:Y22" si="5">IF(X4=0,0,X4/X$3)</f>
        <v>0.35810267474859997</v>
      </c>
      <c r="Y22" s="77">
        <f t="shared" si="5"/>
        <v>0.38048440303502579</v>
      </c>
      <c r="DA22" s="184"/>
    </row>
    <row r="23" spans="1:105" ht="11.45" customHeight="1" x14ac:dyDescent="0.25">
      <c r="A23" s="57" t="s">
        <v>167</v>
      </c>
      <c r="B23" s="78">
        <f t="shared" si="3"/>
        <v>0.44049420446688986</v>
      </c>
      <c r="C23" s="78">
        <f t="shared" si="3"/>
        <v>0.44046095571185268</v>
      </c>
      <c r="D23" s="78">
        <f t="shared" si="3"/>
        <v>0.44233167899859638</v>
      </c>
      <c r="E23" s="78">
        <f t="shared" si="3"/>
        <v>0.44162070996943065</v>
      </c>
      <c r="F23" s="78">
        <f t="shared" si="3"/>
        <v>0.44150442306152721</v>
      </c>
      <c r="G23" s="78">
        <f t="shared" si="3"/>
        <v>0.43549262787203447</v>
      </c>
      <c r="H23" s="78">
        <f t="shared" si="3"/>
        <v>0.5196230305055034</v>
      </c>
      <c r="I23" s="78">
        <f t="shared" si="3"/>
        <v>0.57932451731325796</v>
      </c>
      <c r="J23" s="78">
        <f t="shared" si="3"/>
        <v>0.60069057802192627</v>
      </c>
      <c r="K23" s="78">
        <f t="shared" si="3"/>
        <v>0.63402250910964431</v>
      </c>
      <c r="L23" s="78">
        <f t="shared" si="3"/>
        <v>0.62968781758128478</v>
      </c>
      <c r="M23" s="78">
        <f t="shared" si="3"/>
        <v>0.60716799215932427</v>
      </c>
      <c r="N23" s="78">
        <f t="shared" si="3"/>
        <v>0.59630998415602132</v>
      </c>
      <c r="O23" s="78">
        <f t="shared" si="3"/>
        <v>0.62654832138941841</v>
      </c>
      <c r="P23" s="78">
        <f t="shared" si="3"/>
        <v>0.64392212239712099</v>
      </c>
      <c r="Q23" s="78">
        <f t="shared" si="3"/>
        <v>0.66227198099800888</v>
      </c>
      <c r="R23" s="78">
        <f t="shared" si="3"/>
        <v>0.68530779155328569</v>
      </c>
      <c r="S23" s="78">
        <f t="shared" si="3"/>
        <v>0.68478707730780231</v>
      </c>
      <c r="T23" s="78">
        <f t="shared" si="3"/>
        <v>0.68060059781489368</v>
      </c>
      <c r="U23" s="78">
        <f t="shared" si="3"/>
        <v>0.67334718208238176</v>
      </c>
      <c r="V23" s="78">
        <f t="shared" si="3"/>
        <v>0.71543115238996025</v>
      </c>
      <c r="W23" s="78">
        <f t="shared" si="3"/>
        <v>0.73108547031710702</v>
      </c>
      <c r="X23" s="78">
        <f t="shared" ref="X23:Y23" si="6">IF(X5=0,0,X5/X$3)</f>
        <v>0.64189732525139997</v>
      </c>
      <c r="Y23" s="78">
        <f t="shared" si="6"/>
        <v>0.61951559696497416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2025-11-06T10:26:59Z</dcterms:created>
  <dcterms:modified xsi:type="dcterms:W3CDTF">2025-11-06T10:26:59Z</dcterms:modified>
</cp:coreProperties>
</file>