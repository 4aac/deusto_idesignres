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CY\"/>
    </mc:Choice>
  </mc:AlternateContent>
  <bookViews>
    <workbookView xWindow="-120" yWindow="-120" windowWidth="29040" windowHeight="15720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95" i="6" l="1"/>
  <c r="X95" i="6"/>
  <c r="X67" i="6"/>
  <c r="Y119" i="6"/>
  <c r="Y173" i="6" s="1"/>
  <c r="X119" i="6"/>
  <c r="X173" i="6" s="1"/>
  <c r="Y31" i="12"/>
  <c r="X26" i="12"/>
  <c r="X24" i="12"/>
  <c r="Y16" i="7"/>
  <c r="X16" i="7"/>
  <c r="Y14" i="13"/>
  <c r="X13" i="12"/>
  <c r="X21" i="12"/>
  <c r="X20" i="12"/>
  <c r="X16" i="8"/>
  <c r="X12" i="12"/>
  <c r="X8" i="12"/>
  <c r="Y6" i="12"/>
  <c r="X6" i="10"/>
  <c r="Y33" i="10"/>
  <c r="Y22" i="13"/>
  <c r="X22" i="13"/>
  <c r="Y21" i="13"/>
  <c r="X21" i="13"/>
  <c r="Y20" i="13"/>
  <c r="Y18" i="13"/>
  <c r="X18" i="10"/>
  <c r="Y17" i="13"/>
  <c r="X17" i="10"/>
  <c r="Y6" i="13"/>
  <c r="Y17" i="10"/>
  <c r="Y33" i="14"/>
  <c r="Y33" i="17" s="1"/>
  <c r="X33" i="14"/>
  <c r="X33" i="17" s="1"/>
  <c r="Y26" i="14"/>
  <c r="Y26" i="17" s="1"/>
  <c r="X26" i="14"/>
  <c r="X26" i="17" s="1"/>
  <c r="Y25" i="14"/>
  <c r="Y25" i="17" s="1"/>
  <c r="X25" i="14"/>
  <c r="X25" i="17" s="1"/>
  <c r="X22" i="14"/>
  <c r="Y21" i="14"/>
  <c r="X21" i="14"/>
  <c r="Y20" i="14"/>
  <c r="X20" i="14"/>
  <c r="Y18" i="14"/>
  <c r="Y18" i="17" s="1"/>
  <c r="X18" i="14"/>
  <c r="X18" i="17" s="1"/>
  <c r="Y17" i="14"/>
  <c r="X16" i="11"/>
  <c r="Y14" i="14"/>
  <c r="Y14" i="17" s="1"/>
  <c r="X14" i="14"/>
  <c r="X14" i="17" s="1"/>
  <c r="Y13" i="14"/>
  <c r="Y13" i="17" s="1"/>
  <c r="X13" i="14"/>
  <c r="X13" i="17" s="1"/>
  <c r="Y12" i="14"/>
  <c r="Y12" i="17" s="1"/>
  <c r="X12" i="14"/>
  <c r="X12" i="17" s="1"/>
  <c r="Y11" i="14"/>
  <c r="Y11" i="17" s="1"/>
  <c r="X11" i="14"/>
  <c r="X11" i="17" s="1"/>
  <c r="Y6" i="14"/>
  <c r="X32" i="12"/>
  <c r="X31" i="12"/>
  <c r="X23" i="12"/>
  <c r="Y22" i="12"/>
  <c r="X17" i="12"/>
  <c r="X14" i="12"/>
  <c r="X33" i="13"/>
  <c r="X32" i="13"/>
  <c r="Y28" i="14"/>
  <c r="Y28" i="17" s="1"/>
  <c r="X28" i="14"/>
  <c r="X28" i="17" s="1"/>
  <c r="Y27" i="14"/>
  <c r="Y27" i="17" s="1"/>
  <c r="X27" i="14"/>
  <c r="X27" i="17" s="1"/>
  <c r="Y15" i="14"/>
  <c r="Y15" i="17" s="1"/>
  <c r="X15" i="14"/>
  <c r="X15" i="17" s="1"/>
  <c r="Y24" i="25"/>
  <c r="Y14" i="24"/>
  <c r="X13" i="23"/>
  <c r="Y10" i="24"/>
  <c r="X9" i="23"/>
  <c r="Y7" i="25"/>
  <c r="X24" i="23"/>
  <c r="Y23" i="23"/>
  <c r="Y22" i="23"/>
  <c r="Y20" i="23"/>
  <c r="Y20" i="26" s="1"/>
  <c r="Y33" i="24"/>
  <c r="X23" i="21"/>
  <c r="Y22" i="24"/>
  <c r="Y20" i="24"/>
  <c r="Y20" i="27" s="1"/>
  <c r="X18" i="24"/>
  <c r="Y17" i="24"/>
  <c r="X9" i="21"/>
  <c r="Y8" i="24"/>
  <c r="X7" i="21"/>
  <c r="Y20" i="21"/>
  <c r="X20" i="21"/>
  <c r="Y18" i="21"/>
  <c r="X5" i="21"/>
  <c r="Y33" i="25"/>
  <c r="Y33" i="28" s="1"/>
  <c r="X33" i="25"/>
  <c r="X33" i="28" s="1"/>
  <c r="Y26" i="25"/>
  <c r="Y26" i="28" s="1"/>
  <c r="X25" i="25"/>
  <c r="X25" i="28" s="1"/>
  <c r="X24" i="25"/>
  <c r="Y23" i="25"/>
  <c r="X23" i="25"/>
  <c r="Y22" i="25"/>
  <c r="Y20" i="25"/>
  <c r="Y20" i="28" s="1"/>
  <c r="X20" i="25"/>
  <c r="X20" i="28" s="1"/>
  <c r="Y18" i="25"/>
  <c r="Y18" i="28" s="1"/>
  <c r="X18" i="25"/>
  <c r="X18" i="28" s="1"/>
  <c r="Y14" i="25"/>
  <c r="Y14" i="28" s="1"/>
  <c r="X14" i="25"/>
  <c r="X14" i="28" s="1"/>
  <c r="Y13" i="25"/>
  <c r="Y13" i="28" s="1"/>
  <c r="X13" i="25"/>
  <c r="X13" i="28" s="1"/>
  <c r="Y12" i="25"/>
  <c r="Y12" i="28" s="1"/>
  <c r="X12" i="25"/>
  <c r="X12" i="28" s="1"/>
  <c r="Y11" i="25"/>
  <c r="Y11" i="28" s="1"/>
  <c r="Y33" i="23"/>
  <c r="X28" i="23"/>
  <c r="Y26" i="23"/>
  <c r="X23" i="23"/>
  <c r="Y8" i="23"/>
  <c r="Y21" i="24"/>
  <c r="X21" i="24"/>
  <c r="X20" i="24"/>
  <c r="X20" i="27" s="1"/>
  <c r="Y18" i="24"/>
  <c r="Y28" i="25"/>
  <c r="Y28" i="28" s="1"/>
  <c r="X28" i="25"/>
  <c r="X28" i="28" s="1"/>
  <c r="Y27" i="25"/>
  <c r="Y27" i="28" s="1"/>
  <c r="X27" i="25"/>
  <c r="X27" i="28" s="1"/>
  <c r="X26" i="25"/>
  <c r="X26" i="28" s="1"/>
  <c r="Y25" i="25"/>
  <c r="Y25" i="28" s="1"/>
  <c r="Y15" i="25"/>
  <c r="Y15" i="28" s="1"/>
  <c r="X15" i="25"/>
  <c r="X15" i="28" s="1"/>
  <c r="X11" i="25"/>
  <c r="X11" i="28" s="1"/>
  <c r="Y15" i="35"/>
  <c r="X15" i="35"/>
  <c r="Y15" i="34"/>
  <c r="X15" i="34"/>
  <c r="Y15" i="33"/>
  <c r="X15" i="33"/>
  <c r="Y15" i="32"/>
  <c r="X15" i="32"/>
  <c r="Y15" i="31"/>
  <c r="X15" i="31"/>
  <c r="Y15" i="30"/>
  <c r="X15" i="30"/>
  <c r="Y14" i="35"/>
  <c r="X14" i="35"/>
  <c r="Y14" i="34"/>
  <c r="X14" i="34"/>
  <c r="Y14" i="33"/>
  <c r="X14" i="33"/>
  <c r="Y14" i="32"/>
  <c r="X14" i="32"/>
  <c r="Y14" i="31"/>
  <c r="X14" i="31"/>
  <c r="Y14" i="30"/>
  <c r="X12" i="29"/>
  <c r="X5" i="30" s="1"/>
  <c r="Y12" i="35"/>
  <c r="X12" i="35"/>
  <c r="Y12" i="34"/>
  <c r="Y12" i="33"/>
  <c r="X12" i="33"/>
  <c r="Y12" i="32"/>
  <c r="X12" i="32"/>
  <c r="Y12" i="31"/>
  <c r="X12" i="31"/>
  <c r="Y12" i="30"/>
  <c r="X12" i="30"/>
  <c r="Y10" i="35"/>
  <c r="X10" i="35"/>
  <c r="X10" i="34"/>
  <c r="Y10" i="33"/>
  <c r="X10" i="33"/>
  <c r="Y10" i="32"/>
  <c r="X10" i="32"/>
  <c r="Y10" i="31"/>
  <c r="X10" i="31"/>
  <c r="X10" i="30"/>
  <c r="Y9" i="35"/>
  <c r="X9" i="35"/>
  <c r="Y9" i="34"/>
  <c r="X9" i="34"/>
  <c r="Y9" i="33"/>
  <c r="X9" i="33"/>
  <c r="Y9" i="32"/>
  <c r="X9" i="32"/>
  <c r="Y9" i="31"/>
  <c r="X9" i="31"/>
  <c r="Y9" i="30"/>
  <c r="X9" i="30"/>
  <c r="Y8" i="32"/>
  <c r="Y10" i="30"/>
  <c r="X8" i="30"/>
  <c r="X12" i="34"/>
  <c r="Y10" i="34"/>
  <c r="Y49" i="38"/>
  <c r="X49" i="38"/>
  <c r="Y45" i="38"/>
  <c r="X45" i="38"/>
  <c r="Y40" i="39"/>
  <c r="X40" i="39"/>
  <c r="Y52" i="39"/>
  <c r="X52" i="39"/>
  <c r="Y47" i="39"/>
  <c r="X47" i="39"/>
  <c r="Y46" i="39"/>
  <c r="X46" i="39"/>
  <c r="Y32" i="39"/>
  <c r="X32" i="39"/>
  <c r="Y14" i="36"/>
  <c r="Y9" i="36"/>
  <c r="Y27" i="6" l="1"/>
  <c r="Y24" i="28" s="1"/>
  <c r="Y33" i="13"/>
  <c r="Y18" i="10"/>
  <c r="X7" i="12"/>
  <c r="X21" i="21"/>
  <c r="X5" i="10"/>
  <c r="Y24" i="23"/>
  <c r="Y29" i="18"/>
  <c r="Y5" i="10"/>
  <c r="X25" i="23"/>
  <c r="X25" i="26" s="1"/>
  <c r="Y24" i="12"/>
  <c r="X25" i="12"/>
  <c r="Y19" i="22"/>
  <c r="Y7" i="24"/>
  <c r="Y23" i="10"/>
  <c r="Y10" i="12"/>
  <c r="X8" i="24"/>
  <c r="X8" i="27" s="1"/>
  <c r="X8" i="13"/>
  <c r="X11" i="12"/>
  <c r="Y8" i="13"/>
  <c r="X17" i="24"/>
  <c r="X17" i="27" s="1"/>
  <c r="X25" i="13"/>
  <c r="X14" i="30"/>
  <c r="Y23" i="28"/>
  <c r="X7" i="14"/>
  <c r="Y25" i="13"/>
  <c r="X31" i="23"/>
  <c r="X31" i="26" s="1"/>
  <c r="X26" i="13"/>
  <c r="Y26" i="24"/>
  <c r="Y31" i="23"/>
  <c r="Y10" i="13"/>
  <c r="Y26" i="13"/>
  <c r="X27" i="21"/>
  <c r="X32" i="23"/>
  <c r="X11" i="13"/>
  <c r="Y67" i="6"/>
  <c r="Y11" i="24"/>
  <c r="Y14" i="12"/>
  <c r="X12" i="24"/>
  <c r="X12" i="13"/>
  <c r="X30" i="13"/>
  <c r="Y9" i="25"/>
  <c r="Y9" i="28" s="1"/>
  <c r="Y12" i="24"/>
  <c r="Y12" i="27" s="1"/>
  <c r="Y21" i="25"/>
  <c r="X10" i="14"/>
  <c r="X30" i="14"/>
  <c r="Y12" i="13"/>
  <c r="X13" i="29"/>
  <c r="X5" i="31" s="1"/>
  <c r="Y52" i="38"/>
  <c r="X14" i="29"/>
  <c r="X6" i="29" s="1"/>
  <c r="X10" i="25"/>
  <c r="X10" i="28" s="1"/>
  <c r="X13" i="21"/>
  <c r="X31" i="24"/>
  <c r="X17" i="23"/>
  <c r="X22" i="24"/>
  <c r="Y10" i="14"/>
  <c r="X31" i="13"/>
  <c r="Y33" i="12"/>
  <c r="Y17" i="23"/>
  <c r="X31" i="14"/>
  <c r="Y31" i="13"/>
  <c r="X8" i="25"/>
  <c r="X9" i="36"/>
  <c r="Y53" i="38"/>
  <c r="Y31" i="14"/>
  <c r="X32" i="10"/>
  <c r="Y8" i="25"/>
  <c r="Y8" i="28" s="1"/>
  <c r="Y13" i="29"/>
  <c r="Y5" i="29" s="1"/>
  <c r="Y14" i="21"/>
  <c r="Y32" i="21"/>
  <c r="X17" i="13"/>
  <c r="X25" i="24"/>
  <c r="Y45" i="37"/>
  <c r="X15" i="21"/>
  <c r="X33" i="21"/>
  <c r="X33" i="10"/>
  <c r="Y33" i="21"/>
  <c r="Y12" i="23"/>
  <c r="Y12" i="26" s="1"/>
  <c r="X6" i="14"/>
  <c r="X10" i="12"/>
  <c r="X14" i="13"/>
  <c r="X13" i="24"/>
  <c r="X32" i="25"/>
  <c r="X11" i="24"/>
  <c r="X29" i="19"/>
  <c r="X71" i="6"/>
  <c r="X7" i="25"/>
  <c r="X17" i="25"/>
  <c r="X17" i="28" s="1"/>
  <c r="Y31" i="21"/>
  <c r="Y6" i="23"/>
  <c r="Y6" i="26" s="1"/>
  <c r="Y10" i="23"/>
  <c r="Y14" i="23"/>
  <c r="Y19" i="19"/>
  <c r="Y5" i="23"/>
  <c r="Y5" i="26" s="1"/>
  <c r="X14" i="36"/>
  <c r="X22" i="25"/>
  <c r="X22" i="28" s="1"/>
  <c r="X17" i="21"/>
  <c r="X32" i="21"/>
  <c r="X7" i="23"/>
  <c r="X11" i="23"/>
  <c r="X11" i="26" s="1"/>
  <c r="Y26" i="12"/>
  <c r="Y29" i="7"/>
  <c r="Y23" i="26"/>
  <c r="Y37" i="6"/>
  <c r="X33" i="24"/>
  <c r="Y30" i="14"/>
  <c r="Y24" i="13"/>
  <c r="Y30" i="13"/>
  <c r="X18" i="12"/>
  <c r="X23" i="14"/>
  <c r="X28" i="12"/>
  <c r="X33" i="12"/>
  <c r="X27" i="6"/>
  <c r="X18" i="27" s="1"/>
  <c r="Y8" i="14"/>
  <c r="Y12" i="12"/>
  <c r="Y18" i="12"/>
  <c r="Y28" i="12"/>
  <c r="X82" i="6"/>
  <c r="X81" i="6" s="1"/>
  <c r="X93" i="6" s="1"/>
  <c r="X107" i="6"/>
  <c r="X24" i="28"/>
  <c r="X9" i="25"/>
  <c r="X9" i="28" s="1"/>
  <c r="X8" i="21"/>
  <c r="X9" i="14"/>
  <c r="X20" i="13"/>
  <c r="X24" i="14"/>
  <c r="Y8" i="36"/>
  <c r="X45" i="37"/>
  <c r="Y8" i="21"/>
  <c r="X71" i="29"/>
  <c r="X6" i="33" s="1"/>
  <c r="X20" i="6"/>
  <c r="Y8" i="33"/>
  <c r="X23" i="6"/>
  <c r="X162" i="6" s="1"/>
  <c r="Y115" i="6"/>
  <c r="X19" i="6"/>
  <c r="X21" i="6"/>
  <c r="X116" i="6"/>
  <c r="Y71" i="29"/>
  <c r="Y6" i="33" s="1"/>
  <c r="Y19" i="6"/>
  <c r="Y26" i="6"/>
  <c r="Y24" i="15" s="1"/>
  <c r="Y68" i="29"/>
  <c r="Y6" i="30" s="1"/>
  <c r="X101" i="6"/>
  <c r="X122" i="6" s="1"/>
  <c r="X118" i="6"/>
  <c r="Y73" i="29"/>
  <c r="Y6" i="35" s="1"/>
  <c r="Y118" i="6"/>
  <c r="X48" i="6"/>
  <c r="X47" i="6" s="1"/>
  <c r="X60" i="6" s="1"/>
  <c r="X37" i="6"/>
  <c r="X31" i="6" s="1"/>
  <c r="X21" i="27"/>
  <c r="X29" i="8"/>
  <c r="X30" i="12"/>
  <c r="X30" i="10"/>
  <c r="X4" i="7"/>
  <c r="X3" i="7" s="1"/>
  <c r="X5" i="12"/>
  <c r="X32" i="14"/>
  <c r="X29" i="11"/>
  <c r="Y20" i="12"/>
  <c r="Y20" i="10"/>
  <c r="X33" i="6"/>
  <c r="X5" i="24"/>
  <c r="X5" i="23"/>
  <c r="X30" i="23"/>
  <c r="X18" i="13"/>
  <c r="X20" i="10"/>
  <c r="X10" i="13"/>
  <c r="X14" i="10"/>
  <c r="X19" i="9"/>
  <c r="X24" i="13"/>
  <c r="X29" i="9"/>
  <c r="Y8" i="12"/>
  <c r="X22" i="12"/>
  <c r="Y31" i="10"/>
  <c r="Y24" i="14"/>
  <c r="Y101" i="6"/>
  <c r="Y122" i="6" s="1"/>
  <c r="X117" i="6"/>
  <c r="X9" i="13"/>
  <c r="X23" i="13"/>
  <c r="X52" i="37"/>
  <c r="Y31" i="24"/>
  <c r="Y31" i="27" s="1"/>
  <c r="X21" i="25"/>
  <c r="Y12" i="21"/>
  <c r="X9" i="24"/>
  <c r="X12" i="21"/>
  <c r="X17" i="14"/>
  <c r="X5" i="13"/>
  <c r="X6" i="12"/>
  <c r="Y14" i="10"/>
  <c r="X4" i="8"/>
  <c r="X9" i="12"/>
  <c r="Y117" i="6"/>
  <c r="Y29" i="22"/>
  <c r="Y29" i="25" s="1"/>
  <c r="Y5" i="21"/>
  <c r="Y23" i="24"/>
  <c r="Y23" i="27" s="1"/>
  <c r="Y28" i="24"/>
  <c r="Y17" i="26"/>
  <c r="Y16" i="18"/>
  <c r="Y32" i="25"/>
  <c r="Y32" i="28" s="1"/>
  <c r="Y5" i="13"/>
  <c r="X5" i="14"/>
  <c r="X19" i="11"/>
  <c r="X4" i="9"/>
  <c r="X15" i="10"/>
  <c r="Y13" i="12"/>
  <c r="X27" i="10"/>
  <c r="Y11" i="12"/>
  <c r="X5" i="25"/>
  <c r="X28" i="13"/>
  <c r="Y9" i="13"/>
  <c r="Y16" i="9"/>
  <c r="Y16" i="13" s="1"/>
  <c r="Y9" i="39"/>
  <c r="Y17" i="38"/>
  <c r="Y46" i="37"/>
  <c r="Y17" i="27"/>
  <c r="X6" i="25"/>
  <c r="X6" i="28" s="1"/>
  <c r="Y8" i="27"/>
  <c r="Y15" i="21"/>
  <c r="X51" i="39"/>
  <c r="Y32" i="24"/>
  <c r="Y16" i="22"/>
  <c r="X6" i="24"/>
  <c r="X6" i="27" s="1"/>
  <c r="X24" i="24"/>
  <c r="X30" i="24"/>
  <c r="X6" i="13"/>
  <c r="Y11" i="10"/>
  <c r="Y15" i="10"/>
  <c r="X8" i="14"/>
  <c r="X13" i="13"/>
  <c r="X9" i="39"/>
  <c r="X46" i="37"/>
  <c r="X21" i="23"/>
  <c r="Y13" i="13"/>
  <c r="X19" i="7"/>
  <c r="X27" i="12" s="1"/>
  <c r="X29" i="7"/>
  <c r="Y19" i="18"/>
  <c r="Y31" i="25"/>
  <c r="Y31" i="28" s="1"/>
  <c r="Y9" i="38"/>
  <c r="Y52" i="37"/>
  <c r="X32" i="24"/>
  <c r="X32" i="27" s="1"/>
  <c r="Y51" i="39"/>
  <c r="Y6" i="24"/>
  <c r="Y6" i="27" s="1"/>
  <c r="Y24" i="24"/>
  <c r="Y24" i="27" s="1"/>
  <c r="Y18" i="23"/>
  <c r="X16" i="9"/>
  <c r="X16" i="13" s="1"/>
  <c r="X19" i="8"/>
  <c r="Y33" i="6"/>
  <c r="Y31" i="6" s="1"/>
  <c r="X103" i="6"/>
  <c r="X124" i="6" s="1"/>
  <c r="X17" i="37"/>
  <c r="Y11" i="23"/>
  <c r="Y11" i="26" s="1"/>
  <c r="Y71" i="6"/>
  <c r="Y104" i="6"/>
  <c r="Y10" i="21"/>
  <c r="X21" i="10"/>
  <c r="X105" i="6"/>
  <c r="X8" i="33"/>
  <c r="Y9" i="21"/>
  <c r="Y25" i="21"/>
  <c r="Y13" i="23"/>
  <c r="Y21" i="10"/>
  <c r="Y9" i="12"/>
  <c r="Y105" i="6"/>
  <c r="X72" i="29"/>
  <c r="X6" i="34" s="1"/>
  <c r="X5" i="28"/>
  <c r="X10" i="21"/>
  <c r="X26" i="21"/>
  <c r="X14" i="23"/>
  <c r="X22" i="10"/>
  <c r="Y72" i="29"/>
  <c r="Y6" i="34" s="1"/>
  <c r="Y22" i="10"/>
  <c r="Y25" i="12"/>
  <c r="X29" i="18"/>
  <c r="X17" i="29"/>
  <c r="X5" i="35" s="1"/>
  <c r="X11" i="21"/>
  <c r="X23" i="10"/>
  <c r="X24" i="10"/>
  <c r="X104" i="6"/>
  <c r="Y8" i="30"/>
  <c r="Y24" i="10"/>
  <c r="Y16" i="11"/>
  <c r="Y16" i="14" s="1"/>
  <c r="Y6" i="10"/>
  <c r="X25" i="10"/>
  <c r="X8" i="28"/>
  <c r="X16" i="19"/>
  <c r="X7" i="10"/>
  <c r="Y25" i="10"/>
  <c r="Y19" i="9"/>
  <c r="X12" i="23"/>
  <c r="X12" i="26" s="1"/>
  <c r="Y22" i="21"/>
  <c r="Y13" i="21"/>
  <c r="Y16" i="19"/>
  <c r="X8" i="10"/>
  <c r="X26" i="10"/>
  <c r="X30" i="25"/>
  <c r="Y23" i="21"/>
  <c r="X14" i="21"/>
  <c r="X33" i="23"/>
  <c r="X4" i="11"/>
  <c r="Y8" i="10"/>
  <c r="Y26" i="10"/>
  <c r="X15" i="7"/>
  <c r="X15" i="13" s="1"/>
  <c r="Y19" i="7"/>
  <c r="Y27" i="12" s="1"/>
  <c r="Y17" i="37"/>
  <c r="X31" i="25"/>
  <c r="X31" i="28" s="1"/>
  <c r="Y24" i="21"/>
  <c r="X7" i="13"/>
  <c r="X9" i="10"/>
  <c r="X115" i="6"/>
  <c r="X23" i="24"/>
  <c r="X23" i="27" s="1"/>
  <c r="X25" i="21"/>
  <c r="Y9" i="10"/>
  <c r="Y6" i="21"/>
  <c r="Y103" i="6"/>
  <c r="Y19" i="36"/>
  <c r="Y12" i="36" s="1"/>
  <c r="Y34" i="39"/>
  <c r="Y9" i="37"/>
  <c r="Y48" i="37" s="1"/>
  <c r="Y53" i="37"/>
  <c r="Y10" i="25"/>
  <c r="Y10" i="28" s="1"/>
  <c r="Y26" i="21"/>
  <c r="X10" i="10"/>
  <c r="Y30" i="10"/>
  <c r="X8" i="32"/>
  <c r="X34" i="39"/>
  <c r="Y27" i="21"/>
  <c r="Y19" i="11"/>
  <c r="Y10" i="10"/>
  <c r="X31" i="10"/>
  <c r="X102" i="6"/>
  <c r="X123" i="6" s="1"/>
  <c r="Y33" i="39"/>
  <c r="X30" i="21"/>
  <c r="X19" i="19"/>
  <c r="X11" i="10"/>
  <c r="X19" i="36"/>
  <c r="X9" i="37"/>
  <c r="X48" i="37" s="1"/>
  <c r="X12" i="10"/>
  <c r="Y23" i="6"/>
  <c r="Y70" i="29"/>
  <c r="Y6" i="32" s="1"/>
  <c r="X4" i="29"/>
  <c r="Y25" i="24"/>
  <c r="Y25" i="27" s="1"/>
  <c r="X29" i="22"/>
  <c r="Y12" i="10"/>
  <c r="X24" i="6"/>
  <c r="X17" i="38"/>
  <c r="X53" i="37"/>
  <c r="X17" i="39"/>
  <c r="X47" i="38"/>
  <c r="Y14" i="29"/>
  <c r="X7" i="24"/>
  <c r="X26" i="24"/>
  <c r="Y21" i="23"/>
  <c r="X13" i="10"/>
  <c r="Y24" i="6"/>
  <c r="Y17" i="39"/>
  <c r="Y47" i="38"/>
  <c r="X15" i="29"/>
  <c r="X7" i="29" s="1"/>
  <c r="Y17" i="25"/>
  <c r="Y17" i="28" s="1"/>
  <c r="Y25" i="23"/>
  <c r="Y25" i="26" s="1"/>
  <c r="X25" i="6"/>
  <c r="X51" i="38"/>
  <c r="Y15" i="29"/>
  <c r="Y5" i="33" s="1"/>
  <c r="X28" i="24"/>
  <c r="X28" i="27" s="1"/>
  <c r="X23" i="26"/>
  <c r="X4" i="19"/>
  <c r="X26" i="23"/>
  <c r="X26" i="26" s="1"/>
  <c r="Y9" i="14"/>
  <c r="Y25" i="6"/>
  <c r="Y49" i="37"/>
  <c r="X16" i="29"/>
  <c r="Y9" i="23"/>
  <c r="X26" i="6"/>
  <c r="X33" i="39"/>
  <c r="Y51" i="38"/>
  <c r="X9" i="38"/>
  <c r="X52" i="38"/>
  <c r="X68" i="29"/>
  <c r="X6" i="30" s="1"/>
  <c r="X10" i="23"/>
  <c r="X9" i="29"/>
  <c r="Y12" i="29"/>
  <c r="Y16" i="29"/>
  <c r="X8" i="23"/>
  <c r="X8" i="26" s="1"/>
  <c r="Y30" i="23"/>
  <c r="X24" i="21"/>
  <c r="X29" i="20"/>
  <c r="X31" i="21"/>
  <c r="X4" i="18"/>
  <c r="X3" i="18" s="1"/>
  <c r="X15" i="18"/>
  <c r="X6" i="23"/>
  <c r="Y32" i="14"/>
  <c r="Y29" i="11"/>
  <c r="Y29" i="8"/>
  <c r="Y30" i="12"/>
  <c r="X69" i="29"/>
  <c r="X6" i="31" s="1"/>
  <c r="Y8" i="26"/>
  <c r="Y24" i="26"/>
  <c r="Y13" i="24"/>
  <c r="X4" i="22"/>
  <c r="Y48" i="6"/>
  <c r="Y102" i="6"/>
  <c r="X8" i="35"/>
  <c r="Y4" i="18"/>
  <c r="Y3" i="18" s="1"/>
  <c r="Y15" i="18"/>
  <c r="Y15" i="24" s="1"/>
  <c r="X16" i="14"/>
  <c r="X16" i="12"/>
  <c r="Y8" i="35"/>
  <c r="X8" i="34"/>
  <c r="Y31" i="26"/>
  <c r="Y5" i="25"/>
  <c r="Y5" i="28" s="1"/>
  <c r="X20" i="23"/>
  <c r="X20" i="26" s="1"/>
  <c r="Y30" i="25"/>
  <c r="Y11" i="21"/>
  <c r="Y19" i="20"/>
  <c r="Y21" i="21"/>
  <c r="Y19" i="8"/>
  <c r="Y21" i="12"/>
  <c r="Y82" i="6"/>
  <c r="Y116" i="6"/>
  <c r="X73" i="29"/>
  <c r="X6" i="35" s="1"/>
  <c r="Y4" i="19"/>
  <c r="Y7" i="23"/>
  <c r="Y21" i="6"/>
  <c r="Y20" i="6"/>
  <c r="Y69" i="29"/>
  <c r="Y6" i="31" s="1"/>
  <c r="Y5" i="24"/>
  <c r="Y5" i="27" s="1"/>
  <c r="Y32" i="12"/>
  <c r="Y7" i="10"/>
  <c r="Y4" i="9"/>
  <c r="Y23" i="12"/>
  <c r="Y23" i="14"/>
  <c r="X70" i="29"/>
  <c r="X6" i="32" s="1"/>
  <c r="Y29" i="20"/>
  <c r="Y30" i="21"/>
  <c r="Y30" i="24"/>
  <c r="X8" i="31"/>
  <c r="Y8" i="34"/>
  <c r="Y8" i="31"/>
  <c r="Y17" i="29"/>
  <c r="Y6" i="25"/>
  <c r="Y6" i="28" s="1"/>
  <c r="Y4" i="22"/>
  <c r="X22" i="21"/>
  <c r="X19" i="20"/>
  <c r="X19" i="18"/>
  <c r="X22" i="23"/>
  <c r="Y22" i="14"/>
  <c r="Y13" i="10"/>
  <c r="Y16" i="8"/>
  <c r="Y16" i="12" s="1"/>
  <c r="Y17" i="12"/>
  <c r="Y107" i="6"/>
  <c r="Y32" i="10"/>
  <c r="Y29" i="9"/>
  <c r="Y32" i="13"/>
  <c r="Y9" i="24"/>
  <c r="X4" i="20"/>
  <c r="X6" i="21"/>
  <c r="Y27" i="10"/>
  <c r="Y28" i="13"/>
  <c r="Y7" i="12"/>
  <c r="Y4" i="7"/>
  <c r="Y3" i="7" s="1"/>
  <c r="Y7" i="14"/>
  <c r="Y15" i="7"/>
  <c r="Y15" i="12" s="1"/>
  <c r="X10" i="24"/>
  <c r="X19" i="22"/>
  <c r="Y4" i="20"/>
  <c r="Y16" i="20"/>
  <c r="Y17" i="21"/>
  <c r="Y32" i="23"/>
  <c r="Y29" i="19"/>
  <c r="Y4" i="11"/>
  <c r="Y5" i="14"/>
  <c r="Y4" i="8"/>
  <c r="Y5" i="12"/>
  <c r="Y149" i="6"/>
  <c r="Y11" i="27"/>
  <c r="X14" i="24"/>
  <c r="X16" i="22"/>
  <c r="Y7" i="21"/>
  <c r="X16" i="20"/>
  <c r="X18" i="21"/>
  <c r="Y28" i="23"/>
  <c r="X16" i="18"/>
  <c r="X18" i="23"/>
  <c r="Y7" i="13"/>
  <c r="Y11" i="13"/>
  <c r="Y23" i="13"/>
  <c r="X163" i="6"/>
  <c r="X92" i="6"/>
  <c r="X149" i="6"/>
  <c r="X50" i="37"/>
  <c r="X53" i="38"/>
  <c r="X45" i="39"/>
  <c r="X47" i="37"/>
  <c r="Y53" i="39"/>
  <c r="Y47" i="37"/>
  <c r="Y51" i="37"/>
  <c r="X53" i="39"/>
  <c r="Y49" i="39"/>
  <c r="X39" i="39"/>
  <c r="Y45" i="39"/>
  <c r="Y46" i="38"/>
  <c r="Y39" i="39"/>
  <c r="X49" i="39"/>
  <c r="X51" i="37"/>
  <c r="X49" i="37"/>
  <c r="X46" i="38"/>
  <c r="X4" i="13" l="1"/>
  <c r="Y28" i="27"/>
  <c r="X14" i="27"/>
  <c r="Y28" i="26"/>
  <c r="Y29" i="23"/>
  <c r="Y29" i="26" s="1"/>
  <c r="X19" i="10"/>
  <c r="Y29" i="12"/>
  <c r="X12" i="36"/>
  <c r="X5" i="39"/>
  <c r="X16" i="10"/>
  <c r="X3" i="19"/>
  <c r="X3" i="23" s="1"/>
  <c r="X10" i="27"/>
  <c r="X21" i="26"/>
  <c r="Y29" i="14"/>
  <c r="Y29" i="17" s="1"/>
  <c r="Y5" i="39"/>
  <c r="Y37" i="39" s="1"/>
  <c r="X113" i="6"/>
  <c r="X89" i="6"/>
  <c r="X10" i="26"/>
  <c r="X30" i="26"/>
  <c r="Y28" i="16"/>
  <c r="X4" i="14"/>
  <c r="X90" i="6"/>
  <c r="X15" i="12"/>
  <c r="X15" i="15" s="1"/>
  <c r="X29" i="13"/>
  <c r="X29" i="16" s="1"/>
  <c r="X26" i="27"/>
  <c r="X29" i="23"/>
  <c r="X29" i="26" s="1"/>
  <c r="Y16" i="23"/>
  <c r="Y16" i="26" s="1"/>
  <c r="X5" i="29"/>
  <c r="Y5" i="31"/>
  <c r="Y32" i="26"/>
  <c r="Y13" i="26"/>
  <c r="Y26" i="27"/>
  <c r="Y32" i="27"/>
  <c r="Y30" i="28"/>
  <c r="Y30" i="27"/>
  <c r="Y30" i="26"/>
  <c r="Y26" i="26"/>
  <c r="Y14" i="26"/>
  <c r="Y33" i="26"/>
  <c r="Y10" i="26"/>
  <c r="Y29" i="28"/>
  <c r="Y14" i="27"/>
  <c r="Y10" i="27"/>
  <c r="Y9" i="27"/>
  <c r="X7" i="28"/>
  <c r="Y22" i="27"/>
  <c r="Y21" i="26"/>
  <c r="Y21" i="28"/>
  <c r="Y7" i="27"/>
  <c r="Y13" i="27"/>
  <c r="Y18" i="27"/>
  <c r="X30" i="28"/>
  <c r="Y7" i="26"/>
  <c r="Y22" i="28"/>
  <c r="Y22" i="26"/>
  <c r="Y15" i="27"/>
  <c r="Y10" i="16"/>
  <c r="Y21" i="27"/>
  <c r="Y139" i="6"/>
  <c r="X14" i="26"/>
  <c r="Y9" i="26"/>
  <c r="Y18" i="26"/>
  <c r="Y19" i="23"/>
  <c r="Y19" i="26" s="1"/>
  <c r="X94" i="6"/>
  <c r="X114" i="6"/>
  <c r="X144" i="6" s="1"/>
  <c r="X91" i="6"/>
  <c r="X4" i="23"/>
  <c r="X4" i="26" s="1"/>
  <c r="X29" i="10"/>
  <c r="Y5" i="37"/>
  <c r="Y36" i="37" s="1"/>
  <c r="X3" i="8"/>
  <c r="X25" i="27"/>
  <c r="Y27" i="24"/>
  <c r="Y27" i="27" s="1"/>
  <c r="X5" i="26"/>
  <c r="X13" i="26"/>
  <c r="X5" i="27"/>
  <c r="X5" i="32"/>
  <c r="X17" i="26"/>
  <c r="X11" i="27"/>
  <c r="X27" i="13"/>
  <c r="X28" i="26"/>
  <c r="X33" i="27"/>
  <c r="X9" i="27"/>
  <c r="X13" i="27"/>
  <c r="X21" i="28"/>
  <c r="X22" i="26"/>
  <c r="X4" i="12"/>
  <c r="X4" i="15" s="1"/>
  <c r="X7" i="27"/>
  <c r="X30" i="27"/>
  <c r="X24" i="27"/>
  <c r="Y30" i="15"/>
  <c r="Y15" i="13"/>
  <c r="Y15" i="16" s="1"/>
  <c r="X33" i="26"/>
  <c r="X32" i="26"/>
  <c r="Y16" i="25"/>
  <c r="Y16" i="28" s="1"/>
  <c r="Y10" i="17"/>
  <c r="Y33" i="27"/>
  <c r="X22" i="15"/>
  <c r="Y7" i="28"/>
  <c r="X18" i="26"/>
  <c r="X6" i="26"/>
  <c r="X23" i="28"/>
  <c r="X22" i="27"/>
  <c r="X7" i="26"/>
  <c r="X57" i="6"/>
  <c r="X56" i="6"/>
  <c r="X19" i="13"/>
  <c r="X19" i="16" s="1"/>
  <c r="Y19" i="25"/>
  <c r="Y19" i="28" s="1"/>
  <c r="Y172" i="6"/>
  <c r="X9" i="26"/>
  <c r="X59" i="6"/>
  <c r="X61" i="6"/>
  <c r="Y19" i="14"/>
  <c r="Y19" i="17" s="1"/>
  <c r="X100" i="6"/>
  <c r="X130" i="6" s="1"/>
  <c r="Y48" i="39"/>
  <c r="X29" i="14"/>
  <c r="X29" i="17" s="1"/>
  <c r="X48" i="38"/>
  <c r="X99" i="6"/>
  <c r="X153" i="6" s="1"/>
  <c r="X12" i="27"/>
  <c r="X24" i="26"/>
  <c r="X58" i="6"/>
  <c r="Y50" i="39"/>
  <c r="Y48" i="38"/>
  <c r="X19" i="14"/>
  <c r="X31" i="27"/>
  <c r="X16" i="23"/>
  <c r="X16" i="26" s="1"/>
  <c r="X5" i="37"/>
  <c r="X44" i="39" s="1"/>
  <c r="X48" i="39"/>
  <c r="Y27" i="23"/>
  <c r="Y27" i="26" s="1"/>
  <c r="X55" i="6"/>
  <c r="X32" i="28"/>
  <c r="X161" i="6"/>
  <c r="Y5" i="16"/>
  <c r="X169" i="6"/>
  <c r="X159" i="6"/>
  <c r="X155" i="6"/>
  <c r="X171" i="6"/>
  <c r="X131" i="6"/>
  <c r="X165" i="6"/>
  <c r="Y14" i="15"/>
  <c r="Y9" i="17"/>
  <c r="Y23" i="16"/>
  <c r="X156" i="6"/>
  <c r="X11" i="29"/>
  <c r="Y147" i="6"/>
  <c r="Y11" i="15"/>
  <c r="Y158" i="6"/>
  <c r="X164" i="6"/>
  <c r="X16" i="17"/>
  <c r="X172" i="6"/>
  <c r="Y12" i="15"/>
  <c r="X170" i="6"/>
  <c r="Y24" i="17"/>
  <c r="Y10" i="15"/>
  <c r="Y6" i="16"/>
  <c r="Y138" i="6"/>
  <c r="Y7" i="15"/>
  <c r="Y16" i="17"/>
  <c r="Y24" i="16"/>
  <c r="Y9" i="16"/>
  <c r="Y18" i="15"/>
  <c r="Y14" i="16"/>
  <c r="Y5" i="15"/>
  <c r="Y32" i="15"/>
  <c r="Y29" i="15"/>
  <c r="Y20" i="15"/>
  <c r="X27" i="16"/>
  <c r="Y25" i="15"/>
  <c r="Y11" i="16"/>
  <c r="Y17" i="16"/>
  <c r="Y22" i="15"/>
  <c r="Y18" i="16"/>
  <c r="Y17" i="15"/>
  <c r="Y6" i="17"/>
  <c r="Y27" i="15"/>
  <c r="Y12" i="16"/>
  <c r="Y7" i="16"/>
  <c r="Y148" i="6"/>
  <c r="Y21" i="16"/>
  <c r="Y26" i="15"/>
  <c r="Y22" i="16"/>
  <c r="Y5" i="17"/>
  <c r="Y16" i="15"/>
  <c r="Y145" i="6"/>
  <c r="Y32" i="17"/>
  <c r="Y133" i="6"/>
  <c r="Y8" i="16"/>
  <c r="Y20" i="16"/>
  <c r="Y8" i="15"/>
  <c r="Y33" i="15"/>
  <c r="Y25" i="16"/>
  <c r="Y141" i="6"/>
  <c r="Y26" i="16"/>
  <c r="Y15" i="15"/>
  <c r="Y21" i="15"/>
  <c r="Y9" i="15"/>
  <c r="Y31" i="17"/>
  <c r="Y13" i="15"/>
  <c r="X27" i="15"/>
  <c r="X4" i="16"/>
  <c r="X32" i="17"/>
  <c r="Y8" i="17"/>
  <c r="Y33" i="16"/>
  <c r="Y17" i="17"/>
  <c r="Y30" i="16"/>
  <c r="Y7" i="17"/>
  <c r="Y32" i="16"/>
  <c r="Y22" i="17"/>
  <c r="Y23" i="17"/>
  <c r="Y31" i="16"/>
  <c r="Y28" i="15"/>
  <c r="Y30" i="17"/>
  <c r="Y140" i="6"/>
  <c r="Y13" i="16"/>
  <c r="X19" i="17"/>
  <c r="Y20" i="17"/>
  <c r="Y6" i="15"/>
  <c r="Y21" i="17"/>
  <c r="Y31" i="15"/>
  <c r="Y23" i="15"/>
  <c r="Y16" i="16"/>
  <c r="Y50" i="38"/>
  <c r="X10" i="16"/>
  <c r="X6" i="15"/>
  <c r="X31" i="16"/>
  <c r="Y131" i="6"/>
  <c r="X11" i="16"/>
  <c r="X22" i="16"/>
  <c r="X10" i="15"/>
  <c r="X50" i="39"/>
  <c r="X8" i="16"/>
  <c r="X36" i="39"/>
  <c r="X138" i="6"/>
  <c r="X146" i="6"/>
  <c r="Y19" i="13"/>
  <c r="Y19" i="16" s="1"/>
  <c r="X7" i="16"/>
  <c r="X29" i="12"/>
  <c r="X29" i="15" s="1"/>
  <c r="X3" i="9"/>
  <c r="X134" i="6"/>
  <c r="X28" i="15"/>
  <c r="X25" i="15"/>
  <c r="X24" i="15"/>
  <c r="X33" i="16"/>
  <c r="X148" i="6"/>
  <c r="X9" i="15"/>
  <c r="X50" i="38"/>
  <c r="X21" i="17"/>
  <c r="X7" i="15"/>
  <c r="X132" i="6"/>
  <c r="Y19" i="12"/>
  <c r="Y19" i="15" s="1"/>
  <c r="X23" i="17"/>
  <c r="X28" i="16"/>
  <c r="Y50" i="37"/>
  <c r="Y44" i="37" s="1"/>
  <c r="X4" i="10"/>
  <c r="X10" i="17"/>
  <c r="X14" i="16"/>
  <c r="X21" i="16"/>
  <c r="X135" i="6"/>
  <c r="X5" i="15"/>
  <c r="X30" i="17"/>
  <c r="X23" i="16"/>
  <c r="X19" i="12"/>
  <c r="X19" i="15" s="1"/>
  <c r="X30" i="15"/>
  <c r="X26" i="16"/>
  <c r="Y5" i="38"/>
  <c r="Y33" i="36" s="1"/>
  <c r="X145" i="6"/>
  <c r="Y27" i="13"/>
  <c r="Y27" i="16" s="1"/>
  <c r="X29" i="25"/>
  <c r="X29" i="28" s="1"/>
  <c r="X4" i="17"/>
  <c r="X140" i="6"/>
  <c r="X16" i="15"/>
  <c r="X20" i="17"/>
  <c r="X32" i="16"/>
  <c r="X8" i="15"/>
  <c r="X23" i="15"/>
  <c r="Y31" i="36"/>
  <c r="Y34" i="36"/>
  <c r="Y32" i="36"/>
  <c r="X8" i="36"/>
  <c r="X3" i="11"/>
  <c r="X3" i="35"/>
  <c r="Y159" i="6"/>
  <c r="Y135" i="6"/>
  <c r="Y34" i="37"/>
  <c r="X5" i="38"/>
  <c r="X38" i="38" s="1"/>
  <c r="X44" i="37"/>
  <c r="Y163" i="6"/>
  <c r="Y165" i="6"/>
  <c r="Y3" i="31"/>
  <c r="X158" i="6"/>
  <c r="X125" i="6"/>
  <c r="Y164" i="6"/>
  <c r="X3" i="32"/>
  <c r="X3" i="30"/>
  <c r="X3" i="33"/>
  <c r="Y171" i="6"/>
  <c r="Y162" i="6"/>
  <c r="Y157" i="6"/>
  <c r="Y124" i="6"/>
  <c r="Y134" i="6"/>
  <c r="Y125" i="6"/>
  <c r="X12" i="15"/>
  <c r="X13" i="16"/>
  <c r="X16" i="16"/>
  <c r="Y169" i="6"/>
  <c r="X35" i="39"/>
  <c r="X16" i="25"/>
  <c r="X16" i="28" s="1"/>
  <c r="X30" i="16"/>
  <c r="X9" i="17"/>
  <c r="X31" i="17"/>
  <c r="X147" i="6"/>
  <c r="X26" i="15"/>
  <c r="X5" i="33"/>
  <c r="X139" i="6"/>
  <c r="X22" i="17"/>
  <c r="X31" i="15"/>
  <c r="X6" i="16"/>
  <c r="X5" i="16"/>
  <c r="X7" i="17"/>
  <c r="X6" i="17"/>
  <c r="X21" i="15"/>
  <c r="X14" i="15"/>
  <c r="X20" i="15"/>
  <c r="X18" i="16"/>
  <c r="X18" i="15"/>
  <c r="X17" i="16"/>
  <c r="X141" i="6"/>
  <c r="X17" i="15"/>
  <c r="X20" i="16"/>
  <c r="X137" i="6"/>
  <c r="X13" i="15"/>
  <c r="X133" i="6"/>
  <c r="X157" i="6"/>
  <c r="X25" i="16"/>
  <c r="Y5" i="32"/>
  <c r="Y6" i="29"/>
  <c r="X17" i="17"/>
  <c r="X9" i="16"/>
  <c r="Y36" i="39"/>
  <c r="Y155" i="6"/>
  <c r="X8" i="29"/>
  <c r="X5" i="34"/>
  <c r="X15" i="16"/>
  <c r="X32" i="15"/>
  <c r="X33" i="15"/>
  <c r="X5" i="17"/>
  <c r="X11" i="15"/>
  <c r="X24" i="17"/>
  <c r="Y7" i="29"/>
  <c r="X12" i="16"/>
  <c r="X24" i="16"/>
  <c r="X8" i="17"/>
  <c r="X3" i="20"/>
  <c r="X4" i="24"/>
  <c r="X4" i="27" s="1"/>
  <c r="X4" i="21"/>
  <c r="Y137" i="6"/>
  <c r="Y161" i="6"/>
  <c r="Y9" i="29"/>
  <c r="Y5" i="35"/>
  <c r="Y146" i="6"/>
  <c r="Y170" i="6"/>
  <c r="Y100" i="6"/>
  <c r="Y47" i="6"/>
  <c r="X29" i="24"/>
  <c r="X29" i="27" s="1"/>
  <c r="X29" i="21"/>
  <c r="X143" i="6"/>
  <c r="X167" i="6"/>
  <c r="Y3" i="11"/>
  <c r="Y4" i="14"/>
  <c r="Y4" i="17" s="1"/>
  <c r="Y114" i="6"/>
  <c r="Y81" i="6"/>
  <c r="Y19" i="10"/>
  <c r="X16" i="24"/>
  <c r="X16" i="27" s="1"/>
  <c r="X16" i="21"/>
  <c r="X27" i="23"/>
  <c r="X27" i="26" s="1"/>
  <c r="X27" i="24"/>
  <c r="X27" i="27" s="1"/>
  <c r="X3" i="22"/>
  <c r="X4" i="25"/>
  <c r="X4" i="28" s="1"/>
  <c r="X19" i="21"/>
  <c r="X19" i="24"/>
  <c r="X19" i="27" s="1"/>
  <c r="Y4" i="10"/>
  <c r="Y4" i="13"/>
  <c r="Y4" i="16" s="1"/>
  <c r="Y3" i="9"/>
  <c r="X19" i="23"/>
  <c r="X19" i="26" s="1"/>
  <c r="Y16" i="21"/>
  <c r="Y16" i="24"/>
  <c r="Y16" i="27" s="1"/>
  <c r="Y3" i="22"/>
  <c r="Y4" i="25"/>
  <c r="Y4" i="28" s="1"/>
  <c r="Y4" i="23"/>
  <c r="Y4" i="26" s="1"/>
  <c r="Y3" i="19"/>
  <c r="X15" i="23"/>
  <c r="X15" i="26" s="1"/>
  <c r="X15" i="24"/>
  <c r="X15" i="27" s="1"/>
  <c r="Y5" i="34"/>
  <c r="Y8" i="29"/>
  <c r="Y29" i="10"/>
  <c r="Y29" i="13"/>
  <c r="Y29" i="16" s="1"/>
  <c r="Y3" i="20"/>
  <c r="Y4" i="21"/>
  <c r="Y4" i="24"/>
  <c r="Y4" i="27" s="1"/>
  <c r="Y15" i="23"/>
  <c r="Y15" i="26" s="1"/>
  <c r="Y29" i="21"/>
  <c r="Y29" i="24"/>
  <c r="Y29" i="27" s="1"/>
  <c r="Y19" i="24"/>
  <c r="Y19" i="27" s="1"/>
  <c r="Y19" i="21"/>
  <c r="Y4" i="29"/>
  <c r="Y5" i="30"/>
  <c r="Y11" i="29"/>
  <c r="Y3" i="8"/>
  <c r="Y4" i="12"/>
  <c r="Y4" i="15" s="1"/>
  <c r="X19" i="25"/>
  <c r="X19" i="28" s="1"/>
  <c r="Y123" i="6"/>
  <c r="Y132" i="6"/>
  <c r="Y156" i="6"/>
  <c r="Y16" i="10"/>
  <c r="Y35" i="39"/>
  <c r="X31" i="36"/>
  <c r="X34" i="36"/>
  <c r="X32" i="36"/>
  <c r="X38" i="39"/>
  <c r="Y39" i="37"/>
  <c r="Y40" i="37"/>
  <c r="Y32" i="37"/>
  <c r="X37" i="39"/>
  <c r="X34" i="37"/>
  <c r="Y38" i="39" l="1"/>
  <c r="X3" i="29"/>
  <c r="X36" i="37"/>
  <c r="X3" i="12"/>
  <c r="Y38" i="37"/>
  <c r="X168" i="6"/>
  <c r="X3" i="31"/>
  <c r="X35" i="37"/>
  <c r="Y33" i="37"/>
  <c r="Y35" i="37"/>
  <c r="Y44" i="39"/>
  <c r="Y37" i="37"/>
  <c r="X39" i="37"/>
  <c r="X40" i="37"/>
  <c r="X37" i="37"/>
  <c r="X32" i="37"/>
  <c r="X33" i="37"/>
  <c r="X38" i="37"/>
  <c r="X31" i="37" s="1"/>
  <c r="X3" i="13"/>
  <c r="X3" i="10"/>
  <c r="X129" i="6"/>
  <c r="Y39" i="38"/>
  <c r="Y44" i="38"/>
  <c r="X3" i="14"/>
  <c r="X154" i="6"/>
  <c r="X121" i="6"/>
  <c r="X31" i="39"/>
  <c r="Y33" i="38"/>
  <c r="Y34" i="38"/>
  <c r="Y35" i="38"/>
  <c r="Y32" i="38"/>
  <c r="Y36" i="38"/>
  <c r="Y40" i="38"/>
  <c r="Y38" i="38"/>
  <c r="Y37" i="38"/>
  <c r="Y3" i="32"/>
  <c r="Y31" i="39"/>
  <c r="Y3" i="12"/>
  <c r="Y3" i="33"/>
  <c r="X36" i="38"/>
  <c r="X35" i="38"/>
  <c r="X44" i="38"/>
  <c r="X33" i="38"/>
  <c r="Y121" i="6"/>
  <c r="X3" i="26"/>
  <c r="X39" i="38"/>
  <c r="X37" i="38"/>
  <c r="Y3" i="35"/>
  <c r="X32" i="38"/>
  <c r="Y3" i="14"/>
  <c r="Y3" i="34"/>
  <c r="Y3" i="25"/>
  <c r="X3" i="15"/>
  <c r="X34" i="38"/>
  <c r="X33" i="36"/>
  <c r="X3" i="34"/>
  <c r="X3" i="25"/>
  <c r="X40" i="38"/>
  <c r="Y3" i="23"/>
  <c r="Y3" i="10"/>
  <c r="Y3" i="13"/>
  <c r="Y144" i="6"/>
  <c r="Y168" i="6"/>
  <c r="Y99" i="6"/>
  <c r="Y61" i="6"/>
  <c r="Y57" i="6"/>
  <c r="Y60" i="6"/>
  <c r="Y55" i="6"/>
  <c r="Y59" i="6"/>
  <c r="Y58" i="6"/>
  <c r="Y3" i="24"/>
  <c r="Y3" i="21"/>
  <c r="Y56" i="6"/>
  <c r="Y3" i="30"/>
  <c r="Y3" i="29"/>
  <c r="Y130" i="6"/>
  <c r="Y154" i="6"/>
  <c r="Y93" i="6"/>
  <c r="Y89" i="6"/>
  <c r="Y113" i="6"/>
  <c r="Y91" i="6"/>
  <c r="Y94" i="6"/>
  <c r="Y92" i="6"/>
  <c r="Y90" i="6"/>
  <c r="X3" i="21"/>
  <c r="X3" i="24"/>
  <c r="Y31" i="37" l="1"/>
  <c r="X3" i="16"/>
  <c r="X3" i="17"/>
  <c r="Y31" i="38"/>
  <c r="X31" i="38"/>
  <c r="Y3" i="27"/>
  <c r="Y3" i="28"/>
  <c r="Y3" i="16"/>
  <c r="X3" i="27"/>
  <c r="Y3" i="26"/>
  <c r="Y3" i="17"/>
  <c r="Y3" i="15"/>
  <c r="X3" i="28"/>
  <c r="Y143" i="6"/>
  <c r="Y167" i="6"/>
  <c r="Y129" i="6"/>
  <c r="Y153" i="6"/>
  <c r="Y14" i="6" l="1"/>
  <c r="X14" i="6"/>
  <c r="H9" i="36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D5" i="38" l="1"/>
  <c r="I5" i="38"/>
  <c r="X15" i="6"/>
  <c r="Y15" i="6"/>
  <c r="B5" i="38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B33" i="36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Q67" i="6" l="1"/>
  <c r="I67" i="6"/>
  <c r="C33" i="6" l="1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H31" i="6" l="1"/>
  <c r="N31" i="6"/>
  <c r="K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Q9" i="29" s="1"/>
  <c r="P17" i="29"/>
  <c r="P9" i="29" s="1"/>
  <c r="O17" i="29"/>
  <c r="O9" i="29" s="1"/>
  <c r="N17" i="29"/>
  <c r="N9" i="29" s="1"/>
  <c r="M17" i="29"/>
  <c r="M9" i="29" s="1"/>
  <c r="L17" i="29"/>
  <c r="L9" i="29" s="1"/>
  <c r="K17" i="29"/>
  <c r="K9" i="29" s="1"/>
  <c r="J17" i="29"/>
  <c r="J9" i="29" s="1"/>
  <c r="I17" i="29"/>
  <c r="I9" i="29" s="1"/>
  <c r="H17" i="29"/>
  <c r="H9" i="29" s="1"/>
  <c r="G17" i="29"/>
  <c r="G9" i="29" s="1"/>
  <c r="F17" i="29"/>
  <c r="F9" i="29" s="1"/>
  <c r="E17" i="29"/>
  <c r="E9" i="29" s="1"/>
  <c r="D17" i="29"/>
  <c r="D9" i="29" s="1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P8" i="29" s="1"/>
  <c r="O16" i="29"/>
  <c r="O8" i="29" s="1"/>
  <c r="N16" i="29"/>
  <c r="N8" i="29" s="1"/>
  <c r="M16" i="29"/>
  <c r="M8" i="29" s="1"/>
  <c r="L16" i="29"/>
  <c r="L8" i="29" s="1"/>
  <c r="K16" i="29"/>
  <c r="K8" i="29" s="1"/>
  <c r="J16" i="29"/>
  <c r="J8" i="29" s="1"/>
  <c r="I16" i="29"/>
  <c r="I8" i="29" s="1"/>
  <c r="H16" i="29"/>
  <c r="G16" i="29"/>
  <c r="G8" i="29" s="1"/>
  <c r="F16" i="29"/>
  <c r="F8" i="29" s="1"/>
  <c r="E16" i="29"/>
  <c r="E8" i="29" s="1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Q7" i="29" s="1"/>
  <c r="P15" i="29"/>
  <c r="P7" i="29" s="1"/>
  <c r="O15" i="29"/>
  <c r="O7" i="29" s="1"/>
  <c r="N15" i="29"/>
  <c r="N7" i="29" s="1"/>
  <c r="M15" i="29"/>
  <c r="M7" i="29" s="1"/>
  <c r="L15" i="29"/>
  <c r="L7" i="29" s="1"/>
  <c r="K15" i="29"/>
  <c r="K7" i="29" s="1"/>
  <c r="J15" i="29"/>
  <c r="J7" i="29" s="1"/>
  <c r="I15" i="29"/>
  <c r="I7" i="29" s="1"/>
  <c r="H15" i="29"/>
  <c r="H7" i="29" s="1"/>
  <c r="G15" i="29"/>
  <c r="G7" i="29" s="1"/>
  <c r="F15" i="29"/>
  <c r="F7" i="29" s="1"/>
  <c r="E15" i="29"/>
  <c r="E7" i="29" s="1"/>
  <c r="D15" i="29"/>
  <c r="D7" i="29" s="1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P6" i="29" s="1"/>
  <c r="O14" i="29"/>
  <c r="O6" i="29" s="1"/>
  <c r="N14" i="29"/>
  <c r="N6" i="29" s="1"/>
  <c r="M14" i="29"/>
  <c r="M6" i="29" s="1"/>
  <c r="L14" i="29"/>
  <c r="L6" i="29" s="1"/>
  <c r="K14" i="29"/>
  <c r="K6" i="29" s="1"/>
  <c r="J14" i="29"/>
  <c r="J6" i="29" s="1"/>
  <c r="I14" i="29"/>
  <c r="I6" i="29" s="1"/>
  <c r="H14" i="29"/>
  <c r="H6" i="29" s="1"/>
  <c r="G14" i="29"/>
  <c r="G6" i="29" s="1"/>
  <c r="F14" i="29"/>
  <c r="F6" i="29" s="1"/>
  <c r="E14" i="29"/>
  <c r="E6" i="29" s="1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Q5" i="29" s="1"/>
  <c r="P13" i="29"/>
  <c r="P5" i="29" s="1"/>
  <c r="O13" i="29"/>
  <c r="O5" i="29" s="1"/>
  <c r="N13" i="29"/>
  <c r="M13" i="29"/>
  <c r="L13" i="29"/>
  <c r="L5" i="29" s="1"/>
  <c r="K13" i="29"/>
  <c r="J13" i="29"/>
  <c r="J5" i="29" s="1"/>
  <c r="I13" i="29"/>
  <c r="I5" i="29" s="1"/>
  <c r="H13" i="29"/>
  <c r="H5" i="29" s="1"/>
  <c r="G13" i="29"/>
  <c r="F13" i="29"/>
  <c r="F5" i="29" s="1"/>
  <c r="E13" i="29"/>
  <c r="D13" i="29"/>
  <c r="D5" i="29" s="1"/>
  <c r="W12" i="29"/>
  <c r="W5" i="30" s="1"/>
  <c r="V12" i="29"/>
  <c r="V5" i="30" s="1"/>
  <c r="U12" i="29"/>
  <c r="U5" i="30" s="1"/>
  <c r="T12" i="29"/>
  <c r="S12" i="29"/>
  <c r="S5" i="30" s="1"/>
  <c r="R12" i="29"/>
  <c r="R5" i="30" s="1"/>
  <c r="Q12" i="29"/>
  <c r="P12" i="29"/>
  <c r="P4" i="29" s="1"/>
  <c r="O12" i="29"/>
  <c r="O4" i="29" s="1"/>
  <c r="N12" i="29"/>
  <c r="N4" i="29" s="1"/>
  <c r="M12" i="29"/>
  <c r="M4" i="29" s="1"/>
  <c r="L12" i="29"/>
  <c r="K12" i="29"/>
  <c r="J12" i="29"/>
  <c r="I12" i="29"/>
  <c r="H12" i="29"/>
  <c r="H4" i="29" s="1"/>
  <c r="G12" i="29"/>
  <c r="G4" i="29" s="1"/>
  <c r="F12" i="29"/>
  <c r="F4" i="29" s="1"/>
  <c r="E12" i="29"/>
  <c r="E4" i="29" s="1"/>
  <c r="D12" i="29"/>
  <c r="H8" i="29"/>
  <c r="K5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V4" i="29" l="1"/>
  <c r="T7" i="29"/>
  <c r="R7" i="29"/>
  <c r="V8" i="29"/>
  <c r="W8" i="29"/>
  <c r="S7" i="29"/>
  <c r="N11" i="29"/>
  <c r="L11" i="29"/>
  <c r="U8" i="29"/>
  <c r="W4" i="29"/>
  <c r="J11" i="29"/>
  <c r="K11" i="29"/>
  <c r="R5" i="29"/>
  <c r="S5" i="29"/>
  <c r="T5" i="29"/>
  <c r="T11" i="29"/>
  <c r="U6" i="29"/>
  <c r="V6" i="29"/>
  <c r="W6" i="29"/>
  <c r="R9" i="29"/>
  <c r="S9" i="29"/>
  <c r="G11" i="29"/>
  <c r="T9" i="29"/>
  <c r="U11" i="29"/>
  <c r="V11" i="29"/>
  <c r="W11" i="29"/>
  <c r="U4" i="29"/>
  <c r="D11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6" i="10" s="1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19" i="23" s="1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U15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8" i="34"/>
  <c r="S3" i="33"/>
  <c r="S8" i="32"/>
  <c r="W8" i="30"/>
  <c r="W8" i="35"/>
  <c r="S8" i="33"/>
  <c r="U8" i="32"/>
  <c r="W8" i="31"/>
  <c r="B69" i="29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S8" i="30"/>
  <c r="G3" i="29"/>
  <c r="P11" i="29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R3" i="35" l="1"/>
  <c r="N3" i="29"/>
  <c r="W3" i="31"/>
  <c r="T3" i="35"/>
  <c r="U3" i="32"/>
  <c r="K3" i="29"/>
  <c r="V3" i="32"/>
  <c r="W3" i="32"/>
  <c r="W3" i="35"/>
  <c r="V3" i="31"/>
  <c r="W3" i="8"/>
  <c r="W3" i="29"/>
  <c r="V4" i="14"/>
  <c r="U19" i="25"/>
  <c r="U3" i="30"/>
  <c r="R3" i="8"/>
  <c r="U27" i="24"/>
  <c r="R3" i="29"/>
  <c r="S3" i="30"/>
  <c r="T15" i="12"/>
  <c r="T19" i="14"/>
  <c r="T3" i="11"/>
  <c r="T27" i="13"/>
  <c r="S3" i="32"/>
  <c r="S15" i="24"/>
  <c r="S3" i="29"/>
  <c r="S3" i="34"/>
  <c r="U3" i="22"/>
  <c r="V3" i="19"/>
  <c r="R19" i="14"/>
  <c r="S3" i="8"/>
  <c r="S3" i="12" s="1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V3" i="23" l="1"/>
  <c r="T3" i="14"/>
  <c r="U3" i="25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C81" i="6" l="1"/>
  <c r="C113" i="6" s="1"/>
  <c r="S81" i="6"/>
  <c r="S113" i="6" s="1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C47" i="6"/>
  <c r="C99" i="6" s="1"/>
  <c r="C89" i="6"/>
  <c r="C92" i="6"/>
  <c r="C93" i="6"/>
  <c r="C94" i="6"/>
  <c r="T56" i="6" l="1"/>
  <c r="L90" i="6"/>
  <c r="S91" i="6"/>
  <c r="O56" i="6"/>
  <c r="C90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D15" i="16" s="1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I15" i="16" s="1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O32" i="28" s="1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N26" i="21"/>
  <c r="C18" i="21"/>
  <c r="F17" i="21"/>
  <c r="P16" i="22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P23" i="28" s="1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I30" i="17" s="1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N10" i="25"/>
  <c r="P8" i="25"/>
  <c r="P8" i="28" s="1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Q9" i="17" s="1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E27" i="10"/>
  <c r="M25" i="10"/>
  <c r="E25" i="10"/>
  <c r="E24" i="10"/>
  <c r="M23" i="10"/>
  <c r="E23" i="10"/>
  <c r="M21" i="10"/>
  <c r="E21" i="10"/>
  <c r="E20" i="10"/>
  <c r="P19" i="9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D33" i="21"/>
  <c r="O32" i="21"/>
  <c r="O29" i="19"/>
  <c r="G32" i="21"/>
  <c r="C29" i="19"/>
  <c r="N31" i="21"/>
  <c r="N29" i="19"/>
  <c r="J31" i="21"/>
  <c r="J29" i="19"/>
  <c r="F31" i="21"/>
  <c r="F29" i="19"/>
  <c r="Q29" i="19"/>
  <c r="Q30" i="21"/>
  <c r="M29" i="19"/>
  <c r="M29" i="23" s="1"/>
  <c r="M30" i="21"/>
  <c r="I29" i="19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C29" i="8"/>
  <c r="M19" i="8"/>
  <c r="E19" i="8"/>
  <c r="E19" i="12" s="1"/>
  <c r="Q19" i="8"/>
  <c r="G18" i="10"/>
  <c r="O17" i="10"/>
  <c r="K16" i="8"/>
  <c r="C16" i="8"/>
  <c r="C16" i="12" s="1"/>
  <c r="M4" i="8"/>
  <c r="E4" i="8"/>
  <c r="Q4" i="8"/>
  <c r="J33" i="10"/>
  <c r="B32" i="10"/>
  <c r="J31" i="10"/>
  <c r="N29" i="9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M33" i="10"/>
  <c r="E33" i="10"/>
  <c r="E32" i="10"/>
  <c r="M31" i="10"/>
  <c r="E31" i="10"/>
  <c r="P29" i="9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19" i="8"/>
  <c r="P16" i="8"/>
  <c r="P4" i="8"/>
  <c r="Q29" i="9"/>
  <c r="Q19" i="9"/>
  <c r="Q16" i="9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J19" i="19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16" i="8"/>
  <c r="H4" i="8"/>
  <c r="G33" i="16"/>
  <c r="K32" i="16"/>
  <c r="G32" i="16"/>
  <c r="G31" i="16"/>
  <c r="K30" i="16"/>
  <c r="G30" i="16"/>
  <c r="I19" i="9"/>
  <c r="I19" i="13" s="1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H4" i="19"/>
  <c r="D4" i="19"/>
  <c r="J4" i="19"/>
  <c r="O29" i="20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J20" i="27"/>
  <c r="J19" i="20"/>
  <c r="J19" i="24" s="1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K4" i="20"/>
  <c r="K5" i="21"/>
  <c r="G5" i="21"/>
  <c r="C5" i="21"/>
  <c r="C4" i="20"/>
  <c r="C4" i="24" s="1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F51" i="39"/>
  <c r="Q32" i="17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5" i="21"/>
  <c r="O4" i="19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L21" i="21"/>
  <c r="L21" i="27"/>
  <c r="H21" i="21"/>
  <c r="D21" i="21"/>
  <c r="D21" i="27"/>
  <c r="O20" i="21"/>
  <c r="O19" i="20"/>
  <c r="K20" i="21"/>
  <c r="K19" i="20"/>
  <c r="G20" i="21"/>
  <c r="G19" i="20"/>
  <c r="C20" i="21"/>
  <c r="C19" i="20"/>
  <c r="C19" i="24" s="1"/>
  <c r="L19" i="20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N29" i="8"/>
  <c r="N29" i="12" s="1"/>
  <c r="J29" i="8"/>
  <c r="F29" i="8"/>
  <c r="B29" i="8"/>
  <c r="N19" i="8"/>
  <c r="J19" i="8"/>
  <c r="J19" i="12" s="1"/>
  <c r="F19" i="8"/>
  <c r="B19" i="8"/>
  <c r="N16" i="8"/>
  <c r="J16" i="8"/>
  <c r="J16" i="12" s="1"/>
  <c r="F16" i="8"/>
  <c r="F16" i="12" s="1"/>
  <c r="B16" i="8"/>
  <c r="N4" i="8"/>
  <c r="J4" i="8"/>
  <c r="F4" i="8"/>
  <c r="B4" i="8"/>
  <c r="O29" i="9"/>
  <c r="K29" i="9"/>
  <c r="G29" i="9"/>
  <c r="C29" i="9"/>
  <c r="O19" i="9"/>
  <c r="K19" i="9"/>
  <c r="K19" i="13" s="1"/>
  <c r="G19" i="9"/>
  <c r="C19" i="9"/>
  <c r="O16" i="9"/>
  <c r="K16" i="9"/>
  <c r="K16" i="13" s="1"/>
  <c r="G16" i="9"/>
  <c r="C16" i="9"/>
  <c r="C4" i="9"/>
  <c r="E29" i="11"/>
  <c r="E19" i="1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F29" i="23" l="1"/>
  <c r="J29" i="23"/>
  <c r="J29" i="12"/>
  <c r="E4" i="24"/>
  <c r="P29" i="25"/>
  <c r="P29" i="28" s="1"/>
  <c r="E19" i="14"/>
  <c r="K29" i="13"/>
  <c r="K29" i="12"/>
  <c r="K16" i="24"/>
  <c r="N19" i="24"/>
  <c r="O4" i="23"/>
  <c r="O4" i="24"/>
  <c r="N19" i="23"/>
  <c r="P19" i="13"/>
  <c r="G16" i="12"/>
  <c r="C4" i="13"/>
  <c r="O4" i="12"/>
  <c r="C16" i="13"/>
  <c r="F4" i="24"/>
  <c r="E4" i="23"/>
  <c r="H4" i="12"/>
  <c r="J29" i="13"/>
  <c r="C4" i="12"/>
  <c r="G19" i="24"/>
  <c r="P29" i="12"/>
  <c r="P29" i="15" s="1"/>
  <c r="H29" i="23"/>
  <c r="H29" i="26" s="1"/>
  <c r="O29" i="13"/>
  <c r="O29" i="16" s="1"/>
  <c r="P19" i="24"/>
  <c r="P19" i="27" s="1"/>
  <c r="J19" i="23"/>
  <c r="P29" i="13"/>
  <c r="P29" i="16" s="1"/>
  <c r="H29" i="24"/>
  <c r="G19" i="23"/>
  <c r="G19" i="26" s="1"/>
  <c r="O29" i="23"/>
  <c r="O29" i="26" s="1"/>
  <c r="O29" i="12"/>
  <c r="O29" i="15" s="1"/>
  <c r="C17" i="16"/>
  <c r="E4" i="13"/>
  <c r="P4" i="12"/>
  <c r="O4" i="13"/>
  <c r="O4" i="16" s="1"/>
  <c r="K4" i="24"/>
  <c r="K4" i="27" s="1"/>
  <c r="D16" i="13"/>
  <c r="D16" i="16" s="1"/>
  <c r="O16" i="24"/>
  <c r="B16" i="13"/>
  <c r="M29" i="24"/>
  <c r="L19" i="24"/>
  <c r="N29" i="13"/>
  <c r="K19" i="12"/>
  <c r="K19" i="15" s="1"/>
  <c r="H29" i="12"/>
  <c r="D16" i="25"/>
  <c r="O29" i="24"/>
  <c r="J4" i="12"/>
  <c r="H4" i="23"/>
  <c r="Q16" i="13"/>
  <c r="O16" i="12"/>
  <c r="O16" i="15" s="1"/>
  <c r="N4" i="12"/>
  <c r="N4" i="15" s="1"/>
  <c r="L4" i="23"/>
  <c r="L4" i="26" s="1"/>
  <c r="N29" i="24"/>
  <c r="N29" i="27" s="1"/>
  <c r="D16" i="14"/>
  <c r="D16" i="17" s="1"/>
  <c r="K16" i="12"/>
  <c r="K16" i="15" s="1"/>
  <c r="I29" i="23"/>
  <c r="I29" i="26" s="1"/>
  <c r="C19" i="23"/>
  <c r="C19" i="26" s="1"/>
  <c r="F4" i="12"/>
  <c r="F4" i="15" s="1"/>
  <c r="E19" i="24"/>
  <c r="E19" i="27" s="1"/>
  <c r="P16" i="25"/>
  <c r="G29" i="12"/>
  <c r="G29" i="13"/>
  <c r="G29" i="16" s="1"/>
  <c r="I4" i="23"/>
  <c r="I4" i="26" s="1"/>
  <c r="G16" i="13"/>
  <c r="G16" i="16" s="1"/>
  <c r="N29" i="23"/>
  <c r="N29" i="26" s="1"/>
  <c r="C19" i="13"/>
  <c r="C19" i="16" s="1"/>
  <c r="K19" i="24"/>
  <c r="K19" i="27" s="1"/>
  <c r="O19" i="23"/>
  <c r="O19" i="26" s="1"/>
  <c r="Q29" i="24"/>
  <c r="G29" i="24"/>
  <c r="G29" i="27" s="1"/>
  <c r="C19" i="12"/>
  <c r="C19" i="15" s="1"/>
  <c r="P16" i="23"/>
  <c r="P16" i="26" s="1"/>
  <c r="M4" i="14"/>
  <c r="M4" i="17" s="1"/>
  <c r="O16" i="13"/>
  <c r="O16" i="23"/>
  <c r="O16" i="26" s="1"/>
  <c r="F19" i="12"/>
  <c r="F19" i="15" s="1"/>
  <c r="M16" i="24"/>
  <c r="J4" i="23"/>
  <c r="J4" i="26" s="1"/>
  <c r="P19" i="12"/>
  <c r="P19" i="15" s="1"/>
  <c r="H4" i="24"/>
  <c r="H4" i="27" s="1"/>
  <c r="M4" i="12"/>
  <c r="M4" i="15" s="1"/>
  <c r="O19" i="24"/>
  <c r="O19" i="27" s="1"/>
  <c r="P16" i="24"/>
  <c r="P16" i="27" s="1"/>
  <c r="L19" i="13"/>
  <c r="G4" i="23"/>
  <c r="P4" i="24"/>
  <c r="P4" i="27" s="1"/>
  <c r="C29" i="24"/>
  <c r="C29" i="27" s="1"/>
  <c r="G4" i="24"/>
  <c r="G4" i="27" s="1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4" i="24"/>
  <c r="D4" i="27" s="1"/>
  <c r="P19" i="23"/>
  <c r="P19" i="26" s="1"/>
  <c r="N16" i="14"/>
  <c r="N16" i="17" s="1"/>
  <c r="D4" i="13"/>
  <c r="D4" i="16" s="1"/>
  <c r="N16" i="12"/>
  <c r="N16" i="15" s="1"/>
  <c r="E16" i="12"/>
  <c r="E16" i="15" s="1"/>
  <c r="I16" i="14"/>
  <c r="I16" i="17" s="1"/>
  <c r="Q4" i="23"/>
  <c r="Q4" i="26" s="1"/>
  <c r="J29" i="24"/>
  <c r="J29" i="27" s="1"/>
  <c r="P16" i="13"/>
  <c r="P16" i="16" s="1"/>
  <c r="C29" i="12"/>
  <c r="G16" i="24"/>
  <c r="I4" i="12"/>
  <c r="I4" i="15" s="1"/>
  <c r="L16" i="13"/>
  <c r="L16" i="16" s="1"/>
  <c r="B29" i="13"/>
  <c r="B29" i="16" s="1"/>
  <c r="L4" i="24"/>
  <c r="L4" i="27" s="1"/>
  <c r="Q29" i="23"/>
  <c r="Q29" i="26" s="1"/>
  <c r="G16" i="25"/>
  <c r="G16" i="28" s="1"/>
  <c r="Q4" i="24"/>
  <c r="D4" i="23"/>
  <c r="C29" i="13"/>
  <c r="B29" i="12"/>
  <c r="H19" i="24"/>
  <c r="H19" i="27" s="1"/>
  <c r="Q4" i="12"/>
  <c r="B4" i="14"/>
  <c r="B4" i="17" s="1"/>
  <c r="N19" i="12"/>
  <c r="D29" i="25"/>
  <c r="D29" i="28" s="1"/>
  <c r="F16" i="24"/>
  <c r="F16" i="27" s="1"/>
  <c r="D29" i="24"/>
  <c r="D29" i="27" s="1"/>
  <c r="G19" i="14"/>
  <c r="G19" i="17" s="1"/>
  <c r="D29" i="23"/>
  <c r="D29" i="26" s="1"/>
  <c r="I16" i="13"/>
  <c r="I16" i="16" s="1"/>
  <c r="B4" i="13"/>
  <c r="B4" i="16" s="1"/>
  <c r="M4" i="23"/>
  <c r="M4" i="26" s="1"/>
  <c r="B4" i="12"/>
  <c r="B4" i="15" s="1"/>
  <c r="I16" i="23"/>
  <c r="I16" i="26" s="1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19" i="13"/>
  <c r="H19" i="16" s="1"/>
  <c r="I19" i="24"/>
  <c r="I19" i="27" s="1"/>
  <c r="K16" i="23"/>
  <c r="E29" i="13"/>
  <c r="L16" i="24"/>
  <c r="L16" i="27" s="1"/>
  <c r="M4" i="13"/>
  <c r="M4" i="16" s="1"/>
  <c r="D27" i="13"/>
  <c r="D27" i="16" s="1"/>
  <c r="D27" i="12"/>
  <c r="D27" i="15" s="1"/>
  <c r="M27" i="12"/>
  <c r="M27" i="15" s="1"/>
  <c r="M27" i="13"/>
  <c r="G16" i="23"/>
  <c r="G16" i="26" s="1"/>
  <c r="M27" i="23"/>
  <c r="M27" i="26" s="1"/>
  <c r="M27" i="24"/>
  <c r="M27" i="27" s="1"/>
  <c r="O19" i="13"/>
  <c r="O19" i="16" s="1"/>
  <c r="E15" i="24"/>
  <c r="E15" i="27" s="1"/>
  <c r="E15" i="23"/>
  <c r="E15" i="26" s="1"/>
  <c r="Q19" i="13"/>
  <c r="Q19" i="16" s="1"/>
  <c r="I29" i="12"/>
  <c r="I29" i="15" s="1"/>
  <c r="D19" i="13"/>
  <c r="D19" i="16" s="1"/>
  <c r="E4" i="12"/>
  <c r="M19" i="12"/>
  <c r="M19" i="15" s="1"/>
  <c r="N27" i="12"/>
  <c r="N27" i="15" s="1"/>
  <c r="N27" i="13"/>
  <c r="N27" i="16" s="1"/>
  <c r="E29" i="23"/>
  <c r="E29" i="26" s="1"/>
  <c r="N19" i="13"/>
  <c r="N19" i="16" s="1"/>
  <c r="M16" i="12"/>
  <c r="E29" i="12"/>
  <c r="E29" i="15" s="1"/>
  <c r="P27" i="13"/>
  <c r="P27" i="16" s="1"/>
  <c r="P27" i="12"/>
  <c r="P27" i="15" s="1"/>
  <c r="N27" i="23"/>
  <c r="N27" i="26" s="1"/>
  <c r="N27" i="24"/>
  <c r="N27" i="27" s="1"/>
  <c r="C27" i="12"/>
  <c r="C27" i="15" s="1"/>
  <c r="C27" i="13"/>
  <c r="C27" i="16" s="1"/>
  <c r="L19" i="12"/>
  <c r="L19" i="15" s="1"/>
  <c r="I27" i="13"/>
  <c r="I27" i="12"/>
  <c r="I27" i="15" s="1"/>
  <c r="E27" i="12"/>
  <c r="E27" i="13"/>
  <c r="E27" i="16" s="1"/>
  <c r="E19" i="23"/>
  <c r="E19" i="26" s="1"/>
  <c r="D15" i="23"/>
  <c r="D15" i="26" s="1"/>
  <c r="D15" i="24"/>
  <c r="D15" i="27" s="1"/>
  <c r="E19" i="13"/>
  <c r="E19" i="16" s="1"/>
  <c r="C16" i="23"/>
  <c r="C16" i="26" s="1"/>
  <c r="F16" i="23"/>
  <c r="F16" i="26" s="1"/>
  <c r="F3" i="19"/>
  <c r="F3" i="23" s="1"/>
  <c r="F3" i="26" s="1"/>
  <c r="F19" i="23"/>
  <c r="F19" i="26" s="1"/>
  <c r="B16" i="10"/>
  <c r="B16" i="12"/>
  <c r="Q27" i="13"/>
  <c r="Q27" i="16" s="1"/>
  <c r="Q27" i="12"/>
  <c r="Q27" i="15" s="1"/>
  <c r="F29" i="12"/>
  <c r="F29" i="15" s="1"/>
  <c r="L29" i="23"/>
  <c r="L29" i="26" s="1"/>
  <c r="I15" i="24"/>
  <c r="I15" i="27" s="1"/>
  <c r="I15" i="23"/>
  <c r="I15" i="26" s="1"/>
  <c r="M4" i="24"/>
  <c r="M4" i="27" s="1"/>
  <c r="I19" i="23"/>
  <c r="I19" i="26" s="1"/>
  <c r="Q19" i="23"/>
  <c r="Q19" i="26" s="1"/>
  <c r="G15" i="23"/>
  <c r="G15" i="26" s="1"/>
  <c r="G15" i="24"/>
  <c r="G15" i="27" s="1"/>
  <c r="H27" i="23"/>
  <c r="H27" i="26" s="1"/>
  <c r="H27" i="24"/>
  <c r="H27" i="27" s="1"/>
  <c r="Q29" i="13"/>
  <c r="I16" i="12"/>
  <c r="I16" i="15" s="1"/>
  <c r="F29" i="13"/>
  <c r="F29" i="16" s="1"/>
  <c r="D29" i="13"/>
  <c r="D29" i="16" s="1"/>
  <c r="C4" i="23"/>
  <c r="C4" i="26" s="1"/>
  <c r="K4" i="23"/>
  <c r="K4" i="26" s="1"/>
  <c r="M19" i="13"/>
  <c r="M19" i="16" s="1"/>
  <c r="N4" i="21"/>
  <c r="N4" i="24"/>
  <c r="P4" i="13"/>
  <c r="G29" i="23"/>
  <c r="B19" i="13"/>
  <c r="K27" i="12"/>
  <c r="K27" i="15" s="1"/>
  <c r="K27" i="13"/>
  <c r="K27" i="16" s="1"/>
  <c r="H15" i="23"/>
  <c r="H15" i="26" s="1"/>
  <c r="H15" i="24"/>
  <c r="H15" i="27" s="1"/>
  <c r="L16" i="12"/>
  <c r="L16" i="15" s="1"/>
  <c r="P15" i="23"/>
  <c r="P15" i="26" s="1"/>
  <c r="P15" i="24"/>
  <c r="P15" i="27" s="1"/>
  <c r="M29" i="12"/>
  <c r="M29" i="15" s="1"/>
  <c r="H16" i="12"/>
  <c r="H16" i="15" s="1"/>
  <c r="J15" i="24"/>
  <c r="J15" i="27" s="1"/>
  <c r="J15" i="23"/>
  <c r="J15" i="26" s="1"/>
  <c r="L27" i="23"/>
  <c r="L27" i="26" s="1"/>
  <c r="L27" i="24"/>
  <c r="L27" i="27" s="1"/>
  <c r="O19" i="12"/>
  <c r="G27" i="24"/>
  <c r="G27" i="27" s="1"/>
  <c r="G27" i="23"/>
  <c r="G27" i="26" s="1"/>
  <c r="L4" i="13"/>
  <c r="L4" i="16" s="1"/>
  <c r="K4" i="12"/>
  <c r="K4" i="15" s="1"/>
  <c r="P4" i="23"/>
  <c r="P4" i="26" s="1"/>
  <c r="K29" i="23"/>
  <c r="K29" i="26" s="1"/>
  <c r="G4" i="12"/>
  <c r="G4" i="15" s="1"/>
  <c r="B47" i="6"/>
  <c r="B58" i="6" s="1"/>
  <c r="B100" i="6"/>
  <c r="B121" i="6" s="1"/>
  <c r="O15" i="23"/>
  <c r="O15" i="26" s="1"/>
  <c r="O15" i="24"/>
  <c r="O15" i="27" s="1"/>
  <c r="E29" i="24"/>
  <c r="E29" i="27" s="1"/>
  <c r="K27" i="23"/>
  <c r="K27" i="24"/>
  <c r="K27" i="27" s="1"/>
  <c r="B27" i="12"/>
  <c r="B27" i="15" s="1"/>
  <c r="B27" i="13"/>
  <c r="B27" i="16" s="1"/>
  <c r="Q19" i="24"/>
  <c r="Q19" i="27" s="1"/>
  <c r="K15" i="23"/>
  <c r="K15" i="26" s="1"/>
  <c r="K15" i="24"/>
  <c r="K15" i="27" s="1"/>
  <c r="P27" i="23"/>
  <c r="P27" i="26" s="1"/>
  <c r="P27" i="24"/>
  <c r="P27" i="27" s="1"/>
  <c r="P16" i="12"/>
  <c r="F4" i="13"/>
  <c r="F4" i="16" s="1"/>
  <c r="L29" i="13"/>
  <c r="L29" i="16" s="1"/>
  <c r="L15" i="23"/>
  <c r="L15" i="26" s="1"/>
  <c r="L15" i="24"/>
  <c r="L15" i="27" s="1"/>
  <c r="J27" i="12"/>
  <c r="J27" i="15" s="1"/>
  <c r="J27" i="13"/>
  <c r="J27" i="16" s="1"/>
  <c r="E16" i="24"/>
  <c r="E16" i="27" s="1"/>
  <c r="D16" i="12"/>
  <c r="D16" i="15" s="1"/>
  <c r="M15" i="23"/>
  <c r="M15" i="26" s="1"/>
  <c r="M15" i="24"/>
  <c r="M15" i="27" s="1"/>
  <c r="D19" i="23"/>
  <c r="N15" i="23"/>
  <c r="N15" i="26" s="1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G4" i="16" s="1"/>
  <c r="N4" i="23"/>
  <c r="N4" i="26" s="1"/>
  <c r="H19" i="12"/>
  <c r="H19" i="15" s="1"/>
  <c r="L4" i="12"/>
  <c r="L4" i="15" s="1"/>
  <c r="I16" i="24"/>
  <c r="I16" i="27" s="1"/>
  <c r="H16" i="13"/>
  <c r="H16" i="16" s="1"/>
  <c r="L29" i="12"/>
  <c r="L29" i="15" s="1"/>
  <c r="M19" i="21"/>
  <c r="M19" i="24"/>
  <c r="M19" i="27" s="1"/>
  <c r="E27" i="23"/>
  <c r="E27" i="26" s="1"/>
  <c r="E27" i="24"/>
  <c r="E27" i="27" s="1"/>
  <c r="G19" i="13"/>
  <c r="G19" i="16" s="1"/>
  <c r="Q15" i="23"/>
  <c r="Q15" i="26" s="1"/>
  <c r="Q15" i="24"/>
  <c r="Q15" i="27" s="1"/>
  <c r="M16" i="23"/>
  <c r="M16" i="26" s="1"/>
  <c r="H19" i="23"/>
  <c r="O27" i="24"/>
  <c r="O27" i="27" s="1"/>
  <c r="O27" i="23"/>
  <c r="O27" i="26" s="1"/>
  <c r="Q19" i="12"/>
  <c r="Q19" i="15" s="1"/>
  <c r="J27" i="24"/>
  <c r="J27" i="27" s="1"/>
  <c r="J27" i="23"/>
  <c r="J27" i="26" s="1"/>
  <c r="N4" i="13"/>
  <c r="N4" i="16" s="1"/>
  <c r="Q16" i="12"/>
  <c r="Q16" i="15" s="1"/>
  <c r="L27" i="13"/>
  <c r="L27" i="16" s="1"/>
  <c r="L27" i="12"/>
  <c r="L27" i="15" s="1"/>
  <c r="K4" i="13"/>
  <c r="K4" i="16" s="1"/>
  <c r="I29" i="13"/>
  <c r="I29" i="16" s="1"/>
  <c r="J16" i="24"/>
  <c r="J16" i="27" s="1"/>
  <c r="H29" i="13"/>
  <c r="H29" i="16" s="1"/>
  <c r="Q27" i="23"/>
  <c r="Q27" i="26" s="1"/>
  <c r="Q27" i="24"/>
  <c r="Q27" i="27" s="1"/>
  <c r="K19" i="23"/>
  <c r="K19" i="26" s="1"/>
  <c r="F15" i="23"/>
  <c r="F15" i="26" s="1"/>
  <c r="F15" i="24"/>
  <c r="F15" i="27" s="1"/>
  <c r="G27" i="13"/>
  <c r="G27" i="16" s="1"/>
  <c r="G27" i="12"/>
  <c r="G27" i="15" s="1"/>
  <c r="O27" i="13"/>
  <c r="O27" i="16" s="1"/>
  <c r="O27" i="12"/>
  <c r="O27" i="15" s="1"/>
  <c r="B19" i="12"/>
  <c r="B19" i="15" s="1"/>
  <c r="I27" i="23"/>
  <c r="I27" i="24"/>
  <c r="I27" i="27" s="1"/>
  <c r="D27" i="23"/>
  <c r="D27" i="26" s="1"/>
  <c r="D27" i="24"/>
  <c r="L29" i="24"/>
  <c r="L29" i="27" s="1"/>
  <c r="L19" i="23"/>
  <c r="L19" i="26" s="1"/>
  <c r="C15" i="24"/>
  <c r="C15" i="27" s="1"/>
  <c r="C15" i="23"/>
  <c r="F27" i="13"/>
  <c r="F27" i="12"/>
  <c r="F27" i="15" s="1"/>
  <c r="F19" i="13"/>
  <c r="F19" i="16" s="1"/>
  <c r="Q29" i="12"/>
  <c r="Q29" i="15" s="1"/>
  <c r="H27" i="13"/>
  <c r="H27" i="16" s="1"/>
  <c r="H27" i="12"/>
  <c r="H27" i="15" s="1"/>
  <c r="C27" i="24"/>
  <c r="C27" i="27" s="1"/>
  <c r="C27" i="23"/>
  <c r="C27" i="26" s="1"/>
  <c r="L16" i="23"/>
  <c r="L16" i="26" s="1"/>
  <c r="M16" i="13"/>
  <c r="M16" i="16" s="1"/>
  <c r="F19" i="24"/>
  <c r="F19" i="27" s="1"/>
  <c r="E16" i="13"/>
  <c r="E16" i="16" s="1"/>
  <c r="N16" i="21"/>
  <c r="N16" i="24"/>
  <c r="N16" i="27" s="1"/>
  <c r="D4" i="12"/>
  <c r="D4" i="15" s="1"/>
  <c r="D29" i="12"/>
  <c r="D29" i="15" s="1"/>
  <c r="G19" i="12"/>
  <c r="G19" i="15" s="1"/>
  <c r="D19" i="12"/>
  <c r="D19" i="15" s="1"/>
  <c r="M31" i="39"/>
  <c r="M31" i="37"/>
  <c r="N19" i="25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N19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O16" i="28" s="1"/>
  <c r="K19" i="14"/>
  <c r="K19" i="17" s="1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L29" i="28" s="1"/>
  <c r="D7" i="27"/>
  <c r="I30" i="16"/>
  <c r="H9" i="15"/>
  <c r="H25" i="15"/>
  <c r="L24" i="28"/>
  <c r="I8" i="15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I7" i="15"/>
  <c r="I15" i="15"/>
  <c r="I8" i="17"/>
  <c r="I28" i="16"/>
  <c r="I24" i="15"/>
  <c r="H26" i="15"/>
  <c r="D4" i="14"/>
  <c r="D4" i="17" s="1"/>
  <c r="I25" i="16"/>
  <c r="H6" i="15"/>
  <c r="H14" i="15"/>
  <c r="D24" i="28"/>
  <c r="I31" i="15"/>
  <c r="I33" i="15"/>
  <c r="D18" i="15"/>
  <c r="M4" i="10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5"/>
  <c r="E16" i="28" s="1"/>
  <c r="G10" i="28"/>
  <c r="G23" i="26"/>
  <c r="G17" i="28"/>
  <c r="G22" i="28"/>
  <c r="G31" i="27"/>
  <c r="G9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G14" i="26"/>
  <c r="I17" i="26"/>
  <c r="J18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C17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E22" i="28"/>
  <c r="G31" i="15"/>
  <c r="K30" i="15"/>
  <c r="E30" i="26"/>
  <c r="G9" i="15"/>
  <c r="G17" i="15"/>
  <c r="G20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J11" i="16"/>
  <c r="M27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D16" i="28"/>
  <c r="J26" i="16"/>
  <c r="D19" i="14"/>
  <c r="D19" i="17" s="1"/>
  <c r="J31" i="16"/>
  <c r="K18" i="27"/>
  <c r="K20" i="27"/>
  <c r="K9" i="26"/>
  <c r="K26" i="26"/>
  <c r="K5" i="28"/>
  <c r="K7" i="27"/>
  <c r="K10" i="27"/>
  <c r="H44" i="37"/>
  <c r="K13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19" i="14"/>
  <c r="O19" i="17" s="1"/>
  <c r="D29" i="14"/>
  <c r="D29" i="17" s="1"/>
  <c r="O4" i="10"/>
  <c r="K32" i="26"/>
  <c r="D21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F27" i="16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K32" i="15"/>
  <c r="J16" i="14"/>
  <c r="J16" i="17" s="1"/>
  <c r="J16" i="21"/>
  <c r="H19" i="10"/>
  <c r="L31" i="37"/>
  <c r="P44" i="37"/>
  <c r="Q3" i="11"/>
  <c r="B30" i="15"/>
  <c r="B31" i="15"/>
  <c r="B32" i="15"/>
  <c r="B33" i="15"/>
  <c r="L17" i="26"/>
  <c r="L11" i="26"/>
  <c r="L7" i="27"/>
  <c r="L24" i="26"/>
  <c r="L6" i="27"/>
  <c r="L28" i="26"/>
  <c r="L14" i="27"/>
  <c r="L14" i="26"/>
  <c r="L10" i="28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0" i="27"/>
  <c r="O22" i="28"/>
  <c r="O5" i="28"/>
  <c r="O21" i="26"/>
  <c r="O28" i="27"/>
  <c r="O28" i="26"/>
  <c r="O32" i="27"/>
  <c r="O9" i="28"/>
  <c r="B19" i="14"/>
  <c r="B19" i="17" s="1"/>
  <c r="D44" i="37"/>
  <c r="C29" i="14"/>
  <c r="C29" i="17" s="1"/>
  <c r="O3" i="11"/>
  <c r="O3" i="14" s="1"/>
  <c r="O3" i="17" s="1"/>
  <c r="L3" i="8"/>
  <c r="E19" i="15"/>
  <c r="J29" i="26"/>
  <c r="I19" i="14"/>
  <c r="I19" i="17" s="1"/>
  <c r="I3" i="11"/>
  <c r="I3" i="14" s="1"/>
  <c r="I3" i="17" s="1"/>
  <c r="D3" i="7"/>
  <c r="M44" i="37"/>
  <c r="B31" i="16"/>
  <c r="M19" i="10"/>
  <c r="L25" i="26"/>
  <c r="E29" i="21"/>
  <c r="M29" i="26"/>
  <c r="M29" i="21"/>
  <c r="E4" i="16"/>
  <c r="L32" i="26"/>
  <c r="M23" i="16"/>
  <c r="O5" i="15"/>
  <c r="O11" i="15"/>
  <c r="O13" i="15"/>
  <c r="O25" i="15"/>
  <c r="M29" i="10"/>
  <c r="M33" i="15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6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H11" i="26"/>
  <c r="O8" i="17"/>
  <c r="O31" i="15"/>
  <c r="O16" i="17"/>
  <c r="B30" i="16"/>
  <c r="J33" i="1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L21" i="26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J7" i="16"/>
  <c r="O14" i="15"/>
  <c r="O33" i="15"/>
  <c r="J19" i="14"/>
  <c r="J19" i="17" s="1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K44" i="37"/>
  <c r="I44" i="37"/>
  <c r="D10" i="31"/>
  <c r="H3" i="22"/>
  <c r="H3" i="25" s="1"/>
  <c r="H3" i="28" s="1"/>
  <c r="H4" i="25"/>
  <c r="H4" i="28" s="1"/>
  <c r="E19" i="21"/>
  <c r="G16" i="10"/>
  <c r="G19" i="10"/>
  <c r="G29" i="10"/>
  <c r="F3" i="8"/>
  <c r="F16" i="15"/>
  <c r="G16" i="21"/>
  <c r="G16" i="27"/>
  <c r="O3" i="19"/>
  <c r="O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1"/>
  <c r="G29" i="21"/>
  <c r="I19" i="21"/>
  <c r="Q3" i="9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3" i="9"/>
  <c r="F3" i="13" s="1"/>
  <c r="F4" i="10"/>
  <c r="N5" i="16"/>
  <c r="N7" i="16"/>
  <c r="N20" i="16"/>
  <c r="F24" i="16"/>
  <c r="N25" i="16"/>
  <c r="D29" i="10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4" i="26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1"/>
  <c r="M9" i="17"/>
  <c r="M32" i="17"/>
  <c r="K4" i="25"/>
  <c r="K4" i="28" s="1"/>
  <c r="K3" i="22"/>
  <c r="K3" i="25" s="1"/>
  <c r="K3" i="28" s="1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M16" i="27"/>
  <c r="M16" i="21"/>
  <c r="H19" i="21"/>
  <c r="D3" i="19"/>
  <c r="D4" i="26"/>
  <c r="L3" i="19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P29" i="27"/>
  <c r="P29" i="21"/>
  <c r="H19" i="26"/>
  <c r="N3" i="19"/>
  <c r="N19" i="26"/>
  <c r="G5" i="17"/>
  <c r="C7" i="17"/>
  <c r="G24" i="17"/>
  <c r="G30" i="17"/>
  <c r="C32" i="17"/>
  <c r="M5" i="16"/>
  <c r="M6" i="16"/>
  <c r="Q19" i="10"/>
  <c r="G5" i="16"/>
  <c r="B147" i="6"/>
  <c r="B171" i="6"/>
  <c r="B125" i="6"/>
  <c r="B134" i="6"/>
  <c r="B158" i="6"/>
  <c r="N4" i="27"/>
  <c r="G29" i="26"/>
  <c r="C21" i="17"/>
  <c r="J14" i="16"/>
  <c r="B23" i="16"/>
  <c r="G11" i="15"/>
  <c r="J4" i="14"/>
  <c r="J4" i="17" s="1"/>
  <c r="J3" i="11"/>
  <c r="J3" i="14" s="1"/>
  <c r="J3" i="17" s="1"/>
  <c r="C8" i="17"/>
  <c r="J19" i="10"/>
  <c r="J19" i="16"/>
  <c r="M30" i="16"/>
  <c r="F19" i="21"/>
  <c r="M6" i="17"/>
  <c r="B25" i="16"/>
  <c r="J28" i="16"/>
  <c r="C7" i="15"/>
  <c r="M17" i="15"/>
  <c r="F17" i="17"/>
  <c r="P19" i="14"/>
  <c r="P19" i="17" s="1"/>
  <c r="N30" i="17"/>
  <c r="N31" i="17"/>
  <c r="N32" i="17"/>
  <c r="D4" i="10"/>
  <c r="D3" i="9"/>
  <c r="H16" i="10"/>
  <c r="F17" i="16"/>
  <c r="B18" i="16"/>
  <c r="B19" i="16"/>
  <c r="L19" i="10"/>
  <c r="L19" i="16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F19" i="10"/>
  <c r="F22" i="16"/>
  <c r="N23" i="16"/>
  <c r="F25" i="16"/>
  <c r="B28" i="16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E8" i="15"/>
  <c r="E12" i="15"/>
  <c r="C17" i="15"/>
  <c r="C44" i="37"/>
  <c r="Q44" i="37"/>
  <c r="P10" i="30"/>
  <c r="H10" i="31"/>
  <c r="F4" i="27"/>
  <c r="F3" i="20"/>
  <c r="F3" i="24" s="1"/>
  <c r="F4" i="21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0"/>
  <c r="N3" i="8"/>
  <c r="N19" i="15"/>
  <c r="N29" i="15"/>
  <c r="G3" i="22"/>
  <c r="G3" i="25" s="1"/>
  <c r="G3" i="28" s="1"/>
  <c r="G4" i="25"/>
  <c r="G4" i="28" s="1"/>
  <c r="L19" i="27"/>
  <c r="L19" i="21"/>
  <c r="P19" i="21"/>
  <c r="M3" i="19"/>
  <c r="C3" i="22"/>
  <c r="C3" i="25" s="1"/>
  <c r="C3" i="28" s="1"/>
  <c r="C4" i="25"/>
  <c r="C4" i="28" s="1"/>
  <c r="D4" i="21"/>
  <c r="D3" i="20"/>
  <c r="D3" i="24" s="1"/>
  <c r="L4" i="21"/>
  <c r="L3" i="20"/>
  <c r="L3" i="24" s="1"/>
  <c r="I4" i="25"/>
  <c r="I4" i="28" s="1"/>
  <c r="I3" i="22"/>
  <c r="I3" i="25" s="1"/>
  <c r="I3" i="28" s="1"/>
  <c r="H16" i="27"/>
  <c r="H16" i="21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3" i="9"/>
  <c r="L3" i="13" s="1"/>
  <c r="N16" i="16"/>
  <c r="N16" i="10"/>
  <c r="F18" i="16"/>
  <c r="F31" i="16"/>
  <c r="C16" i="15"/>
  <c r="E16" i="21"/>
  <c r="E19" i="10"/>
  <c r="J29" i="10"/>
  <c r="J29" i="16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0"/>
  <c r="C29" i="16"/>
  <c r="C29" i="10"/>
  <c r="B3" i="8"/>
  <c r="B16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1"/>
  <c r="K29" i="21"/>
  <c r="K29" i="27"/>
  <c r="E4" i="26"/>
  <c r="E3" i="19"/>
  <c r="Q3" i="19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C7" i="16"/>
  <c r="G17" i="16"/>
  <c r="G18" i="16"/>
  <c r="C20" i="16"/>
  <c r="C21" i="16"/>
  <c r="C22" i="16"/>
  <c r="C23" i="16"/>
  <c r="C24" i="16"/>
  <c r="C25" i="16"/>
  <c r="C26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1"/>
  <c r="D19" i="26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29" i="10"/>
  <c r="O19" i="15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J30" i="17"/>
  <c r="F31" i="17"/>
  <c r="F32" i="17"/>
  <c r="B17" i="16"/>
  <c r="N17" i="16"/>
  <c r="N18" i="16"/>
  <c r="F29" i="10"/>
  <c r="B32" i="16"/>
  <c r="M3" i="8"/>
  <c r="M3" i="12" s="1"/>
  <c r="M14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G3" i="13" l="1"/>
  <c r="Q3" i="13"/>
  <c r="Q3" i="12"/>
  <c r="D3" i="13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21" i="4"/>
  <c r="B7" i="4"/>
  <c r="B11" i="4"/>
  <c r="B10" i="4"/>
  <c r="B24" i="4"/>
  <c r="B26" i="4"/>
  <c r="B20" i="4"/>
  <c r="B15" i="4"/>
  <c r="B13" i="4"/>
  <c r="B4" i="4"/>
  <c r="B37" i="4"/>
  <c r="B16" i="4"/>
  <c r="B22" i="4"/>
  <c r="B17" i="4"/>
  <c r="B8" i="4"/>
  <c r="B25" i="4"/>
  <c r="B39" i="4"/>
  <c r="B12" i="4"/>
  <c r="B33" i="4"/>
  <c r="B42" i="4"/>
  <c r="B28" i="4"/>
  <c r="B35" i="4"/>
  <c r="B36" i="4"/>
  <c r="B44" i="4"/>
  <c r="B34" i="4"/>
  <c r="B45" i="4"/>
  <c r="B43" i="4"/>
  <c r="B30" i="4"/>
  <c r="B27" i="4"/>
  <c r="B14" i="4"/>
  <c r="B9" i="4"/>
  <c r="B23" i="4"/>
  <c r="B38" i="4"/>
  <c r="B29" i="4"/>
  <c r="B31" i="6" l="1"/>
</calcChain>
</file>

<file path=xl/sharedStrings.xml><?xml version="1.0" encoding="utf-8"?>
<sst xmlns="http://schemas.openxmlformats.org/spreadsheetml/2006/main" count="2101" uniqueCount="1057">
  <si>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</si>
  <si>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</si>
  <si>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</si>
  <si>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</si>
  <si>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</si>
  <si>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</si>
  <si>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</si>
  <si>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</si>
  <si>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</si>
  <si>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</si>
  <si>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</si>
  <si>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</si>
  <si>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</si>
  <si>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</si>
  <si>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</si>
  <si>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</si>
  <si>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</si>
  <si>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</si>
  <si>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</si>
  <si>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</si>
  <si>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</si>
  <si>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</si>
  <si>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</si>
  <si>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</si>
  <si>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</si>
  <si>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</si>
  <si>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</si>
  <si>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</si>
  <si>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</si>
  <si>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</si>
  <si>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</si>
  <si>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</si>
  <si>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</si>
  <si>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</si>
  <si>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</si>
  <si>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</si>
  <si>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</si>
  <si>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</si>
  <si>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</si>
  <si>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</si>
  <si>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</si>
  <si>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</si>
  <si>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</si>
  <si>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</si>
  <si>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</si>
  <si>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</si>
  <si>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</si>
  <si>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</si>
  <si>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</si>
  <si>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</si>
  <si>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</si>
  <si>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</si>
  <si>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</si>
  <si>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</si>
  <si>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</si>
  <si>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</si>
  <si>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</si>
  <si>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</si>
  <si>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</si>
  <si>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</si>
  <si>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</si>
  <si>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</si>
  <si>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</si>
  <si>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</si>
  <si>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</si>
  <si>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</si>
  <si>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</si>
  <si>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</si>
  <si>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</si>
  <si>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</si>
  <si>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</si>
  <si>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</si>
  <si>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</si>
  <si>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</si>
  <si>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</si>
  <si>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</si>
  <si>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</si>
  <si>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</si>
  <si>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</si>
  <si>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</si>
  <si>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</si>
  <si>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</si>
  <si>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</si>
  <si>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</si>
  <si>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</si>
  <si>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</si>
  <si>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</si>
  <si>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</si>
  <si>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</si>
  <si>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</si>
  <si>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</si>
  <si>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</si>
  <si>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</si>
  <si>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</si>
  <si>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</si>
  <si>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</si>
  <si>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</si>
  <si>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</si>
  <si>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</si>
  <si>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</si>
  <si>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</si>
  <si>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</si>
  <si>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</si>
  <si>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</si>
  <si>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</si>
  <si>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</si>
  <si>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</si>
  <si>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</si>
  <si>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</si>
  <si>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</si>
  <si>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</si>
  <si>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</si>
  <si>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</si>
  <si>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</si>
  <si>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</si>
  <si>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</si>
  <si>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</si>
  <si>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</si>
  <si>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</si>
  <si>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</si>
  <si>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</si>
  <si>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</si>
  <si>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</si>
  <si>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</si>
  <si>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</si>
  <si>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</si>
  <si>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</si>
  <si>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</si>
  <si>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</si>
  <si>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</si>
  <si>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</si>
  <si>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</si>
  <si>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</si>
  <si>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</si>
  <si>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</si>
  <si>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</si>
  <si>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</si>
  <si>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</si>
  <si>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</si>
  <si>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</si>
  <si>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</si>
  <si>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</si>
  <si>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</si>
  <si>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</si>
  <si>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</si>
  <si>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</si>
  <si>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</si>
  <si>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Mean heating degree-days over period 2000- 2020</t>
  </si>
  <si>
    <t>Value added per capita relative to EU</t>
  </si>
  <si>
    <t>Natural gas</t>
  </si>
  <si>
    <t>Code</t>
  </si>
  <si>
    <t>Ambient heat</t>
  </si>
  <si>
    <t>Solar and geothermal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</si>
  <si>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</si>
  <si>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</si>
  <si>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</si>
  <si>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</si>
  <si>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</si>
  <si>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</si>
  <si>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</si>
  <si>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</si>
  <si>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</si>
  <si>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</si>
  <si>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</si>
  <si>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</si>
  <si>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</si>
  <si>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</si>
  <si>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</si>
  <si>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</si>
  <si>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</si>
  <si>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</si>
  <si>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</si>
  <si>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</si>
  <si>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</si>
  <si>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</si>
  <si>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</si>
  <si>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JRC-IDEES-2023 - Integrated Database of the European Energy System</t>
  </si>
  <si>
    <t>v2023-1.00</t>
  </si>
  <si>
    <t>Gross domestic product (M€2023)</t>
  </si>
  <si>
    <t>Value added (M€2023)</t>
  </si>
  <si>
    <t>GDP per capita (€2023)</t>
  </si>
  <si>
    <t>Value added per employee (€2023)</t>
  </si>
  <si>
    <t>Value added per capita (€2023)</t>
  </si>
  <si>
    <t>Value added intensity (toe / M€2023)</t>
  </si>
  <si>
    <t>Data centers - final energy consumption (ktoe)</t>
  </si>
  <si>
    <t>CY</t>
  </si>
  <si>
    <t>Cyprus</t>
  </si>
  <si>
    <t>CY - Services sector summary</t>
  </si>
  <si>
    <t>Macro.number.CY.Population</t>
  </si>
  <si>
    <t>Macro.Meuro2015.CY.GDP</t>
  </si>
  <si>
    <t>Macro.Meuro2015.CY.VA</t>
  </si>
  <si>
    <t>Macro.number.CY.Employees</t>
  </si>
  <si>
    <t>NUM.number.CY.Ser.Bld</t>
  </si>
  <si>
    <t>SurfaceArea.ksqm.CY.Ser.Bld</t>
  </si>
  <si>
    <t>NUM.number.CY.Ser.BldNew</t>
  </si>
  <si>
    <t>SurfaceArea.ksqm.CY.Ser.BldNew</t>
  </si>
  <si>
    <t>HDD.Celsius.CY.Actual</t>
  </si>
  <si>
    <t>HDD.Celsius.CY.Mean</t>
  </si>
  <si>
    <t>HDD.ratio.CY.Relative</t>
  </si>
  <si>
    <t>FEC.ktoe.CY.ES.Ser</t>
  </si>
  <si>
    <t>FEC.ktoe.CY.ES.Ser.Solids</t>
  </si>
  <si>
    <t>FEC.ktoe.CY.ES.Ser.LPG</t>
  </si>
  <si>
    <t>FEC.ktoe.CY.ES.Ser.Oil</t>
  </si>
  <si>
    <t>FEC.ktoe.CY.ES.Ser.NG</t>
  </si>
  <si>
    <t>FEC.ktoe.CY.ES.Ser.Biomass_Waste</t>
  </si>
  <si>
    <t>FEC.ktoe.CY.ES.Ser.Biogas</t>
  </si>
  <si>
    <t>FEC.ktoe.CY.ES.Ser.LiqBio</t>
  </si>
  <si>
    <t>FEC.ktoe.CY.ES.Ser.Solar</t>
  </si>
  <si>
    <t>FEC.ktoe.CY.ES.Ser.Geo</t>
  </si>
  <si>
    <t>FEC.ktoe.CY.ES.Ser.Ambient</t>
  </si>
  <si>
    <t>FEC.ktoe.CY.ES.Ser.Steam_Distr</t>
  </si>
  <si>
    <t>FEC.ktoe.CY.ES.Ser.Elec</t>
  </si>
  <si>
    <t>FEC.ktoe.CY.Ser</t>
  </si>
  <si>
    <t>FEC.ktoe.CY.Ser.Bld.Thermal</t>
  </si>
  <si>
    <t>FEC.ktoe.CY.Ser.Bld.Thermal.SH</t>
  </si>
  <si>
    <t>FEC.ktoe.CY.Ser.Bld.Thermal.SC</t>
  </si>
  <si>
    <t>FEC.ktoe.CY.Ser.Bld.Thermal.HW</t>
  </si>
  <si>
    <t>FEC.ktoe.CY.Ser.Bld.Thermal.CA</t>
  </si>
  <si>
    <t>FEC.ktoe.CY.Ser.SEU</t>
  </si>
  <si>
    <t>EMI.ktCO2.CY.ES.Ser</t>
  </si>
  <si>
    <t>EMI.ktCO2.CY.ES.Ser.Solids</t>
  </si>
  <si>
    <t>EMI.ktCO2.CY.ES.Ser.LPG</t>
  </si>
  <si>
    <t>EMI.ktCO2.CY.ES.Ser.Oil</t>
  </si>
  <si>
    <t>EMI.ktCO2.CY.ES.Ser.NG</t>
  </si>
  <si>
    <t>EMI.ktCO2.CY.ES.Ser.Biomass_Waste</t>
  </si>
  <si>
    <t>EMI.ktCO2.CY.ES.Ser.Biogas</t>
  </si>
  <si>
    <t>EMI.ktCO2.CY.ES.Ser.LiqBio</t>
  </si>
  <si>
    <t>EMI.ktCO2.CY.ES.Ser.Solar</t>
  </si>
  <si>
    <t>EMI.ktCO2.CY.ES.Ser.Geo</t>
  </si>
  <si>
    <t>EMI.ktCO2.CY.ES.Ser.Ambient</t>
  </si>
  <si>
    <t>EMI.ktCO2.CY.ES.Ser.Steam_Distr</t>
  </si>
  <si>
    <t>EMI.ktCO2.CY.ES.Ser.Elec</t>
  </si>
  <si>
    <t>EMI.ktCO2.CY.Ser</t>
  </si>
  <si>
    <t>EMI.ktCO2.CY.Ser.Bld.Thermal</t>
  </si>
  <si>
    <t>EMI.ktCO2.CY.Ser.Bld.Thermal.SH</t>
  </si>
  <si>
    <t>EMI.ktCO2.CY.Ser.Bld.Thermal.SC</t>
  </si>
  <si>
    <t>EMI.ktCO2.CY.Ser.Bld.Thermal.HW</t>
  </si>
  <si>
    <t>EMI.ktCO2.CY.Ser.Bld.Thermal.CA</t>
  </si>
  <si>
    <t>EMI.ktCO2.CY.Ser.SEU</t>
  </si>
  <si>
    <t>Eff.ratio.CY.Ser.Bld.Thermal</t>
  </si>
  <si>
    <t>Eff.ratio.CY.Ser.Bld.Thermal.SH</t>
  </si>
  <si>
    <t>Eff.ratio.CY.Ser.Bld.Thermal.SC</t>
  </si>
  <si>
    <t>Eff.ratio.CY.Ser.Bld.Thermal.HW</t>
  </si>
  <si>
    <t>Eff.ratio.CY.Ser.Bld.Thermal.CA</t>
  </si>
  <si>
    <t>CY - Number of buildings</t>
  </si>
  <si>
    <t>NUM.number.CY.Ser.Bld.Thermal</t>
  </si>
  <si>
    <t>NUM.number.CY.Ser.Bld.Thermal.SH</t>
  </si>
  <si>
    <t>NUM.number.CY.Ser.Bld.Thermal.SH.Solids</t>
  </si>
  <si>
    <t>NUM.number.CY.Ser.Bld.Thermal.SH.LPG</t>
  </si>
  <si>
    <t>NUM.number.CY.Ser.Bld.Thermal.SH.Oil</t>
  </si>
  <si>
    <t>NUM.number.CY.Ser.Bld.Thermal.SH.GasHP</t>
  </si>
  <si>
    <t>NUM.number.CY.Ser.Bld.Thermal.SH.GasTH</t>
  </si>
  <si>
    <t>NUM.number.CY.Ser.Bld.Thermal.SH.Biomass</t>
  </si>
  <si>
    <t>NUM.number.CY.Ser.Bld.Thermal.SH.Geo</t>
  </si>
  <si>
    <t>NUM.number.CY.Ser.Bld.Thermal.SH.DistrHeat</t>
  </si>
  <si>
    <t>NUM.number.CY.Ser.Bld.Thermal.SH.AdvElc</t>
  </si>
  <si>
    <t>NUM.number.CY.Ser.Bld.Thermal.SH.ConvElc</t>
  </si>
  <si>
    <t>NUM.number.CY.Ser.Bld.Thermal.SC</t>
  </si>
  <si>
    <t>NUM.number.CY.Ser.Bld.Thermal.SC.GasHP</t>
  </si>
  <si>
    <t>NUM.number.CY.Ser.Bld.Thermal.SC.AC</t>
  </si>
  <si>
    <t>NUM.number.CY.Ser.Bld.Thermal.HW</t>
  </si>
  <si>
    <t>NUM.number.CY.Ser.Bld.Thermal.HW.Solids</t>
  </si>
  <si>
    <t>NUM.number.CY.Ser.Bld.Thermal.HW.LPG</t>
  </si>
  <si>
    <t>NUM.number.CY.Ser.Bld.Thermal.HW.Oil</t>
  </si>
  <si>
    <t>NUM.number.CY.Ser.Bld.Thermal.HW.Gas</t>
  </si>
  <si>
    <t>NUM.number.CY.Ser.Bld.Thermal.HW.Biomass</t>
  </si>
  <si>
    <t>NUM.number.CY.Ser.Bld.Thermal.HW.DistrHeat</t>
  </si>
  <si>
    <t>NUM.number.CY.Ser.Bld.Thermal.HW.Elc</t>
  </si>
  <si>
    <t>NUM.number.CY.Ser.Bld.Thermal.HW.Solar</t>
  </si>
  <si>
    <t>NUM.number.CY.Ser.Bld.Thermal.CA</t>
  </si>
  <si>
    <t>NUM.number.CY.Ser.Bld.Thermal.CA.LPG</t>
  </si>
  <si>
    <t>NUM.number.CY.Ser.Bld.Thermal.CA.Gas</t>
  </si>
  <si>
    <t>NUM.number.CY.Ser.Bld.Thermal.CA.Biomass</t>
  </si>
  <si>
    <t>NUM.number.CY.Ser.Bld.Thermal.CA.Elc</t>
  </si>
  <si>
    <t>CY - Final energy consumption</t>
  </si>
  <si>
    <t>FEC.ktoe.CY.Ser.Bld.Thermal.SH.Solids.Solids</t>
  </si>
  <si>
    <t>FEC.ktoe.CY.Ser.Bld.Thermal.SH.LPG.LPG</t>
  </si>
  <si>
    <t>FEC.ktoe.CY.Ser.Bld.Thermal.SH.Oil.Oil_LiqBio</t>
  </si>
  <si>
    <t>FEC.ktoe.CY.Ser.Bld.Thermal.SH.GasHP.NG_Biogas</t>
  </si>
  <si>
    <t>FEC.ktoe.CY.Ser.Bld.Thermal.SH.GasTH.NG_Biogas</t>
  </si>
  <si>
    <t>FEC.ktoe.CY.Ser.Bld.Thermal.SH.Biomass.Biomass_Waste</t>
  </si>
  <si>
    <t>FEC.ktoe.CY.Ser.Bld.Thermal.SH.Geo.Geo</t>
  </si>
  <si>
    <t>FEC.ktoe.CY.Ser.Bld.Thermal.SH.DistrHeat.Steam_Distr</t>
  </si>
  <si>
    <t>FEC.ktoe.CY.Ser.Bld.Thermal.SH.AdvElc.Elec</t>
  </si>
  <si>
    <t>FEC.ktoe.CY.Ser.Bld.Thermal.SH.ConvElc.Elec</t>
  </si>
  <si>
    <t>FEC.ktoe.CY.Ser.Bld.Thermal.SH.TotalCirculation.Elec</t>
  </si>
  <si>
    <t>FEC.ktoe.CY.Ser.Bld.Thermal.SC.GasHP.NG_Biogas</t>
  </si>
  <si>
    <t>FEC.ktoe.CY.Ser.Bld.Thermal.SC.AC.Elec</t>
  </si>
  <si>
    <t>FEC.ktoe.CY.Ser.Bld.Thermal.HW.Solids.Solids</t>
  </si>
  <si>
    <t>FEC.ktoe.CY.Ser.Bld.Thermal.HW.LPG.LPG</t>
  </si>
  <si>
    <t>FEC.ktoe.CY.Ser.Bld.Thermal.HW.Oil.Oil_LiqBio</t>
  </si>
  <si>
    <t>FEC.ktoe.CY.Ser.Bld.Thermal.HW.Gas.NG_Biogas</t>
  </si>
  <si>
    <t>FEC.ktoe.CY.Ser.Bld.Thermal.HW.Biomass.Biomass_Waste</t>
  </si>
  <si>
    <t>FEC.ktoe.CY.Ser.Bld.Thermal.HW.DistrHeat.Steam_Distr</t>
  </si>
  <si>
    <t>FEC.ktoe.CY.Ser.Bld.Thermal.HW.Elc.Elec</t>
  </si>
  <si>
    <t>FEC.ktoe.CY.Ser.Bld.Thermal.HW.TotalSolar.Solar</t>
  </si>
  <si>
    <t>FEC.ktoe.CY.Ser.Bld.Thermal.CA.LPG</t>
  </si>
  <si>
    <t>FEC.ktoe.CY.Ser.Bld.Thermal.CA.Gas.NG_Biogas</t>
  </si>
  <si>
    <t>FEC.ktoe.CY.Ser.Bld.Thermal.CA.Biomass.Biomass_Waste</t>
  </si>
  <si>
    <t>FEC.ktoe.CY.Ser.Bld.Thermal.CA.Elc.Elec</t>
  </si>
  <si>
    <t>CY - Thermal energy service</t>
  </si>
  <si>
    <t>TES.ktoe.CY.Ser.Bld.Thermal</t>
  </si>
  <si>
    <t>TES.ktoe.CY.Ser.Bld.Thermal.SH</t>
  </si>
  <si>
    <t>TES.ktoe.CY.Ser.Bld.Thermal.SH.Solids.Solids</t>
  </si>
  <si>
    <t>TES.ktoe.CY.Ser.Bld.Thermal.SH.LPG.LPG</t>
  </si>
  <si>
    <t>TES.ktoe.CY.Ser.Bld.Thermal.SH.Oil.Oil_LiqBio</t>
  </si>
  <si>
    <t>TES.ktoe.CY.Ser.Bld.Thermal.SH.GasHP.NG_Biogas</t>
  </si>
  <si>
    <t>TES.ktoe.CY.Ser.Bld.Thermal.SH.GasTH.NG_Biogas</t>
  </si>
  <si>
    <t>TES.ktoe.CY.Ser.Bld.Thermal.SH.Biomass.Biomass_Waste</t>
  </si>
  <si>
    <t>TES.ktoe.CY.Ser.Bld.Thermal.SH.Geo.Geo</t>
  </si>
  <si>
    <t>TES.ktoe.CY.Ser.Bld.Thermal.SH.DistrHeat.Steam_Distr</t>
  </si>
  <si>
    <t>TES.ktoe.CY.Ser.Bld.Thermal.SH.AdvElc.Elec</t>
  </si>
  <si>
    <t>TES.ktoe.CY.Ser.Bld.Thermal.SH.ConvElc.Elec</t>
  </si>
  <si>
    <t>TES.ktoe.CY.Ser.Bld.Thermal.SH.TotalCirculation.Elec</t>
  </si>
  <si>
    <t>TES.ktoe.CY.Ser.Bld.Thermal.SC</t>
  </si>
  <si>
    <t>TES.ktoe.CY.Ser.Bld.Thermal.SC.GasHP.NG_Biogas</t>
  </si>
  <si>
    <t>TES.ktoe.CY.Ser.Bld.Thermal.SC.AC.Elec</t>
  </si>
  <si>
    <t>TES.ktoe.CY.Ser.Bld.Thermal.HW</t>
  </si>
  <si>
    <t>TES.ktoe.CY.Ser.Bld.Thermal.HW.Solids.Solids</t>
  </si>
  <si>
    <t>TES.ktoe.CY.Ser.Bld.Thermal.HW.LPG.LPG</t>
  </si>
  <si>
    <t>TES.ktoe.CY.Ser.Bld.Thermal.HW.Oil.Oil_LiqBio</t>
  </si>
  <si>
    <t>TES.ktoe.CY.Ser.Bld.Thermal.HW.Gas.NG_Biogas</t>
  </si>
  <si>
    <t>TES.ktoe.CY.Ser.Bld.Thermal.HW.Biomass.Biomass_Waste</t>
  </si>
  <si>
    <t>TES.ktoe.CY.Ser.Bld.Thermal.HW.DistrHeat.Steam_Distr</t>
  </si>
  <si>
    <t>TES.ktoe.CY.Ser.Bld.Thermal.HW.Elc.Elec</t>
  </si>
  <si>
    <t>TES.ktoe.CY.Ser.Bld.Thermal.HW.TotalSolar.Solar</t>
  </si>
  <si>
    <t>TES.ktoe.CY.Ser.Bld.Thermal.CA</t>
  </si>
  <si>
    <t>TES.ktoe.CY.Ser.Bld.Thermal.CA.LPG</t>
  </si>
  <si>
    <t>TES.ktoe.CY.Ser.Bld.Thermal.CA.Gas.NG_Biogas</t>
  </si>
  <si>
    <t>TES.ktoe.CY.Ser.Bld.Thermal.CA.Biomass.Biomass_Waste</t>
  </si>
  <si>
    <t>TES.ktoe.CY.Ser.Bld.Thermal.CA.Elc.Elec</t>
  </si>
  <si>
    <t>CY - System efficiency indicator of total stock</t>
  </si>
  <si>
    <t>Eff.ratio.CY.Ser.Bld.Thermal.SH.Solids.Solids</t>
  </si>
  <si>
    <t>Eff.ratio.CY.Ser.Bld.Thermal.SH.LPG.LPG</t>
  </si>
  <si>
    <t>Eff.ratio.CY.Ser.Bld.Thermal.SH.Oil.Oil_LiqBio</t>
  </si>
  <si>
    <t>Eff.ratio.CY.Ser.Bld.Thermal.SH.GasHP.NG_Biogas</t>
  </si>
  <si>
    <t>Eff.ratio.CY.Ser.Bld.Thermal.SH.GasTH.NG_Biogas</t>
  </si>
  <si>
    <t>Eff.ratio.CY.Ser.Bld.Thermal.SH.Biomass.Biomass_Waste</t>
  </si>
  <si>
    <t>Eff.ratio.CY.Ser.Bld.Thermal.SH.Geo.Geo</t>
  </si>
  <si>
    <t>Eff.ratio.CY.Ser.Bld.Thermal.SH.DistrHeat.Steam_Distr</t>
  </si>
  <si>
    <t>Eff.ratio.CY.Ser.Bld.Thermal.SH.AdvElc.Elec</t>
  </si>
  <si>
    <t>Eff.ratio.CY.Ser.Bld.Thermal.SH.ConvElc.Elec</t>
  </si>
  <si>
    <t>Eff.ratio.CY.Ser.Bld.Thermal.SH.TotalCirculation.Elec</t>
  </si>
  <si>
    <t>Eff.ratio.CY.Ser.Bld.Thermal.SC.GasHP.NG_Biogas</t>
  </si>
  <si>
    <t>Eff.ratio.CY.Ser.Bld.Thermal.SC.AC.Elec</t>
  </si>
  <si>
    <t>Eff.ratio.CY.Ser.Bld.Thermal.HW.Solids.Solids</t>
  </si>
  <si>
    <t>Eff.ratio.CY.Ser.Bld.Thermal.HW.LPG.LPG</t>
  </si>
  <si>
    <t>Eff.ratio.CY.Ser.Bld.Thermal.HW.Oil.Oil_LiqBio</t>
  </si>
  <si>
    <t>Eff.ratio.CY.Ser.Bld.Thermal.HW.Gas.NG_Biogas</t>
  </si>
  <si>
    <t>Eff.ratio.CY.Ser.Bld.Thermal.HW.Biomass.Biomass_Waste</t>
  </si>
  <si>
    <t>Eff.ratio.CY.Ser.Bld.Thermal.HW.DistrHeat.Steam_Distr</t>
  </si>
  <si>
    <t>Eff.ratio.CY.Ser.Bld.Thermal.HW.Elc.Elec</t>
  </si>
  <si>
    <t>Eff.ratio.CY.Ser.Bld.Thermal.HW.TotalSolar.Solar</t>
  </si>
  <si>
    <t>Eff.ratio.CY.Ser.Bld.Thermal.CA.LPG</t>
  </si>
  <si>
    <t>Eff.ratio.CY.Ser.Bld.Thermal.CA.Gas.NG_Biogas</t>
  </si>
  <si>
    <t>Eff.ratio.CY.Ser.Bld.Thermal.CA.Biomass.Biomass_Waste</t>
  </si>
  <si>
    <t>Eff.ratio.CY.Ser.Bld.Thermal.CA.Elc.Elec</t>
  </si>
  <si>
    <t>CY - CO2 emissions</t>
  </si>
  <si>
    <t>EMI.ktCO2.CY.Ser.Bld.Thermal.SH.Solids.Solids</t>
  </si>
  <si>
    <t>EMI.ktCO2.CY.Ser.Bld.Thermal.SH.LPG.LPG</t>
  </si>
  <si>
    <t>EMI.ktCO2.CY.Ser.Bld.Thermal.SH.Oil.Oil_LiqBio</t>
  </si>
  <si>
    <t>EMI.ktCO2.CY.Ser.Bld.Thermal.SH.GasHP.NG_Biogas</t>
  </si>
  <si>
    <t>EMI.ktCO2.CY.Ser.Bld.Thermal.SH.GasTH.NG_Biogas</t>
  </si>
  <si>
    <t>EMI.ktCO2.CY.Ser.Bld.Thermal.SH.Biomass.Biomass_Waste</t>
  </si>
  <si>
    <t>EMI.ktCO2.CY.Ser.Bld.Thermal.SH.Geo.Geo</t>
  </si>
  <si>
    <t>EMI.ktCO2.CY.Ser.Bld.Thermal.SH.DistrHeat.Steam_Distr</t>
  </si>
  <si>
    <t>EMI.ktCO2.CY.Ser.Bld.Thermal.SH.AdvElc.Elec</t>
  </si>
  <si>
    <t>EMI.ktCO2.CY.Ser.Bld.Thermal.SH.ConvElc.Elec</t>
  </si>
  <si>
    <t>EMI.ktCO2.CY.Ser.Bld.Thermal.SH.TotalCirculation.Elec</t>
  </si>
  <si>
    <t>EMI.ktCO2.CY.Ser.Bld.Thermal.SC.GasHP.NG_Biogas</t>
  </si>
  <si>
    <t>EMI.ktCO2.CY.Ser.Bld.Thermal.SC.AC.Elec</t>
  </si>
  <si>
    <t>EMI.ktCO2.CY.Ser.Bld.Thermal.HW.Solids.Solids</t>
  </si>
  <si>
    <t>EMI.ktCO2.CY.Ser.Bld.Thermal.HW.LPG.LPG</t>
  </si>
  <si>
    <t>EMI.ktCO2.CY.Ser.Bld.Thermal.HW.Oil.Oil_LiqBio</t>
  </si>
  <si>
    <t>EMI.ktCO2.CY.Ser.Bld.Thermal.HW.Gas.NG_Biogas</t>
  </si>
  <si>
    <t>EMI.ktCO2.CY.Ser.Bld.Thermal.HW.Biomass.Biomass_Waste</t>
  </si>
  <si>
    <t>EMI.ktCO2.CY.Ser.Bld.Thermal.HW.DistrHeat.Steam_Distr</t>
  </si>
  <si>
    <t>EMI.ktCO2.CY.Ser.Bld.Thermal.HW.Elc.Elec</t>
  </si>
  <si>
    <t>EMI.ktCO2.CY.Ser.Bld.Thermal.HW.TotalSolar.Solar</t>
  </si>
  <si>
    <t>EMI.ktCO2.CY.Ser.Bld.Thermal.CA.LPG</t>
  </si>
  <si>
    <t>EMI.ktCO2.CY.Ser.Bld.Thermal.CA.Gas.NG_Biogas</t>
  </si>
  <si>
    <t>EMI.ktCO2.CY.Ser.Bld.Thermal.CA.Biomass.Biomass_Waste</t>
  </si>
  <si>
    <t>EMI.ktCO2.CY.Ser.Bld.Thermal.CA.Elc.Elec</t>
  </si>
  <si>
    <t>CY - Final energy consumption per building</t>
  </si>
  <si>
    <t>FEC_per_building.kWh.CY.Ser.Bld.Thermal</t>
  </si>
  <si>
    <t>FEC_per_building.kWh.CY.Ser.Bld.Thermal.SH</t>
  </si>
  <si>
    <t>FEC_per_building.kWh.CY.Ser.Bld.Thermal.SH.Solids.Solids</t>
  </si>
  <si>
    <t>FEC_per_building.kWh.CY.Ser.Bld.Thermal.SH.LPG.LPG</t>
  </si>
  <si>
    <t>FEC_per_building.kWh.CY.Ser.Bld.Thermal.SH.Oil.Oil_LiqBio</t>
  </si>
  <si>
    <t>FEC_per_building.kWh.CY.Ser.Bld.Thermal.SH.GasHP.NG_Biogas</t>
  </si>
  <si>
    <t>FEC_per_building.kWh.CY.Ser.Bld.Thermal.SH.GasTH.NG_Biogas</t>
  </si>
  <si>
    <t>FEC_per_building.kWh.CY.Ser.Bld.Thermal.SH.Biomass.Biomass_Waste</t>
  </si>
  <si>
    <t>FEC_per_building.kWh.CY.Ser.Bld.Thermal.SH.Geo.Geo</t>
  </si>
  <si>
    <t>FEC_per_building.kWh.CY.Ser.Bld.Thermal.SH.DistrHeat.Steam_Distr</t>
  </si>
  <si>
    <t>FEC_per_building.kWh.CY.Ser.Bld.Thermal.SH.AdvElc.Elec</t>
  </si>
  <si>
    <t>FEC_per_building.kWh.CY.Ser.Bld.Thermal.SH.ConvElc.Elec</t>
  </si>
  <si>
    <t>FEC_per_building.kWh.CY.Ser.Bld.Thermal.SH.TotalCirculation.Elec</t>
  </si>
  <si>
    <t>FEC_per_building.kWh.CY.Ser.Bld.Thermal.SC</t>
  </si>
  <si>
    <t>FEC_per_building.kWh.CY.Ser.Bld.Thermal.SC.GasHP.NG_Biogas</t>
  </si>
  <si>
    <t>FEC_per_building.kWh.CY.Ser.Bld.Thermal.SC.AC.Elec</t>
  </si>
  <si>
    <t>FEC_per_building.kWh.CY.Ser.Bld.Thermal.HW</t>
  </si>
  <si>
    <t>FEC_per_building.kWh.CY.Ser.Bld.Thermal.HW.Solids.Solids</t>
  </si>
  <si>
    <t>FEC_per_building.kWh.CY.Ser.Bld.Thermal.HW.LPG.LPG</t>
  </si>
  <si>
    <t>FEC_per_building.kWh.CY.Ser.Bld.Thermal.HW.Oil.Oil_LiqBio</t>
  </si>
  <si>
    <t>FEC_per_building.kWh.CY.Ser.Bld.Thermal.HW.Gas.NG_Biogas</t>
  </si>
  <si>
    <t>FEC_per_building.kWh.CY.Ser.Bld.Thermal.HW.Biomass.Biomass_Waste</t>
  </si>
  <si>
    <t>FEC_per_building.kWh.CY.Ser.Bld.Thermal.HW.DistrHeat.Steam_Distr</t>
  </si>
  <si>
    <t>FEC_per_building.kWh.CY.Ser.Bld.Thermal.HW.Elc.Elec</t>
  </si>
  <si>
    <t>FEC_per_building.kWh.CY.Ser.Bld.Thermal.HW.TotalSolar.Solar</t>
  </si>
  <si>
    <t>FEC_per_building.kWh.CY.Ser.Bld.Thermal.CA</t>
  </si>
  <si>
    <t>FEC_per_building.kWh.CY.Ser.Bld.Thermal.CA.LPG</t>
  </si>
  <si>
    <t>FEC_per_building.kWh.CY.Ser.Bld.Thermal.CA.Gas.NG_Biogas</t>
  </si>
  <si>
    <t>FEC_per_building.kWh.CY.Ser.Bld.Thermal.CA.Biomass.Biomass_Waste</t>
  </si>
  <si>
    <t>FEC_per_building.kWh.CY.Ser.Bld.Thermal.CA.Elc.Elec</t>
  </si>
  <si>
    <t>CY - Thermal energy service per building</t>
  </si>
  <si>
    <t>TES_per_building.kWh.CY.Ser.Bld.Thermal</t>
  </si>
  <si>
    <t>TES_per_building.kWh.CY.Ser.Bld.Thermal.SH</t>
  </si>
  <si>
    <t>TES_per_building.kWh.CY.Ser.Bld.Thermal.SH.Solids.Solids</t>
  </si>
  <si>
    <t>TES_per_building.kWh.CY.Ser.Bld.Thermal.SH.LPG.LPG</t>
  </si>
  <si>
    <t>TES_per_building.kWh.CY.Ser.Bld.Thermal.SH.Oil.Oil_LiqBio</t>
  </si>
  <si>
    <t>TES_per_building.kWh.CY.Ser.Bld.Thermal.SH.GasHP.NG_Biogas</t>
  </si>
  <si>
    <t>TES_per_building.kWh.CY.Ser.Bld.Thermal.SH.GasTH.NG_Biogas</t>
  </si>
  <si>
    <t>TES_per_building.kWh.CY.Ser.Bld.Thermal.SH.Biomass.Biomass_Waste</t>
  </si>
  <si>
    <t>TES_per_building.kWh.CY.Ser.Bld.Thermal.SH.Geo.Geo</t>
  </si>
  <si>
    <t>TES_per_building.kWh.CY.Ser.Bld.Thermal.SH.DistrHeat.Steam_Distr</t>
  </si>
  <si>
    <t>TES_per_building.kWh.CY.Ser.Bld.Thermal.SH.AdvElc.Elec</t>
  </si>
  <si>
    <t>TES_per_building.kWh.CY.Ser.Bld.Thermal.SH.ConvElc.Elec</t>
  </si>
  <si>
    <t>TES_per_building.kWh.CY.Ser.Bld.Thermal.SH.TotalCirculation.Elec</t>
  </si>
  <si>
    <t>TES_per_building.kWh.CY.Ser.Bld.Thermal.SC</t>
  </si>
  <si>
    <t>TES_per_building.kWh.CY.Ser.Bld.Thermal.SC.GasHP.NG_Biogas</t>
  </si>
  <si>
    <t>TES_per_building.kWh.CY.Ser.Bld.Thermal.SC.AC.Elec</t>
  </si>
  <si>
    <t>TES_per_building.kWh.CY.Ser.Bld.Thermal.HW</t>
  </si>
  <si>
    <t>TES_per_building.kWh.CY.Ser.Bld.Thermal.HW.Solids.Solids</t>
  </si>
  <si>
    <t>TES_per_building.kWh.CY.Ser.Bld.Thermal.HW.LPG.LPG</t>
  </si>
  <si>
    <t>TES_per_building.kWh.CY.Ser.Bld.Thermal.HW.Oil.Oil_LiqBio</t>
  </si>
  <si>
    <t>TES_per_building.kWh.CY.Ser.Bld.Thermal.HW.Gas.NG_Biogas</t>
  </si>
  <si>
    <t>TES_per_building.kWh.CY.Ser.Bld.Thermal.HW.Biomass.Biomass_Waste</t>
  </si>
  <si>
    <t>TES_per_building.kWh.CY.Ser.Bld.Thermal.HW.DistrHeat.Steam_Distr</t>
  </si>
  <si>
    <t>TES_per_building.kWh.CY.Ser.Bld.Thermal.HW.Elc.Elec</t>
  </si>
  <si>
    <t>TES_per_building.kWh.CY.Ser.Bld.Thermal.HW.TotalSolar.Solar</t>
  </si>
  <si>
    <t>TES_per_building.kWh.CY.Ser.Bld.Thermal.CA</t>
  </si>
  <si>
    <t>TES_per_building.kWh.CY.Ser.Bld.Thermal.CA.LPG</t>
  </si>
  <si>
    <t>TES_per_building.kWh.CY.Ser.Bld.Thermal.CA.Gas.NG_Biogas</t>
  </si>
  <si>
    <t>TES_per_building.kWh.CY.Ser.Bld.Thermal.CA.Biomass.Biomass_Waste</t>
  </si>
  <si>
    <t>TES_per_building.kWh.CY.Ser.Bld.Thermal.CA.Elc.Elec</t>
  </si>
  <si>
    <t>CY - CO2 emissions per building</t>
  </si>
  <si>
    <t>EMI_per_building.kgCO2.CY.Ser.Bld.Thermal</t>
  </si>
  <si>
    <t>EMI_per_building.kgCO2.CY.Ser.Bld.Thermal.SH</t>
  </si>
  <si>
    <t>EMI_per_building.kgCO2.CY.Ser.Bld.Thermal.SH.Solids.Solids</t>
  </si>
  <si>
    <t>EMI_per_building.kgCO2.CY.Ser.Bld.Thermal.SH.LPG.LPG</t>
  </si>
  <si>
    <t>EMI_per_building.kgCO2.CY.Ser.Bld.Thermal.SH.Oil.Oil_LiqBio</t>
  </si>
  <si>
    <t>EMI_per_building.kgCO2.CY.Ser.Bld.Thermal.SH.GasHP.NG_Biogas</t>
  </si>
  <si>
    <t>EMI_per_building.kgCO2.CY.Ser.Bld.Thermal.SH.GasTH.NG_Biogas</t>
  </si>
  <si>
    <t>EMI_per_building.kgCO2.CY.Ser.Bld.Thermal.SH.Biomass.Biomass_Waste</t>
  </si>
  <si>
    <t>EMI_per_building.kgCO2.CY.Ser.Bld.Thermal.SH.Geo.Geo</t>
  </si>
  <si>
    <t>EMI_per_building.kgCO2.CY.Ser.Bld.Thermal.SH.DistrHeat.Steam_Distr</t>
  </si>
  <si>
    <t>EMI_per_building.kgCO2.CY.Ser.Bld.Thermal.SH.AdvElc.Elec</t>
  </si>
  <si>
    <t>EMI_per_building.kgCO2.CY.Ser.Bld.Thermal.SH.ConvElc.Elec</t>
  </si>
  <si>
    <t>EMI_per_building.kgCO2.CY.Ser.Bld.Thermal.SH.TotalCirculation.Elec</t>
  </si>
  <si>
    <t>EMI_per_building.kgCO2.CY.Ser.Bld.Thermal.SC</t>
  </si>
  <si>
    <t>EMI_per_building.kgCO2.CY.Ser.Bld.Thermal.SC.GasHP.NG_Biogas</t>
  </si>
  <si>
    <t>EMI_per_building.kgCO2.CY.Ser.Bld.Thermal.SC.AC.Elec</t>
  </si>
  <si>
    <t>EMI_per_building.kgCO2.CY.Ser.Bld.Thermal.HW</t>
  </si>
  <si>
    <t>EMI_per_building.kgCO2.CY.Ser.Bld.Thermal.HW.Solids.Solids</t>
  </si>
  <si>
    <t>EMI_per_building.kgCO2.CY.Ser.Bld.Thermal.HW.LPG.LPG</t>
  </si>
  <si>
    <t>EMI_per_building.kgCO2.CY.Ser.Bld.Thermal.HW.Oil.Oil_LiqBio</t>
  </si>
  <si>
    <t>EMI_per_building.kgCO2.CY.Ser.Bld.Thermal.HW.Gas.NG_Biogas</t>
  </si>
  <si>
    <t>EMI_per_building.kgCO2.CY.Ser.Bld.Thermal.HW.Biomass.Biomass_Waste</t>
  </si>
  <si>
    <t>EMI_per_building.kgCO2.CY.Ser.Bld.Thermal.HW.DistrHeat.Steam_Distr</t>
  </si>
  <si>
    <t>EMI_per_building.kgCO2.CY.Ser.Bld.Thermal.HW.Elc.Elec</t>
  </si>
  <si>
    <t>EMI_per_building.kgCO2.CY.Ser.Bld.Thermal.HW.TotalSolar.Solar</t>
  </si>
  <si>
    <t>EMI_per_building.kgCO2.CY.Ser.Bld.Thermal.CA</t>
  </si>
  <si>
    <t>EMI_per_building.kgCO2.CY.Ser.Bld.Thermal.CA.LPG</t>
  </si>
  <si>
    <t>EMI_per_building.kgCO2.CY.Ser.Bld.Thermal.CA.Gas.NG_Biogas</t>
  </si>
  <si>
    <t>EMI_per_building.kgCO2.CY.Ser.Bld.Thermal.CA.Biomass.Biomass_Waste</t>
  </si>
  <si>
    <t>EMI_per_building.kgCO2.CY.Ser.Bld.Thermal.CA.Elc.Elec</t>
  </si>
  <si>
    <t>CY - Final energy consumption per useful surface area</t>
  </si>
  <si>
    <t>FEC_per_sqm.kWh.CY.Ser.Bld.Thermal</t>
  </si>
  <si>
    <t>FEC_per_sqm.kWh.CY.Ser.Bld.Thermal.SH</t>
  </si>
  <si>
    <t>FEC_per_sqm.kWh.CY.Ser.Bld.Thermal.SH.Solids.Solids</t>
  </si>
  <si>
    <t>FEC_per_sqm.kWh.CY.Ser.Bld.Thermal.SH.LPG.LPG</t>
  </si>
  <si>
    <t>FEC_per_sqm.kWh.CY.Ser.Bld.Thermal.SH.Oil.Oil_LiqBio</t>
  </si>
  <si>
    <t>FEC_per_sqm.kWh.CY.Ser.Bld.Thermal.SH.GasHP.NG_Biogas</t>
  </si>
  <si>
    <t>FEC_per_sqm.kWh.CY.Ser.Bld.Thermal.SH.GasTH.NG_Biogas</t>
  </si>
  <si>
    <t>FEC_per_sqm.kWh.CY.Ser.Bld.Thermal.SH.Biomass.Biomass_Waste</t>
  </si>
  <si>
    <t>FEC_per_sqm.kWh.CY.Ser.Bld.Thermal.SH.Geo.Geo</t>
  </si>
  <si>
    <t>FEC_per_sqm.kWh.CY.Ser.Bld.Thermal.SH.DistrHeat.Steam_Distr</t>
  </si>
  <si>
    <t>FEC_per_sqm.kWh.CY.Ser.Bld.Thermal.SH.AdvElc.Elec</t>
  </si>
  <si>
    <t>FEC_per_sqm.kWh.CY.Ser.Bld.Thermal.SH.ConvElc.Elec</t>
  </si>
  <si>
    <t>FEC_per_sqm.kWh.CY.Ser.Bld.Thermal.SH.TotalCirculation.Elec</t>
  </si>
  <si>
    <t>FEC_per_sqm.kWh.CY.Ser.Bld.Thermal.SC</t>
  </si>
  <si>
    <t>FEC_per_sqm.kWh.CY.Ser.Bld.Thermal.SC.GasHP.NG_Biogas</t>
  </si>
  <si>
    <t>FEC_per_sqm.kWh.CY.Ser.Bld.Thermal.SC.AC.Elec</t>
  </si>
  <si>
    <t>FEC_per_sqm.kWh.CY.Ser.Bld.Thermal.HW</t>
  </si>
  <si>
    <t>FEC_per_sqm.kWh.CY.Ser.Bld.Thermal.HW.Solids.Solids</t>
  </si>
  <si>
    <t>FEC_per_sqm.kWh.CY.Ser.Bld.Thermal.HW.LPG.LPG</t>
  </si>
  <si>
    <t>FEC_per_sqm.kWh.CY.Ser.Bld.Thermal.HW.Oil.Oil_LiqBio</t>
  </si>
  <si>
    <t>FEC_per_sqm.kWh.CY.Ser.Bld.Thermal.HW.Gas.NG_Biogas</t>
  </si>
  <si>
    <t>FEC_per_sqm.kWh.CY.Ser.Bld.Thermal.HW.Biomass.Biomass_Waste</t>
  </si>
  <si>
    <t>FEC_per_sqm.kWh.CY.Ser.Bld.Thermal.HW.DistrHeat.Steam_Distr</t>
  </si>
  <si>
    <t>FEC_per_sqm.kWh.CY.Ser.Bld.Thermal.HW.Elc.Elec</t>
  </si>
  <si>
    <t>FEC_per_sqm.kWh.CY.Ser.Bld.Thermal.HW.TotalSolar.Solar</t>
  </si>
  <si>
    <t>FEC_per_sqm.kWh.CY.Ser.Bld.Thermal.CA</t>
  </si>
  <si>
    <t>FEC_per_sqm.kWh.CY.Ser.Bld.Thermal.CA.LPG</t>
  </si>
  <si>
    <t>FEC_per_sqm.kWh.CY.Ser.Bld.Thermal.CA.Gas.NG_Biogas</t>
  </si>
  <si>
    <t>FEC_per_sqm.kWh.CY.Ser.Bld.Thermal.CA.Biomass.Biomass_Waste</t>
  </si>
  <si>
    <t>FEC_per_sqm.kWh.CY.Ser.Bld.Thermal.CA.Elc.Elec</t>
  </si>
  <si>
    <t>CY - Thermal energy service per useful surface area</t>
  </si>
  <si>
    <t>TES_per_sqm.kWh.CY.Ser.Bld.Thermal</t>
  </si>
  <si>
    <t>TES_per_sqm.kWh.CY.Ser.Bld.Thermal.SH</t>
  </si>
  <si>
    <t>TES_per_sqm.kWh.CY.Ser.Bld.Thermal.SH.Solids.Solids</t>
  </si>
  <si>
    <t>TES_per_sqm.kWh.CY.Ser.Bld.Thermal.SH.LPG.LPG</t>
  </si>
  <si>
    <t>TES_per_sqm.kWh.CY.Ser.Bld.Thermal.SH.Oil.Oil_LiqBio</t>
  </si>
  <si>
    <t>TES_per_sqm.kWh.CY.Ser.Bld.Thermal.SH.GasHP.NG_Biogas</t>
  </si>
  <si>
    <t>TES_per_sqm.kWh.CY.Ser.Bld.Thermal.SH.GasTH.NG_Biogas</t>
  </si>
  <si>
    <t>TES_per_sqm.kWh.CY.Ser.Bld.Thermal.SH.Biomass.Biomass_Waste</t>
  </si>
  <si>
    <t>TES_per_sqm.kWh.CY.Ser.Bld.Thermal.SH.Geo.Geo</t>
  </si>
  <si>
    <t>TES_per_sqm.kWh.CY.Ser.Bld.Thermal.SH.DistrHeat.Steam_Distr</t>
  </si>
  <si>
    <t>TES_per_sqm.kWh.CY.Ser.Bld.Thermal.SH.AdvElc.Elec</t>
  </si>
  <si>
    <t>TES_per_sqm.kWh.CY.Ser.Bld.Thermal.SH.ConvElc.Elec</t>
  </si>
  <si>
    <t>TES_per_sqm.kWh.CY.Ser.Bld.Thermal.SH.TotalCirculation.Elec</t>
  </si>
  <si>
    <t>TES_per_sqm.kWh.CY.Ser.Bld.Thermal.SC</t>
  </si>
  <si>
    <t>TES_per_sqm.kWh.CY.Ser.Bld.Thermal.SC.GasHP.NG_Biogas</t>
  </si>
  <si>
    <t>TES_per_sqm.kWh.CY.Ser.Bld.Thermal.SC.AC.Elec</t>
  </si>
  <si>
    <t>TES_per_sqm.kWh.CY.Ser.Bld.Thermal.HW</t>
  </si>
  <si>
    <t>TES_per_sqm.kWh.CY.Ser.Bld.Thermal.HW.Solids.Solids</t>
  </si>
  <si>
    <t>TES_per_sqm.kWh.CY.Ser.Bld.Thermal.HW.LPG.LPG</t>
  </si>
  <si>
    <t>TES_per_sqm.kWh.CY.Ser.Bld.Thermal.HW.Oil.Oil_LiqBio</t>
  </si>
  <si>
    <t>TES_per_sqm.kWh.CY.Ser.Bld.Thermal.HW.Gas.NG_Biogas</t>
  </si>
  <si>
    <t>TES_per_sqm.kWh.CY.Ser.Bld.Thermal.HW.Biomass.Biomass_Waste</t>
  </si>
  <si>
    <t>TES_per_sqm.kWh.CY.Ser.Bld.Thermal.HW.DistrHeat.Steam_Distr</t>
  </si>
  <si>
    <t>TES_per_sqm.kWh.CY.Ser.Bld.Thermal.HW.Elc.Elec</t>
  </si>
  <si>
    <t>TES_per_sqm.kWh.CY.Ser.Bld.Thermal.HW.TotalSolar.Solar</t>
  </si>
  <si>
    <t>TES_per_sqm.kWh.CY.Ser.Bld.Thermal.CA</t>
  </si>
  <si>
    <t>TES_per_sqm.kWh.CY.Ser.Bld.Thermal.CA.LPG</t>
  </si>
  <si>
    <t>TES_per_sqm.kWh.CY.Ser.Bld.Thermal.CA.Gas.NG_Biogas</t>
  </si>
  <si>
    <t>TES_per_sqm.kWh.CY.Ser.Bld.Thermal.CA.Biomass.Biomass_Waste</t>
  </si>
  <si>
    <t>TES_per_sqm.kWh.CY.Ser.Bld.Thermal.CA.Elc.Elec</t>
  </si>
  <si>
    <t>CY - CO2 emissions per useful surface area</t>
  </si>
  <si>
    <t>EMI_per_sqm.kgCO2.CY.Ser.Bld.Thermal</t>
  </si>
  <si>
    <t>EMI_per_sqm.kgCO2.CY.Ser.Bld.Thermal.SH</t>
  </si>
  <si>
    <t>EMI_per_sqm.kgCO2.CY.Ser.Bld.Thermal.SH.Solids.Solids</t>
  </si>
  <si>
    <t>EMI_per_sqm.kgCO2.CY.Ser.Bld.Thermal.SH.LPG.LPG</t>
  </si>
  <si>
    <t>EMI_per_sqm.kgCO2.CY.Ser.Bld.Thermal.SH.Oil.Oil_LiqBio</t>
  </si>
  <si>
    <t>EMI_per_sqm.kgCO2.CY.Ser.Bld.Thermal.SH.GasHP.NG_Biogas</t>
  </si>
  <si>
    <t>EMI_per_sqm.kgCO2.CY.Ser.Bld.Thermal.SH.GasTH.NG_Biogas</t>
  </si>
  <si>
    <t>EMI_per_sqm.kgCO2.CY.Ser.Bld.Thermal.SH.Biomass.Biomass_Waste</t>
  </si>
  <si>
    <t>EMI_per_sqm.kgCO2.CY.Ser.Bld.Thermal.SH.Geo.Geo</t>
  </si>
  <si>
    <t>EMI_per_sqm.kgCO2.CY.Ser.Bld.Thermal.SH.DistrHeat.Steam_Distr</t>
  </si>
  <si>
    <t>EMI_per_sqm.kgCO2.CY.Ser.Bld.Thermal.SH.AdvElc.Elec</t>
  </si>
  <si>
    <t>EMI_per_sqm.kgCO2.CY.Ser.Bld.Thermal.SH.ConvElc.Elec</t>
  </si>
  <si>
    <t>EMI_per_sqm.kgCO2.CY.Ser.Bld.Thermal.SH.TotalCirculation.Elec</t>
  </si>
  <si>
    <t>EMI_per_sqm.kgCO2.CY.Ser.Bld.Thermal.SC</t>
  </si>
  <si>
    <t>EMI_per_sqm.kgCO2.CY.Ser.Bld.Thermal.SC.GasHP.NG_Biogas</t>
  </si>
  <si>
    <t>EMI_per_sqm.kgCO2.CY.Ser.Bld.Thermal.SC.AC.Elec</t>
  </si>
  <si>
    <t>EMI_per_sqm.kgCO2.CY.Ser.Bld.Thermal.HW</t>
  </si>
  <si>
    <t>EMI_per_sqm.kgCO2.CY.Ser.Bld.Thermal.HW.Solids.Solids</t>
  </si>
  <si>
    <t>EMI_per_sqm.kgCO2.CY.Ser.Bld.Thermal.HW.LPG.LPG</t>
  </si>
  <si>
    <t>EMI_per_sqm.kgCO2.CY.Ser.Bld.Thermal.HW.Oil.Oil_LiqBio</t>
  </si>
  <si>
    <t>EMI_per_sqm.kgCO2.CY.Ser.Bld.Thermal.HW.Gas.NG_Biogas</t>
  </si>
  <si>
    <t>EMI_per_sqm.kgCO2.CY.Ser.Bld.Thermal.HW.Biomass.Biomass_Waste</t>
  </si>
  <si>
    <t>EMI_per_sqm.kgCO2.CY.Ser.Bld.Thermal.HW.DistrHeat.Steam_Distr</t>
  </si>
  <si>
    <t>EMI_per_sqm.kgCO2.CY.Ser.Bld.Thermal.HW.Elc.Elec</t>
  </si>
  <si>
    <t>EMI_per_sqm.kgCO2.CY.Ser.Bld.Thermal.HW.TotalSolar.Solar</t>
  </si>
  <si>
    <t>EMI_per_sqm.kgCO2.CY.Ser.Bld.Thermal.CA</t>
  </si>
  <si>
    <t>EMI_per_sqm.kgCO2.CY.Ser.Bld.Thermal.CA.LPG</t>
  </si>
  <si>
    <t>EMI_per_sqm.kgCO2.CY.Ser.Bld.Thermal.CA.Gas.NG_Biogas</t>
  </si>
  <si>
    <t>EMI_per_sqm.kgCO2.CY.Ser.Bld.Thermal.CA.Biomass.Biomass_Waste</t>
  </si>
  <si>
    <t>EMI_per_sqm.kgCO2.CY.Ser.Bld.Thermal.CA.Elc.Elec</t>
  </si>
  <si>
    <t>CY - Number of new and renovated buildings</t>
  </si>
  <si>
    <t>NUM.number.CY.Ser.BldNew.Thermal</t>
  </si>
  <si>
    <t>NUM.number.CY.Ser.BldNew.Thermal.SH</t>
  </si>
  <si>
    <t>NUM.number.CY.Ser.BldNew.Thermal.SH.Solids</t>
  </si>
  <si>
    <t>NUM.number.CY.Ser.BldNew.Thermal.SH.LPG</t>
  </si>
  <si>
    <t>NUM.number.CY.Ser.BldNew.Thermal.SH.Oil</t>
  </si>
  <si>
    <t>NUM.number.CY.Ser.BldNew.Thermal.SH.GasHP</t>
  </si>
  <si>
    <t>NUM.number.CY.Ser.BldNew.Thermal.SH.GasTH</t>
  </si>
  <si>
    <t>NUM.number.CY.Ser.BldNew.Thermal.SH.Biomass</t>
  </si>
  <si>
    <t>NUM.number.CY.Ser.BldNew.Thermal.SH.Geo</t>
  </si>
  <si>
    <t>NUM.number.CY.Ser.BldNew.Thermal.SH.DistrHeat</t>
  </si>
  <si>
    <t>NUM.number.CY.Ser.BldNew.Thermal.SH.AdvElc</t>
  </si>
  <si>
    <t>NUM.number.CY.Ser.BldNew.Thermal.SH.ConvElc</t>
  </si>
  <si>
    <t>NUM.number.CY.Ser.BldNew.Thermal.SC</t>
  </si>
  <si>
    <t>NUM.number.CY.Ser.BldNew.Thermal.SC.GasHP</t>
  </si>
  <si>
    <t>NUM.number.CY.Ser.BldNew.Thermal.SC.AC</t>
  </si>
  <si>
    <t>NUM.number.CY.Ser.BldNew.Thermal.HW</t>
  </si>
  <si>
    <t>NUM.number.CY.Ser.BldNew.Thermal.HW.Solids</t>
  </si>
  <si>
    <t>NUM.number.CY.Ser.BldNew.Thermal.HW.LPG</t>
  </si>
  <si>
    <t>NUM.number.CY.Ser.BldNew.Thermal.HW.Oil</t>
  </si>
  <si>
    <t>NUM.number.CY.Ser.BldNew.Thermal.HW.Gas</t>
  </si>
  <si>
    <t>NUM.number.CY.Ser.BldNew.Thermal.HW.Biomass</t>
  </si>
  <si>
    <t>NUM.number.CY.Ser.BldNew.Thermal.HW.DistrHeat</t>
  </si>
  <si>
    <t>NUM.number.CY.Ser.BldNew.Thermal.HW.Elc</t>
  </si>
  <si>
    <t>NUM.number.CY.Ser.BldNew.Thermal.HW.Solar</t>
  </si>
  <si>
    <t>NUM.number.CY.Ser.BldNew.Thermal.CA</t>
  </si>
  <si>
    <t>NUM.number.CY.Ser.BldNew.Thermal.CA.LPG</t>
  </si>
  <si>
    <t>NUM.number.CY.Ser.BldNew.Thermal.CA.Gas</t>
  </si>
  <si>
    <t>NUM.number.CY.Ser.BldNew.Thermal.CA.Biomass</t>
  </si>
  <si>
    <t>NUM.number.CY.Ser.BldNew.Thermal.CA.Elc</t>
  </si>
  <si>
    <t>CY - Final energy consumption in new and renovated buildings</t>
  </si>
  <si>
    <t>FEC.ktoe.CY.Ser.BldNew.Thermal</t>
  </si>
  <si>
    <t>FEC.ktoe.CY.Ser.BldNew.Thermal.SH</t>
  </si>
  <si>
    <t>FEC.ktoe.CY.Ser.BldNew.Thermal.SH.Solids.Solids</t>
  </si>
  <si>
    <t>FEC.ktoe.CY.Ser.BldNew.Thermal.SH.LPG.LPG</t>
  </si>
  <si>
    <t>FEC.ktoe.CY.Ser.BldNew.Thermal.SH.Oil.Oil_LiqBio</t>
  </si>
  <si>
    <t>FEC.ktoe.CY.Ser.BldNew.Thermal.SH.GasHP.NG_Biogas</t>
  </si>
  <si>
    <t>FEC.ktoe.CY.Ser.BldNew.Thermal.SH.GasTH.NG_Biogas</t>
  </si>
  <si>
    <t>FEC.ktoe.CY.Ser.BldNew.Thermal.SH.Biomass.Biomass_Waste</t>
  </si>
  <si>
    <t>FEC.ktoe.CY.Ser.BldNew.Thermal.SH.Geo.Geo</t>
  </si>
  <si>
    <t>FEC.ktoe.CY.Ser.BldNew.Thermal.SH.DistrHeat.Steam_Distr</t>
  </si>
  <si>
    <t>FEC.ktoe.CY.Ser.BldNew.Thermal.SH.AdvElc.Elec</t>
  </si>
  <si>
    <t>FEC.ktoe.CY.Ser.BldNew.Thermal.SH.ConvElc.Elec</t>
  </si>
  <si>
    <t>FEC.ktoe.CY.Ser.BldNew.Thermal.SH.TotalCirculation.Elec</t>
  </si>
  <si>
    <t>FEC.ktoe.CY.Ser.BldNew.Thermal.SC</t>
  </si>
  <si>
    <t>FEC.ktoe.CY.Ser.BldNew.Thermal.SC.GasHP.NG_Biogas</t>
  </si>
  <si>
    <t>FEC.ktoe.CY.Ser.BldNew.Thermal.SC.AC.Elec</t>
  </si>
  <si>
    <t>FEC.ktoe.CY.Ser.BldNew.Thermal.HW</t>
  </si>
  <si>
    <t>FEC.ktoe.CY.Ser.BldNew.Thermal.HW.Solids.Solids</t>
  </si>
  <si>
    <t>FEC.ktoe.CY.Ser.BldNew.Thermal.HW.LPG.LPG</t>
  </si>
  <si>
    <t>FEC.ktoe.CY.Ser.BldNew.Thermal.HW.Oil.Oil_LiqBio</t>
  </si>
  <si>
    <t>FEC.ktoe.CY.Ser.BldNew.Thermal.HW.Gas.NG_Biogas</t>
  </si>
  <si>
    <t>FEC.ktoe.CY.Ser.BldNew.Thermal.HW.Biomass.Biomass_Waste</t>
  </si>
  <si>
    <t>FEC.ktoe.CY.Ser.BldNew.Thermal.HW.DistrHeat.Steam_Distr</t>
  </si>
  <si>
    <t>FEC.ktoe.CY.Ser.BldNew.Thermal.HW.Elc.Elec</t>
  </si>
  <si>
    <t>FEC.ktoe.CY.Ser.BldNew.Thermal.HW.TotalSolar.Solar</t>
  </si>
  <si>
    <t>FEC.ktoe.CY.Ser.BldNew.Thermal.CA</t>
  </si>
  <si>
    <t>FEC.ktoe.CY.Ser.BldNew.Thermal.CA.LPG</t>
  </si>
  <si>
    <t>FEC.ktoe.CY.Ser.BldNew.Thermal.CA.Gas.NG_Biogas</t>
  </si>
  <si>
    <t>FEC.ktoe.CY.Ser.BldNew.Thermal.CA.Biomass.Biomass_Waste</t>
  </si>
  <si>
    <t>FEC.ktoe.CY.Ser.BldNew.Thermal.CA.Elc.Elec</t>
  </si>
  <si>
    <t>CY - Thermal energy service in new and renovated buildings</t>
  </si>
  <si>
    <t>TES.ktoe.CY.Ser.BldNew.Thermal</t>
  </si>
  <si>
    <t>TES.ktoe.CY.Ser.BldNew.Thermal.SH</t>
  </si>
  <si>
    <t>TES.ktoe.CY.Ser.BldNew.Thermal.SH.Solids.Solids</t>
  </si>
  <si>
    <t>TES.ktoe.CY.Ser.BldNew.Thermal.SH.LPG.LPG</t>
  </si>
  <si>
    <t>TES.ktoe.CY.Ser.BldNew.Thermal.SH.Oil.Oil_LiqBio</t>
  </si>
  <si>
    <t>TES.ktoe.CY.Ser.BldNew.Thermal.SH.GasHP.NG_Biogas</t>
  </si>
  <si>
    <t>TES.ktoe.CY.Ser.BldNew.Thermal.SH.GasTH.NG_Biogas</t>
  </si>
  <si>
    <t>TES.ktoe.CY.Ser.BldNew.Thermal.SH.Biomass.Biomass_Waste</t>
  </si>
  <si>
    <t>TES.ktoe.CY.Ser.BldNew.Thermal.SH.Geo.Geo</t>
  </si>
  <si>
    <t>TES.ktoe.CY.Ser.BldNew.Thermal.SH.DistrHeat.Steam_Distr</t>
  </si>
  <si>
    <t>TES.ktoe.CY.Ser.BldNew.Thermal.SH.AdvElc.Elec</t>
  </si>
  <si>
    <t>TES.ktoe.CY.Ser.BldNew.Thermal.SH.ConvElc.Elec</t>
  </si>
  <si>
    <t>TES.ktoe.CY.Ser.BldNew.Thermal.SH.TotalCirculation.Elec</t>
  </si>
  <si>
    <t>TES.ktoe.CY.Ser.BldNew.Thermal.SC</t>
  </si>
  <si>
    <t>TES.ktoe.CY.Ser.BldNew.Thermal.SC.GasHP.NG_Biogas</t>
  </si>
  <si>
    <t>TES.ktoe.CY.Ser.BldNew.Thermal.SC.AC.Elec</t>
  </si>
  <si>
    <t>TES.ktoe.CY.Ser.BldNew.Thermal.HW</t>
  </si>
  <si>
    <t>TES.ktoe.CY.Ser.BldNew.Thermal.HW.Solids.Solids</t>
  </si>
  <si>
    <t>TES.ktoe.CY.Ser.BldNew.Thermal.HW.LPG.LPG</t>
  </si>
  <si>
    <t>TES.ktoe.CY.Ser.BldNew.Thermal.HW.Oil.Oil_LiqBio</t>
  </si>
  <si>
    <t>TES.ktoe.CY.Ser.BldNew.Thermal.HW.Gas.NG_Biogas</t>
  </si>
  <si>
    <t>TES.ktoe.CY.Ser.BldNew.Thermal.HW.Biomass.Biomass_Waste</t>
  </si>
  <si>
    <t>TES.ktoe.CY.Ser.BldNew.Thermal.HW.DistrHeat.Steam_Distr</t>
  </si>
  <si>
    <t>TES.ktoe.CY.Ser.BldNew.Thermal.HW.Elc.Elec</t>
  </si>
  <si>
    <t>TES.ktoe.CY.Ser.BldNew.Thermal.HW.TotalSolar.Solar</t>
  </si>
  <si>
    <t>TES.ktoe.CY.Ser.BldNew.Thermal.CA</t>
  </si>
  <si>
    <t>TES.ktoe.CY.Ser.BldNew.Thermal.CA.LPG</t>
  </si>
  <si>
    <t>TES.ktoe.CY.Ser.BldNew.Thermal.CA.Gas.NG_Biogas</t>
  </si>
  <si>
    <t>TES.ktoe.CY.Ser.BldNew.Thermal.CA.Biomass.Biomass_Waste</t>
  </si>
  <si>
    <t>TES.ktoe.CY.Ser.BldNew.Thermal.CA.Elc.Elec</t>
  </si>
  <si>
    <t>CY - System efficiency indicator of new and renovated buildings</t>
  </si>
  <si>
    <t>Eff.ratio.CY.Ser.BldNew.Thermal</t>
  </si>
  <si>
    <t>Eff.ratio.CY.Ser.BldNew.Thermal.SH</t>
  </si>
  <si>
    <t>Eff.ratio.CY.Ser.BldNew.Thermal.SH.Solids.Solids</t>
  </si>
  <si>
    <t>Eff.ratio.CY.Ser.BldNew.Thermal.SH.LPG.LPG</t>
  </si>
  <si>
    <t>Eff.ratio.CY.Ser.BldNew.Thermal.SH.Oil.Oil_LiqBio</t>
  </si>
  <si>
    <t>Eff.ratio.CY.Ser.BldNew.Thermal.SH.GasHP.NG_Biogas</t>
  </si>
  <si>
    <t>Eff.ratio.CY.Ser.BldNew.Thermal.SH.GasTH.NG_Biogas</t>
  </si>
  <si>
    <t>Eff.ratio.CY.Ser.BldNew.Thermal.SH.Biomass.Biomass_Waste</t>
  </si>
  <si>
    <t>Eff.ratio.CY.Ser.BldNew.Thermal.SH.Geo.Geo</t>
  </si>
  <si>
    <t>Eff.ratio.CY.Ser.BldNew.Thermal.SH.DistrHeat.Steam_Distr</t>
  </si>
  <si>
    <t>Eff.ratio.CY.Ser.BldNew.Thermal.SH.AdvElc.Elec</t>
  </si>
  <si>
    <t>Eff.ratio.CY.Ser.BldNew.Thermal.SH.ConvElc.Elec</t>
  </si>
  <si>
    <t>Eff.ratio.CY.Ser.BldNew.Thermal.SH.TotalCirculation.Elec</t>
  </si>
  <si>
    <t>Eff.ratio.CY.Ser.BldNew.Thermal.SC</t>
  </si>
  <si>
    <t>Eff.ratio.CY.Ser.BldNew.Thermal.SC.GasHP.NG_Biogas</t>
  </si>
  <si>
    <t>Eff.ratio.CY.Ser.BldNew.Thermal.SC.AC.Elec</t>
  </si>
  <si>
    <t>Eff.ratio.CY.Ser.BldNew.Thermal.HW</t>
  </si>
  <si>
    <t>Eff.ratio.CY.Ser.BldNew.Thermal.HW.Solids.Solids</t>
  </si>
  <si>
    <t>Eff.ratio.CY.Ser.BldNew.Thermal.HW.LPG.LPG</t>
  </si>
  <si>
    <t>Eff.ratio.CY.Ser.BldNew.Thermal.HW.Oil.Oil_LiqBio</t>
  </si>
  <si>
    <t>Eff.ratio.CY.Ser.BldNew.Thermal.HW.Gas.NG_Biogas</t>
  </si>
  <si>
    <t>Eff.ratio.CY.Ser.BldNew.Thermal.HW.Biomass.Biomass_Waste</t>
  </si>
  <si>
    <t>Eff.ratio.CY.Ser.BldNew.Thermal.HW.DistrHeat.Steam_Distr</t>
  </si>
  <si>
    <t>Eff.ratio.CY.Ser.BldNew.Thermal.HW.Elc.Elec</t>
  </si>
  <si>
    <t>Eff.ratio.CY.Ser.BldNew.Thermal.HW.TotalSolar.Solar</t>
  </si>
  <si>
    <t>Eff.ratio.CY.Ser.BldNew.Thermal.CA</t>
  </si>
  <si>
    <t>Eff.ratio.CY.Ser.BldNew.Thermal.CA.LPG</t>
  </si>
  <si>
    <t>Eff.ratio.CY.Ser.BldNew.Thermal.CA.Gas.NG_Biogas</t>
  </si>
  <si>
    <t>Eff.ratio.CY.Ser.BldNew.Thermal.CA.Biomass.Biomass_Waste</t>
  </si>
  <si>
    <t>Eff.ratio.CY.Ser.BldNew.Thermal.CA.Elc.Elec</t>
  </si>
  <si>
    <t>CY - CO2 emissions in new and renovated buildings</t>
  </si>
  <si>
    <t>EMI.ktCO2.CY.Ser.BldNew.Thermal</t>
  </si>
  <si>
    <t>EMI.ktCO2.CY.Ser.BldNew.Thermal.SH</t>
  </si>
  <si>
    <t>EMI.ktCO2.CY.Ser.BldNew.Thermal.SH.Solids.Solids</t>
  </si>
  <si>
    <t>EMI.ktCO2.CY.Ser.BldNew.Thermal.SH.LPG.LPG</t>
  </si>
  <si>
    <t>EMI.ktCO2.CY.Ser.BldNew.Thermal.SH.Oil.Oil_LiqBio</t>
  </si>
  <si>
    <t>EMI.ktCO2.CY.Ser.BldNew.Thermal.SH.GasHP.NG_Biogas</t>
  </si>
  <si>
    <t>EMI.ktCO2.CY.Ser.BldNew.Thermal.SH.GasTH.NG_Biogas</t>
  </si>
  <si>
    <t>EMI.ktCO2.CY.Ser.BldNew.Thermal.SH.Biomass.Biomass_Waste</t>
  </si>
  <si>
    <t>EMI.ktCO2.CY.Ser.BldNew.Thermal.SH.Geo.Geo</t>
  </si>
  <si>
    <t>EMI.ktCO2.CY.Ser.BldNew.Thermal.SH.DistrHeat.Steam_Distr</t>
  </si>
  <si>
    <t>EMI.ktCO2.CY.Ser.BldNew.Thermal.SH.AdvElc.Elec</t>
  </si>
  <si>
    <t>EMI.ktCO2.CY.Ser.BldNew.Thermal.SH.ConvElc.Elec</t>
  </si>
  <si>
    <t>EMI.ktCO2.CY.Ser.BldNew.Thermal.SH.TotalCirculation.Elec</t>
  </si>
  <si>
    <t>EMI.ktCO2.CY.Ser.BldNew.Thermal.SC</t>
  </si>
  <si>
    <t>EMI.ktCO2.CY.Ser.BldNew.Thermal.SC.GasHP.NG_Biogas</t>
  </si>
  <si>
    <t>EMI.ktCO2.CY.Ser.BldNew.Thermal.SC.AC.Elec</t>
  </si>
  <si>
    <t>EMI.ktCO2.CY.Ser.BldNew.Thermal.HW</t>
  </si>
  <si>
    <t>EMI.ktCO2.CY.Ser.BldNew.Thermal.HW.Solids.Solids</t>
  </si>
  <si>
    <t>EMI.ktCO2.CY.Ser.BldNew.Thermal.HW.LPG.LPG</t>
  </si>
  <si>
    <t>EMI.ktCO2.CY.Ser.BldNew.Thermal.HW.Oil.Oil_LiqBio</t>
  </si>
  <si>
    <t>EMI.ktCO2.CY.Ser.BldNew.Thermal.HW.Gas.NG_Biogas</t>
  </si>
  <si>
    <t>EMI.ktCO2.CY.Ser.BldNew.Thermal.HW.Biomass.Biomass_Waste</t>
  </si>
  <si>
    <t>EMI.ktCO2.CY.Ser.BldNew.Thermal.HW.DistrHeat.Steam_Distr</t>
  </si>
  <si>
    <t>EMI.ktCO2.CY.Ser.BldNew.Thermal.HW.Elc.Elec</t>
  </si>
  <si>
    <t>EMI.ktCO2.CY.Ser.BldNew.Thermal.HW.TotalSolar.Solar</t>
  </si>
  <si>
    <t>EMI.ktCO2.CY.Ser.BldNew.Thermal.CA</t>
  </si>
  <si>
    <t>EMI.ktCO2.CY.Ser.BldNew.Thermal.CA.LPG</t>
  </si>
  <si>
    <t>EMI.ktCO2.CY.Ser.BldNew.Thermal.CA.Gas.NG_Biogas</t>
  </si>
  <si>
    <t>EMI.ktCO2.CY.Ser.BldNew.Thermal.CA.Biomass.Biomass_Waste</t>
  </si>
  <si>
    <t>EMI.ktCO2.CY.Ser.BldNew.Thermal.CA.Elc.Elec</t>
  </si>
  <si>
    <t>CY - Final energy consumption of new and renovated buildings (per building)</t>
  </si>
  <si>
    <t>FEC_per_building.kWh.CY.Ser.BldNew.Thermal</t>
  </si>
  <si>
    <t>FEC_per_building.kWh.CY.Ser.BldNew.Thermal.SH</t>
  </si>
  <si>
    <t>FEC_per_building.kWh.CY.Ser.BldNew.Thermal.SH.Solids.Solids</t>
  </si>
  <si>
    <t>FEC_per_building.kWh.CY.Ser.BldNew.Thermal.SH.LPG.LPG</t>
  </si>
  <si>
    <t>FEC_per_building.kWh.CY.Ser.BldNew.Thermal.SH.Oil.Oil_LiqBio</t>
  </si>
  <si>
    <t>FEC_per_building.kWh.CY.Ser.BldNew.Thermal.SH.GasHP.NG_Biogas</t>
  </si>
  <si>
    <t>FEC_per_building.kWh.CY.Ser.BldNew.Thermal.SH.GasTH.NG_Biogas</t>
  </si>
  <si>
    <t>FEC_per_building.kWh.CY.Ser.BldNew.Thermal.SH.Biomass.Biomass_Waste</t>
  </si>
  <si>
    <t>FEC_per_building.kWh.CY.Ser.BldNew.Thermal.SH.Geo.Geo</t>
  </si>
  <si>
    <t>FEC_per_building.kWh.CY.Ser.BldNew.Thermal.SH.DistrHeat.Steam_Distr</t>
  </si>
  <si>
    <t>FEC_per_building.kWh.CY.Ser.BldNew.Thermal.SH.AdvElc.Elec</t>
  </si>
  <si>
    <t>FEC_per_building.kWh.CY.Ser.BldNew.Thermal.SH.ConvElc.Elec</t>
  </si>
  <si>
    <t>FEC_per_building.kWh.CY.Ser.BldNew.Thermal.SH.TotalCirculation.Elec</t>
  </si>
  <si>
    <t>FEC_per_building.kWh.CY.Ser.BldNew.Thermal.SC</t>
  </si>
  <si>
    <t>FEC_per_building.kWh.CY.Ser.BldNew.Thermal.SC.GasHP.NG_Biogas</t>
  </si>
  <si>
    <t>FEC_per_building.kWh.CY.Ser.BldNew.Thermal.SC.AC.Elec</t>
  </si>
  <si>
    <t>FEC_per_building.kWh.CY.Ser.BldNew.Thermal.HW</t>
  </si>
  <si>
    <t>FEC_per_building.kWh.CY.Ser.BldNew.Thermal.HW.Solids.Solids</t>
  </si>
  <si>
    <t>FEC_per_building.kWh.CY.Ser.BldNew.Thermal.HW.LPG.LPG</t>
  </si>
  <si>
    <t>FEC_per_building.kWh.CY.Ser.BldNew.Thermal.HW.Oil.Oil_LiqBio</t>
  </si>
  <si>
    <t>FEC_per_building.kWh.CY.Ser.BldNew.Thermal.HW.Gas.NG_Biogas</t>
  </si>
  <si>
    <t>FEC_per_building.kWh.CY.Ser.BldNew.Thermal.HW.Biomass.Biomass_Waste</t>
  </si>
  <si>
    <t>FEC_per_building.kWh.CY.Ser.BldNew.Thermal.HW.DistrHeat.Steam_Distr</t>
  </si>
  <si>
    <t>FEC_per_building.kWh.CY.Ser.BldNew.Thermal.HW.Elc.Elec</t>
  </si>
  <si>
    <t>FEC_per_building.kWh.CY.Ser.BldNew.Thermal.HW.TotalSolar.Solar</t>
  </si>
  <si>
    <t>FEC_per_building.kWh.CY.Ser.BldNew.Thermal.CA</t>
  </si>
  <si>
    <t>FEC_per_building.kWh.CY.Ser.BldNew.Thermal.CA.LPG</t>
  </si>
  <si>
    <t>FEC_per_building.kWh.CY.Ser.BldNew.Thermal.CA.Gas.NG_Biogas</t>
  </si>
  <si>
    <t>FEC_per_building.kWh.CY.Ser.BldNew.Thermal.CA.Biomass.Biomass_Waste</t>
  </si>
  <si>
    <t>FEC_per_building.kWh.CY.Ser.BldNew.Thermal.CA.Elc.Elec</t>
  </si>
  <si>
    <t>CY - Thermal energy service of new and renovated buildings (per building)</t>
  </si>
  <si>
    <t>TES_per_building.kWh.CY.Ser.BldNew.Thermal</t>
  </si>
  <si>
    <t>TES_per_building.kWh.CY.Ser.BldNew.Thermal.SH</t>
  </si>
  <si>
    <t>TES_per_building.kWh.CY.Ser.BldNew.Thermal.SH.Solids.Solids</t>
  </si>
  <si>
    <t>TES_per_building.kWh.CY.Ser.BldNew.Thermal.SH.LPG.LPG</t>
  </si>
  <si>
    <t>TES_per_building.kWh.CY.Ser.BldNew.Thermal.SH.Oil.Oil_LiqBio</t>
  </si>
  <si>
    <t>TES_per_building.kWh.CY.Ser.BldNew.Thermal.SH.GasHP.NG_Biogas</t>
  </si>
  <si>
    <t>TES_per_building.kWh.CY.Ser.BldNew.Thermal.SH.GasTH.NG_Biogas</t>
  </si>
  <si>
    <t>TES_per_building.kWh.CY.Ser.BldNew.Thermal.SH.Biomass.Biomass_Waste</t>
  </si>
  <si>
    <t>TES_per_building.kWh.CY.Ser.BldNew.Thermal.SH.Geo.Geo</t>
  </si>
  <si>
    <t>TES_per_building.kWh.CY.Ser.BldNew.Thermal.SH.DistrHeat.Steam_Distr</t>
  </si>
  <si>
    <t>TES_per_building.kWh.CY.Ser.BldNew.Thermal.SH.AdvElc.Elec</t>
  </si>
  <si>
    <t>TES_per_building.kWh.CY.Ser.BldNew.Thermal.SH.ConvElc.Elec</t>
  </si>
  <si>
    <t>TES_per_building.kWh.CY.Ser.BldNew.Thermal.SH.TotalCirculation.Elec</t>
  </si>
  <si>
    <t>TES_per_building.kWh.CY.Ser.BldNew.Thermal.SC</t>
  </si>
  <si>
    <t>TES_per_building.kWh.CY.Ser.BldNew.Thermal.SC.GasHP.NG_Biogas</t>
  </si>
  <si>
    <t>TES_per_building.kWh.CY.Ser.BldNew.Thermal.SC.AC.Elec</t>
  </si>
  <si>
    <t>TES_per_building.kWh.CY.Ser.BldNew.Thermal.HW</t>
  </si>
  <si>
    <t>TES_per_building.kWh.CY.Ser.BldNew.Thermal.HW.Solids.Solids</t>
  </si>
  <si>
    <t>TES_per_building.kWh.CY.Ser.BldNew.Thermal.HW.LPG.LPG</t>
  </si>
  <si>
    <t>TES_per_building.kWh.CY.Ser.BldNew.Thermal.HW.Oil.Oil_LiqBio</t>
  </si>
  <si>
    <t>TES_per_building.kWh.CY.Ser.BldNew.Thermal.HW.Gas.NG_Biogas</t>
  </si>
  <si>
    <t>TES_per_building.kWh.CY.Ser.BldNew.Thermal.HW.Biomass.Biomass_Waste</t>
  </si>
  <si>
    <t>TES_per_building.kWh.CY.Ser.BldNew.Thermal.HW.DistrHeat.Steam_Distr</t>
  </si>
  <si>
    <t>TES_per_building.kWh.CY.Ser.BldNew.Thermal.HW.Elc.Elec</t>
  </si>
  <si>
    <t>TES_per_building.kWh.CY.Ser.BldNew.Thermal.HW.TotalSolar.Solar</t>
  </si>
  <si>
    <t>TES_per_building.kWh.CY.Ser.BldNew.Thermal.CA</t>
  </si>
  <si>
    <t>TES_per_building.kWh.CY.Ser.BldNew.Thermal.CA.LPG</t>
  </si>
  <si>
    <t>TES_per_building.kWh.CY.Ser.BldNew.Thermal.CA.Gas.NG_Biogas</t>
  </si>
  <si>
    <t>TES_per_building.kWh.CY.Ser.BldNew.Thermal.CA.Biomass.Biomass_Waste</t>
  </si>
  <si>
    <t>TES_per_building.kWh.CY.Ser.BldNew.Thermal.CA.Elc.Elec</t>
  </si>
  <si>
    <t>CY - CO2 emissions in new and renovated buildings (per building)</t>
  </si>
  <si>
    <t>EMI_per_building.kgCO2.CY.Ser.BldNew.Thermal</t>
  </si>
  <si>
    <t>EMI_per_building.kgCO2.CY.Ser.BldNew.Thermal.SH</t>
  </si>
  <si>
    <t>EMI_per_building.kgCO2.CY.Ser.BldNew.Thermal.SH.Solids.Solids</t>
  </si>
  <si>
    <t>EMI_per_building.kgCO2.CY.Ser.BldNew.Thermal.SH.LPG.LPG</t>
  </si>
  <si>
    <t>EMI_per_building.kgCO2.CY.Ser.BldNew.Thermal.SH.Oil.Oil_LiqBio</t>
  </si>
  <si>
    <t>EMI_per_building.kgCO2.CY.Ser.BldNew.Thermal.SH.GasHP.NG_Biogas</t>
  </si>
  <si>
    <t>EMI_per_building.kgCO2.CY.Ser.BldNew.Thermal.SH.GasTH.NG_Biogas</t>
  </si>
  <si>
    <t>EMI_per_building.kgCO2.CY.Ser.BldNew.Thermal.SH.Biomass.Biomass_Waste</t>
  </si>
  <si>
    <t>EMI_per_building.kgCO2.CY.Ser.BldNew.Thermal.SH.Geo.Geo</t>
  </si>
  <si>
    <t>EMI_per_building.kgCO2.CY.Ser.BldNew.Thermal.SH.DistrHeat.Steam_Distr</t>
  </si>
  <si>
    <t>EMI_per_building.kgCO2.CY.Ser.BldNew.Thermal.SH.AdvElc.Elec</t>
  </si>
  <si>
    <t>EMI_per_building.kgCO2.CY.Ser.BldNew.Thermal.SH.ConvElc.Elec</t>
  </si>
  <si>
    <t>EMI_per_building.kgCO2.CY.Ser.BldNew.Thermal.SH.TotalCirculation.Elec</t>
  </si>
  <si>
    <t>EMI_per_building.kgCO2.CY.Ser.BldNew.Thermal.SC</t>
  </si>
  <si>
    <t>EMI_per_building.kgCO2.CY.Ser.BldNew.Thermal.SC.GasHP.NG_Biogas</t>
  </si>
  <si>
    <t>EMI_per_building.kgCO2.CY.Ser.BldNew.Thermal.SC.AC.Elec</t>
  </si>
  <si>
    <t>EMI_per_building.kgCO2.CY.Ser.BldNew.Thermal.HW</t>
  </si>
  <si>
    <t>EMI_per_building.kgCO2.CY.Ser.BldNew.Thermal.HW.Solids.Solids</t>
  </si>
  <si>
    <t>EMI_per_building.kgCO2.CY.Ser.BldNew.Thermal.HW.LPG.LPG</t>
  </si>
  <si>
    <t>EMI_per_building.kgCO2.CY.Ser.BldNew.Thermal.HW.Oil.Oil_LiqBio</t>
  </si>
  <si>
    <t>EMI_per_building.kgCO2.CY.Ser.BldNew.Thermal.HW.Gas.NG_Biogas</t>
  </si>
  <si>
    <t>EMI_per_building.kgCO2.CY.Ser.BldNew.Thermal.HW.Biomass.Biomass_Waste</t>
  </si>
  <si>
    <t>EMI_per_building.kgCO2.CY.Ser.BldNew.Thermal.HW.DistrHeat.Steam_Distr</t>
  </si>
  <si>
    <t>EMI_per_building.kgCO2.CY.Ser.BldNew.Thermal.HW.Elc.Elec</t>
  </si>
  <si>
    <t>EMI_per_building.kgCO2.CY.Ser.BldNew.Thermal.HW.TotalSolar.Solar</t>
  </si>
  <si>
    <t>EMI_per_building.kgCO2.CY.Ser.BldNew.Thermal.CA</t>
  </si>
  <si>
    <t>EMI_per_building.kgCO2.CY.Ser.BldNew.Thermal.CA.LPG</t>
  </si>
  <si>
    <t>EMI_per_building.kgCO2.CY.Ser.BldNew.Thermal.CA.Gas.NG_Biogas</t>
  </si>
  <si>
    <t>EMI_per_building.kgCO2.CY.Ser.BldNew.Thermal.CA.Biomass.Biomass_Waste</t>
  </si>
  <si>
    <t>EMI_per_building.kgCO2.CY.Ser.BldNew.Thermal.CA.Elc.Elec</t>
  </si>
  <si>
    <t>CY - Final energy consumption in new and renovated buildings per surface area</t>
  </si>
  <si>
    <t>FEC_per_sqm.kWh.CY.Ser.BldNew.Thermal</t>
  </si>
  <si>
    <t>FEC_per_sqm.kWh.CY.Ser.BldNew.Thermal.SH</t>
  </si>
  <si>
    <t>FEC_per_sqm.kWh.CY.Ser.BldNew.Thermal.SH.Solids.Solids</t>
  </si>
  <si>
    <t>FEC_per_sqm.kWh.CY.Ser.BldNew.Thermal.SH.LPG.LPG</t>
  </si>
  <si>
    <t>FEC_per_sqm.kWh.CY.Ser.BldNew.Thermal.SH.Oil.Oil_LiqBio</t>
  </si>
  <si>
    <t>FEC_per_sqm.kWh.CY.Ser.BldNew.Thermal.SH.GasHP.NG_Biogas</t>
  </si>
  <si>
    <t>FEC_per_sqm.kWh.CY.Ser.BldNew.Thermal.SH.GasTH.NG_Biogas</t>
  </si>
  <si>
    <t>FEC_per_sqm.kWh.CY.Ser.BldNew.Thermal.SH.Biomass.Biomass_Waste</t>
  </si>
  <si>
    <t>FEC_per_sqm.kWh.CY.Ser.BldNew.Thermal.SH.Geo.Geo</t>
  </si>
  <si>
    <t>FEC_per_sqm.kWh.CY.Ser.BldNew.Thermal.SH.DistrHeat.Steam_Distr</t>
  </si>
  <si>
    <t>FEC_per_sqm.kWh.CY.Ser.BldNew.Thermal.SH.AdvElc.Elec</t>
  </si>
  <si>
    <t>FEC_per_sqm.kWh.CY.Ser.BldNew.Thermal.SH.ConvElc.Elec</t>
  </si>
  <si>
    <t>FEC_per_sqm.kWh.CY.Ser.BldNew.Thermal.SH.TotalCirculation.Elec</t>
  </si>
  <si>
    <t>FEC_per_sqm.kWh.CY.Ser.BldNew.Thermal.SC</t>
  </si>
  <si>
    <t>FEC_per_sqm.kWh.CY.Ser.BldNew.Thermal.SC.GasHP.NG_Biogas</t>
  </si>
  <si>
    <t>FEC_per_sqm.kWh.CY.Ser.BldNew.Thermal.SC.AC.Elec</t>
  </si>
  <si>
    <t>FEC_per_sqm.kWh.CY.Ser.BldNew.Thermal.HW</t>
  </si>
  <si>
    <t>FEC_per_sqm.kWh.CY.Ser.BldNew.Thermal.HW.Solids.Solids</t>
  </si>
  <si>
    <t>FEC_per_sqm.kWh.CY.Ser.BldNew.Thermal.HW.LPG.LPG</t>
  </si>
  <si>
    <t>FEC_per_sqm.kWh.CY.Ser.BldNew.Thermal.HW.Oil.Oil_LiqBio</t>
  </si>
  <si>
    <t>FEC_per_sqm.kWh.CY.Ser.BldNew.Thermal.HW.Gas.NG_Biogas</t>
  </si>
  <si>
    <t>FEC_per_sqm.kWh.CY.Ser.BldNew.Thermal.HW.Biomass.Biomass_Waste</t>
  </si>
  <si>
    <t>FEC_per_sqm.kWh.CY.Ser.BldNew.Thermal.HW.DistrHeat.Steam_Distr</t>
  </si>
  <si>
    <t>FEC_per_sqm.kWh.CY.Ser.BldNew.Thermal.HW.Elc.Elec</t>
  </si>
  <si>
    <t>FEC_per_sqm.kWh.CY.Ser.BldNew.Thermal.HW.TotalSolar.Solar</t>
  </si>
  <si>
    <t>FEC_per_sqm.kWh.CY.Ser.BldNew.Thermal.CA</t>
  </si>
  <si>
    <t>FEC_per_sqm.kWh.CY.Ser.BldNew.Thermal.CA.LPG</t>
  </si>
  <si>
    <t>FEC_per_sqm.kWh.CY.Ser.BldNew.Thermal.CA.Gas.NG_Biogas</t>
  </si>
  <si>
    <t>FEC_per_sqm.kWh.CY.Ser.BldNew.Thermal.CA.Biomass.Biomass_Waste</t>
  </si>
  <si>
    <t>FEC_per_sqm.kWh.CY.Ser.BldNew.Thermal.CA.Elc.Elec</t>
  </si>
  <si>
    <t>CY - Thermal energy service in new and renovated buildings per surface area</t>
  </si>
  <si>
    <t>TES_per_sqm.kWh.CY.Ser.BldNew.Thermal</t>
  </si>
  <si>
    <t>TES_per_sqm.kWh.CY.Ser.BldNew.Thermal.SH</t>
  </si>
  <si>
    <t>TES_per_sqm.kWh.CY.Ser.BldNew.Thermal.SH.Solids.Solids</t>
  </si>
  <si>
    <t>TES_per_sqm.kWh.CY.Ser.BldNew.Thermal.SH.LPG.LPG</t>
  </si>
  <si>
    <t>TES_per_sqm.kWh.CY.Ser.BldNew.Thermal.SH.Oil.Oil_LiqBio</t>
  </si>
  <si>
    <t>TES_per_sqm.kWh.CY.Ser.BldNew.Thermal.SH.GasHP.NG_Biogas</t>
  </si>
  <si>
    <t>TES_per_sqm.kWh.CY.Ser.BldNew.Thermal.SH.GasTH.NG_Biogas</t>
  </si>
  <si>
    <t>TES_per_sqm.kWh.CY.Ser.BldNew.Thermal.SH.Biomass.Biomass_Waste</t>
  </si>
  <si>
    <t>TES_per_sqm.kWh.CY.Ser.BldNew.Thermal.SH.Geo.Geo</t>
  </si>
  <si>
    <t>TES_per_sqm.kWh.CY.Ser.BldNew.Thermal.SH.DistrHeat.Steam_Distr</t>
  </si>
  <si>
    <t>TES_per_sqm.kWh.CY.Ser.BldNew.Thermal.SH.AdvElc.Elec</t>
  </si>
  <si>
    <t>TES_per_sqm.kWh.CY.Ser.BldNew.Thermal.SH.ConvElc.Elec</t>
  </si>
  <si>
    <t>TES_per_sqm.kWh.CY.Ser.BldNew.Thermal.SH.TotalCirculation.Elec</t>
  </si>
  <si>
    <t>TES_per_sqm.kWh.CY.Ser.BldNew.Thermal.SC</t>
  </si>
  <si>
    <t>TES_per_sqm.kWh.CY.Ser.BldNew.Thermal.SC.GasHP.NG_Biogas</t>
  </si>
  <si>
    <t>TES_per_sqm.kWh.CY.Ser.BldNew.Thermal.SC.AC.Elec</t>
  </si>
  <si>
    <t>TES_per_sqm.kWh.CY.Ser.BldNew.Thermal.HW</t>
  </si>
  <si>
    <t>TES_per_sqm.kWh.CY.Ser.BldNew.Thermal.HW.Solids.Solids</t>
  </si>
  <si>
    <t>TES_per_sqm.kWh.CY.Ser.BldNew.Thermal.HW.LPG.LPG</t>
  </si>
  <si>
    <t>TES_per_sqm.kWh.CY.Ser.BldNew.Thermal.HW.Oil.Oil_LiqBio</t>
  </si>
  <si>
    <t>TES_per_sqm.kWh.CY.Ser.BldNew.Thermal.HW.Gas.NG_Biogas</t>
  </si>
  <si>
    <t>TES_per_sqm.kWh.CY.Ser.BldNew.Thermal.HW.Biomass.Biomass_Waste</t>
  </si>
  <si>
    <t>TES_per_sqm.kWh.CY.Ser.BldNew.Thermal.HW.DistrHeat.Steam_Distr</t>
  </si>
  <si>
    <t>TES_per_sqm.kWh.CY.Ser.BldNew.Thermal.HW.Elc.Elec</t>
  </si>
  <si>
    <t>TES_per_sqm.kWh.CY.Ser.BldNew.Thermal.HW.TotalSolar.Solar</t>
  </si>
  <si>
    <t>TES_per_sqm.kWh.CY.Ser.BldNew.Thermal.CA</t>
  </si>
  <si>
    <t>TES_per_sqm.kWh.CY.Ser.BldNew.Thermal.CA.LPG</t>
  </si>
  <si>
    <t>TES_per_sqm.kWh.CY.Ser.BldNew.Thermal.CA.Gas.NG_Biogas</t>
  </si>
  <si>
    <t>TES_per_sqm.kWh.CY.Ser.BldNew.Thermal.CA.Biomass.Biomass_Waste</t>
  </si>
  <si>
    <t>TES_per_sqm.kWh.CY.Ser.BldNew.Thermal.CA.Elc.Elec</t>
  </si>
  <si>
    <t>CY - CO2 emissions in new and renovated buildings per surface area</t>
  </si>
  <si>
    <t>EMI_per_sqm.kgCO2.CY.Ser.BldNew.Thermal</t>
  </si>
  <si>
    <t>EMI_per_sqm.kgCO2.CY.Ser.BldNew.Thermal.SH</t>
  </si>
  <si>
    <t>EMI_per_sqm.kgCO2.CY.Ser.BldNew.Thermal.SH.Solids.Solids</t>
  </si>
  <si>
    <t>EMI_per_sqm.kgCO2.CY.Ser.BldNew.Thermal.SH.LPG.LPG</t>
  </si>
  <si>
    <t>EMI_per_sqm.kgCO2.CY.Ser.BldNew.Thermal.SH.Oil.Oil_LiqBio</t>
  </si>
  <si>
    <t>EMI_per_sqm.kgCO2.CY.Ser.BldNew.Thermal.SH.GasHP.NG_Biogas</t>
  </si>
  <si>
    <t>EMI_per_sqm.kgCO2.CY.Ser.BldNew.Thermal.SH.GasTH.NG_Biogas</t>
  </si>
  <si>
    <t>EMI_per_sqm.kgCO2.CY.Ser.BldNew.Thermal.SH.Biomass.Biomass_Waste</t>
  </si>
  <si>
    <t>EMI_per_sqm.kgCO2.CY.Ser.BldNew.Thermal.SH.Geo.Geo</t>
  </si>
  <si>
    <t>EMI_per_sqm.kgCO2.CY.Ser.BldNew.Thermal.SH.DistrHeat.Steam_Distr</t>
  </si>
  <si>
    <t>EMI_per_sqm.kgCO2.CY.Ser.BldNew.Thermal.SH.AdvElc.Elec</t>
  </si>
  <si>
    <t>EMI_per_sqm.kgCO2.CY.Ser.BldNew.Thermal.SH.ConvElc.Elec</t>
  </si>
  <si>
    <t>EMI_per_sqm.kgCO2.CY.Ser.BldNew.Thermal.SH.TotalCirculation.Elec</t>
  </si>
  <si>
    <t>EMI_per_sqm.kgCO2.CY.Ser.BldNew.Thermal.SC</t>
  </si>
  <si>
    <t>EMI_per_sqm.kgCO2.CY.Ser.BldNew.Thermal.SC.GasHP.NG_Biogas</t>
  </si>
  <si>
    <t>EMI_per_sqm.kgCO2.CY.Ser.BldNew.Thermal.SC.AC.Elec</t>
  </si>
  <si>
    <t>EMI_per_sqm.kgCO2.CY.Ser.BldNew.Thermal.HW</t>
  </si>
  <si>
    <t>EMI_per_sqm.kgCO2.CY.Ser.BldNew.Thermal.HW.Solids.Solids</t>
  </si>
  <si>
    <t>EMI_per_sqm.kgCO2.CY.Ser.BldNew.Thermal.HW.LPG.LPG</t>
  </si>
  <si>
    <t>EMI_per_sqm.kgCO2.CY.Ser.BldNew.Thermal.HW.Oil.Oil_LiqBio</t>
  </si>
  <si>
    <t>EMI_per_sqm.kgCO2.CY.Ser.BldNew.Thermal.HW.Gas.NG_Biogas</t>
  </si>
  <si>
    <t>EMI_per_sqm.kgCO2.CY.Ser.BldNew.Thermal.HW.Biomass.Biomass_Waste</t>
  </si>
  <si>
    <t>EMI_per_sqm.kgCO2.CY.Ser.BldNew.Thermal.HW.DistrHeat.Steam_Distr</t>
  </si>
  <si>
    <t>EMI_per_sqm.kgCO2.CY.Ser.BldNew.Thermal.HW.Elc.Elec</t>
  </si>
  <si>
    <t>EMI_per_sqm.kgCO2.CY.Ser.BldNew.Thermal.HW.TotalSolar.Solar</t>
  </si>
  <si>
    <t>EMI_per_sqm.kgCO2.CY.Ser.BldNew.Thermal.CA</t>
  </si>
  <si>
    <t>EMI_per_sqm.kgCO2.CY.Ser.BldNew.Thermal.CA.LPG</t>
  </si>
  <si>
    <t>EMI_per_sqm.kgCO2.CY.Ser.BldNew.Thermal.CA.Gas.NG_Biogas</t>
  </si>
  <si>
    <t>EMI_per_sqm.kgCO2.CY.Ser.BldNew.Thermal.CA.Biomass.Biomass_Waste</t>
  </si>
  <si>
    <t>EMI_per_sqm.kgCO2.CY.Ser.BldNew.Thermal.CA.Elc.Elec</t>
  </si>
  <si>
    <t>FEC.ktoe.CY.Ser.SEU.VE</t>
  </si>
  <si>
    <t>FEC.ktoe.CY.Ser.SEU.SL</t>
  </si>
  <si>
    <t>FEC.ktoe.CY.Ser.SEU.BL</t>
  </si>
  <si>
    <t>FEC.ktoe.CY.Ser.SEU.CR</t>
  </si>
  <si>
    <t>FEC.ktoe.CY.Ser.SEU.BT</t>
  </si>
  <si>
    <t>FEC.ktoe.CY.Ser.SEU.IT</t>
  </si>
  <si>
    <t>Size.MW.CY.Ser.SEU</t>
  </si>
  <si>
    <t>Size.MW.CY.Ser.SEU.VE</t>
  </si>
  <si>
    <t>Size.MW.CY.Ser.SEU.SL</t>
  </si>
  <si>
    <t>Size.MW.CY.Ser.SEU.BL</t>
  </si>
  <si>
    <t>Size.MW.CY.Ser.SEU.CR</t>
  </si>
  <si>
    <t>Size.MW.CY.Ser.SEU.BT</t>
  </si>
  <si>
    <t>Size.MW.CY.Ser.SEU.IT</t>
  </si>
  <si>
    <t>NUM.Msqm.CY.Ser.SEU.VE</t>
  </si>
  <si>
    <t>NUM.k.CY.Ser.SEU.SL</t>
  </si>
  <si>
    <t>NUM.M.CY.Ser.SEU.BL</t>
  </si>
  <si>
    <t>NUM.k.CY.Ser.SEU.CR</t>
  </si>
  <si>
    <t>NUM.Msqm.CY.Ser.SEU.BT</t>
  </si>
  <si>
    <t>NUM.k.CY.Ser.SEU.IT</t>
  </si>
  <si>
    <t>NUM.Msqm.CY.Ser.SEUnew.VE</t>
  </si>
  <si>
    <t>NUM.k.CY.Ser.SEUnew.SL</t>
  </si>
  <si>
    <t>NUM.M.CY.Ser.SEUnew.BL</t>
  </si>
  <si>
    <t>NUM.k.CY.Ser.SEUnew.CR</t>
  </si>
  <si>
    <t>NUM.Msqm.CY.Ser.SEUnew.BT</t>
  </si>
  <si>
    <t>NUM.k.CY.Ser.SEUnew.IT</t>
  </si>
  <si>
    <t>NUM.Msqm.CY.Ser.SEUrepl.VE</t>
  </si>
  <si>
    <t>NUM.k.CY.Ser.SEUrepl.SL</t>
  </si>
  <si>
    <t>NUM.M.CY.Ser.SEUrepl.BL</t>
  </si>
  <si>
    <t>NUM.k.CY.Ser.SEUrepl.CR</t>
  </si>
  <si>
    <t>NUM.Msqm.CY.Ser.SEUrepl.BT</t>
  </si>
  <si>
    <t>NUM.k.CY.Ser.SEUrepl.IT</t>
  </si>
  <si>
    <t>Op.hours.CY.Ser.SEU.VE</t>
  </si>
  <si>
    <t>Op.hours.CY.Ser.SEU.SL</t>
  </si>
  <si>
    <t>Op.hours.CY.Ser.SEU.BL</t>
  </si>
  <si>
    <t>Op.hours.CY.Ser.SEU.CR</t>
  </si>
  <si>
    <t>Op.hours.CY.Ser.SEU.BT</t>
  </si>
  <si>
    <t>Op.hours.CY.Ser.SEU.IT</t>
  </si>
  <si>
    <t>Size_per_appl.W.CY.Ser.SEU.VE</t>
  </si>
  <si>
    <t>Size_per_appl.W.CY.Ser.SEU.SL</t>
  </si>
  <si>
    <t>Size_per_appl.W.CY.Ser.SEU.BL</t>
  </si>
  <si>
    <t>Size_per_appl.W.CY.Ser.SEU.CR</t>
  </si>
  <si>
    <t>Size_per_appl.W.CY.Ser.SEU.BT</t>
  </si>
  <si>
    <t>Size_per_appl.W.CY.Ser.SEU.IT</t>
  </si>
  <si>
    <t>Size_per_appl.W.CY.Ser.SEUnew.VE</t>
  </si>
  <si>
    <t>Size_per_appl.W.CY.Ser.SEUnew.SL</t>
  </si>
  <si>
    <t>Size_per_appl.W.CY.Ser.SEUnew.BL</t>
  </si>
  <si>
    <t>Size_per_appl.W.CY.Ser.SEUnew.CR</t>
  </si>
  <si>
    <t>Size_per_appl.W.CY.Ser.SEUnew.BT</t>
  </si>
  <si>
    <t>Size_per_appl.W.CY.Ser.SEUnew.IT</t>
  </si>
  <si>
    <t>NUM.sqm_per_building.CY.Ser.SEU.VE</t>
  </si>
  <si>
    <t>NUM.number_per_capita.CY.Ser.SEU.SL</t>
  </si>
  <si>
    <t>NUM.number_per_building.CY.Ser.SEU.BL</t>
  </si>
  <si>
    <t>NUM.number_per_capita.CY.Ser.SEU.CR</t>
  </si>
  <si>
    <t>NUM.sqm_per_building.CY.Ser.SEU.BT</t>
  </si>
  <si>
    <t>NUM.number_per_capita.CY.Ser.SEU.IT</t>
  </si>
  <si>
    <t>Lumens_per_sqm.lumen.CY.Ser.SEU.BL</t>
  </si>
  <si>
    <t>FEC.ktoe.CY.Ser.SEU.IT.DataCenters</t>
  </si>
  <si>
    <t>CY - Services / specific electric uses</t>
  </si>
  <si>
    <t>CY - Ventilation and others</t>
  </si>
  <si>
    <t>CY - Street lighting</t>
  </si>
  <si>
    <t>CY - Building lighting</t>
  </si>
  <si>
    <t>CY - Commercial refrigeration</t>
  </si>
  <si>
    <t>CY - Miscellaneous building technologies</t>
  </si>
  <si>
    <t>CY - ICT and multimedia</t>
  </si>
  <si>
    <t>CY - Agriculture, forestry and fishing</t>
  </si>
  <si>
    <t>VA.Meuro2015.Meuro2023.CY.AGR.AGR</t>
  </si>
  <si>
    <t>OUTPUT.index.index.CY.AGR.AGR</t>
  </si>
  <si>
    <t>CAP.index.index.CY.AGR.AGR</t>
  </si>
  <si>
    <t>NEWCAP.index.index.CY.AGR.AGR</t>
  </si>
  <si>
    <t>CAPOUT.index.CY.AGR.AGR</t>
  </si>
  <si>
    <t>CAPIDLE.index.CY.AGR.AGR</t>
  </si>
  <si>
    <t>FEC.ktoe.CY.ES.AGR</t>
  </si>
  <si>
    <t>FEC.ktoe.CY.ES.AGR.Solids</t>
  </si>
  <si>
    <t>FEC.ktoe.CY.ES.AGR.LPG</t>
  </si>
  <si>
    <t>FEC.ktoe.CY.ES.AGR.Diesel</t>
  </si>
  <si>
    <t>FEC.ktoe.CY.ES.AGR.RFO</t>
  </si>
  <si>
    <t>FEC.ktoe.CY.ES.AGR.NG</t>
  </si>
  <si>
    <t>FEC.ktoe.CY.ES.AGR.Biomass_Waste</t>
  </si>
  <si>
    <t>FEC.ktoe.CY.ES.AGR.Biogas</t>
  </si>
  <si>
    <t>FEC.ktoe.CY.ES.AGR.LiqBio</t>
  </si>
  <si>
    <t>FEC.ktoe.CY.ES.AGR.Solar</t>
  </si>
  <si>
    <t>FEC.ktoe.CY.ES.AGR.Geo</t>
  </si>
  <si>
    <t>FEC.ktoe.CY.ES.AGR.Ambient</t>
  </si>
  <si>
    <t>FEC.ktoe.CY.ES.AGR.Steam_Distr</t>
  </si>
  <si>
    <t>FEC.ktoe.CY.ES.AGR.Elec</t>
  </si>
  <si>
    <t>CY - Agriculture, forestry and fishing / final energy consumption</t>
  </si>
  <si>
    <t>FEC.ktoe.ktoe.CY.AGR.AGR.LIGHT.GENERIC.ELEC</t>
  </si>
  <si>
    <t>FEC.ktoe.ktoe.CY.AGR.AGR.FANS.GENERIC.ELEC</t>
  </si>
  <si>
    <t>FEC.ktoe.ktoe.CY.AGR.AGR.MOTOR.GENERIC.ELEC</t>
  </si>
  <si>
    <t>FEC.ktoe.ktoe.CY.AGR.AGR.LOW_ENTH.THERM.DIESEL_LIQBIO</t>
  </si>
  <si>
    <t>FEC.ktoe.ktoe.CY.AGR.AGR.LOW_ENTH.THERM.NG_BIOGAS</t>
  </si>
  <si>
    <t>FEC.ktoe.ktoe.CY.AGR.AGR.LOW_ENTH.THERM.SOLAR_GEO</t>
  </si>
  <si>
    <t>FEC.ktoe.ktoe.CY.AGR.AGR.LOW_ENTH.HP.AMBIENT</t>
  </si>
  <si>
    <t>FEC.ktoe.ktoe.CY.AGR.AGR.LOW_ENTH.THERM.STEAM_DISTR</t>
  </si>
  <si>
    <t>FEC.ktoe.ktoe.CY.AGR.AGR.LOW_ENTH.THERM.ELEC</t>
  </si>
  <si>
    <t>FEC.ktoe.ktoe.CY.AGR.AGR.FARM_DRIVES.MECH.DIESEL_LIQBIO</t>
  </si>
  <si>
    <t>FEC.ktoe.ktoe.CY.AGR.AGR.HEAT_USE.THERM.SOLIDS</t>
  </si>
  <si>
    <t>FEC.ktoe.ktoe.CY.AGR.AGR.HEAT_USE.THERM.LPG</t>
  </si>
  <si>
    <t>FEC.ktoe.ktoe.CY.AGR.AGR.HEAT_USE.THERM.DIESEL_LIQBIO</t>
  </si>
  <si>
    <t>FEC.ktoe.ktoe.CY.AGR.AGR.HEAT_USE.THERM.RFO</t>
  </si>
  <si>
    <t>FEC.ktoe.ktoe.CY.AGR.AGR.HEAT_USE.THERM.NG_BIOGAS</t>
  </si>
  <si>
    <t>FEC.ktoe.ktoe.CY.AGR.AGR.HEAT_USE.THERM.BIOMASS_WASTE</t>
  </si>
  <si>
    <t>FEC.ktoe.ktoe.CY.AGR.AGR.HEAT_USE.THERM.SOLAR_GEO</t>
  </si>
  <si>
    <t>FEC.ktoe.ktoe.CY.AGR.AGR.FARM_PUMP.MECH.DIESEL_LIQBIO</t>
  </si>
  <si>
    <t>FEC.ktoe.ktoe.CY.AGR.AGR.FARM_PUMP_ELEC.MECH.ELEC</t>
  </si>
  <si>
    <t>FEC.ktoe.ktoe.CY.AGR.AGR.GENERIC.MECH.ELEC</t>
  </si>
  <si>
    <t>CY - Agriculture, forestry and fishing / useful energy demand</t>
  </si>
  <si>
    <t>UED.ktoe.ktoe.CY.AGR.AGR.LIGHT.GENERIC.ELEC</t>
  </si>
  <si>
    <t>UED.ktoe.ktoe.CY.AGR.AGR.FANS.GENERIC.ELEC</t>
  </si>
  <si>
    <t>UED.ktoe.ktoe.CY.AGR.AGR.MOTOR.GENERIC.ELEC</t>
  </si>
  <si>
    <t>UED.ktoe.ktoe.CY.AGR.AGR.LOW_ENTH.THERM.DIESEL_LIQBIO</t>
  </si>
  <si>
    <t>UED.ktoe.ktoe.CY.AGR.AGR.LOW_ENTH.THERM.NG_BIOGAS</t>
  </si>
  <si>
    <t>UED.ktoe.ktoe.CY.AGR.AGR.LOW_ENTH.THERM.SOLAR_GEO</t>
  </si>
  <si>
    <t>UED.ktoe.ktoe.CY.AGR.AGR.LOW_ENTH.HP.AMBIENT</t>
  </si>
  <si>
    <t>UED.ktoe.ktoe.CY.AGR.AGR.LOW_ENTH.THERM.STEAM_DISTR</t>
  </si>
  <si>
    <t>UED.ktoe.ktoe.CY.AGR.AGR.LOW_ENTH.THERM.ELEC</t>
  </si>
  <si>
    <t>UED.ktoe.ktoe.CY.AGR.AGR.FARM_DRIVES.MECH.DIESEL_LIQBIO</t>
  </si>
  <si>
    <t>UED.ktoe.ktoe.CY.AGR.AGR.HEAT_USE.THERM.SOLIDS</t>
  </si>
  <si>
    <t>UED.ktoe.ktoe.CY.AGR.AGR.HEAT_USE.THERM.LPG</t>
  </si>
  <si>
    <t>UED.ktoe.ktoe.CY.AGR.AGR.HEAT_USE.THERM.DIESEL_LIQBIO</t>
  </si>
  <si>
    <t>UED.ktoe.ktoe.CY.AGR.AGR.HEAT_USE.THERM.RFO</t>
  </si>
  <si>
    <t>UED.ktoe.ktoe.CY.AGR.AGR.HEAT_USE.THERM.NG_BIOGAS</t>
  </si>
  <si>
    <t>UED.ktoe.ktoe.CY.AGR.AGR.HEAT_USE.THERM.BIOMASS_WASTE</t>
  </si>
  <si>
    <t>UED.ktoe.ktoe.CY.AGR.AGR.HEAT_USE.THERM.SOLAR_GEO</t>
  </si>
  <si>
    <t>UED.ktoe.ktoe.CY.AGR.AGR.FARM_PUMP.MECH.DIESEL_LIQBIO</t>
  </si>
  <si>
    <t>UED.ktoe.ktoe.CY.AGR.AGR.FARM_PUMP_ELEC.MECH.ELEC</t>
  </si>
  <si>
    <t>UED.ktoe.ktoe.CY.AGR.AGR.GENERIC.MECH.ELEC</t>
  </si>
  <si>
    <t>CY - Agriculture, forestry and fishing / CO2 emissions</t>
  </si>
  <si>
    <t>FUEL_EMI.ktCO2.ktCO2.CY.AGR.AGR.LIGHT.GENERIC.ELEC</t>
  </si>
  <si>
    <t>FUEL_EMI.ktCO2.ktCO2.CY.AGR.AGR.FANS.GENERIC.ELEC</t>
  </si>
  <si>
    <t>FUEL_EMI.ktCO2.ktCO2.CY.AGR.AGR.MOTOR.GENERIC.ELEC</t>
  </si>
  <si>
    <t>FUEL_EMI.ktCO2.ktCO2.CY.AGR.AGR.LOW_ENTH.THERM.DIESEL_LIQBIO</t>
  </si>
  <si>
    <t>FUEL_EMI.ktCO2.ktCO2.CY.AGR.AGR.LOW_ENTH.THERM.NG_BIOGAS</t>
  </si>
  <si>
    <t>FUEL_EMI.ktCO2.ktCO2.CY.AGR.AGR.LOW_ENTH.THERM.SOLAR_GEO</t>
  </si>
  <si>
    <t>FUEL_EMI.ktCO2.ktCO2.CY.AGR.AGR.LOW_ENTH.HP.AMBIENT</t>
  </si>
  <si>
    <t>FUEL_EMI.ktCO2.ktCO2.CY.AGR.AGR.LOW_ENTH.THERM.STEAM_DISTR</t>
  </si>
  <si>
    <t>FUEL_EMI.ktCO2.ktCO2.CY.AGR.AGR.LOW_ENTH.THERM.ELEC</t>
  </si>
  <si>
    <t>FUEL_EMI.ktCO2.ktCO2.CY.AGR.AGR.FARM_DRIVES.MECH.DIESEL_LIQBIO</t>
  </si>
  <si>
    <t>FUEL_EMI.ktCO2.ktCO2.CY.AGR.AGR.HEAT_USE.THERM.SOLIDS</t>
  </si>
  <si>
    <t>FUEL_EMI.ktCO2.ktCO2.CY.AGR.AGR.HEAT_USE.THERM.LPG</t>
  </si>
  <si>
    <t>FUEL_EMI.ktCO2.ktCO2.CY.AGR.AGR.HEAT_USE.THERM.DIESEL_LIQBIO</t>
  </si>
  <si>
    <t>FUEL_EMI.ktCO2.ktCO2.CY.AGR.AGR.HEAT_USE.THERM.RFO</t>
  </si>
  <si>
    <t>FUEL_EMI.ktCO2.ktCO2.CY.AGR.AGR.HEAT_USE.THERM.NG_BIOGAS</t>
  </si>
  <si>
    <t>FUEL_EMI.ktCO2.ktCO2.CY.AGR.AGR.HEAT_USE.THERM.BIOMASS_WASTE</t>
  </si>
  <si>
    <t>FUEL_EMI.ktCO2.ktCO2.CY.AGR.AGR.HEAT_USE.THERM.SOLAR_GEO</t>
  </si>
  <si>
    <t>FUEL_EMI.ktCO2.ktCO2.CY.AGR.AGR.FARM_PUMP.MECH.DIESEL_LIQBIO</t>
  </si>
  <si>
    <t>FUEL_EMI.ktCO2.ktCO2.CY.AGR.AGR.FARM_PUMP_ELEC.MECH.ELEC</t>
  </si>
  <si>
    <t>FUEL_EMI.ktCO2.ktCO2.CY.AGR.AGR.GENERIC.MECH.ELEC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</si>
</sst>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3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1" fillId="2" borderId="0" xfId="5" applyFont="1" applyFill="1" applyBorder="1" applyAlignment="1">
      <alignment horizontal="left" vertical="center"/>
    </xf>
    <xf numFmtId="0" fontId="11" fillId="2" borderId="0" xfId="5" applyFont="1" applyFill="1" applyAlignment="1">
      <alignment horizontal="left" vertical="center"/>
    </xf>
    <xf numFmtId="3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2" xfId="5" applyNumberFormat="1" applyFont="1" applyFill="1" applyBorder="1" applyAlignment="1">
      <alignment vertical="center" shrinkToFit="1"/>
    </xf>
    <xf numFmtId="0" fontId="10" fillId="2" borderId="5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4" fillId="2" borderId="0" xfId="3" applyFont="1" applyFill="1"/>
    <xf numFmtId="0" fontId="14" fillId="2" borderId="0" xfId="3" applyFont="1" applyFill="1" applyAlignment="1">
      <alignment horizontal="left" indent="1"/>
    </xf>
    <xf numFmtId="0" fontId="14" fillId="2" borderId="0" xfId="3" applyFont="1" applyFill="1" applyAlignment="1">
      <alignment horizontal="left" indent="2"/>
    </xf>
    <xf numFmtId="1" fontId="16" fillId="3" borderId="2" xfId="5" applyNumberFormat="1" applyFont="1" applyFill="1" applyBorder="1" applyAlignment="1">
      <alignment horizontal="center" vertical="center"/>
    </xf>
    <xf numFmtId="0" fontId="15" fillId="3" borderId="2" xfId="5" applyFont="1" applyFill="1" applyBorder="1" applyAlignment="1">
      <alignment horizontal="left" vertical="center" wrapText="1"/>
    </xf>
    <xf numFmtId="172" fontId="10" fillId="2" borderId="0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horizontal="left" vertical="center"/>
    </xf>
    <xf numFmtId="0" fontId="11" fillId="2" borderId="2" xfId="5" applyNumberFormat="1" applyFont="1" applyFill="1" applyBorder="1" applyAlignment="1">
      <alignment vertical="center"/>
    </xf>
    <xf numFmtId="0" fontId="11" fillId="2" borderId="2" xfId="5" applyNumberFormat="1" applyFont="1" applyFill="1" applyBorder="1" applyAlignment="1">
      <alignment vertical="center" shrinkToFit="1"/>
    </xf>
    <xf numFmtId="0" fontId="16" fillId="2" borderId="5" xfId="5" applyFont="1" applyFill="1" applyBorder="1" applyAlignment="1">
      <alignment horizontal="left" vertical="center"/>
    </xf>
    <xf numFmtId="169" fontId="17" fillId="2" borderId="5" xfId="5" applyNumberFormat="1" applyFont="1" applyFill="1" applyBorder="1" applyAlignment="1">
      <alignment vertical="center"/>
    </xf>
    <xf numFmtId="0" fontId="16" fillId="2" borderId="0" xfId="5" applyFont="1" applyFill="1" applyBorder="1" applyAlignment="1">
      <alignment horizontal="left" vertical="center"/>
    </xf>
    <xf numFmtId="169" fontId="17" fillId="2" borderId="0" xfId="5" applyNumberFormat="1" applyFont="1" applyFill="1" applyBorder="1" applyAlignment="1">
      <alignment vertical="center"/>
    </xf>
    <xf numFmtId="0" fontId="16" fillId="2" borderId="1" xfId="5" applyFont="1" applyFill="1" applyBorder="1" applyAlignment="1">
      <alignment horizontal="left" vertical="center"/>
    </xf>
    <xf numFmtId="169" fontId="17" fillId="2" borderId="1" xfId="5" applyNumberFormat="1" applyFont="1" applyFill="1" applyBorder="1" applyAlignment="1">
      <alignment vertical="center"/>
    </xf>
    <xf numFmtId="0" fontId="16" fillId="2" borderId="3" xfId="5" applyFont="1" applyFill="1" applyBorder="1" applyAlignment="1">
      <alignment horizontal="left" vertical="center"/>
    </xf>
    <xf numFmtId="169" fontId="17" fillId="2" borderId="3" xfId="5" applyNumberFormat="1" applyFont="1" applyFill="1" applyBorder="1" applyAlignment="1">
      <alignment vertical="center"/>
    </xf>
    <xf numFmtId="173" fontId="17" fillId="2" borderId="0" xfId="5" applyNumberFormat="1" applyFont="1" applyFill="1" applyBorder="1" applyAlignment="1">
      <alignment vertical="center"/>
    </xf>
    <xf numFmtId="173" fontId="17" fillId="2" borderId="1" xfId="5" applyNumberFormat="1" applyFont="1" applyFill="1" applyBorder="1" applyAlignment="1">
      <alignment vertical="center"/>
    </xf>
    <xf numFmtId="172" fontId="17" fillId="2" borderId="5" xfId="5" applyNumberFormat="1" applyFont="1" applyFill="1" applyBorder="1" applyAlignment="1">
      <alignment vertical="center"/>
    </xf>
    <xf numFmtId="172" fontId="17" fillId="2" borderId="0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171" fontId="17" fillId="2" borderId="1" xfId="5" applyNumberFormat="1" applyFont="1" applyFill="1" applyBorder="1" applyAlignment="1">
      <alignment vertical="center"/>
    </xf>
    <xf numFmtId="0" fontId="15" fillId="4" borderId="2" xfId="5" applyNumberFormat="1" applyFont="1" applyFill="1" applyBorder="1" applyAlignment="1">
      <alignment horizontal="left" vertical="center"/>
    </xf>
    <xf numFmtId="0" fontId="19" fillId="4" borderId="2" xfId="5" applyNumberFormat="1" applyFont="1" applyFill="1" applyBorder="1" applyAlignment="1">
      <alignment vertical="center"/>
    </xf>
    <xf numFmtId="0" fontId="16" fillId="2" borderId="5" xfId="5" applyFont="1" applyFill="1" applyBorder="1" applyAlignment="1">
      <alignment horizontal="left" vertical="center" indent="1"/>
    </xf>
    <xf numFmtId="0" fontId="16" fillId="2" borderId="0" xfId="5" applyFont="1" applyFill="1" applyBorder="1" applyAlignment="1">
      <alignment horizontal="left" vertical="center" indent="1"/>
    </xf>
    <xf numFmtId="0" fontId="16" fillId="2" borderId="1" xfId="5" applyFont="1" applyFill="1" applyBorder="1" applyAlignment="1">
      <alignment horizontal="left" vertical="center" indent="1"/>
    </xf>
    <xf numFmtId="165" fontId="17" fillId="2" borderId="1" xfId="5" applyNumberFormat="1" applyFont="1" applyFill="1" applyBorder="1" applyAlignment="1">
      <alignment vertical="center"/>
    </xf>
    <xf numFmtId="165" fontId="17" fillId="2" borderId="5" xfId="5" applyNumberFormat="1" applyFont="1" applyFill="1" applyBorder="1" applyAlignment="1">
      <alignment vertical="center"/>
    </xf>
    <xf numFmtId="165" fontId="17" fillId="2" borderId="0" xfId="5" applyNumberFormat="1" applyFont="1" applyFill="1" applyBorder="1" applyAlignment="1">
      <alignment vertical="center"/>
    </xf>
    <xf numFmtId="166" fontId="17" fillId="2" borderId="0" xfId="5" applyNumberFormat="1" applyFont="1" applyFill="1" applyBorder="1" applyAlignment="1">
      <alignment vertical="center"/>
    </xf>
    <xf numFmtId="167" fontId="17" fillId="2" borderId="1" xfId="5" applyNumberFormat="1" applyFont="1" applyFill="1" applyBorder="1" applyAlignment="1">
      <alignment vertical="center"/>
    </xf>
    <xf numFmtId="170" fontId="17" fillId="2" borderId="1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2"/>
    </xf>
    <xf numFmtId="166" fontId="17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 indent="2"/>
    </xf>
    <xf numFmtId="0" fontId="17" fillId="2" borderId="0" xfId="5" applyFont="1" applyFill="1" applyBorder="1" applyAlignment="1">
      <alignment horizontal="left" vertical="center" indent="3"/>
    </xf>
    <xf numFmtId="0" fontId="17" fillId="2" borderId="1" xfId="5" applyFont="1" applyFill="1" applyBorder="1" applyAlignment="1">
      <alignment horizontal="left" vertical="center" indent="2"/>
    </xf>
    <xf numFmtId="166" fontId="17" fillId="2" borderId="1" xfId="5" applyNumberFormat="1" applyFont="1" applyFill="1" applyBorder="1" applyAlignment="1">
      <alignment vertical="center"/>
    </xf>
    <xf numFmtId="166" fontId="17" fillId="2" borderId="4" xfId="1" applyNumberFormat="1" applyFont="1" applyFill="1" applyBorder="1" applyAlignment="1">
      <alignment vertical="center"/>
    </xf>
    <xf numFmtId="166" fontId="17" fillId="2" borderId="0" xfId="1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 indent="3"/>
    </xf>
    <xf numFmtId="166" fontId="17" fillId="2" borderId="3" xfId="1" applyNumberFormat="1" applyFont="1" applyFill="1" applyBorder="1" applyAlignment="1">
      <alignment vertical="center"/>
    </xf>
    <xf numFmtId="166" fontId="17" fillId="2" borderId="1" xfId="1" applyNumberFormat="1" applyFont="1" applyFill="1" applyBorder="1" applyAlignment="1">
      <alignment vertical="center"/>
    </xf>
    <xf numFmtId="0" fontId="18" fillId="2" borderId="2" xfId="5" applyFont="1" applyFill="1" applyBorder="1" applyAlignment="1">
      <alignment horizontal="left" vertical="center" indent="2"/>
    </xf>
    <xf numFmtId="168" fontId="17" fillId="2" borderId="2" xfId="5" applyNumberFormat="1" applyFont="1" applyFill="1" applyBorder="1" applyAlignment="1">
      <alignment vertical="center"/>
    </xf>
    <xf numFmtId="168" fontId="17" fillId="2" borderId="5" xfId="5" applyNumberFormat="1" applyFont="1" applyFill="1" applyBorder="1" applyAlignment="1">
      <alignment vertical="center"/>
    </xf>
    <xf numFmtId="168" fontId="17" fillId="2" borderId="0" xfId="5" applyNumberFormat="1" applyFont="1" applyFill="1" applyBorder="1" applyAlignment="1">
      <alignment vertical="center"/>
    </xf>
    <xf numFmtId="168" fontId="17" fillId="2" borderId="1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 indent="3"/>
    </xf>
    <xf numFmtId="167" fontId="17" fillId="2" borderId="5" xfId="5" applyNumberFormat="1" applyFont="1" applyFill="1" applyBorder="1" applyAlignment="1">
      <alignment vertical="center"/>
    </xf>
    <xf numFmtId="167" fontId="17" fillId="2" borderId="0" xfId="5" applyNumberFormat="1" applyFont="1" applyFill="1" applyBorder="1" applyAlignment="1">
      <alignment vertical="center"/>
    </xf>
    <xf numFmtId="0" fontId="18" fillId="2" borderId="4" xfId="5" applyFont="1" applyFill="1" applyBorder="1" applyAlignment="1">
      <alignment horizontal="left" vertical="center" indent="2"/>
    </xf>
    <xf numFmtId="0" fontId="18" fillId="2" borderId="1" xfId="5" applyFont="1" applyFill="1" applyBorder="1" applyAlignment="1">
      <alignment horizontal="left" vertical="center" indent="2"/>
    </xf>
    <xf numFmtId="0" fontId="20" fillId="5" borderId="2" xfId="5" applyFont="1" applyFill="1" applyBorder="1" applyAlignment="1">
      <alignment horizontal="left" vertical="center" indent="1"/>
    </xf>
    <xf numFmtId="166" fontId="21" fillId="5" borderId="2" xfId="5" applyNumberFormat="1" applyFont="1" applyFill="1" applyBorder="1" applyAlignment="1">
      <alignment vertical="center"/>
    </xf>
    <xf numFmtId="0" fontId="20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68" fontId="22" fillId="5" borderId="2" xfId="2" applyNumberFormat="1" applyFont="1" applyFill="1" applyBorder="1" applyAlignment="1">
      <alignment vertical="center"/>
    </xf>
    <xf numFmtId="0" fontId="20" fillId="5" borderId="4" xfId="5" applyFont="1" applyFill="1" applyBorder="1" applyAlignment="1">
      <alignment horizontal="left" vertical="center" indent="1"/>
    </xf>
    <xf numFmtId="166" fontId="21" fillId="5" borderId="4" xfId="5" applyNumberFormat="1" applyFont="1" applyFill="1" applyBorder="1" applyAlignment="1">
      <alignment vertical="center"/>
    </xf>
    <xf numFmtId="167" fontId="22" fillId="5" borderId="2" xfId="1" applyNumberFormat="1" applyFont="1" applyFill="1" applyBorder="1" applyAlignment="1">
      <alignment vertical="center"/>
    </xf>
    <xf numFmtId="1" fontId="16" fillId="3" borderId="2" xfId="5" applyNumberFormat="1" applyFont="1" applyFill="1" applyBorder="1" applyAlignment="1">
      <alignment horizontal="center" vertical="center" shrinkToFit="1"/>
    </xf>
    <xf numFmtId="169" fontId="17" fillId="2" borderId="5" xfId="5" applyNumberFormat="1" applyFont="1" applyFill="1" applyBorder="1" applyAlignment="1">
      <alignment vertical="center" shrinkToFit="1"/>
    </xf>
    <xf numFmtId="169" fontId="17" fillId="2" borderId="0" xfId="5" applyNumberFormat="1" applyFont="1" applyFill="1" applyBorder="1" applyAlignment="1">
      <alignment vertical="center" shrinkToFit="1"/>
    </xf>
    <xf numFmtId="169" fontId="17" fillId="2" borderId="1" xfId="5" applyNumberFormat="1" applyFont="1" applyFill="1" applyBorder="1" applyAlignment="1">
      <alignment vertical="center" shrinkToFit="1"/>
    </xf>
    <xf numFmtId="169" fontId="17" fillId="2" borderId="3" xfId="5" applyNumberFormat="1" applyFont="1" applyFill="1" applyBorder="1" applyAlignment="1">
      <alignment vertical="center" shrinkToFit="1"/>
    </xf>
    <xf numFmtId="173" fontId="17" fillId="2" borderId="0" xfId="5" applyNumberFormat="1" applyFont="1" applyFill="1" applyBorder="1" applyAlignment="1">
      <alignment vertical="center" shrinkToFit="1"/>
    </xf>
    <xf numFmtId="173" fontId="17" fillId="2" borderId="1" xfId="5" applyNumberFormat="1" applyFont="1" applyFill="1" applyBorder="1" applyAlignment="1">
      <alignment vertical="center" shrinkToFit="1"/>
    </xf>
    <xf numFmtId="172" fontId="17" fillId="2" borderId="5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Border="1" applyAlignment="1">
      <alignment vertical="center" shrinkToFit="1"/>
    </xf>
    <xf numFmtId="171" fontId="17" fillId="2" borderId="1" xfId="5" applyNumberFormat="1" applyFont="1" applyFill="1" applyBorder="1" applyAlignment="1">
      <alignment vertical="center" shrinkToFit="1"/>
    </xf>
    <xf numFmtId="0" fontId="19" fillId="4" borderId="2" xfId="5" applyNumberFormat="1" applyFont="1" applyFill="1" applyBorder="1" applyAlignment="1">
      <alignment vertical="center" shrinkToFit="1"/>
    </xf>
    <xf numFmtId="165" fontId="17" fillId="2" borderId="1" xfId="5" applyNumberFormat="1" applyFont="1" applyFill="1" applyBorder="1" applyAlignment="1">
      <alignment vertical="center" shrinkToFit="1"/>
    </xf>
    <xf numFmtId="165" fontId="17" fillId="2" borderId="5" xfId="5" applyNumberFormat="1" applyFont="1" applyFill="1" applyBorder="1" applyAlignment="1">
      <alignment vertical="center" shrinkToFit="1"/>
    </xf>
    <xf numFmtId="165" fontId="17" fillId="2" borderId="0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Border="1" applyAlignment="1">
      <alignment vertical="center" shrinkToFit="1"/>
    </xf>
    <xf numFmtId="170" fontId="17" fillId="2" borderId="1" xfId="5" applyNumberFormat="1" applyFont="1" applyFill="1" applyBorder="1" applyAlignment="1">
      <alignment vertical="center" shrinkToFit="1"/>
    </xf>
    <xf numFmtId="166" fontId="21" fillId="5" borderId="2" xfId="5" applyNumberFormat="1" applyFont="1" applyFill="1" applyBorder="1" applyAlignment="1">
      <alignment vertical="center" shrinkToFit="1"/>
    </xf>
    <xf numFmtId="166" fontId="17" fillId="2" borderId="5" xfId="5" applyNumberFormat="1" applyFont="1" applyFill="1" applyBorder="1" applyAlignment="1">
      <alignment vertical="center" shrinkToFit="1"/>
    </xf>
    <xf numFmtId="166" fontId="17" fillId="2" borderId="1" xfId="5" applyNumberFormat="1" applyFont="1" applyFill="1" applyBorder="1" applyAlignment="1">
      <alignment vertical="center" shrinkToFit="1"/>
    </xf>
    <xf numFmtId="166" fontId="10" fillId="2" borderId="0" xfId="5" applyNumberFormat="1" applyFont="1" applyFill="1" applyAlignment="1">
      <alignment vertical="center" shrinkToFit="1"/>
    </xf>
    <xf numFmtId="166" fontId="21" fillId="5" borderId="5" xfId="5" applyNumberFormat="1" applyFont="1" applyFill="1" applyBorder="1" applyAlignment="1">
      <alignment vertical="center" shrinkToFit="1"/>
    </xf>
    <xf numFmtId="166" fontId="17" fillId="2" borderId="4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Border="1" applyAlignment="1">
      <alignment vertical="center" shrinkToFit="1"/>
    </xf>
    <xf numFmtId="166" fontId="17" fillId="2" borderId="3" xfId="1" applyNumberFormat="1" applyFont="1" applyFill="1" applyBorder="1" applyAlignment="1">
      <alignment vertical="center" shrinkToFit="1"/>
    </xf>
    <xf numFmtId="166" fontId="17" fillId="2" borderId="1" xfId="1" applyNumberFormat="1" applyFont="1" applyFill="1" applyBorder="1" applyAlignment="1">
      <alignment vertical="center" shrinkToFit="1"/>
    </xf>
    <xf numFmtId="168" fontId="22" fillId="5" borderId="2" xfId="2" applyNumberFormat="1" applyFont="1" applyFill="1" applyBorder="1" applyAlignment="1">
      <alignment vertical="center" shrinkToFit="1"/>
    </xf>
    <xf numFmtId="168" fontId="17" fillId="2" borderId="2" xfId="5" applyNumberFormat="1" applyFont="1" applyFill="1" applyBorder="1" applyAlignment="1">
      <alignment vertical="center" shrinkToFit="1"/>
    </xf>
    <xf numFmtId="168" fontId="17" fillId="2" borderId="5" xfId="5" applyNumberFormat="1" applyFont="1" applyFill="1" applyBorder="1" applyAlignment="1">
      <alignment vertical="center" shrinkToFit="1"/>
    </xf>
    <xf numFmtId="168" fontId="17" fillId="2" borderId="0" xfId="5" applyNumberFormat="1" applyFont="1" applyFill="1" applyBorder="1" applyAlignment="1">
      <alignment vertical="center" shrinkToFit="1"/>
    </xf>
    <xf numFmtId="168" fontId="17" fillId="2" borderId="1" xfId="5" applyNumberFormat="1" applyFont="1" applyFill="1" applyBorder="1" applyAlignment="1">
      <alignment vertical="center" shrinkToFit="1"/>
    </xf>
    <xf numFmtId="166" fontId="21" fillId="5" borderId="4" xfId="5" applyNumberFormat="1" applyFont="1" applyFill="1" applyBorder="1" applyAlignment="1">
      <alignment vertical="center" shrinkToFit="1"/>
    </xf>
    <xf numFmtId="0" fontId="10" fillId="2" borderId="0" xfId="5" applyFont="1" applyFill="1" applyAlignment="1">
      <alignment vertical="center" shrinkToFit="1"/>
    </xf>
    <xf numFmtId="167" fontId="22" fillId="5" borderId="2" xfId="1" applyNumberFormat="1" applyFont="1" applyFill="1" applyBorder="1" applyAlignment="1">
      <alignment vertical="center" shrinkToFit="1"/>
    </xf>
    <xf numFmtId="167" fontId="17" fillId="2" borderId="5" xfId="5" applyNumberFormat="1" applyFont="1" applyFill="1" applyBorder="1" applyAlignment="1">
      <alignment vertical="center" shrinkToFit="1"/>
    </xf>
    <xf numFmtId="167" fontId="17" fillId="2" borderId="0" xfId="5" applyNumberFormat="1" applyFont="1" applyFill="1" applyBorder="1" applyAlignment="1">
      <alignment vertical="center" shrinkToFit="1"/>
    </xf>
    <xf numFmtId="167" fontId="17" fillId="2" borderId="1" xfId="5" applyNumberFormat="1" applyFont="1" applyFill="1" applyBorder="1" applyAlignment="1">
      <alignment vertical="center" shrinkToFit="1"/>
    </xf>
    <xf numFmtId="0" fontId="24" fillId="6" borderId="2" xfId="5" applyFont="1" applyFill="1" applyBorder="1" applyAlignment="1">
      <alignment horizontal="left" vertical="center"/>
    </xf>
    <xf numFmtId="169" fontId="22" fillId="6" borderId="2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/>
    </xf>
    <xf numFmtId="165" fontId="22" fillId="6" borderId="2" xfId="1" applyNumberFormat="1" applyFont="1" applyFill="1" applyBorder="1" applyAlignment="1">
      <alignment vertical="center"/>
    </xf>
    <xf numFmtId="0" fontId="25" fillId="2" borderId="0" xfId="5" applyFont="1" applyFill="1" applyBorder="1" applyAlignment="1">
      <alignment horizontal="left" vertical="center" indent="2"/>
    </xf>
    <xf numFmtId="0" fontId="25" fillId="2" borderId="7" xfId="5" applyFont="1" applyFill="1" applyBorder="1" applyAlignment="1">
      <alignment horizontal="left" vertical="center" indent="2"/>
    </xf>
    <xf numFmtId="0" fontId="16" fillId="5" borderId="2" xfId="5" applyFont="1" applyFill="1" applyBorder="1" applyAlignment="1">
      <alignment horizontal="left" vertical="center" indent="1"/>
    </xf>
    <xf numFmtId="166" fontId="17" fillId="5" borderId="2" xfId="1" applyNumberFormat="1" applyFont="1" applyFill="1" applyBorder="1" applyAlignment="1">
      <alignment vertical="center"/>
    </xf>
    <xf numFmtId="0" fontId="17" fillId="2" borderId="0" xfId="5" applyFont="1" applyFill="1" applyAlignment="1">
      <alignment horizontal="left" vertical="center" indent="2"/>
    </xf>
    <xf numFmtId="166" fontId="17" fillId="2" borderId="0" xfId="1" applyNumberFormat="1" applyFont="1" applyFill="1" applyAlignment="1">
      <alignment vertical="center"/>
    </xf>
    <xf numFmtId="0" fontId="17" fillId="2" borderId="7" xfId="5" applyFont="1" applyFill="1" applyBorder="1" applyAlignment="1">
      <alignment horizontal="left" vertical="center" indent="2"/>
    </xf>
    <xf numFmtId="166" fontId="17" fillId="2" borderId="7" xfId="1" applyNumberFormat="1" applyFont="1" applyFill="1" applyBorder="1" applyAlignment="1">
      <alignment vertical="center"/>
    </xf>
    <xf numFmtId="165" fontId="17" fillId="5" borderId="2" xfId="1" applyNumberFormat="1" applyFont="1" applyFill="1" applyBorder="1" applyAlignment="1">
      <alignment vertical="center"/>
    </xf>
    <xf numFmtId="165" fontId="17" fillId="2" borderId="0" xfId="1" applyNumberFormat="1" applyFont="1" applyFill="1" applyAlignment="1">
      <alignment vertical="center"/>
    </xf>
    <xf numFmtId="165" fontId="17" fillId="2" borderId="0" xfId="1" applyNumberFormat="1" applyFont="1" applyFill="1" applyBorder="1" applyAlignment="1">
      <alignment vertical="center"/>
    </xf>
    <xf numFmtId="165" fontId="17" fillId="2" borderId="7" xfId="1" applyNumberFormat="1" applyFont="1" applyFill="1" applyBorder="1" applyAlignment="1">
      <alignment vertical="center"/>
    </xf>
    <xf numFmtId="169" fontId="17" fillId="5" borderId="2" xfId="1" applyNumberFormat="1" applyFont="1" applyFill="1" applyBorder="1" applyAlignment="1">
      <alignment vertical="center"/>
    </xf>
    <xf numFmtId="169" fontId="17" fillId="2" borderId="0" xfId="1" applyNumberFormat="1" applyFont="1" applyFill="1" applyAlignment="1">
      <alignment vertical="center"/>
    </xf>
    <xf numFmtId="169" fontId="17" fillId="2" borderId="0" xfId="1" applyNumberFormat="1" applyFont="1" applyFill="1" applyBorder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9" fontId="18" fillId="2" borderId="7" xfId="1" applyNumberFormat="1" applyFont="1" applyFill="1" applyBorder="1" applyAlignment="1">
      <alignment vertical="center"/>
    </xf>
    <xf numFmtId="0" fontId="18" fillId="2" borderId="6" xfId="5" applyFont="1" applyFill="1" applyBorder="1" applyAlignment="1">
      <alignment horizontal="left" vertical="center" indent="2"/>
    </xf>
    <xf numFmtId="166" fontId="18" fillId="2" borderId="6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166" fontId="17" fillId="2" borderId="6" xfId="1" applyNumberFormat="1" applyFont="1" applyFill="1" applyBorder="1" applyAlignment="1">
      <alignment vertical="center"/>
    </xf>
    <xf numFmtId="165" fontId="17" fillId="2" borderId="6" xfId="1" applyNumberFormat="1" applyFont="1" applyFill="1" applyBorder="1" applyAlignment="1">
      <alignment vertical="center"/>
    </xf>
    <xf numFmtId="165" fontId="17" fillId="2" borderId="1" xfId="1" applyNumberFormat="1" applyFont="1" applyFill="1" applyBorder="1" applyAlignment="1">
      <alignment vertical="center"/>
    </xf>
    <xf numFmtId="169" fontId="18" fillId="2" borderId="6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9" fontId="17" fillId="2" borderId="1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 shrinkToFit="1"/>
    </xf>
    <xf numFmtId="166" fontId="17" fillId="5" borderId="2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Alignment="1">
      <alignment vertical="center" shrinkToFit="1"/>
    </xf>
    <xf numFmtId="166" fontId="17" fillId="2" borderId="7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6" fontId="17" fillId="2" borderId="6" xfId="1" applyNumberFormat="1" applyFont="1" applyFill="1" applyBorder="1" applyAlignment="1">
      <alignment vertical="center" shrinkToFit="1"/>
    </xf>
    <xf numFmtId="165" fontId="22" fillId="6" borderId="2" xfId="1" applyNumberFormat="1" applyFont="1" applyFill="1" applyBorder="1" applyAlignment="1">
      <alignment vertical="center" shrinkToFit="1"/>
    </xf>
    <xf numFmtId="165" fontId="17" fillId="5" borderId="2" xfId="1" applyNumberFormat="1" applyFont="1" applyFill="1" applyBorder="1" applyAlignment="1">
      <alignment vertical="center" shrinkToFit="1"/>
    </xf>
    <xf numFmtId="165" fontId="17" fillId="2" borderId="0" xfId="1" applyNumberFormat="1" applyFont="1" applyFill="1" applyAlignment="1">
      <alignment vertical="center" shrinkToFit="1"/>
    </xf>
    <xf numFmtId="165" fontId="17" fillId="2" borderId="0" xfId="1" applyNumberFormat="1" applyFont="1" applyFill="1" applyBorder="1" applyAlignment="1">
      <alignment vertical="center" shrinkToFit="1"/>
    </xf>
    <xf numFmtId="165" fontId="17" fillId="2" borderId="7" xfId="1" applyNumberFormat="1" applyFont="1" applyFill="1" applyBorder="1" applyAlignment="1">
      <alignment vertical="center" shrinkToFit="1"/>
    </xf>
    <xf numFmtId="165" fontId="17" fillId="2" borderId="6" xfId="1" applyNumberFormat="1" applyFont="1" applyFill="1" applyBorder="1" applyAlignment="1">
      <alignment vertical="center" shrinkToFit="1"/>
    </xf>
    <xf numFmtId="165" fontId="17" fillId="2" borderId="1" xfId="1" applyNumberFormat="1" applyFont="1" applyFill="1" applyBorder="1" applyAlignment="1">
      <alignment vertical="center" shrinkToFit="1"/>
    </xf>
    <xf numFmtId="169" fontId="22" fillId="6" borderId="2" xfId="1" applyNumberFormat="1" applyFont="1" applyFill="1" applyBorder="1" applyAlignment="1">
      <alignment vertical="center" shrinkToFit="1"/>
    </xf>
    <xf numFmtId="169" fontId="17" fillId="5" borderId="2" xfId="1" applyNumberFormat="1" applyFont="1" applyFill="1" applyBorder="1" applyAlignment="1">
      <alignment vertical="center" shrinkToFit="1"/>
    </xf>
    <xf numFmtId="169" fontId="17" fillId="2" borderId="0" xfId="1" applyNumberFormat="1" applyFont="1" applyFill="1" applyAlignment="1">
      <alignment vertical="center" shrinkToFit="1"/>
    </xf>
    <xf numFmtId="169" fontId="17" fillId="2" borderId="0" xfId="1" applyNumberFormat="1" applyFont="1" applyFill="1" applyBorder="1" applyAlignment="1">
      <alignment vertical="center" shrinkToFit="1"/>
    </xf>
    <xf numFmtId="169" fontId="18" fillId="2" borderId="7" xfId="1" applyNumberFormat="1" applyFont="1" applyFill="1" applyBorder="1" applyAlignment="1">
      <alignment vertical="center" shrinkToFit="1"/>
    </xf>
    <xf numFmtId="169" fontId="18" fillId="2" borderId="6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9" fontId="17" fillId="2" borderId="1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/>
    </xf>
    <xf numFmtId="0" fontId="15" fillId="6" borderId="2" xfId="5" applyFont="1" applyFill="1" applyBorder="1" applyAlignment="1">
      <alignment horizontal="left" vertical="center"/>
    </xf>
    <xf numFmtId="166" fontId="16" fillId="6" borderId="2" xfId="5" applyNumberFormat="1" applyFont="1" applyFill="1" applyBorder="1" applyAlignment="1">
      <alignment vertical="center"/>
    </xf>
    <xf numFmtId="166" fontId="17" fillId="2" borderId="0" xfId="5" applyNumberFormat="1" applyFont="1" applyFill="1" applyAlignment="1">
      <alignment vertical="center"/>
    </xf>
    <xf numFmtId="169" fontId="17" fillId="2" borderId="0" xfId="5" applyNumberFormat="1" applyFont="1" applyFill="1" applyAlignment="1">
      <alignment vertical="center"/>
    </xf>
    <xf numFmtId="173" fontId="17" fillId="2" borderId="0" xfId="5" applyNumberFormat="1" applyFont="1" applyFill="1" applyAlignment="1">
      <alignment vertical="center"/>
    </xf>
    <xf numFmtId="172" fontId="16" fillId="6" borderId="2" xfId="5" applyNumberFormat="1" applyFont="1" applyFill="1" applyBorder="1" applyAlignment="1">
      <alignment vertical="center"/>
    </xf>
    <xf numFmtId="172" fontId="17" fillId="2" borderId="0" xfId="5" applyNumberFormat="1" applyFont="1" applyFill="1" applyAlignment="1">
      <alignment vertical="center"/>
    </xf>
    <xf numFmtId="172" fontId="17" fillId="2" borderId="1" xfId="5" applyNumberFormat="1" applyFont="1" applyFill="1" applyBorder="1" applyAlignment="1">
      <alignment vertical="center"/>
    </xf>
    <xf numFmtId="165" fontId="16" fillId="6" borderId="2" xfId="2" applyNumberFormat="1" applyFont="1" applyFill="1" applyBorder="1" applyAlignment="1">
      <alignment vertical="center"/>
    </xf>
    <xf numFmtId="165" fontId="17" fillId="2" borderId="0" xfId="5" applyNumberFormat="1" applyFont="1" applyFill="1" applyAlignment="1">
      <alignment vertical="center"/>
    </xf>
    <xf numFmtId="166" fontId="16" fillId="6" borderId="2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Alignment="1">
      <alignment vertical="center" shrinkToFit="1"/>
    </xf>
    <xf numFmtId="169" fontId="17" fillId="2" borderId="0" xfId="5" applyNumberFormat="1" applyFont="1" applyFill="1" applyAlignment="1">
      <alignment vertical="center" shrinkToFit="1"/>
    </xf>
    <xf numFmtId="173" fontId="17" fillId="2" borderId="0" xfId="5" applyNumberFormat="1" applyFont="1" applyFill="1" applyAlignment="1">
      <alignment vertical="center" shrinkToFit="1"/>
    </xf>
    <xf numFmtId="172" fontId="16" fillId="6" borderId="2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Alignment="1">
      <alignment vertical="center" shrinkToFit="1"/>
    </xf>
    <xf numFmtId="172" fontId="17" fillId="2" borderId="1" xfId="5" applyNumberFormat="1" applyFont="1" applyFill="1" applyBorder="1" applyAlignment="1">
      <alignment vertical="center" shrinkToFit="1"/>
    </xf>
    <xf numFmtId="165" fontId="16" fillId="6" borderId="2" xfId="2" applyNumberFormat="1" applyFont="1" applyFill="1" applyBorder="1" applyAlignment="1">
      <alignment vertical="center" shrinkToFit="1"/>
    </xf>
    <xf numFmtId="165" fontId="17" fillId="2" borderId="0" xfId="5" applyNumberFormat="1" applyFont="1" applyFill="1" applyAlignment="1">
      <alignment vertical="center" shrinkToFit="1"/>
    </xf>
    <xf numFmtId="0" fontId="23" fillId="2" borderId="2" xfId="5" applyFont="1" applyFill="1" applyBorder="1" applyAlignment="1">
      <alignment horizontal="left" vertical="center"/>
    </xf>
    <xf numFmtId="166" fontId="17" fillId="2" borderId="2" xfId="5" applyNumberFormat="1" applyFont="1" applyFill="1" applyBorder="1" applyAlignment="1">
      <alignment vertical="center"/>
    </xf>
    <xf numFmtId="0" fontId="23" fillId="2" borderId="5" xfId="5" applyFont="1" applyFill="1" applyBorder="1" applyAlignment="1">
      <alignment horizontal="left" vertical="center"/>
    </xf>
    <xf numFmtId="0" fontId="23" fillId="2" borderId="7" xfId="5" applyFont="1" applyFill="1" applyBorder="1" applyAlignment="1">
      <alignment horizontal="left" vertical="center"/>
    </xf>
    <xf numFmtId="165" fontId="17" fillId="2" borderId="7" xfId="5" applyNumberFormat="1" applyFont="1" applyFill="1" applyBorder="1" applyAlignment="1">
      <alignment vertical="center"/>
    </xf>
    <xf numFmtId="0" fontId="23" fillId="2" borderId="0" xfId="5" applyFont="1" applyFill="1" applyBorder="1" applyAlignment="1">
      <alignment horizontal="left" vertical="center"/>
    </xf>
    <xf numFmtId="0" fontId="23" fillId="2" borderId="1" xfId="5" applyFont="1" applyFill="1" applyBorder="1" applyAlignment="1">
      <alignment horizontal="left" vertical="center"/>
    </xf>
    <xf numFmtId="172" fontId="17" fillId="2" borderId="2" xfId="5" applyNumberFormat="1" applyFont="1" applyFill="1" applyBorder="1" applyAlignment="1">
      <alignment vertical="center"/>
    </xf>
    <xf numFmtId="166" fontId="17" fillId="2" borderId="2" xfId="5" applyNumberFormat="1" applyFont="1" applyFill="1" applyBorder="1" applyAlignment="1">
      <alignment vertical="center" shrinkToFit="1"/>
    </xf>
    <xf numFmtId="165" fontId="17" fillId="2" borderId="7" xfId="5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 shrinkToFit="1"/>
    </xf>
    <xf numFmtId="172" fontId="17" fillId="2" borderId="2" xfId="5" applyNumberFormat="1" applyFont="1" applyFill="1" applyBorder="1" applyAlignment="1">
      <alignment vertical="center" shrinkToFit="1"/>
    </xf>
    <xf numFmtId="172" fontId="10" fillId="2" borderId="0" xfId="5" applyNumberFormat="1" applyFont="1" applyFill="1" applyBorder="1" applyAlignment="1">
      <alignment vertical="center" shrinkToFit="1"/>
    </xf>
    <xf numFmtId="0" fontId="13" fillId="2" borderId="2" xfId="5" applyNumberFormat="1" applyFont="1" applyFill="1" applyBorder="1" applyAlignment="1">
      <alignment vertical="center" shrinkToFit="1"/>
    </xf>
    <xf numFmtId="0" fontId="13" fillId="2" borderId="5" xfId="5" applyNumberFormat="1" applyFont="1" applyFill="1" applyBorder="1" applyAlignment="1">
      <alignment vertical="center" shrinkToFit="1"/>
    </xf>
    <xf numFmtId="0" fontId="13" fillId="2" borderId="6" xfId="5" applyNumberFormat="1" applyFont="1" applyFill="1" applyBorder="1" applyAlignment="1">
      <alignment vertical="center" shrinkToFit="1"/>
    </xf>
    <xf numFmtId="0" fontId="13" fillId="2" borderId="3" xfId="5" applyNumberFormat="1" applyFont="1" applyFill="1" applyBorder="1" applyAlignment="1">
      <alignment vertical="center" shrinkToFit="1"/>
    </xf>
    <xf numFmtId="0" fontId="13" fillId="2" borderId="1" xfId="5" applyNumberFormat="1" applyFont="1" applyFill="1" applyBorder="1" applyAlignment="1">
      <alignment vertical="center" shrinkToFit="1"/>
    </xf>
    <xf numFmtId="175" fontId="10" fillId="2" borderId="0" xfId="5" applyNumberFormat="1" applyFont="1" applyFill="1" applyAlignment="1">
      <alignment vertical="center"/>
    </xf>
    <xf numFmtId="0" fontId="13" fillId="2" borderId="0" xfId="5" applyNumberFormat="1" applyFont="1" applyFill="1" applyBorder="1" applyAlignment="1">
      <alignment vertical="center" shrinkToFit="1"/>
    </xf>
    <xf numFmtId="174" fontId="17" fillId="2" borderId="1" xfId="5" applyNumberFormat="1" applyFont="1" applyFill="1" applyBorder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0" fontId="16" fillId="6" borderId="5" xfId="5" applyFont="1" applyFill="1" applyBorder="1" applyAlignment="1">
      <alignment horizontal="left" vertical="center"/>
    </xf>
    <xf numFmtId="166" fontId="17" fillId="6" borderId="5" xfId="5" applyNumberFormat="1" applyFont="1" applyFill="1" applyBorder="1" applyAlignment="1">
      <alignment vertical="center"/>
    </xf>
    <xf numFmtId="0" fontId="16" fillId="6" borderId="1" xfId="5" applyFont="1" applyFill="1" applyBorder="1" applyAlignment="1">
      <alignment horizontal="left" vertical="center"/>
    </xf>
    <xf numFmtId="166" fontId="17" fillId="6" borderId="1" xfId="5" applyNumberFormat="1" applyFont="1" applyFill="1" applyBorder="1" applyAlignment="1">
      <alignment vertical="center"/>
    </xf>
    <xf numFmtId="0" fontId="16" fillId="5" borderId="6" xfId="5" applyFont="1" applyFill="1" applyBorder="1" applyAlignment="1">
      <alignment horizontal="left" vertical="center" indent="1"/>
    </xf>
    <xf numFmtId="166" fontId="17" fillId="5" borderId="6" xfId="5" applyNumberFormat="1" applyFont="1" applyFill="1" applyBorder="1" applyAlignment="1">
      <alignment vertical="center"/>
    </xf>
    <xf numFmtId="0" fontId="16" fillId="5" borderId="3" xfId="5" applyFont="1" applyFill="1" applyBorder="1" applyAlignment="1">
      <alignment horizontal="left" vertical="center" indent="1"/>
    </xf>
    <xf numFmtId="166" fontId="17" fillId="5" borderId="3" xfId="5" applyNumberFormat="1" applyFont="1" applyFill="1" applyBorder="1" applyAlignment="1">
      <alignment vertical="center"/>
    </xf>
    <xf numFmtId="0" fontId="18" fillId="5" borderId="2" xfId="5" applyFont="1" applyFill="1" applyBorder="1" applyAlignment="1">
      <alignment horizontal="left" vertical="center" indent="1"/>
    </xf>
    <xf numFmtId="166" fontId="17" fillId="5" borderId="2" xfId="5" applyNumberFormat="1" applyFont="1" applyFill="1" applyBorder="1" applyAlignment="1">
      <alignment vertical="center"/>
    </xf>
    <xf numFmtId="3" fontId="17" fillId="6" borderId="2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/>
    </xf>
    <xf numFmtId="0" fontId="15" fillId="6" borderId="2" xfId="5" applyNumberFormat="1" applyFont="1" applyFill="1" applyBorder="1" applyAlignment="1">
      <alignment horizontal="left" vertical="center"/>
    </xf>
    <xf numFmtId="0" fontId="24" fillId="5" borderId="2" xfId="5" applyFont="1" applyFill="1" applyBorder="1" applyAlignment="1">
      <alignment horizontal="left" vertical="center" indent="1"/>
    </xf>
    <xf numFmtId="0" fontId="22" fillId="5" borderId="2" xfId="5" applyFont="1" applyFill="1" applyBorder="1" applyAlignment="1">
      <alignment horizontal="left" vertical="center" indent="1"/>
    </xf>
    <xf numFmtId="176" fontId="22" fillId="5" borderId="2" xfId="2" applyNumberFormat="1" applyFont="1" applyFill="1" applyBorder="1" applyAlignment="1">
      <alignment vertical="center"/>
    </xf>
    <xf numFmtId="174" fontId="22" fillId="5" borderId="2" xfId="2" applyNumberFormat="1" applyFont="1" applyFill="1" applyBorder="1" applyAlignment="1">
      <alignment vertical="center"/>
    </xf>
    <xf numFmtId="165" fontId="22" fillId="5" borderId="2" xfId="2" applyNumberFormat="1" applyFont="1" applyFill="1" applyBorder="1" applyAlignment="1">
      <alignment vertical="center"/>
    </xf>
    <xf numFmtId="0" fontId="26" fillId="2" borderId="5" xfId="5" applyFont="1" applyFill="1" applyBorder="1" applyAlignment="1">
      <alignment horizontal="left" vertical="center" indent="2"/>
    </xf>
    <xf numFmtId="166" fontId="26" fillId="2" borderId="5" xfId="5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166" fontId="26" fillId="2" borderId="0" xfId="5" applyNumberFormat="1" applyFont="1" applyFill="1" applyBorder="1" applyAlignment="1">
      <alignment vertical="center"/>
    </xf>
    <xf numFmtId="0" fontId="26" fillId="2" borderId="3" xfId="5" applyFont="1" applyFill="1" applyBorder="1" applyAlignment="1">
      <alignment horizontal="left" vertical="center" indent="2"/>
    </xf>
    <xf numFmtId="166" fontId="26" fillId="2" borderId="3" xfId="5" applyNumberFormat="1" applyFont="1" applyFill="1" applyBorder="1" applyAlignment="1">
      <alignment vertical="center"/>
    </xf>
    <xf numFmtId="176" fontId="26" fillId="2" borderId="5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176" fontId="26" fillId="2" borderId="3" xfId="5" applyNumberFormat="1" applyFont="1" applyFill="1" applyBorder="1" applyAlignment="1">
      <alignment vertical="center"/>
    </xf>
    <xf numFmtId="174" fontId="26" fillId="2" borderId="5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3" xfId="5" applyNumberFormat="1" applyFont="1" applyFill="1" applyBorder="1" applyAlignment="1">
      <alignment vertical="center"/>
    </xf>
    <xf numFmtId="165" fontId="26" fillId="2" borderId="5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3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3"/>
    </xf>
    <xf numFmtId="166" fontId="27" fillId="2" borderId="0" xfId="5" applyNumberFormat="1" applyFont="1" applyFill="1" applyAlignment="1">
      <alignment vertical="center"/>
    </xf>
    <xf numFmtId="166" fontId="27" fillId="2" borderId="0" xfId="5" applyNumberFormat="1" applyFont="1" applyFill="1" applyBorder="1" applyAlignment="1">
      <alignment vertical="center"/>
    </xf>
    <xf numFmtId="0" fontId="25" fillId="2" borderId="8" xfId="5" applyFont="1" applyFill="1" applyBorder="1" applyAlignment="1">
      <alignment horizontal="left" vertical="center" indent="2"/>
    </xf>
    <xf numFmtId="166" fontId="25" fillId="2" borderId="8" xfId="5" applyNumberFormat="1" applyFont="1" applyFill="1" applyBorder="1" applyAlignment="1">
      <alignment vertical="center"/>
    </xf>
    <xf numFmtId="166" fontId="25" fillId="2" borderId="7" xfId="5" applyNumberFormat="1" applyFont="1" applyFill="1" applyBorder="1" applyAlignment="1">
      <alignment vertical="center"/>
    </xf>
    <xf numFmtId="176" fontId="25" fillId="2" borderId="0" xfId="5" applyNumberFormat="1" applyFont="1" applyFill="1" applyBorder="1" applyAlignment="1">
      <alignment vertical="center"/>
    </xf>
    <xf numFmtId="0" fontId="25" fillId="2" borderId="1" xfId="5" applyFont="1" applyFill="1" applyBorder="1" applyAlignment="1">
      <alignment horizontal="left" vertical="center" indent="2"/>
    </xf>
    <xf numFmtId="176" fontId="25" fillId="2" borderId="1" xfId="5" applyNumberFormat="1" applyFont="1" applyFill="1" applyBorder="1" applyAlignment="1">
      <alignment vertical="center"/>
    </xf>
    <xf numFmtId="174" fontId="25" fillId="2" borderId="0" xfId="5" applyNumberFormat="1" applyFont="1" applyFill="1" applyBorder="1" applyAlignment="1">
      <alignment vertical="center"/>
    </xf>
    <xf numFmtId="174" fontId="25" fillId="2" borderId="1" xfId="5" applyNumberFormat="1" applyFont="1" applyFill="1" applyBorder="1" applyAlignment="1">
      <alignment vertical="center"/>
    </xf>
    <xf numFmtId="165" fontId="25" fillId="2" borderId="0" xfId="5" applyNumberFormat="1" applyFont="1" applyFill="1" applyBorder="1" applyAlignment="1">
      <alignment vertical="center"/>
    </xf>
    <xf numFmtId="165" fontId="25" fillId="2" borderId="1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 shrinkToFit="1"/>
    </xf>
    <xf numFmtId="166" fontId="26" fillId="2" borderId="5" xfId="5" applyNumberFormat="1" applyFont="1" applyFill="1" applyBorder="1" applyAlignment="1">
      <alignment vertical="center" shrinkToFit="1"/>
    </xf>
    <xf numFmtId="166" fontId="26" fillId="2" borderId="0" xfId="5" applyNumberFormat="1" applyFont="1" applyFill="1" applyBorder="1" applyAlignment="1">
      <alignment vertical="center" shrinkToFit="1"/>
    </xf>
    <xf numFmtId="166" fontId="26" fillId="2" borderId="3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5" fillId="2" borderId="8" xfId="5" applyNumberFormat="1" applyFont="1" applyFill="1" applyBorder="1" applyAlignment="1">
      <alignment vertical="center" shrinkToFit="1"/>
    </xf>
    <xf numFmtId="166" fontId="25" fillId="2" borderId="7" xfId="5" applyNumberFormat="1" applyFont="1" applyFill="1" applyBorder="1" applyAlignment="1">
      <alignment vertical="center" shrinkToFit="1"/>
    </xf>
    <xf numFmtId="176" fontId="22" fillId="5" borderId="2" xfId="2" applyNumberFormat="1" applyFont="1" applyFill="1" applyBorder="1" applyAlignment="1">
      <alignment vertical="center" shrinkToFit="1"/>
    </xf>
    <xf numFmtId="176" fontId="26" fillId="2" borderId="5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3" xfId="5" applyNumberFormat="1" applyFont="1" applyFill="1" applyBorder="1" applyAlignment="1">
      <alignment vertical="center" shrinkToFit="1"/>
    </xf>
    <xf numFmtId="176" fontId="25" fillId="2" borderId="0" xfId="5" applyNumberFormat="1" applyFont="1" applyFill="1" applyBorder="1" applyAlignment="1">
      <alignment vertical="center" shrinkToFit="1"/>
    </xf>
    <xf numFmtId="176" fontId="25" fillId="2" borderId="1" xfId="5" applyNumberFormat="1" applyFont="1" applyFill="1" applyBorder="1" applyAlignment="1">
      <alignment vertical="center" shrinkToFit="1"/>
    </xf>
    <xf numFmtId="174" fontId="22" fillId="5" borderId="2" xfId="2" applyNumberFormat="1" applyFont="1" applyFill="1" applyBorder="1" applyAlignment="1">
      <alignment vertical="center" shrinkToFit="1"/>
    </xf>
    <xf numFmtId="174" fontId="26" fillId="2" borderId="5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3" xfId="5" applyNumberFormat="1" applyFont="1" applyFill="1" applyBorder="1" applyAlignment="1">
      <alignment vertical="center" shrinkToFit="1"/>
    </xf>
    <xf numFmtId="174" fontId="25" fillId="2" borderId="0" xfId="5" applyNumberFormat="1" applyFont="1" applyFill="1" applyBorder="1" applyAlignment="1">
      <alignment vertical="center" shrinkToFit="1"/>
    </xf>
    <xf numFmtId="174" fontId="25" fillId="2" borderId="1" xfId="5" applyNumberFormat="1" applyFont="1" applyFill="1" applyBorder="1" applyAlignment="1">
      <alignment vertical="center" shrinkToFit="1"/>
    </xf>
    <xf numFmtId="165" fontId="22" fillId="5" borderId="2" xfId="2" applyNumberFormat="1" applyFont="1" applyFill="1" applyBorder="1" applyAlignment="1">
      <alignment vertical="center" shrinkToFit="1"/>
    </xf>
    <xf numFmtId="165" fontId="26" fillId="2" borderId="5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3" xfId="5" applyNumberFormat="1" applyFont="1" applyFill="1" applyBorder="1" applyAlignment="1">
      <alignment vertical="center" shrinkToFit="1"/>
    </xf>
    <xf numFmtId="165" fontId="25" fillId="2" borderId="0" xfId="5" applyNumberFormat="1" applyFont="1" applyFill="1" applyBorder="1" applyAlignment="1">
      <alignment vertical="center" shrinkToFit="1"/>
    </xf>
    <xf numFmtId="165" fontId="25" fillId="2" borderId="1" xfId="5" applyNumberFormat="1" applyFont="1" applyFill="1" applyBorder="1" applyAlignment="1">
      <alignment vertical="center" shrinkToFit="1"/>
    </xf>
    <xf numFmtId="0" fontId="28" fillId="2" borderId="0" xfId="0" applyFont="1" applyFill="1"/>
    <xf numFmtId="0" fontId="29" fillId="2" borderId="1" xfId="0" applyFont="1" applyFill="1" applyBorder="1"/>
    <xf numFmtId="0" fontId="23" fillId="2" borderId="0" xfId="0" applyFont="1" applyFill="1"/>
    <xf numFmtId="0" fontId="30" fillId="2" borderId="0" xfId="0" applyFont="1" applyFill="1" applyAlignment="1">
      <alignment horizontal="left"/>
    </xf>
    <xf numFmtId="0" fontId="23" fillId="2" borderId="0" xfId="0" applyFont="1" applyFill="1" applyAlignment="1">
      <alignment horizontal="left"/>
    </xf>
    <xf numFmtId="0" fontId="23" fillId="2" borderId="0" xfId="0" applyFont="1" applyFill="1" applyAlignment="1">
      <alignment horizontal="left" indent="1"/>
    </xf>
    <xf numFmtId="0" fontId="32" fillId="2" borderId="0" xfId="6" applyFont="1" applyFill="1"/>
    <xf numFmtId="0" fontId="17" fillId="2" borderId="0" xfId="6" applyFont="1" applyFill="1" applyAlignment="1">
      <alignment vertical="center"/>
    </xf>
    <xf numFmtId="0" fontId="17" fillId="2" borderId="0" xfId="6" applyFont="1" applyFill="1" applyAlignment="1">
      <alignment horizontal="center" vertical="center"/>
    </xf>
    <xf numFmtId="0" fontId="33" fillId="2" borderId="2" xfId="6" applyFont="1" applyFill="1" applyBorder="1" applyAlignment="1">
      <alignment vertical="center"/>
    </xf>
    <xf numFmtId="0" fontId="34" fillId="2" borderId="2" xfId="6" applyFont="1" applyFill="1" applyBorder="1" applyAlignment="1">
      <alignment vertical="center"/>
    </xf>
    <xf numFmtId="0" fontId="35" fillId="2" borderId="0" xfId="6" applyFont="1" applyFill="1" applyAlignment="1">
      <alignment vertical="center"/>
    </xf>
    <xf numFmtId="0" fontId="34" fillId="2" borderId="0" xfId="6" applyFont="1" applyFill="1" applyAlignment="1">
      <alignment vertical="center"/>
    </xf>
    <xf numFmtId="0" fontId="15" fillId="2" borderId="0" xfId="6" applyFont="1" applyFill="1" applyAlignment="1">
      <alignment vertical="center"/>
    </xf>
    <xf numFmtId="0" fontId="19" fillId="2" borderId="0" xfId="6" applyFont="1" applyFill="1" applyAlignment="1">
      <alignment vertical="center"/>
    </xf>
    <xf numFmtId="0" fontId="38" fillId="2" borderId="0" xfId="9" applyFont="1" applyFill="1" applyAlignment="1">
      <alignment vertical="center"/>
    </xf>
    <xf numFmtId="0" fontId="39" fillId="2" borderId="0" xfId="3" applyFont="1" applyFill="1" applyAlignment="1">
      <alignment horizontal="left" vertical="center" indent="1"/>
    </xf>
    <xf numFmtId="166" fontId="17" fillId="7" borderId="0" xfId="5" applyNumberFormat="1" applyFont="1" applyFill="1" applyBorder="1" applyAlignment="1">
      <alignment vertical="center"/>
    </xf>
    <xf numFmtId="0" fontId="36" fillId="2" borderId="0" xfId="6" applyFont="1" applyFill="1" applyAlignment="1">
      <alignment horizontal="left" vertical="center"/>
    </xf>
    <xf numFmtId="177" fontId="37" fillId="2" borderId="0" xfId="6" quotePrefix="1" applyNumberFormat="1" applyFont="1" applyFill="1" applyAlignment="1">
      <alignment horizontal="left" vertical="center"/>
    </xf>
    <xf numFmtId="0" fontId="40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99"/>
    <col min="5" max="21" width="9.7109375" style="299" customWidth="1"/>
    <col min="22" max="22" width="9.7109375" style="300" customWidth="1"/>
    <col min="23" max="23" width="107.42578125" style="299" customWidth="1"/>
    <col min="24" max="24" width="44.7109375" style="299" customWidth="1"/>
    <col min="25" max="26" width="9.7109375" style="299" customWidth="1"/>
    <col min="27" max="16384" width="9.140625" style="299"/>
  </cols>
  <sheetData>
    <row r="2" spans="1:23" ht="21" x14ac:dyDescent="0.35">
      <c r="A2" s="298"/>
      <c r="B2" s="312"/>
      <c r="C2" s="312"/>
      <c r="D2" s="312"/>
      <c r="E2" s="312"/>
      <c r="F2" s="312"/>
      <c r="G2" s="312"/>
      <c r="H2" s="312"/>
      <c r="I2" s="312"/>
      <c r="J2" s="312"/>
      <c r="K2" s="312"/>
    </row>
    <row r="3" spans="1:23" ht="15" customHeight="1" x14ac:dyDescent="0.25">
      <c r="B3" s="312"/>
      <c r="C3" s="312"/>
      <c r="D3" s="312"/>
      <c r="E3" s="312"/>
      <c r="F3" s="312"/>
      <c r="G3" s="312"/>
      <c r="H3" s="312"/>
      <c r="I3" s="312"/>
      <c r="J3" s="312"/>
      <c r="K3" s="312"/>
    </row>
    <row r="6" spans="1:23" ht="31.5" x14ac:dyDescent="0.25">
      <c r="A6" s="301"/>
      <c r="B6" s="302" t="s">
        <v>176</v>
      </c>
      <c r="C6" s="302"/>
      <c r="D6" s="302"/>
      <c r="E6" s="302"/>
      <c r="F6" s="302"/>
      <c r="G6" s="302"/>
      <c r="H6" s="302"/>
      <c r="I6" s="302"/>
      <c r="J6" s="302"/>
      <c r="K6" s="302"/>
      <c r="L6" s="302"/>
      <c r="M6" s="302"/>
      <c r="N6" s="302"/>
      <c r="O6" s="302"/>
      <c r="P6" s="302"/>
      <c r="Q6" s="302"/>
      <c r="V6" s="299"/>
    </row>
    <row r="7" spans="1:23" ht="15" customHeight="1" x14ac:dyDescent="0.25">
      <c r="V7" s="299"/>
    </row>
    <row r="8" spans="1:23" ht="15" customHeight="1" x14ac:dyDescent="0.25">
      <c r="V8" s="299"/>
    </row>
    <row r="9" spans="1:23" ht="15" customHeight="1" x14ac:dyDescent="0.25">
      <c r="V9" s="299"/>
    </row>
    <row r="10" spans="1:23" ht="28.5" x14ac:dyDescent="0.25">
      <c r="C10" s="303" t="s">
        <v>186</v>
      </c>
      <c r="V10" s="299"/>
    </row>
    <row r="11" spans="1:23" ht="15" customHeight="1" x14ac:dyDescent="0.25">
      <c r="V11" s="299"/>
    </row>
    <row r="15" spans="1:23" ht="30" customHeight="1" x14ac:dyDescent="0.25">
      <c r="C15" s="303" t="s">
        <v>137</v>
      </c>
    </row>
    <row r="16" spans="1:23" ht="15" customHeight="1" x14ac:dyDescent="0.25">
      <c r="W16" s="304"/>
    </row>
    <row r="17" spans="12:32" ht="15" customHeight="1" x14ac:dyDescent="0.25">
      <c r="W17" s="304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299"/>
    </row>
    <row r="30" spans="12:32" ht="18.75" x14ac:dyDescent="0.25">
      <c r="L30" s="311">
        <v>45967.472511574073</v>
      </c>
      <c r="M30" s="311"/>
      <c r="N30" s="311"/>
      <c r="O30" s="311"/>
      <c r="V30" s="299"/>
    </row>
    <row r="31" spans="12:32" ht="15" customHeight="1" x14ac:dyDescent="0.25">
      <c r="L31" s="305" t="s">
        <v>177</v>
      </c>
      <c r="V31" s="299"/>
      <c r="AA31" s="306"/>
      <c r="AB31" s="306"/>
      <c r="AC31" s="306"/>
      <c r="AD31" s="306"/>
      <c r="AE31" s="306"/>
      <c r="AF31" s="306"/>
    </row>
    <row r="32" spans="12:32" ht="15" customHeight="1" x14ac:dyDescent="0.25">
      <c r="V32" s="299"/>
    </row>
    <row r="33" spans="2:32" ht="15" customHeight="1" x14ac:dyDescent="0.25">
      <c r="B33" s="307" t="s">
        <v>138</v>
      </c>
      <c r="V33" s="299"/>
    </row>
    <row r="34" spans="2:32" ht="15" customHeight="1" x14ac:dyDescent="0.25">
      <c r="B34" s="307"/>
      <c r="V34" s="307"/>
    </row>
    <row r="35" spans="2:32" ht="15" customHeight="1" x14ac:dyDescent="0.25">
      <c r="B35" s="307" t="s">
        <v>143</v>
      </c>
      <c r="V35" s="307"/>
    </row>
    <row r="36" spans="2:32" ht="15" customHeight="1" x14ac:dyDescent="0.25">
      <c r="B36" s="307" t="s">
        <v>139</v>
      </c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6"/>
      <c r="Q36" s="306"/>
      <c r="R36" s="306"/>
      <c r="S36" s="306"/>
      <c r="T36" s="306"/>
      <c r="U36" s="306"/>
      <c r="W36" s="306"/>
      <c r="X36" s="306"/>
      <c r="Y36" s="306"/>
      <c r="Z36" s="306"/>
    </row>
    <row r="38" spans="2:32" ht="15" customHeight="1" x14ac:dyDescent="0.25">
      <c r="B38" s="307" t="s">
        <v>144</v>
      </c>
    </row>
    <row r="39" spans="2:32" ht="15" customHeight="1" x14ac:dyDescent="0.25">
      <c r="B39" s="307" t="s">
        <v>145</v>
      </c>
    </row>
    <row r="40" spans="2:32" ht="15" customHeight="1" x14ac:dyDescent="0.25">
      <c r="B40" s="308" t="s">
        <v>146</v>
      </c>
      <c r="AA40" s="306"/>
      <c r="AB40" s="306"/>
      <c r="AC40" s="306"/>
      <c r="AD40" s="306"/>
      <c r="AE40" s="306"/>
      <c r="AF40" s="306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2" t="s">
        <v>185</v>
      </c>
      <c r="B1" s="292" t="s">
        <v>186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3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4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5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6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6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6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6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6" t="s">
        <v>153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6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6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6" t="s">
        <v>154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6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6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6" t="s">
        <v>155</v>
      </c>
    </row>
    <row r="18" spans="1:4" x14ac:dyDescent="0.25">
      <c r="B18" s="21"/>
      <c r="C18" s="21"/>
      <c r="D18" s="23"/>
    </row>
    <row r="19" spans="1:4" x14ac:dyDescent="0.25">
      <c r="A19" s="19"/>
      <c r="B19" s="295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6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6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6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6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6" t="s">
        <v>153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6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6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6" t="s">
        <v>154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6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6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6" t="s">
        <v>155</v>
      </c>
    </row>
    <row r="31" spans="1:4" x14ac:dyDescent="0.25">
      <c r="B31" s="21"/>
      <c r="C31" s="21"/>
      <c r="D31" s="23"/>
    </row>
    <row r="32" spans="1:4" x14ac:dyDescent="0.25">
      <c r="B32" s="295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6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6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6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6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6" t="s">
        <v>171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6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6" t="s">
        <v>3</v>
      </c>
    </row>
    <row r="41" spans="2:4" x14ac:dyDescent="0.25">
      <c r="B41" s="295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4" t="s">
        <v>175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7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7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7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690497</v>
      </c>
      <c r="C3" s="34">
        <v>697549</v>
      </c>
      <c r="D3" s="34">
        <v>705539</v>
      </c>
      <c r="E3" s="34">
        <v>713720</v>
      </c>
      <c r="F3" s="34">
        <v>722893</v>
      </c>
      <c r="G3" s="34">
        <v>733067</v>
      </c>
      <c r="H3" s="34">
        <v>744013</v>
      </c>
      <c r="I3" s="34">
        <v>757916</v>
      </c>
      <c r="J3" s="34">
        <v>776333</v>
      </c>
      <c r="K3" s="34">
        <v>796930</v>
      </c>
      <c r="L3" s="34">
        <v>819140</v>
      </c>
      <c r="M3" s="34">
        <v>839751</v>
      </c>
      <c r="N3" s="34">
        <v>862011</v>
      </c>
      <c r="O3" s="34">
        <v>862854</v>
      </c>
      <c r="P3" s="34">
        <v>860032</v>
      </c>
      <c r="Q3" s="34">
        <v>860846</v>
      </c>
      <c r="R3" s="34">
        <v>863764</v>
      </c>
      <c r="S3" s="34">
        <v>869878</v>
      </c>
      <c r="T3" s="34">
        <v>878601</v>
      </c>
      <c r="U3" s="34">
        <v>890194</v>
      </c>
      <c r="V3" s="34">
        <v>902429</v>
      </c>
      <c r="W3" s="34">
        <v>914476</v>
      </c>
      <c r="X3" s="34">
        <v>929764</v>
      </c>
      <c r="Y3" s="34">
        <v>949084</v>
      </c>
      <c r="DA3" s="88" t="s">
        <v>188</v>
      </c>
    </row>
    <row r="4" spans="1:105" ht="12" customHeight="1" x14ac:dyDescent="0.25">
      <c r="A4" s="35" t="s">
        <v>178</v>
      </c>
      <c r="B4" s="36">
        <v>16237.913501885521</v>
      </c>
      <c r="C4" s="36">
        <v>16879.644732682704</v>
      </c>
      <c r="D4" s="36">
        <v>17508.242240991553</v>
      </c>
      <c r="E4" s="36">
        <v>17967.361229672963</v>
      </c>
      <c r="F4" s="36">
        <v>18870.59861308926</v>
      </c>
      <c r="G4" s="36">
        <v>19786.469342469481</v>
      </c>
      <c r="H4" s="36">
        <v>20719.131462969875</v>
      </c>
      <c r="I4" s="36">
        <v>21775.309829538786</v>
      </c>
      <c r="J4" s="36">
        <v>22569.536276988911</v>
      </c>
      <c r="K4" s="36">
        <v>22114.800338996891</v>
      </c>
      <c r="L4" s="36">
        <v>22619.415800920029</v>
      </c>
      <c r="M4" s="36">
        <v>22713.885583533051</v>
      </c>
      <c r="N4" s="36">
        <v>21930.883074505542</v>
      </c>
      <c r="O4" s="36">
        <v>20485.960339577192</v>
      </c>
      <c r="P4" s="36">
        <v>20122.223914251685</v>
      </c>
      <c r="Q4" s="36">
        <v>20810.247624</v>
      </c>
      <c r="R4" s="36">
        <v>22178.208836811667</v>
      </c>
      <c r="S4" s="36">
        <v>23453.501123058544</v>
      </c>
      <c r="T4" s="36">
        <v>24924.550917512566</v>
      </c>
      <c r="U4" s="36">
        <v>26389.042928821473</v>
      </c>
      <c r="V4" s="36">
        <v>25538.998200751983</v>
      </c>
      <c r="W4" s="36">
        <v>28447.586306106663</v>
      </c>
      <c r="X4" s="36">
        <v>30497.190464851898</v>
      </c>
      <c r="Y4" s="36">
        <v>31340</v>
      </c>
      <c r="DA4" s="89" t="s">
        <v>189</v>
      </c>
    </row>
    <row r="5" spans="1:105" ht="12" customHeight="1" x14ac:dyDescent="0.25">
      <c r="A5" s="35" t="s">
        <v>179</v>
      </c>
      <c r="B5" s="36">
        <v>11052.616164501731</v>
      </c>
      <c r="C5" s="36">
        <v>11488.364053600399</v>
      </c>
      <c r="D5" s="36">
        <v>11819.677473185786</v>
      </c>
      <c r="E5" s="36">
        <v>12134.412479592434</v>
      </c>
      <c r="F5" s="36">
        <v>12755.135765480652</v>
      </c>
      <c r="G5" s="36">
        <v>13447.709360839766</v>
      </c>
      <c r="H5" s="36">
        <v>14189.884048020811</v>
      </c>
      <c r="I5" s="36">
        <v>14846.753106229806</v>
      </c>
      <c r="J5" s="36">
        <v>15414.289267689173</v>
      </c>
      <c r="K5" s="36">
        <v>15647.343916751093</v>
      </c>
      <c r="L5" s="36">
        <v>16336.359450702819</v>
      </c>
      <c r="M5" s="36">
        <v>16814.056487284521</v>
      </c>
      <c r="N5" s="36">
        <v>16502.974166538792</v>
      </c>
      <c r="O5" s="36">
        <v>15639.208965317359</v>
      </c>
      <c r="P5" s="36">
        <v>15533.438023916413</v>
      </c>
      <c r="Q5" s="36">
        <v>15998.294378262693</v>
      </c>
      <c r="R5" s="36">
        <v>16852.007253958993</v>
      </c>
      <c r="S5" s="36">
        <v>17793.628245392294</v>
      </c>
      <c r="T5" s="36">
        <v>18767.688493057503</v>
      </c>
      <c r="U5" s="36">
        <v>19729.207587635683</v>
      </c>
      <c r="V5" s="36">
        <v>19116.273362695352</v>
      </c>
      <c r="W5" s="36">
        <v>21739.461118049057</v>
      </c>
      <c r="X5" s="36">
        <v>23767.599771742221</v>
      </c>
      <c r="Y5" s="36">
        <v>24364.085530352102</v>
      </c>
      <c r="DA5" s="89" t="s">
        <v>190</v>
      </c>
    </row>
    <row r="6" spans="1:105" ht="12" customHeight="1" x14ac:dyDescent="0.25">
      <c r="A6" s="37" t="s">
        <v>70</v>
      </c>
      <c r="B6" s="38">
        <v>231510.00000000003</v>
      </c>
      <c r="C6" s="38">
        <v>239300</v>
      </c>
      <c r="D6" s="38">
        <v>243380</v>
      </c>
      <c r="E6" s="38">
        <v>252679.99999999997</v>
      </c>
      <c r="F6" s="38">
        <v>262480</v>
      </c>
      <c r="G6" s="38">
        <v>272400</v>
      </c>
      <c r="H6" s="38">
        <v>279590</v>
      </c>
      <c r="I6" s="38">
        <v>290669.99999999994</v>
      </c>
      <c r="J6" s="38">
        <v>299640.00000000006</v>
      </c>
      <c r="K6" s="38">
        <v>301620</v>
      </c>
      <c r="L6" s="38">
        <v>307180</v>
      </c>
      <c r="M6" s="38">
        <v>312300</v>
      </c>
      <c r="N6" s="38">
        <v>307320</v>
      </c>
      <c r="O6" s="38">
        <v>296500</v>
      </c>
      <c r="P6" s="38">
        <v>294520</v>
      </c>
      <c r="Q6" s="38">
        <v>299800</v>
      </c>
      <c r="R6" s="38">
        <v>313510</v>
      </c>
      <c r="S6" s="38">
        <v>329150</v>
      </c>
      <c r="T6" s="38">
        <v>349340.00000000006</v>
      </c>
      <c r="U6" s="38">
        <v>363340.00000000006</v>
      </c>
      <c r="V6" s="38">
        <v>358859.99999999994</v>
      </c>
      <c r="W6" s="38">
        <v>369919.99999999994</v>
      </c>
      <c r="X6" s="38">
        <v>386020</v>
      </c>
      <c r="Y6" s="38">
        <v>391530.00000000006</v>
      </c>
      <c r="DA6" s="90" t="s">
        <v>191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16275.690969441697</v>
      </c>
      <c r="C8" s="34">
        <v>16602.318428732429</v>
      </c>
      <c r="D8" s="34">
        <v>16839.114908157051</v>
      </c>
      <c r="E8" s="34">
        <v>17121.606030851839</v>
      </c>
      <c r="F8" s="34">
        <v>17501.28582415159</v>
      </c>
      <c r="G8" s="34">
        <v>17896.264895794902</v>
      </c>
      <c r="H8" s="34">
        <v>18274.04658327542</v>
      </c>
      <c r="I8" s="34">
        <v>18742.685921310989</v>
      </c>
      <c r="J8" s="34">
        <v>19206.346886543943</v>
      </c>
      <c r="K8" s="34">
        <v>19830.408461658633</v>
      </c>
      <c r="L8" s="34">
        <v>20510.225734665259</v>
      </c>
      <c r="M8" s="34">
        <v>20983.935494143545</v>
      </c>
      <c r="N8" s="34">
        <v>21473.536037340236</v>
      </c>
      <c r="O8" s="34">
        <v>21481.928376746037</v>
      </c>
      <c r="P8" s="34">
        <v>21263.534772894371</v>
      </c>
      <c r="Q8" s="34">
        <v>21123.161918869624</v>
      </c>
      <c r="R8" s="34">
        <v>21299.684710310848</v>
      </c>
      <c r="S8" s="34">
        <v>21597.600117315535</v>
      </c>
      <c r="T8" s="34">
        <v>21894.444918233832</v>
      </c>
      <c r="U8" s="34">
        <v>22183.990637620434</v>
      </c>
      <c r="V8" s="34">
        <v>22434.508888888889</v>
      </c>
      <c r="W8" s="34">
        <v>22675.700517501151</v>
      </c>
      <c r="X8" s="34">
        <v>22907.760184548326</v>
      </c>
      <c r="Y8" s="34">
        <v>23131.123975293089</v>
      </c>
      <c r="DA8" s="88" t="s">
        <v>192</v>
      </c>
    </row>
    <row r="9" spans="1:105" ht="12" customHeight="1" x14ac:dyDescent="0.25">
      <c r="A9" s="39" t="s">
        <v>68</v>
      </c>
      <c r="B9" s="40">
        <v>14648.121872497528</v>
      </c>
      <c r="C9" s="40">
        <v>14942.086585859184</v>
      </c>
      <c r="D9" s="40">
        <v>15155.203417341345</v>
      </c>
      <c r="E9" s="40">
        <v>15409.445427766657</v>
      </c>
      <c r="F9" s="40">
        <v>15751.157241736433</v>
      </c>
      <c r="G9" s="40">
        <v>16106.638406215414</v>
      </c>
      <c r="H9" s="40">
        <v>16446.641924947879</v>
      </c>
      <c r="I9" s="40">
        <v>16868.417329179891</v>
      </c>
      <c r="J9" s="40">
        <v>17285.712197889548</v>
      </c>
      <c r="K9" s="40">
        <v>17847.367615492771</v>
      </c>
      <c r="L9" s="40">
        <v>18459.203161198733</v>
      </c>
      <c r="M9" s="40">
        <v>18885.54194472919</v>
      </c>
      <c r="N9" s="40">
        <v>19326.182433606213</v>
      </c>
      <c r="O9" s="40">
        <v>19333.735539071433</v>
      </c>
      <c r="P9" s="40">
        <v>19137.181295604933</v>
      </c>
      <c r="Q9" s="40">
        <v>19010.845726982661</v>
      </c>
      <c r="R9" s="40">
        <v>19169.716239279765</v>
      </c>
      <c r="S9" s="40">
        <v>19437.840105583979</v>
      </c>
      <c r="T9" s="40">
        <v>19705.00042641045</v>
      </c>
      <c r="U9" s="40">
        <v>19965.591573858394</v>
      </c>
      <c r="V9" s="40">
        <v>20191.058000000001</v>
      </c>
      <c r="W9" s="40">
        <v>20408.130465751037</v>
      </c>
      <c r="X9" s="40">
        <v>20616.984166093494</v>
      </c>
      <c r="Y9" s="40">
        <v>20818.01157776378</v>
      </c>
      <c r="DA9" s="91" t="s">
        <v>193</v>
      </c>
    </row>
    <row r="10" spans="1:105" ht="12" customHeight="1" x14ac:dyDescent="0.25">
      <c r="A10" s="35" t="s">
        <v>17</v>
      </c>
      <c r="B10" s="41"/>
      <c r="C10" s="41">
        <v>391.51955459205618</v>
      </c>
      <c r="D10" s="41">
        <v>302.97356671211105</v>
      </c>
      <c r="E10" s="41">
        <v>349.95320196844591</v>
      </c>
      <c r="F10" s="41">
        <v>448.42686455957158</v>
      </c>
      <c r="G10" s="41">
        <v>465.01113488929582</v>
      </c>
      <c r="H10" s="41">
        <v>449.09874271266318</v>
      </c>
      <c r="I10" s="41">
        <v>541.88388124696633</v>
      </c>
      <c r="J10" s="41">
        <v>538.83299642359907</v>
      </c>
      <c r="K10" s="41">
        <v>701.16109428458151</v>
      </c>
      <c r="L10" s="41">
        <v>758.84428015576509</v>
      </c>
      <c r="M10" s="41">
        <v>555.94924659283106</v>
      </c>
      <c r="N10" s="41">
        <v>573.76751829049408</v>
      </c>
      <c r="O10" s="41">
        <v>94.486802478846087</v>
      </c>
      <c r="P10" s="41">
        <v>86.094463073044878</v>
      </c>
      <c r="Q10" s="41">
        <v>84.809471086880038</v>
      </c>
      <c r="R10" s="41">
        <v>285.4050693735453</v>
      </c>
      <c r="S10" s="41">
        <v>407.70759623309243</v>
      </c>
      <c r="T10" s="41">
        <v>408.17263657456073</v>
      </c>
      <c r="U10" s="41">
        <v>402.40368288265819</v>
      </c>
      <c r="V10" s="41">
        <v>364.86871847267537</v>
      </c>
      <c r="W10" s="41">
        <v>356.83342700859521</v>
      </c>
      <c r="X10" s="41">
        <v>348.94472126110253</v>
      </c>
      <c r="Y10" s="41">
        <v>341.44502880943958</v>
      </c>
      <c r="DA10" s="92" t="s">
        <v>194</v>
      </c>
    </row>
    <row r="11" spans="1:105" ht="12" customHeight="1" x14ac:dyDescent="0.25">
      <c r="A11" s="37" t="s">
        <v>67</v>
      </c>
      <c r="B11" s="42"/>
      <c r="C11" s="42">
        <v>352.36759913285056</v>
      </c>
      <c r="D11" s="42">
        <v>272.67621004089995</v>
      </c>
      <c r="E11" s="42">
        <v>314.95788177160136</v>
      </c>
      <c r="F11" s="42">
        <v>403.58417810361448</v>
      </c>
      <c r="G11" s="42">
        <v>418.51002140036621</v>
      </c>
      <c r="H11" s="42">
        <v>404.18886844139689</v>
      </c>
      <c r="I11" s="42">
        <v>487.69549312226968</v>
      </c>
      <c r="J11" s="42">
        <v>484.94969678123908</v>
      </c>
      <c r="K11" s="42">
        <v>631.04498485612339</v>
      </c>
      <c r="L11" s="42">
        <v>682.95985214018856</v>
      </c>
      <c r="M11" s="42">
        <v>500.35432193354796</v>
      </c>
      <c r="N11" s="42">
        <v>516.39076646144474</v>
      </c>
      <c r="O11" s="42">
        <v>85.038122230961477</v>
      </c>
      <c r="P11" s="42">
        <v>77.485016765740383</v>
      </c>
      <c r="Q11" s="42">
        <v>76.328523978192038</v>
      </c>
      <c r="R11" s="42">
        <v>256.86456243619079</v>
      </c>
      <c r="S11" s="42">
        <v>366.93683660978314</v>
      </c>
      <c r="T11" s="42">
        <v>367.35537291710466</v>
      </c>
      <c r="U11" s="42">
        <v>362.16331459439238</v>
      </c>
      <c r="V11" s="42">
        <v>328.38184662540783</v>
      </c>
      <c r="W11" s="42">
        <v>321.15008430773571</v>
      </c>
      <c r="X11" s="42">
        <v>314.05024913499227</v>
      </c>
      <c r="Y11" s="42">
        <v>307.30052592849557</v>
      </c>
      <c r="DA11" s="93" t="s">
        <v>195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863.34</v>
      </c>
      <c r="C13" s="43">
        <v>636.57000000000005</v>
      </c>
      <c r="D13" s="43">
        <v>714.82</v>
      </c>
      <c r="E13" s="43">
        <v>793.64</v>
      </c>
      <c r="F13" s="43">
        <v>844.33</v>
      </c>
      <c r="G13" s="43">
        <v>767.46</v>
      </c>
      <c r="H13" s="43">
        <v>852.91</v>
      </c>
      <c r="I13" s="43">
        <v>804.12</v>
      </c>
      <c r="J13" s="43">
        <v>734.66</v>
      </c>
      <c r="K13" s="43">
        <v>710.65</v>
      </c>
      <c r="L13" s="43">
        <v>498.76</v>
      </c>
      <c r="M13" s="43">
        <v>794.38</v>
      </c>
      <c r="N13" s="43">
        <v>817.04</v>
      </c>
      <c r="O13" s="43">
        <v>707.11</v>
      </c>
      <c r="P13" s="43">
        <v>523.15</v>
      </c>
      <c r="Q13" s="43">
        <v>749.52</v>
      </c>
      <c r="R13" s="43">
        <v>677.81</v>
      </c>
      <c r="S13" s="43">
        <v>720.83</v>
      </c>
      <c r="T13" s="43">
        <v>470.75</v>
      </c>
      <c r="U13" s="43">
        <v>693.06</v>
      </c>
      <c r="V13" s="43">
        <v>626.42999999999995</v>
      </c>
      <c r="W13" s="43">
        <v>609.84</v>
      </c>
      <c r="X13" s="43">
        <v>695.96</v>
      </c>
      <c r="Y13" s="43">
        <v>529.77</v>
      </c>
      <c r="DA13" s="94" t="s">
        <v>196</v>
      </c>
    </row>
    <row r="14" spans="1:105" ht="12" customHeight="1" x14ac:dyDescent="0.25">
      <c r="A14" s="35" t="s">
        <v>147</v>
      </c>
      <c r="B14" s="44">
        <f>AVERAGE($B$13:$V$13)</f>
        <v>714.34952380952359</v>
      </c>
      <c r="C14" s="44">
        <f t="shared" ref="C14:Y14" si="0">AVERAGE($B$13:$V$13)</f>
        <v>714.34952380952359</v>
      </c>
      <c r="D14" s="44">
        <f t="shared" si="0"/>
        <v>714.34952380952359</v>
      </c>
      <c r="E14" s="44">
        <f t="shared" si="0"/>
        <v>714.34952380952359</v>
      </c>
      <c r="F14" s="44">
        <f t="shared" si="0"/>
        <v>714.34952380952359</v>
      </c>
      <c r="G14" s="44">
        <f t="shared" si="0"/>
        <v>714.34952380952359</v>
      </c>
      <c r="H14" s="44">
        <f t="shared" si="0"/>
        <v>714.34952380952359</v>
      </c>
      <c r="I14" s="44">
        <f t="shared" si="0"/>
        <v>714.34952380952359</v>
      </c>
      <c r="J14" s="44">
        <f t="shared" si="0"/>
        <v>714.34952380952359</v>
      </c>
      <c r="K14" s="44">
        <f t="shared" si="0"/>
        <v>714.34952380952359</v>
      </c>
      <c r="L14" s="44">
        <f t="shared" si="0"/>
        <v>714.34952380952359</v>
      </c>
      <c r="M14" s="44">
        <f t="shared" si="0"/>
        <v>714.34952380952359</v>
      </c>
      <c r="N14" s="44">
        <f t="shared" si="0"/>
        <v>714.34952380952359</v>
      </c>
      <c r="O14" s="44">
        <f t="shared" si="0"/>
        <v>714.34952380952359</v>
      </c>
      <c r="P14" s="44">
        <f t="shared" si="0"/>
        <v>714.34952380952359</v>
      </c>
      <c r="Q14" s="44">
        <f t="shared" si="0"/>
        <v>714.34952380952359</v>
      </c>
      <c r="R14" s="44">
        <f t="shared" si="0"/>
        <v>714.34952380952359</v>
      </c>
      <c r="S14" s="44">
        <f t="shared" si="0"/>
        <v>714.34952380952359</v>
      </c>
      <c r="T14" s="44">
        <f t="shared" si="0"/>
        <v>714.34952380952359</v>
      </c>
      <c r="U14" s="44">
        <f t="shared" si="0"/>
        <v>714.34952380952359</v>
      </c>
      <c r="V14" s="44">
        <f t="shared" si="0"/>
        <v>714.34952380952359</v>
      </c>
      <c r="W14" s="44">
        <f t="shared" si="0"/>
        <v>714.34952380952359</v>
      </c>
      <c r="X14" s="44">
        <f t="shared" si="0"/>
        <v>714.34952380952359</v>
      </c>
      <c r="Y14" s="44">
        <f t="shared" si="0"/>
        <v>714.34952380952359</v>
      </c>
      <c r="DA14" s="95" t="s">
        <v>197</v>
      </c>
    </row>
    <row r="15" spans="1:105" ht="12" customHeight="1" x14ac:dyDescent="0.25">
      <c r="A15" s="45" t="s">
        <v>65</v>
      </c>
      <c r="B15" s="46">
        <f>B13/B14</f>
        <v>1.2085680345889105</v>
      </c>
      <c r="C15" s="46">
        <f t="shared" ref="C15:W15" si="1">C13/C14</f>
        <v>0.89111839342352117</v>
      </c>
      <c r="D15" s="46">
        <f t="shared" si="1"/>
        <v>1.0006586078310342</v>
      </c>
      <c r="E15" s="46">
        <f t="shared" si="1"/>
        <v>1.1109967509569147</v>
      </c>
      <c r="F15" s="46">
        <f t="shared" si="1"/>
        <v>1.1819564118938712</v>
      </c>
      <c r="G15" s="46">
        <f t="shared" si="1"/>
        <v>1.0743480249097752</v>
      </c>
      <c r="H15" s="46">
        <f t="shared" si="1"/>
        <v>1.1939673389177237</v>
      </c>
      <c r="I15" s="46">
        <f t="shared" si="1"/>
        <v>1.1256674403753268</v>
      </c>
      <c r="J15" s="46">
        <f t="shared" si="1"/>
        <v>1.0284321267300125</v>
      </c>
      <c r="K15" s="46">
        <f t="shared" si="1"/>
        <v>0.99482112931244837</v>
      </c>
      <c r="L15" s="46">
        <f t="shared" si="1"/>
        <v>0.69820162732129287</v>
      </c>
      <c r="M15" s="46">
        <f t="shared" si="1"/>
        <v>1.1120326584158484</v>
      </c>
      <c r="N15" s="46">
        <f t="shared" si="1"/>
        <v>1.1437538246583308</v>
      </c>
      <c r="O15" s="46">
        <f t="shared" si="1"/>
        <v>0.98986557200890091</v>
      </c>
      <c r="P15" s="46">
        <f t="shared" si="1"/>
        <v>0.73234457721776869</v>
      </c>
      <c r="Q15" s="46">
        <f t="shared" si="1"/>
        <v>1.0492342684053562</v>
      </c>
      <c r="R15" s="46">
        <f t="shared" si="1"/>
        <v>0.94884923613490546</v>
      </c>
      <c r="S15" s="46">
        <f t="shared" si="1"/>
        <v>1.0090718562475089</v>
      </c>
      <c r="T15" s="46">
        <f t="shared" si="1"/>
        <v>0.65899113012570898</v>
      </c>
      <c r="U15" s="46">
        <f t="shared" si="1"/>
        <v>0.97019732903860612</v>
      </c>
      <c r="V15" s="46">
        <f t="shared" si="1"/>
        <v>0.87692366148624079</v>
      </c>
      <c r="W15" s="46">
        <f t="shared" si="1"/>
        <v>0.85369973615690364</v>
      </c>
      <c r="X15" s="46">
        <f t="shared" ref="X15:Y15" si="2">X13/X14</f>
        <v>0.97425696637767056</v>
      </c>
      <c r="Y15" s="46">
        <f t="shared" si="2"/>
        <v>0.74161174935039154</v>
      </c>
      <c r="DA15" s="96" t="s">
        <v>198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180</v>
      </c>
      <c r="B19" s="34">
        <f t="shared" ref="B19:C19" si="3">B4*1000000/B3</f>
        <v>23516.269443437872</v>
      </c>
      <c r="C19" s="34">
        <f t="shared" si="3"/>
        <v>24198.507535216457</v>
      </c>
      <c r="D19" s="34">
        <f t="shared" ref="D19:W19" si="4">D4*1000000/D3</f>
        <v>24815.413805603312</v>
      </c>
      <c r="E19" s="34">
        <f t="shared" si="4"/>
        <v>25174.243722570423</v>
      </c>
      <c r="F19" s="34">
        <f t="shared" si="4"/>
        <v>26104.2763079588</v>
      </c>
      <c r="G19" s="34">
        <f t="shared" si="4"/>
        <v>26991.351871615396</v>
      </c>
      <c r="H19" s="34">
        <f t="shared" si="4"/>
        <v>27847.808389060239</v>
      </c>
      <c r="I19" s="34">
        <f t="shared" si="4"/>
        <v>28730.505530347411</v>
      </c>
      <c r="J19" s="34">
        <f t="shared" si="4"/>
        <v>29071.978489886311</v>
      </c>
      <c r="K19" s="34">
        <f t="shared" si="4"/>
        <v>27749.991014263349</v>
      </c>
      <c r="L19" s="34">
        <f t="shared" si="4"/>
        <v>27613.614035354189</v>
      </c>
      <c r="M19" s="34">
        <f t="shared" si="4"/>
        <v>27048.357886484268</v>
      </c>
      <c r="N19" s="34">
        <f t="shared" si="4"/>
        <v>25441.535055243545</v>
      </c>
      <c r="O19" s="34">
        <f t="shared" si="4"/>
        <v>23742.093493890265</v>
      </c>
      <c r="P19" s="34">
        <f t="shared" si="4"/>
        <v>23397.064195578405</v>
      </c>
      <c r="Q19" s="34">
        <f t="shared" si="4"/>
        <v>24174.181704973944</v>
      </c>
      <c r="R19" s="34">
        <f t="shared" si="4"/>
        <v>25676.236607234925</v>
      </c>
      <c r="S19" s="34">
        <f t="shared" si="4"/>
        <v>26961.828121941864</v>
      </c>
      <c r="T19" s="34">
        <f t="shared" si="4"/>
        <v>28368.452707784953</v>
      </c>
      <c r="U19" s="34">
        <f t="shared" si="4"/>
        <v>29644.148274220533</v>
      </c>
      <c r="V19" s="34">
        <f t="shared" si="4"/>
        <v>28300.285341840725</v>
      </c>
      <c r="W19" s="34">
        <f t="shared" si="4"/>
        <v>31108.073154578866</v>
      </c>
      <c r="X19" s="34">
        <f t="shared" ref="X19:Y19" si="5">X4*1000000/X3</f>
        <v>32801.00161422888</v>
      </c>
      <c r="Y19" s="34">
        <f t="shared" si="5"/>
        <v>33021.313181973353</v>
      </c>
      <c r="DA19" s="88"/>
    </row>
    <row r="20" spans="1:105" ht="12" customHeight="1" x14ac:dyDescent="0.25">
      <c r="A20" s="50" t="s">
        <v>181</v>
      </c>
      <c r="B20" s="36">
        <f t="shared" ref="B20:C20" si="6">B5*1000000/B6</f>
        <v>47741.42008769267</v>
      </c>
      <c r="C20" s="36">
        <f t="shared" si="6"/>
        <v>48008.207495195988</v>
      </c>
      <c r="D20" s="36">
        <f t="shared" ref="D20:W20" si="7">D5*1000000/D6</f>
        <v>48564.703234389781</v>
      </c>
      <c r="E20" s="36">
        <f t="shared" si="7"/>
        <v>48022.845019757937</v>
      </c>
      <c r="F20" s="36">
        <f t="shared" si="7"/>
        <v>48594.69584532403</v>
      </c>
      <c r="G20" s="36">
        <f t="shared" si="7"/>
        <v>49367.508666812646</v>
      </c>
      <c r="H20" s="36">
        <f t="shared" si="7"/>
        <v>50752.473436177301</v>
      </c>
      <c r="I20" s="36">
        <f t="shared" si="7"/>
        <v>51077.693281830972</v>
      </c>
      <c r="J20" s="36">
        <f t="shared" si="7"/>
        <v>51442.695460182782</v>
      </c>
      <c r="K20" s="36">
        <f t="shared" si="7"/>
        <v>51877.673618298169</v>
      </c>
      <c r="L20" s="36">
        <f t="shared" si="7"/>
        <v>53181.715771543786</v>
      </c>
      <c r="M20" s="36">
        <f t="shared" si="7"/>
        <v>53839.43799963023</v>
      </c>
      <c r="N20" s="36">
        <f t="shared" si="7"/>
        <v>53699.642608807728</v>
      </c>
      <c r="O20" s="36">
        <f t="shared" si="7"/>
        <v>52746.067336652137</v>
      </c>
      <c r="P20" s="36">
        <f t="shared" si="7"/>
        <v>52741.538856160572</v>
      </c>
      <c r="Q20" s="36">
        <f t="shared" si="7"/>
        <v>53363.223409815524</v>
      </c>
      <c r="R20" s="36">
        <f t="shared" si="7"/>
        <v>53752.694504031744</v>
      </c>
      <c r="S20" s="36">
        <f t="shared" si="7"/>
        <v>54059.329319131997</v>
      </c>
      <c r="T20" s="36">
        <f t="shared" si="7"/>
        <v>53723.273868029712</v>
      </c>
      <c r="U20" s="36">
        <f t="shared" si="7"/>
        <v>54299.575019639124</v>
      </c>
      <c r="V20" s="36">
        <f t="shared" si="7"/>
        <v>53269.445919565718</v>
      </c>
      <c r="W20" s="36">
        <f t="shared" si="7"/>
        <v>58768.006915141275</v>
      </c>
      <c r="X20" s="36">
        <f t="shared" ref="X20:Y20" si="8">X5*1000000/X6</f>
        <v>61570.902470706758</v>
      </c>
      <c r="Y20" s="36">
        <f t="shared" si="8"/>
        <v>62227.889383577494</v>
      </c>
      <c r="DA20" s="89"/>
    </row>
    <row r="21" spans="1:105" ht="12" customHeight="1" x14ac:dyDescent="0.25">
      <c r="A21" s="50" t="s">
        <v>182</v>
      </c>
      <c r="B21" s="36">
        <f t="shared" ref="B21:C21" si="9">B5*1000000/B3</f>
        <v>16006.754793289083</v>
      </c>
      <c r="C21" s="36">
        <f t="shared" si="9"/>
        <v>16469.615831433202</v>
      </c>
      <c r="D21" s="36">
        <f t="shared" ref="D21:W21" si="10">D5*1000000/D3</f>
        <v>16752.691875552995</v>
      </c>
      <c r="E21" s="36">
        <f t="shared" si="10"/>
        <v>17001.642772505231</v>
      </c>
      <c r="F21" s="36">
        <f t="shared" si="10"/>
        <v>17644.569480518767</v>
      </c>
      <c r="G21" s="36">
        <f t="shared" si="10"/>
        <v>18344.44786198228</v>
      </c>
      <c r="H21" s="36">
        <f t="shared" si="10"/>
        <v>19072.09154681546</v>
      </c>
      <c r="I21" s="36">
        <f t="shared" si="10"/>
        <v>19588.916326122955</v>
      </c>
      <c r="J21" s="36">
        <f t="shared" si="10"/>
        <v>19855.254469009011</v>
      </c>
      <c r="K21" s="36">
        <f t="shared" si="10"/>
        <v>19634.527394816476</v>
      </c>
      <c r="L21" s="36">
        <f t="shared" si="10"/>
        <v>19943.305723933419</v>
      </c>
      <c r="M21" s="36">
        <f t="shared" si="10"/>
        <v>20022.669204662478</v>
      </c>
      <c r="N21" s="36">
        <f t="shared" si="10"/>
        <v>19144.737325322752</v>
      </c>
      <c r="O21" s="36">
        <f t="shared" si="10"/>
        <v>18124.977070648521</v>
      </c>
      <c r="P21" s="36">
        <f t="shared" si="10"/>
        <v>18061.465182593685</v>
      </c>
      <c r="Q21" s="36">
        <f t="shared" si="10"/>
        <v>18584.386032185423</v>
      </c>
      <c r="R21" s="36">
        <f t="shared" si="10"/>
        <v>19509.967136809351</v>
      </c>
      <c r="S21" s="36">
        <f t="shared" si="10"/>
        <v>20455.314705501572</v>
      </c>
      <c r="T21" s="36">
        <f t="shared" si="10"/>
        <v>21360.877682881652</v>
      </c>
      <c r="U21" s="36">
        <f t="shared" si="10"/>
        <v>22162.817978593073</v>
      </c>
      <c r="V21" s="36">
        <f t="shared" si="10"/>
        <v>21183.13281454314</v>
      </c>
      <c r="W21" s="36">
        <f t="shared" si="10"/>
        <v>23772.587928003639</v>
      </c>
      <c r="X21" s="36">
        <f t="shared" ref="X21:Y21" si="11">X5*1000000/X3</f>
        <v>25563.045860822986</v>
      </c>
      <c r="Y21" s="36">
        <f t="shared" si="11"/>
        <v>25671.158222404025</v>
      </c>
      <c r="DA21" s="89"/>
    </row>
    <row r="22" spans="1:105" ht="12" customHeight="1" x14ac:dyDescent="0.25">
      <c r="A22" s="51" t="s">
        <v>148</v>
      </c>
      <c r="B22" s="52">
        <v>0.87335829457168834</v>
      </c>
      <c r="C22" s="52">
        <v>0.87620277911614319</v>
      </c>
      <c r="D22" s="52">
        <v>0.87363493409969339</v>
      </c>
      <c r="E22" s="52">
        <v>0.87692855193982355</v>
      </c>
      <c r="F22" s="52">
        <v>0.88945495377868866</v>
      </c>
      <c r="G22" s="52">
        <v>0.90520426934459619</v>
      </c>
      <c r="H22" s="52">
        <v>0.91314139916082582</v>
      </c>
      <c r="I22" s="52">
        <v>0.91000384994393013</v>
      </c>
      <c r="J22" s="52">
        <v>0.91011943587129374</v>
      </c>
      <c r="K22" s="52">
        <v>0.92082908905022431</v>
      </c>
      <c r="L22" s="52">
        <v>0.92144880520707784</v>
      </c>
      <c r="M22" s="52">
        <v>0.90689293149229933</v>
      </c>
      <c r="N22" s="52">
        <v>0.86988584403243496</v>
      </c>
      <c r="O22" s="52">
        <v>0.81881150397611124</v>
      </c>
      <c r="P22" s="52">
        <v>0.80267405818306692</v>
      </c>
      <c r="Q22" s="52">
        <v>0.81241144340828741</v>
      </c>
      <c r="R22" s="52">
        <v>0.83875669423933696</v>
      </c>
      <c r="S22" s="52">
        <v>0.85638032213496629</v>
      </c>
      <c r="T22" s="52">
        <v>0.87541286869398605</v>
      </c>
      <c r="U22" s="52">
        <v>0.89138300839570517</v>
      </c>
      <c r="V22" s="52">
        <v>0.90017978946479238</v>
      </c>
      <c r="W22" s="52">
        <v>0.95190151837013437</v>
      </c>
      <c r="X22" s="52">
        <v>0.99269743596012439</v>
      </c>
      <c r="Y22" s="52">
        <v>0.99457613025882552</v>
      </c>
      <c r="DA22" s="98"/>
    </row>
    <row r="23" spans="1:105" ht="12" customHeight="1" x14ac:dyDescent="0.25">
      <c r="A23" s="49" t="s">
        <v>63</v>
      </c>
      <c r="B23" s="53">
        <f t="shared" ref="B23:C23" si="12">B6/B8</f>
        <v>14.224280888268886</v>
      </c>
      <c r="C23" s="53">
        <f t="shared" si="12"/>
        <v>14.413649577149467</v>
      </c>
      <c r="D23" s="53">
        <f t="shared" ref="D23:W23" si="13">D6/D8</f>
        <v>14.453253708845711</v>
      </c>
      <c r="E23" s="53">
        <f t="shared" si="13"/>
        <v>14.757961346890573</v>
      </c>
      <c r="F23" s="53">
        <f t="shared" si="13"/>
        <v>14.997755172810239</v>
      </c>
      <c r="G23" s="53">
        <f t="shared" si="13"/>
        <v>15.221053196636914</v>
      </c>
      <c r="H23" s="53">
        <f t="shared" si="13"/>
        <v>15.299840608696019</v>
      </c>
      <c r="I23" s="53">
        <f t="shared" si="13"/>
        <v>15.50844960110544</v>
      </c>
      <c r="J23" s="53">
        <f t="shared" si="13"/>
        <v>15.601092793441591</v>
      </c>
      <c r="K23" s="53">
        <f t="shared" si="13"/>
        <v>15.20997414567487</v>
      </c>
      <c r="L23" s="53">
        <f t="shared" si="13"/>
        <v>14.976919511949651</v>
      </c>
      <c r="M23" s="53">
        <f t="shared" si="13"/>
        <v>14.88281357361018</v>
      </c>
      <c r="N23" s="53">
        <f t="shared" si="13"/>
        <v>14.311569341239498</v>
      </c>
      <c r="O23" s="53">
        <f t="shared" si="13"/>
        <v>13.802299067385317</v>
      </c>
      <c r="P23" s="53">
        <f t="shared" si="13"/>
        <v>13.850942618225382</v>
      </c>
      <c r="Q23" s="53">
        <f t="shared" si="13"/>
        <v>14.192950901549656</v>
      </c>
      <c r="R23" s="53">
        <f t="shared" si="13"/>
        <v>14.718997218218664</v>
      </c>
      <c r="S23" s="53">
        <f t="shared" si="13"/>
        <v>15.240119189729288</v>
      </c>
      <c r="T23" s="53">
        <f t="shared" si="13"/>
        <v>15.955645429908456</v>
      </c>
      <c r="U23" s="53">
        <f t="shared" si="13"/>
        <v>16.378477882326301</v>
      </c>
      <c r="V23" s="53">
        <f t="shared" si="13"/>
        <v>15.995892835333342</v>
      </c>
      <c r="W23" s="53">
        <f t="shared" si="13"/>
        <v>16.313498218698687</v>
      </c>
      <c r="X23" s="53">
        <f t="shared" ref="X23:Y23" si="14">X6/X8</f>
        <v>16.851058195570644</v>
      </c>
      <c r="Y23" s="53">
        <f t="shared" si="14"/>
        <v>16.926544530140546</v>
      </c>
      <c r="DA23" s="99"/>
    </row>
    <row r="24" spans="1:105" ht="12" customHeight="1" x14ac:dyDescent="0.25">
      <c r="A24" s="50" t="s">
        <v>62</v>
      </c>
      <c r="B24" s="54">
        <f t="shared" ref="B24:C24" si="15">B9*1000/B3</f>
        <v>21.213881990070238</v>
      </c>
      <c r="C24" s="54">
        <f t="shared" si="15"/>
        <v>21.420841526343217</v>
      </c>
      <c r="D24" s="54">
        <f t="shared" ref="D24:W24" si="16">D9*1000/D3</f>
        <v>21.480319893501768</v>
      </c>
      <c r="E24" s="54">
        <f t="shared" si="16"/>
        <v>21.590323134796076</v>
      </c>
      <c r="F24" s="54">
        <f t="shared" si="16"/>
        <v>21.78905763610442</v>
      </c>
      <c r="G24" s="54">
        <f t="shared" si="16"/>
        <v>21.971577504123655</v>
      </c>
      <c r="H24" s="54">
        <f t="shared" si="16"/>
        <v>22.105315263238516</v>
      </c>
      <c r="I24" s="54">
        <f t="shared" si="16"/>
        <v>22.256315118271537</v>
      </c>
      <c r="J24" s="54">
        <f t="shared" si="16"/>
        <v>22.265847513746738</v>
      </c>
      <c r="K24" s="54">
        <f t="shared" si="16"/>
        <v>22.395150910986878</v>
      </c>
      <c r="L24" s="54">
        <f t="shared" si="16"/>
        <v>22.534857486142457</v>
      </c>
      <c r="M24" s="54">
        <f t="shared" si="16"/>
        <v>22.489454546322886</v>
      </c>
      <c r="N24" s="54">
        <f t="shared" si="16"/>
        <v>22.419879135656288</v>
      </c>
      <c r="O24" s="54">
        <f t="shared" si="16"/>
        <v>22.406728761843176</v>
      </c>
      <c r="P24" s="54">
        <f t="shared" si="16"/>
        <v>22.251708419692445</v>
      </c>
      <c r="Q24" s="54">
        <f t="shared" si="16"/>
        <v>22.083910161611556</v>
      </c>
      <c r="R24" s="54">
        <f t="shared" si="16"/>
        <v>22.193233613903526</v>
      </c>
      <c r="S24" s="54">
        <f t="shared" si="16"/>
        <v>22.345478452822093</v>
      </c>
      <c r="T24" s="54">
        <f t="shared" si="16"/>
        <v>22.427700886307267</v>
      </c>
      <c r="U24" s="54">
        <f t="shared" si="16"/>
        <v>22.428360080901911</v>
      </c>
      <c r="V24" s="54">
        <f t="shared" si="16"/>
        <v>22.374123615265024</v>
      </c>
      <c r="W24" s="54">
        <f t="shared" si="16"/>
        <v>22.316748023732757</v>
      </c>
      <c r="X24" s="54">
        <f t="shared" ref="X24:Y24" si="17">X9*1000/X3</f>
        <v>22.174427237550059</v>
      </c>
      <c r="Y24" s="54">
        <f t="shared" si="17"/>
        <v>21.934846207252235</v>
      </c>
      <c r="DA24" s="100"/>
    </row>
    <row r="25" spans="1:105" ht="12" customHeight="1" x14ac:dyDescent="0.25">
      <c r="A25" s="50" t="s">
        <v>61</v>
      </c>
      <c r="B25" s="54">
        <f t="shared" ref="B25:C25" si="18">B9*1000/B6</f>
        <v>63.272091367532838</v>
      </c>
      <c r="C25" s="54">
        <f t="shared" si="18"/>
        <v>62.440813146089369</v>
      </c>
      <c r="D25" s="54">
        <f t="shared" ref="D25:W25" si="19">D9*1000/D6</f>
        <v>62.269715742219347</v>
      </c>
      <c r="E25" s="54">
        <f t="shared" si="19"/>
        <v>60.984032878607955</v>
      </c>
      <c r="F25" s="54">
        <f t="shared" si="19"/>
        <v>60.008980652759952</v>
      </c>
      <c r="G25" s="54">
        <f t="shared" si="19"/>
        <v>59.128628510335588</v>
      </c>
      <c r="H25" s="54">
        <f t="shared" si="19"/>
        <v>58.824142225930395</v>
      </c>
      <c r="I25" s="54">
        <f t="shared" si="19"/>
        <v>58.032880342587447</v>
      </c>
      <c r="J25" s="54">
        <f t="shared" si="19"/>
        <v>57.688266579527244</v>
      </c>
      <c r="K25" s="54">
        <f t="shared" si="19"/>
        <v>59.171698214616974</v>
      </c>
      <c r="L25" s="54">
        <f t="shared" si="19"/>
        <v>60.092464226833556</v>
      </c>
      <c r="M25" s="54">
        <f t="shared" si="19"/>
        <v>60.472436582546237</v>
      </c>
      <c r="N25" s="54">
        <f t="shared" si="19"/>
        <v>62.886185193304087</v>
      </c>
      <c r="O25" s="54">
        <f t="shared" si="19"/>
        <v>65.206527956396059</v>
      </c>
      <c r="P25" s="54">
        <f t="shared" si="19"/>
        <v>64.977527147918423</v>
      </c>
      <c r="Q25" s="54">
        <f t="shared" si="19"/>
        <v>63.411760263451171</v>
      </c>
      <c r="R25" s="54">
        <f t="shared" si="19"/>
        <v>61.145469807278126</v>
      </c>
      <c r="S25" s="54">
        <f t="shared" si="19"/>
        <v>59.054656252723611</v>
      </c>
      <c r="T25" s="54">
        <f t="shared" si="19"/>
        <v>56.406367511336946</v>
      </c>
      <c r="U25" s="54">
        <f t="shared" si="19"/>
        <v>54.950161209496315</v>
      </c>
      <c r="V25" s="54">
        <f t="shared" si="19"/>
        <v>56.264442958256708</v>
      </c>
      <c r="W25" s="54">
        <f t="shared" si="19"/>
        <v>55.169037807501731</v>
      </c>
      <c r="X25" s="54">
        <f t="shared" ref="X25:Y25" si="20">X9*1000/X6</f>
        <v>53.409108766627362</v>
      </c>
      <c r="Y25" s="54">
        <f t="shared" si="20"/>
        <v>53.170923244103335</v>
      </c>
      <c r="DA25" s="100"/>
    </row>
    <row r="26" spans="1:105" ht="12" customHeight="1" x14ac:dyDescent="0.25">
      <c r="A26" s="50" t="s">
        <v>60</v>
      </c>
      <c r="B26" s="55">
        <f t="shared" ref="B26:C26" si="21">B9*1000/B8</f>
        <v>900.00000000000011</v>
      </c>
      <c r="C26" s="55">
        <f t="shared" si="21"/>
        <v>899.99999999999989</v>
      </c>
      <c r="D26" s="55">
        <f t="shared" ref="D26:W26" si="22">D9*1000/D8</f>
        <v>899.99999999999989</v>
      </c>
      <c r="E26" s="55">
        <f t="shared" si="22"/>
        <v>900.00000000000011</v>
      </c>
      <c r="F26" s="55">
        <f t="shared" si="22"/>
        <v>900.00000000000011</v>
      </c>
      <c r="G26" s="55">
        <f t="shared" si="22"/>
        <v>900.00000000000011</v>
      </c>
      <c r="H26" s="55">
        <f t="shared" si="22"/>
        <v>900</v>
      </c>
      <c r="I26" s="55">
        <f t="shared" si="22"/>
        <v>900</v>
      </c>
      <c r="J26" s="55">
        <f t="shared" si="22"/>
        <v>900</v>
      </c>
      <c r="K26" s="55">
        <f t="shared" si="22"/>
        <v>900.00000000000011</v>
      </c>
      <c r="L26" s="55">
        <f t="shared" si="22"/>
        <v>899.99999999999989</v>
      </c>
      <c r="M26" s="55">
        <f t="shared" si="22"/>
        <v>900</v>
      </c>
      <c r="N26" s="55">
        <f t="shared" si="22"/>
        <v>899.99999999999989</v>
      </c>
      <c r="O26" s="55">
        <f t="shared" si="22"/>
        <v>900</v>
      </c>
      <c r="P26" s="55">
        <f t="shared" si="22"/>
        <v>900</v>
      </c>
      <c r="Q26" s="55">
        <f t="shared" si="22"/>
        <v>900</v>
      </c>
      <c r="R26" s="55">
        <f t="shared" si="22"/>
        <v>900.00000000000011</v>
      </c>
      <c r="S26" s="55">
        <f t="shared" si="22"/>
        <v>899.99999999999977</v>
      </c>
      <c r="T26" s="55">
        <f t="shared" si="22"/>
        <v>900.00000000000011</v>
      </c>
      <c r="U26" s="55">
        <f t="shared" si="22"/>
        <v>900.00000000000023</v>
      </c>
      <c r="V26" s="55">
        <f t="shared" si="22"/>
        <v>900</v>
      </c>
      <c r="W26" s="55">
        <f t="shared" si="22"/>
        <v>900</v>
      </c>
      <c r="X26" s="55">
        <f t="shared" ref="X26:Y26" si="23">X9*1000/X8</f>
        <v>900.00000000000011</v>
      </c>
      <c r="Y26" s="55">
        <f t="shared" si="23"/>
        <v>900</v>
      </c>
      <c r="DA26" s="101"/>
    </row>
    <row r="27" spans="1:105" ht="12" customHeight="1" x14ac:dyDescent="0.25">
      <c r="A27" s="51" t="s">
        <v>59</v>
      </c>
      <c r="B27" s="56" t="str">
        <f t="shared" ref="B27:C27" si="24">IF(SUM(B11)=0,"",B11*1000/B10)</f>
        <v/>
      </c>
      <c r="C27" s="57">
        <f t="shared" si="24"/>
        <v>899.99999999999989</v>
      </c>
      <c r="D27" s="57">
        <f t="shared" ref="D27:W27" si="25">IF(SUM(D11)=0,"",D11*1000/D10)</f>
        <v>899.99999999999989</v>
      </c>
      <c r="E27" s="57">
        <f t="shared" si="25"/>
        <v>900.00000000000023</v>
      </c>
      <c r="F27" s="57">
        <f t="shared" si="25"/>
        <v>900.00000000000011</v>
      </c>
      <c r="G27" s="57">
        <f t="shared" si="25"/>
        <v>900</v>
      </c>
      <c r="H27" s="57">
        <f t="shared" si="25"/>
        <v>900.00000000000011</v>
      </c>
      <c r="I27" s="57">
        <f t="shared" si="25"/>
        <v>900</v>
      </c>
      <c r="J27" s="57">
        <f t="shared" si="25"/>
        <v>899.99999999999977</v>
      </c>
      <c r="K27" s="57">
        <f t="shared" si="25"/>
        <v>900</v>
      </c>
      <c r="L27" s="57">
        <f t="shared" si="25"/>
        <v>900</v>
      </c>
      <c r="M27" s="57">
        <f t="shared" si="25"/>
        <v>900</v>
      </c>
      <c r="N27" s="57">
        <f t="shared" si="25"/>
        <v>900.00000000000011</v>
      </c>
      <c r="O27" s="57">
        <f t="shared" si="25"/>
        <v>900</v>
      </c>
      <c r="P27" s="57">
        <f t="shared" si="25"/>
        <v>899.99999999999989</v>
      </c>
      <c r="Q27" s="57">
        <f t="shared" si="25"/>
        <v>900.00000000000011</v>
      </c>
      <c r="R27" s="57">
        <f t="shared" si="25"/>
        <v>900</v>
      </c>
      <c r="S27" s="57">
        <f t="shared" si="25"/>
        <v>899.99999999999977</v>
      </c>
      <c r="T27" s="57">
        <f t="shared" si="25"/>
        <v>900.00000000000011</v>
      </c>
      <c r="U27" s="57">
        <f t="shared" si="25"/>
        <v>900</v>
      </c>
      <c r="V27" s="57">
        <f t="shared" si="25"/>
        <v>899.99999999999989</v>
      </c>
      <c r="W27" s="57">
        <f t="shared" si="25"/>
        <v>900.00000000000011</v>
      </c>
      <c r="X27" s="57">
        <f t="shared" ref="X27:Y27" si="26">IF(SUM(X11)=0,"",X11*1000/X10)</f>
        <v>899.99999999999989</v>
      </c>
      <c r="Y27" s="57">
        <f t="shared" si="26"/>
        <v>899.99999999999989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153.45398041081992</v>
      </c>
      <c r="C31" s="80">
        <f t="shared" ref="C31:W31" si="27">SUM(C32:C33,C36:C37,C44:C45)</f>
        <v>164.23063096836103</v>
      </c>
      <c r="D31" s="80">
        <f t="shared" si="27"/>
        <v>175.05112702354037</v>
      </c>
      <c r="E31" s="80">
        <f t="shared" si="27"/>
        <v>181.89014249882763</v>
      </c>
      <c r="F31" s="80">
        <f t="shared" si="27"/>
        <v>185.12876041811239</v>
      </c>
      <c r="G31" s="80">
        <f t="shared" si="27"/>
        <v>192.13269141094395</v>
      </c>
      <c r="H31" s="80">
        <f t="shared" si="27"/>
        <v>220.09604471195186</v>
      </c>
      <c r="I31" s="80">
        <f t="shared" si="27"/>
        <v>229.76562586582003</v>
      </c>
      <c r="J31" s="80">
        <f t="shared" si="27"/>
        <v>252.23705959047874</v>
      </c>
      <c r="K31" s="80">
        <f t="shared" si="27"/>
        <v>255.21515679809755</v>
      </c>
      <c r="L31" s="80">
        <f t="shared" si="27"/>
        <v>268.79099290806954</v>
      </c>
      <c r="M31" s="80">
        <f t="shared" si="27"/>
        <v>262.65715177813712</v>
      </c>
      <c r="N31" s="80">
        <f t="shared" si="27"/>
        <v>241.00771009700915</v>
      </c>
      <c r="O31" s="80">
        <f t="shared" si="27"/>
        <v>221.13437288740312</v>
      </c>
      <c r="P31" s="80">
        <f t="shared" si="27"/>
        <v>222.25928924497549</v>
      </c>
      <c r="Q31" s="80">
        <f t="shared" si="27"/>
        <v>225.07572514055391</v>
      </c>
      <c r="R31" s="80">
        <f t="shared" si="27"/>
        <v>239.2677628526979</v>
      </c>
      <c r="S31" s="80">
        <f t="shared" si="27"/>
        <v>249.91228310044622</v>
      </c>
      <c r="T31" s="80">
        <f t="shared" si="27"/>
        <v>255.02263802992837</v>
      </c>
      <c r="U31" s="80">
        <f t="shared" si="27"/>
        <v>263.90621447203642</v>
      </c>
      <c r="V31" s="80">
        <f t="shared" si="27"/>
        <v>219.16567156735195</v>
      </c>
      <c r="W31" s="80">
        <f t="shared" si="27"/>
        <v>239.58737082607317</v>
      </c>
      <c r="X31" s="80">
        <f t="shared" ref="X31:Y31" si="28">SUM(X32:X33,X36:X37,X44:X45)</f>
        <v>265.10371842814476</v>
      </c>
      <c r="Y31" s="80">
        <f t="shared" si="28"/>
        <v>268.96439822650564</v>
      </c>
      <c r="DA31" s="103" t="s">
        <v>199</v>
      </c>
    </row>
    <row r="32" spans="1:105" ht="12" customHeight="1" x14ac:dyDescent="0.25">
      <c r="A32" s="58" t="s">
        <v>29</v>
      </c>
      <c r="B32" s="59">
        <v>0</v>
      </c>
      <c r="C32" s="59">
        <v>0</v>
      </c>
      <c r="D32" s="59">
        <v>0</v>
      </c>
      <c r="E32" s="59">
        <v>0</v>
      </c>
      <c r="F32" s="59">
        <v>0</v>
      </c>
      <c r="G32" s="59">
        <v>0</v>
      </c>
      <c r="H32" s="59">
        <v>0</v>
      </c>
      <c r="I32" s="59">
        <v>0</v>
      </c>
      <c r="J32" s="59">
        <v>0</v>
      </c>
      <c r="K32" s="59">
        <v>0</v>
      </c>
      <c r="L32" s="59">
        <v>0</v>
      </c>
      <c r="M32" s="59">
        <v>0</v>
      </c>
      <c r="N32" s="59">
        <v>0</v>
      </c>
      <c r="O32" s="59">
        <v>0</v>
      </c>
      <c r="P32" s="59">
        <v>0</v>
      </c>
      <c r="Q32" s="59">
        <v>0</v>
      </c>
      <c r="R32" s="59">
        <v>0</v>
      </c>
      <c r="S32" s="59">
        <v>0</v>
      </c>
      <c r="T32" s="59">
        <v>0</v>
      </c>
      <c r="U32" s="59">
        <v>0</v>
      </c>
      <c r="V32" s="59">
        <v>0</v>
      </c>
      <c r="W32" s="59">
        <v>0</v>
      </c>
      <c r="X32" s="59">
        <v>0</v>
      </c>
      <c r="Y32" s="59">
        <v>0</v>
      </c>
      <c r="DA32" s="104" t="s">
        <v>200</v>
      </c>
    </row>
    <row r="33" spans="1:105" ht="12" customHeight="1" x14ac:dyDescent="0.25">
      <c r="A33" s="60" t="s">
        <v>28</v>
      </c>
      <c r="B33" s="55">
        <f>SUM(B34:B35)</f>
        <v>26.079603643211094</v>
      </c>
      <c r="C33" s="55">
        <f t="shared" ref="C33:W33" si="29">SUM(C34:C35)</f>
        <v>26.352689754975749</v>
      </c>
      <c r="D33" s="55">
        <f t="shared" si="29"/>
        <v>25.26034530791711</v>
      </c>
      <c r="E33" s="55">
        <f t="shared" si="29"/>
        <v>25.943054871599518</v>
      </c>
      <c r="F33" s="55">
        <f t="shared" si="29"/>
        <v>23.348753957022957</v>
      </c>
      <c r="G33" s="55">
        <f t="shared" si="29"/>
        <v>22.402166905354949</v>
      </c>
      <c r="H33" s="55">
        <f t="shared" si="29"/>
        <v>40.238435081685303</v>
      </c>
      <c r="I33" s="55">
        <f t="shared" si="29"/>
        <v>41.266809974204648</v>
      </c>
      <c r="J33" s="55">
        <f t="shared" si="29"/>
        <v>51.636629406706788</v>
      </c>
      <c r="K33" s="55">
        <f t="shared" si="29"/>
        <v>42.304557179707658</v>
      </c>
      <c r="L33" s="55">
        <f t="shared" si="29"/>
        <v>46.427171109200344</v>
      </c>
      <c r="M33" s="55">
        <f t="shared" si="29"/>
        <v>46.536543422184003</v>
      </c>
      <c r="N33" s="55">
        <f t="shared" si="29"/>
        <v>42.261736887360271</v>
      </c>
      <c r="O33" s="55">
        <f t="shared" si="29"/>
        <v>43.114617368873596</v>
      </c>
      <c r="P33" s="55">
        <f t="shared" si="29"/>
        <v>39.941358555460013</v>
      </c>
      <c r="Q33" s="55">
        <f t="shared" si="29"/>
        <v>37.026569217540846</v>
      </c>
      <c r="R33" s="55">
        <f t="shared" si="29"/>
        <v>35.920808254514185</v>
      </c>
      <c r="S33" s="55">
        <f t="shared" si="29"/>
        <v>41.521324161650902</v>
      </c>
      <c r="T33" s="55">
        <f t="shared" si="29"/>
        <v>41.366466036113501</v>
      </c>
      <c r="U33" s="55">
        <f t="shared" si="29"/>
        <v>50.110748065348233</v>
      </c>
      <c r="V33" s="55">
        <f t="shared" si="29"/>
        <v>39.24239036973345</v>
      </c>
      <c r="W33" s="55">
        <f t="shared" si="29"/>
        <v>40.634479793637141</v>
      </c>
      <c r="X33" s="55">
        <f t="shared" ref="X33:Y33" si="30">SUM(X34:X35)</f>
        <v>45.760791057609623</v>
      </c>
      <c r="Y33" s="55">
        <f t="shared" si="30"/>
        <v>45.35984522785899</v>
      </c>
      <c r="DA33" s="101"/>
    </row>
    <row r="34" spans="1:105" ht="12" customHeight="1" x14ac:dyDescent="0.25">
      <c r="A34" s="61" t="s">
        <v>52</v>
      </c>
      <c r="B34" s="55">
        <v>0</v>
      </c>
      <c r="C34" s="55">
        <v>0</v>
      </c>
      <c r="D34" s="55">
        <v>0</v>
      </c>
      <c r="E34" s="55">
        <v>0</v>
      </c>
      <c r="F34" s="55">
        <v>0</v>
      </c>
      <c r="G34" s="55">
        <v>0</v>
      </c>
      <c r="H34" s="55">
        <v>14.68667239896819</v>
      </c>
      <c r="I34" s="55">
        <v>14.68667239896819</v>
      </c>
      <c r="J34" s="55">
        <v>15.816337059329321</v>
      </c>
      <c r="K34" s="55">
        <v>14.68667239896819</v>
      </c>
      <c r="L34" s="55">
        <v>14.68667239896819</v>
      </c>
      <c r="M34" s="55">
        <v>15.816337059329321</v>
      </c>
      <c r="N34" s="55">
        <v>15.816337059329321</v>
      </c>
      <c r="O34" s="55">
        <v>14.686672398968181</v>
      </c>
      <c r="P34" s="55">
        <v>12.427171109200341</v>
      </c>
      <c r="Q34" s="55">
        <v>13.556921754084261</v>
      </c>
      <c r="R34" s="55">
        <v>13.556921754084261</v>
      </c>
      <c r="S34" s="55">
        <v>16.365434221840065</v>
      </c>
      <c r="T34" s="55">
        <v>16.561994840928634</v>
      </c>
      <c r="U34" s="55">
        <v>18.962768701633706</v>
      </c>
      <c r="V34" s="55">
        <v>14.003181427343081</v>
      </c>
      <c r="W34" s="55">
        <v>12.257695614789338</v>
      </c>
      <c r="X34" s="55">
        <v>14.366895958727429</v>
      </c>
      <c r="Y34" s="55">
        <v>13.419088564058468</v>
      </c>
      <c r="DA34" s="101" t="s">
        <v>201</v>
      </c>
    </row>
    <row r="35" spans="1:105" ht="12" customHeight="1" x14ac:dyDescent="0.25">
      <c r="A35" s="61" t="s">
        <v>163</v>
      </c>
      <c r="B35" s="55">
        <v>26.079603643211094</v>
      </c>
      <c r="C35" s="55">
        <v>26.352689754975749</v>
      </c>
      <c r="D35" s="55">
        <v>25.26034530791711</v>
      </c>
      <c r="E35" s="55">
        <v>25.943054871599518</v>
      </c>
      <c r="F35" s="55">
        <v>23.348753957022957</v>
      </c>
      <c r="G35" s="55">
        <v>22.402166905354949</v>
      </c>
      <c r="H35" s="55">
        <v>25.551762682717111</v>
      </c>
      <c r="I35" s="55">
        <v>26.580137575236456</v>
      </c>
      <c r="J35" s="55">
        <v>35.820292347377467</v>
      </c>
      <c r="K35" s="55">
        <v>27.617884780739466</v>
      </c>
      <c r="L35" s="55">
        <v>31.740498710232153</v>
      </c>
      <c r="M35" s="55">
        <v>30.720206362854682</v>
      </c>
      <c r="N35" s="55">
        <v>26.445399828030951</v>
      </c>
      <c r="O35" s="55">
        <v>28.427944969905415</v>
      </c>
      <c r="P35" s="55">
        <v>27.514187446259672</v>
      </c>
      <c r="Q35" s="55">
        <v>23.469647463456585</v>
      </c>
      <c r="R35" s="55">
        <v>22.363886500429924</v>
      </c>
      <c r="S35" s="55">
        <v>25.155889939810837</v>
      </c>
      <c r="T35" s="55">
        <v>24.804471195184867</v>
      </c>
      <c r="U35" s="55">
        <v>31.147979363714526</v>
      </c>
      <c r="V35" s="55">
        <v>25.23920894239037</v>
      </c>
      <c r="W35" s="55">
        <v>28.376784178847803</v>
      </c>
      <c r="X35" s="55">
        <v>31.393895098882194</v>
      </c>
      <c r="Y35" s="55">
        <v>31.940756663800521</v>
      </c>
      <c r="DA35" s="101" t="s">
        <v>202</v>
      </c>
    </row>
    <row r="36" spans="1:105" ht="12" customHeight="1" x14ac:dyDescent="0.25">
      <c r="A36" s="60" t="s">
        <v>149</v>
      </c>
      <c r="B36" s="55">
        <v>0</v>
      </c>
      <c r="C36" s="55">
        <v>0</v>
      </c>
      <c r="D36" s="55">
        <v>0</v>
      </c>
      <c r="E36" s="55">
        <v>0</v>
      </c>
      <c r="F36" s="55">
        <v>0</v>
      </c>
      <c r="G36" s="55">
        <v>0</v>
      </c>
      <c r="H36" s="55">
        <v>0</v>
      </c>
      <c r="I36" s="55">
        <v>0</v>
      </c>
      <c r="J36" s="55">
        <v>0</v>
      </c>
      <c r="K36" s="55">
        <v>0</v>
      </c>
      <c r="L36" s="55">
        <v>0</v>
      </c>
      <c r="M36" s="55">
        <v>0</v>
      </c>
      <c r="N36" s="55">
        <v>0</v>
      </c>
      <c r="O36" s="55">
        <v>0</v>
      </c>
      <c r="P36" s="55">
        <v>0</v>
      </c>
      <c r="Q36" s="55">
        <v>0</v>
      </c>
      <c r="R36" s="55">
        <v>0</v>
      </c>
      <c r="S36" s="55">
        <v>0</v>
      </c>
      <c r="T36" s="55">
        <v>0</v>
      </c>
      <c r="U36" s="55">
        <v>0</v>
      </c>
      <c r="V36" s="55">
        <v>0</v>
      </c>
      <c r="W36" s="55">
        <v>0</v>
      </c>
      <c r="X36" s="55">
        <v>0</v>
      </c>
      <c r="Y36" s="55">
        <v>0</v>
      </c>
      <c r="DA36" s="101" t="s">
        <v>203</v>
      </c>
    </row>
    <row r="37" spans="1:105" ht="12" customHeight="1" x14ac:dyDescent="0.25">
      <c r="A37" s="60" t="s">
        <v>51</v>
      </c>
      <c r="B37" s="55">
        <f>SUM(B38:B42)</f>
        <v>6.9960448673508484</v>
      </c>
      <c r="C37" s="55">
        <f t="shared" ref="C37:W37" si="31">SUM(C38:C42)</f>
        <v>6.8375284876758506</v>
      </c>
      <c r="D37" s="55">
        <f t="shared" si="31"/>
        <v>7.6583655505329791</v>
      </c>
      <c r="E37" s="55">
        <f t="shared" si="31"/>
        <v>7.7957548671248933</v>
      </c>
      <c r="F37" s="55">
        <f t="shared" si="31"/>
        <v>8.7830159193869157</v>
      </c>
      <c r="G37" s="55">
        <f t="shared" si="31"/>
        <v>9.7687876182287177</v>
      </c>
      <c r="H37" s="55">
        <f t="shared" si="31"/>
        <v>10.007652622527944</v>
      </c>
      <c r="I37" s="55">
        <f t="shared" si="31"/>
        <v>13.31805674978504</v>
      </c>
      <c r="J37" s="55">
        <f t="shared" si="31"/>
        <v>14.942218400687874</v>
      </c>
      <c r="K37" s="55">
        <f t="shared" si="31"/>
        <v>15.644453998280309</v>
      </c>
      <c r="L37" s="55">
        <f t="shared" si="31"/>
        <v>14.95176268271711</v>
      </c>
      <c r="M37" s="55">
        <f t="shared" si="31"/>
        <v>15.582373172828891</v>
      </c>
      <c r="N37" s="55">
        <f t="shared" si="31"/>
        <v>16.263198624247636</v>
      </c>
      <c r="O37" s="55">
        <f t="shared" si="31"/>
        <v>16.346173688736027</v>
      </c>
      <c r="P37" s="55">
        <f t="shared" si="31"/>
        <v>16.432674118658635</v>
      </c>
      <c r="Q37" s="55">
        <f t="shared" si="31"/>
        <v>18.384780739466898</v>
      </c>
      <c r="R37" s="55">
        <f t="shared" si="31"/>
        <v>17.952880481513326</v>
      </c>
      <c r="S37" s="55">
        <f t="shared" si="31"/>
        <v>20.308856405846946</v>
      </c>
      <c r="T37" s="55">
        <f t="shared" si="31"/>
        <v>18.567411865864148</v>
      </c>
      <c r="U37" s="55">
        <f t="shared" si="31"/>
        <v>19.377644024075664</v>
      </c>
      <c r="V37" s="55">
        <f t="shared" si="31"/>
        <v>18.864402407566637</v>
      </c>
      <c r="W37" s="55">
        <f t="shared" si="31"/>
        <v>19.29466895958727</v>
      </c>
      <c r="X37" s="55">
        <f t="shared" ref="X37:Y37" si="32">SUM(X38:X42)</f>
        <v>18.728030954428199</v>
      </c>
      <c r="Y37" s="55">
        <f t="shared" si="32"/>
        <v>17.305503009458292</v>
      </c>
      <c r="DA37" s="101"/>
    </row>
    <row r="38" spans="1:105" ht="12" customHeight="1" x14ac:dyDescent="0.25">
      <c r="A38" s="61" t="s">
        <v>164</v>
      </c>
      <c r="B38" s="55">
        <v>1.7614789337919179</v>
      </c>
      <c r="C38" s="55">
        <v>1.761478933791917</v>
      </c>
      <c r="D38" s="55">
        <v>2.4660791057609623</v>
      </c>
      <c r="E38" s="55">
        <v>2.4660791057609632</v>
      </c>
      <c r="F38" s="55">
        <v>2.9425623387790187</v>
      </c>
      <c r="G38" s="55">
        <v>3.6782459157351672</v>
      </c>
      <c r="H38" s="55">
        <v>3.6782459157351672</v>
      </c>
      <c r="I38" s="55">
        <v>5.4839208942390378</v>
      </c>
      <c r="J38" s="55">
        <v>6.534823731728288</v>
      </c>
      <c r="K38" s="55">
        <v>6.6877042132416147</v>
      </c>
      <c r="L38" s="55">
        <v>5.541272570937231</v>
      </c>
      <c r="M38" s="55">
        <v>5.9091143594153053</v>
      </c>
      <c r="N38" s="55">
        <v>6.3271711092003446</v>
      </c>
      <c r="O38" s="55">
        <v>6.2190885640584685</v>
      </c>
      <c r="P38" s="55">
        <v>6.1384350816852962</v>
      </c>
      <c r="Q38" s="55">
        <v>7.923387790197765</v>
      </c>
      <c r="R38" s="55">
        <v>7.1783319002579535</v>
      </c>
      <c r="S38" s="55">
        <v>8.0896818572656901</v>
      </c>
      <c r="T38" s="55">
        <v>6.7536543422184039</v>
      </c>
      <c r="U38" s="55">
        <v>7.1856405846947595</v>
      </c>
      <c r="V38" s="55">
        <v>7.005417024935511</v>
      </c>
      <c r="W38" s="55">
        <v>7.1180567497850404</v>
      </c>
      <c r="X38" s="55">
        <v>8.5471195184866673</v>
      </c>
      <c r="Y38" s="55">
        <v>6.70610490111779</v>
      </c>
      <c r="DA38" s="101" t="s">
        <v>204</v>
      </c>
    </row>
    <row r="39" spans="1:105" ht="12" customHeight="1" x14ac:dyDescent="0.25">
      <c r="A39" s="61" t="s">
        <v>50</v>
      </c>
      <c r="B39" s="55">
        <v>0</v>
      </c>
      <c r="C39" s="55">
        <v>0</v>
      </c>
      <c r="D39" s="55">
        <v>0</v>
      </c>
      <c r="E39" s="55">
        <v>0</v>
      </c>
      <c r="F39" s="55">
        <v>0</v>
      </c>
      <c r="G39" s="55">
        <v>0</v>
      </c>
      <c r="H39" s="55">
        <v>0</v>
      </c>
      <c r="I39" s="55">
        <v>0</v>
      </c>
      <c r="J39" s="55">
        <v>0</v>
      </c>
      <c r="K39" s="55">
        <v>0.26276870163370591</v>
      </c>
      <c r="L39" s="55">
        <v>0.28658641444539978</v>
      </c>
      <c r="M39" s="55">
        <v>0.26276870163370591</v>
      </c>
      <c r="N39" s="55">
        <v>0.26276870163370591</v>
      </c>
      <c r="O39" s="55">
        <v>0.26276870163370591</v>
      </c>
      <c r="P39" s="55">
        <v>0.28658641444539978</v>
      </c>
      <c r="Q39" s="55">
        <v>0.28658641444539978</v>
      </c>
      <c r="R39" s="55">
        <v>0.3821152192605331</v>
      </c>
      <c r="S39" s="55">
        <v>0.40103181427343071</v>
      </c>
      <c r="T39" s="55">
        <v>1.065520206362855</v>
      </c>
      <c r="U39" s="55">
        <v>1.280997420464316</v>
      </c>
      <c r="V39" s="55">
        <v>0.48177128116938939</v>
      </c>
      <c r="W39" s="55">
        <v>0.56414445399828028</v>
      </c>
      <c r="X39" s="55">
        <v>0.65468615649183137</v>
      </c>
      <c r="Y39" s="55">
        <v>0.88564058469475493</v>
      </c>
      <c r="DA39" s="101" t="s">
        <v>205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5.0386930352536538E-2</v>
      </c>
      <c r="S40" s="55">
        <v>1.2858125537403271</v>
      </c>
      <c r="T40" s="55">
        <v>0</v>
      </c>
      <c r="U40" s="55">
        <v>0</v>
      </c>
      <c r="V40" s="55">
        <v>0.2818572656921754</v>
      </c>
      <c r="W40" s="55">
        <v>0.32347377472055028</v>
      </c>
      <c r="X40" s="55">
        <v>0.3252794496990542</v>
      </c>
      <c r="Y40" s="55">
        <v>0.41711092003439382</v>
      </c>
      <c r="DA40" s="101" t="s">
        <v>206</v>
      </c>
    </row>
    <row r="41" spans="1:105" ht="12" customHeight="1" x14ac:dyDescent="0.25">
      <c r="A41" s="61" t="s">
        <v>26</v>
      </c>
      <c r="B41" s="55">
        <v>5.2345659335589305</v>
      </c>
      <c r="C41" s="55">
        <v>5.0760495538839336</v>
      </c>
      <c r="D41" s="55">
        <v>5.1922864447720167</v>
      </c>
      <c r="E41" s="55">
        <v>5.3296757613639301</v>
      </c>
      <c r="F41" s="55">
        <v>5.840453580607897</v>
      </c>
      <c r="G41" s="55">
        <v>6.0905417024935504</v>
      </c>
      <c r="H41" s="55">
        <v>6.3294067067927768</v>
      </c>
      <c r="I41" s="55">
        <v>7.8341358555460019</v>
      </c>
      <c r="J41" s="55">
        <v>8.4073946689595864</v>
      </c>
      <c r="K41" s="55">
        <v>8.6939810834049869</v>
      </c>
      <c r="L41" s="55">
        <v>9.1239036973344803</v>
      </c>
      <c r="M41" s="55">
        <v>9.4104901117798789</v>
      </c>
      <c r="N41" s="55">
        <v>9.6732588134135842</v>
      </c>
      <c r="O41" s="55">
        <v>9.8643164230438511</v>
      </c>
      <c r="P41" s="55">
        <v>10.007652622527941</v>
      </c>
      <c r="Q41" s="55">
        <v>10.17480653482373</v>
      </c>
      <c r="R41" s="55">
        <v>10.3420464316423</v>
      </c>
      <c r="S41" s="55">
        <v>10.5323301805675</v>
      </c>
      <c r="T41" s="55">
        <v>10.748237317282889</v>
      </c>
      <c r="U41" s="55">
        <v>10.91100601891659</v>
      </c>
      <c r="V41" s="55">
        <v>11.095356835769561</v>
      </c>
      <c r="W41" s="55">
        <v>11.288993981083401</v>
      </c>
      <c r="X41" s="55">
        <v>9.2009458297506441</v>
      </c>
      <c r="Y41" s="55">
        <v>9.2966466036113502</v>
      </c>
      <c r="DA41" s="101" t="s">
        <v>207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0</v>
      </c>
      <c r="M42" s="55">
        <v>0</v>
      </c>
      <c r="N42" s="55">
        <v>0</v>
      </c>
      <c r="O42" s="55">
        <v>0</v>
      </c>
      <c r="P42" s="55">
        <v>0</v>
      </c>
      <c r="Q42" s="55">
        <v>0</v>
      </c>
      <c r="R42" s="55">
        <v>0</v>
      </c>
      <c r="S42" s="55">
        <v>0</v>
      </c>
      <c r="T42" s="55">
        <v>0</v>
      </c>
      <c r="U42" s="55">
        <v>0</v>
      </c>
      <c r="V42" s="55">
        <v>0</v>
      </c>
      <c r="W42" s="55">
        <v>0</v>
      </c>
      <c r="X42" s="55">
        <v>0</v>
      </c>
      <c r="Y42" s="55">
        <v>0</v>
      </c>
      <c r="DA42" s="101" t="s">
        <v>208</v>
      </c>
    </row>
    <row r="43" spans="1:105" ht="12" customHeight="1" x14ac:dyDescent="0.25">
      <c r="A43" s="61" t="s">
        <v>151</v>
      </c>
      <c r="B43" s="309">
        <v>6.9622724148806242E-2</v>
      </c>
      <c r="C43" s="309">
        <v>0.30385135999837554</v>
      </c>
      <c r="D43" s="55">
        <v>0.61759915651586228</v>
      </c>
      <c r="E43" s="55">
        <v>1.0000362302950114</v>
      </c>
      <c r="F43" s="55">
        <v>1.5438942634685668</v>
      </c>
      <c r="G43" s="55">
        <v>2.2803418958320947</v>
      </c>
      <c r="H43" s="55">
        <v>2.7946847535540091</v>
      </c>
      <c r="I43" s="55">
        <v>3.4247976435345127</v>
      </c>
      <c r="J43" s="55">
        <v>3.8355897864287387</v>
      </c>
      <c r="K43" s="55">
        <v>5.0676085305248426</v>
      </c>
      <c r="L43" s="55">
        <v>6.0236060383564736</v>
      </c>
      <c r="M43" s="55">
        <v>8.4612625856614159</v>
      </c>
      <c r="N43" s="55">
        <v>14.022553872329278</v>
      </c>
      <c r="O43" s="55">
        <v>27.970333291043648</v>
      </c>
      <c r="P43" s="55">
        <v>28.852013867853675</v>
      </c>
      <c r="Q43" s="55">
        <v>32.220020377940514</v>
      </c>
      <c r="R43" s="55">
        <v>32.192858083521358</v>
      </c>
      <c r="S43" s="55">
        <v>33.97724066656717</v>
      </c>
      <c r="T43" s="55">
        <v>36.032072226999148</v>
      </c>
      <c r="U43" s="55">
        <v>38.005417024935497</v>
      </c>
      <c r="V43" s="55">
        <v>35.311865864144522</v>
      </c>
      <c r="W43" s="55">
        <v>36.032072226999176</v>
      </c>
      <c r="X43" s="55">
        <v>37.693895098882201</v>
      </c>
      <c r="Y43" s="55">
        <v>38.109286328460911</v>
      </c>
      <c r="DA43" s="101" t="s">
        <v>209</v>
      </c>
    </row>
    <row r="44" spans="1:105" ht="12" customHeight="1" x14ac:dyDescent="0.25">
      <c r="A44" s="60" t="s">
        <v>162</v>
      </c>
      <c r="B44" s="55">
        <v>0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55">
        <v>0</v>
      </c>
      <c r="M44" s="55">
        <v>0</v>
      </c>
      <c r="N44" s="55">
        <v>0</v>
      </c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>
        <v>0</v>
      </c>
      <c r="U44" s="55">
        <v>0</v>
      </c>
      <c r="V44" s="55">
        <v>0</v>
      </c>
      <c r="W44" s="55">
        <v>0</v>
      </c>
      <c r="X44" s="55">
        <v>0</v>
      </c>
      <c r="Y44" s="55">
        <v>0</v>
      </c>
      <c r="DA44" s="101" t="s">
        <v>210</v>
      </c>
    </row>
    <row r="45" spans="1:105" ht="12" customHeight="1" x14ac:dyDescent="0.25">
      <c r="A45" s="62" t="s">
        <v>24</v>
      </c>
      <c r="B45" s="63">
        <v>120.37833190025799</v>
      </c>
      <c r="C45" s="63">
        <v>131.04041272570942</v>
      </c>
      <c r="D45" s="63">
        <v>142.13241616509029</v>
      </c>
      <c r="E45" s="63">
        <v>148.15133276010323</v>
      </c>
      <c r="F45" s="63">
        <v>152.9969905417025</v>
      </c>
      <c r="G45" s="63">
        <v>159.96173688736027</v>
      </c>
      <c r="H45" s="63">
        <v>169.84995700773862</v>
      </c>
      <c r="I45" s="63">
        <v>175.18075914183032</v>
      </c>
      <c r="J45" s="63">
        <v>185.65821178308406</v>
      </c>
      <c r="K45" s="63">
        <v>197.26614562010957</v>
      </c>
      <c r="L45" s="63">
        <v>207.41205911615208</v>
      </c>
      <c r="M45" s="63">
        <v>200.53823518312421</v>
      </c>
      <c r="N45" s="63">
        <v>182.48277458540124</v>
      </c>
      <c r="O45" s="63">
        <v>161.67358182979351</v>
      </c>
      <c r="P45" s="63">
        <v>165.88525657085685</v>
      </c>
      <c r="Q45" s="63">
        <v>169.66437518354616</v>
      </c>
      <c r="R45" s="63">
        <v>185.3940741166704</v>
      </c>
      <c r="S45" s="63">
        <v>188.08210253294837</v>
      </c>
      <c r="T45" s="63">
        <v>195.08876012795074</v>
      </c>
      <c r="U45" s="63">
        <v>194.41782238261251</v>
      </c>
      <c r="V45" s="63">
        <v>161.05887879005186</v>
      </c>
      <c r="W45" s="63">
        <v>179.65822207284876</v>
      </c>
      <c r="X45" s="63">
        <v>200.61489641610694</v>
      </c>
      <c r="Y45" s="63">
        <v>206.29904998918838</v>
      </c>
      <c r="DA45" s="105" t="s">
        <v>211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DA46" s="106"/>
    </row>
    <row r="47" spans="1:105" ht="12.95" customHeight="1" x14ac:dyDescent="0.25">
      <c r="A47" s="81" t="s">
        <v>56</v>
      </c>
      <c r="B47" s="82">
        <f t="shared" ref="B47" si="33">SUM(B48,B53)</f>
        <v>153.45398041081995</v>
      </c>
      <c r="C47" s="82">
        <f t="shared" ref="C47:W47" si="34">SUM(C48,C53)</f>
        <v>164.230630968361</v>
      </c>
      <c r="D47" s="82">
        <f t="shared" si="34"/>
        <v>175.0511270235404</v>
      </c>
      <c r="E47" s="82">
        <f t="shared" si="34"/>
        <v>181.89014249882763</v>
      </c>
      <c r="F47" s="82">
        <f t="shared" si="34"/>
        <v>185.12876041811239</v>
      </c>
      <c r="G47" s="82">
        <f t="shared" si="34"/>
        <v>192.13269141094395</v>
      </c>
      <c r="H47" s="82">
        <f t="shared" si="34"/>
        <v>220.09604471195189</v>
      </c>
      <c r="I47" s="82">
        <f t="shared" si="34"/>
        <v>229.76562586582003</v>
      </c>
      <c r="J47" s="82">
        <f t="shared" si="34"/>
        <v>252.23705959047874</v>
      </c>
      <c r="K47" s="82">
        <f t="shared" si="34"/>
        <v>255.21515679809755</v>
      </c>
      <c r="L47" s="82">
        <f t="shared" si="34"/>
        <v>268.79099290806954</v>
      </c>
      <c r="M47" s="82">
        <f t="shared" si="34"/>
        <v>262.65715177813712</v>
      </c>
      <c r="N47" s="82">
        <f t="shared" si="34"/>
        <v>241.00771009700918</v>
      </c>
      <c r="O47" s="82">
        <f t="shared" si="34"/>
        <v>221.13437288740315</v>
      </c>
      <c r="P47" s="82">
        <f t="shared" si="34"/>
        <v>222.25928924497555</v>
      </c>
      <c r="Q47" s="82">
        <f t="shared" si="34"/>
        <v>225.07572514055386</v>
      </c>
      <c r="R47" s="82">
        <f t="shared" si="34"/>
        <v>239.2677628526979</v>
      </c>
      <c r="S47" s="82">
        <f t="shared" si="34"/>
        <v>249.91228310044625</v>
      </c>
      <c r="T47" s="82">
        <f t="shared" si="34"/>
        <v>255.02263802992832</v>
      </c>
      <c r="U47" s="82">
        <f t="shared" si="34"/>
        <v>263.90621447203637</v>
      </c>
      <c r="V47" s="82">
        <f t="shared" si="34"/>
        <v>219.16567156735192</v>
      </c>
      <c r="W47" s="82">
        <f t="shared" si="34"/>
        <v>239.5873708260732</v>
      </c>
      <c r="X47" s="82">
        <f t="shared" ref="X47:Y47" si="35">SUM(X48,X53)</f>
        <v>265.10371842814482</v>
      </c>
      <c r="Y47" s="82">
        <f t="shared" si="35"/>
        <v>268.96439822650569</v>
      </c>
      <c r="DA47" s="107" t="s">
        <v>212</v>
      </c>
    </row>
    <row r="48" spans="1:105" ht="12" customHeight="1" x14ac:dyDescent="0.25">
      <c r="A48" s="77" t="s">
        <v>36</v>
      </c>
      <c r="B48" s="64">
        <f t="shared" ref="B48" si="36">SUM(B49:B52)</f>
        <v>97.062601842614114</v>
      </c>
      <c r="C48" s="64">
        <f t="shared" ref="C48:W48" si="37">SUM(C49:C52)</f>
        <v>105.68799814844053</v>
      </c>
      <c r="D48" s="64">
        <f t="shared" si="37"/>
        <v>114.303600489706</v>
      </c>
      <c r="E48" s="64">
        <f t="shared" si="37"/>
        <v>119.12421567553906</v>
      </c>
      <c r="F48" s="64">
        <f t="shared" si="37"/>
        <v>119.94611644682276</v>
      </c>
      <c r="G48" s="64">
        <f t="shared" si="37"/>
        <v>124.87525496013902</v>
      </c>
      <c r="H48" s="64">
        <f t="shared" si="37"/>
        <v>151.02901568716356</v>
      </c>
      <c r="I48" s="64">
        <f t="shared" si="37"/>
        <v>158.55646001592837</v>
      </c>
      <c r="J48" s="64">
        <f t="shared" si="37"/>
        <v>178.73046826811245</v>
      </c>
      <c r="K48" s="64">
        <f t="shared" si="37"/>
        <v>179.34285113620436</v>
      </c>
      <c r="L48" s="64">
        <f t="shared" si="37"/>
        <v>190.55274634767045</v>
      </c>
      <c r="M48" s="64">
        <f t="shared" si="37"/>
        <v>182.5927274432691</v>
      </c>
      <c r="N48" s="64">
        <f t="shared" si="37"/>
        <v>159.02384650050647</v>
      </c>
      <c r="O48" s="64">
        <f t="shared" si="37"/>
        <v>138.60104126793166</v>
      </c>
      <c r="P48" s="64">
        <f t="shared" si="37"/>
        <v>139.60298919582206</v>
      </c>
      <c r="Q48" s="64">
        <f t="shared" si="37"/>
        <v>141.96375099342606</v>
      </c>
      <c r="R48" s="64">
        <f t="shared" si="37"/>
        <v>155.30899740737797</v>
      </c>
      <c r="S48" s="64">
        <f t="shared" si="37"/>
        <v>165.83017652611832</v>
      </c>
      <c r="T48" s="64">
        <f t="shared" si="37"/>
        <v>172.30169722880038</v>
      </c>
      <c r="U48" s="64">
        <f t="shared" si="37"/>
        <v>182.69820519107537</v>
      </c>
      <c r="V48" s="64">
        <f t="shared" si="37"/>
        <v>146.85512014004709</v>
      </c>
      <c r="W48" s="64">
        <f t="shared" si="37"/>
        <v>164.47151747739656</v>
      </c>
      <c r="X48" s="64">
        <f t="shared" ref="X48:Y48" si="38">SUM(X49:X52)</f>
        <v>189.96758319301799</v>
      </c>
      <c r="Y48" s="64">
        <f t="shared" si="38"/>
        <v>194.72176130934733</v>
      </c>
      <c r="DA48" s="108" t="s">
        <v>213</v>
      </c>
    </row>
    <row r="49" spans="1:105" ht="12" customHeight="1" x14ac:dyDescent="0.25">
      <c r="A49" s="61" t="s">
        <v>32</v>
      </c>
      <c r="B49" s="65">
        <v>32.254551704019704</v>
      </c>
      <c r="C49" s="65">
        <v>40.01356366581949</v>
      </c>
      <c r="D49" s="65">
        <v>46.239346887957112</v>
      </c>
      <c r="E49" s="65">
        <v>47.205199983009081</v>
      </c>
      <c r="F49" s="65">
        <v>48.984884269309561</v>
      </c>
      <c r="G49" s="65">
        <v>52.80798638554316</v>
      </c>
      <c r="H49" s="65">
        <v>74.484314927358994</v>
      </c>
      <c r="I49" s="65">
        <v>77.723090823703828</v>
      </c>
      <c r="J49" s="65">
        <v>94.814971329174995</v>
      </c>
      <c r="K49" s="65">
        <v>94.190101232808161</v>
      </c>
      <c r="L49" s="65">
        <v>101.75361663652576</v>
      </c>
      <c r="M49" s="65">
        <v>95.865627246394013</v>
      </c>
      <c r="N49" s="65">
        <v>65.28889303297683</v>
      </c>
      <c r="O49" s="65">
        <v>51.510374861559754</v>
      </c>
      <c r="P49" s="65">
        <v>56.965919910144912</v>
      </c>
      <c r="Q49" s="65">
        <v>58.042557042808269</v>
      </c>
      <c r="R49" s="65">
        <v>67.565209358883934</v>
      </c>
      <c r="S49" s="65">
        <v>79.186279220145394</v>
      </c>
      <c r="T49" s="65">
        <v>77.325028729384883</v>
      </c>
      <c r="U49" s="65">
        <v>92.05816584222552</v>
      </c>
      <c r="V49" s="65">
        <v>60.406087991383679</v>
      </c>
      <c r="W49" s="65">
        <v>81.003428516893791</v>
      </c>
      <c r="X49" s="65">
        <v>103.44447742972622</v>
      </c>
      <c r="Y49" s="65">
        <v>101.56880739692156</v>
      </c>
      <c r="DA49" s="109" t="s">
        <v>214</v>
      </c>
    </row>
    <row r="50" spans="1:105" ht="12" customHeight="1" x14ac:dyDescent="0.25">
      <c r="A50" s="61" t="s">
        <v>31</v>
      </c>
      <c r="B50" s="65">
        <v>16.94972860814455</v>
      </c>
      <c r="C50" s="65">
        <v>17.202453845884648</v>
      </c>
      <c r="D50" s="65">
        <v>18.80904280915442</v>
      </c>
      <c r="E50" s="65">
        <v>21.933363673953981</v>
      </c>
      <c r="F50" s="65">
        <v>19.877074971017255</v>
      </c>
      <c r="G50" s="65">
        <v>19.489386604640174</v>
      </c>
      <c r="H50" s="65">
        <v>23.343421841298955</v>
      </c>
      <c r="I50" s="65">
        <v>26.998459352497498</v>
      </c>
      <c r="J50" s="65">
        <v>28.220352649922322</v>
      </c>
      <c r="K50" s="65">
        <v>28.598869337676646</v>
      </c>
      <c r="L50" s="65">
        <v>31.464880109517416</v>
      </c>
      <c r="M50" s="65">
        <v>27.988637468846942</v>
      </c>
      <c r="N50" s="65">
        <v>34.108641285562321</v>
      </c>
      <c r="O50" s="65">
        <v>28.351606748309575</v>
      </c>
      <c r="P50" s="65">
        <v>24.701099019183058</v>
      </c>
      <c r="Q50" s="65">
        <v>26.186346843399669</v>
      </c>
      <c r="R50" s="65">
        <v>29.553905779488652</v>
      </c>
      <c r="S50" s="65">
        <v>27.903179076736723</v>
      </c>
      <c r="T50" s="65">
        <v>35.63297212813147</v>
      </c>
      <c r="U50" s="65">
        <v>30.663742611092701</v>
      </c>
      <c r="V50" s="65">
        <v>32.232166741360217</v>
      </c>
      <c r="W50" s="65">
        <v>29.119374753221486</v>
      </c>
      <c r="X50" s="65">
        <v>27.895685631994105</v>
      </c>
      <c r="Y50" s="65">
        <v>31.370502681022998</v>
      </c>
      <c r="DA50" s="109" t="s">
        <v>215</v>
      </c>
    </row>
    <row r="51" spans="1:105" ht="12" customHeight="1" x14ac:dyDescent="0.25">
      <c r="A51" s="61" t="s">
        <v>35</v>
      </c>
      <c r="B51" s="65">
        <v>26.753195306722883</v>
      </c>
      <c r="C51" s="65">
        <v>27.117534887957508</v>
      </c>
      <c r="D51" s="65">
        <v>27.360830873772997</v>
      </c>
      <c r="E51" s="65">
        <v>27.625941327936879</v>
      </c>
      <c r="F51" s="65">
        <v>27.755044516564119</v>
      </c>
      <c r="G51" s="65">
        <v>28.303419227555381</v>
      </c>
      <c r="H51" s="65">
        <v>27.040171819679799</v>
      </c>
      <c r="I51" s="65">
        <v>26.611559305609738</v>
      </c>
      <c r="J51" s="65">
        <v>27.398639618292609</v>
      </c>
      <c r="K51" s="65">
        <v>27.949792609158752</v>
      </c>
      <c r="L51" s="65">
        <v>28.366808170845637</v>
      </c>
      <c r="M51" s="65">
        <v>28.885720048703686</v>
      </c>
      <c r="N51" s="65">
        <v>29.13987708625859</v>
      </c>
      <c r="O51" s="65">
        <v>28.877457624797056</v>
      </c>
      <c r="P51" s="65">
        <v>28.269932548025693</v>
      </c>
      <c r="Q51" s="65">
        <v>28.076470339869889</v>
      </c>
      <c r="R51" s="65">
        <v>28.376531734548195</v>
      </c>
      <c r="S51" s="65">
        <v>28.058493552233333</v>
      </c>
      <c r="T51" s="65">
        <v>28.016130958179794</v>
      </c>
      <c r="U51" s="65">
        <v>27.479519696304138</v>
      </c>
      <c r="V51" s="65">
        <v>25.654665302747645</v>
      </c>
      <c r="W51" s="65">
        <v>25.713847071835119</v>
      </c>
      <c r="X51" s="65">
        <v>27.83336368716769</v>
      </c>
      <c r="Y51" s="65">
        <v>29.686166152383635</v>
      </c>
      <c r="DA51" s="109" t="s">
        <v>216</v>
      </c>
    </row>
    <row r="52" spans="1:105" ht="12" customHeight="1" x14ac:dyDescent="0.25">
      <c r="A52" s="66" t="s">
        <v>34</v>
      </c>
      <c r="B52" s="67">
        <v>21.105126223726966</v>
      </c>
      <c r="C52" s="67">
        <v>21.354445748778886</v>
      </c>
      <c r="D52" s="67">
        <v>21.894379918821468</v>
      </c>
      <c r="E52" s="67">
        <v>22.359710690639133</v>
      </c>
      <c r="F52" s="67">
        <v>23.329112689931819</v>
      </c>
      <c r="G52" s="67">
        <v>24.274462742400303</v>
      </c>
      <c r="H52" s="67">
        <v>26.161107098825816</v>
      </c>
      <c r="I52" s="67">
        <v>27.223350534117284</v>
      </c>
      <c r="J52" s="67">
        <v>28.296504670722534</v>
      </c>
      <c r="K52" s="67">
        <v>28.60408795656079</v>
      </c>
      <c r="L52" s="67">
        <v>28.967441430781623</v>
      </c>
      <c r="M52" s="67">
        <v>29.852742679324439</v>
      </c>
      <c r="N52" s="67">
        <v>30.48643509570871</v>
      </c>
      <c r="O52" s="67">
        <v>29.861602033265282</v>
      </c>
      <c r="P52" s="67">
        <v>29.666037718468406</v>
      </c>
      <c r="Q52" s="67">
        <v>29.658376767348233</v>
      </c>
      <c r="R52" s="67">
        <v>29.813350534457197</v>
      </c>
      <c r="S52" s="67">
        <v>30.682224677002868</v>
      </c>
      <c r="T52" s="67">
        <v>31.327565413104239</v>
      </c>
      <c r="U52" s="67">
        <v>32.496777041453015</v>
      </c>
      <c r="V52" s="67">
        <v>28.562200104555558</v>
      </c>
      <c r="W52" s="67">
        <v>28.634867135446157</v>
      </c>
      <c r="X52" s="67">
        <v>30.794056444129986</v>
      </c>
      <c r="Y52" s="67">
        <v>32.096285079019133</v>
      </c>
      <c r="DA52" s="110" t="s">
        <v>217</v>
      </c>
    </row>
    <row r="53" spans="1:105" ht="12" customHeight="1" x14ac:dyDescent="0.25">
      <c r="A53" s="78" t="s">
        <v>33</v>
      </c>
      <c r="B53" s="68">
        <v>56.391378568205823</v>
      </c>
      <c r="C53" s="68">
        <v>58.542632819920463</v>
      </c>
      <c r="D53" s="68">
        <v>60.747526533834396</v>
      </c>
      <c r="E53" s="68">
        <v>62.765926823288567</v>
      </c>
      <c r="F53" s="68">
        <v>65.182643971289622</v>
      </c>
      <c r="G53" s="68">
        <v>67.257436450804931</v>
      </c>
      <c r="H53" s="68">
        <v>69.067029024788326</v>
      </c>
      <c r="I53" s="68">
        <v>71.209165849891676</v>
      </c>
      <c r="J53" s="68">
        <v>73.50659132236629</v>
      </c>
      <c r="K53" s="68">
        <v>75.872305661893193</v>
      </c>
      <c r="L53" s="68">
        <v>78.238246560399091</v>
      </c>
      <c r="M53" s="68">
        <v>80.064424334868022</v>
      </c>
      <c r="N53" s="68">
        <v>81.983863596502715</v>
      </c>
      <c r="O53" s="68">
        <v>82.533331619471483</v>
      </c>
      <c r="P53" s="68">
        <v>82.656300049153472</v>
      </c>
      <c r="Q53" s="68">
        <v>83.11197414712781</v>
      </c>
      <c r="R53" s="68">
        <v>83.958765445319926</v>
      </c>
      <c r="S53" s="68">
        <v>84.082106574327923</v>
      </c>
      <c r="T53" s="68">
        <v>82.720940801127938</v>
      </c>
      <c r="U53" s="68">
        <v>81.208009280961008</v>
      </c>
      <c r="V53" s="68">
        <v>72.310551427304816</v>
      </c>
      <c r="W53" s="68">
        <v>75.115853348676623</v>
      </c>
      <c r="X53" s="68">
        <v>75.136135235126815</v>
      </c>
      <c r="Y53" s="68">
        <v>74.242636917158364</v>
      </c>
      <c r="DA53" s="111" t="s">
        <v>218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39">IF(B47=0,0,B47/B$47)</f>
        <v>1</v>
      </c>
      <c r="C55" s="83">
        <f t="shared" ref="C55:W55" si="40">IF(C47=0,0,C47/C$47)</f>
        <v>1</v>
      </c>
      <c r="D55" s="83">
        <f t="shared" si="40"/>
        <v>1</v>
      </c>
      <c r="E55" s="83">
        <f t="shared" si="40"/>
        <v>1</v>
      </c>
      <c r="F55" s="83">
        <f t="shared" si="40"/>
        <v>1</v>
      </c>
      <c r="G55" s="83">
        <f t="shared" si="40"/>
        <v>1</v>
      </c>
      <c r="H55" s="83">
        <f t="shared" si="40"/>
        <v>1</v>
      </c>
      <c r="I55" s="83">
        <f t="shared" si="40"/>
        <v>1</v>
      </c>
      <c r="J55" s="83">
        <f t="shared" si="40"/>
        <v>1</v>
      </c>
      <c r="K55" s="83">
        <f t="shared" si="40"/>
        <v>1</v>
      </c>
      <c r="L55" s="83">
        <f t="shared" si="40"/>
        <v>1</v>
      </c>
      <c r="M55" s="83">
        <f t="shared" si="40"/>
        <v>1</v>
      </c>
      <c r="N55" s="83">
        <f t="shared" si="40"/>
        <v>1</v>
      </c>
      <c r="O55" s="83">
        <f t="shared" si="40"/>
        <v>1</v>
      </c>
      <c r="P55" s="83">
        <f t="shared" si="40"/>
        <v>1</v>
      </c>
      <c r="Q55" s="83">
        <f t="shared" si="40"/>
        <v>1</v>
      </c>
      <c r="R55" s="83">
        <f t="shared" si="40"/>
        <v>1</v>
      </c>
      <c r="S55" s="83">
        <f t="shared" si="40"/>
        <v>1</v>
      </c>
      <c r="T55" s="83">
        <f t="shared" si="40"/>
        <v>1</v>
      </c>
      <c r="U55" s="83">
        <f t="shared" si="40"/>
        <v>1</v>
      </c>
      <c r="V55" s="83">
        <f t="shared" si="40"/>
        <v>1</v>
      </c>
      <c r="W55" s="83">
        <f t="shared" si="40"/>
        <v>1</v>
      </c>
      <c r="X55" s="83">
        <f t="shared" ref="X55:Y55" si="41">IF(X47=0,0,X47/X$47)</f>
        <v>1</v>
      </c>
      <c r="Y55" s="83">
        <f t="shared" si="41"/>
        <v>1</v>
      </c>
      <c r="DA55" s="112"/>
    </row>
    <row r="56" spans="1:105" ht="12" customHeight="1" x14ac:dyDescent="0.25">
      <c r="A56" s="69" t="s">
        <v>36</v>
      </c>
      <c r="B56" s="70">
        <f t="shared" ref="B56" si="42">IF(B48=0,0,B48/B$47)</f>
        <v>0.63251928417081504</v>
      </c>
      <c r="C56" s="70">
        <f t="shared" ref="C56:W56" si="43">IF(C48=0,0,C48/C$47)</f>
        <v>0.64353401996489501</v>
      </c>
      <c r="D56" s="70">
        <f t="shared" si="43"/>
        <v>0.65297266252010344</v>
      </c>
      <c r="E56" s="70">
        <f t="shared" si="43"/>
        <v>0.65492397795172919</v>
      </c>
      <c r="F56" s="70">
        <f t="shared" si="43"/>
        <v>0.6479064418512015</v>
      </c>
      <c r="G56" s="70">
        <f t="shared" si="43"/>
        <v>0.64994277675030832</v>
      </c>
      <c r="H56" s="70">
        <f t="shared" si="43"/>
        <v>0.68619595542855394</v>
      </c>
      <c r="I56" s="70">
        <f t="shared" si="43"/>
        <v>0.69007911613603667</v>
      </c>
      <c r="J56" s="70">
        <f t="shared" si="43"/>
        <v>0.70858131853539508</v>
      </c>
      <c r="K56" s="70">
        <f t="shared" si="43"/>
        <v>0.70271238348936971</v>
      </c>
      <c r="L56" s="70">
        <f t="shared" si="43"/>
        <v>0.7089253411584453</v>
      </c>
      <c r="M56" s="70">
        <f t="shared" si="43"/>
        <v>0.69517515973638011</v>
      </c>
      <c r="N56" s="70">
        <f t="shared" si="43"/>
        <v>0.65982887616540153</v>
      </c>
      <c r="O56" s="70">
        <f t="shared" si="43"/>
        <v>0.6267729410773436</v>
      </c>
      <c r="P56" s="70">
        <f t="shared" si="43"/>
        <v>0.62810868184659219</v>
      </c>
      <c r="Q56" s="70">
        <f t="shared" si="43"/>
        <v>0.63073772573552056</v>
      </c>
      <c r="R56" s="70">
        <f t="shared" si="43"/>
        <v>0.64910122264565973</v>
      </c>
      <c r="S56" s="70">
        <f t="shared" si="43"/>
        <v>0.66355352553626534</v>
      </c>
      <c r="T56" s="70">
        <f t="shared" si="43"/>
        <v>0.67563294992101763</v>
      </c>
      <c r="U56" s="70">
        <f t="shared" si="43"/>
        <v>0.6922845888891872</v>
      </c>
      <c r="V56" s="70">
        <f t="shared" si="43"/>
        <v>0.67006442701459734</v>
      </c>
      <c r="W56" s="70">
        <f t="shared" si="43"/>
        <v>0.6864782434496246</v>
      </c>
      <c r="X56" s="70">
        <f t="shared" ref="X56:Y56" si="44">IF(X48=0,0,X48/X$47)</f>
        <v>0.71657834269309906</v>
      </c>
      <c r="Y56" s="70">
        <f t="shared" si="44"/>
        <v>0.7239685348443935</v>
      </c>
      <c r="DA56" s="113"/>
    </row>
    <row r="57" spans="1:105" ht="12" customHeight="1" x14ac:dyDescent="0.25">
      <c r="A57" s="61" t="s">
        <v>32</v>
      </c>
      <c r="B57" s="71">
        <f t="shared" ref="B57" si="45">IF(B49=0,0,B49/B$47)</f>
        <v>0.21019038813896712</v>
      </c>
      <c r="C57" s="71">
        <f t="shared" ref="C57:W57" si="46">IF(C49=0,0,C49/C$47)</f>
        <v>0.2436425131529093</v>
      </c>
      <c r="D57" s="71">
        <f t="shared" si="46"/>
        <v>0.2641476674511154</v>
      </c>
      <c r="E57" s="71">
        <f t="shared" si="46"/>
        <v>0.25952588378071856</v>
      </c>
      <c r="F57" s="71">
        <f t="shared" si="46"/>
        <v>0.26459899671276055</v>
      </c>
      <c r="G57" s="71">
        <f t="shared" si="46"/>
        <v>0.27485164548387314</v>
      </c>
      <c r="H57" s="71">
        <f t="shared" si="46"/>
        <v>0.33841732605799191</v>
      </c>
      <c r="I57" s="71">
        <f t="shared" si="46"/>
        <v>0.33827118626131242</v>
      </c>
      <c r="J57" s="71">
        <f t="shared" si="46"/>
        <v>0.37589627584111751</v>
      </c>
      <c r="K57" s="71">
        <f t="shared" si="46"/>
        <v>0.36906154953533027</v>
      </c>
      <c r="L57" s="71">
        <f t="shared" si="46"/>
        <v>0.37856036593952014</v>
      </c>
      <c r="M57" s="71">
        <f t="shared" si="46"/>
        <v>0.36498388335289034</v>
      </c>
      <c r="N57" s="71">
        <f t="shared" si="46"/>
        <v>0.27089960319815942</v>
      </c>
      <c r="O57" s="71">
        <f t="shared" si="46"/>
        <v>0.23293698844271363</v>
      </c>
      <c r="P57" s="71">
        <f t="shared" si="46"/>
        <v>0.25630388769648554</v>
      </c>
      <c r="Q57" s="71">
        <f t="shared" si="46"/>
        <v>0.25788012903906993</v>
      </c>
      <c r="R57" s="71">
        <f t="shared" si="46"/>
        <v>0.28238325361231209</v>
      </c>
      <c r="S57" s="71">
        <f t="shared" si="46"/>
        <v>0.31685629148655481</v>
      </c>
      <c r="T57" s="71">
        <f t="shared" si="46"/>
        <v>0.3032084889668123</v>
      </c>
      <c r="U57" s="71">
        <f t="shared" si="46"/>
        <v>0.34882909455692279</v>
      </c>
      <c r="V57" s="71">
        <f t="shared" si="46"/>
        <v>0.27561838293101598</v>
      </c>
      <c r="W57" s="71">
        <f t="shared" si="46"/>
        <v>0.33809556921803557</v>
      </c>
      <c r="X57" s="71">
        <f t="shared" ref="X57:Y57" si="47">IF(X49=0,0,X49/X$47)</f>
        <v>0.39020379662371424</v>
      </c>
      <c r="Y57" s="71">
        <f t="shared" si="47"/>
        <v>0.37762918834851295</v>
      </c>
      <c r="DA57" s="114"/>
    </row>
    <row r="58" spans="1:105" ht="12" customHeight="1" x14ac:dyDescent="0.25">
      <c r="A58" s="61" t="s">
        <v>31</v>
      </c>
      <c r="B58" s="72">
        <f t="shared" ref="B58" si="48">IF(B50=0,0,B50/B$47)</f>
        <v>0.1104547993005298</v>
      </c>
      <c r="C58" s="72">
        <f t="shared" ref="C58:W58" si="49">IF(C50=0,0,C50/C$47)</f>
        <v>0.10474570879045515</v>
      </c>
      <c r="D58" s="72">
        <f t="shared" si="49"/>
        <v>0.10744885296639667</v>
      </c>
      <c r="E58" s="72">
        <f t="shared" si="49"/>
        <v>0.12058577431756838</v>
      </c>
      <c r="F58" s="72">
        <f t="shared" si="49"/>
        <v>0.10736891948136518</v>
      </c>
      <c r="G58" s="72">
        <f t="shared" si="49"/>
        <v>0.10143711859506098</v>
      </c>
      <c r="H58" s="72">
        <f t="shared" si="49"/>
        <v>0.10606016056240077</v>
      </c>
      <c r="I58" s="72">
        <f t="shared" si="49"/>
        <v>0.11750434492000221</v>
      </c>
      <c r="J58" s="72">
        <f t="shared" si="49"/>
        <v>0.11188027919346855</v>
      </c>
      <c r="K58" s="72">
        <f t="shared" si="49"/>
        <v>0.1120578796983496</v>
      </c>
      <c r="L58" s="72">
        <f t="shared" si="49"/>
        <v>0.11706076817938191</v>
      </c>
      <c r="M58" s="72">
        <f t="shared" si="49"/>
        <v>0.10655958643946828</v>
      </c>
      <c r="N58" s="72">
        <f t="shared" si="49"/>
        <v>0.14152510420447995</v>
      </c>
      <c r="O58" s="72">
        <f t="shared" si="49"/>
        <v>0.12820985891119516</v>
      </c>
      <c r="P58" s="72">
        <f t="shared" si="49"/>
        <v>0.11113640785540961</v>
      </c>
      <c r="Q58" s="72">
        <f t="shared" si="49"/>
        <v>0.11634460725183485</v>
      </c>
      <c r="R58" s="72">
        <f t="shared" si="49"/>
        <v>0.12351812641673392</v>
      </c>
      <c r="S58" s="72">
        <f t="shared" si="49"/>
        <v>0.11165189133789678</v>
      </c>
      <c r="T58" s="72">
        <f t="shared" si="49"/>
        <v>0.13972474131472887</v>
      </c>
      <c r="U58" s="72">
        <f t="shared" si="49"/>
        <v>0.11619181712881507</v>
      </c>
      <c r="V58" s="72">
        <f t="shared" si="49"/>
        <v>0.14706758823520832</v>
      </c>
      <c r="W58" s="72">
        <f t="shared" si="49"/>
        <v>0.12153968989609429</v>
      </c>
      <c r="X58" s="72">
        <f t="shared" ref="X58:Y58" si="50">IF(X50=0,0,X50/X$47)</f>
        <v>0.10522555397334084</v>
      </c>
      <c r="Y58" s="72">
        <f t="shared" si="50"/>
        <v>0.11663440547475225</v>
      </c>
      <c r="DA58" s="115"/>
    </row>
    <row r="59" spans="1:105" ht="12" customHeight="1" x14ac:dyDescent="0.25">
      <c r="A59" s="61" t="s">
        <v>35</v>
      </c>
      <c r="B59" s="72">
        <f t="shared" ref="B59" si="51">IF(B51=0,0,B51/B$47)</f>
        <v>0.17434018482349209</v>
      </c>
      <c r="C59" s="72">
        <f t="shared" ref="C59:W59" si="52">IF(C51=0,0,C51/C$47)</f>
        <v>0.16511861842132053</v>
      </c>
      <c r="D59" s="72">
        <f t="shared" si="52"/>
        <v>0.15630194069012526</v>
      </c>
      <c r="E59" s="72">
        <f t="shared" si="52"/>
        <v>0.15188256465363395</v>
      </c>
      <c r="F59" s="72">
        <f t="shared" si="52"/>
        <v>0.14992292096527568</v>
      </c>
      <c r="G59" s="72">
        <f t="shared" si="52"/>
        <v>0.14731183443955653</v>
      </c>
      <c r="H59" s="72">
        <f t="shared" si="52"/>
        <v>0.12285623694450441</v>
      </c>
      <c r="I59" s="72">
        <f t="shared" si="52"/>
        <v>0.1158204548888898</v>
      </c>
      <c r="J59" s="72">
        <f t="shared" si="52"/>
        <v>0.10862257775592478</v>
      </c>
      <c r="K59" s="72">
        <f t="shared" si="52"/>
        <v>0.10951462663822127</v>
      </c>
      <c r="L59" s="72">
        <f t="shared" si="52"/>
        <v>0.10553481671369658</v>
      </c>
      <c r="M59" s="72">
        <f t="shared" si="52"/>
        <v>0.1099749991696516</v>
      </c>
      <c r="N59" s="72">
        <f t="shared" si="52"/>
        <v>0.12090848493821778</v>
      </c>
      <c r="O59" s="72">
        <f t="shared" si="52"/>
        <v>0.13058782878363662</v>
      </c>
      <c r="P59" s="72">
        <f t="shared" si="52"/>
        <v>0.12719348038977304</v>
      </c>
      <c r="Q59" s="72">
        <f t="shared" si="52"/>
        <v>0.1247423298196057</v>
      </c>
      <c r="R59" s="72">
        <f t="shared" si="52"/>
        <v>0.11859738811541377</v>
      </c>
      <c r="S59" s="72">
        <f t="shared" si="52"/>
        <v>0.11227336729565987</v>
      </c>
      <c r="T59" s="72">
        <f t="shared" si="52"/>
        <v>0.10985742746058468</v>
      </c>
      <c r="U59" s="72">
        <f t="shared" si="52"/>
        <v>0.10412608036259745</v>
      </c>
      <c r="V59" s="72">
        <f t="shared" si="52"/>
        <v>0.11705603856333721</v>
      </c>
      <c r="W59" s="72">
        <f t="shared" si="52"/>
        <v>0.1073255530255053</v>
      </c>
      <c r="X59" s="72">
        <f t="shared" ref="X59:Y59" si="53">IF(X51=0,0,X51/X$47)</f>
        <v>0.10499046883309485</v>
      </c>
      <c r="Y59" s="72">
        <f t="shared" si="53"/>
        <v>0.11037210258356842</v>
      </c>
      <c r="DA59" s="115"/>
    </row>
    <row r="60" spans="1:105" ht="12" customHeight="1" x14ac:dyDescent="0.25">
      <c r="A60" s="61" t="s">
        <v>34</v>
      </c>
      <c r="B60" s="73">
        <f t="shared" ref="B60" si="54">IF(B52=0,0,B52/B$47)</f>
        <v>0.13753391190782599</v>
      </c>
      <c r="C60" s="73">
        <f t="shared" ref="C60:W60" si="55">IF(C52=0,0,C52/C$47)</f>
        <v>0.13002717960021001</v>
      </c>
      <c r="D60" s="73">
        <f t="shared" si="55"/>
        <v>0.12507420141246603</v>
      </c>
      <c r="E60" s="73">
        <f t="shared" si="55"/>
        <v>0.12292975519980832</v>
      </c>
      <c r="F60" s="73">
        <f t="shared" si="55"/>
        <v>0.12601560469180009</v>
      </c>
      <c r="G60" s="73">
        <f t="shared" si="55"/>
        <v>0.12634217823181768</v>
      </c>
      <c r="H60" s="73">
        <f t="shared" si="55"/>
        <v>0.11886223186365688</v>
      </c>
      <c r="I60" s="73">
        <f t="shared" si="55"/>
        <v>0.11848313006583215</v>
      </c>
      <c r="J60" s="73">
        <f t="shared" si="55"/>
        <v>0.1121821857448843</v>
      </c>
      <c r="K60" s="73">
        <f t="shared" si="55"/>
        <v>0.11207832761746857</v>
      </c>
      <c r="L60" s="73">
        <f t="shared" si="55"/>
        <v>0.10776939032584665</v>
      </c>
      <c r="M60" s="73">
        <f t="shared" si="55"/>
        <v>0.11365669077436978</v>
      </c>
      <c r="N60" s="73">
        <f t="shared" si="55"/>
        <v>0.12649568382454432</v>
      </c>
      <c r="O60" s="73">
        <f t="shared" si="55"/>
        <v>0.13503826493979823</v>
      </c>
      <c r="P60" s="73">
        <f t="shared" si="55"/>
        <v>0.13347490590492403</v>
      </c>
      <c r="Q60" s="73">
        <f t="shared" si="55"/>
        <v>0.13177065962501003</v>
      </c>
      <c r="R60" s="73">
        <f t="shared" si="55"/>
        <v>0.12460245450119999</v>
      </c>
      <c r="S60" s="73">
        <f t="shared" si="55"/>
        <v>0.12277197541615385</v>
      </c>
      <c r="T60" s="73">
        <f t="shared" si="55"/>
        <v>0.12284229217889188</v>
      </c>
      <c r="U60" s="73">
        <f t="shared" si="55"/>
        <v>0.12313759684085192</v>
      </c>
      <c r="V60" s="73">
        <f t="shared" si="55"/>
        <v>0.13032241728503588</v>
      </c>
      <c r="W60" s="73">
        <f t="shared" si="55"/>
        <v>0.11951743130998937</v>
      </c>
      <c r="X60" s="73">
        <f t="shared" ref="X60:Y60" si="56">IF(X52=0,0,X52/X$47)</f>
        <v>0.11615852326294916</v>
      </c>
      <c r="Y60" s="73">
        <f t="shared" si="56"/>
        <v>0.11933283843755993</v>
      </c>
      <c r="DA60" s="116"/>
    </row>
    <row r="61" spans="1:105" ht="12" customHeight="1" x14ac:dyDescent="0.25">
      <c r="A61" s="69" t="s">
        <v>33</v>
      </c>
      <c r="B61" s="70">
        <f t="shared" ref="B61" si="57">IF(B53=0,0,B53/B$47)</f>
        <v>0.36748071582918485</v>
      </c>
      <c r="C61" s="70">
        <f t="shared" ref="C61:W61" si="58">IF(C53=0,0,C53/C$47)</f>
        <v>0.35646598003510499</v>
      </c>
      <c r="D61" s="70">
        <f t="shared" si="58"/>
        <v>0.34702733747989656</v>
      </c>
      <c r="E61" s="70">
        <f t="shared" si="58"/>
        <v>0.34507602204827081</v>
      </c>
      <c r="F61" s="70">
        <f t="shared" si="58"/>
        <v>0.35209355814879839</v>
      </c>
      <c r="G61" s="70">
        <f t="shared" si="58"/>
        <v>0.35005722324969174</v>
      </c>
      <c r="H61" s="70">
        <f t="shared" si="58"/>
        <v>0.31380404457144601</v>
      </c>
      <c r="I61" s="70">
        <f t="shared" si="58"/>
        <v>0.30992088386396344</v>
      </c>
      <c r="J61" s="70">
        <f t="shared" si="58"/>
        <v>0.29141868146460492</v>
      </c>
      <c r="K61" s="70">
        <f t="shared" si="58"/>
        <v>0.29728761651063024</v>
      </c>
      <c r="L61" s="70">
        <f t="shared" si="58"/>
        <v>0.2910746588415547</v>
      </c>
      <c r="M61" s="70">
        <f t="shared" si="58"/>
        <v>0.30482484026361995</v>
      </c>
      <c r="N61" s="70">
        <f t="shared" si="58"/>
        <v>0.34017112383459847</v>
      </c>
      <c r="O61" s="70">
        <f t="shared" si="58"/>
        <v>0.3732270589226564</v>
      </c>
      <c r="P61" s="70">
        <f t="shared" si="58"/>
        <v>0.3718913181534077</v>
      </c>
      <c r="Q61" s="70">
        <f t="shared" si="58"/>
        <v>0.36926227426447955</v>
      </c>
      <c r="R61" s="70">
        <f t="shared" si="58"/>
        <v>0.35089877735434027</v>
      </c>
      <c r="S61" s="70">
        <f t="shared" si="58"/>
        <v>0.33644647446373471</v>
      </c>
      <c r="T61" s="70">
        <f t="shared" si="58"/>
        <v>0.32436705007898231</v>
      </c>
      <c r="U61" s="70">
        <f t="shared" si="58"/>
        <v>0.3077154111108128</v>
      </c>
      <c r="V61" s="70">
        <f t="shared" si="58"/>
        <v>0.3299355729854026</v>
      </c>
      <c r="W61" s="70">
        <f t="shared" si="58"/>
        <v>0.31352175655037534</v>
      </c>
      <c r="X61" s="70">
        <f t="shared" ref="X61:Y61" si="59">IF(X53=0,0,X53/X$47)</f>
        <v>0.28342165730690094</v>
      </c>
      <c r="Y61" s="70">
        <f t="shared" si="59"/>
        <v>0.27603146515560645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80.909852639246594</v>
      </c>
      <c r="C65" s="80">
        <v>81.757080126404162</v>
      </c>
      <c r="D65" s="80">
        <v>78.368170177773834</v>
      </c>
      <c r="E65" s="80">
        <v>80.486221163081936</v>
      </c>
      <c r="F65" s="80">
        <v>72.437613232842423</v>
      </c>
      <c r="G65" s="80">
        <v>69.634233007911021</v>
      </c>
      <c r="H65" s="80">
        <v>118.33920648000002</v>
      </c>
      <c r="I65" s="80">
        <v>121.52983428000002</v>
      </c>
      <c r="J65" s="80">
        <v>153.18261287999999</v>
      </c>
      <c r="K65" s="80">
        <v>124.65463356000002</v>
      </c>
      <c r="L65" s="80">
        <v>137.44374624</v>
      </c>
      <c r="M65" s="80">
        <v>137.1664098</v>
      </c>
      <c r="N65" s="80">
        <v>124.27068744000002</v>
      </c>
      <c r="O65" s="80">
        <v>127.33764371999999</v>
      </c>
      <c r="P65" s="80">
        <v>118.40024052</v>
      </c>
      <c r="Q65" s="80">
        <v>108.93590028000001</v>
      </c>
      <c r="R65" s="80">
        <v>105.63718716</v>
      </c>
      <c r="S65" s="80">
        <v>121.54470551999998</v>
      </c>
      <c r="T65" s="80">
        <v>120.66732036000002</v>
      </c>
      <c r="U65" s="80">
        <v>146.74850352000001</v>
      </c>
      <c r="V65" s="80">
        <v>115.12279008000003</v>
      </c>
      <c r="W65" s="80">
        <v>120.53288772000002</v>
      </c>
      <c r="X65" s="80">
        <v>135.25544160000001</v>
      </c>
      <c r="Y65" s="80">
        <v>134.60009472000002</v>
      </c>
      <c r="DA65" s="103" t="s">
        <v>219</v>
      </c>
    </row>
    <row r="66" spans="1:105" ht="12" customHeight="1" x14ac:dyDescent="0.25">
      <c r="A66" s="58" t="s">
        <v>29</v>
      </c>
      <c r="B66" s="59">
        <v>0</v>
      </c>
      <c r="C66" s="59">
        <v>0</v>
      </c>
      <c r="D66" s="59">
        <v>0</v>
      </c>
      <c r="E66" s="59">
        <v>0</v>
      </c>
      <c r="F66" s="59">
        <v>0</v>
      </c>
      <c r="G66" s="59">
        <v>0</v>
      </c>
      <c r="H66" s="59">
        <v>0</v>
      </c>
      <c r="I66" s="59">
        <v>0</v>
      </c>
      <c r="J66" s="59">
        <v>0</v>
      </c>
      <c r="K66" s="59">
        <v>0</v>
      </c>
      <c r="L66" s="59">
        <v>0</v>
      </c>
      <c r="M66" s="59">
        <v>0</v>
      </c>
      <c r="N66" s="59">
        <v>0</v>
      </c>
      <c r="O66" s="59">
        <v>0</v>
      </c>
      <c r="P66" s="59">
        <v>0</v>
      </c>
      <c r="Q66" s="59">
        <v>0</v>
      </c>
      <c r="R66" s="59">
        <v>0</v>
      </c>
      <c r="S66" s="59">
        <v>0</v>
      </c>
      <c r="T66" s="59">
        <v>0</v>
      </c>
      <c r="U66" s="59">
        <v>0</v>
      </c>
      <c r="V66" s="59">
        <v>0</v>
      </c>
      <c r="W66" s="59">
        <v>0</v>
      </c>
      <c r="X66" s="59">
        <v>0</v>
      </c>
      <c r="Y66" s="59">
        <v>0</v>
      </c>
      <c r="DA66" s="104" t="s">
        <v>220</v>
      </c>
    </row>
    <row r="67" spans="1:105" ht="12" customHeight="1" x14ac:dyDescent="0.25">
      <c r="A67" s="60" t="s">
        <v>28</v>
      </c>
      <c r="B67" s="55">
        <f>SUM(B68:B69)</f>
        <v>80.909852639246594</v>
      </c>
      <c r="C67" s="55">
        <f t="shared" ref="C67:W67" si="60">SUM(C68:C69)</f>
        <v>81.757080126404162</v>
      </c>
      <c r="D67" s="55">
        <f t="shared" si="60"/>
        <v>78.368170177773834</v>
      </c>
      <c r="E67" s="55">
        <f t="shared" si="60"/>
        <v>80.486221163081936</v>
      </c>
      <c r="F67" s="55">
        <f t="shared" si="60"/>
        <v>72.437613232842423</v>
      </c>
      <c r="G67" s="55">
        <f t="shared" si="60"/>
        <v>69.634233007911021</v>
      </c>
      <c r="H67" s="55">
        <f t="shared" si="60"/>
        <v>118.33920648</v>
      </c>
      <c r="I67" s="55">
        <f t="shared" si="60"/>
        <v>121.52983428000002</v>
      </c>
      <c r="J67" s="55">
        <f t="shared" si="60"/>
        <v>153.18261287999999</v>
      </c>
      <c r="K67" s="55">
        <f t="shared" si="60"/>
        <v>124.65463356000001</v>
      </c>
      <c r="L67" s="55">
        <f t="shared" si="60"/>
        <v>137.44374624</v>
      </c>
      <c r="M67" s="55">
        <f t="shared" si="60"/>
        <v>137.1664098</v>
      </c>
      <c r="N67" s="55">
        <f t="shared" si="60"/>
        <v>124.27068744000002</v>
      </c>
      <c r="O67" s="55">
        <f t="shared" si="60"/>
        <v>127.33764371999999</v>
      </c>
      <c r="P67" s="55">
        <f t="shared" si="60"/>
        <v>118.40024052</v>
      </c>
      <c r="Q67" s="55">
        <f t="shared" si="60"/>
        <v>108.93590028</v>
      </c>
      <c r="R67" s="55">
        <f t="shared" si="60"/>
        <v>105.63718716</v>
      </c>
      <c r="S67" s="55">
        <f t="shared" si="60"/>
        <v>121.54470551999998</v>
      </c>
      <c r="T67" s="55">
        <f t="shared" si="60"/>
        <v>120.66732036000002</v>
      </c>
      <c r="U67" s="55">
        <f t="shared" si="60"/>
        <v>146.74850352000001</v>
      </c>
      <c r="V67" s="55">
        <f t="shared" si="60"/>
        <v>115.12279008000003</v>
      </c>
      <c r="W67" s="55">
        <f t="shared" si="60"/>
        <v>120.53288772000002</v>
      </c>
      <c r="X67" s="55">
        <f t="shared" ref="X67:Y67" si="61">SUM(X68:X69)</f>
        <v>135.25544160000001</v>
      </c>
      <c r="Y67" s="55">
        <f t="shared" si="61"/>
        <v>134.60009472000002</v>
      </c>
      <c r="DA67" s="101"/>
    </row>
    <row r="68" spans="1:105" ht="12" customHeight="1" x14ac:dyDescent="0.25">
      <c r="A68" s="61" t="s">
        <v>52</v>
      </c>
      <c r="B68" s="55">
        <v>0</v>
      </c>
      <c r="C68" s="55">
        <v>0</v>
      </c>
      <c r="D68" s="55">
        <v>0</v>
      </c>
      <c r="E68" s="55">
        <v>0</v>
      </c>
      <c r="F68" s="55">
        <v>0</v>
      </c>
      <c r="G68" s="55">
        <v>0</v>
      </c>
      <c r="H68" s="55">
        <v>38.800290960000019</v>
      </c>
      <c r="I68" s="55">
        <v>38.800290960000019</v>
      </c>
      <c r="J68" s="55">
        <v>41.784719040000006</v>
      </c>
      <c r="K68" s="55">
        <v>38.800290960000019</v>
      </c>
      <c r="L68" s="55">
        <v>38.800290960000019</v>
      </c>
      <c r="M68" s="55">
        <v>41.784719040000006</v>
      </c>
      <c r="N68" s="55">
        <v>41.784719040000006</v>
      </c>
      <c r="O68" s="55">
        <v>38.800290959999991</v>
      </c>
      <c r="P68" s="55">
        <v>32.830980479999994</v>
      </c>
      <c r="Q68" s="55">
        <v>35.815635719999996</v>
      </c>
      <c r="R68" s="55">
        <v>35.815635719999996</v>
      </c>
      <c r="S68" s="55">
        <v>43.235362799999997</v>
      </c>
      <c r="T68" s="55">
        <v>43.754650560000009</v>
      </c>
      <c r="U68" s="55">
        <v>50.097184920000011</v>
      </c>
      <c r="V68" s="55">
        <v>36.994596120000011</v>
      </c>
      <c r="W68" s="55">
        <v>32.383248120000005</v>
      </c>
      <c r="X68" s="55">
        <v>37.955482920000009</v>
      </c>
      <c r="Y68" s="55">
        <v>35.451498239999999</v>
      </c>
      <c r="DA68" s="101" t="s">
        <v>221</v>
      </c>
    </row>
    <row r="69" spans="1:105" ht="12" customHeight="1" x14ac:dyDescent="0.25">
      <c r="A69" s="61" t="s">
        <v>163</v>
      </c>
      <c r="B69" s="55">
        <v>80.909852639246594</v>
      </c>
      <c r="C69" s="55">
        <v>81.757080126404162</v>
      </c>
      <c r="D69" s="55">
        <v>78.368170177773834</v>
      </c>
      <c r="E69" s="55">
        <v>80.486221163081936</v>
      </c>
      <c r="F69" s="55">
        <v>72.437613232842423</v>
      </c>
      <c r="G69" s="55">
        <v>69.634233007911021</v>
      </c>
      <c r="H69" s="55">
        <v>79.538915519999989</v>
      </c>
      <c r="I69" s="55">
        <v>82.729543320000005</v>
      </c>
      <c r="J69" s="55">
        <v>111.39789383999999</v>
      </c>
      <c r="K69" s="55">
        <v>85.854342599999995</v>
      </c>
      <c r="L69" s="55">
        <v>98.643455279999984</v>
      </c>
      <c r="M69" s="55">
        <v>95.381690759999998</v>
      </c>
      <c r="N69" s="55">
        <v>82.485968400000019</v>
      </c>
      <c r="O69" s="55">
        <v>88.537352760000005</v>
      </c>
      <c r="P69" s="55">
        <v>85.569260040000003</v>
      </c>
      <c r="Q69" s="55">
        <v>73.12026456000001</v>
      </c>
      <c r="R69" s="55">
        <v>69.821551440000007</v>
      </c>
      <c r="S69" s="55">
        <v>78.309342719999989</v>
      </c>
      <c r="T69" s="55">
        <v>76.912669800000003</v>
      </c>
      <c r="U69" s="55">
        <v>96.651318599999996</v>
      </c>
      <c r="V69" s="55">
        <v>78.128193960000019</v>
      </c>
      <c r="W69" s="55">
        <v>88.149639600000015</v>
      </c>
      <c r="X69" s="55">
        <v>97.299958680000003</v>
      </c>
      <c r="Y69" s="55">
        <v>99.148596480000009</v>
      </c>
      <c r="DA69" s="101" t="s">
        <v>222</v>
      </c>
    </row>
    <row r="70" spans="1:105" ht="12" customHeight="1" x14ac:dyDescent="0.25">
      <c r="A70" s="60" t="s">
        <v>149</v>
      </c>
      <c r="B70" s="55">
        <v>0</v>
      </c>
      <c r="C70" s="55">
        <v>0</v>
      </c>
      <c r="D70" s="55">
        <v>0</v>
      </c>
      <c r="E70" s="55">
        <v>0</v>
      </c>
      <c r="F70" s="55">
        <v>0</v>
      </c>
      <c r="G70" s="55">
        <v>0</v>
      </c>
      <c r="H70" s="55">
        <v>0</v>
      </c>
      <c r="I70" s="55">
        <v>0</v>
      </c>
      <c r="J70" s="55">
        <v>0</v>
      </c>
      <c r="K70" s="55">
        <v>0</v>
      </c>
      <c r="L70" s="55">
        <v>0</v>
      </c>
      <c r="M70" s="55">
        <v>0</v>
      </c>
      <c r="N70" s="55">
        <v>0</v>
      </c>
      <c r="O70" s="55">
        <v>0</v>
      </c>
      <c r="P70" s="55">
        <v>0</v>
      </c>
      <c r="Q70" s="55">
        <v>0</v>
      </c>
      <c r="R70" s="55">
        <v>0</v>
      </c>
      <c r="S70" s="55">
        <v>0</v>
      </c>
      <c r="T70" s="55">
        <v>0</v>
      </c>
      <c r="U70" s="55">
        <v>0</v>
      </c>
      <c r="V70" s="55">
        <v>0</v>
      </c>
      <c r="W70" s="55">
        <v>0</v>
      </c>
      <c r="X70" s="55">
        <v>0</v>
      </c>
      <c r="Y70" s="55">
        <v>0</v>
      </c>
      <c r="DA70" s="101" t="s">
        <v>223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62">SUM(C72:C76)</f>
        <v>0</v>
      </c>
      <c r="D71" s="55">
        <f t="shared" si="62"/>
        <v>0</v>
      </c>
      <c r="E71" s="55">
        <f t="shared" si="62"/>
        <v>0</v>
      </c>
      <c r="F71" s="55">
        <f t="shared" si="62"/>
        <v>0</v>
      </c>
      <c r="G71" s="55">
        <f t="shared" si="62"/>
        <v>0</v>
      </c>
      <c r="H71" s="55">
        <f t="shared" si="62"/>
        <v>0</v>
      </c>
      <c r="I71" s="55">
        <f t="shared" si="62"/>
        <v>0</v>
      </c>
      <c r="J71" s="55">
        <f t="shared" si="62"/>
        <v>0</v>
      </c>
      <c r="K71" s="55">
        <f t="shared" si="62"/>
        <v>0</v>
      </c>
      <c r="L71" s="55">
        <f t="shared" si="62"/>
        <v>0</v>
      </c>
      <c r="M71" s="55">
        <f t="shared" si="62"/>
        <v>0</v>
      </c>
      <c r="N71" s="55">
        <f t="shared" si="62"/>
        <v>0</v>
      </c>
      <c r="O71" s="55">
        <f t="shared" si="62"/>
        <v>0</v>
      </c>
      <c r="P71" s="55">
        <f t="shared" si="62"/>
        <v>0</v>
      </c>
      <c r="Q71" s="55">
        <f t="shared" si="62"/>
        <v>0</v>
      </c>
      <c r="R71" s="55">
        <f t="shared" si="62"/>
        <v>0</v>
      </c>
      <c r="S71" s="55">
        <f t="shared" si="62"/>
        <v>0</v>
      </c>
      <c r="T71" s="55">
        <f t="shared" si="62"/>
        <v>0</v>
      </c>
      <c r="U71" s="55">
        <f t="shared" si="62"/>
        <v>0</v>
      </c>
      <c r="V71" s="55">
        <f t="shared" si="62"/>
        <v>0</v>
      </c>
      <c r="W71" s="55">
        <f t="shared" si="62"/>
        <v>0</v>
      </c>
      <c r="X71" s="55">
        <f t="shared" ref="X71:Y71" si="63">SUM(X72:X76)</f>
        <v>0</v>
      </c>
      <c r="Y71" s="55">
        <f t="shared" si="63"/>
        <v>0</v>
      </c>
      <c r="DA71" s="101"/>
    </row>
    <row r="72" spans="1:105" ht="12" customHeight="1" x14ac:dyDescent="0.25">
      <c r="A72" s="61" t="s">
        <v>164</v>
      </c>
      <c r="B72" s="55">
        <v>0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DA72" s="101" t="s">
        <v>224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X73" s="55">
        <v>0</v>
      </c>
      <c r="Y73" s="55">
        <v>0</v>
      </c>
      <c r="DA73" s="101" t="s">
        <v>225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X74" s="55">
        <v>0</v>
      </c>
      <c r="Y74" s="55">
        <v>0</v>
      </c>
      <c r="DA74" s="101" t="s">
        <v>226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X75" s="55">
        <v>0</v>
      </c>
      <c r="Y75" s="55">
        <v>0</v>
      </c>
      <c r="DA75" s="101" t="s">
        <v>227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X76" s="55">
        <v>0</v>
      </c>
      <c r="Y76" s="55">
        <v>0</v>
      </c>
      <c r="DA76" s="101" t="s">
        <v>228</v>
      </c>
    </row>
    <row r="77" spans="1:105" ht="12" customHeight="1" x14ac:dyDescent="0.25">
      <c r="A77" s="61" t="s">
        <v>151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DA77" s="101" t="s">
        <v>229</v>
      </c>
    </row>
    <row r="78" spans="1:105" ht="12" customHeight="1" x14ac:dyDescent="0.25">
      <c r="A78" s="60" t="s">
        <v>162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X78" s="55">
        <v>0</v>
      </c>
      <c r="Y78" s="55">
        <v>0</v>
      </c>
      <c r="DA78" s="101" t="s">
        <v>230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X79" s="63">
        <v>0</v>
      </c>
      <c r="Y79" s="63">
        <v>0</v>
      </c>
      <c r="DA79" s="105" t="s">
        <v>231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64">B82+B87</f>
        <v>80.909852639246594</v>
      </c>
      <c r="C81" s="82">
        <f t="shared" ref="C81:W81" si="65">C82+C87</f>
        <v>81.757080126404162</v>
      </c>
      <c r="D81" s="82">
        <f t="shared" si="65"/>
        <v>78.368170177773834</v>
      </c>
      <c r="E81" s="82">
        <f t="shared" si="65"/>
        <v>80.486221163081936</v>
      </c>
      <c r="F81" s="82">
        <f t="shared" si="65"/>
        <v>72.437613232842438</v>
      </c>
      <c r="G81" s="82">
        <f t="shared" si="65"/>
        <v>69.634233007911021</v>
      </c>
      <c r="H81" s="82">
        <f t="shared" si="65"/>
        <v>118.33920648</v>
      </c>
      <c r="I81" s="82">
        <f t="shared" si="65"/>
        <v>121.52983428000002</v>
      </c>
      <c r="J81" s="82">
        <f t="shared" si="65"/>
        <v>153.18261288000002</v>
      </c>
      <c r="K81" s="82">
        <f t="shared" si="65"/>
        <v>124.65463356000002</v>
      </c>
      <c r="L81" s="82">
        <f t="shared" si="65"/>
        <v>137.44374624</v>
      </c>
      <c r="M81" s="82">
        <f t="shared" si="65"/>
        <v>137.1664098</v>
      </c>
      <c r="N81" s="82">
        <f t="shared" si="65"/>
        <v>124.27068744000007</v>
      </c>
      <c r="O81" s="82">
        <f t="shared" si="65"/>
        <v>127.33764372000006</v>
      </c>
      <c r="P81" s="82">
        <f t="shared" si="65"/>
        <v>118.40024052000001</v>
      </c>
      <c r="Q81" s="82">
        <f t="shared" si="65"/>
        <v>108.93590028000003</v>
      </c>
      <c r="R81" s="82">
        <f t="shared" si="65"/>
        <v>105.63718715999998</v>
      </c>
      <c r="S81" s="82">
        <f t="shared" si="65"/>
        <v>121.54470551999997</v>
      </c>
      <c r="T81" s="82">
        <f t="shared" si="65"/>
        <v>120.66732035999999</v>
      </c>
      <c r="U81" s="82">
        <f t="shared" si="65"/>
        <v>146.74850352000004</v>
      </c>
      <c r="V81" s="82">
        <f t="shared" si="65"/>
        <v>115.12279008000004</v>
      </c>
      <c r="W81" s="82">
        <f t="shared" si="65"/>
        <v>120.53288771999999</v>
      </c>
      <c r="X81" s="82">
        <f t="shared" ref="X81:Y81" si="66">X82+X87</f>
        <v>135.25544160000007</v>
      </c>
      <c r="Y81" s="82">
        <f t="shared" si="66"/>
        <v>134.60009471999999</v>
      </c>
      <c r="DA81" s="107" t="s">
        <v>232</v>
      </c>
    </row>
    <row r="82" spans="1:105" ht="12" customHeight="1" x14ac:dyDescent="0.25">
      <c r="A82" s="77" t="s">
        <v>36</v>
      </c>
      <c r="B82" s="64">
        <f t="shared" ref="B82" si="67">SUM(B83:B86)</f>
        <v>80.909852639246594</v>
      </c>
      <c r="C82" s="64">
        <f t="shared" ref="C82:W82" si="68">SUM(C83:C86)</f>
        <v>81.757080126404162</v>
      </c>
      <c r="D82" s="64">
        <f t="shared" si="68"/>
        <v>78.368170177773834</v>
      </c>
      <c r="E82" s="64">
        <f t="shared" si="68"/>
        <v>80.486221163081936</v>
      </c>
      <c r="F82" s="64">
        <f t="shared" si="68"/>
        <v>72.437613232842438</v>
      </c>
      <c r="G82" s="64">
        <f t="shared" si="68"/>
        <v>69.634233007911021</v>
      </c>
      <c r="H82" s="64">
        <f t="shared" si="68"/>
        <v>118.33920648</v>
      </c>
      <c r="I82" s="64">
        <f t="shared" si="68"/>
        <v>121.52983428000002</v>
      </c>
      <c r="J82" s="64">
        <f t="shared" si="68"/>
        <v>153.18261288000002</v>
      </c>
      <c r="K82" s="64">
        <f t="shared" si="68"/>
        <v>124.65463356000002</v>
      </c>
      <c r="L82" s="64">
        <f t="shared" si="68"/>
        <v>137.44374624</v>
      </c>
      <c r="M82" s="64">
        <f t="shared" si="68"/>
        <v>137.1664098</v>
      </c>
      <c r="N82" s="64">
        <f t="shared" si="68"/>
        <v>124.27068744000007</v>
      </c>
      <c r="O82" s="64">
        <f t="shared" si="68"/>
        <v>127.33764372000006</v>
      </c>
      <c r="P82" s="64">
        <f t="shared" si="68"/>
        <v>118.40024052000001</v>
      </c>
      <c r="Q82" s="64">
        <f t="shared" si="68"/>
        <v>108.93590028000003</v>
      </c>
      <c r="R82" s="64">
        <f t="shared" si="68"/>
        <v>105.63718715999998</v>
      </c>
      <c r="S82" s="64">
        <f t="shared" si="68"/>
        <v>121.54470551999997</v>
      </c>
      <c r="T82" s="64">
        <f t="shared" si="68"/>
        <v>120.66732035999999</v>
      </c>
      <c r="U82" s="64">
        <f t="shared" si="68"/>
        <v>146.74850352000004</v>
      </c>
      <c r="V82" s="64">
        <f t="shared" si="68"/>
        <v>115.12279008000004</v>
      </c>
      <c r="W82" s="64">
        <f t="shared" si="68"/>
        <v>120.53288771999999</v>
      </c>
      <c r="X82" s="64">
        <f t="shared" ref="X82:Y82" si="69">SUM(X83:X86)</f>
        <v>135.25544160000007</v>
      </c>
      <c r="Y82" s="64">
        <f t="shared" si="69"/>
        <v>134.60009471999999</v>
      </c>
      <c r="DA82" s="108" t="s">
        <v>233</v>
      </c>
    </row>
    <row r="83" spans="1:105" ht="12" customHeight="1" x14ac:dyDescent="0.25">
      <c r="A83" s="61" t="s">
        <v>32</v>
      </c>
      <c r="B83" s="65">
        <v>77.183414806263201</v>
      </c>
      <c r="C83" s="65">
        <v>78.007597241719964</v>
      </c>
      <c r="D83" s="65">
        <v>74.611600677874634</v>
      </c>
      <c r="E83" s="65">
        <v>76.759246099533016</v>
      </c>
      <c r="F83" s="65">
        <v>68.694223356125548</v>
      </c>
      <c r="G83" s="65">
        <v>65.877525540557926</v>
      </c>
      <c r="H83" s="65">
        <v>75.832197953451342</v>
      </c>
      <c r="I83" s="65">
        <v>79.085031758138825</v>
      </c>
      <c r="J83" s="65">
        <v>107.81190606053889</v>
      </c>
      <c r="K83" s="65">
        <v>82.281344195324394</v>
      </c>
      <c r="L83" s="65">
        <v>95.088835893192396</v>
      </c>
      <c r="M83" s="65">
        <v>91.822513570477938</v>
      </c>
      <c r="N83" s="65">
        <v>78.898032698101417</v>
      </c>
      <c r="O83" s="65">
        <v>85.039296914573384</v>
      </c>
      <c r="P83" s="65">
        <v>82.067892182256145</v>
      </c>
      <c r="Q83" s="65">
        <v>69.622935236071768</v>
      </c>
      <c r="R83" s="65">
        <v>66.296364405834552</v>
      </c>
      <c r="S83" s="65">
        <v>74.996317833201132</v>
      </c>
      <c r="T83" s="65">
        <v>73.422727169852138</v>
      </c>
      <c r="U83" s="65">
        <v>93.168214522348876</v>
      </c>
      <c r="V83" s="65">
        <v>74.986345596824393</v>
      </c>
      <c r="W83" s="65">
        <v>84.734048586077904</v>
      </c>
      <c r="X83" s="65">
        <v>93.451419463043237</v>
      </c>
      <c r="Y83" s="65">
        <v>95.240461968037323</v>
      </c>
      <c r="DA83" s="109" t="s">
        <v>234</v>
      </c>
    </row>
    <row r="84" spans="1:105" ht="12" customHeight="1" x14ac:dyDescent="0.25">
      <c r="A84" s="61" t="s">
        <v>31</v>
      </c>
      <c r="B84" s="65">
        <v>0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0</v>
      </c>
      <c r="Y84" s="65">
        <v>0</v>
      </c>
      <c r="DA84" s="109" t="s">
        <v>235</v>
      </c>
    </row>
    <row r="85" spans="1:105" ht="12" customHeight="1" x14ac:dyDescent="0.25">
      <c r="A85" s="61" t="s">
        <v>35</v>
      </c>
      <c r="B85" s="65">
        <v>3.7264378329833994</v>
      </c>
      <c r="C85" s="65">
        <v>3.7494828846841961</v>
      </c>
      <c r="D85" s="65">
        <v>3.7565694998992059</v>
      </c>
      <c r="E85" s="65">
        <v>3.7269750635489238</v>
      </c>
      <c r="F85" s="65">
        <v>3.7433898767168894</v>
      </c>
      <c r="G85" s="65">
        <v>3.756707467353098</v>
      </c>
      <c r="H85" s="65">
        <v>27.217635147822225</v>
      </c>
      <c r="I85" s="65">
        <v>27.404027714766048</v>
      </c>
      <c r="J85" s="65">
        <v>27.687907362152608</v>
      </c>
      <c r="K85" s="65">
        <v>27.857240184615375</v>
      </c>
      <c r="L85" s="65">
        <v>28.623585336856284</v>
      </c>
      <c r="M85" s="65">
        <v>27.457864203196706</v>
      </c>
      <c r="N85" s="65">
        <v>26.163628314418236</v>
      </c>
      <c r="O85" s="65">
        <v>24.597459295859469</v>
      </c>
      <c r="P85" s="65">
        <v>21.420597060852195</v>
      </c>
      <c r="Q85" s="65">
        <v>20.871522017208189</v>
      </c>
      <c r="R85" s="65">
        <v>21.142382424847966</v>
      </c>
      <c r="S85" s="65">
        <v>21.175024139532692</v>
      </c>
      <c r="T85" s="65">
        <v>20.403074471738361</v>
      </c>
      <c r="U85" s="65">
        <v>19.973450514467277</v>
      </c>
      <c r="V85" s="65">
        <v>16.006885111936974</v>
      </c>
      <c r="W85" s="65">
        <v>15.075600054611444</v>
      </c>
      <c r="X85" s="65">
        <v>17.174733342276486</v>
      </c>
      <c r="Y85" s="65">
        <v>17.658395964321503</v>
      </c>
      <c r="DA85" s="109" t="s">
        <v>236</v>
      </c>
    </row>
    <row r="86" spans="1:105" ht="12" customHeight="1" x14ac:dyDescent="0.25">
      <c r="A86" s="66" t="s">
        <v>34</v>
      </c>
      <c r="B86" s="67">
        <v>0</v>
      </c>
      <c r="C86" s="67">
        <v>0</v>
      </c>
      <c r="D86" s="67">
        <v>0</v>
      </c>
      <c r="E86" s="67">
        <v>0</v>
      </c>
      <c r="F86" s="67">
        <v>0</v>
      </c>
      <c r="G86" s="67">
        <v>0</v>
      </c>
      <c r="H86" s="67">
        <v>15.289373378726445</v>
      </c>
      <c r="I86" s="67">
        <v>15.040774807095147</v>
      </c>
      <c r="J86" s="67">
        <v>17.682799457308526</v>
      </c>
      <c r="K86" s="67">
        <v>14.516049180060254</v>
      </c>
      <c r="L86" s="67">
        <v>13.731325009951311</v>
      </c>
      <c r="M86" s="67">
        <v>17.88603202632536</v>
      </c>
      <c r="N86" s="67">
        <v>19.209026427480424</v>
      </c>
      <c r="O86" s="67">
        <v>17.700887509567206</v>
      </c>
      <c r="P86" s="67">
        <v>14.911751276891657</v>
      </c>
      <c r="Q86" s="67">
        <v>18.441443026720059</v>
      </c>
      <c r="R86" s="67">
        <v>18.198440329317467</v>
      </c>
      <c r="S86" s="67">
        <v>25.373363547266138</v>
      </c>
      <c r="T86" s="67">
        <v>26.841518718409493</v>
      </c>
      <c r="U86" s="67">
        <v>33.6068384831839</v>
      </c>
      <c r="V86" s="67">
        <v>24.129559371238681</v>
      </c>
      <c r="W86" s="67">
        <v>20.723239079310648</v>
      </c>
      <c r="X86" s="67">
        <v>24.629288794680342</v>
      </c>
      <c r="Y86" s="67">
        <v>21.701236787641172</v>
      </c>
      <c r="DA86" s="110" t="s">
        <v>237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X87" s="68">
        <v>0</v>
      </c>
      <c r="Y87" s="68">
        <v>0</v>
      </c>
      <c r="DA87" s="111" t="s">
        <v>238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70">IF(B81=0,0,B81/B$81)</f>
        <v>1</v>
      </c>
      <c r="C89" s="83">
        <f t="shared" ref="C89:W89" si="71">IF(C81=0,0,C81/C$81)</f>
        <v>1</v>
      </c>
      <c r="D89" s="83">
        <f t="shared" si="71"/>
        <v>1</v>
      </c>
      <c r="E89" s="83">
        <f t="shared" si="71"/>
        <v>1</v>
      </c>
      <c r="F89" s="83">
        <f t="shared" si="71"/>
        <v>1</v>
      </c>
      <c r="G89" s="83">
        <f t="shared" si="71"/>
        <v>1</v>
      </c>
      <c r="H89" s="83">
        <f t="shared" si="71"/>
        <v>1</v>
      </c>
      <c r="I89" s="83">
        <f t="shared" si="71"/>
        <v>1</v>
      </c>
      <c r="J89" s="83">
        <f t="shared" si="71"/>
        <v>1</v>
      </c>
      <c r="K89" s="83">
        <f t="shared" si="71"/>
        <v>1</v>
      </c>
      <c r="L89" s="83">
        <f t="shared" si="71"/>
        <v>1</v>
      </c>
      <c r="M89" s="83">
        <f t="shared" si="71"/>
        <v>1</v>
      </c>
      <c r="N89" s="83">
        <f t="shared" si="71"/>
        <v>1</v>
      </c>
      <c r="O89" s="83">
        <f t="shared" si="71"/>
        <v>1</v>
      </c>
      <c r="P89" s="83">
        <f t="shared" si="71"/>
        <v>1</v>
      </c>
      <c r="Q89" s="83">
        <f t="shared" si="71"/>
        <v>1</v>
      </c>
      <c r="R89" s="83">
        <f t="shared" si="71"/>
        <v>1</v>
      </c>
      <c r="S89" s="83">
        <f t="shared" si="71"/>
        <v>1</v>
      </c>
      <c r="T89" s="83">
        <f t="shared" si="71"/>
        <v>1</v>
      </c>
      <c r="U89" s="83">
        <f t="shared" si="71"/>
        <v>1</v>
      </c>
      <c r="V89" s="83">
        <f t="shared" si="71"/>
        <v>1</v>
      </c>
      <c r="W89" s="83">
        <f t="shared" si="71"/>
        <v>1</v>
      </c>
      <c r="X89" s="83">
        <f t="shared" ref="X89:Y89" si="72">IF(X81=0,0,X81/X$81)</f>
        <v>1</v>
      </c>
      <c r="Y89" s="83">
        <f t="shared" si="72"/>
        <v>1</v>
      </c>
      <c r="DA89" s="112"/>
    </row>
    <row r="90" spans="1:105" ht="12" customHeight="1" x14ac:dyDescent="0.25">
      <c r="A90" s="69" t="s">
        <v>36</v>
      </c>
      <c r="B90" s="70">
        <f t="shared" ref="B90" si="73">IF(B82=0,0,B82/B$81)</f>
        <v>1</v>
      </c>
      <c r="C90" s="70">
        <f t="shared" ref="C90:W90" si="74">IF(C82=0,0,C82/C$81)</f>
        <v>1</v>
      </c>
      <c r="D90" s="70">
        <f t="shared" si="74"/>
        <v>1</v>
      </c>
      <c r="E90" s="70">
        <f t="shared" si="74"/>
        <v>1</v>
      </c>
      <c r="F90" s="70">
        <f t="shared" si="74"/>
        <v>1</v>
      </c>
      <c r="G90" s="70">
        <f t="shared" si="74"/>
        <v>1</v>
      </c>
      <c r="H90" s="70">
        <f t="shared" si="74"/>
        <v>1</v>
      </c>
      <c r="I90" s="70">
        <f t="shared" si="74"/>
        <v>1</v>
      </c>
      <c r="J90" s="70">
        <f t="shared" si="74"/>
        <v>1</v>
      </c>
      <c r="K90" s="70">
        <f t="shared" si="74"/>
        <v>1</v>
      </c>
      <c r="L90" s="70">
        <f t="shared" si="74"/>
        <v>1</v>
      </c>
      <c r="M90" s="70">
        <f t="shared" si="74"/>
        <v>1</v>
      </c>
      <c r="N90" s="70">
        <f t="shared" si="74"/>
        <v>1</v>
      </c>
      <c r="O90" s="70">
        <f t="shared" si="74"/>
        <v>1</v>
      </c>
      <c r="P90" s="70">
        <f t="shared" si="74"/>
        <v>1</v>
      </c>
      <c r="Q90" s="70">
        <f t="shared" si="74"/>
        <v>1</v>
      </c>
      <c r="R90" s="70">
        <f t="shared" si="74"/>
        <v>1</v>
      </c>
      <c r="S90" s="70">
        <f t="shared" si="74"/>
        <v>1</v>
      </c>
      <c r="T90" s="70">
        <f t="shared" si="74"/>
        <v>1</v>
      </c>
      <c r="U90" s="70">
        <f t="shared" si="74"/>
        <v>1</v>
      </c>
      <c r="V90" s="70">
        <f t="shared" si="74"/>
        <v>1</v>
      </c>
      <c r="W90" s="70">
        <f t="shared" si="74"/>
        <v>1</v>
      </c>
      <c r="X90" s="70">
        <f t="shared" ref="X90:Y90" si="75">IF(X82=0,0,X82/X$81)</f>
        <v>1</v>
      </c>
      <c r="Y90" s="70">
        <f t="shared" si="75"/>
        <v>1</v>
      </c>
      <c r="DA90" s="113"/>
    </row>
    <row r="91" spans="1:105" ht="12" customHeight="1" x14ac:dyDescent="0.25">
      <c r="A91" s="61" t="s">
        <v>32</v>
      </c>
      <c r="B91" s="71">
        <f t="shared" ref="B91" si="76">IF(B83=0,0,B83/B$81)</f>
        <v>0.95394333679485865</v>
      </c>
      <c r="C91" s="71">
        <f t="shared" ref="C91:W91" si="77">IF(C83=0,0,C83/C$81)</f>
        <v>0.95413873784524661</v>
      </c>
      <c r="D91" s="71">
        <f t="shared" si="77"/>
        <v>0.95206511149389306</v>
      </c>
      <c r="E91" s="71">
        <f t="shared" si="77"/>
        <v>0.95369424716812967</v>
      </c>
      <c r="F91" s="71">
        <f t="shared" si="77"/>
        <v>0.94832256738382326</v>
      </c>
      <c r="G91" s="71">
        <f t="shared" si="77"/>
        <v>0.94605085307787762</v>
      </c>
      <c r="H91" s="71">
        <f t="shared" si="77"/>
        <v>0.64080367115075609</v>
      </c>
      <c r="I91" s="71">
        <f t="shared" si="77"/>
        <v>0.65074582078282095</v>
      </c>
      <c r="J91" s="71">
        <f t="shared" si="77"/>
        <v>0.70381294608805522</v>
      </c>
      <c r="K91" s="71">
        <f t="shared" si="77"/>
        <v>0.66007449418813546</v>
      </c>
      <c r="L91" s="71">
        <f t="shared" si="77"/>
        <v>0.69183821377475574</v>
      </c>
      <c r="M91" s="71">
        <f t="shared" si="77"/>
        <v>0.66942419579518619</v>
      </c>
      <c r="N91" s="71">
        <f t="shared" si="77"/>
        <v>0.63488851895339105</v>
      </c>
      <c r="O91" s="71">
        <f t="shared" si="77"/>
        <v>0.6678252748383221</v>
      </c>
      <c r="P91" s="71">
        <f t="shared" si="77"/>
        <v>0.69313957321221276</v>
      </c>
      <c r="Q91" s="71">
        <f t="shared" si="77"/>
        <v>0.63911837197029264</v>
      </c>
      <c r="R91" s="71">
        <f t="shared" si="77"/>
        <v>0.62758547617725646</v>
      </c>
      <c r="S91" s="71">
        <f t="shared" si="77"/>
        <v>0.61702661183263652</v>
      </c>
      <c r="T91" s="71">
        <f t="shared" si="77"/>
        <v>0.6084723432226895</v>
      </c>
      <c r="U91" s="71">
        <f t="shared" si="77"/>
        <v>0.63488357487510039</v>
      </c>
      <c r="V91" s="71">
        <f t="shared" si="77"/>
        <v>0.65135969641385161</v>
      </c>
      <c r="W91" s="71">
        <f t="shared" si="77"/>
        <v>0.70299525871243196</v>
      </c>
      <c r="X91" s="71">
        <f t="shared" ref="X91:Y91" si="78">IF(X83=0,0,X83/X$81)</f>
        <v>0.69092539536718489</v>
      </c>
      <c r="Y91" s="71">
        <f t="shared" si="78"/>
        <v>0.70758094313499553</v>
      </c>
      <c r="DA91" s="114"/>
    </row>
    <row r="92" spans="1:105" ht="12" customHeight="1" x14ac:dyDescent="0.25">
      <c r="A92" s="61" t="s">
        <v>31</v>
      </c>
      <c r="B92" s="72">
        <f t="shared" ref="B92" si="79">IF(B84=0,0,B84/B$81)</f>
        <v>0</v>
      </c>
      <c r="C92" s="72">
        <f t="shared" ref="C92:W92" si="80">IF(C84=0,0,C84/C$81)</f>
        <v>0</v>
      </c>
      <c r="D92" s="72">
        <f t="shared" si="80"/>
        <v>0</v>
      </c>
      <c r="E92" s="72">
        <f t="shared" si="80"/>
        <v>0</v>
      </c>
      <c r="F92" s="72">
        <f t="shared" si="80"/>
        <v>0</v>
      </c>
      <c r="G92" s="72">
        <f t="shared" si="80"/>
        <v>0</v>
      </c>
      <c r="H92" s="72">
        <f t="shared" si="80"/>
        <v>0</v>
      </c>
      <c r="I92" s="72">
        <f t="shared" si="80"/>
        <v>0</v>
      </c>
      <c r="J92" s="72">
        <f t="shared" si="80"/>
        <v>0</v>
      </c>
      <c r="K92" s="72">
        <f t="shared" si="80"/>
        <v>0</v>
      </c>
      <c r="L92" s="72">
        <f t="shared" si="80"/>
        <v>0</v>
      </c>
      <c r="M92" s="72">
        <f t="shared" si="80"/>
        <v>0</v>
      </c>
      <c r="N92" s="72">
        <f t="shared" si="80"/>
        <v>0</v>
      </c>
      <c r="O92" s="72">
        <f t="shared" si="80"/>
        <v>0</v>
      </c>
      <c r="P92" s="72">
        <f t="shared" si="80"/>
        <v>0</v>
      </c>
      <c r="Q92" s="72">
        <f t="shared" si="80"/>
        <v>0</v>
      </c>
      <c r="R92" s="72">
        <f t="shared" si="80"/>
        <v>0</v>
      </c>
      <c r="S92" s="72">
        <f t="shared" si="80"/>
        <v>0</v>
      </c>
      <c r="T92" s="72">
        <f t="shared" si="80"/>
        <v>0</v>
      </c>
      <c r="U92" s="72">
        <f t="shared" si="80"/>
        <v>0</v>
      </c>
      <c r="V92" s="72">
        <f t="shared" si="80"/>
        <v>0</v>
      </c>
      <c r="W92" s="72">
        <f t="shared" si="80"/>
        <v>0</v>
      </c>
      <c r="X92" s="72">
        <f t="shared" ref="X92:Y92" si="81">IF(X84=0,0,X84/X$81)</f>
        <v>0</v>
      </c>
      <c r="Y92" s="72">
        <f t="shared" si="81"/>
        <v>0</v>
      </c>
      <c r="DA92" s="115"/>
    </row>
    <row r="93" spans="1:105" ht="12" customHeight="1" x14ac:dyDescent="0.25">
      <c r="A93" s="61" t="s">
        <v>35</v>
      </c>
      <c r="B93" s="72">
        <f t="shared" ref="B93" si="82">IF(B85=0,0,B85/B$81)</f>
        <v>4.6056663205141374E-2</v>
      </c>
      <c r="C93" s="72">
        <f t="shared" ref="C93:W93" si="83">IF(C85=0,0,C85/C$81)</f>
        <v>4.5861262154753349E-2</v>
      </c>
      <c r="D93" s="72">
        <f t="shared" si="83"/>
        <v>4.7934888506106971E-2</v>
      </c>
      <c r="E93" s="72">
        <f t="shared" si="83"/>
        <v>4.6305752831870342E-2</v>
      </c>
      <c r="F93" s="72">
        <f t="shared" si="83"/>
        <v>5.1677432616176765E-2</v>
      </c>
      <c r="G93" s="72">
        <f t="shared" si="83"/>
        <v>5.3949146922122417E-2</v>
      </c>
      <c r="H93" s="72">
        <f t="shared" si="83"/>
        <v>0.22999676909631941</v>
      </c>
      <c r="I93" s="72">
        <f t="shared" si="83"/>
        <v>0.22549218368576257</v>
      </c>
      <c r="J93" s="72">
        <f t="shared" si="83"/>
        <v>0.18075097977237614</v>
      </c>
      <c r="K93" s="72">
        <f t="shared" si="83"/>
        <v>0.22347536861681799</v>
      </c>
      <c r="L93" s="72">
        <f t="shared" si="83"/>
        <v>0.20825673135301964</v>
      </c>
      <c r="M93" s="72">
        <f t="shared" si="83"/>
        <v>0.20017921474530498</v>
      </c>
      <c r="N93" s="72">
        <f t="shared" si="83"/>
        <v>0.21053740711823507</v>
      </c>
      <c r="O93" s="72">
        <f t="shared" si="83"/>
        <v>0.19316722516042686</v>
      </c>
      <c r="P93" s="72">
        <f t="shared" si="83"/>
        <v>0.18091683738795999</v>
      </c>
      <c r="Q93" s="72">
        <f t="shared" si="83"/>
        <v>0.19159452451911368</v>
      </c>
      <c r="R93" s="72">
        <f t="shared" si="83"/>
        <v>0.20014147473299657</v>
      </c>
      <c r="S93" s="72">
        <f t="shared" si="83"/>
        <v>0.17421593189880558</v>
      </c>
      <c r="T93" s="72">
        <f t="shared" si="83"/>
        <v>0.16908533653409755</v>
      </c>
      <c r="U93" s="72">
        <f t="shared" si="83"/>
        <v>0.13610667254092398</v>
      </c>
      <c r="V93" s="72">
        <f t="shared" si="83"/>
        <v>0.13904184480599907</v>
      </c>
      <c r="W93" s="72">
        <f t="shared" si="83"/>
        <v>0.12507457789970425</v>
      </c>
      <c r="X93" s="72">
        <f t="shared" ref="X93:Y93" si="84">IF(X85=0,0,X85/X$81)</f>
        <v>0.12697998053984749</v>
      </c>
      <c r="Y93" s="72">
        <f t="shared" si="84"/>
        <v>0.13119155674485328</v>
      </c>
      <c r="DA93" s="115"/>
    </row>
    <row r="94" spans="1:105" ht="12" customHeight="1" x14ac:dyDescent="0.25">
      <c r="A94" s="61" t="s">
        <v>34</v>
      </c>
      <c r="B94" s="73">
        <f t="shared" ref="B94" si="85">IF(B86=0,0,B86/B$81)</f>
        <v>0</v>
      </c>
      <c r="C94" s="73">
        <f t="shared" ref="C94:W94" si="86">IF(C86=0,0,C86/C$81)</f>
        <v>0</v>
      </c>
      <c r="D94" s="73">
        <f t="shared" si="86"/>
        <v>0</v>
      </c>
      <c r="E94" s="73">
        <f t="shared" si="86"/>
        <v>0</v>
      </c>
      <c r="F94" s="73">
        <f t="shared" si="86"/>
        <v>0</v>
      </c>
      <c r="G94" s="73">
        <f t="shared" si="86"/>
        <v>0</v>
      </c>
      <c r="H94" s="73">
        <f t="shared" si="86"/>
        <v>0.12919955975292463</v>
      </c>
      <c r="I94" s="73">
        <f t="shared" si="86"/>
        <v>0.12376199553141648</v>
      </c>
      <c r="J94" s="73">
        <f t="shared" si="86"/>
        <v>0.11543607413956865</v>
      </c>
      <c r="K94" s="73">
        <f t="shared" si="86"/>
        <v>0.11645013719504653</v>
      </c>
      <c r="L94" s="73">
        <f t="shared" si="86"/>
        <v>9.9905054872224577E-2</v>
      </c>
      <c r="M94" s="73">
        <f t="shared" si="86"/>
        <v>0.13039658945950891</v>
      </c>
      <c r="N94" s="73">
        <f t="shared" si="86"/>
        <v>0.15457407392837397</v>
      </c>
      <c r="O94" s="73">
        <f t="shared" si="86"/>
        <v>0.13900750000125098</v>
      </c>
      <c r="P94" s="73">
        <f t="shared" si="86"/>
        <v>0.12594358939982714</v>
      </c>
      <c r="Q94" s="73">
        <f t="shared" si="86"/>
        <v>0.16928710351059353</v>
      </c>
      <c r="R94" s="73">
        <f t="shared" si="86"/>
        <v>0.172273049089747</v>
      </c>
      <c r="S94" s="73">
        <f t="shared" si="86"/>
        <v>0.20875745626855788</v>
      </c>
      <c r="T94" s="73">
        <f t="shared" si="86"/>
        <v>0.22244232024321298</v>
      </c>
      <c r="U94" s="73">
        <f t="shared" si="86"/>
        <v>0.22900975258397571</v>
      </c>
      <c r="V94" s="73">
        <f t="shared" si="86"/>
        <v>0.2095984587801494</v>
      </c>
      <c r="W94" s="73">
        <f t="shared" si="86"/>
        <v>0.17193016338786388</v>
      </c>
      <c r="X94" s="73">
        <f t="shared" ref="X94:Y94" si="87">IF(X86=0,0,X86/X$81)</f>
        <v>0.18209462409296759</v>
      </c>
      <c r="Y94" s="73">
        <f t="shared" si="87"/>
        <v>0.16122750012015127</v>
      </c>
      <c r="DA94" s="116"/>
    </row>
    <row r="95" spans="1:105" ht="12" customHeight="1" x14ac:dyDescent="0.25">
      <c r="A95" s="69" t="s">
        <v>33</v>
      </c>
      <c r="B95" s="70">
        <f t="shared" ref="B95" si="88">IF(B87=0,0,B87/B$81)</f>
        <v>0</v>
      </c>
      <c r="C95" s="70">
        <f t="shared" ref="C95:W95" si="89">IF(C87=0,0,C87/C$81)</f>
        <v>0</v>
      </c>
      <c r="D95" s="70">
        <f t="shared" si="89"/>
        <v>0</v>
      </c>
      <c r="E95" s="70">
        <f t="shared" si="89"/>
        <v>0</v>
      </c>
      <c r="F95" s="70">
        <f t="shared" si="89"/>
        <v>0</v>
      </c>
      <c r="G95" s="70">
        <f t="shared" si="89"/>
        <v>0</v>
      </c>
      <c r="H95" s="70">
        <f t="shared" si="89"/>
        <v>0</v>
      </c>
      <c r="I95" s="70">
        <f t="shared" si="89"/>
        <v>0</v>
      </c>
      <c r="J95" s="70">
        <f t="shared" si="89"/>
        <v>0</v>
      </c>
      <c r="K95" s="70">
        <f t="shared" si="89"/>
        <v>0</v>
      </c>
      <c r="L95" s="70">
        <f t="shared" si="89"/>
        <v>0</v>
      </c>
      <c r="M95" s="70">
        <f t="shared" si="89"/>
        <v>0</v>
      </c>
      <c r="N95" s="70">
        <f t="shared" si="89"/>
        <v>0</v>
      </c>
      <c r="O95" s="70">
        <f t="shared" si="89"/>
        <v>0</v>
      </c>
      <c r="P95" s="70">
        <f t="shared" si="89"/>
        <v>0</v>
      </c>
      <c r="Q95" s="70">
        <f t="shared" si="89"/>
        <v>0</v>
      </c>
      <c r="R95" s="70">
        <f t="shared" si="89"/>
        <v>0</v>
      </c>
      <c r="S95" s="70">
        <f t="shared" si="89"/>
        <v>0</v>
      </c>
      <c r="T95" s="70">
        <f t="shared" si="89"/>
        <v>0</v>
      </c>
      <c r="U95" s="70">
        <f t="shared" si="89"/>
        <v>0</v>
      </c>
      <c r="V95" s="70">
        <f t="shared" si="89"/>
        <v>0</v>
      </c>
      <c r="W95" s="70">
        <f t="shared" si="89"/>
        <v>0</v>
      </c>
      <c r="X95" s="70">
        <f t="shared" ref="X95:Y95" si="90">IF(X87=0,0,X87/X$81)</f>
        <v>0</v>
      </c>
      <c r="Y95" s="70">
        <f t="shared" si="90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91">B47*11630*1000/B$8</f>
        <v>109652.47469546022</v>
      </c>
      <c r="C99" s="82">
        <f t="shared" ref="C99:W99" si="92">C47*11630*1000/C$8</f>
        <v>115044.30820074718</v>
      </c>
      <c r="D99" s="82">
        <f t="shared" si="92"/>
        <v>120899.7395877137</v>
      </c>
      <c r="E99" s="82">
        <f t="shared" si="92"/>
        <v>123550.46328303585</v>
      </c>
      <c r="F99" s="82">
        <f t="shared" si="92"/>
        <v>123022.24563931552</v>
      </c>
      <c r="G99" s="82">
        <f t="shared" si="92"/>
        <v>124858.63469948531</v>
      </c>
      <c r="H99" s="82">
        <f t="shared" si="92"/>
        <v>140073.90143914142</v>
      </c>
      <c r="I99" s="82">
        <f t="shared" si="92"/>
        <v>142571.57378821279</v>
      </c>
      <c r="J99" s="82">
        <f t="shared" si="92"/>
        <v>152736.85414338234</v>
      </c>
      <c r="K99" s="82">
        <f t="shared" si="92"/>
        <v>149676.80969863469</v>
      </c>
      <c r="L99" s="82">
        <f t="shared" si="92"/>
        <v>152413.6929530419</v>
      </c>
      <c r="M99" s="82">
        <f t="shared" si="92"/>
        <v>145573.39237114406</v>
      </c>
      <c r="N99" s="82">
        <f t="shared" si="92"/>
        <v>130529.0224932788</v>
      </c>
      <c r="O99" s="82">
        <f t="shared" si="92"/>
        <v>119718.89634751959</v>
      </c>
      <c r="P99" s="82">
        <f t="shared" si="92"/>
        <v>121563.77392220453</v>
      </c>
      <c r="Q99" s="82">
        <f t="shared" si="92"/>
        <v>123922.29408828584</v>
      </c>
      <c r="R99" s="82">
        <f t="shared" si="92"/>
        <v>130644.37900481327</v>
      </c>
      <c r="S99" s="82">
        <f t="shared" si="92"/>
        <v>134574.20438708673</v>
      </c>
      <c r="T99" s="82">
        <f t="shared" si="92"/>
        <v>135464.19155016053</v>
      </c>
      <c r="U99" s="82">
        <f t="shared" si="92"/>
        <v>138353.34338380356</v>
      </c>
      <c r="V99" s="82">
        <f t="shared" si="92"/>
        <v>113615.00146725707</v>
      </c>
      <c r="W99" s="82">
        <f t="shared" si="92"/>
        <v>122880.48700222874</v>
      </c>
      <c r="X99" s="82">
        <f t="shared" ref="X99:Y99" si="93">X47*11630*1000/X$8</f>
        <v>134590.03501350453</v>
      </c>
      <c r="Y99" s="82">
        <f t="shared" si="93"/>
        <v>135231.47231044256</v>
      </c>
      <c r="DA99" s="107"/>
    </row>
    <row r="100" spans="1:105" ht="12" customHeight="1" x14ac:dyDescent="0.25">
      <c r="A100" s="77" t="s">
        <v>36</v>
      </c>
      <c r="B100" s="64">
        <f t="shared" si="91"/>
        <v>69357.304801930906</v>
      </c>
      <c r="C100" s="64">
        <f t="shared" ref="C100:W100" si="94">C48*11630*1000/C$8</f>
        <v>74034.926130507185</v>
      </c>
      <c r="D100" s="64">
        <f t="shared" si="94"/>
        <v>78944.224856576562</v>
      </c>
      <c r="E100" s="64">
        <f t="shared" si="94"/>
        <v>80916.160891104897</v>
      </c>
      <c r="F100" s="64">
        <f t="shared" si="94"/>
        <v>79706.905440713395</v>
      </c>
      <c r="G100" s="64">
        <f t="shared" si="94"/>
        <v>81150.967737835876</v>
      </c>
      <c r="H100" s="64">
        <f t="shared" si="94"/>
        <v>96118.144628636757</v>
      </c>
      <c r="I100" s="64">
        <f t="shared" si="94"/>
        <v>98385.665625893627</v>
      </c>
      <c r="J100" s="64">
        <f t="shared" si="94"/>
        <v>108226.48149786619</v>
      </c>
      <c r="K100" s="64">
        <f t="shared" si="94"/>
        <v>105179.74769641241</v>
      </c>
      <c r="L100" s="64">
        <f t="shared" si="94"/>
        <v>108049.92927395376</v>
      </c>
      <c r="M100" s="64">
        <f t="shared" si="94"/>
        <v>101199.0062949768</v>
      </c>
      <c r="N100" s="64">
        <f t="shared" si="94"/>
        <v>86126.818218708577</v>
      </c>
      <c r="O100" s="64">
        <f t="shared" si="94"/>
        <v>75036.564766268508</v>
      </c>
      <c r="P100" s="64">
        <f t="shared" si="94"/>
        <v>76355.261798573018</v>
      </c>
      <c r="Q100" s="64">
        <f t="shared" si="94"/>
        <v>78162.465941173738</v>
      </c>
      <c r="R100" s="64">
        <f t="shared" si="94"/>
        <v>84801.426143807243</v>
      </c>
      <c r="S100" s="64">
        <f t="shared" si="94"/>
        <v>89297.187767289361</v>
      </c>
      <c r="T100" s="64">
        <f t="shared" si="94"/>
        <v>91524.071345700751</v>
      </c>
      <c r="U100" s="64">
        <f t="shared" si="94"/>
        <v>95779.887445900982</v>
      </c>
      <c r="V100" s="64">
        <f t="shared" si="94"/>
        <v>76129.370858420254</v>
      </c>
      <c r="W100" s="64">
        <f t="shared" si="94"/>
        <v>84354.780871524403</v>
      </c>
      <c r="X100" s="64">
        <f t="shared" ref="X100:Y100" si="95">X48*11630*1000/X$8</f>
        <v>96444.304232983239</v>
      </c>
      <c r="Y100" s="64">
        <f t="shared" si="95"/>
        <v>97903.330873441271</v>
      </c>
      <c r="DA100" s="108"/>
    </row>
    <row r="101" spans="1:105" ht="12" customHeight="1" x14ac:dyDescent="0.25">
      <c r="A101" s="61" t="s">
        <v>32</v>
      </c>
      <c r="B101" s="65">
        <f t="shared" si="91"/>
        <v>23047.896216637055</v>
      </c>
      <c r="C101" s="65">
        <f t="shared" ref="C101:W101" si="96">C49*11630*1000/C$8</f>
        <v>28029.684373967899</v>
      </c>
      <c r="D101" s="65">
        <f t="shared" si="96"/>
        <v>31935.384207541847</v>
      </c>
      <c r="E101" s="65">
        <f t="shared" si="96"/>
        <v>32064.5431750471</v>
      </c>
      <c r="F101" s="65">
        <f t="shared" si="96"/>
        <v>32551.562769513665</v>
      </c>
      <c r="G101" s="65">
        <f t="shared" si="96"/>
        <v>34317.601200023346</v>
      </c>
      <c r="H101" s="65">
        <f t="shared" si="96"/>
        <v>47403.435175544953</v>
      </c>
      <c r="I101" s="65">
        <f t="shared" si="96"/>
        <v>48227.855392480982</v>
      </c>
      <c r="J101" s="65">
        <f t="shared" si="96"/>
        <v>57413.214656185388</v>
      </c>
      <c r="K101" s="65">
        <f t="shared" si="96"/>
        <v>55239.955316882879</v>
      </c>
      <c r="L101" s="65">
        <f t="shared" si="96"/>
        <v>57697.783378497195</v>
      </c>
      <c r="M101" s="65">
        <f t="shared" si="96"/>
        <v>53131.942060474175</v>
      </c>
      <c r="N101" s="65">
        <f t="shared" si="96"/>
        <v>35360.260399272855</v>
      </c>
      <c r="O101" s="65">
        <f t="shared" si="96"/>
        <v>27886.959174876603</v>
      </c>
      <c r="P101" s="65">
        <f t="shared" si="96"/>
        <v>31157.267859317664</v>
      </c>
      <c r="Q101" s="65">
        <f t="shared" si="96"/>
        <v>31957.097190304721</v>
      </c>
      <c r="R101" s="65">
        <f t="shared" si="96"/>
        <v>36891.784809539196</v>
      </c>
      <c r="S101" s="65">
        <f t="shared" si="96"/>
        <v>42640.683331845961</v>
      </c>
      <c r="T101" s="65">
        <f t="shared" si="96"/>
        <v>41073.892829034987</v>
      </c>
      <c r="U101" s="65">
        <f t="shared" si="96"/>
        <v>48261.671501495221</v>
      </c>
      <c r="V101" s="65">
        <f t="shared" si="96"/>
        <v>31314.382981110397</v>
      </c>
      <c r="W101" s="65">
        <f t="shared" si="96"/>
        <v>41545.348198807944</v>
      </c>
      <c r="X101" s="65">
        <f t="shared" ref="X101:Y101" si="97">X49*11630*1000/X$8</f>
        <v>52517.5426499881</v>
      </c>
      <c r="Y101" s="65">
        <f t="shared" si="97"/>
        <v>51067.351127766822</v>
      </c>
      <c r="DA101" s="109"/>
    </row>
    <row r="102" spans="1:105" ht="12" customHeight="1" x14ac:dyDescent="0.25">
      <c r="A102" s="61" t="s">
        <v>31</v>
      </c>
      <c r="B102" s="65">
        <f t="shared" si="91"/>
        <v>12111.642085293481</v>
      </c>
      <c r="C102" s="65">
        <f t="shared" ref="C102:W102" si="98">C50*11630*1000/C$8</f>
        <v>12050.397604794838</v>
      </c>
      <c r="D102" s="65">
        <f t="shared" si="98"/>
        <v>12990.538342635897</v>
      </c>
      <c r="E102" s="65">
        <f t="shared" si="98"/>
        <v>14898.428282279179</v>
      </c>
      <c r="F102" s="65">
        <f t="shared" si="98"/>
        <v>13208.765586464395</v>
      </c>
      <c r="G102" s="65">
        <f t="shared" si="98"/>
        <v>12665.300135629086</v>
      </c>
      <c r="H102" s="65">
        <f t="shared" si="98"/>
        <v>14856.26047723724</v>
      </c>
      <c r="I102" s="65">
        <f t="shared" si="98"/>
        <v>16752.779382197699</v>
      </c>
      <c r="J102" s="65">
        <f t="shared" si="98"/>
        <v>17088.241884693696</v>
      </c>
      <c r="K102" s="65">
        <f t="shared" si="98"/>
        <v>16772.465934842374</v>
      </c>
      <c r="L102" s="65">
        <f t="shared" si="98"/>
        <v>17841.663978139532</v>
      </c>
      <c r="M102" s="65">
        <f t="shared" si="98"/>
        <v>15512.240487659557</v>
      </c>
      <c r="N102" s="65">
        <f t="shared" si="98"/>
        <v>18473.133510070191</v>
      </c>
      <c r="O102" s="65">
        <f t="shared" si="98"/>
        <v>15349.142809719484</v>
      </c>
      <c r="P102" s="65">
        <f t="shared" si="98"/>
        <v>13510.161159060926</v>
      </c>
      <c r="Q102" s="65">
        <f t="shared" si="98"/>
        <v>14417.690635447989</v>
      </c>
      <c r="R102" s="65">
        <f t="shared" si="98"/>
        <v>16136.948921552223</v>
      </c>
      <c r="S102" s="65">
        <f t="shared" si="98"/>
        <v>15025.464445110922</v>
      </c>
      <c r="T102" s="65">
        <f t="shared" si="98"/>
        <v>18927.699121755057</v>
      </c>
      <c r="U102" s="65">
        <f t="shared" si="98"/>
        <v>16075.526373611057</v>
      </c>
      <c r="V102" s="65">
        <f t="shared" si="98"/>
        <v>16709.084253129153</v>
      </c>
      <c r="W102" s="65">
        <f t="shared" si="98"/>
        <v>14934.856284531923</v>
      </c>
      <c r="X102" s="65">
        <f t="shared" ref="X102:Y102" si="99">X50*11630*1000/X$8</f>
        <v>14162.310993587356</v>
      </c>
      <c r="Y102" s="65">
        <f t="shared" si="99"/>
        <v>15772.642374403889</v>
      </c>
      <c r="DA102" s="109"/>
    </row>
    <row r="103" spans="1:105" ht="12" customHeight="1" x14ac:dyDescent="0.25">
      <c r="A103" s="61" t="s">
        <v>35</v>
      </c>
      <c r="B103" s="65">
        <f t="shared" si="91"/>
        <v>19116.832704759825</v>
      </c>
      <c r="C103" s="65">
        <f t="shared" ref="C103:W103" si="100">C51*11630*1000/C$8</f>
        <v>18995.95722734397</v>
      </c>
      <c r="D103" s="65">
        <f t="shared" si="100"/>
        <v>18896.863926490416</v>
      </c>
      <c r="E103" s="65">
        <f t="shared" si="100"/>
        <v>18765.16122757212</v>
      </c>
      <c r="F103" s="65">
        <f t="shared" si="100"/>
        <v>18443.854409953827</v>
      </c>
      <c r="G103" s="65">
        <f t="shared" si="100"/>
        <v>18393.15452319965</v>
      </c>
      <c r="H103" s="65">
        <f t="shared" si="100"/>
        <v>17208.952424948318</v>
      </c>
      <c r="I103" s="65">
        <f t="shared" si="100"/>
        <v>16512.704530375722</v>
      </c>
      <c r="J103" s="65">
        <f t="shared" si="100"/>
        <v>16590.670815384892</v>
      </c>
      <c r="K103" s="65">
        <f t="shared" si="100"/>
        <v>16391.799930546073</v>
      </c>
      <c r="L103" s="65">
        <f t="shared" si="100"/>
        <v>16084.951150456904</v>
      </c>
      <c r="M103" s="65">
        <f t="shared" si="100"/>
        <v>16009.433705139934</v>
      </c>
      <c r="N103" s="65">
        <f t="shared" si="100"/>
        <v>15782.066350128889</v>
      </c>
      <c r="O103" s="65">
        <f t="shared" si="100"/>
        <v>15633.830738395827</v>
      </c>
      <c r="P103" s="65">
        <f t="shared" si="100"/>
        <v>15462.119494480725</v>
      </c>
      <c r="Q103" s="65">
        <f t="shared" si="100"/>
        <v>15458.355681163124</v>
      </c>
      <c r="R103" s="65">
        <f t="shared" si="100"/>
        <v>15494.082121931053</v>
      </c>
      <c r="S103" s="65">
        <f t="shared" si="100"/>
        <v>15109.099077672594</v>
      </c>
      <c r="T103" s="65">
        <f t="shared" si="100"/>
        <v>14881.747596728508</v>
      </c>
      <c r="U103" s="65">
        <f t="shared" si="100"/>
        <v>14406.191351615969</v>
      </c>
      <c r="V103" s="65">
        <f t="shared" si="100"/>
        <v>13299.321993124859</v>
      </c>
      <c r="W103" s="65">
        <f t="shared" si="100"/>
        <v>13188.216223557612</v>
      </c>
      <c r="X103" s="65">
        <f t="shared" ref="X103:Y103" si="101">X51*11630*1000/X$8</f>
        <v>14130.670876330492</v>
      </c>
      <c r="Y103" s="65">
        <f t="shared" si="101"/>
        <v>14925.781934375158</v>
      </c>
      <c r="DA103" s="109"/>
    </row>
    <row r="104" spans="1:105" ht="12" customHeight="1" x14ac:dyDescent="0.25">
      <c r="A104" s="66" t="s">
        <v>34</v>
      </c>
      <c r="B104" s="67">
        <f t="shared" si="91"/>
        <v>15080.933795240544</v>
      </c>
      <c r="C104" s="67">
        <f t="shared" ref="C104:W104" si="102">C52*11630*1000/C$8</f>
        <v>14958.886924400467</v>
      </c>
      <c r="D104" s="67">
        <f t="shared" si="102"/>
        <v>15121.438379908395</v>
      </c>
      <c r="E104" s="67">
        <f t="shared" si="102"/>
        <v>15188.028206206503</v>
      </c>
      <c r="F104" s="67">
        <f t="shared" si="102"/>
        <v>15502.722674781508</v>
      </c>
      <c r="G104" s="67">
        <f t="shared" si="102"/>
        <v>15774.911878983785</v>
      </c>
      <c r="H104" s="67">
        <f t="shared" si="102"/>
        <v>16649.496550906249</v>
      </c>
      <c r="I104" s="67">
        <f t="shared" si="102"/>
        <v>16892.326320839205</v>
      </c>
      <c r="J104" s="67">
        <f t="shared" si="102"/>
        <v>17134.354141602216</v>
      </c>
      <c r="K104" s="67">
        <f t="shared" si="102"/>
        <v>16775.526514141075</v>
      </c>
      <c r="L104" s="67">
        <f t="shared" si="102"/>
        <v>16425.530766860113</v>
      </c>
      <c r="M104" s="67">
        <f t="shared" si="102"/>
        <v>16545.390041703122</v>
      </c>
      <c r="N104" s="67">
        <f t="shared" si="102"/>
        <v>16511.35795923663</v>
      </c>
      <c r="O104" s="67">
        <f t="shared" si="102"/>
        <v>16166.632043276593</v>
      </c>
      <c r="P104" s="67">
        <f t="shared" si="102"/>
        <v>16225.713285713708</v>
      </c>
      <c r="Q104" s="67">
        <f t="shared" si="102"/>
        <v>16329.322434257903</v>
      </c>
      <c r="R104" s="67">
        <f t="shared" si="102"/>
        <v>16278.610290784769</v>
      </c>
      <c r="S104" s="67">
        <f t="shared" si="102"/>
        <v>16521.94091265988</v>
      </c>
      <c r="T104" s="67">
        <f t="shared" si="102"/>
        <v>16640.731798182194</v>
      </c>
      <c r="U104" s="67">
        <f t="shared" si="102"/>
        <v>17036.498219178749</v>
      </c>
      <c r="V104" s="67">
        <f t="shared" si="102"/>
        <v>14806.581631055837</v>
      </c>
      <c r="W104" s="67">
        <f t="shared" si="102"/>
        <v>14686.360164626914</v>
      </c>
      <c r="X104" s="67">
        <f t="shared" ref="X104:Y104" si="103">X52*11630*1000/X$8</f>
        <v>15633.779713077309</v>
      </c>
      <c r="Y104" s="67">
        <f t="shared" si="103"/>
        <v>16137.555436895398</v>
      </c>
      <c r="DA104" s="110"/>
    </row>
    <row r="105" spans="1:105" ht="12" customHeight="1" x14ac:dyDescent="0.25">
      <c r="A105" s="78" t="s">
        <v>33</v>
      </c>
      <c r="B105" s="68">
        <f t="shared" si="91"/>
        <v>40295.169893529295</v>
      </c>
      <c r="C105" s="68">
        <f t="shared" ref="C105:W105" si="104">C53*11630*1000/C$8</f>
        <v>41009.382070240004</v>
      </c>
      <c r="D105" s="68">
        <f t="shared" si="104"/>
        <v>41955.514731137133</v>
      </c>
      <c r="E105" s="68">
        <f t="shared" si="104"/>
        <v>42634.302391930956</v>
      </c>
      <c r="F105" s="68">
        <f t="shared" si="104"/>
        <v>43315.340198602091</v>
      </c>
      <c r="G105" s="68">
        <f t="shared" si="104"/>
        <v>43707.666961649433</v>
      </c>
      <c r="H105" s="68">
        <f t="shared" si="104"/>
        <v>43955.756810504674</v>
      </c>
      <c r="I105" s="68">
        <f t="shared" si="104"/>
        <v>44185.908162319189</v>
      </c>
      <c r="J105" s="68">
        <f t="shared" si="104"/>
        <v>44510.37264551616</v>
      </c>
      <c r="K105" s="68">
        <f t="shared" si="104"/>
        <v>44497.062002222301</v>
      </c>
      <c r="L105" s="68">
        <f t="shared" si="104"/>
        <v>44363.763679088137</v>
      </c>
      <c r="M105" s="68">
        <f t="shared" si="104"/>
        <v>44374.386076167255</v>
      </c>
      <c r="N105" s="68">
        <f t="shared" si="104"/>
        <v>44402.204274570227</v>
      </c>
      <c r="O105" s="68">
        <f t="shared" si="104"/>
        <v>44682.331581251092</v>
      </c>
      <c r="P105" s="68">
        <f t="shared" si="104"/>
        <v>45208.512123631481</v>
      </c>
      <c r="Q105" s="68">
        <f t="shared" si="104"/>
        <v>45759.828147112086</v>
      </c>
      <c r="R105" s="68">
        <f t="shared" si="104"/>
        <v>45842.952861006015</v>
      </c>
      <c r="S105" s="68">
        <f t="shared" si="104"/>
        <v>45277.016619797403</v>
      </c>
      <c r="T105" s="68">
        <f t="shared" si="104"/>
        <v>43940.120204459767</v>
      </c>
      <c r="U105" s="68">
        <f t="shared" si="104"/>
        <v>42573.45593790256</v>
      </c>
      <c r="V105" s="68">
        <f t="shared" si="104"/>
        <v>37485.630608836815</v>
      </c>
      <c r="W105" s="68">
        <f t="shared" si="104"/>
        <v>38525.706130704319</v>
      </c>
      <c r="X105" s="68">
        <f t="shared" ref="X105:Y105" si="105">X53*11630*1000/X$8</f>
        <v>38145.730780521277</v>
      </c>
      <c r="Y105" s="68">
        <f t="shared" si="105"/>
        <v>37328.141437001279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106">SUM(B108:B111)</f>
        <v>53909.105350827886</v>
      </c>
      <c r="C107" s="85">
        <f t="shared" ref="C107:W107" si="107">SUM(C108:C111)</f>
        <v>58877.192470838891</v>
      </c>
      <c r="D107" s="85">
        <f t="shared" si="107"/>
        <v>65528.138738728092</v>
      </c>
      <c r="E107" s="85">
        <f t="shared" si="107"/>
        <v>71781.638921391714</v>
      </c>
      <c r="F107" s="85">
        <f t="shared" si="107"/>
        <v>71395.924350169938</v>
      </c>
      <c r="G107" s="85">
        <f t="shared" si="107"/>
        <v>73943.742601303471</v>
      </c>
      <c r="H107" s="85">
        <f t="shared" si="107"/>
        <v>89297.274171261917</v>
      </c>
      <c r="I107" s="85">
        <f t="shared" si="107"/>
        <v>97424.865081921482</v>
      </c>
      <c r="J107" s="85">
        <f t="shared" si="107"/>
        <v>106094.55863804335</v>
      </c>
      <c r="K107" s="85">
        <f t="shared" si="107"/>
        <v>107286.62587480327</v>
      </c>
      <c r="L107" s="85">
        <f t="shared" si="107"/>
        <v>114122.83427392588</v>
      </c>
      <c r="M107" s="85">
        <f t="shared" si="107"/>
        <v>108505.81320847126</v>
      </c>
      <c r="N107" s="85">
        <f t="shared" si="107"/>
        <v>113342.43519347467</v>
      </c>
      <c r="O107" s="85">
        <f t="shared" si="107"/>
        <v>109504.29607462282</v>
      </c>
      <c r="P107" s="85">
        <f t="shared" si="107"/>
        <v>107780.07228317249</v>
      </c>
      <c r="Q107" s="85">
        <f t="shared" si="107"/>
        <v>115814.64321729686</v>
      </c>
      <c r="R107" s="85">
        <f t="shared" si="107"/>
        <v>127504.17454410826</v>
      </c>
      <c r="S107" s="85">
        <f t="shared" si="107"/>
        <v>129498.47169668156</v>
      </c>
      <c r="T107" s="85">
        <f t="shared" si="107"/>
        <v>148031.28014034842</v>
      </c>
      <c r="U107" s="85">
        <f t="shared" si="107"/>
        <v>143869.01115012518</v>
      </c>
      <c r="V107" s="85">
        <f t="shared" si="107"/>
        <v>133884.82681831325</v>
      </c>
      <c r="W107" s="85">
        <f t="shared" si="107"/>
        <v>135552.23349970049</v>
      </c>
      <c r="X107" s="85">
        <f t="shared" ref="X107:Y107" si="108">SUM(X108:X111)</f>
        <v>143691.46435525251</v>
      </c>
      <c r="Y107" s="85">
        <f t="shared" si="108"/>
        <v>152821.26542091984</v>
      </c>
      <c r="DA107" s="117"/>
    </row>
    <row r="108" spans="1:105" ht="12" customHeight="1" x14ac:dyDescent="0.25">
      <c r="A108" s="61" t="s">
        <v>32</v>
      </c>
      <c r="B108" s="65">
        <v>10088.014151516154</v>
      </c>
      <c r="C108" s="65">
        <v>13354.799264797306</v>
      </c>
      <c r="D108" s="65">
        <v>16236.819498286641</v>
      </c>
      <c r="E108" s="65">
        <v>16702.760166162843</v>
      </c>
      <c r="F108" s="65">
        <v>17985.316978313396</v>
      </c>
      <c r="G108" s="65">
        <v>19959.78801890423</v>
      </c>
      <c r="H108" s="65">
        <v>28011.148651764219</v>
      </c>
      <c r="I108" s="65">
        <v>28997.698555044906</v>
      </c>
      <c r="J108" s="65">
        <v>33850.319661144757</v>
      </c>
      <c r="K108" s="65">
        <v>34855.28946744874</v>
      </c>
      <c r="L108" s="65">
        <v>36987.109262248676</v>
      </c>
      <c r="M108" s="65">
        <v>36231.588327004123</v>
      </c>
      <c r="N108" s="65">
        <v>29512.546164818668</v>
      </c>
      <c r="O108" s="65">
        <v>34209.063424193169</v>
      </c>
      <c r="P108" s="65">
        <v>36947.85041634857</v>
      </c>
      <c r="Q108" s="65">
        <v>39886.089091982372</v>
      </c>
      <c r="R108" s="65">
        <v>42961.796966224974</v>
      </c>
      <c r="S108" s="65">
        <v>47236.19154031192</v>
      </c>
      <c r="T108" s="65">
        <v>47608.297856515223</v>
      </c>
      <c r="U108" s="65">
        <v>53085.422807654853</v>
      </c>
      <c r="V108" s="65">
        <v>40407.494149117694</v>
      </c>
      <c r="W108" s="65">
        <v>47796.948415908009</v>
      </c>
      <c r="X108" s="65">
        <v>56981.723457022963</v>
      </c>
      <c r="Y108" s="65">
        <v>56610.312116512177</v>
      </c>
      <c r="DA108" s="109"/>
    </row>
    <row r="109" spans="1:105" ht="12" customHeight="1" x14ac:dyDescent="0.25">
      <c r="A109" s="61" t="s">
        <v>31</v>
      </c>
      <c r="B109" s="65">
        <v>20753.95470484874</v>
      </c>
      <c r="C109" s="65">
        <v>22640.73437579579</v>
      </c>
      <c r="D109" s="65">
        <v>26377.808543944499</v>
      </c>
      <c r="E109" s="65">
        <v>32114.455759933848</v>
      </c>
      <c r="F109" s="65">
        <v>30253.383294968189</v>
      </c>
      <c r="G109" s="65">
        <v>30638.537912601103</v>
      </c>
      <c r="H109" s="65">
        <v>37768.165211995962</v>
      </c>
      <c r="I109" s="65">
        <v>44841.216580870714</v>
      </c>
      <c r="J109" s="65">
        <v>48360.452737790314</v>
      </c>
      <c r="K109" s="65">
        <v>48715.958979607894</v>
      </c>
      <c r="L109" s="65">
        <v>53684.301498794659</v>
      </c>
      <c r="M109" s="65">
        <v>48856.488737881526</v>
      </c>
      <c r="N109" s="65">
        <v>60512.412805455104</v>
      </c>
      <c r="O109" s="65">
        <v>52145.011206549309</v>
      </c>
      <c r="P109" s="65">
        <v>47579.210003451095</v>
      </c>
      <c r="Q109" s="65">
        <v>52632.787828755289</v>
      </c>
      <c r="R109" s="65">
        <v>61158.525729902998</v>
      </c>
      <c r="S109" s="65">
        <v>59088.013350933717</v>
      </c>
      <c r="T109" s="65">
        <v>77166.47357375914</v>
      </c>
      <c r="U109" s="65">
        <v>67659.048451118171</v>
      </c>
      <c r="V109" s="65">
        <v>72339.730857770075</v>
      </c>
      <c r="W109" s="65">
        <v>66086.409667678701</v>
      </c>
      <c r="X109" s="65">
        <v>63679.703548074001</v>
      </c>
      <c r="Y109" s="65">
        <v>71721.028067460618</v>
      </c>
      <c r="DA109" s="109"/>
    </row>
    <row r="110" spans="1:105" ht="12" customHeight="1" x14ac:dyDescent="0.25">
      <c r="A110" s="61" t="s">
        <v>35</v>
      </c>
      <c r="B110" s="65">
        <v>11726.644504760779</v>
      </c>
      <c r="C110" s="65">
        <v>11608.00746802001</v>
      </c>
      <c r="D110" s="65">
        <v>11587.335564355582</v>
      </c>
      <c r="E110" s="65">
        <v>11557.449013777748</v>
      </c>
      <c r="F110" s="65">
        <v>11537.612568162547</v>
      </c>
      <c r="G110" s="65">
        <v>11576.133300269204</v>
      </c>
      <c r="H110" s="65">
        <v>11643.704627259105</v>
      </c>
      <c r="I110" s="65">
        <v>11654.648997135419</v>
      </c>
      <c r="J110" s="65">
        <v>11804.03471404327</v>
      </c>
      <c r="K110" s="65">
        <v>11708.812033857226</v>
      </c>
      <c r="L110" s="65">
        <v>11623.963859732155</v>
      </c>
      <c r="M110" s="65">
        <v>11611.765194747846</v>
      </c>
      <c r="N110" s="65">
        <v>11541.201456872048</v>
      </c>
      <c r="O110" s="65">
        <v>11569.683068835606</v>
      </c>
      <c r="P110" s="65">
        <v>11508.92098487192</v>
      </c>
      <c r="Q110" s="65">
        <v>11565.901732265138</v>
      </c>
      <c r="R110" s="65">
        <v>11636.947417896099</v>
      </c>
      <c r="S110" s="65">
        <v>11460.788130452012</v>
      </c>
      <c r="T110" s="65">
        <v>11432.426250219203</v>
      </c>
      <c r="U110" s="65">
        <v>11271.001023969025</v>
      </c>
      <c r="V110" s="65">
        <v>10612.093417919354</v>
      </c>
      <c r="W110" s="65">
        <v>10706.309974373189</v>
      </c>
      <c r="X110" s="65">
        <v>11372.620215939316</v>
      </c>
      <c r="Y110" s="65">
        <v>12090.052179442209</v>
      </c>
      <c r="DA110" s="109"/>
    </row>
    <row r="111" spans="1:105" ht="12" customHeight="1" x14ac:dyDescent="0.25">
      <c r="A111" s="74" t="s">
        <v>34</v>
      </c>
      <c r="B111" s="68">
        <v>11340.491989702216</v>
      </c>
      <c r="C111" s="68">
        <v>11273.651362225784</v>
      </c>
      <c r="D111" s="68">
        <v>11326.175132141369</v>
      </c>
      <c r="E111" s="68">
        <v>11406.973981517274</v>
      </c>
      <c r="F111" s="68">
        <v>11619.611508725806</v>
      </c>
      <c r="G111" s="68">
        <v>11769.283369528939</v>
      </c>
      <c r="H111" s="68">
        <v>11874.255680242628</v>
      </c>
      <c r="I111" s="68">
        <v>11931.300948870447</v>
      </c>
      <c r="J111" s="68">
        <v>12079.751525064999</v>
      </c>
      <c r="K111" s="68">
        <v>12006.565393889428</v>
      </c>
      <c r="L111" s="68">
        <v>11827.459653150378</v>
      </c>
      <c r="M111" s="68">
        <v>11805.970948837776</v>
      </c>
      <c r="N111" s="68">
        <v>11776.274766328846</v>
      </c>
      <c r="O111" s="68">
        <v>11580.538375044727</v>
      </c>
      <c r="P111" s="68">
        <v>11744.090878500887</v>
      </c>
      <c r="Q111" s="68">
        <v>11729.864564294072</v>
      </c>
      <c r="R111" s="68">
        <v>11746.904430084189</v>
      </c>
      <c r="S111" s="68">
        <v>11713.478674983906</v>
      </c>
      <c r="T111" s="68">
        <v>11824.082459854872</v>
      </c>
      <c r="U111" s="68">
        <v>11853.538867383109</v>
      </c>
      <c r="V111" s="68">
        <v>10525.508393506099</v>
      </c>
      <c r="W111" s="68">
        <v>10962.565441740589</v>
      </c>
      <c r="X111" s="68">
        <v>11657.41713421623</v>
      </c>
      <c r="Y111" s="68">
        <v>12399.873057504863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109">B81*1000000/B$8</f>
        <v>4971.2084599761874</v>
      </c>
      <c r="C113" s="82">
        <f t="shared" ref="C113:W113" si="110">C81*1000000/C$8</f>
        <v>4924.4375402963669</v>
      </c>
      <c r="D113" s="82">
        <f t="shared" si="110"/>
        <v>4653.9364215521464</v>
      </c>
      <c r="E113" s="82">
        <f t="shared" si="110"/>
        <v>4700.8569767375702</v>
      </c>
      <c r="F113" s="82">
        <f t="shared" si="110"/>
        <v>4138.9880698296629</v>
      </c>
      <c r="G113" s="82">
        <f t="shared" si="110"/>
        <v>3890.9925290764459</v>
      </c>
      <c r="H113" s="82">
        <f t="shared" si="110"/>
        <v>6475.8074212366937</v>
      </c>
      <c r="I113" s="82">
        <f t="shared" si="110"/>
        <v>6484.1205145425283</v>
      </c>
      <c r="J113" s="82">
        <f t="shared" si="110"/>
        <v>7975.624609140038</v>
      </c>
      <c r="K113" s="82">
        <f t="shared" si="110"/>
        <v>6286.0345918247313</v>
      </c>
      <c r="L113" s="82">
        <f t="shared" si="110"/>
        <v>6701.2303042428312</v>
      </c>
      <c r="M113" s="82">
        <f t="shared" si="110"/>
        <v>6536.7342478860592</v>
      </c>
      <c r="N113" s="82">
        <f t="shared" si="110"/>
        <v>5787.155279126192</v>
      </c>
      <c r="O113" s="82">
        <f t="shared" si="110"/>
        <v>5927.663545226309</v>
      </c>
      <c r="P113" s="82">
        <f t="shared" si="110"/>
        <v>5568.2294493637237</v>
      </c>
      <c r="Q113" s="82">
        <f t="shared" si="110"/>
        <v>5157.1777321219142</v>
      </c>
      <c r="R113" s="82">
        <f t="shared" si="110"/>
        <v>4959.5657680727381</v>
      </c>
      <c r="S113" s="82">
        <f t="shared" si="110"/>
        <v>5627.6949688754266</v>
      </c>
      <c r="T113" s="82">
        <f t="shared" si="110"/>
        <v>5511.3212876891648</v>
      </c>
      <c r="U113" s="82">
        <f t="shared" si="110"/>
        <v>6615.0633543425001</v>
      </c>
      <c r="V113" s="82">
        <f t="shared" si="110"/>
        <v>5131.5048013828709</v>
      </c>
      <c r="W113" s="82">
        <f t="shared" si="110"/>
        <v>5315.5088914220078</v>
      </c>
      <c r="X113" s="82">
        <f t="shared" ref="X113:Y113" si="111">X81*1000000/X$8</f>
        <v>5904.3503385037257</v>
      </c>
      <c r="Y113" s="82">
        <f t="shared" si="111"/>
        <v>5819.0036447761731</v>
      </c>
      <c r="DA113" s="107"/>
    </row>
    <row r="114" spans="1:105" ht="12" customHeight="1" x14ac:dyDescent="0.25">
      <c r="A114" s="77" t="s">
        <v>36</v>
      </c>
      <c r="B114" s="64">
        <f t="shared" ref="B114" si="112">B82*1000000/B$8</f>
        <v>4971.2084599761874</v>
      </c>
      <c r="C114" s="64">
        <f t="shared" ref="C114:W114" si="113">C82*1000000/C$8</f>
        <v>4924.4375402963669</v>
      </c>
      <c r="D114" s="64">
        <f t="shared" si="113"/>
        <v>4653.9364215521464</v>
      </c>
      <c r="E114" s="64">
        <f t="shared" si="113"/>
        <v>4700.8569767375702</v>
      </c>
      <c r="F114" s="64">
        <f t="shared" si="113"/>
        <v>4138.9880698296629</v>
      </c>
      <c r="G114" s="64">
        <f t="shared" si="113"/>
        <v>3890.9925290764459</v>
      </c>
      <c r="H114" s="64">
        <f t="shared" si="113"/>
        <v>6475.8074212366937</v>
      </c>
      <c r="I114" s="64">
        <f t="shared" si="113"/>
        <v>6484.1205145425283</v>
      </c>
      <c r="J114" s="64">
        <f t="shared" si="113"/>
        <v>7975.624609140038</v>
      </c>
      <c r="K114" s="64">
        <f t="shared" si="113"/>
        <v>6286.0345918247313</v>
      </c>
      <c r="L114" s="64">
        <f t="shared" si="113"/>
        <v>6701.2303042428312</v>
      </c>
      <c r="M114" s="64">
        <f t="shared" si="113"/>
        <v>6536.7342478860592</v>
      </c>
      <c r="N114" s="64">
        <f t="shared" si="113"/>
        <v>5787.155279126192</v>
      </c>
      <c r="O114" s="64">
        <f t="shared" si="113"/>
        <v>5927.663545226309</v>
      </c>
      <c r="P114" s="64">
        <f t="shared" si="113"/>
        <v>5568.2294493637237</v>
      </c>
      <c r="Q114" s="64">
        <f t="shared" si="113"/>
        <v>5157.1777321219142</v>
      </c>
      <c r="R114" s="64">
        <f t="shared" si="113"/>
        <v>4959.5657680727381</v>
      </c>
      <c r="S114" s="64">
        <f t="shared" si="113"/>
        <v>5627.6949688754266</v>
      </c>
      <c r="T114" s="64">
        <f t="shared" si="113"/>
        <v>5511.3212876891648</v>
      </c>
      <c r="U114" s="64">
        <f t="shared" si="113"/>
        <v>6615.0633543425001</v>
      </c>
      <c r="V114" s="64">
        <f t="shared" si="113"/>
        <v>5131.5048013828709</v>
      </c>
      <c r="W114" s="64">
        <f t="shared" si="113"/>
        <v>5315.5088914220078</v>
      </c>
      <c r="X114" s="64">
        <f t="shared" ref="X114:Y114" si="114">X82*1000000/X$8</f>
        <v>5904.3503385037257</v>
      </c>
      <c r="Y114" s="64">
        <f t="shared" si="114"/>
        <v>5819.0036447761731</v>
      </c>
      <c r="DA114" s="108"/>
    </row>
    <row r="115" spans="1:105" ht="12" customHeight="1" x14ac:dyDescent="0.25">
      <c r="A115" s="61" t="s">
        <v>32</v>
      </c>
      <c r="B115" s="65">
        <f t="shared" ref="B115" si="115">B83*1000000/B$8</f>
        <v>4742.2511862125148</v>
      </c>
      <c r="C115" s="65">
        <f t="shared" ref="C115:W115" si="116">C83*1000000/C$8</f>
        <v>4698.5966192961259</v>
      </c>
      <c r="D115" s="65">
        <f t="shared" si="116"/>
        <v>4430.8504980705347</v>
      </c>
      <c r="E115" s="65">
        <f t="shared" si="116"/>
        <v>4483.1802554747883</v>
      </c>
      <c r="F115" s="65">
        <f t="shared" si="116"/>
        <v>3925.0957927518816</v>
      </c>
      <c r="G115" s="65">
        <f t="shared" si="116"/>
        <v>3681.0768014524201</v>
      </c>
      <c r="H115" s="65">
        <f t="shared" si="116"/>
        <v>4149.7211691937837</v>
      </c>
      <c r="I115" s="65">
        <f t="shared" si="116"/>
        <v>4219.514326290705</v>
      </c>
      <c r="J115" s="65">
        <f t="shared" si="116"/>
        <v>5613.3478530512439</v>
      </c>
      <c r="K115" s="65">
        <f t="shared" si="116"/>
        <v>4149.2511036478318</v>
      </c>
      <c r="L115" s="65">
        <f t="shared" si="116"/>
        <v>4636.1672037806229</v>
      </c>
      <c r="M115" s="65">
        <f t="shared" si="116"/>
        <v>4375.8480670179761</v>
      </c>
      <c r="N115" s="65">
        <f t="shared" si="116"/>
        <v>3674.198444117726</v>
      </c>
      <c r="O115" s="65">
        <f t="shared" si="116"/>
        <v>3958.6435362398629</v>
      </c>
      <c r="P115" s="65">
        <f t="shared" si="116"/>
        <v>3859.5601840796458</v>
      </c>
      <c r="Q115" s="65">
        <f t="shared" si="116"/>
        <v>3296.0470361152038</v>
      </c>
      <c r="R115" s="65">
        <f t="shared" si="116"/>
        <v>3112.5514441883502</v>
      </c>
      <c r="S115" s="65">
        <f t="shared" si="116"/>
        <v>3472.4375590727791</v>
      </c>
      <c r="T115" s="65">
        <f t="shared" si="116"/>
        <v>3353.486578173317</v>
      </c>
      <c r="U115" s="65">
        <f t="shared" si="116"/>
        <v>4199.7950704302393</v>
      </c>
      <c r="V115" s="65">
        <f t="shared" si="116"/>
        <v>3342.4554095749691</v>
      </c>
      <c r="W115" s="65">
        <f t="shared" si="116"/>
        <v>3736.7775483134465</v>
      </c>
      <c r="X115" s="65">
        <f t="shared" ref="X115:Y115" si="117">X83*1000000/X$8</f>
        <v>4079.4655920170585</v>
      </c>
      <c r="Y115" s="65">
        <f t="shared" si="117"/>
        <v>4117.4160870767</v>
      </c>
      <c r="DA115" s="109"/>
    </row>
    <row r="116" spans="1:105" ht="12" customHeight="1" x14ac:dyDescent="0.25">
      <c r="A116" s="61" t="s">
        <v>31</v>
      </c>
      <c r="B116" s="65">
        <f t="shared" ref="B116" si="118">B84*1000000/B$8</f>
        <v>0</v>
      </c>
      <c r="C116" s="65">
        <f t="shared" ref="C116:W116" si="119">C84*1000000/C$8</f>
        <v>0</v>
      </c>
      <c r="D116" s="65">
        <f t="shared" si="119"/>
        <v>0</v>
      </c>
      <c r="E116" s="65">
        <f t="shared" si="119"/>
        <v>0</v>
      </c>
      <c r="F116" s="65">
        <f t="shared" si="119"/>
        <v>0</v>
      </c>
      <c r="G116" s="65">
        <f t="shared" si="119"/>
        <v>0</v>
      </c>
      <c r="H116" s="65">
        <f t="shared" si="119"/>
        <v>0</v>
      </c>
      <c r="I116" s="65">
        <f t="shared" si="119"/>
        <v>0</v>
      </c>
      <c r="J116" s="65">
        <f t="shared" si="119"/>
        <v>0</v>
      </c>
      <c r="K116" s="65">
        <f t="shared" si="119"/>
        <v>0</v>
      </c>
      <c r="L116" s="65">
        <f t="shared" si="119"/>
        <v>0</v>
      </c>
      <c r="M116" s="65">
        <f t="shared" si="119"/>
        <v>0</v>
      </c>
      <c r="N116" s="65">
        <f t="shared" si="119"/>
        <v>0</v>
      </c>
      <c r="O116" s="65">
        <f t="shared" si="119"/>
        <v>0</v>
      </c>
      <c r="P116" s="65">
        <f t="shared" si="119"/>
        <v>0</v>
      </c>
      <c r="Q116" s="65">
        <f t="shared" si="119"/>
        <v>0</v>
      </c>
      <c r="R116" s="65">
        <f t="shared" si="119"/>
        <v>0</v>
      </c>
      <c r="S116" s="65">
        <f t="shared" si="119"/>
        <v>0</v>
      </c>
      <c r="T116" s="65">
        <f t="shared" si="119"/>
        <v>0</v>
      </c>
      <c r="U116" s="65">
        <f t="shared" si="119"/>
        <v>0</v>
      </c>
      <c r="V116" s="65">
        <f t="shared" si="119"/>
        <v>0</v>
      </c>
      <c r="W116" s="65">
        <f t="shared" si="119"/>
        <v>0</v>
      </c>
      <c r="X116" s="65">
        <f t="shared" ref="X116:Y116" si="120">X84*1000000/X$8</f>
        <v>0</v>
      </c>
      <c r="Y116" s="65">
        <f t="shared" si="120"/>
        <v>0</v>
      </c>
      <c r="DA116" s="109"/>
    </row>
    <row r="117" spans="1:105" ht="12" customHeight="1" x14ac:dyDescent="0.25">
      <c r="A117" s="61" t="s">
        <v>35</v>
      </c>
      <c r="B117" s="65">
        <f t="shared" ref="B117" si="121">B85*1000000/B$8</f>
        <v>228.95727376367276</v>
      </c>
      <c r="C117" s="65">
        <f t="shared" ref="C117:W117" si="122">C85*1000000/C$8</f>
        <v>225.84092100024043</v>
      </c>
      <c r="D117" s="65">
        <f t="shared" si="122"/>
        <v>223.08592348161258</v>
      </c>
      <c r="E117" s="65">
        <f t="shared" si="122"/>
        <v>217.67672126278322</v>
      </c>
      <c r="F117" s="65">
        <f t="shared" si="122"/>
        <v>213.89227707778196</v>
      </c>
      <c r="G117" s="65">
        <f t="shared" si="122"/>
        <v>209.91572762402586</v>
      </c>
      <c r="H117" s="65">
        <f t="shared" si="122"/>
        <v>1489.4147841744073</v>
      </c>
      <c r="I117" s="65">
        <f t="shared" si="122"/>
        <v>1462.1184941058452</v>
      </c>
      <c r="J117" s="65">
        <f t="shared" si="122"/>
        <v>1441.6019623987363</v>
      </c>
      <c r="K117" s="65">
        <f t="shared" si="122"/>
        <v>1404.7738975461007</v>
      </c>
      <c r="L117" s="65">
        <f t="shared" si="122"/>
        <v>1395.5763192054133</v>
      </c>
      <c r="M117" s="65">
        <f t="shared" si="122"/>
        <v>1308.5183287405732</v>
      </c>
      <c r="N117" s="65">
        <f t="shared" si="122"/>
        <v>1218.4126670578344</v>
      </c>
      <c r="O117" s="65">
        <f t="shared" si="122"/>
        <v>1145.0303187159848</v>
      </c>
      <c r="P117" s="65">
        <f t="shared" si="122"/>
        <v>1007.3864618293869</v>
      </c>
      <c r="Q117" s="65">
        <f t="shared" si="122"/>
        <v>988.08701544645919</v>
      </c>
      <c r="R117" s="65">
        <f t="shared" si="122"/>
        <v>992.61480685736478</v>
      </c>
      <c r="S117" s="65">
        <f t="shared" si="122"/>
        <v>980.43412344485216</v>
      </c>
      <c r="T117" s="65">
        <f t="shared" si="122"/>
        <v>931.88361467645848</v>
      </c>
      <c r="U117" s="65">
        <f t="shared" si="122"/>
        <v>900.35426180696084</v>
      </c>
      <c r="V117" s="65">
        <f t="shared" si="122"/>
        <v>713.49389421511626</v>
      </c>
      <c r="W117" s="65">
        <f t="shared" si="122"/>
        <v>664.83503091673253</v>
      </c>
      <c r="X117" s="65">
        <f t="shared" ref="X117:Y117" si="123">X85*1000000/X$8</f>
        <v>749.73429108364496</v>
      </c>
      <c r="Y117" s="65">
        <f t="shared" si="123"/>
        <v>763.40414686216116</v>
      </c>
      <c r="DA117" s="109"/>
    </row>
    <row r="118" spans="1:105" ht="12" customHeight="1" x14ac:dyDescent="0.25">
      <c r="A118" s="66" t="s">
        <v>34</v>
      </c>
      <c r="B118" s="67">
        <f t="shared" ref="B118" si="124">B86*1000000/B$8</f>
        <v>0</v>
      </c>
      <c r="C118" s="67">
        <f t="shared" ref="C118:W118" si="125">C86*1000000/C$8</f>
        <v>0</v>
      </c>
      <c r="D118" s="67">
        <f t="shared" si="125"/>
        <v>0</v>
      </c>
      <c r="E118" s="67">
        <f t="shared" si="125"/>
        <v>0</v>
      </c>
      <c r="F118" s="67">
        <f t="shared" si="125"/>
        <v>0</v>
      </c>
      <c r="G118" s="67">
        <f t="shared" si="125"/>
        <v>0</v>
      </c>
      <c r="H118" s="67">
        <f t="shared" si="125"/>
        <v>836.67146786850287</v>
      </c>
      <c r="I118" s="67">
        <f t="shared" si="125"/>
        <v>802.48769414597837</v>
      </c>
      <c r="J118" s="67">
        <f t="shared" si="125"/>
        <v>920.67479369005775</v>
      </c>
      <c r="K118" s="67">
        <f t="shared" si="125"/>
        <v>732.00959063079824</v>
      </c>
      <c r="L118" s="67">
        <f t="shared" si="125"/>
        <v>669.48678125679419</v>
      </c>
      <c r="M118" s="67">
        <f t="shared" si="125"/>
        <v>852.36785212751033</v>
      </c>
      <c r="N118" s="67">
        <f t="shared" si="125"/>
        <v>894.54416795063162</v>
      </c>
      <c r="O118" s="67">
        <f t="shared" si="125"/>
        <v>823.98969027046155</v>
      </c>
      <c r="P118" s="67">
        <f t="shared" si="125"/>
        <v>701.28280345469034</v>
      </c>
      <c r="Q118" s="67">
        <f t="shared" si="125"/>
        <v>873.04368056025044</v>
      </c>
      <c r="R118" s="67">
        <f t="shared" si="125"/>
        <v>854.39951702702353</v>
      </c>
      <c r="S118" s="67">
        <f t="shared" si="125"/>
        <v>1174.823286357795</v>
      </c>
      <c r="T118" s="67">
        <f t="shared" si="125"/>
        <v>1225.9510948393904</v>
      </c>
      <c r="U118" s="67">
        <f t="shared" si="125"/>
        <v>1514.9140221053003</v>
      </c>
      <c r="V118" s="67">
        <f t="shared" si="125"/>
        <v>1075.5554975927867</v>
      </c>
      <c r="W118" s="67">
        <f t="shared" si="125"/>
        <v>913.89631219182888</v>
      </c>
      <c r="X118" s="67">
        <f t="shared" ref="X118:Y118" si="126">X86*1000000/X$8</f>
        <v>1075.1504554030219</v>
      </c>
      <c r="Y118" s="67">
        <f t="shared" si="126"/>
        <v>938.18341083731104</v>
      </c>
      <c r="DA118" s="110"/>
    </row>
    <row r="119" spans="1:105" ht="12" customHeight="1" x14ac:dyDescent="0.25">
      <c r="A119" s="78" t="s">
        <v>33</v>
      </c>
      <c r="B119" s="68">
        <f t="shared" ref="B119" si="127">B87*1000000/B$8</f>
        <v>0</v>
      </c>
      <c r="C119" s="68">
        <f t="shared" ref="C119:W119" si="128">C87*1000000/C$8</f>
        <v>0</v>
      </c>
      <c r="D119" s="68">
        <f t="shared" si="128"/>
        <v>0</v>
      </c>
      <c r="E119" s="68">
        <f t="shared" si="128"/>
        <v>0</v>
      </c>
      <c r="F119" s="68">
        <f t="shared" si="128"/>
        <v>0</v>
      </c>
      <c r="G119" s="68">
        <f t="shared" si="128"/>
        <v>0</v>
      </c>
      <c r="H119" s="68">
        <f t="shared" si="128"/>
        <v>0</v>
      </c>
      <c r="I119" s="68">
        <f t="shared" si="128"/>
        <v>0</v>
      </c>
      <c r="J119" s="68">
        <f t="shared" si="128"/>
        <v>0</v>
      </c>
      <c r="K119" s="68">
        <f t="shared" si="128"/>
        <v>0</v>
      </c>
      <c r="L119" s="68">
        <f t="shared" si="128"/>
        <v>0</v>
      </c>
      <c r="M119" s="68">
        <f t="shared" si="128"/>
        <v>0</v>
      </c>
      <c r="N119" s="68">
        <f t="shared" si="128"/>
        <v>0</v>
      </c>
      <c r="O119" s="68">
        <f t="shared" si="128"/>
        <v>0</v>
      </c>
      <c r="P119" s="68">
        <f t="shared" si="128"/>
        <v>0</v>
      </c>
      <c r="Q119" s="68">
        <f t="shared" si="128"/>
        <v>0</v>
      </c>
      <c r="R119" s="68">
        <f t="shared" si="128"/>
        <v>0</v>
      </c>
      <c r="S119" s="68">
        <f t="shared" si="128"/>
        <v>0</v>
      </c>
      <c r="T119" s="68">
        <f t="shared" si="128"/>
        <v>0</v>
      </c>
      <c r="U119" s="68">
        <f t="shared" si="128"/>
        <v>0</v>
      </c>
      <c r="V119" s="68">
        <f t="shared" si="128"/>
        <v>0</v>
      </c>
      <c r="W119" s="68">
        <f t="shared" si="128"/>
        <v>0</v>
      </c>
      <c r="X119" s="68">
        <f t="shared" ref="X119:Y119" si="129">X87*1000000/X$8</f>
        <v>0</v>
      </c>
      <c r="Y119" s="68">
        <f t="shared" si="129"/>
        <v>0</v>
      </c>
      <c r="DA119" s="111"/>
    </row>
    <row r="121" spans="1:105" ht="12.95" customHeight="1" x14ac:dyDescent="0.25">
      <c r="A121" s="79" t="s">
        <v>30</v>
      </c>
      <c r="B121" s="86">
        <f t="shared" ref="B121" si="130">IF(B107=0,"",B107/B100)</f>
        <v>0.77726643941514661</v>
      </c>
      <c r="C121" s="86">
        <f t="shared" ref="C121:W121" si="131">IF(C107=0,"",C107/C100)</f>
        <v>0.79526239233428064</v>
      </c>
      <c r="D121" s="86">
        <f t="shared" si="131"/>
        <v>0.83005614226724755</v>
      </c>
      <c r="E121" s="86">
        <f t="shared" si="131"/>
        <v>0.88711127827720082</v>
      </c>
      <c r="F121" s="86">
        <f t="shared" si="131"/>
        <v>0.89573072691016431</v>
      </c>
      <c r="G121" s="86">
        <f t="shared" si="131"/>
        <v>0.91118744067457247</v>
      </c>
      <c r="H121" s="86">
        <f t="shared" si="131"/>
        <v>0.9290365988260797</v>
      </c>
      <c r="I121" s="86">
        <f t="shared" si="131"/>
        <v>0.99023434422220058</v>
      </c>
      <c r="J121" s="86">
        <f t="shared" si="131"/>
        <v>0.98030128273305395</v>
      </c>
      <c r="K121" s="86">
        <f t="shared" si="131"/>
        <v>1.0200312153673547</v>
      </c>
      <c r="L121" s="86">
        <f t="shared" si="131"/>
        <v>1.0562046180018745</v>
      </c>
      <c r="M121" s="86">
        <f t="shared" si="131"/>
        <v>1.0722023583136422</v>
      </c>
      <c r="N121" s="86">
        <f t="shared" si="131"/>
        <v>1.3159946871095987</v>
      </c>
      <c r="O121" s="86">
        <f t="shared" si="131"/>
        <v>1.4593458058177089</v>
      </c>
      <c r="P121" s="86">
        <f t="shared" si="131"/>
        <v>1.4115605099685056</v>
      </c>
      <c r="Q121" s="86">
        <f t="shared" si="131"/>
        <v>1.4817168550498487</v>
      </c>
      <c r="R121" s="86">
        <f t="shared" si="131"/>
        <v>1.5035616774638341</v>
      </c>
      <c r="S121" s="86">
        <f t="shared" si="131"/>
        <v>1.4501965284075655</v>
      </c>
      <c r="T121" s="86">
        <f t="shared" si="131"/>
        <v>1.6174027003367353</v>
      </c>
      <c r="U121" s="86">
        <f t="shared" si="131"/>
        <v>1.5020795595670982</v>
      </c>
      <c r="V121" s="86">
        <f t="shared" si="131"/>
        <v>1.7586488014895367</v>
      </c>
      <c r="W121" s="86">
        <f t="shared" si="131"/>
        <v>1.6069300648904747</v>
      </c>
      <c r="X121" s="86">
        <f t="shared" ref="X121:Y121" si="132">IF(X107=0,"",X107/X100)</f>
        <v>1.4898906213075369</v>
      </c>
      <c r="Y121" s="86">
        <f t="shared" si="132"/>
        <v>1.560940409866856</v>
      </c>
      <c r="DA121" s="119" t="s">
        <v>239</v>
      </c>
    </row>
    <row r="122" spans="1:105" ht="12" customHeight="1" x14ac:dyDescent="0.25">
      <c r="A122" s="61" t="s">
        <v>32</v>
      </c>
      <c r="B122" s="75">
        <f t="shared" ref="B122" si="133">IF(B108=0,"",B108/B101)</f>
        <v>0.43769782962811815</v>
      </c>
      <c r="C122" s="75">
        <f t="shared" ref="C122:W122" si="134">IF(C108=0,"",C108/C101)</f>
        <v>0.47645200304860919</v>
      </c>
      <c r="D122" s="75">
        <f t="shared" si="134"/>
        <v>0.50842724774396675</v>
      </c>
      <c r="E122" s="75">
        <f t="shared" si="134"/>
        <v>0.52091059195756995</v>
      </c>
      <c r="F122" s="75">
        <f t="shared" si="134"/>
        <v>0.5525177732836114</v>
      </c>
      <c r="G122" s="75">
        <f t="shared" si="134"/>
        <v>0.5816195573393006</v>
      </c>
      <c r="H122" s="75">
        <f t="shared" si="134"/>
        <v>0.59090967876131772</v>
      </c>
      <c r="I122" s="75">
        <f t="shared" si="134"/>
        <v>0.60126452480750003</v>
      </c>
      <c r="J122" s="75">
        <f t="shared" si="134"/>
        <v>0.5895910874152368</v>
      </c>
      <c r="K122" s="75">
        <f t="shared" si="134"/>
        <v>0.63097968250520986</v>
      </c>
      <c r="L122" s="75">
        <f t="shared" si="134"/>
        <v>0.64104905069945939</v>
      </c>
      <c r="M122" s="75">
        <f t="shared" si="134"/>
        <v>0.68191725959811034</v>
      </c>
      <c r="N122" s="75">
        <f t="shared" si="134"/>
        <v>0.83462468408251778</v>
      </c>
      <c r="O122" s="75">
        <f t="shared" si="134"/>
        <v>1.2267046833493469</v>
      </c>
      <c r="P122" s="75">
        <f t="shared" si="134"/>
        <v>1.1858501388240053</v>
      </c>
      <c r="Q122" s="75">
        <f t="shared" si="134"/>
        <v>1.2481136460693052</v>
      </c>
      <c r="R122" s="75">
        <f t="shared" si="134"/>
        <v>1.164535605637498</v>
      </c>
      <c r="S122" s="75">
        <f t="shared" si="134"/>
        <v>1.1077728556248025</v>
      </c>
      <c r="T122" s="75">
        <f t="shared" si="134"/>
        <v>1.1590890119589807</v>
      </c>
      <c r="U122" s="75">
        <f t="shared" si="134"/>
        <v>1.099949942803166</v>
      </c>
      <c r="V122" s="75">
        <f t="shared" si="134"/>
        <v>1.2903812977408013</v>
      </c>
      <c r="W122" s="75">
        <f t="shared" si="134"/>
        <v>1.1504765392068477</v>
      </c>
      <c r="X122" s="75">
        <f t="shared" ref="X122:Y122" si="135">IF(X108=0,"",X108/X101)</f>
        <v>1.085003611779537</v>
      </c>
      <c r="Y122" s="75">
        <f t="shared" si="135"/>
        <v>1.1085421676733784</v>
      </c>
      <c r="DA122" s="120" t="s">
        <v>240</v>
      </c>
    </row>
    <row r="123" spans="1:105" ht="12" customHeight="1" x14ac:dyDescent="0.25">
      <c r="A123" s="61" t="s">
        <v>31</v>
      </c>
      <c r="B123" s="76">
        <f t="shared" ref="B123" si="136">IF(B109=0,"",B109/B102)</f>
        <v>1.7135541620775896</v>
      </c>
      <c r="C123" s="76">
        <f t="shared" ref="C123:W123" si="137">IF(C109=0,"",C109/C102)</f>
        <v>1.8788371237466115</v>
      </c>
      <c r="D123" s="76">
        <f t="shared" si="137"/>
        <v>2.0305400629449362</v>
      </c>
      <c r="E123" s="76">
        <f t="shared" si="137"/>
        <v>2.1555599793121898</v>
      </c>
      <c r="F123" s="76">
        <f t="shared" si="137"/>
        <v>2.2904020134909628</v>
      </c>
      <c r="G123" s="76">
        <f t="shared" si="137"/>
        <v>2.4190929219601385</v>
      </c>
      <c r="H123" s="76">
        <f t="shared" si="137"/>
        <v>2.5422390291193628</v>
      </c>
      <c r="I123" s="76">
        <f t="shared" si="137"/>
        <v>2.6766434128847374</v>
      </c>
      <c r="J123" s="76">
        <f t="shared" si="137"/>
        <v>2.8300426143375117</v>
      </c>
      <c r="K123" s="76">
        <f t="shared" si="137"/>
        <v>2.9045197747820453</v>
      </c>
      <c r="L123" s="76">
        <f t="shared" si="137"/>
        <v>3.008929075481483</v>
      </c>
      <c r="M123" s="76">
        <f t="shared" si="137"/>
        <v>3.1495443083639851</v>
      </c>
      <c r="N123" s="76">
        <f t="shared" si="137"/>
        <v>3.2756983417279044</v>
      </c>
      <c r="O123" s="76">
        <f t="shared" si="137"/>
        <v>3.3972588471539731</v>
      </c>
      <c r="P123" s="76">
        <f t="shared" si="137"/>
        <v>3.5217351919996092</v>
      </c>
      <c r="Q123" s="76">
        <f t="shared" si="137"/>
        <v>3.6505699254879227</v>
      </c>
      <c r="R123" s="76">
        <f t="shared" si="137"/>
        <v>3.7899683532009423</v>
      </c>
      <c r="S123" s="76">
        <f t="shared" si="137"/>
        <v>3.9325249190656559</v>
      </c>
      <c r="T123" s="76">
        <f t="shared" si="137"/>
        <v>4.0769072393519714</v>
      </c>
      <c r="U123" s="76">
        <f t="shared" si="137"/>
        <v>4.2088232060745812</v>
      </c>
      <c r="V123" s="76">
        <f t="shared" si="137"/>
        <v>4.3293653776521497</v>
      </c>
      <c r="W123" s="76">
        <f t="shared" si="137"/>
        <v>4.4249779447911131</v>
      </c>
      <c r="X123" s="76">
        <f t="shared" ref="X123:Y123" si="138">IF(X109=0,"",X109/X102)</f>
        <v>4.4964203636615485</v>
      </c>
      <c r="Y123" s="76">
        <f t="shared" si="138"/>
        <v>4.547178992902972</v>
      </c>
      <c r="DA123" s="121" t="s">
        <v>241</v>
      </c>
    </row>
    <row r="124" spans="1:105" ht="12" customHeight="1" x14ac:dyDescent="0.25">
      <c r="A124" s="61" t="s">
        <v>35</v>
      </c>
      <c r="B124" s="76">
        <f t="shared" ref="B124" si="139">IF(B110=0,"",B110/B103)</f>
        <v>0.6134198423905759</v>
      </c>
      <c r="C124" s="76">
        <f t="shared" ref="C124:W124" si="140">IF(C110=0,"",C110/C103)</f>
        <v>0.61107778508317112</v>
      </c>
      <c r="D124" s="76">
        <f t="shared" si="140"/>
        <v>0.61318828401531589</v>
      </c>
      <c r="E124" s="76">
        <f t="shared" si="140"/>
        <v>0.61589926532558115</v>
      </c>
      <c r="F124" s="76">
        <f t="shared" si="140"/>
        <v>0.62555322286299864</v>
      </c>
      <c r="G124" s="76">
        <f t="shared" si="140"/>
        <v>0.62937182883273224</v>
      </c>
      <c r="H124" s="76">
        <f t="shared" si="140"/>
        <v>0.67660740408456754</v>
      </c>
      <c r="I124" s="76">
        <f t="shared" si="140"/>
        <v>0.70579891838410036</v>
      </c>
      <c r="J124" s="76">
        <f t="shared" si="140"/>
        <v>0.71148628318856943</v>
      </c>
      <c r="K124" s="76">
        <f t="shared" si="140"/>
        <v>0.71430911086450544</v>
      </c>
      <c r="L124" s="76">
        <f t="shared" si="140"/>
        <v>0.72266081202254495</v>
      </c>
      <c r="M124" s="76">
        <f t="shared" si="140"/>
        <v>0.72530767849832267</v>
      </c>
      <c r="N124" s="76">
        <f t="shared" si="140"/>
        <v>0.73128582790287111</v>
      </c>
      <c r="O124" s="76">
        <f t="shared" si="140"/>
        <v>0.7400414691980195</v>
      </c>
      <c r="P124" s="76">
        <f t="shared" si="140"/>
        <v>0.74433010228514163</v>
      </c>
      <c r="Q124" s="76">
        <f t="shared" si="140"/>
        <v>0.74819741315428778</v>
      </c>
      <c r="R124" s="76">
        <f t="shared" si="140"/>
        <v>0.75105755386597672</v>
      </c>
      <c r="S124" s="76">
        <f t="shared" si="140"/>
        <v>0.75853550708315509</v>
      </c>
      <c r="T124" s="76">
        <f t="shared" si="140"/>
        <v>0.76821799159746684</v>
      </c>
      <c r="U124" s="76">
        <f t="shared" si="140"/>
        <v>0.78237201970142767</v>
      </c>
      <c r="V124" s="76">
        <f t="shared" si="140"/>
        <v>0.79794243822394262</v>
      </c>
      <c r="W124" s="76">
        <f t="shared" si="140"/>
        <v>0.81180879907389691</v>
      </c>
      <c r="X124" s="76">
        <f t="shared" ref="X124:Y124" si="141">IF(X110=0,"",X110/X103)</f>
        <v>0.80481813747349851</v>
      </c>
      <c r="Y124" s="76">
        <f t="shared" si="141"/>
        <v>0.81001131013430816</v>
      </c>
      <c r="DA124" s="121" t="s">
        <v>242</v>
      </c>
    </row>
    <row r="125" spans="1:105" ht="12" customHeight="1" x14ac:dyDescent="0.25">
      <c r="A125" s="74" t="s">
        <v>34</v>
      </c>
      <c r="B125" s="56">
        <f t="shared" ref="B125" si="142">IF(B111=0,"",B111/B104)</f>
        <v>0.7519754508358899</v>
      </c>
      <c r="C125" s="56">
        <f t="shared" ref="C125:W125" si="143">IF(C111=0,"",C111/C104)</f>
        <v>0.75364239459799365</v>
      </c>
      <c r="D125" s="56">
        <f t="shared" si="143"/>
        <v>0.74901440243874351</v>
      </c>
      <c r="E125" s="56">
        <f t="shared" si="143"/>
        <v>0.75105035536185516</v>
      </c>
      <c r="F125" s="56">
        <f t="shared" si="143"/>
        <v>0.74952069726613813</v>
      </c>
      <c r="G125" s="56">
        <f t="shared" si="143"/>
        <v>0.74607601359780862</v>
      </c>
      <c r="H125" s="56">
        <f t="shared" si="143"/>
        <v>0.71319007418253133</v>
      </c>
      <c r="I125" s="56">
        <f t="shared" si="143"/>
        <v>0.7063148510309919</v>
      </c>
      <c r="J125" s="56">
        <f t="shared" si="143"/>
        <v>0.70500185914421831</v>
      </c>
      <c r="K125" s="56">
        <f t="shared" si="143"/>
        <v>0.71571913905464546</v>
      </c>
      <c r="L125" s="56">
        <f t="shared" si="143"/>
        <v>0.7200655991594056</v>
      </c>
      <c r="M125" s="56">
        <f t="shared" si="143"/>
        <v>0.71355047654243831</v>
      </c>
      <c r="N125" s="56">
        <f t="shared" si="143"/>
        <v>0.71322266741489138</v>
      </c>
      <c r="O125" s="56">
        <f t="shared" si="143"/>
        <v>0.71632349545933172</v>
      </c>
      <c r="P125" s="56">
        <f t="shared" si="143"/>
        <v>0.72379504504379688</v>
      </c>
      <c r="Q125" s="56">
        <f t="shared" si="143"/>
        <v>0.71833137054637031</v>
      </c>
      <c r="R125" s="56">
        <f t="shared" si="143"/>
        <v>0.72161592545366393</v>
      </c>
      <c r="S125" s="56">
        <f t="shared" si="143"/>
        <v>0.70896505058969761</v>
      </c>
      <c r="T125" s="56">
        <f t="shared" si="143"/>
        <v>0.71055062981944783</v>
      </c>
      <c r="U125" s="56">
        <f t="shared" si="143"/>
        <v>0.69577319909786683</v>
      </c>
      <c r="V125" s="56">
        <f t="shared" si="143"/>
        <v>0.71086687364958934</v>
      </c>
      <c r="W125" s="56">
        <f t="shared" si="143"/>
        <v>0.74644536283024465</v>
      </c>
      <c r="X125" s="56">
        <f t="shared" ref="X125:Y125" si="144">IF(X111=0,"",X111/X104)</f>
        <v>0.74565571142498954</v>
      </c>
      <c r="Y125" s="56">
        <f t="shared" si="144"/>
        <v>0.76838608586000279</v>
      </c>
      <c r="DA125" s="122" t="s">
        <v>243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145">IF(B99=0,0,B99/B$26)</f>
        <v>121.83608299495577</v>
      </c>
      <c r="C129" s="82">
        <f t="shared" ref="C129:W129" si="146">IF(C99=0,0,C99/C$26)</f>
        <v>127.82700911194134</v>
      </c>
      <c r="D129" s="82">
        <f t="shared" si="146"/>
        <v>134.33304398634857</v>
      </c>
      <c r="E129" s="82">
        <f t="shared" si="146"/>
        <v>137.27829253670649</v>
      </c>
      <c r="F129" s="82">
        <f t="shared" si="146"/>
        <v>136.69138404368388</v>
      </c>
      <c r="G129" s="82">
        <f t="shared" si="146"/>
        <v>138.73181633276144</v>
      </c>
      <c r="H129" s="82">
        <f t="shared" si="146"/>
        <v>155.6376682657127</v>
      </c>
      <c r="I129" s="82">
        <f t="shared" si="146"/>
        <v>158.41285976468089</v>
      </c>
      <c r="J129" s="82">
        <f t="shared" si="146"/>
        <v>169.70761571486926</v>
      </c>
      <c r="K129" s="82">
        <f t="shared" si="146"/>
        <v>166.3075663318163</v>
      </c>
      <c r="L129" s="82">
        <f t="shared" si="146"/>
        <v>169.34854772560215</v>
      </c>
      <c r="M129" s="82">
        <f t="shared" si="146"/>
        <v>161.74821374571562</v>
      </c>
      <c r="N129" s="82">
        <f t="shared" si="146"/>
        <v>145.03224721475425</v>
      </c>
      <c r="O129" s="82">
        <f t="shared" si="146"/>
        <v>133.02099594168843</v>
      </c>
      <c r="P129" s="82">
        <f t="shared" si="146"/>
        <v>135.07085991356058</v>
      </c>
      <c r="Q129" s="82">
        <f t="shared" si="146"/>
        <v>137.69143787587316</v>
      </c>
      <c r="R129" s="82">
        <f t="shared" si="146"/>
        <v>145.16042111645916</v>
      </c>
      <c r="S129" s="82">
        <f t="shared" si="146"/>
        <v>149.52689376342974</v>
      </c>
      <c r="T129" s="82">
        <f t="shared" si="146"/>
        <v>150.51576838906723</v>
      </c>
      <c r="U129" s="82">
        <f t="shared" si="146"/>
        <v>153.72593709311502</v>
      </c>
      <c r="V129" s="82">
        <f t="shared" si="146"/>
        <v>126.23889051917452</v>
      </c>
      <c r="W129" s="82">
        <f t="shared" si="146"/>
        <v>136.53387444692081</v>
      </c>
      <c r="X129" s="82">
        <f t="shared" ref="X129:Y129" si="147">IF(X99=0,0,X99/X$26)</f>
        <v>149.54448334833836</v>
      </c>
      <c r="Y129" s="82">
        <f t="shared" si="147"/>
        <v>150.25719145604728</v>
      </c>
      <c r="DA129" s="107"/>
    </row>
    <row r="130" spans="1:105" ht="12" customHeight="1" x14ac:dyDescent="0.25">
      <c r="A130" s="77" t="s">
        <v>36</v>
      </c>
      <c r="B130" s="64">
        <f t="shared" ref="B130" si="148">IF(B100=0,0,B100/B$26)</f>
        <v>77.063672002145438</v>
      </c>
      <c r="C130" s="64">
        <f t="shared" ref="C130:W130" si="149">IF(C100=0,0,C100/C$26)</f>
        <v>82.261029033896889</v>
      </c>
      <c r="D130" s="64">
        <f t="shared" si="149"/>
        <v>87.715805396196188</v>
      </c>
      <c r="E130" s="64">
        <f t="shared" si="149"/>
        <v>89.906845434560992</v>
      </c>
      <c r="F130" s="64">
        <f t="shared" si="149"/>
        <v>88.563228267459323</v>
      </c>
      <c r="G130" s="64">
        <f t="shared" si="149"/>
        <v>90.167741930928742</v>
      </c>
      <c r="H130" s="64">
        <f t="shared" si="149"/>
        <v>106.79793847626307</v>
      </c>
      <c r="I130" s="64">
        <f t="shared" si="149"/>
        <v>109.31740625099292</v>
      </c>
      <c r="J130" s="64">
        <f t="shared" si="149"/>
        <v>120.2516461087402</v>
      </c>
      <c r="K130" s="64">
        <f t="shared" si="149"/>
        <v>116.86638632934711</v>
      </c>
      <c r="L130" s="64">
        <f t="shared" si="149"/>
        <v>120.05547697105975</v>
      </c>
      <c r="M130" s="64">
        <f t="shared" si="149"/>
        <v>112.443340327752</v>
      </c>
      <c r="N130" s="64">
        <f t="shared" si="149"/>
        <v>95.696464687453982</v>
      </c>
      <c r="O130" s="64">
        <f t="shared" si="149"/>
        <v>83.37396085140945</v>
      </c>
      <c r="P130" s="64">
        <f t="shared" si="149"/>
        <v>84.839179776192239</v>
      </c>
      <c r="Q130" s="64">
        <f t="shared" si="149"/>
        <v>86.847184379081924</v>
      </c>
      <c r="R130" s="64">
        <f t="shared" si="149"/>
        <v>94.223806826452474</v>
      </c>
      <c r="S130" s="64">
        <f t="shared" si="149"/>
        <v>99.219097519210422</v>
      </c>
      <c r="T130" s="64">
        <f t="shared" si="149"/>
        <v>101.69341260633415</v>
      </c>
      <c r="U130" s="64">
        <f t="shared" si="149"/>
        <v>106.42209716211218</v>
      </c>
      <c r="V130" s="64">
        <f t="shared" si="149"/>
        <v>84.588189842689175</v>
      </c>
      <c r="W130" s="64">
        <f t="shared" si="149"/>
        <v>93.72753430169378</v>
      </c>
      <c r="X130" s="64">
        <f t="shared" ref="X130:Y130" si="150">IF(X100=0,0,X100/X$26)</f>
        <v>107.16033803664803</v>
      </c>
      <c r="Y130" s="64">
        <f t="shared" si="150"/>
        <v>108.78147874826809</v>
      </c>
      <c r="DA130" s="108"/>
    </row>
    <row r="131" spans="1:105" ht="12" customHeight="1" x14ac:dyDescent="0.25">
      <c r="A131" s="61" t="s">
        <v>32</v>
      </c>
      <c r="B131" s="65">
        <f t="shared" ref="B131" si="151">IF(B101=0,0,B101/B$26)</f>
        <v>25.608773574041169</v>
      </c>
      <c r="C131" s="65">
        <f t="shared" ref="C131:W131" si="152">IF(C101=0,0,C101/C$26)</f>
        <v>31.144093748853226</v>
      </c>
      <c r="D131" s="65">
        <f t="shared" si="152"/>
        <v>35.483760230602059</v>
      </c>
      <c r="E131" s="65">
        <f t="shared" si="152"/>
        <v>35.627270194496774</v>
      </c>
      <c r="F131" s="65">
        <f t="shared" si="152"/>
        <v>36.1684030772374</v>
      </c>
      <c r="G131" s="65">
        <f t="shared" si="152"/>
        <v>38.130668000025935</v>
      </c>
      <c r="H131" s="65">
        <f t="shared" si="152"/>
        <v>52.670483528383279</v>
      </c>
      <c r="I131" s="65">
        <f t="shared" si="152"/>
        <v>53.586505991645538</v>
      </c>
      <c r="J131" s="65">
        <f t="shared" si="152"/>
        <v>63.792460729094877</v>
      </c>
      <c r="K131" s="65">
        <f t="shared" si="152"/>
        <v>61.377728129869858</v>
      </c>
      <c r="L131" s="65">
        <f t="shared" si="152"/>
        <v>64.108648198330229</v>
      </c>
      <c r="M131" s="65">
        <f t="shared" si="152"/>
        <v>59.035491178304639</v>
      </c>
      <c r="N131" s="65">
        <f t="shared" si="152"/>
        <v>39.289178221414289</v>
      </c>
      <c r="O131" s="65">
        <f t="shared" si="152"/>
        <v>30.985510194307338</v>
      </c>
      <c r="P131" s="65">
        <f t="shared" si="152"/>
        <v>34.619186510352961</v>
      </c>
      <c r="Q131" s="65">
        <f t="shared" si="152"/>
        <v>35.507885767005249</v>
      </c>
      <c r="R131" s="65">
        <f t="shared" si="152"/>
        <v>40.990872010599105</v>
      </c>
      <c r="S131" s="65">
        <f t="shared" si="152"/>
        <v>47.378537035384412</v>
      </c>
      <c r="T131" s="65">
        <f t="shared" si="152"/>
        <v>45.637658698927758</v>
      </c>
      <c r="U131" s="65">
        <f t="shared" si="152"/>
        <v>53.624079446105789</v>
      </c>
      <c r="V131" s="65">
        <f t="shared" si="152"/>
        <v>34.793758867900443</v>
      </c>
      <c r="W131" s="65">
        <f t="shared" si="152"/>
        <v>46.161497998675493</v>
      </c>
      <c r="X131" s="65">
        <f t="shared" ref="X131:Y131" si="153">IF(X101=0,0,X101/X$26)</f>
        <v>58.352825166653439</v>
      </c>
      <c r="Y131" s="65">
        <f t="shared" si="153"/>
        <v>56.741501253074247</v>
      </c>
      <c r="DA131" s="109"/>
    </row>
    <row r="132" spans="1:105" ht="12" customHeight="1" x14ac:dyDescent="0.25">
      <c r="A132" s="61" t="s">
        <v>31</v>
      </c>
      <c r="B132" s="65">
        <f t="shared" ref="B132" si="154">IF(B102=0,0,B102/B$26)</f>
        <v>13.457380094770532</v>
      </c>
      <c r="C132" s="65">
        <f t="shared" ref="C132:W132" si="155">IF(C102=0,0,C102/C$26)</f>
        <v>13.389330671994266</v>
      </c>
      <c r="D132" s="65">
        <f t="shared" si="155"/>
        <v>14.433931491817665</v>
      </c>
      <c r="E132" s="65">
        <f t="shared" si="155"/>
        <v>16.55380920253242</v>
      </c>
      <c r="F132" s="65">
        <f t="shared" si="155"/>
        <v>14.676406207182659</v>
      </c>
      <c r="G132" s="65">
        <f t="shared" si="155"/>
        <v>14.072555706254539</v>
      </c>
      <c r="H132" s="65">
        <f t="shared" si="155"/>
        <v>16.506956085819155</v>
      </c>
      <c r="I132" s="65">
        <f t="shared" si="155"/>
        <v>18.614199313552998</v>
      </c>
      <c r="J132" s="65">
        <f t="shared" si="155"/>
        <v>18.986935427437441</v>
      </c>
      <c r="K132" s="65">
        <f t="shared" si="155"/>
        <v>18.636073260935969</v>
      </c>
      <c r="L132" s="65">
        <f t="shared" si="155"/>
        <v>19.824071086821704</v>
      </c>
      <c r="M132" s="65">
        <f t="shared" si="155"/>
        <v>17.235822764066175</v>
      </c>
      <c r="N132" s="65">
        <f t="shared" si="155"/>
        <v>20.525703900077993</v>
      </c>
      <c r="O132" s="65">
        <f t="shared" si="155"/>
        <v>17.054603121910539</v>
      </c>
      <c r="P132" s="65">
        <f t="shared" si="155"/>
        <v>15.011290176734363</v>
      </c>
      <c r="Q132" s="65">
        <f t="shared" si="155"/>
        <v>16.019656261608876</v>
      </c>
      <c r="R132" s="65">
        <f t="shared" si="155"/>
        <v>17.929943246169135</v>
      </c>
      <c r="S132" s="65">
        <f t="shared" si="155"/>
        <v>16.694960494567695</v>
      </c>
      <c r="T132" s="65">
        <f t="shared" si="155"/>
        <v>21.030776801950061</v>
      </c>
      <c r="U132" s="65">
        <f t="shared" si="155"/>
        <v>17.861695970678948</v>
      </c>
      <c r="V132" s="65">
        <f t="shared" si="155"/>
        <v>18.565649170143502</v>
      </c>
      <c r="W132" s="65">
        <f t="shared" si="155"/>
        <v>16.594284760591027</v>
      </c>
      <c r="X132" s="65">
        <f t="shared" ref="X132:Y132" si="156">IF(X102=0,0,X102/X$26)</f>
        <v>15.735901103985949</v>
      </c>
      <c r="Y132" s="65">
        <f t="shared" si="156"/>
        <v>17.525158193782101</v>
      </c>
      <c r="DA132" s="109"/>
    </row>
    <row r="133" spans="1:105" ht="12" customHeight="1" x14ac:dyDescent="0.25">
      <c r="A133" s="61" t="s">
        <v>35</v>
      </c>
      <c r="B133" s="65">
        <f t="shared" ref="B133" si="157">IF(B103=0,0,B103/B$26)</f>
        <v>21.240925227510914</v>
      </c>
      <c r="C133" s="65">
        <f t="shared" ref="C133:W133" si="158">IF(C103=0,0,C103/C$26)</f>
        <v>21.106619141493301</v>
      </c>
      <c r="D133" s="65">
        <f t="shared" si="158"/>
        <v>20.996515473878244</v>
      </c>
      <c r="E133" s="65">
        <f t="shared" si="158"/>
        <v>20.850179141746796</v>
      </c>
      <c r="F133" s="65">
        <f t="shared" si="158"/>
        <v>20.493171566615359</v>
      </c>
      <c r="G133" s="65">
        <f t="shared" si="158"/>
        <v>20.43683835911072</v>
      </c>
      <c r="H133" s="65">
        <f t="shared" si="158"/>
        <v>19.121058249942575</v>
      </c>
      <c r="I133" s="65">
        <f t="shared" si="158"/>
        <v>18.347449478195248</v>
      </c>
      <c r="J133" s="65">
        <f t="shared" si="158"/>
        <v>18.43407868376099</v>
      </c>
      <c r="K133" s="65">
        <f t="shared" si="158"/>
        <v>18.213111033940077</v>
      </c>
      <c r="L133" s="65">
        <f t="shared" si="158"/>
        <v>17.872167944952118</v>
      </c>
      <c r="M133" s="65">
        <f t="shared" si="158"/>
        <v>17.788259672377706</v>
      </c>
      <c r="N133" s="65">
        <f t="shared" si="158"/>
        <v>17.535629277920989</v>
      </c>
      <c r="O133" s="65">
        <f t="shared" si="158"/>
        <v>17.370923042662032</v>
      </c>
      <c r="P133" s="65">
        <f t="shared" si="158"/>
        <v>17.180132771645251</v>
      </c>
      <c r="Q133" s="65">
        <f t="shared" si="158"/>
        <v>17.175950756847914</v>
      </c>
      <c r="R133" s="65">
        <f t="shared" si="158"/>
        <v>17.215646802145613</v>
      </c>
      <c r="S133" s="65">
        <f t="shared" si="158"/>
        <v>16.787887864080663</v>
      </c>
      <c r="T133" s="65">
        <f t="shared" si="158"/>
        <v>16.535275107476117</v>
      </c>
      <c r="U133" s="65">
        <f t="shared" si="158"/>
        <v>16.006879279573294</v>
      </c>
      <c r="V133" s="65">
        <f t="shared" si="158"/>
        <v>14.777024436805398</v>
      </c>
      <c r="W133" s="65">
        <f t="shared" si="158"/>
        <v>14.653573581730681</v>
      </c>
      <c r="X133" s="65">
        <f t="shared" ref="X133:Y133" si="159">IF(X103=0,0,X103/X$26)</f>
        <v>15.70074541814499</v>
      </c>
      <c r="Y133" s="65">
        <f t="shared" si="159"/>
        <v>16.584202149305732</v>
      </c>
      <c r="DA133" s="109"/>
    </row>
    <row r="134" spans="1:105" ht="12" customHeight="1" x14ac:dyDescent="0.25">
      <c r="A134" s="66" t="s">
        <v>34</v>
      </c>
      <c r="B134" s="67">
        <f t="shared" ref="B134" si="160">IF(B104=0,0,B104/B$26)</f>
        <v>16.756593105822823</v>
      </c>
      <c r="C134" s="67">
        <f t="shared" ref="C134:W134" si="161">IF(C104=0,0,C104/C$26)</f>
        <v>16.620985471556075</v>
      </c>
      <c r="D134" s="67">
        <f t="shared" si="161"/>
        <v>16.801598199898219</v>
      </c>
      <c r="E134" s="67">
        <f t="shared" si="161"/>
        <v>16.875586895785002</v>
      </c>
      <c r="F134" s="67">
        <f t="shared" si="161"/>
        <v>17.225247416423894</v>
      </c>
      <c r="G134" s="67">
        <f t="shared" si="161"/>
        <v>17.527679865537536</v>
      </c>
      <c r="H134" s="67">
        <f t="shared" si="161"/>
        <v>18.499440612118054</v>
      </c>
      <c r="I134" s="67">
        <f t="shared" si="161"/>
        <v>18.769251467599116</v>
      </c>
      <c r="J134" s="67">
        <f t="shared" si="161"/>
        <v>19.038171268446906</v>
      </c>
      <c r="K134" s="67">
        <f t="shared" si="161"/>
        <v>18.639473904601193</v>
      </c>
      <c r="L134" s="67">
        <f t="shared" si="161"/>
        <v>18.250589740955682</v>
      </c>
      <c r="M134" s="67">
        <f t="shared" si="161"/>
        <v>18.383766713003467</v>
      </c>
      <c r="N134" s="67">
        <f t="shared" si="161"/>
        <v>18.3459532880407</v>
      </c>
      <c r="O134" s="67">
        <f t="shared" si="161"/>
        <v>17.962924492529549</v>
      </c>
      <c r="P134" s="67">
        <f t="shared" si="161"/>
        <v>18.028570317459675</v>
      </c>
      <c r="Q134" s="67">
        <f t="shared" si="161"/>
        <v>18.143691593619891</v>
      </c>
      <c r="R134" s="67">
        <f t="shared" si="161"/>
        <v>18.087344767538632</v>
      </c>
      <c r="S134" s="67">
        <f t="shared" si="161"/>
        <v>18.357712125177649</v>
      </c>
      <c r="T134" s="67">
        <f t="shared" si="161"/>
        <v>18.489701997980212</v>
      </c>
      <c r="U134" s="67">
        <f t="shared" si="161"/>
        <v>18.92944246575416</v>
      </c>
      <c r="V134" s="67">
        <f t="shared" si="161"/>
        <v>16.451757367839818</v>
      </c>
      <c r="W134" s="67">
        <f t="shared" si="161"/>
        <v>16.318177960696573</v>
      </c>
      <c r="X134" s="67">
        <f t="shared" ref="X134:Y134" si="162">IF(X104=0,0,X104/X$26)</f>
        <v>17.370866347863675</v>
      </c>
      <c r="Y134" s="67">
        <f t="shared" si="162"/>
        <v>17.930617152105999</v>
      </c>
      <c r="DA134" s="110"/>
    </row>
    <row r="135" spans="1:105" ht="12" customHeight="1" x14ac:dyDescent="0.25">
      <c r="A135" s="78" t="s">
        <v>33</v>
      </c>
      <c r="B135" s="68">
        <f t="shared" ref="B135" si="163">IF(B105=0,0,B105/B$26)</f>
        <v>44.772410992810322</v>
      </c>
      <c r="C135" s="68">
        <f t="shared" ref="C135:W135" si="164">IF(C105=0,0,C105/C$26)</f>
        <v>45.565980078044454</v>
      </c>
      <c r="D135" s="68">
        <f t="shared" si="164"/>
        <v>46.617238590152375</v>
      </c>
      <c r="E135" s="68">
        <f t="shared" si="164"/>
        <v>47.371447102145503</v>
      </c>
      <c r="F135" s="68">
        <f t="shared" si="164"/>
        <v>48.128155776224538</v>
      </c>
      <c r="G135" s="68">
        <f t="shared" si="164"/>
        <v>48.564074401832698</v>
      </c>
      <c r="H135" s="68">
        <f t="shared" si="164"/>
        <v>48.839729789449635</v>
      </c>
      <c r="I135" s="68">
        <f t="shared" si="164"/>
        <v>49.095453513687985</v>
      </c>
      <c r="J135" s="68">
        <f t="shared" si="164"/>
        <v>49.455969606129067</v>
      </c>
      <c r="K135" s="68">
        <f t="shared" si="164"/>
        <v>49.441180002469217</v>
      </c>
      <c r="L135" s="68">
        <f t="shared" si="164"/>
        <v>49.293070754542377</v>
      </c>
      <c r="M135" s="68">
        <f t="shared" si="164"/>
        <v>49.30487341796362</v>
      </c>
      <c r="N135" s="68">
        <f t="shared" si="164"/>
        <v>49.33578252730026</v>
      </c>
      <c r="O135" s="68">
        <f t="shared" si="164"/>
        <v>49.64703509027899</v>
      </c>
      <c r="P135" s="68">
        <f t="shared" si="164"/>
        <v>50.231680137368315</v>
      </c>
      <c r="Q135" s="68">
        <f t="shared" si="164"/>
        <v>50.844253496791204</v>
      </c>
      <c r="R135" s="68">
        <f t="shared" si="164"/>
        <v>50.936614290006681</v>
      </c>
      <c r="S135" s="68">
        <f t="shared" si="164"/>
        <v>50.307796244219347</v>
      </c>
      <c r="T135" s="68">
        <f t="shared" si="164"/>
        <v>48.822355782733069</v>
      </c>
      <c r="U135" s="68">
        <f t="shared" si="164"/>
        <v>47.303839931002834</v>
      </c>
      <c r="V135" s="68">
        <f t="shared" si="164"/>
        <v>41.65070067648535</v>
      </c>
      <c r="W135" s="68">
        <f t="shared" si="164"/>
        <v>42.806340145227018</v>
      </c>
      <c r="X135" s="68">
        <f t="shared" ref="X135:Y135" si="165">IF(X105=0,0,X105/X$26)</f>
        <v>42.384145311690304</v>
      </c>
      <c r="Y135" s="68">
        <f t="shared" si="165"/>
        <v>41.475712707779202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66">IF(B107=0,0,B107/B$26)</f>
        <v>59.899005945364308</v>
      </c>
      <c r="C137" s="85">
        <f t="shared" ref="C137:W137" si="167">IF(C107=0,0,C107/C$26)</f>
        <v>65.419102745376549</v>
      </c>
      <c r="D137" s="85">
        <f t="shared" si="167"/>
        <v>72.809043043031224</v>
      </c>
      <c r="E137" s="85">
        <f t="shared" si="167"/>
        <v>79.757376579324117</v>
      </c>
      <c r="F137" s="85">
        <f t="shared" si="167"/>
        <v>79.328804833522142</v>
      </c>
      <c r="G137" s="85">
        <f t="shared" si="167"/>
        <v>82.159714001448293</v>
      </c>
      <c r="H137" s="85">
        <f t="shared" si="167"/>
        <v>99.219193523624355</v>
      </c>
      <c r="I137" s="85">
        <f t="shared" si="167"/>
        <v>108.24985009102387</v>
      </c>
      <c r="J137" s="85">
        <f t="shared" si="167"/>
        <v>117.88284293115927</v>
      </c>
      <c r="K137" s="85">
        <f t="shared" si="167"/>
        <v>119.20736208311473</v>
      </c>
      <c r="L137" s="85">
        <f t="shared" si="167"/>
        <v>126.80314919325099</v>
      </c>
      <c r="M137" s="85">
        <f t="shared" si="167"/>
        <v>120.56201467607917</v>
      </c>
      <c r="N137" s="85">
        <f t="shared" si="167"/>
        <v>125.93603910386075</v>
      </c>
      <c r="O137" s="85">
        <f t="shared" si="167"/>
        <v>121.67144008291424</v>
      </c>
      <c r="P137" s="85">
        <f t="shared" si="167"/>
        <v>119.75563587019165</v>
      </c>
      <c r="Q137" s="85">
        <f t="shared" si="167"/>
        <v>128.68293690810762</v>
      </c>
      <c r="R137" s="85">
        <f t="shared" si="167"/>
        <v>141.67130504900916</v>
      </c>
      <c r="S137" s="85">
        <f t="shared" si="167"/>
        <v>143.88719077409067</v>
      </c>
      <c r="T137" s="85">
        <f t="shared" si="167"/>
        <v>164.47920015594266</v>
      </c>
      <c r="U137" s="85">
        <f t="shared" si="167"/>
        <v>159.85445683347237</v>
      </c>
      <c r="V137" s="85">
        <f t="shared" si="167"/>
        <v>148.76091868701471</v>
      </c>
      <c r="W137" s="85">
        <f t="shared" si="167"/>
        <v>150.61359277744501</v>
      </c>
      <c r="X137" s="85">
        <f t="shared" ref="X137:Y137" si="168">IF(X107=0,0,X107/X$26)</f>
        <v>159.65718261694721</v>
      </c>
      <c r="Y137" s="85">
        <f t="shared" si="168"/>
        <v>169.80140602324425</v>
      </c>
      <c r="DA137" s="117"/>
    </row>
    <row r="138" spans="1:105" ht="12" customHeight="1" x14ac:dyDescent="0.25">
      <c r="A138" s="61" t="s">
        <v>32</v>
      </c>
      <c r="B138" s="65">
        <f t="shared" ref="B138" si="169">IF(B108=0,0,B108/B$26)</f>
        <v>11.208904612795726</v>
      </c>
      <c r="C138" s="65">
        <f t="shared" ref="C138:W138" si="170">IF(C108=0,0,C108/C$26)</f>
        <v>14.838665849774786</v>
      </c>
      <c r="D138" s="65">
        <f t="shared" si="170"/>
        <v>18.040910553651827</v>
      </c>
      <c r="E138" s="65">
        <f t="shared" si="170"/>
        <v>18.558622406847601</v>
      </c>
      <c r="F138" s="65">
        <f t="shared" si="170"/>
        <v>19.983685531459326</v>
      </c>
      <c r="G138" s="65">
        <f t="shared" si="170"/>
        <v>22.17754224322692</v>
      </c>
      <c r="H138" s="65">
        <f t="shared" si="170"/>
        <v>31.123498501960242</v>
      </c>
      <c r="I138" s="65">
        <f t="shared" si="170"/>
        <v>32.21966506116101</v>
      </c>
      <c r="J138" s="65">
        <f t="shared" si="170"/>
        <v>37.611466290160841</v>
      </c>
      <c r="K138" s="65">
        <f t="shared" si="170"/>
        <v>38.728099408276371</v>
      </c>
      <c r="L138" s="65">
        <f t="shared" si="170"/>
        <v>41.0967880691652</v>
      </c>
      <c r="M138" s="65">
        <f t="shared" si="170"/>
        <v>40.257320363337918</v>
      </c>
      <c r="N138" s="65">
        <f t="shared" si="170"/>
        <v>32.791717960909637</v>
      </c>
      <c r="O138" s="65">
        <f t="shared" si="170"/>
        <v>38.010070471325747</v>
      </c>
      <c r="P138" s="65">
        <f t="shared" si="170"/>
        <v>41.05316712927619</v>
      </c>
      <c r="Q138" s="65">
        <f t="shared" si="170"/>
        <v>44.317876768869304</v>
      </c>
      <c r="R138" s="65">
        <f t="shared" si="170"/>
        <v>47.735329962472186</v>
      </c>
      <c r="S138" s="65">
        <f t="shared" si="170"/>
        <v>52.484657267013255</v>
      </c>
      <c r="T138" s="65">
        <f t="shared" si="170"/>
        <v>52.898108729461349</v>
      </c>
      <c r="U138" s="65">
        <f t="shared" si="170"/>
        <v>58.983803119616489</v>
      </c>
      <c r="V138" s="65">
        <f t="shared" si="170"/>
        <v>44.897215721241885</v>
      </c>
      <c r="W138" s="65">
        <f t="shared" si="170"/>
        <v>53.107720462120014</v>
      </c>
      <c r="X138" s="65">
        <f t="shared" ref="X138:Y138" si="171">IF(X108=0,0,X108/X$26)</f>
        <v>63.313026063358841</v>
      </c>
      <c r="Y138" s="65">
        <f t="shared" si="171"/>
        <v>62.900346796124644</v>
      </c>
      <c r="DA138" s="109"/>
    </row>
    <row r="139" spans="1:105" ht="12" customHeight="1" x14ac:dyDescent="0.25">
      <c r="A139" s="61" t="s">
        <v>31</v>
      </c>
      <c r="B139" s="65">
        <f t="shared" ref="B139" si="172">IF(B109=0,0,B109/B$26)</f>
        <v>23.059949672054152</v>
      </c>
      <c r="C139" s="65">
        <f t="shared" ref="C139:W139" si="173">IF(C109=0,0,C109/C$26)</f>
        <v>25.156371528661992</v>
      </c>
      <c r="D139" s="65">
        <f t="shared" si="173"/>
        <v>29.308676159938337</v>
      </c>
      <c r="E139" s="65">
        <f t="shared" si="173"/>
        <v>35.682728622148716</v>
      </c>
      <c r="F139" s="65">
        <f t="shared" si="173"/>
        <v>33.61487032774243</v>
      </c>
      <c r="G139" s="65">
        <f t="shared" si="173"/>
        <v>34.042819902890109</v>
      </c>
      <c r="H139" s="65">
        <f t="shared" si="173"/>
        <v>41.964628013328849</v>
      </c>
      <c r="I139" s="65">
        <f t="shared" si="173"/>
        <v>49.823573978745237</v>
      </c>
      <c r="J139" s="65">
        <f t="shared" si="173"/>
        <v>53.733836375322568</v>
      </c>
      <c r="K139" s="65">
        <f t="shared" si="173"/>
        <v>54.128843310675428</v>
      </c>
      <c r="L139" s="65">
        <f t="shared" si="173"/>
        <v>59.649223887549631</v>
      </c>
      <c r="M139" s="65">
        <f t="shared" si="173"/>
        <v>54.28498748653503</v>
      </c>
      <c r="N139" s="65">
        <f t="shared" si="173"/>
        <v>67.236014228283452</v>
      </c>
      <c r="O139" s="65">
        <f t="shared" si="173"/>
        <v>57.938901340610343</v>
      </c>
      <c r="P139" s="65">
        <f t="shared" si="173"/>
        <v>52.865788892723437</v>
      </c>
      <c r="Q139" s="65">
        <f t="shared" si="173"/>
        <v>58.480875365283651</v>
      </c>
      <c r="R139" s="65">
        <f t="shared" si="173"/>
        <v>67.953917477669989</v>
      </c>
      <c r="S139" s="65">
        <f t="shared" si="173"/>
        <v>65.653348167704152</v>
      </c>
      <c r="T139" s="65">
        <f t="shared" si="173"/>
        <v>85.740526193065705</v>
      </c>
      <c r="U139" s="65">
        <f t="shared" si="173"/>
        <v>75.1767205012424</v>
      </c>
      <c r="V139" s="65">
        <f t="shared" si="173"/>
        <v>80.377478730855643</v>
      </c>
      <c r="W139" s="65">
        <f t="shared" si="173"/>
        <v>73.429344075198557</v>
      </c>
      <c r="X139" s="65">
        <f t="shared" ref="X139:Y139" si="174">IF(X109=0,0,X109/X$26)</f>
        <v>70.755226164526661</v>
      </c>
      <c r="Y139" s="65">
        <f t="shared" si="174"/>
        <v>79.690031186067358</v>
      </c>
      <c r="DA139" s="109"/>
    </row>
    <row r="140" spans="1:105" ht="12" customHeight="1" x14ac:dyDescent="0.25">
      <c r="A140" s="61" t="s">
        <v>35</v>
      </c>
      <c r="B140" s="65">
        <f t="shared" ref="B140" si="175">IF(B110=0,0,B110/B$26)</f>
        <v>13.029605005289753</v>
      </c>
      <c r="C140" s="65">
        <f t="shared" ref="C140:W140" si="176">IF(C110=0,0,C110/C$26)</f>
        <v>12.897786075577791</v>
      </c>
      <c r="D140" s="65">
        <f t="shared" si="176"/>
        <v>12.874817293728427</v>
      </c>
      <c r="E140" s="65">
        <f t="shared" si="176"/>
        <v>12.841610015308607</v>
      </c>
      <c r="F140" s="65">
        <f t="shared" si="176"/>
        <v>12.819569520180606</v>
      </c>
      <c r="G140" s="65">
        <f t="shared" si="176"/>
        <v>12.862370333632448</v>
      </c>
      <c r="H140" s="65">
        <f t="shared" si="176"/>
        <v>12.937449585843449</v>
      </c>
      <c r="I140" s="65">
        <f t="shared" si="176"/>
        <v>12.949609996817133</v>
      </c>
      <c r="J140" s="65">
        <f t="shared" si="176"/>
        <v>13.115594126714743</v>
      </c>
      <c r="K140" s="65">
        <f t="shared" si="176"/>
        <v>13.009791148730249</v>
      </c>
      <c r="L140" s="65">
        <f t="shared" si="176"/>
        <v>12.915515399702397</v>
      </c>
      <c r="M140" s="65">
        <f t="shared" si="176"/>
        <v>12.901961327497608</v>
      </c>
      <c r="N140" s="65">
        <f t="shared" si="176"/>
        <v>12.823557174302277</v>
      </c>
      <c r="O140" s="65">
        <f t="shared" si="176"/>
        <v>12.85520340981734</v>
      </c>
      <c r="P140" s="65">
        <f t="shared" si="176"/>
        <v>12.787689983191022</v>
      </c>
      <c r="Q140" s="65">
        <f t="shared" si="176"/>
        <v>12.851001924739043</v>
      </c>
      <c r="R140" s="65">
        <f t="shared" si="176"/>
        <v>12.929941575440109</v>
      </c>
      <c r="S140" s="65">
        <f t="shared" si="176"/>
        <v>12.734209033835572</v>
      </c>
      <c r="T140" s="65">
        <f t="shared" si="176"/>
        <v>12.702695833576891</v>
      </c>
      <c r="U140" s="65">
        <f t="shared" si="176"/>
        <v>12.523334471076693</v>
      </c>
      <c r="V140" s="65">
        <f t="shared" si="176"/>
        <v>11.791214908799281</v>
      </c>
      <c r="W140" s="65">
        <f t="shared" si="176"/>
        <v>11.895899971525767</v>
      </c>
      <c r="X140" s="65">
        <f t="shared" ref="X140:Y140" si="177">IF(X110=0,0,X110/X$26)</f>
        <v>12.636244684377017</v>
      </c>
      <c r="Y140" s="65">
        <f t="shared" si="177"/>
        <v>13.433391310491343</v>
      </c>
      <c r="DA140" s="109"/>
    </row>
    <row r="141" spans="1:105" ht="12" customHeight="1" x14ac:dyDescent="0.25">
      <c r="A141" s="74" t="s">
        <v>34</v>
      </c>
      <c r="B141" s="68">
        <f t="shared" ref="B141" si="178">IF(B111=0,0,B111/B$26)</f>
        <v>12.600546655224683</v>
      </c>
      <c r="C141" s="68">
        <f t="shared" ref="C141:W141" si="179">IF(C111=0,0,C111/C$26)</f>
        <v>12.526279291361984</v>
      </c>
      <c r="D141" s="68">
        <f t="shared" si="179"/>
        <v>12.584639035712634</v>
      </c>
      <c r="E141" s="68">
        <f t="shared" si="179"/>
        <v>12.674415535019191</v>
      </c>
      <c r="F141" s="68">
        <f t="shared" si="179"/>
        <v>12.910679454139782</v>
      </c>
      <c r="G141" s="68">
        <f t="shared" si="179"/>
        <v>13.076981521698819</v>
      </c>
      <c r="H141" s="68">
        <f t="shared" si="179"/>
        <v>13.193617422491808</v>
      </c>
      <c r="I141" s="68">
        <f t="shared" si="179"/>
        <v>13.257001054300495</v>
      </c>
      <c r="J141" s="68">
        <f t="shared" si="179"/>
        <v>13.421946138961111</v>
      </c>
      <c r="K141" s="68">
        <f t="shared" si="179"/>
        <v>13.340628215432696</v>
      </c>
      <c r="L141" s="68">
        <f t="shared" si="179"/>
        <v>13.141621836833755</v>
      </c>
      <c r="M141" s="68">
        <f t="shared" si="179"/>
        <v>13.11774549870864</v>
      </c>
      <c r="N141" s="68">
        <f t="shared" si="179"/>
        <v>13.084749740365387</v>
      </c>
      <c r="O141" s="68">
        <f t="shared" si="179"/>
        <v>12.867264861160807</v>
      </c>
      <c r="P141" s="68">
        <f t="shared" si="179"/>
        <v>13.048989865000985</v>
      </c>
      <c r="Q141" s="68">
        <f t="shared" si="179"/>
        <v>13.033182849215635</v>
      </c>
      <c r="R141" s="68">
        <f t="shared" si="179"/>
        <v>13.052116033426875</v>
      </c>
      <c r="S141" s="68">
        <f t="shared" si="179"/>
        <v>13.014976305537676</v>
      </c>
      <c r="T141" s="68">
        <f t="shared" si="179"/>
        <v>13.137869399838744</v>
      </c>
      <c r="U141" s="68">
        <f t="shared" si="179"/>
        <v>13.170598741536784</v>
      </c>
      <c r="V141" s="68">
        <f t="shared" si="179"/>
        <v>11.695009326117889</v>
      </c>
      <c r="W141" s="68">
        <f t="shared" si="179"/>
        <v>12.180628268600655</v>
      </c>
      <c r="X141" s="68">
        <f t="shared" ref="X141:Y141" si="180">IF(X111=0,0,X111/X$26)</f>
        <v>12.952685704684699</v>
      </c>
      <c r="Y141" s="68">
        <f t="shared" si="180"/>
        <v>13.777636730560959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81">IF(B113=0,0,B113/B$26)</f>
        <v>5.5235649555290962</v>
      </c>
      <c r="C143" s="82">
        <f t="shared" ref="C143:W143" si="182">IF(C113=0,0,C113/C$26)</f>
        <v>5.471597266995964</v>
      </c>
      <c r="D143" s="82">
        <f t="shared" si="182"/>
        <v>5.1710404683912747</v>
      </c>
      <c r="E143" s="82">
        <f t="shared" si="182"/>
        <v>5.2231744185972993</v>
      </c>
      <c r="F143" s="82">
        <f t="shared" si="182"/>
        <v>4.5988756331440692</v>
      </c>
      <c r="G143" s="82">
        <f t="shared" si="182"/>
        <v>4.3233250323071619</v>
      </c>
      <c r="H143" s="82">
        <f t="shared" si="182"/>
        <v>7.195341579151882</v>
      </c>
      <c r="I143" s="82">
        <f t="shared" si="182"/>
        <v>7.2045783494916984</v>
      </c>
      <c r="J143" s="82">
        <f t="shared" si="182"/>
        <v>8.8618051212667091</v>
      </c>
      <c r="K143" s="82">
        <f t="shared" si="182"/>
        <v>6.9844828798052561</v>
      </c>
      <c r="L143" s="82">
        <f t="shared" si="182"/>
        <v>7.4458114491587022</v>
      </c>
      <c r="M143" s="82">
        <f t="shared" si="182"/>
        <v>7.2630380532067322</v>
      </c>
      <c r="N143" s="82">
        <f t="shared" si="182"/>
        <v>6.4301725323624366</v>
      </c>
      <c r="O143" s="82">
        <f t="shared" si="182"/>
        <v>6.5862928280292321</v>
      </c>
      <c r="P143" s="82">
        <f t="shared" si="182"/>
        <v>6.1869216104041378</v>
      </c>
      <c r="Q143" s="82">
        <f t="shared" si="182"/>
        <v>5.7301974801354598</v>
      </c>
      <c r="R143" s="82">
        <f t="shared" si="182"/>
        <v>5.5106286311919304</v>
      </c>
      <c r="S143" s="82">
        <f t="shared" si="182"/>
        <v>6.2529944098615866</v>
      </c>
      <c r="T143" s="82">
        <f t="shared" si="182"/>
        <v>6.1236903196546271</v>
      </c>
      <c r="U143" s="82">
        <f t="shared" si="182"/>
        <v>7.3500703937138869</v>
      </c>
      <c r="V143" s="82">
        <f t="shared" si="182"/>
        <v>5.7016720015365232</v>
      </c>
      <c r="W143" s="82">
        <f t="shared" si="182"/>
        <v>5.9061209904688976</v>
      </c>
      <c r="X143" s="82">
        <f t="shared" ref="X143:Y143" si="183">IF(X113=0,0,X113/X$26)</f>
        <v>6.5603892650041384</v>
      </c>
      <c r="Y143" s="82">
        <f t="shared" si="183"/>
        <v>6.4655596053068587</v>
      </c>
      <c r="DA143" s="107"/>
    </row>
    <row r="144" spans="1:105" ht="12" customHeight="1" x14ac:dyDescent="0.25">
      <c r="A144" s="77" t="s">
        <v>36</v>
      </c>
      <c r="B144" s="64">
        <f t="shared" ref="B144" si="184">IF(B114=0,0,B114/B$26)</f>
        <v>5.5235649555290962</v>
      </c>
      <c r="C144" s="64">
        <f t="shared" ref="C144:W144" si="185">IF(C114=0,0,C114/C$26)</f>
        <v>5.471597266995964</v>
      </c>
      <c r="D144" s="64">
        <f t="shared" si="185"/>
        <v>5.1710404683912747</v>
      </c>
      <c r="E144" s="64">
        <f t="shared" si="185"/>
        <v>5.2231744185972993</v>
      </c>
      <c r="F144" s="64">
        <f t="shared" si="185"/>
        <v>4.5988756331440692</v>
      </c>
      <c r="G144" s="64">
        <f t="shared" si="185"/>
        <v>4.3233250323071619</v>
      </c>
      <c r="H144" s="64">
        <f t="shared" si="185"/>
        <v>7.195341579151882</v>
      </c>
      <c r="I144" s="64">
        <f t="shared" si="185"/>
        <v>7.2045783494916984</v>
      </c>
      <c r="J144" s="64">
        <f t="shared" si="185"/>
        <v>8.8618051212667091</v>
      </c>
      <c r="K144" s="64">
        <f t="shared" si="185"/>
        <v>6.9844828798052561</v>
      </c>
      <c r="L144" s="64">
        <f t="shared" si="185"/>
        <v>7.4458114491587022</v>
      </c>
      <c r="M144" s="64">
        <f t="shared" si="185"/>
        <v>7.2630380532067322</v>
      </c>
      <c r="N144" s="64">
        <f t="shared" si="185"/>
        <v>6.4301725323624366</v>
      </c>
      <c r="O144" s="64">
        <f t="shared" si="185"/>
        <v>6.5862928280292321</v>
      </c>
      <c r="P144" s="64">
        <f t="shared" si="185"/>
        <v>6.1869216104041378</v>
      </c>
      <c r="Q144" s="64">
        <f t="shared" si="185"/>
        <v>5.7301974801354598</v>
      </c>
      <c r="R144" s="64">
        <f t="shared" si="185"/>
        <v>5.5106286311919304</v>
      </c>
      <c r="S144" s="64">
        <f t="shared" si="185"/>
        <v>6.2529944098615866</v>
      </c>
      <c r="T144" s="64">
        <f t="shared" si="185"/>
        <v>6.1236903196546271</v>
      </c>
      <c r="U144" s="64">
        <f t="shared" si="185"/>
        <v>7.3500703937138869</v>
      </c>
      <c r="V144" s="64">
        <f t="shared" si="185"/>
        <v>5.7016720015365232</v>
      </c>
      <c r="W144" s="64">
        <f t="shared" si="185"/>
        <v>5.9061209904688976</v>
      </c>
      <c r="X144" s="64">
        <f t="shared" ref="X144:Y144" si="186">IF(X114=0,0,X114/X$26)</f>
        <v>6.5603892650041384</v>
      </c>
      <c r="Y144" s="64">
        <f t="shared" si="186"/>
        <v>6.4655596053068587</v>
      </c>
      <c r="DA144" s="108"/>
    </row>
    <row r="145" spans="1:105" ht="12" customHeight="1" x14ac:dyDescent="0.25">
      <c r="A145" s="61" t="s">
        <v>32</v>
      </c>
      <c r="B145" s="65">
        <f t="shared" ref="B145" si="187">IF(B115=0,0,B115/B$26)</f>
        <v>5.2691679846805712</v>
      </c>
      <c r="C145" s="65">
        <f t="shared" ref="C145:W145" si="188">IF(C115=0,0,C115/C$26)</f>
        <v>5.2206629103290298</v>
      </c>
      <c r="D145" s="65">
        <f t="shared" si="188"/>
        <v>4.9231672200783727</v>
      </c>
      <c r="E145" s="65">
        <f t="shared" si="188"/>
        <v>4.9813113949719865</v>
      </c>
      <c r="F145" s="65">
        <f t="shared" si="188"/>
        <v>4.3612175475020898</v>
      </c>
      <c r="G145" s="65">
        <f t="shared" si="188"/>
        <v>4.0900853349471333</v>
      </c>
      <c r="H145" s="65">
        <f t="shared" si="188"/>
        <v>4.610801299104204</v>
      </c>
      <c r="I145" s="65">
        <f t="shared" si="188"/>
        <v>4.6883492514341167</v>
      </c>
      <c r="J145" s="65">
        <f t="shared" si="188"/>
        <v>6.2370531700569378</v>
      </c>
      <c r="K145" s="65">
        <f t="shared" si="188"/>
        <v>4.6102790040531456</v>
      </c>
      <c r="L145" s="65">
        <f t="shared" si="188"/>
        <v>5.1512968930895813</v>
      </c>
      <c r="M145" s="65">
        <f t="shared" si="188"/>
        <v>4.8620534077977515</v>
      </c>
      <c r="N145" s="65">
        <f t="shared" si="188"/>
        <v>4.082442715686363</v>
      </c>
      <c r="O145" s="65">
        <f t="shared" si="188"/>
        <v>4.3984928180442919</v>
      </c>
      <c r="P145" s="65">
        <f t="shared" si="188"/>
        <v>4.2884002045329401</v>
      </c>
      <c r="Q145" s="65">
        <f t="shared" si="188"/>
        <v>3.6622744845724489</v>
      </c>
      <c r="R145" s="65">
        <f t="shared" si="188"/>
        <v>3.4583904935426109</v>
      </c>
      <c r="S145" s="65">
        <f t="shared" si="188"/>
        <v>3.8582639545253112</v>
      </c>
      <c r="T145" s="65">
        <f t="shared" si="188"/>
        <v>3.7260961979703517</v>
      </c>
      <c r="U145" s="65">
        <f t="shared" si="188"/>
        <v>4.6664389671447095</v>
      </c>
      <c r="V145" s="65">
        <f t="shared" si="188"/>
        <v>3.7138393439721877</v>
      </c>
      <c r="W145" s="65">
        <f t="shared" si="188"/>
        <v>4.1519750536816069</v>
      </c>
      <c r="X145" s="65">
        <f t="shared" ref="X145:Y145" si="189">IF(X115=0,0,X115/X$26)</f>
        <v>4.5327395466856197</v>
      </c>
      <c r="Y145" s="65">
        <f t="shared" si="189"/>
        <v>4.5749067634185554</v>
      </c>
      <c r="DA145" s="109"/>
    </row>
    <row r="146" spans="1:105" ht="12" customHeight="1" x14ac:dyDescent="0.25">
      <c r="A146" s="61" t="s">
        <v>31</v>
      </c>
      <c r="B146" s="65">
        <f t="shared" ref="B146" si="190">IF(B116=0,0,B116/B$26)</f>
        <v>0</v>
      </c>
      <c r="C146" s="65">
        <f t="shared" ref="C146:W146" si="191">IF(C116=0,0,C116/C$26)</f>
        <v>0</v>
      </c>
      <c r="D146" s="65">
        <f t="shared" si="191"/>
        <v>0</v>
      </c>
      <c r="E146" s="65">
        <f t="shared" si="191"/>
        <v>0</v>
      </c>
      <c r="F146" s="65">
        <f t="shared" si="191"/>
        <v>0</v>
      </c>
      <c r="G146" s="65">
        <f t="shared" si="191"/>
        <v>0</v>
      </c>
      <c r="H146" s="65">
        <f t="shared" si="191"/>
        <v>0</v>
      </c>
      <c r="I146" s="65">
        <f t="shared" si="191"/>
        <v>0</v>
      </c>
      <c r="J146" s="65">
        <f t="shared" si="191"/>
        <v>0</v>
      </c>
      <c r="K146" s="65">
        <f t="shared" si="191"/>
        <v>0</v>
      </c>
      <c r="L146" s="65">
        <f t="shared" si="191"/>
        <v>0</v>
      </c>
      <c r="M146" s="65">
        <f t="shared" si="191"/>
        <v>0</v>
      </c>
      <c r="N146" s="65">
        <f t="shared" si="191"/>
        <v>0</v>
      </c>
      <c r="O146" s="65">
        <f t="shared" si="191"/>
        <v>0</v>
      </c>
      <c r="P146" s="65">
        <f t="shared" si="191"/>
        <v>0</v>
      </c>
      <c r="Q146" s="65">
        <f t="shared" si="191"/>
        <v>0</v>
      </c>
      <c r="R146" s="65">
        <f t="shared" si="191"/>
        <v>0</v>
      </c>
      <c r="S146" s="65">
        <f t="shared" si="191"/>
        <v>0</v>
      </c>
      <c r="T146" s="65">
        <f t="shared" si="191"/>
        <v>0</v>
      </c>
      <c r="U146" s="65">
        <f t="shared" si="191"/>
        <v>0</v>
      </c>
      <c r="V146" s="65">
        <f t="shared" si="191"/>
        <v>0</v>
      </c>
      <c r="W146" s="65">
        <f t="shared" si="191"/>
        <v>0</v>
      </c>
      <c r="X146" s="65">
        <f t="shared" ref="X146:Y146" si="192">IF(X116=0,0,X116/X$26)</f>
        <v>0</v>
      </c>
      <c r="Y146" s="65">
        <f t="shared" si="192"/>
        <v>0</v>
      </c>
      <c r="DA146" s="109"/>
    </row>
    <row r="147" spans="1:105" ht="12" customHeight="1" x14ac:dyDescent="0.25">
      <c r="A147" s="61" t="s">
        <v>35</v>
      </c>
      <c r="B147" s="65">
        <f t="shared" ref="B147" si="193">IF(B117=0,0,B117/B$26)</f>
        <v>0.25439697084852525</v>
      </c>
      <c r="C147" s="65">
        <f t="shared" ref="C147:W147" si="194">IF(C117=0,0,C117/C$26)</f>
        <v>0.25093435666693387</v>
      </c>
      <c r="D147" s="65">
        <f t="shared" si="194"/>
        <v>0.24787324831290289</v>
      </c>
      <c r="E147" s="65">
        <f t="shared" si="194"/>
        <v>0.24186302362531464</v>
      </c>
      <c r="F147" s="65">
        <f t="shared" si="194"/>
        <v>0.23765808564197993</v>
      </c>
      <c r="G147" s="65">
        <f t="shared" si="194"/>
        <v>0.2332396973600287</v>
      </c>
      <c r="H147" s="65">
        <f t="shared" si="194"/>
        <v>1.6549053157493414</v>
      </c>
      <c r="I147" s="65">
        <f t="shared" si="194"/>
        <v>1.6245761045620501</v>
      </c>
      <c r="J147" s="65">
        <f t="shared" si="194"/>
        <v>1.6017799582208181</v>
      </c>
      <c r="K147" s="65">
        <f t="shared" si="194"/>
        <v>1.560859886162334</v>
      </c>
      <c r="L147" s="65">
        <f t="shared" si="194"/>
        <v>1.5506403546726817</v>
      </c>
      <c r="M147" s="65">
        <f t="shared" si="194"/>
        <v>1.4539092541561924</v>
      </c>
      <c r="N147" s="65">
        <f t="shared" si="194"/>
        <v>1.3537918522864829</v>
      </c>
      <c r="O147" s="65">
        <f t="shared" si="194"/>
        <v>1.2722559096844275</v>
      </c>
      <c r="P147" s="65">
        <f t="shared" si="194"/>
        <v>1.1193182909215411</v>
      </c>
      <c r="Q147" s="65">
        <f t="shared" si="194"/>
        <v>1.0978744616071769</v>
      </c>
      <c r="R147" s="65">
        <f t="shared" si="194"/>
        <v>1.1029053409526275</v>
      </c>
      <c r="S147" s="65">
        <f t="shared" si="194"/>
        <v>1.0893712482720583</v>
      </c>
      <c r="T147" s="65">
        <f t="shared" si="194"/>
        <v>1.0354262385293982</v>
      </c>
      <c r="U147" s="65">
        <f t="shared" si="194"/>
        <v>1.0003936242299563</v>
      </c>
      <c r="V147" s="65">
        <f t="shared" si="194"/>
        <v>0.79277099357235137</v>
      </c>
      <c r="W147" s="65">
        <f t="shared" si="194"/>
        <v>0.73870558990748059</v>
      </c>
      <c r="X147" s="65">
        <f t="shared" ref="X147:Y147" si="195">IF(X117=0,0,X117/X$26)</f>
        <v>0.83303810120404986</v>
      </c>
      <c r="Y147" s="65">
        <f t="shared" si="195"/>
        <v>0.84822682984684572</v>
      </c>
      <c r="DA147" s="109"/>
    </row>
    <row r="148" spans="1:105" ht="12" customHeight="1" x14ac:dyDescent="0.25">
      <c r="A148" s="66" t="s">
        <v>34</v>
      </c>
      <c r="B148" s="67">
        <f t="shared" ref="B148" si="196">IF(B118=0,0,B118/B$26)</f>
        <v>0</v>
      </c>
      <c r="C148" s="67">
        <f t="shared" ref="C148:W148" si="197">IF(C118=0,0,C118/C$26)</f>
        <v>0</v>
      </c>
      <c r="D148" s="67">
        <f t="shared" si="197"/>
        <v>0</v>
      </c>
      <c r="E148" s="67">
        <f t="shared" si="197"/>
        <v>0</v>
      </c>
      <c r="F148" s="67">
        <f t="shared" si="197"/>
        <v>0</v>
      </c>
      <c r="G148" s="67">
        <f t="shared" si="197"/>
        <v>0</v>
      </c>
      <c r="H148" s="67">
        <f t="shared" si="197"/>
        <v>0.92963496429833647</v>
      </c>
      <c r="I148" s="67">
        <f t="shared" si="197"/>
        <v>0.89165299349553151</v>
      </c>
      <c r="J148" s="67">
        <f t="shared" si="197"/>
        <v>1.0229719929889531</v>
      </c>
      <c r="K148" s="67">
        <f t="shared" si="197"/>
        <v>0.81334398958977572</v>
      </c>
      <c r="L148" s="67">
        <f t="shared" si="197"/>
        <v>0.74387420139643812</v>
      </c>
      <c r="M148" s="67">
        <f t="shared" si="197"/>
        <v>0.94707539125278928</v>
      </c>
      <c r="N148" s="67">
        <f t="shared" si="197"/>
        <v>0.99393796438959081</v>
      </c>
      <c r="O148" s="67">
        <f t="shared" si="197"/>
        <v>0.91554410030051281</v>
      </c>
      <c r="P148" s="67">
        <f t="shared" si="197"/>
        <v>0.77920311494965588</v>
      </c>
      <c r="Q148" s="67">
        <f t="shared" si="197"/>
        <v>0.97004853395583379</v>
      </c>
      <c r="R148" s="67">
        <f t="shared" si="197"/>
        <v>0.94933279669669268</v>
      </c>
      <c r="S148" s="67">
        <f t="shared" si="197"/>
        <v>1.305359207064217</v>
      </c>
      <c r="T148" s="67">
        <f t="shared" si="197"/>
        <v>1.362167883154878</v>
      </c>
      <c r="U148" s="67">
        <f t="shared" si="197"/>
        <v>1.683237802339222</v>
      </c>
      <c r="V148" s="67">
        <f t="shared" si="197"/>
        <v>1.1950616639919851</v>
      </c>
      <c r="W148" s="67">
        <f t="shared" si="197"/>
        <v>1.0154403468798099</v>
      </c>
      <c r="X148" s="67">
        <f t="shared" ref="X148:Y148" si="198">IF(X118=0,0,X118/X$26)</f>
        <v>1.1946116171144685</v>
      </c>
      <c r="Y148" s="67">
        <f t="shared" si="198"/>
        <v>1.0424260120414568</v>
      </c>
      <c r="DA148" s="110"/>
    </row>
    <row r="149" spans="1:105" ht="12" customHeight="1" x14ac:dyDescent="0.25">
      <c r="A149" s="78" t="s">
        <v>33</v>
      </c>
      <c r="B149" s="68">
        <f t="shared" ref="B149" si="199">IF(B119=0,0,B119/B$26)</f>
        <v>0</v>
      </c>
      <c r="C149" s="68">
        <f t="shared" ref="C149:W149" si="200">IF(C119=0,0,C119/C$26)</f>
        <v>0</v>
      </c>
      <c r="D149" s="68">
        <f t="shared" si="200"/>
        <v>0</v>
      </c>
      <c r="E149" s="68">
        <f t="shared" si="200"/>
        <v>0</v>
      </c>
      <c r="F149" s="68">
        <f t="shared" si="200"/>
        <v>0</v>
      </c>
      <c r="G149" s="68">
        <f t="shared" si="200"/>
        <v>0</v>
      </c>
      <c r="H149" s="68">
        <f t="shared" si="200"/>
        <v>0</v>
      </c>
      <c r="I149" s="68">
        <f t="shared" si="200"/>
        <v>0</v>
      </c>
      <c r="J149" s="68">
        <f t="shared" si="200"/>
        <v>0</v>
      </c>
      <c r="K149" s="68">
        <f t="shared" si="200"/>
        <v>0</v>
      </c>
      <c r="L149" s="68">
        <f t="shared" si="200"/>
        <v>0</v>
      </c>
      <c r="M149" s="68">
        <f t="shared" si="200"/>
        <v>0</v>
      </c>
      <c r="N149" s="68">
        <f t="shared" si="200"/>
        <v>0</v>
      </c>
      <c r="O149" s="68">
        <f t="shared" si="200"/>
        <v>0</v>
      </c>
      <c r="P149" s="68">
        <f t="shared" si="200"/>
        <v>0</v>
      </c>
      <c r="Q149" s="68">
        <f t="shared" si="200"/>
        <v>0</v>
      </c>
      <c r="R149" s="68">
        <f t="shared" si="200"/>
        <v>0</v>
      </c>
      <c r="S149" s="68">
        <f t="shared" si="200"/>
        <v>0</v>
      </c>
      <c r="T149" s="68">
        <f t="shared" si="200"/>
        <v>0</v>
      </c>
      <c r="U149" s="68">
        <f t="shared" si="200"/>
        <v>0</v>
      </c>
      <c r="V149" s="68">
        <f t="shared" si="200"/>
        <v>0</v>
      </c>
      <c r="W149" s="68">
        <f t="shared" si="200"/>
        <v>0</v>
      </c>
      <c r="X149" s="68">
        <f t="shared" ref="X149:Y149" si="201">IF(X119=0,0,X119/X$26)</f>
        <v>0</v>
      </c>
      <c r="Y149" s="68">
        <f t="shared" si="201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202">IF(B99=0,0,B99/B$23)</f>
        <v>7708.8237751191555</v>
      </c>
      <c r="C153" s="82">
        <f t="shared" ref="C153:W153" si="203">IF(C99=0,0,C99/C$23)</f>
        <v>7981.6223909821911</v>
      </c>
      <c r="D153" s="82">
        <f t="shared" si="203"/>
        <v>8364.8804638169731</v>
      </c>
      <c r="E153" s="82">
        <f t="shared" si="203"/>
        <v>8371.7839055776694</v>
      </c>
      <c r="F153" s="82">
        <f t="shared" si="203"/>
        <v>8202.7106204764077</v>
      </c>
      <c r="G153" s="82">
        <f t="shared" si="203"/>
        <v>8203.0220305039584</v>
      </c>
      <c r="H153" s="82">
        <f t="shared" si="203"/>
        <v>9155.2523337744551</v>
      </c>
      <c r="I153" s="82">
        <f t="shared" si="203"/>
        <v>9193.1545354508107</v>
      </c>
      <c r="J153" s="82">
        <f t="shared" si="203"/>
        <v>9790.1381759353462</v>
      </c>
      <c r="K153" s="82">
        <f t="shared" si="203"/>
        <v>9840.7011257936301</v>
      </c>
      <c r="L153" s="82">
        <f t="shared" si="203"/>
        <v>10176.571546066962</v>
      </c>
      <c r="M153" s="82">
        <f t="shared" si="203"/>
        <v>9781.3085980779215</v>
      </c>
      <c r="N153" s="82">
        <f t="shared" si="203"/>
        <v>9120.5247573480938</v>
      </c>
      <c r="O153" s="82">
        <f t="shared" si="203"/>
        <v>8673.837290659354</v>
      </c>
      <c r="P153" s="82">
        <f t="shared" si="203"/>
        <v>8776.5704669260704</v>
      </c>
      <c r="Q153" s="82">
        <f t="shared" si="203"/>
        <v>8731.2564489147499</v>
      </c>
      <c r="R153" s="82">
        <f t="shared" si="203"/>
        <v>8875.9021465882324</v>
      </c>
      <c r="S153" s="82">
        <f t="shared" si="203"/>
        <v>8830.2593117368651</v>
      </c>
      <c r="T153" s="82">
        <f t="shared" si="203"/>
        <v>8490.0477480049976</v>
      </c>
      <c r="U153" s="82">
        <f t="shared" si="203"/>
        <v>8447.2650253475622</v>
      </c>
      <c r="V153" s="82">
        <f t="shared" si="203"/>
        <v>7102.7608547297086</v>
      </c>
      <c r="W153" s="82">
        <f t="shared" si="203"/>
        <v>7532.4424813668693</v>
      </c>
      <c r="X153" s="82">
        <f t="shared" ref="X153:Y153" si="204">IF(X99=0,0,X99/X$23)</f>
        <v>7987.0375766004991</v>
      </c>
      <c r="Y153" s="82">
        <f t="shared" si="204"/>
        <v>7989.3135937840289</v>
      </c>
      <c r="DA153" s="107"/>
    </row>
    <row r="154" spans="1:105" ht="12" customHeight="1" x14ac:dyDescent="0.25">
      <c r="A154" s="77" t="s">
        <v>36</v>
      </c>
      <c r="B154" s="64">
        <f t="shared" ref="B154" si="205">IF(B100=0,0,B100/B$23)</f>
        <v>4875.9796960373287</v>
      </c>
      <c r="C154" s="64">
        <f t="shared" ref="C154:W154" si="206">IF(C100=0,0,C100/C$23)</f>
        <v>5136.4455431105871</v>
      </c>
      <c r="D154" s="64">
        <f t="shared" si="206"/>
        <v>5462.0382681209667</v>
      </c>
      <c r="E154" s="64">
        <f t="shared" si="206"/>
        <v>5482.8820179931909</v>
      </c>
      <c r="F154" s="64">
        <f t="shared" si="206"/>
        <v>5314.5890516479294</v>
      </c>
      <c r="G154" s="64">
        <f t="shared" si="206"/>
        <v>5331.4949162496951</v>
      </c>
      <c r="H154" s="64">
        <f t="shared" si="206"/>
        <v>6282.2971223638615</v>
      </c>
      <c r="I154" s="64">
        <f t="shared" si="206"/>
        <v>6344.0039563258933</v>
      </c>
      <c r="J154" s="64">
        <f t="shared" si="206"/>
        <v>6937.1090173479761</v>
      </c>
      <c r="K154" s="64">
        <f t="shared" si="206"/>
        <v>6915.1825433129661</v>
      </c>
      <c r="L154" s="64">
        <f t="shared" si="206"/>
        <v>7214.4294551188477</v>
      </c>
      <c r="M154" s="64">
        <f t="shared" si="206"/>
        <v>6799.7227670996472</v>
      </c>
      <c r="N154" s="64">
        <f t="shared" si="206"/>
        <v>6017.9856006797154</v>
      </c>
      <c r="O154" s="64">
        <f t="shared" si="206"/>
        <v>5436.5265090929015</v>
      </c>
      <c r="P154" s="64">
        <f t="shared" si="206"/>
        <v>5512.6401071146629</v>
      </c>
      <c r="Q154" s="64">
        <f t="shared" si="206"/>
        <v>5507.1328354020852</v>
      </c>
      <c r="R154" s="64">
        <f t="shared" si="206"/>
        <v>5761.3589354336573</v>
      </c>
      <c r="S154" s="64">
        <f t="shared" si="206"/>
        <v>5859.3496977024333</v>
      </c>
      <c r="T154" s="64">
        <f t="shared" si="206"/>
        <v>5736.1560049549098</v>
      </c>
      <c r="U154" s="64">
        <f t="shared" si="206"/>
        <v>5847.9113953107453</v>
      </c>
      <c r="V154" s="64">
        <f t="shared" si="206"/>
        <v>4759.3073823461746</v>
      </c>
      <c r="W154" s="64">
        <f t="shared" si="206"/>
        <v>5170.8578834940599</v>
      </c>
      <c r="X154" s="64">
        <f t="shared" ref="X154:Y154" si="207">IF(X100=0,0,X100/X$23)</f>
        <v>5723.3381496678912</v>
      </c>
      <c r="Y154" s="64">
        <f t="shared" si="207"/>
        <v>5784.0116569042193</v>
      </c>
      <c r="DA154" s="108"/>
    </row>
    <row r="155" spans="1:105" ht="12" customHeight="1" x14ac:dyDescent="0.25">
      <c r="A155" s="61" t="s">
        <v>32</v>
      </c>
      <c r="B155" s="65">
        <f t="shared" ref="B155" si="208">IF(B101=0,0,B101/B$23)</f>
        <v>1620.3206613871932</v>
      </c>
      <c r="C155" s="65">
        <f t="shared" ref="C155:W155" si="209">IF(C101=0,0,C101/C$23)</f>
        <v>1944.662538376434</v>
      </c>
      <c r="D155" s="65">
        <f t="shared" si="209"/>
        <v>2209.5636630246577</v>
      </c>
      <c r="E155" s="65">
        <f t="shared" si="209"/>
        <v>2172.6946169162406</v>
      </c>
      <c r="F155" s="65">
        <f t="shared" si="209"/>
        <v>2170.4290005031626</v>
      </c>
      <c r="G155" s="65">
        <f t="shared" si="209"/>
        <v>2254.6141030244744</v>
      </c>
      <c r="H155" s="65">
        <f t="shared" si="209"/>
        <v>3098.2960141821418</v>
      </c>
      <c r="I155" s="65">
        <f t="shared" si="209"/>
        <v>3109.7792901905104</v>
      </c>
      <c r="J155" s="65">
        <f t="shared" si="209"/>
        <v>3680.0764803040488</v>
      </c>
      <c r="K155" s="65">
        <f t="shared" si="209"/>
        <v>3631.8244059994663</v>
      </c>
      <c r="L155" s="65">
        <f t="shared" si="209"/>
        <v>3852.4466484888167</v>
      </c>
      <c r="M155" s="65">
        <f t="shared" si="209"/>
        <v>3570.0199963994951</v>
      </c>
      <c r="N155" s="65">
        <f t="shared" si="209"/>
        <v>2470.7465377245881</v>
      </c>
      <c r="O155" s="65">
        <f t="shared" si="209"/>
        <v>2020.4575367282966</v>
      </c>
      <c r="P155" s="65">
        <f t="shared" si="209"/>
        <v>2249.4691313153107</v>
      </c>
      <c r="Q155" s="65">
        <f t="shared" si="209"/>
        <v>2251.617539719347</v>
      </c>
      <c r="R155" s="65">
        <f t="shared" si="209"/>
        <v>2506.4061268980895</v>
      </c>
      <c r="S155" s="65">
        <f t="shared" si="209"/>
        <v>2797.9232183815611</v>
      </c>
      <c r="T155" s="65">
        <f t="shared" si="209"/>
        <v>2574.2545489286827</v>
      </c>
      <c r="U155" s="65">
        <f t="shared" si="209"/>
        <v>2946.6518102743512</v>
      </c>
      <c r="V155" s="65">
        <f t="shared" si="209"/>
        <v>1957.6514611263231</v>
      </c>
      <c r="W155" s="65">
        <f t="shared" si="209"/>
        <v>2546.6854283398438</v>
      </c>
      <c r="X155" s="65">
        <f t="shared" ref="X155:Y155" si="210">IF(X101=0,0,X101/X$23)</f>
        <v>3116.5723861657843</v>
      </c>
      <c r="Y155" s="65">
        <f t="shared" si="210"/>
        <v>3016.9980078824037</v>
      </c>
      <c r="DA155" s="109"/>
    </row>
    <row r="156" spans="1:105" ht="12" customHeight="1" x14ac:dyDescent="0.25">
      <c r="A156" s="61" t="s">
        <v>31</v>
      </c>
      <c r="B156" s="65">
        <f t="shared" ref="B156" si="211">IF(B102=0,0,B102/B$23)</f>
        <v>851.47658292393885</v>
      </c>
      <c r="C156" s="65">
        <f t="shared" ref="C156:W156" si="212">IF(C102=0,0,C102/C$23)</f>
        <v>836.04069464119709</v>
      </c>
      <c r="D156" s="65">
        <f t="shared" si="212"/>
        <v>898.79681103815392</v>
      </c>
      <c r="E156" s="65">
        <f t="shared" si="212"/>
        <v>1009.51804467344</v>
      </c>
      <c r="F156" s="65">
        <f t="shared" si="212"/>
        <v>880.71617613887031</v>
      </c>
      <c r="G156" s="65">
        <f t="shared" si="212"/>
        <v>832.09091854612791</v>
      </c>
      <c r="H156" s="65">
        <f t="shared" si="212"/>
        <v>971.00753250941318</v>
      </c>
      <c r="I156" s="65">
        <f t="shared" si="212"/>
        <v>1080.2356014364946</v>
      </c>
      <c r="J156" s="65">
        <f t="shared" si="212"/>
        <v>1095.3233924662813</v>
      </c>
      <c r="K156" s="65">
        <f t="shared" si="212"/>
        <v>1102.728102901596</v>
      </c>
      <c r="L156" s="65">
        <f t="shared" si="212"/>
        <v>1191.2772826150388</v>
      </c>
      <c r="M156" s="65">
        <f t="shared" si="212"/>
        <v>1042.2921990479986</v>
      </c>
      <c r="N156" s="65">
        <f t="shared" si="212"/>
        <v>1290.7832166832284</v>
      </c>
      <c r="O156" s="65">
        <f t="shared" si="212"/>
        <v>1112.0714552540992</v>
      </c>
      <c r="P156" s="65">
        <f t="shared" si="212"/>
        <v>975.39651498403816</v>
      </c>
      <c r="Q156" s="65">
        <f t="shared" si="212"/>
        <v>1015.8346023640365</v>
      </c>
      <c r="R156" s="65">
        <f t="shared" si="212"/>
        <v>1096.3348034048452</v>
      </c>
      <c r="S156" s="65">
        <f t="shared" si="212"/>
        <v>985.91515315949573</v>
      </c>
      <c r="T156" s="65">
        <f t="shared" si="212"/>
        <v>1186.2697253396946</v>
      </c>
      <c r="U156" s="65">
        <f t="shared" si="212"/>
        <v>981.5030730638191</v>
      </c>
      <c r="V156" s="65">
        <f t="shared" si="212"/>
        <v>1044.5859087165452</v>
      </c>
      <c r="W156" s="65">
        <f t="shared" si="212"/>
        <v>915.49072334549612</v>
      </c>
      <c r="X156" s="65">
        <f t="shared" ref="X156:Y156" si="213">IF(X102=0,0,X102/X$23)</f>
        <v>840.44045360367727</v>
      </c>
      <c r="Y156" s="65">
        <f t="shared" si="213"/>
        <v>931.82884116235653</v>
      </c>
      <c r="DA156" s="109"/>
    </row>
    <row r="157" spans="1:105" ht="12" customHeight="1" x14ac:dyDescent="0.25">
      <c r="A157" s="61" t="s">
        <v>35</v>
      </c>
      <c r="B157" s="65">
        <f t="shared" ref="B157" si="214">IF(B103=0,0,B103/B$23)</f>
        <v>1343.9577617260038</v>
      </c>
      <c r="C157" s="65">
        <f t="shared" ref="C157:W157" si="215">IF(C103=0,0,C103/C$23)</f>
        <v>1317.9144619596564</v>
      </c>
      <c r="D157" s="65">
        <f t="shared" si="215"/>
        <v>1307.4470501355081</v>
      </c>
      <c r="E157" s="65">
        <f t="shared" si="215"/>
        <v>1271.5280103051525</v>
      </c>
      <c r="F157" s="65">
        <f t="shared" si="215"/>
        <v>1229.7743360547115</v>
      </c>
      <c r="G157" s="65">
        <f t="shared" si="215"/>
        <v>1208.4022232616342</v>
      </c>
      <c r="H157" s="65">
        <f t="shared" si="215"/>
        <v>1124.7798500049216</v>
      </c>
      <c r="I157" s="65">
        <f t="shared" si="215"/>
        <v>1064.7553401597731</v>
      </c>
      <c r="J157" s="65">
        <f t="shared" si="215"/>
        <v>1063.430045256785</v>
      </c>
      <c r="K157" s="65">
        <f t="shared" si="215"/>
        <v>1077.7007096496129</v>
      </c>
      <c r="L157" s="65">
        <f t="shared" si="215"/>
        <v>1073.9826128879965</v>
      </c>
      <c r="M157" s="65">
        <f t="shared" si="215"/>
        <v>1075.6994049517255</v>
      </c>
      <c r="N157" s="65">
        <f t="shared" si="215"/>
        <v>1102.7488302524644</v>
      </c>
      <c r="O157" s="65">
        <f t="shared" si="215"/>
        <v>1132.6975790097463</v>
      </c>
      <c r="P157" s="65">
        <f t="shared" si="215"/>
        <v>1116.3225435744221</v>
      </c>
      <c r="Q157" s="65">
        <f t="shared" si="215"/>
        <v>1089.1572716900828</v>
      </c>
      <c r="R157" s="65">
        <f t="shared" si="215"/>
        <v>1052.6588117533588</v>
      </c>
      <c r="S157" s="65">
        <f t="shared" si="215"/>
        <v>991.40294702255403</v>
      </c>
      <c r="T157" s="65">
        <f t="shared" si="215"/>
        <v>932.69480461335934</v>
      </c>
      <c r="U157" s="65">
        <f t="shared" si="215"/>
        <v>879.58059687349896</v>
      </c>
      <c r="V157" s="65">
        <f t="shared" si="215"/>
        <v>831.42104851740282</v>
      </c>
      <c r="W157" s="65">
        <f t="shared" si="215"/>
        <v>808.4235549455085</v>
      </c>
      <c r="X157" s="65">
        <f t="shared" ref="X157:Y157" si="216">IF(X103=0,0,X103/X$23)</f>
        <v>838.56281975483205</v>
      </c>
      <c r="Y157" s="65">
        <f t="shared" si="216"/>
        <v>881.79733954542849</v>
      </c>
      <c r="DA157" s="109"/>
    </row>
    <row r="158" spans="1:105" ht="12" customHeight="1" x14ac:dyDescent="0.25">
      <c r="A158" s="66" t="s">
        <v>34</v>
      </c>
      <c r="B158" s="67">
        <f t="shared" ref="B158" si="217">IF(B104=0,0,B104/B$23)</f>
        <v>1060.2246900001926</v>
      </c>
      <c r="C158" s="67">
        <f t="shared" ref="C158:W158" si="218">IF(C104=0,0,C104/C$23)</f>
        <v>1037.8278481332991</v>
      </c>
      <c r="D158" s="67">
        <f t="shared" si="218"/>
        <v>1046.2307439226463</v>
      </c>
      <c r="E158" s="67">
        <f t="shared" si="218"/>
        <v>1029.1413460983581</v>
      </c>
      <c r="F158" s="67">
        <f t="shared" si="218"/>
        <v>1033.6695389511849</v>
      </c>
      <c r="G158" s="67">
        <f t="shared" si="218"/>
        <v>1036.3876714174578</v>
      </c>
      <c r="H158" s="67">
        <f t="shared" si="218"/>
        <v>1088.2137256673852</v>
      </c>
      <c r="I158" s="67">
        <f t="shared" si="218"/>
        <v>1089.2337245391134</v>
      </c>
      <c r="J158" s="67">
        <f t="shared" si="218"/>
        <v>1098.2790993208616</v>
      </c>
      <c r="K158" s="67">
        <f t="shared" si="218"/>
        <v>1102.92932476229</v>
      </c>
      <c r="L158" s="67">
        <f t="shared" si="218"/>
        <v>1096.7229111269949</v>
      </c>
      <c r="M158" s="67">
        <f t="shared" si="218"/>
        <v>1111.7111667004267</v>
      </c>
      <c r="N158" s="67">
        <f t="shared" si="218"/>
        <v>1153.7070160194335</v>
      </c>
      <c r="O158" s="67">
        <f t="shared" si="218"/>
        <v>1171.2999381007596</v>
      </c>
      <c r="P158" s="67">
        <f t="shared" si="218"/>
        <v>1171.4519172408923</v>
      </c>
      <c r="Q158" s="67">
        <f t="shared" si="218"/>
        <v>1150.523421628619</v>
      </c>
      <c r="R158" s="67">
        <f t="shared" si="218"/>
        <v>1105.9591933773634</v>
      </c>
      <c r="S158" s="67">
        <f t="shared" si="218"/>
        <v>1084.1083791388223</v>
      </c>
      <c r="T158" s="67">
        <f t="shared" si="218"/>
        <v>1042.9369260731728</v>
      </c>
      <c r="U158" s="67">
        <f t="shared" si="218"/>
        <v>1040.1759150990767</v>
      </c>
      <c r="V158" s="67">
        <f t="shared" si="218"/>
        <v>925.64896398590304</v>
      </c>
      <c r="W158" s="67">
        <f t="shared" si="218"/>
        <v>900.25817686321068</v>
      </c>
      <c r="X158" s="67">
        <f t="shared" ref="X158:Y158" si="219">IF(X104=0,0,X104/X$23)</f>
        <v>927.76249014359814</v>
      </c>
      <c r="Y158" s="67">
        <f t="shared" si="219"/>
        <v>953.38746831403057</v>
      </c>
      <c r="DA158" s="110"/>
    </row>
    <row r="159" spans="1:105" ht="12" customHeight="1" x14ac:dyDescent="0.25">
      <c r="A159" s="78" t="s">
        <v>33</v>
      </c>
      <c r="B159" s="68">
        <f t="shared" ref="B159" si="220">IF(B105=0,0,B105/B$23)</f>
        <v>2832.8440790818263</v>
      </c>
      <c r="C159" s="68">
        <f t="shared" ref="C159:W159" si="221">IF(C105=0,0,C105/C$23)</f>
        <v>2845.1768478716044</v>
      </c>
      <c r="D159" s="68">
        <f t="shared" si="221"/>
        <v>2902.8421956960065</v>
      </c>
      <c r="E159" s="68">
        <f t="shared" si="221"/>
        <v>2888.901887584479</v>
      </c>
      <c r="F159" s="68">
        <f t="shared" si="221"/>
        <v>2888.1215688284756</v>
      </c>
      <c r="G159" s="68">
        <f t="shared" si="221"/>
        <v>2871.5271142542638</v>
      </c>
      <c r="H159" s="68">
        <f t="shared" si="221"/>
        <v>2872.9552114105945</v>
      </c>
      <c r="I159" s="68">
        <f t="shared" si="221"/>
        <v>2849.1505791249192</v>
      </c>
      <c r="J159" s="68">
        <f t="shared" si="221"/>
        <v>2853.0291585873711</v>
      </c>
      <c r="K159" s="68">
        <f t="shared" si="221"/>
        <v>2925.5185824806645</v>
      </c>
      <c r="L159" s="68">
        <f t="shared" si="221"/>
        <v>2962.1420909481135</v>
      </c>
      <c r="M159" s="68">
        <f t="shared" si="221"/>
        <v>2981.5858309782748</v>
      </c>
      <c r="N159" s="68">
        <f t="shared" si="221"/>
        <v>3102.5391566683797</v>
      </c>
      <c r="O159" s="68">
        <f t="shared" si="221"/>
        <v>3237.3107815664534</v>
      </c>
      <c r="P159" s="68">
        <f t="shared" si="221"/>
        <v>3263.9303598114038</v>
      </c>
      <c r="Q159" s="68">
        <f t="shared" si="221"/>
        <v>3224.1236135126633</v>
      </c>
      <c r="R159" s="68">
        <f t="shared" si="221"/>
        <v>3114.5432111545751</v>
      </c>
      <c r="S159" s="68">
        <f t="shared" si="221"/>
        <v>2970.9096140344336</v>
      </c>
      <c r="T159" s="68">
        <f t="shared" si="221"/>
        <v>2753.8917430500878</v>
      </c>
      <c r="U159" s="68">
        <f t="shared" si="221"/>
        <v>2599.353630036815</v>
      </c>
      <c r="V159" s="68">
        <f t="shared" si="221"/>
        <v>2343.4534723835341</v>
      </c>
      <c r="W159" s="68">
        <f t="shared" si="221"/>
        <v>2361.5845978728084</v>
      </c>
      <c r="X159" s="68">
        <f t="shared" ref="X159:Y159" si="222">IF(X105=0,0,X105/X$23)</f>
        <v>2263.6994269326069</v>
      </c>
      <c r="Y159" s="68">
        <f t="shared" si="222"/>
        <v>2205.3019368798086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223">IF(B107=0,0,B107/B$23)</f>
        <v>3789.9353769994832</v>
      </c>
      <c r="C161" s="85">
        <f t="shared" ref="C161:W161" si="224">IF(C107=0,0,C107/C$23)</f>
        <v>4084.8219707088792</v>
      </c>
      <c r="D161" s="85">
        <f t="shared" si="224"/>
        <v>4533.7984137525673</v>
      </c>
      <c r="E161" s="85">
        <f t="shared" si="224"/>
        <v>4863.9264756250186</v>
      </c>
      <c r="F161" s="85">
        <f t="shared" si="224"/>
        <v>4760.4407144614006</v>
      </c>
      <c r="G161" s="85">
        <f t="shared" si="224"/>
        <v>4857.9912077070539</v>
      </c>
      <c r="H161" s="85">
        <f t="shared" si="224"/>
        <v>5836.4839513757897</v>
      </c>
      <c r="I161" s="85">
        <f t="shared" si="224"/>
        <v>6282.0505974354173</v>
      </c>
      <c r="J161" s="85">
        <f t="shared" si="224"/>
        <v>6800.4568681652563</v>
      </c>
      <c r="K161" s="85">
        <f t="shared" si="224"/>
        <v>7053.7020541426391</v>
      </c>
      <c r="L161" s="85">
        <f t="shared" si="224"/>
        <v>7619.9137067452739</v>
      </c>
      <c r="M161" s="85">
        <f t="shared" si="224"/>
        <v>7290.6787867632065</v>
      </c>
      <c r="N161" s="85">
        <f t="shared" si="224"/>
        <v>7919.6370775965715</v>
      </c>
      <c r="O161" s="85">
        <f t="shared" si="224"/>
        <v>7933.7721592615162</v>
      </c>
      <c r="P161" s="85">
        <f t="shared" si="224"/>
        <v>7781.4250808716106</v>
      </c>
      <c r="Q161" s="85">
        <f t="shared" si="224"/>
        <v>8160.0115452137334</v>
      </c>
      <c r="R161" s="85">
        <f t="shared" si="224"/>
        <v>8662.5585054318799</v>
      </c>
      <c r="S161" s="85">
        <f t="shared" si="224"/>
        <v>8497.2085903339885</v>
      </c>
      <c r="T161" s="85">
        <f t="shared" si="224"/>
        <v>9277.6742119668506</v>
      </c>
      <c r="U161" s="85">
        <f t="shared" si="224"/>
        <v>8784.0281730557781</v>
      </c>
      <c r="V161" s="85">
        <f t="shared" si="224"/>
        <v>8369.9502238834048</v>
      </c>
      <c r="W161" s="85">
        <f t="shared" si="224"/>
        <v>8309.206994262533</v>
      </c>
      <c r="X161" s="85">
        <f t="shared" ref="X161:Y161" si="225">IF(X107=0,0,X107/X$23)</f>
        <v>8527.1478317618221</v>
      </c>
      <c r="Y161" s="85">
        <f t="shared" si="225"/>
        <v>9028.4975264027453</v>
      </c>
      <c r="DA161" s="117"/>
    </row>
    <row r="162" spans="1:105" ht="12" customHeight="1" x14ac:dyDescent="0.25">
      <c r="A162" s="61" t="s">
        <v>32</v>
      </c>
      <c r="B162" s="65">
        <f t="shared" ref="B162" si="226">IF(B108=0,0,B108/B$23)</f>
        <v>709.2108367907714</v>
      </c>
      <c r="C162" s="65">
        <f t="shared" ref="C162:W162" si="227">IF(C108=0,0,C108/C$23)</f>
        <v>926.53836166304484</v>
      </c>
      <c r="D162" s="65">
        <f t="shared" si="227"/>
        <v>1123.402371906704</v>
      </c>
      <c r="E162" s="65">
        <f t="shared" si="227"/>
        <v>1131.7796390408646</v>
      </c>
      <c r="F162" s="65">
        <f t="shared" si="227"/>
        <v>1199.2005984281818</v>
      </c>
      <c r="G162" s="65">
        <f t="shared" si="227"/>
        <v>1311.3276565720391</v>
      </c>
      <c r="H162" s="65">
        <f t="shared" si="227"/>
        <v>1830.8131024478407</v>
      </c>
      <c r="I162" s="65">
        <f t="shared" si="227"/>
        <v>1869.7999671726022</v>
      </c>
      <c r="J162" s="65">
        <f t="shared" si="227"/>
        <v>2169.7402937937013</v>
      </c>
      <c r="K162" s="65">
        <f t="shared" si="227"/>
        <v>2291.607410612216</v>
      </c>
      <c r="L162" s="65">
        <f t="shared" si="227"/>
        <v>2469.6072668840698</v>
      </c>
      <c r="M162" s="65">
        <f t="shared" si="227"/>
        <v>2434.4582526551994</v>
      </c>
      <c r="N162" s="65">
        <f t="shared" si="227"/>
        <v>2062.1460484963591</v>
      </c>
      <c r="O162" s="65">
        <f t="shared" si="227"/>
        <v>2478.5047228130866</v>
      </c>
      <c r="P162" s="65">
        <f t="shared" si="227"/>
        <v>2667.5332816505756</v>
      </c>
      <c r="Q162" s="65">
        <f t="shared" si="227"/>
        <v>2810.2745770527122</v>
      </c>
      <c r="R162" s="65">
        <f t="shared" si="227"/>
        <v>2918.799176960802</v>
      </c>
      <c r="S162" s="65">
        <f t="shared" si="227"/>
        <v>3099.4633934454801</v>
      </c>
      <c r="T162" s="65">
        <f t="shared" si="227"/>
        <v>2983.7901616486579</v>
      </c>
      <c r="U162" s="65">
        <f t="shared" si="227"/>
        <v>3241.1694901721185</v>
      </c>
      <c r="V162" s="65">
        <f t="shared" si="227"/>
        <v>2526.1168329323605</v>
      </c>
      <c r="W162" s="65">
        <f t="shared" si="227"/>
        <v>2929.901838044932</v>
      </c>
      <c r="X162" s="65">
        <f t="shared" ref="X162:Y162" si="228">IF(X108=0,0,X108/X$23)</f>
        <v>3381.4922953622458</v>
      </c>
      <c r="Y162" s="65">
        <f t="shared" si="228"/>
        <v>3344.4695115242239</v>
      </c>
      <c r="DA162" s="109"/>
    </row>
    <row r="163" spans="1:105" ht="12" customHeight="1" x14ac:dyDescent="0.25">
      <c r="A163" s="61" t="s">
        <v>31</v>
      </c>
      <c r="B163" s="65">
        <f t="shared" ref="B163" si="229">IF(B109=0,0,B109/B$23)</f>
        <v>1459.0512425809193</v>
      </c>
      <c r="C163" s="65">
        <f t="shared" ref="C163:W163" si="230">IF(C109=0,0,C109/C$23)</f>
        <v>1570.784294054786</v>
      </c>
      <c r="D163" s="65">
        <f t="shared" si="230"/>
        <v>1825.0429332601209</v>
      </c>
      <c r="E163" s="65">
        <f t="shared" si="230"/>
        <v>2176.0766954915625</v>
      </c>
      <c r="F163" s="65">
        <f t="shared" si="230"/>
        <v>2017.1941031425299</v>
      </c>
      <c r="G163" s="65">
        <f t="shared" si="230"/>
        <v>2012.9052514822481</v>
      </c>
      <c r="H163" s="65">
        <f t="shared" si="230"/>
        <v>2468.5332467143185</v>
      </c>
      <c r="I163" s="65">
        <f t="shared" si="230"/>
        <v>2891.4055069485757</v>
      </c>
      <c r="J163" s="65">
        <f t="shared" si="230"/>
        <v>3099.8118771603067</v>
      </c>
      <c r="K163" s="65">
        <f t="shared" si="230"/>
        <v>3202.8955810855755</v>
      </c>
      <c r="L163" s="65">
        <f t="shared" si="230"/>
        <v>3584.4688526209616</v>
      </c>
      <c r="M163" s="65">
        <f t="shared" si="230"/>
        <v>3282.7454631638057</v>
      </c>
      <c r="N163" s="65">
        <f t="shared" si="230"/>
        <v>4228.2164424194616</v>
      </c>
      <c r="O163" s="65">
        <f t="shared" si="230"/>
        <v>3777.9945900293819</v>
      </c>
      <c r="P163" s="65">
        <f t="shared" si="230"/>
        <v>3435.0882329730612</v>
      </c>
      <c r="Q163" s="65">
        <f t="shared" si="230"/>
        <v>3708.3752486601347</v>
      </c>
      <c r="R163" s="65">
        <f t="shared" si="230"/>
        <v>4155.0742094171401</v>
      </c>
      <c r="S163" s="65">
        <f t="shared" si="230"/>
        <v>3877.1359078841497</v>
      </c>
      <c r="T163" s="65">
        <f t="shared" si="230"/>
        <v>4836.3116310614751</v>
      </c>
      <c r="U163" s="65">
        <f t="shared" si="230"/>
        <v>4130.9729107445173</v>
      </c>
      <c r="V163" s="65">
        <f t="shared" si="230"/>
        <v>4522.3940671807195</v>
      </c>
      <c r="W163" s="65">
        <f t="shared" si="230"/>
        <v>4051.0262594646824</v>
      </c>
      <c r="X163" s="65">
        <f t="shared" ref="X163:Y163" si="231">IF(X109=0,0,X109/X$23)</f>
        <v>3778.9735700285232</v>
      </c>
      <c r="Y163" s="65">
        <f t="shared" si="231"/>
        <v>4237.1925315145872</v>
      </c>
      <c r="DA163" s="109"/>
    </row>
    <row r="164" spans="1:105" ht="12" customHeight="1" x14ac:dyDescent="0.25">
      <c r="A164" s="61" t="s">
        <v>35</v>
      </c>
      <c r="B164" s="65">
        <f t="shared" ref="B164" si="232">IF(B110=0,0,B110/B$23)</f>
        <v>824.41035837755646</v>
      </c>
      <c r="C164" s="65">
        <f t="shared" ref="C164:W164" si="233">IF(C110=0,0,C110/C$23)</f>
        <v>805.3482503433861</v>
      </c>
      <c r="D164" s="65">
        <f t="shared" si="233"/>
        <v>801.71121311347883</v>
      </c>
      <c r="E164" s="65">
        <f t="shared" si="233"/>
        <v>783.13316738784135</v>
      </c>
      <c r="F164" s="65">
        <f t="shared" si="233"/>
        <v>769.28929931322921</v>
      </c>
      <c r="G164" s="65">
        <f t="shared" si="233"/>
        <v>760.53431721971424</v>
      </c>
      <c r="H164" s="65">
        <f t="shared" si="233"/>
        <v>761.03437447845931</v>
      </c>
      <c r="I164" s="65">
        <f t="shared" si="233"/>
        <v>751.5031674284628</v>
      </c>
      <c r="J164" s="65">
        <f t="shared" si="233"/>
        <v>756.61589033080213</v>
      </c>
      <c r="K164" s="65">
        <f t="shared" si="233"/>
        <v>769.81143568786149</v>
      </c>
      <c r="L164" s="65">
        <f t="shared" si="233"/>
        <v>776.12514712773418</v>
      </c>
      <c r="M164" s="65">
        <f t="shared" si="233"/>
        <v>780.21303816756313</v>
      </c>
      <c r="N164" s="65">
        <f t="shared" si="233"/>
        <v>806.42459130009615</v>
      </c>
      <c r="O164" s="65">
        <f t="shared" si="233"/>
        <v>838.24318052741239</v>
      </c>
      <c r="P164" s="65">
        <f t="shared" si="233"/>
        <v>830.91247304195906</v>
      </c>
      <c r="Q164" s="65">
        <f t="shared" si="233"/>
        <v>814.9046531967017</v>
      </c>
      <c r="R164" s="65">
        <f t="shared" si="233"/>
        <v>790.6073522109433</v>
      </c>
      <c r="S164" s="65">
        <f t="shared" si="233"/>
        <v>752.01433714348741</v>
      </c>
      <c r="T164" s="65">
        <f t="shared" si="233"/>
        <v>716.51292957346664</v>
      </c>
      <c r="U164" s="65">
        <f t="shared" si="233"/>
        <v>688.15924806610656</v>
      </c>
      <c r="V164" s="65">
        <f t="shared" si="233"/>
        <v>663.42613864468331</v>
      </c>
      <c r="W164" s="65">
        <f t="shared" si="233"/>
        <v>656.28535528336374</v>
      </c>
      <c r="X164" s="65">
        <f t="shared" ref="X164:Y164" si="234">IF(X110=0,0,X110/X$23)</f>
        <v>674.89056674960898</v>
      </c>
      <c r="Y164" s="65">
        <f t="shared" si="234"/>
        <v>714.26581827813982</v>
      </c>
      <c r="DA164" s="109"/>
    </row>
    <row r="165" spans="1:105" ht="12" customHeight="1" x14ac:dyDescent="0.25">
      <c r="A165" s="74" t="s">
        <v>34</v>
      </c>
      <c r="B165" s="68">
        <f t="shared" ref="B165" si="235">IF(B111=0,0,B111/B$23)</f>
        <v>797.2629392502364</v>
      </c>
      <c r="C165" s="68">
        <f t="shared" ref="C165:W165" si="236">IF(C111=0,0,C111/C$23)</f>
        <v>782.15106464766234</v>
      </c>
      <c r="D165" s="68">
        <f t="shared" si="236"/>
        <v>783.64189547226306</v>
      </c>
      <c r="E165" s="68">
        <f t="shared" si="236"/>
        <v>772.9369737047499</v>
      </c>
      <c r="F165" s="68">
        <f t="shared" si="236"/>
        <v>774.75671357745966</v>
      </c>
      <c r="G165" s="68">
        <f t="shared" si="236"/>
        <v>773.22398243305247</v>
      </c>
      <c r="H165" s="68">
        <f t="shared" si="236"/>
        <v>776.10322773517123</v>
      </c>
      <c r="I165" s="68">
        <f t="shared" si="236"/>
        <v>769.34195588577631</v>
      </c>
      <c r="J165" s="68">
        <f t="shared" si="236"/>
        <v>774.28880688044512</v>
      </c>
      <c r="K165" s="68">
        <f t="shared" si="236"/>
        <v>789.38762675698774</v>
      </c>
      <c r="L165" s="68">
        <f t="shared" si="236"/>
        <v>789.71244011250712</v>
      </c>
      <c r="M165" s="68">
        <f t="shared" si="236"/>
        <v>793.26203277663956</v>
      </c>
      <c r="N165" s="68">
        <f t="shared" si="236"/>
        <v>822.84999538065517</v>
      </c>
      <c r="O165" s="68">
        <f t="shared" si="236"/>
        <v>839.02966589163498</v>
      </c>
      <c r="P165" s="68">
        <f t="shared" si="236"/>
        <v>847.89109320601381</v>
      </c>
      <c r="Q165" s="68">
        <f t="shared" si="236"/>
        <v>826.45706630418545</v>
      </c>
      <c r="R165" s="68">
        <f t="shared" si="236"/>
        <v>798.0777668429937</v>
      </c>
      <c r="S165" s="68">
        <f t="shared" si="236"/>
        <v>768.5949518608702</v>
      </c>
      <c r="T165" s="68">
        <f t="shared" si="236"/>
        <v>741.05948968325197</v>
      </c>
      <c r="U165" s="68">
        <f t="shared" si="236"/>
        <v>723.72652407303576</v>
      </c>
      <c r="V165" s="68">
        <f t="shared" si="236"/>
        <v>658.01318512564012</v>
      </c>
      <c r="W165" s="68">
        <f t="shared" si="236"/>
        <v>671.99354146955386</v>
      </c>
      <c r="X165" s="68">
        <f t="shared" ref="X165:Y165" si="237">IF(X111=0,0,X111/X$23)</f>
        <v>691.7913996214445</v>
      </c>
      <c r="Y165" s="68">
        <f t="shared" si="237"/>
        <v>732.56966508579546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238">IF(B113=0,0,B113/B$23)</f>
        <v>349.48750654073945</v>
      </c>
      <c r="C167" s="82">
        <f t="shared" ref="C167:W167" si="239">IF(C113=0,0,C113/C$23)</f>
        <v>341.65098255914825</v>
      </c>
      <c r="D167" s="82">
        <f t="shared" si="239"/>
        <v>321.99922005823743</v>
      </c>
      <c r="E167" s="82">
        <f t="shared" si="239"/>
        <v>318.53024047444171</v>
      </c>
      <c r="F167" s="82">
        <f t="shared" si="239"/>
        <v>275.97383889379165</v>
      </c>
      <c r="G167" s="82">
        <f t="shared" si="239"/>
        <v>255.63227976472476</v>
      </c>
      <c r="H167" s="82">
        <f t="shared" si="239"/>
        <v>423.25979641618085</v>
      </c>
      <c r="I167" s="82">
        <f t="shared" si="239"/>
        <v>418.1024332748479</v>
      </c>
      <c r="J167" s="82">
        <f t="shared" si="239"/>
        <v>511.22217621145376</v>
      </c>
      <c r="K167" s="82">
        <f t="shared" si="239"/>
        <v>413.2837131489955</v>
      </c>
      <c r="L167" s="82">
        <f t="shared" si="239"/>
        <v>447.43715814831705</v>
      </c>
      <c r="M167" s="82">
        <f t="shared" si="239"/>
        <v>439.21360806916425</v>
      </c>
      <c r="N167" s="82">
        <f t="shared" si="239"/>
        <v>404.36902069504123</v>
      </c>
      <c r="O167" s="82">
        <f t="shared" si="239"/>
        <v>429.46928741989905</v>
      </c>
      <c r="P167" s="82">
        <f t="shared" si="239"/>
        <v>402.01086690207802</v>
      </c>
      <c r="Q167" s="82">
        <f t="shared" si="239"/>
        <v>363.36190887258181</v>
      </c>
      <c r="R167" s="82">
        <f t="shared" si="239"/>
        <v>336.94997658766857</v>
      </c>
      <c r="S167" s="82">
        <f t="shared" si="239"/>
        <v>369.26843542457834</v>
      </c>
      <c r="T167" s="82">
        <f t="shared" si="239"/>
        <v>345.41512669605527</v>
      </c>
      <c r="U167" s="82">
        <f t="shared" si="239"/>
        <v>403.88755303572424</v>
      </c>
      <c r="V167" s="82">
        <f t="shared" si="239"/>
        <v>320.80139909714109</v>
      </c>
      <c r="W167" s="82">
        <f t="shared" si="239"/>
        <v>325.8350122188582</v>
      </c>
      <c r="X167" s="82">
        <f t="shared" ref="X167:Y167" si="240">IF(X113=0,0,X113/X$23)</f>
        <v>350.38454380602064</v>
      </c>
      <c r="Y167" s="82">
        <f t="shared" si="240"/>
        <v>343.77977350394599</v>
      </c>
      <c r="DA167" s="107"/>
    </row>
    <row r="168" spans="1:105" ht="12" customHeight="1" x14ac:dyDescent="0.25">
      <c r="A168" s="77" t="s">
        <v>36</v>
      </c>
      <c r="B168" s="64">
        <f t="shared" ref="B168" si="241">IF(B114=0,0,B114/B$23)</f>
        <v>349.48750654073945</v>
      </c>
      <c r="C168" s="64">
        <f t="shared" ref="C168:W168" si="242">IF(C114=0,0,C114/C$23)</f>
        <v>341.65098255914825</v>
      </c>
      <c r="D168" s="64">
        <f t="shared" si="242"/>
        <v>321.99922005823743</v>
      </c>
      <c r="E168" s="64">
        <f t="shared" si="242"/>
        <v>318.53024047444171</v>
      </c>
      <c r="F168" s="64">
        <f t="shared" si="242"/>
        <v>275.97383889379165</v>
      </c>
      <c r="G168" s="64">
        <f t="shared" si="242"/>
        <v>255.63227976472476</v>
      </c>
      <c r="H168" s="64">
        <f t="shared" si="242"/>
        <v>423.25979641618085</v>
      </c>
      <c r="I168" s="64">
        <f t="shared" si="242"/>
        <v>418.1024332748479</v>
      </c>
      <c r="J168" s="64">
        <f t="shared" si="242"/>
        <v>511.22217621145376</v>
      </c>
      <c r="K168" s="64">
        <f t="shared" si="242"/>
        <v>413.2837131489955</v>
      </c>
      <c r="L168" s="64">
        <f t="shared" si="242"/>
        <v>447.43715814831705</v>
      </c>
      <c r="M168" s="64">
        <f t="shared" si="242"/>
        <v>439.21360806916425</v>
      </c>
      <c r="N168" s="64">
        <f t="shared" si="242"/>
        <v>404.36902069504123</v>
      </c>
      <c r="O168" s="64">
        <f t="shared" si="242"/>
        <v>429.46928741989905</v>
      </c>
      <c r="P168" s="64">
        <f t="shared" si="242"/>
        <v>402.01086690207802</v>
      </c>
      <c r="Q168" s="64">
        <f t="shared" si="242"/>
        <v>363.36190887258181</v>
      </c>
      <c r="R168" s="64">
        <f t="shared" si="242"/>
        <v>336.94997658766857</v>
      </c>
      <c r="S168" s="64">
        <f t="shared" si="242"/>
        <v>369.26843542457834</v>
      </c>
      <c r="T168" s="64">
        <f t="shared" si="242"/>
        <v>345.41512669605527</v>
      </c>
      <c r="U168" s="64">
        <f t="shared" si="242"/>
        <v>403.88755303572424</v>
      </c>
      <c r="V168" s="64">
        <f t="shared" si="242"/>
        <v>320.80139909714109</v>
      </c>
      <c r="W168" s="64">
        <f t="shared" si="242"/>
        <v>325.8350122188582</v>
      </c>
      <c r="X168" s="64">
        <f t="shared" ref="X168:Y168" si="243">IF(X114=0,0,X114/X$23)</f>
        <v>350.38454380602064</v>
      </c>
      <c r="Y168" s="64">
        <f t="shared" si="243"/>
        <v>343.77977350394599</v>
      </c>
      <c r="DA168" s="108"/>
    </row>
    <row r="169" spans="1:105" ht="12" customHeight="1" x14ac:dyDescent="0.25">
      <c r="A169" s="61" t="s">
        <v>32</v>
      </c>
      <c r="B169" s="65">
        <f t="shared" ref="B169" si="244">IF(B115=0,0,B115/B$23)</f>
        <v>333.39127815758798</v>
      </c>
      <c r="C169" s="65">
        <f t="shared" ref="C169:W169" si="245">IF(C115=0,0,C115/C$23)</f>
        <v>325.98243728257404</v>
      </c>
      <c r="D169" s="65">
        <f t="shared" si="245"/>
        <v>306.56422334569248</v>
      </c>
      <c r="E169" s="65">
        <f t="shared" si="245"/>
        <v>303.78045788955609</v>
      </c>
      <c r="F169" s="65">
        <f t="shared" si="245"/>
        <v>261.71221943053013</v>
      </c>
      <c r="G169" s="65">
        <f t="shared" si="245"/>
        <v>241.84113634566054</v>
      </c>
      <c r="H169" s="65">
        <f t="shared" si="245"/>
        <v>271.22643139401032</v>
      </c>
      <c r="I169" s="65">
        <f t="shared" si="245"/>
        <v>272.07841111273552</v>
      </c>
      <c r="J169" s="65">
        <f t="shared" si="245"/>
        <v>359.80478594493013</v>
      </c>
      <c r="K169" s="65">
        <f t="shared" si="245"/>
        <v>272.79803791301765</v>
      </c>
      <c r="L169" s="65">
        <f t="shared" si="245"/>
        <v>309.55412426978455</v>
      </c>
      <c r="M169" s="65">
        <f t="shared" si="245"/>
        <v>294.02021636400235</v>
      </c>
      <c r="N169" s="65">
        <f t="shared" si="245"/>
        <v>256.72924865970782</v>
      </c>
      <c r="O169" s="65">
        <f t="shared" si="245"/>
        <v>286.81044490581246</v>
      </c>
      <c r="P169" s="65">
        <f t="shared" si="245"/>
        <v>278.64964071117799</v>
      </c>
      <c r="Q169" s="65">
        <f t="shared" si="245"/>
        <v>232.23127163466233</v>
      </c>
      <c r="R169" s="65">
        <f t="shared" si="245"/>
        <v>211.46491150468742</v>
      </c>
      <c r="S169" s="65">
        <f t="shared" si="245"/>
        <v>227.84845156676627</v>
      </c>
      <c r="T169" s="65">
        <f t="shared" si="245"/>
        <v>210.17555152531096</v>
      </c>
      <c r="U169" s="65">
        <f t="shared" si="245"/>
        <v>256.42157351887727</v>
      </c>
      <c r="V169" s="65">
        <f t="shared" si="245"/>
        <v>208.95710192505268</v>
      </c>
      <c r="W169" s="65">
        <f t="shared" si="245"/>
        <v>229.06046871236461</v>
      </c>
      <c r="X169" s="65">
        <f t="shared" ref="X169:Y169" si="246">IF(X115=0,0,X115/X$23)</f>
        <v>242.08957945972551</v>
      </c>
      <c r="Y169" s="65">
        <f t="shared" si="246"/>
        <v>243.25201636665719</v>
      </c>
      <c r="DA169" s="109"/>
    </row>
    <row r="170" spans="1:105" ht="12" customHeight="1" x14ac:dyDescent="0.25">
      <c r="A170" s="61" t="s">
        <v>31</v>
      </c>
      <c r="B170" s="65">
        <f t="shared" ref="B170" si="247">IF(B116=0,0,B116/B$23)</f>
        <v>0</v>
      </c>
      <c r="C170" s="65">
        <f t="shared" ref="C170:W170" si="248">IF(C116=0,0,C116/C$23)</f>
        <v>0</v>
      </c>
      <c r="D170" s="65">
        <f t="shared" si="248"/>
        <v>0</v>
      </c>
      <c r="E170" s="65">
        <f t="shared" si="248"/>
        <v>0</v>
      </c>
      <c r="F170" s="65">
        <f t="shared" si="248"/>
        <v>0</v>
      </c>
      <c r="G170" s="65">
        <f t="shared" si="248"/>
        <v>0</v>
      </c>
      <c r="H170" s="65">
        <f t="shared" si="248"/>
        <v>0</v>
      </c>
      <c r="I170" s="65">
        <f t="shared" si="248"/>
        <v>0</v>
      </c>
      <c r="J170" s="65">
        <f t="shared" si="248"/>
        <v>0</v>
      </c>
      <c r="K170" s="65">
        <f t="shared" si="248"/>
        <v>0</v>
      </c>
      <c r="L170" s="65">
        <f t="shared" si="248"/>
        <v>0</v>
      </c>
      <c r="M170" s="65">
        <f t="shared" si="248"/>
        <v>0</v>
      </c>
      <c r="N170" s="65">
        <f t="shared" si="248"/>
        <v>0</v>
      </c>
      <c r="O170" s="65">
        <f t="shared" si="248"/>
        <v>0</v>
      </c>
      <c r="P170" s="65">
        <f t="shared" si="248"/>
        <v>0</v>
      </c>
      <c r="Q170" s="65">
        <f t="shared" si="248"/>
        <v>0</v>
      </c>
      <c r="R170" s="65">
        <f t="shared" si="248"/>
        <v>0</v>
      </c>
      <c r="S170" s="65">
        <f t="shared" si="248"/>
        <v>0</v>
      </c>
      <c r="T170" s="65">
        <f t="shared" si="248"/>
        <v>0</v>
      </c>
      <c r="U170" s="65">
        <f t="shared" si="248"/>
        <v>0</v>
      </c>
      <c r="V170" s="65">
        <f t="shared" si="248"/>
        <v>0</v>
      </c>
      <c r="W170" s="65">
        <f t="shared" si="248"/>
        <v>0</v>
      </c>
      <c r="X170" s="65">
        <f t="shared" ref="X170:Y170" si="249">IF(X116=0,0,X116/X$23)</f>
        <v>0</v>
      </c>
      <c r="Y170" s="65">
        <f t="shared" si="249"/>
        <v>0</v>
      </c>
      <c r="DA170" s="109"/>
    </row>
    <row r="171" spans="1:105" ht="12" customHeight="1" x14ac:dyDescent="0.25">
      <c r="A171" s="61" t="s">
        <v>35</v>
      </c>
      <c r="B171" s="65">
        <f t="shared" ref="B171" si="250">IF(B117=0,0,B117/B$23)</f>
        <v>16.096228383151477</v>
      </c>
      <c r="C171" s="65">
        <f t="shared" ref="C171:W171" si="251">IF(C117=0,0,C117/C$23)</f>
        <v>15.668545276574161</v>
      </c>
      <c r="D171" s="65">
        <f t="shared" si="251"/>
        <v>15.434996712545013</v>
      </c>
      <c r="E171" s="65">
        <f t="shared" si="251"/>
        <v>14.749782584885722</v>
      </c>
      <c r="F171" s="65">
        <f t="shared" si="251"/>
        <v>14.261619463261541</v>
      </c>
      <c r="G171" s="65">
        <f t="shared" si="251"/>
        <v>13.791143419064237</v>
      </c>
      <c r="H171" s="65">
        <f t="shared" si="251"/>
        <v>97.348385664087488</v>
      </c>
      <c r="I171" s="65">
        <f t="shared" si="251"/>
        <v>94.278830683476301</v>
      </c>
      <c r="J171" s="65">
        <f t="shared" si="251"/>
        <v>92.403909231586582</v>
      </c>
      <c r="K171" s="65">
        <f t="shared" si="251"/>
        <v>92.358730139299027</v>
      </c>
      <c r="L171" s="65">
        <f t="shared" si="251"/>
        <v>93.181800041852611</v>
      </c>
      <c r="M171" s="65">
        <f t="shared" si="251"/>
        <v>87.921435168737446</v>
      </c>
      <c r="N171" s="65">
        <f t="shared" si="251"/>
        <v>85.134805136073922</v>
      </c>
      <c r="O171" s="65">
        <f t="shared" si="251"/>
        <v>82.959390542527728</v>
      </c>
      <c r="P171" s="65">
        <f t="shared" si="251"/>
        <v>72.730534635516079</v>
      </c>
      <c r="Q171" s="65">
        <f t="shared" si="251"/>
        <v>69.61815215879983</v>
      </c>
      <c r="R171" s="65">
        <f t="shared" si="251"/>
        <v>67.437665225504674</v>
      </c>
      <c r="S171" s="65">
        <f t="shared" si="251"/>
        <v>64.332444598306822</v>
      </c>
      <c r="T171" s="65">
        <f t="shared" si="251"/>
        <v>58.404632941370465</v>
      </c>
      <c r="U171" s="65">
        <f t="shared" si="251"/>
        <v>54.971790924388387</v>
      </c>
      <c r="V171" s="65">
        <f t="shared" si="251"/>
        <v>44.60481834681206</v>
      </c>
      <c r="W171" s="65">
        <f t="shared" si="251"/>
        <v>40.75367661821867</v>
      </c>
      <c r="X171" s="65">
        <f t="shared" ref="X171:Y171" si="252">IF(X117=0,0,X117/X$23)</f>
        <v>44.491822553951842</v>
      </c>
      <c r="Y171" s="65">
        <f t="shared" si="252"/>
        <v>45.101003663375728</v>
      </c>
      <c r="DA171" s="109"/>
    </row>
    <row r="172" spans="1:105" ht="12" customHeight="1" x14ac:dyDescent="0.25">
      <c r="A172" s="66" t="s">
        <v>34</v>
      </c>
      <c r="B172" s="67">
        <f t="shared" ref="B172" si="253">IF(B118=0,0,B118/B$23)</f>
        <v>0</v>
      </c>
      <c r="C172" s="67">
        <f t="shared" ref="C172:W172" si="254">IF(C118=0,0,C118/C$23)</f>
        <v>0</v>
      </c>
      <c r="D172" s="67">
        <f t="shared" si="254"/>
        <v>0</v>
      </c>
      <c r="E172" s="67">
        <f t="shared" si="254"/>
        <v>0</v>
      </c>
      <c r="F172" s="67">
        <f t="shared" si="254"/>
        <v>0</v>
      </c>
      <c r="G172" s="67">
        <f t="shared" si="254"/>
        <v>0</v>
      </c>
      <c r="H172" s="67">
        <f t="shared" si="254"/>
        <v>54.684979358083069</v>
      </c>
      <c r="I172" s="67">
        <f t="shared" si="254"/>
        <v>51.74519147863608</v>
      </c>
      <c r="J172" s="67">
        <f t="shared" si="254"/>
        <v>59.013481034937008</v>
      </c>
      <c r="K172" s="67">
        <f t="shared" si="254"/>
        <v>48.126945096678782</v>
      </c>
      <c r="L172" s="67">
        <f t="shared" si="254"/>
        <v>44.701233836679833</v>
      </c>
      <c r="M172" s="67">
        <f t="shared" si="254"/>
        <v>57.271956536424469</v>
      </c>
      <c r="N172" s="67">
        <f t="shared" si="254"/>
        <v>62.504966899259479</v>
      </c>
      <c r="O172" s="67">
        <f t="shared" si="254"/>
        <v>59.699451971558872</v>
      </c>
      <c r="P172" s="67">
        <f t="shared" si="254"/>
        <v>50.630691555383869</v>
      </c>
      <c r="Q172" s="67">
        <f t="shared" si="254"/>
        <v>61.512485079119614</v>
      </c>
      <c r="R172" s="67">
        <f t="shared" si="254"/>
        <v>58.047399857476528</v>
      </c>
      <c r="S172" s="67">
        <f t="shared" si="254"/>
        <v>77.087539259505192</v>
      </c>
      <c r="T172" s="67">
        <f t="shared" si="254"/>
        <v>76.834942229373937</v>
      </c>
      <c r="U172" s="67">
        <f t="shared" si="254"/>
        <v>92.49418859245857</v>
      </c>
      <c r="V172" s="67">
        <f t="shared" si="254"/>
        <v>67.239478825276393</v>
      </c>
      <c r="W172" s="67">
        <f t="shared" si="254"/>
        <v>56.020866888274902</v>
      </c>
      <c r="X172" s="67">
        <f t="shared" ref="X172:Y172" si="255">IF(X118=0,0,X118/X$23)</f>
        <v>63.803141792343261</v>
      </c>
      <c r="Y172" s="67">
        <f t="shared" si="255"/>
        <v>55.426753473913024</v>
      </c>
      <c r="DA172" s="110"/>
    </row>
    <row r="173" spans="1:105" ht="12" customHeight="1" x14ac:dyDescent="0.25">
      <c r="A173" s="78" t="s">
        <v>33</v>
      </c>
      <c r="B173" s="68">
        <f t="shared" ref="B173" si="256">IF(B119=0,0,B119/B$23)</f>
        <v>0</v>
      </c>
      <c r="C173" s="68">
        <f t="shared" ref="C173:W173" si="257">IF(C119=0,0,C119/C$23)</f>
        <v>0</v>
      </c>
      <c r="D173" s="68">
        <f t="shared" si="257"/>
        <v>0</v>
      </c>
      <c r="E173" s="68">
        <f t="shared" si="257"/>
        <v>0</v>
      </c>
      <c r="F173" s="68">
        <f t="shared" si="257"/>
        <v>0</v>
      </c>
      <c r="G173" s="68">
        <f t="shared" si="257"/>
        <v>0</v>
      </c>
      <c r="H173" s="68">
        <f t="shared" si="257"/>
        <v>0</v>
      </c>
      <c r="I173" s="68">
        <f t="shared" si="257"/>
        <v>0</v>
      </c>
      <c r="J173" s="68">
        <f t="shared" si="257"/>
        <v>0</v>
      </c>
      <c r="K173" s="68">
        <f t="shared" si="257"/>
        <v>0</v>
      </c>
      <c r="L173" s="68">
        <f t="shared" si="257"/>
        <v>0</v>
      </c>
      <c r="M173" s="68">
        <f t="shared" si="257"/>
        <v>0</v>
      </c>
      <c r="N173" s="68">
        <f t="shared" si="257"/>
        <v>0</v>
      </c>
      <c r="O173" s="68">
        <f t="shared" si="257"/>
        <v>0</v>
      </c>
      <c r="P173" s="68">
        <f t="shared" si="257"/>
        <v>0</v>
      </c>
      <c r="Q173" s="68">
        <f t="shared" si="257"/>
        <v>0</v>
      </c>
      <c r="R173" s="68">
        <f t="shared" si="257"/>
        <v>0</v>
      </c>
      <c r="S173" s="68">
        <f t="shared" si="257"/>
        <v>0</v>
      </c>
      <c r="T173" s="68">
        <f t="shared" si="257"/>
        <v>0</v>
      </c>
      <c r="U173" s="68">
        <f t="shared" si="257"/>
        <v>0</v>
      </c>
      <c r="V173" s="68">
        <f t="shared" si="257"/>
        <v>0</v>
      </c>
      <c r="W173" s="68">
        <f t="shared" si="257"/>
        <v>0</v>
      </c>
      <c r="X173" s="68">
        <f t="shared" ref="X173:Y173" si="258">IF(X119=0,0,X119/X$23)</f>
        <v>0</v>
      </c>
      <c r="Y173" s="68">
        <f t="shared" si="25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Y31 B33:Y33 B37:Y37 B48:Y48 B67:Y67 B82:Y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>
        <f t="shared" ref="B3:Y3" si="0">B4</f>
        <v>16275.690969441697</v>
      </c>
      <c r="C3" s="124">
        <f t="shared" si="0"/>
        <v>16602.318428732429</v>
      </c>
      <c r="D3" s="124">
        <f t="shared" si="0"/>
        <v>16839.114908157051</v>
      </c>
      <c r="E3" s="124">
        <f t="shared" si="0"/>
        <v>17121.606030851843</v>
      </c>
      <c r="F3" s="124">
        <f t="shared" si="0"/>
        <v>17501.28582415159</v>
      </c>
      <c r="G3" s="124">
        <f t="shared" si="0"/>
        <v>17896.264895794906</v>
      </c>
      <c r="H3" s="124">
        <f t="shared" si="0"/>
        <v>18274.04658327542</v>
      </c>
      <c r="I3" s="124">
        <f t="shared" si="0"/>
        <v>18742.685921310993</v>
      </c>
      <c r="J3" s="124">
        <f t="shared" si="0"/>
        <v>19206.346886543943</v>
      </c>
      <c r="K3" s="124">
        <f t="shared" si="0"/>
        <v>19830.408461658637</v>
      </c>
      <c r="L3" s="124">
        <f t="shared" si="0"/>
        <v>20510.225734665248</v>
      </c>
      <c r="M3" s="124">
        <f t="shared" si="0"/>
        <v>20983.935494143545</v>
      </c>
      <c r="N3" s="124">
        <f t="shared" si="0"/>
        <v>21473.536037340244</v>
      </c>
      <c r="O3" s="124">
        <f t="shared" si="0"/>
        <v>21481.928376746037</v>
      </c>
      <c r="P3" s="124">
        <f t="shared" si="0"/>
        <v>21263.534772894363</v>
      </c>
      <c r="Q3" s="124">
        <f t="shared" si="0"/>
        <v>21123.161918869631</v>
      </c>
      <c r="R3" s="124">
        <f t="shared" si="0"/>
        <v>21299.684710310852</v>
      </c>
      <c r="S3" s="124">
        <f t="shared" si="0"/>
        <v>21597.600117315524</v>
      </c>
      <c r="T3" s="124">
        <f t="shared" si="0"/>
        <v>21894.444918233839</v>
      </c>
      <c r="U3" s="124">
        <f t="shared" si="0"/>
        <v>22183.990637620427</v>
      </c>
      <c r="V3" s="124">
        <f t="shared" si="0"/>
        <v>22434.508888888886</v>
      </c>
      <c r="W3" s="124">
        <f t="shared" si="0"/>
        <v>22675.700517501144</v>
      </c>
      <c r="X3" s="124">
        <f t="shared" si="0"/>
        <v>22907.760184548322</v>
      </c>
      <c r="Y3" s="124">
        <f t="shared" si="0"/>
        <v>23131.123975293092</v>
      </c>
      <c r="DA3" s="168" t="s">
        <v>245</v>
      </c>
    </row>
    <row r="4" spans="1:105" ht="12.95" customHeight="1" x14ac:dyDescent="0.25">
      <c r="A4" s="129" t="s">
        <v>32</v>
      </c>
      <c r="B4" s="139">
        <f t="shared" ref="B4:Q4" si="1">SUM(B5:B14)</f>
        <v>16275.690969441697</v>
      </c>
      <c r="C4" s="139">
        <f t="shared" si="1"/>
        <v>16602.318428732429</v>
      </c>
      <c r="D4" s="139">
        <f t="shared" si="1"/>
        <v>16839.114908157051</v>
      </c>
      <c r="E4" s="139">
        <f t="shared" si="1"/>
        <v>17121.606030851843</v>
      </c>
      <c r="F4" s="139">
        <f t="shared" si="1"/>
        <v>17501.28582415159</v>
      </c>
      <c r="G4" s="139">
        <f t="shared" si="1"/>
        <v>17896.264895794906</v>
      </c>
      <c r="H4" s="139">
        <f t="shared" si="1"/>
        <v>18274.04658327542</v>
      </c>
      <c r="I4" s="139">
        <f t="shared" si="1"/>
        <v>18742.685921310993</v>
      </c>
      <c r="J4" s="139">
        <f t="shared" si="1"/>
        <v>19206.346886543943</v>
      </c>
      <c r="K4" s="139">
        <f t="shared" si="1"/>
        <v>19830.408461658637</v>
      </c>
      <c r="L4" s="139">
        <f t="shared" si="1"/>
        <v>20510.225734665248</v>
      </c>
      <c r="M4" s="139">
        <f t="shared" si="1"/>
        <v>20983.935494143545</v>
      </c>
      <c r="N4" s="139">
        <f t="shared" si="1"/>
        <v>21473.536037340244</v>
      </c>
      <c r="O4" s="139">
        <f t="shared" si="1"/>
        <v>21481.928376746037</v>
      </c>
      <c r="P4" s="139">
        <f t="shared" si="1"/>
        <v>21263.534772894363</v>
      </c>
      <c r="Q4" s="139">
        <f t="shared" si="1"/>
        <v>21123.161918869631</v>
      </c>
      <c r="R4" s="139">
        <f t="shared" ref="R4:W4" si="2">SUM(R5:R14)</f>
        <v>21299.684710310852</v>
      </c>
      <c r="S4" s="139">
        <f t="shared" si="2"/>
        <v>21597.600117315524</v>
      </c>
      <c r="T4" s="139">
        <f t="shared" si="2"/>
        <v>21894.444918233839</v>
      </c>
      <c r="U4" s="139">
        <f t="shared" si="2"/>
        <v>22183.990637620427</v>
      </c>
      <c r="V4" s="139">
        <f t="shared" si="2"/>
        <v>22434.508888888886</v>
      </c>
      <c r="W4" s="139">
        <f t="shared" si="2"/>
        <v>22675.700517501144</v>
      </c>
      <c r="X4" s="139">
        <f t="shared" ref="X4:Y4" si="3">SUM(X5:X14)</f>
        <v>22907.760184548322</v>
      </c>
      <c r="Y4" s="139">
        <f t="shared" si="3"/>
        <v>23131.123975293092</v>
      </c>
      <c r="DA4" s="169" t="s">
        <v>246</v>
      </c>
    </row>
    <row r="5" spans="1:105" ht="12" customHeight="1" x14ac:dyDescent="0.25">
      <c r="A5" s="131" t="s">
        <v>29</v>
      </c>
      <c r="B5" s="140">
        <v>0</v>
      </c>
      <c r="C5" s="140">
        <v>0</v>
      </c>
      <c r="D5" s="140">
        <v>0</v>
      </c>
      <c r="E5" s="140">
        <v>0</v>
      </c>
      <c r="F5" s="140">
        <v>0</v>
      </c>
      <c r="G5" s="140">
        <v>0</v>
      </c>
      <c r="H5" s="140">
        <v>0</v>
      </c>
      <c r="I5" s="140">
        <v>0</v>
      </c>
      <c r="J5" s="140">
        <v>0</v>
      </c>
      <c r="K5" s="140">
        <v>0</v>
      </c>
      <c r="L5" s="140">
        <v>0</v>
      </c>
      <c r="M5" s="140">
        <v>0</v>
      </c>
      <c r="N5" s="140">
        <v>0</v>
      </c>
      <c r="O5" s="140">
        <v>0</v>
      </c>
      <c r="P5" s="140">
        <v>0</v>
      </c>
      <c r="Q5" s="140">
        <v>0</v>
      </c>
      <c r="R5" s="140">
        <v>0</v>
      </c>
      <c r="S5" s="140">
        <v>0</v>
      </c>
      <c r="T5" s="140">
        <v>0</v>
      </c>
      <c r="U5" s="140">
        <v>0</v>
      </c>
      <c r="V5" s="140">
        <v>0</v>
      </c>
      <c r="W5" s="140">
        <v>0</v>
      </c>
      <c r="X5" s="140">
        <v>0</v>
      </c>
      <c r="Y5" s="140">
        <v>0</v>
      </c>
      <c r="DA5" s="170" t="s">
        <v>247</v>
      </c>
    </row>
    <row r="6" spans="1:105" ht="12" customHeight="1" x14ac:dyDescent="0.25">
      <c r="A6" s="131" t="s">
        <v>52</v>
      </c>
      <c r="B6" s="140">
        <v>0</v>
      </c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DA6" s="170" t="s">
        <v>248</v>
      </c>
    </row>
    <row r="7" spans="1:105" ht="12" customHeight="1" x14ac:dyDescent="0.25">
      <c r="A7" s="131" t="s">
        <v>161</v>
      </c>
      <c r="B7" s="140">
        <v>10346.875428438632</v>
      </c>
      <c r="C7" s="140">
        <v>8895.2315960308297</v>
      </c>
      <c r="D7" s="140">
        <v>7520.9566464980071</v>
      </c>
      <c r="E7" s="140">
        <v>6572.8396933536469</v>
      </c>
      <c r="F7" s="140">
        <v>5682.2319842447359</v>
      </c>
      <c r="G7" s="140">
        <v>4965.8639850000945</v>
      </c>
      <c r="H7" s="140">
        <v>4422.0786007853239</v>
      </c>
      <c r="I7" s="140">
        <v>4216.5132463116588</v>
      </c>
      <c r="J7" s="140">
        <v>4260.4200487100679</v>
      </c>
      <c r="K7" s="140">
        <v>4082.2213510710476</v>
      </c>
      <c r="L7" s="140">
        <v>4221.9049582843709</v>
      </c>
      <c r="M7" s="140">
        <v>4372.3111309622973</v>
      </c>
      <c r="N7" s="140">
        <v>4594.4346753860364</v>
      </c>
      <c r="O7" s="140">
        <v>4487.7691498447366</v>
      </c>
      <c r="P7" s="140">
        <v>4099.8953840219974</v>
      </c>
      <c r="Q7" s="140">
        <v>3571.318730050923</v>
      </c>
      <c r="R7" s="140">
        <v>3209.1042289473185</v>
      </c>
      <c r="S7" s="140">
        <v>3136.4493369826428</v>
      </c>
      <c r="T7" s="140">
        <v>3173.387761680699</v>
      </c>
      <c r="U7" s="140">
        <v>3372.2795879634291</v>
      </c>
      <c r="V7" s="140">
        <v>3500.4591657161072</v>
      </c>
      <c r="W7" s="140">
        <v>3519.2643942476834</v>
      </c>
      <c r="X7" s="140">
        <v>3434.8682278667952</v>
      </c>
      <c r="Y7" s="140">
        <v>3458.8457966313435</v>
      </c>
      <c r="DA7" s="170" t="s">
        <v>249</v>
      </c>
    </row>
    <row r="8" spans="1:105" ht="12" customHeight="1" x14ac:dyDescent="0.25">
      <c r="A8" s="131" t="s">
        <v>73</v>
      </c>
      <c r="B8" s="140">
        <v>0</v>
      </c>
      <c r="C8" s="140">
        <v>0</v>
      </c>
      <c r="D8" s="140">
        <v>0</v>
      </c>
      <c r="E8" s="140">
        <v>0</v>
      </c>
      <c r="F8" s="140">
        <v>0</v>
      </c>
      <c r="G8" s="140">
        <v>0</v>
      </c>
      <c r="H8" s="140">
        <v>0</v>
      </c>
      <c r="I8" s="140">
        <v>0</v>
      </c>
      <c r="J8" s="140">
        <v>0</v>
      </c>
      <c r="K8" s="140">
        <v>0</v>
      </c>
      <c r="L8" s="140">
        <v>0</v>
      </c>
      <c r="M8" s="140">
        <v>0</v>
      </c>
      <c r="N8" s="140">
        <v>0</v>
      </c>
      <c r="O8" s="140">
        <v>0</v>
      </c>
      <c r="P8" s="140">
        <v>0</v>
      </c>
      <c r="Q8" s="140">
        <v>0</v>
      </c>
      <c r="R8" s="140">
        <v>0</v>
      </c>
      <c r="S8" s="140">
        <v>0</v>
      </c>
      <c r="T8" s="140">
        <v>0</v>
      </c>
      <c r="U8" s="140">
        <v>0</v>
      </c>
      <c r="V8" s="140">
        <v>0</v>
      </c>
      <c r="W8" s="140">
        <v>0</v>
      </c>
      <c r="X8" s="140">
        <v>0</v>
      </c>
      <c r="Y8" s="140">
        <v>0</v>
      </c>
      <c r="DA8" s="170" t="s">
        <v>250</v>
      </c>
    </row>
    <row r="9" spans="1:105" ht="12" customHeight="1" x14ac:dyDescent="0.25">
      <c r="A9" s="131" t="s">
        <v>78</v>
      </c>
      <c r="B9" s="140">
        <v>0</v>
      </c>
      <c r="C9" s="140">
        <v>0</v>
      </c>
      <c r="D9" s="140">
        <v>0</v>
      </c>
      <c r="E9" s="140">
        <v>0</v>
      </c>
      <c r="F9" s="140">
        <v>0</v>
      </c>
      <c r="G9" s="140">
        <v>0</v>
      </c>
      <c r="H9" s="140">
        <v>0</v>
      </c>
      <c r="I9" s="140">
        <v>0</v>
      </c>
      <c r="J9" s="140">
        <v>0</v>
      </c>
      <c r="K9" s="140">
        <v>46.068694777035653</v>
      </c>
      <c r="L9" s="140">
        <v>60.59229879025176</v>
      </c>
      <c r="M9" s="140">
        <v>67.721977022981108</v>
      </c>
      <c r="N9" s="140">
        <v>70.849399728483149</v>
      </c>
      <c r="O9" s="140">
        <v>68.722767438054049</v>
      </c>
      <c r="P9" s="140">
        <v>69.13329987968028</v>
      </c>
      <c r="Q9" s="140">
        <v>69.759640978826383</v>
      </c>
      <c r="R9" s="140">
        <v>89.606720033004933</v>
      </c>
      <c r="S9" s="140">
        <v>121.86634499345679</v>
      </c>
      <c r="T9" s="140">
        <v>160.52642993411405</v>
      </c>
      <c r="U9" s="140">
        <v>171.98218644421496</v>
      </c>
      <c r="V9" s="140">
        <v>176.84553579910468</v>
      </c>
      <c r="W9" s="140">
        <v>183.97926773481683</v>
      </c>
      <c r="X9" s="140">
        <v>182.71736634983202</v>
      </c>
      <c r="Y9" s="140">
        <v>175.3662226470378</v>
      </c>
      <c r="DA9" s="170" t="s">
        <v>251</v>
      </c>
    </row>
    <row r="10" spans="1:105" ht="12" customHeight="1" x14ac:dyDescent="0.25">
      <c r="A10" s="131" t="s">
        <v>128</v>
      </c>
      <c r="B10" s="140">
        <v>0</v>
      </c>
      <c r="C10" s="140">
        <v>0</v>
      </c>
      <c r="D10" s="140">
        <v>0</v>
      </c>
      <c r="E10" s="140">
        <v>0</v>
      </c>
      <c r="F10" s="140">
        <v>0</v>
      </c>
      <c r="G10" s="140">
        <v>0</v>
      </c>
      <c r="H10" s="140">
        <v>0</v>
      </c>
      <c r="I10" s="140">
        <v>96.962447260651587</v>
      </c>
      <c r="J10" s="140">
        <v>152.67713402351396</v>
      </c>
      <c r="K10" s="140">
        <v>152.25908044419577</v>
      </c>
      <c r="L10" s="140">
        <v>152.45302786223485</v>
      </c>
      <c r="M10" s="140">
        <v>158.67839194705448</v>
      </c>
      <c r="N10" s="140">
        <v>183.85309539208214</v>
      </c>
      <c r="O10" s="140">
        <v>215.04506089462876</v>
      </c>
      <c r="P10" s="140">
        <v>248.22468918578028</v>
      </c>
      <c r="Q10" s="140">
        <v>329.87784866404246</v>
      </c>
      <c r="R10" s="140">
        <v>327.53242431990714</v>
      </c>
      <c r="S10" s="140">
        <v>315.40489016944173</v>
      </c>
      <c r="T10" s="140">
        <v>230.13063278119378</v>
      </c>
      <c r="U10" s="140">
        <v>213.49970351968207</v>
      </c>
      <c r="V10" s="140">
        <v>221.25156564181512</v>
      </c>
      <c r="W10" s="140">
        <v>262.2479349687967</v>
      </c>
      <c r="X10" s="140">
        <v>332.05939226800785</v>
      </c>
      <c r="Y10" s="140">
        <v>342.73576196448084</v>
      </c>
      <c r="DA10" s="170" t="s">
        <v>252</v>
      </c>
    </row>
    <row r="11" spans="1:105" ht="12" customHeight="1" x14ac:dyDescent="0.25">
      <c r="A11" s="131" t="s">
        <v>25</v>
      </c>
      <c r="B11" s="140">
        <v>0</v>
      </c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  <c r="K11" s="140">
        <v>0</v>
      </c>
      <c r="L11" s="140">
        <v>0</v>
      </c>
      <c r="M11" s="140">
        <v>0</v>
      </c>
      <c r="N11" s="140">
        <v>0</v>
      </c>
      <c r="O11" s="140">
        <v>0</v>
      </c>
      <c r="P11" s="140">
        <v>0</v>
      </c>
      <c r="Q11" s="140">
        <v>0</v>
      </c>
      <c r="R11" s="140">
        <v>0</v>
      </c>
      <c r="S11" s="140">
        <v>0</v>
      </c>
      <c r="T11" s="140">
        <v>0</v>
      </c>
      <c r="U11" s="140">
        <v>0</v>
      </c>
      <c r="V11" s="140">
        <v>0</v>
      </c>
      <c r="W11" s="140">
        <v>0</v>
      </c>
      <c r="X11" s="140">
        <v>0</v>
      </c>
      <c r="Y11" s="140">
        <v>0</v>
      </c>
      <c r="DA11" s="170" t="s">
        <v>253</v>
      </c>
    </row>
    <row r="12" spans="1:105" ht="12" customHeight="1" x14ac:dyDescent="0.25">
      <c r="A12" s="131" t="s">
        <v>162</v>
      </c>
      <c r="B12" s="140">
        <v>0</v>
      </c>
      <c r="C12" s="140">
        <v>0</v>
      </c>
      <c r="D12" s="140">
        <v>0</v>
      </c>
      <c r="E12" s="140">
        <v>0</v>
      </c>
      <c r="F12" s="140">
        <v>0</v>
      </c>
      <c r="G12" s="140">
        <v>0</v>
      </c>
      <c r="H12" s="140">
        <v>0</v>
      </c>
      <c r="I12" s="140">
        <v>0</v>
      </c>
      <c r="J12" s="140">
        <v>0</v>
      </c>
      <c r="K12" s="140">
        <v>0</v>
      </c>
      <c r="L12" s="140">
        <v>0</v>
      </c>
      <c r="M12" s="140">
        <v>0</v>
      </c>
      <c r="N12" s="140">
        <v>0</v>
      </c>
      <c r="O12" s="140">
        <v>0</v>
      </c>
      <c r="P12" s="140">
        <v>0</v>
      </c>
      <c r="Q12" s="140">
        <v>0</v>
      </c>
      <c r="R12" s="140">
        <v>0</v>
      </c>
      <c r="S12" s="140">
        <v>0</v>
      </c>
      <c r="T12" s="140">
        <v>0</v>
      </c>
      <c r="U12" s="140">
        <v>0</v>
      </c>
      <c r="V12" s="140">
        <v>0</v>
      </c>
      <c r="W12" s="140">
        <v>0</v>
      </c>
      <c r="X12" s="140">
        <v>0</v>
      </c>
      <c r="Y12" s="140">
        <v>0</v>
      </c>
      <c r="DA12" s="170" t="s">
        <v>254</v>
      </c>
    </row>
    <row r="13" spans="1:105" ht="12" customHeight="1" x14ac:dyDescent="0.25">
      <c r="A13" s="131" t="s">
        <v>77</v>
      </c>
      <c r="B13" s="140">
        <v>494.9016171421917</v>
      </c>
      <c r="C13" s="140">
        <v>801.11457236903391</v>
      </c>
      <c r="D13" s="140">
        <v>1265.3087709018748</v>
      </c>
      <c r="E13" s="140">
        <v>1791.4656161969015</v>
      </c>
      <c r="F13" s="140">
        <v>2269.0659115250392</v>
      </c>
      <c r="G13" s="140">
        <v>2661.7224626061547</v>
      </c>
      <c r="H13" s="140">
        <v>2745.8380743763573</v>
      </c>
      <c r="I13" s="140">
        <v>2913.7566355678587</v>
      </c>
      <c r="J13" s="140">
        <v>3025.3838075557155</v>
      </c>
      <c r="K13" s="140">
        <v>3442.321598959792</v>
      </c>
      <c r="L13" s="140">
        <v>4308.1301017110709</v>
      </c>
      <c r="M13" s="140">
        <v>6375.1606269615831</v>
      </c>
      <c r="N13" s="140">
        <v>9729.8966284053349</v>
      </c>
      <c r="O13" s="140">
        <v>12925.741511375207</v>
      </c>
      <c r="P13" s="140">
        <v>13998.055144351711</v>
      </c>
      <c r="Q13" s="140">
        <v>14150.848439498377</v>
      </c>
      <c r="R13" s="140">
        <v>14125.155072955853</v>
      </c>
      <c r="S13" s="140">
        <v>14411.652839431683</v>
      </c>
      <c r="T13" s="140">
        <v>14746.268221183456</v>
      </c>
      <c r="U13" s="140">
        <v>14843.976951357276</v>
      </c>
      <c r="V13" s="140">
        <v>14762.523518789994</v>
      </c>
      <c r="W13" s="140">
        <v>14217.100838577197</v>
      </c>
      <c r="X13" s="140">
        <v>13504.424891885445</v>
      </c>
      <c r="Y13" s="140">
        <v>13396.617749307658</v>
      </c>
      <c r="DA13" s="170" t="s">
        <v>255</v>
      </c>
    </row>
    <row r="14" spans="1:105" ht="12" customHeight="1" x14ac:dyDescent="0.25">
      <c r="A14" s="60" t="s">
        <v>76</v>
      </c>
      <c r="B14" s="141">
        <v>5433.9139238608723</v>
      </c>
      <c r="C14" s="141">
        <v>6905.9722603325672</v>
      </c>
      <c r="D14" s="141">
        <v>8052.8494907571703</v>
      </c>
      <c r="E14" s="141">
        <v>8757.3007213012916</v>
      </c>
      <c r="F14" s="141">
        <v>9549.9879283818154</v>
      </c>
      <c r="G14" s="141">
        <v>10268.678448188657</v>
      </c>
      <c r="H14" s="141">
        <v>11106.129908113739</v>
      </c>
      <c r="I14" s="141">
        <v>11515.453592170821</v>
      </c>
      <c r="J14" s="141">
        <v>11767.865896254647</v>
      </c>
      <c r="K14" s="141">
        <v>12107.537736406564</v>
      </c>
      <c r="L14" s="141">
        <v>11767.145348017317</v>
      </c>
      <c r="M14" s="141">
        <v>10010.063367249631</v>
      </c>
      <c r="N14" s="141">
        <v>6894.5022384283075</v>
      </c>
      <c r="O14" s="141">
        <v>3784.64988719341</v>
      </c>
      <c r="P14" s="141">
        <v>2848.2262554551953</v>
      </c>
      <c r="Q14" s="141">
        <v>3001.3572596774625</v>
      </c>
      <c r="R14" s="141">
        <v>3548.2862640547696</v>
      </c>
      <c r="S14" s="141">
        <v>3612.2267057383006</v>
      </c>
      <c r="T14" s="141">
        <v>3584.131872654375</v>
      </c>
      <c r="U14" s="141">
        <v>3582.2522083358244</v>
      </c>
      <c r="V14" s="141">
        <v>3773.4291029418655</v>
      </c>
      <c r="W14" s="141">
        <v>4493.1080819726485</v>
      </c>
      <c r="X14" s="141">
        <v>5453.6903061782423</v>
      </c>
      <c r="Y14" s="141">
        <v>5757.5584447425699</v>
      </c>
      <c r="DA14" s="171" t="s">
        <v>256</v>
      </c>
    </row>
    <row r="15" spans="1:105" ht="12" hidden="1" customHeight="1" x14ac:dyDescent="0.25">
      <c r="A15" s="142" t="s">
        <v>75</v>
      </c>
      <c r="B15" s="143">
        <f t="shared" ref="B15:Q15" si="4">SUM(B5:B12)</f>
        <v>10346.875428438632</v>
      </c>
      <c r="C15" s="143">
        <f t="shared" si="4"/>
        <v>8895.2315960308297</v>
      </c>
      <c r="D15" s="143">
        <f t="shared" si="4"/>
        <v>7520.9566464980071</v>
      </c>
      <c r="E15" s="143">
        <f t="shared" si="4"/>
        <v>6572.8396933536469</v>
      </c>
      <c r="F15" s="143">
        <f t="shared" si="4"/>
        <v>5682.2319842447359</v>
      </c>
      <c r="G15" s="143">
        <f t="shared" si="4"/>
        <v>4965.8639850000945</v>
      </c>
      <c r="H15" s="143">
        <f t="shared" si="4"/>
        <v>4422.0786007853239</v>
      </c>
      <c r="I15" s="143">
        <f t="shared" si="4"/>
        <v>4313.4756935723108</v>
      </c>
      <c r="J15" s="143">
        <f t="shared" si="4"/>
        <v>4413.0971827335816</v>
      </c>
      <c r="K15" s="143">
        <f t="shared" si="4"/>
        <v>4280.5491262922797</v>
      </c>
      <c r="L15" s="143">
        <f t="shared" si="4"/>
        <v>4434.9502849368573</v>
      </c>
      <c r="M15" s="143">
        <f t="shared" si="4"/>
        <v>4598.711499932333</v>
      </c>
      <c r="N15" s="143">
        <f t="shared" si="4"/>
        <v>4849.1371705066013</v>
      </c>
      <c r="O15" s="143">
        <f t="shared" si="4"/>
        <v>4771.5369781774189</v>
      </c>
      <c r="P15" s="143">
        <f t="shared" si="4"/>
        <v>4417.2533730874584</v>
      </c>
      <c r="Q15" s="143">
        <f t="shared" si="4"/>
        <v>3970.9562196937918</v>
      </c>
      <c r="R15" s="143">
        <f t="shared" ref="R15:W15" si="5">SUM(R5:R12)</f>
        <v>3626.2433733002304</v>
      </c>
      <c r="S15" s="143">
        <f t="shared" si="5"/>
        <v>3573.7205721455416</v>
      </c>
      <c r="T15" s="143">
        <f t="shared" si="5"/>
        <v>3564.0448243960068</v>
      </c>
      <c r="U15" s="143">
        <f t="shared" si="5"/>
        <v>3757.7614779273263</v>
      </c>
      <c r="V15" s="143">
        <f t="shared" si="5"/>
        <v>3898.5562671570269</v>
      </c>
      <c r="W15" s="143">
        <f t="shared" si="5"/>
        <v>3965.4915969512967</v>
      </c>
      <c r="X15" s="143">
        <f t="shared" ref="X15:Y15" si="6">SUM(X5:X12)</f>
        <v>3949.644986484635</v>
      </c>
      <c r="Y15" s="143">
        <f t="shared" si="6"/>
        <v>3976.9477812428622</v>
      </c>
      <c r="DA15" s="172"/>
    </row>
    <row r="16" spans="1:105" ht="12.95" customHeight="1" x14ac:dyDescent="0.25">
      <c r="A16" s="129" t="s">
        <v>74</v>
      </c>
      <c r="B16" s="139">
        <f t="shared" ref="B16:Q16" si="7">SUM(B17:B18)</f>
        <v>4095.2960515795025</v>
      </c>
      <c r="C16" s="139">
        <f t="shared" si="7"/>
        <v>5115.2157474805035</v>
      </c>
      <c r="D16" s="139">
        <f t="shared" si="7"/>
        <v>6203.8365052289</v>
      </c>
      <c r="E16" s="139">
        <f t="shared" si="7"/>
        <v>7042.4612357594069</v>
      </c>
      <c r="F16" s="139">
        <f t="shared" si="7"/>
        <v>8101.9749615102992</v>
      </c>
      <c r="G16" s="139">
        <f t="shared" si="7"/>
        <v>9077.9324203050637</v>
      </c>
      <c r="H16" s="139">
        <f t="shared" si="7"/>
        <v>9819.1265948826167</v>
      </c>
      <c r="I16" s="139">
        <f t="shared" si="7"/>
        <v>10551.131639985297</v>
      </c>
      <c r="J16" s="139">
        <f t="shared" si="7"/>
        <v>11305.74428893512</v>
      </c>
      <c r="K16" s="139">
        <f t="shared" si="7"/>
        <v>12121.081156950528</v>
      </c>
      <c r="L16" s="139">
        <f t="shared" si="7"/>
        <v>13082.109702332924</v>
      </c>
      <c r="M16" s="139">
        <f t="shared" si="7"/>
        <v>14019.827136638985</v>
      </c>
      <c r="N16" s="139">
        <f t="shared" si="7"/>
        <v>14533.188966426522</v>
      </c>
      <c r="O16" s="139">
        <f t="shared" si="7"/>
        <v>14777.881296338477</v>
      </c>
      <c r="P16" s="139">
        <f t="shared" si="7"/>
        <v>14786.010838258622</v>
      </c>
      <c r="Q16" s="139">
        <f t="shared" si="7"/>
        <v>14834.221213798986</v>
      </c>
      <c r="R16" s="139">
        <f t="shared" ref="R16:W16" si="8">SUM(R17:R18)</f>
        <v>15116.974015127635</v>
      </c>
      <c r="S16" s="139">
        <f t="shared" si="8"/>
        <v>15473.014460646513</v>
      </c>
      <c r="T16" s="139">
        <f t="shared" si="8"/>
        <v>16028.15469220651</v>
      </c>
      <c r="U16" s="139">
        <f t="shared" si="8"/>
        <v>16672.17325656291</v>
      </c>
      <c r="V16" s="139">
        <f t="shared" si="8"/>
        <v>17157.274523104672</v>
      </c>
      <c r="W16" s="139">
        <f t="shared" si="8"/>
        <v>17172.861954743363</v>
      </c>
      <c r="X16" s="139">
        <f t="shared" ref="X16:Y16" si="9">SUM(X17:X18)</f>
        <v>17537.250526690514</v>
      </c>
      <c r="Y16" s="139">
        <f t="shared" si="9"/>
        <v>17838.596524691435</v>
      </c>
      <c r="DA16" s="169" t="s">
        <v>257</v>
      </c>
    </row>
    <row r="17" spans="1:105" ht="12.95" customHeight="1" x14ac:dyDescent="0.25">
      <c r="A17" s="131" t="s">
        <v>73</v>
      </c>
      <c r="B17" s="140">
        <v>0</v>
      </c>
      <c r="C17" s="140">
        <v>0</v>
      </c>
      <c r="D17" s="140">
        <v>0</v>
      </c>
      <c r="E17" s="140">
        <v>0</v>
      </c>
      <c r="F17" s="140">
        <v>0</v>
      </c>
      <c r="G17" s="140">
        <v>0</v>
      </c>
      <c r="H17" s="140">
        <v>0</v>
      </c>
      <c r="I17" s="140">
        <v>0</v>
      </c>
      <c r="J17" s="140">
        <v>0</v>
      </c>
      <c r="K17" s="140">
        <v>0</v>
      </c>
      <c r="L17" s="140">
        <v>0</v>
      </c>
      <c r="M17" s="140">
        <v>0</v>
      </c>
      <c r="N17" s="140">
        <v>0</v>
      </c>
      <c r="O17" s="140">
        <v>0</v>
      </c>
      <c r="P17" s="140">
        <v>0</v>
      </c>
      <c r="Q17" s="140">
        <v>0</v>
      </c>
      <c r="R17" s="140">
        <v>0</v>
      </c>
      <c r="S17" s="140">
        <v>0</v>
      </c>
      <c r="T17" s="140">
        <v>0</v>
      </c>
      <c r="U17" s="140">
        <v>0</v>
      </c>
      <c r="V17" s="140">
        <v>0</v>
      </c>
      <c r="W17" s="140">
        <v>0</v>
      </c>
      <c r="X17" s="140">
        <v>0</v>
      </c>
      <c r="Y17" s="140">
        <v>0</v>
      </c>
      <c r="DA17" s="170" t="s">
        <v>258</v>
      </c>
    </row>
    <row r="18" spans="1:105" ht="12" customHeight="1" x14ac:dyDescent="0.25">
      <c r="A18" s="131" t="s">
        <v>72</v>
      </c>
      <c r="B18" s="140">
        <v>4095.2960515795025</v>
      </c>
      <c r="C18" s="140">
        <v>5115.2157474805035</v>
      </c>
      <c r="D18" s="140">
        <v>6203.8365052289</v>
      </c>
      <c r="E18" s="140">
        <v>7042.4612357594069</v>
      </c>
      <c r="F18" s="140">
        <v>8101.9749615102992</v>
      </c>
      <c r="G18" s="140">
        <v>9077.9324203050637</v>
      </c>
      <c r="H18" s="140">
        <v>9819.1265948826167</v>
      </c>
      <c r="I18" s="140">
        <v>10551.131639985297</v>
      </c>
      <c r="J18" s="140">
        <v>11305.74428893512</v>
      </c>
      <c r="K18" s="140">
        <v>12121.081156950528</v>
      </c>
      <c r="L18" s="140">
        <v>13082.109702332924</v>
      </c>
      <c r="M18" s="140">
        <v>14019.827136638985</v>
      </c>
      <c r="N18" s="140">
        <v>14533.188966426522</v>
      </c>
      <c r="O18" s="140">
        <v>14777.881296338477</v>
      </c>
      <c r="P18" s="140">
        <v>14786.010838258622</v>
      </c>
      <c r="Q18" s="140">
        <v>14834.221213798986</v>
      </c>
      <c r="R18" s="140">
        <v>15116.974015127635</v>
      </c>
      <c r="S18" s="140">
        <v>15473.014460646513</v>
      </c>
      <c r="T18" s="140">
        <v>16028.15469220651</v>
      </c>
      <c r="U18" s="140">
        <v>16672.17325656291</v>
      </c>
      <c r="V18" s="140">
        <v>17157.274523104672</v>
      </c>
      <c r="W18" s="140">
        <v>17172.861954743363</v>
      </c>
      <c r="X18" s="140">
        <v>17537.250526690514</v>
      </c>
      <c r="Y18" s="140">
        <v>17838.596524691435</v>
      </c>
      <c r="DA18" s="170" t="s">
        <v>259</v>
      </c>
    </row>
    <row r="19" spans="1:105" ht="12.95" customHeight="1" x14ac:dyDescent="0.25">
      <c r="A19" s="129" t="s">
        <v>35</v>
      </c>
      <c r="B19" s="139">
        <f t="shared" ref="B19:Q19" si="10">SUM(B20:B26)</f>
        <v>16275.690969441697</v>
      </c>
      <c r="C19" s="139">
        <f t="shared" si="10"/>
        <v>16602.318428732426</v>
      </c>
      <c r="D19" s="139">
        <f t="shared" si="10"/>
        <v>16839.114908157051</v>
      </c>
      <c r="E19" s="139">
        <f t="shared" si="10"/>
        <v>17121.606030851843</v>
      </c>
      <c r="F19" s="139">
        <f t="shared" si="10"/>
        <v>17501.285824151593</v>
      </c>
      <c r="G19" s="139">
        <f t="shared" si="10"/>
        <v>17896.264895794906</v>
      </c>
      <c r="H19" s="139">
        <f t="shared" si="10"/>
        <v>18274.04658327542</v>
      </c>
      <c r="I19" s="139">
        <f t="shared" si="10"/>
        <v>18742.685921310993</v>
      </c>
      <c r="J19" s="139">
        <f t="shared" si="10"/>
        <v>19206.34688654395</v>
      </c>
      <c r="K19" s="139">
        <f t="shared" si="10"/>
        <v>19830.408461658641</v>
      </c>
      <c r="L19" s="139">
        <f t="shared" si="10"/>
        <v>20510.225734665262</v>
      </c>
      <c r="M19" s="139">
        <f t="shared" si="10"/>
        <v>20983.935494143549</v>
      </c>
      <c r="N19" s="139">
        <f t="shared" si="10"/>
        <v>21473.536037340244</v>
      </c>
      <c r="O19" s="139">
        <f t="shared" si="10"/>
        <v>21481.928376746033</v>
      </c>
      <c r="P19" s="139">
        <f t="shared" si="10"/>
        <v>21263.534772894371</v>
      </c>
      <c r="Q19" s="139">
        <f t="shared" si="10"/>
        <v>21123.16191886962</v>
      </c>
      <c r="R19" s="139">
        <f t="shared" ref="R19:W19" si="11">SUM(R20:R26)</f>
        <v>21299.684710310845</v>
      </c>
      <c r="S19" s="139">
        <f t="shared" si="11"/>
        <v>21597.600117315538</v>
      </c>
      <c r="T19" s="139">
        <f t="shared" si="11"/>
        <v>21894.444918233839</v>
      </c>
      <c r="U19" s="139">
        <f t="shared" si="11"/>
        <v>22183.990637620438</v>
      </c>
      <c r="V19" s="139">
        <f t="shared" si="11"/>
        <v>22434.508888888889</v>
      </c>
      <c r="W19" s="139">
        <f t="shared" si="11"/>
        <v>22675.700517501155</v>
      </c>
      <c r="X19" s="139">
        <f t="shared" ref="X19:Y19" si="12">SUM(X20:X26)</f>
        <v>22907.760184548337</v>
      </c>
      <c r="Y19" s="139">
        <f t="shared" si="12"/>
        <v>23131.123975293092</v>
      </c>
      <c r="DA19" s="169" t="s">
        <v>260</v>
      </c>
    </row>
    <row r="20" spans="1:105" ht="12" customHeight="1" x14ac:dyDescent="0.25">
      <c r="A20" s="131" t="s">
        <v>29</v>
      </c>
      <c r="B20" s="140">
        <v>0</v>
      </c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DA20" s="170" t="s">
        <v>261</v>
      </c>
    </row>
    <row r="21" spans="1:105" s="2" customFormat="1" ht="12" customHeight="1" x14ac:dyDescent="0.25">
      <c r="A21" s="131" t="s">
        <v>52</v>
      </c>
      <c r="B21" s="140">
        <v>0</v>
      </c>
      <c r="C21" s="140">
        <v>0</v>
      </c>
      <c r="D21" s="140">
        <v>0</v>
      </c>
      <c r="E21" s="140">
        <v>0</v>
      </c>
      <c r="F21" s="140">
        <v>0</v>
      </c>
      <c r="G21" s="140">
        <v>0</v>
      </c>
      <c r="H21" s="140">
        <v>4563.5337693459396</v>
      </c>
      <c r="I21" s="140">
        <v>6001.8645087635678</v>
      </c>
      <c r="J21" s="140">
        <v>6792.9494649381268</v>
      </c>
      <c r="K21" s="140">
        <v>6919.0502479572742</v>
      </c>
      <c r="L21" s="140">
        <v>6973.3279143582549</v>
      </c>
      <c r="M21" s="140">
        <v>6784.2266171011916</v>
      </c>
      <c r="N21" s="140">
        <v>6415.1549361990201</v>
      </c>
      <c r="O21" s="140">
        <v>5928.2014259096668</v>
      </c>
      <c r="P21" s="140">
        <v>5279.3026157861123</v>
      </c>
      <c r="Q21" s="140">
        <v>5097.726522314726</v>
      </c>
      <c r="R21" s="140">
        <v>5082.1879171832943</v>
      </c>
      <c r="S21" s="140">
        <v>5140.2568754548074</v>
      </c>
      <c r="T21" s="140">
        <v>5062.2709457505071</v>
      </c>
      <c r="U21" s="140">
        <v>4920.3339174742514</v>
      </c>
      <c r="V21" s="140">
        <v>4437.6076826399603</v>
      </c>
      <c r="W21" s="140">
        <v>4258.5381679923594</v>
      </c>
      <c r="X21" s="140">
        <v>4451.0050436107476</v>
      </c>
      <c r="Y21" s="140">
        <v>4494.826570361517</v>
      </c>
      <c r="DA21" s="170" t="s">
        <v>262</v>
      </c>
    </row>
    <row r="22" spans="1:105" ht="12" customHeight="1" x14ac:dyDescent="0.25">
      <c r="A22" s="131" t="s">
        <v>161</v>
      </c>
      <c r="B22" s="140">
        <v>533.58190064119481</v>
      </c>
      <c r="C22" s="140">
        <v>538.27551345208417</v>
      </c>
      <c r="D22" s="140">
        <v>541.86155550939714</v>
      </c>
      <c r="E22" s="140">
        <v>545.11263060378008</v>
      </c>
      <c r="F22" s="140">
        <v>550.72762407694813</v>
      </c>
      <c r="G22" s="140">
        <v>558.21431061974738</v>
      </c>
      <c r="H22" s="140">
        <v>568.56378030473604</v>
      </c>
      <c r="I22" s="140">
        <v>578.22101235623484</v>
      </c>
      <c r="J22" s="140">
        <v>582.99346330352466</v>
      </c>
      <c r="K22" s="140">
        <v>589.69690317308459</v>
      </c>
      <c r="L22" s="140">
        <v>598.55758519270205</v>
      </c>
      <c r="M22" s="140">
        <v>607.3114178611853</v>
      </c>
      <c r="N22" s="140">
        <v>616.27966275457698</v>
      </c>
      <c r="O22" s="140">
        <v>621.15895459432556</v>
      </c>
      <c r="P22" s="140">
        <v>628.02462556332262</v>
      </c>
      <c r="Q22" s="140">
        <v>635.91377166398411</v>
      </c>
      <c r="R22" s="140">
        <v>650.08913044478925</v>
      </c>
      <c r="S22" s="140">
        <v>671.55329582049774</v>
      </c>
      <c r="T22" s="140">
        <v>696.20245085302156</v>
      </c>
      <c r="U22" s="140">
        <v>727.10932655959493</v>
      </c>
      <c r="V22" s="140">
        <v>735.51135018616446</v>
      </c>
      <c r="W22" s="140">
        <v>744.94536445882875</v>
      </c>
      <c r="X22" s="140">
        <v>766.46298739789813</v>
      </c>
      <c r="Y22" s="140">
        <v>772.22581866347707</v>
      </c>
      <c r="DA22" s="170" t="s">
        <v>263</v>
      </c>
    </row>
    <row r="23" spans="1:105" ht="12" customHeight="1" x14ac:dyDescent="0.25">
      <c r="A23" s="131" t="s">
        <v>149</v>
      </c>
      <c r="B23" s="140">
        <v>0</v>
      </c>
      <c r="C23" s="140">
        <v>0</v>
      </c>
      <c r="D23" s="140">
        <v>0</v>
      </c>
      <c r="E23" s="140">
        <v>0</v>
      </c>
      <c r="F23" s="140">
        <v>0</v>
      </c>
      <c r="G23" s="140">
        <v>0</v>
      </c>
      <c r="H23" s="140">
        <v>0</v>
      </c>
      <c r="I23" s="140">
        <v>0</v>
      </c>
      <c r="J23" s="140">
        <v>0</v>
      </c>
      <c r="K23" s="140">
        <v>0</v>
      </c>
      <c r="L23" s="140">
        <v>0</v>
      </c>
      <c r="M23" s="140">
        <v>0</v>
      </c>
      <c r="N23" s="140">
        <v>0</v>
      </c>
      <c r="O23" s="140">
        <v>0</v>
      </c>
      <c r="P23" s="140">
        <v>0</v>
      </c>
      <c r="Q23" s="140">
        <v>0</v>
      </c>
      <c r="R23" s="140">
        <v>0</v>
      </c>
      <c r="S23" s="140">
        <v>0</v>
      </c>
      <c r="T23" s="140">
        <v>0</v>
      </c>
      <c r="U23" s="140">
        <v>0</v>
      </c>
      <c r="V23" s="140">
        <v>0</v>
      </c>
      <c r="W23" s="140">
        <v>0</v>
      </c>
      <c r="X23" s="140">
        <v>0</v>
      </c>
      <c r="Y23" s="140">
        <v>0</v>
      </c>
      <c r="DA23" s="170" t="s">
        <v>264</v>
      </c>
    </row>
    <row r="24" spans="1:105" ht="12" customHeight="1" x14ac:dyDescent="0.25">
      <c r="A24" s="131" t="s">
        <v>128</v>
      </c>
      <c r="B24" s="140">
        <v>0</v>
      </c>
      <c r="C24" s="140"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0</v>
      </c>
      <c r="O24" s="140">
        <v>0</v>
      </c>
      <c r="P24" s="140">
        <v>0</v>
      </c>
      <c r="Q24" s="140">
        <v>0</v>
      </c>
      <c r="R24" s="140">
        <v>0</v>
      </c>
      <c r="S24" s="140">
        <v>0</v>
      </c>
      <c r="T24" s="140">
        <v>0</v>
      </c>
      <c r="U24" s="140">
        <v>0</v>
      </c>
      <c r="V24" s="140">
        <v>0</v>
      </c>
      <c r="W24" s="140">
        <v>0</v>
      </c>
      <c r="X24" s="140">
        <v>0</v>
      </c>
      <c r="Y24" s="140">
        <v>0</v>
      </c>
      <c r="DA24" s="170" t="s">
        <v>265</v>
      </c>
    </row>
    <row r="25" spans="1:105" ht="12" customHeight="1" x14ac:dyDescent="0.25">
      <c r="A25" s="131" t="s">
        <v>162</v>
      </c>
      <c r="B25" s="140">
        <v>0</v>
      </c>
      <c r="C25" s="140">
        <v>0</v>
      </c>
      <c r="D25" s="140">
        <v>0</v>
      </c>
      <c r="E25" s="140">
        <v>0</v>
      </c>
      <c r="F25" s="140">
        <v>0</v>
      </c>
      <c r="G25" s="140">
        <v>0</v>
      </c>
      <c r="H25" s="140">
        <v>0</v>
      </c>
      <c r="I25" s="140">
        <v>0</v>
      </c>
      <c r="J25" s="140">
        <v>0</v>
      </c>
      <c r="K25" s="140">
        <v>0</v>
      </c>
      <c r="L25" s="140">
        <v>0</v>
      </c>
      <c r="M25" s="140">
        <v>0</v>
      </c>
      <c r="N25" s="140">
        <v>0</v>
      </c>
      <c r="O25" s="140">
        <v>0</v>
      </c>
      <c r="P25" s="140">
        <v>0</v>
      </c>
      <c r="Q25" s="140">
        <v>0</v>
      </c>
      <c r="R25" s="140">
        <v>0</v>
      </c>
      <c r="S25" s="140">
        <v>0</v>
      </c>
      <c r="T25" s="140">
        <v>0</v>
      </c>
      <c r="U25" s="140">
        <v>0</v>
      </c>
      <c r="V25" s="140">
        <v>0</v>
      </c>
      <c r="W25" s="140">
        <v>0</v>
      </c>
      <c r="X25" s="140">
        <v>0</v>
      </c>
      <c r="Y25" s="140">
        <v>0</v>
      </c>
      <c r="DA25" s="170" t="s">
        <v>266</v>
      </c>
    </row>
    <row r="26" spans="1:105" ht="12" customHeight="1" x14ac:dyDescent="0.25">
      <c r="A26" s="131" t="s">
        <v>24</v>
      </c>
      <c r="B26" s="141">
        <v>15742.109068800502</v>
      </c>
      <c r="C26" s="141">
        <v>16064.042915280343</v>
      </c>
      <c r="D26" s="141">
        <v>16297.253352647655</v>
      </c>
      <c r="E26" s="141">
        <v>16576.493400248062</v>
      </c>
      <c r="F26" s="141">
        <v>16950.558200074644</v>
      </c>
      <c r="G26" s="141">
        <v>17338.050585175159</v>
      </c>
      <c r="H26" s="141">
        <v>13141.949033624744</v>
      </c>
      <c r="I26" s="141">
        <v>12162.60040019119</v>
      </c>
      <c r="J26" s="141">
        <v>11830.403958302299</v>
      </c>
      <c r="K26" s="141">
        <v>12321.661310528281</v>
      </c>
      <c r="L26" s="141">
        <v>12938.340235114305</v>
      </c>
      <c r="M26" s="141">
        <v>13592.397459181173</v>
      </c>
      <c r="N26" s="141">
        <v>14442.101438386646</v>
      </c>
      <c r="O26" s="141">
        <v>14932.567996242042</v>
      </c>
      <c r="P26" s="141">
        <v>15356.207531544935</v>
      </c>
      <c r="Q26" s="141">
        <v>15389.521624890911</v>
      </c>
      <c r="R26" s="141">
        <v>15567.407662682761</v>
      </c>
      <c r="S26" s="141">
        <v>15785.789946040231</v>
      </c>
      <c r="T26" s="141">
        <v>16135.97152163031</v>
      </c>
      <c r="U26" s="141">
        <v>16536.547393586592</v>
      </c>
      <c r="V26" s="141">
        <v>17261.389856062764</v>
      </c>
      <c r="W26" s="141">
        <v>17672.216985049967</v>
      </c>
      <c r="X26" s="141">
        <v>17690.292153539693</v>
      </c>
      <c r="Y26" s="141">
        <v>17864.071586268099</v>
      </c>
      <c r="DA26" s="171" t="s">
        <v>267</v>
      </c>
    </row>
    <row r="27" spans="1:105" ht="12" customHeight="1" x14ac:dyDescent="0.25">
      <c r="A27" s="144" t="s">
        <v>26</v>
      </c>
      <c r="B27" s="150">
        <v>6064.2375578792999</v>
      </c>
      <c r="C27" s="150">
        <v>5851.7083787896245</v>
      </c>
      <c r="D27" s="150">
        <v>6469.0262769872907</v>
      </c>
      <c r="E27" s="150">
        <v>7104.025606096815</v>
      </c>
      <c r="F27" s="150">
        <v>7688.7725493580629</v>
      </c>
      <c r="G27" s="150">
        <v>8531.9717648476471</v>
      </c>
      <c r="H27" s="150">
        <v>8502.215188655322</v>
      </c>
      <c r="I27" s="150">
        <v>9591.8165979896494</v>
      </c>
      <c r="J27" s="150">
        <v>10103.006345094425</v>
      </c>
      <c r="K27" s="150">
        <v>10859.09895395346</v>
      </c>
      <c r="L27" s="150">
        <v>11164.086798982073</v>
      </c>
      <c r="M27" s="150">
        <v>11569.1185162079</v>
      </c>
      <c r="N27" s="150">
        <v>11261.738455638169</v>
      </c>
      <c r="O27" s="150">
        <v>10281.460326696406</v>
      </c>
      <c r="P27" s="150">
        <v>10278.501169128671</v>
      </c>
      <c r="Q27" s="150">
        <v>10578.234270269126</v>
      </c>
      <c r="R27" s="150">
        <v>11045.715384950274</v>
      </c>
      <c r="S27" s="150">
        <v>11929.437115165199</v>
      </c>
      <c r="T27" s="150">
        <v>11937.472630848844</v>
      </c>
      <c r="U27" s="150">
        <v>12067.405908538301</v>
      </c>
      <c r="V27" s="150">
        <v>13242.578319100643</v>
      </c>
      <c r="W27" s="150">
        <v>13099.516381799236</v>
      </c>
      <c r="X27" s="150">
        <v>9920.7877106873766</v>
      </c>
      <c r="Y27" s="150">
        <v>9139.6949348449616</v>
      </c>
      <c r="DA27" s="173" t="s">
        <v>268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DA28" s="175"/>
    </row>
    <row r="29" spans="1:105" ht="12.95" customHeight="1" x14ac:dyDescent="0.25">
      <c r="A29" s="129" t="s">
        <v>34</v>
      </c>
      <c r="B29" s="139">
        <f t="shared" ref="B29:Q29" si="13">SUM(B30:B33)</f>
        <v>16275.690969441697</v>
      </c>
      <c r="C29" s="139">
        <f t="shared" si="13"/>
        <v>16602.318428732429</v>
      </c>
      <c r="D29" s="139">
        <f t="shared" si="13"/>
        <v>16839.114908157051</v>
      </c>
      <c r="E29" s="139">
        <f t="shared" si="13"/>
        <v>17121.606030851843</v>
      </c>
      <c r="F29" s="139">
        <f t="shared" si="13"/>
        <v>17501.285824151593</v>
      </c>
      <c r="G29" s="139">
        <f t="shared" si="13"/>
        <v>17896.264895794902</v>
      </c>
      <c r="H29" s="139">
        <f t="shared" si="13"/>
        <v>18274.04658327542</v>
      </c>
      <c r="I29" s="139">
        <f t="shared" si="13"/>
        <v>18742.685921310989</v>
      </c>
      <c r="J29" s="139">
        <f t="shared" si="13"/>
        <v>19206.346886543943</v>
      </c>
      <c r="K29" s="139">
        <f t="shared" si="13"/>
        <v>19830.40846165863</v>
      </c>
      <c r="L29" s="139">
        <f t="shared" si="13"/>
        <v>20510.225734665255</v>
      </c>
      <c r="M29" s="139">
        <f t="shared" si="13"/>
        <v>20983.935494143545</v>
      </c>
      <c r="N29" s="139">
        <f t="shared" si="13"/>
        <v>21473.536037340229</v>
      </c>
      <c r="O29" s="139">
        <f t="shared" si="13"/>
        <v>21481.92837674604</v>
      </c>
      <c r="P29" s="139">
        <f t="shared" si="13"/>
        <v>21263.534772894374</v>
      </c>
      <c r="Q29" s="139">
        <f t="shared" si="13"/>
        <v>21123.16191886962</v>
      </c>
      <c r="R29" s="139">
        <f t="shared" ref="R29:W29" si="14">SUM(R30:R33)</f>
        <v>21299.684710310848</v>
      </c>
      <c r="S29" s="139">
        <f t="shared" si="14"/>
        <v>21597.600117315535</v>
      </c>
      <c r="T29" s="139">
        <f t="shared" si="14"/>
        <v>21894.444918233843</v>
      </c>
      <c r="U29" s="139">
        <f t="shared" si="14"/>
        <v>22183.990637620449</v>
      </c>
      <c r="V29" s="139">
        <f t="shared" si="14"/>
        <v>22434.508888888893</v>
      </c>
      <c r="W29" s="139">
        <f t="shared" si="14"/>
        <v>22675.700517501155</v>
      </c>
      <c r="X29" s="139">
        <f t="shared" ref="X29:Y29" si="15">SUM(X30:X33)</f>
        <v>22907.760184548315</v>
      </c>
      <c r="Y29" s="139">
        <f t="shared" si="15"/>
        <v>23131.123975293092</v>
      </c>
      <c r="DA29" s="169" t="s">
        <v>269</v>
      </c>
    </row>
    <row r="30" spans="1:105" ht="12" customHeight="1" x14ac:dyDescent="0.25">
      <c r="A30" s="131" t="s">
        <v>52</v>
      </c>
      <c r="B30" s="140">
        <v>0</v>
      </c>
      <c r="C30" s="140">
        <v>0</v>
      </c>
      <c r="D30" s="140">
        <v>0</v>
      </c>
      <c r="E30" s="140">
        <v>0</v>
      </c>
      <c r="F30" s="140">
        <v>0</v>
      </c>
      <c r="G30" s="140">
        <v>0</v>
      </c>
      <c r="H30" s="140">
        <v>2474.5707941209575</v>
      </c>
      <c r="I30" s="140">
        <v>3184.0094884295859</v>
      </c>
      <c r="J30" s="140">
        <v>3587.3586548824378</v>
      </c>
      <c r="K30" s="140">
        <v>3483.9768837786482</v>
      </c>
      <c r="L30" s="140">
        <v>3572.3025450874293</v>
      </c>
      <c r="M30" s="140">
        <v>3896.1783995405258</v>
      </c>
      <c r="N30" s="140">
        <v>4075.3275008957253</v>
      </c>
      <c r="O30" s="140">
        <v>4064.9142940160614</v>
      </c>
      <c r="P30" s="140">
        <v>3918.4823503565717</v>
      </c>
      <c r="Q30" s="140">
        <v>4234.4715565560218</v>
      </c>
      <c r="R30" s="140">
        <v>4668.8661952851598</v>
      </c>
      <c r="S30" s="140">
        <v>5621.7241419625434</v>
      </c>
      <c r="T30" s="140">
        <v>5726.9862277162747</v>
      </c>
      <c r="U30" s="140">
        <v>5664.1477924413448</v>
      </c>
      <c r="V30" s="140">
        <v>5754.0459600154563</v>
      </c>
      <c r="W30" s="140">
        <v>5699.5733284967064</v>
      </c>
      <c r="X30" s="140">
        <v>5349.9357015217774</v>
      </c>
      <c r="Y30" s="140">
        <v>5091.3119846681093</v>
      </c>
      <c r="DA30" s="170" t="s">
        <v>270</v>
      </c>
    </row>
    <row r="31" spans="1:105" ht="12" customHeight="1" x14ac:dyDescent="0.25">
      <c r="A31" s="131" t="s">
        <v>149</v>
      </c>
      <c r="B31" s="140">
        <v>0</v>
      </c>
      <c r="C31" s="140">
        <v>0</v>
      </c>
      <c r="D31" s="140">
        <v>0</v>
      </c>
      <c r="E31" s="140">
        <v>0</v>
      </c>
      <c r="F31" s="140">
        <v>0</v>
      </c>
      <c r="G31" s="140">
        <v>0</v>
      </c>
      <c r="H31" s="140">
        <v>0</v>
      </c>
      <c r="I31" s="140">
        <v>0</v>
      </c>
      <c r="J31" s="140">
        <v>0</v>
      </c>
      <c r="K31" s="140">
        <v>0</v>
      </c>
      <c r="L31" s="140">
        <v>0</v>
      </c>
      <c r="M31" s="140">
        <v>0</v>
      </c>
      <c r="N31" s="140">
        <v>0</v>
      </c>
      <c r="O31" s="140">
        <v>0</v>
      </c>
      <c r="P31" s="140">
        <v>0</v>
      </c>
      <c r="Q31" s="140">
        <v>0</v>
      </c>
      <c r="R31" s="140">
        <v>0</v>
      </c>
      <c r="S31" s="140">
        <v>0</v>
      </c>
      <c r="T31" s="140">
        <v>0</v>
      </c>
      <c r="U31" s="140">
        <v>0</v>
      </c>
      <c r="V31" s="140">
        <v>0</v>
      </c>
      <c r="W31" s="140">
        <v>0</v>
      </c>
      <c r="X31" s="140">
        <v>0</v>
      </c>
      <c r="Y31" s="140">
        <v>0</v>
      </c>
      <c r="DA31" s="170" t="s">
        <v>271</v>
      </c>
    </row>
    <row r="32" spans="1:105" ht="12" customHeight="1" x14ac:dyDescent="0.25">
      <c r="A32" s="131" t="s">
        <v>128</v>
      </c>
      <c r="B32" s="140">
        <v>1028.3862038227496</v>
      </c>
      <c r="C32" s="140">
        <v>1134.2953156726173</v>
      </c>
      <c r="D32" s="140">
        <v>1342.5610740937984</v>
      </c>
      <c r="E32" s="140">
        <v>1511.7060406671958</v>
      </c>
      <c r="F32" s="140">
        <v>1728.4612767812223</v>
      </c>
      <c r="G32" s="140">
        <v>2014.6796266018864</v>
      </c>
      <c r="H32" s="140">
        <v>2272.3680519961108</v>
      </c>
      <c r="I32" s="140">
        <v>2626.1622940415969</v>
      </c>
      <c r="J32" s="140">
        <v>2774.1697754692605</v>
      </c>
      <c r="K32" s="140">
        <v>2849.2592084815892</v>
      </c>
      <c r="L32" s="140">
        <v>2860.9892693195293</v>
      </c>
      <c r="M32" s="140">
        <v>2876.5044032063238</v>
      </c>
      <c r="N32" s="140">
        <v>2891.3955621216869</v>
      </c>
      <c r="O32" s="140">
        <v>2898.1146766499592</v>
      </c>
      <c r="P32" s="140">
        <v>2877.8349501351522</v>
      </c>
      <c r="Q32" s="140">
        <v>2848.639449474701</v>
      </c>
      <c r="R32" s="140">
        <v>2839.5990242532321</v>
      </c>
      <c r="S32" s="140">
        <v>2915.8813331321735</v>
      </c>
      <c r="T32" s="140">
        <v>3098.2653597575718</v>
      </c>
      <c r="U32" s="140">
        <v>3100.7373951645668</v>
      </c>
      <c r="V32" s="140">
        <v>3125.6061526861185</v>
      </c>
      <c r="W32" s="140">
        <v>2906.8162844236176</v>
      </c>
      <c r="X32" s="140">
        <v>2535.4529310609437</v>
      </c>
      <c r="Y32" s="140">
        <v>2408.5747359883444</v>
      </c>
      <c r="DA32" s="170" t="s">
        <v>272</v>
      </c>
    </row>
    <row r="33" spans="1:105" ht="12" customHeight="1" x14ac:dyDescent="0.25">
      <c r="A33" s="62" t="s">
        <v>24</v>
      </c>
      <c r="B33" s="152">
        <v>15247.304765618948</v>
      </c>
      <c r="C33" s="152">
        <v>15468.023113059811</v>
      </c>
      <c r="D33" s="152">
        <v>15496.553834063252</v>
      </c>
      <c r="E33" s="152">
        <v>15609.899990184646</v>
      </c>
      <c r="F33" s="152">
        <v>15772.82454737037</v>
      </c>
      <c r="G33" s="152">
        <v>15881.585269193016</v>
      </c>
      <c r="H33" s="152">
        <v>13527.107737158352</v>
      </c>
      <c r="I33" s="152">
        <v>12932.514138839806</v>
      </c>
      <c r="J33" s="152">
        <v>12844.818456192246</v>
      </c>
      <c r="K33" s="152">
        <v>13497.172369398393</v>
      </c>
      <c r="L33" s="152">
        <v>14076.933920258298</v>
      </c>
      <c r="M33" s="152">
        <v>14211.252691396694</v>
      </c>
      <c r="N33" s="152">
        <v>14506.812974322815</v>
      </c>
      <c r="O33" s="152">
        <v>14518.89940608002</v>
      </c>
      <c r="P33" s="152">
        <v>14467.21747240265</v>
      </c>
      <c r="Q33" s="152">
        <v>14040.050912838897</v>
      </c>
      <c r="R33" s="152">
        <v>13791.219490772457</v>
      </c>
      <c r="S33" s="152">
        <v>13059.994642220818</v>
      </c>
      <c r="T33" s="152">
        <v>13069.193330759996</v>
      </c>
      <c r="U33" s="152">
        <v>13419.105450014536</v>
      </c>
      <c r="V33" s="152">
        <v>13554.856776187318</v>
      </c>
      <c r="W33" s="152">
        <v>14069.310904580831</v>
      </c>
      <c r="X33" s="152">
        <v>15022.371551965594</v>
      </c>
      <c r="Y33" s="152">
        <v>15631.237254636639</v>
      </c>
      <c r="DA33" s="175" t="s">
        <v>273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Y15 B19:Y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>
        <f t="shared" ref="B3:Q3" si="0">SUM(B4,B16,B19,B29)</f>
        <v>97.062601842614114</v>
      </c>
      <c r="C3" s="125">
        <f t="shared" si="0"/>
        <v>105.68799814844053</v>
      </c>
      <c r="D3" s="125">
        <f t="shared" si="0"/>
        <v>114.303600489706</v>
      </c>
      <c r="E3" s="125">
        <f t="shared" si="0"/>
        <v>119.12421567553906</v>
      </c>
      <c r="F3" s="125">
        <f t="shared" si="0"/>
        <v>119.94611644682276</v>
      </c>
      <c r="G3" s="125">
        <f t="shared" si="0"/>
        <v>124.875254960139</v>
      </c>
      <c r="H3" s="125">
        <f t="shared" si="0"/>
        <v>151.02901568716356</v>
      </c>
      <c r="I3" s="125">
        <f t="shared" si="0"/>
        <v>158.55646001592837</v>
      </c>
      <c r="J3" s="125">
        <f t="shared" si="0"/>
        <v>178.73046826811245</v>
      </c>
      <c r="K3" s="125">
        <f t="shared" si="0"/>
        <v>179.34285113620436</v>
      </c>
      <c r="L3" s="125">
        <f t="shared" si="0"/>
        <v>190.55274634767045</v>
      </c>
      <c r="M3" s="125">
        <f t="shared" si="0"/>
        <v>182.5927274432691</v>
      </c>
      <c r="N3" s="125">
        <f t="shared" si="0"/>
        <v>159.02384650050647</v>
      </c>
      <c r="O3" s="125">
        <f t="shared" si="0"/>
        <v>138.60104126793166</v>
      </c>
      <c r="P3" s="125">
        <f t="shared" si="0"/>
        <v>139.60298919582206</v>
      </c>
      <c r="Q3" s="125">
        <f t="shared" si="0"/>
        <v>141.96375099342609</v>
      </c>
      <c r="R3" s="125">
        <f t="shared" ref="R3:W3" si="1">SUM(R4,R16,R19,R29)</f>
        <v>155.30899740737797</v>
      </c>
      <c r="S3" s="125">
        <f t="shared" si="1"/>
        <v>165.83017652611832</v>
      </c>
      <c r="T3" s="125">
        <f t="shared" si="1"/>
        <v>172.30169722880038</v>
      </c>
      <c r="U3" s="125">
        <f t="shared" si="1"/>
        <v>182.69820519107537</v>
      </c>
      <c r="V3" s="125">
        <f t="shared" si="1"/>
        <v>146.85512014004709</v>
      </c>
      <c r="W3" s="125">
        <f t="shared" si="1"/>
        <v>164.47151747739656</v>
      </c>
      <c r="X3" s="125">
        <f t="shared" ref="X3:Y3" si="2">SUM(X4,X16,X19,X29)</f>
        <v>189.96758319301802</v>
      </c>
      <c r="Y3" s="125">
        <f t="shared" si="2"/>
        <v>194.72176130934733</v>
      </c>
      <c r="DA3" s="154" t="s">
        <v>213</v>
      </c>
    </row>
    <row r="4" spans="1:105" ht="12.95" customHeight="1" x14ac:dyDescent="0.25">
      <c r="A4" s="129" t="s">
        <v>32</v>
      </c>
      <c r="B4" s="130">
        <f t="shared" ref="B4:Q4" si="3">SUM(B5:B15)</f>
        <v>32.254551704019704</v>
      </c>
      <c r="C4" s="130">
        <f t="shared" si="3"/>
        <v>40.01356366581949</v>
      </c>
      <c r="D4" s="130">
        <f t="shared" si="3"/>
        <v>46.239346887957112</v>
      </c>
      <c r="E4" s="130">
        <f t="shared" si="3"/>
        <v>47.205199983009081</v>
      </c>
      <c r="F4" s="130">
        <f t="shared" si="3"/>
        <v>48.984884269309561</v>
      </c>
      <c r="G4" s="130">
        <f t="shared" si="3"/>
        <v>52.80798638554316</v>
      </c>
      <c r="H4" s="130">
        <f t="shared" si="3"/>
        <v>74.484314927358994</v>
      </c>
      <c r="I4" s="130">
        <f t="shared" si="3"/>
        <v>77.723090823703828</v>
      </c>
      <c r="J4" s="130">
        <f t="shared" si="3"/>
        <v>94.814971329174995</v>
      </c>
      <c r="K4" s="130">
        <f t="shared" si="3"/>
        <v>94.190101232808175</v>
      </c>
      <c r="L4" s="130">
        <f t="shared" si="3"/>
        <v>101.75361663652575</v>
      </c>
      <c r="M4" s="130">
        <f t="shared" si="3"/>
        <v>95.865627246394013</v>
      </c>
      <c r="N4" s="130">
        <f t="shared" si="3"/>
        <v>65.28889303297683</v>
      </c>
      <c r="O4" s="130">
        <f t="shared" si="3"/>
        <v>51.510374861559754</v>
      </c>
      <c r="P4" s="130">
        <f t="shared" si="3"/>
        <v>56.965919910144912</v>
      </c>
      <c r="Q4" s="130">
        <f t="shared" si="3"/>
        <v>58.042557042808269</v>
      </c>
      <c r="R4" s="130">
        <f t="shared" ref="R4:W4" si="4">SUM(R5:R15)</f>
        <v>67.565209358883934</v>
      </c>
      <c r="S4" s="130">
        <f t="shared" si="4"/>
        <v>79.186279220145394</v>
      </c>
      <c r="T4" s="130">
        <f t="shared" si="4"/>
        <v>77.325028729384883</v>
      </c>
      <c r="U4" s="130">
        <f t="shared" si="4"/>
        <v>92.058165842225534</v>
      </c>
      <c r="V4" s="130">
        <f t="shared" si="4"/>
        <v>60.406087991383679</v>
      </c>
      <c r="W4" s="130">
        <f t="shared" si="4"/>
        <v>81.003428516893806</v>
      </c>
      <c r="X4" s="130">
        <f t="shared" ref="X4:Y4" si="5">SUM(X5:X15)</f>
        <v>103.44447742972623</v>
      </c>
      <c r="Y4" s="130">
        <f t="shared" si="5"/>
        <v>101.56880739692156</v>
      </c>
      <c r="DA4" s="155" t="s">
        <v>214</v>
      </c>
    </row>
    <row r="5" spans="1:105" ht="12" customHeight="1" x14ac:dyDescent="0.25">
      <c r="A5" s="131" t="s">
        <v>29</v>
      </c>
      <c r="B5" s="132">
        <v>0</v>
      </c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275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276</v>
      </c>
    </row>
    <row r="7" spans="1:105" ht="12" customHeight="1" x14ac:dyDescent="0.25">
      <c r="A7" s="131" t="s">
        <v>161</v>
      </c>
      <c r="B7" s="132">
        <v>24.878464121692144</v>
      </c>
      <c r="C7" s="132">
        <v>25.144122141639922</v>
      </c>
      <c r="D7" s="132">
        <v>24.049493471956342</v>
      </c>
      <c r="E7" s="132">
        <v>24.741742185011582</v>
      </c>
      <c r="F7" s="132">
        <v>22.142150297737214</v>
      </c>
      <c r="G7" s="132">
        <v>21.193589111604048</v>
      </c>
      <c r="H7" s="132">
        <v>24.360984973804371</v>
      </c>
      <c r="I7" s="132">
        <v>25.409194103034416</v>
      </c>
      <c r="J7" s="132">
        <v>34.667208333070043</v>
      </c>
      <c r="K7" s="132">
        <v>26.468511839619346</v>
      </c>
      <c r="L7" s="132">
        <v>30.596729042573241</v>
      </c>
      <c r="M7" s="132">
        <v>29.573878835287559</v>
      </c>
      <c r="N7" s="132">
        <v>25.295090314370981</v>
      </c>
      <c r="O7" s="132">
        <v>27.304774511613029</v>
      </c>
      <c r="P7" s="132">
        <v>26.388347494958943</v>
      </c>
      <c r="Q7" s="132">
        <v>22.34709837545579</v>
      </c>
      <c r="R7" s="132">
        <v>21.282609862029865</v>
      </c>
      <c r="S7" s="132">
        <v>25.323036248021651</v>
      </c>
      <c r="T7" s="132">
        <v>23.678958562903958</v>
      </c>
      <c r="U7" s="132">
        <v>30.025473685531807</v>
      </c>
      <c r="V7" s="132">
        <v>24.494761668988591</v>
      </c>
      <c r="W7" s="132">
        <v>27.588190523590402</v>
      </c>
      <c r="X7" s="132">
        <v>30.464574969755279</v>
      </c>
      <c r="Y7" s="132">
        <v>31.082419382574574</v>
      </c>
      <c r="DA7" s="156" t="s">
        <v>277</v>
      </c>
    </row>
    <row r="8" spans="1:105" ht="12" customHeight="1" x14ac:dyDescent="0.25">
      <c r="A8" s="131" t="s">
        <v>73</v>
      </c>
      <c r="B8" s="132">
        <v>0</v>
      </c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278</v>
      </c>
    </row>
    <row r="9" spans="1:105" ht="12" customHeight="1" x14ac:dyDescent="0.25">
      <c r="A9" s="131" t="s">
        <v>78</v>
      </c>
      <c r="B9" s="132">
        <v>0</v>
      </c>
      <c r="C9" s="132">
        <v>0</v>
      </c>
      <c r="D9" s="132">
        <v>0</v>
      </c>
      <c r="E9" s="132">
        <v>0</v>
      </c>
      <c r="F9" s="132">
        <v>0</v>
      </c>
      <c r="G9" s="132">
        <v>0</v>
      </c>
      <c r="H9" s="132">
        <v>0</v>
      </c>
      <c r="I9" s="132">
        <v>0</v>
      </c>
      <c r="J9" s="132">
        <v>0</v>
      </c>
      <c r="K9" s="132">
        <v>0.26276870163370591</v>
      </c>
      <c r="L9" s="132">
        <v>0.28658641444539984</v>
      </c>
      <c r="M9" s="132">
        <v>0.26276870163370597</v>
      </c>
      <c r="N9" s="132">
        <v>0.26276870163370597</v>
      </c>
      <c r="O9" s="132">
        <v>0.26276870163370608</v>
      </c>
      <c r="P9" s="132">
        <v>0.28658641444539984</v>
      </c>
      <c r="Q9" s="132">
        <v>0.28658641444539995</v>
      </c>
      <c r="R9" s="132">
        <v>0.38211521926053299</v>
      </c>
      <c r="S9" s="132">
        <v>0.40103181427343082</v>
      </c>
      <c r="T9" s="132">
        <v>1.0655202063628544</v>
      </c>
      <c r="U9" s="132">
        <v>1.2809974204643162</v>
      </c>
      <c r="V9" s="132">
        <v>0.48177128116938944</v>
      </c>
      <c r="W9" s="132">
        <v>0.56414445399828028</v>
      </c>
      <c r="X9" s="132">
        <v>0.65468615649183093</v>
      </c>
      <c r="Y9" s="132">
        <v>0.88564058469475415</v>
      </c>
      <c r="DA9" s="156" t="s">
        <v>279</v>
      </c>
    </row>
    <row r="10" spans="1:105" ht="12" customHeight="1" x14ac:dyDescent="0.25">
      <c r="A10" s="131" t="s">
        <v>128</v>
      </c>
      <c r="B10" s="132">
        <v>0</v>
      </c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0.33439380911436078</v>
      </c>
      <c r="J10" s="132">
        <v>1.3852966466036107</v>
      </c>
      <c r="K10" s="132">
        <v>1.6145829750644876</v>
      </c>
      <c r="L10" s="132">
        <v>0.46815133276010368</v>
      </c>
      <c r="M10" s="132">
        <v>0.83599312123817759</v>
      </c>
      <c r="N10" s="132">
        <v>1.2540498710232169</v>
      </c>
      <c r="O10" s="132">
        <v>1.145967325881341</v>
      </c>
      <c r="P10" s="132">
        <v>1.0653138435081702</v>
      </c>
      <c r="Q10" s="132">
        <v>2.9912295786758394</v>
      </c>
      <c r="R10" s="132">
        <v>2.2461736887360302</v>
      </c>
      <c r="S10" s="132">
        <v>3.1074806534823702</v>
      </c>
      <c r="T10" s="132">
        <v>1.7008598452278625</v>
      </c>
      <c r="U10" s="132">
        <v>1.0268348104044709</v>
      </c>
      <c r="V10" s="132">
        <v>0.93514786576813991</v>
      </c>
      <c r="W10" s="132">
        <v>3.0187446259673294</v>
      </c>
      <c r="X10" s="132">
        <v>3.9721410146173639</v>
      </c>
      <c r="Y10" s="132">
        <v>2.5419604471195116</v>
      </c>
      <c r="DA10" s="156" t="s">
        <v>280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281</v>
      </c>
    </row>
    <row r="12" spans="1:105" ht="12" customHeight="1" x14ac:dyDescent="0.25">
      <c r="A12" s="131" t="s">
        <v>162</v>
      </c>
      <c r="B12" s="132">
        <v>0</v>
      </c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282</v>
      </c>
    </row>
    <row r="13" spans="1:105" ht="12" customHeight="1" x14ac:dyDescent="0.25">
      <c r="A13" s="131" t="s">
        <v>77</v>
      </c>
      <c r="B13" s="132">
        <v>0.21128932158368505</v>
      </c>
      <c r="C13" s="132">
        <v>0.65728557037528779</v>
      </c>
      <c r="D13" s="132">
        <v>1.0669530657816018</v>
      </c>
      <c r="E13" s="132">
        <v>1.4957272045078731</v>
      </c>
      <c r="F13" s="132">
        <v>2.0953407250180152</v>
      </c>
      <c r="G13" s="132">
        <v>2.8800130115587024</v>
      </c>
      <c r="H13" s="132">
        <v>3.4237306229790829</v>
      </c>
      <c r="I13" s="132">
        <v>4.0105399922913509</v>
      </c>
      <c r="J13" s="132">
        <v>4.3142447866343216</v>
      </c>
      <c r="K13" s="132">
        <v>5.2383263203294428</v>
      </c>
      <c r="L13" s="132">
        <v>5.5215496936802202</v>
      </c>
      <c r="M13" s="132">
        <v>6.5726023693279485</v>
      </c>
      <c r="N13" s="132">
        <v>9.4037069221237726</v>
      </c>
      <c r="O13" s="132">
        <v>16.994000048207564</v>
      </c>
      <c r="P13" s="132">
        <v>16.840125883354414</v>
      </c>
      <c r="Q13" s="132">
        <v>18.358156310293161</v>
      </c>
      <c r="R13" s="132">
        <v>17.874159122708441</v>
      </c>
      <c r="S13" s="132">
        <v>18.120564707839172</v>
      </c>
      <c r="T13" s="132">
        <v>18.444070920815999</v>
      </c>
      <c r="U13" s="132">
        <v>18.816472773359017</v>
      </c>
      <c r="V13" s="132">
        <v>17.005930026526347</v>
      </c>
      <c r="W13" s="132">
        <v>17.04305896713047</v>
      </c>
      <c r="X13" s="132">
        <v>17.545126064163348</v>
      </c>
      <c r="Y13" s="132">
        <v>17.119063237145664</v>
      </c>
      <c r="DA13" s="156" t="s">
        <v>283</v>
      </c>
    </row>
    <row r="14" spans="1:105" ht="12" customHeight="1" x14ac:dyDescent="0.25">
      <c r="A14" s="60" t="s">
        <v>76</v>
      </c>
      <c r="B14" s="65">
        <v>6.9717217601775276</v>
      </c>
      <c r="C14" s="65">
        <v>14.021074919393795</v>
      </c>
      <c r="D14" s="65">
        <v>20.943758603598027</v>
      </c>
      <c r="E14" s="65">
        <v>20.786902699662786</v>
      </c>
      <c r="F14" s="65">
        <v>24.588453056045068</v>
      </c>
      <c r="G14" s="65">
        <v>28.584818652939447</v>
      </c>
      <c r="H14" s="65">
        <v>46.530411200600639</v>
      </c>
      <c r="I14" s="65">
        <v>47.793577987426332</v>
      </c>
      <c r="J14" s="65">
        <v>54.203551889727869</v>
      </c>
      <c r="K14" s="65">
        <v>60.409015786546959</v>
      </c>
      <c r="L14" s="65">
        <v>64.64996301026072</v>
      </c>
      <c r="M14" s="65">
        <v>58.385305083180072</v>
      </c>
      <c r="N14" s="65">
        <v>28.857818835534978</v>
      </c>
      <c r="O14" s="65">
        <v>5.5604234090260425</v>
      </c>
      <c r="P14" s="65">
        <v>12.152738820354591</v>
      </c>
      <c r="Q14" s="65">
        <v>13.854571885478943</v>
      </c>
      <c r="R14" s="65">
        <v>25.587063056777307</v>
      </c>
      <c r="S14" s="65">
        <v>32.004422105973823</v>
      </c>
      <c r="T14" s="65">
        <v>32.216250558750239</v>
      </c>
      <c r="U14" s="65">
        <v>40.633893871309553</v>
      </c>
      <c r="V14" s="65">
        <v>17.270492936567656</v>
      </c>
      <c r="W14" s="65">
        <v>32.534188120539874</v>
      </c>
      <c r="X14" s="65">
        <v>50.517788715223091</v>
      </c>
      <c r="Y14" s="65">
        <v>49.640229861770443</v>
      </c>
      <c r="DA14" s="109" t="s">
        <v>284</v>
      </c>
    </row>
    <row r="15" spans="1:105" ht="12" customHeight="1" x14ac:dyDescent="0.25">
      <c r="A15" s="133" t="s">
        <v>80</v>
      </c>
      <c r="B15" s="134">
        <v>0.19307650056635045</v>
      </c>
      <c r="C15" s="134">
        <v>0.19108103441048882</v>
      </c>
      <c r="D15" s="134">
        <v>0.17914174662113902</v>
      </c>
      <c r="E15" s="134">
        <v>0.18082789382684228</v>
      </c>
      <c r="F15" s="134">
        <v>0.15894019050926109</v>
      </c>
      <c r="G15" s="134">
        <v>0.14956560944096589</v>
      </c>
      <c r="H15" s="134">
        <v>0.16918812997489696</v>
      </c>
      <c r="I15" s="134">
        <v>0.17538493183736625</v>
      </c>
      <c r="J15" s="134">
        <v>0.244669673139155</v>
      </c>
      <c r="K15" s="134">
        <v>0.19689560961423147</v>
      </c>
      <c r="L15" s="134">
        <v>0.23063714280607978</v>
      </c>
      <c r="M15" s="134">
        <v>0.23507913572655084</v>
      </c>
      <c r="N15" s="134">
        <v>0.21545838829017583</v>
      </c>
      <c r="O15" s="134">
        <v>0.2424408651980712</v>
      </c>
      <c r="P15" s="134">
        <v>0.23280745352339036</v>
      </c>
      <c r="Q15" s="134">
        <v>0.20491447845912944</v>
      </c>
      <c r="R15" s="134">
        <v>0.19308840937175575</v>
      </c>
      <c r="S15" s="134">
        <v>0.22974369055495522</v>
      </c>
      <c r="T15" s="134">
        <v>0.21936863532396894</v>
      </c>
      <c r="U15" s="134">
        <v>0.27449328115636396</v>
      </c>
      <c r="V15" s="134">
        <v>0.21798421236355658</v>
      </c>
      <c r="W15" s="134">
        <v>0.25510182566743744</v>
      </c>
      <c r="X15" s="134">
        <v>0.29016050947531141</v>
      </c>
      <c r="Y15" s="134">
        <v>0.29949388361660273</v>
      </c>
      <c r="DA15" s="157" t="s">
        <v>285</v>
      </c>
    </row>
    <row r="16" spans="1:105" ht="12.95" customHeight="1" x14ac:dyDescent="0.25">
      <c r="A16" s="129" t="s">
        <v>74</v>
      </c>
      <c r="B16" s="130">
        <f t="shared" ref="B16:Q16" si="6">SUM(B17:B18)</f>
        <v>16.94972860814455</v>
      </c>
      <c r="C16" s="130">
        <f t="shared" si="6"/>
        <v>17.202453845884648</v>
      </c>
      <c r="D16" s="130">
        <f t="shared" si="6"/>
        <v>18.80904280915442</v>
      </c>
      <c r="E16" s="130">
        <f t="shared" si="6"/>
        <v>21.933363673953981</v>
      </c>
      <c r="F16" s="130">
        <f t="shared" si="6"/>
        <v>19.877074971017255</v>
      </c>
      <c r="G16" s="130">
        <f t="shared" si="6"/>
        <v>19.489386604640174</v>
      </c>
      <c r="H16" s="130">
        <f t="shared" si="6"/>
        <v>23.343421841298955</v>
      </c>
      <c r="I16" s="130">
        <f t="shared" si="6"/>
        <v>26.998459352497498</v>
      </c>
      <c r="J16" s="130">
        <f t="shared" si="6"/>
        <v>28.220352649922322</v>
      </c>
      <c r="K16" s="130">
        <f t="shared" si="6"/>
        <v>28.598869337676646</v>
      </c>
      <c r="L16" s="130">
        <f t="shared" si="6"/>
        <v>31.464880109517416</v>
      </c>
      <c r="M16" s="130">
        <f t="shared" si="6"/>
        <v>27.988637468846942</v>
      </c>
      <c r="N16" s="130">
        <f t="shared" si="6"/>
        <v>34.108641285562321</v>
      </c>
      <c r="O16" s="130">
        <f t="shared" si="6"/>
        <v>28.351606748309575</v>
      </c>
      <c r="P16" s="130">
        <f t="shared" si="6"/>
        <v>24.701099019183058</v>
      </c>
      <c r="Q16" s="130">
        <f t="shared" si="6"/>
        <v>26.186346843399669</v>
      </c>
      <c r="R16" s="130">
        <f t="shared" ref="R16:W16" si="7">SUM(R17:R18)</f>
        <v>29.553905779488652</v>
      </c>
      <c r="S16" s="130">
        <f t="shared" si="7"/>
        <v>27.903179076736723</v>
      </c>
      <c r="T16" s="130">
        <f t="shared" si="7"/>
        <v>35.63297212813147</v>
      </c>
      <c r="U16" s="130">
        <f t="shared" si="7"/>
        <v>30.663742611092701</v>
      </c>
      <c r="V16" s="130">
        <f t="shared" si="7"/>
        <v>32.232166741360217</v>
      </c>
      <c r="W16" s="130">
        <f t="shared" si="7"/>
        <v>29.119374753221486</v>
      </c>
      <c r="X16" s="130">
        <f t="shared" ref="X16:Y16" si="8">SUM(X17:X18)</f>
        <v>27.895685631994105</v>
      </c>
      <c r="Y16" s="130">
        <f t="shared" si="8"/>
        <v>31.370502681022998</v>
      </c>
      <c r="DA16" s="155" t="s">
        <v>215</v>
      </c>
    </row>
    <row r="17" spans="1:105" ht="12.95" customHeight="1" x14ac:dyDescent="0.25">
      <c r="A17" s="131" t="s">
        <v>73</v>
      </c>
      <c r="B17" s="132">
        <v>0</v>
      </c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286</v>
      </c>
    </row>
    <row r="18" spans="1:105" ht="12" customHeight="1" x14ac:dyDescent="0.25">
      <c r="A18" s="131" t="s">
        <v>72</v>
      </c>
      <c r="B18" s="132">
        <v>16.94972860814455</v>
      </c>
      <c r="C18" s="132">
        <v>17.202453845884648</v>
      </c>
      <c r="D18" s="132">
        <v>18.80904280915442</v>
      </c>
      <c r="E18" s="132">
        <v>21.933363673953981</v>
      </c>
      <c r="F18" s="132">
        <v>19.877074971017255</v>
      </c>
      <c r="G18" s="132">
        <v>19.489386604640174</v>
      </c>
      <c r="H18" s="132">
        <v>23.343421841298955</v>
      </c>
      <c r="I18" s="132">
        <v>26.998459352497498</v>
      </c>
      <c r="J18" s="132">
        <v>28.220352649922322</v>
      </c>
      <c r="K18" s="132">
        <v>28.598869337676646</v>
      </c>
      <c r="L18" s="132">
        <v>31.464880109517416</v>
      </c>
      <c r="M18" s="132">
        <v>27.988637468846942</v>
      </c>
      <c r="N18" s="132">
        <v>34.108641285562321</v>
      </c>
      <c r="O18" s="132">
        <v>28.351606748309575</v>
      </c>
      <c r="P18" s="132">
        <v>24.701099019183058</v>
      </c>
      <c r="Q18" s="132">
        <v>26.186346843399669</v>
      </c>
      <c r="R18" s="132">
        <v>29.553905779488652</v>
      </c>
      <c r="S18" s="132">
        <v>27.903179076736723</v>
      </c>
      <c r="T18" s="132">
        <v>35.63297212813147</v>
      </c>
      <c r="U18" s="132">
        <v>30.663742611092701</v>
      </c>
      <c r="V18" s="132">
        <v>32.232166741360217</v>
      </c>
      <c r="W18" s="132">
        <v>29.119374753221486</v>
      </c>
      <c r="X18" s="132">
        <v>27.895685631994105</v>
      </c>
      <c r="Y18" s="132">
        <v>31.370502681022998</v>
      </c>
      <c r="DA18" s="156" t="s">
        <v>287</v>
      </c>
    </row>
    <row r="19" spans="1:105" ht="12.95" customHeight="1" x14ac:dyDescent="0.25">
      <c r="A19" s="129" t="s">
        <v>35</v>
      </c>
      <c r="B19" s="130">
        <f t="shared" ref="B19:Q19" si="9">SUM(B20:B27)</f>
        <v>26.753195306722883</v>
      </c>
      <c r="C19" s="130">
        <f t="shared" si="9"/>
        <v>27.117534887957508</v>
      </c>
      <c r="D19" s="130">
        <f t="shared" si="9"/>
        <v>27.360830873772997</v>
      </c>
      <c r="E19" s="130">
        <f t="shared" si="9"/>
        <v>27.625941327936875</v>
      </c>
      <c r="F19" s="130">
        <f t="shared" si="9"/>
        <v>27.755044516564119</v>
      </c>
      <c r="G19" s="130">
        <f t="shared" si="9"/>
        <v>28.303419227555374</v>
      </c>
      <c r="H19" s="130">
        <f t="shared" si="9"/>
        <v>27.040171819679795</v>
      </c>
      <c r="I19" s="130">
        <f t="shared" si="9"/>
        <v>26.611559305609738</v>
      </c>
      <c r="J19" s="130">
        <f t="shared" si="9"/>
        <v>27.398639618292613</v>
      </c>
      <c r="K19" s="130">
        <f t="shared" si="9"/>
        <v>27.949792609158756</v>
      </c>
      <c r="L19" s="130">
        <f t="shared" si="9"/>
        <v>28.366808170845637</v>
      </c>
      <c r="M19" s="130">
        <f t="shared" si="9"/>
        <v>28.885720048703689</v>
      </c>
      <c r="N19" s="130">
        <f t="shared" si="9"/>
        <v>29.139877086258586</v>
      </c>
      <c r="O19" s="130">
        <f t="shared" si="9"/>
        <v>28.87745762479706</v>
      </c>
      <c r="P19" s="130">
        <f t="shared" si="9"/>
        <v>28.269932548025697</v>
      </c>
      <c r="Q19" s="130">
        <f t="shared" si="9"/>
        <v>28.076470339869893</v>
      </c>
      <c r="R19" s="130">
        <f t="shared" ref="R19:W19" si="10">SUM(R20:R27)</f>
        <v>28.376531734548191</v>
      </c>
      <c r="S19" s="130">
        <f t="shared" si="10"/>
        <v>28.058493552233337</v>
      </c>
      <c r="T19" s="130">
        <f t="shared" si="10"/>
        <v>28.016130958179797</v>
      </c>
      <c r="U19" s="130">
        <f t="shared" si="10"/>
        <v>27.479519696304134</v>
      </c>
      <c r="V19" s="130">
        <f t="shared" si="10"/>
        <v>25.654665302747645</v>
      </c>
      <c r="W19" s="130">
        <f t="shared" si="10"/>
        <v>25.713847071835119</v>
      </c>
      <c r="X19" s="130">
        <f t="shared" ref="X19:Y19" si="11">SUM(X20:X27)</f>
        <v>27.83336368716769</v>
      </c>
      <c r="Y19" s="130">
        <f t="shared" si="11"/>
        <v>29.686166152383642</v>
      </c>
      <c r="DA19" s="155" t="s">
        <v>216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288</v>
      </c>
    </row>
    <row r="21" spans="1:105" s="2" customFormat="1" ht="12" customHeight="1" x14ac:dyDescent="0.25">
      <c r="A21" s="131" t="s">
        <v>52</v>
      </c>
      <c r="B21" s="132">
        <v>0</v>
      </c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8.8993442000545873</v>
      </c>
      <c r="I21" s="132">
        <v>8.9934436433851594</v>
      </c>
      <c r="J21" s="132">
        <v>9.1230500684179869</v>
      </c>
      <c r="K21" s="132">
        <v>9.1920626019787779</v>
      </c>
      <c r="L21" s="132">
        <v>9.4890961170579189</v>
      </c>
      <c r="M21" s="132">
        <v>9.046122548337582</v>
      </c>
      <c r="N21" s="132">
        <v>8.5453431759492453</v>
      </c>
      <c r="O21" s="132">
        <v>7.9865387249190203</v>
      </c>
      <c r="P21" s="132">
        <v>6.7827802945959119</v>
      </c>
      <c r="Q21" s="132">
        <v>6.5764732678372919</v>
      </c>
      <c r="R21" s="132">
        <v>6.6684545628357501</v>
      </c>
      <c r="S21" s="132">
        <v>6.7611176340394188</v>
      </c>
      <c r="T21" s="132">
        <v>6.4019526774702653</v>
      </c>
      <c r="U21" s="132">
        <v>6.2419200957200758</v>
      </c>
      <c r="V21" s="132">
        <v>4.8696691559486247</v>
      </c>
      <c r="W21" s="132">
        <v>4.4135424944661734</v>
      </c>
      <c r="X21" s="132">
        <v>5.0442262828748712</v>
      </c>
      <c r="Y21" s="132">
        <v>5.2047440973869001</v>
      </c>
      <c r="DA21" s="156" t="s">
        <v>289</v>
      </c>
    </row>
    <row r="22" spans="1:105" ht="12" customHeight="1" x14ac:dyDescent="0.25">
      <c r="A22" s="131" t="s">
        <v>161</v>
      </c>
      <c r="B22" s="132">
        <v>1.2011395215189513</v>
      </c>
      <c r="C22" s="132">
        <v>1.2085676133358254</v>
      </c>
      <c r="D22" s="132">
        <v>1.210851835960769</v>
      </c>
      <c r="E22" s="132">
        <v>1.2013126865879371</v>
      </c>
      <c r="F22" s="132">
        <v>1.2066036592857448</v>
      </c>
      <c r="G22" s="132">
        <v>1.2085777937509026</v>
      </c>
      <c r="H22" s="132">
        <v>1.1907777089127429</v>
      </c>
      <c r="I22" s="132">
        <v>1.1709434722020422</v>
      </c>
      <c r="J22" s="132">
        <v>1.1530840143074323</v>
      </c>
      <c r="K22" s="132">
        <v>1.1493729411201294</v>
      </c>
      <c r="L22" s="132">
        <v>1.1437696676589131</v>
      </c>
      <c r="M22" s="132">
        <v>1.1463275275671241</v>
      </c>
      <c r="N22" s="132">
        <v>1.150309513659985</v>
      </c>
      <c r="O22" s="132">
        <v>1.123170458292404</v>
      </c>
      <c r="P22" s="132">
        <v>1.1258399513007313</v>
      </c>
      <c r="Q22" s="132">
        <v>1.1225490880008029</v>
      </c>
      <c r="R22" s="132">
        <v>1.1316635687525904</v>
      </c>
      <c r="S22" s="132">
        <v>1.1186662455295164</v>
      </c>
      <c r="T22" s="132">
        <v>1.1255126322809041</v>
      </c>
      <c r="U22" s="132">
        <v>1.1225056781827449</v>
      </c>
      <c r="V22" s="132">
        <v>1.0263045390939627</v>
      </c>
      <c r="W22" s="132">
        <v>1.1120674299779472</v>
      </c>
      <c r="X22" s="132">
        <v>1.2545995788259845</v>
      </c>
      <c r="Y22" s="132">
        <v>1.2754482012603476</v>
      </c>
      <c r="DA22" s="156" t="s">
        <v>290</v>
      </c>
    </row>
    <row r="23" spans="1:105" ht="12" customHeight="1" x14ac:dyDescent="0.25">
      <c r="A23" s="131" t="s">
        <v>149</v>
      </c>
      <c r="B23" s="132">
        <v>0</v>
      </c>
      <c r="C23" s="132">
        <v>0</v>
      </c>
      <c r="D23" s="132">
        <v>0</v>
      </c>
      <c r="E23" s="132">
        <v>0</v>
      </c>
      <c r="F23" s="132">
        <v>0</v>
      </c>
      <c r="G23" s="132">
        <v>0</v>
      </c>
      <c r="H23" s="132">
        <v>0</v>
      </c>
      <c r="I23" s="132">
        <v>0</v>
      </c>
      <c r="J23" s="132">
        <v>0</v>
      </c>
      <c r="K23" s="132">
        <v>0</v>
      </c>
      <c r="L23" s="132">
        <v>0</v>
      </c>
      <c r="M23" s="132">
        <v>0</v>
      </c>
      <c r="N23" s="132">
        <v>0</v>
      </c>
      <c r="O23" s="132">
        <v>0</v>
      </c>
      <c r="P23" s="132">
        <v>0</v>
      </c>
      <c r="Q23" s="132">
        <v>0</v>
      </c>
      <c r="R23" s="132">
        <v>0</v>
      </c>
      <c r="S23" s="132">
        <v>0</v>
      </c>
      <c r="T23" s="132">
        <v>0</v>
      </c>
      <c r="U23" s="132">
        <v>0</v>
      </c>
      <c r="V23" s="132">
        <v>0</v>
      </c>
      <c r="W23" s="132">
        <v>0</v>
      </c>
      <c r="X23" s="132">
        <v>0</v>
      </c>
      <c r="Y23" s="132">
        <v>0</v>
      </c>
      <c r="DA23" s="156" t="s">
        <v>291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292</v>
      </c>
    </row>
    <row r="25" spans="1:105" ht="12" customHeight="1" x14ac:dyDescent="0.25">
      <c r="A25" s="131" t="s">
        <v>162</v>
      </c>
      <c r="B25" s="132">
        <v>0</v>
      </c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293</v>
      </c>
    </row>
    <row r="26" spans="1:105" ht="12" customHeight="1" x14ac:dyDescent="0.25">
      <c r="A26" s="131" t="s">
        <v>24</v>
      </c>
      <c r="B26" s="65">
        <v>20.317489851645004</v>
      </c>
      <c r="C26" s="65">
        <v>20.832917720737747</v>
      </c>
      <c r="D26" s="65">
        <v>20.95769259304021</v>
      </c>
      <c r="E26" s="65">
        <v>21.094952879985009</v>
      </c>
      <c r="F26" s="65">
        <v>20.70798727667048</v>
      </c>
      <c r="G26" s="65">
        <v>21.004299731310923</v>
      </c>
      <c r="H26" s="65">
        <v>10.620643203919689</v>
      </c>
      <c r="I26" s="65">
        <v>8.6130363344765328</v>
      </c>
      <c r="J26" s="65">
        <v>8.7151108666076063</v>
      </c>
      <c r="K26" s="65">
        <v>8.9143759826548603</v>
      </c>
      <c r="L26" s="65">
        <v>8.6100386887943259</v>
      </c>
      <c r="M26" s="65">
        <v>9.2827798610191117</v>
      </c>
      <c r="N26" s="65">
        <v>9.7709655832357729</v>
      </c>
      <c r="O26" s="65">
        <v>9.903432018541789</v>
      </c>
      <c r="P26" s="65">
        <v>10.353659679601108</v>
      </c>
      <c r="Q26" s="65">
        <v>10.202641449208068</v>
      </c>
      <c r="R26" s="65">
        <v>10.23436717131754</v>
      </c>
      <c r="S26" s="65">
        <v>9.6463794920968962</v>
      </c>
      <c r="T26" s="65">
        <v>9.7404283311457487</v>
      </c>
      <c r="U26" s="65">
        <v>9.2040879034847123</v>
      </c>
      <c r="V26" s="65">
        <v>8.6633347719355029</v>
      </c>
      <c r="W26" s="65">
        <v>8.8992431663075902</v>
      </c>
      <c r="X26" s="65">
        <v>12.333591995716183</v>
      </c>
      <c r="Y26" s="65">
        <v>13.909327250125036</v>
      </c>
      <c r="DA26" s="109" t="s">
        <v>294</v>
      </c>
    </row>
    <row r="27" spans="1:105" ht="12" customHeight="1" x14ac:dyDescent="0.25">
      <c r="A27" s="144" t="s">
        <v>26</v>
      </c>
      <c r="B27" s="145">
        <v>5.2345659335589305</v>
      </c>
      <c r="C27" s="145">
        <v>5.0760495538839336</v>
      </c>
      <c r="D27" s="145">
        <v>5.192286444772015</v>
      </c>
      <c r="E27" s="145">
        <v>5.3296757613639292</v>
      </c>
      <c r="F27" s="145">
        <v>5.8404535806078943</v>
      </c>
      <c r="G27" s="145">
        <v>6.0905417024935495</v>
      </c>
      <c r="H27" s="145">
        <v>6.3294067067927786</v>
      </c>
      <c r="I27" s="145">
        <v>7.8341358555460037</v>
      </c>
      <c r="J27" s="145">
        <v>8.4073946689595846</v>
      </c>
      <c r="K27" s="145">
        <v>8.6939810834049869</v>
      </c>
      <c r="L27" s="145">
        <v>9.1239036973344767</v>
      </c>
      <c r="M27" s="145">
        <v>9.41049011177987</v>
      </c>
      <c r="N27" s="145">
        <v>9.6732588134135824</v>
      </c>
      <c r="O27" s="145">
        <v>9.8643164230438458</v>
      </c>
      <c r="P27" s="145">
        <v>10.007652622527946</v>
      </c>
      <c r="Q27" s="145">
        <v>10.174806534823729</v>
      </c>
      <c r="R27" s="145">
        <v>10.342046431642309</v>
      </c>
      <c r="S27" s="145">
        <v>10.532330180567504</v>
      </c>
      <c r="T27" s="145">
        <v>10.748237317282879</v>
      </c>
      <c r="U27" s="145">
        <v>10.911006018916602</v>
      </c>
      <c r="V27" s="145">
        <v>11.095356835769556</v>
      </c>
      <c r="W27" s="145">
        <v>11.288993981083408</v>
      </c>
      <c r="X27" s="145">
        <v>9.2009458297506512</v>
      </c>
      <c r="Y27" s="145">
        <v>9.2966466036113555</v>
      </c>
      <c r="DA27" s="158" t="s">
        <v>295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21.105126223726966</v>
      </c>
      <c r="C29" s="130">
        <f t="shared" si="12"/>
        <v>21.354445748778886</v>
      </c>
      <c r="D29" s="130">
        <f t="shared" si="12"/>
        <v>21.894379918821468</v>
      </c>
      <c r="E29" s="130">
        <f t="shared" si="12"/>
        <v>22.359710690639133</v>
      </c>
      <c r="F29" s="130">
        <f t="shared" si="12"/>
        <v>23.329112689931819</v>
      </c>
      <c r="G29" s="130">
        <f t="shared" si="12"/>
        <v>24.274462742400303</v>
      </c>
      <c r="H29" s="130">
        <f t="shared" si="12"/>
        <v>26.161107098825816</v>
      </c>
      <c r="I29" s="130">
        <f t="shared" si="12"/>
        <v>27.223350534117284</v>
      </c>
      <c r="J29" s="130">
        <f t="shared" si="12"/>
        <v>28.296504670722534</v>
      </c>
      <c r="K29" s="130">
        <f t="shared" si="12"/>
        <v>28.60408795656079</v>
      </c>
      <c r="L29" s="130">
        <f t="shared" si="12"/>
        <v>28.967441430781623</v>
      </c>
      <c r="M29" s="130">
        <f t="shared" si="12"/>
        <v>29.852742679324439</v>
      </c>
      <c r="N29" s="130">
        <f t="shared" si="12"/>
        <v>30.48643509570871</v>
      </c>
      <c r="O29" s="130">
        <f t="shared" si="12"/>
        <v>29.861602033265282</v>
      </c>
      <c r="P29" s="130">
        <f t="shared" si="12"/>
        <v>29.666037718468406</v>
      </c>
      <c r="Q29" s="130">
        <f t="shared" si="12"/>
        <v>29.658376767348233</v>
      </c>
      <c r="R29" s="130">
        <f t="shared" ref="R29:W29" si="13">SUM(R30:R33)</f>
        <v>29.813350534457197</v>
      </c>
      <c r="S29" s="130">
        <f t="shared" si="13"/>
        <v>30.682224677002868</v>
      </c>
      <c r="T29" s="130">
        <f t="shared" si="13"/>
        <v>31.327565413104239</v>
      </c>
      <c r="U29" s="130">
        <f t="shared" si="13"/>
        <v>32.496777041453015</v>
      </c>
      <c r="V29" s="130">
        <f t="shared" si="13"/>
        <v>28.562200104555558</v>
      </c>
      <c r="W29" s="130">
        <f t="shared" si="13"/>
        <v>28.634867135446157</v>
      </c>
      <c r="X29" s="130">
        <f t="shared" ref="X29:Y29" si="14">SUM(X30:X33)</f>
        <v>30.794056444129986</v>
      </c>
      <c r="Y29" s="130">
        <f t="shared" si="14"/>
        <v>32.096285079019133</v>
      </c>
      <c r="DA29" s="155" t="s">
        <v>217</v>
      </c>
    </row>
    <row r="30" spans="1:105" ht="12" customHeight="1" x14ac:dyDescent="0.25">
      <c r="A30" s="131" t="s">
        <v>52</v>
      </c>
      <c r="B30" s="132">
        <v>0</v>
      </c>
      <c r="C30" s="132">
        <v>0</v>
      </c>
      <c r="D30" s="132">
        <v>0</v>
      </c>
      <c r="E30" s="132">
        <v>0</v>
      </c>
      <c r="F30" s="132">
        <v>0</v>
      </c>
      <c r="G30" s="132">
        <v>0</v>
      </c>
      <c r="H30" s="132">
        <v>5.7873281989136043</v>
      </c>
      <c r="I30" s="132">
        <v>5.6932287555830303</v>
      </c>
      <c r="J30" s="132">
        <v>6.6932869909113357</v>
      </c>
      <c r="K30" s="132">
        <v>5.4946097969894101</v>
      </c>
      <c r="L30" s="132">
        <v>5.1975762819102691</v>
      </c>
      <c r="M30" s="132">
        <v>6.7702145109917398</v>
      </c>
      <c r="N30" s="132">
        <v>7.2709938833800738</v>
      </c>
      <c r="O30" s="132">
        <v>6.7001336740491642</v>
      </c>
      <c r="P30" s="132">
        <v>5.6443908146044297</v>
      </c>
      <c r="Q30" s="132">
        <v>6.9804484862469645</v>
      </c>
      <c r="R30" s="132">
        <v>6.8884671912485134</v>
      </c>
      <c r="S30" s="132">
        <v>9.6043165878006356</v>
      </c>
      <c r="T30" s="132">
        <v>10.160042163458368</v>
      </c>
      <c r="U30" s="132">
        <v>12.720848605913618</v>
      </c>
      <c r="V30" s="132">
        <v>9.1335122713944514</v>
      </c>
      <c r="W30" s="132">
        <v>7.8441531203231607</v>
      </c>
      <c r="X30" s="132">
        <v>9.3226696758525573</v>
      </c>
      <c r="Y30" s="132">
        <v>8.2143444666715606</v>
      </c>
      <c r="DA30" s="156" t="s">
        <v>296</v>
      </c>
    </row>
    <row r="31" spans="1:105" ht="12" customHeight="1" x14ac:dyDescent="0.25">
      <c r="A31" s="131" t="s">
        <v>149</v>
      </c>
      <c r="B31" s="132">
        <v>0</v>
      </c>
      <c r="C31" s="132">
        <v>0</v>
      </c>
      <c r="D31" s="132">
        <v>0</v>
      </c>
      <c r="E31" s="132">
        <v>0</v>
      </c>
      <c r="F31" s="132">
        <v>0</v>
      </c>
      <c r="G31" s="132">
        <v>0</v>
      </c>
      <c r="H31" s="132">
        <v>0</v>
      </c>
      <c r="I31" s="132">
        <v>0</v>
      </c>
      <c r="J31" s="132">
        <v>0</v>
      </c>
      <c r="K31" s="132">
        <v>0</v>
      </c>
      <c r="L31" s="132">
        <v>0</v>
      </c>
      <c r="M31" s="132">
        <v>0</v>
      </c>
      <c r="N31" s="132">
        <v>0</v>
      </c>
      <c r="O31" s="132">
        <v>0</v>
      </c>
      <c r="P31" s="132">
        <v>0</v>
      </c>
      <c r="Q31" s="132">
        <v>0</v>
      </c>
      <c r="R31" s="132">
        <v>0</v>
      </c>
      <c r="S31" s="132">
        <v>0</v>
      </c>
      <c r="T31" s="132">
        <v>0</v>
      </c>
      <c r="U31" s="132">
        <v>0</v>
      </c>
      <c r="V31" s="132">
        <v>0</v>
      </c>
      <c r="W31" s="132">
        <v>0</v>
      </c>
      <c r="X31" s="132">
        <v>0</v>
      </c>
      <c r="Y31" s="132">
        <v>0</v>
      </c>
      <c r="DA31" s="156" t="s">
        <v>297</v>
      </c>
    </row>
    <row r="32" spans="1:105" ht="12" customHeight="1" x14ac:dyDescent="0.25">
      <c r="A32" s="131" t="s">
        <v>128</v>
      </c>
      <c r="B32" s="132">
        <v>1.7614789337919174</v>
      </c>
      <c r="C32" s="132">
        <v>1.7614789337919174</v>
      </c>
      <c r="D32" s="132">
        <v>2.4660791057609623</v>
      </c>
      <c r="E32" s="132">
        <v>2.4660791057609623</v>
      </c>
      <c r="F32" s="132">
        <v>2.9425623387790196</v>
      </c>
      <c r="G32" s="132">
        <v>3.6782459157351663</v>
      </c>
      <c r="H32" s="132">
        <v>3.6782459157351668</v>
      </c>
      <c r="I32" s="132">
        <v>5.1495270851246771</v>
      </c>
      <c r="J32" s="132">
        <v>5.1495270851246788</v>
      </c>
      <c r="K32" s="132">
        <v>5.0731212381771265</v>
      </c>
      <c r="L32" s="132">
        <v>5.0731212381771256</v>
      </c>
      <c r="M32" s="132">
        <v>5.07312123817713</v>
      </c>
      <c r="N32" s="132">
        <v>5.0731212381771291</v>
      </c>
      <c r="O32" s="132">
        <v>5.0731212381771282</v>
      </c>
      <c r="P32" s="132">
        <v>5.0731212381771238</v>
      </c>
      <c r="Q32" s="132">
        <v>4.9321582115219265</v>
      </c>
      <c r="R32" s="132">
        <v>4.932158211521922</v>
      </c>
      <c r="S32" s="132">
        <v>4.9822012037833154</v>
      </c>
      <c r="T32" s="132">
        <v>5.0527944969905381</v>
      </c>
      <c r="U32" s="132">
        <v>6.1588057742902897</v>
      </c>
      <c r="V32" s="132">
        <v>6.0702691591673696</v>
      </c>
      <c r="W32" s="132">
        <v>4.0993121238177164</v>
      </c>
      <c r="X32" s="132">
        <v>4.5749785038693025</v>
      </c>
      <c r="Y32" s="132">
        <v>4.1641444539982766</v>
      </c>
      <c r="DA32" s="156" t="s">
        <v>298</v>
      </c>
    </row>
    <row r="33" spans="1:105" ht="12" customHeight="1" x14ac:dyDescent="0.25">
      <c r="A33" s="62" t="s">
        <v>24</v>
      </c>
      <c r="B33" s="68">
        <v>19.343647289935049</v>
      </c>
      <c r="C33" s="68">
        <v>19.592966814986969</v>
      </c>
      <c r="D33" s="68">
        <v>19.428300813060506</v>
      </c>
      <c r="E33" s="68">
        <v>19.893631584878172</v>
      </c>
      <c r="F33" s="68">
        <v>20.386550351152799</v>
      </c>
      <c r="G33" s="68">
        <v>20.596216826665138</v>
      </c>
      <c r="H33" s="68">
        <v>16.695532984177046</v>
      </c>
      <c r="I33" s="68">
        <v>16.380594693409577</v>
      </c>
      <c r="J33" s="68">
        <v>16.45369059468652</v>
      </c>
      <c r="K33" s="68">
        <v>18.036356921394255</v>
      </c>
      <c r="L33" s="68">
        <v>18.696743910694227</v>
      </c>
      <c r="M33" s="68">
        <v>18.009406930155571</v>
      </c>
      <c r="N33" s="68">
        <v>18.142319974151508</v>
      </c>
      <c r="O33" s="68">
        <v>18.088347121038989</v>
      </c>
      <c r="P33" s="68">
        <v>18.948525665686851</v>
      </c>
      <c r="Q33" s="68">
        <v>17.745770069579343</v>
      </c>
      <c r="R33" s="68">
        <v>17.992725131686761</v>
      </c>
      <c r="S33" s="68">
        <v>16.095706885418917</v>
      </c>
      <c r="T33" s="68">
        <v>16.114728752655335</v>
      </c>
      <c r="U33" s="68">
        <v>13.617122661249102</v>
      </c>
      <c r="V33" s="68">
        <v>13.358418673993738</v>
      </c>
      <c r="W33" s="68">
        <v>16.691401891305279</v>
      </c>
      <c r="X33" s="68">
        <v>16.896408264408127</v>
      </c>
      <c r="Y33" s="68">
        <v>19.717796158349294</v>
      </c>
      <c r="DA33" s="111" t="s">
        <v>299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300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>
        <f t="shared" ref="B3:Q3" si="0">SUM(B4,B16,B19,B29)</f>
        <v>75.443502934578717</v>
      </c>
      <c r="C3" s="125">
        <f t="shared" si="0"/>
        <v>84.049690248549837</v>
      </c>
      <c r="D3" s="125">
        <f t="shared" si="0"/>
        <v>94.878405669742023</v>
      </c>
      <c r="E3" s="125">
        <f t="shared" si="0"/>
        <v>105.67643524169642</v>
      </c>
      <c r="F3" s="125">
        <f t="shared" si="0"/>
        <v>107.43942207496376</v>
      </c>
      <c r="G3" s="125">
        <f t="shared" si="0"/>
        <v>113.78476397071384</v>
      </c>
      <c r="H3" s="125">
        <f t="shared" si="0"/>
        <v>140.31148305805306</v>
      </c>
      <c r="I3" s="125">
        <f t="shared" si="0"/>
        <v>157.00805220606645</v>
      </c>
      <c r="J3" s="125">
        <f t="shared" si="0"/>
        <v>175.20970730671002</v>
      </c>
      <c r="K3" s="125">
        <f t="shared" si="0"/>
        <v>182.93530641190915</v>
      </c>
      <c r="L3" s="125">
        <f t="shared" si="0"/>
        <v>201.26269066534923</v>
      </c>
      <c r="M3" s="125">
        <f t="shared" si="0"/>
        <v>195.77635297559331</v>
      </c>
      <c r="N3" s="125">
        <f t="shared" si="0"/>
        <v>209.27453711839888</v>
      </c>
      <c r="O3" s="125">
        <f t="shared" si="0"/>
        <v>202.26684825632327</v>
      </c>
      <c r="P3" s="125">
        <f t="shared" si="0"/>
        <v>197.05806662238228</v>
      </c>
      <c r="Q3" s="125">
        <f t="shared" si="0"/>
        <v>210.35008265305919</v>
      </c>
      <c r="R3" s="125">
        <f t="shared" ref="R3:W3" si="1">SUM(R4,R16,R19,R29)</f>
        <v>233.51665666706353</v>
      </c>
      <c r="S3" s="125">
        <f t="shared" si="1"/>
        <v>240.48634630339043</v>
      </c>
      <c r="T3" s="125">
        <f t="shared" si="1"/>
        <v>278.68123037046445</v>
      </c>
      <c r="U3" s="125">
        <f t="shared" si="1"/>
        <v>274.42723958710968</v>
      </c>
      <c r="V3" s="125">
        <f t="shared" si="1"/>
        <v>258.26658102689572</v>
      </c>
      <c r="W3" s="125">
        <f t="shared" si="1"/>
        <v>264.29422625258763</v>
      </c>
      <c r="X3" s="125">
        <f t="shared" ref="X3:Y3" si="2">SUM(X4,X16,X19,X29)</f>
        <v>283.03092055173676</v>
      </c>
      <c r="Y3" s="125">
        <f t="shared" si="2"/>
        <v>303.94906590820881</v>
      </c>
      <c r="DA3" s="154" t="s">
        <v>301</v>
      </c>
    </row>
    <row r="4" spans="1:105" ht="12.95" customHeight="1" x14ac:dyDescent="0.25">
      <c r="A4" s="129" t="s">
        <v>32</v>
      </c>
      <c r="B4" s="130">
        <f t="shared" ref="B4:Q4" si="3">SUM(B5:B15)</f>
        <v>14.117747276477344</v>
      </c>
      <c r="C4" s="130">
        <f t="shared" si="3"/>
        <v>19.064542557692747</v>
      </c>
      <c r="D4" s="130">
        <f t="shared" si="3"/>
        <v>23.509343875722585</v>
      </c>
      <c r="E4" s="130">
        <f t="shared" si="3"/>
        <v>24.589688666624728</v>
      </c>
      <c r="F4" s="130">
        <f t="shared" si="3"/>
        <v>27.065019181034323</v>
      </c>
      <c r="G4" s="130">
        <f t="shared" si="3"/>
        <v>30.714157665539432</v>
      </c>
      <c r="H4" s="130">
        <f t="shared" si="3"/>
        <v>44.013502606482518</v>
      </c>
      <c r="I4" s="130">
        <f t="shared" si="3"/>
        <v>46.732137270684454</v>
      </c>
      <c r="J4" s="130">
        <f t="shared" si="3"/>
        <v>55.902062049212802</v>
      </c>
      <c r="K4" s="130">
        <f t="shared" si="3"/>
        <v>59.43204017101089</v>
      </c>
      <c r="L4" s="130">
        <f t="shared" si="3"/>
        <v>65.229059350081499</v>
      </c>
      <c r="M4" s="130">
        <f t="shared" si="3"/>
        <v>65.372425821514952</v>
      </c>
      <c r="N4" s="130">
        <f t="shared" si="3"/>
        <v>54.491721721745606</v>
      </c>
      <c r="O4" s="130">
        <f t="shared" si="3"/>
        <v>63.188018083755829</v>
      </c>
      <c r="P4" s="130">
        <f t="shared" si="3"/>
        <v>67.553044033682482</v>
      </c>
      <c r="Q4" s="130">
        <f t="shared" si="3"/>
        <v>72.443707497885086</v>
      </c>
      <c r="R4" s="130">
        <f t="shared" ref="R4:W4" si="4">SUM(R5:R15)</f>
        <v>78.682092000772244</v>
      </c>
      <c r="S4" s="130">
        <f t="shared" si="4"/>
        <v>87.720410658003374</v>
      </c>
      <c r="T4" s="130">
        <f t="shared" si="4"/>
        <v>89.626591149642522</v>
      </c>
      <c r="U4" s="130">
        <f t="shared" si="4"/>
        <v>101.25937425272029</v>
      </c>
      <c r="V4" s="130">
        <f t="shared" si="4"/>
        <v>77.946886213766703</v>
      </c>
      <c r="W4" s="130">
        <f t="shared" si="4"/>
        <v>93.192544104005208</v>
      </c>
      <c r="X4" s="130">
        <f t="shared" ref="X4:Y4" si="5">SUM(X5:X15)</f>
        <v>112.23763162989975</v>
      </c>
      <c r="Y4" s="130">
        <f t="shared" si="5"/>
        <v>112.59330591978329</v>
      </c>
      <c r="DA4" s="155" t="s">
        <v>302</v>
      </c>
    </row>
    <row r="5" spans="1:105" ht="12" customHeight="1" x14ac:dyDescent="0.25">
      <c r="A5" s="131" t="s">
        <v>29</v>
      </c>
      <c r="B5" s="132">
        <v>0</v>
      </c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303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304</v>
      </c>
    </row>
    <row r="7" spans="1:105" ht="12" customHeight="1" x14ac:dyDescent="0.25">
      <c r="A7" s="131" t="s">
        <v>161</v>
      </c>
      <c r="B7" s="132">
        <v>9.653825028317522</v>
      </c>
      <c r="C7" s="132">
        <v>9.7569108148596655</v>
      </c>
      <c r="D7" s="132">
        <v>9.3321517301985146</v>
      </c>
      <c r="E7" s="132">
        <v>9.600771525987529</v>
      </c>
      <c r="F7" s="132">
        <v>8.5920273727301471</v>
      </c>
      <c r="G7" s="132">
        <v>8.2239482310761218</v>
      </c>
      <c r="H7" s="132">
        <v>9.4530227149160453</v>
      </c>
      <c r="I7" s="132">
        <v>9.8597691875750524</v>
      </c>
      <c r="J7" s="132">
        <v>13.660384943325376</v>
      </c>
      <c r="K7" s="132">
        <v>10.747425364053871</v>
      </c>
      <c r="L7" s="132">
        <v>13.012583019824215</v>
      </c>
      <c r="M7" s="132">
        <v>13.257839031201833</v>
      </c>
      <c r="N7" s="132">
        <v>12.074027964357025</v>
      </c>
      <c r="O7" s="132">
        <v>13.75266376360287</v>
      </c>
      <c r="P7" s="132">
        <v>13.294885297546754</v>
      </c>
      <c r="Q7" s="132">
        <v>11.258837245925857</v>
      </c>
      <c r="R7" s="132">
        <v>10.722530351784149</v>
      </c>
      <c r="S7" s="132">
        <v>12.758163896673754</v>
      </c>
      <c r="T7" s="132">
        <v>11.956210353651541</v>
      </c>
      <c r="U7" s="132">
        <v>15.328232049780851</v>
      </c>
      <c r="V7" s="132">
        <v>12.624512547033678</v>
      </c>
      <c r="W7" s="132">
        <v>14.359728242773805</v>
      </c>
      <c r="X7" s="132">
        <v>16.069017560619102</v>
      </c>
      <c r="Y7" s="132">
        <v>16.866078984226775</v>
      </c>
      <c r="DA7" s="156" t="s">
        <v>305</v>
      </c>
    </row>
    <row r="8" spans="1:105" ht="12" customHeight="1" x14ac:dyDescent="0.25">
      <c r="A8" s="131" t="s">
        <v>73</v>
      </c>
      <c r="B8" s="132">
        <v>0</v>
      </c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306</v>
      </c>
    </row>
    <row r="9" spans="1:105" ht="12" customHeight="1" x14ac:dyDescent="0.25">
      <c r="A9" s="131" t="s">
        <v>78</v>
      </c>
      <c r="B9" s="132">
        <v>0</v>
      </c>
      <c r="C9" s="132">
        <v>0</v>
      </c>
      <c r="D9" s="132">
        <v>0</v>
      </c>
      <c r="E9" s="132">
        <v>0</v>
      </c>
      <c r="F9" s="132">
        <v>0</v>
      </c>
      <c r="G9" s="132">
        <v>0</v>
      </c>
      <c r="H9" s="132">
        <v>0</v>
      </c>
      <c r="I9" s="132">
        <v>0</v>
      </c>
      <c r="J9" s="132">
        <v>0</v>
      </c>
      <c r="K9" s="132">
        <v>0.19314755185165705</v>
      </c>
      <c r="L9" s="132">
        <v>0.21111069793827805</v>
      </c>
      <c r="M9" s="132">
        <v>0.19405113776838626</v>
      </c>
      <c r="N9" s="132">
        <v>0.19447992698448674</v>
      </c>
      <c r="O9" s="132">
        <v>0.1944867156191292</v>
      </c>
      <c r="P9" s="132">
        <v>0.21225825043336402</v>
      </c>
      <c r="Q9" s="132">
        <v>0.21281795290146749</v>
      </c>
      <c r="R9" s="132">
        <v>0.29407070491429427</v>
      </c>
      <c r="S9" s="132">
        <v>0.3205232240409851</v>
      </c>
      <c r="T9" s="132">
        <v>0.87689376382821937</v>
      </c>
      <c r="U9" s="132">
        <v>1.0655828998499464</v>
      </c>
      <c r="V9" s="132">
        <v>0.40427339189727357</v>
      </c>
      <c r="W9" s="132">
        <v>0.47863439645005329</v>
      </c>
      <c r="X9" s="132">
        <v>0.56065450295245145</v>
      </c>
      <c r="Y9" s="132">
        <v>0.76580734418772989</v>
      </c>
      <c r="DA9" s="156" t="s">
        <v>307</v>
      </c>
    </row>
    <row r="10" spans="1:105" ht="12" customHeight="1" x14ac:dyDescent="0.25">
      <c r="A10" s="131" t="s">
        <v>128</v>
      </c>
      <c r="B10" s="132">
        <v>0</v>
      </c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0.15777546984273555</v>
      </c>
      <c r="J10" s="132">
        <v>0.65806141983792465</v>
      </c>
      <c r="K10" s="132">
        <v>0.76698481872698732</v>
      </c>
      <c r="L10" s="132">
        <v>0.2224253612786638</v>
      </c>
      <c r="M10" s="132">
        <v>0.39834999250084963</v>
      </c>
      <c r="N10" s="132">
        <v>0.60403844170959797</v>
      </c>
      <c r="O10" s="132">
        <v>0.55864594343286711</v>
      </c>
      <c r="P10" s="132">
        <v>0.52509193775143259</v>
      </c>
      <c r="Q10" s="132">
        <v>1.5026515148410895</v>
      </c>
      <c r="R10" s="132">
        <v>1.1310809649979208</v>
      </c>
      <c r="S10" s="132">
        <v>1.5674880912190661</v>
      </c>
      <c r="T10" s="132">
        <v>0.85984840227792736</v>
      </c>
      <c r="U10" s="132">
        <v>0.51910348380960181</v>
      </c>
      <c r="V10" s="132">
        <v>0.4750113428460418</v>
      </c>
      <c r="W10" s="132">
        <v>1.5815537827779012</v>
      </c>
      <c r="X10" s="132">
        <v>2.1582627031688473</v>
      </c>
      <c r="Y10" s="132">
        <v>1.4100587789940484</v>
      </c>
      <c r="DA10" s="156" t="s">
        <v>308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309</v>
      </c>
    </row>
    <row r="12" spans="1:105" ht="12" customHeight="1" x14ac:dyDescent="0.25">
      <c r="A12" s="131" t="s">
        <v>162</v>
      </c>
      <c r="B12" s="132">
        <v>0</v>
      </c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310</v>
      </c>
    </row>
    <row r="13" spans="1:105" ht="12" customHeight="1" x14ac:dyDescent="0.25">
      <c r="A13" s="131" t="s">
        <v>77</v>
      </c>
      <c r="B13" s="132">
        <v>0.28091204573249129</v>
      </c>
      <c r="C13" s="132">
        <v>0.96113693037366332</v>
      </c>
      <c r="D13" s="132">
        <v>1.684552222297464</v>
      </c>
      <c r="E13" s="132">
        <v>2.4957634348028845</v>
      </c>
      <c r="F13" s="132">
        <v>3.639234988486582</v>
      </c>
      <c r="G13" s="132">
        <v>5.1603549073907971</v>
      </c>
      <c r="H13" s="132">
        <v>6.2184153765330921</v>
      </c>
      <c r="I13" s="132">
        <v>7.4353376358258636</v>
      </c>
      <c r="J13" s="132">
        <v>8.1498345730630604</v>
      </c>
      <c r="K13" s="132">
        <v>10.305934850854285</v>
      </c>
      <c r="L13" s="132">
        <v>11.545155732036694</v>
      </c>
      <c r="M13" s="132">
        <v>15.033864954989365</v>
      </c>
      <c r="N13" s="132">
        <v>23.42626079445305</v>
      </c>
      <c r="O13" s="132">
        <v>44.964333339251212</v>
      </c>
      <c r="P13" s="132">
        <v>45.692139751208089</v>
      </c>
      <c r="Q13" s="132">
        <v>50.578176688233675</v>
      </c>
      <c r="R13" s="132">
        <v>50.067017206229799</v>
      </c>
      <c r="S13" s="132">
        <v>52.097805374406342</v>
      </c>
      <c r="T13" s="132">
        <v>54.476143147815151</v>
      </c>
      <c r="U13" s="132">
        <v>56.821889798294514</v>
      </c>
      <c r="V13" s="132">
        <v>52.317795890670865</v>
      </c>
      <c r="W13" s="132">
        <v>53.075131194129646</v>
      </c>
      <c r="X13" s="132">
        <v>55.23902116304555</v>
      </c>
      <c r="Y13" s="132">
        <v>55.228349565606578</v>
      </c>
      <c r="DA13" s="156" t="s">
        <v>311</v>
      </c>
    </row>
    <row r="14" spans="1:105" ht="12" customHeight="1" x14ac:dyDescent="0.25">
      <c r="A14" s="60" t="s">
        <v>76</v>
      </c>
      <c r="B14" s="65">
        <v>3.9899337018609802</v>
      </c>
      <c r="C14" s="65">
        <v>8.1554137780489295</v>
      </c>
      <c r="D14" s="65">
        <v>12.313498176605469</v>
      </c>
      <c r="E14" s="65">
        <v>12.312325812007474</v>
      </c>
      <c r="F14" s="65">
        <v>14.674816629308335</v>
      </c>
      <c r="G14" s="65">
        <v>17.180288917631547</v>
      </c>
      <c r="H14" s="65">
        <v>28.17287638505848</v>
      </c>
      <c r="I14" s="65">
        <v>29.103870045603436</v>
      </c>
      <c r="J14" s="65">
        <v>33.189111439847281</v>
      </c>
      <c r="K14" s="65">
        <v>37.221651975909857</v>
      </c>
      <c r="L14" s="65">
        <v>40.007147396197574</v>
      </c>
      <c r="M14" s="65">
        <v>36.253241569327962</v>
      </c>
      <c r="N14" s="65">
        <v>17.97745620595127</v>
      </c>
      <c r="O14" s="65">
        <v>3.4754474566516755</v>
      </c>
      <c r="P14" s="65">
        <v>7.5958613432194477</v>
      </c>
      <c r="Q14" s="65">
        <v>8.6863096175238717</v>
      </c>
      <c r="R14" s="65">
        <v>16.274304363474325</v>
      </c>
      <c r="S14" s="65">
        <v>20.746686381108276</v>
      </c>
      <c r="T14" s="65">
        <v>21.238126846745718</v>
      </c>
      <c r="U14" s="65">
        <v>27.250072739829008</v>
      </c>
      <c r="V14" s="65">
        <v>11.907308828955275</v>
      </c>
      <c r="W14" s="65">
        <v>23.442394662206365</v>
      </c>
      <c r="X14" s="65">
        <v>37.92051519063849</v>
      </c>
      <c r="Y14" s="65">
        <v>38.023517363151548</v>
      </c>
      <c r="DA14" s="109" t="s">
        <v>312</v>
      </c>
    </row>
    <row r="15" spans="1:105" ht="12" customHeight="1" x14ac:dyDescent="0.25">
      <c r="A15" s="133" t="s">
        <v>80</v>
      </c>
      <c r="B15" s="134">
        <v>0.19307650056635045</v>
      </c>
      <c r="C15" s="134">
        <v>0.19108103441048882</v>
      </c>
      <c r="D15" s="134">
        <v>0.17914174662113902</v>
      </c>
      <c r="E15" s="134">
        <v>0.18082789382684228</v>
      </c>
      <c r="F15" s="134">
        <v>0.15894019050926109</v>
      </c>
      <c r="G15" s="134">
        <v>0.14956560944096589</v>
      </c>
      <c r="H15" s="134">
        <v>0.16918812997489696</v>
      </c>
      <c r="I15" s="134">
        <v>0.17538493183736625</v>
      </c>
      <c r="J15" s="134">
        <v>0.244669673139155</v>
      </c>
      <c r="K15" s="134">
        <v>0.19689560961423147</v>
      </c>
      <c r="L15" s="134">
        <v>0.23063714280607978</v>
      </c>
      <c r="M15" s="134">
        <v>0.23507913572655084</v>
      </c>
      <c r="N15" s="134">
        <v>0.21545838829017583</v>
      </c>
      <c r="O15" s="134">
        <v>0.2424408651980712</v>
      </c>
      <c r="P15" s="134">
        <v>0.23280745352339036</v>
      </c>
      <c r="Q15" s="134">
        <v>0.20491447845912944</v>
      </c>
      <c r="R15" s="134">
        <v>0.19308840937175575</v>
      </c>
      <c r="S15" s="134">
        <v>0.22974369055495522</v>
      </c>
      <c r="T15" s="134">
        <v>0.21936863532396894</v>
      </c>
      <c r="U15" s="134">
        <v>0.27449328115636396</v>
      </c>
      <c r="V15" s="134">
        <v>0.21798421236355658</v>
      </c>
      <c r="W15" s="134">
        <v>0.25510182566743744</v>
      </c>
      <c r="X15" s="134">
        <v>0.29016050947531141</v>
      </c>
      <c r="Y15" s="134">
        <v>0.29949388361660273</v>
      </c>
      <c r="DA15" s="157" t="s">
        <v>313</v>
      </c>
    </row>
    <row r="16" spans="1:105" ht="12.95" customHeight="1" x14ac:dyDescent="0.25">
      <c r="A16" s="129" t="s">
        <v>74</v>
      </c>
      <c r="B16" s="130">
        <f t="shared" ref="B16:Q16" si="6">SUM(B17:B18)</f>
        <v>29.04427800257168</v>
      </c>
      <c r="C16" s="130">
        <f t="shared" si="6"/>
        <v>32.32060890518575</v>
      </c>
      <c r="D16" s="130">
        <f t="shared" si="6"/>
        <v>38.192514969634409</v>
      </c>
      <c r="E16" s="130">
        <f t="shared" si="6"/>
        <v>47.278680947274978</v>
      </c>
      <c r="F16" s="130">
        <f t="shared" si="6"/>
        <v>45.526492535928746</v>
      </c>
      <c r="G16" s="130">
        <f t="shared" si="6"/>
        <v>47.146637188629789</v>
      </c>
      <c r="H16" s="130">
        <f t="shared" si="6"/>
        <v>59.344558078147571</v>
      </c>
      <c r="I16" s="130">
        <f t="shared" si="6"/>
        <v>72.265248383898751</v>
      </c>
      <c r="J16" s="130">
        <f t="shared" si="6"/>
        <v>79.864800590912679</v>
      </c>
      <c r="K16" s="130">
        <f t="shared" si="6"/>
        <v>83.065981527689715</v>
      </c>
      <c r="L16" s="130">
        <f t="shared" si="6"/>
        <v>94.675592618065878</v>
      </c>
      <c r="M16" s="130">
        <f t="shared" si="6"/>
        <v>88.151453838869884</v>
      </c>
      <c r="N16" s="130">
        <f t="shared" si="6"/>
        <v>111.72961969770847</v>
      </c>
      <c r="O16" s="130">
        <f t="shared" si="6"/>
        <v>96.317746856725009</v>
      </c>
      <c r="P16" s="130">
        <f t="shared" si="6"/>
        <v>86.990729696923964</v>
      </c>
      <c r="Q16" s="130">
        <f t="shared" si="6"/>
        <v>95.59509024491048</v>
      </c>
      <c r="R16" s="130">
        <f t="shared" ref="R16:W16" si="7">SUM(R17:R18)</f>
        <v>112.00836761774444</v>
      </c>
      <c r="S16" s="130">
        <f t="shared" si="7"/>
        <v>109.72994704041851</v>
      </c>
      <c r="T16" s="130">
        <f t="shared" si="7"/>
        <v>145.27232202880623</v>
      </c>
      <c r="U16" s="130">
        <f t="shared" si="7"/>
        <v>129.05827148666486</v>
      </c>
      <c r="V16" s="130">
        <f t="shared" si="7"/>
        <v>139.54482673675602</v>
      </c>
      <c r="W16" s="130">
        <f t="shared" si="7"/>
        <v>128.85259104911216</v>
      </c>
      <c r="X16" s="130">
        <f t="shared" ref="X16:Y16" si="8">SUM(X17:X18)</f>
        <v>125.43072893399916</v>
      </c>
      <c r="Y16" s="130">
        <f t="shared" si="8"/>
        <v>142.64729078795415</v>
      </c>
      <c r="DA16" s="155" t="s">
        <v>314</v>
      </c>
    </row>
    <row r="17" spans="1:105" ht="12.95" customHeight="1" x14ac:dyDescent="0.25">
      <c r="A17" s="131" t="s">
        <v>73</v>
      </c>
      <c r="B17" s="132">
        <v>0</v>
      </c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315</v>
      </c>
    </row>
    <row r="18" spans="1:105" ht="12" customHeight="1" x14ac:dyDescent="0.25">
      <c r="A18" s="131" t="s">
        <v>72</v>
      </c>
      <c r="B18" s="132">
        <v>29.04427800257168</v>
      </c>
      <c r="C18" s="132">
        <v>32.32060890518575</v>
      </c>
      <c r="D18" s="132">
        <v>38.192514969634409</v>
      </c>
      <c r="E18" s="132">
        <v>47.278680947274978</v>
      </c>
      <c r="F18" s="132">
        <v>45.526492535928746</v>
      </c>
      <c r="G18" s="132">
        <v>47.146637188629789</v>
      </c>
      <c r="H18" s="132">
        <v>59.344558078147571</v>
      </c>
      <c r="I18" s="132">
        <v>72.265248383898751</v>
      </c>
      <c r="J18" s="132">
        <v>79.864800590912679</v>
      </c>
      <c r="K18" s="132">
        <v>83.065981527689715</v>
      </c>
      <c r="L18" s="132">
        <v>94.675592618065878</v>
      </c>
      <c r="M18" s="132">
        <v>88.151453838869884</v>
      </c>
      <c r="N18" s="132">
        <v>111.72961969770847</v>
      </c>
      <c r="O18" s="132">
        <v>96.317746856725009</v>
      </c>
      <c r="P18" s="132">
        <v>86.990729696923964</v>
      </c>
      <c r="Q18" s="132">
        <v>95.59509024491048</v>
      </c>
      <c r="R18" s="132">
        <v>112.00836761774444</v>
      </c>
      <c r="S18" s="132">
        <v>109.72994704041851</v>
      </c>
      <c r="T18" s="132">
        <v>145.27232202880623</v>
      </c>
      <c r="U18" s="132">
        <v>129.05827148666486</v>
      </c>
      <c r="V18" s="132">
        <v>139.54482673675602</v>
      </c>
      <c r="W18" s="132">
        <v>128.85259104911216</v>
      </c>
      <c r="X18" s="132">
        <v>125.43072893399916</v>
      </c>
      <c r="Y18" s="132">
        <v>142.64729078795415</v>
      </c>
      <c r="DA18" s="156" t="s">
        <v>316</v>
      </c>
    </row>
    <row r="19" spans="1:105" ht="12.95" customHeight="1" x14ac:dyDescent="0.25">
      <c r="A19" s="129" t="s">
        <v>35</v>
      </c>
      <c r="B19" s="130">
        <f t="shared" ref="B19:Q19" si="9">SUM(B20:B27)</f>
        <v>16.410940848494249</v>
      </c>
      <c r="C19" s="130">
        <f t="shared" si="9"/>
        <v>16.570923156248689</v>
      </c>
      <c r="D19" s="130">
        <f t="shared" si="9"/>
        <v>16.777340932722137</v>
      </c>
      <c r="E19" s="130">
        <f t="shared" si="9"/>
        <v>17.014796967803935</v>
      </c>
      <c r="F19" s="130">
        <f t="shared" si="9"/>
        <v>17.362257548042681</v>
      </c>
      <c r="G19" s="130">
        <f t="shared" si="9"/>
        <v>17.813374721466054</v>
      </c>
      <c r="H19" s="130">
        <f t="shared" si="9"/>
        <v>18.295580460914223</v>
      </c>
      <c r="I19" s="130">
        <f t="shared" si="9"/>
        <v>18.782409774413701</v>
      </c>
      <c r="J19" s="130">
        <f t="shared" si="9"/>
        <v>19.493756266442105</v>
      </c>
      <c r="K19" s="130">
        <f t="shared" si="9"/>
        <v>19.964791507495519</v>
      </c>
      <c r="L19" s="130">
        <f t="shared" si="9"/>
        <v>20.499580627231076</v>
      </c>
      <c r="M19" s="130">
        <f t="shared" si="9"/>
        <v>20.951034550277733</v>
      </c>
      <c r="N19" s="130">
        <f t="shared" si="9"/>
        <v>21.309579140012524</v>
      </c>
      <c r="O19" s="130">
        <f t="shared" si="9"/>
        <v>21.37051616735836</v>
      </c>
      <c r="P19" s="130">
        <f t="shared" si="9"/>
        <v>21.042161785066018</v>
      </c>
      <c r="Q19" s="130">
        <f t="shared" si="9"/>
        <v>21.006742478793733</v>
      </c>
      <c r="R19" s="130">
        <f t="shared" ref="R19:W19" si="10">SUM(R20:R27)</f>
        <v>21.312408511750025</v>
      </c>
      <c r="S19" s="130">
        <f t="shared" si="10"/>
        <v>21.283363634632746</v>
      </c>
      <c r="T19" s="130">
        <f t="shared" si="10"/>
        <v>21.522495857024502</v>
      </c>
      <c r="U19" s="130">
        <f t="shared" si="10"/>
        <v>21.499207325222635</v>
      </c>
      <c r="V19" s="130">
        <f t="shared" si="10"/>
        <v>20.470946183493638</v>
      </c>
      <c r="W19" s="130">
        <f t="shared" si="10"/>
        <v>20.874727310956303</v>
      </c>
      <c r="X19" s="130">
        <f t="shared" ref="X19:Y19" si="11">SUM(X20:X27)</f>
        <v>22.400795922328822</v>
      </c>
      <c r="Y19" s="130">
        <f t="shared" si="11"/>
        <v>24.046130337957024</v>
      </c>
      <c r="DA19" s="155" t="s">
        <v>317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318</v>
      </c>
    </row>
    <row r="21" spans="1:105" s="2" customFormat="1" ht="12" customHeight="1" x14ac:dyDescent="0.25">
      <c r="A21" s="131" t="s">
        <v>52</v>
      </c>
      <c r="B21" s="132">
        <v>0</v>
      </c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5.7838901138448557</v>
      </c>
      <c r="I21" s="132">
        <v>5.8488398917191731</v>
      </c>
      <c r="J21" s="132">
        <v>5.9373107494595656</v>
      </c>
      <c r="K21" s="132">
        <v>5.9839124738235174</v>
      </c>
      <c r="L21" s="132">
        <v>6.1794247700329077</v>
      </c>
      <c r="M21" s="132">
        <v>5.8911854409277122</v>
      </c>
      <c r="N21" s="132">
        <v>5.5653405663560553</v>
      </c>
      <c r="O21" s="132">
        <v>5.2016192397386387</v>
      </c>
      <c r="P21" s="132">
        <v>4.4180925471067116</v>
      </c>
      <c r="Q21" s="132">
        <v>4.2838240297962153</v>
      </c>
      <c r="R21" s="132">
        <v>4.3479676196338399</v>
      </c>
      <c r="S21" s="132">
        <v>4.4370439688486298</v>
      </c>
      <c r="T21" s="132">
        <v>4.2642368150316523</v>
      </c>
      <c r="U21" s="132">
        <v>4.270720298340863</v>
      </c>
      <c r="V21" s="132">
        <v>3.4041557933308333</v>
      </c>
      <c r="W21" s="132">
        <v>3.2579384071889215</v>
      </c>
      <c r="X21" s="132">
        <v>4.0559791901997002</v>
      </c>
      <c r="Y21" s="132">
        <v>4.2440332453723331</v>
      </c>
      <c r="DA21" s="156" t="s">
        <v>319</v>
      </c>
    </row>
    <row r="22" spans="1:105" ht="12" customHeight="1" x14ac:dyDescent="0.25">
      <c r="A22" s="131" t="s">
        <v>161</v>
      </c>
      <c r="B22" s="132">
        <v>0.51002939508359046</v>
      </c>
      <c r="C22" s="132">
        <v>0.51496609899859258</v>
      </c>
      <c r="D22" s="132">
        <v>0.51706834488141828</v>
      </c>
      <c r="E22" s="132">
        <v>0.51468071287869244</v>
      </c>
      <c r="F22" s="132">
        <v>0.5190790210211117</v>
      </c>
      <c r="G22" s="132">
        <v>0.52240056386648759</v>
      </c>
      <c r="H22" s="132">
        <v>0.51767684317071416</v>
      </c>
      <c r="I22" s="132">
        <v>0.51136380299916129</v>
      </c>
      <c r="J22" s="132">
        <v>0.50654064275775679</v>
      </c>
      <c r="K22" s="132">
        <v>0.50916942792950581</v>
      </c>
      <c r="L22" s="132">
        <v>0.51235873664404752</v>
      </c>
      <c r="M22" s="132">
        <v>0.52042485550061635</v>
      </c>
      <c r="N22" s="132">
        <v>0.53258584456331937</v>
      </c>
      <c r="O22" s="132">
        <v>0.53302658149740945</v>
      </c>
      <c r="P22" s="132">
        <v>0.53899743821673396</v>
      </c>
      <c r="Q22" s="132">
        <v>0.54286682365383576</v>
      </c>
      <c r="R22" s="132">
        <v>0.5572688499233498</v>
      </c>
      <c r="S22" s="132">
        <v>0.56338506304804004</v>
      </c>
      <c r="T22" s="132">
        <v>0.58513059888360641</v>
      </c>
      <c r="U22" s="132">
        <v>0.60341089996978392</v>
      </c>
      <c r="V22" s="132">
        <v>0.56421771225834094</v>
      </c>
      <c r="W22" s="132">
        <v>0.62986135191978565</v>
      </c>
      <c r="X22" s="132">
        <v>0.74510620971483721</v>
      </c>
      <c r="Y22" s="132">
        <v>0.77464511218123955</v>
      </c>
      <c r="DA22" s="156" t="s">
        <v>320</v>
      </c>
    </row>
    <row r="23" spans="1:105" ht="12" customHeight="1" x14ac:dyDescent="0.25">
      <c r="A23" s="131" t="s">
        <v>149</v>
      </c>
      <c r="B23" s="132">
        <v>0</v>
      </c>
      <c r="C23" s="132">
        <v>0</v>
      </c>
      <c r="D23" s="132">
        <v>0</v>
      </c>
      <c r="E23" s="132">
        <v>0</v>
      </c>
      <c r="F23" s="132">
        <v>0</v>
      </c>
      <c r="G23" s="132">
        <v>0</v>
      </c>
      <c r="H23" s="132">
        <v>0</v>
      </c>
      <c r="I23" s="132">
        <v>0</v>
      </c>
      <c r="J23" s="132">
        <v>0</v>
      </c>
      <c r="K23" s="132">
        <v>0</v>
      </c>
      <c r="L23" s="132">
        <v>0</v>
      </c>
      <c r="M23" s="132">
        <v>0</v>
      </c>
      <c r="N23" s="132">
        <v>0</v>
      </c>
      <c r="O23" s="132">
        <v>0</v>
      </c>
      <c r="P23" s="132">
        <v>0</v>
      </c>
      <c r="Q23" s="132">
        <v>0</v>
      </c>
      <c r="R23" s="132">
        <v>0</v>
      </c>
      <c r="S23" s="132">
        <v>0</v>
      </c>
      <c r="T23" s="132">
        <v>0</v>
      </c>
      <c r="U23" s="132">
        <v>0</v>
      </c>
      <c r="V23" s="132">
        <v>0</v>
      </c>
      <c r="W23" s="132">
        <v>0</v>
      </c>
      <c r="X23" s="132">
        <v>0</v>
      </c>
      <c r="Y23" s="132">
        <v>0</v>
      </c>
      <c r="DA23" s="156" t="s">
        <v>321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322</v>
      </c>
    </row>
    <row r="25" spans="1:105" ht="12" customHeight="1" x14ac:dyDescent="0.25">
      <c r="A25" s="131" t="s">
        <v>162</v>
      </c>
      <c r="B25" s="132">
        <v>0</v>
      </c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323</v>
      </c>
    </row>
    <row r="26" spans="1:105" ht="12" customHeight="1" x14ac:dyDescent="0.25">
      <c r="A26" s="131" t="s">
        <v>24</v>
      </c>
      <c r="B26" s="65">
        <v>10.666345519851729</v>
      </c>
      <c r="C26" s="65">
        <v>10.979907503366162</v>
      </c>
      <c r="D26" s="65">
        <v>11.067986143068705</v>
      </c>
      <c r="E26" s="65">
        <v>11.170440493561314</v>
      </c>
      <c r="F26" s="65">
        <v>11.002724946413675</v>
      </c>
      <c r="G26" s="65">
        <v>11.200432455106016</v>
      </c>
      <c r="H26" s="65">
        <v>5.6646067971058764</v>
      </c>
      <c r="I26" s="65">
        <v>4.5880702241493614</v>
      </c>
      <c r="J26" s="65">
        <v>4.6425102052651974</v>
      </c>
      <c r="K26" s="65">
        <v>4.7777285223375117</v>
      </c>
      <c r="L26" s="65">
        <v>4.6838934232196454</v>
      </c>
      <c r="M26" s="65">
        <v>5.1289341420695322</v>
      </c>
      <c r="N26" s="65">
        <v>5.5383939156795678</v>
      </c>
      <c r="O26" s="65">
        <v>5.771553923078466</v>
      </c>
      <c r="P26" s="65">
        <v>6.0774191772146251</v>
      </c>
      <c r="Q26" s="65">
        <v>6.0052450905199546</v>
      </c>
      <c r="R26" s="65">
        <v>6.0651256105505267</v>
      </c>
      <c r="S26" s="65">
        <v>5.7506044221685721</v>
      </c>
      <c r="T26" s="65">
        <v>5.9248911258263632</v>
      </c>
      <c r="U26" s="65">
        <v>5.7140701079953855</v>
      </c>
      <c r="V26" s="65">
        <v>5.4072158421349092</v>
      </c>
      <c r="W26" s="65">
        <v>5.6979335707641896</v>
      </c>
      <c r="X26" s="65">
        <v>8.398764692663633</v>
      </c>
      <c r="Y26" s="65">
        <v>9.7308053767920981</v>
      </c>
      <c r="DA26" s="109" t="s">
        <v>324</v>
      </c>
    </row>
    <row r="27" spans="1:105" ht="12" customHeight="1" x14ac:dyDescent="0.25">
      <c r="A27" s="144" t="s">
        <v>26</v>
      </c>
      <c r="B27" s="145">
        <v>5.2345659335589305</v>
      </c>
      <c r="C27" s="145">
        <v>5.0760495538839336</v>
      </c>
      <c r="D27" s="145">
        <v>5.192286444772015</v>
      </c>
      <c r="E27" s="145">
        <v>5.3296757613639292</v>
      </c>
      <c r="F27" s="145">
        <v>5.8404535806078943</v>
      </c>
      <c r="G27" s="145">
        <v>6.0905417024935495</v>
      </c>
      <c r="H27" s="145">
        <v>6.3294067067927786</v>
      </c>
      <c r="I27" s="145">
        <v>7.8341358555460037</v>
      </c>
      <c r="J27" s="145">
        <v>8.4073946689595846</v>
      </c>
      <c r="K27" s="145">
        <v>8.6939810834049869</v>
      </c>
      <c r="L27" s="145">
        <v>9.1239036973344767</v>
      </c>
      <c r="M27" s="145">
        <v>9.41049011177987</v>
      </c>
      <c r="N27" s="145">
        <v>9.6732588134135824</v>
      </c>
      <c r="O27" s="145">
        <v>9.8643164230438458</v>
      </c>
      <c r="P27" s="145">
        <v>10.007652622527946</v>
      </c>
      <c r="Q27" s="145">
        <v>10.174806534823729</v>
      </c>
      <c r="R27" s="145">
        <v>10.342046431642309</v>
      </c>
      <c r="S27" s="145">
        <v>10.532330180567504</v>
      </c>
      <c r="T27" s="145">
        <v>10.748237317282879</v>
      </c>
      <c r="U27" s="145">
        <v>10.911006018916602</v>
      </c>
      <c r="V27" s="145">
        <v>11.095356835769556</v>
      </c>
      <c r="W27" s="145">
        <v>11.288993981083408</v>
      </c>
      <c r="X27" s="145">
        <v>9.2009458297506512</v>
      </c>
      <c r="Y27" s="145">
        <v>9.2966466036113555</v>
      </c>
      <c r="DA27" s="158" t="s">
        <v>325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15.870536807035448</v>
      </c>
      <c r="C29" s="130">
        <f t="shared" si="12"/>
        <v>16.093615629422665</v>
      </c>
      <c r="D29" s="130">
        <f t="shared" si="12"/>
        <v>16.399205891662888</v>
      </c>
      <c r="E29" s="130">
        <f t="shared" si="12"/>
        <v>16.793268659992794</v>
      </c>
      <c r="F29" s="130">
        <f t="shared" si="12"/>
        <v>17.485652809958008</v>
      </c>
      <c r="G29" s="130">
        <f t="shared" si="12"/>
        <v>18.110594395078547</v>
      </c>
      <c r="H29" s="130">
        <f t="shared" si="12"/>
        <v>18.657841912508733</v>
      </c>
      <c r="I29" s="130">
        <f t="shared" si="12"/>
        <v>19.228256777069525</v>
      </c>
      <c r="J29" s="130">
        <f t="shared" si="12"/>
        <v>19.949088400142443</v>
      </c>
      <c r="K29" s="130">
        <f t="shared" si="12"/>
        <v>20.472493205713036</v>
      </c>
      <c r="L29" s="130">
        <f t="shared" si="12"/>
        <v>20.858458069970752</v>
      </c>
      <c r="M29" s="130">
        <f t="shared" si="12"/>
        <v>21.301438764930744</v>
      </c>
      <c r="N29" s="130">
        <f t="shared" si="12"/>
        <v>21.743616558932317</v>
      </c>
      <c r="O29" s="130">
        <f t="shared" si="12"/>
        <v>21.390567148484077</v>
      </c>
      <c r="P29" s="130">
        <f t="shared" si="12"/>
        <v>21.472131106709824</v>
      </c>
      <c r="Q29" s="130">
        <f t="shared" si="12"/>
        <v>21.30454243146988</v>
      </c>
      <c r="R29" s="130">
        <f t="shared" ref="R29:W29" si="13">SUM(R30:R33)</f>
        <v>21.513788536796817</v>
      </c>
      <c r="S29" s="130">
        <f t="shared" si="13"/>
        <v>21.752624970335809</v>
      </c>
      <c r="T29" s="130">
        <f t="shared" si="13"/>
        <v>22.25982133499118</v>
      </c>
      <c r="U29" s="130">
        <f t="shared" si="13"/>
        <v>22.610386522501891</v>
      </c>
      <c r="V29" s="130">
        <f t="shared" si="13"/>
        <v>20.303921892879384</v>
      </c>
      <c r="W29" s="130">
        <f t="shared" si="13"/>
        <v>21.374363788513961</v>
      </c>
      <c r="X29" s="130">
        <f t="shared" ref="X29:Y29" si="14">SUM(X30:X33)</f>
        <v>22.961764065509019</v>
      </c>
      <c r="Y29" s="130">
        <f t="shared" si="14"/>
        <v>24.662338862514325</v>
      </c>
      <c r="DA29" s="155" t="s">
        <v>326</v>
      </c>
    </row>
    <row r="30" spans="1:105" ht="12" customHeight="1" x14ac:dyDescent="0.25">
      <c r="A30" s="131" t="s">
        <v>52</v>
      </c>
      <c r="B30" s="132">
        <v>0</v>
      </c>
      <c r="C30" s="132">
        <v>0</v>
      </c>
      <c r="D30" s="132">
        <v>0</v>
      </c>
      <c r="E30" s="132">
        <v>0</v>
      </c>
      <c r="F30" s="132">
        <v>0</v>
      </c>
      <c r="G30" s="132">
        <v>0</v>
      </c>
      <c r="H30" s="132">
        <v>3.56097748742084</v>
      </c>
      <c r="I30" s="132">
        <v>3.5031954599580768</v>
      </c>
      <c r="J30" s="132">
        <v>4.118685543687489</v>
      </c>
      <c r="K30" s="132">
        <v>3.3810860375017162</v>
      </c>
      <c r="L30" s="132">
        <v>3.1983517973265125</v>
      </c>
      <c r="M30" s="132">
        <v>4.1663751179671733</v>
      </c>
      <c r="N30" s="132">
        <v>4.474810767965586</v>
      </c>
      <c r="O30" s="132">
        <v>4.1236627183153916</v>
      </c>
      <c r="P30" s="132">
        <v>3.4740560303739376</v>
      </c>
      <c r="Q30" s="132">
        <v>4.2972831666558102</v>
      </c>
      <c r="R30" s="132">
        <v>4.2426461944202813</v>
      </c>
      <c r="S30" s="132">
        <v>5.9213905419246702</v>
      </c>
      <c r="T30" s="132">
        <v>6.2697988754843044</v>
      </c>
      <c r="U30" s="132">
        <v>7.8532606588867901</v>
      </c>
      <c r="V30" s="132">
        <v>5.6412158921584314</v>
      </c>
      <c r="W30" s="132">
        <v>4.8463959115553346</v>
      </c>
      <c r="X30" s="132">
        <v>5.7610424051181761</v>
      </c>
      <c r="Y30" s="132">
        <v>5.0784915651246267</v>
      </c>
      <c r="DA30" s="156" t="s">
        <v>327</v>
      </c>
    </row>
    <row r="31" spans="1:105" ht="12" customHeight="1" x14ac:dyDescent="0.25">
      <c r="A31" s="131" t="s">
        <v>149</v>
      </c>
      <c r="B31" s="132">
        <v>0</v>
      </c>
      <c r="C31" s="132">
        <v>0</v>
      </c>
      <c r="D31" s="132">
        <v>0</v>
      </c>
      <c r="E31" s="132">
        <v>0</v>
      </c>
      <c r="F31" s="132">
        <v>0</v>
      </c>
      <c r="G31" s="132">
        <v>0</v>
      </c>
      <c r="H31" s="132">
        <v>0</v>
      </c>
      <c r="I31" s="132">
        <v>0</v>
      </c>
      <c r="J31" s="132">
        <v>0</v>
      </c>
      <c r="K31" s="132">
        <v>0</v>
      </c>
      <c r="L31" s="132">
        <v>0</v>
      </c>
      <c r="M31" s="132">
        <v>0</v>
      </c>
      <c r="N31" s="132">
        <v>0</v>
      </c>
      <c r="O31" s="132">
        <v>0</v>
      </c>
      <c r="P31" s="132">
        <v>0</v>
      </c>
      <c r="Q31" s="132">
        <v>0</v>
      </c>
      <c r="R31" s="132">
        <v>0</v>
      </c>
      <c r="S31" s="132">
        <v>0</v>
      </c>
      <c r="T31" s="132">
        <v>0</v>
      </c>
      <c r="U31" s="132">
        <v>0</v>
      </c>
      <c r="V31" s="132">
        <v>0</v>
      </c>
      <c r="W31" s="132">
        <v>0</v>
      </c>
      <c r="X31" s="132">
        <v>0</v>
      </c>
      <c r="Y31" s="132">
        <v>0</v>
      </c>
      <c r="DA31" s="156" t="s">
        <v>328</v>
      </c>
    </row>
    <row r="32" spans="1:105" ht="12" customHeight="1" x14ac:dyDescent="0.25">
      <c r="A32" s="131" t="s">
        <v>128</v>
      </c>
      <c r="B32" s="132">
        <v>1.0001474773288297</v>
      </c>
      <c r="C32" s="132">
        <v>1.0021226515092418</v>
      </c>
      <c r="D32" s="132">
        <v>1.4061829776501569</v>
      </c>
      <c r="E32" s="132">
        <v>1.4084799281272395</v>
      </c>
      <c r="F32" s="132">
        <v>1.6831767584659898</v>
      </c>
      <c r="G32" s="132">
        <v>2.1069528729504645</v>
      </c>
      <c r="H32" s="132">
        <v>2.109298522719532</v>
      </c>
      <c r="I32" s="132">
        <v>2.9561747206259654</v>
      </c>
      <c r="J32" s="132">
        <v>2.9584258238589221</v>
      </c>
      <c r="K32" s="132">
        <v>2.9166133647130139</v>
      </c>
      <c r="L32" s="132">
        <v>2.9180699817069016</v>
      </c>
      <c r="M32" s="132">
        <v>2.9187574849510529</v>
      </c>
      <c r="N32" s="132">
        <v>2.9196864392155155</v>
      </c>
      <c r="O32" s="132">
        <v>2.9208724278317479</v>
      </c>
      <c r="P32" s="132">
        <v>2.9221069617177164</v>
      </c>
      <c r="Q32" s="132">
        <v>2.8424223018733423</v>
      </c>
      <c r="R32" s="132">
        <v>2.8452254386346425</v>
      </c>
      <c r="S32" s="132">
        <v>2.8794176573733266</v>
      </c>
      <c r="T32" s="132">
        <v>2.9284601842100284</v>
      </c>
      <c r="U32" s="132">
        <v>3.577870353596722</v>
      </c>
      <c r="V32" s="132">
        <v>3.534664657787602</v>
      </c>
      <c r="W32" s="132">
        <v>2.389437115039176</v>
      </c>
      <c r="X32" s="132">
        <v>2.6689409980723249</v>
      </c>
      <c r="Y32" s="132">
        <v>2.4325374605569148</v>
      </c>
      <c r="DA32" s="156" t="s">
        <v>329</v>
      </c>
    </row>
    <row r="33" spans="1:105" ht="12" customHeight="1" x14ac:dyDescent="0.25">
      <c r="A33" s="62" t="s">
        <v>24</v>
      </c>
      <c r="B33" s="68">
        <v>14.870389329706619</v>
      </c>
      <c r="C33" s="68">
        <v>15.091492977913424</v>
      </c>
      <c r="D33" s="68">
        <v>14.993022914012732</v>
      </c>
      <c r="E33" s="68">
        <v>15.384788731865553</v>
      </c>
      <c r="F33" s="68">
        <v>15.802476051492018</v>
      </c>
      <c r="G33" s="68">
        <v>16.003641522128081</v>
      </c>
      <c r="H33" s="68">
        <v>12.987565902368361</v>
      </c>
      <c r="I33" s="68">
        <v>12.768886596485482</v>
      </c>
      <c r="J33" s="68">
        <v>12.87197703259603</v>
      </c>
      <c r="K33" s="68">
        <v>14.174793803498304</v>
      </c>
      <c r="L33" s="68">
        <v>14.742036290937335</v>
      </c>
      <c r="M33" s="68">
        <v>14.216306162012517</v>
      </c>
      <c r="N33" s="68">
        <v>14.349119351751217</v>
      </c>
      <c r="O33" s="68">
        <v>14.346032002336937</v>
      </c>
      <c r="P33" s="68">
        <v>15.075968114618171</v>
      </c>
      <c r="Q33" s="68">
        <v>14.164836962940727</v>
      </c>
      <c r="R33" s="68">
        <v>14.425916903741895</v>
      </c>
      <c r="S33" s="68">
        <v>12.951816771037814</v>
      </c>
      <c r="T33" s="68">
        <v>13.061562275296849</v>
      </c>
      <c r="U33" s="68">
        <v>11.179255510018379</v>
      </c>
      <c r="V33" s="68">
        <v>11.128041342933351</v>
      </c>
      <c r="W33" s="68">
        <v>14.13853076191945</v>
      </c>
      <c r="X33" s="68">
        <v>14.531780662318518</v>
      </c>
      <c r="Y33" s="68">
        <v>17.151309836832784</v>
      </c>
      <c r="DA33" s="111" t="s">
        <v>330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>
        <f>IF(SER_hh_tes!B3=0,"",SER_hh_tes!B3/SER_hh_fec!B3)</f>
        <v>0.77726643941514661</v>
      </c>
      <c r="C3" s="126">
        <f>IF(SER_hh_tes!C3=0,"",SER_hh_tes!C3/SER_hh_fec!C3)</f>
        <v>0.79526239233428064</v>
      </c>
      <c r="D3" s="126">
        <f>IF(SER_hh_tes!D3=0,"",SER_hh_tes!D3/SER_hh_fec!D3)</f>
        <v>0.83005614226724744</v>
      </c>
      <c r="E3" s="126">
        <f>IF(SER_hh_tes!E3=0,"",SER_hh_tes!E3/SER_hh_fec!E3)</f>
        <v>0.88711127827720082</v>
      </c>
      <c r="F3" s="126">
        <f>IF(SER_hh_tes!F3=0,"",SER_hh_tes!F3/SER_hh_fec!F3)</f>
        <v>0.89573072691016431</v>
      </c>
      <c r="G3" s="126">
        <f>IF(SER_hh_tes!G3=0,"",SER_hh_tes!G3/SER_hh_fec!G3)</f>
        <v>0.91118744067457302</v>
      </c>
      <c r="H3" s="126">
        <f>IF(SER_hh_tes!H3=0,"",SER_hh_tes!H3/SER_hh_fec!H3)</f>
        <v>0.92903659882607958</v>
      </c>
      <c r="I3" s="126">
        <f>IF(SER_hh_tes!I3=0,"",SER_hh_tes!I3/SER_hh_fec!I3)</f>
        <v>0.99023434422220091</v>
      </c>
      <c r="J3" s="126">
        <f>IF(SER_hh_tes!J3=0,"",SER_hh_tes!J3/SER_hh_fec!J3)</f>
        <v>0.98030128273305384</v>
      </c>
      <c r="K3" s="126">
        <f>IF(SER_hh_tes!K3=0,"",SER_hh_tes!K3/SER_hh_fec!K3)</f>
        <v>1.020031215367355</v>
      </c>
      <c r="L3" s="126">
        <f>IF(SER_hh_tes!L3=0,"",SER_hh_tes!L3/SER_hh_fec!L3)</f>
        <v>1.0562046180018738</v>
      </c>
      <c r="M3" s="126">
        <f>IF(SER_hh_tes!M3=0,"",SER_hh_tes!M3/SER_hh_fec!M3)</f>
        <v>1.0722023583136426</v>
      </c>
      <c r="N3" s="126">
        <f>IF(SER_hh_tes!N3=0,"",SER_hh_tes!N3/SER_hh_fec!N3)</f>
        <v>1.3159946871095989</v>
      </c>
      <c r="O3" s="126">
        <f>IF(SER_hh_tes!O3=0,"",SER_hh_tes!O3/SER_hh_fec!O3)</f>
        <v>1.4593458058177089</v>
      </c>
      <c r="P3" s="126">
        <f>IF(SER_hh_tes!P3=0,"",SER_hh_tes!P3/SER_hh_fec!P3)</f>
        <v>1.4115605099685049</v>
      </c>
      <c r="Q3" s="126">
        <f>IF(SER_hh_tes!Q3=0,"",SER_hh_tes!Q3/SER_hh_fec!Q3)</f>
        <v>1.481716855049849</v>
      </c>
      <c r="R3" s="126">
        <f>IF(SER_hh_tes!R3=0,"",SER_hh_tes!R3/SER_hh_fec!R3)</f>
        <v>1.5035616774638343</v>
      </c>
      <c r="S3" s="126">
        <f>IF(SER_hh_tes!S3=0,"",SER_hh_tes!S3/SER_hh_fec!S3)</f>
        <v>1.4501965284075649</v>
      </c>
      <c r="T3" s="126">
        <f>IF(SER_hh_tes!T3=0,"",SER_hh_tes!T3/SER_hh_fec!T3)</f>
        <v>1.6174027003367362</v>
      </c>
      <c r="U3" s="126">
        <f>IF(SER_hh_tes!U3=0,"",SER_hh_tes!U3/SER_hh_fec!U3)</f>
        <v>1.5020795595670975</v>
      </c>
      <c r="V3" s="126">
        <f>IF(SER_hh_tes!V3=0,"",SER_hh_tes!V3/SER_hh_fec!V3)</f>
        <v>1.7586488014895365</v>
      </c>
      <c r="W3" s="126">
        <f>IF(SER_hh_tes!W3=0,"",SER_hh_tes!W3/SER_hh_fec!W3)</f>
        <v>1.6069300648904743</v>
      </c>
      <c r="X3" s="126">
        <f>IF(SER_hh_tes!X3=0,"",SER_hh_tes!X3/SER_hh_fec!X3)</f>
        <v>1.4898906213075367</v>
      </c>
      <c r="Y3" s="126">
        <f>IF(SER_hh_tes!Y3=0,"",SER_hh_tes!Y3/SER_hh_fec!Y3)</f>
        <v>1.5609404098668564</v>
      </c>
      <c r="DA3" s="161" t="s">
        <v>239</v>
      </c>
    </row>
    <row r="4" spans="1:105" ht="12.95" customHeight="1" x14ac:dyDescent="0.25">
      <c r="A4" s="129" t="s">
        <v>32</v>
      </c>
      <c r="B4" s="135">
        <f>IF(SER_hh_tes!B4=0,"",SER_hh_tes!B4/SER_hh_fec!B4)</f>
        <v>0.43769782962811815</v>
      </c>
      <c r="C4" s="135">
        <f>IF(SER_hh_tes!C4=0,"",SER_hh_tes!C4/SER_hh_fec!C4)</f>
        <v>0.47645200304860924</v>
      </c>
      <c r="D4" s="135">
        <f>IF(SER_hh_tes!D4=0,"",SER_hh_tes!D4/SER_hh_fec!D4)</f>
        <v>0.50842724774396664</v>
      </c>
      <c r="E4" s="135">
        <f>IF(SER_hh_tes!E4=0,"",SER_hh_tes!E4/SER_hh_fec!E4)</f>
        <v>0.52091059195756984</v>
      </c>
      <c r="F4" s="135">
        <f>IF(SER_hh_tes!F4=0,"",SER_hh_tes!F4/SER_hh_fec!F4)</f>
        <v>0.5525177732836114</v>
      </c>
      <c r="G4" s="135">
        <f>IF(SER_hh_tes!G4=0,"",SER_hh_tes!G4/SER_hh_fec!G4)</f>
        <v>0.58161955733930071</v>
      </c>
      <c r="H4" s="135">
        <f>IF(SER_hh_tes!H4=0,"",SER_hh_tes!H4/SER_hh_fec!H4)</f>
        <v>0.59090967876131761</v>
      </c>
      <c r="I4" s="135">
        <f>IF(SER_hh_tes!I4=0,"",SER_hh_tes!I4/SER_hh_fec!I4)</f>
        <v>0.60126452480750014</v>
      </c>
      <c r="J4" s="135">
        <f>IF(SER_hh_tes!J4=0,"",SER_hh_tes!J4/SER_hh_fec!J4)</f>
        <v>0.58959108741523703</v>
      </c>
      <c r="K4" s="135">
        <f>IF(SER_hh_tes!K4=0,"",SER_hh_tes!K4/SER_hh_fec!K4)</f>
        <v>0.63097968250520997</v>
      </c>
      <c r="L4" s="135">
        <f>IF(SER_hh_tes!L4=0,"",SER_hh_tes!L4/SER_hh_fec!L4)</f>
        <v>0.64104905069945894</v>
      </c>
      <c r="M4" s="135">
        <f>IF(SER_hh_tes!M4=0,"",SER_hh_tes!M4/SER_hh_fec!M4)</f>
        <v>0.68191725959811045</v>
      </c>
      <c r="N4" s="135">
        <f>IF(SER_hh_tes!N4=0,"",SER_hh_tes!N4/SER_hh_fec!N4)</f>
        <v>0.83462468408251811</v>
      </c>
      <c r="O4" s="135">
        <f>IF(SER_hh_tes!O4=0,"",SER_hh_tes!O4/SER_hh_fec!O4)</f>
        <v>1.2267046833493471</v>
      </c>
      <c r="P4" s="135">
        <f>IF(SER_hh_tes!P4=0,"",SER_hh_tes!P4/SER_hh_fec!P4)</f>
        <v>1.1858501388240048</v>
      </c>
      <c r="Q4" s="135">
        <f>IF(SER_hh_tes!Q4=0,"",SER_hh_tes!Q4/SER_hh_fec!Q4)</f>
        <v>1.2481136460693056</v>
      </c>
      <c r="R4" s="135">
        <f>IF(SER_hh_tes!R4=0,"",SER_hh_tes!R4/SER_hh_fec!R4)</f>
        <v>1.1645356056374978</v>
      </c>
      <c r="S4" s="135">
        <f>IF(SER_hh_tes!S4=0,"",SER_hh_tes!S4/SER_hh_fec!S4)</f>
        <v>1.1077728556248019</v>
      </c>
      <c r="T4" s="135">
        <f>IF(SER_hh_tes!T4=0,"",SER_hh_tes!T4/SER_hh_fec!T4)</f>
        <v>1.1590890119589807</v>
      </c>
      <c r="U4" s="135">
        <f>IF(SER_hh_tes!U4=0,"",SER_hh_tes!U4/SER_hh_fec!U4)</f>
        <v>1.0999499428031654</v>
      </c>
      <c r="V4" s="135">
        <f>IF(SER_hh_tes!V4=0,"",SER_hh_tes!V4/SER_hh_fec!V4)</f>
        <v>1.2903812977408013</v>
      </c>
      <c r="W4" s="135">
        <f>IF(SER_hh_tes!W4=0,"",SER_hh_tes!W4/SER_hh_fec!W4)</f>
        <v>1.150476539206847</v>
      </c>
      <c r="X4" s="135">
        <f>IF(SER_hh_tes!X4=0,"",SER_hh_tes!X4/SER_hh_fec!X4)</f>
        <v>1.085003611779537</v>
      </c>
      <c r="Y4" s="135">
        <f>IF(SER_hh_tes!Y4=0,"",SER_hh_tes!Y4/SER_hh_fec!Y4)</f>
        <v>1.1085421676733784</v>
      </c>
      <c r="DA4" s="162" t="s">
        <v>240</v>
      </c>
    </row>
    <row r="5" spans="1:105" ht="12" customHeight="1" x14ac:dyDescent="0.25">
      <c r="A5" s="131" t="s">
        <v>29</v>
      </c>
      <c r="B5" s="136" t="str">
        <f>IF(SER_hh_tes!B5=0,"",SER_hh_tes!B5/SER_hh_fec!B5)</f>
        <v/>
      </c>
      <c r="C5" s="136" t="str">
        <f>IF(SER_hh_tes!C5=0,"",SER_hh_tes!C5/SER_hh_fec!C5)</f>
        <v/>
      </c>
      <c r="D5" s="136" t="str">
        <f>IF(SER_hh_tes!D5=0,"",SER_hh_tes!D5/SER_hh_fec!D5)</f>
        <v/>
      </c>
      <c r="E5" s="136" t="str">
        <f>IF(SER_hh_tes!E5=0,"",SER_hh_tes!E5/SER_hh_fec!E5)</f>
        <v/>
      </c>
      <c r="F5" s="136" t="str">
        <f>IF(SER_hh_tes!F5=0,"",SER_hh_tes!F5/SER_hh_fec!F5)</f>
        <v/>
      </c>
      <c r="G5" s="136" t="str">
        <f>IF(SER_hh_tes!G5=0,"",SER_hh_tes!G5/SER_hh_fec!G5)</f>
        <v/>
      </c>
      <c r="H5" s="136" t="str">
        <f>IF(SER_hh_tes!H5=0,"",SER_hh_tes!H5/SER_hh_fec!H5)</f>
        <v/>
      </c>
      <c r="I5" s="136" t="str">
        <f>IF(SER_hh_tes!I5=0,"",SER_hh_tes!I5/SER_hh_fec!I5)</f>
        <v/>
      </c>
      <c r="J5" s="136" t="str">
        <f>IF(SER_hh_tes!J5=0,"",SER_hh_tes!J5/SER_hh_fec!J5)</f>
        <v/>
      </c>
      <c r="K5" s="136" t="str">
        <f>IF(SER_hh_tes!K5=0,"",SER_hh_tes!K5/SER_hh_fec!K5)</f>
        <v/>
      </c>
      <c r="L5" s="136" t="str">
        <f>IF(SER_hh_tes!L5=0,"",SER_hh_tes!L5/SER_hh_fec!L5)</f>
        <v/>
      </c>
      <c r="M5" s="136" t="str">
        <f>IF(SER_hh_tes!M5=0,"",SER_hh_tes!M5/SER_hh_fec!M5)</f>
        <v/>
      </c>
      <c r="N5" s="136" t="str">
        <f>IF(SER_hh_tes!N5=0,"",SER_hh_tes!N5/SER_hh_fec!N5)</f>
        <v/>
      </c>
      <c r="O5" s="136" t="str">
        <f>IF(SER_hh_tes!O5=0,"",SER_hh_tes!O5/SER_hh_fec!O5)</f>
        <v/>
      </c>
      <c r="P5" s="136" t="str">
        <f>IF(SER_hh_tes!P5=0,"",SER_hh_tes!P5/SER_hh_fec!P5)</f>
        <v/>
      </c>
      <c r="Q5" s="136" t="str">
        <f>IF(SER_hh_tes!Q5=0,"",SER_hh_tes!Q5/SER_hh_fec!Q5)</f>
        <v/>
      </c>
      <c r="R5" s="136" t="str">
        <f>IF(SER_hh_tes!R5=0,"",SER_hh_tes!R5/SER_hh_fec!R5)</f>
        <v/>
      </c>
      <c r="S5" s="136" t="str">
        <f>IF(SER_hh_tes!S5=0,"",SER_hh_tes!S5/SER_hh_fec!S5)</f>
        <v/>
      </c>
      <c r="T5" s="136" t="str">
        <f>IF(SER_hh_tes!T5=0,"",SER_hh_tes!T5/SER_hh_fec!T5)</f>
        <v/>
      </c>
      <c r="U5" s="136" t="str">
        <f>IF(SER_hh_tes!U5=0,"",SER_hh_tes!U5/SER_hh_fec!U5)</f>
        <v/>
      </c>
      <c r="V5" s="136" t="str">
        <f>IF(SER_hh_tes!V5=0,"",SER_hh_tes!V5/SER_hh_fec!V5)</f>
        <v/>
      </c>
      <c r="W5" s="136" t="str">
        <f>IF(SER_hh_tes!W5=0,"",SER_hh_tes!W5/SER_hh_fec!W5)</f>
        <v/>
      </c>
      <c r="X5" s="136" t="str">
        <f>IF(SER_hh_tes!X5=0,"",SER_hh_tes!X5/SER_hh_fec!X5)</f>
        <v/>
      </c>
      <c r="Y5" s="136" t="str">
        <f>IF(SER_hh_tes!Y5=0,"",SER_hh_tes!Y5/SER_hh_fec!Y5)</f>
        <v/>
      </c>
      <c r="DA5" s="163" t="s">
        <v>332</v>
      </c>
    </row>
    <row r="6" spans="1:105" ht="12" customHeight="1" x14ac:dyDescent="0.25">
      <c r="A6" s="131" t="s">
        <v>52</v>
      </c>
      <c r="B6" s="136" t="str">
        <f>IF(SER_hh_tes!B6=0,"",SER_hh_tes!B6/SER_hh_fec!B6)</f>
        <v/>
      </c>
      <c r="C6" s="136" t="str">
        <f>IF(SER_hh_tes!C6=0,"",SER_hh_tes!C6/SER_hh_fec!C6)</f>
        <v/>
      </c>
      <c r="D6" s="136" t="str">
        <f>IF(SER_hh_tes!D6=0,"",SER_hh_tes!D6/SER_hh_fec!D6)</f>
        <v/>
      </c>
      <c r="E6" s="136" t="str">
        <f>IF(SER_hh_tes!E6=0,"",SER_hh_tes!E6/SER_hh_fec!E6)</f>
        <v/>
      </c>
      <c r="F6" s="136" t="str">
        <f>IF(SER_hh_tes!F6=0,"",SER_hh_tes!F6/SER_hh_fec!F6)</f>
        <v/>
      </c>
      <c r="G6" s="136" t="str">
        <f>IF(SER_hh_tes!G6=0,"",SER_hh_tes!G6/SER_hh_fec!G6)</f>
        <v/>
      </c>
      <c r="H6" s="136" t="str">
        <f>IF(SER_hh_tes!H6=0,"",SER_hh_tes!H6/SER_hh_fec!H6)</f>
        <v/>
      </c>
      <c r="I6" s="136" t="str">
        <f>IF(SER_hh_tes!I6=0,"",SER_hh_tes!I6/SER_hh_fec!I6)</f>
        <v/>
      </c>
      <c r="J6" s="136" t="str">
        <f>IF(SER_hh_tes!J6=0,"",SER_hh_tes!J6/SER_hh_fec!J6)</f>
        <v/>
      </c>
      <c r="K6" s="136" t="str">
        <f>IF(SER_hh_tes!K6=0,"",SER_hh_tes!K6/SER_hh_fec!K6)</f>
        <v/>
      </c>
      <c r="L6" s="136" t="str">
        <f>IF(SER_hh_tes!L6=0,"",SER_hh_tes!L6/SER_hh_fec!L6)</f>
        <v/>
      </c>
      <c r="M6" s="136" t="str">
        <f>IF(SER_hh_tes!M6=0,"",SER_hh_tes!M6/SER_hh_fec!M6)</f>
        <v/>
      </c>
      <c r="N6" s="136" t="str">
        <f>IF(SER_hh_tes!N6=0,"",SER_hh_tes!N6/SER_hh_fec!N6)</f>
        <v/>
      </c>
      <c r="O6" s="136" t="str">
        <f>IF(SER_hh_tes!O6=0,"",SER_hh_tes!O6/SER_hh_fec!O6)</f>
        <v/>
      </c>
      <c r="P6" s="136" t="str">
        <f>IF(SER_hh_tes!P6=0,"",SER_hh_tes!P6/SER_hh_fec!P6)</f>
        <v/>
      </c>
      <c r="Q6" s="136" t="str">
        <f>IF(SER_hh_tes!Q6=0,"",SER_hh_tes!Q6/SER_hh_fec!Q6)</f>
        <v/>
      </c>
      <c r="R6" s="136" t="str">
        <f>IF(SER_hh_tes!R6=0,"",SER_hh_tes!R6/SER_hh_fec!R6)</f>
        <v/>
      </c>
      <c r="S6" s="136" t="str">
        <f>IF(SER_hh_tes!S6=0,"",SER_hh_tes!S6/SER_hh_fec!S6)</f>
        <v/>
      </c>
      <c r="T6" s="136" t="str">
        <f>IF(SER_hh_tes!T6=0,"",SER_hh_tes!T6/SER_hh_fec!T6)</f>
        <v/>
      </c>
      <c r="U6" s="136" t="str">
        <f>IF(SER_hh_tes!U6=0,"",SER_hh_tes!U6/SER_hh_fec!U6)</f>
        <v/>
      </c>
      <c r="V6" s="136" t="str">
        <f>IF(SER_hh_tes!V6=0,"",SER_hh_tes!V6/SER_hh_fec!V6)</f>
        <v/>
      </c>
      <c r="W6" s="136" t="str">
        <f>IF(SER_hh_tes!W6=0,"",SER_hh_tes!W6/SER_hh_fec!W6)</f>
        <v/>
      </c>
      <c r="X6" s="136" t="str">
        <f>IF(SER_hh_tes!X6=0,"",SER_hh_tes!X6/SER_hh_fec!X6)</f>
        <v/>
      </c>
      <c r="Y6" s="136" t="str">
        <f>IF(SER_hh_tes!Y6=0,"",SER_hh_tes!Y6/SER_hh_fec!Y6)</f>
        <v/>
      </c>
      <c r="DA6" s="163" t="s">
        <v>333</v>
      </c>
    </row>
    <row r="7" spans="1:105" ht="12" customHeight="1" x14ac:dyDescent="0.25">
      <c r="A7" s="131" t="s">
        <v>161</v>
      </c>
      <c r="B7" s="136">
        <f>IF(SER_hh_tes!B7=0,"",SER_hh_tes!B7/SER_hh_fec!B7)</f>
        <v>0.38803942964871835</v>
      </c>
      <c r="C7" s="136">
        <f>IF(SER_hh_tes!C7=0,"",SER_hh_tes!C7/SER_hh_fec!C7)</f>
        <v>0.38803942964871835</v>
      </c>
      <c r="D7" s="136">
        <f>IF(SER_hh_tes!D7=0,"",SER_hh_tes!D7/SER_hh_fec!D7)</f>
        <v>0.38803942964871835</v>
      </c>
      <c r="E7" s="136">
        <f>IF(SER_hh_tes!E7=0,"",SER_hh_tes!E7/SER_hh_fec!E7)</f>
        <v>0.38803942964871835</v>
      </c>
      <c r="F7" s="136">
        <f>IF(SER_hh_tes!F7=0,"",SER_hh_tes!F7/SER_hh_fec!F7)</f>
        <v>0.38803942964871835</v>
      </c>
      <c r="G7" s="136">
        <f>IF(SER_hh_tes!G7=0,"",SER_hh_tes!G7/SER_hh_fec!G7)</f>
        <v>0.38803942964871835</v>
      </c>
      <c r="H7" s="136">
        <f>IF(SER_hh_tes!H7=0,"",SER_hh_tes!H7/SER_hh_fec!H7)</f>
        <v>0.38803942964871835</v>
      </c>
      <c r="I7" s="136">
        <f>IF(SER_hh_tes!I7=0,"",SER_hh_tes!I7/SER_hh_fec!I7)</f>
        <v>0.38803942964871835</v>
      </c>
      <c r="J7" s="136">
        <f>IF(SER_hh_tes!J7=0,"",SER_hh_tes!J7/SER_hh_fec!J7)</f>
        <v>0.39404340874757843</v>
      </c>
      <c r="K7" s="136">
        <f>IF(SER_hh_tes!K7=0,"",SER_hh_tes!K7/SER_hh_fec!K7)</f>
        <v>0.40604569796654022</v>
      </c>
      <c r="L7" s="136">
        <f>IF(SER_hh_tes!L7=0,"",SER_hh_tes!L7/SER_hh_fec!L7)</f>
        <v>0.4252932724186988</v>
      </c>
      <c r="M7" s="136">
        <f>IF(SER_hh_tes!M7=0,"",SER_hh_tes!M7/SER_hh_fec!M7)</f>
        <v>0.4482955754651492</v>
      </c>
      <c r="N7" s="136">
        <f>IF(SER_hh_tes!N7=0,"",SER_hh_tes!N7/SER_hh_fec!N7)</f>
        <v>0.4773269363461165</v>
      </c>
      <c r="O7" s="136">
        <f>IF(SER_hh_tes!O7=0,"",SER_hh_tes!O7/SER_hh_fec!O7)</f>
        <v>0.50367248986999347</v>
      </c>
      <c r="P7" s="136">
        <f>IF(SER_hh_tes!P7=0,"",SER_hh_tes!P7/SER_hh_fec!P7)</f>
        <v>0.50381651598632771</v>
      </c>
      <c r="Q7" s="136">
        <f>IF(SER_hh_tes!Q7=0,"",SER_hh_tes!Q7/SER_hh_fec!Q7)</f>
        <v>0.5038165159863276</v>
      </c>
      <c r="R7" s="136">
        <f>IF(SER_hh_tes!R7=0,"",SER_hh_tes!R7/SER_hh_fec!R7)</f>
        <v>0.50381651598632793</v>
      </c>
      <c r="S7" s="136">
        <f>IF(SER_hh_tes!S7=0,"",SER_hh_tes!S7/SER_hh_fec!S7)</f>
        <v>0.5038165159863276</v>
      </c>
      <c r="T7" s="136">
        <f>IF(SER_hh_tes!T7=0,"",SER_hh_tes!T7/SER_hh_fec!T7)</f>
        <v>0.50492973843800859</v>
      </c>
      <c r="U7" s="136">
        <f>IF(SER_hh_tes!U7=0,"",SER_hh_tes!U7/SER_hh_fec!U7)</f>
        <v>0.51050758467024526</v>
      </c>
      <c r="V7" s="136">
        <f>IF(SER_hh_tes!V7=0,"",SER_hh_tes!V7/SER_hh_fec!V7)</f>
        <v>0.51539642302447253</v>
      </c>
      <c r="W7" s="136">
        <f>IF(SER_hh_tes!W7=0,"",SER_hh_tes!W7/SER_hh_fec!W7)</f>
        <v>0.52050272128195352</v>
      </c>
      <c r="X7" s="136">
        <f>IF(SER_hh_tes!X7=0,"",SER_hh_tes!X7/SER_hh_fec!X7)</f>
        <v>0.52746567370699093</v>
      </c>
      <c r="Y7" s="136">
        <f>IF(SER_hh_tes!Y7=0,"",SER_hh_tes!Y7/SER_hh_fec!Y7)</f>
        <v>0.54262439408697494</v>
      </c>
      <c r="DA7" s="163" t="s">
        <v>334</v>
      </c>
    </row>
    <row r="8" spans="1:105" ht="12" customHeight="1" x14ac:dyDescent="0.25">
      <c r="A8" s="131" t="s">
        <v>73</v>
      </c>
      <c r="B8" s="136" t="str">
        <f>IF(SER_hh_tes!B8=0,"",SER_hh_tes!B8/SER_hh_fec!B8)</f>
        <v/>
      </c>
      <c r="C8" s="136" t="str">
        <f>IF(SER_hh_tes!C8=0,"",SER_hh_tes!C8/SER_hh_fec!C8)</f>
        <v/>
      </c>
      <c r="D8" s="136" t="str">
        <f>IF(SER_hh_tes!D8=0,"",SER_hh_tes!D8/SER_hh_fec!D8)</f>
        <v/>
      </c>
      <c r="E8" s="136" t="str">
        <f>IF(SER_hh_tes!E8=0,"",SER_hh_tes!E8/SER_hh_fec!E8)</f>
        <v/>
      </c>
      <c r="F8" s="136" t="str">
        <f>IF(SER_hh_tes!F8=0,"",SER_hh_tes!F8/SER_hh_fec!F8)</f>
        <v/>
      </c>
      <c r="G8" s="136" t="str">
        <f>IF(SER_hh_tes!G8=0,"",SER_hh_tes!G8/SER_hh_fec!G8)</f>
        <v/>
      </c>
      <c r="H8" s="136" t="str">
        <f>IF(SER_hh_tes!H8=0,"",SER_hh_tes!H8/SER_hh_fec!H8)</f>
        <v/>
      </c>
      <c r="I8" s="136" t="str">
        <f>IF(SER_hh_tes!I8=0,"",SER_hh_tes!I8/SER_hh_fec!I8)</f>
        <v/>
      </c>
      <c r="J8" s="136" t="str">
        <f>IF(SER_hh_tes!J8=0,"",SER_hh_tes!J8/SER_hh_fec!J8)</f>
        <v/>
      </c>
      <c r="K8" s="136" t="str">
        <f>IF(SER_hh_tes!K8=0,"",SER_hh_tes!K8/SER_hh_fec!K8)</f>
        <v/>
      </c>
      <c r="L8" s="136" t="str">
        <f>IF(SER_hh_tes!L8=0,"",SER_hh_tes!L8/SER_hh_fec!L8)</f>
        <v/>
      </c>
      <c r="M8" s="136" t="str">
        <f>IF(SER_hh_tes!M8=0,"",SER_hh_tes!M8/SER_hh_fec!M8)</f>
        <v/>
      </c>
      <c r="N8" s="136" t="str">
        <f>IF(SER_hh_tes!N8=0,"",SER_hh_tes!N8/SER_hh_fec!N8)</f>
        <v/>
      </c>
      <c r="O8" s="136" t="str">
        <f>IF(SER_hh_tes!O8=0,"",SER_hh_tes!O8/SER_hh_fec!O8)</f>
        <v/>
      </c>
      <c r="P8" s="136" t="str">
        <f>IF(SER_hh_tes!P8=0,"",SER_hh_tes!P8/SER_hh_fec!P8)</f>
        <v/>
      </c>
      <c r="Q8" s="136" t="str">
        <f>IF(SER_hh_tes!Q8=0,"",SER_hh_tes!Q8/SER_hh_fec!Q8)</f>
        <v/>
      </c>
      <c r="R8" s="136" t="str">
        <f>IF(SER_hh_tes!R8=0,"",SER_hh_tes!R8/SER_hh_fec!R8)</f>
        <v/>
      </c>
      <c r="S8" s="136" t="str">
        <f>IF(SER_hh_tes!S8=0,"",SER_hh_tes!S8/SER_hh_fec!S8)</f>
        <v/>
      </c>
      <c r="T8" s="136" t="str">
        <f>IF(SER_hh_tes!T8=0,"",SER_hh_tes!T8/SER_hh_fec!T8)</f>
        <v/>
      </c>
      <c r="U8" s="136" t="str">
        <f>IF(SER_hh_tes!U8=0,"",SER_hh_tes!U8/SER_hh_fec!U8)</f>
        <v/>
      </c>
      <c r="V8" s="136" t="str">
        <f>IF(SER_hh_tes!V8=0,"",SER_hh_tes!V8/SER_hh_fec!V8)</f>
        <v/>
      </c>
      <c r="W8" s="136" t="str">
        <f>IF(SER_hh_tes!W8=0,"",SER_hh_tes!W8/SER_hh_fec!W8)</f>
        <v/>
      </c>
      <c r="X8" s="136" t="str">
        <f>IF(SER_hh_tes!X8=0,"",SER_hh_tes!X8/SER_hh_fec!X8)</f>
        <v/>
      </c>
      <c r="Y8" s="136" t="str">
        <f>IF(SER_hh_tes!Y8=0,"",SER_hh_tes!Y8/SER_hh_fec!Y8)</f>
        <v/>
      </c>
      <c r="DA8" s="163" t="s">
        <v>335</v>
      </c>
    </row>
    <row r="9" spans="1:105" ht="12" customHeight="1" x14ac:dyDescent="0.25">
      <c r="A9" s="131" t="s">
        <v>78</v>
      </c>
      <c r="B9" s="136" t="str">
        <f>IF(SER_hh_tes!B9=0,"",SER_hh_tes!B9/SER_hh_fec!B9)</f>
        <v/>
      </c>
      <c r="C9" s="136" t="str">
        <f>IF(SER_hh_tes!C9=0,"",SER_hh_tes!C9/SER_hh_fec!C9)</f>
        <v/>
      </c>
      <c r="D9" s="136" t="str">
        <f>IF(SER_hh_tes!D9=0,"",SER_hh_tes!D9/SER_hh_fec!D9)</f>
        <v/>
      </c>
      <c r="E9" s="136" t="str">
        <f>IF(SER_hh_tes!E9=0,"",SER_hh_tes!E9/SER_hh_fec!E9)</f>
        <v/>
      </c>
      <c r="F9" s="136" t="str">
        <f>IF(SER_hh_tes!F9=0,"",SER_hh_tes!F9/SER_hh_fec!F9)</f>
        <v/>
      </c>
      <c r="G9" s="136" t="str">
        <f>IF(SER_hh_tes!G9=0,"",SER_hh_tes!G9/SER_hh_fec!G9)</f>
        <v/>
      </c>
      <c r="H9" s="136" t="str">
        <f>IF(SER_hh_tes!H9=0,"",SER_hh_tes!H9/SER_hh_fec!H9)</f>
        <v/>
      </c>
      <c r="I9" s="136" t="str">
        <f>IF(SER_hh_tes!I9=0,"",SER_hh_tes!I9/SER_hh_fec!I9)</f>
        <v/>
      </c>
      <c r="J9" s="136" t="str">
        <f>IF(SER_hh_tes!J9=0,"",SER_hh_tes!J9/SER_hh_fec!J9)</f>
        <v/>
      </c>
      <c r="K9" s="136">
        <f>IF(SER_hh_tes!K9=0,"",SER_hh_tes!K9/SER_hh_fec!K9)</f>
        <v>0.73504778404279181</v>
      </c>
      <c r="L9" s="136">
        <f>IF(SER_hh_tes!L9=0,"",SER_hh_tes!L9/SER_hh_fec!L9)</f>
        <v>0.73663888899555163</v>
      </c>
      <c r="M9" s="136">
        <f>IF(SER_hh_tes!M9=0,"",SER_hh_tes!M9/SER_hh_fec!M9)</f>
        <v>0.73848649615390438</v>
      </c>
      <c r="N9" s="136">
        <f>IF(SER_hh_tes!N9=0,"",SER_hh_tes!N9/SER_hh_fec!N9)</f>
        <v>0.74011830851753291</v>
      </c>
      <c r="O9" s="136">
        <f>IF(SER_hh_tes!O9=0,"",SER_hh_tes!O9/SER_hh_fec!O9)</f>
        <v>0.74014414353745783</v>
      </c>
      <c r="P9" s="136">
        <f>IF(SER_hh_tes!P9=0,"",SER_hh_tes!P9/SER_hh_fec!P9)</f>
        <v>0.74064310007201428</v>
      </c>
      <c r="Q9" s="136">
        <f>IF(SER_hh_tes!Q9=0,"",SER_hh_tes!Q9/SER_hh_fec!Q9)</f>
        <v>0.74259609728294806</v>
      </c>
      <c r="R9" s="136">
        <f>IF(SER_hh_tes!R9=0,"",SER_hh_tes!R9/SER_hh_fec!R9)</f>
        <v>0.76958647573205297</v>
      </c>
      <c r="S9" s="136">
        <f>IF(SER_hh_tes!S9=0,"",SER_hh_tes!S9/SER_hh_fec!S9)</f>
        <v>0.79924637555674449</v>
      </c>
      <c r="T9" s="136">
        <f>IF(SER_hh_tes!T9=0,"",SER_hh_tes!T9/SER_hh_fec!T9)</f>
        <v>0.82297243974517387</v>
      </c>
      <c r="U9" s="136">
        <f>IF(SER_hh_tes!U9=0,"",SER_hh_tes!U9/SER_hh_fec!U9)</f>
        <v>0.83183844309671628</v>
      </c>
      <c r="V9" s="136">
        <f>IF(SER_hh_tes!V9=0,"",SER_hh_tes!V9/SER_hh_fec!V9)</f>
        <v>0.83913966585138178</v>
      </c>
      <c r="W9" s="136">
        <f>IF(SER_hh_tes!W9=0,"",SER_hh_tes!W9/SER_hh_fec!W9)</f>
        <v>0.84842524473618652</v>
      </c>
      <c r="X9" s="136">
        <f>IF(SER_hh_tes!X9=0,"",SER_hh_tes!X9/SER_hh_fec!X9)</f>
        <v>0.85637140390557076</v>
      </c>
      <c r="Y9" s="136">
        <f>IF(SER_hh_tes!Y9=0,"",SER_hh_tes!Y9/SER_hh_fec!Y9)</f>
        <v>0.86469314688381615</v>
      </c>
      <c r="DA9" s="163" t="s">
        <v>336</v>
      </c>
    </row>
    <row r="10" spans="1:105" ht="12" customHeight="1" x14ac:dyDescent="0.25">
      <c r="A10" s="131" t="s">
        <v>128</v>
      </c>
      <c r="B10" s="136" t="str">
        <f>IF(SER_hh_tes!B10=0,"",SER_hh_tes!B10/SER_hh_fec!B10)</f>
        <v/>
      </c>
      <c r="C10" s="136" t="str">
        <f>IF(SER_hh_tes!C10=0,"",SER_hh_tes!C10/SER_hh_fec!C10)</f>
        <v/>
      </c>
      <c r="D10" s="136" t="str">
        <f>IF(SER_hh_tes!D10=0,"",SER_hh_tes!D10/SER_hh_fec!D10)</f>
        <v/>
      </c>
      <c r="E10" s="136" t="str">
        <f>IF(SER_hh_tes!E10=0,"",SER_hh_tes!E10/SER_hh_fec!E10)</f>
        <v/>
      </c>
      <c r="F10" s="136" t="str">
        <f>IF(SER_hh_tes!F10=0,"",SER_hh_tes!F10/SER_hh_fec!F10)</f>
        <v/>
      </c>
      <c r="G10" s="136" t="str">
        <f>IF(SER_hh_tes!G10=0,"",SER_hh_tes!G10/SER_hh_fec!G10)</f>
        <v/>
      </c>
      <c r="H10" s="136" t="str">
        <f>IF(SER_hh_tes!H10=0,"",SER_hh_tes!H10/SER_hh_fec!H10)</f>
        <v/>
      </c>
      <c r="I10" s="136">
        <f>IF(SER_hh_tes!I10=0,"",SER_hh_tes!I10/SER_hh_fec!I10)</f>
        <v>0.47182533151735845</v>
      </c>
      <c r="J10" s="136">
        <f>IF(SER_hh_tes!J10=0,"",SER_hh_tes!J10/SER_hh_fec!J10)</f>
        <v>0.47503285411923946</v>
      </c>
      <c r="K10" s="136">
        <f>IF(SER_hh_tes!K10=0,"",SER_hh_tes!K10/SER_hh_fec!K10)</f>
        <v>0.47503586410376553</v>
      </c>
      <c r="L10" s="136">
        <f>IF(SER_hh_tes!L10=0,"",SER_hh_tes!L10/SER_hh_fec!L10)</f>
        <v>0.47511423275738479</v>
      </c>
      <c r="M10" s="136">
        <f>IF(SER_hh_tes!M10=0,"",SER_hh_tes!M10/SER_hh_fec!M10)</f>
        <v>0.47649912706322162</v>
      </c>
      <c r="N10" s="136">
        <f>IF(SER_hh_tes!N10=0,"",SER_hh_tes!N10/SER_hh_fec!N10)</f>
        <v>0.48167019164616232</v>
      </c>
      <c r="O10" s="136">
        <f>IF(SER_hh_tes!O10=0,"",SER_hh_tes!O10/SER_hh_fec!O10)</f>
        <v>0.48748854423333882</v>
      </c>
      <c r="P10" s="136">
        <f>IF(SER_hh_tes!P10=0,"",SER_hh_tes!P10/SER_hh_fec!P10)</f>
        <v>0.492898821273419</v>
      </c>
      <c r="Q10" s="136">
        <f>IF(SER_hh_tes!Q10=0,"",SER_hh_tes!Q10/SER_hh_fec!Q10)</f>
        <v>0.50235245250091598</v>
      </c>
      <c r="R10" s="136">
        <f>IF(SER_hh_tes!R10=0,"",SER_hh_tes!R10/SER_hh_fec!R10)</f>
        <v>0.50355899486758038</v>
      </c>
      <c r="S10" s="136">
        <f>IF(SER_hh_tes!S10=0,"",SER_hh_tes!S10/SER_hh_fec!S10)</f>
        <v>0.50442408690862628</v>
      </c>
      <c r="T10" s="136">
        <f>IF(SER_hh_tes!T10=0,"",SER_hh_tes!T10/SER_hh_fec!T10)</f>
        <v>0.50553748134534526</v>
      </c>
      <c r="U10" s="136">
        <f>IF(SER_hh_tes!U10=0,"",SER_hh_tes!U10/SER_hh_fec!U10)</f>
        <v>0.50553748134534571</v>
      </c>
      <c r="V10" s="136">
        <f>IF(SER_hh_tes!V10=0,"",SER_hh_tes!V10/SER_hh_fec!V10)</f>
        <v>0.50795319139809259</v>
      </c>
      <c r="W10" s="136">
        <f>IF(SER_hh_tes!W10=0,"",SER_hh_tes!W10/SER_hh_fec!W10)</f>
        <v>0.5239110884615179</v>
      </c>
      <c r="X10" s="136">
        <f>IF(SER_hh_tes!X10=0,"",SER_hh_tes!X10/SER_hh_fec!X10)</f>
        <v>0.54334997051376144</v>
      </c>
      <c r="Y10" s="136">
        <f>IF(SER_hh_tes!Y10=0,"",SER_hh_tes!Y10/SER_hh_fec!Y10)</f>
        <v>0.55471310759059722</v>
      </c>
      <c r="DA10" s="163" t="s">
        <v>337</v>
      </c>
    </row>
    <row r="11" spans="1:105" ht="12" customHeight="1" x14ac:dyDescent="0.25">
      <c r="A11" s="131" t="s">
        <v>25</v>
      </c>
      <c r="B11" s="136" t="str">
        <f>IF(SER_hh_tes!B11=0,"",SER_hh_tes!B11/SER_hh_fec!B11)</f>
        <v/>
      </c>
      <c r="C11" s="136" t="str">
        <f>IF(SER_hh_tes!C11=0,"",SER_hh_tes!C11/SER_hh_fec!C11)</f>
        <v/>
      </c>
      <c r="D11" s="136" t="str">
        <f>IF(SER_hh_tes!D11=0,"",SER_hh_tes!D11/SER_hh_fec!D11)</f>
        <v/>
      </c>
      <c r="E11" s="136" t="str">
        <f>IF(SER_hh_tes!E11=0,"",SER_hh_tes!E11/SER_hh_fec!E11)</f>
        <v/>
      </c>
      <c r="F11" s="136" t="str">
        <f>IF(SER_hh_tes!F11=0,"",SER_hh_tes!F11/SER_hh_fec!F11)</f>
        <v/>
      </c>
      <c r="G11" s="136" t="str">
        <f>IF(SER_hh_tes!G11=0,"",SER_hh_tes!G11/SER_hh_fec!G11)</f>
        <v/>
      </c>
      <c r="H11" s="136" t="str">
        <f>IF(SER_hh_tes!H11=0,"",SER_hh_tes!H11/SER_hh_fec!H11)</f>
        <v/>
      </c>
      <c r="I11" s="136" t="str">
        <f>IF(SER_hh_tes!I11=0,"",SER_hh_tes!I11/SER_hh_fec!I11)</f>
        <v/>
      </c>
      <c r="J11" s="136" t="str">
        <f>IF(SER_hh_tes!J11=0,"",SER_hh_tes!J11/SER_hh_fec!J11)</f>
        <v/>
      </c>
      <c r="K11" s="136" t="str">
        <f>IF(SER_hh_tes!K11=0,"",SER_hh_tes!K11/SER_hh_fec!K11)</f>
        <v/>
      </c>
      <c r="L11" s="136" t="str">
        <f>IF(SER_hh_tes!L11=0,"",SER_hh_tes!L11/SER_hh_fec!L11)</f>
        <v/>
      </c>
      <c r="M11" s="136" t="str">
        <f>IF(SER_hh_tes!M11=0,"",SER_hh_tes!M11/SER_hh_fec!M11)</f>
        <v/>
      </c>
      <c r="N11" s="136" t="str">
        <f>IF(SER_hh_tes!N11=0,"",SER_hh_tes!N11/SER_hh_fec!N11)</f>
        <v/>
      </c>
      <c r="O11" s="136" t="str">
        <f>IF(SER_hh_tes!O11=0,"",SER_hh_tes!O11/SER_hh_fec!O11)</f>
        <v/>
      </c>
      <c r="P11" s="136" t="str">
        <f>IF(SER_hh_tes!P11=0,"",SER_hh_tes!P11/SER_hh_fec!P11)</f>
        <v/>
      </c>
      <c r="Q11" s="136" t="str">
        <f>IF(SER_hh_tes!Q11=0,"",SER_hh_tes!Q11/SER_hh_fec!Q11)</f>
        <v/>
      </c>
      <c r="R11" s="136" t="str">
        <f>IF(SER_hh_tes!R11=0,"",SER_hh_tes!R11/SER_hh_fec!R11)</f>
        <v/>
      </c>
      <c r="S11" s="136" t="str">
        <f>IF(SER_hh_tes!S11=0,"",SER_hh_tes!S11/SER_hh_fec!S11)</f>
        <v/>
      </c>
      <c r="T11" s="136" t="str">
        <f>IF(SER_hh_tes!T11=0,"",SER_hh_tes!T11/SER_hh_fec!T11)</f>
        <v/>
      </c>
      <c r="U11" s="136" t="str">
        <f>IF(SER_hh_tes!U11=0,"",SER_hh_tes!U11/SER_hh_fec!U11)</f>
        <v/>
      </c>
      <c r="V11" s="136" t="str">
        <f>IF(SER_hh_tes!V11=0,"",SER_hh_tes!V11/SER_hh_fec!V11)</f>
        <v/>
      </c>
      <c r="W11" s="136" t="str">
        <f>IF(SER_hh_tes!W11=0,"",SER_hh_tes!W11/SER_hh_fec!W11)</f>
        <v/>
      </c>
      <c r="X11" s="136" t="str">
        <f>IF(SER_hh_tes!X11=0,"",SER_hh_tes!X11/SER_hh_fec!X11)</f>
        <v/>
      </c>
      <c r="Y11" s="136" t="str">
        <f>IF(SER_hh_tes!Y11=0,"",SER_hh_tes!Y11/SER_hh_fec!Y11)</f>
        <v/>
      </c>
      <c r="DA11" s="163" t="s">
        <v>338</v>
      </c>
    </row>
    <row r="12" spans="1:105" ht="12" customHeight="1" x14ac:dyDescent="0.25">
      <c r="A12" s="131" t="s">
        <v>162</v>
      </c>
      <c r="B12" s="136" t="str">
        <f>IF(SER_hh_tes!B12=0,"",SER_hh_tes!B12/SER_hh_fec!B12)</f>
        <v/>
      </c>
      <c r="C12" s="136" t="str">
        <f>IF(SER_hh_tes!C12=0,"",SER_hh_tes!C12/SER_hh_fec!C12)</f>
        <v/>
      </c>
      <c r="D12" s="136" t="str">
        <f>IF(SER_hh_tes!D12=0,"",SER_hh_tes!D12/SER_hh_fec!D12)</f>
        <v/>
      </c>
      <c r="E12" s="136" t="str">
        <f>IF(SER_hh_tes!E12=0,"",SER_hh_tes!E12/SER_hh_fec!E12)</f>
        <v/>
      </c>
      <c r="F12" s="136" t="str">
        <f>IF(SER_hh_tes!F12=0,"",SER_hh_tes!F12/SER_hh_fec!F12)</f>
        <v/>
      </c>
      <c r="G12" s="136" t="str">
        <f>IF(SER_hh_tes!G12=0,"",SER_hh_tes!G12/SER_hh_fec!G12)</f>
        <v/>
      </c>
      <c r="H12" s="136" t="str">
        <f>IF(SER_hh_tes!H12=0,"",SER_hh_tes!H12/SER_hh_fec!H12)</f>
        <v/>
      </c>
      <c r="I12" s="136" t="str">
        <f>IF(SER_hh_tes!I12=0,"",SER_hh_tes!I12/SER_hh_fec!I12)</f>
        <v/>
      </c>
      <c r="J12" s="136" t="str">
        <f>IF(SER_hh_tes!J12=0,"",SER_hh_tes!J12/SER_hh_fec!J12)</f>
        <v/>
      </c>
      <c r="K12" s="136" t="str">
        <f>IF(SER_hh_tes!K12=0,"",SER_hh_tes!K12/SER_hh_fec!K12)</f>
        <v/>
      </c>
      <c r="L12" s="136" t="str">
        <f>IF(SER_hh_tes!L12=0,"",SER_hh_tes!L12/SER_hh_fec!L12)</f>
        <v/>
      </c>
      <c r="M12" s="136" t="str">
        <f>IF(SER_hh_tes!M12=0,"",SER_hh_tes!M12/SER_hh_fec!M12)</f>
        <v/>
      </c>
      <c r="N12" s="136" t="str">
        <f>IF(SER_hh_tes!N12=0,"",SER_hh_tes!N12/SER_hh_fec!N12)</f>
        <v/>
      </c>
      <c r="O12" s="136" t="str">
        <f>IF(SER_hh_tes!O12=0,"",SER_hh_tes!O12/SER_hh_fec!O12)</f>
        <v/>
      </c>
      <c r="P12" s="136" t="str">
        <f>IF(SER_hh_tes!P12=0,"",SER_hh_tes!P12/SER_hh_fec!P12)</f>
        <v/>
      </c>
      <c r="Q12" s="136" t="str">
        <f>IF(SER_hh_tes!Q12=0,"",SER_hh_tes!Q12/SER_hh_fec!Q12)</f>
        <v/>
      </c>
      <c r="R12" s="136" t="str">
        <f>IF(SER_hh_tes!R12=0,"",SER_hh_tes!R12/SER_hh_fec!R12)</f>
        <v/>
      </c>
      <c r="S12" s="136" t="str">
        <f>IF(SER_hh_tes!S12=0,"",SER_hh_tes!S12/SER_hh_fec!S12)</f>
        <v/>
      </c>
      <c r="T12" s="136" t="str">
        <f>IF(SER_hh_tes!T12=0,"",SER_hh_tes!T12/SER_hh_fec!T12)</f>
        <v/>
      </c>
      <c r="U12" s="136" t="str">
        <f>IF(SER_hh_tes!U12=0,"",SER_hh_tes!U12/SER_hh_fec!U12)</f>
        <v/>
      </c>
      <c r="V12" s="136" t="str">
        <f>IF(SER_hh_tes!V12=0,"",SER_hh_tes!V12/SER_hh_fec!V12)</f>
        <v/>
      </c>
      <c r="W12" s="136" t="str">
        <f>IF(SER_hh_tes!W12=0,"",SER_hh_tes!W12/SER_hh_fec!W12)</f>
        <v/>
      </c>
      <c r="X12" s="136" t="str">
        <f>IF(SER_hh_tes!X12=0,"",SER_hh_tes!X12/SER_hh_fec!X12)</f>
        <v/>
      </c>
      <c r="Y12" s="136" t="str">
        <f>IF(SER_hh_tes!Y12=0,"",SER_hh_tes!Y12/SER_hh_fec!Y12)</f>
        <v/>
      </c>
      <c r="DA12" s="163" t="s">
        <v>339</v>
      </c>
    </row>
    <row r="13" spans="1:105" ht="12" customHeight="1" x14ac:dyDescent="0.25">
      <c r="A13" s="131" t="s">
        <v>77</v>
      </c>
      <c r="B13" s="136">
        <f>IF(SER_hh_tes!B13=0,"",SER_hh_tes!B13/SER_hh_fec!B13)</f>
        <v>1.3295136906444696</v>
      </c>
      <c r="C13" s="136">
        <f>IF(SER_hh_tes!C13=0,"",SER_hh_tes!C13/SER_hh_fec!C13)</f>
        <v>1.4622821094716665</v>
      </c>
      <c r="D13" s="136">
        <f>IF(SER_hh_tes!D13=0,"",SER_hh_tes!D13/SER_hh_fec!D13)</f>
        <v>1.5788437901562586</v>
      </c>
      <c r="E13" s="136">
        <f>IF(SER_hh_tes!E13=0,"",SER_hh_tes!E13/SER_hh_fec!E13)</f>
        <v>1.6685953342835971</v>
      </c>
      <c r="F13" s="136">
        <f>IF(SER_hh_tes!F13=0,"",SER_hh_tes!F13/SER_hh_fec!F13)</f>
        <v>1.7368225344139641</v>
      </c>
      <c r="G13" s="136">
        <f>IF(SER_hh_tes!G13=0,"",SER_hh_tes!G13/SER_hh_fec!G13)</f>
        <v>1.7917818033044033</v>
      </c>
      <c r="H13" s="136">
        <f>IF(SER_hh_tes!H13=0,"",SER_hh_tes!H13/SER_hh_fec!H13)</f>
        <v>1.8162688778132541</v>
      </c>
      <c r="I13" s="136">
        <f>IF(SER_hh_tes!I13=0,"",SER_hh_tes!I13/SER_hh_fec!I13)</f>
        <v>1.8539492562391369</v>
      </c>
      <c r="J13" s="136">
        <f>IF(SER_hh_tes!J13=0,"",SER_hh_tes!J13/SER_hh_fec!J13)</f>
        <v>1.8890524242647351</v>
      </c>
      <c r="K13" s="136">
        <f>IF(SER_hh_tes!K13=0,"",SER_hh_tes!K13/SER_hh_fec!K13)</f>
        <v>1.9674098596832235</v>
      </c>
      <c r="L13" s="136">
        <f>IF(SER_hh_tes!L13=0,"",SER_hh_tes!L13/SER_hh_fec!L13)</f>
        <v>2.0909267094437074</v>
      </c>
      <c r="M13" s="136">
        <f>IF(SER_hh_tes!M13=0,"",SER_hh_tes!M13/SER_hh_fec!M13)</f>
        <v>2.2873534880410822</v>
      </c>
      <c r="N13" s="136">
        <f>IF(SER_hh_tes!N13=0,"",SER_hh_tes!N13/SER_hh_fec!N13)</f>
        <v>2.4911730010788515</v>
      </c>
      <c r="O13" s="136">
        <f>IF(SER_hh_tes!O13=0,"",SER_hh_tes!O13/SER_hh_fec!O13)</f>
        <v>2.6458946223195881</v>
      </c>
      <c r="P13" s="136">
        <f>IF(SER_hh_tes!P13=0,"",SER_hh_tes!P13/SER_hh_fec!P13)</f>
        <v>2.7132896789312237</v>
      </c>
      <c r="Q13" s="136">
        <f>IF(SER_hh_tes!Q13=0,"",SER_hh_tes!Q13/SER_hh_fec!Q13)</f>
        <v>2.7550793137040239</v>
      </c>
      <c r="R13" s="136">
        <f>IF(SER_hh_tes!R13=0,"",SER_hh_tes!R13/SER_hh_fec!R13)</f>
        <v>2.8010837803620956</v>
      </c>
      <c r="S13" s="136">
        <f>IF(SER_hh_tes!S13=0,"",SER_hh_tes!S13/SER_hh_fec!S13)</f>
        <v>2.8750652208906167</v>
      </c>
      <c r="T13" s="136">
        <f>IF(SER_hh_tes!T13=0,"",SER_hh_tes!T13/SER_hh_fec!T13)</f>
        <v>2.9535856472083566</v>
      </c>
      <c r="U13" s="136">
        <f>IF(SER_hh_tes!U13=0,"",SER_hh_tes!U13/SER_hh_fec!U13)</f>
        <v>3.0197949680954457</v>
      </c>
      <c r="V13" s="136">
        <f>IF(SER_hh_tes!V13=0,"",SER_hh_tes!V13/SER_hh_fec!V13)</f>
        <v>3.0764442643868368</v>
      </c>
      <c r="W13" s="136">
        <f>IF(SER_hh_tes!W13=0,"",SER_hh_tes!W13/SER_hh_fec!W13)</f>
        <v>3.1141786985828799</v>
      </c>
      <c r="X13" s="136">
        <f>IF(SER_hh_tes!X13=0,"",SER_hh_tes!X13/SER_hh_fec!X13)</f>
        <v>3.1483969371912099</v>
      </c>
      <c r="Y13" s="136">
        <f>IF(SER_hh_tes!Y13=0,"",SER_hh_tes!Y13/SER_hh_fec!Y13)</f>
        <v>3.2261315237021719</v>
      </c>
      <c r="DA13" s="163" t="s">
        <v>340</v>
      </c>
    </row>
    <row r="14" spans="1:105" ht="12" customHeight="1" x14ac:dyDescent="0.25">
      <c r="A14" s="60" t="s">
        <v>76</v>
      </c>
      <c r="B14" s="137">
        <f>IF(SER_hh_tes!B14=0,"",SER_hh_tes!B14/SER_hh_fec!B14)</f>
        <v>0.57230248697695885</v>
      </c>
      <c r="C14" s="137">
        <f>IF(SER_hh_tes!C14=0,"",SER_hh_tes!C14/SER_hh_fec!C14)</f>
        <v>0.58165396197751229</v>
      </c>
      <c r="D14" s="137">
        <f>IF(SER_hh_tes!D14=0,"",SER_hh_tes!D14/SER_hh_fec!D14)</f>
        <v>0.58793163202759957</v>
      </c>
      <c r="E14" s="137">
        <f>IF(SER_hh_tes!E14=0,"",SER_hh_tes!E14/SER_hh_fec!E14)</f>
        <v>0.5923117065539163</v>
      </c>
      <c r="F14" s="137">
        <f>IF(SER_hh_tes!F14=0,"",SER_hh_tes!F14/SER_hh_fec!F14)</f>
        <v>0.59681740025936825</v>
      </c>
      <c r="G14" s="137">
        <f>IF(SER_hh_tes!G14=0,"",SER_hh_tes!G14/SER_hh_fec!G14)</f>
        <v>0.60102843842477394</v>
      </c>
      <c r="H14" s="137">
        <f>IF(SER_hh_tes!H14=0,"",SER_hh_tes!H14/SER_hh_fec!H14)</f>
        <v>0.60547232784168492</v>
      </c>
      <c r="I14" s="137">
        <f>IF(SER_hh_tes!I14=0,"",SER_hh_tes!I14/SER_hh_fec!I14)</f>
        <v>0.60894938757797468</v>
      </c>
      <c r="J14" s="137">
        <f>IF(SER_hh_tes!J14=0,"",SER_hh_tes!J14/SER_hh_fec!J14)</f>
        <v>0.61230510331440036</v>
      </c>
      <c r="K14" s="137">
        <f>IF(SER_hh_tes!K14=0,"",SER_hh_tes!K14/SER_hh_fec!K14)</f>
        <v>0.61616054311216062</v>
      </c>
      <c r="L14" s="137">
        <f>IF(SER_hh_tes!L14=0,"",SER_hh_tes!L14/SER_hh_fec!L14)</f>
        <v>0.61882707326294928</v>
      </c>
      <c r="M14" s="137">
        <f>IF(SER_hh_tes!M14=0,"",SER_hh_tes!M14/SER_hh_fec!M14)</f>
        <v>0.62093092632947422</v>
      </c>
      <c r="N14" s="137">
        <f>IF(SER_hh_tes!N14=0,"",SER_hh_tes!N14/SER_hh_fec!N14)</f>
        <v>0.62296656266391714</v>
      </c>
      <c r="O14" s="137">
        <f>IF(SER_hh_tes!O14=0,"",SER_hh_tes!O14/SER_hh_fec!O14)</f>
        <v>0.62503287987207989</v>
      </c>
      <c r="P14" s="137">
        <f>IF(SER_hh_tes!P14=0,"",SER_hh_tes!P14/SER_hh_fec!P14)</f>
        <v>0.62503287987207945</v>
      </c>
      <c r="Q14" s="137">
        <f>IF(SER_hh_tes!Q14=0,"",SER_hh_tes!Q14/SER_hh_fec!Q14)</f>
        <v>0.6269634088533651</v>
      </c>
      <c r="R14" s="137">
        <f>IF(SER_hh_tes!R14=0,"",SER_hh_tes!R14/SER_hh_fec!R14)</f>
        <v>0.63603643479370375</v>
      </c>
      <c r="S14" s="137">
        <f>IF(SER_hh_tes!S14=0,"",SER_hh_tes!S14/SER_hh_fec!S14)</f>
        <v>0.64824436799425222</v>
      </c>
      <c r="T14" s="137">
        <f>IF(SER_hh_tes!T14=0,"",SER_hh_tes!T14/SER_hh_fec!T14)</f>
        <v>0.65923645608651504</v>
      </c>
      <c r="U14" s="137">
        <f>IF(SER_hh_tes!U14=0,"",SER_hh_tes!U14/SER_hh_fec!U14)</f>
        <v>0.67062420417132396</v>
      </c>
      <c r="V14" s="137">
        <f>IF(SER_hh_tes!V14=0,"",SER_hh_tes!V14/SER_hh_fec!V14)</f>
        <v>0.68945969710820176</v>
      </c>
      <c r="W14" s="137">
        <f>IF(SER_hh_tes!W14=0,"",SER_hh_tes!W14/SER_hh_fec!W14)</f>
        <v>0.72054647791891357</v>
      </c>
      <c r="X14" s="137">
        <f>IF(SER_hh_tes!X14=0,"",SER_hh_tes!X14/SER_hh_fec!X14)</f>
        <v>0.75063687772247001</v>
      </c>
      <c r="Y14" s="137">
        <f>IF(SER_hh_tes!Y14=0,"",SER_hh_tes!Y14/SER_hh_fec!Y14)</f>
        <v>0.76598189551162199</v>
      </c>
      <c r="DA14" s="164" t="s">
        <v>341</v>
      </c>
    </row>
    <row r="15" spans="1:105" ht="12" customHeight="1" x14ac:dyDescent="0.25">
      <c r="A15" s="133" t="s">
        <v>80</v>
      </c>
      <c r="B15" s="138">
        <f>IF(SER_hh_tes!B15=0,"",SER_hh_tes!B15/SER_hh_fec!B15)</f>
        <v>1</v>
      </c>
      <c r="C15" s="138">
        <f>IF(SER_hh_tes!C15=0,"",SER_hh_tes!C15/SER_hh_fec!C15)</f>
        <v>1</v>
      </c>
      <c r="D15" s="138">
        <f>IF(SER_hh_tes!D15=0,"",SER_hh_tes!D15/SER_hh_fec!D15)</f>
        <v>1</v>
      </c>
      <c r="E15" s="138">
        <f>IF(SER_hh_tes!E15=0,"",SER_hh_tes!E15/SER_hh_fec!E15)</f>
        <v>1</v>
      </c>
      <c r="F15" s="138">
        <f>IF(SER_hh_tes!F15=0,"",SER_hh_tes!F15/SER_hh_fec!F15)</f>
        <v>1</v>
      </c>
      <c r="G15" s="138">
        <f>IF(SER_hh_tes!G15=0,"",SER_hh_tes!G15/SER_hh_fec!G15)</f>
        <v>1</v>
      </c>
      <c r="H15" s="138">
        <f>IF(SER_hh_tes!H15=0,"",SER_hh_tes!H15/SER_hh_fec!H15)</f>
        <v>1</v>
      </c>
      <c r="I15" s="138">
        <f>IF(SER_hh_tes!I15=0,"",SER_hh_tes!I15/SER_hh_fec!I15)</f>
        <v>1</v>
      </c>
      <c r="J15" s="138">
        <f>IF(SER_hh_tes!J15=0,"",SER_hh_tes!J15/SER_hh_fec!J15)</f>
        <v>1</v>
      </c>
      <c r="K15" s="138">
        <f>IF(SER_hh_tes!K15=0,"",SER_hh_tes!K15/SER_hh_fec!K15)</f>
        <v>1</v>
      </c>
      <c r="L15" s="138">
        <f>IF(SER_hh_tes!L15=0,"",SER_hh_tes!L15/SER_hh_fec!L15)</f>
        <v>1</v>
      </c>
      <c r="M15" s="138">
        <f>IF(SER_hh_tes!M15=0,"",SER_hh_tes!M15/SER_hh_fec!M15)</f>
        <v>1</v>
      </c>
      <c r="N15" s="138">
        <f>IF(SER_hh_tes!N15=0,"",SER_hh_tes!N15/SER_hh_fec!N15)</f>
        <v>1</v>
      </c>
      <c r="O15" s="138">
        <f>IF(SER_hh_tes!O15=0,"",SER_hh_tes!O15/SER_hh_fec!O15)</f>
        <v>1</v>
      </c>
      <c r="P15" s="138">
        <f>IF(SER_hh_tes!P15=0,"",SER_hh_tes!P15/SER_hh_fec!P15)</f>
        <v>1</v>
      </c>
      <c r="Q15" s="138">
        <f>IF(SER_hh_tes!Q15=0,"",SER_hh_tes!Q15/SER_hh_fec!Q15)</f>
        <v>1</v>
      </c>
      <c r="R15" s="138">
        <f>IF(SER_hh_tes!R15=0,"",SER_hh_tes!R15/SER_hh_fec!R15)</f>
        <v>1</v>
      </c>
      <c r="S15" s="138">
        <f>IF(SER_hh_tes!S15=0,"",SER_hh_tes!S15/SER_hh_fec!S15)</f>
        <v>1</v>
      </c>
      <c r="T15" s="138">
        <f>IF(SER_hh_tes!T15=0,"",SER_hh_tes!T15/SER_hh_fec!T15)</f>
        <v>1</v>
      </c>
      <c r="U15" s="138">
        <f>IF(SER_hh_tes!U15=0,"",SER_hh_tes!U15/SER_hh_fec!U15)</f>
        <v>1</v>
      </c>
      <c r="V15" s="138">
        <f>IF(SER_hh_tes!V15=0,"",SER_hh_tes!V15/SER_hh_fec!V15)</f>
        <v>1</v>
      </c>
      <c r="W15" s="138">
        <f>IF(SER_hh_tes!W15=0,"",SER_hh_tes!W15/SER_hh_fec!W15)</f>
        <v>1</v>
      </c>
      <c r="X15" s="138">
        <f>IF(SER_hh_tes!X15=0,"",SER_hh_tes!X15/SER_hh_fec!X15)</f>
        <v>1</v>
      </c>
      <c r="Y15" s="138">
        <f>IF(SER_hh_tes!Y15=0,"",SER_hh_tes!Y15/SER_hh_fec!Y15)</f>
        <v>1</v>
      </c>
      <c r="DA15" s="165" t="s">
        <v>342</v>
      </c>
    </row>
    <row r="16" spans="1:105" ht="12.95" customHeight="1" x14ac:dyDescent="0.25">
      <c r="A16" s="129" t="s">
        <v>74</v>
      </c>
      <c r="B16" s="135">
        <f>IF(SER_hh_tes!B16=0,"",SER_hh_tes!B16/SER_hh_fec!B16)</f>
        <v>1.7135541620775894</v>
      </c>
      <c r="C16" s="135">
        <f>IF(SER_hh_tes!C16=0,"",SER_hh_tes!C16/SER_hh_fec!C16)</f>
        <v>1.8788371237466117</v>
      </c>
      <c r="D16" s="135">
        <f>IF(SER_hh_tes!D16=0,"",SER_hh_tes!D16/SER_hh_fec!D16)</f>
        <v>2.0305400629449357</v>
      </c>
      <c r="E16" s="135">
        <f>IF(SER_hh_tes!E16=0,"",SER_hh_tes!E16/SER_hh_fec!E16)</f>
        <v>2.1555599793121898</v>
      </c>
      <c r="F16" s="135">
        <f>IF(SER_hh_tes!F16=0,"",SER_hh_tes!F16/SER_hh_fec!F16)</f>
        <v>2.2904020134909633</v>
      </c>
      <c r="G16" s="135">
        <f>IF(SER_hh_tes!G16=0,"",SER_hh_tes!G16/SER_hh_fec!G16)</f>
        <v>2.4190929219601389</v>
      </c>
      <c r="H16" s="135">
        <f>IF(SER_hh_tes!H16=0,"",SER_hh_tes!H16/SER_hh_fec!H16)</f>
        <v>2.5422390291193624</v>
      </c>
      <c r="I16" s="135">
        <f>IF(SER_hh_tes!I16=0,"",SER_hh_tes!I16/SER_hh_fec!I16)</f>
        <v>2.676643412884737</v>
      </c>
      <c r="J16" s="135">
        <f>IF(SER_hh_tes!J16=0,"",SER_hh_tes!J16/SER_hh_fec!J16)</f>
        <v>2.8300426143375113</v>
      </c>
      <c r="K16" s="135">
        <f>IF(SER_hh_tes!K16=0,"",SER_hh_tes!K16/SER_hh_fec!K16)</f>
        <v>2.9045197747820453</v>
      </c>
      <c r="L16" s="135">
        <f>IF(SER_hh_tes!L16=0,"",SER_hh_tes!L16/SER_hh_fec!L16)</f>
        <v>3.0089290754814808</v>
      </c>
      <c r="M16" s="135">
        <f>IF(SER_hh_tes!M16=0,"",SER_hh_tes!M16/SER_hh_fec!M16)</f>
        <v>3.149544308363986</v>
      </c>
      <c r="N16" s="135">
        <f>IF(SER_hh_tes!N16=0,"",SER_hh_tes!N16/SER_hh_fec!N16)</f>
        <v>3.2756983417279057</v>
      </c>
      <c r="O16" s="135">
        <f>IF(SER_hh_tes!O16=0,"",SER_hh_tes!O16/SER_hh_fec!O16)</f>
        <v>3.397258847153974</v>
      </c>
      <c r="P16" s="135">
        <f>IF(SER_hh_tes!P16=0,"",SER_hh_tes!P16/SER_hh_fec!P16)</f>
        <v>3.5217351919996074</v>
      </c>
      <c r="Q16" s="135">
        <f>IF(SER_hh_tes!Q16=0,"",SER_hh_tes!Q16/SER_hh_fec!Q16)</f>
        <v>3.6505699254879245</v>
      </c>
      <c r="R16" s="135">
        <f>IF(SER_hh_tes!R16=0,"",SER_hh_tes!R16/SER_hh_fec!R16)</f>
        <v>3.7899683532009432</v>
      </c>
      <c r="S16" s="135">
        <f>IF(SER_hh_tes!S16=0,"",SER_hh_tes!S16/SER_hh_fec!S16)</f>
        <v>3.9325249190656533</v>
      </c>
      <c r="T16" s="135">
        <f>IF(SER_hh_tes!T16=0,"",SER_hh_tes!T16/SER_hh_fec!T16)</f>
        <v>4.0769072393519714</v>
      </c>
      <c r="U16" s="135">
        <f>IF(SER_hh_tes!U16=0,"",SER_hh_tes!U16/SER_hh_fec!U16)</f>
        <v>4.2088232060745794</v>
      </c>
      <c r="V16" s="135">
        <f>IF(SER_hh_tes!V16=0,"",SER_hh_tes!V16/SER_hh_fec!V16)</f>
        <v>4.3293653776521497</v>
      </c>
      <c r="W16" s="135">
        <f>IF(SER_hh_tes!W16=0,"",SER_hh_tes!W16/SER_hh_fec!W16)</f>
        <v>4.4249779447911104</v>
      </c>
      <c r="X16" s="135">
        <f>IF(SER_hh_tes!X16=0,"",SER_hh_tes!X16/SER_hh_fec!X16)</f>
        <v>4.4964203636615485</v>
      </c>
      <c r="Y16" s="135">
        <f>IF(SER_hh_tes!Y16=0,"",SER_hh_tes!Y16/SER_hh_fec!Y16)</f>
        <v>4.547178992902972</v>
      </c>
      <c r="DA16" s="162" t="s">
        <v>241</v>
      </c>
    </row>
    <row r="17" spans="1:105" ht="12.95" customHeight="1" x14ac:dyDescent="0.25">
      <c r="A17" s="131" t="s">
        <v>73</v>
      </c>
      <c r="B17" s="136" t="str">
        <f>IF(SER_hh_tes!B17=0,"",SER_hh_tes!B17/SER_hh_fec!B17)</f>
        <v/>
      </c>
      <c r="C17" s="136" t="str">
        <f>IF(SER_hh_tes!C17=0,"",SER_hh_tes!C17/SER_hh_fec!C17)</f>
        <v/>
      </c>
      <c r="D17" s="136" t="str">
        <f>IF(SER_hh_tes!D17=0,"",SER_hh_tes!D17/SER_hh_fec!D17)</f>
        <v/>
      </c>
      <c r="E17" s="136" t="str">
        <f>IF(SER_hh_tes!E17=0,"",SER_hh_tes!E17/SER_hh_fec!E17)</f>
        <v/>
      </c>
      <c r="F17" s="136" t="str">
        <f>IF(SER_hh_tes!F17=0,"",SER_hh_tes!F17/SER_hh_fec!F17)</f>
        <v/>
      </c>
      <c r="G17" s="136" t="str">
        <f>IF(SER_hh_tes!G17=0,"",SER_hh_tes!G17/SER_hh_fec!G17)</f>
        <v/>
      </c>
      <c r="H17" s="136" t="str">
        <f>IF(SER_hh_tes!H17=0,"",SER_hh_tes!H17/SER_hh_fec!H17)</f>
        <v/>
      </c>
      <c r="I17" s="136" t="str">
        <f>IF(SER_hh_tes!I17=0,"",SER_hh_tes!I17/SER_hh_fec!I17)</f>
        <v/>
      </c>
      <c r="J17" s="136" t="str">
        <f>IF(SER_hh_tes!J17=0,"",SER_hh_tes!J17/SER_hh_fec!J17)</f>
        <v/>
      </c>
      <c r="K17" s="136" t="str">
        <f>IF(SER_hh_tes!K17=0,"",SER_hh_tes!K17/SER_hh_fec!K17)</f>
        <v/>
      </c>
      <c r="L17" s="136" t="str">
        <f>IF(SER_hh_tes!L17=0,"",SER_hh_tes!L17/SER_hh_fec!L17)</f>
        <v/>
      </c>
      <c r="M17" s="136" t="str">
        <f>IF(SER_hh_tes!M17=0,"",SER_hh_tes!M17/SER_hh_fec!M17)</f>
        <v/>
      </c>
      <c r="N17" s="136" t="str">
        <f>IF(SER_hh_tes!N17=0,"",SER_hh_tes!N17/SER_hh_fec!N17)</f>
        <v/>
      </c>
      <c r="O17" s="136" t="str">
        <f>IF(SER_hh_tes!O17=0,"",SER_hh_tes!O17/SER_hh_fec!O17)</f>
        <v/>
      </c>
      <c r="P17" s="136" t="str">
        <f>IF(SER_hh_tes!P17=0,"",SER_hh_tes!P17/SER_hh_fec!P17)</f>
        <v/>
      </c>
      <c r="Q17" s="136" t="str">
        <f>IF(SER_hh_tes!Q17=0,"",SER_hh_tes!Q17/SER_hh_fec!Q17)</f>
        <v/>
      </c>
      <c r="R17" s="136" t="str">
        <f>IF(SER_hh_tes!R17=0,"",SER_hh_tes!R17/SER_hh_fec!R17)</f>
        <v/>
      </c>
      <c r="S17" s="136" t="str">
        <f>IF(SER_hh_tes!S17=0,"",SER_hh_tes!S17/SER_hh_fec!S17)</f>
        <v/>
      </c>
      <c r="T17" s="136" t="str">
        <f>IF(SER_hh_tes!T17=0,"",SER_hh_tes!T17/SER_hh_fec!T17)</f>
        <v/>
      </c>
      <c r="U17" s="136" t="str">
        <f>IF(SER_hh_tes!U17=0,"",SER_hh_tes!U17/SER_hh_fec!U17)</f>
        <v/>
      </c>
      <c r="V17" s="136" t="str">
        <f>IF(SER_hh_tes!V17=0,"",SER_hh_tes!V17/SER_hh_fec!V17)</f>
        <v/>
      </c>
      <c r="W17" s="136" t="str">
        <f>IF(SER_hh_tes!W17=0,"",SER_hh_tes!W17/SER_hh_fec!W17)</f>
        <v/>
      </c>
      <c r="X17" s="136" t="str">
        <f>IF(SER_hh_tes!X17=0,"",SER_hh_tes!X17/SER_hh_fec!X17)</f>
        <v/>
      </c>
      <c r="Y17" s="136" t="str">
        <f>IF(SER_hh_tes!Y17=0,"",SER_hh_tes!Y17/SER_hh_fec!Y17)</f>
        <v/>
      </c>
      <c r="DA17" s="163" t="s">
        <v>343</v>
      </c>
    </row>
    <row r="18" spans="1:105" ht="12" customHeight="1" x14ac:dyDescent="0.25">
      <c r="A18" s="131" t="s">
        <v>72</v>
      </c>
      <c r="B18" s="136">
        <f>IF(SER_hh_tes!B18=0,"",SER_hh_tes!B18/SER_hh_fec!B18)</f>
        <v>1.7135541620775894</v>
      </c>
      <c r="C18" s="136">
        <f>IF(SER_hh_tes!C18=0,"",SER_hh_tes!C18/SER_hh_fec!C18)</f>
        <v>1.8788371237466117</v>
      </c>
      <c r="D18" s="136">
        <f>IF(SER_hh_tes!D18=0,"",SER_hh_tes!D18/SER_hh_fec!D18)</f>
        <v>2.0305400629449357</v>
      </c>
      <c r="E18" s="136">
        <f>IF(SER_hh_tes!E18=0,"",SER_hh_tes!E18/SER_hh_fec!E18)</f>
        <v>2.1555599793121898</v>
      </c>
      <c r="F18" s="136">
        <f>IF(SER_hh_tes!F18=0,"",SER_hh_tes!F18/SER_hh_fec!F18)</f>
        <v>2.2904020134909633</v>
      </c>
      <c r="G18" s="136">
        <f>IF(SER_hh_tes!G18=0,"",SER_hh_tes!G18/SER_hh_fec!G18)</f>
        <v>2.4190929219601389</v>
      </c>
      <c r="H18" s="136">
        <f>IF(SER_hh_tes!H18=0,"",SER_hh_tes!H18/SER_hh_fec!H18)</f>
        <v>2.5422390291193624</v>
      </c>
      <c r="I18" s="136">
        <f>IF(SER_hh_tes!I18=0,"",SER_hh_tes!I18/SER_hh_fec!I18)</f>
        <v>2.676643412884737</v>
      </c>
      <c r="J18" s="136">
        <f>IF(SER_hh_tes!J18=0,"",SER_hh_tes!J18/SER_hh_fec!J18)</f>
        <v>2.8300426143375113</v>
      </c>
      <c r="K18" s="136">
        <f>IF(SER_hh_tes!K18=0,"",SER_hh_tes!K18/SER_hh_fec!K18)</f>
        <v>2.9045197747820453</v>
      </c>
      <c r="L18" s="136">
        <f>IF(SER_hh_tes!L18=0,"",SER_hh_tes!L18/SER_hh_fec!L18)</f>
        <v>3.0089290754814808</v>
      </c>
      <c r="M18" s="136">
        <f>IF(SER_hh_tes!M18=0,"",SER_hh_tes!M18/SER_hh_fec!M18)</f>
        <v>3.149544308363986</v>
      </c>
      <c r="N18" s="136">
        <f>IF(SER_hh_tes!N18=0,"",SER_hh_tes!N18/SER_hh_fec!N18)</f>
        <v>3.2756983417279057</v>
      </c>
      <c r="O18" s="136">
        <f>IF(SER_hh_tes!O18=0,"",SER_hh_tes!O18/SER_hh_fec!O18)</f>
        <v>3.397258847153974</v>
      </c>
      <c r="P18" s="136">
        <f>IF(SER_hh_tes!P18=0,"",SER_hh_tes!P18/SER_hh_fec!P18)</f>
        <v>3.5217351919996074</v>
      </c>
      <c r="Q18" s="136">
        <f>IF(SER_hh_tes!Q18=0,"",SER_hh_tes!Q18/SER_hh_fec!Q18)</f>
        <v>3.6505699254879245</v>
      </c>
      <c r="R18" s="136">
        <f>IF(SER_hh_tes!R18=0,"",SER_hh_tes!R18/SER_hh_fec!R18)</f>
        <v>3.7899683532009432</v>
      </c>
      <c r="S18" s="136">
        <f>IF(SER_hh_tes!S18=0,"",SER_hh_tes!S18/SER_hh_fec!S18)</f>
        <v>3.9325249190656533</v>
      </c>
      <c r="T18" s="136">
        <f>IF(SER_hh_tes!T18=0,"",SER_hh_tes!T18/SER_hh_fec!T18)</f>
        <v>4.0769072393519714</v>
      </c>
      <c r="U18" s="136">
        <f>IF(SER_hh_tes!U18=0,"",SER_hh_tes!U18/SER_hh_fec!U18)</f>
        <v>4.2088232060745794</v>
      </c>
      <c r="V18" s="136">
        <f>IF(SER_hh_tes!V18=0,"",SER_hh_tes!V18/SER_hh_fec!V18)</f>
        <v>4.3293653776521497</v>
      </c>
      <c r="W18" s="136">
        <f>IF(SER_hh_tes!W18=0,"",SER_hh_tes!W18/SER_hh_fec!W18)</f>
        <v>4.4249779447911104</v>
      </c>
      <c r="X18" s="136">
        <f>IF(SER_hh_tes!X18=0,"",SER_hh_tes!X18/SER_hh_fec!X18)</f>
        <v>4.4964203636615485</v>
      </c>
      <c r="Y18" s="136">
        <f>IF(SER_hh_tes!Y18=0,"",SER_hh_tes!Y18/SER_hh_fec!Y18)</f>
        <v>4.547178992902972</v>
      </c>
      <c r="DA18" s="163" t="s">
        <v>344</v>
      </c>
    </row>
    <row r="19" spans="1:105" ht="12.95" customHeight="1" x14ac:dyDescent="0.25">
      <c r="A19" s="129" t="s">
        <v>35</v>
      </c>
      <c r="B19" s="135">
        <f>IF(SER_hh_tes!B19=0,"",SER_hh_tes!B19/SER_hh_fec!B19)</f>
        <v>0.61341984239057601</v>
      </c>
      <c r="C19" s="135">
        <f>IF(SER_hh_tes!C19=0,"",SER_hh_tes!C19/SER_hh_fec!C19)</f>
        <v>0.61107778508317101</v>
      </c>
      <c r="D19" s="135">
        <f>IF(SER_hh_tes!D19=0,"",SER_hh_tes!D19/SER_hh_fec!D19)</f>
        <v>0.61318828401531578</v>
      </c>
      <c r="E19" s="135">
        <f>IF(SER_hh_tes!E19=0,"",SER_hh_tes!E19/SER_hh_fec!E19)</f>
        <v>0.61589926532558126</v>
      </c>
      <c r="F19" s="135">
        <f>IF(SER_hh_tes!F19=0,"",SER_hh_tes!F19/SER_hh_fec!F19)</f>
        <v>0.62555322286299853</v>
      </c>
      <c r="G19" s="135">
        <f>IF(SER_hh_tes!G19=0,"",SER_hh_tes!G19/SER_hh_fec!G19)</f>
        <v>0.62937182883273268</v>
      </c>
      <c r="H19" s="135">
        <f>IF(SER_hh_tes!H19=0,"",SER_hh_tes!H19/SER_hh_fec!H19)</f>
        <v>0.67660740408456754</v>
      </c>
      <c r="I19" s="135">
        <f>IF(SER_hh_tes!I19=0,"",SER_hh_tes!I19/SER_hh_fec!I19)</f>
        <v>0.70579891838410058</v>
      </c>
      <c r="J19" s="135">
        <f>IF(SER_hh_tes!J19=0,"",SER_hh_tes!J19/SER_hh_fec!J19)</f>
        <v>0.71148628318856977</v>
      </c>
      <c r="K19" s="135">
        <f>IF(SER_hh_tes!K19=0,"",SER_hh_tes!K19/SER_hh_fec!K19)</f>
        <v>0.71430911086450555</v>
      </c>
      <c r="L19" s="135">
        <f>IF(SER_hh_tes!L19=0,"",SER_hh_tes!L19/SER_hh_fec!L19)</f>
        <v>0.72266081202254517</v>
      </c>
      <c r="M19" s="135">
        <f>IF(SER_hh_tes!M19=0,"",SER_hh_tes!M19/SER_hh_fec!M19)</f>
        <v>0.72530767849832278</v>
      </c>
      <c r="N19" s="135">
        <f>IF(SER_hh_tes!N19=0,"",SER_hh_tes!N19/SER_hh_fec!N19)</f>
        <v>0.73128582790287144</v>
      </c>
      <c r="O19" s="135">
        <f>IF(SER_hh_tes!O19=0,"",SER_hh_tes!O19/SER_hh_fec!O19)</f>
        <v>0.74004146919801927</v>
      </c>
      <c r="P19" s="135">
        <f>IF(SER_hh_tes!P19=0,"",SER_hh_tes!P19/SER_hh_fec!P19)</f>
        <v>0.74433010228514151</v>
      </c>
      <c r="Q19" s="135">
        <f>IF(SER_hh_tes!Q19=0,"",SER_hh_tes!Q19/SER_hh_fec!Q19)</f>
        <v>0.74819741315428745</v>
      </c>
      <c r="R19" s="135">
        <f>IF(SER_hh_tes!R19=0,"",SER_hh_tes!R19/SER_hh_fec!R19)</f>
        <v>0.75105755386597672</v>
      </c>
      <c r="S19" s="135">
        <f>IF(SER_hh_tes!S19=0,"",SER_hh_tes!S19/SER_hh_fec!S19)</f>
        <v>0.75853550708315487</v>
      </c>
      <c r="T19" s="135">
        <f>IF(SER_hh_tes!T19=0,"",SER_hh_tes!T19/SER_hh_fec!T19)</f>
        <v>0.76821799159746695</v>
      </c>
      <c r="U19" s="135">
        <f>IF(SER_hh_tes!U19=0,"",SER_hh_tes!U19/SER_hh_fec!U19)</f>
        <v>0.78237201970142789</v>
      </c>
      <c r="V19" s="135">
        <f>IF(SER_hh_tes!V19=0,"",SER_hh_tes!V19/SER_hh_fec!V19)</f>
        <v>0.79794243822394262</v>
      </c>
      <c r="W19" s="135">
        <f>IF(SER_hh_tes!W19=0,"",SER_hh_tes!W19/SER_hh_fec!W19)</f>
        <v>0.81180879907389669</v>
      </c>
      <c r="X19" s="135">
        <f>IF(SER_hh_tes!X19=0,"",SER_hh_tes!X19/SER_hh_fec!X19)</f>
        <v>0.80481813747349906</v>
      </c>
      <c r="Y19" s="135">
        <f>IF(SER_hh_tes!Y19=0,"",SER_hh_tes!Y19/SER_hh_fec!Y19)</f>
        <v>0.81001131013430805</v>
      </c>
      <c r="DA19" s="162" t="s">
        <v>242</v>
      </c>
    </row>
    <row r="20" spans="1:105" ht="12" customHeight="1" x14ac:dyDescent="0.25">
      <c r="A20" s="131" t="s">
        <v>29</v>
      </c>
      <c r="B20" s="136" t="str">
        <f>IF(SER_hh_tes!B20=0,"",SER_hh_tes!B20/SER_hh_fec!B20)</f>
        <v/>
      </c>
      <c r="C20" s="136" t="str">
        <f>IF(SER_hh_tes!C20=0,"",SER_hh_tes!C20/SER_hh_fec!C20)</f>
        <v/>
      </c>
      <c r="D20" s="136" t="str">
        <f>IF(SER_hh_tes!D20=0,"",SER_hh_tes!D20/SER_hh_fec!D20)</f>
        <v/>
      </c>
      <c r="E20" s="136" t="str">
        <f>IF(SER_hh_tes!E20=0,"",SER_hh_tes!E20/SER_hh_fec!E20)</f>
        <v/>
      </c>
      <c r="F20" s="136" t="str">
        <f>IF(SER_hh_tes!F20=0,"",SER_hh_tes!F20/SER_hh_fec!F20)</f>
        <v/>
      </c>
      <c r="G20" s="136" t="str">
        <f>IF(SER_hh_tes!G20=0,"",SER_hh_tes!G20/SER_hh_fec!G20)</f>
        <v/>
      </c>
      <c r="H20" s="136" t="str">
        <f>IF(SER_hh_tes!H20=0,"",SER_hh_tes!H20/SER_hh_fec!H20)</f>
        <v/>
      </c>
      <c r="I20" s="136" t="str">
        <f>IF(SER_hh_tes!I20=0,"",SER_hh_tes!I20/SER_hh_fec!I20)</f>
        <v/>
      </c>
      <c r="J20" s="136" t="str">
        <f>IF(SER_hh_tes!J20=0,"",SER_hh_tes!J20/SER_hh_fec!J20)</f>
        <v/>
      </c>
      <c r="K20" s="136" t="str">
        <f>IF(SER_hh_tes!K20=0,"",SER_hh_tes!K20/SER_hh_fec!K20)</f>
        <v/>
      </c>
      <c r="L20" s="136" t="str">
        <f>IF(SER_hh_tes!L20=0,"",SER_hh_tes!L20/SER_hh_fec!L20)</f>
        <v/>
      </c>
      <c r="M20" s="136" t="str">
        <f>IF(SER_hh_tes!M20=0,"",SER_hh_tes!M20/SER_hh_fec!M20)</f>
        <v/>
      </c>
      <c r="N20" s="136" t="str">
        <f>IF(SER_hh_tes!N20=0,"",SER_hh_tes!N20/SER_hh_fec!N20)</f>
        <v/>
      </c>
      <c r="O20" s="136" t="str">
        <f>IF(SER_hh_tes!O20=0,"",SER_hh_tes!O20/SER_hh_fec!O20)</f>
        <v/>
      </c>
      <c r="P20" s="136" t="str">
        <f>IF(SER_hh_tes!P20=0,"",SER_hh_tes!P20/SER_hh_fec!P20)</f>
        <v/>
      </c>
      <c r="Q20" s="136" t="str">
        <f>IF(SER_hh_tes!Q20=0,"",SER_hh_tes!Q20/SER_hh_fec!Q20)</f>
        <v/>
      </c>
      <c r="R20" s="136" t="str">
        <f>IF(SER_hh_tes!R20=0,"",SER_hh_tes!R20/SER_hh_fec!R20)</f>
        <v/>
      </c>
      <c r="S20" s="136" t="str">
        <f>IF(SER_hh_tes!S20=0,"",SER_hh_tes!S20/SER_hh_fec!S20)</f>
        <v/>
      </c>
      <c r="T20" s="136" t="str">
        <f>IF(SER_hh_tes!T20=0,"",SER_hh_tes!T20/SER_hh_fec!T20)</f>
        <v/>
      </c>
      <c r="U20" s="136" t="str">
        <f>IF(SER_hh_tes!U20=0,"",SER_hh_tes!U20/SER_hh_fec!U20)</f>
        <v/>
      </c>
      <c r="V20" s="136" t="str">
        <f>IF(SER_hh_tes!V20=0,"",SER_hh_tes!V20/SER_hh_fec!V20)</f>
        <v/>
      </c>
      <c r="W20" s="136" t="str">
        <f>IF(SER_hh_tes!W20=0,"",SER_hh_tes!W20/SER_hh_fec!W20)</f>
        <v/>
      </c>
      <c r="X20" s="136" t="str">
        <f>IF(SER_hh_tes!X20=0,"",SER_hh_tes!X20/SER_hh_fec!X20)</f>
        <v/>
      </c>
      <c r="Y20" s="136" t="str">
        <f>IF(SER_hh_tes!Y20=0,"",SER_hh_tes!Y20/SER_hh_fec!Y20)</f>
        <v/>
      </c>
      <c r="DA20" s="163" t="s">
        <v>345</v>
      </c>
    </row>
    <row r="21" spans="1:105" s="2" customFormat="1" ht="12" customHeight="1" x14ac:dyDescent="0.25">
      <c r="A21" s="131" t="s">
        <v>52</v>
      </c>
      <c r="B21" s="136" t="str">
        <f>IF(SER_hh_tes!B21=0,"",SER_hh_tes!B21/SER_hh_fec!B21)</f>
        <v/>
      </c>
      <c r="C21" s="136" t="str">
        <f>IF(SER_hh_tes!C21=0,"",SER_hh_tes!C21/SER_hh_fec!C21)</f>
        <v/>
      </c>
      <c r="D21" s="136" t="str">
        <f>IF(SER_hh_tes!D21=0,"",SER_hh_tes!D21/SER_hh_fec!D21)</f>
        <v/>
      </c>
      <c r="E21" s="136" t="str">
        <f>IF(SER_hh_tes!E21=0,"",SER_hh_tes!E21/SER_hh_fec!E21)</f>
        <v/>
      </c>
      <c r="F21" s="136" t="str">
        <f>IF(SER_hh_tes!F21=0,"",SER_hh_tes!F21/SER_hh_fec!F21)</f>
        <v/>
      </c>
      <c r="G21" s="136" t="str">
        <f>IF(SER_hh_tes!G21=0,"",SER_hh_tes!G21/SER_hh_fec!G21)</f>
        <v/>
      </c>
      <c r="H21" s="136">
        <f>IF(SER_hh_tes!H21=0,"",SER_hh_tes!H21/SER_hh_fec!H21)</f>
        <v>0.64992318353181333</v>
      </c>
      <c r="I21" s="136">
        <f>IF(SER_hh_tes!I21=0,"",SER_hh_tes!I21/SER_hh_fec!I21)</f>
        <v>0.6503448649529372</v>
      </c>
      <c r="J21" s="136">
        <f>IF(SER_hh_tes!J21=0,"",SER_hh_tes!J21/SER_hh_fec!J21)</f>
        <v>0.65080326260767141</v>
      </c>
      <c r="K21" s="136">
        <f>IF(SER_hh_tes!K21=0,"",SER_hh_tes!K21/SER_hh_fec!K21)</f>
        <v>0.65098691479052362</v>
      </c>
      <c r="L21" s="136">
        <f>IF(SER_hh_tes!L21=0,"",SER_hh_tes!L21/SER_hh_fec!L21)</f>
        <v>0.65121321291335277</v>
      </c>
      <c r="M21" s="136">
        <f>IF(SER_hh_tes!M21=0,"",SER_hh_tes!M21/SER_hh_fec!M21)</f>
        <v>0.65123873896781814</v>
      </c>
      <c r="N21" s="136">
        <f>IF(SER_hh_tes!N21=0,"",SER_hh_tes!N21/SER_hh_fec!N21)</f>
        <v>0.65127174553031786</v>
      </c>
      <c r="O21" s="136">
        <f>IF(SER_hh_tes!O21=0,"",SER_hh_tes!O21/SER_hh_fec!O21)</f>
        <v>0.65129831819495509</v>
      </c>
      <c r="P21" s="136">
        <f>IF(SER_hh_tes!P21=0,"",SER_hh_tes!P21/SER_hh_fec!P21)</f>
        <v>0.6513689601042757</v>
      </c>
      <c r="Q21" s="136">
        <f>IF(SER_hh_tes!Q21=0,"",SER_hh_tes!Q21/SER_hh_fec!Q21)</f>
        <v>0.65138621497126126</v>
      </c>
      <c r="R21" s="136">
        <f>IF(SER_hh_tes!R21=0,"",SER_hh_tes!R21/SER_hh_fec!R21)</f>
        <v>0.65202028126062139</v>
      </c>
      <c r="S21" s="136">
        <f>IF(SER_hh_tes!S21=0,"",SER_hh_tes!S21/SER_hh_fec!S21)</f>
        <v>0.65625895140619306</v>
      </c>
      <c r="T21" s="136">
        <f>IF(SER_hh_tes!T21=0,"",SER_hh_tes!T21/SER_hh_fec!T21)</f>
        <v>0.66608377628880999</v>
      </c>
      <c r="U21" s="136">
        <f>IF(SER_hh_tes!U21=0,"",SER_hh_tes!U21/SER_hh_fec!U21)</f>
        <v>0.68419977071945959</v>
      </c>
      <c r="V21" s="136">
        <f>IF(SER_hh_tes!V21=0,"",SER_hh_tes!V21/SER_hh_fec!V21)</f>
        <v>0.69905278660921566</v>
      </c>
      <c r="W21" s="136">
        <f>IF(SER_hh_tes!W21=0,"",SER_hh_tes!W21/SER_hh_fec!W21)</f>
        <v>0.73816858255558171</v>
      </c>
      <c r="X21" s="136">
        <f>IF(SER_hh_tes!X21=0,"",SER_hh_tes!X21/SER_hh_fec!X21)</f>
        <v>0.80408351305922454</v>
      </c>
      <c r="Y21" s="136">
        <f>IF(SER_hh_tes!Y21=0,"",SER_hh_tes!Y21/SER_hh_fec!Y21)</f>
        <v>0.81541631364798461</v>
      </c>
      <c r="DA21" s="163" t="s">
        <v>346</v>
      </c>
    </row>
    <row r="22" spans="1:105" ht="12" customHeight="1" x14ac:dyDescent="0.25">
      <c r="A22" s="131" t="s">
        <v>161</v>
      </c>
      <c r="B22" s="136">
        <f>IF(SER_hh_tes!B22=0,"",SER_hh_tes!B22/SER_hh_fec!B22)</f>
        <v>0.42462127500276686</v>
      </c>
      <c r="C22" s="136">
        <f>IF(SER_hh_tes!C22=0,"",SER_hh_tes!C22/SER_hh_fec!C22)</f>
        <v>0.42609622607477454</v>
      </c>
      <c r="D22" s="136">
        <f>IF(SER_hh_tes!D22=0,"",SER_hh_tes!D22/SER_hh_fec!D22)</f>
        <v>0.42702858394821069</v>
      </c>
      <c r="E22" s="136">
        <f>IF(SER_hh_tes!E22=0,"",SER_hh_tes!E22/SER_hh_fec!E22)</f>
        <v>0.42843193002525354</v>
      </c>
      <c r="F22" s="136">
        <f>IF(SER_hh_tes!F22=0,"",SER_hh_tes!F22/SER_hh_fec!F22)</f>
        <v>0.43019844754024961</v>
      </c>
      <c r="G22" s="136">
        <f>IF(SER_hh_tes!G22=0,"",SER_hh_tes!G22/SER_hh_fec!G22)</f>
        <v>0.4322440529419147</v>
      </c>
      <c r="H22" s="136">
        <f>IF(SER_hh_tes!H22=0,"",SER_hh_tes!H22/SER_hh_fec!H22)</f>
        <v>0.43473843967350262</v>
      </c>
      <c r="I22" s="136">
        <f>IF(SER_hh_tes!I22=0,"",SER_hh_tes!I22/SER_hh_fec!I22)</f>
        <v>0.43671092169590853</v>
      </c>
      <c r="J22" s="136">
        <f>IF(SER_hh_tes!J22=0,"",SER_hh_tes!J22/SER_hh_fec!J22)</f>
        <v>0.43929205198633881</v>
      </c>
      <c r="K22" s="136">
        <f>IF(SER_hh_tes!K22=0,"",SER_hh_tes!K22/SER_hh_fec!K22)</f>
        <v>0.44299757695121234</v>
      </c>
      <c r="L22" s="136">
        <f>IF(SER_hh_tes!L22=0,"",SER_hh_tes!L22/SER_hh_fec!L22)</f>
        <v>0.4479562197979528</v>
      </c>
      <c r="M22" s="136">
        <f>IF(SER_hh_tes!M22=0,"",SER_hh_tes!M22/SER_hh_fec!M22)</f>
        <v>0.45399315901025716</v>
      </c>
      <c r="N22" s="136">
        <f>IF(SER_hh_tes!N22=0,"",SER_hh_tes!N22/SER_hh_fec!N22)</f>
        <v>0.46299351456180698</v>
      </c>
      <c r="O22" s="136">
        <f>IF(SER_hh_tes!O22=0,"",SER_hh_tes!O22/SER_hh_fec!O22)</f>
        <v>0.4745731848287647</v>
      </c>
      <c r="P22" s="136">
        <f>IF(SER_hh_tes!P22=0,"",SER_hh_tes!P22/SER_hh_fec!P22)</f>
        <v>0.47875138699244685</v>
      </c>
      <c r="Q22" s="136">
        <f>IF(SER_hh_tes!Q22=0,"",SER_hh_tes!Q22/SER_hh_fec!Q22)</f>
        <v>0.4836018571095641</v>
      </c>
      <c r="R22" s="136">
        <f>IF(SER_hh_tes!R22=0,"",SER_hh_tes!R22/SER_hh_fec!R22)</f>
        <v>0.49243332144871982</v>
      </c>
      <c r="S22" s="136">
        <f>IF(SER_hh_tes!S22=0,"",SER_hh_tes!S22/SER_hh_fec!S22)</f>
        <v>0.50362211723065253</v>
      </c>
      <c r="T22" s="136">
        <f>IF(SER_hh_tes!T22=0,"",SER_hh_tes!T22/SER_hh_fec!T22)</f>
        <v>0.5198791929130212</v>
      </c>
      <c r="U22" s="136">
        <f>IF(SER_hh_tes!U22=0,"",SER_hh_tes!U22/SER_hh_fec!U22)</f>
        <v>0.53755710255885947</v>
      </c>
      <c r="V22" s="136">
        <f>IF(SER_hh_tes!V22=0,"",SER_hh_tes!V22/SER_hh_fec!V22)</f>
        <v>0.5497566178129164</v>
      </c>
      <c r="W22" s="136">
        <f>IF(SER_hh_tes!W22=0,"",SER_hh_tes!W22/SER_hh_fec!W22)</f>
        <v>0.5663877341792809</v>
      </c>
      <c r="X22" s="136">
        <f>IF(SER_hh_tes!X22=0,"",SER_hh_tes!X22/SER_hh_fec!X22)</f>
        <v>0.59389961728831808</v>
      </c>
      <c r="Y22" s="136">
        <f>IF(SER_hh_tes!Y22=0,"",SER_hh_tes!Y22/SER_hh_fec!Y22)</f>
        <v>0.60735129142505806</v>
      </c>
      <c r="DA22" s="163" t="s">
        <v>347</v>
      </c>
    </row>
    <row r="23" spans="1:105" ht="12" customHeight="1" x14ac:dyDescent="0.25">
      <c r="A23" s="131" t="s">
        <v>149</v>
      </c>
      <c r="B23" s="136" t="str">
        <f>IF(SER_hh_tes!B23=0,"",SER_hh_tes!B23/SER_hh_fec!B23)</f>
        <v/>
      </c>
      <c r="C23" s="136" t="str">
        <f>IF(SER_hh_tes!C23=0,"",SER_hh_tes!C23/SER_hh_fec!C23)</f>
        <v/>
      </c>
      <c r="D23" s="136" t="str">
        <f>IF(SER_hh_tes!D23=0,"",SER_hh_tes!D23/SER_hh_fec!D23)</f>
        <v/>
      </c>
      <c r="E23" s="136" t="str">
        <f>IF(SER_hh_tes!E23=0,"",SER_hh_tes!E23/SER_hh_fec!E23)</f>
        <v/>
      </c>
      <c r="F23" s="136" t="str">
        <f>IF(SER_hh_tes!F23=0,"",SER_hh_tes!F23/SER_hh_fec!F23)</f>
        <v/>
      </c>
      <c r="G23" s="136" t="str">
        <f>IF(SER_hh_tes!G23=0,"",SER_hh_tes!G23/SER_hh_fec!G23)</f>
        <v/>
      </c>
      <c r="H23" s="136" t="str">
        <f>IF(SER_hh_tes!H23=0,"",SER_hh_tes!H23/SER_hh_fec!H23)</f>
        <v/>
      </c>
      <c r="I23" s="136" t="str">
        <f>IF(SER_hh_tes!I23=0,"",SER_hh_tes!I23/SER_hh_fec!I23)</f>
        <v/>
      </c>
      <c r="J23" s="136" t="str">
        <f>IF(SER_hh_tes!J23=0,"",SER_hh_tes!J23/SER_hh_fec!J23)</f>
        <v/>
      </c>
      <c r="K23" s="136" t="str">
        <f>IF(SER_hh_tes!K23=0,"",SER_hh_tes!K23/SER_hh_fec!K23)</f>
        <v/>
      </c>
      <c r="L23" s="136" t="str">
        <f>IF(SER_hh_tes!L23=0,"",SER_hh_tes!L23/SER_hh_fec!L23)</f>
        <v/>
      </c>
      <c r="M23" s="136" t="str">
        <f>IF(SER_hh_tes!M23=0,"",SER_hh_tes!M23/SER_hh_fec!M23)</f>
        <v/>
      </c>
      <c r="N23" s="136" t="str">
        <f>IF(SER_hh_tes!N23=0,"",SER_hh_tes!N23/SER_hh_fec!N23)</f>
        <v/>
      </c>
      <c r="O23" s="136" t="str">
        <f>IF(SER_hh_tes!O23=0,"",SER_hh_tes!O23/SER_hh_fec!O23)</f>
        <v/>
      </c>
      <c r="P23" s="136" t="str">
        <f>IF(SER_hh_tes!P23=0,"",SER_hh_tes!P23/SER_hh_fec!P23)</f>
        <v/>
      </c>
      <c r="Q23" s="136" t="str">
        <f>IF(SER_hh_tes!Q23=0,"",SER_hh_tes!Q23/SER_hh_fec!Q23)</f>
        <v/>
      </c>
      <c r="R23" s="136" t="str">
        <f>IF(SER_hh_tes!R23=0,"",SER_hh_tes!R23/SER_hh_fec!R23)</f>
        <v/>
      </c>
      <c r="S23" s="136" t="str">
        <f>IF(SER_hh_tes!S23=0,"",SER_hh_tes!S23/SER_hh_fec!S23)</f>
        <v/>
      </c>
      <c r="T23" s="136" t="str">
        <f>IF(SER_hh_tes!T23=0,"",SER_hh_tes!T23/SER_hh_fec!T23)</f>
        <v/>
      </c>
      <c r="U23" s="136" t="str">
        <f>IF(SER_hh_tes!U23=0,"",SER_hh_tes!U23/SER_hh_fec!U23)</f>
        <v/>
      </c>
      <c r="V23" s="136" t="str">
        <f>IF(SER_hh_tes!V23=0,"",SER_hh_tes!V23/SER_hh_fec!V23)</f>
        <v/>
      </c>
      <c r="W23" s="136" t="str">
        <f>IF(SER_hh_tes!W23=0,"",SER_hh_tes!W23/SER_hh_fec!W23)</f>
        <v/>
      </c>
      <c r="X23" s="136" t="str">
        <f>IF(SER_hh_tes!X23=0,"",SER_hh_tes!X23/SER_hh_fec!X23)</f>
        <v/>
      </c>
      <c r="Y23" s="136" t="str">
        <f>IF(SER_hh_tes!Y23=0,"",SER_hh_tes!Y23/SER_hh_fec!Y23)</f>
        <v/>
      </c>
      <c r="DA23" s="163" t="s">
        <v>348</v>
      </c>
    </row>
    <row r="24" spans="1:105" ht="12" customHeight="1" x14ac:dyDescent="0.25">
      <c r="A24" s="131" t="s">
        <v>128</v>
      </c>
      <c r="B24" s="136" t="str">
        <f>IF(SER_hh_tes!B24=0,"",SER_hh_tes!B24/SER_hh_fec!B24)</f>
        <v/>
      </c>
      <c r="C24" s="136" t="str">
        <f>IF(SER_hh_tes!C24=0,"",SER_hh_tes!C24/SER_hh_fec!C24)</f>
        <v/>
      </c>
      <c r="D24" s="136" t="str">
        <f>IF(SER_hh_tes!D24=0,"",SER_hh_tes!D24/SER_hh_fec!D24)</f>
        <v/>
      </c>
      <c r="E24" s="136" t="str">
        <f>IF(SER_hh_tes!E24=0,"",SER_hh_tes!E24/SER_hh_fec!E24)</f>
        <v/>
      </c>
      <c r="F24" s="136" t="str">
        <f>IF(SER_hh_tes!F24=0,"",SER_hh_tes!F24/SER_hh_fec!F24)</f>
        <v/>
      </c>
      <c r="G24" s="136" t="str">
        <f>IF(SER_hh_tes!G24=0,"",SER_hh_tes!G24/SER_hh_fec!G24)</f>
        <v/>
      </c>
      <c r="H24" s="136" t="str">
        <f>IF(SER_hh_tes!H24=0,"",SER_hh_tes!H24/SER_hh_fec!H24)</f>
        <v/>
      </c>
      <c r="I24" s="136" t="str">
        <f>IF(SER_hh_tes!I24=0,"",SER_hh_tes!I24/SER_hh_fec!I24)</f>
        <v/>
      </c>
      <c r="J24" s="136" t="str">
        <f>IF(SER_hh_tes!J24=0,"",SER_hh_tes!J24/SER_hh_fec!J24)</f>
        <v/>
      </c>
      <c r="K24" s="136" t="str">
        <f>IF(SER_hh_tes!K24=0,"",SER_hh_tes!K24/SER_hh_fec!K24)</f>
        <v/>
      </c>
      <c r="L24" s="136" t="str">
        <f>IF(SER_hh_tes!L24=0,"",SER_hh_tes!L24/SER_hh_fec!L24)</f>
        <v/>
      </c>
      <c r="M24" s="136" t="str">
        <f>IF(SER_hh_tes!M24=0,"",SER_hh_tes!M24/SER_hh_fec!M24)</f>
        <v/>
      </c>
      <c r="N24" s="136" t="str">
        <f>IF(SER_hh_tes!N24=0,"",SER_hh_tes!N24/SER_hh_fec!N24)</f>
        <v/>
      </c>
      <c r="O24" s="136" t="str">
        <f>IF(SER_hh_tes!O24=0,"",SER_hh_tes!O24/SER_hh_fec!O24)</f>
        <v/>
      </c>
      <c r="P24" s="136" t="str">
        <f>IF(SER_hh_tes!P24=0,"",SER_hh_tes!P24/SER_hh_fec!P24)</f>
        <v/>
      </c>
      <c r="Q24" s="136" t="str">
        <f>IF(SER_hh_tes!Q24=0,"",SER_hh_tes!Q24/SER_hh_fec!Q24)</f>
        <v/>
      </c>
      <c r="R24" s="136" t="str">
        <f>IF(SER_hh_tes!R24=0,"",SER_hh_tes!R24/SER_hh_fec!R24)</f>
        <v/>
      </c>
      <c r="S24" s="136" t="str">
        <f>IF(SER_hh_tes!S24=0,"",SER_hh_tes!S24/SER_hh_fec!S24)</f>
        <v/>
      </c>
      <c r="T24" s="136" t="str">
        <f>IF(SER_hh_tes!T24=0,"",SER_hh_tes!T24/SER_hh_fec!T24)</f>
        <v/>
      </c>
      <c r="U24" s="136" t="str">
        <f>IF(SER_hh_tes!U24=0,"",SER_hh_tes!U24/SER_hh_fec!U24)</f>
        <v/>
      </c>
      <c r="V24" s="136" t="str">
        <f>IF(SER_hh_tes!V24=0,"",SER_hh_tes!V24/SER_hh_fec!V24)</f>
        <v/>
      </c>
      <c r="W24" s="136" t="str">
        <f>IF(SER_hh_tes!W24=0,"",SER_hh_tes!W24/SER_hh_fec!W24)</f>
        <v/>
      </c>
      <c r="X24" s="136" t="str">
        <f>IF(SER_hh_tes!X24=0,"",SER_hh_tes!X24/SER_hh_fec!X24)</f>
        <v/>
      </c>
      <c r="Y24" s="136" t="str">
        <f>IF(SER_hh_tes!Y24=0,"",SER_hh_tes!Y24/SER_hh_fec!Y24)</f>
        <v/>
      </c>
      <c r="DA24" s="163" t="s">
        <v>349</v>
      </c>
    </row>
    <row r="25" spans="1:105" ht="12" customHeight="1" x14ac:dyDescent="0.25">
      <c r="A25" s="131" t="s">
        <v>162</v>
      </c>
      <c r="B25" s="136" t="str">
        <f>IF(SER_hh_tes!B25=0,"",SER_hh_tes!B25/SER_hh_fec!B25)</f>
        <v/>
      </c>
      <c r="C25" s="136" t="str">
        <f>IF(SER_hh_tes!C25=0,"",SER_hh_tes!C25/SER_hh_fec!C25)</f>
        <v/>
      </c>
      <c r="D25" s="136" t="str">
        <f>IF(SER_hh_tes!D25=0,"",SER_hh_tes!D25/SER_hh_fec!D25)</f>
        <v/>
      </c>
      <c r="E25" s="136" t="str">
        <f>IF(SER_hh_tes!E25=0,"",SER_hh_tes!E25/SER_hh_fec!E25)</f>
        <v/>
      </c>
      <c r="F25" s="136" t="str">
        <f>IF(SER_hh_tes!F25=0,"",SER_hh_tes!F25/SER_hh_fec!F25)</f>
        <v/>
      </c>
      <c r="G25" s="136" t="str">
        <f>IF(SER_hh_tes!G25=0,"",SER_hh_tes!G25/SER_hh_fec!G25)</f>
        <v/>
      </c>
      <c r="H25" s="136" t="str">
        <f>IF(SER_hh_tes!H25=0,"",SER_hh_tes!H25/SER_hh_fec!H25)</f>
        <v/>
      </c>
      <c r="I25" s="136" t="str">
        <f>IF(SER_hh_tes!I25=0,"",SER_hh_tes!I25/SER_hh_fec!I25)</f>
        <v/>
      </c>
      <c r="J25" s="136" t="str">
        <f>IF(SER_hh_tes!J25=0,"",SER_hh_tes!J25/SER_hh_fec!J25)</f>
        <v/>
      </c>
      <c r="K25" s="136" t="str">
        <f>IF(SER_hh_tes!K25=0,"",SER_hh_tes!K25/SER_hh_fec!K25)</f>
        <v/>
      </c>
      <c r="L25" s="136" t="str">
        <f>IF(SER_hh_tes!L25=0,"",SER_hh_tes!L25/SER_hh_fec!L25)</f>
        <v/>
      </c>
      <c r="M25" s="136" t="str">
        <f>IF(SER_hh_tes!M25=0,"",SER_hh_tes!M25/SER_hh_fec!M25)</f>
        <v/>
      </c>
      <c r="N25" s="136" t="str">
        <f>IF(SER_hh_tes!N25=0,"",SER_hh_tes!N25/SER_hh_fec!N25)</f>
        <v/>
      </c>
      <c r="O25" s="136" t="str">
        <f>IF(SER_hh_tes!O25=0,"",SER_hh_tes!O25/SER_hh_fec!O25)</f>
        <v/>
      </c>
      <c r="P25" s="136" t="str">
        <f>IF(SER_hh_tes!P25=0,"",SER_hh_tes!P25/SER_hh_fec!P25)</f>
        <v/>
      </c>
      <c r="Q25" s="136" t="str">
        <f>IF(SER_hh_tes!Q25=0,"",SER_hh_tes!Q25/SER_hh_fec!Q25)</f>
        <v/>
      </c>
      <c r="R25" s="136" t="str">
        <f>IF(SER_hh_tes!R25=0,"",SER_hh_tes!R25/SER_hh_fec!R25)</f>
        <v/>
      </c>
      <c r="S25" s="136" t="str">
        <f>IF(SER_hh_tes!S25=0,"",SER_hh_tes!S25/SER_hh_fec!S25)</f>
        <v/>
      </c>
      <c r="T25" s="136" t="str">
        <f>IF(SER_hh_tes!T25=0,"",SER_hh_tes!T25/SER_hh_fec!T25)</f>
        <v/>
      </c>
      <c r="U25" s="136" t="str">
        <f>IF(SER_hh_tes!U25=0,"",SER_hh_tes!U25/SER_hh_fec!U25)</f>
        <v/>
      </c>
      <c r="V25" s="136" t="str">
        <f>IF(SER_hh_tes!V25=0,"",SER_hh_tes!V25/SER_hh_fec!V25)</f>
        <v/>
      </c>
      <c r="W25" s="136" t="str">
        <f>IF(SER_hh_tes!W25=0,"",SER_hh_tes!W25/SER_hh_fec!W25)</f>
        <v/>
      </c>
      <c r="X25" s="136" t="str">
        <f>IF(SER_hh_tes!X25=0,"",SER_hh_tes!X25/SER_hh_fec!X25)</f>
        <v/>
      </c>
      <c r="Y25" s="136" t="str">
        <f>IF(SER_hh_tes!Y25=0,"",SER_hh_tes!Y25/SER_hh_fec!Y25)</f>
        <v/>
      </c>
      <c r="DA25" s="163" t="s">
        <v>350</v>
      </c>
    </row>
    <row r="26" spans="1:105" ht="12" customHeight="1" x14ac:dyDescent="0.25">
      <c r="A26" s="131" t="s">
        <v>24</v>
      </c>
      <c r="B26" s="137">
        <f>IF(SER_hh_tes!B26=0,"",SER_hh_tes!B26/SER_hh_fec!B26)</f>
        <v>0.52498343042057083</v>
      </c>
      <c r="C26" s="137">
        <f>IF(SER_hh_tes!C26=0,"",SER_hh_tes!C26/SER_hh_fec!C26)</f>
        <v>0.52704607441695095</v>
      </c>
      <c r="D26" s="137">
        <f>IF(SER_hh_tes!D26=0,"",SER_hh_tes!D26/SER_hh_fec!D26)</f>
        <v>0.52811091173005587</v>
      </c>
      <c r="E26" s="137">
        <f>IF(SER_hh_tes!E26=0,"",SER_hh_tes!E26/SER_hh_fec!E26)</f>
        <v>0.52953142664565422</v>
      </c>
      <c r="F26" s="137">
        <f>IF(SER_hh_tes!F26=0,"",SER_hh_tes!F26/SER_hh_fec!F26)</f>
        <v>0.53132758869372554</v>
      </c>
      <c r="G26" s="137">
        <f>IF(SER_hh_tes!G26=0,"",SER_hh_tes!G26/SER_hh_fec!G26)</f>
        <v>0.53324474504663588</v>
      </c>
      <c r="H26" s="137">
        <f>IF(SER_hh_tes!H26=0,"",SER_hh_tes!H26/SER_hh_fec!H26)</f>
        <v>0.53335816751807252</v>
      </c>
      <c r="I26" s="137">
        <f>IF(SER_hh_tes!I26=0,"",SER_hh_tes!I26/SER_hh_fec!I26)</f>
        <v>0.53268905946490552</v>
      </c>
      <c r="J26" s="137">
        <f>IF(SER_hh_tes!J26=0,"",SER_hh_tes!J26/SER_hh_fec!J26)</f>
        <v>0.53269663189865013</v>
      </c>
      <c r="K26" s="137">
        <f>IF(SER_hh_tes!K26=0,"",SER_hh_tes!K26/SER_hh_fec!K26)</f>
        <v>0.5359577082718715</v>
      </c>
      <c r="L26" s="137">
        <f>IF(SER_hh_tes!L26=0,"",SER_hh_tes!L26/SER_hh_fec!L26)</f>
        <v>0.54400376032172471</v>
      </c>
      <c r="M26" s="137">
        <f>IF(SER_hh_tes!M26=0,"",SER_hh_tes!M26/SER_hh_fec!M26)</f>
        <v>0.55252135878039144</v>
      </c>
      <c r="N26" s="137">
        <f>IF(SER_hh_tes!N26=0,"",SER_hh_tes!N26/SER_hh_fec!N26)</f>
        <v>0.56682155601713435</v>
      </c>
      <c r="O26" s="137">
        <f>IF(SER_hh_tes!O26=0,"",SER_hh_tes!O26/SER_hh_fec!O26)</f>
        <v>0.58278321215035578</v>
      </c>
      <c r="P26" s="137">
        <f>IF(SER_hh_tes!P26=0,"",SER_hh_tes!P26/SER_hh_fec!P26)</f>
        <v>0.58698270614287451</v>
      </c>
      <c r="Q26" s="137">
        <f>IF(SER_hh_tes!Q26=0,"",SER_hh_tes!Q26/SER_hh_fec!Q26)</f>
        <v>0.58859709227418588</v>
      </c>
      <c r="R26" s="137">
        <f>IF(SER_hh_tes!R26=0,"",SER_hh_tes!R26/SER_hh_fec!R26)</f>
        <v>0.59262341374153782</v>
      </c>
      <c r="S26" s="137">
        <f>IF(SER_hh_tes!S26=0,"",SER_hh_tes!S26/SER_hh_fec!S26)</f>
        <v>0.59614121825498756</v>
      </c>
      <c r="T26" s="137">
        <f>IF(SER_hh_tes!T26=0,"",SER_hh_tes!T26/SER_hh_fec!T26)</f>
        <v>0.60827829376672071</v>
      </c>
      <c r="U26" s="137">
        <f>IF(SER_hh_tes!U26=0,"",SER_hh_tes!U26/SER_hh_fec!U26)</f>
        <v>0.6208187240184887</v>
      </c>
      <c r="V26" s="137">
        <f>IF(SER_hh_tes!V26=0,"",SER_hh_tes!V26/SER_hh_fec!V26)</f>
        <v>0.62414947413221877</v>
      </c>
      <c r="W26" s="137">
        <f>IF(SER_hh_tes!W26=0,"",SER_hh_tes!W26/SER_hh_fec!W26)</f>
        <v>0.64027170224278018</v>
      </c>
      <c r="X26" s="137">
        <f>IF(SER_hh_tes!X26=0,"",SER_hh_tes!X26/SER_hh_fec!X26)</f>
        <v>0.68096663936838264</v>
      </c>
      <c r="Y26" s="137">
        <f>IF(SER_hh_tes!Y26=0,"",SER_hh_tes!Y26/SER_hh_fec!Y26)</f>
        <v>0.69958849927156785</v>
      </c>
      <c r="DA26" s="164" t="s">
        <v>351</v>
      </c>
    </row>
    <row r="27" spans="1:105" ht="12" customHeight="1" x14ac:dyDescent="0.25">
      <c r="A27" s="144" t="s">
        <v>26</v>
      </c>
      <c r="B27" s="153">
        <f>IF(SER_hh_tes!B27=0,"",SER_hh_tes!B27/SER_hh_fec!B27)</f>
        <v>1</v>
      </c>
      <c r="C27" s="153">
        <f>IF(SER_hh_tes!C27=0,"",SER_hh_tes!C27/SER_hh_fec!C27)</f>
        <v>1</v>
      </c>
      <c r="D27" s="153">
        <f>IF(SER_hh_tes!D27=0,"",SER_hh_tes!D27/SER_hh_fec!D27)</f>
        <v>1</v>
      </c>
      <c r="E27" s="153">
        <f>IF(SER_hh_tes!E27=0,"",SER_hh_tes!E27/SER_hh_fec!E27)</f>
        <v>1</v>
      </c>
      <c r="F27" s="153">
        <f>IF(SER_hh_tes!F27=0,"",SER_hh_tes!F27/SER_hh_fec!F27)</f>
        <v>1</v>
      </c>
      <c r="G27" s="153">
        <f>IF(SER_hh_tes!G27=0,"",SER_hh_tes!G27/SER_hh_fec!G27)</f>
        <v>1</v>
      </c>
      <c r="H27" s="153">
        <f>IF(SER_hh_tes!H27=0,"",SER_hh_tes!H27/SER_hh_fec!H27)</f>
        <v>1</v>
      </c>
      <c r="I27" s="153">
        <f>IF(SER_hh_tes!I27=0,"",SER_hh_tes!I27/SER_hh_fec!I27)</f>
        <v>1</v>
      </c>
      <c r="J27" s="153">
        <f>IF(SER_hh_tes!J27=0,"",SER_hh_tes!J27/SER_hh_fec!J27)</f>
        <v>1</v>
      </c>
      <c r="K27" s="153">
        <f>IF(SER_hh_tes!K27=0,"",SER_hh_tes!K27/SER_hh_fec!K27)</f>
        <v>1</v>
      </c>
      <c r="L27" s="153">
        <f>IF(SER_hh_tes!L27=0,"",SER_hh_tes!L27/SER_hh_fec!L27)</f>
        <v>1</v>
      </c>
      <c r="M27" s="153">
        <f>IF(SER_hh_tes!M27=0,"",SER_hh_tes!M27/SER_hh_fec!M27)</f>
        <v>1</v>
      </c>
      <c r="N27" s="153">
        <f>IF(SER_hh_tes!N27=0,"",SER_hh_tes!N27/SER_hh_fec!N27)</f>
        <v>1</v>
      </c>
      <c r="O27" s="153">
        <f>IF(SER_hh_tes!O27=0,"",SER_hh_tes!O27/SER_hh_fec!O27)</f>
        <v>1</v>
      </c>
      <c r="P27" s="153">
        <f>IF(SER_hh_tes!P27=0,"",SER_hh_tes!P27/SER_hh_fec!P27)</f>
        <v>1</v>
      </c>
      <c r="Q27" s="153">
        <f>IF(SER_hh_tes!Q27=0,"",SER_hh_tes!Q27/SER_hh_fec!Q27)</f>
        <v>1</v>
      </c>
      <c r="R27" s="153">
        <f>IF(SER_hh_tes!R27=0,"",SER_hh_tes!R27/SER_hh_fec!R27)</f>
        <v>1</v>
      </c>
      <c r="S27" s="153">
        <f>IF(SER_hh_tes!S27=0,"",SER_hh_tes!S27/SER_hh_fec!S27)</f>
        <v>1</v>
      </c>
      <c r="T27" s="153">
        <f>IF(SER_hh_tes!T27=0,"",SER_hh_tes!T27/SER_hh_fec!T27)</f>
        <v>1</v>
      </c>
      <c r="U27" s="153">
        <f>IF(SER_hh_tes!U27=0,"",SER_hh_tes!U27/SER_hh_fec!U27)</f>
        <v>1</v>
      </c>
      <c r="V27" s="153">
        <f>IF(SER_hh_tes!V27=0,"",SER_hh_tes!V27/SER_hh_fec!V27)</f>
        <v>1</v>
      </c>
      <c r="W27" s="153">
        <f>IF(SER_hh_tes!W27=0,"",SER_hh_tes!W27/SER_hh_fec!W27)</f>
        <v>1</v>
      </c>
      <c r="X27" s="153">
        <f>IF(SER_hh_tes!X27=0,"",SER_hh_tes!X27/SER_hh_fec!X27)</f>
        <v>1</v>
      </c>
      <c r="Y27" s="153">
        <f>IF(SER_hh_tes!Y27=0,"",SER_hh_tes!Y27/SER_hh_fec!Y27)</f>
        <v>1</v>
      </c>
      <c r="DA27" s="176" t="s">
        <v>352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>
        <f>IF(SER_hh_tes!B29=0,"",SER_hh_tes!B29/SER_hh_fec!B29)</f>
        <v>0.7519754508358899</v>
      </c>
      <c r="C29" s="135">
        <f>IF(SER_hh_tes!C29=0,"",SER_hh_tes!C29/SER_hh_fec!C29)</f>
        <v>0.75364239459799365</v>
      </c>
      <c r="D29" s="135">
        <f>IF(SER_hh_tes!D29=0,"",SER_hh_tes!D29/SER_hh_fec!D29)</f>
        <v>0.74901440243874351</v>
      </c>
      <c r="E29" s="135">
        <f>IF(SER_hh_tes!E29=0,"",SER_hh_tes!E29/SER_hh_fec!E29)</f>
        <v>0.75105035536185516</v>
      </c>
      <c r="F29" s="135">
        <f>IF(SER_hh_tes!F29=0,"",SER_hh_tes!F29/SER_hh_fec!F29)</f>
        <v>0.74952069726613813</v>
      </c>
      <c r="G29" s="135">
        <f>IF(SER_hh_tes!G29=0,"",SER_hh_tes!G29/SER_hh_fec!G29)</f>
        <v>0.74607601359780862</v>
      </c>
      <c r="H29" s="135">
        <f>IF(SER_hh_tes!H29=0,"",SER_hh_tes!H29/SER_hh_fec!H29)</f>
        <v>0.71319007418253144</v>
      </c>
      <c r="I29" s="135">
        <f>IF(SER_hh_tes!I29=0,"",SER_hh_tes!I29/SER_hh_fec!I29)</f>
        <v>0.70631485103099201</v>
      </c>
      <c r="J29" s="135">
        <f>IF(SER_hh_tes!J29=0,"",SER_hh_tes!J29/SER_hh_fec!J29)</f>
        <v>0.70500185914421831</v>
      </c>
      <c r="K29" s="135">
        <f>IF(SER_hh_tes!K29=0,"",SER_hh_tes!K29/SER_hh_fec!K29)</f>
        <v>0.71571913905464524</v>
      </c>
      <c r="L29" s="135">
        <f>IF(SER_hh_tes!L29=0,"",SER_hh_tes!L29/SER_hh_fec!L29)</f>
        <v>0.72006559915940538</v>
      </c>
      <c r="M29" s="135">
        <f>IF(SER_hh_tes!M29=0,"",SER_hh_tes!M29/SER_hh_fec!M29)</f>
        <v>0.71355047654243842</v>
      </c>
      <c r="N29" s="135">
        <f>IF(SER_hh_tes!N29=0,"",SER_hh_tes!N29/SER_hh_fec!N29)</f>
        <v>0.71322266741489104</v>
      </c>
      <c r="O29" s="135">
        <f>IF(SER_hh_tes!O29=0,"",SER_hh_tes!O29/SER_hh_fec!O29)</f>
        <v>0.71632349545933183</v>
      </c>
      <c r="P29" s="135">
        <f>IF(SER_hh_tes!P29=0,"",SER_hh_tes!P29/SER_hh_fec!P29)</f>
        <v>0.7237950450437971</v>
      </c>
      <c r="Q29" s="135">
        <f>IF(SER_hh_tes!Q29=0,"",SER_hh_tes!Q29/SER_hh_fec!Q29)</f>
        <v>0.7183313705463702</v>
      </c>
      <c r="R29" s="135">
        <f>IF(SER_hh_tes!R29=0,"",SER_hh_tes!R29/SER_hh_fec!R29)</f>
        <v>0.72161592545366393</v>
      </c>
      <c r="S29" s="135">
        <f>IF(SER_hh_tes!S29=0,"",SER_hh_tes!S29/SER_hh_fec!S29)</f>
        <v>0.70896505058969772</v>
      </c>
      <c r="T29" s="135">
        <f>IF(SER_hh_tes!T29=0,"",SER_hh_tes!T29/SER_hh_fec!T29)</f>
        <v>0.71055062981944828</v>
      </c>
      <c r="U29" s="135">
        <f>IF(SER_hh_tes!U29=0,"",SER_hh_tes!U29/SER_hh_fec!U29)</f>
        <v>0.69577319909786728</v>
      </c>
      <c r="V29" s="135">
        <f>IF(SER_hh_tes!V29=0,"",SER_hh_tes!V29/SER_hh_fec!V29)</f>
        <v>0.71086687364958934</v>
      </c>
      <c r="W29" s="135">
        <f>IF(SER_hh_tes!W29=0,"",SER_hh_tes!W29/SER_hh_fec!W29)</f>
        <v>0.74644536283024487</v>
      </c>
      <c r="X29" s="135">
        <f>IF(SER_hh_tes!X29=0,"",SER_hh_tes!X29/SER_hh_fec!X29)</f>
        <v>0.74565571142498921</v>
      </c>
      <c r="Y29" s="135">
        <f>IF(SER_hh_tes!Y29=0,"",SER_hh_tes!Y29/SER_hh_fec!Y29)</f>
        <v>0.7683860858600029</v>
      </c>
      <c r="DA29" s="162" t="s">
        <v>243</v>
      </c>
    </row>
    <row r="30" spans="1:105" ht="12" customHeight="1" x14ac:dyDescent="0.25">
      <c r="A30" s="131" t="s">
        <v>52</v>
      </c>
      <c r="B30" s="136" t="str">
        <f>IF(SER_hh_tes!B30=0,"",SER_hh_tes!B30/SER_hh_fec!B30)</f>
        <v/>
      </c>
      <c r="C30" s="136" t="str">
        <f>IF(SER_hh_tes!C30=0,"",SER_hh_tes!C30/SER_hh_fec!C30)</f>
        <v/>
      </c>
      <c r="D30" s="136" t="str">
        <f>IF(SER_hh_tes!D30=0,"",SER_hh_tes!D30/SER_hh_fec!D30)</f>
        <v/>
      </c>
      <c r="E30" s="136" t="str">
        <f>IF(SER_hh_tes!E30=0,"",SER_hh_tes!E30/SER_hh_fec!E30)</f>
        <v/>
      </c>
      <c r="F30" s="136" t="str">
        <f>IF(SER_hh_tes!F30=0,"",SER_hh_tes!F30/SER_hh_fec!F30)</f>
        <v/>
      </c>
      <c r="G30" s="136" t="str">
        <f>IF(SER_hh_tes!G30=0,"",SER_hh_tes!G30/SER_hh_fec!G30)</f>
        <v/>
      </c>
      <c r="H30" s="136">
        <f>IF(SER_hh_tes!H30=0,"",SER_hh_tes!H30/SER_hh_fec!H30)</f>
        <v>0.61530595207807737</v>
      </c>
      <c r="I30" s="136">
        <f>IF(SER_hh_tes!I30=0,"",SER_hh_tes!I30/SER_hh_fec!I30)</f>
        <v>0.61532666442090345</v>
      </c>
      <c r="J30" s="136">
        <f>IF(SER_hh_tes!J30=0,"",SER_hh_tes!J30/SER_hh_fec!J30)</f>
        <v>0.61534572614025962</v>
      </c>
      <c r="K30" s="136">
        <f>IF(SER_hh_tes!K30=0,"",SER_hh_tes!K30/SER_hh_fec!K30)</f>
        <v>0.61534597768057531</v>
      </c>
      <c r="L30" s="136">
        <f>IF(SER_hh_tes!L30=0,"",SER_hh_tes!L30/SER_hh_fec!L30)</f>
        <v>0.61535446982435049</v>
      </c>
      <c r="M30" s="136">
        <f>IF(SER_hh_tes!M30=0,"",SER_hh_tes!M30/SER_hh_fec!M30)</f>
        <v>0.61539780035076896</v>
      </c>
      <c r="N30" s="136">
        <f>IF(SER_hh_tes!N30=0,"",SER_hh_tes!N30/SER_hh_fec!N30)</f>
        <v>0.61543316357259492</v>
      </c>
      <c r="O30" s="136">
        <f>IF(SER_hh_tes!O30=0,"",SER_hh_tes!O30/SER_hh_fec!O30)</f>
        <v>0.61545976825613002</v>
      </c>
      <c r="P30" s="136">
        <f>IF(SER_hh_tes!P30=0,"",SER_hh_tes!P30/SER_hh_fec!P30)</f>
        <v>0.61548821555464994</v>
      </c>
      <c r="Q30" s="136">
        <f>IF(SER_hh_tes!Q30=0,"",SER_hh_tes!Q30/SER_hh_fec!Q30)</f>
        <v>0.61561705886411355</v>
      </c>
      <c r="R30" s="136">
        <f>IF(SER_hh_tes!R30=0,"",SER_hh_tes!R30/SER_hh_fec!R30)</f>
        <v>0.61590569812256224</v>
      </c>
      <c r="S30" s="136">
        <f>IF(SER_hh_tes!S30=0,"",SER_hh_tes!S30/SER_hh_fec!S30)</f>
        <v>0.61653429349111588</v>
      </c>
      <c r="T30" s="136">
        <f>IF(SER_hh_tes!T30=0,"",SER_hh_tes!T30/SER_hh_fec!T30)</f>
        <v>0.61710362758476323</v>
      </c>
      <c r="U30" s="136">
        <f>IF(SER_hh_tes!U30=0,"",SER_hh_tes!U30/SER_hh_fec!U30)</f>
        <v>0.61735351957855999</v>
      </c>
      <c r="V30" s="136">
        <f>IF(SER_hh_tes!V30=0,"",SER_hh_tes!V30/SER_hh_fec!V30)</f>
        <v>0.6176392744143282</v>
      </c>
      <c r="W30" s="136">
        <f>IF(SER_hh_tes!W30=0,"",SER_hh_tes!W30/SER_hh_fec!W30)</f>
        <v>0.61783545491978797</v>
      </c>
      <c r="X30" s="136">
        <f>IF(SER_hh_tes!X30=0,"",SER_hh_tes!X30/SER_hh_fec!X30)</f>
        <v>0.61796058483551597</v>
      </c>
      <c r="Y30" s="136">
        <f>IF(SER_hh_tes!Y30=0,"",SER_hh_tes!Y30/SER_hh_fec!Y30)</f>
        <v>0.618246725070981</v>
      </c>
      <c r="DA30" s="163" t="s">
        <v>353</v>
      </c>
    </row>
    <row r="31" spans="1:105" ht="12" customHeight="1" x14ac:dyDescent="0.25">
      <c r="A31" s="131" t="s">
        <v>149</v>
      </c>
      <c r="B31" s="136" t="str">
        <f>IF(SER_hh_tes!B31=0,"",SER_hh_tes!B31/SER_hh_fec!B31)</f>
        <v/>
      </c>
      <c r="C31" s="136" t="str">
        <f>IF(SER_hh_tes!C31=0,"",SER_hh_tes!C31/SER_hh_fec!C31)</f>
        <v/>
      </c>
      <c r="D31" s="136" t="str">
        <f>IF(SER_hh_tes!D31=0,"",SER_hh_tes!D31/SER_hh_fec!D31)</f>
        <v/>
      </c>
      <c r="E31" s="136" t="str">
        <f>IF(SER_hh_tes!E31=0,"",SER_hh_tes!E31/SER_hh_fec!E31)</f>
        <v/>
      </c>
      <c r="F31" s="136" t="str">
        <f>IF(SER_hh_tes!F31=0,"",SER_hh_tes!F31/SER_hh_fec!F31)</f>
        <v/>
      </c>
      <c r="G31" s="136" t="str">
        <f>IF(SER_hh_tes!G31=0,"",SER_hh_tes!G31/SER_hh_fec!G31)</f>
        <v/>
      </c>
      <c r="H31" s="136" t="str">
        <f>IF(SER_hh_tes!H31=0,"",SER_hh_tes!H31/SER_hh_fec!H31)</f>
        <v/>
      </c>
      <c r="I31" s="136" t="str">
        <f>IF(SER_hh_tes!I31=0,"",SER_hh_tes!I31/SER_hh_fec!I31)</f>
        <v/>
      </c>
      <c r="J31" s="136" t="str">
        <f>IF(SER_hh_tes!J31=0,"",SER_hh_tes!J31/SER_hh_fec!J31)</f>
        <v/>
      </c>
      <c r="K31" s="136" t="str">
        <f>IF(SER_hh_tes!K31=0,"",SER_hh_tes!K31/SER_hh_fec!K31)</f>
        <v/>
      </c>
      <c r="L31" s="136" t="str">
        <f>IF(SER_hh_tes!L31=0,"",SER_hh_tes!L31/SER_hh_fec!L31)</f>
        <v/>
      </c>
      <c r="M31" s="136" t="str">
        <f>IF(SER_hh_tes!M31=0,"",SER_hh_tes!M31/SER_hh_fec!M31)</f>
        <v/>
      </c>
      <c r="N31" s="136" t="str">
        <f>IF(SER_hh_tes!N31=0,"",SER_hh_tes!N31/SER_hh_fec!N31)</f>
        <v/>
      </c>
      <c r="O31" s="136" t="str">
        <f>IF(SER_hh_tes!O31=0,"",SER_hh_tes!O31/SER_hh_fec!O31)</f>
        <v/>
      </c>
      <c r="P31" s="136" t="str">
        <f>IF(SER_hh_tes!P31=0,"",SER_hh_tes!P31/SER_hh_fec!P31)</f>
        <v/>
      </c>
      <c r="Q31" s="136" t="str">
        <f>IF(SER_hh_tes!Q31=0,"",SER_hh_tes!Q31/SER_hh_fec!Q31)</f>
        <v/>
      </c>
      <c r="R31" s="136" t="str">
        <f>IF(SER_hh_tes!R31=0,"",SER_hh_tes!R31/SER_hh_fec!R31)</f>
        <v/>
      </c>
      <c r="S31" s="136" t="str">
        <f>IF(SER_hh_tes!S31=0,"",SER_hh_tes!S31/SER_hh_fec!S31)</f>
        <v/>
      </c>
      <c r="T31" s="136" t="str">
        <f>IF(SER_hh_tes!T31=0,"",SER_hh_tes!T31/SER_hh_fec!T31)</f>
        <v/>
      </c>
      <c r="U31" s="136" t="str">
        <f>IF(SER_hh_tes!U31=0,"",SER_hh_tes!U31/SER_hh_fec!U31)</f>
        <v/>
      </c>
      <c r="V31" s="136" t="str">
        <f>IF(SER_hh_tes!V31=0,"",SER_hh_tes!V31/SER_hh_fec!V31)</f>
        <v/>
      </c>
      <c r="W31" s="136" t="str">
        <f>IF(SER_hh_tes!W31=0,"",SER_hh_tes!W31/SER_hh_fec!W31)</f>
        <v/>
      </c>
      <c r="X31" s="136" t="str">
        <f>IF(SER_hh_tes!X31=0,"",SER_hh_tes!X31/SER_hh_fec!X31)</f>
        <v/>
      </c>
      <c r="Y31" s="136" t="str">
        <f>IF(SER_hh_tes!Y31=0,"",SER_hh_tes!Y31/SER_hh_fec!Y31)</f>
        <v/>
      </c>
      <c r="DA31" s="163" t="s">
        <v>354</v>
      </c>
    </row>
    <row r="32" spans="1:105" ht="12" customHeight="1" x14ac:dyDescent="0.25">
      <c r="A32" s="131" t="s">
        <v>128</v>
      </c>
      <c r="B32" s="136">
        <f>IF(SER_hh_tes!B32=0,"",SER_hh_tes!B32/SER_hh_fec!B32)</f>
        <v>0.56778849757562677</v>
      </c>
      <c r="C32" s="136">
        <f>IF(SER_hh_tes!C32=0,"",SER_hh_tes!C32/SER_hh_fec!C32)</f>
        <v>0.56890981338731239</v>
      </c>
      <c r="D32" s="136">
        <f>IF(SER_hh_tes!D32=0,"",SER_hh_tes!D32/SER_hh_fec!D32)</f>
        <v>0.57021000436084901</v>
      </c>
      <c r="E32" s="136">
        <f>IF(SER_hh_tes!E32=0,"",SER_hh_tes!E32/SER_hh_fec!E32)</f>
        <v>0.5711414223643172</v>
      </c>
      <c r="F32" s="136">
        <f>IF(SER_hh_tes!F32=0,"",SER_hh_tes!F32/SER_hh_fec!F32)</f>
        <v>0.57201056925251192</v>
      </c>
      <c r="G32" s="136">
        <f>IF(SER_hh_tes!G32=0,"",SER_hh_tes!G32/SER_hh_fec!G32)</f>
        <v>0.5728145755391536</v>
      </c>
      <c r="H32" s="136">
        <f>IF(SER_hh_tes!H32=0,"",SER_hh_tes!H32/SER_hh_fec!H32)</f>
        <v>0.57345228433372675</v>
      </c>
      <c r="I32" s="136">
        <f>IF(SER_hh_tes!I32=0,"",SER_hh_tes!I32/SER_hh_fec!I32)</f>
        <v>0.57406722437976898</v>
      </c>
      <c r="J32" s="136">
        <f>IF(SER_hh_tes!J32=0,"",SER_hh_tes!J32/SER_hh_fec!J32)</f>
        <v>0.57450437194608783</v>
      </c>
      <c r="K32" s="136">
        <f>IF(SER_hh_tes!K32=0,"",SER_hh_tes!K32/SER_hh_fec!K32)</f>
        <v>0.57491497399360625</v>
      </c>
      <c r="L32" s="136">
        <f>IF(SER_hh_tes!L32=0,"",SER_hh_tes!L32/SER_hh_fec!L32)</f>
        <v>0.57520209841376135</v>
      </c>
      <c r="M32" s="136">
        <f>IF(SER_hh_tes!M32=0,"",SER_hh_tes!M32/SER_hh_fec!M32)</f>
        <v>0.57533761720226873</v>
      </c>
      <c r="N32" s="136">
        <f>IF(SER_hh_tes!N32=0,"",SER_hh_tes!N32/SER_hh_fec!N32)</f>
        <v>0.57552073016583682</v>
      </c>
      <c r="O32" s="136">
        <f>IF(SER_hh_tes!O32=0,"",SER_hh_tes!O32/SER_hh_fec!O32)</f>
        <v>0.57575450904880687</v>
      </c>
      <c r="P32" s="136">
        <f>IF(SER_hh_tes!P32=0,"",SER_hh_tes!P32/SER_hh_fec!P32)</f>
        <v>0.57599785704464834</v>
      </c>
      <c r="Q32" s="136">
        <f>IF(SER_hh_tes!Q32=0,"",SER_hh_tes!Q32/SER_hh_fec!Q32)</f>
        <v>0.57630395862671446</v>
      </c>
      <c r="R32" s="136">
        <f>IF(SER_hh_tes!R32=0,"",SER_hh_tes!R32/SER_hh_fec!R32)</f>
        <v>0.57687229740278101</v>
      </c>
      <c r="S32" s="136">
        <f>IF(SER_hh_tes!S32=0,"",SER_hh_tes!S32/SER_hh_fec!S32)</f>
        <v>0.57794086179955839</v>
      </c>
      <c r="T32" s="136">
        <f>IF(SER_hh_tes!T32=0,"",SER_hh_tes!T32/SER_hh_fec!T32)</f>
        <v>0.57957239027912766</v>
      </c>
      <c r="U32" s="136">
        <f>IF(SER_hh_tes!U32=0,"",SER_hh_tes!U32/SER_hh_fec!U32)</f>
        <v>0.58093573408864607</v>
      </c>
      <c r="V32" s="136">
        <f>IF(SER_hh_tes!V32=0,"",SER_hh_tes!V32/SER_hh_fec!V32)</f>
        <v>0.58229125679699434</v>
      </c>
      <c r="W32" s="136">
        <f>IF(SER_hh_tes!W32=0,"",SER_hh_tes!W32/SER_hh_fec!W32)</f>
        <v>0.58288733398858084</v>
      </c>
      <c r="X32" s="136">
        <f>IF(SER_hh_tes!X32=0,"",SER_hh_tes!X32/SER_hh_fec!X32)</f>
        <v>0.58337782260945259</v>
      </c>
      <c r="Y32" s="136">
        <f>IF(SER_hh_tes!Y32=0,"",SER_hh_tes!Y32/SER_hh_fec!Y32)</f>
        <v>0.58416260228947414</v>
      </c>
      <c r="DA32" s="163" t="s">
        <v>355</v>
      </c>
    </row>
    <row r="33" spans="1:105" ht="12" customHeight="1" x14ac:dyDescent="0.25">
      <c r="A33" s="62" t="s">
        <v>24</v>
      </c>
      <c r="B33" s="149">
        <f>IF(SER_hh_tes!B33=0,"",SER_hh_tes!B33/SER_hh_fec!B33)</f>
        <v>0.76874795672293039</v>
      </c>
      <c r="C33" s="149">
        <f>IF(SER_hh_tes!C33=0,"",SER_hh_tes!C33/SER_hh_fec!C33)</f>
        <v>0.77025052512056025</v>
      </c>
      <c r="D33" s="149">
        <f>IF(SER_hh_tes!D33=0,"",SER_hh_tes!D33/SER_hh_fec!D33)</f>
        <v>0.77171045776343972</v>
      </c>
      <c r="E33" s="149">
        <f>IF(SER_hh_tes!E33=0,"",SER_hh_tes!E33/SER_hh_fec!E33)</f>
        <v>0.77335245031681676</v>
      </c>
      <c r="F33" s="149">
        <f>IF(SER_hh_tes!F33=0,"",SER_hh_tes!F33/SER_hh_fec!F33)</f>
        <v>0.77514222756173334</v>
      </c>
      <c r="G33" s="149">
        <f>IF(SER_hh_tes!G33=0,"",SER_hh_tes!G33/SER_hh_fec!G33)</f>
        <v>0.77701850086413804</v>
      </c>
      <c r="H33" s="149">
        <f>IF(SER_hh_tes!H33=0,"",SER_hh_tes!H33/SER_hh_fec!H33)</f>
        <v>0.77790663614495825</v>
      </c>
      <c r="I33" s="149">
        <f>IF(SER_hh_tes!I33=0,"",SER_hh_tes!I33/SER_hh_fec!I33)</f>
        <v>0.77951300520382216</v>
      </c>
      <c r="J33" s="149">
        <f>IF(SER_hh_tes!J33=0,"",SER_hh_tes!J33/SER_hh_fec!J33)</f>
        <v>0.78231549077219475</v>
      </c>
      <c r="K33" s="149">
        <f>IF(SER_hh_tes!K33=0,"",SER_hh_tes!K33/SER_hh_fec!K33)</f>
        <v>0.78590115871373856</v>
      </c>
      <c r="L33" s="149">
        <f>IF(SER_hh_tes!L33=0,"",SER_hh_tes!L33/SER_hh_fec!L33)</f>
        <v>0.78848147898657028</v>
      </c>
      <c r="M33" s="149">
        <f>IF(SER_hh_tes!M33=0,"",SER_hh_tes!M33/SER_hh_fec!M33)</f>
        <v>0.78938224990675532</v>
      </c>
      <c r="N33" s="149">
        <f>IF(SER_hh_tes!N33=0,"",SER_hh_tes!N33/SER_hh_fec!N33)</f>
        <v>0.79091975955640181</v>
      </c>
      <c r="O33" s="149">
        <f>IF(SER_hh_tes!O33=0,"",SER_hh_tes!O33/SER_hh_fec!O33)</f>
        <v>0.79310906111762547</v>
      </c>
      <c r="P33" s="149">
        <f>IF(SER_hh_tes!P33=0,"",SER_hh_tes!P33/SER_hh_fec!P33)</f>
        <v>0.79562750055634435</v>
      </c>
      <c r="Q33" s="149">
        <f>IF(SER_hh_tes!Q33=0,"",SER_hh_tes!Q33/SER_hh_fec!Q33)</f>
        <v>0.79820920182115829</v>
      </c>
      <c r="R33" s="149">
        <f>IF(SER_hh_tes!R33=0,"",SER_hh_tes!R33/SER_hh_fec!R33)</f>
        <v>0.80176386835013636</v>
      </c>
      <c r="S33" s="149">
        <f>IF(SER_hh_tes!S33=0,"",SER_hh_tes!S33/SER_hh_fec!S33)</f>
        <v>0.80467523813886366</v>
      </c>
      <c r="T33" s="149">
        <f>IF(SER_hh_tes!T33=0,"",SER_hh_tes!T33/SER_hh_fec!T33)</f>
        <v>0.81053565814097894</v>
      </c>
      <c r="U33" s="149">
        <f>IF(SER_hh_tes!U33=0,"",SER_hh_tes!U33/SER_hh_fec!U33)</f>
        <v>0.82097046403435303</v>
      </c>
      <c r="V33" s="149">
        <f>IF(SER_hh_tes!V33=0,"",SER_hh_tes!V33/SER_hh_fec!V33)</f>
        <v>0.83303582665794862</v>
      </c>
      <c r="W33" s="149">
        <f>IF(SER_hh_tes!W33=0,"",SER_hh_tes!W33/SER_hh_fec!W33)</f>
        <v>0.84705472038776763</v>
      </c>
      <c r="X33" s="149">
        <f>IF(SER_hh_tes!X33=0,"",SER_hh_tes!X33/SER_hh_fec!X33)</f>
        <v>0.86005146389184739</v>
      </c>
      <c r="Y33" s="149">
        <f>IF(SER_hh_tes!Y33=0,"",SER_hh_tes!Y33/SER_hh_fec!Y33)</f>
        <v>0.86983908846071734</v>
      </c>
      <c r="DA33" s="167" t="s">
        <v>356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>
        <f t="shared" ref="B3:Q3" si="0">SUM(B4,B16,B19,B29)</f>
        <v>80.909852639246594</v>
      </c>
      <c r="C3" s="125">
        <f t="shared" si="0"/>
        <v>81.757080126404162</v>
      </c>
      <c r="D3" s="125">
        <f t="shared" si="0"/>
        <v>78.368170177773834</v>
      </c>
      <c r="E3" s="125">
        <f t="shared" si="0"/>
        <v>80.486221163081936</v>
      </c>
      <c r="F3" s="125">
        <f t="shared" si="0"/>
        <v>72.437613232842438</v>
      </c>
      <c r="G3" s="125">
        <f t="shared" si="0"/>
        <v>69.634233007911021</v>
      </c>
      <c r="H3" s="125">
        <f t="shared" si="0"/>
        <v>118.33920648</v>
      </c>
      <c r="I3" s="125">
        <f t="shared" si="0"/>
        <v>121.52983428000002</v>
      </c>
      <c r="J3" s="125">
        <f t="shared" si="0"/>
        <v>153.18261288000002</v>
      </c>
      <c r="K3" s="125">
        <f t="shared" si="0"/>
        <v>124.65463356000002</v>
      </c>
      <c r="L3" s="125">
        <f t="shared" si="0"/>
        <v>137.44374624</v>
      </c>
      <c r="M3" s="125">
        <f t="shared" si="0"/>
        <v>137.1664098</v>
      </c>
      <c r="N3" s="125">
        <f t="shared" si="0"/>
        <v>124.27068744000007</v>
      </c>
      <c r="O3" s="125">
        <f t="shared" si="0"/>
        <v>127.33764372000006</v>
      </c>
      <c r="P3" s="125">
        <f t="shared" si="0"/>
        <v>118.40024052000001</v>
      </c>
      <c r="Q3" s="125">
        <f t="shared" si="0"/>
        <v>108.93590028000003</v>
      </c>
      <c r="R3" s="125">
        <f t="shared" ref="R3:W3" si="1">SUM(R4,R16,R19,R29)</f>
        <v>105.63718715999998</v>
      </c>
      <c r="S3" s="125">
        <f t="shared" si="1"/>
        <v>121.54470551999997</v>
      </c>
      <c r="T3" s="125">
        <f t="shared" si="1"/>
        <v>120.66732035999999</v>
      </c>
      <c r="U3" s="125">
        <f t="shared" si="1"/>
        <v>146.74850352000004</v>
      </c>
      <c r="V3" s="125">
        <f t="shared" si="1"/>
        <v>115.12279008000004</v>
      </c>
      <c r="W3" s="125">
        <f t="shared" si="1"/>
        <v>120.53288771999999</v>
      </c>
      <c r="X3" s="125">
        <f t="shared" ref="X3:Y3" si="2">SUM(X4,X16,X19,X29)</f>
        <v>135.25544160000007</v>
      </c>
      <c r="Y3" s="125">
        <f t="shared" si="2"/>
        <v>134.60009471999999</v>
      </c>
      <c r="DA3" s="154" t="s">
        <v>233</v>
      </c>
    </row>
    <row r="4" spans="1:105" ht="12.95" customHeight="1" x14ac:dyDescent="0.25">
      <c r="A4" s="129" t="s">
        <v>32</v>
      </c>
      <c r="B4" s="130">
        <f t="shared" ref="B4:Q4" si="3">SUM(B5:B15)</f>
        <v>77.183414806263201</v>
      </c>
      <c r="C4" s="130">
        <f t="shared" si="3"/>
        <v>78.007597241719964</v>
      </c>
      <c r="D4" s="130">
        <f t="shared" si="3"/>
        <v>74.611600677874634</v>
      </c>
      <c r="E4" s="130">
        <f t="shared" si="3"/>
        <v>76.759246099533016</v>
      </c>
      <c r="F4" s="130">
        <f t="shared" si="3"/>
        <v>68.694223356125548</v>
      </c>
      <c r="G4" s="130">
        <f t="shared" si="3"/>
        <v>65.877525540557926</v>
      </c>
      <c r="H4" s="130">
        <f t="shared" si="3"/>
        <v>75.832197953451342</v>
      </c>
      <c r="I4" s="130">
        <f t="shared" si="3"/>
        <v>79.085031758138825</v>
      </c>
      <c r="J4" s="130">
        <f t="shared" si="3"/>
        <v>107.81190606053889</v>
      </c>
      <c r="K4" s="130">
        <f t="shared" si="3"/>
        <v>82.281344195324394</v>
      </c>
      <c r="L4" s="130">
        <f t="shared" si="3"/>
        <v>95.088835893192396</v>
      </c>
      <c r="M4" s="130">
        <f t="shared" si="3"/>
        <v>91.822513570477938</v>
      </c>
      <c r="N4" s="130">
        <f t="shared" si="3"/>
        <v>78.898032698101417</v>
      </c>
      <c r="O4" s="130">
        <f t="shared" si="3"/>
        <v>85.039296914573384</v>
      </c>
      <c r="P4" s="130">
        <f t="shared" si="3"/>
        <v>82.067892182256145</v>
      </c>
      <c r="Q4" s="130">
        <f t="shared" si="3"/>
        <v>69.622935236071768</v>
      </c>
      <c r="R4" s="130">
        <f t="shared" ref="R4:W4" si="4">SUM(R5:R15)</f>
        <v>66.296364405834552</v>
      </c>
      <c r="S4" s="130">
        <f t="shared" si="4"/>
        <v>74.996317833201132</v>
      </c>
      <c r="T4" s="130">
        <f t="shared" si="4"/>
        <v>73.422727169852138</v>
      </c>
      <c r="U4" s="130">
        <f t="shared" si="4"/>
        <v>93.168214522348876</v>
      </c>
      <c r="V4" s="130">
        <f t="shared" si="4"/>
        <v>74.986345596824393</v>
      </c>
      <c r="W4" s="130">
        <f t="shared" si="4"/>
        <v>84.734048586077904</v>
      </c>
      <c r="X4" s="130">
        <f t="shared" ref="X4:Y4" si="5">SUM(X5:X15)</f>
        <v>93.451419463043237</v>
      </c>
      <c r="Y4" s="130">
        <f t="shared" si="5"/>
        <v>95.240461968037323</v>
      </c>
      <c r="DA4" s="155" t="s">
        <v>234</v>
      </c>
    </row>
    <row r="5" spans="1:105" ht="12" customHeight="1" x14ac:dyDescent="0.25">
      <c r="A5" s="131" t="s">
        <v>29</v>
      </c>
      <c r="B5" s="132">
        <v>0</v>
      </c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358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359</v>
      </c>
    </row>
    <row r="7" spans="1:105" ht="12" customHeight="1" x14ac:dyDescent="0.25">
      <c r="A7" s="131" t="s">
        <v>161</v>
      </c>
      <c r="B7" s="132">
        <v>77.183414806263201</v>
      </c>
      <c r="C7" s="132">
        <v>78.007597241719964</v>
      </c>
      <c r="D7" s="132">
        <v>74.611600677874634</v>
      </c>
      <c r="E7" s="132">
        <v>76.759246099533016</v>
      </c>
      <c r="F7" s="132">
        <v>68.694223356125548</v>
      </c>
      <c r="G7" s="132">
        <v>65.877525540557926</v>
      </c>
      <c r="H7" s="132">
        <v>75.832197953451342</v>
      </c>
      <c r="I7" s="132">
        <v>79.085031758138825</v>
      </c>
      <c r="J7" s="132">
        <v>107.81190606053889</v>
      </c>
      <c r="K7" s="132">
        <v>82.281344195324394</v>
      </c>
      <c r="L7" s="132">
        <v>95.088835893192396</v>
      </c>
      <c r="M7" s="132">
        <v>91.822513570477938</v>
      </c>
      <c r="N7" s="132">
        <v>78.898032698101417</v>
      </c>
      <c r="O7" s="132">
        <v>85.039296914573384</v>
      </c>
      <c r="P7" s="132">
        <v>82.067892182256145</v>
      </c>
      <c r="Q7" s="132">
        <v>69.622935236071768</v>
      </c>
      <c r="R7" s="132">
        <v>66.296364405834552</v>
      </c>
      <c r="S7" s="132">
        <v>74.996317833201132</v>
      </c>
      <c r="T7" s="132">
        <v>73.422727169852138</v>
      </c>
      <c r="U7" s="132">
        <v>93.168214522348876</v>
      </c>
      <c r="V7" s="132">
        <v>74.986345596824393</v>
      </c>
      <c r="W7" s="132">
        <v>84.734048586077904</v>
      </c>
      <c r="X7" s="132">
        <v>93.451419463043237</v>
      </c>
      <c r="Y7" s="132">
        <v>95.240461968037323</v>
      </c>
      <c r="DA7" s="156" t="s">
        <v>360</v>
      </c>
    </row>
    <row r="8" spans="1:105" ht="12" customHeight="1" x14ac:dyDescent="0.25">
      <c r="A8" s="131" t="s">
        <v>73</v>
      </c>
      <c r="B8" s="132">
        <v>0</v>
      </c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361</v>
      </c>
    </row>
    <row r="9" spans="1:105" ht="12" customHeight="1" x14ac:dyDescent="0.25">
      <c r="A9" s="131" t="s">
        <v>78</v>
      </c>
      <c r="B9" s="132">
        <v>0</v>
      </c>
      <c r="C9" s="132">
        <v>0</v>
      </c>
      <c r="D9" s="132">
        <v>0</v>
      </c>
      <c r="E9" s="132">
        <v>0</v>
      </c>
      <c r="F9" s="132">
        <v>0</v>
      </c>
      <c r="G9" s="132">
        <v>0</v>
      </c>
      <c r="H9" s="132">
        <v>0</v>
      </c>
      <c r="I9" s="132">
        <v>0</v>
      </c>
      <c r="J9" s="132">
        <v>0</v>
      </c>
      <c r="K9" s="132">
        <v>0</v>
      </c>
      <c r="L9" s="132">
        <v>0</v>
      </c>
      <c r="M9" s="132">
        <v>0</v>
      </c>
      <c r="N9" s="132">
        <v>0</v>
      </c>
      <c r="O9" s="132">
        <v>0</v>
      </c>
      <c r="P9" s="132">
        <v>0</v>
      </c>
      <c r="Q9" s="132">
        <v>0</v>
      </c>
      <c r="R9" s="132">
        <v>0</v>
      </c>
      <c r="S9" s="132">
        <v>0</v>
      </c>
      <c r="T9" s="132">
        <v>0</v>
      </c>
      <c r="U9" s="132">
        <v>0</v>
      </c>
      <c r="V9" s="132">
        <v>0</v>
      </c>
      <c r="W9" s="132">
        <v>0</v>
      </c>
      <c r="X9" s="132">
        <v>0</v>
      </c>
      <c r="Y9" s="132">
        <v>0</v>
      </c>
      <c r="DA9" s="156" t="s">
        <v>362</v>
      </c>
    </row>
    <row r="10" spans="1:105" ht="12" customHeight="1" x14ac:dyDescent="0.25">
      <c r="A10" s="131" t="s">
        <v>128</v>
      </c>
      <c r="B10" s="132">
        <v>0</v>
      </c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0</v>
      </c>
      <c r="N10" s="132">
        <v>0</v>
      </c>
      <c r="O10" s="132">
        <v>0</v>
      </c>
      <c r="P10" s="132">
        <v>0</v>
      </c>
      <c r="Q10" s="132">
        <v>0</v>
      </c>
      <c r="R10" s="132">
        <v>0</v>
      </c>
      <c r="S10" s="132">
        <v>0</v>
      </c>
      <c r="T10" s="132">
        <v>0</v>
      </c>
      <c r="U10" s="132">
        <v>0</v>
      </c>
      <c r="V10" s="132">
        <v>0</v>
      </c>
      <c r="W10" s="132">
        <v>0</v>
      </c>
      <c r="X10" s="132">
        <v>0</v>
      </c>
      <c r="Y10" s="132">
        <v>0</v>
      </c>
      <c r="DA10" s="156" t="s">
        <v>363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364</v>
      </c>
    </row>
    <row r="12" spans="1:105" ht="12" customHeight="1" x14ac:dyDescent="0.25">
      <c r="A12" s="131" t="s">
        <v>162</v>
      </c>
      <c r="B12" s="132">
        <v>0</v>
      </c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365</v>
      </c>
    </row>
    <row r="13" spans="1:105" ht="12" customHeight="1" x14ac:dyDescent="0.25">
      <c r="A13" s="131" t="s">
        <v>77</v>
      </c>
      <c r="B13" s="132">
        <v>0</v>
      </c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366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367</v>
      </c>
    </row>
    <row r="15" spans="1:105" ht="12" customHeight="1" x14ac:dyDescent="0.25">
      <c r="A15" s="133" t="s">
        <v>80</v>
      </c>
      <c r="B15" s="134">
        <v>0</v>
      </c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368</v>
      </c>
    </row>
    <row r="16" spans="1:105" ht="12.95" customHeight="1" x14ac:dyDescent="0.25">
      <c r="A16" s="129" t="s">
        <v>74</v>
      </c>
      <c r="B16" s="130">
        <f t="shared" ref="B16:Q16" si="6">SUM(B17:B18)</f>
        <v>0</v>
      </c>
      <c r="C16" s="130">
        <f t="shared" si="6"/>
        <v>0</v>
      </c>
      <c r="D16" s="130">
        <f t="shared" si="6"/>
        <v>0</v>
      </c>
      <c r="E16" s="130">
        <f t="shared" si="6"/>
        <v>0</v>
      </c>
      <c r="F16" s="130">
        <f t="shared" si="6"/>
        <v>0</v>
      </c>
      <c r="G16" s="130">
        <f t="shared" si="6"/>
        <v>0</v>
      </c>
      <c r="H16" s="130">
        <f t="shared" si="6"/>
        <v>0</v>
      </c>
      <c r="I16" s="130">
        <f t="shared" si="6"/>
        <v>0</v>
      </c>
      <c r="J16" s="130">
        <f t="shared" si="6"/>
        <v>0</v>
      </c>
      <c r="K16" s="130">
        <f t="shared" si="6"/>
        <v>0</v>
      </c>
      <c r="L16" s="130">
        <f t="shared" si="6"/>
        <v>0</v>
      </c>
      <c r="M16" s="130">
        <f t="shared" si="6"/>
        <v>0</v>
      </c>
      <c r="N16" s="130">
        <f t="shared" si="6"/>
        <v>0</v>
      </c>
      <c r="O16" s="130">
        <f t="shared" si="6"/>
        <v>0</v>
      </c>
      <c r="P16" s="130">
        <f t="shared" si="6"/>
        <v>0</v>
      </c>
      <c r="Q16" s="130">
        <f t="shared" si="6"/>
        <v>0</v>
      </c>
      <c r="R16" s="130">
        <f t="shared" ref="R16:W16" si="7">SUM(R17:R18)</f>
        <v>0</v>
      </c>
      <c r="S16" s="130">
        <f t="shared" si="7"/>
        <v>0</v>
      </c>
      <c r="T16" s="130">
        <f t="shared" si="7"/>
        <v>0</v>
      </c>
      <c r="U16" s="130">
        <f t="shared" si="7"/>
        <v>0</v>
      </c>
      <c r="V16" s="130">
        <f t="shared" si="7"/>
        <v>0</v>
      </c>
      <c r="W16" s="130">
        <f t="shared" si="7"/>
        <v>0</v>
      </c>
      <c r="X16" s="130">
        <f t="shared" ref="X16:Y16" si="8">SUM(X17:X18)</f>
        <v>0</v>
      </c>
      <c r="Y16" s="130">
        <f t="shared" si="8"/>
        <v>0</v>
      </c>
      <c r="DA16" s="155" t="s">
        <v>235</v>
      </c>
    </row>
    <row r="17" spans="1:105" ht="12.95" customHeight="1" x14ac:dyDescent="0.25">
      <c r="A17" s="131" t="s">
        <v>73</v>
      </c>
      <c r="B17" s="132">
        <v>0</v>
      </c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369</v>
      </c>
    </row>
    <row r="18" spans="1:105" ht="12" customHeight="1" x14ac:dyDescent="0.25">
      <c r="A18" s="131" t="s">
        <v>72</v>
      </c>
      <c r="B18" s="132">
        <v>0</v>
      </c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370</v>
      </c>
    </row>
    <row r="19" spans="1:105" ht="12.95" customHeight="1" x14ac:dyDescent="0.25">
      <c r="A19" s="129" t="s">
        <v>35</v>
      </c>
      <c r="B19" s="130">
        <f t="shared" ref="B19:Q19" si="9">SUM(B20:B27)</f>
        <v>3.7264378329833994</v>
      </c>
      <c r="C19" s="130">
        <f t="shared" si="9"/>
        <v>3.7494828846841961</v>
      </c>
      <c r="D19" s="130">
        <f t="shared" si="9"/>
        <v>3.7565694998992059</v>
      </c>
      <c r="E19" s="130">
        <f t="shared" si="9"/>
        <v>3.7269750635489238</v>
      </c>
      <c r="F19" s="130">
        <f t="shared" si="9"/>
        <v>3.7433898767168894</v>
      </c>
      <c r="G19" s="130">
        <f t="shared" si="9"/>
        <v>3.756707467353098</v>
      </c>
      <c r="H19" s="130">
        <f t="shared" si="9"/>
        <v>27.217635147822225</v>
      </c>
      <c r="I19" s="130">
        <f t="shared" si="9"/>
        <v>27.404027714766045</v>
      </c>
      <c r="J19" s="130">
        <f t="shared" si="9"/>
        <v>27.687907362152611</v>
      </c>
      <c r="K19" s="130">
        <f t="shared" si="9"/>
        <v>27.857240184615378</v>
      </c>
      <c r="L19" s="130">
        <f t="shared" si="9"/>
        <v>28.623585336856287</v>
      </c>
      <c r="M19" s="130">
        <f t="shared" si="9"/>
        <v>27.457864203196714</v>
      </c>
      <c r="N19" s="130">
        <f t="shared" si="9"/>
        <v>26.163628314418233</v>
      </c>
      <c r="O19" s="130">
        <f t="shared" si="9"/>
        <v>24.597459295859469</v>
      </c>
      <c r="P19" s="130">
        <f t="shared" si="9"/>
        <v>21.420597060852195</v>
      </c>
      <c r="Q19" s="130">
        <f t="shared" si="9"/>
        <v>20.871522017208193</v>
      </c>
      <c r="R19" s="130">
        <f t="shared" ref="R19:W19" si="10">SUM(R20:R27)</f>
        <v>21.142382424847963</v>
      </c>
      <c r="S19" s="130">
        <f t="shared" si="10"/>
        <v>21.175024139532692</v>
      </c>
      <c r="T19" s="130">
        <f t="shared" si="10"/>
        <v>20.403074471738361</v>
      </c>
      <c r="U19" s="130">
        <f t="shared" si="10"/>
        <v>19.973450514467277</v>
      </c>
      <c r="V19" s="130">
        <f t="shared" si="10"/>
        <v>16.00688511193697</v>
      </c>
      <c r="W19" s="130">
        <f t="shared" si="10"/>
        <v>15.075600054611446</v>
      </c>
      <c r="X19" s="130">
        <f t="shared" ref="X19:Y19" si="11">SUM(X20:X27)</f>
        <v>17.174733342276486</v>
      </c>
      <c r="Y19" s="130">
        <f t="shared" si="11"/>
        <v>17.6583959643215</v>
      </c>
      <c r="DA19" s="155" t="s">
        <v>236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371</v>
      </c>
    </row>
    <row r="21" spans="1:105" s="2" customFormat="1" ht="12" customHeight="1" x14ac:dyDescent="0.25">
      <c r="A21" s="131" t="s">
        <v>52</v>
      </c>
      <c r="B21" s="132">
        <v>0</v>
      </c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23.510917581273574</v>
      </c>
      <c r="I21" s="132">
        <v>23.759516152904865</v>
      </c>
      <c r="J21" s="132">
        <v>24.101919582691487</v>
      </c>
      <c r="K21" s="132">
        <v>24.284241779939759</v>
      </c>
      <c r="L21" s="132">
        <v>25.0689659500487</v>
      </c>
      <c r="M21" s="132">
        <v>23.898687013674653</v>
      </c>
      <c r="N21" s="132">
        <v>22.575692612519575</v>
      </c>
      <c r="O21" s="132">
        <v>21.099403450432796</v>
      </c>
      <c r="P21" s="132">
        <v>17.919229203108337</v>
      </c>
      <c r="Q21" s="132">
        <v>17.374192693279923</v>
      </c>
      <c r="R21" s="132">
        <v>17.617195390682536</v>
      </c>
      <c r="S21" s="132">
        <v>17.861999252733828</v>
      </c>
      <c r="T21" s="132">
        <v>16.913131841590513</v>
      </c>
      <c r="U21" s="132">
        <v>16.490346436816075</v>
      </c>
      <c r="V21" s="132">
        <v>12.865036748761321</v>
      </c>
      <c r="W21" s="132">
        <v>11.660009040689348</v>
      </c>
      <c r="X21" s="132">
        <v>13.326194125319663</v>
      </c>
      <c r="Y21" s="132">
        <v>13.75026145235881</v>
      </c>
      <c r="DA21" s="156" t="s">
        <v>372</v>
      </c>
    </row>
    <row r="22" spans="1:105" ht="12" customHeight="1" x14ac:dyDescent="0.25">
      <c r="A22" s="131" t="s">
        <v>161</v>
      </c>
      <c r="B22" s="132">
        <v>3.7264378329833994</v>
      </c>
      <c r="C22" s="132">
        <v>3.7494828846841961</v>
      </c>
      <c r="D22" s="132">
        <v>3.7565694998992059</v>
      </c>
      <c r="E22" s="132">
        <v>3.7269750635489238</v>
      </c>
      <c r="F22" s="132">
        <v>3.7433898767168894</v>
      </c>
      <c r="G22" s="132">
        <v>3.756707467353098</v>
      </c>
      <c r="H22" s="132">
        <v>3.7067175665486509</v>
      </c>
      <c r="I22" s="132">
        <v>3.6445115618611807</v>
      </c>
      <c r="J22" s="132">
        <v>3.5859877794611235</v>
      </c>
      <c r="K22" s="132">
        <v>3.5729984046756202</v>
      </c>
      <c r="L22" s="132">
        <v>3.5546193868075875</v>
      </c>
      <c r="M22" s="132">
        <v>3.5591771895220585</v>
      </c>
      <c r="N22" s="132">
        <v>3.58793570189866</v>
      </c>
      <c r="O22" s="132">
        <v>3.4980558454266739</v>
      </c>
      <c r="P22" s="132">
        <v>3.5013678577438592</v>
      </c>
      <c r="Q22" s="132">
        <v>3.4973293239282692</v>
      </c>
      <c r="R22" s="132">
        <v>3.5251870341654277</v>
      </c>
      <c r="S22" s="132">
        <v>3.3130248867988628</v>
      </c>
      <c r="T22" s="132">
        <v>3.4899426301478478</v>
      </c>
      <c r="U22" s="132">
        <v>3.4831040776512019</v>
      </c>
      <c r="V22" s="132">
        <v>3.14184836317565</v>
      </c>
      <c r="W22" s="132">
        <v>3.4155910139220982</v>
      </c>
      <c r="X22" s="132">
        <v>3.8485392169568242</v>
      </c>
      <c r="Y22" s="132">
        <v>3.9081345119626905</v>
      </c>
      <c r="DA22" s="156" t="s">
        <v>373</v>
      </c>
    </row>
    <row r="23" spans="1:105" ht="12" customHeight="1" x14ac:dyDescent="0.25">
      <c r="A23" s="131" t="s">
        <v>149</v>
      </c>
      <c r="B23" s="132">
        <v>0</v>
      </c>
      <c r="C23" s="132">
        <v>0</v>
      </c>
      <c r="D23" s="132">
        <v>0</v>
      </c>
      <c r="E23" s="132">
        <v>0</v>
      </c>
      <c r="F23" s="132">
        <v>0</v>
      </c>
      <c r="G23" s="132">
        <v>0</v>
      </c>
      <c r="H23" s="132">
        <v>0</v>
      </c>
      <c r="I23" s="132">
        <v>0</v>
      </c>
      <c r="J23" s="132">
        <v>0</v>
      </c>
      <c r="K23" s="132">
        <v>0</v>
      </c>
      <c r="L23" s="132">
        <v>0</v>
      </c>
      <c r="M23" s="132">
        <v>0</v>
      </c>
      <c r="N23" s="132">
        <v>0</v>
      </c>
      <c r="O23" s="132">
        <v>0</v>
      </c>
      <c r="P23" s="132">
        <v>0</v>
      </c>
      <c r="Q23" s="132">
        <v>0</v>
      </c>
      <c r="R23" s="132">
        <v>0</v>
      </c>
      <c r="S23" s="132">
        <v>0</v>
      </c>
      <c r="T23" s="132">
        <v>0</v>
      </c>
      <c r="U23" s="132">
        <v>0</v>
      </c>
      <c r="V23" s="132">
        <v>0</v>
      </c>
      <c r="W23" s="132">
        <v>0</v>
      </c>
      <c r="X23" s="132">
        <v>0</v>
      </c>
      <c r="Y23" s="132">
        <v>0</v>
      </c>
      <c r="DA23" s="156" t="s">
        <v>374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375</v>
      </c>
    </row>
    <row r="25" spans="1:105" ht="12" customHeight="1" x14ac:dyDescent="0.25">
      <c r="A25" s="131" t="s">
        <v>162</v>
      </c>
      <c r="B25" s="132">
        <v>0</v>
      </c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376</v>
      </c>
    </row>
    <row r="26" spans="1:105" ht="12" customHeight="1" x14ac:dyDescent="0.25">
      <c r="A26" s="131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377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0</v>
      </c>
      <c r="H27" s="145">
        <v>0</v>
      </c>
      <c r="I27" s="145">
        <v>0</v>
      </c>
      <c r="J27" s="145">
        <v>0</v>
      </c>
      <c r="K27" s="145">
        <v>0</v>
      </c>
      <c r="L27" s="145">
        <v>0</v>
      </c>
      <c r="M27" s="145">
        <v>0</v>
      </c>
      <c r="N27" s="145">
        <v>0</v>
      </c>
      <c r="O27" s="145">
        <v>0</v>
      </c>
      <c r="P27" s="145">
        <v>0</v>
      </c>
      <c r="Q27" s="145">
        <v>0</v>
      </c>
      <c r="R27" s="145">
        <v>0</v>
      </c>
      <c r="S27" s="145">
        <v>0</v>
      </c>
      <c r="T27" s="145">
        <v>0</v>
      </c>
      <c r="U27" s="145">
        <v>0</v>
      </c>
      <c r="V27" s="145">
        <v>0</v>
      </c>
      <c r="W27" s="145">
        <v>0</v>
      </c>
      <c r="X27" s="145">
        <v>0</v>
      </c>
      <c r="Y27" s="145">
        <v>0</v>
      </c>
      <c r="DA27" s="158" t="s">
        <v>378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0</v>
      </c>
      <c r="C29" s="130">
        <f t="shared" si="12"/>
        <v>0</v>
      </c>
      <c r="D29" s="130">
        <f t="shared" si="12"/>
        <v>0</v>
      </c>
      <c r="E29" s="130">
        <f t="shared" si="12"/>
        <v>0</v>
      </c>
      <c r="F29" s="130">
        <f t="shared" si="12"/>
        <v>0</v>
      </c>
      <c r="G29" s="130">
        <f t="shared" si="12"/>
        <v>0</v>
      </c>
      <c r="H29" s="130">
        <f t="shared" si="12"/>
        <v>15.289373378726445</v>
      </c>
      <c r="I29" s="130">
        <f t="shared" si="12"/>
        <v>15.040774807095147</v>
      </c>
      <c r="J29" s="130">
        <f t="shared" si="12"/>
        <v>17.682799457308526</v>
      </c>
      <c r="K29" s="130">
        <f t="shared" si="12"/>
        <v>14.516049180060254</v>
      </c>
      <c r="L29" s="130">
        <f t="shared" si="12"/>
        <v>13.731325009951311</v>
      </c>
      <c r="M29" s="130">
        <f t="shared" si="12"/>
        <v>17.88603202632536</v>
      </c>
      <c r="N29" s="130">
        <f t="shared" si="12"/>
        <v>19.209026427480424</v>
      </c>
      <c r="O29" s="130">
        <f t="shared" si="12"/>
        <v>17.700887509567206</v>
      </c>
      <c r="P29" s="130">
        <f t="shared" si="12"/>
        <v>14.911751276891657</v>
      </c>
      <c r="Q29" s="130">
        <f t="shared" si="12"/>
        <v>18.441443026720059</v>
      </c>
      <c r="R29" s="130">
        <f t="shared" ref="R29:W29" si="13">SUM(R30:R33)</f>
        <v>18.198440329317467</v>
      </c>
      <c r="S29" s="130">
        <f t="shared" si="13"/>
        <v>25.373363547266138</v>
      </c>
      <c r="T29" s="130">
        <f t="shared" si="13"/>
        <v>26.841518718409493</v>
      </c>
      <c r="U29" s="130">
        <f t="shared" si="13"/>
        <v>33.6068384831839</v>
      </c>
      <c r="V29" s="130">
        <f t="shared" si="13"/>
        <v>24.129559371238681</v>
      </c>
      <c r="W29" s="130">
        <f t="shared" si="13"/>
        <v>20.723239079310648</v>
      </c>
      <c r="X29" s="130">
        <f t="shared" ref="X29:Y29" si="14">SUM(X30:X33)</f>
        <v>24.629288794680342</v>
      </c>
      <c r="Y29" s="130">
        <f t="shared" si="14"/>
        <v>21.701236787641172</v>
      </c>
      <c r="DA29" s="155" t="s">
        <v>237</v>
      </c>
    </row>
    <row r="30" spans="1:105" ht="12" customHeight="1" x14ac:dyDescent="0.25">
      <c r="A30" s="131" t="s">
        <v>52</v>
      </c>
      <c r="B30" s="132">
        <v>0</v>
      </c>
      <c r="C30" s="132">
        <v>0</v>
      </c>
      <c r="D30" s="132">
        <v>0</v>
      </c>
      <c r="E30" s="132">
        <v>0</v>
      </c>
      <c r="F30" s="132">
        <v>0</v>
      </c>
      <c r="G30" s="132">
        <v>0</v>
      </c>
      <c r="H30" s="132">
        <v>15.289373378726445</v>
      </c>
      <c r="I30" s="132">
        <v>15.040774807095147</v>
      </c>
      <c r="J30" s="132">
        <v>17.682799457308526</v>
      </c>
      <c r="K30" s="132">
        <v>14.516049180060254</v>
      </c>
      <c r="L30" s="132">
        <v>13.731325009951311</v>
      </c>
      <c r="M30" s="132">
        <v>17.88603202632536</v>
      </c>
      <c r="N30" s="132">
        <v>19.209026427480424</v>
      </c>
      <c r="O30" s="132">
        <v>17.700887509567206</v>
      </c>
      <c r="P30" s="132">
        <v>14.911751276891657</v>
      </c>
      <c r="Q30" s="132">
        <v>18.441443026720059</v>
      </c>
      <c r="R30" s="132">
        <v>18.198440329317467</v>
      </c>
      <c r="S30" s="132">
        <v>25.373363547266138</v>
      </c>
      <c r="T30" s="132">
        <v>26.841518718409493</v>
      </c>
      <c r="U30" s="132">
        <v>33.6068384831839</v>
      </c>
      <c r="V30" s="132">
        <v>24.129559371238681</v>
      </c>
      <c r="W30" s="132">
        <v>20.723239079310648</v>
      </c>
      <c r="X30" s="132">
        <v>24.629288794680342</v>
      </c>
      <c r="Y30" s="132">
        <v>21.701236787641172</v>
      </c>
      <c r="DA30" s="156" t="s">
        <v>379</v>
      </c>
    </row>
    <row r="31" spans="1:105" ht="12" customHeight="1" x14ac:dyDescent="0.25">
      <c r="A31" s="131" t="s">
        <v>149</v>
      </c>
      <c r="B31" s="132">
        <v>0</v>
      </c>
      <c r="C31" s="132">
        <v>0</v>
      </c>
      <c r="D31" s="132">
        <v>0</v>
      </c>
      <c r="E31" s="132">
        <v>0</v>
      </c>
      <c r="F31" s="132">
        <v>0</v>
      </c>
      <c r="G31" s="132">
        <v>0</v>
      </c>
      <c r="H31" s="132">
        <v>0</v>
      </c>
      <c r="I31" s="132">
        <v>0</v>
      </c>
      <c r="J31" s="132">
        <v>0</v>
      </c>
      <c r="K31" s="132">
        <v>0</v>
      </c>
      <c r="L31" s="132">
        <v>0</v>
      </c>
      <c r="M31" s="132">
        <v>0</v>
      </c>
      <c r="N31" s="132">
        <v>0</v>
      </c>
      <c r="O31" s="132">
        <v>0</v>
      </c>
      <c r="P31" s="132">
        <v>0</v>
      </c>
      <c r="Q31" s="132">
        <v>0</v>
      </c>
      <c r="R31" s="132">
        <v>0</v>
      </c>
      <c r="S31" s="132">
        <v>0</v>
      </c>
      <c r="T31" s="132">
        <v>0</v>
      </c>
      <c r="U31" s="132">
        <v>0</v>
      </c>
      <c r="V31" s="132">
        <v>0</v>
      </c>
      <c r="W31" s="132">
        <v>0</v>
      </c>
      <c r="X31" s="132">
        <v>0</v>
      </c>
      <c r="Y31" s="132">
        <v>0</v>
      </c>
      <c r="DA31" s="156" t="s">
        <v>380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381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382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>
        <f>IF(SER_hh_fec!B3=0,0,11630*1000*SER_hh_fec!B3/SER_hh_num!B3)</f>
        <v>69357.304801930906</v>
      </c>
      <c r="C3" s="125">
        <f>IF(SER_hh_fec!C3=0,0,11630*1000*SER_hh_fec!C3/SER_hh_num!C3)</f>
        <v>74034.926130507185</v>
      </c>
      <c r="D3" s="125">
        <f>IF(SER_hh_fec!D3=0,0,11630*1000*SER_hh_fec!D3/SER_hh_num!D3)</f>
        <v>78944.224856576562</v>
      </c>
      <c r="E3" s="125">
        <f>IF(SER_hh_fec!E3=0,0,11630*1000*SER_hh_fec!E3/SER_hh_num!E3)</f>
        <v>80916.160891104882</v>
      </c>
      <c r="F3" s="125">
        <f>IF(SER_hh_fec!F3=0,0,11630*1000*SER_hh_fec!F3/SER_hh_num!F3)</f>
        <v>79706.905440713395</v>
      </c>
      <c r="G3" s="125">
        <f>IF(SER_hh_fec!G3=0,0,11630*1000*SER_hh_fec!G3/SER_hh_num!G3)</f>
        <v>81150.967737835846</v>
      </c>
      <c r="H3" s="125">
        <f>IF(SER_hh_fec!H3=0,0,11630*1000*SER_hh_fec!H3/SER_hh_num!H3)</f>
        <v>96118.144628636757</v>
      </c>
      <c r="I3" s="125">
        <f>IF(SER_hh_fec!I3=0,0,11630*1000*SER_hh_fec!I3/SER_hh_num!I3)</f>
        <v>98385.665625893598</v>
      </c>
      <c r="J3" s="125">
        <f>IF(SER_hh_fec!J3=0,0,11630*1000*SER_hh_fec!J3/SER_hh_num!J3)</f>
        <v>108226.48149786619</v>
      </c>
      <c r="K3" s="125">
        <f>IF(SER_hh_fec!K3=0,0,11630*1000*SER_hh_fec!K3/SER_hh_num!K3)</f>
        <v>105179.74769641239</v>
      </c>
      <c r="L3" s="125">
        <f>IF(SER_hh_fec!L3=0,0,11630*1000*SER_hh_fec!L3/SER_hh_num!L3)</f>
        <v>108049.92927395382</v>
      </c>
      <c r="M3" s="125">
        <f>IF(SER_hh_fec!M3=0,0,11630*1000*SER_hh_fec!M3/SER_hh_num!M3)</f>
        <v>101199.00629497679</v>
      </c>
      <c r="N3" s="125">
        <f>IF(SER_hh_fec!N3=0,0,11630*1000*SER_hh_fec!N3/SER_hh_num!N3)</f>
        <v>86126.818218708548</v>
      </c>
      <c r="O3" s="125">
        <f>IF(SER_hh_fec!O3=0,0,11630*1000*SER_hh_fec!O3/SER_hh_num!O3)</f>
        <v>75036.564766268508</v>
      </c>
      <c r="P3" s="125">
        <f>IF(SER_hh_fec!P3=0,0,11630*1000*SER_hh_fec!P3/SER_hh_num!P3)</f>
        <v>76355.261798573047</v>
      </c>
      <c r="Q3" s="125">
        <f>IF(SER_hh_fec!Q3=0,0,11630*1000*SER_hh_fec!Q3/SER_hh_num!Q3)</f>
        <v>78162.465941173723</v>
      </c>
      <c r="R3" s="125">
        <f>IF(SER_hh_fec!R3=0,0,11630*1000*SER_hh_fec!R3/SER_hh_num!R3)</f>
        <v>84801.426143807228</v>
      </c>
      <c r="S3" s="125">
        <f>IF(SER_hh_fec!S3=0,0,11630*1000*SER_hh_fec!S3/SER_hh_num!S3)</f>
        <v>89297.187767289419</v>
      </c>
      <c r="T3" s="125">
        <f>IF(SER_hh_fec!T3=0,0,11630*1000*SER_hh_fec!T3/SER_hh_num!T3)</f>
        <v>91524.071345700722</v>
      </c>
      <c r="U3" s="125">
        <f>IF(SER_hh_fec!U3=0,0,11630*1000*SER_hh_fec!U3/SER_hh_num!U3)</f>
        <v>95779.887445901026</v>
      </c>
      <c r="V3" s="125">
        <f>IF(SER_hh_fec!V3=0,0,11630*1000*SER_hh_fec!V3/SER_hh_num!V3)</f>
        <v>76129.370858420254</v>
      </c>
      <c r="W3" s="125">
        <f>IF(SER_hh_fec!W3=0,0,11630*1000*SER_hh_fec!W3/SER_hh_num!W3)</f>
        <v>84354.780871524417</v>
      </c>
      <c r="X3" s="125">
        <f>IF(SER_hh_fec!X3=0,0,11630*1000*SER_hh_fec!X3/SER_hh_num!X3)</f>
        <v>96444.304232983282</v>
      </c>
      <c r="Y3" s="125">
        <f>IF(SER_hh_fec!Y3=0,0,11630*1000*SER_hh_fec!Y3/SER_hh_num!Y3)</f>
        <v>97903.330873441257</v>
      </c>
      <c r="DA3" s="154" t="s">
        <v>384</v>
      </c>
    </row>
    <row r="4" spans="1:105" ht="12.95" customHeight="1" x14ac:dyDescent="0.25">
      <c r="A4" s="129" t="s">
        <v>32</v>
      </c>
      <c r="B4" s="130">
        <f>IF(SER_hh_fec!B4=0,0,11630*1000*SER_hh_fec!B4/SER_hh_num!B4)</f>
        <v>23047.896216637055</v>
      </c>
      <c r="C4" s="130">
        <f>IF(SER_hh_fec!C4=0,0,11630*1000*SER_hh_fec!C4/SER_hh_num!C4)</f>
        <v>28029.684373967899</v>
      </c>
      <c r="D4" s="130">
        <f>IF(SER_hh_fec!D4=0,0,11630*1000*SER_hh_fec!D4/SER_hh_num!D4)</f>
        <v>31935.384207541847</v>
      </c>
      <c r="E4" s="130">
        <f>IF(SER_hh_fec!E4=0,0,11630*1000*SER_hh_fec!E4/SER_hh_num!E4)</f>
        <v>32064.543175047093</v>
      </c>
      <c r="F4" s="130">
        <f>IF(SER_hh_fec!F4=0,0,11630*1000*SER_hh_fec!F4/SER_hh_num!F4)</f>
        <v>32551.562769513665</v>
      </c>
      <c r="G4" s="130">
        <f>IF(SER_hh_fec!G4=0,0,11630*1000*SER_hh_fec!G4/SER_hh_num!G4)</f>
        <v>34317.601200023346</v>
      </c>
      <c r="H4" s="130">
        <f>IF(SER_hh_fec!H4=0,0,11630*1000*SER_hh_fec!H4/SER_hh_num!H4)</f>
        <v>47403.435175544953</v>
      </c>
      <c r="I4" s="130">
        <f>IF(SER_hh_fec!I4=0,0,11630*1000*SER_hh_fec!I4/SER_hh_num!I4)</f>
        <v>48227.855392480968</v>
      </c>
      <c r="J4" s="130">
        <f>IF(SER_hh_fec!J4=0,0,11630*1000*SER_hh_fec!J4/SER_hh_num!J4)</f>
        <v>57413.214656185388</v>
      </c>
      <c r="K4" s="130">
        <f>IF(SER_hh_fec!K4=0,0,11630*1000*SER_hh_fec!K4/SER_hh_num!K4)</f>
        <v>55239.955316882864</v>
      </c>
      <c r="L4" s="130">
        <f>IF(SER_hh_fec!L4=0,0,11630*1000*SER_hh_fec!L4/SER_hh_num!L4)</f>
        <v>57697.783378497224</v>
      </c>
      <c r="M4" s="130">
        <f>IF(SER_hh_fec!M4=0,0,11630*1000*SER_hh_fec!M4/SER_hh_num!M4)</f>
        <v>53131.942060474175</v>
      </c>
      <c r="N4" s="130">
        <f>IF(SER_hh_fec!N4=0,0,11630*1000*SER_hh_fec!N4/SER_hh_num!N4)</f>
        <v>35360.26039927284</v>
      </c>
      <c r="O4" s="130">
        <f>IF(SER_hh_fec!O4=0,0,11630*1000*SER_hh_fec!O4/SER_hh_num!O4)</f>
        <v>27886.959174876603</v>
      </c>
      <c r="P4" s="130">
        <f>IF(SER_hh_fec!P4=0,0,11630*1000*SER_hh_fec!P4/SER_hh_num!P4)</f>
        <v>31157.267859317675</v>
      </c>
      <c r="Q4" s="130">
        <f>IF(SER_hh_fec!Q4=0,0,11630*1000*SER_hh_fec!Q4/SER_hh_num!Q4)</f>
        <v>31957.09719030471</v>
      </c>
      <c r="R4" s="130">
        <f>IF(SER_hh_fec!R4=0,0,11630*1000*SER_hh_fec!R4/SER_hh_num!R4)</f>
        <v>36891.784809539189</v>
      </c>
      <c r="S4" s="130">
        <f>IF(SER_hh_fec!S4=0,0,11630*1000*SER_hh_fec!S4/SER_hh_num!S4)</f>
        <v>42640.683331845983</v>
      </c>
      <c r="T4" s="130">
        <f>IF(SER_hh_fec!T4=0,0,11630*1000*SER_hh_fec!T4/SER_hh_num!T4)</f>
        <v>41073.89282903498</v>
      </c>
      <c r="U4" s="130">
        <f>IF(SER_hh_fec!U4=0,0,11630*1000*SER_hh_fec!U4/SER_hh_num!U4)</f>
        <v>48261.671501495242</v>
      </c>
      <c r="V4" s="130">
        <f>IF(SER_hh_fec!V4=0,0,11630*1000*SER_hh_fec!V4/SER_hh_num!V4)</f>
        <v>31314.382981110401</v>
      </c>
      <c r="W4" s="130">
        <f>IF(SER_hh_fec!W4=0,0,11630*1000*SER_hh_fec!W4/SER_hh_num!W4)</f>
        <v>41545.348198807966</v>
      </c>
      <c r="X4" s="130">
        <f>IF(SER_hh_fec!X4=0,0,11630*1000*SER_hh_fec!X4/SER_hh_num!X4)</f>
        <v>52517.542649988114</v>
      </c>
      <c r="Y4" s="130">
        <f>IF(SER_hh_fec!Y4=0,0,11630*1000*SER_hh_fec!Y4/SER_hh_num!Y4)</f>
        <v>51067.351127766815</v>
      </c>
      <c r="DA4" s="155" t="s">
        <v>385</v>
      </c>
    </row>
    <row r="5" spans="1:105" ht="12" customHeight="1" x14ac:dyDescent="0.25">
      <c r="A5" s="131" t="s">
        <v>29</v>
      </c>
      <c r="B5" s="132">
        <f>IF(SER_hh_fec!B5=0,0,11630*1000*SER_hh_fec!B5/SER_hh_num!B5)</f>
        <v>0</v>
      </c>
      <c r="C5" s="132">
        <f>IF(SER_hh_fec!C5=0,0,11630*1000*SER_hh_fec!C5/SER_hh_num!C5)</f>
        <v>0</v>
      </c>
      <c r="D5" s="132">
        <f>IF(SER_hh_fec!D5=0,0,11630*1000*SER_hh_fec!D5/SER_hh_num!D5)</f>
        <v>0</v>
      </c>
      <c r="E5" s="132">
        <f>IF(SER_hh_fec!E5=0,0,11630*1000*SER_hh_fec!E5/SER_hh_num!E5)</f>
        <v>0</v>
      </c>
      <c r="F5" s="132">
        <f>IF(SER_hh_fec!F5=0,0,11630*1000*SER_hh_fec!F5/SER_hh_num!F5)</f>
        <v>0</v>
      </c>
      <c r="G5" s="132">
        <f>IF(SER_hh_fec!G5=0,0,11630*1000*SER_hh_fec!G5/SER_hh_num!G5)</f>
        <v>0</v>
      </c>
      <c r="H5" s="132">
        <f>IF(SER_hh_fec!H5=0,0,11630*1000*SER_hh_fec!H5/SER_hh_num!H5)</f>
        <v>0</v>
      </c>
      <c r="I5" s="132">
        <f>IF(SER_hh_fec!I5=0,0,11630*1000*SER_hh_fec!I5/SER_hh_num!I5)</f>
        <v>0</v>
      </c>
      <c r="J5" s="132">
        <f>IF(SER_hh_fec!J5=0,0,11630*1000*SER_hh_fec!J5/SER_hh_num!J5)</f>
        <v>0</v>
      </c>
      <c r="K5" s="132">
        <f>IF(SER_hh_fec!K5=0,0,11630*1000*SER_hh_fec!K5/SER_hh_num!K5)</f>
        <v>0</v>
      </c>
      <c r="L5" s="132">
        <f>IF(SER_hh_fec!L5=0,0,11630*1000*SER_hh_fec!L5/SER_hh_num!L5)</f>
        <v>0</v>
      </c>
      <c r="M5" s="132">
        <f>IF(SER_hh_fec!M5=0,0,11630*1000*SER_hh_fec!M5/SER_hh_num!M5)</f>
        <v>0</v>
      </c>
      <c r="N5" s="132">
        <f>IF(SER_hh_fec!N5=0,0,11630*1000*SER_hh_fec!N5/SER_hh_num!N5)</f>
        <v>0</v>
      </c>
      <c r="O5" s="132">
        <f>IF(SER_hh_fec!O5=0,0,11630*1000*SER_hh_fec!O5/SER_hh_num!O5)</f>
        <v>0</v>
      </c>
      <c r="P5" s="132">
        <f>IF(SER_hh_fec!P5=0,0,11630*1000*SER_hh_fec!P5/SER_hh_num!P5)</f>
        <v>0</v>
      </c>
      <c r="Q5" s="132">
        <f>IF(SER_hh_fec!Q5=0,0,11630*1000*SER_hh_fec!Q5/SER_hh_num!Q5)</f>
        <v>0</v>
      </c>
      <c r="R5" s="132">
        <f>IF(SER_hh_fec!R5=0,0,11630*1000*SER_hh_fec!R5/SER_hh_num!R5)</f>
        <v>0</v>
      </c>
      <c r="S5" s="132">
        <f>IF(SER_hh_fec!S5=0,0,11630*1000*SER_hh_fec!S5/SER_hh_num!S5)</f>
        <v>0</v>
      </c>
      <c r="T5" s="132">
        <f>IF(SER_hh_fec!T5=0,0,11630*1000*SER_hh_fec!T5/SER_hh_num!T5)</f>
        <v>0</v>
      </c>
      <c r="U5" s="132">
        <f>IF(SER_hh_fec!U5=0,0,11630*1000*SER_hh_fec!U5/SER_hh_num!U5)</f>
        <v>0</v>
      </c>
      <c r="V5" s="132">
        <f>IF(SER_hh_fec!V5=0,0,11630*1000*SER_hh_fec!V5/SER_hh_num!V5)</f>
        <v>0</v>
      </c>
      <c r="W5" s="132">
        <f>IF(SER_hh_fec!W5=0,0,11630*1000*SER_hh_fec!W5/SER_hh_num!W5)</f>
        <v>0</v>
      </c>
      <c r="X5" s="132">
        <f>IF(SER_hh_fec!X5=0,0,11630*1000*SER_hh_fec!X5/SER_hh_num!X5)</f>
        <v>0</v>
      </c>
      <c r="Y5" s="132">
        <f>IF(SER_hh_fec!Y5=0,0,11630*1000*SER_hh_fec!Y5/SER_hh_num!Y5)</f>
        <v>0</v>
      </c>
      <c r="DA5" s="156" t="s">
        <v>386</v>
      </c>
    </row>
    <row r="6" spans="1:105" ht="12" customHeight="1" x14ac:dyDescent="0.25">
      <c r="A6" s="131" t="s">
        <v>52</v>
      </c>
      <c r="B6" s="132">
        <f>IF(SER_hh_fec!B6=0,0,11630*1000*SER_hh_fec!B6/SER_hh_num!B6)</f>
        <v>0</v>
      </c>
      <c r="C6" s="132">
        <f>IF(SER_hh_fec!C6=0,0,11630*1000*SER_hh_fec!C6/SER_hh_num!C6)</f>
        <v>0</v>
      </c>
      <c r="D6" s="132">
        <f>IF(SER_hh_fec!D6=0,0,11630*1000*SER_hh_fec!D6/SER_hh_num!D6)</f>
        <v>0</v>
      </c>
      <c r="E6" s="132">
        <f>IF(SER_hh_fec!E6=0,0,11630*1000*SER_hh_fec!E6/SER_hh_num!E6)</f>
        <v>0</v>
      </c>
      <c r="F6" s="132">
        <f>IF(SER_hh_fec!F6=0,0,11630*1000*SER_hh_fec!F6/SER_hh_num!F6)</f>
        <v>0</v>
      </c>
      <c r="G6" s="132">
        <f>IF(SER_hh_fec!G6=0,0,11630*1000*SER_hh_fec!G6/SER_hh_num!G6)</f>
        <v>0</v>
      </c>
      <c r="H6" s="132">
        <f>IF(SER_hh_fec!H6=0,0,11630*1000*SER_hh_fec!H6/SER_hh_num!H6)</f>
        <v>0</v>
      </c>
      <c r="I6" s="132">
        <f>IF(SER_hh_fec!I6=0,0,11630*1000*SER_hh_fec!I6/SER_hh_num!I6)</f>
        <v>0</v>
      </c>
      <c r="J6" s="132">
        <f>IF(SER_hh_fec!J6=0,0,11630*1000*SER_hh_fec!J6/SER_hh_num!J6)</f>
        <v>0</v>
      </c>
      <c r="K6" s="132">
        <f>IF(SER_hh_fec!K6=0,0,11630*1000*SER_hh_fec!K6/SER_hh_num!K6)</f>
        <v>0</v>
      </c>
      <c r="L6" s="132">
        <f>IF(SER_hh_fec!L6=0,0,11630*1000*SER_hh_fec!L6/SER_hh_num!L6)</f>
        <v>0</v>
      </c>
      <c r="M6" s="132">
        <f>IF(SER_hh_fec!M6=0,0,11630*1000*SER_hh_fec!M6/SER_hh_num!M6)</f>
        <v>0</v>
      </c>
      <c r="N6" s="132">
        <f>IF(SER_hh_fec!N6=0,0,11630*1000*SER_hh_fec!N6/SER_hh_num!N6)</f>
        <v>0</v>
      </c>
      <c r="O6" s="132">
        <f>IF(SER_hh_fec!O6=0,0,11630*1000*SER_hh_fec!O6/SER_hh_num!O6)</f>
        <v>0</v>
      </c>
      <c r="P6" s="132">
        <f>IF(SER_hh_fec!P6=0,0,11630*1000*SER_hh_fec!P6/SER_hh_num!P6)</f>
        <v>0</v>
      </c>
      <c r="Q6" s="132">
        <f>IF(SER_hh_fec!Q6=0,0,11630*1000*SER_hh_fec!Q6/SER_hh_num!Q6)</f>
        <v>0</v>
      </c>
      <c r="R6" s="132">
        <f>IF(SER_hh_fec!R6=0,0,11630*1000*SER_hh_fec!R6/SER_hh_num!R6)</f>
        <v>0</v>
      </c>
      <c r="S6" s="132">
        <f>IF(SER_hh_fec!S6=0,0,11630*1000*SER_hh_fec!S6/SER_hh_num!S6)</f>
        <v>0</v>
      </c>
      <c r="T6" s="132">
        <f>IF(SER_hh_fec!T6=0,0,11630*1000*SER_hh_fec!T6/SER_hh_num!T6)</f>
        <v>0</v>
      </c>
      <c r="U6" s="132">
        <f>IF(SER_hh_fec!U6=0,0,11630*1000*SER_hh_fec!U6/SER_hh_num!U6)</f>
        <v>0</v>
      </c>
      <c r="V6" s="132">
        <f>IF(SER_hh_fec!V6=0,0,11630*1000*SER_hh_fec!V6/SER_hh_num!V6)</f>
        <v>0</v>
      </c>
      <c r="W6" s="132">
        <f>IF(SER_hh_fec!W6=0,0,11630*1000*SER_hh_fec!W6/SER_hh_num!W6)</f>
        <v>0</v>
      </c>
      <c r="X6" s="132">
        <f>IF(SER_hh_fec!X6=0,0,11630*1000*SER_hh_fec!X6/SER_hh_num!X6)</f>
        <v>0</v>
      </c>
      <c r="Y6" s="132">
        <f>IF(SER_hh_fec!Y6=0,0,11630*1000*SER_hh_fec!Y6/SER_hh_num!Y6)</f>
        <v>0</v>
      </c>
      <c r="DA6" s="156" t="s">
        <v>387</v>
      </c>
    </row>
    <row r="7" spans="1:105" ht="12" customHeight="1" x14ac:dyDescent="0.25">
      <c r="A7" s="131" t="s">
        <v>161</v>
      </c>
      <c r="B7" s="132">
        <f>IF(SER_hh_fec!B7=0,0,11630*1000*SER_hh_fec!B7/SER_hh_num!B7)</f>
        <v>27963.663014636408</v>
      </c>
      <c r="C7" s="132">
        <f>IF(SER_hh_fec!C7=0,0,11630*1000*SER_hh_fec!C7/SER_hh_num!C7)</f>
        <v>32874.483069980633</v>
      </c>
      <c r="D7" s="132">
        <f>IF(SER_hh_fec!D7=0,0,11630*1000*SER_hh_fec!D7/SER_hh_num!D7)</f>
        <v>37188.83411049674</v>
      </c>
      <c r="E7" s="132">
        <f>IF(SER_hh_fec!E7=0,0,11630*1000*SER_hh_fec!E7/SER_hh_num!E7)</f>
        <v>43778.104295263649</v>
      </c>
      <c r="F7" s="132">
        <f>IF(SER_hh_fec!F7=0,0,11630*1000*SER_hh_fec!F7/SER_hh_num!F7)</f>
        <v>45319.024051938919</v>
      </c>
      <c r="G7" s="132">
        <f>IF(SER_hh_fec!G7=0,0,11630*1000*SER_hh_fec!G7/SER_hh_num!G7)</f>
        <v>49635.157570259224</v>
      </c>
      <c r="H7" s="132">
        <f>IF(SER_hh_fec!H7=0,0,11630*1000*SER_hh_fec!H7/SER_hh_num!H7)</f>
        <v>64069.022923977398</v>
      </c>
      <c r="I7" s="132">
        <f>IF(SER_hh_fec!I7=0,0,11630*1000*SER_hh_fec!I7/SER_hh_num!I7)</f>
        <v>70083.718502908276</v>
      </c>
      <c r="J7" s="132">
        <f>IF(SER_hh_fec!J7=0,0,11630*1000*SER_hh_fec!J7/SER_hh_num!J7)</f>
        <v>94633.775145170424</v>
      </c>
      <c r="K7" s="132">
        <f>IF(SER_hh_fec!K7=0,0,11630*1000*SER_hh_fec!K7/SER_hh_num!K7)</f>
        <v>75407.178156571143</v>
      </c>
      <c r="L7" s="132">
        <f>IF(SER_hh_fec!L7=0,0,11630*1000*SER_hh_fec!L7/SER_hh_num!L7)</f>
        <v>84284.218209811908</v>
      </c>
      <c r="M7" s="132">
        <f>IF(SER_hh_fec!M7=0,0,11630*1000*SER_hh_fec!M7/SER_hh_num!M7)</f>
        <v>78664.166513396311</v>
      </c>
      <c r="N7" s="132">
        <f>IF(SER_hh_fec!N7=0,0,11630*1000*SER_hh_fec!N7/SER_hh_num!N7)</f>
        <v>64030.053998192197</v>
      </c>
      <c r="O7" s="132">
        <f>IF(SER_hh_fec!O7=0,0,11630*1000*SER_hh_fec!O7/SER_hh_num!O7)</f>
        <v>70759.996106539023</v>
      </c>
      <c r="P7" s="132">
        <f>IF(SER_hh_fec!P7=0,0,11630*1000*SER_hh_fec!P7/SER_hh_num!P7)</f>
        <v>74854.710332951727</v>
      </c>
      <c r="Q7" s="132">
        <f>IF(SER_hh_fec!Q7=0,0,11630*1000*SER_hh_fec!Q7/SER_hh_num!Q7)</f>
        <v>72773.329336204333</v>
      </c>
      <c r="R7" s="132">
        <f>IF(SER_hh_fec!R7=0,0,11630*1000*SER_hh_fec!R7/SER_hh_num!R7)</f>
        <v>77129.546140232473</v>
      </c>
      <c r="S7" s="132">
        <f>IF(SER_hh_fec!S7=0,0,11630*1000*SER_hh_fec!S7/SER_hh_num!S7)</f>
        <v>93898.188659350766</v>
      </c>
      <c r="T7" s="132">
        <f>IF(SER_hh_fec!T7=0,0,11630*1000*SER_hh_fec!T7/SER_hh_num!T7)</f>
        <v>86779.904873875901</v>
      </c>
      <c r="U7" s="132">
        <f>IF(SER_hh_fec!U7=0,0,11630*1000*SER_hh_fec!U7/SER_hh_num!U7)</f>
        <v>103549.02369575467</v>
      </c>
      <c r="V7" s="132">
        <f>IF(SER_hh_fec!V7=0,0,11630*1000*SER_hh_fec!V7/SER_hh_num!V7)</f>
        <v>81381.917264005329</v>
      </c>
      <c r="W7" s="132">
        <f>IF(SER_hh_fec!W7=0,0,11630*1000*SER_hh_fec!W7/SER_hh_num!W7)</f>
        <v>91169.807052233402</v>
      </c>
      <c r="X7" s="132">
        <f>IF(SER_hh_fec!X7=0,0,11630*1000*SER_hh_fec!X7/SER_hh_num!X7)</f>
        <v>103148.93713354813</v>
      </c>
      <c r="Y7" s="132">
        <f>IF(SER_hh_fec!Y7=0,0,11630*1000*SER_hh_fec!Y7/SER_hh_num!Y7)</f>
        <v>104511.319287898</v>
      </c>
      <c r="DA7" s="156" t="s">
        <v>388</v>
      </c>
    </row>
    <row r="8" spans="1:105" ht="12" customHeight="1" x14ac:dyDescent="0.25">
      <c r="A8" s="131" t="s">
        <v>73</v>
      </c>
      <c r="B8" s="132">
        <f>IF(SER_hh_fec!B8=0,0,11630*1000*SER_hh_fec!B8/SER_hh_num!B8)</f>
        <v>0</v>
      </c>
      <c r="C8" s="132">
        <f>IF(SER_hh_fec!C8=0,0,11630*1000*SER_hh_fec!C8/SER_hh_num!C8)</f>
        <v>0</v>
      </c>
      <c r="D8" s="132">
        <f>IF(SER_hh_fec!D8=0,0,11630*1000*SER_hh_fec!D8/SER_hh_num!D8)</f>
        <v>0</v>
      </c>
      <c r="E8" s="132">
        <f>IF(SER_hh_fec!E8=0,0,11630*1000*SER_hh_fec!E8/SER_hh_num!E8)</f>
        <v>0</v>
      </c>
      <c r="F8" s="132">
        <f>IF(SER_hh_fec!F8=0,0,11630*1000*SER_hh_fec!F8/SER_hh_num!F8)</f>
        <v>0</v>
      </c>
      <c r="G8" s="132">
        <f>IF(SER_hh_fec!G8=0,0,11630*1000*SER_hh_fec!G8/SER_hh_num!G8)</f>
        <v>0</v>
      </c>
      <c r="H8" s="132">
        <f>IF(SER_hh_fec!H8=0,0,11630*1000*SER_hh_fec!H8/SER_hh_num!H8)</f>
        <v>0</v>
      </c>
      <c r="I8" s="132">
        <f>IF(SER_hh_fec!I8=0,0,11630*1000*SER_hh_fec!I8/SER_hh_num!I8)</f>
        <v>0</v>
      </c>
      <c r="J8" s="132">
        <f>IF(SER_hh_fec!J8=0,0,11630*1000*SER_hh_fec!J8/SER_hh_num!J8)</f>
        <v>0</v>
      </c>
      <c r="K8" s="132">
        <f>IF(SER_hh_fec!K8=0,0,11630*1000*SER_hh_fec!K8/SER_hh_num!K8)</f>
        <v>0</v>
      </c>
      <c r="L8" s="132">
        <f>IF(SER_hh_fec!L8=0,0,11630*1000*SER_hh_fec!L8/SER_hh_num!L8)</f>
        <v>0</v>
      </c>
      <c r="M8" s="132">
        <f>IF(SER_hh_fec!M8=0,0,11630*1000*SER_hh_fec!M8/SER_hh_num!M8)</f>
        <v>0</v>
      </c>
      <c r="N8" s="132">
        <f>IF(SER_hh_fec!N8=0,0,11630*1000*SER_hh_fec!N8/SER_hh_num!N8)</f>
        <v>0</v>
      </c>
      <c r="O8" s="132">
        <f>IF(SER_hh_fec!O8=0,0,11630*1000*SER_hh_fec!O8/SER_hh_num!O8)</f>
        <v>0</v>
      </c>
      <c r="P8" s="132">
        <f>IF(SER_hh_fec!P8=0,0,11630*1000*SER_hh_fec!P8/SER_hh_num!P8)</f>
        <v>0</v>
      </c>
      <c r="Q8" s="132">
        <f>IF(SER_hh_fec!Q8=0,0,11630*1000*SER_hh_fec!Q8/SER_hh_num!Q8)</f>
        <v>0</v>
      </c>
      <c r="R8" s="132">
        <f>IF(SER_hh_fec!R8=0,0,11630*1000*SER_hh_fec!R8/SER_hh_num!R8)</f>
        <v>0</v>
      </c>
      <c r="S8" s="132">
        <f>IF(SER_hh_fec!S8=0,0,11630*1000*SER_hh_fec!S8/SER_hh_num!S8)</f>
        <v>0</v>
      </c>
      <c r="T8" s="132">
        <f>IF(SER_hh_fec!T8=0,0,11630*1000*SER_hh_fec!T8/SER_hh_num!T8)</f>
        <v>0</v>
      </c>
      <c r="U8" s="132">
        <f>IF(SER_hh_fec!U8=0,0,11630*1000*SER_hh_fec!U8/SER_hh_num!U8)</f>
        <v>0</v>
      </c>
      <c r="V8" s="132">
        <f>IF(SER_hh_fec!V8=0,0,11630*1000*SER_hh_fec!V8/SER_hh_num!V8)</f>
        <v>0</v>
      </c>
      <c r="W8" s="132">
        <f>IF(SER_hh_fec!W8=0,0,11630*1000*SER_hh_fec!W8/SER_hh_num!W8)</f>
        <v>0</v>
      </c>
      <c r="X8" s="132">
        <f>IF(SER_hh_fec!X8=0,0,11630*1000*SER_hh_fec!X8/SER_hh_num!X8)</f>
        <v>0</v>
      </c>
      <c r="Y8" s="132">
        <f>IF(SER_hh_fec!Y8=0,0,11630*1000*SER_hh_fec!Y8/SER_hh_num!Y8)</f>
        <v>0</v>
      </c>
      <c r="DA8" s="156" t="s">
        <v>389</v>
      </c>
    </row>
    <row r="9" spans="1:105" ht="12" customHeight="1" x14ac:dyDescent="0.25">
      <c r="A9" s="131" t="s">
        <v>78</v>
      </c>
      <c r="B9" s="132">
        <f>IF(SER_hh_fec!B9=0,0,11630*1000*SER_hh_fec!B9/SER_hh_num!B9)</f>
        <v>0</v>
      </c>
      <c r="C9" s="132">
        <f>IF(SER_hh_fec!C9=0,0,11630*1000*SER_hh_fec!C9/SER_hh_num!C9)</f>
        <v>0</v>
      </c>
      <c r="D9" s="132">
        <f>IF(SER_hh_fec!D9=0,0,11630*1000*SER_hh_fec!D9/SER_hh_num!D9)</f>
        <v>0</v>
      </c>
      <c r="E9" s="132">
        <f>IF(SER_hh_fec!E9=0,0,11630*1000*SER_hh_fec!E9/SER_hh_num!E9)</f>
        <v>0</v>
      </c>
      <c r="F9" s="132">
        <f>IF(SER_hh_fec!F9=0,0,11630*1000*SER_hh_fec!F9/SER_hh_num!F9)</f>
        <v>0</v>
      </c>
      <c r="G9" s="132">
        <f>IF(SER_hh_fec!G9=0,0,11630*1000*SER_hh_fec!G9/SER_hh_num!G9)</f>
        <v>0</v>
      </c>
      <c r="H9" s="132">
        <f>IF(SER_hh_fec!H9=0,0,11630*1000*SER_hh_fec!H9/SER_hh_num!H9)</f>
        <v>0</v>
      </c>
      <c r="I9" s="132">
        <f>IF(SER_hh_fec!I9=0,0,11630*1000*SER_hh_fec!I9/SER_hh_num!I9)</f>
        <v>0</v>
      </c>
      <c r="J9" s="132">
        <f>IF(SER_hh_fec!J9=0,0,11630*1000*SER_hh_fec!J9/SER_hh_num!J9)</f>
        <v>0</v>
      </c>
      <c r="K9" s="132">
        <f>IF(SER_hh_fec!K9=0,0,11630*1000*SER_hh_fec!K9/SER_hh_num!K9)</f>
        <v>66335.719186108923</v>
      </c>
      <c r="L9" s="132">
        <f>IF(SER_hh_fec!L9=0,0,11630*1000*SER_hh_fec!L9/SER_hh_num!L9)</f>
        <v>55006.990435164364</v>
      </c>
      <c r="M9" s="132">
        <f>IF(SER_hh_fec!M9=0,0,11630*1000*SER_hh_fec!M9/SER_hh_num!M9)</f>
        <v>45125.676100137513</v>
      </c>
      <c r="N9" s="132">
        <f>IF(SER_hh_fec!N9=0,0,11630*1000*SER_hh_fec!N9/SER_hh_num!N9)</f>
        <v>43133.745828638479</v>
      </c>
      <c r="O9" s="132">
        <f>IF(SER_hh_fec!O9=0,0,11630*1000*SER_hh_fec!O9/SER_hh_num!O9)</f>
        <v>44468.523517401227</v>
      </c>
      <c r="P9" s="132">
        <f>IF(SER_hh_fec!P9=0,0,11630*1000*SER_hh_fec!P9/SER_hh_num!P9)</f>
        <v>48211.209443217078</v>
      </c>
      <c r="Q9" s="132">
        <f>IF(SER_hh_fec!Q9=0,0,11630*1000*SER_hh_fec!Q9/SER_hh_num!Q9)</f>
        <v>47778.342222426887</v>
      </c>
      <c r="R9" s="132">
        <f>IF(SER_hh_fec!R9=0,0,11630*1000*SER_hh_fec!R9/SER_hh_num!R9)</f>
        <v>49594.494680344687</v>
      </c>
      <c r="S9" s="132">
        <f>IF(SER_hh_fec!S9=0,0,11630*1000*SER_hh_fec!S9/SER_hh_num!S9)</f>
        <v>38271.435811506599</v>
      </c>
      <c r="T9" s="132">
        <f>IF(SER_hh_fec!T9=0,0,11630*1000*SER_hh_fec!T9/SER_hh_num!T9)</f>
        <v>77196.010682391236</v>
      </c>
      <c r="U9" s="132">
        <f>IF(SER_hh_fec!U9=0,0,11630*1000*SER_hh_fec!U9/SER_hh_num!U9)</f>
        <v>86625.250603104709</v>
      </c>
      <c r="V9" s="132">
        <f>IF(SER_hh_fec!V9=0,0,11630*1000*SER_hh_fec!V9/SER_hh_num!V9)</f>
        <v>31683.016337856381</v>
      </c>
      <c r="W9" s="132">
        <f>IF(SER_hh_fec!W9=0,0,11630*1000*SER_hh_fec!W9/SER_hh_num!W9)</f>
        <v>35661.626882094475</v>
      </c>
      <c r="X9" s="132">
        <f>IF(SER_hh_fec!X9=0,0,11630*1000*SER_hh_fec!X9/SER_hh_num!X9)</f>
        <v>41670.915863696137</v>
      </c>
      <c r="Y9" s="132">
        <f>IF(SER_hh_fec!Y9=0,0,11630*1000*SER_hh_fec!Y9/SER_hh_num!Y9)</f>
        <v>58734.229685330873</v>
      </c>
      <c r="DA9" s="156" t="s">
        <v>390</v>
      </c>
    </row>
    <row r="10" spans="1:105" ht="12" customHeight="1" x14ac:dyDescent="0.25">
      <c r="A10" s="131" t="s">
        <v>128</v>
      </c>
      <c r="B10" s="132">
        <f>IF(SER_hh_fec!B10=0,0,11630*1000*SER_hh_fec!B10/SER_hh_num!B10)</f>
        <v>0</v>
      </c>
      <c r="C10" s="132">
        <f>IF(SER_hh_fec!C10=0,0,11630*1000*SER_hh_fec!C10/SER_hh_num!C10)</f>
        <v>0</v>
      </c>
      <c r="D10" s="132">
        <f>IF(SER_hh_fec!D10=0,0,11630*1000*SER_hh_fec!D10/SER_hh_num!D10)</f>
        <v>0</v>
      </c>
      <c r="E10" s="132">
        <f>IF(SER_hh_fec!E10=0,0,11630*1000*SER_hh_fec!E10/SER_hh_num!E10)</f>
        <v>0</v>
      </c>
      <c r="F10" s="132">
        <f>IF(SER_hh_fec!F10=0,0,11630*1000*SER_hh_fec!F10/SER_hh_num!F10)</f>
        <v>0</v>
      </c>
      <c r="G10" s="132">
        <f>IF(SER_hh_fec!G10=0,0,11630*1000*SER_hh_fec!G10/SER_hh_num!G10)</f>
        <v>0</v>
      </c>
      <c r="H10" s="132">
        <f>IF(SER_hh_fec!H10=0,0,11630*1000*SER_hh_fec!H10/SER_hh_num!H10)</f>
        <v>0</v>
      </c>
      <c r="I10" s="132">
        <f>IF(SER_hh_fec!I10=0,0,11630*1000*SER_hh_fec!I10/SER_hh_num!I10)</f>
        <v>40108.311102603679</v>
      </c>
      <c r="J10" s="132">
        <f>IF(SER_hh_fec!J10=0,0,11630*1000*SER_hh_fec!J10/SER_hh_num!J10)</f>
        <v>105523.33263944241</v>
      </c>
      <c r="K10" s="132">
        <f>IF(SER_hh_fec!K10=0,0,11630*1000*SER_hh_fec!K10/SER_hh_num!K10)</f>
        <v>123326.63474138173</v>
      </c>
      <c r="L10" s="132">
        <f>IF(SER_hh_fec!L10=0,0,11630*1000*SER_hh_fec!L10/SER_hh_num!L10)</f>
        <v>35713.295277546429</v>
      </c>
      <c r="M10" s="132">
        <f>IF(SER_hh_fec!M10=0,0,11630*1000*SER_hh_fec!M10/SER_hh_num!M10)</f>
        <v>61272.362800626965</v>
      </c>
      <c r="N10" s="132">
        <f>IF(SER_hh_fec!N10=0,0,11630*1000*SER_hh_fec!N10/SER_hh_num!N10)</f>
        <v>79327.465055168796</v>
      </c>
      <c r="O10" s="132">
        <f>IF(SER_hh_fec!O10=0,0,11630*1000*SER_hh_fec!O10/SER_hh_num!O10)</f>
        <v>61975.847966722045</v>
      </c>
      <c r="P10" s="132">
        <f>IF(SER_hh_fec!P10=0,0,11630*1000*SER_hh_fec!P10/SER_hh_num!P10)</f>
        <v>49912.843241500435</v>
      </c>
      <c r="Q10" s="132">
        <f>IF(SER_hh_fec!Q10=0,0,11630*1000*SER_hh_fec!Q10/SER_hh_num!Q10)</f>
        <v>105457.21739391226</v>
      </c>
      <c r="R10" s="132">
        <f>IF(SER_hh_fec!R10=0,0,11630*1000*SER_hh_fec!R10/SER_hh_num!R10)</f>
        <v>79756.989111054238</v>
      </c>
      <c r="S10" s="132">
        <f>IF(SER_hh_fec!S10=0,0,11630*1000*SER_hh_fec!S10/SER_hh_num!S10)</f>
        <v>114582.87783865635</v>
      </c>
      <c r="T10" s="132">
        <f>IF(SER_hh_fec!T10=0,0,11630*1000*SER_hh_fec!T10/SER_hh_num!T10)</f>
        <v>85955.527784115751</v>
      </c>
      <c r="U10" s="132">
        <f>IF(SER_hh_fec!U10=0,0,11630*1000*SER_hh_fec!U10/SER_hh_num!U10)</f>
        <v>55934.92004031322</v>
      </c>
      <c r="V10" s="132">
        <f>IF(SER_hh_fec!V10=0,0,11630*1000*SER_hh_fec!V10/SER_hh_num!V10)</f>
        <v>49155.673304885378</v>
      </c>
      <c r="W10" s="132">
        <f>IF(SER_hh_fec!W10=0,0,11630*1000*SER_hh_fec!W10/SER_hh_num!W10)</f>
        <v>133873.31345117104</v>
      </c>
      <c r="X10" s="132">
        <f>IF(SER_hh_fec!X10=0,0,11630*1000*SER_hh_fec!X10/SER_hh_num!X10)</f>
        <v>139119.69086155156</v>
      </c>
      <c r="Y10" s="132">
        <f>IF(SER_hh_fec!Y10=0,0,11630*1000*SER_hh_fec!Y10/SER_hh_num!Y10)</f>
        <v>86255.953655235018</v>
      </c>
      <c r="DA10" s="156" t="s">
        <v>391</v>
      </c>
    </row>
    <row r="11" spans="1:105" ht="12" customHeight="1" x14ac:dyDescent="0.25">
      <c r="A11" s="131" t="s">
        <v>25</v>
      </c>
      <c r="B11" s="132">
        <f>IF(SER_hh_fec!B11=0,0,11630*1000*SER_hh_fec!B11/SER_hh_num!B11)</f>
        <v>0</v>
      </c>
      <c r="C11" s="132">
        <f>IF(SER_hh_fec!C11=0,0,11630*1000*SER_hh_fec!C11/SER_hh_num!C11)</f>
        <v>0</v>
      </c>
      <c r="D11" s="132">
        <f>IF(SER_hh_fec!D11=0,0,11630*1000*SER_hh_fec!D11/SER_hh_num!D11)</f>
        <v>0</v>
      </c>
      <c r="E11" s="132">
        <f>IF(SER_hh_fec!E11=0,0,11630*1000*SER_hh_fec!E11/SER_hh_num!E11)</f>
        <v>0</v>
      </c>
      <c r="F11" s="132">
        <f>IF(SER_hh_fec!F11=0,0,11630*1000*SER_hh_fec!F11/SER_hh_num!F11)</f>
        <v>0</v>
      </c>
      <c r="G11" s="132">
        <f>IF(SER_hh_fec!G11=0,0,11630*1000*SER_hh_fec!G11/SER_hh_num!G11)</f>
        <v>0</v>
      </c>
      <c r="H11" s="132">
        <f>IF(SER_hh_fec!H11=0,0,11630*1000*SER_hh_fec!H11/SER_hh_num!H11)</f>
        <v>0</v>
      </c>
      <c r="I11" s="132">
        <f>IF(SER_hh_fec!I11=0,0,11630*1000*SER_hh_fec!I11/SER_hh_num!I11)</f>
        <v>0</v>
      </c>
      <c r="J11" s="132">
        <f>IF(SER_hh_fec!J11=0,0,11630*1000*SER_hh_fec!J11/SER_hh_num!J11)</f>
        <v>0</v>
      </c>
      <c r="K11" s="132">
        <f>IF(SER_hh_fec!K11=0,0,11630*1000*SER_hh_fec!K11/SER_hh_num!K11)</f>
        <v>0</v>
      </c>
      <c r="L11" s="132">
        <f>IF(SER_hh_fec!L11=0,0,11630*1000*SER_hh_fec!L11/SER_hh_num!L11)</f>
        <v>0</v>
      </c>
      <c r="M11" s="132">
        <f>IF(SER_hh_fec!M11=0,0,11630*1000*SER_hh_fec!M11/SER_hh_num!M11)</f>
        <v>0</v>
      </c>
      <c r="N11" s="132">
        <f>IF(SER_hh_fec!N11=0,0,11630*1000*SER_hh_fec!N11/SER_hh_num!N11)</f>
        <v>0</v>
      </c>
      <c r="O11" s="132">
        <f>IF(SER_hh_fec!O11=0,0,11630*1000*SER_hh_fec!O11/SER_hh_num!O11)</f>
        <v>0</v>
      </c>
      <c r="P11" s="132">
        <f>IF(SER_hh_fec!P11=0,0,11630*1000*SER_hh_fec!P11/SER_hh_num!P11)</f>
        <v>0</v>
      </c>
      <c r="Q11" s="132">
        <f>IF(SER_hh_fec!Q11=0,0,11630*1000*SER_hh_fec!Q11/SER_hh_num!Q11)</f>
        <v>0</v>
      </c>
      <c r="R11" s="132">
        <f>IF(SER_hh_fec!R11=0,0,11630*1000*SER_hh_fec!R11/SER_hh_num!R11)</f>
        <v>0</v>
      </c>
      <c r="S11" s="132">
        <f>IF(SER_hh_fec!S11=0,0,11630*1000*SER_hh_fec!S11/SER_hh_num!S11)</f>
        <v>0</v>
      </c>
      <c r="T11" s="132">
        <f>IF(SER_hh_fec!T11=0,0,11630*1000*SER_hh_fec!T11/SER_hh_num!T11)</f>
        <v>0</v>
      </c>
      <c r="U11" s="132">
        <f>IF(SER_hh_fec!U11=0,0,11630*1000*SER_hh_fec!U11/SER_hh_num!U11)</f>
        <v>0</v>
      </c>
      <c r="V11" s="132">
        <f>IF(SER_hh_fec!V11=0,0,11630*1000*SER_hh_fec!V11/SER_hh_num!V11)</f>
        <v>0</v>
      </c>
      <c r="W11" s="132">
        <f>IF(SER_hh_fec!W11=0,0,11630*1000*SER_hh_fec!W11/SER_hh_num!W11)</f>
        <v>0</v>
      </c>
      <c r="X11" s="132">
        <f>IF(SER_hh_fec!X11=0,0,11630*1000*SER_hh_fec!X11/SER_hh_num!X11)</f>
        <v>0</v>
      </c>
      <c r="Y11" s="132">
        <f>IF(SER_hh_fec!Y11=0,0,11630*1000*SER_hh_fec!Y11/SER_hh_num!Y11)</f>
        <v>0</v>
      </c>
      <c r="DA11" s="156" t="s">
        <v>392</v>
      </c>
    </row>
    <row r="12" spans="1:105" ht="12" customHeight="1" x14ac:dyDescent="0.25">
      <c r="A12" s="131" t="s">
        <v>162</v>
      </c>
      <c r="B12" s="132">
        <f>IF(SER_hh_fec!B12=0,0,11630*1000*SER_hh_fec!B12/SER_hh_num!B12)</f>
        <v>0</v>
      </c>
      <c r="C12" s="132">
        <f>IF(SER_hh_fec!C12=0,0,11630*1000*SER_hh_fec!C12/SER_hh_num!C12)</f>
        <v>0</v>
      </c>
      <c r="D12" s="132">
        <f>IF(SER_hh_fec!D12=0,0,11630*1000*SER_hh_fec!D12/SER_hh_num!D12)</f>
        <v>0</v>
      </c>
      <c r="E12" s="132">
        <f>IF(SER_hh_fec!E12=0,0,11630*1000*SER_hh_fec!E12/SER_hh_num!E12)</f>
        <v>0</v>
      </c>
      <c r="F12" s="132">
        <f>IF(SER_hh_fec!F12=0,0,11630*1000*SER_hh_fec!F12/SER_hh_num!F12)</f>
        <v>0</v>
      </c>
      <c r="G12" s="132">
        <f>IF(SER_hh_fec!G12=0,0,11630*1000*SER_hh_fec!G12/SER_hh_num!G12)</f>
        <v>0</v>
      </c>
      <c r="H12" s="132">
        <f>IF(SER_hh_fec!H12=0,0,11630*1000*SER_hh_fec!H12/SER_hh_num!H12)</f>
        <v>0</v>
      </c>
      <c r="I12" s="132">
        <f>IF(SER_hh_fec!I12=0,0,11630*1000*SER_hh_fec!I12/SER_hh_num!I12)</f>
        <v>0</v>
      </c>
      <c r="J12" s="132">
        <f>IF(SER_hh_fec!J12=0,0,11630*1000*SER_hh_fec!J12/SER_hh_num!J12)</f>
        <v>0</v>
      </c>
      <c r="K12" s="132">
        <f>IF(SER_hh_fec!K12=0,0,11630*1000*SER_hh_fec!K12/SER_hh_num!K12)</f>
        <v>0</v>
      </c>
      <c r="L12" s="132">
        <f>IF(SER_hh_fec!L12=0,0,11630*1000*SER_hh_fec!L12/SER_hh_num!L12)</f>
        <v>0</v>
      </c>
      <c r="M12" s="132">
        <f>IF(SER_hh_fec!M12=0,0,11630*1000*SER_hh_fec!M12/SER_hh_num!M12)</f>
        <v>0</v>
      </c>
      <c r="N12" s="132">
        <f>IF(SER_hh_fec!N12=0,0,11630*1000*SER_hh_fec!N12/SER_hh_num!N12)</f>
        <v>0</v>
      </c>
      <c r="O12" s="132">
        <f>IF(SER_hh_fec!O12=0,0,11630*1000*SER_hh_fec!O12/SER_hh_num!O12)</f>
        <v>0</v>
      </c>
      <c r="P12" s="132">
        <f>IF(SER_hh_fec!P12=0,0,11630*1000*SER_hh_fec!P12/SER_hh_num!P12)</f>
        <v>0</v>
      </c>
      <c r="Q12" s="132">
        <f>IF(SER_hh_fec!Q12=0,0,11630*1000*SER_hh_fec!Q12/SER_hh_num!Q12)</f>
        <v>0</v>
      </c>
      <c r="R12" s="132">
        <f>IF(SER_hh_fec!R12=0,0,11630*1000*SER_hh_fec!R12/SER_hh_num!R12)</f>
        <v>0</v>
      </c>
      <c r="S12" s="132">
        <f>IF(SER_hh_fec!S12=0,0,11630*1000*SER_hh_fec!S12/SER_hh_num!S12)</f>
        <v>0</v>
      </c>
      <c r="T12" s="132">
        <f>IF(SER_hh_fec!T12=0,0,11630*1000*SER_hh_fec!T12/SER_hh_num!T12)</f>
        <v>0</v>
      </c>
      <c r="U12" s="132">
        <f>IF(SER_hh_fec!U12=0,0,11630*1000*SER_hh_fec!U12/SER_hh_num!U12)</f>
        <v>0</v>
      </c>
      <c r="V12" s="132">
        <f>IF(SER_hh_fec!V12=0,0,11630*1000*SER_hh_fec!V12/SER_hh_num!V12)</f>
        <v>0</v>
      </c>
      <c r="W12" s="132">
        <f>IF(SER_hh_fec!W12=0,0,11630*1000*SER_hh_fec!W12/SER_hh_num!W12)</f>
        <v>0</v>
      </c>
      <c r="X12" s="132">
        <f>IF(SER_hh_fec!X12=0,0,11630*1000*SER_hh_fec!X12/SER_hh_num!X12)</f>
        <v>0</v>
      </c>
      <c r="Y12" s="132">
        <f>IF(SER_hh_fec!Y12=0,0,11630*1000*SER_hh_fec!Y12/SER_hh_num!Y12)</f>
        <v>0</v>
      </c>
      <c r="DA12" s="156" t="s">
        <v>393</v>
      </c>
    </row>
    <row r="13" spans="1:105" ht="12" customHeight="1" x14ac:dyDescent="0.25">
      <c r="A13" s="131" t="s">
        <v>77</v>
      </c>
      <c r="B13" s="132">
        <f>IF(SER_hh_fec!B13=0,0,11630*1000*SER_hh_fec!B13/SER_hh_num!B13)</f>
        <v>4965.2187927934056</v>
      </c>
      <c r="C13" s="132">
        <f>IF(SER_hh_fec!C13=0,0,11630*1000*SER_hh_fec!C13/SER_hh_num!C13)</f>
        <v>9541.9949244704003</v>
      </c>
      <c r="D13" s="132">
        <f>IF(SER_hh_fec!D13=0,0,11630*1000*SER_hh_fec!D13/SER_hh_num!D13)</f>
        <v>9806.8269503857919</v>
      </c>
      <c r="E13" s="132">
        <f>IF(SER_hh_fec!E13=0,0,11630*1000*SER_hh_fec!E13/SER_hh_num!E13)</f>
        <v>9710.0983860103461</v>
      </c>
      <c r="F13" s="132">
        <f>IF(SER_hh_fec!F13=0,0,11630*1000*SER_hh_fec!F13/SER_hh_num!F13)</f>
        <v>10739.579008342353</v>
      </c>
      <c r="G13" s="132">
        <f>IF(SER_hh_fec!G13=0,0,11630*1000*SER_hh_fec!G13/SER_hh_num!G13)</f>
        <v>12583.788052655351</v>
      </c>
      <c r="H13" s="132">
        <f>IF(SER_hh_fec!H13=0,0,11630*1000*SER_hh_fec!H13/SER_hh_num!H13)</f>
        <v>14501.214589753372</v>
      </c>
      <c r="I13" s="132">
        <f>IF(SER_hh_fec!I13=0,0,11630*1000*SER_hh_fec!I13/SER_hh_num!I13)</f>
        <v>16007.713046789268</v>
      </c>
      <c r="J13" s="132">
        <f>IF(SER_hh_fec!J13=0,0,11630*1000*SER_hh_fec!J13/SER_hh_num!J13)</f>
        <v>16584.562508482039</v>
      </c>
      <c r="K13" s="132">
        <f>IF(SER_hh_fec!K13=0,0,11630*1000*SER_hh_fec!K13/SER_hh_num!K13)</f>
        <v>17697.862722600028</v>
      </c>
      <c r="L13" s="132">
        <f>IF(SER_hh_fec!L13=0,0,11630*1000*SER_hh_fec!L13/SER_hh_num!L13)</f>
        <v>14905.683306081281</v>
      </c>
      <c r="M13" s="132">
        <f>IF(SER_hh_fec!M13=0,0,11630*1000*SER_hh_fec!M13/SER_hh_num!M13)</f>
        <v>11990.186605182877</v>
      </c>
      <c r="N13" s="132">
        <f>IF(SER_hh_fec!N13=0,0,11630*1000*SER_hh_fec!N13/SER_hh_num!N13)</f>
        <v>11240.110319879492</v>
      </c>
      <c r="O13" s="132">
        <f>IF(SER_hh_fec!O13=0,0,11630*1000*SER_hh_fec!O13/SER_hh_num!O13)</f>
        <v>15290.435785577338</v>
      </c>
      <c r="P13" s="132">
        <f>IF(SER_hh_fec!P13=0,0,11630*1000*SER_hh_fec!P13/SER_hh_num!P13)</f>
        <v>13991.276788364319</v>
      </c>
      <c r="Q13" s="132">
        <f>IF(SER_hh_fec!Q13=0,0,11630*1000*SER_hh_fec!Q13/SER_hh_num!Q13)</f>
        <v>15087.813200851288</v>
      </c>
      <c r="R13" s="132">
        <f>IF(SER_hh_fec!R13=0,0,11630*1000*SER_hh_fec!R13/SER_hh_num!R13)</f>
        <v>14716.756702735343</v>
      </c>
      <c r="S13" s="132">
        <f>IF(SER_hh_fec!S13=0,0,11630*1000*SER_hh_fec!S13/SER_hh_num!S13)</f>
        <v>14623.039418182383</v>
      </c>
      <c r="T13" s="132">
        <f>IF(SER_hh_fec!T13=0,0,11630*1000*SER_hh_fec!T13/SER_hh_num!T13)</f>
        <v>14546.361261824051</v>
      </c>
      <c r="U13" s="132">
        <f>IF(SER_hh_fec!U13=0,0,11630*1000*SER_hh_fec!U13/SER_hh_num!U13)</f>
        <v>14742.381982353852</v>
      </c>
      <c r="V13" s="132">
        <f>IF(SER_hh_fec!V13=0,0,11630*1000*SER_hh_fec!V13/SER_hh_num!V13)</f>
        <v>13397.368407695671</v>
      </c>
      <c r="W13" s="132">
        <f>IF(SER_hh_fec!W13=0,0,11630*1000*SER_hh_fec!W13/SER_hh_num!W13)</f>
        <v>13941.71554652655</v>
      </c>
      <c r="X13" s="132">
        <f>IF(SER_hh_fec!X13=0,0,11630*1000*SER_hh_fec!X13/SER_hh_num!X13)</f>
        <v>15109.848642931063</v>
      </c>
      <c r="Y13" s="132">
        <f>IF(SER_hh_fec!Y13=0,0,11630*1000*SER_hh_fec!Y13/SER_hh_num!Y13)</f>
        <v>14861.564998993374</v>
      </c>
      <c r="DA13" s="156" t="s">
        <v>394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14921.311821821309</v>
      </c>
      <c r="C14" s="65">
        <f>IF(SER_hh_fec!C14=0,0,11630*1000*SER_hh_fec!C14/SER_hh_num!C14)</f>
        <v>23612.185969698232</v>
      </c>
      <c r="D14" s="65">
        <f>IF(SER_hh_fec!D14=0,0,11630*1000*SER_hh_fec!D14/SER_hh_num!D14)</f>
        <v>30247.170624437287</v>
      </c>
      <c r="E14" s="65">
        <f>IF(SER_hh_fec!E14=0,0,11630*1000*SER_hh_fec!E14/SER_hh_num!E14)</f>
        <v>27605.729903626638</v>
      </c>
      <c r="F14" s="65">
        <f>IF(SER_hh_fec!F14=0,0,11630*1000*SER_hh_fec!F14/SER_hh_num!F14)</f>
        <v>29943.881729100664</v>
      </c>
      <c r="G14" s="65">
        <f>IF(SER_hh_fec!G14=0,0,11630*1000*SER_hh_fec!G14/SER_hh_num!G14)</f>
        <v>32374.315995095432</v>
      </c>
      <c r="H14" s="65">
        <f>IF(SER_hh_fec!H14=0,0,11630*1000*SER_hh_fec!H14/SER_hh_num!H14)</f>
        <v>48725.225325128042</v>
      </c>
      <c r="I14" s="65">
        <f>IF(SER_hh_fec!I14=0,0,11630*1000*SER_hh_fec!I14/SER_hh_num!I14)</f>
        <v>48268.989800946685</v>
      </c>
      <c r="J14" s="65">
        <f>IF(SER_hh_fec!J14=0,0,11630*1000*SER_hh_fec!J14/SER_hh_num!J14)</f>
        <v>53568.532649421861</v>
      </c>
      <c r="K14" s="65">
        <f>IF(SER_hh_fec!K14=0,0,11630*1000*SER_hh_fec!K14/SER_hh_num!K14)</f>
        <v>58026.402138314144</v>
      </c>
      <c r="L14" s="65">
        <f>IF(SER_hh_fec!L14=0,0,11630*1000*SER_hh_fec!L14/SER_hh_num!L14)</f>
        <v>63896.471707644763</v>
      </c>
      <c r="M14" s="65">
        <f>IF(SER_hh_fec!M14=0,0,11630*1000*SER_hh_fec!M14/SER_hh_num!M14)</f>
        <v>67833.846121191164</v>
      </c>
      <c r="N14" s="65">
        <f>IF(SER_hh_fec!N14=0,0,11630*1000*SER_hh_fec!N14/SER_hh_num!N14)</f>
        <v>48678.848951070897</v>
      </c>
      <c r="O14" s="65">
        <f>IF(SER_hh_fec!O14=0,0,11630*1000*SER_hh_fec!O14/SER_hh_num!O14)</f>
        <v>17086.844536345907</v>
      </c>
      <c r="P14" s="65">
        <f>IF(SER_hh_fec!P14=0,0,11630*1000*SER_hh_fec!P14/SER_hh_num!P14)</f>
        <v>49622.586060367568</v>
      </c>
      <c r="Q14" s="65">
        <f>IF(SER_hh_fec!Q14=0,0,11630*1000*SER_hh_fec!Q14/SER_hh_num!Q14)</f>
        <v>53685.268725868249</v>
      </c>
      <c r="R14" s="65">
        <f>IF(SER_hh_fec!R14=0,0,11630*1000*SER_hh_fec!R14/SER_hh_num!R14)</f>
        <v>83865.145370279759</v>
      </c>
      <c r="S14" s="65">
        <f>IF(SER_hh_fec!S14=0,0,11630*1000*SER_hh_fec!S14/SER_hh_num!S14)</f>
        <v>103042.10101242788</v>
      </c>
      <c r="T14" s="65">
        <f>IF(SER_hh_fec!T14=0,0,11630*1000*SER_hh_fec!T14/SER_hh_num!T14)</f>
        <v>104537.16752357787</v>
      </c>
      <c r="U14" s="65">
        <f>IF(SER_hh_fec!U14=0,0,11630*1000*SER_hh_fec!U14/SER_hh_num!U14)</f>
        <v>131920.41158455139</v>
      </c>
      <c r="V14" s="65">
        <f>IF(SER_hh_fec!V14=0,0,11630*1000*SER_hh_fec!V14/SER_hh_num!V14)</f>
        <v>53228.993409652059</v>
      </c>
      <c r="W14" s="65">
        <f>IF(SER_hh_fec!W14=0,0,11630*1000*SER_hh_fec!W14/SER_hh_num!W14)</f>
        <v>84211.7752208085</v>
      </c>
      <c r="X14" s="65">
        <f>IF(SER_hh_fec!X14=0,0,11630*1000*SER_hh_fec!X14/SER_hh_num!X14)</f>
        <v>107729.23466014696</v>
      </c>
      <c r="Y14" s="65">
        <f>IF(SER_hh_fec!Y14=0,0,11630*1000*SER_hh_fec!Y14/SER_hh_num!Y14)</f>
        <v>100270.95318842273</v>
      </c>
      <c r="DA14" s="109" t="s">
        <v>395</v>
      </c>
    </row>
    <row r="15" spans="1:105" ht="12" customHeight="1" x14ac:dyDescent="0.25">
      <c r="A15" s="133" t="s">
        <v>80</v>
      </c>
      <c r="B15" s="134">
        <f>IF(SER_hh_fec!B15=0,0,11630*1000*SER_hh_fec!B15/SER_hh_num!B15)</f>
        <v>217.02007694176945</v>
      </c>
      <c r="C15" s="134">
        <f>IF(SER_hh_fec!C15=0,0,11630*1000*SER_hh_fec!C15/SER_hh_num!C15)</f>
        <v>249.82738293015242</v>
      </c>
      <c r="D15" s="134">
        <f>IF(SER_hh_fec!D15=0,0,11630*1000*SER_hh_fec!D15/SER_hh_num!D15)</f>
        <v>277.01509410693808</v>
      </c>
      <c r="E15" s="134">
        <f>IF(SER_hh_fec!E15=0,0,11630*1000*SER_hh_fec!E15/SER_hh_num!E15)</f>
        <v>319.95735531671721</v>
      </c>
      <c r="F15" s="134">
        <f>IF(SER_hh_fec!F15=0,0,11630*1000*SER_hh_fec!F15/SER_hh_num!F15)</f>
        <v>325.30780523358021</v>
      </c>
      <c r="G15" s="134">
        <f>IF(SER_hh_fec!G15=0,0,11630*1000*SER_hh_fec!G15/SER_hh_num!G15)</f>
        <v>350.28104737717666</v>
      </c>
      <c r="H15" s="134">
        <f>IF(SER_hh_fec!H15=0,0,11630*1000*SER_hh_fec!H15/SER_hh_num!H15)</f>
        <v>444.96222913328859</v>
      </c>
      <c r="I15" s="134">
        <f>IF(SER_hh_fec!I15=0,0,11630*1000*SER_hh_fec!I15/SER_hh_num!I15)</f>
        <v>472.87313112904542</v>
      </c>
      <c r="J15" s="134">
        <f>IF(SER_hh_fec!J15=0,0,11630*1000*SER_hh_fec!J15/SER_hh_num!J15)</f>
        <v>644.78713719279438</v>
      </c>
      <c r="K15" s="134">
        <f>IF(SER_hh_fec!K15=0,0,11630*1000*SER_hh_fec!K15/SER_hh_num!K15)</f>
        <v>534.95378098766753</v>
      </c>
      <c r="L15" s="134">
        <f>IF(SER_hh_fec!L15=0,0,11630*1000*SER_hh_fec!L15/SER_hh_num!L15)</f>
        <v>604.81173372902811</v>
      </c>
      <c r="M15" s="134">
        <f>IF(SER_hh_fec!M15=0,0,11630*1000*SER_hh_fec!M15/SER_hh_num!M15)</f>
        <v>594.50790695176568</v>
      </c>
      <c r="N15" s="134">
        <f>IF(SER_hh_fec!N15=0,0,11630*1000*SER_hh_fec!N15/SER_hh_num!N15)</f>
        <v>516.74781877802809</v>
      </c>
      <c r="O15" s="134">
        <f>IF(SER_hh_fec!O15=0,0,11630*1000*SER_hh_fec!O15/SER_hh_num!O15)</f>
        <v>590.91803650457382</v>
      </c>
      <c r="P15" s="134">
        <f>IF(SER_hh_fec!P15=0,0,11630*1000*SER_hh_fec!P15/SER_hh_num!P15)</f>
        <v>612.94892001736719</v>
      </c>
      <c r="Q15" s="134">
        <f>IF(SER_hh_fec!Q15=0,0,11630*1000*SER_hh_fec!Q15/SER_hh_num!Q15)</f>
        <v>600.14647672530759</v>
      </c>
      <c r="R15" s="134">
        <f>IF(SER_hh_fec!R15=0,0,11630*1000*SER_hh_fec!R15/SER_hh_num!R15)</f>
        <v>619.26847423640811</v>
      </c>
      <c r="S15" s="134">
        <f>IF(SER_hh_fec!S15=0,0,11630*1000*SER_hh_fec!S15/SER_hh_num!S15)</f>
        <v>747.65753707207125</v>
      </c>
      <c r="T15" s="134">
        <f>IF(SER_hh_fec!T15=0,0,11630*1000*SER_hh_fec!T15/SER_hh_num!T15)</f>
        <v>715.83197028115842</v>
      </c>
      <c r="U15" s="134">
        <f>IF(SER_hh_fec!U15=0,0,11630*1000*SER_hh_fec!U15/SER_hh_num!U15)</f>
        <v>849.5368528843735</v>
      </c>
      <c r="V15" s="134">
        <f>IF(SER_hh_fec!V15=0,0,11630*1000*SER_hh_fec!V15/SER_hh_num!V15)</f>
        <v>650.28082604458439</v>
      </c>
      <c r="W15" s="134">
        <f>IF(SER_hh_fec!W15=0,0,11630*1000*SER_hh_fec!W15/SER_hh_num!W15)</f>
        <v>748.1630360264096</v>
      </c>
      <c r="X15" s="134">
        <f>IF(SER_hh_fec!X15=0,0,11630*1000*SER_hh_fec!X15/SER_hh_num!X15)</f>
        <v>854.3974804685904</v>
      </c>
      <c r="Y15" s="134">
        <f>IF(SER_hh_fec!Y15=0,0,11630*1000*SER_hh_fec!Y15/SER_hh_num!Y15)</f>
        <v>875.82589917048369</v>
      </c>
      <c r="DA15" s="157" t="s">
        <v>396</v>
      </c>
    </row>
    <row r="16" spans="1:105" ht="12.95" customHeight="1" x14ac:dyDescent="0.25">
      <c r="A16" s="129" t="s">
        <v>74</v>
      </c>
      <c r="B16" s="130">
        <f>IF(SER_hh_fec!B16=0,0,11630*1000*SER_hh_fec!B16/SER_hh_num!B16)</f>
        <v>48134.577141667796</v>
      </c>
      <c r="C16" s="130">
        <f>IF(SER_hh_fec!C16=0,0,11630*1000*SER_hh_fec!C16/SER_hh_num!C16)</f>
        <v>39111.652001419512</v>
      </c>
      <c r="D16" s="130">
        <f>IF(SER_hh_fec!D16=0,0,11630*1000*SER_hh_fec!D16/SER_hh_num!D16)</f>
        <v>35260.305084779924</v>
      </c>
      <c r="E16" s="130">
        <f>IF(SER_hh_fec!E16=0,0,11630*1000*SER_hh_fec!E16/SER_hh_num!E16)</f>
        <v>36221.004417155062</v>
      </c>
      <c r="F16" s="130">
        <f>IF(SER_hh_fec!F16=0,0,11630*1000*SER_hh_fec!F16/SER_hh_num!F16)</f>
        <v>28532.596436195097</v>
      </c>
      <c r="G16" s="130">
        <f>IF(SER_hh_fec!G16=0,0,11630*1000*SER_hh_fec!G16/SER_hh_num!G16)</f>
        <v>24968.4130391828</v>
      </c>
      <c r="H16" s="130">
        <f>IF(SER_hh_fec!H16=0,0,11630*1000*SER_hh_fec!H16/SER_hh_num!H16)</f>
        <v>27648.487204126155</v>
      </c>
      <c r="I16" s="130">
        <f>IF(SER_hh_fec!I16=0,0,11630*1000*SER_hh_fec!I16/SER_hh_num!I16)</f>
        <v>29759.090586986884</v>
      </c>
      <c r="J16" s="130">
        <f>IF(SER_hh_fec!J16=0,0,11630*1000*SER_hh_fec!J16/SER_hh_num!J16)</f>
        <v>29029.729748956648</v>
      </c>
      <c r="K16" s="130">
        <f>IF(SER_hh_fec!K16=0,0,11630*1000*SER_hh_fec!K16/SER_hh_num!K16)</f>
        <v>27440.19663678727</v>
      </c>
      <c r="L16" s="130">
        <f>IF(SER_hh_fec!L16=0,0,11630*1000*SER_hh_fec!L16/SER_hh_num!L16)</f>
        <v>27972.289179659634</v>
      </c>
      <c r="M16" s="130">
        <f>IF(SER_hh_fec!M16=0,0,11630*1000*SER_hh_fec!M16/SER_hh_num!M16)</f>
        <v>23217.679546990828</v>
      </c>
      <c r="N16" s="130">
        <f>IF(SER_hh_fec!N16=0,0,11630*1000*SER_hh_fec!N16/SER_hh_num!N16)</f>
        <v>27295.007246343393</v>
      </c>
      <c r="O16" s="130">
        <f>IF(SER_hh_fec!O16=0,0,11630*1000*SER_hh_fec!O16/SER_hh_num!O16)</f>
        <v>22312.345042623772</v>
      </c>
      <c r="P16" s="130">
        <f>IF(SER_hh_fec!P16=0,0,11630*1000*SER_hh_fec!P16/SER_hh_num!P16)</f>
        <v>19428.754972218845</v>
      </c>
      <c r="Q16" s="130">
        <f>IF(SER_hh_fec!Q16=0,0,11630*1000*SER_hh_fec!Q16/SER_hh_num!Q16)</f>
        <v>20530.043970589057</v>
      </c>
      <c r="R16" s="130">
        <f>IF(SER_hh_fec!R16=0,0,11630*1000*SER_hh_fec!R16/SER_hh_num!R16)</f>
        <v>22736.820468931066</v>
      </c>
      <c r="S16" s="130">
        <f>IF(SER_hh_fec!S16=0,0,11630*1000*SER_hh_fec!S16/SER_hh_num!S16)</f>
        <v>20972.899203823847</v>
      </c>
      <c r="T16" s="130">
        <f>IF(SER_hh_fec!T16=0,0,11630*1000*SER_hh_fec!T16/SER_hh_num!T16)</f>
        <v>25855.220005561303</v>
      </c>
      <c r="U16" s="130">
        <f>IF(SER_hh_fec!U16=0,0,11630*1000*SER_hh_fec!U16/SER_hh_num!U16)</f>
        <v>21390.092406017127</v>
      </c>
      <c r="V16" s="130">
        <f>IF(SER_hh_fec!V16=0,0,11630*1000*SER_hh_fec!V16/SER_hh_num!V16)</f>
        <v>21848.46425912331</v>
      </c>
      <c r="W16" s="130">
        <f>IF(SER_hh_fec!W16=0,0,11630*1000*SER_hh_fec!W16/SER_hh_num!W16)</f>
        <v>19720.552652927148</v>
      </c>
      <c r="X16" s="130">
        <f>IF(SER_hh_fec!X16=0,0,11630*1000*SER_hh_fec!X16/SER_hh_num!X16)</f>
        <v>18499.298017459219</v>
      </c>
      <c r="Y16" s="130">
        <f>IF(SER_hh_fec!Y16=0,0,11630*1000*SER_hh_fec!Y16/SER_hh_num!Y16)</f>
        <v>20452.222554353015</v>
      </c>
      <c r="DA16" s="155" t="s">
        <v>397</v>
      </c>
    </row>
    <row r="17" spans="1:105" ht="12.95" customHeight="1" x14ac:dyDescent="0.25">
      <c r="A17" s="131" t="s">
        <v>73</v>
      </c>
      <c r="B17" s="132">
        <f>IF(SER_hh_fec!B17=0,0,11630*1000*SER_hh_fec!B17/SER_hh_num!B17)</f>
        <v>0</v>
      </c>
      <c r="C17" s="132">
        <f>IF(SER_hh_fec!C17=0,0,11630*1000*SER_hh_fec!C17/SER_hh_num!C17)</f>
        <v>0</v>
      </c>
      <c r="D17" s="132">
        <f>IF(SER_hh_fec!D17=0,0,11630*1000*SER_hh_fec!D17/SER_hh_num!D17)</f>
        <v>0</v>
      </c>
      <c r="E17" s="132">
        <f>IF(SER_hh_fec!E17=0,0,11630*1000*SER_hh_fec!E17/SER_hh_num!E17)</f>
        <v>0</v>
      </c>
      <c r="F17" s="132">
        <f>IF(SER_hh_fec!F17=0,0,11630*1000*SER_hh_fec!F17/SER_hh_num!F17)</f>
        <v>0</v>
      </c>
      <c r="G17" s="132">
        <f>IF(SER_hh_fec!G17=0,0,11630*1000*SER_hh_fec!G17/SER_hh_num!G17)</f>
        <v>0</v>
      </c>
      <c r="H17" s="132">
        <f>IF(SER_hh_fec!H17=0,0,11630*1000*SER_hh_fec!H17/SER_hh_num!H17)</f>
        <v>0</v>
      </c>
      <c r="I17" s="132">
        <f>IF(SER_hh_fec!I17=0,0,11630*1000*SER_hh_fec!I17/SER_hh_num!I17)</f>
        <v>0</v>
      </c>
      <c r="J17" s="132">
        <f>IF(SER_hh_fec!J17=0,0,11630*1000*SER_hh_fec!J17/SER_hh_num!J17)</f>
        <v>0</v>
      </c>
      <c r="K17" s="132">
        <f>IF(SER_hh_fec!K17=0,0,11630*1000*SER_hh_fec!K17/SER_hh_num!K17)</f>
        <v>0</v>
      </c>
      <c r="L17" s="132">
        <f>IF(SER_hh_fec!L17=0,0,11630*1000*SER_hh_fec!L17/SER_hh_num!L17)</f>
        <v>0</v>
      </c>
      <c r="M17" s="132">
        <f>IF(SER_hh_fec!M17=0,0,11630*1000*SER_hh_fec!M17/SER_hh_num!M17)</f>
        <v>0</v>
      </c>
      <c r="N17" s="132">
        <f>IF(SER_hh_fec!N17=0,0,11630*1000*SER_hh_fec!N17/SER_hh_num!N17)</f>
        <v>0</v>
      </c>
      <c r="O17" s="132">
        <f>IF(SER_hh_fec!O17=0,0,11630*1000*SER_hh_fec!O17/SER_hh_num!O17)</f>
        <v>0</v>
      </c>
      <c r="P17" s="132">
        <f>IF(SER_hh_fec!P17=0,0,11630*1000*SER_hh_fec!P17/SER_hh_num!P17)</f>
        <v>0</v>
      </c>
      <c r="Q17" s="132">
        <f>IF(SER_hh_fec!Q17=0,0,11630*1000*SER_hh_fec!Q17/SER_hh_num!Q17)</f>
        <v>0</v>
      </c>
      <c r="R17" s="132">
        <f>IF(SER_hh_fec!R17=0,0,11630*1000*SER_hh_fec!R17/SER_hh_num!R17)</f>
        <v>0</v>
      </c>
      <c r="S17" s="132">
        <f>IF(SER_hh_fec!S17=0,0,11630*1000*SER_hh_fec!S17/SER_hh_num!S17)</f>
        <v>0</v>
      </c>
      <c r="T17" s="132">
        <f>IF(SER_hh_fec!T17=0,0,11630*1000*SER_hh_fec!T17/SER_hh_num!T17)</f>
        <v>0</v>
      </c>
      <c r="U17" s="132">
        <f>IF(SER_hh_fec!U17=0,0,11630*1000*SER_hh_fec!U17/SER_hh_num!U17)</f>
        <v>0</v>
      </c>
      <c r="V17" s="132">
        <f>IF(SER_hh_fec!V17=0,0,11630*1000*SER_hh_fec!V17/SER_hh_num!V17)</f>
        <v>0</v>
      </c>
      <c r="W17" s="132">
        <f>IF(SER_hh_fec!W17=0,0,11630*1000*SER_hh_fec!W17/SER_hh_num!W17)</f>
        <v>0</v>
      </c>
      <c r="X17" s="132">
        <f>IF(SER_hh_fec!X17=0,0,11630*1000*SER_hh_fec!X17/SER_hh_num!X17)</f>
        <v>0</v>
      </c>
      <c r="Y17" s="132">
        <f>IF(SER_hh_fec!Y17=0,0,11630*1000*SER_hh_fec!Y17/SER_hh_num!Y17)</f>
        <v>0</v>
      </c>
      <c r="DA17" s="156" t="s">
        <v>398</v>
      </c>
    </row>
    <row r="18" spans="1:105" ht="12" customHeight="1" x14ac:dyDescent="0.25">
      <c r="A18" s="131" t="s">
        <v>72</v>
      </c>
      <c r="B18" s="132">
        <f>IF(SER_hh_fec!B18=0,0,11630*1000*SER_hh_fec!B18/SER_hh_num!B18)</f>
        <v>48134.577141667796</v>
      </c>
      <c r="C18" s="132">
        <f>IF(SER_hh_fec!C18=0,0,11630*1000*SER_hh_fec!C18/SER_hh_num!C18)</f>
        <v>39111.652001419512</v>
      </c>
      <c r="D18" s="132">
        <f>IF(SER_hh_fec!D18=0,0,11630*1000*SER_hh_fec!D18/SER_hh_num!D18)</f>
        <v>35260.305084779924</v>
      </c>
      <c r="E18" s="132">
        <f>IF(SER_hh_fec!E18=0,0,11630*1000*SER_hh_fec!E18/SER_hh_num!E18)</f>
        <v>36221.004417155062</v>
      </c>
      <c r="F18" s="132">
        <f>IF(SER_hh_fec!F18=0,0,11630*1000*SER_hh_fec!F18/SER_hh_num!F18)</f>
        <v>28532.596436195097</v>
      </c>
      <c r="G18" s="132">
        <f>IF(SER_hh_fec!G18=0,0,11630*1000*SER_hh_fec!G18/SER_hh_num!G18)</f>
        <v>24968.4130391828</v>
      </c>
      <c r="H18" s="132">
        <f>IF(SER_hh_fec!H18=0,0,11630*1000*SER_hh_fec!H18/SER_hh_num!H18)</f>
        <v>27648.487204126155</v>
      </c>
      <c r="I18" s="132">
        <f>IF(SER_hh_fec!I18=0,0,11630*1000*SER_hh_fec!I18/SER_hh_num!I18)</f>
        <v>29759.090586986884</v>
      </c>
      <c r="J18" s="132">
        <f>IF(SER_hh_fec!J18=0,0,11630*1000*SER_hh_fec!J18/SER_hh_num!J18)</f>
        <v>29029.729748956648</v>
      </c>
      <c r="K18" s="132">
        <f>IF(SER_hh_fec!K18=0,0,11630*1000*SER_hh_fec!K18/SER_hh_num!K18)</f>
        <v>27440.19663678727</v>
      </c>
      <c r="L18" s="132">
        <f>IF(SER_hh_fec!L18=0,0,11630*1000*SER_hh_fec!L18/SER_hh_num!L18)</f>
        <v>27972.289179659634</v>
      </c>
      <c r="M18" s="132">
        <f>IF(SER_hh_fec!M18=0,0,11630*1000*SER_hh_fec!M18/SER_hh_num!M18)</f>
        <v>23217.679546990828</v>
      </c>
      <c r="N18" s="132">
        <f>IF(SER_hh_fec!N18=0,0,11630*1000*SER_hh_fec!N18/SER_hh_num!N18)</f>
        <v>27295.007246343393</v>
      </c>
      <c r="O18" s="132">
        <f>IF(SER_hh_fec!O18=0,0,11630*1000*SER_hh_fec!O18/SER_hh_num!O18)</f>
        <v>22312.345042623772</v>
      </c>
      <c r="P18" s="132">
        <f>IF(SER_hh_fec!P18=0,0,11630*1000*SER_hh_fec!P18/SER_hh_num!P18)</f>
        <v>19428.754972218845</v>
      </c>
      <c r="Q18" s="132">
        <f>IF(SER_hh_fec!Q18=0,0,11630*1000*SER_hh_fec!Q18/SER_hh_num!Q18)</f>
        <v>20530.043970589057</v>
      </c>
      <c r="R18" s="132">
        <f>IF(SER_hh_fec!R18=0,0,11630*1000*SER_hh_fec!R18/SER_hh_num!R18)</f>
        <v>22736.820468931066</v>
      </c>
      <c r="S18" s="132">
        <f>IF(SER_hh_fec!S18=0,0,11630*1000*SER_hh_fec!S18/SER_hh_num!S18)</f>
        <v>20972.899203823847</v>
      </c>
      <c r="T18" s="132">
        <f>IF(SER_hh_fec!T18=0,0,11630*1000*SER_hh_fec!T18/SER_hh_num!T18)</f>
        <v>25855.220005561303</v>
      </c>
      <c r="U18" s="132">
        <f>IF(SER_hh_fec!U18=0,0,11630*1000*SER_hh_fec!U18/SER_hh_num!U18)</f>
        <v>21390.092406017127</v>
      </c>
      <c r="V18" s="132">
        <f>IF(SER_hh_fec!V18=0,0,11630*1000*SER_hh_fec!V18/SER_hh_num!V18)</f>
        <v>21848.46425912331</v>
      </c>
      <c r="W18" s="132">
        <f>IF(SER_hh_fec!W18=0,0,11630*1000*SER_hh_fec!W18/SER_hh_num!W18)</f>
        <v>19720.552652927148</v>
      </c>
      <c r="X18" s="132">
        <f>IF(SER_hh_fec!X18=0,0,11630*1000*SER_hh_fec!X18/SER_hh_num!X18)</f>
        <v>18499.298017459219</v>
      </c>
      <c r="Y18" s="132">
        <f>IF(SER_hh_fec!Y18=0,0,11630*1000*SER_hh_fec!Y18/SER_hh_num!Y18)</f>
        <v>20452.222554353015</v>
      </c>
      <c r="DA18" s="156" t="s">
        <v>399</v>
      </c>
    </row>
    <row r="19" spans="1:105" ht="12.95" customHeight="1" x14ac:dyDescent="0.25">
      <c r="A19" s="129" t="s">
        <v>35</v>
      </c>
      <c r="B19" s="130">
        <f>IF(SER_hh_fec!B19=0,0,11630*1000*SER_hh_fec!B19/SER_hh_num!B19)</f>
        <v>19116.832704759825</v>
      </c>
      <c r="C19" s="130">
        <f>IF(SER_hh_fec!C19=0,0,11630*1000*SER_hh_fec!C19/SER_hh_num!C19)</f>
        <v>18995.957227343977</v>
      </c>
      <c r="D19" s="130">
        <f>IF(SER_hh_fec!D19=0,0,11630*1000*SER_hh_fec!D19/SER_hh_num!D19)</f>
        <v>18896.863926490416</v>
      </c>
      <c r="E19" s="130">
        <f>IF(SER_hh_fec!E19=0,0,11630*1000*SER_hh_fec!E19/SER_hh_num!E19)</f>
        <v>18765.161227572113</v>
      </c>
      <c r="F19" s="130">
        <f>IF(SER_hh_fec!F19=0,0,11630*1000*SER_hh_fec!F19/SER_hh_num!F19)</f>
        <v>18443.854409953823</v>
      </c>
      <c r="G19" s="130">
        <f>IF(SER_hh_fec!G19=0,0,11630*1000*SER_hh_fec!G19/SER_hh_num!G19)</f>
        <v>18393.154523199639</v>
      </c>
      <c r="H19" s="130">
        <f>IF(SER_hh_fec!H19=0,0,11630*1000*SER_hh_fec!H19/SER_hh_num!H19)</f>
        <v>17208.952424948315</v>
      </c>
      <c r="I19" s="130">
        <f>IF(SER_hh_fec!I19=0,0,11630*1000*SER_hh_fec!I19/SER_hh_num!I19)</f>
        <v>16512.704530375719</v>
      </c>
      <c r="J19" s="130">
        <f>IF(SER_hh_fec!J19=0,0,11630*1000*SER_hh_fec!J19/SER_hh_num!J19)</f>
        <v>16590.670815384885</v>
      </c>
      <c r="K19" s="130">
        <f>IF(SER_hh_fec!K19=0,0,11630*1000*SER_hh_fec!K19/SER_hh_num!K19)</f>
        <v>16391.799930546073</v>
      </c>
      <c r="L19" s="130">
        <f>IF(SER_hh_fec!L19=0,0,11630*1000*SER_hh_fec!L19/SER_hh_num!L19)</f>
        <v>16084.9511504569</v>
      </c>
      <c r="M19" s="130">
        <f>IF(SER_hh_fec!M19=0,0,11630*1000*SER_hh_fec!M19/SER_hh_num!M19)</f>
        <v>16009.433705139934</v>
      </c>
      <c r="N19" s="130">
        <f>IF(SER_hh_fec!N19=0,0,11630*1000*SER_hh_fec!N19/SER_hh_num!N19)</f>
        <v>15782.066350128882</v>
      </c>
      <c r="O19" s="130">
        <f>IF(SER_hh_fec!O19=0,0,11630*1000*SER_hh_fec!O19/SER_hh_num!O19)</f>
        <v>15633.830738395833</v>
      </c>
      <c r="P19" s="130">
        <f>IF(SER_hh_fec!P19=0,0,11630*1000*SER_hh_fec!P19/SER_hh_num!P19)</f>
        <v>15462.119494480727</v>
      </c>
      <c r="Q19" s="130">
        <f>IF(SER_hh_fec!Q19=0,0,11630*1000*SER_hh_fec!Q19/SER_hh_num!Q19)</f>
        <v>15458.35568116313</v>
      </c>
      <c r="R19" s="130">
        <f>IF(SER_hh_fec!R19=0,0,11630*1000*SER_hh_fec!R19/SER_hh_num!R19)</f>
        <v>15494.082121931053</v>
      </c>
      <c r="S19" s="130">
        <f>IF(SER_hh_fec!S19=0,0,11630*1000*SER_hh_fec!S19/SER_hh_num!S19)</f>
        <v>15109.099077672594</v>
      </c>
      <c r="T19" s="130">
        <f>IF(SER_hh_fec!T19=0,0,11630*1000*SER_hh_fec!T19/SER_hh_num!T19)</f>
        <v>14881.747596728503</v>
      </c>
      <c r="U19" s="130">
        <f>IF(SER_hh_fec!U19=0,0,11630*1000*SER_hh_fec!U19/SER_hh_num!U19)</f>
        <v>14406.191351615964</v>
      </c>
      <c r="V19" s="130">
        <f>IF(SER_hh_fec!V19=0,0,11630*1000*SER_hh_fec!V19/SER_hh_num!V19)</f>
        <v>13299.321993124859</v>
      </c>
      <c r="W19" s="130">
        <f>IF(SER_hh_fec!W19=0,0,11630*1000*SER_hh_fec!W19/SER_hh_num!W19)</f>
        <v>13188.216223557611</v>
      </c>
      <c r="X19" s="130">
        <f>IF(SER_hh_fec!X19=0,0,11630*1000*SER_hh_fec!X19/SER_hh_num!X19)</f>
        <v>14130.670876330485</v>
      </c>
      <c r="Y19" s="130">
        <f>IF(SER_hh_fec!Y19=0,0,11630*1000*SER_hh_fec!Y19/SER_hh_num!Y19)</f>
        <v>14925.781934375158</v>
      </c>
      <c r="DA19" s="155" t="s">
        <v>400</v>
      </c>
    </row>
    <row r="20" spans="1:105" ht="12" customHeight="1" x14ac:dyDescent="0.25">
      <c r="A20" s="131" t="s">
        <v>29</v>
      </c>
      <c r="B20" s="132">
        <f>IF(SER_hh_fec!B20=0,0,11630*1000*SER_hh_fec!B20/SER_hh_num!B20)</f>
        <v>0</v>
      </c>
      <c r="C20" s="132">
        <f>IF(SER_hh_fec!C20=0,0,11630*1000*SER_hh_fec!C20/SER_hh_num!C20)</f>
        <v>0</v>
      </c>
      <c r="D20" s="132">
        <f>IF(SER_hh_fec!D20=0,0,11630*1000*SER_hh_fec!D20/SER_hh_num!D20)</f>
        <v>0</v>
      </c>
      <c r="E20" s="132">
        <f>IF(SER_hh_fec!E20=0,0,11630*1000*SER_hh_fec!E20/SER_hh_num!E20)</f>
        <v>0</v>
      </c>
      <c r="F20" s="132">
        <f>IF(SER_hh_fec!F20=0,0,11630*1000*SER_hh_fec!F20/SER_hh_num!F20)</f>
        <v>0</v>
      </c>
      <c r="G20" s="132">
        <f>IF(SER_hh_fec!G20=0,0,11630*1000*SER_hh_fec!G20/SER_hh_num!G20)</f>
        <v>0</v>
      </c>
      <c r="H20" s="132">
        <f>IF(SER_hh_fec!H20=0,0,11630*1000*SER_hh_fec!H20/SER_hh_num!H20)</f>
        <v>0</v>
      </c>
      <c r="I20" s="132">
        <f>IF(SER_hh_fec!I20=0,0,11630*1000*SER_hh_fec!I20/SER_hh_num!I20)</f>
        <v>0</v>
      </c>
      <c r="J20" s="132">
        <f>IF(SER_hh_fec!J20=0,0,11630*1000*SER_hh_fec!J20/SER_hh_num!J20)</f>
        <v>0</v>
      </c>
      <c r="K20" s="132">
        <f>IF(SER_hh_fec!K20=0,0,11630*1000*SER_hh_fec!K20/SER_hh_num!K20)</f>
        <v>0</v>
      </c>
      <c r="L20" s="132">
        <f>IF(SER_hh_fec!L20=0,0,11630*1000*SER_hh_fec!L20/SER_hh_num!L20)</f>
        <v>0</v>
      </c>
      <c r="M20" s="132">
        <f>IF(SER_hh_fec!M20=0,0,11630*1000*SER_hh_fec!M20/SER_hh_num!M20)</f>
        <v>0</v>
      </c>
      <c r="N20" s="132">
        <f>IF(SER_hh_fec!N20=0,0,11630*1000*SER_hh_fec!N20/SER_hh_num!N20)</f>
        <v>0</v>
      </c>
      <c r="O20" s="132">
        <f>IF(SER_hh_fec!O20=0,0,11630*1000*SER_hh_fec!O20/SER_hh_num!O20)</f>
        <v>0</v>
      </c>
      <c r="P20" s="132">
        <f>IF(SER_hh_fec!P20=0,0,11630*1000*SER_hh_fec!P20/SER_hh_num!P20)</f>
        <v>0</v>
      </c>
      <c r="Q20" s="132">
        <f>IF(SER_hh_fec!Q20=0,0,11630*1000*SER_hh_fec!Q20/SER_hh_num!Q20)</f>
        <v>0</v>
      </c>
      <c r="R20" s="132">
        <f>IF(SER_hh_fec!R20=0,0,11630*1000*SER_hh_fec!R20/SER_hh_num!R20)</f>
        <v>0</v>
      </c>
      <c r="S20" s="132">
        <f>IF(SER_hh_fec!S20=0,0,11630*1000*SER_hh_fec!S20/SER_hh_num!S20)</f>
        <v>0</v>
      </c>
      <c r="T20" s="132">
        <f>IF(SER_hh_fec!T20=0,0,11630*1000*SER_hh_fec!T20/SER_hh_num!T20)</f>
        <v>0</v>
      </c>
      <c r="U20" s="132">
        <f>IF(SER_hh_fec!U20=0,0,11630*1000*SER_hh_fec!U20/SER_hh_num!U20)</f>
        <v>0</v>
      </c>
      <c r="V20" s="132">
        <f>IF(SER_hh_fec!V20=0,0,11630*1000*SER_hh_fec!V20/SER_hh_num!V20)</f>
        <v>0</v>
      </c>
      <c r="W20" s="132">
        <f>IF(SER_hh_fec!W20=0,0,11630*1000*SER_hh_fec!W20/SER_hh_num!W20)</f>
        <v>0</v>
      </c>
      <c r="X20" s="132">
        <f>IF(SER_hh_fec!X20=0,0,11630*1000*SER_hh_fec!X20/SER_hh_num!X20)</f>
        <v>0</v>
      </c>
      <c r="Y20" s="132">
        <f>IF(SER_hh_fec!Y20=0,0,11630*1000*SER_hh_fec!Y20/SER_hh_num!Y20)</f>
        <v>0</v>
      </c>
      <c r="DA20" s="156" t="s">
        <v>401</v>
      </c>
    </row>
    <row r="21" spans="1:105" s="2" customFormat="1" ht="12" customHeight="1" x14ac:dyDescent="0.25">
      <c r="A21" s="131" t="s">
        <v>52</v>
      </c>
      <c r="B21" s="132">
        <f>IF(SER_hh_fec!B21=0,0,11630*1000*SER_hh_fec!B21/SER_hh_num!B21)</f>
        <v>0</v>
      </c>
      <c r="C21" s="132">
        <f>IF(SER_hh_fec!C21=0,0,11630*1000*SER_hh_fec!C21/SER_hh_num!C21)</f>
        <v>0</v>
      </c>
      <c r="D21" s="132">
        <f>IF(SER_hh_fec!D21=0,0,11630*1000*SER_hh_fec!D21/SER_hh_num!D21)</f>
        <v>0</v>
      </c>
      <c r="E21" s="132">
        <f>IF(SER_hh_fec!E21=0,0,11630*1000*SER_hh_fec!E21/SER_hh_num!E21)</f>
        <v>0</v>
      </c>
      <c r="F21" s="132">
        <f>IF(SER_hh_fec!F21=0,0,11630*1000*SER_hh_fec!F21/SER_hh_num!F21)</f>
        <v>0</v>
      </c>
      <c r="G21" s="132">
        <f>IF(SER_hh_fec!G21=0,0,11630*1000*SER_hh_fec!G21/SER_hh_num!G21)</f>
        <v>0</v>
      </c>
      <c r="H21" s="132">
        <f>IF(SER_hh_fec!H21=0,0,11630*1000*SER_hh_fec!H21/SER_hh_num!H21)</f>
        <v>22679.655345569783</v>
      </c>
      <c r="I21" s="132">
        <f>IF(SER_hh_fec!I21=0,0,11630*1000*SER_hh_fec!I21/SER_hh_num!I21)</f>
        <v>17426.876168205363</v>
      </c>
      <c r="J21" s="132">
        <f>IF(SER_hh_fec!J21=0,0,11630*1000*SER_hh_fec!J21/SER_hh_num!J21)</f>
        <v>15619.293628392626</v>
      </c>
      <c r="K21" s="132">
        <f>IF(SER_hh_fec!K21=0,0,11630*1000*SER_hh_fec!K21/SER_hh_num!K21)</f>
        <v>15450.630394334048</v>
      </c>
      <c r="L21" s="132">
        <f>IF(SER_hh_fec!L21=0,0,11630*1000*SER_hh_fec!L21/SER_hh_num!L21)</f>
        <v>15825.756252499377</v>
      </c>
      <c r="M21" s="132">
        <f>IF(SER_hh_fec!M21=0,0,11630*1000*SER_hh_fec!M21/SER_hh_num!M21)</f>
        <v>15507.501617350063</v>
      </c>
      <c r="N21" s="132">
        <f>IF(SER_hh_fec!N21=0,0,11630*1000*SER_hh_fec!N21/SER_hh_num!N21)</f>
        <v>15491.806842497519</v>
      </c>
      <c r="O21" s="132">
        <f>IF(SER_hh_fec!O21=0,0,11630*1000*SER_hh_fec!O21/SER_hh_num!O21)</f>
        <v>15668.065016288727</v>
      </c>
      <c r="P21" s="132">
        <f>IF(SER_hh_fec!P21=0,0,11630*1000*SER_hh_fec!P21/SER_hh_num!P21)</f>
        <v>14942.074847210537</v>
      </c>
      <c r="Q21" s="132">
        <f>IF(SER_hh_fec!Q21=0,0,11630*1000*SER_hh_fec!Q21/SER_hh_num!Q21)</f>
        <v>15003.62637543342</v>
      </c>
      <c r="R21" s="132">
        <f>IF(SER_hh_fec!R21=0,0,11630*1000*SER_hh_fec!R21/SER_hh_num!R21)</f>
        <v>15259.987987371131</v>
      </c>
      <c r="S21" s="132">
        <f>IF(SER_hh_fec!S21=0,0,11630*1000*SER_hh_fec!S21/SER_hh_num!S21)</f>
        <v>15297.250699542354</v>
      </c>
      <c r="T21" s="132">
        <f>IF(SER_hh_fec!T21=0,0,11630*1000*SER_hh_fec!T21/SER_hh_num!T21)</f>
        <v>14707.76859572871</v>
      </c>
      <c r="U21" s="132">
        <f>IF(SER_hh_fec!U21=0,0,11630*1000*SER_hh_fec!U21/SER_hh_num!U21)</f>
        <v>14753.781334923877</v>
      </c>
      <c r="V21" s="132">
        <f>IF(SER_hh_fec!V21=0,0,11630*1000*SER_hh_fec!V21/SER_hh_num!V21)</f>
        <v>12762.338704531545</v>
      </c>
      <c r="W21" s="132">
        <f>IF(SER_hh_fec!W21=0,0,11630*1000*SER_hh_fec!W21/SER_hh_num!W21)</f>
        <v>12053.314350083734</v>
      </c>
      <c r="X21" s="132">
        <f>IF(SER_hh_fec!X21=0,0,11630*1000*SER_hh_fec!X21/SER_hh_num!X21)</f>
        <v>13180.02363399818</v>
      </c>
      <c r="Y21" s="132">
        <f>IF(SER_hh_fec!Y21=0,0,11630*1000*SER_hh_fec!Y21/SER_hh_num!Y21)</f>
        <v>13466.854150001422</v>
      </c>
      <c r="DA21" s="156" t="s">
        <v>402</v>
      </c>
    </row>
    <row r="22" spans="1:105" ht="12" customHeight="1" x14ac:dyDescent="0.25">
      <c r="A22" s="131" t="s">
        <v>161</v>
      </c>
      <c r="B22" s="132">
        <f>IF(SER_hh_fec!B22=0,0,11630*1000*SER_hh_fec!B22/SER_hh_num!B22)</f>
        <v>26180.147074851735</v>
      </c>
      <c r="C22" s="132">
        <f>IF(SER_hh_fec!C22=0,0,11630*1000*SER_hh_fec!C22/SER_hh_num!C22)</f>
        <v>26112.35508922485</v>
      </c>
      <c r="D22" s="132">
        <f>IF(SER_hh_fec!D22=0,0,11630*1000*SER_hh_fec!D22/SER_hh_num!D22)</f>
        <v>25988.569790645583</v>
      </c>
      <c r="E22" s="132">
        <f>IF(SER_hh_fec!E22=0,0,11630*1000*SER_hh_fec!E22/SER_hh_num!E22)</f>
        <v>25630.054709139269</v>
      </c>
      <c r="F22" s="132">
        <f>IF(SER_hh_fec!F22=0,0,11630*1000*SER_hh_fec!F22/SER_hh_num!F22)</f>
        <v>25480.473366508555</v>
      </c>
      <c r="G22" s="132">
        <f>IF(SER_hh_fec!G22=0,0,11630*1000*SER_hh_fec!G22/SER_hh_num!G22)</f>
        <v>25179.862776570244</v>
      </c>
      <c r="H22" s="132">
        <f>IF(SER_hh_fec!H22=0,0,11630*1000*SER_hh_fec!H22/SER_hh_num!H22)</f>
        <v>24357.416413744504</v>
      </c>
      <c r="I22" s="132">
        <f>IF(SER_hh_fec!I22=0,0,11630*1000*SER_hh_fec!I22/SER_hh_num!I22)</f>
        <v>23551.673651942318</v>
      </c>
      <c r="J22" s="132">
        <f>IF(SER_hh_fec!J22=0,0,11630*1000*SER_hh_fec!J22/SER_hh_num!J22)</f>
        <v>23002.602825777449</v>
      </c>
      <c r="K22" s="132">
        <f>IF(SER_hh_fec!K22=0,0,11630*1000*SER_hh_fec!K22/SER_hh_num!K22)</f>
        <v>22667.928614343826</v>
      </c>
      <c r="L22" s="132">
        <f>IF(SER_hh_fec!L22=0,0,11630*1000*SER_hh_fec!L22/SER_hh_num!L22)</f>
        <v>22223.494554146608</v>
      </c>
      <c r="M22" s="132">
        <f>IF(SER_hh_fec!M22=0,0,11630*1000*SER_hh_fec!M22/SER_hh_num!M22)</f>
        <v>21952.146384069685</v>
      </c>
      <c r="N22" s="132">
        <f>IF(SER_hh_fec!N22=0,0,11630*1000*SER_hh_fec!N22/SER_hh_num!N22)</f>
        <v>21707.838912077212</v>
      </c>
      <c r="O22" s="132">
        <f>IF(SER_hh_fec!O22=0,0,11630*1000*SER_hh_fec!O22/SER_hh_num!O22)</f>
        <v>21029.194432963886</v>
      </c>
      <c r="P22" s="132">
        <f>IF(SER_hh_fec!P22=0,0,11630*1000*SER_hh_fec!P22/SER_hh_num!P22)</f>
        <v>20848.734429614033</v>
      </c>
      <c r="Q22" s="132">
        <f>IF(SER_hh_fec!Q22=0,0,11630*1000*SER_hh_fec!Q22/SER_hh_num!Q22)</f>
        <v>20529.899610898363</v>
      </c>
      <c r="R22" s="132">
        <f>IF(SER_hh_fec!R22=0,0,11630*1000*SER_hh_fec!R22/SER_hh_num!R22)</f>
        <v>20245.296665070735</v>
      </c>
      <c r="S22" s="132">
        <f>IF(SER_hh_fec!S22=0,0,11630*1000*SER_hh_fec!S22/SER_hh_num!S22)</f>
        <v>19373.128709930115</v>
      </c>
      <c r="T22" s="132">
        <f>IF(SER_hh_fec!T22=0,0,11630*1000*SER_hh_fec!T22/SER_hh_num!T22)</f>
        <v>18801.588384799212</v>
      </c>
      <c r="U22" s="132">
        <f>IF(SER_hh_fec!U22=0,0,11630*1000*SER_hh_fec!U22/SER_hh_num!U22)</f>
        <v>17954.302826832656</v>
      </c>
      <c r="V22" s="132">
        <f>IF(SER_hh_fec!V22=0,0,11630*1000*SER_hh_fec!V22/SER_hh_num!V22)</f>
        <v>16228.059276912176</v>
      </c>
      <c r="W22" s="132">
        <f>IF(SER_hh_fec!W22=0,0,11630*1000*SER_hh_fec!W22/SER_hh_num!W22)</f>
        <v>17361.46679701679</v>
      </c>
      <c r="X22" s="132">
        <f>IF(SER_hh_fec!X22=0,0,11630*1000*SER_hh_fec!X22/SER_hh_num!X22)</f>
        <v>19036.787609642914</v>
      </c>
      <c r="Y22" s="132">
        <f>IF(SER_hh_fec!Y22=0,0,11630*1000*SER_hh_fec!Y22/SER_hh_num!Y22)</f>
        <v>19208.711004160319</v>
      </c>
      <c r="DA22" s="156" t="s">
        <v>403</v>
      </c>
    </row>
    <row r="23" spans="1:105" ht="12" customHeight="1" x14ac:dyDescent="0.25">
      <c r="A23" s="131" t="s">
        <v>149</v>
      </c>
      <c r="B23" s="132">
        <f>IF(SER_hh_fec!B23=0,0,11630*1000*SER_hh_fec!B23/SER_hh_num!B23)</f>
        <v>0</v>
      </c>
      <c r="C23" s="132">
        <f>IF(SER_hh_fec!C23=0,0,11630*1000*SER_hh_fec!C23/SER_hh_num!C23)</f>
        <v>0</v>
      </c>
      <c r="D23" s="132">
        <f>IF(SER_hh_fec!D23=0,0,11630*1000*SER_hh_fec!D23/SER_hh_num!D23)</f>
        <v>0</v>
      </c>
      <c r="E23" s="132">
        <f>IF(SER_hh_fec!E23=0,0,11630*1000*SER_hh_fec!E23/SER_hh_num!E23)</f>
        <v>0</v>
      </c>
      <c r="F23" s="132">
        <f>IF(SER_hh_fec!F23=0,0,11630*1000*SER_hh_fec!F23/SER_hh_num!F23)</f>
        <v>0</v>
      </c>
      <c r="G23" s="132">
        <f>IF(SER_hh_fec!G23=0,0,11630*1000*SER_hh_fec!G23/SER_hh_num!G23)</f>
        <v>0</v>
      </c>
      <c r="H23" s="132">
        <f>IF(SER_hh_fec!H23=0,0,11630*1000*SER_hh_fec!H23/SER_hh_num!H23)</f>
        <v>0</v>
      </c>
      <c r="I23" s="132">
        <f>IF(SER_hh_fec!I23=0,0,11630*1000*SER_hh_fec!I23/SER_hh_num!I23)</f>
        <v>0</v>
      </c>
      <c r="J23" s="132">
        <f>IF(SER_hh_fec!J23=0,0,11630*1000*SER_hh_fec!J23/SER_hh_num!J23)</f>
        <v>0</v>
      </c>
      <c r="K23" s="132">
        <f>IF(SER_hh_fec!K23=0,0,11630*1000*SER_hh_fec!K23/SER_hh_num!K23)</f>
        <v>0</v>
      </c>
      <c r="L23" s="132">
        <f>IF(SER_hh_fec!L23=0,0,11630*1000*SER_hh_fec!L23/SER_hh_num!L23)</f>
        <v>0</v>
      </c>
      <c r="M23" s="132">
        <f>IF(SER_hh_fec!M23=0,0,11630*1000*SER_hh_fec!M23/SER_hh_num!M23)</f>
        <v>0</v>
      </c>
      <c r="N23" s="132">
        <f>IF(SER_hh_fec!N23=0,0,11630*1000*SER_hh_fec!N23/SER_hh_num!N23)</f>
        <v>0</v>
      </c>
      <c r="O23" s="132">
        <f>IF(SER_hh_fec!O23=0,0,11630*1000*SER_hh_fec!O23/SER_hh_num!O23)</f>
        <v>0</v>
      </c>
      <c r="P23" s="132">
        <f>IF(SER_hh_fec!P23=0,0,11630*1000*SER_hh_fec!P23/SER_hh_num!P23)</f>
        <v>0</v>
      </c>
      <c r="Q23" s="132">
        <f>IF(SER_hh_fec!Q23=0,0,11630*1000*SER_hh_fec!Q23/SER_hh_num!Q23)</f>
        <v>0</v>
      </c>
      <c r="R23" s="132">
        <f>IF(SER_hh_fec!R23=0,0,11630*1000*SER_hh_fec!R23/SER_hh_num!R23)</f>
        <v>0</v>
      </c>
      <c r="S23" s="132">
        <f>IF(SER_hh_fec!S23=0,0,11630*1000*SER_hh_fec!S23/SER_hh_num!S23)</f>
        <v>0</v>
      </c>
      <c r="T23" s="132">
        <f>IF(SER_hh_fec!T23=0,0,11630*1000*SER_hh_fec!T23/SER_hh_num!T23)</f>
        <v>0</v>
      </c>
      <c r="U23" s="132">
        <f>IF(SER_hh_fec!U23=0,0,11630*1000*SER_hh_fec!U23/SER_hh_num!U23)</f>
        <v>0</v>
      </c>
      <c r="V23" s="132">
        <f>IF(SER_hh_fec!V23=0,0,11630*1000*SER_hh_fec!V23/SER_hh_num!V23)</f>
        <v>0</v>
      </c>
      <c r="W23" s="132">
        <f>IF(SER_hh_fec!W23=0,0,11630*1000*SER_hh_fec!W23/SER_hh_num!W23)</f>
        <v>0</v>
      </c>
      <c r="X23" s="132">
        <f>IF(SER_hh_fec!X23=0,0,11630*1000*SER_hh_fec!X23/SER_hh_num!X23)</f>
        <v>0</v>
      </c>
      <c r="Y23" s="132">
        <f>IF(SER_hh_fec!Y23=0,0,11630*1000*SER_hh_fec!Y23/SER_hh_num!Y23)</f>
        <v>0</v>
      </c>
      <c r="DA23" s="156" t="s">
        <v>404</v>
      </c>
    </row>
    <row r="24" spans="1:105" ht="12" customHeight="1" x14ac:dyDescent="0.25">
      <c r="A24" s="131" t="s">
        <v>128</v>
      </c>
      <c r="B24" s="132">
        <f>IF(SER_hh_fec!B24=0,0,11630*1000*SER_hh_fec!B24/SER_hh_num!B24)</f>
        <v>0</v>
      </c>
      <c r="C24" s="132">
        <f>IF(SER_hh_fec!C24=0,0,11630*1000*SER_hh_fec!C24/SER_hh_num!C24)</f>
        <v>0</v>
      </c>
      <c r="D24" s="132">
        <f>IF(SER_hh_fec!D24=0,0,11630*1000*SER_hh_fec!D24/SER_hh_num!D24)</f>
        <v>0</v>
      </c>
      <c r="E24" s="132">
        <f>IF(SER_hh_fec!E24=0,0,11630*1000*SER_hh_fec!E24/SER_hh_num!E24)</f>
        <v>0</v>
      </c>
      <c r="F24" s="132">
        <f>IF(SER_hh_fec!F24=0,0,11630*1000*SER_hh_fec!F24/SER_hh_num!F24)</f>
        <v>0</v>
      </c>
      <c r="G24" s="132">
        <f>IF(SER_hh_fec!G24=0,0,11630*1000*SER_hh_fec!G24/SER_hh_num!G24)</f>
        <v>0</v>
      </c>
      <c r="H24" s="132">
        <f>IF(SER_hh_fec!H24=0,0,11630*1000*SER_hh_fec!H24/SER_hh_num!H24)</f>
        <v>0</v>
      </c>
      <c r="I24" s="132">
        <f>IF(SER_hh_fec!I24=0,0,11630*1000*SER_hh_fec!I24/SER_hh_num!I24)</f>
        <v>0</v>
      </c>
      <c r="J24" s="132">
        <f>IF(SER_hh_fec!J24=0,0,11630*1000*SER_hh_fec!J24/SER_hh_num!J24)</f>
        <v>0</v>
      </c>
      <c r="K24" s="132">
        <f>IF(SER_hh_fec!K24=0,0,11630*1000*SER_hh_fec!K24/SER_hh_num!K24)</f>
        <v>0</v>
      </c>
      <c r="L24" s="132">
        <f>IF(SER_hh_fec!L24=0,0,11630*1000*SER_hh_fec!L24/SER_hh_num!L24)</f>
        <v>0</v>
      </c>
      <c r="M24" s="132">
        <f>IF(SER_hh_fec!M24=0,0,11630*1000*SER_hh_fec!M24/SER_hh_num!M24)</f>
        <v>0</v>
      </c>
      <c r="N24" s="132">
        <f>IF(SER_hh_fec!N24=0,0,11630*1000*SER_hh_fec!N24/SER_hh_num!N24)</f>
        <v>0</v>
      </c>
      <c r="O24" s="132">
        <f>IF(SER_hh_fec!O24=0,0,11630*1000*SER_hh_fec!O24/SER_hh_num!O24)</f>
        <v>0</v>
      </c>
      <c r="P24" s="132">
        <f>IF(SER_hh_fec!P24=0,0,11630*1000*SER_hh_fec!P24/SER_hh_num!P24)</f>
        <v>0</v>
      </c>
      <c r="Q24" s="132">
        <f>IF(SER_hh_fec!Q24=0,0,11630*1000*SER_hh_fec!Q24/SER_hh_num!Q24)</f>
        <v>0</v>
      </c>
      <c r="R24" s="132">
        <f>IF(SER_hh_fec!R24=0,0,11630*1000*SER_hh_fec!R24/SER_hh_num!R24)</f>
        <v>0</v>
      </c>
      <c r="S24" s="132">
        <f>IF(SER_hh_fec!S24=0,0,11630*1000*SER_hh_fec!S24/SER_hh_num!S24)</f>
        <v>0</v>
      </c>
      <c r="T24" s="132">
        <f>IF(SER_hh_fec!T24=0,0,11630*1000*SER_hh_fec!T24/SER_hh_num!T24)</f>
        <v>0</v>
      </c>
      <c r="U24" s="132">
        <f>IF(SER_hh_fec!U24=0,0,11630*1000*SER_hh_fec!U24/SER_hh_num!U24)</f>
        <v>0</v>
      </c>
      <c r="V24" s="132">
        <f>IF(SER_hh_fec!V24=0,0,11630*1000*SER_hh_fec!V24/SER_hh_num!V24)</f>
        <v>0</v>
      </c>
      <c r="W24" s="132">
        <f>IF(SER_hh_fec!W24=0,0,11630*1000*SER_hh_fec!W24/SER_hh_num!W24)</f>
        <v>0</v>
      </c>
      <c r="X24" s="132">
        <f>IF(SER_hh_fec!X24=0,0,11630*1000*SER_hh_fec!X24/SER_hh_num!X24)</f>
        <v>0</v>
      </c>
      <c r="Y24" s="132">
        <f>IF(SER_hh_fec!Y24=0,0,11630*1000*SER_hh_fec!Y24/SER_hh_num!Y24)</f>
        <v>0</v>
      </c>
      <c r="DA24" s="156" t="s">
        <v>405</v>
      </c>
    </row>
    <row r="25" spans="1:105" ht="12" customHeight="1" x14ac:dyDescent="0.25">
      <c r="A25" s="131" t="s">
        <v>162</v>
      </c>
      <c r="B25" s="132">
        <f>IF(SER_hh_fec!B25=0,0,11630*1000*SER_hh_fec!B25/SER_hh_num!B25)</f>
        <v>0</v>
      </c>
      <c r="C25" s="132">
        <f>IF(SER_hh_fec!C25=0,0,11630*1000*SER_hh_fec!C25/SER_hh_num!C25)</f>
        <v>0</v>
      </c>
      <c r="D25" s="132">
        <f>IF(SER_hh_fec!D25=0,0,11630*1000*SER_hh_fec!D25/SER_hh_num!D25)</f>
        <v>0</v>
      </c>
      <c r="E25" s="132">
        <f>IF(SER_hh_fec!E25=0,0,11630*1000*SER_hh_fec!E25/SER_hh_num!E25)</f>
        <v>0</v>
      </c>
      <c r="F25" s="132">
        <f>IF(SER_hh_fec!F25=0,0,11630*1000*SER_hh_fec!F25/SER_hh_num!F25)</f>
        <v>0</v>
      </c>
      <c r="G25" s="132">
        <f>IF(SER_hh_fec!G25=0,0,11630*1000*SER_hh_fec!G25/SER_hh_num!G25)</f>
        <v>0</v>
      </c>
      <c r="H25" s="132">
        <f>IF(SER_hh_fec!H25=0,0,11630*1000*SER_hh_fec!H25/SER_hh_num!H25)</f>
        <v>0</v>
      </c>
      <c r="I25" s="132">
        <f>IF(SER_hh_fec!I25=0,0,11630*1000*SER_hh_fec!I25/SER_hh_num!I25)</f>
        <v>0</v>
      </c>
      <c r="J25" s="132">
        <f>IF(SER_hh_fec!J25=0,0,11630*1000*SER_hh_fec!J25/SER_hh_num!J25)</f>
        <v>0</v>
      </c>
      <c r="K25" s="132">
        <f>IF(SER_hh_fec!K25=0,0,11630*1000*SER_hh_fec!K25/SER_hh_num!K25)</f>
        <v>0</v>
      </c>
      <c r="L25" s="132">
        <f>IF(SER_hh_fec!L25=0,0,11630*1000*SER_hh_fec!L25/SER_hh_num!L25)</f>
        <v>0</v>
      </c>
      <c r="M25" s="132">
        <f>IF(SER_hh_fec!M25=0,0,11630*1000*SER_hh_fec!M25/SER_hh_num!M25)</f>
        <v>0</v>
      </c>
      <c r="N25" s="132">
        <f>IF(SER_hh_fec!N25=0,0,11630*1000*SER_hh_fec!N25/SER_hh_num!N25)</f>
        <v>0</v>
      </c>
      <c r="O25" s="132">
        <f>IF(SER_hh_fec!O25=0,0,11630*1000*SER_hh_fec!O25/SER_hh_num!O25)</f>
        <v>0</v>
      </c>
      <c r="P25" s="132">
        <f>IF(SER_hh_fec!P25=0,0,11630*1000*SER_hh_fec!P25/SER_hh_num!P25)</f>
        <v>0</v>
      </c>
      <c r="Q25" s="132">
        <f>IF(SER_hh_fec!Q25=0,0,11630*1000*SER_hh_fec!Q25/SER_hh_num!Q25)</f>
        <v>0</v>
      </c>
      <c r="R25" s="132">
        <f>IF(SER_hh_fec!R25=0,0,11630*1000*SER_hh_fec!R25/SER_hh_num!R25)</f>
        <v>0</v>
      </c>
      <c r="S25" s="132">
        <f>IF(SER_hh_fec!S25=0,0,11630*1000*SER_hh_fec!S25/SER_hh_num!S25)</f>
        <v>0</v>
      </c>
      <c r="T25" s="132">
        <f>IF(SER_hh_fec!T25=0,0,11630*1000*SER_hh_fec!T25/SER_hh_num!T25)</f>
        <v>0</v>
      </c>
      <c r="U25" s="132">
        <f>IF(SER_hh_fec!U25=0,0,11630*1000*SER_hh_fec!U25/SER_hh_num!U25)</f>
        <v>0</v>
      </c>
      <c r="V25" s="132">
        <f>IF(SER_hh_fec!V25=0,0,11630*1000*SER_hh_fec!V25/SER_hh_num!V25)</f>
        <v>0</v>
      </c>
      <c r="W25" s="132">
        <f>IF(SER_hh_fec!W25=0,0,11630*1000*SER_hh_fec!W25/SER_hh_num!W25)</f>
        <v>0</v>
      </c>
      <c r="X25" s="132">
        <f>IF(SER_hh_fec!X25=0,0,11630*1000*SER_hh_fec!X25/SER_hh_num!X25)</f>
        <v>0</v>
      </c>
      <c r="Y25" s="132">
        <f>IF(SER_hh_fec!Y25=0,0,11630*1000*SER_hh_fec!Y25/SER_hh_num!Y25)</f>
        <v>0</v>
      </c>
      <c r="DA25" s="156" t="s">
        <v>406</v>
      </c>
    </row>
    <row r="26" spans="1:105" ht="12" customHeight="1" x14ac:dyDescent="0.25">
      <c r="A26" s="131" t="s">
        <v>24</v>
      </c>
      <c r="B26" s="65">
        <f>IF(SER_hh_fec!B26=0,0,11630*1000*SER_hh_fec!B26/SER_hh_num!B26)</f>
        <v>15010.212795624857</v>
      </c>
      <c r="C26" s="65">
        <f>IF(SER_hh_fec!C26=0,0,11630*1000*SER_hh_fec!C26/SER_hh_num!C26)</f>
        <v>15082.55638819997</v>
      </c>
      <c r="D26" s="65">
        <f>IF(SER_hh_fec!D26=0,0,11630*1000*SER_hh_fec!D26/SER_hh_num!D26)</f>
        <v>14955.769514220625</v>
      </c>
      <c r="E26" s="65">
        <f>IF(SER_hh_fec!E26=0,0,11630*1000*SER_hh_fec!E26/SER_hh_num!E26)</f>
        <v>14800.132698182977</v>
      </c>
      <c r="F26" s="65">
        <f>IF(SER_hh_fec!F26=0,0,11630*1000*SER_hh_fec!F26/SER_hh_num!F26)</f>
        <v>14208.021304373158</v>
      </c>
      <c r="G26" s="65">
        <f>IF(SER_hh_fec!G26=0,0,11630*1000*SER_hh_fec!G26/SER_hh_num!G26)</f>
        <v>14089.242886626298</v>
      </c>
      <c r="H26" s="65">
        <f>IF(SER_hh_fec!H26=0,0,11630*1000*SER_hh_fec!H26/SER_hh_num!H26)</f>
        <v>9398.7642278595777</v>
      </c>
      <c r="I26" s="65">
        <f>IF(SER_hh_fec!I26=0,0,11630*1000*SER_hh_fec!I26/SER_hh_num!I26)</f>
        <v>8235.8713822734371</v>
      </c>
      <c r="J26" s="65">
        <f>IF(SER_hh_fec!J26=0,0,11630*1000*SER_hh_fec!J26/SER_hh_num!J26)</f>
        <v>8567.4791609729182</v>
      </c>
      <c r="K26" s="65">
        <f>IF(SER_hh_fec!K26=0,0,11630*1000*SER_hh_fec!K26/SER_hh_num!K26)</f>
        <v>8413.9784453977245</v>
      </c>
      <c r="L26" s="65">
        <f>IF(SER_hh_fec!L26=0,0,11630*1000*SER_hh_fec!L26/SER_hh_num!L26)</f>
        <v>7739.3814145430342</v>
      </c>
      <c r="M26" s="65">
        <f>IF(SER_hh_fec!M26=0,0,11630*1000*SER_hh_fec!M26/SER_hh_num!M26)</f>
        <v>7942.5818813685482</v>
      </c>
      <c r="N26" s="65">
        <f>IF(SER_hh_fec!N26=0,0,11630*1000*SER_hh_fec!N26/SER_hh_num!N26)</f>
        <v>7868.4068393945972</v>
      </c>
      <c r="O26" s="65">
        <f>IF(SER_hh_fec!O26=0,0,11630*1000*SER_hh_fec!O26/SER_hh_num!O26)</f>
        <v>7713.1351020552283</v>
      </c>
      <c r="P26" s="65">
        <f>IF(SER_hh_fec!P26=0,0,11630*1000*SER_hh_fec!P26/SER_hh_num!P26)</f>
        <v>7841.3281291234634</v>
      </c>
      <c r="Q26" s="65">
        <f>IF(SER_hh_fec!Q26=0,0,11630*1000*SER_hh_fec!Q26/SER_hh_num!Q26)</f>
        <v>7710.2279685143194</v>
      </c>
      <c r="R26" s="65">
        <f>IF(SER_hh_fec!R26=0,0,11630*1000*SER_hh_fec!R26/SER_hh_num!R26)</f>
        <v>7645.8259963053524</v>
      </c>
      <c r="S26" s="65">
        <f>IF(SER_hh_fec!S26=0,0,11630*1000*SER_hh_fec!S26/SER_hh_num!S26)</f>
        <v>7106.8596425374599</v>
      </c>
      <c r="T26" s="65">
        <f>IF(SER_hh_fec!T26=0,0,11630*1000*SER_hh_fec!T26/SER_hh_num!T26)</f>
        <v>7020.4128297680345</v>
      </c>
      <c r="U26" s="65">
        <f>IF(SER_hh_fec!U26=0,0,11630*1000*SER_hh_fec!U26/SER_hh_num!U26)</f>
        <v>6473.1494289456186</v>
      </c>
      <c r="V26" s="65">
        <f>IF(SER_hh_fec!V26=0,0,11630*1000*SER_hh_fec!V26/SER_hh_num!V26)</f>
        <v>5836.991356882053</v>
      </c>
      <c r="W26" s="65">
        <f>IF(SER_hh_fec!W26=0,0,11630*1000*SER_hh_fec!W26/SER_hh_num!W26)</f>
        <v>5856.5486215856718</v>
      </c>
      <c r="X26" s="65">
        <f>IF(SER_hh_fec!X26=0,0,11630*1000*SER_hh_fec!X26/SER_hh_num!X26)</f>
        <v>8108.3836075300796</v>
      </c>
      <c r="Y26" s="65">
        <f>IF(SER_hh_fec!Y26=0,0,11630*1000*SER_hh_fec!Y26/SER_hh_num!Y26)</f>
        <v>9055.3530944928243</v>
      </c>
      <c r="DA26" s="109" t="s">
        <v>407</v>
      </c>
    </row>
    <row r="27" spans="1:105" ht="12" customHeight="1" x14ac:dyDescent="0.25">
      <c r="A27" s="144" t="s">
        <v>86</v>
      </c>
      <c r="B27" s="145">
        <f>IF(SER_hh_fec!B27=0,0,11630*1000*SER_hh_fec!B27/SER_hh_num!B19)</f>
        <v>3740.4250253701302</v>
      </c>
      <c r="C27" s="145">
        <f>IF(SER_hh_fec!C27=0,0,11630*1000*SER_hh_fec!C27/SER_hh_num!C19)</f>
        <v>3555.7959308564705</v>
      </c>
      <c r="D27" s="145">
        <f>IF(SER_hh_fec!D27=0,0,11630*1000*SER_hh_fec!D27/SER_hh_num!D19)</f>
        <v>3586.0727646348419</v>
      </c>
      <c r="E27" s="145">
        <f>IF(SER_hh_fec!E27=0,0,11630*1000*SER_hh_fec!E27/SER_hh_num!E19)</f>
        <v>3620.2286743995724</v>
      </c>
      <c r="F27" s="145">
        <f>IF(SER_hh_fec!F27=0,0,11630*1000*SER_hh_fec!F27/SER_hh_num!F19)</f>
        <v>3881.1134121776777</v>
      </c>
      <c r="G27" s="145">
        <f>IF(SER_hh_fec!G27=0,0,11630*1000*SER_hh_fec!G27/SER_hh_num!G19)</f>
        <v>3957.9767293589653</v>
      </c>
      <c r="H27" s="145">
        <f>IF(SER_hh_fec!H27=0,0,11630*1000*SER_hh_fec!H27/SER_hh_num!H19)</f>
        <v>4028.1718482303477</v>
      </c>
      <c r="I27" s="145">
        <f>IF(SER_hh_fec!I27=0,0,11630*1000*SER_hh_fec!I27/SER_hh_num!I19)</f>
        <v>4861.1495909667947</v>
      </c>
      <c r="J27" s="145">
        <f>IF(SER_hh_fec!J27=0,0,11630*1000*SER_hh_fec!J27/SER_hh_num!J19)</f>
        <v>5090.9212760550345</v>
      </c>
      <c r="K27" s="145">
        <f>IF(SER_hh_fec!K27=0,0,11630*1000*SER_hh_fec!K27/SER_hh_num!K19)</f>
        <v>5098.7855442057271</v>
      </c>
      <c r="L27" s="145">
        <f>IF(SER_hh_fec!L27=0,0,11630*1000*SER_hh_fec!L27/SER_hh_num!L19)</f>
        <v>5173.5656824418547</v>
      </c>
      <c r="M27" s="145">
        <f>IF(SER_hh_fec!M27=0,0,11630*1000*SER_hh_fec!M27/SER_hh_num!M19)</f>
        <v>5215.6088656746424</v>
      </c>
      <c r="N27" s="145">
        <f>IF(SER_hh_fec!N27=0,0,11630*1000*SER_hh_fec!N27/SER_hh_num!N19)</f>
        <v>5239.0067385443263</v>
      </c>
      <c r="O27" s="145">
        <f>IF(SER_hh_fec!O27=0,0,11630*1000*SER_hh_fec!O27/SER_hh_num!O19)</f>
        <v>5340.3957963189805</v>
      </c>
      <c r="P27" s="145">
        <f>IF(SER_hh_fec!P27=0,0,11630*1000*SER_hh_fec!P27/SER_hh_num!P19)</f>
        <v>5473.6430815993281</v>
      </c>
      <c r="Q27" s="145">
        <f>IF(SER_hh_fec!Q27=0,0,11630*1000*SER_hh_fec!Q27/SER_hh_num!Q19)</f>
        <v>5602.0495631523527</v>
      </c>
      <c r="R27" s="145">
        <f>IF(SER_hh_fec!R27=0,0,11630*1000*SER_hh_fec!R27/SER_hh_num!R19)</f>
        <v>5646.9380479503225</v>
      </c>
      <c r="S27" s="145">
        <f>IF(SER_hh_fec!S27=0,0,11630*1000*SER_hh_fec!S27/SER_hh_num!S19)</f>
        <v>5671.5097665779467</v>
      </c>
      <c r="T27" s="145">
        <f>IF(SER_hh_fec!T27=0,0,11630*1000*SER_hh_fec!T27/SER_hh_num!T19)</f>
        <v>5709.3020840138943</v>
      </c>
      <c r="U27" s="145">
        <f>IF(SER_hh_fec!U27=0,0,11630*1000*SER_hh_fec!U27/SER_hh_num!U19)</f>
        <v>5720.1160094616525</v>
      </c>
      <c r="V27" s="145">
        <f>IF(SER_hh_fec!V27=0,0,11630*1000*SER_hh_fec!V27/SER_hh_num!V19)</f>
        <v>5751.8085481206545</v>
      </c>
      <c r="W27" s="145">
        <f>IF(SER_hh_fec!W27=0,0,11630*1000*SER_hh_fec!W27/SER_hh_num!W19)</f>
        <v>5789.942405469209</v>
      </c>
      <c r="X27" s="145">
        <f>IF(SER_hh_fec!X27=0,0,11630*1000*SER_hh_fec!X27/SER_hh_num!X19)</f>
        <v>4671.2118137231973</v>
      </c>
      <c r="Y27" s="145">
        <f>IF(SER_hh_fec!Y27=0,0,11630*1000*SER_hh_fec!Y27/SER_hh_num!Y19)</f>
        <v>4674.2216295016888</v>
      </c>
      <c r="DA27" s="158" t="s">
        <v>408</v>
      </c>
    </row>
    <row r="28" spans="1:105" ht="12" customHeight="1" x14ac:dyDescent="0.25">
      <c r="A28" s="78" t="s">
        <v>85</v>
      </c>
      <c r="B28" s="146">
        <f>IF(SER_hh_fec!B27=0,0,11630*1000*SER_hh_fec!B27/SER_hh_num!B27)</f>
        <v>10038.855045873197</v>
      </c>
      <c r="C28" s="146">
        <f>IF(SER_hh_fec!C27=0,0,11630*1000*SER_hh_fec!C27/SER_hh_num!C27)</f>
        <v>10088.413928084523</v>
      </c>
      <c r="D28" s="146">
        <f>IF(SER_hh_fec!D27=0,0,11630*1000*SER_hh_fec!D27/SER_hh_num!D27)</f>
        <v>9334.6801770638667</v>
      </c>
      <c r="E28" s="146">
        <f>IF(SER_hh_fec!E27=0,0,11630*1000*SER_hh_fec!E27/SER_hh_num!E27)</f>
        <v>8725.2119490485074</v>
      </c>
      <c r="F28" s="146">
        <f>IF(SER_hh_fec!F27=0,0,11630*1000*SER_hh_fec!F27/SER_hh_num!F27)</f>
        <v>8834.2417084689077</v>
      </c>
      <c r="G28" s="146">
        <f>IF(SER_hh_fec!G27=0,0,11630*1000*SER_hh_fec!G27/SER_hh_num!G27)</f>
        <v>8302.0668553823834</v>
      </c>
      <c r="H28" s="146">
        <f>IF(SER_hh_fec!H27=0,0,11630*1000*SER_hh_fec!H27/SER_hh_num!H27)</f>
        <v>8657.861318097508</v>
      </c>
      <c r="I28" s="146">
        <f>IF(SER_hh_fec!I27=0,0,11630*1000*SER_hh_fec!I27/SER_hh_num!I27)</f>
        <v>9498.8263244207574</v>
      </c>
      <c r="J28" s="146">
        <f>IF(SER_hh_fec!J27=0,0,11630*1000*SER_hh_fec!J27/SER_hh_num!J27)</f>
        <v>9678.109333018152</v>
      </c>
      <c r="K28" s="146">
        <f>IF(SER_hh_fec!K27=0,0,11630*1000*SER_hh_fec!K27/SER_hh_num!K27)</f>
        <v>9311.1776979607166</v>
      </c>
      <c r="L28" s="146">
        <f>IF(SER_hh_fec!L27=0,0,11630*1000*SER_hh_fec!L27/SER_hh_num!L27)</f>
        <v>9504.6735044800116</v>
      </c>
      <c r="M28" s="146">
        <f>IF(SER_hh_fec!M27=0,0,11630*1000*SER_hh_fec!M27/SER_hh_num!M27)</f>
        <v>9460.0120006267516</v>
      </c>
      <c r="N28" s="146">
        <f>IF(SER_hh_fec!N27=0,0,11630*1000*SER_hh_fec!N27/SER_hh_num!N27)</f>
        <v>9989.5766930794816</v>
      </c>
      <c r="O28" s="146">
        <f>IF(SER_hh_fec!O27=0,0,11630*1000*SER_hh_fec!O27/SER_hh_num!O27)</f>
        <v>11158.142555111323</v>
      </c>
      <c r="P28" s="146">
        <f>IF(SER_hh_fec!P27=0,0,11630*1000*SER_hh_fec!P27/SER_hh_num!P27)</f>
        <v>11323.538138962584</v>
      </c>
      <c r="Q28" s="146">
        <f>IF(SER_hh_fec!Q27=0,0,11630*1000*SER_hh_fec!Q27/SER_hh_num!Q27)</f>
        <v>11186.460516627356</v>
      </c>
      <c r="R28" s="146">
        <f>IF(SER_hh_fec!R27=0,0,11630*1000*SER_hh_fec!R27/SER_hh_num!R27)</f>
        <v>10889.109107761202</v>
      </c>
      <c r="S28" s="146">
        <f>IF(SER_hh_fec!S27=0,0,11630*1000*SER_hh_fec!S27/SER_hh_num!S27)</f>
        <v>10267.961414900657</v>
      </c>
      <c r="T28" s="146">
        <f>IF(SER_hh_fec!T27=0,0,11630*1000*SER_hh_fec!T27/SER_hh_num!T27)</f>
        <v>10471.395735557075</v>
      </c>
      <c r="U28" s="146">
        <f>IF(SER_hh_fec!U27=0,0,11630*1000*SER_hh_fec!U27/SER_hh_num!U27)</f>
        <v>10515.516007480566</v>
      </c>
      <c r="V28" s="146">
        <f>IF(SER_hh_fec!V27=0,0,11630*1000*SER_hh_fec!V27/SER_hh_num!V27)</f>
        <v>9744.2504692517832</v>
      </c>
      <c r="W28" s="146">
        <f>IF(SER_hh_fec!W27=0,0,11630*1000*SER_hh_fec!W27/SER_hh_num!W27)</f>
        <v>10022.583748390796</v>
      </c>
      <c r="X28" s="146">
        <f>IF(SER_hh_fec!X27=0,0,11630*1000*SER_hh_fec!X27/SER_hh_num!X27)</f>
        <v>10786.139480106458</v>
      </c>
      <c r="Y28" s="146">
        <f>IF(SER_hh_fec!Y27=0,0,11630*1000*SER_hh_fec!Y27/SER_hh_num!Y27)</f>
        <v>11829.716502658533</v>
      </c>
      <c r="DA28" s="159"/>
    </row>
    <row r="29" spans="1:105" ht="12.95" customHeight="1" x14ac:dyDescent="0.25">
      <c r="A29" s="129" t="s">
        <v>34</v>
      </c>
      <c r="B29" s="130">
        <f>IF(SER_hh_fec!B29=0,0,11630*1000*SER_hh_fec!B29/SER_hh_num!B29)</f>
        <v>15080.933795240544</v>
      </c>
      <c r="C29" s="130">
        <f>IF(SER_hh_fec!C29=0,0,11630*1000*SER_hh_fec!C29/SER_hh_num!C29)</f>
        <v>14958.886924400467</v>
      </c>
      <c r="D29" s="130">
        <f>IF(SER_hh_fec!D29=0,0,11630*1000*SER_hh_fec!D29/SER_hh_num!D29)</f>
        <v>15121.438379908395</v>
      </c>
      <c r="E29" s="130">
        <f>IF(SER_hh_fec!E29=0,0,11630*1000*SER_hh_fec!E29/SER_hh_num!E29)</f>
        <v>15188.0282062065</v>
      </c>
      <c r="F29" s="130">
        <f>IF(SER_hh_fec!F29=0,0,11630*1000*SER_hh_fec!F29/SER_hh_num!F29)</f>
        <v>15502.722674781508</v>
      </c>
      <c r="G29" s="130">
        <f>IF(SER_hh_fec!G29=0,0,11630*1000*SER_hh_fec!G29/SER_hh_num!G29)</f>
        <v>15774.911878983785</v>
      </c>
      <c r="H29" s="130">
        <f>IF(SER_hh_fec!H29=0,0,11630*1000*SER_hh_fec!H29/SER_hh_num!H29)</f>
        <v>16649.496550906249</v>
      </c>
      <c r="I29" s="130">
        <f>IF(SER_hh_fec!I29=0,0,11630*1000*SER_hh_fec!I29/SER_hh_num!I29)</f>
        <v>16892.326320839205</v>
      </c>
      <c r="J29" s="130">
        <f>IF(SER_hh_fec!J29=0,0,11630*1000*SER_hh_fec!J29/SER_hh_num!J29)</f>
        <v>17134.354141602216</v>
      </c>
      <c r="K29" s="130">
        <f>IF(SER_hh_fec!K29=0,0,11630*1000*SER_hh_fec!K29/SER_hh_num!K29)</f>
        <v>16775.526514141082</v>
      </c>
      <c r="L29" s="130">
        <f>IF(SER_hh_fec!L29=0,0,11630*1000*SER_hh_fec!L29/SER_hh_num!L29)</f>
        <v>16425.530766860116</v>
      </c>
      <c r="M29" s="130">
        <f>IF(SER_hh_fec!M29=0,0,11630*1000*SER_hh_fec!M29/SER_hh_num!M29)</f>
        <v>16545.390041703122</v>
      </c>
      <c r="N29" s="130">
        <f>IF(SER_hh_fec!N29=0,0,11630*1000*SER_hh_fec!N29/SER_hh_num!N29)</f>
        <v>16511.357959236637</v>
      </c>
      <c r="O29" s="130">
        <f>IF(SER_hh_fec!O29=0,0,11630*1000*SER_hh_fec!O29/SER_hh_num!O29)</f>
        <v>16166.63204327659</v>
      </c>
      <c r="P29" s="130">
        <f>IF(SER_hh_fec!P29=0,0,11630*1000*SER_hh_fec!P29/SER_hh_num!P29)</f>
        <v>16225.713285713704</v>
      </c>
      <c r="Q29" s="130">
        <f>IF(SER_hh_fec!Q29=0,0,11630*1000*SER_hh_fec!Q29/SER_hh_num!Q29)</f>
        <v>16329.322434257905</v>
      </c>
      <c r="R29" s="130">
        <f>IF(SER_hh_fec!R29=0,0,11630*1000*SER_hh_fec!R29/SER_hh_num!R29)</f>
        <v>16278.610290784771</v>
      </c>
      <c r="S29" s="130">
        <f>IF(SER_hh_fec!S29=0,0,11630*1000*SER_hh_fec!S29/SER_hh_num!S29)</f>
        <v>16521.94091265988</v>
      </c>
      <c r="T29" s="130">
        <f>IF(SER_hh_fec!T29=0,0,11630*1000*SER_hh_fec!T29/SER_hh_num!T29)</f>
        <v>16640.731798182187</v>
      </c>
      <c r="U29" s="130">
        <f>IF(SER_hh_fec!U29=0,0,11630*1000*SER_hh_fec!U29/SER_hh_num!U29)</f>
        <v>17036.498219178739</v>
      </c>
      <c r="V29" s="130">
        <f>IF(SER_hh_fec!V29=0,0,11630*1000*SER_hh_fec!V29/SER_hh_num!V29)</f>
        <v>14806.581631055835</v>
      </c>
      <c r="W29" s="130">
        <f>IF(SER_hh_fec!W29=0,0,11630*1000*SER_hh_fec!W29/SER_hh_num!W29)</f>
        <v>14686.360164626913</v>
      </c>
      <c r="X29" s="130">
        <f>IF(SER_hh_fec!X29=0,0,11630*1000*SER_hh_fec!X29/SER_hh_num!X29)</f>
        <v>15633.779713077316</v>
      </c>
      <c r="Y29" s="130">
        <f>IF(SER_hh_fec!Y29=0,0,11630*1000*SER_hh_fec!Y29/SER_hh_num!Y29)</f>
        <v>16137.555436895398</v>
      </c>
      <c r="DA29" s="155" t="s">
        <v>409</v>
      </c>
    </row>
    <row r="30" spans="1:105" ht="12" customHeight="1" x14ac:dyDescent="0.25">
      <c r="A30" s="131" t="s">
        <v>52</v>
      </c>
      <c r="B30" s="132">
        <f>IF(SER_hh_fec!B30=0,0,11630*1000*SER_hh_fec!B30/SER_hh_num!B30)</f>
        <v>0</v>
      </c>
      <c r="C30" s="132">
        <f>IF(SER_hh_fec!C30=0,0,11630*1000*SER_hh_fec!C30/SER_hh_num!C30)</f>
        <v>0</v>
      </c>
      <c r="D30" s="132">
        <f>IF(SER_hh_fec!D30=0,0,11630*1000*SER_hh_fec!D30/SER_hh_num!D30)</f>
        <v>0</v>
      </c>
      <c r="E30" s="132">
        <f>IF(SER_hh_fec!E30=0,0,11630*1000*SER_hh_fec!E30/SER_hh_num!E30)</f>
        <v>0</v>
      </c>
      <c r="F30" s="132">
        <f>IF(SER_hh_fec!F30=0,0,11630*1000*SER_hh_fec!F30/SER_hh_num!F30)</f>
        <v>0</v>
      </c>
      <c r="G30" s="132">
        <f>IF(SER_hh_fec!G30=0,0,11630*1000*SER_hh_fec!G30/SER_hh_num!G30)</f>
        <v>0</v>
      </c>
      <c r="H30" s="132">
        <f>IF(SER_hh_fec!H30=0,0,11630*1000*SER_hh_fec!H30/SER_hh_num!H30)</f>
        <v>27199.313559050781</v>
      </c>
      <c r="I30" s="132">
        <f>IF(SER_hh_fec!I30=0,0,11630*1000*SER_hh_fec!I30/SER_hh_num!I30)</f>
        <v>20795.242811945194</v>
      </c>
      <c r="J30" s="132">
        <f>IF(SER_hh_fec!J30=0,0,11630*1000*SER_hh_fec!J30/SER_hh_num!J30)</f>
        <v>21699.231995762031</v>
      </c>
      <c r="K30" s="132">
        <f>IF(SER_hh_fec!K30=0,0,11630*1000*SER_hh_fec!K30/SER_hh_num!K30)</f>
        <v>18341.77265541433</v>
      </c>
      <c r="L30" s="132">
        <f>IF(SER_hh_fec!L30=0,0,11630*1000*SER_hh_fec!L30/SER_hh_num!L30)</f>
        <v>16921.246561756998</v>
      </c>
      <c r="M30" s="132">
        <f>IF(SER_hh_fec!M30=0,0,11630*1000*SER_hh_fec!M30/SER_hh_num!M30)</f>
        <v>20208.929542887312</v>
      </c>
      <c r="N30" s="132">
        <f>IF(SER_hh_fec!N30=0,0,11630*1000*SER_hh_fec!N30/SER_hh_num!N30)</f>
        <v>20749.659713268262</v>
      </c>
      <c r="O30" s="132">
        <f>IF(SER_hh_fec!O30=0,0,11630*1000*SER_hh_fec!O30/SER_hh_num!O30)</f>
        <v>19169.544298609486</v>
      </c>
      <c r="P30" s="132">
        <f>IF(SER_hh_fec!P30=0,0,11630*1000*SER_hh_fec!P30/SER_hh_num!P30)</f>
        <v>16752.471825699573</v>
      </c>
      <c r="Q30" s="132">
        <f>IF(SER_hh_fec!Q30=0,0,11630*1000*SER_hh_fec!Q30/SER_hh_num!Q30)</f>
        <v>19171.841116599586</v>
      </c>
      <c r="R30" s="132">
        <f>IF(SER_hh_fec!R30=0,0,11630*1000*SER_hh_fec!R30/SER_hh_num!R30)</f>
        <v>17158.956818064726</v>
      </c>
      <c r="S30" s="132">
        <f>IF(SER_hh_fec!S30=0,0,11630*1000*SER_hh_fec!S30/SER_hh_num!S30)</f>
        <v>19869.029339658697</v>
      </c>
      <c r="T30" s="132">
        <f>IF(SER_hh_fec!T30=0,0,11630*1000*SER_hh_fec!T30/SER_hh_num!T30)</f>
        <v>20632.368520316748</v>
      </c>
      <c r="U30" s="132">
        <f>IF(SER_hh_fec!U30=0,0,11630*1000*SER_hh_fec!U30/SER_hh_num!U30)</f>
        <v>26119.281259610143</v>
      </c>
      <c r="V30" s="132">
        <f>IF(SER_hh_fec!V30=0,0,11630*1000*SER_hh_fec!V30/SER_hh_num!V30)</f>
        <v>18460.531677093546</v>
      </c>
      <c r="W30" s="132">
        <f>IF(SER_hh_fec!W30=0,0,11630*1000*SER_hh_fec!W30/SER_hh_num!W30)</f>
        <v>16006.022825119107</v>
      </c>
      <c r="X30" s="132">
        <f>IF(SER_hh_fec!X30=0,0,11630*1000*SER_hh_fec!X30/SER_hh_num!X30)</f>
        <v>20266.159142683649</v>
      </c>
      <c r="Y30" s="132">
        <f>IF(SER_hh_fec!Y30=0,0,11630*1000*SER_hh_fec!Y30/SER_hh_num!Y30)</f>
        <v>18763.891593183875</v>
      </c>
      <c r="DA30" s="156" t="s">
        <v>410</v>
      </c>
    </row>
    <row r="31" spans="1:105" ht="12" customHeight="1" x14ac:dyDescent="0.25">
      <c r="A31" s="131" t="s">
        <v>149</v>
      </c>
      <c r="B31" s="132">
        <f>IF(SER_hh_fec!B31=0,0,11630*1000*SER_hh_fec!B31/SER_hh_num!B31)</f>
        <v>0</v>
      </c>
      <c r="C31" s="132">
        <f>IF(SER_hh_fec!C31=0,0,11630*1000*SER_hh_fec!C31/SER_hh_num!C31)</f>
        <v>0</v>
      </c>
      <c r="D31" s="132">
        <f>IF(SER_hh_fec!D31=0,0,11630*1000*SER_hh_fec!D31/SER_hh_num!D31)</f>
        <v>0</v>
      </c>
      <c r="E31" s="132">
        <f>IF(SER_hh_fec!E31=0,0,11630*1000*SER_hh_fec!E31/SER_hh_num!E31)</f>
        <v>0</v>
      </c>
      <c r="F31" s="132">
        <f>IF(SER_hh_fec!F31=0,0,11630*1000*SER_hh_fec!F31/SER_hh_num!F31)</f>
        <v>0</v>
      </c>
      <c r="G31" s="132">
        <f>IF(SER_hh_fec!G31=0,0,11630*1000*SER_hh_fec!G31/SER_hh_num!G31)</f>
        <v>0</v>
      </c>
      <c r="H31" s="132">
        <f>IF(SER_hh_fec!H31=0,0,11630*1000*SER_hh_fec!H31/SER_hh_num!H31)</f>
        <v>0</v>
      </c>
      <c r="I31" s="132">
        <f>IF(SER_hh_fec!I31=0,0,11630*1000*SER_hh_fec!I31/SER_hh_num!I31)</f>
        <v>0</v>
      </c>
      <c r="J31" s="132">
        <f>IF(SER_hh_fec!J31=0,0,11630*1000*SER_hh_fec!J31/SER_hh_num!J31)</f>
        <v>0</v>
      </c>
      <c r="K31" s="132">
        <f>IF(SER_hh_fec!K31=0,0,11630*1000*SER_hh_fec!K31/SER_hh_num!K31)</f>
        <v>0</v>
      </c>
      <c r="L31" s="132">
        <f>IF(SER_hh_fec!L31=0,0,11630*1000*SER_hh_fec!L31/SER_hh_num!L31)</f>
        <v>0</v>
      </c>
      <c r="M31" s="132">
        <f>IF(SER_hh_fec!M31=0,0,11630*1000*SER_hh_fec!M31/SER_hh_num!M31)</f>
        <v>0</v>
      </c>
      <c r="N31" s="132">
        <f>IF(SER_hh_fec!N31=0,0,11630*1000*SER_hh_fec!N31/SER_hh_num!N31)</f>
        <v>0</v>
      </c>
      <c r="O31" s="132">
        <f>IF(SER_hh_fec!O31=0,0,11630*1000*SER_hh_fec!O31/SER_hh_num!O31)</f>
        <v>0</v>
      </c>
      <c r="P31" s="132">
        <f>IF(SER_hh_fec!P31=0,0,11630*1000*SER_hh_fec!P31/SER_hh_num!P31)</f>
        <v>0</v>
      </c>
      <c r="Q31" s="132">
        <f>IF(SER_hh_fec!Q31=0,0,11630*1000*SER_hh_fec!Q31/SER_hh_num!Q31)</f>
        <v>0</v>
      </c>
      <c r="R31" s="132">
        <f>IF(SER_hh_fec!R31=0,0,11630*1000*SER_hh_fec!R31/SER_hh_num!R31)</f>
        <v>0</v>
      </c>
      <c r="S31" s="132">
        <f>IF(SER_hh_fec!S31=0,0,11630*1000*SER_hh_fec!S31/SER_hh_num!S31)</f>
        <v>0</v>
      </c>
      <c r="T31" s="132">
        <f>IF(SER_hh_fec!T31=0,0,11630*1000*SER_hh_fec!T31/SER_hh_num!T31)</f>
        <v>0</v>
      </c>
      <c r="U31" s="132">
        <f>IF(SER_hh_fec!U31=0,0,11630*1000*SER_hh_fec!U31/SER_hh_num!U31)</f>
        <v>0</v>
      </c>
      <c r="V31" s="132">
        <f>IF(SER_hh_fec!V31=0,0,11630*1000*SER_hh_fec!V31/SER_hh_num!V31)</f>
        <v>0</v>
      </c>
      <c r="W31" s="132">
        <f>IF(SER_hh_fec!W31=0,0,11630*1000*SER_hh_fec!W31/SER_hh_num!W31)</f>
        <v>0</v>
      </c>
      <c r="X31" s="132">
        <f>IF(SER_hh_fec!X31=0,0,11630*1000*SER_hh_fec!X31/SER_hh_num!X31)</f>
        <v>0</v>
      </c>
      <c r="Y31" s="132">
        <f>IF(SER_hh_fec!Y31=0,0,11630*1000*SER_hh_fec!Y31/SER_hh_num!Y31)</f>
        <v>0</v>
      </c>
      <c r="DA31" s="156" t="s">
        <v>411</v>
      </c>
    </row>
    <row r="32" spans="1:105" ht="12" customHeight="1" x14ac:dyDescent="0.25">
      <c r="A32" s="131" t="s">
        <v>128</v>
      </c>
      <c r="B32" s="132">
        <f>IF(SER_hh_fec!B32=0,0,11630*1000*SER_hh_fec!B32/SER_hh_num!B32)</f>
        <v>19920.531726163572</v>
      </c>
      <c r="C32" s="132">
        <f>IF(SER_hh_fec!C32=0,0,11630*1000*SER_hh_fec!C32/SER_hh_num!C32)</f>
        <v>18060.552412536552</v>
      </c>
      <c r="D32" s="132">
        <f>IF(SER_hh_fec!D32=0,0,11630*1000*SER_hh_fec!D32/SER_hh_num!D32)</f>
        <v>21362.529089679403</v>
      </c>
      <c r="E32" s="132">
        <f>IF(SER_hh_fec!E32=0,0,11630*1000*SER_hh_fec!E32/SER_hh_num!E32)</f>
        <v>18972.273198922834</v>
      </c>
      <c r="F32" s="132">
        <f>IF(SER_hh_fec!F32=0,0,11630*1000*SER_hh_fec!F32/SER_hh_num!F32)</f>
        <v>19799.112921828913</v>
      </c>
      <c r="G32" s="132">
        <f>IF(SER_hh_fec!G32=0,0,11630*1000*SER_hh_fec!G32/SER_hh_num!G32)</f>
        <v>21233.152623949769</v>
      </c>
      <c r="H32" s="132">
        <f>IF(SER_hh_fec!H32=0,0,11630*1000*SER_hh_fec!H32/SER_hh_num!H32)</f>
        <v>18825.295472017668</v>
      </c>
      <c r="I32" s="132">
        <f>IF(SER_hh_fec!I32=0,0,11630*1000*SER_hh_fec!I32/SER_hh_num!I32)</f>
        <v>22804.759681410378</v>
      </c>
      <c r="J32" s="132">
        <f>IF(SER_hh_fec!J32=0,0,11630*1000*SER_hh_fec!J32/SER_hh_num!J32)</f>
        <v>21588.080343738005</v>
      </c>
      <c r="K32" s="132">
        <f>IF(SER_hh_fec!K32=0,0,11630*1000*SER_hh_fec!K32/SER_hh_num!K32)</f>
        <v>20707.277114124739</v>
      </c>
      <c r="L32" s="132">
        <f>IF(SER_hh_fec!L32=0,0,11630*1000*SER_hh_fec!L32/SER_hh_num!L32)</f>
        <v>20622.377242971237</v>
      </c>
      <c r="M32" s="132">
        <f>IF(SER_hh_fec!M32=0,0,11630*1000*SER_hh_fec!M32/SER_hh_num!M32)</f>
        <v>20511.145379869624</v>
      </c>
      <c r="N32" s="132">
        <f>IF(SER_hh_fec!N32=0,0,11630*1000*SER_hh_fec!N32/SER_hh_num!N32)</f>
        <v>20405.509634491489</v>
      </c>
      <c r="O32" s="132">
        <f>IF(SER_hh_fec!O32=0,0,11630*1000*SER_hh_fec!O32/SER_hh_num!O32)</f>
        <v>20358.200617582464</v>
      </c>
      <c r="P32" s="132">
        <f>IF(SER_hh_fec!P32=0,0,11630*1000*SER_hh_fec!P32/SER_hh_num!P32)</f>
        <v>20501.662194779135</v>
      </c>
      <c r="Q32" s="132">
        <f>IF(SER_hh_fec!Q32=0,0,11630*1000*SER_hh_fec!Q32/SER_hh_num!Q32)</f>
        <v>20136.27944757192</v>
      </c>
      <c r="R32" s="132">
        <f>IF(SER_hh_fec!R32=0,0,11630*1000*SER_hh_fec!R32/SER_hh_num!R32)</f>
        <v>20200.387276539848</v>
      </c>
      <c r="S32" s="132">
        <f>IF(SER_hh_fec!S32=0,0,11630*1000*SER_hh_fec!S32/SER_hh_num!S32)</f>
        <v>19871.521979174271</v>
      </c>
      <c r="T32" s="132">
        <f>IF(SER_hh_fec!T32=0,0,11630*1000*SER_hh_fec!T32/SER_hh_num!T32)</f>
        <v>18966.742088417512</v>
      </c>
      <c r="U32" s="132">
        <f>IF(SER_hh_fec!U32=0,0,11630*1000*SER_hh_fec!U32/SER_hh_num!U32)</f>
        <v>23099.960437376729</v>
      </c>
      <c r="V32" s="132">
        <f>IF(SER_hh_fec!V32=0,0,11630*1000*SER_hh_fec!V32/SER_hh_num!V32)</f>
        <v>22586.732579997599</v>
      </c>
      <c r="W32" s="132">
        <f>IF(SER_hh_fec!W32=0,0,11630*1000*SER_hh_fec!W32/SER_hh_num!W32)</f>
        <v>16401.105310806855</v>
      </c>
      <c r="X32" s="132">
        <f>IF(SER_hh_fec!X32=0,0,11630*1000*SER_hh_fec!X32/SER_hh_num!X32)</f>
        <v>20985.205186883853</v>
      </c>
      <c r="Y32" s="132">
        <f>IF(SER_hh_fec!Y32=0,0,11630*1000*SER_hh_fec!Y32/SER_hh_num!Y32)</f>
        <v>20106.911891246506</v>
      </c>
      <c r="DA32" s="156" t="s">
        <v>412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14754.517040232608</v>
      </c>
      <c r="C33" s="68">
        <f>IF(SER_hh_fec!C33=0,0,11630*1000*SER_hh_fec!C33/SER_hh_num!C33)</f>
        <v>14731.436744874571</v>
      </c>
      <c r="D33" s="68">
        <f>IF(SER_hh_fec!D33=0,0,11630*1000*SER_hh_fec!D33/SER_hh_num!D33)</f>
        <v>14580.734586242424</v>
      </c>
      <c r="E33" s="68">
        <f>IF(SER_hh_fec!E33=0,0,11630*1000*SER_hh_fec!E33/SER_hh_num!E33)</f>
        <v>14821.551417857381</v>
      </c>
      <c r="F33" s="68">
        <f>IF(SER_hh_fec!F33=0,0,11630*1000*SER_hh_fec!F33/SER_hh_num!F33)</f>
        <v>15031.903757747396</v>
      </c>
      <c r="G33" s="68">
        <f>IF(SER_hh_fec!G33=0,0,11630*1000*SER_hh_fec!G33/SER_hh_num!G33)</f>
        <v>15082.499488181566</v>
      </c>
      <c r="H33" s="68">
        <f>IF(SER_hh_fec!H33=0,0,11630*1000*SER_hh_fec!H33/SER_hh_num!H33)</f>
        <v>14354.069796650283</v>
      </c>
      <c r="I33" s="68">
        <f>IF(SER_hh_fec!I33=0,0,11630*1000*SER_hh_fec!I33/SER_hh_num!I33)</f>
        <v>14730.802861619293</v>
      </c>
      <c r="J33" s="68">
        <f>IF(SER_hh_fec!J33=0,0,11630*1000*SER_hh_fec!J33/SER_hh_num!J33)</f>
        <v>14897.557506852492</v>
      </c>
      <c r="K33" s="68">
        <f>IF(SER_hh_fec!K33=0,0,11630*1000*SER_hh_fec!K33/SER_hh_num!K33)</f>
        <v>15541.242658455054</v>
      </c>
      <c r="L33" s="68">
        <f>IF(SER_hh_fec!L33=0,0,11630*1000*SER_hh_fec!L33/SER_hh_num!L33)</f>
        <v>15446.767947702634</v>
      </c>
      <c r="M33" s="68">
        <f>IF(SER_hh_fec!M33=0,0,11630*1000*SER_hh_fec!M33/SER_hh_num!M33)</f>
        <v>14738.278682815007</v>
      </c>
      <c r="N33" s="68">
        <f>IF(SER_hh_fec!N33=0,0,11630*1000*SER_hh_fec!N33/SER_hh_num!N33)</f>
        <v>14544.557903437877</v>
      </c>
      <c r="O33" s="68">
        <f>IF(SER_hh_fec!O33=0,0,11630*1000*SER_hh_fec!O33/SER_hh_num!O33)</f>
        <v>14489.216512485011</v>
      </c>
      <c r="P33" s="68">
        <f>IF(SER_hh_fec!P33=0,0,11630*1000*SER_hh_fec!P33/SER_hh_num!P33)</f>
        <v>15232.462905345392</v>
      </c>
      <c r="Q33" s="68">
        <f>IF(SER_hh_fec!Q33=0,0,11630*1000*SER_hh_fec!Q33/SER_hh_num!Q33)</f>
        <v>14699.612358277202</v>
      </c>
      <c r="R33" s="68">
        <f>IF(SER_hh_fec!R33=0,0,11630*1000*SER_hh_fec!R33/SER_hh_num!R33)</f>
        <v>15173.088458314172</v>
      </c>
      <c r="S33" s="68">
        <f>IF(SER_hh_fec!S33=0,0,11630*1000*SER_hh_fec!S33/SER_hh_num!S33)</f>
        <v>14333.31913263253</v>
      </c>
      <c r="T33" s="68">
        <f>IF(SER_hh_fec!T33=0,0,11630*1000*SER_hh_fec!T33/SER_hh_num!T33)</f>
        <v>14340.157854446788</v>
      </c>
      <c r="U33" s="68">
        <f>IF(SER_hh_fec!U33=0,0,11630*1000*SER_hh_fec!U33/SER_hh_num!U33)</f>
        <v>11801.616519091853</v>
      </c>
      <c r="V33" s="68">
        <f>IF(SER_hh_fec!V33=0,0,11630*1000*SER_hh_fec!V33/SER_hh_num!V33)</f>
        <v>11461.457080939077</v>
      </c>
      <c r="W33" s="68">
        <f>IF(SER_hh_fec!W33=0,0,11630*1000*SER_hh_fec!W33/SER_hh_num!W33)</f>
        <v>13797.477738065798</v>
      </c>
      <c r="X33" s="68">
        <f>IF(SER_hh_fec!X33=0,0,11630*1000*SER_hh_fec!X33/SER_hh_num!X33)</f>
        <v>13080.839295933596</v>
      </c>
      <c r="Y33" s="68">
        <f>IF(SER_hh_fec!Y33=0,0,11630*1000*SER_hh_fec!Y33/SER_hh_num!Y33)</f>
        <v>14670.493805829767</v>
      </c>
      <c r="DA33" s="111" t="s">
        <v>413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>
        <f>IF(SER_hh_tes!B3=0,0,11630*1000*SER_hh_tes!B3/SER_hh_num!B3)</f>
        <v>53909.105350827886</v>
      </c>
      <c r="C3" s="125">
        <f>IF(SER_hh_tes!C3=0,0,11630*1000*SER_hh_tes!C3/SER_hh_num!C3)</f>
        <v>58877.192470838883</v>
      </c>
      <c r="D3" s="125">
        <f>IF(SER_hh_tes!D3=0,0,11630*1000*SER_hh_tes!D3/SER_hh_num!D3)</f>
        <v>65528.138738728092</v>
      </c>
      <c r="E3" s="125">
        <f>IF(SER_hh_tes!E3=0,0,11630*1000*SER_hh_tes!E3/SER_hh_num!E3)</f>
        <v>71781.638921391699</v>
      </c>
      <c r="F3" s="125">
        <f>IF(SER_hh_tes!F3=0,0,11630*1000*SER_hh_tes!F3/SER_hh_num!F3)</f>
        <v>71395.924350169938</v>
      </c>
      <c r="G3" s="125">
        <f>IF(SER_hh_tes!G3=0,0,11630*1000*SER_hh_tes!G3/SER_hh_num!G3)</f>
        <v>73943.7426013035</v>
      </c>
      <c r="H3" s="125">
        <f>IF(SER_hh_tes!H3=0,0,11630*1000*SER_hh_tes!H3/SER_hh_num!H3)</f>
        <v>89297.274171261903</v>
      </c>
      <c r="I3" s="125">
        <f>IF(SER_hh_tes!I3=0,0,11630*1000*SER_hh_tes!I3/SER_hh_num!I3)</f>
        <v>97424.865081921482</v>
      </c>
      <c r="J3" s="125">
        <f>IF(SER_hh_tes!J3=0,0,11630*1000*SER_hh_tes!J3/SER_hh_num!J3)</f>
        <v>106094.55863804334</v>
      </c>
      <c r="K3" s="125">
        <f>IF(SER_hh_tes!K3=0,0,11630*1000*SER_hh_tes!K3/SER_hh_num!K3)</f>
        <v>107286.62587480329</v>
      </c>
      <c r="L3" s="125">
        <f>IF(SER_hh_tes!L3=0,0,11630*1000*SER_hh_tes!L3/SER_hh_num!L3)</f>
        <v>114122.83427392588</v>
      </c>
      <c r="M3" s="125">
        <f>IF(SER_hh_tes!M3=0,0,11630*1000*SER_hh_tes!M3/SER_hh_num!M3)</f>
        <v>108505.81320847129</v>
      </c>
      <c r="N3" s="125">
        <f>IF(SER_hh_tes!N3=0,0,11630*1000*SER_hh_tes!N3/SER_hh_num!N3)</f>
        <v>113342.43519347464</v>
      </c>
      <c r="O3" s="125">
        <f>IF(SER_hh_tes!O3=0,0,11630*1000*SER_hh_tes!O3/SER_hh_num!O3)</f>
        <v>109504.29607462283</v>
      </c>
      <c r="P3" s="125">
        <f>IF(SER_hh_tes!P3=0,0,11630*1000*SER_hh_tes!P3/SER_hh_num!P3)</f>
        <v>107780.07228317249</v>
      </c>
      <c r="Q3" s="125">
        <f>IF(SER_hh_tes!Q3=0,0,11630*1000*SER_hh_tes!Q3/SER_hh_num!Q3)</f>
        <v>115814.64321729688</v>
      </c>
      <c r="R3" s="125">
        <f>IF(SER_hh_tes!R3=0,0,11630*1000*SER_hh_tes!R3/SER_hh_num!R3)</f>
        <v>127504.17454410825</v>
      </c>
      <c r="S3" s="125">
        <f>IF(SER_hh_tes!S3=0,0,11630*1000*SER_hh_tes!S3/SER_hh_num!S3)</f>
        <v>129498.47169668158</v>
      </c>
      <c r="T3" s="125">
        <f>IF(SER_hh_tes!T3=0,0,11630*1000*SER_hh_tes!T3/SER_hh_num!T3)</f>
        <v>148031.28014034842</v>
      </c>
      <c r="U3" s="125">
        <f>IF(SER_hh_tes!U3=0,0,11630*1000*SER_hh_tes!U3/SER_hh_num!U3)</f>
        <v>143869.01115012518</v>
      </c>
      <c r="V3" s="125">
        <f>IF(SER_hh_tes!V3=0,0,11630*1000*SER_hh_tes!V3/SER_hh_num!V3)</f>
        <v>133884.82681831325</v>
      </c>
      <c r="W3" s="125">
        <f>IF(SER_hh_tes!W3=0,0,11630*1000*SER_hh_tes!W3/SER_hh_num!W3)</f>
        <v>135552.23349970049</v>
      </c>
      <c r="X3" s="125">
        <f>IF(SER_hh_tes!X3=0,0,11630*1000*SER_hh_tes!X3/SER_hh_num!X3)</f>
        <v>143691.46435525254</v>
      </c>
      <c r="Y3" s="125">
        <f>IF(SER_hh_tes!Y3=0,0,11630*1000*SER_hh_tes!Y3/SER_hh_num!Y3)</f>
        <v>152821.26542091984</v>
      </c>
      <c r="DA3" s="154" t="s">
        <v>415</v>
      </c>
    </row>
    <row r="4" spans="1:105" ht="12.95" customHeight="1" x14ac:dyDescent="0.25">
      <c r="A4" s="129" t="s">
        <v>32</v>
      </c>
      <c r="B4" s="130">
        <f>IF(SER_hh_tes!B4=0,0,11630*1000*SER_hh_tes!B4/SER_hh_num!B4)</f>
        <v>10088.014151516152</v>
      </c>
      <c r="C4" s="130">
        <f>IF(SER_hh_tes!C4=0,0,11630*1000*SER_hh_tes!C4/SER_hh_num!C4)</f>
        <v>13354.799264797308</v>
      </c>
      <c r="D4" s="130">
        <f>IF(SER_hh_tes!D4=0,0,11630*1000*SER_hh_tes!D4/SER_hh_num!D4)</f>
        <v>16236.819498286641</v>
      </c>
      <c r="E4" s="130">
        <f>IF(SER_hh_tes!E4=0,0,11630*1000*SER_hh_tes!E4/SER_hh_num!E4)</f>
        <v>16702.76016616284</v>
      </c>
      <c r="F4" s="130">
        <f>IF(SER_hh_tes!F4=0,0,11630*1000*SER_hh_tes!F4/SER_hh_num!F4)</f>
        <v>17985.3169783134</v>
      </c>
      <c r="G4" s="130">
        <f>IF(SER_hh_tes!G4=0,0,11630*1000*SER_hh_tes!G4/SER_hh_num!G4)</f>
        <v>19959.788018904233</v>
      </c>
      <c r="H4" s="130">
        <f>IF(SER_hh_tes!H4=0,0,11630*1000*SER_hh_tes!H4/SER_hh_num!H4)</f>
        <v>28011.148651764212</v>
      </c>
      <c r="I4" s="130">
        <f>IF(SER_hh_tes!I4=0,0,11630*1000*SER_hh_tes!I4/SER_hh_num!I4)</f>
        <v>28997.698555044899</v>
      </c>
      <c r="J4" s="130">
        <f>IF(SER_hh_tes!J4=0,0,11630*1000*SER_hh_tes!J4/SER_hh_num!J4)</f>
        <v>33850.319661144757</v>
      </c>
      <c r="K4" s="130">
        <f>IF(SER_hh_tes!K4=0,0,11630*1000*SER_hh_tes!K4/SER_hh_num!K4)</f>
        <v>34855.28946744874</v>
      </c>
      <c r="L4" s="130">
        <f>IF(SER_hh_tes!L4=0,0,11630*1000*SER_hh_tes!L4/SER_hh_num!L4)</f>
        <v>36987.109262248661</v>
      </c>
      <c r="M4" s="130">
        <f>IF(SER_hh_tes!M4=0,0,11630*1000*SER_hh_tes!M4/SER_hh_num!M4)</f>
        <v>36231.58832700413</v>
      </c>
      <c r="N4" s="130">
        <f>IF(SER_hh_tes!N4=0,0,11630*1000*SER_hh_tes!N4/SER_hh_num!N4)</f>
        <v>29512.546164818672</v>
      </c>
      <c r="O4" s="130">
        <f>IF(SER_hh_tes!O4=0,0,11630*1000*SER_hh_tes!O4/SER_hh_num!O4)</f>
        <v>34209.063424193169</v>
      </c>
      <c r="P4" s="130">
        <f>IF(SER_hh_tes!P4=0,0,11630*1000*SER_hh_tes!P4/SER_hh_num!P4)</f>
        <v>36947.85041634857</v>
      </c>
      <c r="Q4" s="130">
        <f>IF(SER_hh_tes!Q4=0,0,11630*1000*SER_hh_tes!Q4/SER_hh_num!Q4)</f>
        <v>39886.08909198238</v>
      </c>
      <c r="R4" s="130">
        <f>IF(SER_hh_tes!R4=0,0,11630*1000*SER_hh_tes!R4/SER_hh_num!R4)</f>
        <v>42961.796966224967</v>
      </c>
      <c r="S4" s="130">
        <f>IF(SER_hh_tes!S4=0,0,11630*1000*SER_hh_tes!S4/SER_hh_num!S4)</f>
        <v>47236.19154031192</v>
      </c>
      <c r="T4" s="130">
        <f>IF(SER_hh_tes!T4=0,0,11630*1000*SER_hh_tes!T4/SER_hh_num!T4)</f>
        <v>47608.297856515215</v>
      </c>
      <c r="U4" s="130">
        <f>IF(SER_hh_tes!U4=0,0,11630*1000*SER_hh_tes!U4/SER_hh_num!U4)</f>
        <v>53085.422807654853</v>
      </c>
      <c r="V4" s="130">
        <f>IF(SER_hh_tes!V4=0,0,11630*1000*SER_hh_tes!V4/SER_hh_num!V4)</f>
        <v>40407.494149117701</v>
      </c>
      <c r="W4" s="130">
        <f>IF(SER_hh_tes!W4=0,0,11630*1000*SER_hh_tes!W4/SER_hh_num!W4)</f>
        <v>47796.948415907995</v>
      </c>
      <c r="X4" s="130">
        <f>IF(SER_hh_tes!X4=0,0,11630*1000*SER_hh_tes!X4/SER_hh_num!X4)</f>
        <v>56981.723457022978</v>
      </c>
      <c r="Y4" s="130">
        <f>IF(SER_hh_tes!Y4=0,0,11630*1000*SER_hh_tes!Y4/SER_hh_num!Y4)</f>
        <v>56610.31211651217</v>
      </c>
      <c r="DA4" s="155" t="s">
        <v>416</v>
      </c>
    </row>
    <row r="5" spans="1:105" ht="12" customHeight="1" x14ac:dyDescent="0.25">
      <c r="A5" s="131" t="s">
        <v>29</v>
      </c>
      <c r="B5" s="132">
        <f>IF(SER_hh_tes!B5=0,0,11630*1000*SER_hh_tes!B5/SER_hh_num!B5)</f>
        <v>0</v>
      </c>
      <c r="C5" s="132">
        <f>IF(SER_hh_tes!C5=0,0,11630*1000*SER_hh_tes!C5/SER_hh_num!C5)</f>
        <v>0</v>
      </c>
      <c r="D5" s="132">
        <f>IF(SER_hh_tes!D5=0,0,11630*1000*SER_hh_tes!D5/SER_hh_num!D5)</f>
        <v>0</v>
      </c>
      <c r="E5" s="132">
        <f>IF(SER_hh_tes!E5=0,0,11630*1000*SER_hh_tes!E5/SER_hh_num!E5)</f>
        <v>0</v>
      </c>
      <c r="F5" s="132">
        <f>IF(SER_hh_tes!F5=0,0,11630*1000*SER_hh_tes!F5/SER_hh_num!F5)</f>
        <v>0</v>
      </c>
      <c r="G5" s="132">
        <f>IF(SER_hh_tes!G5=0,0,11630*1000*SER_hh_tes!G5/SER_hh_num!G5)</f>
        <v>0</v>
      </c>
      <c r="H5" s="132">
        <f>IF(SER_hh_tes!H5=0,0,11630*1000*SER_hh_tes!H5/SER_hh_num!H5)</f>
        <v>0</v>
      </c>
      <c r="I5" s="132">
        <f>IF(SER_hh_tes!I5=0,0,11630*1000*SER_hh_tes!I5/SER_hh_num!I5)</f>
        <v>0</v>
      </c>
      <c r="J5" s="132">
        <f>IF(SER_hh_tes!J5=0,0,11630*1000*SER_hh_tes!J5/SER_hh_num!J5)</f>
        <v>0</v>
      </c>
      <c r="K5" s="132">
        <f>IF(SER_hh_tes!K5=0,0,11630*1000*SER_hh_tes!K5/SER_hh_num!K5)</f>
        <v>0</v>
      </c>
      <c r="L5" s="132">
        <f>IF(SER_hh_tes!L5=0,0,11630*1000*SER_hh_tes!L5/SER_hh_num!L5)</f>
        <v>0</v>
      </c>
      <c r="M5" s="132">
        <f>IF(SER_hh_tes!M5=0,0,11630*1000*SER_hh_tes!M5/SER_hh_num!M5)</f>
        <v>0</v>
      </c>
      <c r="N5" s="132">
        <f>IF(SER_hh_tes!N5=0,0,11630*1000*SER_hh_tes!N5/SER_hh_num!N5)</f>
        <v>0</v>
      </c>
      <c r="O5" s="132">
        <f>IF(SER_hh_tes!O5=0,0,11630*1000*SER_hh_tes!O5/SER_hh_num!O5)</f>
        <v>0</v>
      </c>
      <c r="P5" s="132">
        <f>IF(SER_hh_tes!P5=0,0,11630*1000*SER_hh_tes!P5/SER_hh_num!P5)</f>
        <v>0</v>
      </c>
      <c r="Q5" s="132">
        <f>IF(SER_hh_tes!Q5=0,0,11630*1000*SER_hh_tes!Q5/SER_hh_num!Q5)</f>
        <v>0</v>
      </c>
      <c r="R5" s="132">
        <f>IF(SER_hh_tes!R5=0,0,11630*1000*SER_hh_tes!R5/SER_hh_num!R5)</f>
        <v>0</v>
      </c>
      <c r="S5" s="132">
        <f>IF(SER_hh_tes!S5=0,0,11630*1000*SER_hh_tes!S5/SER_hh_num!S5)</f>
        <v>0</v>
      </c>
      <c r="T5" s="132">
        <f>IF(SER_hh_tes!T5=0,0,11630*1000*SER_hh_tes!T5/SER_hh_num!T5)</f>
        <v>0</v>
      </c>
      <c r="U5" s="132">
        <f>IF(SER_hh_tes!U5=0,0,11630*1000*SER_hh_tes!U5/SER_hh_num!U5)</f>
        <v>0</v>
      </c>
      <c r="V5" s="132">
        <f>IF(SER_hh_tes!V5=0,0,11630*1000*SER_hh_tes!V5/SER_hh_num!V5)</f>
        <v>0</v>
      </c>
      <c r="W5" s="132">
        <f>IF(SER_hh_tes!W5=0,0,11630*1000*SER_hh_tes!W5/SER_hh_num!W5)</f>
        <v>0</v>
      </c>
      <c r="X5" s="132">
        <f>IF(SER_hh_tes!X5=0,0,11630*1000*SER_hh_tes!X5/SER_hh_num!X5)</f>
        <v>0</v>
      </c>
      <c r="Y5" s="132">
        <f>IF(SER_hh_tes!Y5=0,0,11630*1000*SER_hh_tes!Y5/SER_hh_num!Y5)</f>
        <v>0</v>
      </c>
      <c r="DA5" s="156" t="s">
        <v>417</v>
      </c>
    </row>
    <row r="6" spans="1:105" ht="12" customHeight="1" x14ac:dyDescent="0.25">
      <c r="A6" s="131" t="s">
        <v>52</v>
      </c>
      <c r="B6" s="132">
        <f>IF(SER_hh_tes!B6=0,0,11630*1000*SER_hh_tes!B6/SER_hh_num!B6)</f>
        <v>0</v>
      </c>
      <c r="C6" s="132">
        <f>IF(SER_hh_tes!C6=0,0,11630*1000*SER_hh_tes!C6/SER_hh_num!C6)</f>
        <v>0</v>
      </c>
      <c r="D6" s="132">
        <f>IF(SER_hh_tes!D6=0,0,11630*1000*SER_hh_tes!D6/SER_hh_num!D6)</f>
        <v>0</v>
      </c>
      <c r="E6" s="132">
        <f>IF(SER_hh_tes!E6=0,0,11630*1000*SER_hh_tes!E6/SER_hh_num!E6)</f>
        <v>0</v>
      </c>
      <c r="F6" s="132">
        <f>IF(SER_hh_tes!F6=0,0,11630*1000*SER_hh_tes!F6/SER_hh_num!F6)</f>
        <v>0</v>
      </c>
      <c r="G6" s="132">
        <f>IF(SER_hh_tes!G6=0,0,11630*1000*SER_hh_tes!G6/SER_hh_num!G6)</f>
        <v>0</v>
      </c>
      <c r="H6" s="132">
        <f>IF(SER_hh_tes!H6=0,0,11630*1000*SER_hh_tes!H6/SER_hh_num!H6)</f>
        <v>0</v>
      </c>
      <c r="I6" s="132">
        <f>IF(SER_hh_tes!I6=0,0,11630*1000*SER_hh_tes!I6/SER_hh_num!I6)</f>
        <v>0</v>
      </c>
      <c r="J6" s="132">
        <f>IF(SER_hh_tes!J6=0,0,11630*1000*SER_hh_tes!J6/SER_hh_num!J6)</f>
        <v>0</v>
      </c>
      <c r="K6" s="132">
        <f>IF(SER_hh_tes!K6=0,0,11630*1000*SER_hh_tes!K6/SER_hh_num!K6)</f>
        <v>0</v>
      </c>
      <c r="L6" s="132">
        <f>IF(SER_hh_tes!L6=0,0,11630*1000*SER_hh_tes!L6/SER_hh_num!L6)</f>
        <v>0</v>
      </c>
      <c r="M6" s="132">
        <f>IF(SER_hh_tes!M6=0,0,11630*1000*SER_hh_tes!M6/SER_hh_num!M6)</f>
        <v>0</v>
      </c>
      <c r="N6" s="132">
        <f>IF(SER_hh_tes!N6=0,0,11630*1000*SER_hh_tes!N6/SER_hh_num!N6)</f>
        <v>0</v>
      </c>
      <c r="O6" s="132">
        <f>IF(SER_hh_tes!O6=0,0,11630*1000*SER_hh_tes!O6/SER_hh_num!O6)</f>
        <v>0</v>
      </c>
      <c r="P6" s="132">
        <f>IF(SER_hh_tes!P6=0,0,11630*1000*SER_hh_tes!P6/SER_hh_num!P6)</f>
        <v>0</v>
      </c>
      <c r="Q6" s="132">
        <f>IF(SER_hh_tes!Q6=0,0,11630*1000*SER_hh_tes!Q6/SER_hh_num!Q6)</f>
        <v>0</v>
      </c>
      <c r="R6" s="132">
        <f>IF(SER_hh_tes!R6=0,0,11630*1000*SER_hh_tes!R6/SER_hh_num!R6)</f>
        <v>0</v>
      </c>
      <c r="S6" s="132">
        <f>IF(SER_hh_tes!S6=0,0,11630*1000*SER_hh_tes!S6/SER_hh_num!S6)</f>
        <v>0</v>
      </c>
      <c r="T6" s="132">
        <f>IF(SER_hh_tes!T6=0,0,11630*1000*SER_hh_tes!T6/SER_hh_num!T6)</f>
        <v>0</v>
      </c>
      <c r="U6" s="132">
        <f>IF(SER_hh_tes!U6=0,0,11630*1000*SER_hh_tes!U6/SER_hh_num!U6)</f>
        <v>0</v>
      </c>
      <c r="V6" s="132">
        <f>IF(SER_hh_tes!V6=0,0,11630*1000*SER_hh_tes!V6/SER_hh_num!V6)</f>
        <v>0</v>
      </c>
      <c r="W6" s="132">
        <f>IF(SER_hh_tes!W6=0,0,11630*1000*SER_hh_tes!W6/SER_hh_num!W6)</f>
        <v>0</v>
      </c>
      <c r="X6" s="132">
        <f>IF(SER_hh_tes!X6=0,0,11630*1000*SER_hh_tes!X6/SER_hh_num!X6)</f>
        <v>0</v>
      </c>
      <c r="Y6" s="132">
        <f>IF(SER_hh_tes!Y6=0,0,11630*1000*SER_hh_tes!Y6/SER_hh_num!Y6)</f>
        <v>0</v>
      </c>
      <c r="DA6" s="156" t="s">
        <v>418</v>
      </c>
    </row>
    <row r="7" spans="1:105" ht="12" customHeight="1" x14ac:dyDescent="0.25">
      <c r="A7" s="131" t="s">
        <v>161</v>
      </c>
      <c r="B7" s="132">
        <f>IF(SER_hh_tes!B7=0,0,11630*1000*SER_hh_tes!B7/SER_hh_num!B7)</f>
        <v>10851.003847088472</v>
      </c>
      <c r="C7" s="132">
        <f>IF(SER_hh_tes!C7=0,0,11630*1000*SER_hh_tes!C7/SER_hh_num!C7)</f>
        <v>12756.59566047173</v>
      </c>
      <c r="D7" s="132">
        <f>IF(SER_hh_tes!D7=0,0,11630*1000*SER_hh_tes!D7/SER_hh_num!D7)</f>
        <v>14430.733977537959</v>
      </c>
      <c r="E7" s="132">
        <f>IF(SER_hh_tes!E7=0,0,11630*1000*SER_hh_tes!E7/SER_hh_num!E7)</f>
        <v>16987.630621836215</v>
      </c>
      <c r="F7" s="132">
        <f>IF(SER_hh_tes!F7=0,0,11630*1000*SER_hh_tes!F7/SER_hh_num!F7)</f>
        <v>17585.568245350925</v>
      </c>
      <c r="G7" s="132">
        <f>IF(SER_hh_tes!G7=0,0,11630*1000*SER_hh_tes!G7/SER_hh_num!G7)</f>
        <v>19260.398234087654</v>
      </c>
      <c r="H7" s="132">
        <f>IF(SER_hh_tes!H7=0,0,11630*1000*SER_hh_tes!H7/SER_hh_num!H7)</f>
        <v>24861.307113570852</v>
      </c>
      <c r="I7" s="132">
        <f>IF(SER_hh_tes!I7=0,0,11630*1000*SER_hh_tes!I7/SER_hh_num!I7)</f>
        <v>27195.246155529858</v>
      </c>
      <c r="J7" s="132">
        <f>IF(SER_hh_tes!J7=0,0,11630*1000*SER_hh_tes!J7/SER_hh_num!J7)</f>
        <v>37289.815340854817</v>
      </c>
      <c r="K7" s="132">
        <f>IF(SER_hh_tes!K7=0,0,11630*1000*SER_hh_tes!K7/SER_hh_num!K7)</f>
        <v>30618.760286272172</v>
      </c>
      <c r="L7" s="132">
        <f>IF(SER_hh_tes!L7=0,0,11630*1000*SER_hh_tes!L7/SER_hh_num!L7)</f>
        <v>35845.510975702593</v>
      </c>
      <c r="M7" s="132">
        <f>IF(SER_hh_tes!M7=0,0,11630*1000*SER_hh_tes!M7/SER_hh_num!M7)</f>
        <v>35264.797795609316</v>
      </c>
      <c r="N7" s="132">
        <f>IF(SER_hh_tes!N7=0,0,11630*1000*SER_hh_tes!N7/SER_hh_num!N7)</f>
        <v>30563.269509033486</v>
      </c>
      <c r="O7" s="132">
        <f>IF(SER_hh_tes!O7=0,0,11630*1000*SER_hh_tes!O7/SER_hh_num!O7)</f>
        <v>35639.863422171562</v>
      </c>
      <c r="P7" s="132">
        <f>IF(SER_hh_tes!P7=0,0,11630*1000*SER_hh_tes!P7/SER_hh_num!P7)</f>
        <v>37713.039365113509</v>
      </c>
      <c r="Q7" s="132">
        <f>IF(SER_hh_tes!Q7=0,0,11630*1000*SER_hh_tes!Q7/SER_hh_num!Q7)</f>
        <v>36664.40524289207</v>
      </c>
      <c r="R7" s="132">
        <f>IF(SER_hh_tes!R7=0,0,11630*1000*SER_hh_tes!R7/SER_hh_num!R7)</f>
        <v>38859.139215978641</v>
      </c>
      <c r="S7" s="132">
        <f>IF(SER_hh_tes!S7=0,0,11630*1000*SER_hh_tes!S7/SER_hh_num!S7)</f>
        <v>47307.458267780996</v>
      </c>
      <c r="T7" s="132">
        <f>IF(SER_hh_tes!T7=0,0,11630*1000*SER_hh_tes!T7/SER_hh_num!T7)</f>
        <v>43817.754669641428</v>
      </c>
      <c r="U7" s="132">
        <f>IF(SER_hh_tes!U7=0,0,11630*1000*SER_hh_tes!U7/SER_hh_num!U7)</f>
        <v>52862.561981881714</v>
      </c>
      <c r="V7" s="132">
        <f>IF(SER_hh_tes!V7=0,0,11630*1000*SER_hh_tes!V7/SER_hh_num!V7)</f>
        <v>41943.949056741913</v>
      </c>
      <c r="W7" s="132">
        <f>IF(SER_hh_tes!W7=0,0,11630*1000*SER_hh_tes!W7/SER_hh_num!W7)</f>
        <v>47454.132669438121</v>
      </c>
      <c r="X7" s="132">
        <f>IF(SER_hh_tes!X7=0,0,11630*1000*SER_hh_tes!X7/SER_hh_num!X7)</f>
        <v>54407.523617307023</v>
      </c>
      <c r="Y7" s="132">
        <f>IF(SER_hh_tes!Y7=0,0,11630*1000*SER_hh_tes!Y7/SER_hh_num!Y7)</f>
        <v>56710.391303826036</v>
      </c>
      <c r="DA7" s="156" t="s">
        <v>419</v>
      </c>
    </row>
    <row r="8" spans="1:105" ht="12" customHeight="1" x14ac:dyDescent="0.25">
      <c r="A8" s="131" t="s">
        <v>73</v>
      </c>
      <c r="B8" s="132">
        <f>IF(SER_hh_tes!B8=0,0,11630*1000*SER_hh_tes!B8/SER_hh_num!B8)</f>
        <v>0</v>
      </c>
      <c r="C8" s="132">
        <f>IF(SER_hh_tes!C8=0,0,11630*1000*SER_hh_tes!C8/SER_hh_num!C8)</f>
        <v>0</v>
      </c>
      <c r="D8" s="132">
        <f>IF(SER_hh_tes!D8=0,0,11630*1000*SER_hh_tes!D8/SER_hh_num!D8)</f>
        <v>0</v>
      </c>
      <c r="E8" s="132">
        <f>IF(SER_hh_tes!E8=0,0,11630*1000*SER_hh_tes!E8/SER_hh_num!E8)</f>
        <v>0</v>
      </c>
      <c r="F8" s="132">
        <f>IF(SER_hh_tes!F8=0,0,11630*1000*SER_hh_tes!F8/SER_hh_num!F8)</f>
        <v>0</v>
      </c>
      <c r="G8" s="132">
        <f>IF(SER_hh_tes!G8=0,0,11630*1000*SER_hh_tes!G8/SER_hh_num!G8)</f>
        <v>0</v>
      </c>
      <c r="H8" s="132">
        <f>IF(SER_hh_tes!H8=0,0,11630*1000*SER_hh_tes!H8/SER_hh_num!H8)</f>
        <v>0</v>
      </c>
      <c r="I8" s="132">
        <f>IF(SER_hh_tes!I8=0,0,11630*1000*SER_hh_tes!I8/SER_hh_num!I8)</f>
        <v>0</v>
      </c>
      <c r="J8" s="132">
        <f>IF(SER_hh_tes!J8=0,0,11630*1000*SER_hh_tes!J8/SER_hh_num!J8)</f>
        <v>0</v>
      </c>
      <c r="K8" s="132">
        <f>IF(SER_hh_tes!K8=0,0,11630*1000*SER_hh_tes!K8/SER_hh_num!K8)</f>
        <v>0</v>
      </c>
      <c r="L8" s="132">
        <f>IF(SER_hh_tes!L8=0,0,11630*1000*SER_hh_tes!L8/SER_hh_num!L8)</f>
        <v>0</v>
      </c>
      <c r="M8" s="132">
        <f>IF(SER_hh_tes!M8=0,0,11630*1000*SER_hh_tes!M8/SER_hh_num!M8)</f>
        <v>0</v>
      </c>
      <c r="N8" s="132">
        <f>IF(SER_hh_tes!N8=0,0,11630*1000*SER_hh_tes!N8/SER_hh_num!N8)</f>
        <v>0</v>
      </c>
      <c r="O8" s="132">
        <f>IF(SER_hh_tes!O8=0,0,11630*1000*SER_hh_tes!O8/SER_hh_num!O8)</f>
        <v>0</v>
      </c>
      <c r="P8" s="132">
        <f>IF(SER_hh_tes!P8=0,0,11630*1000*SER_hh_tes!P8/SER_hh_num!P8)</f>
        <v>0</v>
      </c>
      <c r="Q8" s="132">
        <f>IF(SER_hh_tes!Q8=0,0,11630*1000*SER_hh_tes!Q8/SER_hh_num!Q8)</f>
        <v>0</v>
      </c>
      <c r="R8" s="132">
        <f>IF(SER_hh_tes!R8=0,0,11630*1000*SER_hh_tes!R8/SER_hh_num!R8)</f>
        <v>0</v>
      </c>
      <c r="S8" s="132">
        <f>IF(SER_hh_tes!S8=0,0,11630*1000*SER_hh_tes!S8/SER_hh_num!S8)</f>
        <v>0</v>
      </c>
      <c r="T8" s="132">
        <f>IF(SER_hh_tes!T8=0,0,11630*1000*SER_hh_tes!T8/SER_hh_num!T8)</f>
        <v>0</v>
      </c>
      <c r="U8" s="132">
        <f>IF(SER_hh_tes!U8=0,0,11630*1000*SER_hh_tes!U8/SER_hh_num!U8)</f>
        <v>0</v>
      </c>
      <c r="V8" s="132">
        <f>IF(SER_hh_tes!V8=0,0,11630*1000*SER_hh_tes!V8/SER_hh_num!V8)</f>
        <v>0</v>
      </c>
      <c r="W8" s="132">
        <f>IF(SER_hh_tes!W8=0,0,11630*1000*SER_hh_tes!W8/SER_hh_num!W8)</f>
        <v>0</v>
      </c>
      <c r="X8" s="132">
        <f>IF(SER_hh_tes!X8=0,0,11630*1000*SER_hh_tes!X8/SER_hh_num!X8)</f>
        <v>0</v>
      </c>
      <c r="Y8" s="132">
        <f>IF(SER_hh_tes!Y8=0,0,11630*1000*SER_hh_tes!Y8/SER_hh_num!Y8)</f>
        <v>0</v>
      </c>
      <c r="DA8" s="156" t="s">
        <v>420</v>
      </c>
    </row>
    <row r="9" spans="1:105" ht="12" customHeight="1" x14ac:dyDescent="0.25">
      <c r="A9" s="131" t="s">
        <v>78</v>
      </c>
      <c r="B9" s="132">
        <f>IF(SER_hh_tes!B9=0,0,11630*1000*SER_hh_tes!B9/SER_hh_num!B9)</f>
        <v>0</v>
      </c>
      <c r="C9" s="132">
        <f>IF(SER_hh_tes!C9=0,0,11630*1000*SER_hh_tes!C9/SER_hh_num!C9)</f>
        <v>0</v>
      </c>
      <c r="D9" s="132">
        <f>IF(SER_hh_tes!D9=0,0,11630*1000*SER_hh_tes!D9/SER_hh_num!D9)</f>
        <v>0</v>
      </c>
      <c r="E9" s="132">
        <f>IF(SER_hh_tes!E9=0,0,11630*1000*SER_hh_tes!E9/SER_hh_num!E9)</f>
        <v>0</v>
      </c>
      <c r="F9" s="132">
        <f>IF(SER_hh_tes!F9=0,0,11630*1000*SER_hh_tes!F9/SER_hh_num!F9)</f>
        <v>0</v>
      </c>
      <c r="G9" s="132">
        <f>IF(SER_hh_tes!G9=0,0,11630*1000*SER_hh_tes!G9/SER_hh_num!G9)</f>
        <v>0</v>
      </c>
      <c r="H9" s="132">
        <f>IF(SER_hh_tes!H9=0,0,11630*1000*SER_hh_tes!H9/SER_hh_num!H9)</f>
        <v>0</v>
      </c>
      <c r="I9" s="132">
        <f>IF(SER_hh_tes!I9=0,0,11630*1000*SER_hh_tes!I9/SER_hh_num!I9)</f>
        <v>0</v>
      </c>
      <c r="J9" s="132">
        <f>IF(SER_hh_tes!J9=0,0,11630*1000*SER_hh_tes!J9/SER_hh_num!J9)</f>
        <v>0</v>
      </c>
      <c r="K9" s="132">
        <f>IF(SER_hh_tes!K9=0,0,11630*1000*SER_hh_tes!K9/SER_hh_num!K9)</f>
        <v>48759.923390634263</v>
      </c>
      <c r="L9" s="132">
        <f>IF(SER_hh_tes!L9=0,0,11630*1000*SER_hh_tes!L9/SER_hh_num!L9)</f>
        <v>40520.288321148415</v>
      </c>
      <c r="M9" s="132">
        <f>IF(SER_hh_tes!M9=0,0,11630*1000*SER_hh_tes!M9/SER_hh_num!M9)</f>
        <v>33324.702429766541</v>
      </c>
      <c r="N9" s="132">
        <f>IF(SER_hh_tes!N9=0,0,11630*1000*SER_hh_tes!N9/SER_hh_num!N9)</f>
        <v>31924.075002717105</v>
      </c>
      <c r="O9" s="132">
        <f>IF(SER_hh_tes!O9=0,0,11630*1000*SER_hh_tes!O9/SER_hh_num!O9)</f>
        <v>32913.117253162229</v>
      </c>
      <c r="P9" s="132">
        <f>IF(SER_hh_tes!P9=0,0,11630*1000*SER_hh_tes!P9/SER_hh_num!P9)</f>
        <v>35707.299620245467</v>
      </c>
      <c r="Q9" s="132">
        <f>IF(SER_hh_tes!Q9=0,0,11630*1000*SER_hh_tes!Q9/SER_hh_num!Q9)</f>
        <v>35480.010469023298</v>
      </c>
      <c r="R9" s="132">
        <f>IF(SER_hh_tes!R9=0,0,11630*1000*SER_hh_tes!R9/SER_hh_num!R9)</f>
        <v>38167.252376758515</v>
      </c>
      <c r="S9" s="132">
        <f>IF(SER_hh_tes!S9=0,0,11630*1000*SER_hh_tes!S9/SER_hh_num!S9)</f>
        <v>30588.306359699247</v>
      </c>
      <c r="T9" s="132">
        <f>IF(SER_hh_tes!T9=0,0,11630*1000*SER_hh_tes!T9/SER_hh_num!T9)</f>
        <v>63530.189249882023</v>
      </c>
      <c r="U9" s="132">
        <f>IF(SER_hh_tes!U9=0,0,11630*1000*SER_hh_tes!U9/SER_hh_num!U9)</f>
        <v>72058.213594549496</v>
      </c>
      <c r="V9" s="132">
        <f>IF(SER_hh_tes!V9=0,0,11630*1000*SER_hh_tes!V9/SER_hh_num!V9)</f>
        <v>26586.475742912673</v>
      </c>
      <c r="W9" s="132">
        <f>IF(SER_hh_tes!W9=0,0,11630*1000*SER_hh_tes!W9/SER_hh_num!W9)</f>
        <v>30256.224515131569</v>
      </c>
      <c r="X9" s="132">
        <f>IF(SER_hh_tes!X9=0,0,11630*1000*SER_hh_tes!X9/SER_hh_num!X9)</f>
        <v>35685.780720224378</v>
      </c>
      <c r="Y9" s="132">
        <f>IF(SER_hh_tes!Y9=0,0,11630*1000*SER_hh_tes!Y9/SER_hh_num!Y9)</f>
        <v>50787.085896405602</v>
      </c>
      <c r="DA9" s="156" t="s">
        <v>421</v>
      </c>
    </row>
    <row r="10" spans="1:105" ht="12" customHeight="1" x14ac:dyDescent="0.25">
      <c r="A10" s="131" t="s">
        <v>128</v>
      </c>
      <c r="B10" s="132">
        <f>IF(SER_hh_tes!B10=0,0,11630*1000*SER_hh_tes!B10/SER_hh_num!B10)</f>
        <v>0</v>
      </c>
      <c r="C10" s="132">
        <f>IF(SER_hh_tes!C10=0,0,11630*1000*SER_hh_tes!C10/SER_hh_num!C10)</f>
        <v>0</v>
      </c>
      <c r="D10" s="132">
        <f>IF(SER_hh_tes!D10=0,0,11630*1000*SER_hh_tes!D10/SER_hh_num!D10)</f>
        <v>0</v>
      </c>
      <c r="E10" s="132">
        <f>IF(SER_hh_tes!E10=0,0,11630*1000*SER_hh_tes!E10/SER_hh_num!E10)</f>
        <v>0</v>
      </c>
      <c r="F10" s="132">
        <f>IF(SER_hh_tes!F10=0,0,11630*1000*SER_hh_tes!F10/SER_hh_num!F10)</f>
        <v>0</v>
      </c>
      <c r="G10" s="132">
        <f>IF(SER_hh_tes!G10=0,0,11630*1000*SER_hh_tes!G10/SER_hh_num!G10)</f>
        <v>0</v>
      </c>
      <c r="H10" s="132">
        <f>IF(SER_hh_tes!H10=0,0,11630*1000*SER_hh_tes!H10/SER_hh_num!H10)</f>
        <v>0</v>
      </c>
      <c r="I10" s="132">
        <f>IF(SER_hh_tes!I10=0,0,11630*1000*SER_hh_tes!I10/SER_hh_num!I10)</f>
        <v>18924.117182587332</v>
      </c>
      <c r="J10" s="132">
        <f>IF(SER_hh_tes!J10=0,0,11630*1000*SER_hh_tes!J10/SER_hh_num!J10)</f>
        <v>50127.049879888225</v>
      </c>
      <c r="K10" s="132">
        <f>IF(SER_hh_tes!K10=0,0,11630*1000*SER_hh_tes!K10/SER_hh_num!K10)</f>
        <v>58584.574501381743</v>
      </c>
      <c r="L10" s="132">
        <f>IF(SER_hh_tes!L10=0,0,11630*1000*SER_hh_tes!L10/SER_hh_num!L10)</f>
        <v>16967.894885029404</v>
      </c>
      <c r="M10" s="132">
        <f>IF(SER_hh_tes!M10=0,0,11630*1000*SER_hh_tes!M10/SER_hh_num!M10)</f>
        <v>29196.22738759976</v>
      </c>
      <c r="N10" s="132">
        <f>IF(SER_hh_tes!N10=0,0,11630*1000*SER_hh_tes!N10/SER_hh_num!N10)</f>
        <v>38209.675295927402</v>
      </c>
      <c r="O10" s="132">
        <f>IF(SER_hh_tes!O10=0,0,11630*1000*SER_hh_tes!O10/SER_hh_num!O10)</f>
        <v>30212.51590292406</v>
      </c>
      <c r="P10" s="132">
        <f>IF(SER_hh_tes!P10=0,0,11630*1000*SER_hh_tes!P10/SER_hh_num!P10)</f>
        <v>24601.981600140502</v>
      </c>
      <c r="Q10" s="132">
        <f>IF(SER_hh_tes!Q10=0,0,11630*1000*SER_hh_tes!Q10/SER_hh_num!Q10)</f>
        <v>52976.691791754078</v>
      </c>
      <c r="R10" s="132">
        <f>IF(SER_hh_tes!R10=0,0,11630*1000*SER_hh_tes!R10/SER_hh_num!R10)</f>
        <v>40162.349270427025</v>
      </c>
      <c r="S10" s="132">
        <f>IF(SER_hh_tes!S10=0,0,11630*1000*SER_hh_tes!S10/SER_hh_num!S10)</f>
        <v>57798.363529126902</v>
      </c>
      <c r="T10" s="132">
        <f>IF(SER_hh_tes!T10=0,0,11630*1000*SER_hh_tes!T10/SER_hh_num!T10)</f>
        <v>43453.74102369172</v>
      </c>
      <c r="U10" s="132">
        <f>IF(SER_hh_tes!U10=0,0,11630*1000*SER_hh_tes!U10/SER_hh_num!U10)</f>
        <v>28277.198596433253</v>
      </c>
      <c r="V10" s="132">
        <f>IF(SER_hh_tes!V10=0,0,11630*1000*SER_hh_tes!V10/SER_hh_num!V10)</f>
        <v>24968.781130538559</v>
      </c>
      <c r="W10" s="132">
        <f>IF(SER_hh_tes!W10=0,0,11630*1000*SER_hh_tes!W10/SER_hh_num!W10)</f>
        <v>70137.713366152981</v>
      </c>
      <c r="X10" s="132">
        <f>IF(SER_hh_tes!X10=0,0,11630*1000*SER_hh_tes!X10/SER_hh_num!X10)</f>
        <v>75590.679927507663</v>
      </c>
      <c r="Y10" s="132">
        <f>IF(SER_hh_tes!Y10=0,0,11630*1000*SER_hh_tes!Y10/SER_hh_num!Y10)</f>
        <v>47847.308100285954</v>
      </c>
      <c r="DA10" s="156" t="s">
        <v>422</v>
      </c>
    </row>
    <row r="11" spans="1:105" ht="12" customHeight="1" x14ac:dyDescent="0.25">
      <c r="A11" s="131" t="s">
        <v>25</v>
      </c>
      <c r="B11" s="132">
        <f>IF(SER_hh_tes!B11=0,0,11630*1000*SER_hh_tes!B11/SER_hh_num!B11)</f>
        <v>0</v>
      </c>
      <c r="C11" s="132">
        <f>IF(SER_hh_tes!C11=0,0,11630*1000*SER_hh_tes!C11/SER_hh_num!C11)</f>
        <v>0</v>
      </c>
      <c r="D11" s="132">
        <f>IF(SER_hh_tes!D11=0,0,11630*1000*SER_hh_tes!D11/SER_hh_num!D11)</f>
        <v>0</v>
      </c>
      <c r="E11" s="132">
        <f>IF(SER_hh_tes!E11=0,0,11630*1000*SER_hh_tes!E11/SER_hh_num!E11)</f>
        <v>0</v>
      </c>
      <c r="F11" s="132">
        <f>IF(SER_hh_tes!F11=0,0,11630*1000*SER_hh_tes!F11/SER_hh_num!F11)</f>
        <v>0</v>
      </c>
      <c r="G11" s="132">
        <f>IF(SER_hh_tes!G11=0,0,11630*1000*SER_hh_tes!G11/SER_hh_num!G11)</f>
        <v>0</v>
      </c>
      <c r="H11" s="132">
        <f>IF(SER_hh_tes!H11=0,0,11630*1000*SER_hh_tes!H11/SER_hh_num!H11)</f>
        <v>0</v>
      </c>
      <c r="I11" s="132">
        <f>IF(SER_hh_tes!I11=0,0,11630*1000*SER_hh_tes!I11/SER_hh_num!I11)</f>
        <v>0</v>
      </c>
      <c r="J11" s="132">
        <f>IF(SER_hh_tes!J11=0,0,11630*1000*SER_hh_tes!J11/SER_hh_num!J11)</f>
        <v>0</v>
      </c>
      <c r="K11" s="132">
        <f>IF(SER_hh_tes!K11=0,0,11630*1000*SER_hh_tes!K11/SER_hh_num!K11)</f>
        <v>0</v>
      </c>
      <c r="L11" s="132">
        <f>IF(SER_hh_tes!L11=0,0,11630*1000*SER_hh_tes!L11/SER_hh_num!L11)</f>
        <v>0</v>
      </c>
      <c r="M11" s="132">
        <f>IF(SER_hh_tes!M11=0,0,11630*1000*SER_hh_tes!M11/SER_hh_num!M11)</f>
        <v>0</v>
      </c>
      <c r="N11" s="132">
        <f>IF(SER_hh_tes!N11=0,0,11630*1000*SER_hh_tes!N11/SER_hh_num!N11)</f>
        <v>0</v>
      </c>
      <c r="O11" s="132">
        <f>IF(SER_hh_tes!O11=0,0,11630*1000*SER_hh_tes!O11/SER_hh_num!O11)</f>
        <v>0</v>
      </c>
      <c r="P11" s="132">
        <f>IF(SER_hh_tes!P11=0,0,11630*1000*SER_hh_tes!P11/SER_hh_num!P11)</f>
        <v>0</v>
      </c>
      <c r="Q11" s="132">
        <f>IF(SER_hh_tes!Q11=0,0,11630*1000*SER_hh_tes!Q11/SER_hh_num!Q11)</f>
        <v>0</v>
      </c>
      <c r="R11" s="132">
        <f>IF(SER_hh_tes!R11=0,0,11630*1000*SER_hh_tes!R11/SER_hh_num!R11)</f>
        <v>0</v>
      </c>
      <c r="S11" s="132">
        <f>IF(SER_hh_tes!S11=0,0,11630*1000*SER_hh_tes!S11/SER_hh_num!S11)</f>
        <v>0</v>
      </c>
      <c r="T11" s="132">
        <f>IF(SER_hh_tes!T11=0,0,11630*1000*SER_hh_tes!T11/SER_hh_num!T11)</f>
        <v>0</v>
      </c>
      <c r="U11" s="132">
        <f>IF(SER_hh_tes!U11=0,0,11630*1000*SER_hh_tes!U11/SER_hh_num!U11)</f>
        <v>0</v>
      </c>
      <c r="V11" s="132">
        <f>IF(SER_hh_tes!V11=0,0,11630*1000*SER_hh_tes!V11/SER_hh_num!V11)</f>
        <v>0</v>
      </c>
      <c r="W11" s="132">
        <f>IF(SER_hh_tes!W11=0,0,11630*1000*SER_hh_tes!W11/SER_hh_num!W11)</f>
        <v>0</v>
      </c>
      <c r="X11" s="132">
        <f>IF(SER_hh_tes!X11=0,0,11630*1000*SER_hh_tes!X11/SER_hh_num!X11)</f>
        <v>0</v>
      </c>
      <c r="Y11" s="132">
        <f>IF(SER_hh_tes!Y11=0,0,11630*1000*SER_hh_tes!Y11/SER_hh_num!Y11)</f>
        <v>0</v>
      </c>
      <c r="DA11" s="156" t="s">
        <v>423</v>
      </c>
    </row>
    <row r="12" spans="1:105" ht="12" customHeight="1" x14ac:dyDescent="0.25">
      <c r="A12" s="131" t="s">
        <v>162</v>
      </c>
      <c r="B12" s="132">
        <f>IF(SER_hh_tes!B12=0,0,11630*1000*SER_hh_tes!B12/SER_hh_num!B12)</f>
        <v>0</v>
      </c>
      <c r="C12" s="132">
        <f>IF(SER_hh_tes!C12=0,0,11630*1000*SER_hh_tes!C12/SER_hh_num!C12)</f>
        <v>0</v>
      </c>
      <c r="D12" s="132">
        <f>IF(SER_hh_tes!D12=0,0,11630*1000*SER_hh_tes!D12/SER_hh_num!D12)</f>
        <v>0</v>
      </c>
      <c r="E12" s="132">
        <f>IF(SER_hh_tes!E12=0,0,11630*1000*SER_hh_tes!E12/SER_hh_num!E12)</f>
        <v>0</v>
      </c>
      <c r="F12" s="132">
        <f>IF(SER_hh_tes!F12=0,0,11630*1000*SER_hh_tes!F12/SER_hh_num!F12)</f>
        <v>0</v>
      </c>
      <c r="G12" s="132">
        <f>IF(SER_hh_tes!G12=0,0,11630*1000*SER_hh_tes!G12/SER_hh_num!G12)</f>
        <v>0</v>
      </c>
      <c r="H12" s="132">
        <f>IF(SER_hh_tes!H12=0,0,11630*1000*SER_hh_tes!H12/SER_hh_num!H12)</f>
        <v>0</v>
      </c>
      <c r="I12" s="132">
        <f>IF(SER_hh_tes!I12=0,0,11630*1000*SER_hh_tes!I12/SER_hh_num!I12)</f>
        <v>0</v>
      </c>
      <c r="J12" s="132">
        <f>IF(SER_hh_tes!J12=0,0,11630*1000*SER_hh_tes!J12/SER_hh_num!J12)</f>
        <v>0</v>
      </c>
      <c r="K12" s="132">
        <f>IF(SER_hh_tes!K12=0,0,11630*1000*SER_hh_tes!K12/SER_hh_num!K12)</f>
        <v>0</v>
      </c>
      <c r="L12" s="132">
        <f>IF(SER_hh_tes!L12=0,0,11630*1000*SER_hh_tes!L12/SER_hh_num!L12)</f>
        <v>0</v>
      </c>
      <c r="M12" s="132">
        <f>IF(SER_hh_tes!M12=0,0,11630*1000*SER_hh_tes!M12/SER_hh_num!M12)</f>
        <v>0</v>
      </c>
      <c r="N12" s="132">
        <f>IF(SER_hh_tes!N12=0,0,11630*1000*SER_hh_tes!N12/SER_hh_num!N12)</f>
        <v>0</v>
      </c>
      <c r="O12" s="132">
        <f>IF(SER_hh_tes!O12=0,0,11630*1000*SER_hh_tes!O12/SER_hh_num!O12)</f>
        <v>0</v>
      </c>
      <c r="P12" s="132">
        <f>IF(SER_hh_tes!P12=0,0,11630*1000*SER_hh_tes!P12/SER_hh_num!P12)</f>
        <v>0</v>
      </c>
      <c r="Q12" s="132">
        <f>IF(SER_hh_tes!Q12=0,0,11630*1000*SER_hh_tes!Q12/SER_hh_num!Q12)</f>
        <v>0</v>
      </c>
      <c r="R12" s="132">
        <f>IF(SER_hh_tes!R12=0,0,11630*1000*SER_hh_tes!R12/SER_hh_num!R12)</f>
        <v>0</v>
      </c>
      <c r="S12" s="132">
        <f>IF(SER_hh_tes!S12=0,0,11630*1000*SER_hh_tes!S12/SER_hh_num!S12)</f>
        <v>0</v>
      </c>
      <c r="T12" s="132">
        <f>IF(SER_hh_tes!T12=0,0,11630*1000*SER_hh_tes!T12/SER_hh_num!T12)</f>
        <v>0</v>
      </c>
      <c r="U12" s="132">
        <f>IF(SER_hh_tes!U12=0,0,11630*1000*SER_hh_tes!U12/SER_hh_num!U12)</f>
        <v>0</v>
      </c>
      <c r="V12" s="132">
        <f>IF(SER_hh_tes!V12=0,0,11630*1000*SER_hh_tes!V12/SER_hh_num!V12)</f>
        <v>0</v>
      </c>
      <c r="W12" s="132">
        <f>IF(SER_hh_tes!W12=0,0,11630*1000*SER_hh_tes!W12/SER_hh_num!W12)</f>
        <v>0</v>
      </c>
      <c r="X12" s="132">
        <f>IF(SER_hh_tes!X12=0,0,11630*1000*SER_hh_tes!X12/SER_hh_num!X12)</f>
        <v>0</v>
      </c>
      <c r="Y12" s="132">
        <f>IF(SER_hh_tes!Y12=0,0,11630*1000*SER_hh_tes!Y12/SER_hh_num!Y12)</f>
        <v>0</v>
      </c>
      <c r="DA12" s="156" t="s">
        <v>424</v>
      </c>
    </row>
    <row r="13" spans="1:105" ht="12" customHeight="1" x14ac:dyDescent="0.25">
      <c r="A13" s="131" t="s">
        <v>77</v>
      </c>
      <c r="B13" s="132">
        <f>IF(SER_hh_tes!B13=0,0,11630*1000*SER_hh_tes!B13/SER_hh_num!B13)</f>
        <v>6601.3263620640382</v>
      </c>
      <c r="C13" s="132">
        <f>IF(SER_hh_tes!C13=0,0,11630*1000*SER_hh_tes!C13/SER_hh_num!C13)</f>
        <v>13953.088466722513</v>
      </c>
      <c r="D13" s="132">
        <f>IF(SER_hh_tes!D13=0,0,11630*1000*SER_hh_tes!D13/SER_hh_num!D13)</f>
        <v>15483.447831753647</v>
      </c>
      <c r="E13" s="132">
        <f>IF(SER_hh_tes!E13=0,0,11630*1000*SER_hh_tes!E13/SER_hh_num!E13)</f>
        <v>16202.22486233155</v>
      </c>
      <c r="F13" s="132">
        <f>IF(SER_hh_tes!F13=0,0,11630*1000*SER_hh_tes!F13/SER_hh_num!F13)</f>
        <v>18652.742831808173</v>
      </c>
      <c r="G13" s="132">
        <f>IF(SER_hh_tes!G13=0,0,11630*1000*SER_hh_tes!G13/SER_hh_num!G13)</f>
        <v>22547.402449387209</v>
      </c>
      <c r="H13" s="132">
        <f>IF(SER_hh_tes!H13=0,0,11630*1000*SER_hh_tes!H13/SER_hh_num!H13)</f>
        <v>26338.104749860544</v>
      </c>
      <c r="I13" s="132">
        <f>IF(SER_hh_tes!I13=0,0,11630*1000*SER_hh_tes!I13/SER_hh_num!I13)</f>
        <v>29677.48769718449</v>
      </c>
      <c r="J13" s="132">
        <f>IF(SER_hh_tes!J13=0,0,11630*1000*SER_hh_tes!J13/SER_hh_num!J13)</f>
        <v>31329.108012018034</v>
      </c>
      <c r="K13" s="132">
        <f>IF(SER_hh_tes!K13=0,0,11630*1000*SER_hh_tes!K13/SER_hh_num!K13)</f>
        <v>34818.949615763464</v>
      </c>
      <c r="L13" s="132">
        <f>IF(SER_hh_tes!L13=0,0,11630*1000*SER_hh_tes!L13/SER_hh_num!L13)</f>
        <v>31166.691347194534</v>
      </c>
      <c r="M13" s="132">
        <f>IF(SER_hh_tes!M13=0,0,11630*1000*SER_hh_tes!M13/SER_hh_num!M13)</f>
        <v>27425.795153628515</v>
      </c>
      <c r="N13" s="132">
        <f>IF(SER_hh_tes!N13=0,0,11630*1000*SER_hh_tes!N13/SER_hh_num!N13)</f>
        <v>28001.059358031565</v>
      </c>
      <c r="O13" s="132">
        <f>IF(SER_hh_tes!O13=0,0,11630*1000*SER_hh_tes!O13/SER_hh_num!O13)</f>
        <v>40456.881817982059</v>
      </c>
      <c r="P13" s="132">
        <f>IF(SER_hh_tes!P13=0,0,11630*1000*SER_hh_tes!P13/SER_hh_num!P13)</f>
        <v>37962.38690493891</v>
      </c>
      <c r="Q13" s="132">
        <f>IF(SER_hh_tes!Q13=0,0,11630*1000*SER_hh_tes!Q13/SER_hh_num!Q13)</f>
        <v>41568.122038695881</v>
      </c>
      <c r="R13" s="132">
        <f>IF(SER_hh_tes!R13=0,0,11630*1000*SER_hh_tes!R13/SER_hh_num!R13)</f>
        <v>41222.868499567121</v>
      </c>
      <c r="S13" s="132">
        <f>IF(SER_hh_tes!S13=0,0,11630*1000*SER_hh_tes!S13/SER_hh_num!S13)</f>
        <v>42042.192054928732</v>
      </c>
      <c r="T13" s="132">
        <f>IF(SER_hh_tes!T13=0,0,11630*1000*SER_hh_tes!T13/SER_hh_num!T13)</f>
        <v>42963.923842031152</v>
      </c>
      <c r="U13" s="132">
        <f>IF(SER_hh_tes!U13=0,0,11630*1000*SER_hh_tes!U13/SER_hh_num!U13)</f>
        <v>44518.970928053124</v>
      </c>
      <c r="V13" s="132">
        <f>IF(SER_hh_tes!V13=0,0,11630*1000*SER_hh_tes!V13/SER_hh_num!V13)</f>
        <v>41216.25719573276</v>
      </c>
      <c r="W13" s="132">
        <f>IF(SER_hh_tes!W13=0,0,11630*1000*SER_hh_tes!W13/SER_hh_num!W13)</f>
        <v>43416.99357669476</v>
      </c>
      <c r="X13" s="132">
        <f>IF(SER_hh_tes!X13=0,0,11630*1000*SER_hh_tes!X13/SER_hh_num!X13)</f>
        <v>47571.80118882691</v>
      </c>
      <c r="Y13" s="132">
        <f>IF(SER_hh_tes!Y13=0,0,11630*1000*SER_hh_tes!Y13/SER_hh_num!Y13)</f>
        <v>47945.363334801361</v>
      </c>
      <c r="DA13" s="156" t="s">
        <v>425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8539.5038645870318</v>
      </c>
      <c r="C14" s="65">
        <f>IF(SER_hh_tes!C14=0,0,11630*1000*SER_hh_tes!C14/SER_hh_num!C14)</f>
        <v>13734.121520224804</v>
      </c>
      <c r="D14" s="65">
        <f>IF(SER_hh_tes!D14=0,0,11630*1000*SER_hh_tes!D14/SER_hh_num!D14)</f>
        <v>17783.268389442681</v>
      </c>
      <c r="E14" s="65">
        <f>IF(SER_hh_tes!E14=0,0,11630*1000*SER_hh_tes!E14/SER_hh_num!E14)</f>
        <v>16351.196989883574</v>
      </c>
      <c r="F14" s="65">
        <f>IF(SER_hh_tes!F14=0,0,11630*1000*SER_hh_tes!F14/SER_hh_num!F14)</f>
        <v>17871.029647235853</v>
      </c>
      <c r="G14" s="65">
        <f>IF(SER_hh_tes!G14=0,0,11630*1000*SER_hh_tes!G14/SER_hh_num!G14)</f>
        <v>19457.884587602388</v>
      </c>
      <c r="H14" s="65">
        <f>IF(SER_hh_tes!H14=0,0,11630*1000*SER_hh_tes!H14/SER_hh_num!H14)</f>
        <v>29501.77560221589</v>
      </c>
      <c r="I14" s="65">
        <f>IF(SER_hh_tes!I14=0,0,11630*1000*SER_hh_tes!I14/SER_hh_num!I14)</f>
        <v>29393.371778293986</v>
      </c>
      <c r="J14" s="65">
        <f>IF(SER_hh_tes!J14=0,0,11630*1000*SER_hh_tes!J14/SER_hh_num!J14)</f>
        <v>32800.285918305075</v>
      </c>
      <c r="K14" s="65">
        <f>IF(SER_hh_tes!K14=0,0,11630*1000*SER_hh_tes!K14/SER_hh_num!K14)</f>
        <v>35753.579456388281</v>
      </c>
      <c r="L14" s="65">
        <f>IF(SER_hh_tes!L14=0,0,11630*1000*SER_hh_tes!L14/SER_hh_num!L14)</f>
        <v>39540.866578670655</v>
      </c>
      <c r="M14" s="65">
        <f>IF(SER_hh_tes!M14=0,0,11630*1000*SER_hh_tes!M14/SER_hh_num!M14)</f>
        <v>42120.132908522239</v>
      </c>
      <c r="N14" s="65">
        <f>IF(SER_hh_tes!N14=0,0,11630*1000*SER_hh_tes!N14/SER_hh_num!N14)</f>
        <v>30325.295205484668</v>
      </c>
      <c r="O14" s="65">
        <f>IF(SER_hh_tes!O14=0,0,11630*1000*SER_hh_tes!O14/SER_hh_num!O14)</f>
        <v>10679.839648478797</v>
      </c>
      <c r="P14" s="65">
        <f>IF(SER_hh_tes!P14=0,0,11630*1000*SER_hh_tes!P14/SER_hh_num!P14)</f>
        <v>31015.747872011649</v>
      </c>
      <c r="Q14" s="65">
        <f>IF(SER_hh_tes!Q14=0,0,11630*1000*SER_hh_tes!Q14/SER_hh_num!Q14)</f>
        <v>33658.699085579312</v>
      </c>
      <c r="R14" s="65">
        <f>IF(SER_hh_tes!R14=0,0,11630*1000*SER_hh_tes!R14/SER_hh_num!R14)</f>
        <v>53341.288064768414</v>
      </c>
      <c r="S14" s="65">
        <f>IF(SER_hh_tes!S14=0,0,11630*1000*SER_hh_tes!S14/SER_hh_num!S14)</f>
        <v>66796.461647601202</v>
      </c>
      <c r="T14" s="65">
        <f>IF(SER_hh_tes!T14=0,0,11630*1000*SER_hh_tes!T14/SER_hh_num!T14)</f>
        <v>68914.711847565806</v>
      </c>
      <c r="U14" s="65">
        <f>IF(SER_hh_tes!U14=0,0,11630*1000*SER_hh_tes!U14/SER_hh_num!U14)</f>
        <v>88469.021032843288</v>
      </c>
      <c r="V14" s="65">
        <f>IF(SER_hh_tes!V14=0,0,11630*1000*SER_hh_tes!V14/SER_hh_num!V14)</f>
        <v>36699.245673593177</v>
      </c>
      <c r="W14" s="65">
        <f>IF(SER_hh_tes!W14=0,0,11630*1000*SER_hh_tes!W14/SER_hh_num!W14)</f>
        <v>60678.498034652817</v>
      </c>
      <c r="X14" s="65">
        <f>IF(SER_hh_tes!X14=0,0,11630*1000*SER_hh_tes!X14/SER_hh_num!X14)</f>
        <v>80865.536344724009</v>
      </c>
      <c r="Y14" s="65">
        <f>IF(SER_hh_tes!Y14=0,0,11630*1000*SER_hh_tes!Y14/SER_hh_num!Y14)</f>
        <v>76805.734788025162</v>
      </c>
      <c r="DA14" s="109" t="s">
        <v>426</v>
      </c>
    </row>
    <row r="15" spans="1:105" ht="12" customHeight="1" x14ac:dyDescent="0.25">
      <c r="A15" s="133" t="s">
        <v>80</v>
      </c>
      <c r="B15" s="134">
        <f>IF(SER_hh_tes!B15=0,0,11630*1000*SER_hh_tes!B15/SER_hh_num!B15)</f>
        <v>217.02007694176945</v>
      </c>
      <c r="C15" s="134">
        <f>IF(SER_hh_tes!C15=0,0,11630*1000*SER_hh_tes!C15/SER_hh_num!C15)</f>
        <v>249.82738293015242</v>
      </c>
      <c r="D15" s="134">
        <f>IF(SER_hh_tes!D15=0,0,11630*1000*SER_hh_tes!D15/SER_hh_num!D15)</f>
        <v>277.01509410693808</v>
      </c>
      <c r="E15" s="134">
        <f>IF(SER_hh_tes!E15=0,0,11630*1000*SER_hh_tes!E15/SER_hh_num!E15)</f>
        <v>319.95735531671721</v>
      </c>
      <c r="F15" s="134">
        <f>IF(SER_hh_tes!F15=0,0,11630*1000*SER_hh_tes!F15/SER_hh_num!F15)</f>
        <v>325.30780523358021</v>
      </c>
      <c r="G15" s="134">
        <f>IF(SER_hh_tes!G15=0,0,11630*1000*SER_hh_tes!G15/SER_hh_num!G15)</f>
        <v>350.28104737717666</v>
      </c>
      <c r="H15" s="134">
        <f>IF(SER_hh_tes!H15=0,0,11630*1000*SER_hh_tes!H15/SER_hh_num!H15)</f>
        <v>444.96222913328859</v>
      </c>
      <c r="I15" s="134">
        <f>IF(SER_hh_tes!I15=0,0,11630*1000*SER_hh_tes!I15/SER_hh_num!I15)</f>
        <v>472.87313112904542</v>
      </c>
      <c r="J15" s="134">
        <f>IF(SER_hh_tes!J15=0,0,11630*1000*SER_hh_tes!J15/SER_hh_num!J15)</f>
        <v>644.78713719279438</v>
      </c>
      <c r="K15" s="134">
        <f>IF(SER_hh_tes!K15=0,0,11630*1000*SER_hh_tes!K15/SER_hh_num!K15)</f>
        <v>534.95378098766753</v>
      </c>
      <c r="L15" s="134">
        <f>IF(SER_hh_tes!L15=0,0,11630*1000*SER_hh_tes!L15/SER_hh_num!L15)</f>
        <v>604.81173372902811</v>
      </c>
      <c r="M15" s="134">
        <f>IF(SER_hh_tes!M15=0,0,11630*1000*SER_hh_tes!M15/SER_hh_num!M15)</f>
        <v>594.50790695176568</v>
      </c>
      <c r="N15" s="134">
        <f>IF(SER_hh_tes!N15=0,0,11630*1000*SER_hh_tes!N15/SER_hh_num!N15)</f>
        <v>516.74781877802809</v>
      </c>
      <c r="O15" s="134">
        <f>IF(SER_hh_tes!O15=0,0,11630*1000*SER_hh_tes!O15/SER_hh_num!O15)</f>
        <v>590.91803650457382</v>
      </c>
      <c r="P15" s="134">
        <f>IF(SER_hh_tes!P15=0,0,11630*1000*SER_hh_tes!P15/SER_hh_num!P15)</f>
        <v>612.94892001736719</v>
      </c>
      <c r="Q15" s="134">
        <f>IF(SER_hh_tes!Q15=0,0,11630*1000*SER_hh_tes!Q15/SER_hh_num!Q15)</f>
        <v>600.14647672530759</v>
      </c>
      <c r="R15" s="134">
        <f>IF(SER_hh_tes!R15=0,0,11630*1000*SER_hh_tes!R15/SER_hh_num!R15)</f>
        <v>619.26847423640811</v>
      </c>
      <c r="S15" s="134">
        <f>IF(SER_hh_tes!S15=0,0,11630*1000*SER_hh_tes!S15/SER_hh_num!S15)</f>
        <v>747.65753707207125</v>
      </c>
      <c r="T15" s="134">
        <f>IF(SER_hh_tes!T15=0,0,11630*1000*SER_hh_tes!T15/SER_hh_num!T15)</f>
        <v>715.83197028115842</v>
      </c>
      <c r="U15" s="134">
        <f>IF(SER_hh_tes!U15=0,0,11630*1000*SER_hh_tes!U15/SER_hh_num!U15)</f>
        <v>849.5368528843735</v>
      </c>
      <c r="V15" s="134">
        <f>IF(SER_hh_tes!V15=0,0,11630*1000*SER_hh_tes!V15/SER_hh_num!V15)</f>
        <v>650.28082604458439</v>
      </c>
      <c r="W15" s="134">
        <f>IF(SER_hh_tes!W15=0,0,11630*1000*SER_hh_tes!W15/SER_hh_num!W15)</f>
        <v>748.1630360264096</v>
      </c>
      <c r="X15" s="134">
        <f>IF(SER_hh_tes!X15=0,0,11630*1000*SER_hh_tes!X15/SER_hh_num!X15)</f>
        <v>854.3974804685904</v>
      </c>
      <c r="Y15" s="134">
        <f>IF(SER_hh_tes!Y15=0,0,11630*1000*SER_hh_tes!Y15/SER_hh_num!Y15)</f>
        <v>875.82589917048369</v>
      </c>
      <c r="DA15" s="157" t="s">
        <v>427</v>
      </c>
    </row>
    <row r="16" spans="1:105" ht="12.95" customHeight="1" x14ac:dyDescent="0.25">
      <c r="A16" s="129" t="s">
        <v>74</v>
      </c>
      <c r="B16" s="130">
        <f>IF(SER_hh_tes!B16=0,0,11630*1000*SER_hh_tes!B16/SER_hh_num!B16)</f>
        <v>82481.20500094966</v>
      </c>
      <c r="C16" s="130">
        <f>IF(SER_hh_tes!C16=0,0,11630*1000*SER_hh_tes!C16/SER_hh_num!C16)</f>
        <v>73484.423751325448</v>
      </c>
      <c r="D16" s="130">
        <f>IF(SER_hh_tes!D16=0,0,11630*1000*SER_hh_tes!D16/SER_hh_num!D16)</f>
        <v>71597.462106306673</v>
      </c>
      <c r="E16" s="130">
        <f>IF(SER_hh_tes!E16=0,0,11630*1000*SER_hh_tes!E16/SER_hh_num!E16)</f>
        <v>78076.547532109515</v>
      </c>
      <c r="F16" s="130">
        <f>IF(SER_hh_tes!F16=0,0,11630*1000*SER_hh_tes!F16/SER_hh_num!F16)</f>
        <v>65351.116327586329</v>
      </c>
      <c r="G16" s="130">
        <f>IF(SER_hh_tes!G16=0,0,11630*1000*SER_hh_tes!G16/SER_hh_num!G16)</f>
        <v>60400.911255664345</v>
      </c>
      <c r="H16" s="130">
        <f>IF(SER_hh_tes!H16=0,0,11630*1000*SER_hh_tes!H16/SER_hh_num!H16)</f>
        <v>70289.063266436788</v>
      </c>
      <c r="I16" s="130">
        <f>IF(SER_hh_tes!I16=0,0,11630*1000*SER_hh_tes!I16/SER_hh_num!I16)</f>
        <v>79654.473793098616</v>
      </c>
      <c r="J16" s="130">
        <f>IF(SER_hh_tes!J16=0,0,11630*1000*SER_hh_tes!J16/SER_hh_num!J16)</f>
        <v>82155.3722722487</v>
      </c>
      <c r="K16" s="130">
        <f>IF(SER_hh_tes!K16=0,0,11630*1000*SER_hh_tes!K16/SER_hh_num!K16)</f>
        <v>79700.593755456401</v>
      </c>
      <c r="L16" s="130">
        <f>IF(SER_hh_tes!L16=0,0,11630*1000*SER_hh_tes!L16/SER_hh_num!L16)</f>
        <v>84166.634220453881</v>
      </c>
      <c r="M16" s="130">
        <f>IF(SER_hh_tes!M16=0,0,11630*1000*SER_hh_tes!M16/SER_hh_num!M16)</f>
        <v>73125.110470643893</v>
      </c>
      <c r="N16" s="130">
        <f>IF(SER_hh_tes!N16=0,0,11630*1000*SER_hh_tes!N16/SER_hh_num!N16)</f>
        <v>89410.209974298239</v>
      </c>
      <c r="O16" s="130">
        <f>IF(SER_hh_tes!O16=0,0,11630*1000*SER_hh_tes!O16/SER_hh_num!O16)</f>
        <v>75800.81159680571</v>
      </c>
      <c r="P16" s="130">
        <f>IF(SER_hh_tes!P16=0,0,11630*1000*SER_hh_tes!P16/SER_hh_num!P16)</f>
        <v>68422.930122400474</v>
      </c>
      <c r="Q16" s="130">
        <f>IF(SER_hh_tes!Q16=0,0,11630*1000*SER_hh_tes!Q16/SER_hh_num!Q16)</f>
        <v>74946.3610879771</v>
      </c>
      <c r="R16" s="130">
        <f>IF(SER_hh_tes!R16=0,0,11630*1000*SER_hh_tes!R16/SER_hh_num!R16)</f>
        <v>86171.830029660166</v>
      </c>
      <c r="S16" s="130">
        <f>IF(SER_hh_tes!S16=0,0,11630*1000*SER_hh_tes!S16/SER_hh_num!S16)</f>
        <v>82476.448744089459</v>
      </c>
      <c r="T16" s="130">
        <f>IF(SER_hh_tes!T16=0,0,11630*1000*SER_hh_tes!T16/SER_hh_num!T16)</f>
        <v>105409.3336157108</v>
      </c>
      <c r="U16" s="130">
        <f>IF(SER_hh_tes!U16=0,0,11630*1000*SER_hh_tes!U16/SER_hh_num!U16)</f>
        <v>90027.117298524507</v>
      </c>
      <c r="V16" s="130">
        <f>IF(SER_hh_tes!V16=0,0,11630*1000*SER_hh_tes!V16/SER_hh_num!V16)</f>
        <v>94589.984718318869</v>
      </c>
      <c r="W16" s="130">
        <f>IF(SER_hh_tes!W16=0,0,11630*1000*SER_hh_tes!W16/SER_hh_num!W16)</f>
        <v>87263.010548294449</v>
      </c>
      <c r="X16" s="130">
        <f>IF(SER_hh_tes!X16=0,0,11630*1000*SER_hh_tes!X16/SER_hh_num!X16)</f>
        <v>83180.620319147332</v>
      </c>
      <c r="Y16" s="130">
        <f>IF(SER_hh_tes!Y16=0,0,11630*1000*SER_hh_tes!Y16/SER_hh_num!Y16)</f>
        <v>92999.9167573304</v>
      </c>
      <c r="DA16" s="155" t="s">
        <v>428</v>
      </c>
    </row>
    <row r="17" spans="1:105" ht="12.95" customHeight="1" x14ac:dyDescent="0.25">
      <c r="A17" s="131" t="s">
        <v>73</v>
      </c>
      <c r="B17" s="132">
        <f>IF(SER_hh_tes!B17=0,0,11630*1000*SER_hh_tes!B17/SER_hh_num!B17)</f>
        <v>0</v>
      </c>
      <c r="C17" s="132">
        <f>IF(SER_hh_tes!C17=0,0,11630*1000*SER_hh_tes!C17/SER_hh_num!C17)</f>
        <v>0</v>
      </c>
      <c r="D17" s="132">
        <f>IF(SER_hh_tes!D17=0,0,11630*1000*SER_hh_tes!D17/SER_hh_num!D17)</f>
        <v>0</v>
      </c>
      <c r="E17" s="132">
        <f>IF(SER_hh_tes!E17=0,0,11630*1000*SER_hh_tes!E17/SER_hh_num!E17)</f>
        <v>0</v>
      </c>
      <c r="F17" s="132">
        <f>IF(SER_hh_tes!F17=0,0,11630*1000*SER_hh_tes!F17/SER_hh_num!F17)</f>
        <v>0</v>
      </c>
      <c r="G17" s="132">
        <f>IF(SER_hh_tes!G17=0,0,11630*1000*SER_hh_tes!G17/SER_hh_num!G17)</f>
        <v>0</v>
      </c>
      <c r="H17" s="132">
        <f>IF(SER_hh_tes!H17=0,0,11630*1000*SER_hh_tes!H17/SER_hh_num!H17)</f>
        <v>0</v>
      </c>
      <c r="I17" s="132">
        <f>IF(SER_hh_tes!I17=0,0,11630*1000*SER_hh_tes!I17/SER_hh_num!I17)</f>
        <v>0</v>
      </c>
      <c r="J17" s="132">
        <f>IF(SER_hh_tes!J17=0,0,11630*1000*SER_hh_tes!J17/SER_hh_num!J17)</f>
        <v>0</v>
      </c>
      <c r="K17" s="132">
        <f>IF(SER_hh_tes!K17=0,0,11630*1000*SER_hh_tes!K17/SER_hh_num!K17)</f>
        <v>0</v>
      </c>
      <c r="L17" s="132">
        <f>IF(SER_hh_tes!L17=0,0,11630*1000*SER_hh_tes!L17/SER_hh_num!L17)</f>
        <v>0</v>
      </c>
      <c r="M17" s="132">
        <f>IF(SER_hh_tes!M17=0,0,11630*1000*SER_hh_tes!M17/SER_hh_num!M17)</f>
        <v>0</v>
      </c>
      <c r="N17" s="132">
        <f>IF(SER_hh_tes!N17=0,0,11630*1000*SER_hh_tes!N17/SER_hh_num!N17)</f>
        <v>0</v>
      </c>
      <c r="O17" s="132">
        <f>IF(SER_hh_tes!O17=0,0,11630*1000*SER_hh_tes!O17/SER_hh_num!O17)</f>
        <v>0</v>
      </c>
      <c r="P17" s="132">
        <f>IF(SER_hh_tes!P17=0,0,11630*1000*SER_hh_tes!P17/SER_hh_num!P17)</f>
        <v>0</v>
      </c>
      <c r="Q17" s="132">
        <f>IF(SER_hh_tes!Q17=0,0,11630*1000*SER_hh_tes!Q17/SER_hh_num!Q17)</f>
        <v>0</v>
      </c>
      <c r="R17" s="132">
        <f>IF(SER_hh_tes!R17=0,0,11630*1000*SER_hh_tes!R17/SER_hh_num!R17)</f>
        <v>0</v>
      </c>
      <c r="S17" s="132">
        <f>IF(SER_hh_tes!S17=0,0,11630*1000*SER_hh_tes!S17/SER_hh_num!S17)</f>
        <v>0</v>
      </c>
      <c r="T17" s="132">
        <f>IF(SER_hh_tes!T17=0,0,11630*1000*SER_hh_tes!T17/SER_hh_num!T17)</f>
        <v>0</v>
      </c>
      <c r="U17" s="132">
        <f>IF(SER_hh_tes!U17=0,0,11630*1000*SER_hh_tes!U17/SER_hh_num!U17)</f>
        <v>0</v>
      </c>
      <c r="V17" s="132">
        <f>IF(SER_hh_tes!V17=0,0,11630*1000*SER_hh_tes!V17/SER_hh_num!V17)</f>
        <v>0</v>
      </c>
      <c r="W17" s="132">
        <f>IF(SER_hh_tes!W17=0,0,11630*1000*SER_hh_tes!W17/SER_hh_num!W17)</f>
        <v>0</v>
      </c>
      <c r="X17" s="132">
        <f>IF(SER_hh_tes!X17=0,0,11630*1000*SER_hh_tes!X17/SER_hh_num!X17)</f>
        <v>0</v>
      </c>
      <c r="Y17" s="132">
        <f>IF(SER_hh_tes!Y17=0,0,11630*1000*SER_hh_tes!Y17/SER_hh_num!Y17)</f>
        <v>0</v>
      </c>
      <c r="DA17" s="156" t="s">
        <v>429</v>
      </c>
    </row>
    <row r="18" spans="1:105" ht="12" customHeight="1" x14ac:dyDescent="0.25">
      <c r="A18" s="131" t="s">
        <v>72</v>
      </c>
      <c r="B18" s="132">
        <f>IF(SER_hh_tes!B18=0,0,11630*1000*SER_hh_tes!B18/SER_hh_num!B18)</f>
        <v>82481.20500094966</v>
      </c>
      <c r="C18" s="132">
        <f>IF(SER_hh_tes!C18=0,0,11630*1000*SER_hh_tes!C18/SER_hh_num!C18)</f>
        <v>73484.423751325448</v>
      </c>
      <c r="D18" s="132">
        <f>IF(SER_hh_tes!D18=0,0,11630*1000*SER_hh_tes!D18/SER_hh_num!D18)</f>
        <v>71597.462106306673</v>
      </c>
      <c r="E18" s="132">
        <f>IF(SER_hh_tes!E18=0,0,11630*1000*SER_hh_tes!E18/SER_hh_num!E18)</f>
        <v>78076.547532109515</v>
      </c>
      <c r="F18" s="132">
        <f>IF(SER_hh_tes!F18=0,0,11630*1000*SER_hh_tes!F18/SER_hh_num!F18)</f>
        <v>65351.116327586329</v>
      </c>
      <c r="G18" s="132">
        <f>IF(SER_hh_tes!G18=0,0,11630*1000*SER_hh_tes!G18/SER_hh_num!G18)</f>
        <v>60400.911255664345</v>
      </c>
      <c r="H18" s="132">
        <f>IF(SER_hh_tes!H18=0,0,11630*1000*SER_hh_tes!H18/SER_hh_num!H18)</f>
        <v>70289.063266436788</v>
      </c>
      <c r="I18" s="132">
        <f>IF(SER_hh_tes!I18=0,0,11630*1000*SER_hh_tes!I18/SER_hh_num!I18)</f>
        <v>79654.473793098616</v>
      </c>
      <c r="J18" s="132">
        <f>IF(SER_hh_tes!J18=0,0,11630*1000*SER_hh_tes!J18/SER_hh_num!J18)</f>
        <v>82155.3722722487</v>
      </c>
      <c r="K18" s="132">
        <f>IF(SER_hh_tes!K18=0,0,11630*1000*SER_hh_tes!K18/SER_hh_num!K18)</f>
        <v>79700.593755456401</v>
      </c>
      <c r="L18" s="132">
        <f>IF(SER_hh_tes!L18=0,0,11630*1000*SER_hh_tes!L18/SER_hh_num!L18)</f>
        <v>84166.634220453881</v>
      </c>
      <c r="M18" s="132">
        <f>IF(SER_hh_tes!M18=0,0,11630*1000*SER_hh_tes!M18/SER_hh_num!M18)</f>
        <v>73125.110470643893</v>
      </c>
      <c r="N18" s="132">
        <f>IF(SER_hh_tes!N18=0,0,11630*1000*SER_hh_tes!N18/SER_hh_num!N18)</f>
        <v>89410.209974298239</v>
      </c>
      <c r="O18" s="132">
        <f>IF(SER_hh_tes!O18=0,0,11630*1000*SER_hh_tes!O18/SER_hh_num!O18)</f>
        <v>75800.81159680571</v>
      </c>
      <c r="P18" s="132">
        <f>IF(SER_hh_tes!P18=0,0,11630*1000*SER_hh_tes!P18/SER_hh_num!P18)</f>
        <v>68422.930122400474</v>
      </c>
      <c r="Q18" s="132">
        <f>IF(SER_hh_tes!Q18=0,0,11630*1000*SER_hh_tes!Q18/SER_hh_num!Q18)</f>
        <v>74946.3610879771</v>
      </c>
      <c r="R18" s="132">
        <f>IF(SER_hh_tes!R18=0,0,11630*1000*SER_hh_tes!R18/SER_hh_num!R18)</f>
        <v>86171.830029660166</v>
      </c>
      <c r="S18" s="132">
        <f>IF(SER_hh_tes!S18=0,0,11630*1000*SER_hh_tes!S18/SER_hh_num!S18)</f>
        <v>82476.448744089459</v>
      </c>
      <c r="T18" s="132">
        <f>IF(SER_hh_tes!T18=0,0,11630*1000*SER_hh_tes!T18/SER_hh_num!T18)</f>
        <v>105409.3336157108</v>
      </c>
      <c r="U18" s="132">
        <f>IF(SER_hh_tes!U18=0,0,11630*1000*SER_hh_tes!U18/SER_hh_num!U18)</f>
        <v>90027.117298524507</v>
      </c>
      <c r="V18" s="132">
        <f>IF(SER_hh_tes!V18=0,0,11630*1000*SER_hh_tes!V18/SER_hh_num!V18)</f>
        <v>94589.984718318869</v>
      </c>
      <c r="W18" s="132">
        <f>IF(SER_hh_tes!W18=0,0,11630*1000*SER_hh_tes!W18/SER_hh_num!W18)</f>
        <v>87263.010548294449</v>
      </c>
      <c r="X18" s="132">
        <f>IF(SER_hh_tes!X18=0,0,11630*1000*SER_hh_tes!X18/SER_hh_num!X18)</f>
        <v>83180.620319147332</v>
      </c>
      <c r="Y18" s="132">
        <f>IF(SER_hh_tes!Y18=0,0,11630*1000*SER_hh_tes!Y18/SER_hh_num!Y18)</f>
        <v>92999.9167573304</v>
      </c>
      <c r="DA18" s="156" t="s">
        <v>430</v>
      </c>
    </row>
    <row r="19" spans="1:105" ht="12.95" customHeight="1" x14ac:dyDescent="0.25">
      <c r="A19" s="129" t="s">
        <v>35</v>
      </c>
      <c r="B19" s="130">
        <f>IF(SER_hh_tes!B19=0,0,11630*1000*SER_hh_tes!B19/SER_hh_num!B19)</f>
        <v>11726.644504760779</v>
      </c>
      <c r="C19" s="130">
        <f>IF(SER_hh_tes!C19=0,0,11630*1000*SER_hh_tes!C19/SER_hh_num!C19)</f>
        <v>11608.007468020012</v>
      </c>
      <c r="D19" s="130">
        <f>IF(SER_hh_tes!D19=0,0,11630*1000*SER_hh_tes!D19/SER_hh_num!D19)</f>
        <v>11587.335564355581</v>
      </c>
      <c r="E19" s="130">
        <f>IF(SER_hh_tes!E19=0,0,11630*1000*SER_hh_tes!E19/SER_hh_num!E19)</f>
        <v>11557.449013777747</v>
      </c>
      <c r="F19" s="130">
        <f>IF(SER_hh_tes!F19=0,0,11630*1000*SER_hh_tes!F19/SER_hh_num!F19)</f>
        <v>11537.612568162544</v>
      </c>
      <c r="G19" s="130">
        <f>IF(SER_hh_tes!G19=0,0,11630*1000*SER_hh_tes!G19/SER_hh_num!G19)</f>
        <v>11576.133300269206</v>
      </c>
      <c r="H19" s="130">
        <f>IF(SER_hh_tes!H19=0,0,11630*1000*SER_hh_tes!H19/SER_hh_num!H19)</f>
        <v>11643.704627259103</v>
      </c>
      <c r="I19" s="130">
        <f>IF(SER_hh_tes!I19=0,0,11630*1000*SER_hh_tes!I19/SER_hh_num!I19)</f>
        <v>11654.64899713542</v>
      </c>
      <c r="J19" s="130">
        <f>IF(SER_hh_tes!J19=0,0,11630*1000*SER_hh_tes!J19/SER_hh_num!J19)</f>
        <v>11804.034714043271</v>
      </c>
      <c r="K19" s="130">
        <f>IF(SER_hh_tes!K19=0,0,11630*1000*SER_hh_tes!K19/SER_hh_num!K19)</f>
        <v>11708.812033857228</v>
      </c>
      <c r="L19" s="130">
        <f>IF(SER_hh_tes!L19=0,0,11630*1000*SER_hh_tes!L19/SER_hh_num!L19)</f>
        <v>11623.963859732155</v>
      </c>
      <c r="M19" s="130">
        <f>IF(SER_hh_tes!M19=0,0,11630*1000*SER_hh_tes!M19/SER_hh_num!M19)</f>
        <v>11611.765194747848</v>
      </c>
      <c r="N19" s="130">
        <f>IF(SER_hh_tes!N19=0,0,11630*1000*SER_hh_tes!N19/SER_hh_num!N19)</f>
        <v>11541.201456872048</v>
      </c>
      <c r="O19" s="130">
        <f>IF(SER_hh_tes!O19=0,0,11630*1000*SER_hh_tes!O19/SER_hh_num!O19)</f>
        <v>11569.683068835606</v>
      </c>
      <c r="P19" s="130">
        <f>IF(SER_hh_tes!P19=0,0,11630*1000*SER_hh_tes!P19/SER_hh_num!P19)</f>
        <v>11508.92098487192</v>
      </c>
      <c r="Q19" s="130">
        <f>IF(SER_hh_tes!Q19=0,0,11630*1000*SER_hh_tes!Q19/SER_hh_num!Q19)</f>
        <v>11565.901732265138</v>
      </c>
      <c r="R19" s="130">
        <f>IF(SER_hh_tes!R19=0,0,11630*1000*SER_hh_tes!R19/SER_hh_num!R19)</f>
        <v>11636.947417896097</v>
      </c>
      <c r="S19" s="130">
        <f>IF(SER_hh_tes!S19=0,0,11630*1000*SER_hh_tes!S19/SER_hh_num!S19)</f>
        <v>11460.788130452009</v>
      </c>
      <c r="T19" s="130">
        <f>IF(SER_hh_tes!T19=0,0,11630*1000*SER_hh_tes!T19/SER_hh_num!T19)</f>
        <v>11432.426250219203</v>
      </c>
      <c r="U19" s="130">
        <f>IF(SER_hh_tes!U19=0,0,11630*1000*SER_hh_tes!U19/SER_hh_num!U19)</f>
        <v>11271.001023969025</v>
      </c>
      <c r="V19" s="130">
        <f>IF(SER_hh_tes!V19=0,0,11630*1000*SER_hh_tes!V19/SER_hh_num!V19)</f>
        <v>10612.093417919354</v>
      </c>
      <c r="W19" s="130">
        <f>IF(SER_hh_tes!W19=0,0,11630*1000*SER_hh_tes!W19/SER_hh_num!W19)</f>
        <v>10706.309974373185</v>
      </c>
      <c r="X19" s="130">
        <f>IF(SER_hh_tes!X19=0,0,11630*1000*SER_hh_tes!X19/SER_hh_num!X19)</f>
        <v>11372.620215939318</v>
      </c>
      <c r="Y19" s="130">
        <f>IF(SER_hh_tes!Y19=0,0,11630*1000*SER_hh_tes!Y19/SER_hh_num!Y19)</f>
        <v>12090.052179442207</v>
      </c>
      <c r="DA19" s="155" t="s">
        <v>431</v>
      </c>
    </row>
    <row r="20" spans="1:105" ht="12" customHeight="1" x14ac:dyDescent="0.25">
      <c r="A20" s="131" t="s">
        <v>29</v>
      </c>
      <c r="B20" s="132">
        <f>IF(SER_hh_tes!B20=0,0,11630*1000*SER_hh_tes!B20/SER_hh_num!B20)</f>
        <v>0</v>
      </c>
      <c r="C20" s="132">
        <f>IF(SER_hh_tes!C20=0,0,11630*1000*SER_hh_tes!C20/SER_hh_num!C20)</f>
        <v>0</v>
      </c>
      <c r="D20" s="132">
        <f>IF(SER_hh_tes!D20=0,0,11630*1000*SER_hh_tes!D20/SER_hh_num!D20)</f>
        <v>0</v>
      </c>
      <c r="E20" s="132">
        <f>IF(SER_hh_tes!E20=0,0,11630*1000*SER_hh_tes!E20/SER_hh_num!E20)</f>
        <v>0</v>
      </c>
      <c r="F20" s="132">
        <f>IF(SER_hh_tes!F20=0,0,11630*1000*SER_hh_tes!F20/SER_hh_num!F20)</f>
        <v>0</v>
      </c>
      <c r="G20" s="132">
        <f>IF(SER_hh_tes!G20=0,0,11630*1000*SER_hh_tes!G20/SER_hh_num!G20)</f>
        <v>0</v>
      </c>
      <c r="H20" s="132">
        <f>IF(SER_hh_tes!H20=0,0,11630*1000*SER_hh_tes!H20/SER_hh_num!H20)</f>
        <v>0</v>
      </c>
      <c r="I20" s="132">
        <f>IF(SER_hh_tes!I20=0,0,11630*1000*SER_hh_tes!I20/SER_hh_num!I20)</f>
        <v>0</v>
      </c>
      <c r="J20" s="132">
        <f>IF(SER_hh_tes!J20=0,0,11630*1000*SER_hh_tes!J20/SER_hh_num!J20)</f>
        <v>0</v>
      </c>
      <c r="K20" s="132">
        <f>IF(SER_hh_tes!K20=0,0,11630*1000*SER_hh_tes!K20/SER_hh_num!K20)</f>
        <v>0</v>
      </c>
      <c r="L20" s="132">
        <f>IF(SER_hh_tes!L20=0,0,11630*1000*SER_hh_tes!L20/SER_hh_num!L20)</f>
        <v>0</v>
      </c>
      <c r="M20" s="132">
        <f>IF(SER_hh_tes!M20=0,0,11630*1000*SER_hh_tes!M20/SER_hh_num!M20)</f>
        <v>0</v>
      </c>
      <c r="N20" s="132">
        <f>IF(SER_hh_tes!N20=0,0,11630*1000*SER_hh_tes!N20/SER_hh_num!N20)</f>
        <v>0</v>
      </c>
      <c r="O20" s="132">
        <f>IF(SER_hh_tes!O20=0,0,11630*1000*SER_hh_tes!O20/SER_hh_num!O20)</f>
        <v>0</v>
      </c>
      <c r="P20" s="132">
        <f>IF(SER_hh_tes!P20=0,0,11630*1000*SER_hh_tes!P20/SER_hh_num!P20)</f>
        <v>0</v>
      </c>
      <c r="Q20" s="132">
        <f>IF(SER_hh_tes!Q20=0,0,11630*1000*SER_hh_tes!Q20/SER_hh_num!Q20)</f>
        <v>0</v>
      </c>
      <c r="R20" s="132">
        <f>IF(SER_hh_tes!R20=0,0,11630*1000*SER_hh_tes!R20/SER_hh_num!R20)</f>
        <v>0</v>
      </c>
      <c r="S20" s="132">
        <f>IF(SER_hh_tes!S20=0,0,11630*1000*SER_hh_tes!S20/SER_hh_num!S20)</f>
        <v>0</v>
      </c>
      <c r="T20" s="132">
        <f>IF(SER_hh_tes!T20=0,0,11630*1000*SER_hh_tes!T20/SER_hh_num!T20)</f>
        <v>0</v>
      </c>
      <c r="U20" s="132">
        <f>IF(SER_hh_tes!U20=0,0,11630*1000*SER_hh_tes!U20/SER_hh_num!U20)</f>
        <v>0</v>
      </c>
      <c r="V20" s="132">
        <f>IF(SER_hh_tes!V20=0,0,11630*1000*SER_hh_tes!V20/SER_hh_num!V20)</f>
        <v>0</v>
      </c>
      <c r="W20" s="132">
        <f>IF(SER_hh_tes!W20=0,0,11630*1000*SER_hh_tes!W20/SER_hh_num!W20)</f>
        <v>0</v>
      </c>
      <c r="X20" s="132">
        <f>IF(SER_hh_tes!X20=0,0,11630*1000*SER_hh_tes!X20/SER_hh_num!X20)</f>
        <v>0</v>
      </c>
      <c r="Y20" s="132">
        <f>IF(SER_hh_tes!Y20=0,0,11630*1000*SER_hh_tes!Y20/SER_hh_num!Y20)</f>
        <v>0</v>
      </c>
      <c r="DA20" s="156" t="s">
        <v>432</v>
      </c>
    </row>
    <row r="21" spans="1:105" s="2" customFormat="1" ht="12" customHeight="1" x14ac:dyDescent="0.25">
      <c r="A21" s="131" t="s">
        <v>52</v>
      </c>
      <c r="B21" s="132">
        <f>IF(SER_hh_tes!B21=0,0,11630*1000*SER_hh_tes!B21/SER_hh_num!B21)</f>
        <v>0</v>
      </c>
      <c r="C21" s="132">
        <f>IF(SER_hh_tes!C21=0,0,11630*1000*SER_hh_tes!C21/SER_hh_num!C21)</f>
        <v>0</v>
      </c>
      <c r="D21" s="132">
        <f>IF(SER_hh_tes!D21=0,0,11630*1000*SER_hh_tes!D21/SER_hh_num!D21)</f>
        <v>0</v>
      </c>
      <c r="E21" s="132">
        <f>IF(SER_hh_tes!E21=0,0,11630*1000*SER_hh_tes!E21/SER_hh_num!E21)</f>
        <v>0</v>
      </c>
      <c r="F21" s="132">
        <f>IF(SER_hh_tes!F21=0,0,11630*1000*SER_hh_tes!F21/SER_hh_num!F21)</f>
        <v>0</v>
      </c>
      <c r="G21" s="132">
        <f>IF(SER_hh_tes!G21=0,0,11630*1000*SER_hh_tes!G21/SER_hh_num!G21)</f>
        <v>0</v>
      </c>
      <c r="H21" s="132">
        <f>IF(SER_hh_tes!H21=0,0,11630*1000*SER_hh_tes!H21/SER_hh_num!H21)</f>
        <v>14740.033803597018</v>
      </c>
      <c r="I21" s="132">
        <f>IF(SER_hh_tes!I21=0,0,11630*1000*SER_hh_tes!I21/SER_hh_num!I21)</f>
        <v>11333.479428163077</v>
      </c>
      <c r="J21" s="132">
        <f>IF(SER_hh_tes!J21=0,0,11630*1000*SER_hh_tes!J21/SER_hh_num!J21)</f>
        <v>10165.087252985135</v>
      </c>
      <c r="K21" s="132">
        <f>IF(SER_hh_tes!K21=0,0,11630*1000*SER_hh_tes!K21/SER_hh_num!K21)</f>
        <v>10058.158211976212</v>
      </c>
      <c r="L21" s="132">
        <f>IF(SER_hh_tes!L21=0,0,11630*1000*SER_hh_tes!L21/SER_hh_num!L21)</f>
        <v>10305.9415759737</v>
      </c>
      <c r="M21" s="132">
        <f>IF(SER_hh_tes!M21=0,0,11630*1000*SER_hh_tes!M21/SER_hh_num!M21)</f>
        <v>10099.085797824455</v>
      </c>
      <c r="N21" s="132">
        <f>IF(SER_hh_tes!N21=0,0,11630*1000*SER_hh_tes!N21/SER_hh_num!N21)</f>
        <v>10089.376083731882</v>
      </c>
      <c r="O21" s="132">
        <f>IF(SER_hh_tes!O21=0,0,11630*1000*SER_hh_tes!O21/SER_hh_num!O21)</f>
        <v>10204.584394478059</v>
      </c>
      <c r="P21" s="132">
        <f>IF(SER_hh_tes!P21=0,0,11630*1000*SER_hh_tes!P21/SER_hh_num!P21)</f>
        <v>9732.8037550277804</v>
      </c>
      <c r="Q21" s="132">
        <f>IF(SER_hh_tes!Q21=0,0,11630*1000*SER_hh_tes!Q21/SER_hh_num!Q21)</f>
        <v>9773.1553955365598</v>
      </c>
      <c r="R21" s="132">
        <f>IF(SER_hh_tes!R21=0,0,11630*1000*SER_hh_tes!R21/SER_hh_num!R21)</f>
        <v>9949.8216595594276</v>
      </c>
      <c r="S21" s="132">
        <f>IF(SER_hh_tes!S21=0,0,11630*1000*SER_hh_tes!S21/SER_hh_num!S21)</f>
        <v>10038.957703479316</v>
      </c>
      <c r="T21" s="132">
        <f>IF(SER_hh_tes!T21=0,0,11630*1000*SER_hh_tes!T21/SER_hh_num!T21)</f>
        <v>9796.6060470249486</v>
      </c>
      <c r="U21" s="132">
        <f>IF(SER_hh_tes!U21=0,0,11630*1000*SER_hh_tes!U21/SER_hh_num!U21)</f>
        <v>10094.533806599957</v>
      </c>
      <c r="V21" s="132">
        <f>IF(SER_hh_tes!V21=0,0,11630*1000*SER_hh_tes!V21/SER_hh_num!V21)</f>
        <v>8921.5484350534243</v>
      </c>
      <c r="W21" s="132">
        <f>IF(SER_hh_tes!W21=0,0,11630*1000*SER_hh_tes!W21/SER_hh_num!W21)</f>
        <v>8897.3779688981631</v>
      </c>
      <c r="X21" s="132">
        <f>IF(SER_hh_tes!X21=0,0,11630*1000*SER_hh_tes!X21/SER_hh_num!X21)</f>
        <v>10597.839705828865</v>
      </c>
      <c r="Y21" s="132">
        <f>IF(SER_hh_tes!Y21=0,0,11630*1000*SER_hh_tes!Y21/SER_hh_num!Y21)</f>
        <v>10981.092567429223</v>
      </c>
      <c r="DA21" s="156" t="s">
        <v>433</v>
      </c>
    </row>
    <row r="22" spans="1:105" ht="12" customHeight="1" x14ac:dyDescent="0.25">
      <c r="A22" s="131" t="s">
        <v>161</v>
      </c>
      <c r="B22" s="132">
        <f>IF(SER_hh_tes!B22=0,0,11630*1000*SER_hh_tes!B22/SER_hh_num!B22)</f>
        <v>11116.647430683501</v>
      </c>
      <c r="C22" s="132">
        <f>IF(SER_hh_tes!C22=0,0,11630*1000*SER_hh_tes!C22/SER_hh_num!C22)</f>
        <v>11126.375957443142</v>
      </c>
      <c r="D22" s="132">
        <f>IF(SER_hh_tes!D22=0,0,11630*1000*SER_hh_tes!D22/SER_hh_num!D22)</f>
        <v>11097.862156538631</v>
      </c>
      <c r="E22" s="132">
        <f>IF(SER_hh_tes!E22=0,0,11630*1000*SER_hh_tes!E22/SER_hh_num!E22)</f>
        <v>10980.733805689377</v>
      </c>
      <c r="F22" s="132">
        <f>IF(SER_hh_tes!F22=0,0,11630*1000*SER_hh_tes!F22/SER_hh_num!F22)</f>
        <v>10961.660084862659</v>
      </c>
      <c r="G22" s="132">
        <f>IF(SER_hh_tes!G22=0,0,11630*1000*SER_hh_tes!G22/SER_hh_num!G22)</f>
        <v>10883.845939065975</v>
      </c>
      <c r="H22" s="132">
        <f>IF(SER_hh_tes!H22=0,0,11630*1000*SER_hh_tes!H22/SER_hh_num!H22)</f>
        <v>10589.105206189048</v>
      </c>
      <c r="I22" s="132">
        <f>IF(SER_hh_tes!I22=0,0,11630*1000*SER_hh_tes!I22/SER_hh_num!I22)</f>
        <v>10285.273108020974</v>
      </c>
      <c r="J22" s="132">
        <f>IF(SER_hh_tes!J22=0,0,11630*1000*SER_hh_tes!J22/SER_hh_num!J22)</f>
        <v>10104.86059636253</v>
      </c>
      <c r="K22" s="132">
        <f>IF(SER_hh_tes!K22=0,0,11630*1000*SER_hh_tes!K22/SER_hh_num!K22)</f>
        <v>10041.837450657369</v>
      </c>
      <c r="L22" s="132">
        <f>IF(SER_hh_tes!L22=0,0,11630*1000*SER_hh_tes!L22/SER_hh_num!L22)</f>
        <v>9955.1526111759067</v>
      </c>
      <c r="M22" s="132">
        <f>IF(SER_hh_tes!M22=0,0,11630*1000*SER_hh_tes!M22/SER_hh_num!M22)</f>
        <v>9966.1242839593906</v>
      </c>
      <c r="N22" s="132">
        <f>IF(SER_hh_tes!N22=0,0,11630*1000*SER_hh_tes!N22/SER_hh_num!N22)</f>
        <v>10050.58863144418</v>
      </c>
      <c r="O22" s="132">
        <f>IF(SER_hh_tes!O22=0,0,11630*1000*SER_hh_tes!O22/SER_hh_num!O22)</f>
        <v>9979.8917764350008</v>
      </c>
      <c r="P22" s="132">
        <f>IF(SER_hh_tes!P22=0,0,11630*1000*SER_hh_tes!P22/SER_hh_num!P22)</f>
        <v>9981.3605252148991</v>
      </c>
      <c r="Q22" s="132">
        <f>IF(SER_hh_tes!Q22=0,0,11630*1000*SER_hh_tes!Q22/SER_hh_num!Q22)</f>
        <v>9928.2975781033656</v>
      </c>
      <c r="R22" s="132">
        <f>IF(SER_hh_tes!R22=0,0,11630*1000*SER_hh_tes!R22/SER_hh_num!R22)</f>
        <v>9969.4586804954724</v>
      </c>
      <c r="S22" s="132">
        <f>IF(SER_hh_tes!S22=0,0,11630*1000*SER_hh_tes!S22/SER_hh_num!S22)</f>
        <v>9756.7360982769442</v>
      </c>
      <c r="T22" s="132">
        <f>IF(SER_hh_tes!T22=0,0,11630*1000*SER_hh_tes!T22/SER_hh_num!T22)</f>
        <v>9774.5545949722473</v>
      </c>
      <c r="U22" s="132">
        <f>IF(SER_hh_tes!U22=0,0,11630*1000*SER_hh_tes!U22/SER_hh_num!U22)</f>
        <v>9651.4630060565014</v>
      </c>
      <c r="V22" s="132">
        <f>IF(SER_hh_tes!V22=0,0,11630*1000*SER_hh_tes!V22/SER_hh_num!V22)</f>
        <v>8921.4829817427599</v>
      </c>
      <c r="W22" s="132">
        <f>IF(SER_hh_tes!W22=0,0,11630*1000*SER_hh_tes!W22/SER_hh_num!W22)</f>
        <v>9833.3218411911566</v>
      </c>
      <c r="X22" s="132">
        <f>IF(SER_hh_tes!X22=0,0,11630*1000*SER_hh_tes!X22/SER_hh_num!X22)</f>
        <v>11305.940875765922</v>
      </c>
      <c r="Y22" s="132">
        <f>IF(SER_hh_tes!Y22=0,0,11630*1000*SER_hh_tes!Y22/SER_hh_num!Y22)</f>
        <v>11666.435434987494</v>
      </c>
      <c r="DA22" s="156" t="s">
        <v>434</v>
      </c>
    </row>
    <row r="23" spans="1:105" ht="12" customHeight="1" x14ac:dyDescent="0.25">
      <c r="A23" s="131" t="s">
        <v>149</v>
      </c>
      <c r="B23" s="132">
        <f>IF(SER_hh_tes!B23=0,0,11630*1000*SER_hh_tes!B23/SER_hh_num!B23)</f>
        <v>0</v>
      </c>
      <c r="C23" s="132">
        <f>IF(SER_hh_tes!C23=0,0,11630*1000*SER_hh_tes!C23/SER_hh_num!C23)</f>
        <v>0</v>
      </c>
      <c r="D23" s="132">
        <f>IF(SER_hh_tes!D23=0,0,11630*1000*SER_hh_tes!D23/SER_hh_num!D23)</f>
        <v>0</v>
      </c>
      <c r="E23" s="132">
        <f>IF(SER_hh_tes!E23=0,0,11630*1000*SER_hh_tes!E23/SER_hh_num!E23)</f>
        <v>0</v>
      </c>
      <c r="F23" s="132">
        <f>IF(SER_hh_tes!F23=0,0,11630*1000*SER_hh_tes!F23/SER_hh_num!F23)</f>
        <v>0</v>
      </c>
      <c r="G23" s="132">
        <f>IF(SER_hh_tes!G23=0,0,11630*1000*SER_hh_tes!G23/SER_hh_num!G23)</f>
        <v>0</v>
      </c>
      <c r="H23" s="132">
        <f>IF(SER_hh_tes!H23=0,0,11630*1000*SER_hh_tes!H23/SER_hh_num!H23)</f>
        <v>0</v>
      </c>
      <c r="I23" s="132">
        <f>IF(SER_hh_tes!I23=0,0,11630*1000*SER_hh_tes!I23/SER_hh_num!I23)</f>
        <v>0</v>
      </c>
      <c r="J23" s="132">
        <f>IF(SER_hh_tes!J23=0,0,11630*1000*SER_hh_tes!J23/SER_hh_num!J23)</f>
        <v>0</v>
      </c>
      <c r="K23" s="132">
        <f>IF(SER_hh_tes!K23=0,0,11630*1000*SER_hh_tes!K23/SER_hh_num!K23)</f>
        <v>0</v>
      </c>
      <c r="L23" s="132">
        <f>IF(SER_hh_tes!L23=0,0,11630*1000*SER_hh_tes!L23/SER_hh_num!L23)</f>
        <v>0</v>
      </c>
      <c r="M23" s="132">
        <f>IF(SER_hh_tes!M23=0,0,11630*1000*SER_hh_tes!M23/SER_hh_num!M23)</f>
        <v>0</v>
      </c>
      <c r="N23" s="132">
        <f>IF(SER_hh_tes!N23=0,0,11630*1000*SER_hh_tes!N23/SER_hh_num!N23)</f>
        <v>0</v>
      </c>
      <c r="O23" s="132">
        <f>IF(SER_hh_tes!O23=0,0,11630*1000*SER_hh_tes!O23/SER_hh_num!O23)</f>
        <v>0</v>
      </c>
      <c r="P23" s="132">
        <f>IF(SER_hh_tes!P23=0,0,11630*1000*SER_hh_tes!P23/SER_hh_num!P23)</f>
        <v>0</v>
      </c>
      <c r="Q23" s="132">
        <f>IF(SER_hh_tes!Q23=0,0,11630*1000*SER_hh_tes!Q23/SER_hh_num!Q23)</f>
        <v>0</v>
      </c>
      <c r="R23" s="132">
        <f>IF(SER_hh_tes!R23=0,0,11630*1000*SER_hh_tes!R23/SER_hh_num!R23)</f>
        <v>0</v>
      </c>
      <c r="S23" s="132">
        <f>IF(SER_hh_tes!S23=0,0,11630*1000*SER_hh_tes!S23/SER_hh_num!S23)</f>
        <v>0</v>
      </c>
      <c r="T23" s="132">
        <f>IF(SER_hh_tes!T23=0,0,11630*1000*SER_hh_tes!T23/SER_hh_num!T23)</f>
        <v>0</v>
      </c>
      <c r="U23" s="132">
        <f>IF(SER_hh_tes!U23=0,0,11630*1000*SER_hh_tes!U23/SER_hh_num!U23)</f>
        <v>0</v>
      </c>
      <c r="V23" s="132">
        <f>IF(SER_hh_tes!V23=0,0,11630*1000*SER_hh_tes!V23/SER_hh_num!V23)</f>
        <v>0</v>
      </c>
      <c r="W23" s="132">
        <f>IF(SER_hh_tes!W23=0,0,11630*1000*SER_hh_tes!W23/SER_hh_num!W23)</f>
        <v>0</v>
      </c>
      <c r="X23" s="132">
        <f>IF(SER_hh_tes!X23=0,0,11630*1000*SER_hh_tes!X23/SER_hh_num!X23)</f>
        <v>0</v>
      </c>
      <c r="Y23" s="132">
        <f>IF(SER_hh_tes!Y23=0,0,11630*1000*SER_hh_tes!Y23/SER_hh_num!Y23)</f>
        <v>0</v>
      </c>
      <c r="DA23" s="156" t="s">
        <v>435</v>
      </c>
    </row>
    <row r="24" spans="1:105" ht="12" customHeight="1" x14ac:dyDescent="0.25">
      <c r="A24" s="131" t="s">
        <v>128</v>
      </c>
      <c r="B24" s="132">
        <f>IF(SER_hh_tes!B24=0,0,11630*1000*SER_hh_tes!B24/SER_hh_num!B24)</f>
        <v>0</v>
      </c>
      <c r="C24" s="132">
        <f>IF(SER_hh_tes!C24=0,0,11630*1000*SER_hh_tes!C24/SER_hh_num!C24)</f>
        <v>0</v>
      </c>
      <c r="D24" s="132">
        <f>IF(SER_hh_tes!D24=0,0,11630*1000*SER_hh_tes!D24/SER_hh_num!D24)</f>
        <v>0</v>
      </c>
      <c r="E24" s="132">
        <f>IF(SER_hh_tes!E24=0,0,11630*1000*SER_hh_tes!E24/SER_hh_num!E24)</f>
        <v>0</v>
      </c>
      <c r="F24" s="132">
        <f>IF(SER_hh_tes!F24=0,0,11630*1000*SER_hh_tes!F24/SER_hh_num!F24)</f>
        <v>0</v>
      </c>
      <c r="G24" s="132">
        <f>IF(SER_hh_tes!G24=0,0,11630*1000*SER_hh_tes!G24/SER_hh_num!G24)</f>
        <v>0</v>
      </c>
      <c r="H24" s="132">
        <f>IF(SER_hh_tes!H24=0,0,11630*1000*SER_hh_tes!H24/SER_hh_num!H24)</f>
        <v>0</v>
      </c>
      <c r="I24" s="132">
        <f>IF(SER_hh_tes!I24=0,0,11630*1000*SER_hh_tes!I24/SER_hh_num!I24)</f>
        <v>0</v>
      </c>
      <c r="J24" s="132">
        <f>IF(SER_hh_tes!J24=0,0,11630*1000*SER_hh_tes!J24/SER_hh_num!J24)</f>
        <v>0</v>
      </c>
      <c r="K24" s="132">
        <f>IF(SER_hh_tes!K24=0,0,11630*1000*SER_hh_tes!K24/SER_hh_num!K24)</f>
        <v>0</v>
      </c>
      <c r="L24" s="132">
        <f>IF(SER_hh_tes!L24=0,0,11630*1000*SER_hh_tes!L24/SER_hh_num!L24)</f>
        <v>0</v>
      </c>
      <c r="M24" s="132">
        <f>IF(SER_hh_tes!M24=0,0,11630*1000*SER_hh_tes!M24/SER_hh_num!M24)</f>
        <v>0</v>
      </c>
      <c r="N24" s="132">
        <f>IF(SER_hh_tes!N24=0,0,11630*1000*SER_hh_tes!N24/SER_hh_num!N24)</f>
        <v>0</v>
      </c>
      <c r="O24" s="132">
        <f>IF(SER_hh_tes!O24=0,0,11630*1000*SER_hh_tes!O24/SER_hh_num!O24)</f>
        <v>0</v>
      </c>
      <c r="P24" s="132">
        <f>IF(SER_hh_tes!P24=0,0,11630*1000*SER_hh_tes!P24/SER_hh_num!P24)</f>
        <v>0</v>
      </c>
      <c r="Q24" s="132">
        <f>IF(SER_hh_tes!Q24=0,0,11630*1000*SER_hh_tes!Q24/SER_hh_num!Q24)</f>
        <v>0</v>
      </c>
      <c r="R24" s="132">
        <f>IF(SER_hh_tes!R24=0,0,11630*1000*SER_hh_tes!R24/SER_hh_num!R24)</f>
        <v>0</v>
      </c>
      <c r="S24" s="132">
        <f>IF(SER_hh_tes!S24=0,0,11630*1000*SER_hh_tes!S24/SER_hh_num!S24)</f>
        <v>0</v>
      </c>
      <c r="T24" s="132">
        <f>IF(SER_hh_tes!T24=0,0,11630*1000*SER_hh_tes!T24/SER_hh_num!T24)</f>
        <v>0</v>
      </c>
      <c r="U24" s="132">
        <f>IF(SER_hh_tes!U24=0,0,11630*1000*SER_hh_tes!U24/SER_hh_num!U24)</f>
        <v>0</v>
      </c>
      <c r="V24" s="132">
        <f>IF(SER_hh_tes!V24=0,0,11630*1000*SER_hh_tes!V24/SER_hh_num!V24)</f>
        <v>0</v>
      </c>
      <c r="W24" s="132">
        <f>IF(SER_hh_tes!W24=0,0,11630*1000*SER_hh_tes!W24/SER_hh_num!W24)</f>
        <v>0</v>
      </c>
      <c r="X24" s="132">
        <f>IF(SER_hh_tes!X24=0,0,11630*1000*SER_hh_tes!X24/SER_hh_num!X24)</f>
        <v>0</v>
      </c>
      <c r="Y24" s="132">
        <f>IF(SER_hh_tes!Y24=0,0,11630*1000*SER_hh_tes!Y24/SER_hh_num!Y24)</f>
        <v>0</v>
      </c>
      <c r="DA24" s="156" t="s">
        <v>436</v>
      </c>
    </row>
    <row r="25" spans="1:105" ht="12" customHeight="1" x14ac:dyDescent="0.25">
      <c r="A25" s="131" t="s">
        <v>162</v>
      </c>
      <c r="B25" s="132">
        <f>IF(SER_hh_tes!B25=0,0,11630*1000*SER_hh_tes!B25/SER_hh_num!B25)</f>
        <v>0</v>
      </c>
      <c r="C25" s="132">
        <f>IF(SER_hh_tes!C25=0,0,11630*1000*SER_hh_tes!C25/SER_hh_num!C25)</f>
        <v>0</v>
      </c>
      <c r="D25" s="132">
        <f>IF(SER_hh_tes!D25=0,0,11630*1000*SER_hh_tes!D25/SER_hh_num!D25)</f>
        <v>0</v>
      </c>
      <c r="E25" s="132">
        <f>IF(SER_hh_tes!E25=0,0,11630*1000*SER_hh_tes!E25/SER_hh_num!E25)</f>
        <v>0</v>
      </c>
      <c r="F25" s="132">
        <f>IF(SER_hh_tes!F25=0,0,11630*1000*SER_hh_tes!F25/SER_hh_num!F25)</f>
        <v>0</v>
      </c>
      <c r="G25" s="132">
        <f>IF(SER_hh_tes!G25=0,0,11630*1000*SER_hh_tes!G25/SER_hh_num!G25)</f>
        <v>0</v>
      </c>
      <c r="H25" s="132">
        <f>IF(SER_hh_tes!H25=0,0,11630*1000*SER_hh_tes!H25/SER_hh_num!H25)</f>
        <v>0</v>
      </c>
      <c r="I25" s="132">
        <f>IF(SER_hh_tes!I25=0,0,11630*1000*SER_hh_tes!I25/SER_hh_num!I25)</f>
        <v>0</v>
      </c>
      <c r="J25" s="132">
        <f>IF(SER_hh_tes!J25=0,0,11630*1000*SER_hh_tes!J25/SER_hh_num!J25)</f>
        <v>0</v>
      </c>
      <c r="K25" s="132">
        <f>IF(SER_hh_tes!K25=0,0,11630*1000*SER_hh_tes!K25/SER_hh_num!K25)</f>
        <v>0</v>
      </c>
      <c r="L25" s="132">
        <f>IF(SER_hh_tes!L25=0,0,11630*1000*SER_hh_tes!L25/SER_hh_num!L25)</f>
        <v>0</v>
      </c>
      <c r="M25" s="132">
        <f>IF(SER_hh_tes!M25=0,0,11630*1000*SER_hh_tes!M25/SER_hh_num!M25)</f>
        <v>0</v>
      </c>
      <c r="N25" s="132">
        <f>IF(SER_hh_tes!N25=0,0,11630*1000*SER_hh_tes!N25/SER_hh_num!N25)</f>
        <v>0</v>
      </c>
      <c r="O25" s="132">
        <f>IF(SER_hh_tes!O25=0,0,11630*1000*SER_hh_tes!O25/SER_hh_num!O25)</f>
        <v>0</v>
      </c>
      <c r="P25" s="132">
        <f>IF(SER_hh_tes!P25=0,0,11630*1000*SER_hh_tes!P25/SER_hh_num!P25)</f>
        <v>0</v>
      </c>
      <c r="Q25" s="132">
        <f>IF(SER_hh_tes!Q25=0,0,11630*1000*SER_hh_tes!Q25/SER_hh_num!Q25)</f>
        <v>0</v>
      </c>
      <c r="R25" s="132">
        <f>IF(SER_hh_tes!R25=0,0,11630*1000*SER_hh_tes!R25/SER_hh_num!R25)</f>
        <v>0</v>
      </c>
      <c r="S25" s="132">
        <f>IF(SER_hh_tes!S25=0,0,11630*1000*SER_hh_tes!S25/SER_hh_num!S25)</f>
        <v>0</v>
      </c>
      <c r="T25" s="132">
        <f>IF(SER_hh_tes!T25=0,0,11630*1000*SER_hh_tes!T25/SER_hh_num!T25)</f>
        <v>0</v>
      </c>
      <c r="U25" s="132">
        <f>IF(SER_hh_tes!U25=0,0,11630*1000*SER_hh_tes!U25/SER_hh_num!U25)</f>
        <v>0</v>
      </c>
      <c r="V25" s="132">
        <f>IF(SER_hh_tes!V25=0,0,11630*1000*SER_hh_tes!V25/SER_hh_num!V25)</f>
        <v>0</v>
      </c>
      <c r="W25" s="132">
        <f>IF(SER_hh_tes!W25=0,0,11630*1000*SER_hh_tes!W25/SER_hh_num!W25)</f>
        <v>0</v>
      </c>
      <c r="X25" s="132">
        <f>IF(SER_hh_tes!X25=0,0,11630*1000*SER_hh_tes!X25/SER_hh_num!X25)</f>
        <v>0</v>
      </c>
      <c r="Y25" s="132">
        <f>IF(SER_hh_tes!Y25=0,0,11630*1000*SER_hh_tes!Y25/SER_hh_num!Y25)</f>
        <v>0</v>
      </c>
      <c r="DA25" s="156" t="s">
        <v>437</v>
      </c>
    </row>
    <row r="26" spans="1:105" ht="12" customHeight="1" x14ac:dyDescent="0.25">
      <c r="A26" s="131" t="s">
        <v>24</v>
      </c>
      <c r="B26" s="65">
        <f>IF(SER_hh_tes!B26=0,0,11630*1000*SER_hh_tes!B26/SER_hh_num!B26)</f>
        <v>7880.1130047898841</v>
      </c>
      <c r="C26" s="65">
        <f>IF(SER_hh_tes!C26=0,0,11630*1000*SER_hh_tes!C26/SER_hh_num!C26)</f>
        <v>7949.2021365730989</v>
      </c>
      <c r="D26" s="65">
        <f>IF(SER_hh_tes!D26=0,0,11630*1000*SER_hh_tes!D26/SER_hh_num!D26)</f>
        <v>7898.3050737796293</v>
      </c>
      <c r="E26" s="65">
        <f>IF(SER_hh_tes!E26=0,0,11630*1000*SER_hh_tes!E26/SER_hh_num!E26)</f>
        <v>7837.1353822138271</v>
      </c>
      <c r="F26" s="65">
        <f>IF(SER_hh_tes!F26=0,0,11630*1000*SER_hh_tes!F26/SER_hh_num!F26)</f>
        <v>7549.1136997616723</v>
      </c>
      <c r="G26" s="65">
        <f>IF(SER_hh_tes!G26=0,0,11630*1000*SER_hh_tes!G26/SER_hh_num!G26)</f>
        <v>7513.0147309791682</v>
      </c>
      <c r="H26" s="65">
        <f>IF(SER_hh_tes!H26=0,0,11630*1000*SER_hh_tes!H26/SER_hh_num!H26)</f>
        <v>5012.9076655055969</v>
      </c>
      <c r="I26" s="65">
        <f>IF(SER_hh_tes!I26=0,0,11630*1000*SER_hh_tes!I26/SER_hh_num!I26)</f>
        <v>4387.1585804971683</v>
      </c>
      <c r="J26" s="65">
        <f>IF(SER_hh_tes!J26=0,0,11630*1000*SER_hh_tes!J26/SER_hh_num!J26)</f>
        <v>4563.8672929121458</v>
      </c>
      <c r="K26" s="65">
        <f>IF(SER_hh_tes!K26=0,0,11630*1000*SER_hh_tes!K26/SER_hh_num!K26)</f>
        <v>4509.5366050442881</v>
      </c>
      <c r="L26" s="65">
        <f>IF(SER_hh_tes!L26=0,0,11630*1000*SER_hh_tes!L26/SER_hh_num!L26)</f>
        <v>4210.2525920754797</v>
      </c>
      <c r="M26" s="65">
        <f>IF(SER_hh_tes!M26=0,0,11630*1000*SER_hh_tes!M26/SER_hh_num!M26)</f>
        <v>4388.4461333182671</v>
      </c>
      <c r="N26" s="65">
        <f>IF(SER_hh_tes!N26=0,0,11630*1000*SER_hh_tes!N26/SER_hh_num!N26)</f>
        <v>4459.9826080815083</v>
      </c>
      <c r="O26" s="65">
        <f>IF(SER_hh_tes!O26=0,0,11630*1000*SER_hh_tes!O26/SER_hh_num!O26)</f>
        <v>4495.0856505254087</v>
      </c>
      <c r="P26" s="65">
        <f>IF(SER_hh_tes!P26=0,0,11630*1000*SER_hh_tes!P26/SER_hh_num!P26)</f>
        <v>4602.7240049871334</v>
      </c>
      <c r="Q26" s="65">
        <f>IF(SER_hh_tes!Q26=0,0,11630*1000*SER_hh_tes!Q26/SER_hh_num!Q26)</f>
        <v>4538.2177630386304</v>
      </c>
      <c r="R26" s="65">
        <f>IF(SER_hh_tes!R26=0,0,11630*1000*SER_hh_tes!R26/SER_hh_num!R26)</f>
        <v>4531.0955028042727</v>
      </c>
      <c r="S26" s="65">
        <f>IF(SER_hh_tes!S26=0,0,11630*1000*SER_hh_tes!S26/SER_hh_num!S26)</f>
        <v>4236.6919652694869</v>
      </c>
      <c r="T26" s="65">
        <f>IF(SER_hh_tes!T26=0,0,11630*1000*SER_hh_tes!T26/SER_hh_num!T26)</f>
        <v>4270.3647376292956</v>
      </c>
      <c r="U26" s="65">
        <f>IF(SER_hh_tes!U26=0,0,11630*1000*SER_hh_tes!U26/SER_hh_num!U26)</f>
        <v>4018.6523688590273</v>
      </c>
      <c r="V26" s="65">
        <f>IF(SER_hh_tes!V26=0,0,11630*1000*SER_hh_tes!V26/SER_hh_num!V26)</f>
        <v>3643.155085912239</v>
      </c>
      <c r="W26" s="65">
        <f>IF(SER_hh_tes!W26=0,0,11630*1000*SER_hh_tes!W26/SER_hh_num!W26)</f>
        <v>3749.7823552102655</v>
      </c>
      <c r="X26" s="65">
        <f>IF(SER_hh_tes!X26=0,0,11630*1000*SER_hh_tes!X26/SER_hh_num!X26)</f>
        <v>5521.53873592944</v>
      </c>
      <c r="Y26" s="65">
        <f>IF(SER_hh_tes!Y26=0,0,11630*1000*SER_hh_tes!Y26/SER_hh_num!Y26)</f>
        <v>6335.0208817503826</v>
      </c>
      <c r="DA26" s="109" t="s">
        <v>438</v>
      </c>
    </row>
    <row r="27" spans="1:105" ht="12" customHeight="1" x14ac:dyDescent="0.25">
      <c r="A27" s="144" t="s">
        <v>86</v>
      </c>
      <c r="B27" s="145">
        <f>IF(SER_hh_tes!B27=0,0,11630*1000*SER_hh_tes!B27/SER_hh_num!B19)</f>
        <v>3740.4250253701302</v>
      </c>
      <c r="C27" s="145">
        <f>IF(SER_hh_tes!C27=0,0,11630*1000*SER_hh_tes!C27/SER_hh_num!C19)</f>
        <v>3555.7959308564705</v>
      </c>
      <c r="D27" s="145">
        <f>IF(SER_hh_tes!D27=0,0,11630*1000*SER_hh_tes!D27/SER_hh_num!D19)</f>
        <v>3586.0727646348419</v>
      </c>
      <c r="E27" s="145">
        <f>IF(SER_hh_tes!E27=0,0,11630*1000*SER_hh_tes!E27/SER_hh_num!E19)</f>
        <v>3620.2286743995724</v>
      </c>
      <c r="F27" s="145">
        <f>IF(SER_hh_tes!F27=0,0,11630*1000*SER_hh_tes!F27/SER_hh_num!F19)</f>
        <v>3881.1134121776777</v>
      </c>
      <c r="G27" s="145">
        <f>IF(SER_hh_tes!G27=0,0,11630*1000*SER_hh_tes!G27/SER_hh_num!G19)</f>
        <v>3957.9767293589653</v>
      </c>
      <c r="H27" s="145">
        <f>IF(SER_hh_tes!H27=0,0,11630*1000*SER_hh_tes!H27/SER_hh_num!H19)</f>
        <v>4028.1718482303477</v>
      </c>
      <c r="I27" s="145">
        <f>IF(SER_hh_tes!I27=0,0,11630*1000*SER_hh_tes!I27/SER_hh_num!I19)</f>
        <v>4861.1495909667947</v>
      </c>
      <c r="J27" s="145">
        <f>IF(SER_hh_tes!J27=0,0,11630*1000*SER_hh_tes!J27/SER_hh_num!J19)</f>
        <v>5090.9212760550345</v>
      </c>
      <c r="K27" s="145">
        <f>IF(SER_hh_tes!K27=0,0,11630*1000*SER_hh_tes!K27/SER_hh_num!K19)</f>
        <v>5098.7855442057271</v>
      </c>
      <c r="L27" s="145">
        <f>IF(SER_hh_tes!L27=0,0,11630*1000*SER_hh_tes!L27/SER_hh_num!L19)</f>
        <v>5173.5656824418547</v>
      </c>
      <c r="M27" s="145">
        <f>IF(SER_hh_tes!M27=0,0,11630*1000*SER_hh_tes!M27/SER_hh_num!M19)</f>
        <v>5215.6088656746424</v>
      </c>
      <c r="N27" s="145">
        <f>IF(SER_hh_tes!N27=0,0,11630*1000*SER_hh_tes!N27/SER_hh_num!N19)</f>
        <v>5239.0067385443263</v>
      </c>
      <c r="O27" s="145">
        <f>IF(SER_hh_tes!O27=0,0,11630*1000*SER_hh_tes!O27/SER_hh_num!O19)</f>
        <v>5340.3957963189805</v>
      </c>
      <c r="P27" s="145">
        <f>IF(SER_hh_tes!P27=0,0,11630*1000*SER_hh_tes!P27/SER_hh_num!P19)</f>
        <v>5473.6430815993281</v>
      </c>
      <c r="Q27" s="145">
        <f>IF(SER_hh_tes!Q27=0,0,11630*1000*SER_hh_tes!Q27/SER_hh_num!Q19)</f>
        <v>5602.0495631523527</v>
      </c>
      <c r="R27" s="145">
        <f>IF(SER_hh_tes!R27=0,0,11630*1000*SER_hh_tes!R27/SER_hh_num!R19)</f>
        <v>5646.9380479503225</v>
      </c>
      <c r="S27" s="145">
        <f>IF(SER_hh_tes!S27=0,0,11630*1000*SER_hh_tes!S27/SER_hh_num!S19)</f>
        <v>5671.5097665779467</v>
      </c>
      <c r="T27" s="145">
        <f>IF(SER_hh_tes!T27=0,0,11630*1000*SER_hh_tes!T27/SER_hh_num!T19)</f>
        <v>5709.3020840138943</v>
      </c>
      <c r="U27" s="145">
        <f>IF(SER_hh_tes!U27=0,0,11630*1000*SER_hh_tes!U27/SER_hh_num!U19)</f>
        <v>5720.1160094616525</v>
      </c>
      <c r="V27" s="145">
        <f>IF(SER_hh_tes!V27=0,0,11630*1000*SER_hh_tes!V27/SER_hh_num!V19)</f>
        <v>5751.8085481206545</v>
      </c>
      <c r="W27" s="145">
        <f>IF(SER_hh_tes!W27=0,0,11630*1000*SER_hh_tes!W27/SER_hh_num!W19)</f>
        <v>5789.942405469209</v>
      </c>
      <c r="X27" s="145">
        <f>IF(SER_hh_tes!X27=0,0,11630*1000*SER_hh_tes!X27/SER_hh_num!X19)</f>
        <v>4671.2118137231973</v>
      </c>
      <c r="Y27" s="145">
        <f>IF(SER_hh_tes!Y27=0,0,11630*1000*SER_hh_tes!Y27/SER_hh_num!Y19)</f>
        <v>4674.2216295016888</v>
      </c>
      <c r="DA27" s="158" t="s">
        <v>439</v>
      </c>
    </row>
    <row r="28" spans="1:105" ht="12" customHeight="1" x14ac:dyDescent="0.25">
      <c r="A28" s="78" t="s">
        <v>85</v>
      </c>
      <c r="B28" s="146">
        <f>IF(SER_hh_tes!B27=0,0,11630*1000*SER_hh_tes!B27/SER_hh_num!B27)</f>
        <v>10038.855045873197</v>
      </c>
      <c r="C28" s="146">
        <f>IF(SER_hh_tes!C27=0,0,11630*1000*SER_hh_tes!C27/SER_hh_num!C27)</f>
        <v>10088.413928084523</v>
      </c>
      <c r="D28" s="146">
        <f>IF(SER_hh_tes!D27=0,0,11630*1000*SER_hh_tes!D27/SER_hh_num!D27)</f>
        <v>9334.6801770638667</v>
      </c>
      <c r="E28" s="146">
        <f>IF(SER_hh_tes!E27=0,0,11630*1000*SER_hh_tes!E27/SER_hh_num!E27)</f>
        <v>8725.2119490485074</v>
      </c>
      <c r="F28" s="146">
        <f>IF(SER_hh_tes!F27=0,0,11630*1000*SER_hh_tes!F27/SER_hh_num!F27)</f>
        <v>8834.2417084689077</v>
      </c>
      <c r="G28" s="146">
        <f>IF(SER_hh_tes!G27=0,0,11630*1000*SER_hh_tes!G27/SER_hh_num!G27)</f>
        <v>8302.0668553823834</v>
      </c>
      <c r="H28" s="146">
        <f>IF(SER_hh_tes!H27=0,0,11630*1000*SER_hh_tes!H27/SER_hh_num!H27)</f>
        <v>8657.861318097508</v>
      </c>
      <c r="I28" s="146">
        <f>IF(SER_hh_tes!I27=0,0,11630*1000*SER_hh_tes!I27/SER_hh_num!I27)</f>
        <v>9498.8263244207574</v>
      </c>
      <c r="J28" s="146">
        <f>IF(SER_hh_tes!J27=0,0,11630*1000*SER_hh_tes!J27/SER_hh_num!J27)</f>
        <v>9678.109333018152</v>
      </c>
      <c r="K28" s="146">
        <f>IF(SER_hh_tes!K27=0,0,11630*1000*SER_hh_tes!K27/SER_hh_num!K27)</f>
        <v>9311.1776979607166</v>
      </c>
      <c r="L28" s="146">
        <f>IF(SER_hh_tes!L27=0,0,11630*1000*SER_hh_tes!L27/SER_hh_num!L27)</f>
        <v>9504.6735044800116</v>
      </c>
      <c r="M28" s="146">
        <f>IF(SER_hh_tes!M27=0,0,11630*1000*SER_hh_tes!M27/SER_hh_num!M27)</f>
        <v>9460.0120006267516</v>
      </c>
      <c r="N28" s="146">
        <f>IF(SER_hh_tes!N27=0,0,11630*1000*SER_hh_tes!N27/SER_hh_num!N27)</f>
        <v>9989.5766930794816</v>
      </c>
      <c r="O28" s="146">
        <f>IF(SER_hh_tes!O27=0,0,11630*1000*SER_hh_tes!O27/SER_hh_num!O27)</f>
        <v>11158.142555111323</v>
      </c>
      <c r="P28" s="146">
        <f>IF(SER_hh_tes!P27=0,0,11630*1000*SER_hh_tes!P27/SER_hh_num!P27)</f>
        <v>11323.538138962584</v>
      </c>
      <c r="Q28" s="146">
        <f>IF(SER_hh_tes!Q27=0,0,11630*1000*SER_hh_tes!Q27/SER_hh_num!Q27)</f>
        <v>11186.460516627356</v>
      </c>
      <c r="R28" s="146">
        <f>IF(SER_hh_tes!R27=0,0,11630*1000*SER_hh_tes!R27/SER_hh_num!R27)</f>
        <v>10889.109107761202</v>
      </c>
      <c r="S28" s="146">
        <f>IF(SER_hh_tes!S27=0,0,11630*1000*SER_hh_tes!S27/SER_hh_num!S27)</f>
        <v>10267.961414900657</v>
      </c>
      <c r="T28" s="146">
        <f>IF(SER_hh_tes!T27=0,0,11630*1000*SER_hh_tes!T27/SER_hh_num!T27)</f>
        <v>10471.395735557075</v>
      </c>
      <c r="U28" s="146">
        <f>IF(SER_hh_tes!U27=0,0,11630*1000*SER_hh_tes!U27/SER_hh_num!U27)</f>
        <v>10515.516007480566</v>
      </c>
      <c r="V28" s="146">
        <f>IF(SER_hh_tes!V27=0,0,11630*1000*SER_hh_tes!V27/SER_hh_num!V27)</f>
        <v>9744.2504692517832</v>
      </c>
      <c r="W28" s="146">
        <f>IF(SER_hh_tes!W27=0,0,11630*1000*SER_hh_tes!W27/SER_hh_num!W27)</f>
        <v>10022.583748390796</v>
      </c>
      <c r="X28" s="146">
        <f>IF(SER_hh_tes!X27=0,0,11630*1000*SER_hh_tes!X27/SER_hh_num!X27)</f>
        <v>10786.139480106458</v>
      </c>
      <c r="Y28" s="146">
        <f>IF(SER_hh_tes!Y27=0,0,11630*1000*SER_hh_tes!Y27/SER_hh_num!Y27)</f>
        <v>11829.716502658533</v>
      </c>
      <c r="DA28" s="159"/>
    </row>
    <row r="29" spans="1:105" ht="12.95" customHeight="1" x14ac:dyDescent="0.25">
      <c r="A29" s="129" t="s">
        <v>34</v>
      </c>
      <c r="B29" s="130">
        <f>IF(SER_hh_tes!B29=0,0,11630*1000*SER_hh_tes!B29/SER_hh_num!B29)</f>
        <v>11340.491989702216</v>
      </c>
      <c r="C29" s="130">
        <f>IF(SER_hh_tes!C29=0,0,11630*1000*SER_hh_tes!C29/SER_hh_num!C29)</f>
        <v>11273.651362225784</v>
      </c>
      <c r="D29" s="130">
        <f>IF(SER_hh_tes!D29=0,0,11630*1000*SER_hh_tes!D29/SER_hh_num!D29)</f>
        <v>11326.175132141369</v>
      </c>
      <c r="E29" s="130">
        <f>IF(SER_hh_tes!E29=0,0,11630*1000*SER_hh_tes!E29/SER_hh_num!E29)</f>
        <v>11406.973981517272</v>
      </c>
      <c r="F29" s="130">
        <f>IF(SER_hh_tes!F29=0,0,11630*1000*SER_hh_tes!F29/SER_hh_num!F29)</f>
        <v>11619.611508725804</v>
      </c>
      <c r="G29" s="130">
        <f>IF(SER_hh_tes!G29=0,0,11630*1000*SER_hh_tes!G29/SER_hh_num!G29)</f>
        <v>11769.283369528939</v>
      </c>
      <c r="H29" s="130">
        <f>IF(SER_hh_tes!H29=0,0,11630*1000*SER_hh_tes!H29/SER_hh_num!H29)</f>
        <v>11874.25568024263</v>
      </c>
      <c r="I29" s="130">
        <f>IF(SER_hh_tes!I29=0,0,11630*1000*SER_hh_tes!I29/SER_hh_num!I29)</f>
        <v>11931.300948870448</v>
      </c>
      <c r="J29" s="130">
        <f>IF(SER_hh_tes!J29=0,0,11630*1000*SER_hh_tes!J29/SER_hh_num!J29)</f>
        <v>12079.751525065001</v>
      </c>
      <c r="K29" s="130">
        <f>IF(SER_hh_tes!K29=0,0,11630*1000*SER_hh_tes!K29/SER_hh_num!K29)</f>
        <v>12006.56539388943</v>
      </c>
      <c r="L29" s="130">
        <f>IF(SER_hh_tes!L29=0,0,11630*1000*SER_hh_tes!L29/SER_hh_num!L29)</f>
        <v>11827.459653150378</v>
      </c>
      <c r="M29" s="130">
        <f>IF(SER_hh_tes!M29=0,0,11630*1000*SER_hh_tes!M29/SER_hh_num!M29)</f>
        <v>11805.970948837776</v>
      </c>
      <c r="N29" s="130">
        <f>IF(SER_hh_tes!N29=0,0,11630*1000*SER_hh_tes!N29/SER_hh_num!N29)</f>
        <v>11776.274766328846</v>
      </c>
      <c r="O29" s="130">
        <f>IF(SER_hh_tes!O29=0,0,11630*1000*SER_hh_tes!O29/SER_hh_num!O29)</f>
        <v>11580.538375044729</v>
      </c>
      <c r="P29" s="130">
        <f>IF(SER_hh_tes!P29=0,0,11630*1000*SER_hh_tes!P29/SER_hh_num!P29)</f>
        <v>11744.090878500887</v>
      </c>
      <c r="Q29" s="130">
        <f>IF(SER_hh_tes!Q29=0,0,11630*1000*SER_hh_tes!Q29/SER_hh_num!Q29)</f>
        <v>11729.86456429407</v>
      </c>
      <c r="R29" s="130">
        <f>IF(SER_hh_tes!R29=0,0,11630*1000*SER_hh_tes!R29/SER_hh_num!R29)</f>
        <v>11746.904430084189</v>
      </c>
      <c r="S29" s="130">
        <f>IF(SER_hh_tes!S29=0,0,11630*1000*SER_hh_tes!S29/SER_hh_num!S29)</f>
        <v>11713.478674983908</v>
      </c>
      <c r="T29" s="130">
        <f>IF(SER_hh_tes!T29=0,0,11630*1000*SER_hh_tes!T29/SER_hh_num!T29)</f>
        <v>11824.082459854872</v>
      </c>
      <c r="U29" s="130">
        <f>IF(SER_hh_tes!U29=0,0,11630*1000*SER_hh_tes!U29/SER_hh_num!U29)</f>
        <v>11853.538867383109</v>
      </c>
      <c r="V29" s="130">
        <f>IF(SER_hh_tes!V29=0,0,11630*1000*SER_hh_tes!V29/SER_hh_num!V29)</f>
        <v>10525.508393506099</v>
      </c>
      <c r="W29" s="130">
        <f>IF(SER_hh_tes!W29=0,0,11630*1000*SER_hh_tes!W29/SER_hh_num!W29)</f>
        <v>10962.565441740589</v>
      </c>
      <c r="X29" s="130">
        <f>IF(SER_hh_tes!X29=0,0,11630*1000*SER_hh_tes!X29/SER_hh_num!X29)</f>
        <v>11657.417134216232</v>
      </c>
      <c r="Y29" s="130">
        <f>IF(SER_hh_tes!Y29=0,0,11630*1000*SER_hh_tes!Y29/SER_hh_num!Y29)</f>
        <v>12399.873057504863</v>
      </c>
      <c r="DA29" s="155" t="s">
        <v>440</v>
      </c>
    </row>
    <row r="30" spans="1:105" ht="12" customHeight="1" x14ac:dyDescent="0.25">
      <c r="A30" s="131" t="s">
        <v>52</v>
      </c>
      <c r="B30" s="132">
        <f>IF(SER_hh_tes!B30=0,0,11630*1000*SER_hh_tes!B30/SER_hh_num!B30)</f>
        <v>0</v>
      </c>
      <c r="C30" s="132">
        <f>IF(SER_hh_tes!C30=0,0,11630*1000*SER_hh_tes!C30/SER_hh_num!C30)</f>
        <v>0</v>
      </c>
      <c r="D30" s="132">
        <f>IF(SER_hh_tes!D30=0,0,11630*1000*SER_hh_tes!D30/SER_hh_num!D30)</f>
        <v>0</v>
      </c>
      <c r="E30" s="132">
        <f>IF(SER_hh_tes!E30=0,0,11630*1000*SER_hh_tes!E30/SER_hh_num!E30)</f>
        <v>0</v>
      </c>
      <c r="F30" s="132">
        <f>IF(SER_hh_tes!F30=0,0,11630*1000*SER_hh_tes!F30/SER_hh_num!F30)</f>
        <v>0</v>
      </c>
      <c r="G30" s="132">
        <f>IF(SER_hh_tes!G30=0,0,11630*1000*SER_hh_tes!G30/SER_hh_num!G30)</f>
        <v>0</v>
      </c>
      <c r="H30" s="132">
        <f>IF(SER_hh_tes!H30=0,0,11630*1000*SER_hh_tes!H30/SER_hh_num!H30)</f>
        <v>16735.8995253219</v>
      </c>
      <c r="I30" s="132">
        <f>IF(SER_hh_tes!I30=0,0,11630*1000*SER_hh_tes!I30/SER_hh_num!I30)</f>
        <v>12795.867395297004</v>
      </c>
      <c r="J30" s="132">
        <f>IF(SER_hh_tes!J30=0,0,11630*1000*SER_hh_tes!J30/SER_hh_num!J30)</f>
        <v>13352.529669118141</v>
      </c>
      <c r="K30" s="132">
        <f>IF(SER_hh_tes!K30=0,0,11630*1000*SER_hh_tes!K30/SER_hh_num!K30)</f>
        <v>11286.536027040775</v>
      </c>
      <c r="L30" s="132">
        <f>IF(SER_hh_tes!L30=0,0,11630*1000*SER_hh_tes!L30/SER_hh_num!L30)</f>
        <v>10412.56470677709</v>
      </c>
      <c r="M30" s="132">
        <f>IF(SER_hh_tes!M30=0,0,11630*1000*SER_hh_tes!M30/SER_hh_num!M30)</f>
        <v>12436.530788136521</v>
      </c>
      <c r="N30" s="132">
        <f>IF(SER_hh_tes!N30=0,0,11630*1000*SER_hh_tes!N30/SER_hh_num!N30)</f>
        <v>12770.028720391509</v>
      </c>
      <c r="O30" s="132">
        <f>IF(SER_hh_tes!O30=0,0,11630*1000*SER_hh_tes!O30/SER_hh_num!O30)</f>
        <v>11798.083291597812</v>
      </c>
      <c r="P30" s="132">
        <f>IF(SER_hh_tes!P30=0,0,11630*1000*SER_hh_tes!P30/SER_hh_num!P30)</f>
        <v>10310.94899012938</v>
      </c>
      <c r="Q30" s="132">
        <f>IF(SER_hh_tes!Q30=0,0,11630*1000*SER_hh_tes!Q30/SER_hh_num!Q30)</f>
        <v>11802.512441211122</v>
      </c>
      <c r="R30" s="132">
        <f>IF(SER_hh_tes!R30=0,0,11630*1000*SER_hh_tes!R30/SER_hh_num!R30)</f>
        <v>10568.299278085055</v>
      </c>
      <c r="S30" s="132">
        <f>IF(SER_hh_tes!S30=0,0,11630*1000*SER_hh_tes!S30/SER_hh_num!S30)</f>
        <v>12249.93796628073</v>
      </c>
      <c r="T30" s="132">
        <f>IF(SER_hh_tes!T30=0,0,11630*1000*SER_hh_tes!T30/SER_hh_num!T30)</f>
        <v>12732.309459553138</v>
      </c>
      <c r="U30" s="132">
        <f>IF(SER_hh_tes!U30=0,0,11630*1000*SER_hh_tes!U30/SER_hh_num!U30)</f>
        <v>16124.830214482645</v>
      </c>
      <c r="V30" s="132">
        <f>IF(SER_hh_tes!V30=0,0,11630*1000*SER_hh_tes!V30/SER_hh_num!V30)</f>
        <v>11401.949390342777</v>
      </c>
      <c r="W30" s="132">
        <f>IF(SER_hh_tes!W30=0,0,11630*1000*SER_hh_tes!W30/SER_hh_num!W30)</f>
        <v>9889.0883936139726</v>
      </c>
      <c r="X30" s="132">
        <f>IF(SER_hh_tes!X30=0,0,11630*1000*SER_hh_tes!X30/SER_hh_num!X30)</f>
        <v>12523.687556182427</v>
      </c>
      <c r="Y30" s="132">
        <f>IF(SER_hh_tes!Y30=0,0,11630*1000*SER_hh_tes!Y30/SER_hh_num!Y30)</f>
        <v>11600.714527072843</v>
      </c>
      <c r="DA30" s="156" t="s">
        <v>441</v>
      </c>
    </row>
    <row r="31" spans="1:105" ht="12" customHeight="1" x14ac:dyDescent="0.25">
      <c r="A31" s="131" t="s">
        <v>149</v>
      </c>
      <c r="B31" s="132">
        <f>IF(SER_hh_tes!B31=0,0,11630*1000*SER_hh_tes!B31/SER_hh_num!B31)</f>
        <v>0</v>
      </c>
      <c r="C31" s="132">
        <f>IF(SER_hh_tes!C31=0,0,11630*1000*SER_hh_tes!C31/SER_hh_num!C31)</f>
        <v>0</v>
      </c>
      <c r="D31" s="132">
        <f>IF(SER_hh_tes!D31=0,0,11630*1000*SER_hh_tes!D31/SER_hh_num!D31)</f>
        <v>0</v>
      </c>
      <c r="E31" s="132">
        <f>IF(SER_hh_tes!E31=0,0,11630*1000*SER_hh_tes!E31/SER_hh_num!E31)</f>
        <v>0</v>
      </c>
      <c r="F31" s="132">
        <f>IF(SER_hh_tes!F31=0,0,11630*1000*SER_hh_tes!F31/SER_hh_num!F31)</f>
        <v>0</v>
      </c>
      <c r="G31" s="132">
        <f>IF(SER_hh_tes!G31=0,0,11630*1000*SER_hh_tes!G31/SER_hh_num!G31)</f>
        <v>0</v>
      </c>
      <c r="H31" s="132">
        <f>IF(SER_hh_tes!H31=0,0,11630*1000*SER_hh_tes!H31/SER_hh_num!H31)</f>
        <v>0</v>
      </c>
      <c r="I31" s="132">
        <f>IF(SER_hh_tes!I31=0,0,11630*1000*SER_hh_tes!I31/SER_hh_num!I31)</f>
        <v>0</v>
      </c>
      <c r="J31" s="132">
        <f>IF(SER_hh_tes!J31=0,0,11630*1000*SER_hh_tes!J31/SER_hh_num!J31)</f>
        <v>0</v>
      </c>
      <c r="K31" s="132">
        <f>IF(SER_hh_tes!K31=0,0,11630*1000*SER_hh_tes!K31/SER_hh_num!K31)</f>
        <v>0</v>
      </c>
      <c r="L31" s="132">
        <f>IF(SER_hh_tes!L31=0,0,11630*1000*SER_hh_tes!L31/SER_hh_num!L31)</f>
        <v>0</v>
      </c>
      <c r="M31" s="132">
        <f>IF(SER_hh_tes!M31=0,0,11630*1000*SER_hh_tes!M31/SER_hh_num!M31)</f>
        <v>0</v>
      </c>
      <c r="N31" s="132">
        <f>IF(SER_hh_tes!N31=0,0,11630*1000*SER_hh_tes!N31/SER_hh_num!N31)</f>
        <v>0</v>
      </c>
      <c r="O31" s="132">
        <f>IF(SER_hh_tes!O31=0,0,11630*1000*SER_hh_tes!O31/SER_hh_num!O31)</f>
        <v>0</v>
      </c>
      <c r="P31" s="132">
        <f>IF(SER_hh_tes!P31=0,0,11630*1000*SER_hh_tes!P31/SER_hh_num!P31)</f>
        <v>0</v>
      </c>
      <c r="Q31" s="132">
        <f>IF(SER_hh_tes!Q31=0,0,11630*1000*SER_hh_tes!Q31/SER_hh_num!Q31)</f>
        <v>0</v>
      </c>
      <c r="R31" s="132">
        <f>IF(SER_hh_tes!R31=0,0,11630*1000*SER_hh_tes!R31/SER_hh_num!R31)</f>
        <v>0</v>
      </c>
      <c r="S31" s="132">
        <f>IF(SER_hh_tes!S31=0,0,11630*1000*SER_hh_tes!S31/SER_hh_num!S31)</f>
        <v>0</v>
      </c>
      <c r="T31" s="132">
        <f>IF(SER_hh_tes!T31=0,0,11630*1000*SER_hh_tes!T31/SER_hh_num!T31)</f>
        <v>0</v>
      </c>
      <c r="U31" s="132">
        <f>IF(SER_hh_tes!U31=0,0,11630*1000*SER_hh_tes!U31/SER_hh_num!U31)</f>
        <v>0</v>
      </c>
      <c r="V31" s="132">
        <f>IF(SER_hh_tes!V31=0,0,11630*1000*SER_hh_tes!V31/SER_hh_num!V31)</f>
        <v>0</v>
      </c>
      <c r="W31" s="132">
        <f>IF(SER_hh_tes!W31=0,0,11630*1000*SER_hh_tes!W31/SER_hh_num!W31)</f>
        <v>0</v>
      </c>
      <c r="X31" s="132">
        <f>IF(SER_hh_tes!X31=0,0,11630*1000*SER_hh_tes!X31/SER_hh_num!X31)</f>
        <v>0</v>
      </c>
      <c r="Y31" s="132">
        <f>IF(SER_hh_tes!Y31=0,0,11630*1000*SER_hh_tes!Y31/SER_hh_num!Y31)</f>
        <v>0</v>
      </c>
      <c r="DA31" s="156" t="s">
        <v>442</v>
      </c>
    </row>
    <row r="32" spans="1:105" ht="12" customHeight="1" x14ac:dyDescent="0.25">
      <c r="A32" s="131" t="s">
        <v>128</v>
      </c>
      <c r="B32" s="132">
        <f>IF(SER_hh_tes!B32=0,0,11630*1000*SER_hh_tes!B32/SER_hh_num!B32)</f>
        <v>11310.64877970602</v>
      </c>
      <c r="C32" s="132">
        <f>IF(SER_hh_tes!C32=0,0,11630*1000*SER_hh_tes!C32/SER_hh_num!C32)</f>
        <v>10274.825502687945</v>
      </c>
      <c r="D32" s="132">
        <f>IF(SER_hh_tes!D32=0,0,11630*1000*SER_hh_tes!D32/SER_hh_num!D32)</f>
        <v>12181.127805384855</v>
      </c>
      <c r="E32" s="132">
        <f>IF(SER_hh_tes!E32=0,0,11630*1000*SER_hh_tes!E32/SER_hh_num!E32)</f>
        <v>10835.851100317203</v>
      </c>
      <c r="F32" s="132">
        <f>IF(SER_hh_tes!F32=0,0,11630*1000*SER_hh_tes!F32/SER_hh_num!F32)</f>
        <v>11325.301853110121</v>
      </c>
      <c r="G32" s="132">
        <f>IF(SER_hh_tes!G32=0,0,11630*1000*SER_hh_tes!G32/SER_hh_num!G32)</f>
        <v>12162.659307645852</v>
      </c>
      <c r="H32" s="132">
        <f>IF(SER_hh_tes!H32=0,0,11630*1000*SER_hh_tes!H32/SER_hh_num!H32)</f>
        <v>10795.408691685894</v>
      </c>
      <c r="I32" s="132">
        <f>IF(SER_hh_tes!I32=0,0,11630*1000*SER_hh_tes!I32/SER_hh_num!I32)</f>
        <v>13091.465092954921</v>
      </c>
      <c r="J32" s="132">
        <f>IF(SER_hh_tes!J32=0,0,11630*1000*SER_hh_tes!J32/SER_hh_num!J32)</f>
        <v>12402.446539400888</v>
      </c>
      <c r="K32" s="132">
        <f>IF(SER_hh_tes!K32=0,0,11630*1000*SER_hh_tes!K32/SER_hh_num!K32)</f>
        <v>11904.923683545421</v>
      </c>
      <c r="L32" s="132">
        <f>IF(SER_hh_tes!L32=0,0,11630*1000*SER_hh_tes!L32/SER_hh_num!L32)</f>
        <v>11862.034664437253</v>
      </c>
      <c r="M32" s="132">
        <f>IF(SER_hh_tes!M32=0,0,11630*1000*SER_hh_tes!M32/SER_hh_num!M32)</f>
        <v>11800.833508943511</v>
      </c>
      <c r="N32" s="132">
        <f>IF(SER_hh_tes!N32=0,0,11630*1000*SER_hh_tes!N32/SER_hh_num!N32)</f>
        <v>11743.793804248558</v>
      </c>
      <c r="O32" s="132">
        <f>IF(SER_hh_tes!O32=0,0,11630*1000*SER_hh_tes!O32/SER_hh_num!O32)</f>
        <v>11721.325801693309</v>
      </c>
      <c r="P32" s="132">
        <f>IF(SER_hh_tes!P32=0,0,11630*1000*SER_hh_tes!P32/SER_hh_num!P32)</f>
        <v>11808.913490046065</v>
      </c>
      <c r="Q32" s="132">
        <f>IF(SER_hh_tes!Q32=0,0,11630*1000*SER_hh_tes!Q32/SER_hh_num!Q32)</f>
        <v>11604.617557649448</v>
      </c>
      <c r="R32" s="132">
        <f>IF(SER_hh_tes!R32=0,0,11630*1000*SER_hh_tes!R32/SER_hh_num!R32)</f>
        <v>11653.043816643447</v>
      </c>
      <c r="S32" s="132">
        <f>IF(SER_hh_tes!S32=0,0,11630*1000*SER_hh_tes!S32/SER_hh_num!S32)</f>
        <v>11484.564537912844</v>
      </c>
      <c r="T32" s="132">
        <f>IF(SER_hh_tes!T32=0,0,11630*1000*SER_hh_tes!T32/SER_hh_num!T32)</f>
        <v>10992.600047991869</v>
      </c>
      <c r="U32" s="132">
        <f>IF(SER_hh_tes!U32=0,0,11630*1000*SER_hh_tes!U32/SER_hh_num!U32)</f>
        <v>13419.592474106134</v>
      </c>
      <c r="V32" s="132">
        <f>IF(SER_hh_tes!V32=0,0,11630*1000*SER_hh_tes!V32/SER_hh_num!V32)</f>
        <v>13152.056900944423</v>
      </c>
      <c r="W32" s="132">
        <f>IF(SER_hh_tes!W32=0,0,11630*1000*SER_hh_tes!W32/SER_hh_num!W32)</f>
        <v>9559.9965490821633</v>
      </c>
      <c r="X32" s="132">
        <f>IF(SER_hh_tes!X32=0,0,11630*1000*SER_hh_tes!X32/SER_hh_num!X32)</f>
        <v>12242.303308936895</v>
      </c>
      <c r="Y32" s="132">
        <f>IF(SER_hh_tes!Y32=0,0,11630*1000*SER_hh_tes!Y32/SER_hh_num!Y32)</f>
        <v>11745.705974395732</v>
      </c>
      <c r="DA32" s="156" t="s">
        <v>443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11342.504827112476</v>
      </c>
      <c r="C33" s="68">
        <f>IF(SER_hh_tes!C33=0,0,11630*1000*SER_hh_tes!C33/SER_hh_num!C33)</f>
        <v>11346.896888519956</v>
      </c>
      <c r="D33" s="68">
        <f>IF(SER_hh_tes!D33=0,0,11630*1000*SER_hh_tes!D33/SER_hh_num!D33)</f>
        <v>11252.105362076358</v>
      </c>
      <c r="E33" s="68">
        <f>IF(SER_hh_tes!E33=0,0,11630*1000*SER_hh_tes!E33/SER_hh_num!E33)</f>
        <v>11462.283106496694</v>
      </c>
      <c r="F33" s="68">
        <f>IF(SER_hh_tes!F33=0,0,11630*1000*SER_hh_tes!F33/SER_hh_num!F33)</f>
        <v>11651.863363273909</v>
      </c>
      <c r="G33" s="68">
        <f>IF(SER_hh_tes!G33=0,0,11630*1000*SER_hh_tes!G33/SER_hh_num!G33)</f>
        <v>11719.381141590971</v>
      </c>
      <c r="H33" s="68">
        <f>IF(SER_hh_tes!H33=0,0,11630*1000*SER_hh_tes!H33/SER_hh_num!H33)</f>
        <v>11166.126150502165</v>
      </c>
      <c r="I33" s="68">
        <f>IF(SER_hh_tes!I33=0,0,11630*1000*SER_hh_tes!I33/SER_hh_num!I33)</f>
        <v>11482.852407725917</v>
      </c>
      <c r="J33" s="68">
        <f>IF(SER_hh_tes!J33=0,0,11630*1000*SER_hh_tes!J33/SER_hh_num!J33)</f>
        <v>11654.5900122803</v>
      </c>
      <c r="K33" s="68">
        <f>IF(SER_hh_tes!K33=0,0,11630*1000*SER_hh_tes!K33/SER_hh_num!K33)</f>
        <v>12213.880613131209</v>
      </c>
      <c r="L33" s="68">
        <f>IF(SER_hh_tes!L33=0,0,11630*1000*SER_hh_tes!L33/SER_hh_num!L33)</f>
        <v>12179.49043696692</v>
      </c>
      <c r="M33" s="68">
        <f>IF(SER_hh_tes!M33=0,0,11630*1000*SER_hh_tes!M33/SER_hh_num!M33)</f>
        <v>11634.135586393282</v>
      </c>
      <c r="N33" s="68">
        <f>IF(SER_hh_tes!N33=0,0,11630*1000*SER_hh_tes!N33/SER_hh_num!N33)</f>
        <v>11503.57823984125</v>
      </c>
      <c r="O33" s="68">
        <f>IF(SER_hh_tes!O33=0,0,11630*1000*SER_hh_tes!O33/SER_hh_num!O33)</f>
        <v>11491.528904546984</v>
      </c>
      <c r="P33" s="68">
        <f>IF(SER_hh_tes!P33=0,0,11630*1000*SER_hh_tes!P33/SER_hh_num!P33)</f>
        <v>12119.366388697186</v>
      </c>
      <c r="Q33" s="68">
        <f>IF(SER_hh_tes!Q33=0,0,11630*1000*SER_hh_tes!Q33/SER_hh_num!Q33)</f>
        <v>11733.365847580879</v>
      </c>
      <c r="R33" s="68">
        <f>IF(SER_hh_tes!R33=0,0,11630*1000*SER_hh_tes!R33/SER_hh_num!R33)</f>
        <v>12165.234097156779</v>
      </c>
      <c r="S33" s="68">
        <f>IF(SER_hh_tes!S33=0,0,11630*1000*SER_hh_tes!S33/SER_hh_num!S33)</f>
        <v>11533.666986371412</v>
      </c>
      <c r="T33" s="68">
        <f>IF(SER_hh_tes!T33=0,0,11630*1000*SER_hh_tes!T33/SER_hh_num!T33)</f>
        <v>11623.209284399558</v>
      </c>
      <c r="U33" s="68">
        <f>IF(SER_hh_tes!U33=0,0,11630*1000*SER_hh_tes!U33/SER_hh_num!U33)</f>
        <v>9688.7785900343242</v>
      </c>
      <c r="V33" s="68">
        <f>IF(SER_hh_tes!V33=0,0,11630*1000*SER_hh_tes!V33/SER_hh_num!V33)</f>
        <v>9547.804374124682</v>
      </c>
      <c r="W33" s="68">
        <f>IF(SER_hh_tes!W33=0,0,11630*1000*SER_hh_tes!W33/SER_hh_num!W33)</f>
        <v>11687.218647473775</v>
      </c>
      <c r="X33" s="68">
        <f>IF(SER_hh_tes!X33=0,0,11630*1000*SER_hh_tes!X33/SER_hh_num!X33)</f>
        <v>11250.194985401693</v>
      </c>
      <c r="Y33" s="68">
        <f>IF(SER_hh_tes!Y33=0,0,11630*1000*SER_hh_tes!Y33/SER_hh_num!Y33)</f>
        <v>12760.968959331563</v>
      </c>
      <c r="DA33" s="111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>
        <f>IF(SER_hh_emi!B3=0,0,1000000*SER_hh_emi!B3/SER_hh_num!B3)</f>
        <v>4971.2084599761874</v>
      </c>
      <c r="C3" s="125">
        <f>IF(SER_hh_emi!C3=0,0,1000000*SER_hh_emi!C3/SER_hh_num!C3)</f>
        <v>4924.4375402963669</v>
      </c>
      <c r="D3" s="125">
        <f>IF(SER_hh_emi!D3=0,0,1000000*SER_hh_emi!D3/SER_hh_num!D3)</f>
        <v>4653.9364215521464</v>
      </c>
      <c r="E3" s="125">
        <f>IF(SER_hh_emi!E3=0,0,1000000*SER_hh_emi!E3/SER_hh_num!E3)</f>
        <v>4700.8569767375693</v>
      </c>
      <c r="F3" s="125">
        <f>IF(SER_hh_emi!F3=0,0,1000000*SER_hh_emi!F3/SER_hh_num!F3)</f>
        <v>4138.9880698296629</v>
      </c>
      <c r="G3" s="125">
        <f>IF(SER_hh_emi!G3=0,0,1000000*SER_hh_emi!G3/SER_hh_num!G3)</f>
        <v>3890.9925290764454</v>
      </c>
      <c r="H3" s="125">
        <f>IF(SER_hh_emi!H3=0,0,1000000*SER_hh_emi!H3/SER_hh_num!H3)</f>
        <v>6475.8074212366937</v>
      </c>
      <c r="I3" s="125">
        <f>IF(SER_hh_emi!I3=0,0,1000000*SER_hh_emi!I3/SER_hh_num!I3)</f>
        <v>6484.1205145425274</v>
      </c>
      <c r="J3" s="125">
        <f>IF(SER_hh_emi!J3=0,0,1000000*SER_hh_emi!J3/SER_hh_num!J3)</f>
        <v>7975.624609140038</v>
      </c>
      <c r="K3" s="125">
        <f>IF(SER_hh_emi!K3=0,0,1000000*SER_hh_emi!K3/SER_hh_num!K3)</f>
        <v>6286.0345918247294</v>
      </c>
      <c r="L3" s="125">
        <f>IF(SER_hh_emi!L3=0,0,1000000*SER_hh_emi!L3/SER_hh_num!L3)</f>
        <v>6701.2303042428348</v>
      </c>
      <c r="M3" s="125">
        <f>IF(SER_hh_emi!M3=0,0,1000000*SER_hh_emi!M3/SER_hh_num!M3)</f>
        <v>6536.7342478860592</v>
      </c>
      <c r="N3" s="125">
        <f>IF(SER_hh_emi!N3=0,0,1000000*SER_hh_emi!N3/SER_hh_num!N3)</f>
        <v>5787.1552791261902</v>
      </c>
      <c r="O3" s="125">
        <f>IF(SER_hh_emi!O3=0,0,1000000*SER_hh_emi!O3/SER_hh_num!O3)</f>
        <v>5927.663545226309</v>
      </c>
      <c r="P3" s="125">
        <f>IF(SER_hh_emi!P3=0,0,1000000*SER_hh_emi!P3/SER_hh_num!P3)</f>
        <v>5568.2294493637255</v>
      </c>
      <c r="Q3" s="125">
        <f>IF(SER_hh_emi!Q3=0,0,1000000*SER_hh_emi!Q3/SER_hh_num!Q3)</f>
        <v>5157.1777321219124</v>
      </c>
      <c r="R3" s="125">
        <f>IF(SER_hh_emi!R3=0,0,1000000*SER_hh_emi!R3/SER_hh_num!R3)</f>
        <v>4959.5657680727372</v>
      </c>
      <c r="S3" s="125">
        <f>IF(SER_hh_emi!S3=0,0,1000000*SER_hh_emi!S3/SER_hh_num!S3)</f>
        <v>5627.6949688754303</v>
      </c>
      <c r="T3" s="125">
        <f>IF(SER_hh_emi!T3=0,0,1000000*SER_hh_emi!T3/SER_hh_num!T3)</f>
        <v>5511.321287689163</v>
      </c>
      <c r="U3" s="125">
        <f>IF(SER_hh_emi!U3=0,0,1000000*SER_hh_emi!U3/SER_hh_num!U3)</f>
        <v>6615.063354342502</v>
      </c>
      <c r="V3" s="125">
        <f>IF(SER_hh_emi!V3=0,0,1000000*SER_hh_emi!V3/SER_hh_num!V3)</f>
        <v>5131.5048013828718</v>
      </c>
      <c r="W3" s="125">
        <f>IF(SER_hh_emi!W3=0,0,1000000*SER_hh_emi!W3/SER_hh_num!W3)</f>
        <v>5315.5088914220096</v>
      </c>
      <c r="X3" s="125">
        <f>IF(SER_hh_emi!X3=0,0,1000000*SER_hh_emi!X3/SER_hh_num!X3)</f>
        <v>5904.3503385037266</v>
      </c>
      <c r="Y3" s="125">
        <f>IF(SER_hh_emi!Y3=0,0,1000000*SER_hh_emi!Y3/SER_hh_num!Y3)</f>
        <v>5819.0036447761722</v>
      </c>
      <c r="DA3" s="154" t="s">
        <v>446</v>
      </c>
    </row>
    <row r="4" spans="1:105" ht="12.95" customHeight="1" x14ac:dyDescent="0.25">
      <c r="A4" s="129" t="s">
        <v>32</v>
      </c>
      <c r="B4" s="130">
        <f>IF(SER_hh_emi!B4=0,0,1000000*SER_hh_emi!B4/SER_hh_num!B4)</f>
        <v>4742.2511862125148</v>
      </c>
      <c r="C4" s="130">
        <f>IF(SER_hh_emi!C4=0,0,1000000*SER_hh_emi!C4/SER_hh_num!C4)</f>
        <v>4698.5966192961259</v>
      </c>
      <c r="D4" s="130">
        <f>IF(SER_hh_emi!D4=0,0,1000000*SER_hh_emi!D4/SER_hh_num!D4)</f>
        <v>4430.8504980705347</v>
      </c>
      <c r="E4" s="130">
        <f>IF(SER_hh_emi!E4=0,0,1000000*SER_hh_emi!E4/SER_hh_num!E4)</f>
        <v>4483.1802554747874</v>
      </c>
      <c r="F4" s="130">
        <f>IF(SER_hh_emi!F4=0,0,1000000*SER_hh_emi!F4/SER_hh_num!F4)</f>
        <v>3925.0957927518816</v>
      </c>
      <c r="G4" s="130">
        <f>IF(SER_hh_emi!G4=0,0,1000000*SER_hh_emi!G4/SER_hh_num!G4)</f>
        <v>3681.0768014524192</v>
      </c>
      <c r="H4" s="130">
        <f>IF(SER_hh_emi!H4=0,0,1000000*SER_hh_emi!H4/SER_hh_num!H4)</f>
        <v>4149.7211691937837</v>
      </c>
      <c r="I4" s="130">
        <f>IF(SER_hh_emi!I4=0,0,1000000*SER_hh_emi!I4/SER_hh_num!I4)</f>
        <v>4219.514326290704</v>
      </c>
      <c r="J4" s="130">
        <f>IF(SER_hh_emi!J4=0,0,1000000*SER_hh_emi!J4/SER_hh_num!J4)</f>
        <v>5613.3478530512439</v>
      </c>
      <c r="K4" s="130">
        <f>IF(SER_hh_emi!K4=0,0,1000000*SER_hh_emi!K4/SER_hh_num!K4)</f>
        <v>4149.2511036478309</v>
      </c>
      <c r="L4" s="130">
        <f>IF(SER_hh_emi!L4=0,0,1000000*SER_hh_emi!L4/SER_hh_num!L4)</f>
        <v>4636.1672037806247</v>
      </c>
      <c r="M4" s="130">
        <f>IF(SER_hh_emi!M4=0,0,1000000*SER_hh_emi!M4/SER_hh_num!M4)</f>
        <v>4375.8480670179761</v>
      </c>
      <c r="N4" s="130">
        <f>IF(SER_hh_emi!N4=0,0,1000000*SER_hh_emi!N4/SER_hh_num!N4)</f>
        <v>3674.1984441177246</v>
      </c>
      <c r="O4" s="130">
        <f>IF(SER_hh_emi!O4=0,0,1000000*SER_hh_emi!O4/SER_hh_num!O4)</f>
        <v>3958.6435362398629</v>
      </c>
      <c r="P4" s="130">
        <f>IF(SER_hh_emi!P4=0,0,1000000*SER_hh_emi!P4/SER_hh_num!P4)</f>
        <v>3859.5601840796471</v>
      </c>
      <c r="Q4" s="130">
        <f>IF(SER_hh_emi!Q4=0,0,1000000*SER_hh_emi!Q4/SER_hh_num!Q4)</f>
        <v>3296.0470361152024</v>
      </c>
      <c r="R4" s="130">
        <f>IF(SER_hh_emi!R4=0,0,1000000*SER_hh_emi!R4/SER_hh_num!R4)</f>
        <v>3112.5514441883497</v>
      </c>
      <c r="S4" s="130">
        <f>IF(SER_hh_emi!S4=0,0,1000000*SER_hh_emi!S4/SER_hh_num!S4)</f>
        <v>3472.4375590727809</v>
      </c>
      <c r="T4" s="130">
        <f>IF(SER_hh_emi!T4=0,0,1000000*SER_hh_emi!T4/SER_hh_num!T4)</f>
        <v>3353.4865781733156</v>
      </c>
      <c r="U4" s="130">
        <f>IF(SER_hh_emi!U4=0,0,1000000*SER_hh_emi!U4/SER_hh_num!U4)</f>
        <v>4199.7950704302402</v>
      </c>
      <c r="V4" s="130">
        <f>IF(SER_hh_emi!V4=0,0,1000000*SER_hh_emi!V4/SER_hh_num!V4)</f>
        <v>3342.4554095749695</v>
      </c>
      <c r="W4" s="130">
        <f>IF(SER_hh_emi!W4=0,0,1000000*SER_hh_emi!W4/SER_hh_num!W4)</f>
        <v>3736.7775483134478</v>
      </c>
      <c r="X4" s="130">
        <f>IF(SER_hh_emi!X4=0,0,1000000*SER_hh_emi!X4/SER_hh_num!X4)</f>
        <v>4079.4655920170594</v>
      </c>
      <c r="Y4" s="130">
        <f>IF(SER_hh_emi!Y4=0,0,1000000*SER_hh_emi!Y4/SER_hh_num!Y4)</f>
        <v>4117.4160870767</v>
      </c>
      <c r="DA4" s="155" t="s">
        <v>447</v>
      </c>
    </row>
    <row r="5" spans="1:105" ht="12" customHeight="1" x14ac:dyDescent="0.25">
      <c r="A5" s="131" t="s">
        <v>29</v>
      </c>
      <c r="B5" s="132">
        <f>IF(SER_hh_emi!B5=0,0,1000000*SER_hh_emi!B5/SER_hh_num!B5)</f>
        <v>0</v>
      </c>
      <c r="C5" s="132">
        <f>IF(SER_hh_emi!C5=0,0,1000000*SER_hh_emi!C5/SER_hh_num!C5)</f>
        <v>0</v>
      </c>
      <c r="D5" s="132">
        <f>IF(SER_hh_emi!D5=0,0,1000000*SER_hh_emi!D5/SER_hh_num!D5)</f>
        <v>0</v>
      </c>
      <c r="E5" s="132">
        <f>IF(SER_hh_emi!E5=0,0,1000000*SER_hh_emi!E5/SER_hh_num!E5)</f>
        <v>0</v>
      </c>
      <c r="F5" s="132">
        <f>IF(SER_hh_emi!F5=0,0,1000000*SER_hh_emi!F5/SER_hh_num!F5)</f>
        <v>0</v>
      </c>
      <c r="G5" s="132">
        <f>IF(SER_hh_emi!G5=0,0,1000000*SER_hh_emi!G5/SER_hh_num!G5)</f>
        <v>0</v>
      </c>
      <c r="H5" s="132">
        <f>IF(SER_hh_emi!H5=0,0,1000000*SER_hh_emi!H5/SER_hh_num!H5)</f>
        <v>0</v>
      </c>
      <c r="I5" s="132">
        <f>IF(SER_hh_emi!I5=0,0,1000000*SER_hh_emi!I5/SER_hh_num!I5)</f>
        <v>0</v>
      </c>
      <c r="J5" s="132">
        <f>IF(SER_hh_emi!J5=0,0,1000000*SER_hh_emi!J5/SER_hh_num!J5)</f>
        <v>0</v>
      </c>
      <c r="K5" s="132">
        <f>IF(SER_hh_emi!K5=0,0,1000000*SER_hh_emi!K5/SER_hh_num!K5)</f>
        <v>0</v>
      </c>
      <c r="L5" s="132">
        <f>IF(SER_hh_emi!L5=0,0,1000000*SER_hh_emi!L5/SER_hh_num!L5)</f>
        <v>0</v>
      </c>
      <c r="M5" s="132">
        <f>IF(SER_hh_emi!M5=0,0,1000000*SER_hh_emi!M5/SER_hh_num!M5)</f>
        <v>0</v>
      </c>
      <c r="N5" s="132">
        <f>IF(SER_hh_emi!N5=0,0,1000000*SER_hh_emi!N5/SER_hh_num!N5)</f>
        <v>0</v>
      </c>
      <c r="O5" s="132">
        <f>IF(SER_hh_emi!O5=0,0,1000000*SER_hh_emi!O5/SER_hh_num!O5)</f>
        <v>0</v>
      </c>
      <c r="P5" s="132">
        <f>IF(SER_hh_emi!P5=0,0,1000000*SER_hh_emi!P5/SER_hh_num!P5)</f>
        <v>0</v>
      </c>
      <c r="Q5" s="132">
        <f>IF(SER_hh_emi!Q5=0,0,1000000*SER_hh_emi!Q5/SER_hh_num!Q5)</f>
        <v>0</v>
      </c>
      <c r="R5" s="132">
        <f>IF(SER_hh_emi!R5=0,0,1000000*SER_hh_emi!R5/SER_hh_num!R5)</f>
        <v>0</v>
      </c>
      <c r="S5" s="132">
        <f>IF(SER_hh_emi!S5=0,0,1000000*SER_hh_emi!S5/SER_hh_num!S5)</f>
        <v>0</v>
      </c>
      <c r="T5" s="132">
        <f>IF(SER_hh_emi!T5=0,0,1000000*SER_hh_emi!T5/SER_hh_num!T5)</f>
        <v>0</v>
      </c>
      <c r="U5" s="132">
        <f>IF(SER_hh_emi!U5=0,0,1000000*SER_hh_emi!U5/SER_hh_num!U5)</f>
        <v>0</v>
      </c>
      <c r="V5" s="132">
        <f>IF(SER_hh_emi!V5=0,0,1000000*SER_hh_emi!V5/SER_hh_num!V5)</f>
        <v>0</v>
      </c>
      <c r="W5" s="132">
        <f>IF(SER_hh_emi!W5=0,0,1000000*SER_hh_emi!W5/SER_hh_num!W5)</f>
        <v>0</v>
      </c>
      <c r="X5" s="132">
        <f>IF(SER_hh_emi!X5=0,0,1000000*SER_hh_emi!X5/SER_hh_num!X5)</f>
        <v>0</v>
      </c>
      <c r="Y5" s="132">
        <f>IF(SER_hh_emi!Y5=0,0,1000000*SER_hh_emi!Y5/SER_hh_num!Y5)</f>
        <v>0</v>
      </c>
      <c r="DA5" s="156" t="s">
        <v>448</v>
      </c>
    </row>
    <row r="6" spans="1:105" ht="12" customHeight="1" x14ac:dyDescent="0.25">
      <c r="A6" s="131" t="s">
        <v>52</v>
      </c>
      <c r="B6" s="132">
        <f>IF(SER_hh_emi!B6=0,0,1000000*SER_hh_emi!B6/SER_hh_num!B6)</f>
        <v>0</v>
      </c>
      <c r="C6" s="132">
        <f>IF(SER_hh_emi!C6=0,0,1000000*SER_hh_emi!C6/SER_hh_num!C6)</f>
        <v>0</v>
      </c>
      <c r="D6" s="132">
        <f>IF(SER_hh_emi!D6=0,0,1000000*SER_hh_emi!D6/SER_hh_num!D6)</f>
        <v>0</v>
      </c>
      <c r="E6" s="132">
        <f>IF(SER_hh_emi!E6=0,0,1000000*SER_hh_emi!E6/SER_hh_num!E6)</f>
        <v>0</v>
      </c>
      <c r="F6" s="132">
        <f>IF(SER_hh_emi!F6=0,0,1000000*SER_hh_emi!F6/SER_hh_num!F6)</f>
        <v>0</v>
      </c>
      <c r="G6" s="132">
        <f>IF(SER_hh_emi!G6=0,0,1000000*SER_hh_emi!G6/SER_hh_num!G6)</f>
        <v>0</v>
      </c>
      <c r="H6" s="132">
        <f>IF(SER_hh_emi!H6=0,0,1000000*SER_hh_emi!H6/SER_hh_num!H6)</f>
        <v>0</v>
      </c>
      <c r="I6" s="132">
        <f>IF(SER_hh_emi!I6=0,0,1000000*SER_hh_emi!I6/SER_hh_num!I6)</f>
        <v>0</v>
      </c>
      <c r="J6" s="132">
        <f>IF(SER_hh_emi!J6=0,0,1000000*SER_hh_emi!J6/SER_hh_num!J6)</f>
        <v>0</v>
      </c>
      <c r="K6" s="132">
        <f>IF(SER_hh_emi!K6=0,0,1000000*SER_hh_emi!K6/SER_hh_num!K6)</f>
        <v>0</v>
      </c>
      <c r="L6" s="132">
        <f>IF(SER_hh_emi!L6=0,0,1000000*SER_hh_emi!L6/SER_hh_num!L6)</f>
        <v>0</v>
      </c>
      <c r="M6" s="132">
        <f>IF(SER_hh_emi!M6=0,0,1000000*SER_hh_emi!M6/SER_hh_num!M6)</f>
        <v>0</v>
      </c>
      <c r="N6" s="132">
        <f>IF(SER_hh_emi!N6=0,0,1000000*SER_hh_emi!N6/SER_hh_num!N6)</f>
        <v>0</v>
      </c>
      <c r="O6" s="132">
        <f>IF(SER_hh_emi!O6=0,0,1000000*SER_hh_emi!O6/SER_hh_num!O6)</f>
        <v>0</v>
      </c>
      <c r="P6" s="132">
        <f>IF(SER_hh_emi!P6=0,0,1000000*SER_hh_emi!P6/SER_hh_num!P6)</f>
        <v>0</v>
      </c>
      <c r="Q6" s="132">
        <f>IF(SER_hh_emi!Q6=0,0,1000000*SER_hh_emi!Q6/SER_hh_num!Q6)</f>
        <v>0</v>
      </c>
      <c r="R6" s="132">
        <f>IF(SER_hh_emi!R6=0,0,1000000*SER_hh_emi!R6/SER_hh_num!R6)</f>
        <v>0</v>
      </c>
      <c r="S6" s="132">
        <f>IF(SER_hh_emi!S6=0,0,1000000*SER_hh_emi!S6/SER_hh_num!S6)</f>
        <v>0</v>
      </c>
      <c r="T6" s="132">
        <f>IF(SER_hh_emi!T6=0,0,1000000*SER_hh_emi!T6/SER_hh_num!T6)</f>
        <v>0</v>
      </c>
      <c r="U6" s="132">
        <f>IF(SER_hh_emi!U6=0,0,1000000*SER_hh_emi!U6/SER_hh_num!U6)</f>
        <v>0</v>
      </c>
      <c r="V6" s="132">
        <f>IF(SER_hh_emi!V6=0,0,1000000*SER_hh_emi!V6/SER_hh_num!V6)</f>
        <v>0</v>
      </c>
      <c r="W6" s="132">
        <f>IF(SER_hh_emi!W6=0,0,1000000*SER_hh_emi!W6/SER_hh_num!W6)</f>
        <v>0</v>
      </c>
      <c r="X6" s="132">
        <f>IF(SER_hh_emi!X6=0,0,1000000*SER_hh_emi!X6/SER_hh_num!X6)</f>
        <v>0</v>
      </c>
      <c r="Y6" s="132">
        <f>IF(SER_hh_emi!Y6=0,0,1000000*SER_hh_emi!Y6/SER_hh_num!Y6)</f>
        <v>0</v>
      </c>
      <c r="DA6" s="156" t="s">
        <v>449</v>
      </c>
    </row>
    <row r="7" spans="1:105" ht="12" customHeight="1" x14ac:dyDescent="0.25">
      <c r="A7" s="131" t="s">
        <v>161</v>
      </c>
      <c r="B7" s="132">
        <f>IF(SER_hh_emi!B7=0,0,1000000*SER_hh_emi!B7/SER_hh_num!B7)</f>
        <v>7459.5867457844097</v>
      </c>
      <c r="C7" s="132">
        <f>IF(SER_hh_emi!C7=0,0,1000000*SER_hh_emi!C7/SER_hh_num!C7)</f>
        <v>8769.597103748034</v>
      </c>
      <c r="D7" s="132">
        <f>IF(SER_hh_emi!D7=0,0,1000000*SER_hh_emi!D7/SER_hh_num!D7)</f>
        <v>9920.4933873161117</v>
      </c>
      <c r="E7" s="132">
        <f>IF(SER_hh_emi!E7=0,0,1000000*SER_hh_emi!E7/SER_hh_num!E7)</f>
        <v>11678.247101804533</v>
      </c>
      <c r="F7" s="132">
        <f>IF(SER_hh_emi!F7=0,0,1000000*SER_hh_emi!F7/SER_hh_num!F7)</f>
        <v>12089.30285609523</v>
      </c>
      <c r="G7" s="132">
        <f>IF(SER_hh_emi!G7=0,0,1000000*SER_hh_emi!G7/SER_hh_num!G7)</f>
        <v>13266.075297178457</v>
      </c>
      <c r="H7" s="132">
        <f>IF(SER_hh_emi!H7=0,0,1000000*SER_hh_emi!H7/SER_hh_num!H7)</f>
        <v>17148.541398604761</v>
      </c>
      <c r="I7" s="132">
        <f>IF(SER_hh_emi!I7=0,0,1000000*SER_hh_emi!I7/SER_hh_num!I7)</f>
        <v>18756.025924338657</v>
      </c>
      <c r="J7" s="132">
        <f>IF(SER_hh_emi!J7=0,0,1000000*SER_hh_emi!J7/SER_hh_num!J7)</f>
        <v>25305.463974891682</v>
      </c>
      <c r="K7" s="132">
        <f>IF(SER_hh_emi!K7=0,0,1000000*SER_hh_emi!K7/SER_hh_num!K7)</f>
        <v>20156.02220436585</v>
      </c>
      <c r="L7" s="132">
        <f>IF(SER_hh_emi!L7=0,0,1000000*SER_hh_emi!L7/SER_hh_num!L7)</f>
        <v>22522.73247094436</v>
      </c>
      <c r="M7" s="132">
        <f>IF(SER_hh_emi!M7=0,0,1000000*SER_hh_emi!M7/SER_hh_num!M7)</f>
        <v>21000.910232632235</v>
      </c>
      <c r="N7" s="132">
        <f>IF(SER_hh_emi!N7=0,0,1000000*SER_hh_emi!N7/SER_hh_num!N7)</f>
        <v>17172.522469583746</v>
      </c>
      <c r="O7" s="132">
        <f>IF(SER_hh_emi!O7=0,0,1000000*SER_hh_emi!O7/SER_hh_num!O7)</f>
        <v>18949.124626322522</v>
      </c>
      <c r="P7" s="132">
        <f>IF(SER_hh_emi!P7=0,0,1000000*SER_hh_emi!P7/SER_hh_num!P7)</f>
        <v>20017.069826242139</v>
      </c>
      <c r="Q7" s="132">
        <f>IF(SER_hh_emi!Q7=0,0,1000000*SER_hh_emi!Q7/SER_hh_num!Q7)</f>
        <v>19495.021446903738</v>
      </c>
      <c r="R7" s="132">
        <f>IF(SER_hh_emi!R7=0,0,1000000*SER_hh_emi!R7/SER_hh_num!R7)</f>
        <v>20658.838004642104</v>
      </c>
      <c r="S7" s="132">
        <f>IF(SER_hh_emi!S7=0,0,1000000*SER_hh_emi!S7/SER_hh_num!S7)</f>
        <v>23911.216084028893</v>
      </c>
      <c r="T7" s="132">
        <f>IF(SER_hh_emi!T7=0,0,1000000*SER_hh_emi!T7/SER_hh_num!T7)</f>
        <v>23137.01718284997</v>
      </c>
      <c r="U7" s="132">
        <f>IF(SER_hh_emi!U7=0,0,1000000*SER_hh_emi!U7/SER_hh_num!U7)</f>
        <v>27627.666120831513</v>
      </c>
      <c r="V7" s="132">
        <f>IF(SER_hh_emi!V7=0,0,1000000*SER_hh_emi!V7/SER_hh_num!V7)</f>
        <v>21421.859832346894</v>
      </c>
      <c r="W7" s="132">
        <f>IF(SER_hh_emi!W7=0,0,1000000*SER_hh_emi!W7/SER_hh_num!W7)</f>
        <v>24077.204521654468</v>
      </c>
      <c r="X7" s="132">
        <f>IF(SER_hh_emi!X7=0,0,1000000*SER_hh_emi!X7/SER_hh_num!X7)</f>
        <v>27206.697102636947</v>
      </c>
      <c r="Y7" s="132">
        <f>IF(SER_hh_emi!Y7=0,0,1000000*SER_hh_emi!Y7/SER_hh_num!Y7)</f>
        <v>27535.330444853713</v>
      </c>
      <c r="DA7" s="156" t="s">
        <v>450</v>
      </c>
    </row>
    <row r="8" spans="1:105" ht="12" customHeight="1" x14ac:dyDescent="0.25">
      <c r="A8" s="131" t="s">
        <v>73</v>
      </c>
      <c r="B8" s="132">
        <f>IF(SER_hh_emi!B8=0,0,1000000*SER_hh_emi!B8/SER_hh_num!B8)</f>
        <v>0</v>
      </c>
      <c r="C8" s="132">
        <f>IF(SER_hh_emi!C8=0,0,1000000*SER_hh_emi!C8/SER_hh_num!C8)</f>
        <v>0</v>
      </c>
      <c r="D8" s="132">
        <f>IF(SER_hh_emi!D8=0,0,1000000*SER_hh_emi!D8/SER_hh_num!D8)</f>
        <v>0</v>
      </c>
      <c r="E8" s="132">
        <f>IF(SER_hh_emi!E8=0,0,1000000*SER_hh_emi!E8/SER_hh_num!E8)</f>
        <v>0</v>
      </c>
      <c r="F8" s="132">
        <f>IF(SER_hh_emi!F8=0,0,1000000*SER_hh_emi!F8/SER_hh_num!F8)</f>
        <v>0</v>
      </c>
      <c r="G8" s="132">
        <f>IF(SER_hh_emi!G8=0,0,1000000*SER_hh_emi!G8/SER_hh_num!G8)</f>
        <v>0</v>
      </c>
      <c r="H8" s="132">
        <f>IF(SER_hh_emi!H8=0,0,1000000*SER_hh_emi!H8/SER_hh_num!H8)</f>
        <v>0</v>
      </c>
      <c r="I8" s="132">
        <f>IF(SER_hh_emi!I8=0,0,1000000*SER_hh_emi!I8/SER_hh_num!I8)</f>
        <v>0</v>
      </c>
      <c r="J8" s="132">
        <f>IF(SER_hh_emi!J8=0,0,1000000*SER_hh_emi!J8/SER_hh_num!J8)</f>
        <v>0</v>
      </c>
      <c r="K8" s="132">
        <f>IF(SER_hh_emi!K8=0,0,1000000*SER_hh_emi!K8/SER_hh_num!K8)</f>
        <v>0</v>
      </c>
      <c r="L8" s="132">
        <f>IF(SER_hh_emi!L8=0,0,1000000*SER_hh_emi!L8/SER_hh_num!L8)</f>
        <v>0</v>
      </c>
      <c r="M8" s="132">
        <f>IF(SER_hh_emi!M8=0,0,1000000*SER_hh_emi!M8/SER_hh_num!M8)</f>
        <v>0</v>
      </c>
      <c r="N8" s="132">
        <f>IF(SER_hh_emi!N8=0,0,1000000*SER_hh_emi!N8/SER_hh_num!N8)</f>
        <v>0</v>
      </c>
      <c r="O8" s="132">
        <f>IF(SER_hh_emi!O8=0,0,1000000*SER_hh_emi!O8/SER_hh_num!O8)</f>
        <v>0</v>
      </c>
      <c r="P8" s="132">
        <f>IF(SER_hh_emi!P8=0,0,1000000*SER_hh_emi!P8/SER_hh_num!P8)</f>
        <v>0</v>
      </c>
      <c r="Q8" s="132">
        <f>IF(SER_hh_emi!Q8=0,0,1000000*SER_hh_emi!Q8/SER_hh_num!Q8)</f>
        <v>0</v>
      </c>
      <c r="R8" s="132">
        <f>IF(SER_hh_emi!R8=0,0,1000000*SER_hh_emi!R8/SER_hh_num!R8)</f>
        <v>0</v>
      </c>
      <c r="S8" s="132">
        <f>IF(SER_hh_emi!S8=0,0,1000000*SER_hh_emi!S8/SER_hh_num!S8)</f>
        <v>0</v>
      </c>
      <c r="T8" s="132">
        <f>IF(SER_hh_emi!T8=0,0,1000000*SER_hh_emi!T8/SER_hh_num!T8)</f>
        <v>0</v>
      </c>
      <c r="U8" s="132">
        <f>IF(SER_hh_emi!U8=0,0,1000000*SER_hh_emi!U8/SER_hh_num!U8)</f>
        <v>0</v>
      </c>
      <c r="V8" s="132">
        <f>IF(SER_hh_emi!V8=0,0,1000000*SER_hh_emi!V8/SER_hh_num!V8)</f>
        <v>0</v>
      </c>
      <c r="W8" s="132">
        <f>IF(SER_hh_emi!W8=0,0,1000000*SER_hh_emi!W8/SER_hh_num!W8)</f>
        <v>0</v>
      </c>
      <c r="X8" s="132">
        <f>IF(SER_hh_emi!X8=0,0,1000000*SER_hh_emi!X8/SER_hh_num!X8)</f>
        <v>0</v>
      </c>
      <c r="Y8" s="132">
        <f>IF(SER_hh_emi!Y8=0,0,1000000*SER_hh_emi!Y8/SER_hh_num!Y8)</f>
        <v>0</v>
      </c>
      <c r="DA8" s="156" t="s">
        <v>451</v>
      </c>
    </row>
    <row r="9" spans="1:105" ht="12" customHeight="1" x14ac:dyDescent="0.25">
      <c r="A9" s="131" t="s">
        <v>78</v>
      </c>
      <c r="B9" s="132">
        <f>IF(SER_hh_emi!B9=0,0,1000000*SER_hh_emi!B9/SER_hh_num!B9)</f>
        <v>0</v>
      </c>
      <c r="C9" s="132">
        <f>IF(SER_hh_emi!C9=0,0,1000000*SER_hh_emi!C9/SER_hh_num!C9)</f>
        <v>0</v>
      </c>
      <c r="D9" s="132">
        <f>IF(SER_hh_emi!D9=0,0,1000000*SER_hh_emi!D9/SER_hh_num!D9)</f>
        <v>0</v>
      </c>
      <c r="E9" s="132">
        <f>IF(SER_hh_emi!E9=0,0,1000000*SER_hh_emi!E9/SER_hh_num!E9)</f>
        <v>0</v>
      </c>
      <c r="F9" s="132">
        <f>IF(SER_hh_emi!F9=0,0,1000000*SER_hh_emi!F9/SER_hh_num!F9)</f>
        <v>0</v>
      </c>
      <c r="G9" s="132">
        <f>IF(SER_hh_emi!G9=0,0,1000000*SER_hh_emi!G9/SER_hh_num!G9)</f>
        <v>0</v>
      </c>
      <c r="H9" s="132">
        <f>IF(SER_hh_emi!H9=0,0,1000000*SER_hh_emi!H9/SER_hh_num!H9)</f>
        <v>0</v>
      </c>
      <c r="I9" s="132">
        <f>IF(SER_hh_emi!I9=0,0,1000000*SER_hh_emi!I9/SER_hh_num!I9)</f>
        <v>0</v>
      </c>
      <c r="J9" s="132">
        <f>IF(SER_hh_emi!J9=0,0,1000000*SER_hh_emi!J9/SER_hh_num!J9)</f>
        <v>0</v>
      </c>
      <c r="K9" s="132">
        <f>IF(SER_hh_emi!K9=0,0,1000000*SER_hh_emi!K9/SER_hh_num!K9)</f>
        <v>0</v>
      </c>
      <c r="L9" s="132">
        <f>IF(SER_hh_emi!L9=0,0,1000000*SER_hh_emi!L9/SER_hh_num!L9)</f>
        <v>0</v>
      </c>
      <c r="M9" s="132">
        <f>IF(SER_hh_emi!M9=0,0,1000000*SER_hh_emi!M9/SER_hh_num!M9)</f>
        <v>0</v>
      </c>
      <c r="N9" s="132">
        <f>IF(SER_hh_emi!N9=0,0,1000000*SER_hh_emi!N9/SER_hh_num!N9)</f>
        <v>0</v>
      </c>
      <c r="O9" s="132">
        <f>IF(SER_hh_emi!O9=0,0,1000000*SER_hh_emi!O9/SER_hh_num!O9)</f>
        <v>0</v>
      </c>
      <c r="P9" s="132">
        <f>IF(SER_hh_emi!P9=0,0,1000000*SER_hh_emi!P9/SER_hh_num!P9)</f>
        <v>0</v>
      </c>
      <c r="Q9" s="132">
        <f>IF(SER_hh_emi!Q9=0,0,1000000*SER_hh_emi!Q9/SER_hh_num!Q9)</f>
        <v>0</v>
      </c>
      <c r="R9" s="132">
        <f>IF(SER_hh_emi!R9=0,0,1000000*SER_hh_emi!R9/SER_hh_num!R9)</f>
        <v>0</v>
      </c>
      <c r="S9" s="132">
        <f>IF(SER_hh_emi!S9=0,0,1000000*SER_hh_emi!S9/SER_hh_num!S9)</f>
        <v>0</v>
      </c>
      <c r="T9" s="132">
        <f>IF(SER_hh_emi!T9=0,0,1000000*SER_hh_emi!T9/SER_hh_num!T9)</f>
        <v>0</v>
      </c>
      <c r="U9" s="132">
        <f>IF(SER_hh_emi!U9=0,0,1000000*SER_hh_emi!U9/SER_hh_num!U9)</f>
        <v>0</v>
      </c>
      <c r="V9" s="132">
        <f>IF(SER_hh_emi!V9=0,0,1000000*SER_hh_emi!V9/SER_hh_num!V9)</f>
        <v>0</v>
      </c>
      <c r="W9" s="132">
        <f>IF(SER_hh_emi!W9=0,0,1000000*SER_hh_emi!W9/SER_hh_num!W9)</f>
        <v>0</v>
      </c>
      <c r="X9" s="132">
        <f>IF(SER_hh_emi!X9=0,0,1000000*SER_hh_emi!X9/SER_hh_num!X9)</f>
        <v>0</v>
      </c>
      <c r="Y9" s="132">
        <f>IF(SER_hh_emi!Y9=0,0,1000000*SER_hh_emi!Y9/SER_hh_num!Y9)</f>
        <v>0</v>
      </c>
      <c r="DA9" s="156" t="s">
        <v>452</v>
      </c>
    </row>
    <row r="10" spans="1:105" ht="12" customHeight="1" x14ac:dyDescent="0.25">
      <c r="A10" s="131" t="s">
        <v>128</v>
      </c>
      <c r="B10" s="132">
        <f>IF(SER_hh_emi!B10=0,0,1000000*SER_hh_emi!B10/SER_hh_num!B10)</f>
        <v>0</v>
      </c>
      <c r="C10" s="132">
        <f>IF(SER_hh_emi!C10=0,0,1000000*SER_hh_emi!C10/SER_hh_num!C10)</f>
        <v>0</v>
      </c>
      <c r="D10" s="132">
        <f>IF(SER_hh_emi!D10=0,0,1000000*SER_hh_emi!D10/SER_hh_num!D10)</f>
        <v>0</v>
      </c>
      <c r="E10" s="132">
        <f>IF(SER_hh_emi!E10=0,0,1000000*SER_hh_emi!E10/SER_hh_num!E10)</f>
        <v>0</v>
      </c>
      <c r="F10" s="132">
        <f>IF(SER_hh_emi!F10=0,0,1000000*SER_hh_emi!F10/SER_hh_num!F10)</f>
        <v>0</v>
      </c>
      <c r="G10" s="132">
        <f>IF(SER_hh_emi!G10=0,0,1000000*SER_hh_emi!G10/SER_hh_num!G10)</f>
        <v>0</v>
      </c>
      <c r="H10" s="132">
        <f>IF(SER_hh_emi!H10=0,0,1000000*SER_hh_emi!H10/SER_hh_num!H10)</f>
        <v>0</v>
      </c>
      <c r="I10" s="132">
        <f>IF(SER_hh_emi!I10=0,0,1000000*SER_hh_emi!I10/SER_hh_num!I10)</f>
        <v>0</v>
      </c>
      <c r="J10" s="132">
        <f>IF(SER_hh_emi!J10=0,0,1000000*SER_hh_emi!J10/SER_hh_num!J10)</f>
        <v>0</v>
      </c>
      <c r="K10" s="132">
        <f>IF(SER_hh_emi!K10=0,0,1000000*SER_hh_emi!K10/SER_hh_num!K10)</f>
        <v>0</v>
      </c>
      <c r="L10" s="132">
        <f>IF(SER_hh_emi!L10=0,0,1000000*SER_hh_emi!L10/SER_hh_num!L10)</f>
        <v>0</v>
      </c>
      <c r="M10" s="132">
        <f>IF(SER_hh_emi!M10=0,0,1000000*SER_hh_emi!M10/SER_hh_num!M10)</f>
        <v>0</v>
      </c>
      <c r="N10" s="132">
        <f>IF(SER_hh_emi!N10=0,0,1000000*SER_hh_emi!N10/SER_hh_num!N10)</f>
        <v>0</v>
      </c>
      <c r="O10" s="132">
        <f>IF(SER_hh_emi!O10=0,0,1000000*SER_hh_emi!O10/SER_hh_num!O10)</f>
        <v>0</v>
      </c>
      <c r="P10" s="132">
        <f>IF(SER_hh_emi!P10=0,0,1000000*SER_hh_emi!P10/SER_hh_num!P10)</f>
        <v>0</v>
      </c>
      <c r="Q10" s="132">
        <f>IF(SER_hh_emi!Q10=0,0,1000000*SER_hh_emi!Q10/SER_hh_num!Q10)</f>
        <v>0</v>
      </c>
      <c r="R10" s="132">
        <f>IF(SER_hh_emi!R10=0,0,1000000*SER_hh_emi!R10/SER_hh_num!R10)</f>
        <v>0</v>
      </c>
      <c r="S10" s="132">
        <f>IF(SER_hh_emi!S10=0,0,1000000*SER_hh_emi!S10/SER_hh_num!S10)</f>
        <v>0</v>
      </c>
      <c r="T10" s="132">
        <f>IF(SER_hh_emi!T10=0,0,1000000*SER_hh_emi!T10/SER_hh_num!T10)</f>
        <v>0</v>
      </c>
      <c r="U10" s="132">
        <f>IF(SER_hh_emi!U10=0,0,1000000*SER_hh_emi!U10/SER_hh_num!U10)</f>
        <v>0</v>
      </c>
      <c r="V10" s="132">
        <f>IF(SER_hh_emi!V10=0,0,1000000*SER_hh_emi!V10/SER_hh_num!V10)</f>
        <v>0</v>
      </c>
      <c r="W10" s="132">
        <f>IF(SER_hh_emi!W10=0,0,1000000*SER_hh_emi!W10/SER_hh_num!W10)</f>
        <v>0</v>
      </c>
      <c r="X10" s="132">
        <f>IF(SER_hh_emi!X10=0,0,1000000*SER_hh_emi!X10/SER_hh_num!X10)</f>
        <v>0</v>
      </c>
      <c r="Y10" s="132">
        <f>IF(SER_hh_emi!Y10=0,0,1000000*SER_hh_emi!Y10/SER_hh_num!Y10)</f>
        <v>0</v>
      </c>
      <c r="DA10" s="156" t="s">
        <v>453</v>
      </c>
    </row>
    <row r="11" spans="1:105" ht="12" customHeight="1" x14ac:dyDescent="0.25">
      <c r="A11" s="131" t="s">
        <v>25</v>
      </c>
      <c r="B11" s="132">
        <f>IF(SER_hh_emi!B11=0,0,1000000*SER_hh_emi!B11/SER_hh_num!B11)</f>
        <v>0</v>
      </c>
      <c r="C11" s="132">
        <f>IF(SER_hh_emi!C11=0,0,1000000*SER_hh_emi!C11/SER_hh_num!C11)</f>
        <v>0</v>
      </c>
      <c r="D11" s="132">
        <f>IF(SER_hh_emi!D11=0,0,1000000*SER_hh_emi!D11/SER_hh_num!D11)</f>
        <v>0</v>
      </c>
      <c r="E11" s="132">
        <f>IF(SER_hh_emi!E11=0,0,1000000*SER_hh_emi!E11/SER_hh_num!E11)</f>
        <v>0</v>
      </c>
      <c r="F11" s="132">
        <f>IF(SER_hh_emi!F11=0,0,1000000*SER_hh_emi!F11/SER_hh_num!F11)</f>
        <v>0</v>
      </c>
      <c r="G11" s="132">
        <f>IF(SER_hh_emi!G11=0,0,1000000*SER_hh_emi!G11/SER_hh_num!G11)</f>
        <v>0</v>
      </c>
      <c r="H11" s="132">
        <f>IF(SER_hh_emi!H11=0,0,1000000*SER_hh_emi!H11/SER_hh_num!H11)</f>
        <v>0</v>
      </c>
      <c r="I11" s="132">
        <f>IF(SER_hh_emi!I11=0,0,1000000*SER_hh_emi!I11/SER_hh_num!I11)</f>
        <v>0</v>
      </c>
      <c r="J11" s="132">
        <f>IF(SER_hh_emi!J11=0,0,1000000*SER_hh_emi!J11/SER_hh_num!J11)</f>
        <v>0</v>
      </c>
      <c r="K11" s="132">
        <f>IF(SER_hh_emi!K11=0,0,1000000*SER_hh_emi!K11/SER_hh_num!K11)</f>
        <v>0</v>
      </c>
      <c r="L11" s="132">
        <f>IF(SER_hh_emi!L11=0,0,1000000*SER_hh_emi!L11/SER_hh_num!L11)</f>
        <v>0</v>
      </c>
      <c r="M11" s="132">
        <f>IF(SER_hh_emi!M11=0,0,1000000*SER_hh_emi!M11/SER_hh_num!M11)</f>
        <v>0</v>
      </c>
      <c r="N11" s="132">
        <f>IF(SER_hh_emi!N11=0,0,1000000*SER_hh_emi!N11/SER_hh_num!N11)</f>
        <v>0</v>
      </c>
      <c r="O11" s="132">
        <f>IF(SER_hh_emi!O11=0,0,1000000*SER_hh_emi!O11/SER_hh_num!O11)</f>
        <v>0</v>
      </c>
      <c r="P11" s="132">
        <f>IF(SER_hh_emi!P11=0,0,1000000*SER_hh_emi!P11/SER_hh_num!P11)</f>
        <v>0</v>
      </c>
      <c r="Q11" s="132">
        <f>IF(SER_hh_emi!Q11=0,0,1000000*SER_hh_emi!Q11/SER_hh_num!Q11)</f>
        <v>0</v>
      </c>
      <c r="R11" s="132">
        <f>IF(SER_hh_emi!R11=0,0,1000000*SER_hh_emi!R11/SER_hh_num!R11)</f>
        <v>0</v>
      </c>
      <c r="S11" s="132">
        <f>IF(SER_hh_emi!S11=0,0,1000000*SER_hh_emi!S11/SER_hh_num!S11)</f>
        <v>0</v>
      </c>
      <c r="T11" s="132">
        <f>IF(SER_hh_emi!T11=0,0,1000000*SER_hh_emi!T11/SER_hh_num!T11)</f>
        <v>0</v>
      </c>
      <c r="U11" s="132">
        <f>IF(SER_hh_emi!U11=0,0,1000000*SER_hh_emi!U11/SER_hh_num!U11)</f>
        <v>0</v>
      </c>
      <c r="V11" s="132">
        <f>IF(SER_hh_emi!V11=0,0,1000000*SER_hh_emi!V11/SER_hh_num!V11)</f>
        <v>0</v>
      </c>
      <c r="W11" s="132">
        <f>IF(SER_hh_emi!W11=0,0,1000000*SER_hh_emi!W11/SER_hh_num!W11)</f>
        <v>0</v>
      </c>
      <c r="X11" s="132">
        <f>IF(SER_hh_emi!X11=0,0,1000000*SER_hh_emi!X11/SER_hh_num!X11)</f>
        <v>0</v>
      </c>
      <c r="Y11" s="132">
        <f>IF(SER_hh_emi!Y11=0,0,1000000*SER_hh_emi!Y11/SER_hh_num!Y11)</f>
        <v>0</v>
      </c>
      <c r="DA11" s="156" t="s">
        <v>454</v>
      </c>
    </row>
    <row r="12" spans="1:105" ht="12" customHeight="1" x14ac:dyDescent="0.25">
      <c r="A12" s="131" t="s">
        <v>162</v>
      </c>
      <c r="B12" s="132">
        <f>IF(SER_hh_emi!B12=0,0,1000000*SER_hh_emi!B12/SER_hh_num!B12)</f>
        <v>0</v>
      </c>
      <c r="C12" s="132">
        <f>IF(SER_hh_emi!C12=0,0,1000000*SER_hh_emi!C12/SER_hh_num!C12)</f>
        <v>0</v>
      </c>
      <c r="D12" s="132">
        <f>IF(SER_hh_emi!D12=0,0,1000000*SER_hh_emi!D12/SER_hh_num!D12)</f>
        <v>0</v>
      </c>
      <c r="E12" s="132">
        <f>IF(SER_hh_emi!E12=0,0,1000000*SER_hh_emi!E12/SER_hh_num!E12)</f>
        <v>0</v>
      </c>
      <c r="F12" s="132">
        <f>IF(SER_hh_emi!F12=0,0,1000000*SER_hh_emi!F12/SER_hh_num!F12)</f>
        <v>0</v>
      </c>
      <c r="G12" s="132">
        <f>IF(SER_hh_emi!G12=0,0,1000000*SER_hh_emi!G12/SER_hh_num!G12)</f>
        <v>0</v>
      </c>
      <c r="H12" s="132">
        <f>IF(SER_hh_emi!H12=0,0,1000000*SER_hh_emi!H12/SER_hh_num!H12)</f>
        <v>0</v>
      </c>
      <c r="I12" s="132">
        <f>IF(SER_hh_emi!I12=0,0,1000000*SER_hh_emi!I12/SER_hh_num!I12)</f>
        <v>0</v>
      </c>
      <c r="J12" s="132">
        <f>IF(SER_hh_emi!J12=0,0,1000000*SER_hh_emi!J12/SER_hh_num!J12)</f>
        <v>0</v>
      </c>
      <c r="K12" s="132">
        <f>IF(SER_hh_emi!K12=0,0,1000000*SER_hh_emi!K12/SER_hh_num!K12)</f>
        <v>0</v>
      </c>
      <c r="L12" s="132">
        <f>IF(SER_hh_emi!L12=0,0,1000000*SER_hh_emi!L12/SER_hh_num!L12)</f>
        <v>0</v>
      </c>
      <c r="M12" s="132">
        <f>IF(SER_hh_emi!M12=0,0,1000000*SER_hh_emi!M12/SER_hh_num!M12)</f>
        <v>0</v>
      </c>
      <c r="N12" s="132">
        <f>IF(SER_hh_emi!N12=0,0,1000000*SER_hh_emi!N12/SER_hh_num!N12)</f>
        <v>0</v>
      </c>
      <c r="O12" s="132">
        <f>IF(SER_hh_emi!O12=0,0,1000000*SER_hh_emi!O12/SER_hh_num!O12)</f>
        <v>0</v>
      </c>
      <c r="P12" s="132">
        <f>IF(SER_hh_emi!P12=0,0,1000000*SER_hh_emi!P12/SER_hh_num!P12)</f>
        <v>0</v>
      </c>
      <c r="Q12" s="132">
        <f>IF(SER_hh_emi!Q12=0,0,1000000*SER_hh_emi!Q12/SER_hh_num!Q12)</f>
        <v>0</v>
      </c>
      <c r="R12" s="132">
        <f>IF(SER_hh_emi!R12=0,0,1000000*SER_hh_emi!R12/SER_hh_num!R12)</f>
        <v>0</v>
      </c>
      <c r="S12" s="132">
        <f>IF(SER_hh_emi!S12=0,0,1000000*SER_hh_emi!S12/SER_hh_num!S12)</f>
        <v>0</v>
      </c>
      <c r="T12" s="132">
        <f>IF(SER_hh_emi!T12=0,0,1000000*SER_hh_emi!T12/SER_hh_num!T12)</f>
        <v>0</v>
      </c>
      <c r="U12" s="132">
        <f>IF(SER_hh_emi!U12=0,0,1000000*SER_hh_emi!U12/SER_hh_num!U12)</f>
        <v>0</v>
      </c>
      <c r="V12" s="132">
        <f>IF(SER_hh_emi!V12=0,0,1000000*SER_hh_emi!V12/SER_hh_num!V12)</f>
        <v>0</v>
      </c>
      <c r="W12" s="132">
        <f>IF(SER_hh_emi!W12=0,0,1000000*SER_hh_emi!W12/SER_hh_num!W12)</f>
        <v>0</v>
      </c>
      <c r="X12" s="132">
        <f>IF(SER_hh_emi!X12=0,0,1000000*SER_hh_emi!X12/SER_hh_num!X12)</f>
        <v>0</v>
      </c>
      <c r="Y12" s="132">
        <f>IF(SER_hh_emi!Y12=0,0,1000000*SER_hh_emi!Y12/SER_hh_num!Y12)</f>
        <v>0</v>
      </c>
      <c r="DA12" s="156" t="s">
        <v>455</v>
      </c>
    </row>
    <row r="13" spans="1:105" ht="12" customHeight="1" x14ac:dyDescent="0.25">
      <c r="A13" s="131" t="s">
        <v>77</v>
      </c>
      <c r="B13" s="132">
        <f>IF(SER_hh_emi!B13=0,0,1000000*SER_hh_emi!B13/SER_hh_num!B13)</f>
        <v>0</v>
      </c>
      <c r="C13" s="132">
        <f>IF(SER_hh_emi!C13=0,0,1000000*SER_hh_emi!C13/SER_hh_num!C13)</f>
        <v>0</v>
      </c>
      <c r="D13" s="132">
        <f>IF(SER_hh_emi!D13=0,0,1000000*SER_hh_emi!D13/SER_hh_num!D13)</f>
        <v>0</v>
      </c>
      <c r="E13" s="132">
        <f>IF(SER_hh_emi!E13=0,0,1000000*SER_hh_emi!E13/SER_hh_num!E13)</f>
        <v>0</v>
      </c>
      <c r="F13" s="132">
        <f>IF(SER_hh_emi!F13=0,0,1000000*SER_hh_emi!F13/SER_hh_num!F13)</f>
        <v>0</v>
      </c>
      <c r="G13" s="132">
        <f>IF(SER_hh_emi!G13=0,0,1000000*SER_hh_emi!G13/SER_hh_num!G13)</f>
        <v>0</v>
      </c>
      <c r="H13" s="132">
        <f>IF(SER_hh_emi!H13=0,0,1000000*SER_hh_emi!H13/SER_hh_num!H13)</f>
        <v>0</v>
      </c>
      <c r="I13" s="132">
        <f>IF(SER_hh_emi!I13=0,0,1000000*SER_hh_emi!I13/SER_hh_num!I13)</f>
        <v>0</v>
      </c>
      <c r="J13" s="132">
        <f>IF(SER_hh_emi!J13=0,0,1000000*SER_hh_emi!J13/SER_hh_num!J13)</f>
        <v>0</v>
      </c>
      <c r="K13" s="132">
        <f>IF(SER_hh_emi!K13=0,0,1000000*SER_hh_emi!K13/SER_hh_num!K13)</f>
        <v>0</v>
      </c>
      <c r="L13" s="132">
        <f>IF(SER_hh_emi!L13=0,0,1000000*SER_hh_emi!L13/SER_hh_num!L13)</f>
        <v>0</v>
      </c>
      <c r="M13" s="132">
        <f>IF(SER_hh_emi!M13=0,0,1000000*SER_hh_emi!M13/SER_hh_num!M13)</f>
        <v>0</v>
      </c>
      <c r="N13" s="132">
        <f>IF(SER_hh_emi!N13=0,0,1000000*SER_hh_emi!N13/SER_hh_num!N13)</f>
        <v>0</v>
      </c>
      <c r="O13" s="132">
        <f>IF(SER_hh_emi!O13=0,0,1000000*SER_hh_emi!O13/SER_hh_num!O13)</f>
        <v>0</v>
      </c>
      <c r="P13" s="132">
        <f>IF(SER_hh_emi!P13=0,0,1000000*SER_hh_emi!P13/SER_hh_num!P13)</f>
        <v>0</v>
      </c>
      <c r="Q13" s="132">
        <f>IF(SER_hh_emi!Q13=0,0,1000000*SER_hh_emi!Q13/SER_hh_num!Q13)</f>
        <v>0</v>
      </c>
      <c r="R13" s="132">
        <f>IF(SER_hh_emi!R13=0,0,1000000*SER_hh_emi!R13/SER_hh_num!R13)</f>
        <v>0</v>
      </c>
      <c r="S13" s="132">
        <f>IF(SER_hh_emi!S13=0,0,1000000*SER_hh_emi!S13/SER_hh_num!S13)</f>
        <v>0</v>
      </c>
      <c r="T13" s="132">
        <f>IF(SER_hh_emi!T13=0,0,1000000*SER_hh_emi!T13/SER_hh_num!T13)</f>
        <v>0</v>
      </c>
      <c r="U13" s="132">
        <f>IF(SER_hh_emi!U13=0,0,1000000*SER_hh_emi!U13/SER_hh_num!U13)</f>
        <v>0</v>
      </c>
      <c r="V13" s="132">
        <f>IF(SER_hh_emi!V13=0,0,1000000*SER_hh_emi!V13/SER_hh_num!V13)</f>
        <v>0</v>
      </c>
      <c r="W13" s="132">
        <f>IF(SER_hh_emi!W13=0,0,1000000*SER_hh_emi!W13/SER_hh_num!W13)</f>
        <v>0</v>
      </c>
      <c r="X13" s="132">
        <f>IF(SER_hh_emi!X13=0,0,1000000*SER_hh_emi!X13/SER_hh_num!X13)</f>
        <v>0</v>
      </c>
      <c r="Y13" s="132">
        <f>IF(SER_hh_emi!Y13=0,0,1000000*SER_hh_emi!Y13/SER_hh_num!Y13)</f>
        <v>0</v>
      </c>
      <c r="DA13" s="156" t="s">
        <v>456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X14" s="65">
        <f>IF(SER_hh_emi!X14=0,0,1000000*SER_hh_emi!X14/SER_hh_num!X14)</f>
        <v>0</v>
      </c>
      <c r="Y14" s="65">
        <f>IF(SER_hh_emi!Y14=0,0,1000000*SER_hh_emi!Y14/SER_hh_num!Y14)</f>
        <v>0</v>
      </c>
      <c r="DA14" s="109" t="s">
        <v>457</v>
      </c>
    </row>
    <row r="15" spans="1:105" ht="12" customHeight="1" x14ac:dyDescent="0.25">
      <c r="A15" s="133" t="s">
        <v>80</v>
      </c>
      <c r="B15" s="134">
        <f>IF(SER_hh_emi!B15=0,0,1000000*SER_hh_emi!B15/SER_hh_num!B15)</f>
        <v>0</v>
      </c>
      <c r="C15" s="134">
        <f>IF(SER_hh_emi!C15=0,0,1000000*SER_hh_emi!C15/SER_hh_num!C15)</f>
        <v>0</v>
      </c>
      <c r="D15" s="134">
        <f>IF(SER_hh_emi!D15=0,0,1000000*SER_hh_emi!D15/SER_hh_num!D15)</f>
        <v>0</v>
      </c>
      <c r="E15" s="134">
        <f>IF(SER_hh_emi!E15=0,0,1000000*SER_hh_emi!E15/SER_hh_num!E15)</f>
        <v>0</v>
      </c>
      <c r="F15" s="134">
        <f>IF(SER_hh_emi!F15=0,0,1000000*SER_hh_emi!F15/SER_hh_num!F15)</f>
        <v>0</v>
      </c>
      <c r="G15" s="134">
        <f>IF(SER_hh_emi!G15=0,0,1000000*SER_hh_emi!G15/SER_hh_num!G15)</f>
        <v>0</v>
      </c>
      <c r="H15" s="134">
        <f>IF(SER_hh_emi!H15=0,0,1000000*SER_hh_emi!H15/SER_hh_num!H15)</f>
        <v>0</v>
      </c>
      <c r="I15" s="134">
        <f>IF(SER_hh_emi!I15=0,0,1000000*SER_hh_emi!I15/SER_hh_num!I15)</f>
        <v>0</v>
      </c>
      <c r="J15" s="134">
        <f>IF(SER_hh_emi!J15=0,0,1000000*SER_hh_emi!J15/SER_hh_num!J15)</f>
        <v>0</v>
      </c>
      <c r="K15" s="134">
        <f>IF(SER_hh_emi!K15=0,0,1000000*SER_hh_emi!K15/SER_hh_num!K15)</f>
        <v>0</v>
      </c>
      <c r="L15" s="134">
        <f>IF(SER_hh_emi!L15=0,0,1000000*SER_hh_emi!L15/SER_hh_num!L15)</f>
        <v>0</v>
      </c>
      <c r="M15" s="134">
        <f>IF(SER_hh_emi!M15=0,0,1000000*SER_hh_emi!M15/SER_hh_num!M15)</f>
        <v>0</v>
      </c>
      <c r="N15" s="134">
        <f>IF(SER_hh_emi!N15=0,0,1000000*SER_hh_emi!N15/SER_hh_num!N15)</f>
        <v>0</v>
      </c>
      <c r="O15" s="134">
        <f>IF(SER_hh_emi!O15=0,0,1000000*SER_hh_emi!O15/SER_hh_num!O15)</f>
        <v>0</v>
      </c>
      <c r="P15" s="134">
        <f>IF(SER_hh_emi!P15=0,0,1000000*SER_hh_emi!P15/SER_hh_num!P15)</f>
        <v>0</v>
      </c>
      <c r="Q15" s="134">
        <f>IF(SER_hh_emi!Q15=0,0,1000000*SER_hh_emi!Q15/SER_hh_num!Q15)</f>
        <v>0</v>
      </c>
      <c r="R15" s="134">
        <f>IF(SER_hh_emi!R15=0,0,1000000*SER_hh_emi!R15/SER_hh_num!R15)</f>
        <v>0</v>
      </c>
      <c r="S15" s="134">
        <f>IF(SER_hh_emi!S15=0,0,1000000*SER_hh_emi!S15/SER_hh_num!S15)</f>
        <v>0</v>
      </c>
      <c r="T15" s="134">
        <f>IF(SER_hh_emi!T15=0,0,1000000*SER_hh_emi!T15/SER_hh_num!T15)</f>
        <v>0</v>
      </c>
      <c r="U15" s="134">
        <f>IF(SER_hh_emi!U15=0,0,1000000*SER_hh_emi!U15/SER_hh_num!U15)</f>
        <v>0</v>
      </c>
      <c r="V15" s="134">
        <f>IF(SER_hh_emi!V15=0,0,1000000*SER_hh_emi!V15/SER_hh_num!V15)</f>
        <v>0</v>
      </c>
      <c r="W15" s="134">
        <f>IF(SER_hh_emi!W15=0,0,1000000*SER_hh_emi!W15/SER_hh_num!W15)</f>
        <v>0</v>
      </c>
      <c r="X15" s="134">
        <f>IF(SER_hh_emi!X15=0,0,1000000*SER_hh_emi!X15/SER_hh_num!X15)</f>
        <v>0</v>
      </c>
      <c r="Y15" s="134">
        <f>IF(SER_hh_emi!Y15=0,0,1000000*SER_hh_emi!Y15/SER_hh_num!Y15)</f>
        <v>0</v>
      </c>
      <c r="DA15" s="157" t="s">
        <v>458</v>
      </c>
    </row>
    <row r="16" spans="1:105" ht="12.95" customHeight="1" x14ac:dyDescent="0.25">
      <c r="A16" s="129" t="s">
        <v>74</v>
      </c>
      <c r="B16" s="130">
        <f>IF(SER_hh_emi!B16=0,0,1000000*SER_hh_emi!B16/SER_hh_num!B16)</f>
        <v>0</v>
      </c>
      <c r="C16" s="130">
        <f>IF(SER_hh_emi!C16=0,0,1000000*SER_hh_emi!C16/SER_hh_num!C16)</f>
        <v>0</v>
      </c>
      <c r="D16" s="130">
        <f>IF(SER_hh_emi!D16=0,0,1000000*SER_hh_emi!D16/SER_hh_num!D16)</f>
        <v>0</v>
      </c>
      <c r="E16" s="130">
        <f>IF(SER_hh_emi!E16=0,0,1000000*SER_hh_emi!E16/SER_hh_num!E16)</f>
        <v>0</v>
      </c>
      <c r="F16" s="130">
        <f>IF(SER_hh_emi!F16=0,0,1000000*SER_hh_emi!F16/SER_hh_num!F16)</f>
        <v>0</v>
      </c>
      <c r="G16" s="130">
        <f>IF(SER_hh_emi!G16=0,0,1000000*SER_hh_emi!G16/SER_hh_num!G16)</f>
        <v>0</v>
      </c>
      <c r="H16" s="130">
        <f>IF(SER_hh_emi!H16=0,0,1000000*SER_hh_emi!H16/SER_hh_num!H16)</f>
        <v>0</v>
      </c>
      <c r="I16" s="130">
        <f>IF(SER_hh_emi!I16=0,0,1000000*SER_hh_emi!I16/SER_hh_num!I16)</f>
        <v>0</v>
      </c>
      <c r="J16" s="130">
        <f>IF(SER_hh_emi!J16=0,0,1000000*SER_hh_emi!J16/SER_hh_num!J16)</f>
        <v>0</v>
      </c>
      <c r="K16" s="130">
        <f>IF(SER_hh_emi!K16=0,0,1000000*SER_hh_emi!K16/SER_hh_num!K16)</f>
        <v>0</v>
      </c>
      <c r="L16" s="130">
        <f>IF(SER_hh_emi!L16=0,0,1000000*SER_hh_emi!L16/SER_hh_num!L16)</f>
        <v>0</v>
      </c>
      <c r="M16" s="130">
        <f>IF(SER_hh_emi!M16=0,0,1000000*SER_hh_emi!M16/SER_hh_num!M16)</f>
        <v>0</v>
      </c>
      <c r="N16" s="130">
        <f>IF(SER_hh_emi!N16=0,0,1000000*SER_hh_emi!N16/SER_hh_num!N16)</f>
        <v>0</v>
      </c>
      <c r="O16" s="130">
        <f>IF(SER_hh_emi!O16=0,0,1000000*SER_hh_emi!O16/SER_hh_num!O16)</f>
        <v>0</v>
      </c>
      <c r="P16" s="130">
        <f>IF(SER_hh_emi!P16=0,0,1000000*SER_hh_emi!P16/SER_hh_num!P16)</f>
        <v>0</v>
      </c>
      <c r="Q16" s="130">
        <f>IF(SER_hh_emi!Q16=0,0,1000000*SER_hh_emi!Q16/SER_hh_num!Q16)</f>
        <v>0</v>
      </c>
      <c r="R16" s="130">
        <f>IF(SER_hh_emi!R16=0,0,1000000*SER_hh_emi!R16/SER_hh_num!R16)</f>
        <v>0</v>
      </c>
      <c r="S16" s="130">
        <f>IF(SER_hh_emi!S16=0,0,1000000*SER_hh_emi!S16/SER_hh_num!S16)</f>
        <v>0</v>
      </c>
      <c r="T16" s="130">
        <f>IF(SER_hh_emi!T16=0,0,1000000*SER_hh_emi!T16/SER_hh_num!T16)</f>
        <v>0</v>
      </c>
      <c r="U16" s="130">
        <f>IF(SER_hh_emi!U16=0,0,1000000*SER_hh_emi!U16/SER_hh_num!U16)</f>
        <v>0</v>
      </c>
      <c r="V16" s="130">
        <f>IF(SER_hh_emi!V16=0,0,1000000*SER_hh_emi!V16/SER_hh_num!V16)</f>
        <v>0</v>
      </c>
      <c r="W16" s="130">
        <f>IF(SER_hh_emi!W16=0,0,1000000*SER_hh_emi!W16/SER_hh_num!W16)</f>
        <v>0</v>
      </c>
      <c r="X16" s="130">
        <f>IF(SER_hh_emi!X16=0,0,1000000*SER_hh_emi!X16/SER_hh_num!X16)</f>
        <v>0</v>
      </c>
      <c r="Y16" s="130">
        <f>IF(SER_hh_emi!Y16=0,0,1000000*SER_hh_emi!Y16/SER_hh_num!Y16)</f>
        <v>0</v>
      </c>
      <c r="DA16" s="155" t="s">
        <v>459</v>
      </c>
    </row>
    <row r="17" spans="1:105" ht="12.95" customHeight="1" x14ac:dyDescent="0.25">
      <c r="A17" s="131" t="s">
        <v>73</v>
      </c>
      <c r="B17" s="132">
        <f>IF(SER_hh_emi!B17=0,0,1000000*SER_hh_emi!B17/SER_hh_num!B17)</f>
        <v>0</v>
      </c>
      <c r="C17" s="132">
        <f>IF(SER_hh_emi!C17=0,0,1000000*SER_hh_emi!C17/SER_hh_num!C17)</f>
        <v>0</v>
      </c>
      <c r="D17" s="132">
        <f>IF(SER_hh_emi!D17=0,0,1000000*SER_hh_emi!D17/SER_hh_num!D17)</f>
        <v>0</v>
      </c>
      <c r="E17" s="132">
        <f>IF(SER_hh_emi!E17=0,0,1000000*SER_hh_emi!E17/SER_hh_num!E17)</f>
        <v>0</v>
      </c>
      <c r="F17" s="132">
        <f>IF(SER_hh_emi!F17=0,0,1000000*SER_hh_emi!F17/SER_hh_num!F17)</f>
        <v>0</v>
      </c>
      <c r="G17" s="132">
        <f>IF(SER_hh_emi!G17=0,0,1000000*SER_hh_emi!G17/SER_hh_num!G17)</f>
        <v>0</v>
      </c>
      <c r="H17" s="132">
        <f>IF(SER_hh_emi!H17=0,0,1000000*SER_hh_emi!H17/SER_hh_num!H17)</f>
        <v>0</v>
      </c>
      <c r="I17" s="132">
        <f>IF(SER_hh_emi!I17=0,0,1000000*SER_hh_emi!I17/SER_hh_num!I17)</f>
        <v>0</v>
      </c>
      <c r="J17" s="132">
        <f>IF(SER_hh_emi!J17=0,0,1000000*SER_hh_emi!J17/SER_hh_num!J17)</f>
        <v>0</v>
      </c>
      <c r="K17" s="132">
        <f>IF(SER_hh_emi!K17=0,0,1000000*SER_hh_emi!K17/SER_hh_num!K17)</f>
        <v>0</v>
      </c>
      <c r="L17" s="132">
        <f>IF(SER_hh_emi!L17=0,0,1000000*SER_hh_emi!L17/SER_hh_num!L17)</f>
        <v>0</v>
      </c>
      <c r="M17" s="132">
        <f>IF(SER_hh_emi!M17=0,0,1000000*SER_hh_emi!M17/SER_hh_num!M17)</f>
        <v>0</v>
      </c>
      <c r="N17" s="132">
        <f>IF(SER_hh_emi!N17=0,0,1000000*SER_hh_emi!N17/SER_hh_num!N17)</f>
        <v>0</v>
      </c>
      <c r="O17" s="132">
        <f>IF(SER_hh_emi!O17=0,0,1000000*SER_hh_emi!O17/SER_hh_num!O17)</f>
        <v>0</v>
      </c>
      <c r="P17" s="132">
        <f>IF(SER_hh_emi!P17=0,0,1000000*SER_hh_emi!P17/SER_hh_num!P17)</f>
        <v>0</v>
      </c>
      <c r="Q17" s="132">
        <f>IF(SER_hh_emi!Q17=0,0,1000000*SER_hh_emi!Q17/SER_hh_num!Q17)</f>
        <v>0</v>
      </c>
      <c r="R17" s="132">
        <f>IF(SER_hh_emi!R17=0,0,1000000*SER_hh_emi!R17/SER_hh_num!R17)</f>
        <v>0</v>
      </c>
      <c r="S17" s="132">
        <f>IF(SER_hh_emi!S17=0,0,1000000*SER_hh_emi!S17/SER_hh_num!S17)</f>
        <v>0</v>
      </c>
      <c r="T17" s="132">
        <f>IF(SER_hh_emi!T17=0,0,1000000*SER_hh_emi!T17/SER_hh_num!T17)</f>
        <v>0</v>
      </c>
      <c r="U17" s="132">
        <f>IF(SER_hh_emi!U17=0,0,1000000*SER_hh_emi!U17/SER_hh_num!U17)</f>
        <v>0</v>
      </c>
      <c r="V17" s="132">
        <f>IF(SER_hh_emi!V17=0,0,1000000*SER_hh_emi!V17/SER_hh_num!V17)</f>
        <v>0</v>
      </c>
      <c r="W17" s="132">
        <f>IF(SER_hh_emi!W17=0,0,1000000*SER_hh_emi!W17/SER_hh_num!W17)</f>
        <v>0</v>
      </c>
      <c r="X17" s="132">
        <f>IF(SER_hh_emi!X17=0,0,1000000*SER_hh_emi!X17/SER_hh_num!X17)</f>
        <v>0</v>
      </c>
      <c r="Y17" s="132">
        <f>IF(SER_hh_emi!Y17=0,0,1000000*SER_hh_emi!Y17/SER_hh_num!Y17)</f>
        <v>0</v>
      </c>
      <c r="DA17" s="156" t="s">
        <v>460</v>
      </c>
    </row>
    <row r="18" spans="1:105" ht="12" customHeight="1" x14ac:dyDescent="0.25">
      <c r="A18" s="131" t="s">
        <v>72</v>
      </c>
      <c r="B18" s="132">
        <f>IF(SER_hh_emi!B18=0,0,1000000*SER_hh_emi!B18/SER_hh_num!B18)</f>
        <v>0</v>
      </c>
      <c r="C18" s="132">
        <f>IF(SER_hh_emi!C18=0,0,1000000*SER_hh_emi!C18/SER_hh_num!C18)</f>
        <v>0</v>
      </c>
      <c r="D18" s="132">
        <f>IF(SER_hh_emi!D18=0,0,1000000*SER_hh_emi!D18/SER_hh_num!D18)</f>
        <v>0</v>
      </c>
      <c r="E18" s="132">
        <f>IF(SER_hh_emi!E18=0,0,1000000*SER_hh_emi!E18/SER_hh_num!E18)</f>
        <v>0</v>
      </c>
      <c r="F18" s="132">
        <f>IF(SER_hh_emi!F18=0,0,1000000*SER_hh_emi!F18/SER_hh_num!F18)</f>
        <v>0</v>
      </c>
      <c r="G18" s="132">
        <f>IF(SER_hh_emi!G18=0,0,1000000*SER_hh_emi!G18/SER_hh_num!G18)</f>
        <v>0</v>
      </c>
      <c r="H18" s="132">
        <f>IF(SER_hh_emi!H18=0,0,1000000*SER_hh_emi!H18/SER_hh_num!H18)</f>
        <v>0</v>
      </c>
      <c r="I18" s="132">
        <f>IF(SER_hh_emi!I18=0,0,1000000*SER_hh_emi!I18/SER_hh_num!I18)</f>
        <v>0</v>
      </c>
      <c r="J18" s="132">
        <f>IF(SER_hh_emi!J18=0,0,1000000*SER_hh_emi!J18/SER_hh_num!J18)</f>
        <v>0</v>
      </c>
      <c r="K18" s="132">
        <f>IF(SER_hh_emi!K18=0,0,1000000*SER_hh_emi!K18/SER_hh_num!K18)</f>
        <v>0</v>
      </c>
      <c r="L18" s="132">
        <f>IF(SER_hh_emi!L18=0,0,1000000*SER_hh_emi!L18/SER_hh_num!L18)</f>
        <v>0</v>
      </c>
      <c r="M18" s="132">
        <f>IF(SER_hh_emi!M18=0,0,1000000*SER_hh_emi!M18/SER_hh_num!M18)</f>
        <v>0</v>
      </c>
      <c r="N18" s="132">
        <f>IF(SER_hh_emi!N18=0,0,1000000*SER_hh_emi!N18/SER_hh_num!N18)</f>
        <v>0</v>
      </c>
      <c r="O18" s="132">
        <f>IF(SER_hh_emi!O18=0,0,1000000*SER_hh_emi!O18/SER_hh_num!O18)</f>
        <v>0</v>
      </c>
      <c r="P18" s="132">
        <f>IF(SER_hh_emi!P18=0,0,1000000*SER_hh_emi!P18/SER_hh_num!P18)</f>
        <v>0</v>
      </c>
      <c r="Q18" s="132">
        <f>IF(SER_hh_emi!Q18=0,0,1000000*SER_hh_emi!Q18/SER_hh_num!Q18)</f>
        <v>0</v>
      </c>
      <c r="R18" s="132">
        <f>IF(SER_hh_emi!R18=0,0,1000000*SER_hh_emi!R18/SER_hh_num!R18)</f>
        <v>0</v>
      </c>
      <c r="S18" s="132">
        <f>IF(SER_hh_emi!S18=0,0,1000000*SER_hh_emi!S18/SER_hh_num!S18)</f>
        <v>0</v>
      </c>
      <c r="T18" s="132">
        <f>IF(SER_hh_emi!T18=0,0,1000000*SER_hh_emi!T18/SER_hh_num!T18)</f>
        <v>0</v>
      </c>
      <c r="U18" s="132">
        <f>IF(SER_hh_emi!U18=0,0,1000000*SER_hh_emi!U18/SER_hh_num!U18)</f>
        <v>0</v>
      </c>
      <c r="V18" s="132">
        <f>IF(SER_hh_emi!V18=0,0,1000000*SER_hh_emi!V18/SER_hh_num!V18)</f>
        <v>0</v>
      </c>
      <c r="W18" s="132">
        <f>IF(SER_hh_emi!W18=0,0,1000000*SER_hh_emi!W18/SER_hh_num!W18)</f>
        <v>0</v>
      </c>
      <c r="X18" s="132">
        <f>IF(SER_hh_emi!X18=0,0,1000000*SER_hh_emi!X18/SER_hh_num!X18)</f>
        <v>0</v>
      </c>
      <c r="Y18" s="132">
        <f>IF(SER_hh_emi!Y18=0,0,1000000*SER_hh_emi!Y18/SER_hh_num!Y18)</f>
        <v>0</v>
      </c>
      <c r="DA18" s="156" t="s">
        <v>461</v>
      </c>
    </row>
    <row r="19" spans="1:105" ht="12.95" customHeight="1" x14ac:dyDescent="0.25">
      <c r="A19" s="129" t="s">
        <v>35</v>
      </c>
      <c r="B19" s="130">
        <f>IF(SER_hh_emi!B19=0,0,1000000*SER_hh_emi!B19/SER_hh_num!B19)</f>
        <v>228.95727376367276</v>
      </c>
      <c r="C19" s="130">
        <f>IF(SER_hh_emi!C19=0,0,1000000*SER_hh_emi!C19/SER_hh_num!C19)</f>
        <v>225.84092100024046</v>
      </c>
      <c r="D19" s="130">
        <f>IF(SER_hh_emi!D19=0,0,1000000*SER_hh_emi!D19/SER_hh_num!D19)</f>
        <v>223.08592348161258</v>
      </c>
      <c r="E19" s="130">
        <f>IF(SER_hh_emi!E19=0,0,1000000*SER_hh_emi!E19/SER_hh_num!E19)</f>
        <v>217.67672126278316</v>
      </c>
      <c r="F19" s="130">
        <f>IF(SER_hh_emi!F19=0,0,1000000*SER_hh_emi!F19/SER_hh_num!F19)</f>
        <v>213.89227707778193</v>
      </c>
      <c r="G19" s="130">
        <f>IF(SER_hh_emi!G19=0,0,1000000*SER_hh_emi!G19/SER_hh_num!G19)</f>
        <v>209.91572762402581</v>
      </c>
      <c r="H19" s="130">
        <f>IF(SER_hh_emi!H19=0,0,1000000*SER_hh_emi!H19/SER_hh_num!H19)</f>
        <v>1489.4147841744073</v>
      </c>
      <c r="I19" s="130">
        <f>IF(SER_hh_emi!I19=0,0,1000000*SER_hh_emi!I19/SER_hh_num!I19)</f>
        <v>1462.1184941058445</v>
      </c>
      <c r="J19" s="130">
        <f>IF(SER_hh_emi!J19=0,0,1000000*SER_hh_emi!J19/SER_hh_num!J19)</f>
        <v>1441.6019623987359</v>
      </c>
      <c r="K19" s="130">
        <f>IF(SER_hh_emi!K19=0,0,1000000*SER_hh_emi!K19/SER_hh_num!K19)</f>
        <v>1404.7738975461004</v>
      </c>
      <c r="L19" s="130">
        <f>IF(SER_hh_emi!L19=0,0,1000000*SER_hh_emi!L19/SER_hh_num!L19)</f>
        <v>1395.576319205413</v>
      </c>
      <c r="M19" s="130">
        <f>IF(SER_hh_emi!M19=0,0,1000000*SER_hh_emi!M19/SER_hh_num!M19)</f>
        <v>1308.5183287405732</v>
      </c>
      <c r="N19" s="130">
        <f>IF(SER_hh_emi!N19=0,0,1000000*SER_hh_emi!N19/SER_hh_num!N19)</f>
        <v>1218.4126670578337</v>
      </c>
      <c r="O19" s="130">
        <f>IF(SER_hh_emi!O19=0,0,1000000*SER_hh_emi!O19/SER_hh_num!O19)</f>
        <v>1145.030318715985</v>
      </c>
      <c r="P19" s="130">
        <f>IF(SER_hh_emi!P19=0,0,1000000*SER_hh_emi!P19/SER_hh_num!P19)</f>
        <v>1007.3864618293869</v>
      </c>
      <c r="Q19" s="130">
        <f>IF(SER_hh_emi!Q19=0,0,1000000*SER_hh_emi!Q19/SER_hh_num!Q19)</f>
        <v>988.08701544645953</v>
      </c>
      <c r="R19" s="130">
        <f>IF(SER_hh_emi!R19=0,0,1000000*SER_hh_emi!R19/SER_hh_num!R19)</f>
        <v>992.61480685736478</v>
      </c>
      <c r="S19" s="130">
        <f>IF(SER_hh_emi!S19=0,0,1000000*SER_hh_emi!S19/SER_hh_num!S19)</f>
        <v>980.43412344485205</v>
      </c>
      <c r="T19" s="130">
        <f>IF(SER_hh_emi!T19=0,0,1000000*SER_hh_emi!T19/SER_hh_num!T19)</f>
        <v>931.88361467645814</v>
      </c>
      <c r="U19" s="130">
        <f>IF(SER_hh_emi!U19=0,0,1000000*SER_hh_emi!U19/SER_hh_num!U19)</f>
        <v>900.35426180696072</v>
      </c>
      <c r="V19" s="130">
        <f>IF(SER_hh_emi!V19=0,0,1000000*SER_hh_emi!V19/SER_hh_num!V19)</f>
        <v>713.49389421511603</v>
      </c>
      <c r="W19" s="130">
        <f>IF(SER_hh_emi!W19=0,0,1000000*SER_hh_emi!W19/SER_hh_num!W19)</f>
        <v>664.83503091673242</v>
      </c>
      <c r="X19" s="130">
        <f>IF(SER_hh_emi!X19=0,0,1000000*SER_hh_emi!X19/SER_hh_num!X19)</f>
        <v>749.73429108364462</v>
      </c>
      <c r="Y19" s="130">
        <f>IF(SER_hh_emi!Y19=0,0,1000000*SER_hh_emi!Y19/SER_hh_num!Y19)</f>
        <v>763.40414686216081</v>
      </c>
      <c r="DA19" s="155" t="s">
        <v>462</v>
      </c>
    </row>
    <row r="20" spans="1:105" ht="12" customHeight="1" x14ac:dyDescent="0.25">
      <c r="A20" s="131" t="s">
        <v>29</v>
      </c>
      <c r="B20" s="132">
        <f>IF(SER_hh_emi!B20=0,0,1000000*SER_hh_emi!B20/SER_hh_num!B20)</f>
        <v>0</v>
      </c>
      <c r="C20" s="132">
        <f>IF(SER_hh_emi!C20=0,0,1000000*SER_hh_emi!C20/SER_hh_num!C20)</f>
        <v>0</v>
      </c>
      <c r="D20" s="132">
        <f>IF(SER_hh_emi!D20=0,0,1000000*SER_hh_emi!D20/SER_hh_num!D20)</f>
        <v>0</v>
      </c>
      <c r="E20" s="132">
        <f>IF(SER_hh_emi!E20=0,0,1000000*SER_hh_emi!E20/SER_hh_num!E20)</f>
        <v>0</v>
      </c>
      <c r="F20" s="132">
        <f>IF(SER_hh_emi!F20=0,0,1000000*SER_hh_emi!F20/SER_hh_num!F20)</f>
        <v>0</v>
      </c>
      <c r="G20" s="132">
        <f>IF(SER_hh_emi!G20=0,0,1000000*SER_hh_emi!G20/SER_hh_num!G20)</f>
        <v>0</v>
      </c>
      <c r="H20" s="132">
        <f>IF(SER_hh_emi!H20=0,0,1000000*SER_hh_emi!H20/SER_hh_num!H20)</f>
        <v>0</v>
      </c>
      <c r="I20" s="132">
        <f>IF(SER_hh_emi!I20=0,0,1000000*SER_hh_emi!I20/SER_hh_num!I20)</f>
        <v>0</v>
      </c>
      <c r="J20" s="132">
        <f>IF(SER_hh_emi!J20=0,0,1000000*SER_hh_emi!J20/SER_hh_num!J20)</f>
        <v>0</v>
      </c>
      <c r="K20" s="132">
        <f>IF(SER_hh_emi!K20=0,0,1000000*SER_hh_emi!K20/SER_hh_num!K20)</f>
        <v>0</v>
      </c>
      <c r="L20" s="132">
        <f>IF(SER_hh_emi!L20=0,0,1000000*SER_hh_emi!L20/SER_hh_num!L20)</f>
        <v>0</v>
      </c>
      <c r="M20" s="132">
        <f>IF(SER_hh_emi!M20=0,0,1000000*SER_hh_emi!M20/SER_hh_num!M20)</f>
        <v>0</v>
      </c>
      <c r="N20" s="132">
        <f>IF(SER_hh_emi!N20=0,0,1000000*SER_hh_emi!N20/SER_hh_num!N20)</f>
        <v>0</v>
      </c>
      <c r="O20" s="132">
        <f>IF(SER_hh_emi!O20=0,0,1000000*SER_hh_emi!O20/SER_hh_num!O20)</f>
        <v>0</v>
      </c>
      <c r="P20" s="132">
        <f>IF(SER_hh_emi!P20=0,0,1000000*SER_hh_emi!P20/SER_hh_num!P20)</f>
        <v>0</v>
      </c>
      <c r="Q20" s="132">
        <f>IF(SER_hh_emi!Q20=0,0,1000000*SER_hh_emi!Q20/SER_hh_num!Q20)</f>
        <v>0</v>
      </c>
      <c r="R20" s="132">
        <f>IF(SER_hh_emi!R20=0,0,1000000*SER_hh_emi!R20/SER_hh_num!R20)</f>
        <v>0</v>
      </c>
      <c r="S20" s="132">
        <f>IF(SER_hh_emi!S20=0,0,1000000*SER_hh_emi!S20/SER_hh_num!S20)</f>
        <v>0</v>
      </c>
      <c r="T20" s="132">
        <f>IF(SER_hh_emi!T20=0,0,1000000*SER_hh_emi!T20/SER_hh_num!T20)</f>
        <v>0</v>
      </c>
      <c r="U20" s="132">
        <f>IF(SER_hh_emi!U20=0,0,1000000*SER_hh_emi!U20/SER_hh_num!U20)</f>
        <v>0</v>
      </c>
      <c r="V20" s="132">
        <f>IF(SER_hh_emi!V20=0,0,1000000*SER_hh_emi!V20/SER_hh_num!V20)</f>
        <v>0</v>
      </c>
      <c r="W20" s="132">
        <f>IF(SER_hh_emi!W20=0,0,1000000*SER_hh_emi!W20/SER_hh_num!W20)</f>
        <v>0</v>
      </c>
      <c r="X20" s="132">
        <f>IF(SER_hh_emi!X20=0,0,1000000*SER_hh_emi!X20/SER_hh_num!X20)</f>
        <v>0</v>
      </c>
      <c r="Y20" s="132">
        <f>IF(SER_hh_emi!Y20=0,0,1000000*SER_hh_emi!Y20/SER_hh_num!Y20)</f>
        <v>0</v>
      </c>
      <c r="DA20" s="156" t="s">
        <v>463</v>
      </c>
    </row>
    <row r="21" spans="1:105" s="2" customFormat="1" ht="12" customHeight="1" x14ac:dyDescent="0.25">
      <c r="A21" s="131" t="s">
        <v>52</v>
      </c>
      <c r="B21" s="132">
        <f>IF(SER_hh_emi!B21=0,0,1000000*SER_hh_emi!B21/SER_hh_num!B21)</f>
        <v>0</v>
      </c>
      <c r="C21" s="132">
        <f>IF(SER_hh_emi!C21=0,0,1000000*SER_hh_emi!C21/SER_hh_num!C21)</f>
        <v>0</v>
      </c>
      <c r="D21" s="132">
        <f>IF(SER_hh_emi!D21=0,0,1000000*SER_hh_emi!D21/SER_hh_num!D21)</f>
        <v>0</v>
      </c>
      <c r="E21" s="132">
        <f>IF(SER_hh_emi!E21=0,0,1000000*SER_hh_emi!E21/SER_hh_num!E21)</f>
        <v>0</v>
      </c>
      <c r="F21" s="132">
        <f>IF(SER_hh_emi!F21=0,0,1000000*SER_hh_emi!F21/SER_hh_num!F21)</f>
        <v>0</v>
      </c>
      <c r="G21" s="132">
        <f>IF(SER_hh_emi!G21=0,0,1000000*SER_hh_emi!G21/SER_hh_num!G21)</f>
        <v>0</v>
      </c>
      <c r="H21" s="132">
        <f>IF(SER_hh_emi!H21=0,0,1000000*SER_hh_emi!H21/SER_hh_num!H21)</f>
        <v>5151.9105082996321</v>
      </c>
      <c r="I21" s="132">
        <f>IF(SER_hh_emi!I21=0,0,1000000*SER_hh_emi!I21/SER_hh_num!I21)</f>
        <v>3958.68919036953</v>
      </c>
      <c r="J21" s="132">
        <f>IF(SER_hh_emi!J21=0,0,1000000*SER_hh_emi!J21/SER_hh_num!J21)</f>
        <v>3548.07874062567</v>
      </c>
      <c r="K21" s="132">
        <f>IF(SER_hh_emi!K21=0,0,1000000*SER_hh_emi!K21/SER_hh_num!K21)</f>
        <v>3509.7652003769226</v>
      </c>
      <c r="L21" s="132">
        <f>IF(SER_hh_emi!L21=0,0,1000000*SER_hh_emi!L21/SER_hh_num!L21)</f>
        <v>3594.9787903177589</v>
      </c>
      <c r="M21" s="132">
        <f>IF(SER_hh_emi!M21=0,0,1000000*SER_hh_emi!M21/SER_hh_num!M21)</f>
        <v>3522.6840673972415</v>
      </c>
      <c r="N21" s="132">
        <f>IF(SER_hh_emi!N21=0,0,1000000*SER_hh_emi!N21/SER_hh_num!N21)</f>
        <v>3519.1188423417366</v>
      </c>
      <c r="O21" s="132">
        <f>IF(SER_hh_emi!O21=0,0,1000000*SER_hh_emi!O21/SER_hh_num!O21)</f>
        <v>3559.1576491001483</v>
      </c>
      <c r="P21" s="132">
        <f>IF(SER_hh_emi!P21=0,0,1000000*SER_hh_emi!P21/SER_hh_num!P21)</f>
        <v>3394.241722292345</v>
      </c>
      <c r="Q21" s="132">
        <f>IF(SER_hh_emi!Q21=0,0,1000000*SER_hh_emi!Q21/SER_hh_num!Q21)</f>
        <v>3408.2237674434559</v>
      </c>
      <c r="R21" s="132">
        <f>IF(SER_hh_emi!R21=0,0,1000000*SER_hh_emi!R21/SER_hh_num!R21)</f>
        <v>3466.4588712112268</v>
      </c>
      <c r="S21" s="132">
        <f>IF(SER_hh_emi!S21=0,0,1000000*SER_hh_emi!S21/SER_hh_num!S21)</f>
        <v>3474.9234689080408</v>
      </c>
      <c r="T21" s="132">
        <f>IF(SER_hh_emi!T21=0,0,1000000*SER_hh_emi!T21/SER_hh_num!T21)</f>
        <v>3341.0167142057339</v>
      </c>
      <c r="U21" s="132">
        <f>IF(SER_hh_emi!U21=0,0,1000000*SER_hh_emi!U21/SER_hh_num!U21)</f>
        <v>3351.468968041308</v>
      </c>
      <c r="V21" s="132">
        <f>IF(SER_hh_emi!V21=0,0,1000000*SER_hh_emi!V21/SER_hh_num!V21)</f>
        <v>2899.0928601213864</v>
      </c>
      <c r="W21" s="132">
        <f>IF(SER_hh_emi!W21=0,0,1000000*SER_hh_emi!W21/SER_hh_num!W21)</f>
        <v>2738.0308877650214</v>
      </c>
      <c r="X21" s="132">
        <f>IF(SER_hh_emi!X21=0,0,1000000*SER_hh_emi!X21/SER_hh_num!X21)</f>
        <v>2993.9741686990269</v>
      </c>
      <c r="Y21" s="132">
        <f>IF(SER_hh_emi!Y21=0,0,1000000*SER_hh_emi!Y21/SER_hh_num!Y21)</f>
        <v>3059.1305887143235</v>
      </c>
      <c r="DA21" s="156" t="s">
        <v>464</v>
      </c>
    </row>
    <row r="22" spans="1:105" ht="12" customHeight="1" x14ac:dyDescent="0.25">
      <c r="A22" s="131" t="s">
        <v>161</v>
      </c>
      <c r="B22" s="132">
        <f>IF(SER_hh_emi!B22=0,0,1000000*SER_hh_emi!B22/SER_hh_num!B22)</f>
        <v>6983.816033687448</v>
      </c>
      <c r="C22" s="132">
        <f>IF(SER_hh_emi!C22=0,0,1000000*SER_hh_emi!C22/SER_hh_num!C22)</f>
        <v>6965.7318436016221</v>
      </c>
      <c r="D22" s="132">
        <f>IF(SER_hh_emi!D22=0,0,1000000*SER_hh_emi!D22/SER_hh_num!D22)</f>
        <v>6932.7108773526161</v>
      </c>
      <c r="E22" s="132">
        <f>IF(SER_hh_emi!E22=0,0,1000000*SER_hh_emi!E22/SER_hh_num!E22)</f>
        <v>6837.0733942099914</v>
      </c>
      <c r="F22" s="132">
        <f>IF(SER_hh_emi!F22=0,0,1000000*SER_hh_emi!F22/SER_hh_num!F22)</f>
        <v>6797.171075249822</v>
      </c>
      <c r="G22" s="132">
        <f>IF(SER_hh_emi!G22=0,0,1000000*SER_hh_emi!G22/SER_hh_num!G22)</f>
        <v>6729.8659240431889</v>
      </c>
      <c r="H22" s="132">
        <f>IF(SER_hh_emi!H22=0,0,1000000*SER_hh_emi!H22/SER_hh_num!H22)</f>
        <v>6519.4402016989943</v>
      </c>
      <c r="I22" s="132">
        <f>IF(SER_hh_emi!I22=0,0,1000000*SER_hh_emi!I22/SER_hh_num!I22)</f>
        <v>6302.9732299244806</v>
      </c>
      <c r="J22" s="132">
        <f>IF(SER_hh_emi!J22=0,0,1000000*SER_hh_emi!J22/SER_hh_num!J22)</f>
        <v>6150.9914007288726</v>
      </c>
      <c r="K22" s="132">
        <f>IF(SER_hh_emi!K22=0,0,1000000*SER_hh_emi!K22/SER_hh_num!K22)</f>
        <v>6059.0421714100357</v>
      </c>
      <c r="L22" s="132">
        <f>IF(SER_hh_emi!L22=0,0,1000000*SER_hh_emi!L22/SER_hh_num!L22)</f>
        <v>5938.6422872967169</v>
      </c>
      <c r="M22" s="132">
        <f>IF(SER_hh_emi!M22=0,0,1000000*SER_hh_emi!M22/SER_hh_num!M22)</f>
        <v>5860.5471342144083</v>
      </c>
      <c r="N22" s="132">
        <f>IF(SER_hh_emi!N22=0,0,1000000*SER_hh_emi!N22/SER_hh_num!N22)</f>
        <v>5821.9278011896604</v>
      </c>
      <c r="O22" s="132">
        <f>IF(SER_hh_emi!O22=0,0,1000000*SER_hh_emi!O22/SER_hh_num!O22)</f>
        <v>5631.4987002179323</v>
      </c>
      <c r="P22" s="132">
        <f>IF(SER_hh_emi!P22=0,0,1000000*SER_hh_emi!P22/SER_hh_num!P22)</f>
        <v>5575.2079062237708</v>
      </c>
      <c r="Q22" s="132">
        <f>IF(SER_hh_emi!Q22=0,0,1000000*SER_hh_emi!Q22/SER_hh_num!Q22)</f>
        <v>5499.6911212928608</v>
      </c>
      <c r="R22" s="132">
        <f>IF(SER_hh_emi!R22=0,0,1000000*SER_hh_emi!R22/SER_hh_num!R22)</f>
        <v>5422.6210977462488</v>
      </c>
      <c r="S22" s="132">
        <f>IF(SER_hh_emi!S22=0,0,1000000*SER_hh_emi!S22/SER_hh_num!S22)</f>
        <v>4933.3759619942584</v>
      </c>
      <c r="T22" s="132">
        <f>IF(SER_hh_emi!T22=0,0,1000000*SER_hh_emi!T22/SER_hh_num!T22)</f>
        <v>5012.8272686655991</v>
      </c>
      <c r="U22" s="132">
        <f>IF(SER_hh_emi!U22=0,0,1000000*SER_hh_emi!U22/SER_hh_num!U22)</f>
        <v>4790.3443820916546</v>
      </c>
      <c r="V22" s="132">
        <f>IF(SER_hh_emi!V22=0,0,1000000*SER_hh_emi!V22/SER_hh_num!V22)</f>
        <v>4271.6517731241274</v>
      </c>
      <c r="W22" s="132">
        <f>IF(SER_hh_emi!W22=0,0,1000000*SER_hh_emi!W22/SER_hh_num!W22)</f>
        <v>4585.0221732749224</v>
      </c>
      <c r="X22" s="132">
        <f>IF(SER_hh_emi!X22=0,0,1000000*SER_hh_emi!X22/SER_hh_num!X22)</f>
        <v>5021.1677279060978</v>
      </c>
      <c r="Y22" s="132">
        <f>IF(SER_hh_emi!Y22=0,0,1000000*SER_hh_emi!Y22/SER_hh_num!Y22)</f>
        <v>5060.8700428155316</v>
      </c>
      <c r="DA22" s="156" t="s">
        <v>465</v>
      </c>
    </row>
    <row r="23" spans="1:105" ht="12" customHeight="1" x14ac:dyDescent="0.25">
      <c r="A23" s="131" t="s">
        <v>149</v>
      </c>
      <c r="B23" s="132">
        <f>IF(SER_hh_emi!B23=0,0,1000000*SER_hh_emi!B23/SER_hh_num!B23)</f>
        <v>0</v>
      </c>
      <c r="C23" s="132">
        <f>IF(SER_hh_emi!C23=0,0,1000000*SER_hh_emi!C23/SER_hh_num!C23)</f>
        <v>0</v>
      </c>
      <c r="D23" s="132">
        <f>IF(SER_hh_emi!D23=0,0,1000000*SER_hh_emi!D23/SER_hh_num!D23)</f>
        <v>0</v>
      </c>
      <c r="E23" s="132">
        <f>IF(SER_hh_emi!E23=0,0,1000000*SER_hh_emi!E23/SER_hh_num!E23)</f>
        <v>0</v>
      </c>
      <c r="F23" s="132">
        <f>IF(SER_hh_emi!F23=0,0,1000000*SER_hh_emi!F23/SER_hh_num!F23)</f>
        <v>0</v>
      </c>
      <c r="G23" s="132">
        <f>IF(SER_hh_emi!G23=0,0,1000000*SER_hh_emi!G23/SER_hh_num!G23)</f>
        <v>0</v>
      </c>
      <c r="H23" s="132">
        <f>IF(SER_hh_emi!H23=0,0,1000000*SER_hh_emi!H23/SER_hh_num!H23)</f>
        <v>0</v>
      </c>
      <c r="I23" s="132">
        <f>IF(SER_hh_emi!I23=0,0,1000000*SER_hh_emi!I23/SER_hh_num!I23)</f>
        <v>0</v>
      </c>
      <c r="J23" s="132">
        <f>IF(SER_hh_emi!J23=0,0,1000000*SER_hh_emi!J23/SER_hh_num!J23)</f>
        <v>0</v>
      </c>
      <c r="K23" s="132">
        <f>IF(SER_hh_emi!K23=0,0,1000000*SER_hh_emi!K23/SER_hh_num!K23)</f>
        <v>0</v>
      </c>
      <c r="L23" s="132">
        <f>IF(SER_hh_emi!L23=0,0,1000000*SER_hh_emi!L23/SER_hh_num!L23)</f>
        <v>0</v>
      </c>
      <c r="M23" s="132">
        <f>IF(SER_hh_emi!M23=0,0,1000000*SER_hh_emi!M23/SER_hh_num!M23)</f>
        <v>0</v>
      </c>
      <c r="N23" s="132">
        <f>IF(SER_hh_emi!N23=0,0,1000000*SER_hh_emi!N23/SER_hh_num!N23)</f>
        <v>0</v>
      </c>
      <c r="O23" s="132">
        <f>IF(SER_hh_emi!O23=0,0,1000000*SER_hh_emi!O23/SER_hh_num!O23)</f>
        <v>0</v>
      </c>
      <c r="P23" s="132">
        <f>IF(SER_hh_emi!P23=0,0,1000000*SER_hh_emi!P23/SER_hh_num!P23)</f>
        <v>0</v>
      </c>
      <c r="Q23" s="132">
        <f>IF(SER_hh_emi!Q23=0,0,1000000*SER_hh_emi!Q23/SER_hh_num!Q23)</f>
        <v>0</v>
      </c>
      <c r="R23" s="132">
        <f>IF(SER_hh_emi!R23=0,0,1000000*SER_hh_emi!R23/SER_hh_num!R23)</f>
        <v>0</v>
      </c>
      <c r="S23" s="132">
        <f>IF(SER_hh_emi!S23=0,0,1000000*SER_hh_emi!S23/SER_hh_num!S23)</f>
        <v>0</v>
      </c>
      <c r="T23" s="132">
        <f>IF(SER_hh_emi!T23=0,0,1000000*SER_hh_emi!T23/SER_hh_num!T23)</f>
        <v>0</v>
      </c>
      <c r="U23" s="132">
        <f>IF(SER_hh_emi!U23=0,0,1000000*SER_hh_emi!U23/SER_hh_num!U23)</f>
        <v>0</v>
      </c>
      <c r="V23" s="132">
        <f>IF(SER_hh_emi!V23=0,0,1000000*SER_hh_emi!V23/SER_hh_num!V23)</f>
        <v>0</v>
      </c>
      <c r="W23" s="132">
        <f>IF(SER_hh_emi!W23=0,0,1000000*SER_hh_emi!W23/SER_hh_num!W23)</f>
        <v>0</v>
      </c>
      <c r="X23" s="132">
        <f>IF(SER_hh_emi!X23=0,0,1000000*SER_hh_emi!X23/SER_hh_num!X23)</f>
        <v>0</v>
      </c>
      <c r="Y23" s="132">
        <f>IF(SER_hh_emi!Y23=0,0,1000000*SER_hh_emi!Y23/SER_hh_num!Y23)</f>
        <v>0</v>
      </c>
      <c r="DA23" s="156" t="s">
        <v>466</v>
      </c>
    </row>
    <row r="24" spans="1:105" ht="12" customHeight="1" x14ac:dyDescent="0.25">
      <c r="A24" s="131" t="s">
        <v>128</v>
      </c>
      <c r="B24" s="132">
        <f>IF(SER_hh_emi!B24=0,0,1000000*SER_hh_emi!B24/SER_hh_num!B24)</f>
        <v>0</v>
      </c>
      <c r="C24" s="132">
        <f>IF(SER_hh_emi!C24=0,0,1000000*SER_hh_emi!C24/SER_hh_num!C24)</f>
        <v>0</v>
      </c>
      <c r="D24" s="132">
        <f>IF(SER_hh_emi!D24=0,0,1000000*SER_hh_emi!D24/SER_hh_num!D24)</f>
        <v>0</v>
      </c>
      <c r="E24" s="132">
        <f>IF(SER_hh_emi!E24=0,0,1000000*SER_hh_emi!E24/SER_hh_num!E24)</f>
        <v>0</v>
      </c>
      <c r="F24" s="132">
        <f>IF(SER_hh_emi!F24=0,0,1000000*SER_hh_emi!F24/SER_hh_num!F24)</f>
        <v>0</v>
      </c>
      <c r="G24" s="132">
        <f>IF(SER_hh_emi!G24=0,0,1000000*SER_hh_emi!G24/SER_hh_num!G24)</f>
        <v>0</v>
      </c>
      <c r="H24" s="132">
        <f>IF(SER_hh_emi!H24=0,0,1000000*SER_hh_emi!H24/SER_hh_num!H24)</f>
        <v>0</v>
      </c>
      <c r="I24" s="132">
        <f>IF(SER_hh_emi!I24=0,0,1000000*SER_hh_emi!I24/SER_hh_num!I24)</f>
        <v>0</v>
      </c>
      <c r="J24" s="132">
        <f>IF(SER_hh_emi!J24=0,0,1000000*SER_hh_emi!J24/SER_hh_num!J24)</f>
        <v>0</v>
      </c>
      <c r="K24" s="132">
        <f>IF(SER_hh_emi!K24=0,0,1000000*SER_hh_emi!K24/SER_hh_num!K24)</f>
        <v>0</v>
      </c>
      <c r="L24" s="132">
        <f>IF(SER_hh_emi!L24=0,0,1000000*SER_hh_emi!L24/SER_hh_num!L24)</f>
        <v>0</v>
      </c>
      <c r="M24" s="132">
        <f>IF(SER_hh_emi!M24=0,0,1000000*SER_hh_emi!M24/SER_hh_num!M24)</f>
        <v>0</v>
      </c>
      <c r="N24" s="132">
        <f>IF(SER_hh_emi!N24=0,0,1000000*SER_hh_emi!N24/SER_hh_num!N24)</f>
        <v>0</v>
      </c>
      <c r="O24" s="132">
        <f>IF(SER_hh_emi!O24=0,0,1000000*SER_hh_emi!O24/SER_hh_num!O24)</f>
        <v>0</v>
      </c>
      <c r="P24" s="132">
        <f>IF(SER_hh_emi!P24=0,0,1000000*SER_hh_emi!P24/SER_hh_num!P24)</f>
        <v>0</v>
      </c>
      <c r="Q24" s="132">
        <f>IF(SER_hh_emi!Q24=0,0,1000000*SER_hh_emi!Q24/SER_hh_num!Q24)</f>
        <v>0</v>
      </c>
      <c r="R24" s="132">
        <f>IF(SER_hh_emi!R24=0,0,1000000*SER_hh_emi!R24/SER_hh_num!R24)</f>
        <v>0</v>
      </c>
      <c r="S24" s="132">
        <f>IF(SER_hh_emi!S24=0,0,1000000*SER_hh_emi!S24/SER_hh_num!S24)</f>
        <v>0</v>
      </c>
      <c r="T24" s="132">
        <f>IF(SER_hh_emi!T24=0,0,1000000*SER_hh_emi!T24/SER_hh_num!T24)</f>
        <v>0</v>
      </c>
      <c r="U24" s="132">
        <f>IF(SER_hh_emi!U24=0,0,1000000*SER_hh_emi!U24/SER_hh_num!U24)</f>
        <v>0</v>
      </c>
      <c r="V24" s="132">
        <f>IF(SER_hh_emi!V24=0,0,1000000*SER_hh_emi!V24/SER_hh_num!V24)</f>
        <v>0</v>
      </c>
      <c r="W24" s="132">
        <f>IF(SER_hh_emi!W24=0,0,1000000*SER_hh_emi!W24/SER_hh_num!W24)</f>
        <v>0</v>
      </c>
      <c r="X24" s="132">
        <f>IF(SER_hh_emi!X24=0,0,1000000*SER_hh_emi!X24/SER_hh_num!X24)</f>
        <v>0</v>
      </c>
      <c r="Y24" s="132">
        <f>IF(SER_hh_emi!Y24=0,0,1000000*SER_hh_emi!Y24/SER_hh_num!Y24)</f>
        <v>0</v>
      </c>
      <c r="DA24" s="156" t="s">
        <v>467</v>
      </c>
    </row>
    <row r="25" spans="1:105" ht="12" customHeight="1" x14ac:dyDescent="0.25">
      <c r="A25" s="131" t="s">
        <v>162</v>
      </c>
      <c r="B25" s="132">
        <f>IF(SER_hh_emi!B25=0,0,1000000*SER_hh_emi!B25/SER_hh_num!B25)</f>
        <v>0</v>
      </c>
      <c r="C25" s="132">
        <f>IF(SER_hh_emi!C25=0,0,1000000*SER_hh_emi!C25/SER_hh_num!C25)</f>
        <v>0</v>
      </c>
      <c r="D25" s="132">
        <f>IF(SER_hh_emi!D25=0,0,1000000*SER_hh_emi!D25/SER_hh_num!D25)</f>
        <v>0</v>
      </c>
      <c r="E25" s="132">
        <f>IF(SER_hh_emi!E25=0,0,1000000*SER_hh_emi!E25/SER_hh_num!E25)</f>
        <v>0</v>
      </c>
      <c r="F25" s="132">
        <f>IF(SER_hh_emi!F25=0,0,1000000*SER_hh_emi!F25/SER_hh_num!F25)</f>
        <v>0</v>
      </c>
      <c r="G25" s="132">
        <f>IF(SER_hh_emi!G25=0,0,1000000*SER_hh_emi!G25/SER_hh_num!G25)</f>
        <v>0</v>
      </c>
      <c r="H25" s="132">
        <f>IF(SER_hh_emi!H25=0,0,1000000*SER_hh_emi!H25/SER_hh_num!H25)</f>
        <v>0</v>
      </c>
      <c r="I25" s="132">
        <f>IF(SER_hh_emi!I25=0,0,1000000*SER_hh_emi!I25/SER_hh_num!I25)</f>
        <v>0</v>
      </c>
      <c r="J25" s="132">
        <f>IF(SER_hh_emi!J25=0,0,1000000*SER_hh_emi!J25/SER_hh_num!J25)</f>
        <v>0</v>
      </c>
      <c r="K25" s="132">
        <f>IF(SER_hh_emi!K25=0,0,1000000*SER_hh_emi!K25/SER_hh_num!K25)</f>
        <v>0</v>
      </c>
      <c r="L25" s="132">
        <f>IF(SER_hh_emi!L25=0,0,1000000*SER_hh_emi!L25/SER_hh_num!L25)</f>
        <v>0</v>
      </c>
      <c r="M25" s="132">
        <f>IF(SER_hh_emi!M25=0,0,1000000*SER_hh_emi!M25/SER_hh_num!M25)</f>
        <v>0</v>
      </c>
      <c r="N25" s="132">
        <f>IF(SER_hh_emi!N25=0,0,1000000*SER_hh_emi!N25/SER_hh_num!N25)</f>
        <v>0</v>
      </c>
      <c r="O25" s="132">
        <f>IF(SER_hh_emi!O25=0,0,1000000*SER_hh_emi!O25/SER_hh_num!O25)</f>
        <v>0</v>
      </c>
      <c r="P25" s="132">
        <f>IF(SER_hh_emi!P25=0,0,1000000*SER_hh_emi!P25/SER_hh_num!P25)</f>
        <v>0</v>
      </c>
      <c r="Q25" s="132">
        <f>IF(SER_hh_emi!Q25=0,0,1000000*SER_hh_emi!Q25/SER_hh_num!Q25)</f>
        <v>0</v>
      </c>
      <c r="R25" s="132">
        <f>IF(SER_hh_emi!R25=0,0,1000000*SER_hh_emi!R25/SER_hh_num!R25)</f>
        <v>0</v>
      </c>
      <c r="S25" s="132">
        <f>IF(SER_hh_emi!S25=0,0,1000000*SER_hh_emi!S25/SER_hh_num!S25)</f>
        <v>0</v>
      </c>
      <c r="T25" s="132">
        <f>IF(SER_hh_emi!T25=0,0,1000000*SER_hh_emi!T25/SER_hh_num!T25)</f>
        <v>0</v>
      </c>
      <c r="U25" s="132">
        <f>IF(SER_hh_emi!U25=0,0,1000000*SER_hh_emi!U25/SER_hh_num!U25)</f>
        <v>0</v>
      </c>
      <c r="V25" s="132">
        <f>IF(SER_hh_emi!V25=0,0,1000000*SER_hh_emi!V25/SER_hh_num!V25)</f>
        <v>0</v>
      </c>
      <c r="W25" s="132">
        <f>IF(SER_hh_emi!W25=0,0,1000000*SER_hh_emi!W25/SER_hh_num!W25)</f>
        <v>0</v>
      </c>
      <c r="X25" s="132">
        <f>IF(SER_hh_emi!X25=0,0,1000000*SER_hh_emi!X25/SER_hh_num!X25)</f>
        <v>0</v>
      </c>
      <c r="Y25" s="132">
        <f>IF(SER_hh_emi!Y25=0,0,1000000*SER_hh_emi!Y25/SER_hh_num!Y25)</f>
        <v>0</v>
      </c>
      <c r="DA25" s="156" t="s">
        <v>468</v>
      </c>
    </row>
    <row r="26" spans="1:105" ht="12" customHeight="1" x14ac:dyDescent="0.25">
      <c r="A26" s="131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X26" s="65">
        <f>IF(SER_hh_emi!X26=0,0,1000000*SER_hh_emi!X26/SER_hh_num!X26)</f>
        <v>0</v>
      </c>
      <c r="Y26" s="65">
        <f>IF(SER_hh_emi!Y26=0,0,1000000*SER_hh_emi!Y26/SER_hh_num!Y26)</f>
        <v>0</v>
      </c>
      <c r="DA26" s="109" t="s">
        <v>469</v>
      </c>
    </row>
    <row r="27" spans="1:105" ht="12" customHeight="1" x14ac:dyDescent="0.25">
      <c r="A27" s="144" t="s">
        <v>86</v>
      </c>
      <c r="B27" s="145">
        <f>IF(SER_hh_emi!B27=0,0,1000000*SER_hh_emi!B27/SER_hh_num!B19)</f>
        <v>0</v>
      </c>
      <c r="C27" s="145">
        <f>IF(SER_hh_emi!C27=0,0,1000000*SER_hh_emi!C27/SER_hh_num!C19)</f>
        <v>0</v>
      </c>
      <c r="D27" s="145">
        <f>IF(SER_hh_emi!D27=0,0,1000000*SER_hh_emi!D27/SER_hh_num!D19)</f>
        <v>0</v>
      </c>
      <c r="E27" s="145">
        <f>IF(SER_hh_emi!E27=0,0,1000000*SER_hh_emi!E27/SER_hh_num!E19)</f>
        <v>0</v>
      </c>
      <c r="F27" s="145">
        <f>IF(SER_hh_emi!F27=0,0,1000000*SER_hh_emi!F27/SER_hh_num!F19)</f>
        <v>0</v>
      </c>
      <c r="G27" s="145">
        <f>IF(SER_hh_emi!G27=0,0,1000000*SER_hh_emi!G27/SER_hh_num!G19)</f>
        <v>0</v>
      </c>
      <c r="H27" s="145">
        <f>IF(SER_hh_emi!H27=0,0,1000000*SER_hh_emi!H27/SER_hh_num!H19)</f>
        <v>0</v>
      </c>
      <c r="I27" s="145">
        <f>IF(SER_hh_emi!I27=0,0,1000000*SER_hh_emi!I27/SER_hh_num!I19)</f>
        <v>0</v>
      </c>
      <c r="J27" s="145">
        <f>IF(SER_hh_emi!J27=0,0,1000000*SER_hh_emi!J27/SER_hh_num!J19)</f>
        <v>0</v>
      </c>
      <c r="K27" s="145">
        <f>IF(SER_hh_emi!K27=0,0,1000000*SER_hh_emi!K27/SER_hh_num!K19)</f>
        <v>0</v>
      </c>
      <c r="L27" s="145">
        <f>IF(SER_hh_emi!L27=0,0,1000000*SER_hh_emi!L27/SER_hh_num!L19)</f>
        <v>0</v>
      </c>
      <c r="M27" s="145">
        <f>IF(SER_hh_emi!M27=0,0,1000000*SER_hh_emi!M27/SER_hh_num!M19)</f>
        <v>0</v>
      </c>
      <c r="N27" s="145">
        <f>IF(SER_hh_emi!N27=0,0,1000000*SER_hh_emi!N27/SER_hh_num!N19)</f>
        <v>0</v>
      </c>
      <c r="O27" s="145">
        <f>IF(SER_hh_emi!O27=0,0,1000000*SER_hh_emi!O27/SER_hh_num!O19)</f>
        <v>0</v>
      </c>
      <c r="P27" s="145">
        <f>IF(SER_hh_emi!P27=0,0,1000000*SER_hh_emi!P27/SER_hh_num!P19)</f>
        <v>0</v>
      </c>
      <c r="Q27" s="145">
        <f>IF(SER_hh_emi!Q27=0,0,1000000*SER_hh_emi!Q27/SER_hh_num!Q19)</f>
        <v>0</v>
      </c>
      <c r="R27" s="145">
        <f>IF(SER_hh_emi!R27=0,0,1000000*SER_hh_emi!R27/SER_hh_num!R19)</f>
        <v>0</v>
      </c>
      <c r="S27" s="145">
        <f>IF(SER_hh_emi!S27=0,0,1000000*SER_hh_emi!S27/SER_hh_num!S19)</f>
        <v>0</v>
      </c>
      <c r="T27" s="145">
        <f>IF(SER_hh_emi!T27=0,0,1000000*SER_hh_emi!T27/SER_hh_num!T19)</f>
        <v>0</v>
      </c>
      <c r="U27" s="145">
        <f>IF(SER_hh_emi!U27=0,0,1000000*SER_hh_emi!U27/SER_hh_num!U19)</f>
        <v>0</v>
      </c>
      <c r="V27" s="145">
        <f>IF(SER_hh_emi!V27=0,0,1000000*SER_hh_emi!V27/SER_hh_num!V19)</f>
        <v>0</v>
      </c>
      <c r="W27" s="145">
        <f>IF(SER_hh_emi!W27=0,0,1000000*SER_hh_emi!W27/SER_hh_num!W19)</f>
        <v>0</v>
      </c>
      <c r="X27" s="145">
        <f>IF(SER_hh_emi!X27=0,0,1000000*SER_hh_emi!X27/SER_hh_num!X19)</f>
        <v>0</v>
      </c>
      <c r="Y27" s="145">
        <f>IF(SER_hh_emi!Y27=0,0,1000000*SER_hh_emi!Y27/SER_hh_num!Y19)</f>
        <v>0</v>
      </c>
      <c r="DA27" s="158" t="s">
        <v>470</v>
      </c>
    </row>
    <row r="28" spans="1:105" ht="12" customHeight="1" x14ac:dyDescent="0.25">
      <c r="A28" s="78" t="s">
        <v>85</v>
      </c>
      <c r="B28" s="146">
        <f>IF(SER_hh_emi!B27=0,0,1000000*SER_hh_emi!B27/SER_hh_num!B27)</f>
        <v>0</v>
      </c>
      <c r="C28" s="146">
        <f>IF(SER_hh_emi!C27=0,0,1000000*SER_hh_emi!C27/SER_hh_num!C27)</f>
        <v>0</v>
      </c>
      <c r="D28" s="146">
        <f>IF(SER_hh_emi!D27=0,0,1000000*SER_hh_emi!D27/SER_hh_num!D27)</f>
        <v>0</v>
      </c>
      <c r="E28" s="146">
        <f>IF(SER_hh_emi!E27=0,0,1000000*SER_hh_emi!E27/SER_hh_num!E27)</f>
        <v>0</v>
      </c>
      <c r="F28" s="146">
        <f>IF(SER_hh_emi!F27=0,0,1000000*SER_hh_emi!F27/SER_hh_num!F27)</f>
        <v>0</v>
      </c>
      <c r="G28" s="146">
        <f>IF(SER_hh_emi!G27=0,0,1000000*SER_hh_emi!G27/SER_hh_num!G27)</f>
        <v>0</v>
      </c>
      <c r="H28" s="146">
        <f>IF(SER_hh_emi!H27=0,0,1000000*SER_hh_emi!H27/SER_hh_num!H27)</f>
        <v>0</v>
      </c>
      <c r="I28" s="146">
        <f>IF(SER_hh_emi!I27=0,0,1000000*SER_hh_emi!I27/SER_hh_num!I27)</f>
        <v>0</v>
      </c>
      <c r="J28" s="146">
        <f>IF(SER_hh_emi!J27=0,0,1000000*SER_hh_emi!J27/SER_hh_num!J27)</f>
        <v>0</v>
      </c>
      <c r="K28" s="146">
        <f>IF(SER_hh_emi!K27=0,0,1000000*SER_hh_emi!K27/SER_hh_num!K27)</f>
        <v>0</v>
      </c>
      <c r="L28" s="146">
        <f>IF(SER_hh_emi!L27=0,0,1000000*SER_hh_emi!L27/SER_hh_num!L27)</f>
        <v>0</v>
      </c>
      <c r="M28" s="146">
        <f>IF(SER_hh_emi!M27=0,0,1000000*SER_hh_emi!M27/SER_hh_num!M27)</f>
        <v>0</v>
      </c>
      <c r="N28" s="146">
        <f>IF(SER_hh_emi!N27=0,0,1000000*SER_hh_emi!N27/SER_hh_num!N27)</f>
        <v>0</v>
      </c>
      <c r="O28" s="146">
        <f>IF(SER_hh_emi!O27=0,0,1000000*SER_hh_emi!O27/SER_hh_num!O27)</f>
        <v>0</v>
      </c>
      <c r="P28" s="146">
        <f>IF(SER_hh_emi!P27=0,0,1000000*SER_hh_emi!P27/SER_hh_num!P27)</f>
        <v>0</v>
      </c>
      <c r="Q28" s="146">
        <f>IF(SER_hh_emi!Q27=0,0,1000000*SER_hh_emi!Q27/SER_hh_num!Q27)</f>
        <v>0</v>
      </c>
      <c r="R28" s="146">
        <f>IF(SER_hh_emi!R27=0,0,1000000*SER_hh_emi!R27/SER_hh_num!R27)</f>
        <v>0</v>
      </c>
      <c r="S28" s="146">
        <f>IF(SER_hh_emi!S27=0,0,1000000*SER_hh_emi!S27/SER_hh_num!S27)</f>
        <v>0</v>
      </c>
      <c r="T28" s="146">
        <f>IF(SER_hh_emi!T27=0,0,1000000*SER_hh_emi!T27/SER_hh_num!T27)</f>
        <v>0</v>
      </c>
      <c r="U28" s="146">
        <f>IF(SER_hh_emi!U27=0,0,1000000*SER_hh_emi!U27/SER_hh_num!U27)</f>
        <v>0</v>
      </c>
      <c r="V28" s="146">
        <f>IF(SER_hh_emi!V27=0,0,1000000*SER_hh_emi!V27/SER_hh_num!V27)</f>
        <v>0</v>
      </c>
      <c r="W28" s="146">
        <f>IF(SER_hh_emi!W27=0,0,1000000*SER_hh_emi!W27/SER_hh_num!W27)</f>
        <v>0</v>
      </c>
      <c r="X28" s="146">
        <f>IF(SER_hh_emi!X27=0,0,1000000*SER_hh_emi!X27/SER_hh_num!X27)</f>
        <v>0</v>
      </c>
      <c r="Y28" s="146">
        <f>IF(SER_hh_emi!Y27=0,0,1000000*SER_hh_emi!Y27/SER_hh_num!Y27)</f>
        <v>0</v>
      </c>
      <c r="DA28" s="159"/>
    </row>
    <row r="29" spans="1:105" ht="12.95" customHeight="1" x14ac:dyDescent="0.25">
      <c r="A29" s="129" t="s">
        <v>34</v>
      </c>
      <c r="B29" s="130">
        <f>IF(SER_hh_emi!B29=0,0,1000000*SER_hh_emi!B29/SER_hh_num!B29)</f>
        <v>0</v>
      </c>
      <c r="C29" s="130">
        <f>IF(SER_hh_emi!C29=0,0,1000000*SER_hh_emi!C29/SER_hh_num!C29)</f>
        <v>0</v>
      </c>
      <c r="D29" s="130">
        <f>IF(SER_hh_emi!D29=0,0,1000000*SER_hh_emi!D29/SER_hh_num!D29)</f>
        <v>0</v>
      </c>
      <c r="E29" s="130">
        <f>IF(SER_hh_emi!E29=0,0,1000000*SER_hh_emi!E29/SER_hh_num!E29)</f>
        <v>0</v>
      </c>
      <c r="F29" s="130">
        <f>IF(SER_hh_emi!F29=0,0,1000000*SER_hh_emi!F29/SER_hh_num!F29)</f>
        <v>0</v>
      </c>
      <c r="G29" s="130">
        <f>IF(SER_hh_emi!G29=0,0,1000000*SER_hh_emi!G29/SER_hh_num!G29)</f>
        <v>0</v>
      </c>
      <c r="H29" s="130">
        <f>IF(SER_hh_emi!H29=0,0,1000000*SER_hh_emi!H29/SER_hh_num!H29)</f>
        <v>836.67146786850287</v>
      </c>
      <c r="I29" s="130">
        <f>IF(SER_hh_emi!I29=0,0,1000000*SER_hh_emi!I29/SER_hh_num!I29)</f>
        <v>802.48769414597837</v>
      </c>
      <c r="J29" s="130">
        <f>IF(SER_hh_emi!J29=0,0,1000000*SER_hh_emi!J29/SER_hh_num!J29)</f>
        <v>920.67479369005775</v>
      </c>
      <c r="K29" s="130">
        <f>IF(SER_hh_emi!K29=0,0,1000000*SER_hh_emi!K29/SER_hh_num!K29)</f>
        <v>732.00959063079836</v>
      </c>
      <c r="L29" s="130">
        <f>IF(SER_hh_emi!L29=0,0,1000000*SER_hh_emi!L29/SER_hh_num!L29)</f>
        <v>669.4867812567943</v>
      </c>
      <c r="M29" s="130">
        <f>IF(SER_hh_emi!M29=0,0,1000000*SER_hh_emi!M29/SER_hh_num!M29)</f>
        <v>852.36785212751033</v>
      </c>
      <c r="N29" s="130">
        <f>IF(SER_hh_emi!N29=0,0,1000000*SER_hh_emi!N29/SER_hh_num!N29)</f>
        <v>894.54416795063196</v>
      </c>
      <c r="O29" s="130">
        <f>IF(SER_hh_emi!O29=0,0,1000000*SER_hh_emi!O29/SER_hh_num!O29)</f>
        <v>823.98969027046144</v>
      </c>
      <c r="P29" s="130">
        <f>IF(SER_hh_emi!P29=0,0,1000000*SER_hh_emi!P29/SER_hh_num!P29)</f>
        <v>701.28280345469022</v>
      </c>
      <c r="Q29" s="130">
        <f>IF(SER_hh_emi!Q29=0,0,1000000*SER_hh_emi!Q29/SER_hh_num!Q29)</f>
        <v>873.04368056025055</v>
      </c>
      <c r="R29" s="130">
        <f>IF(SER_hh_emi!R29=0,0,1000000*SER_hh_emi!R29/SER_hh_num!R29)</f>
        <v>854.39951702702353</v>
      </c>
      <c r="S29" s="130">
        <f>IF(SER_hh_emi!S29=0,0,1000000*SER_hh_emi!S29/SER_hh_num!S29)</f>
        <v>1174.823286357795</v>
      </c>
      <c r="T29" s="130">
        <f>IF(SER_hh_emi!T29=0,0,1000000*SER_hh_emi!T29/SER_hh_num!T29)</f>
        <v>1225.9510948393897</v>
      </c>
      <c r="U29" s="130">
        <f>IF(SER_hh_emi!U29=0,0,1000000*SER_hh_emi!U29/SER_hh_num!U29)</f>
        <v>1514.9140221052994</v>
      </c>
      <c r="V29" s="130">
        <f>IF(SER_hh_emi!V29=0,0,1000000*SER_hh_emi!V29/SER_hh_num!V29)</f>
        <v>1075.5554975927864</v>
      </c>
      <c r="W29" s="130">
        <f>IF(SER_hh_emi!W29=0,0,1000000*SER_hh_emi!W29/SER_hh_num!W29)</f>
        <v>913.89631219182877</v>
      </c>
      <c r="X29" s="130">
        <f>IF(SER_hh_emi!X29=0,0,1000000*SER_hh_emi!X29/SER_hh_num!X29)</f>
        <v>1075.1504554030223</v>
      </c>
      <c r="Y29" s="130">
        <f>IF(SER_hh_emi!Y29=0,0,1000000*SER_hh_emi!Y29/SER_hh_num!Y29)</f>
        <v>938.18341083731093</v>
      </c>
      <c r="DA29" s="155" t="s">
        <v>471</v>
      </c>
    </row>
    <row r="30" spans="1:105" ht="12" customHeight="1" x14ac:dyDescent="0.25">
      <c r="A30" s="131" t="s">
        <v>52</v>
      </c>
      <c r="B30" s="132">
        <f>IF(SER_hh_emi!B30=0,0,1000000*SER_hh_emi!B30/SER_hh_num!B30)</f>
        <v>0</v>
      </c>
      <c r="C30" s="132">
        <f>IF(SER_hh_emi!C30=0,0,1000000*SER_hh_emi!C30/SER_hh_num!C30)</f>
        <v>0</v>
      </c>
      <c r="D30" s="132">
        <f>IF(SER_hh_emi!D30=0,0,1000000*SER_hh_emi!D30/SER_hh_num!D30)</f>
        <v>0</v>
      </c>
      <c r="E30" s="132">
        <f>IF(SER_hh_emi!E30=0,0,1000000*SER_hh_emi!E30/SER_hh_num!E30)</f>
        <v>0</v>
      </c>
      <c r="F30" s="132">
        <f>IF(SER_hh_emi!F30=0,0,1000000*SER_hh_emi!F30/SER_hh_num!F30)</f>
        <v>0</v>
      </c>
      <c r="G30" s="132">
        <f>IF(SER_hh_emi!G30=0,0,1000000*SER_hh_emi!G30/SER_hh_num!G30)</f>
        <v>0</v>
      </c>
      <c r="H30" s="132">
        <f>IF(SER_hh_emi!H30=0,0,1000000*SER_hh_emi!H30/SER_hh_num!H30)</f>
        <v>6178.5960680739763</v>
      </c>
      <c r="I30" s="132">
        <f>IF(SER_hh_emi!I30=0,0,1000000*SER_hh_emi!I30/SER_hh_num!I30)</f>
        <v>4723.8473571614713</v>
      </c>
      <c r="J30" s="132">
        <f>IF(SER_hh_emi!J30=0,0,1000000*SER_hh_emi!J30/SER_hh_num!J30)</f>
        <v>4929.1975401573036</v>
      </c>
      <c r="K30" s="132">
        <f>IF(SER_hh_emi!K30=0,0,1000000*SER_hh_emi!K30/SER_hh_num!K30)</f>
        <v>4166.5170764039203</v>
      </c>
      <c r="L30" s="132">
        <f>IF(SER_hh_emi!L30=0,0,1000000*SER_hh_emi!L30/SER_hh_num!L30)</f>
        <v>3843.83036896872</v>
      </c>
      <c r="M30" s="132">
        <f>IF(SER_hh_emi!M30=0,0,1000000*SER_hh_emi!M30/SER_hh_num!M30)</f>
        <v>4590.6604349622821</v>
      </c>
      <c r="N30" s="132">
        <f>IF(SER_hh_emi!N30=0,0,1000000*SER_hh_emi!N30/SER_hh_num!N30)</f>
        <v>4713.4927004660194</v>
      </c>
      <c r="O30" s="132">
        <f>IF(SER_hh_emi!O30=0,0,1000000*SER_hh_emi!O30/SER_hh_num!O30)</f>
        <v>4354.5536828721297</v>
      </c>
      <c r="P30" s="132">
        <f>IF(SER_hh_emi!P30=0,0,1000000*SER_hh_emi!P30/SER_hh_num!P30)</f>
        <v>3805.4914999259154</v>
      </c>
      <c r="Q30" s="132">
        <f>IF(SER_hh_emi!Q30=0,0,1000000*SER_hh_emi!Q30/SER_hh_num!Q30)</f>
        <v>4355.0754280467627</v>
      </c>
      <c r="R30" s="132">
        <f>IF(SER_hh_emi!R30=0,0,1000000*SER_hh_emi!R30/SER_hh_num!R30)</f>
        <v>3897.8286307915837</v>
      </c>
      <c r="S30" s="132">
        <f>IF(SER_hh_emi!S30=0,0,1000000*SER_hh_emi!S30/SER_hh_num!S30)</f>
        <v>4513.4487047968696</v>
      </c>
      <c r="T30" s="132">
        <f>IF(SER_hh_emi!T30=0,0,1000000*SER_hh_emi!T30/SER_hh_num!T30)</f>
        <v>4686.8488330751525</v>
      </c>
      <c r="U30" s="132">
        <f>IF(SER_hh_emi!U30=0,0,1000000*SER_hh_emi!U30/SER_hh_num!U30)</f>
        <v>5933.2559309330409</v>
      </c>
      <c r="V30" s="132">
        <f>IF(SER_hh_emi!V30=0,0,1000000*SER_hh_emi!V30/SER_hh_num!V30)</f>
        <v>4193.4943757685705</v>
      </c>
      <c r="W30" s="132">
        <f>IF(SER_hh_emi!W30=0,0,1000000*SER_hh_emi!W30/SER_hh_num!W30)</f>
        <v>3635.9281449540567</v>
      </c>
      <c r="X30" s="132">
        <f>IF(SER_hh_emi!X30=0,0,1000000*SER_hh_emi!X30/SER_hh_num!X30)</f>
        <v>4603.6607108520193</v>
      </c>
      <c r="Y30" s="132">
        <f>IF(SER_hh_emi!Y30=0,0,1000000*SER_hh_emi!Y30/SER_hh_num!Y30)</f>
        <v>4262.4056143076496</v>
      </c>
      <c r="DA30" s="156" t="s">
        <v>472</v>
      </c>
    </row>
    <row r="31" spans="1:105" ht="12" customHeight="1" x14ac:dyDescent="0.25">
      <c r="A31" s="131" t="s">
        <v>149</v>
      </c>
      <c r="B31" s="132">
        <f>IF(SER_hh_emi!B31=0,0,1000000*SER_hh_emi!B31/SER_hh_num!B31)</f>
        <v>0</v>
      </c>
      <c r="C31" s="132">
        <f>IF(SER_hh_emi!C31=0,0,1000000*SER_hh_emi!C31/SER_hh_num!C31)</f>
        <v>0</v>
      </c>
      <c r="D31" s="132">
        <f>IF(SER_hh_emi!D31=0,0,1000000*SER_hh_emi!D31/SER_hh_num!D31)</f>
        <v>0</v>
      </c>
      <c r="E31" s="132">
        <f>IF(SER_hh_emi!E31=0,0,1000000*SER_hh_emi!E31/SER_hh_num!E31)</f>
        <v>0</v>
      </c>
      <c r="F31" s="132">
        <f>IF(SER_hh_emi!F31=0,0,1000000*SER_hh_emi!F31/SER_hh_num!F31)</f>
        <v>0</v>
      </c>
      <c r="G31" s="132">
        <f>IF(SER_hh_emi!G31=0,0,1000000*SER_hh_emi!G31/SER_hh_num!G31)</f>
        <v>0</v>
      </c>
      <c r="H31" s="132">
        <f>IF(SER_hh_emi!H31=0,0,1000000*SER_hh_emi!H31/SER_hh_num!H31)</f>
        <v>0</v>
      </c>
      <c r="I31" s="132">
        <f>IF(SER_hh_emi!I31=0,0,1000000*SER_hh_emi!I31/SER_hh_num!I31)</f>
        <v>0</v>
      </c>
      <c r="J31" s="132">
        <f>IF(SER_hh_emi!J31=0,0,1000000*SER_hh_emi!J31/SER_hh_num!J31)</f>
        <v>0</v>
      </c>
      <c r="K31" s="132">
        <f>IF(SER_hh_emi!K31=0,0,1000000*SER_hh_emi!K31/SER_hh_num!K31)</f>
        <v>0</v>
      </c>
      <c r="L31" s="132">
        <f>IF(SER_hh_emi!L31=0,0,1000000*SER_hh_emi!L31/SER_hh_num!L31)</f>
        <v>0</v>
      </c>
      <c r="M31" s="132">
        <f>IF(SER_hh_emi!M31=0,0,1000000*SER_hh_emi!M31/SER_hh_num!M31)</f>
        <v>0</v>
      </c>
      <c r="N31" s="132">
        <f>IF(SER_hh_emi!N31=0,0,1000000*SER_hh_emi!N31/SER_hh_num!N31)</f>
        <v>0</v>
      </c>
      <c r="O31" s="132">
        <f>IF(SER_hh_emi!O31=0,0,1000000*SER_hh_emi!O31/SER_hh_num!O31)</f>
        <v>0</v>
      </c>
      <c r="P31" s="132">
        <f>IF(SER_hh_emi!P31=0,0,1000000*SER_hh_emi!P31/SER_hh_num!P31)</f>
        <v>0</v>
      </c>
      <c r="Q31" s="132">
        <f>IF(SER_hh_emi!Q31=0,0,1000000*SER_hh_emi!Q31/SER_hh_num!Q31)</f>
        <v>0</v>
      </c>
      <c r="R31" s="132">
        <f>IF(SER_hh_emi!R31=0,0,1000000*SER_hh_emi!R31/SER_hh_num!R31)</f>
        <v>0</v>
      </c>
      <c r="S31" s="132">
        <f>IF(SER_hh_emi!S31=0,0,1000000*SER_hh_emi!S31/SER_hh_num!S31)</f>
        <v>0</v>
      </c>
      <c r="T31" s="132">
        <f>IF(SER_hh_emi!T31=0,0,1000000*SER_hh_emi!T31/SER_hh_num!T31)</f>
        <v>0</v>
      </c>
      <c r="U31" s="132">
        <f>IF(SER_hh_emi!U31=0,0,1000000*SER_hh_emi!U31/SER_hh_num!U31)</f>
        <v>0</v>
      </c>
      <c r="V31" s="132">
        <f>IF(SER_hh_emi!V31=0,0,1000000*SER_hh_emi!V31/SER_hh_num!V31)</f>
        <v>0</v>
      </c>
      <c r="W31" s="132">
        <f>IF(SER_hh_emi!W31=0,0,1000000*SER_hh_emi!W31/SER_hh_num!W31)</f>
        <v>0</v>
      </c>
      <c r="X31" s="132">
        <f>IF(SER_hh_emi!X31=0,0,1000000*SER_hh_emi!X31/SER_hh_num!X31)</f>
        <v>0</v>
      </c>
      <c r="Y31" s="132">
        <f>IF(SER_hh_emi!Y31=0,0,1000000*SER_hh_emi!Y31/SER_hh_num!Y31)</f>
        <v>0</v>
      </c>
      <c r="DA31" s="156" t="s">
        <v>473</v>
      </c>
    </row>
    <row r="32" spans="1:105" ht="12" customHeight="1" x14ac:dyDescent="0.25">
      <c r="A32" s="131" t="s">
        <v>128</v>
      </c>
      <c r="B32" s="132">
        <f>IF(SER_hh_emi!B32=0,0,1000000*SER_hh_emi!B32/SER_hh_num!B32)</f>
        <v>0</v>
      </c>
      <c r="C32" s="132">
        <f>IF(SER_hh_emi!C32=0,0,1000000*SER_hh_emi!C32/SER_hh_num!C32)</f>
        <v>0</v>
      </c>
      <c r="D32" s="132">
        <f>IF(SER_hh_emi!D32=0,0,1000000*SER_hh_emi!D32/SER_hh_num!D32)</f>
        <v>0</v>
      </c>
      <c r="E32" s="132">
        <f>IF(SER_hh_emi!E32=0,0,1000000*SER_hh_emi!E32/SER_hh_num!E32)</f>
        <v>0</v>
      </c>
      <c r="F32" s="132">
        <f>IF(SER_hh_emi!F32=0,0,1000000*SER_hh_emi!F32/SER_hh_num!F32)</f>
        <v>0</v>
      </c>
      <c r="G32" s="132">
        <f>IF(SER_hh_emi!G32=0,0,1000000*SER_hh_emi!G32/SER_hh_num!G32)</f>
        <v>0</v>
      </c>
      <c r="H32" s="132">
        <f>IF(SER_hh_emi!H32=0,0,1000000*SER_hh_emi!H32/SER_hh_num!H32)</f>
        <v>0</v>
      </c>
      <c r="I32" s="132">
        <f>IF(SER_hh_emi!I32=0,0,1000000*SER_hh_emi!I32/SER_hh_num!I32)</f>
        <v>0</v>
      </c>
      <c r="J32" s="132">
        <f>IF(SER_hh_emi!J32=0,0,1000000*SER_hh_emi!J32/SER_hh_num!J32)</f>
        <v>0</v>
      </c>
      <c r="K32" s="132">
        <f>IF(SER_hh_emi!K32=0,0,1000000*SER_hh_emi!K32/SER_hh_num!K32)</f>
        <v>0</v>
      </c>
      <c r="L32" s="132">
        <f>IF(SER_hh_emi!L32=0,0,1000000*SER_hh_emi!L32/SER_hh_num!L32)</f>
        <v>0</v>
      </c>
      <c r="M32" s="132">
        <f>IF(SER_hh_emi!M32=0,0,1000000*SER_hh_emi!M32/SER_hh_num!M32)</f>
        <v>0</v>
      </c>
      <c r="N32" s="132">
        <f>IF(SER_hh_emi!N32=0,0,1000000*SER_hh_emi!N32/SER_hh_num!N32)</f>
        <v>0</v>
      </c>
      <c r="O32" s="132">
        <f>IF(SER_hh_emi!O32=0,0,1000000*SER_hh_emi!O32/SER_hh_num!O32)</f>
        <v>0</v>
      </c>
      <c r="P32" s="132">
        <f>IF(SER_hh_emi!P32=0,0,1000000*SER_hh_emi!P32/SER_hh_num!P32)</f>
        <v>0</v>
      </c>
      <c r="Q32" s="132">
        <f>IF(SER_hh_emi!Q32=0,0,1000000*SER_hh_emi!Q32/SER_hh_num!Q32)</f>
        <v>0</v>
      </c>
      <c r="R32" s="132">
        <f>IF(SER_hh_emi!R32=0,0,1000000*SER_hh_emi!R32/SER_hh_num!R32)</f>
        <v>0</v>
      </c>
      <c r="S32" s="132">
        <f>IF(SER_hh_emi!S32=0,0,1000000*SER_hh_emi!S32/SER_hh_num!S32)</f>
        <v>0</v>
      </c>
      <c r="T32" s="132">
        <f>IF(SER_hh_emi!T32=0,0,1000000*SER_hh_emi!T32/SER_hh_num!T32)</f>
        <v>0</v>
      </c>
      <c r="U32" s="132">
        <f>IF(SER_hh_emi!U32=0,0,1000000*SER_hh_emi!U32/SER_hh_num!U32)</f>
        <v>0</v>
      </c>
      <c r="V32" s="132">
        <f>IF(SER_hh_emi!V32=0,0,1000000*SER_hh_emi!V32/SER_hh_num!V32)</f>
        <v>0</v>
      </c>
      <c r="W32" s="132">
        <f>IF(SER_hh_emi!W32=0,0,1000000*SER_hh_emi!W32/SER_hh_num!W32)</f>
        <v>0</v>
      </c>
      <c r="X32" s="132">
        <f>IF(SER_hh_emi!X32=0,0,1000000*SER_hh_emi!X32/SER_hh_num!X32)</f>
        <v>0</v>
      </c>
      <c r="Y32" s="132">
        <f>IF(SER_hh_emi!Y32=0,0,1000000*SER_hh_emi!Y32/SER_hh_num!Y32)</f>
        <v>0</v>
      </c>
      <c r="DA32" s="156" t="s">
        <v>474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X33" s="68">
        <f>IF(SER_hh_emi!X33=0,0,1000000*SER_hh_emi!X33/SER_hh_num!X33)</f>
        <v>0</v>
      </c>
      <c r="Y33" s="68">
        <f>IF(SER_hh_emi!Y33=0,0,1000000*SER_hh_emi!Y33/SER_hh_num!Y33)</f>
        <v>0</v>
      </c>
      <c r="DA33" s="111" t="s">
        <v>475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>
        <f>IF(SER_hh_fech!B3=0,0,SER_hh_fech!B3/SER_summary!B$26)</f>
        <v>77.063672002145438</v>
      </c>
      <c r="C3" s="125">
        <f>IF(SER_hh_fech!C3=0,0,SER_hh_fech!C3/SER_summary!C$26)</f>
        <v>82.261029033896889</v>
      </c>
      <c r="D3" s="125">
        <f>IF(SER_hh_fech!D3=0,0,SER_hh_fech!D3/SER_summary!D$26)</f>
        <v>87.715805396196188</v>
      </c>
      <c r="E3" s="125">
        <f>IF(SER_hh_fech!E3=0,0,SER_hh_fech!E3/SER_summary!E$26)</f>
        <v>89.906845434560964</v>
      </c>
      <c r="F3" s="125">
        <f>IF(SER_hh_fech!F3=0,0,SER_hh_fech!F3/SER_summary!F$26)</f>
        <v>88.563228267459323</v>
      </c>
      <c r="G3" s="125">
        <f>IF(SER_hh_fech!G3=0,0,SER_hh_fech!G3/SER_summary!G$26)</f>
        <v>90.167741930928713</v>
      </c>
      <c r="H3" s="125">
        <f>IF(SER_hh_fech!H3=0,0,SER_hh_fech!H3/SER_summary!H$26)</f>
        <v>106.79793847626307</v>
      </c>
      <c r="I3" s="125">
        <f>IF(SER_hh_fech!I3=0,0,SER_hh_fech!I3/SER_summary!I$26)</f>
        <v>109.31740625099289</v>
      </c>
      <c r="J3" s="125">
        <f>IF(SER_hh_fech!J3=0,0,SER_hh_fech!J3/SER_summary!J$26)</f>
        <v>120.2516461087402</v>
      </c>
      <c r="K3" s="125">
        <f>IF(SER_hh_fech!K3=0,0,SER_hh_fech!K3/SER_summary!K$26)</f>
        <v>116.86638632934709</v>
      </c>
      <c r="L3" s="125">
        <f>IF(SER_hh_fech!L3=0,0,SER_hh_fech!L3/SER_summary!L$26)</f>
        <v>120.05547697105982</v>
      </c>
      <c r="M3" s="125">
        <f>IF(SER_hh_fech!M3=0,0,SER_hh_fech!M3/SER_summary!M$26)</f>
        <v>112.44334032775198</v>
      </c>
      <c r="N3" s="125">
        <f>IF(SER_hh_fech!N3=0,0,SER_hh_fech!N3/SER_summary!N$26)</f>
        <v>95.696464687453954</v>
      </c>
      <c r="O3" s="125">
        <f>IF(SER_hh_fech!O3=0,0,SER_hh_fech!O3/SER_summary!O$26)</f>
        <v>83.37396085140945</v>
      </c>
      <c r="P3" s="125">
        <f>IF(SER_hh_fech!P3=0,0,SER_hh_fech!P3/SER_summary!P$26)</f>
        <v>84.839179776192267</v>
      </c>
      <c r="Q3" s="125">
        <f>IF(SER_hh_fech!Q3=0,0,SER_hh_fech!Q3/SER_summary!Q$26)</f>
        <v>86.847184379081909</v>
      </c>
      <c r="R3" s="125">
        <f>IF(SER_hh_fech!R3=0,0,SER_hh_fech!R3/SER_summary!R$26)</f>
        <v>94.22380682645246</v>
      </c>
      <c r="S3" s="125">
        <f>IF(SER_hh_fech!S3=0,0,SER_hh_fech!S3/SER_summary!S$26)</f>
        <v>99.219097519210493</v>
      </c>
      <c r="T3" s="125">
        <f>IF(SER_hh_fech!T3=0,0,SER_hh_fech!T3/SER_summary!T$26)</f>
        <v>101.69341260633412</v>
      </c>
      <c r="U3" s="125">
        <f>IF(SER_hh_fech!U3=0,0,SER_hh_fech!U3/SER_summary!U$26)</f>
        <v>106.42209716211222</v>
      </c>
      <c r="V3" s="125">
        <f>IF(SER_hh_fech!V3=0,0,SER_hh_fech!V3/SER_summary!V$26)</f>
        <v>84.588189842689175</v>
      </c>
      <c r="W3" s="125">
        <f>IF(SER_hh_fech!W3=0,0,SER_hh_fech!W3/SER_summary!W$26)</f>
        <v>93.727534301693794</v>
      </c>
      <c r="X3" s="125">
        <f>IF(SER_hh_fech!X3=0,0,SER_hh_fech!X3/SER_summary!X$26)</f>
        <v>107.16033803664808</v>
      </c>
      <c r="Y3" s="125">
        <f>IF(SER_hh_fech!Y3=0,0,SER_hh_fech!Y3/SER_summary!Y$26)</f>
        <v>108.78147874826806</v>
      </c>
      <c r="DA3" s="154" t="s">
        <v>477</v>
      </c>
    </row>
    <row r="4" spans="1:105" ht="12.95" customHeight="1" x14ac:dyDescent="0.25">
      <c r="A4" s="129" t="s">
        <v>32</v>
      </c>
      <c r="B4" s="130">
        <f>IF(SER_hh_fech!B4=0,0,SER_hh_fech!B4/SER_summary!B$26)</f>
        <v>25.608773574041169</v>
      </c>
      <c r="C4" s="130">
        <f>IF(SER_hh_fech!C4=0,0,SER_hh_fech!C4/SER_summary!C$26)</f>
        <v>31.144093748853226</v>
      </c>
      <c r="D4" s="130">
        <f>IF(SER_hh_fech!D4=0,0,SER_hh_fech!D4/SER_summary!D$26)</f>
        <v>35.483760230602059</v>
      </c>
      <c r="E4" s="130">
        <f>IF(SER_hh_fech!E4=0,0,SER_hh_fech!E4/SER_summary!E$26)</f>
        <v>35.627270194496766</v>
      </c>
      <c r="F4" s="130">
        <f>IF(SER_hh_fech!F4=0,0,SER_hh_fech!F4/SER_summary!F$26)</f>
        <v>36.1684030772374</v>
      </c>
      <c r="G4" s="130">
        <f>IF(SER_hh_fech!G4=0,0,SER_hh_fech!G4/SER_summary!G$26)</f>
        <v>38.130668000025935</v>
      </c>
      <c r="H4" s="130">
        <f>IF(SER_hh_fech!H4=0,0,SER_hh_fech!H4/SER_summary!H$26)</f>
        <v>52.670483528383279</v>
      </c>
      <c r="I4" s="130">
        <f>IF(SER_hh_fech!I4=0,0,SER_hh_fech!I4/SER_summary!I$26)</f>
        <v>53.586505991645517</v>
      </c>
      <c r="J4" s="130">
        <f>IF(SER_hh_fech!J4=0,0,SER_hh_fech!J4/SER_summary!J$26)</f>
        <v>63.792460729094877</v>
      </c>
      <c r="K4" s="130">
        <f>IF(SER_hh_fech!K4=0,0,SER_hh_fech!K4/SER_summary!K$26)</f>
        <v>61.377728129869844</v>
      </c>
      <c r="L4" s="130">
        <f>IF(SER_hh_fech!L4=0,0,SER_hh_fech!L4/SER_summary!L$26)</f>
        <v>64.108648198330258</v>
      </c>
      <c r="M4" s="130">
        <f>IF(SER_hh_fech!M4=0,0,SER_hh_fech!M4/SER_summary!M$26)</f>
        <v>59.035491178304639</v>
      </c>
      <c r="N4" s="130">
        <f>IF(SER_hh_fech!N4=0,0,SER_hh_fech!N4/SER_summary!N$26)</f>
        <v>39.289178221414275</v>
      </c>
      <c r="O4" s="130">
        <f>IF(SER_hh_fech!O4=0,0,SER_hh_fech!O4/SER_summary!O$26)</f>
        <v>30.985510194307338</v>
      </c>
      <c r="P4" s="130">
        <f>IF(SER_hh_fech!P4=0,0,SER_hh_fech!P4/SER_summary!P$26)</f>
        <v>34.619186510352975</v>
      </c>
      <c r="Q4" s="130">
        <f>IF(SER_hh_fech!Q4=0,0,SER_hh_fech!Q4/SER_summary!Q$26)</f>
        <v>35.507885767005234</v>
      </c>
      <c r="R4" s="130">
        <f>IF(SER_hh_fech!R4=0,0,SER_hh_fech!R4/SER_summary!R$26)</f>
        <v>40.990872010599091</v>
      </c>
      <c r="S4" s="130">
        <f>IF(SER_hh_fech!S4=0,0,SER_hh_fech!S4/SER_summary!S$26)</f>
        <v>47.37853703538444</v>
      </c>
      <c r="T4" s="130">
        <f>IF(SER_hh_fech!T4=0,0,SER_hh_fech!T4/SER_summary!T$26)</f>
        <v>45.637658698927751</v>
      </c>
      <c r="U4" s="130">
        <f>IF(SER_hh_fech!U4=0,0,SER_hh_fech!U4/SER_summary!U$26)</f>
        <v>53.62407944610581</v>
      </c>
      <c r="V4" s="130">
        <f>IF(SER_hh_fech!V4=0,0,SER_hh_fech!V4/SER_summary!V$26)</f>
        <v>34.793758867900443</v>
      </c>
      <c r="W4" s="130">
        <f>IF(SER_hh_fech!W4=0,0,SER_hh_fech!W4/SER_summary!W$26)</f>
        <v>46.161497998675515</v>
      </c>
      <c r="X4" s="130">
        <f>IF(SER_hh_fech!X4=0,0,SER_hh_fech!X4/SER_summary!X$26)</f>
        <v>58.352825166653453</v>
      </c>
      <c r="Y4" s="130">
        <f>IF(SER_hh_fech!Y4=0,0,SER_hh_fech!Y4/SER_summary!Y$26)</f>
        <v>56.74150125307424</v>
      </c>
      <c r="DA4" s="155" t="s">
        <v>478</v>
      </c>
    </row>
    <row r="5" spans="1:105" ht="12" customHeight="1" x14ac:dyDescent="0.25">
      <c r="A5" s="131" t="s">
        <v>29</v>
      </c>
      <c r="B5" s="132">
        <f>IF(SER_hh_fech!B5=0,0,SER_hh_fech!B5/SER_summary!B$26)</f>
        <v>0</v>
      </c>
      <c r="C5" s="132">
        <f>IF(SER_hh_fech!C5=0,0,SER_hh_fech!C5/SER_summary!C$26)</f>
        <v>0</v>
      </c>
      <c r="D5" s="132">
        <f>IF(SER_hh_fech!D5=0,0,SER_hh_fech!D5/SER_summary!D$26)</f>
        <v>0</v>
      </c>
      <c r="E5" s="132">
        <f>IF(SER_hh_fech!E5=0,0,SER_hh_fech!E5/SER_summary!E$26)</f>
        <v>0</v>
      </c>
      <c r="F5" s="132">
        <f>IF(SER_hh_fech!F5=0,0,SER_hh_fech!F5/SER_summary!F$26)</f>
        <v>0</v>
      </c>
      <c r="G5" s="132">
        <f>IF(SER_hh_fech!G5=0,0,SER_hh_fech!G5/SER_summary!G$26)</f>
        <v>0</v>
      </c>
      <c r="H5" s="132">
        <f>IF(SER_hh_fech!H5=0,0,SER_hh_fech!H5/SER_summary!H$26)</f>
        <v>0</v>
      </c>
      <c r="I5" s="132">
        <f>IF(SER_hh_fech!I5=0,0,SER_hh_fech!I5/SER_summary!I$26)</f>
        <v>0</v>
      </c>
      <c r="J5" s="132">
        <f>IF(SER_hh_fech!J5=0,0,SER_hh_fech!J5/SER_summary!J$26)</f>
        <v>0</v>
      </c>
      <c r="K5" s="132">
        <f>IF(SER_hh_fech!K5=0,0,SER_hh_fech!K5/SER_summary!K$26)</f>
        <v>0</v>
      </c>
      <c r="L5" s="132">
        <f>IF(SER_hh_fech!L5=0,0,SER_hh_fech!L5/SER_summary!L$26)</f>
        <v>0</v>
      </c>
      <c r="M5" s="132">
        <f>IF(SER_hh_fech!M5=0,0,SER_hh_fech!M5/SER_summary!M$26)</f>
        <v>0</v>
      </c>
      <c r="N5" s="132">
        <f>IF(SER_hh_fech!N5=0,0,SER_hh_fech!N5/SER_summary!N$26)</f>
        <v>0</v>
      </c>
      <c r="O5" s="132">
        <f>IF(SER_hh_fech!O5=0,0,SER_hh_fech!O5/SER_summary!O$26)</f>
        <v>0</v>
      </c>
      <c r="P5" s="132">
        <f>IF(SER_hh_fech!P5=0,0,SER_hh_fech!P5/SER_summary!P$26)</f>
        <v>0</v>
      </c>
      <c r="Q5" s="132">
        <f>IF(SER_hh_fech!Q5=0,0,SER_hh_fech!Q5/SER_summary!Q$26)</f>
        <v>0</v>
      </c>
      <c r="R5" s="132">
        <f>IF(SER_hh_fech!R5=0,0,SER_hh_fech!R5/SER_summary!R$26)</f>
        <v>0</v>
      </c>
      <c r="S5" s="132">
        <f>IF(SER_hh_fech!S5=0,0,SER_hh_fech!S5/SER_summary!S$26)</f>
        <v>0</v>
      </c>
      <c r="T5" s="132">
        <f>IF(SER_hh_fech!T5=0,0,SER_hh_fech!T5/SER_summary!T$26)</f>
        <v>0</v>
      </c>
      <c r="U5" s="132">
        <f>IF(SER_hh_fech!U5=0,0,SER_hh_fech!U5/SER_summary!U$26)</f>
        <v>0</v>
      </c>
      <c r="V5" s="132">
        <f>IF(SER_hh_fech!V5=0,0,SER_hh_fech!V5/SER_summary!V$26)</f>
        <v>0</v>
      </c>
      <c r="W5" s="132">
        <f>IF(SER_hh_fech!W5=0,0,SER_hh_fech!W5/SER_summary!W$26)</f>
        <v>0</v>
      </c>
      <c r="X5" s="132">
        <f>IF(SER_hh_fech!X5=0,0,SER_hh_fech!X5/SER_summary!X$26)</f>
        <v>0</v>
      </c>
      <c r="Y5" s="132">
        <f>IF(SER_hh_fech!Y5=0,0,SER_hh_fech!Y5/SER_summary!Y$26)</f>
        <v>0</v>
      </c>
      <c r="DA5" s="156" t="s">
        <v>479</v>
      </c>
    </row>
    <row r="6" spans="1:105" ht="12" customHeight="1" x14ac:dyDescent="0.25">
      <c r="A6" s="131" t="s">
        <v>52</v>
      </c>
      <c r="B6" s="132">
        <f>IF(SER_hh_fech!B6=0,0,SER_hh_fech!B6/SER_summary!B$26)</f>
        <v>0</v>
      </c>
      <c r="C6" s="132">
        <f>IF(SER_hh_fech!C6=0,0,SER_hh_fech!C6/SER_summary!C$26)</f>
        <v>0</v>
      </c>
      <c r="D6" s="132">
        <f>IF(SER_hh_fech!D6=0,0,SER_hh_fech!D6/SER_summary!D$26)</f>
        <v>0</v>
      </c>
      <c r="E6" s="132">
        <f>IF(SER_hh_fech!E6=0,0,SER_hh_fech!E6/SER_summary!E$26)</f>
        <v>0</v>
      </c>
      <c r="F6" s="132">
        <f>IF(SER_hh_fech!F6=0,0,SER_hh_fech!F6/SER_summary!F$26)</f>
        <v>0</v>
      </c>
      <c r="G6" s="132">
        <f>IF(SER_hh_fech!G6=0,0,SER_hh_fech!G6/SER_summary!G$26)</f>
        <v>0</v>
      </c>
      <c r="H6" s="132">
        <f>IF(SER_hh_fech!H6=0,0,SER_hh_fech!H6/SER_summary!H$26)</f>
        <v>0</v>
      </c>
      <c r="I6" s="132">
        <f>IF(SER_hh_fech!I6=0,0,SER_hh_fech!I6/SER_summary!I$26)</f>
        <v>0</v>
      </c>
      <c r="J6" s="132">
        <f>IF(SER_hh_fech!J6=0,0,SER_hh_fech!J6/SER_summary!J$26)</f>
        <v>0</v>
      </c>
      <c r="K6" s="132">
        <f>IF(SER_hh_fech!K6=0,0,SER_hh_fech!K6/SER_summary!K$26)</f>
        <v>0</v>
      </c>
      <c r="L6" s="132">
        <f>IF(SER_hh_fech!L6=0,0,SER_hh_fech!L6/SER_summary!L$26)</f>
        <v>0</v>
      </c>
      <c r="M6" s="132">
        <f>IF(SER_hh_fech!M6=0,0,SER_hh_fech!M6/SER_summary!M$26)</f>
        <v>0</v>
      </c>
      <c r="N6" s="132">
        <f>IF(SER_hh_fech!N6=0,0,SER_hh_fech!N6/SER_summary!N$26)</f>
        <v>0</v>
      </c>
      <c r="O6" s="132">
        <f>IF(SER_hh_fech!O6=0,0,SER_hh_fech!O6/SER_summary!O$26)</f>
        <v>0</v>
      </c>
      <c r="P6" s="132">
        <f>IF(SER_hh_fech!P6=0,0,SER_hh_fech!P6/SER_summary!P$26)</f>
        <v>0</v>
      </c>
      <c r="Q6" s="132">
        <f>IF(SER_hh_fech!Q6=0,0,SER_hh_fech!Q6/SER_summary!Q$26)</f>
        <v>0</v>
      </c>
      <c r="R6" s="132">
        <f>IF(SER_hh_fech!R6=0,0,SER_hh_fech!R6/SER_summary!R$26)</f>
        <v>0</v>
      </c>
      <c r="S6" s="132">
        <f>IF(SER_hh_fech!S6=0,0,SER_hh_fech!S6/SER_summary!S$26)</f>
        <v>0</v>
      </c>
      <c r="T6" s="132">
        <f>IF(SER_hh_fech!T6=0,0,SER_hh_fech!T6/SER_summary!T$26)</f>
        <v>0</v>
      </c>
      <c r="U6" s="132">
        <f>IF(SER_hh_fech!U6=0,0,SER_hh_fech!U6/SER_summary!U$26)</f>
        <v>0</v>
      </c>
      <c r="V6" s="132">
        <f>IF(SER_hh_fech!V6=0,0,SER_hh_fech!V6/SER_summary!V$26)</f>
        <v>0</v>
      </c>
      <c r="W6" s="132">
        <f>IF(SER_hh_fech!W6=0,0,SER_hh_fech!W6/SER_summary!W$26)</f>
        <v>0</v>
      </c>
      <c r="X6" s="132">
        <f>IF(SER_hh_fech!X6=0,0,SER_hh_fech!X6/SER_summary!X$26)</f>
        <v>0</v>
      </c>
      <c r="Y6" s="132">
        <f>IF(SER_hh_fech!Y6=0,0,SER_hh_fech!Y6/SER_summary!Y$26)</f>
        <v>0</v>
      </c>
      <c r="DA6" s="156" t="s">
        <v>480</v>
      </c>
    </row>
    <row r="7" spans="1:105" ht="12" customHeight="1" x14ac:dyDescent="0.25">
      <c r="A7" s="131" t="s">
        <v>161</v>
      </c>
      <c r="B7" s="132">
        <f>IF(SER_hh_fech!B7=0,0,SER_hh_fech!B7/SER_summary!B$26)</f>
        <v>31.070736682929336</v>
      </c>
      <c r="C7" s="132">
        <f>IF(SER_hh_fech!C7=0,0,SER_hh_fech!C7/SER_summary!C$26)</f>
        <v>36.527203411089594</v>
      </c>
      <c r="D7" s="132">
        <f>IF(SER_hh_fech!D7=0,0,SER_hh_fech!D7/SER_summary!D$26)</f>
        <v>41.320926789440826</v>
      </c>
      <c r="E7" s="132">
        <f>IF(SER_hh_fech!E7=0,0,SER_hh_fech!E7/SER_summary!E$26)</f>
        <v>48.642338105848495</v>
      </c>
      <c r="F7" s="132">
        <f>IF(SER_hh_fech!F7=0,0,SER_hh_fech!F7/SER_summary!F$26)</f>
        <v>50.354471168821014</v>
      </c>
      <c r="G7" s="132">
        <f>IF(SER_hh_fech!G7=0,0,SER_hh_fech!G7/SER_summary!G$26)</f>
        <v>55.1501750780658</v>
      </c>
      <c r="H7" s="132">
        <f>IF(SER_hh_fech!H7=0,0,SER_hh_fech!H7/SER_summary!H$26)</f>
        <v>71.187803248863773</v>
      </c>
      <c r="I7" s="132">
        <f>IF(SER_hh_fech!I7=0,0,SER_hh_fech!I7/SER_summary!I$26)</f>
        <v>77.870798336564746</v>
      </c>
      <c r="J7" s="132">
        <f>IF(SER_hh_fech!J7=0,0,SER_hh_fech!J7/SER_summary!J$26)</f>
        <v>105.14863905018936</v>
      </c>
      <c r="K7" s="132">
        <f>IF(SER_hh_fech!K7=0,0,SER_hh_fech!K7/SER_summary!K$26)</f>
        <v>83.785753507301266</v>
      </c>
      <c r="L7" s="132">
        <f>IF(SER_hh_fech!L7=0,0,SER_hh_fech!L7/SER_summary!L$26)</f>
        <v>93.649131344235471</v>
      </c>
      <c r="M7" s="132">
        <f>IF(SER_hh_fech!M7=0,0,SER_hh_fech!M7/SER_summary!M$26)</f>
        <v>87.404629459329229</v>
      </c>
      <c r="N7" s="132">
        <f>IF(SER_hh_fech!N7=0,0,SER_hh_fech!N7/SER_summary!N$26)</f>
        <v>71.144504442435789</v>
      </c>
      <c r="O7" s="132">
        <f>IF(SER_hh_fech!O7=0,0,SER_hh_fech!O7/SER_summary!O$26)</f>
        <v>78.622217896154467</v>
      </c>
      <c r="P7" s="132">
        <f>IF(SER_hh_fech!P7=0,0,SER_hh_fech!P7/SER_summary!P$26)</f>
        <v>83.171900369946357</v>
      </c>
      <c r="Q7" s="132">
        <f>IF(SER_hh_fech!Q7=0,0,SER_hh_fech!Q7/SER_summary!Q$26)</f>
        <v>80.859254818004814</v>
      </c>
      <c r="R7" s="132">
        <f>IF(SER_hh_fech!R7=0,0,SER_hh_fech!R7/SER_summary!R$26)</f>
        <v>85.699495711369408</v>
      </c>
      <c r="S7" s="132">
        <f>IF(SER_hh_fech!S7=0,0,SER_hh_fech!S7/SER_summary!S$26)</f>
        <v>104.33132073261199</v>
      </c>
      <c r="T7" s="132">
        <f>IF(SER_hh_fech!T7=0,0,SER_hh_fech!T7/SER_summary!T$26)</f>
        <v>96.422116526528768</v>
      </c>
      <c r="U7" s="132">
        <f>IF(SER_hh_fech!U7=0,0,SER_hh_fech!U7/SER_summary!U$26)</f>
        <v>115.05447077306071</v>
      </c>
      <c r="V7" s="132">
        <f>IF(SER_hh_fech!V7=0,0,SER_hh_fech!V7/SER_summary!V$26)</f>
        <v>90.42435251556148</v>
      </c>
      <c r="W7" s="132">
        <f>IF(SER_hh_fech!W7=0,0,SER_hh_fech!W7/SER_summary!W$26)</f>
        <v>101.29978561359268</v>
      </c>
      <c r="X7" s="132">
        <f>IF(SER_hh_fech!X7=0,0,SER_hh_fech!X7/SER_summary!X$26)</f>
        <v>114.60993014838679</v>
      </c>
      <c r="Y7" s="132">
        <f>IF(SER_hh_fech!Y7=0,0,SER_hh_fech!Y7/SER_summary!Y$26)</f>
        <v>116.12368809766446</v>
      </c>
      <c r="DA7" s="156" t="s">
        <v>481</v>
      </c>
    </row>
    <row r="8" spans="1:105" ht="12" customHeight="1" x14ac:dyDescent="0.25">
      <c r="A8" s="131" t="s">
        <v>73</v>
      </c>
      <c r="B8" s="132">
        <f>IF(SER_hh_fech!B8=0,0,SER_hh_fech!B8/SER_summary!B$26)</f>
        <v>0</v>
      </c>
      <c r="C8" s="132">
        <f>IF(SER_hh_fech!C8=0,0,SER_hh_fech!C8/SER_summary!C$26)</f>
        <v>0</v>
      </c>
      <c r="D8" s="132">
        <f>IF(SER_hh_fech!D8=0,0,SER_hh_fech!D8/SER_summary!D$26)</f>
        <v>0</v>
      </c>
      <c r="E8" s="132">
        <f>IF(SER_hh_fech!E8=0,0,SER_hh_fech!E8/SER_summary!E$26)</f>
        <v>0</v>
      </c>
      <c r="F8" s="132">
        <f>IF(SER_hh_fech!F8=0,0,SER_hh_fech!F8/SER_summary!F$26)</f>
        <v>0</v>
      </c>
      <c r="G8" s="132">
        <f>IF(SER_hh_fech!G8=0,0,SER_hh_fech!G8/SER_summary!G$26)</f>
        <v>0</v>
      </c>
      <c r="H8" s="132">
        <f>IF(SER_hh_fech!H8=0,0,SER_hh_fech!H8/SER_summary!H$26)</f>
        <v>0</v>
      </c>
      <c r="I8" s="132">
        <f>IF(SER_hh_fech!I8=0,0,SER_hh_fech!I8/SER_summary!I$26)</f>
        <v>0</v>
      </c>
      <c r="J8" s="132">
        <f>IF(SER_hh_fech!J8=0,0,SER_hh_fech!J8/SER_summary!J$26)</f>
        <v>0</v>
      </c>
      <c r="K8" s="132">
        <f>IF(SER_hh_fech!K8=0,0,SER_hh_fech!K8/SER_summary!K$26)</f>
        <v>0</v>
      </c>
      <c r="L8" s="132">
        <f>IF(SER_hh_fech!L8=0,0,SER_hh_fech!L8/SER_summary!L$26)</f>
        <v>0</v>
      </c>
      <c r="M8" s="132">
        <f>IF(SER_hh_fech!M8=0,0,SER_hh_fech!M8/SER_summary!M$26)</f>
        <v>0</v>
      </c>
      <c r="N8" s="132">
        <f>IF(SER_hh_fech!N8=0,0,SER_hh_fech!N8/SER_summary!N$26)</f>
        <v>0</v>
      </c>
      <c r="O8" s="132">
        <f>IF(SER_hh_fech!O8=0,0,SER_hh_fech!O8/SER_summary!O$26)</f>
        <v>0</v>
      </c>
      <c r="P8" s="132">
        <f>IF(SER_hh_fech!P8=0,0,SER_hh_fech!P8/SER_summary!P$26)</f>
        <v>0</v>
      </c>
      <c r="Q8" s="132">
        <f>IF(SER_hh_fech!Q8=0,0,SER_hh_fech!Q8/SER_summary!Q$26)</f>
        <v>0</v>
      </c>
      <c r="R8" s="132">
        <f>IF(SER_hh_fech!R8=0,0,SER_hh_fech!R8/SER_summary!R$26)</f>
        <v>0</v>
      </c>
      <c r="S8" s="132">
        <f>IF(SER_hh_fech!S8=0,0,SER_hh_fech!S8/SER_summary!S$26)</f>
        <v>0</v>
      </c>
      <c r="T8" s="132">
        <f>IF(SER_hh_fech!T8=0,0,SER_hh_fech!T8/SER_summary!T$26)</f>
        <v>0</v>
      </c>
      <c r="U8" s="132">
        <f>IF(SER_hh_fech!U8=0,0,SER_hh_fech!U8/SER_summary!U$26)</f>
        <v>0</v>
      </c>
      <c r="V8" s="132">
        <f>IF(SER_hh_fech!V8=0,0,SER_hh_fech!V8/SER_summary!V$26)</f>
        <v>0</v>
      </c>
      <c r="W8" s="132">
        <f>IF(SER_hh_fech!W8=0,0,SER_hh_fech!W8/SER_summary!W$26)</f>
        <v>0</v>
      </c>
      <c r="X8" s="132">
        <f>IF(SER_hh_fech!X8=0,0,SER_hh_fech!X8/SER_summary!X$26)</f>
        <v>0</v>
      </c>
      <c r="Y8" s="132">
        <f>IF(SER_hh_fech!Y8=0,0,SER_hh_fech!Y8/SER_summary!Y$26)</f>
        <v>0</v>
      </c>
      <c r="DA8" s="156" t="s">
        <v>482</v>
      </c>
    </row>
    <row r="9" spans="1:105" ht="12" customHeight="1" x14ac:dyDescent="0.25">
      <c r="A9" s="131" t="s">
        <v>78</v>
      </c>
      <c r="B9" s="132">
        <f>IF(SER_hh_fech!B9=0,0,SER_hh_fech!B9/SER_summary!B$26)</f>
        <v>0</v>
      </c>
      <c r="C9" s="132">
        <f>IF(SER_hh_fech!C9=0,0,SER_hh_fech!C9/SER_summary!C$26)</f>
        <v>0</v>
      </c>
      <c r="D9" s="132">
        <f>IF(SER_hh_fech!D9=0,0,SER_hh_fech!D9/SER_summary!D$26)</f>
        <v>0</v>
      </c>
      <c r="E9" s="132">
        <f>IF(SER_hh_fech!E9=0,0,SER_hh_fech!E9/SER_summary!E$26)</f>
        <v>0</v>
      </c>
      <c r="F9" s="132">
        <f>IF(SER_hh_fech!F9=0,0,SER_hh_fech!F9/SER_summary!F$26)</f>
        <v>0</v>
      </c>
      <c r="G9" s="132">
        <f>IF(SER_hh_fech!G9=0,0,SER_hh_fech!G9/SER_summary!G$26)</f>
        <v>0</v>
      </c>
      <c r="H9" s="132">
        <f>IF(SER_hh_fech!H9=0,0,SER_hh_fech!H9/SER_summary!H$26)</f>
        <v>0</v>
      </c>
      <c r="I9" s="132">
        <f>IF(SER_hh_fech!I9=0,0,SER_hh_fech!I9/SER_summary!I$26)</f>
        <v>0</v>
      </c>
      <c r="J9" s="132">
        <f>IF(SER_hh_fech!J9=0,0,SER_hh_fech!J9/SER_summary!J$26)</f>
        <v>0</v>
      </c>
      <c r="K9" s="132">
        <f>IF(SER_hh_fech!K9=0,0,SER_hh_fech!K9/SER_summary!K$26)</f>
        <v>73.706354651232132</v>
      </c>
      <c r="L9" s="132">
        <f>IF(SER_hh_fech!L9=0,0,SER_hh_fech!L9/SER_summary!L$26)</f>
        <v>61.118878261293744</v>
      </c>
      <c r="M9" s="132">
        <f>IF(SER_hh_fech!M9=0,0,SER_hh_fech!M9/SER_summary!M$26)</f>
        <v>50.139640111263901</v>
      </c>
      <c r="N9" s="132">
        <f>IF(SER_hh_fech!N9=0,0,SER_hh_fech!N9/SER_summary!N$26)</f>
        <v>47.926384254042759</v>
      </c>
      <c r="O9" s="132">
        <f>IF(SER_hh_fech!O9=0,0,SER_hh_fech!O9/SER_summary!O$26)</f>
        <v>49.40947057489025</v>
      </c>
      <c r="P9" s="132">
        <f>IF(SER_hh_fech!P9=0,0,SER_hh_fech!P9/SER_summary!P$26)</f>
        <v>53.568010492463422</v>
      </c>
      <c r="Q9" s="132">
        <f>IF(SER_hh_fech!Q9=0,0,SER_hh_fech!Q9/SER_summary!Q$26)</f>
        <v>53.087046913807654</v>
      </c>
      <c r="R9" s="132">
        <f>IF(SER_hh_fech!R9=0,0,SER_hh_fech!R9/SER_summary!R$26)</f>
        <v>55.104994089271869</v>
      </c>
      <c r="S9" s="132">
        <f>IF(SER_hh_fech!S9=0,0,SER_hh_fech!S9/SER_summary!S$26)</f>
        <v>42.523817568340675</v>
      </c>
      <c r="T9" s="132">
        <f>IF(SER_hh_fech!T9=0,0,SER_hh_fech!T9/SER_summary!T$26)</f>
        <v>85.773345202656913</v>
      </c>
      <c r="U9" s="132">
        <f>IF(SER_hh_fech!U9=0,0,SER_hh_fech!U9/SER_summary!U$26)</f>
        <v>96.25027844789409</v>
      </c>
      <c r="V9" s="132">
        <f>IF(SER_hh_fech!V9=0,0,SER_hh_fech!V9/SER_summary!V$26)</f>
        <v>35.203351486507088</v>
      </c>
      <c r="W9" s="132">
        <f>IF(SER_hh_fech!W9=0,0,SER_hh_fech!W9/SER_summary!W$26)</f>
        <v>39.624029868993858</v>
      </c>
      <c r="X9" s="132">
        <f>IF(SER_hh_fech!X9=0,0,SER_hh_fech!X9/SER_summary!X$26)</f>
        <v>46.301017626329035</v>
      </c>
      <c r="Y9" s="132">
        <f>IF(SER_hh_fech!Y9=0,0,SER_hh_fech!Y9/SER_summary!Y$26)</f>
        <v>65.260255205923187</v>
      </c>
      <c r="DA9" s="156" t="s">
        <v>483</v>
      </c>
    </row>
    <row r="10" spans="1:105" ht="12" customHeight="1" x14ac:dyDescent="0.25">
      <c r="A10" s="131" t="s">
        <v>128</v>
      </c>
      <c r="B10" s="132">
        <f>IF(SER_hh_fech!B10=0,0,SER_hh_fech!B10/SER_summary!B$26)</f>
        <v>0</v>
      </c>
      <c r="C10" s="132">
        <f>IF(SER_hh_fech!C10=0,0,SER_hh_fech!C10/SER_summary!C$26)</f>
        <v>0</v>
      </c>
      <c r="D10" s="132">
        <f>IF(SER_hh_fech!D10=0,0,SER_hh_fech!D10/SER_summary!D$26)</f>
        <v>0</v>
      </c>
      <c r="E10" s="132">
        <f>IF(SER_hh_fech!E10=0,0,SER_hh_fech!E10/SER_summary!E$26)</f>
        <v>0</v>
      </c>
      <c r="F10" s="132">
        <f>IF(SER_hh_fech!F10=0,0,SER_hh_fech!F10/SER_summary!F$26)</f>
        <v>0</v>
      </c>
      <c r="G10" s="132">
        <f>IF(SER_hh_fech!G10=0,0,SER_hh_fech!G10/SER_summary!G$26)</f>
        <v>0</v>
      </c>
      <c r="H10" s="132">
        <f>IF(SER_hh_fech!H10=0,0,SER_hh_fech!H10/SER_summary!H$26)</f>
        <v>0</v>
      </c>
      <c r="I10" s="132">
        <f>IF(SER_hh_fech!I10=0,0,SER_hh_fech!I10/SER_summary!I$26)</f>
        <v>44.56479011400409</v>
      </c>
      <c r="J10" s="132">
        <f>IF(SER_hh_fech!J10=0,0,SER_hh_fech!J10/SER_summary!J$26)</f>
        <v>117.24814737715823</v>
      </c>
      <c r="K10" s="132">
        <f>IF(SER_hh_fech!K10=0,0,SER_hh_fech!K10/SER_summary!K$26)</f>
        <v>137.0295941570908</v>
      </c>
      <c r="L10" s="132">
        <f>IF(SER_hh_fech!L10=0,0,SER_hh_fech!L10/SER_summary!L$26)</f>
        <v>39.681439197273818</v>
      </c>
      <c r="M10" s="132">
        <f>IF(SER_hh_fech!M10=0,0,SER_hh_fech!M10/SER_summary!M$26)</f>
        <v>68.08040311180774</v>
      </c>
      <c r="N10" s="132">
        <f>IF(SER_hh_fech!N10=0,0,SER_hh_fech!N10/SER_summary!N$26)</f>
        <v>88.141627839076449</v>
      </c>
      <c r="O10" s="132">
        <f>IF(SER_hh_fech!O10=0,0,SER_hh_fech!O10/SER_summary!O$26)</f>
        <v>68.862053296357828</v>
      </c>
      <c r="P10" s="132">
        <f>IF(SER_hh_fech!P10=0,0,SER_hh_fech!P10/SER_summary!P$26)</f>
        <v>55.45871471277826</v>
      </c>
      <c r="Q10" s="132">
        <f>IF(SER_hh_fech!Q10=0,0,SER_hh_fech!Q10/SER_summary!Q$26)</f>
        <v>117.17468599323584</v>
      </c>
      <c r="R10" s="132">
        <f>IF(SER_hh_fech!R10=0,0,SER_hh_fech!R10/SER_summary!R$26)</f>
        <v>88.618876790060256</v>
      </c>
      <c r="S10" s="132">
        <f>IF(SER_hh_fech!S10=0,0,SER_hh_fech!S10/SER_summary!S$26)</f>
        <v>127.3143087096182</v>
      </c>
      <c r="T10" s="132">
        <f>IF(SER_hh_fech!T10=0,0,SER_hh_fech!T10/SER_summary!T$26)</f>
        <v>95.506141982350826</v>
      </c>
      <c r="U10" s="132">
        <f>IF(SER_hh_fech!U10=0,0,SER_hh_fech!U10/SER_summary!U$26)</f>
        <v>62.14991115590356</v>
      </c>
      <c r="V10" s="132">
        <f>IF(SER_hh_fech!V10=0,0,SER_hh_fech!V10/SER_summary!V$26)</f>
        <v>54.617414783205973</v>
      </c>
      <c r="W10" s="132">
        <f>IF(SER_hh_fech!W10=0,0,SER_hh_fech!W10/SER_summary!W$26)</f>
        <v>148.74812605685671</v>
      </c>
      <c r="X10" s="132">
        <f>IF(SER_hh_fech!X10=0,0,SER_hh_fech!X10/SER_summary!X$26)</f>
        <v>154.57743429061281</v>
      </c>
      <c r="Y10" s="132">
        <f>IF(SER_hh_fech!Y10=0,0,SER_hh_fech!Y10/SER_summary!Y$26)</f>
        <v>95.839948505816693</v>
      </c>
      <c r="DA10" s="156" t="s">
        <v>484</v>
      </c>
    </row>
    <row r="11" spans="1:105" ht="12" customHeight="1" x14ac:dyDescent="0.25">
      <c r="A11" s="131" t="s">
        <v>25</v>
      </c>
      <c r="B11" s="132">
        <f>IF(SER_hh_fech!B11=0,0,SER_hh_fech!B11/SER_summary!B$26)</f>
        <v>0</v>
      </c>
      <c r="C11" s="132">
        <f>IF(SER_hh_fech!C11=0,0,SER_hh_fech!C11/SER_summary!C$26)</f>
        <v>0</v>
      </c>
      <c r="D11" s="132">
        <f>IF(SER_hh_fech!D11=0,0,SER_hh_fech!D11/SER_summary!D$26)</f>
        <v>0</v>
      </c>
      <c r="E11" s="132">
        <f>IF(SER_hh_fech!E11=0,0,SER_hh_fech!E11/SER_summary!E$26)</f>
        <v>0</v>
      </c>
      <c r="F11" s="132">
        <f>IF(SER_hh_fech!F11=0,0,SER_hh_fech!F11/SER_summary!F$26)</f>
        <v>0</v>
      </c>
      <c r="G11" s="132">
        <f>IF(SER_hh_fech!G11=0,0,SER_hh_fech!G11/SER_summary!G$26)</f>
        <v>0</v>
      </c>
      <c r="H11" s="132">
        <f>IF(SER_hh_fech!H11=0,0,SER_hh_fech!H11/SER_summary!H$26)</f>
        <v>0</v>
      </c>
      <c r="I11" s="132">
        <f>IF(SER_hh_fech!I11=0,0,SER_hh_fech!I11/SER_summary!I$26)</f>
        <v>0</v>
      </c>
      <c r="J11" s="132">
        <f>IF(SER_hh_fech!J11=0,0,SER_hh_fech!J11/SER_summary!J$26)</f>
        <v>0</v>
      </c>
      <c r="K11" s="132">
        <f>IF(SER_hh_fech!K11=0,0,SER_hh_fech!K11/SER_summary!K$26)</f>
        <v>0</v>
      </c>
      <c r="L11" s="132">
        <f>IF(SER_hh_fech!L11=0,0,SER_hh_fech!L11/SER_summary!L$26)</f>
        <v>0</v>
      </c>
      <c r="M11" s="132">
        <f>IF(SER_hh_fech!M11=0,0,SER_hh_fech!M11/SER_summary!M$26)</f>
        <v>0</v>
      </c>
      <c r="N11" s="132">
        <f>IF(SER_hh_fech!N11=0,0,SER_hh_fech!N11/SER_summary!N$26)</f>
        <v>0</v>
      </c>
      <c r="O11" s="132">
        <f>IF(SER_hh_fech!O11=0,0,SER_hh_fech!O11/SER_summary!O$26)</f>
        <v>0</v>
      </c>
      <c r="P11" s="132">
        <f>IF(SER_hh_fech!P11=0,0,SER_hh_fech!P11/SER_summary!P$26)</f>
        <v>0</v>
      </c>
      <c r="Q11" s="132">
        <f>IF(SER_hh_fech!Q11=0,0,SER_hh_fech!Q11/SER_summary!Q$26)</f>
        <v>0</v>
      </c>
      <c r="R11" s="132">
        <f>IF(SER_hh_fech!R11=0,0,SER_hh_fech!R11/SER_summary!R$26)</f>
        <v>0</v>
      </c>
      <c r="S11" s="132">
        <f>IF(SER_hh_fech!S11=0,0,SER_hh_fech!S11/SER_summary!S$26)</f>
        <v>0</v>
      </c>
      <c r="T11" s="132">
        <f>IF(SER_hh_fech!T11=0,0,SER_hh_fech!T11/SER_summary!T$26)</f>
        <v>0</v>
      </c>
      <c r="U11" s="132">
        <f>IF(SER_hh_fech!U11=0,0,SER_hh_fech!U11/SER_summary!U$26)</f>
        <v>0</v>
      </c>
      <c r="V11" s="132">
        <f>IF(SER_hh_fech!V11=0,0,SER_hh_fech!V11/SER_summary!V$26)</f>
        <v>0</v>
      </c>
      <c r="W11" s="132">
        <f>IF(SER_hh_fech!W11=0,0,SER_hh_fech!W11/SER_summary!W$26)</f>
        <v>0</v>
      </c>
      <c r="X11" s="132">
        <f>IF(SER_hh_fech!X11=0,0,SER_hh_fech!X11/SER_summary!X$26)</f>
        <v>0</v>
      </c>
      <c r="Y11" s="132">
        <f>IF(SER_hh_fech!Y11=0,0,SER_hh_fech!Y11/SER_summary!Y$26)</f>
        <v>0</v>
      </c>
      <c r="DA11" s="156" t="s">
        <v>485</v>
      </c>
    </row>
    <row r="12" spans="1:105" ht="12" customHeight="1" x14ac:dyDescent="0.25">
      <c r="A12" s="131" t="s">
        <v>162</v>
      </c>
      <c r="B12" s="132">
        <f>IF(SER_hh_fech!B12=0,0,SER_hh_fech!B12/SER_summary!B$26)</f>
        <v>0</v>
      </c>
      <c r="C12" s="132">
        <f>IF(SER_hh_fech!C12=0,0,SER_hh_fech!C12/SER_summary!C$26)</f>
        <v>0</v>
      </c>
      <c r="D12" s="132">
        <f>IF(SER_hh_fech!D12=0,0,SER_hh_fech!D12/SER_summary!D$26)</f>
        <v>0</v>
      </c>
      <c r="E12" s="132">
        <f>IF(SER_hh_fech!E12=0,0,SER_hh_fech!E12/SER_summary!E$26)</f>
        <v>0</v>
      </c>
      <c r="F12" s="132">
        <f>IF(SER_hh_fech!F12=0,0,SER_hh_fech!F12/SER_summary!F$26)</f>
        <v>0</v>
      </c>
      <c r="G12" s="132">
        <f>IF(SER_hh_fech!G12=0,0,SER_hh_fech!G12/SER_summary!G$26)</f>
        <v>0</v>
      </c>
      <c r="H12" s="132">
        <f>IF(SER_hh_fech!H12=0,0,SER_hh_fech!H12/SER_summary!H$26)</f>
        <v>0</v>
      </c>
      <c r="I12" s="132">
        <f>IF(SER_hh_fech!I12=0,0,SER_hh_fech!I12/SER_summary!I$26)</f>
        <v>0</v>
      </c>
      <c r="J12" s="132">
        <f>IF(SER_hh_fech!J12=0,0,SER_hh_fech!J12/SER_summary!J$26)</f>
        <v>0</v>
      </c>
      <c r="K12" s="132">
        <f>IF(SER_hh_fech!K12=0,0,SER_hh_fech!K12/SER_summary!K$26)</f>
        <v>0</v>
      </c>
      <c r="L12" s="132">
        <f>IF(SER_hh_fech!L12=0,0,SER_hh_fech!L12/SER_summary!L$26)</f>
        <v>0</v>
      </c>
      <c r="M12" s="132">
        <f>IF(SER_hh_fech!M12=0,0,SER_hh_fech!M12/SER_summary!M$26)</f>
        <v>0</v>
      </c>
      <c r="N12" s="132">
        <f>IF(SER_hh_fech!N12=0,0,SER_hh_fech!N12/SER_summary!N$26)</f>
        <v>0</v>
      </c>
      <c r="O12" s="132">
        <f>IF(SER_hh_fech!O12=0,0,SER_hh_fech!O12/SER_summary!O$26)</f>
        <v>0</v>
      </c>
      <c r="P12" s="132">
        <f>IF(SER_hh_fech!P12=0,0,SER_hh_fech!P12/SER_summary!P$26)</f>
        <v>0</v>
      </c>
      <c r="Q12" s="132">
        <f>IF(SER_hh_fech!Q12=0,0,SER_hh_fech!Q12/SER_summary!Q$26)</f>
        <v>0</v>
      </c>
      <c r="R12" s="132">
        <f>IF(SER_hh_fech!R12=0,0,SER_hh_fech!R12/SER_summary!R$26)</f>
        <v>0</v>
      </c>
      <c r="S12" s="132">
        <f>IF(SER_hh_fech!S12=0,0,SER_hh_fech!S12/SER_summary!S$26)</f>
        <v>0</v>
      </c>
      <c r="T12" s="132">
        <f>IF(SER_hh_fech!T12=0,0,SER_hh_fech!T12/SER_summary!T$26)</f>
        <v>0</v>
      </c>
      <c r="U12" s="132">
        <f>IF(SER_hh_fech!U12=0,0,SER_hh_fech!U12/SER_summary!U$26)</f>
        <v>0</v>
      </c>
      <c r="V12" s="132">
        <f>IF(SER_hh_fech!V12=0,0,SER_hh_fech!V12/SER_summary!V$26)</f>
        <v>0</v>
      </c>
      <c r="W12" s="132">
        <f>IF(SER_hh_fech!W12=0,0,SER_hh_fech!W12/SER_summary!W$26)</f>
        <v>0</v>
      </c>
      <c r="X12" s="132">
        <f>IF(SER_hh_fech!X12=0,0,SER_hh_fech!X12/SER_summary!X$26)</f>
        <v>0</v>
      </c>
      <c r="Y12" s="132">
        <f>IF(SER_hh_fech!Y12=0,0,SER_hh_fech!Y12/SER_summary!Y$26)</f>
        <v>0</v>
      </c>
      <c r="DA12" s="156" t="s">
        <v>486</v>
      </c>
    </row>
    <row r="13" spans="1:105" ht="12" customHeight="1" x14ac:dyDescent="0.25">
      <c r="A13" s="131" t="s">
        <v>77</v>
      </c>
      <c r="B13" s="132">
        <f>IF(SER_hh_fech!B13=0,0,SER_hh_fech!B13/SER_summary!B$26)</f>
        <v>5.5169097697704501</v>
      </c>
      <c r="C13" s="132">
        <f>IF(SER_hh_fech!C13=0,0,SER_hh_fech!C13/SER_summary!C$26)</f>
        <v>10.602216582744891</v>
      </c>
      <c r="D13" s="132">
        <f>IF(SER_hh_fech!D13=0,0,SER_hh_fech!D13/SER_summary!D$26)</f>
        <v>10.896474389317548</v>
      </c>
      <c r="E13" s="132">
        <f>IF(SER_hh_fech!E13=0,0,SER_hh_fech!E13/SER_summary!E$26)</f>
        <v>10.78899820667816</v>
      </c>
      <c r="F13" s="132">
        <f>IF(SER_hh_fech!F13=0,0,SER_hh_fech!F13/SER_summary!F$26)</f>
        <v>11.932865564824835</v>
      </c>
      <c r="G13" s="132">
        <f>IF(SER_hh_fech!G13=0,0,SER_hh_fech!G13/SER_summary!G$26)</f>
        <v>13.981986725172611</v>
      </c>
      <c r="H13" s="132">
        <f>IF(SER_hh_fech!H13=0,0,SER_hh_fech!H13/SER_summary!H$26)</f>
        <v>16.112460655281524</v>
      </c>
      <c r="I13" s="132">
        <f>IF(SER_hh_fech!I13=0,0,SER_hh_fech!I13/SER_summary!I$26)</f>
        <v>17.786347829765852</v>
      </c>
      <c r="J13" s="132">
        <f>IF(SER_hh_fech!J13=0,0,SER_hh_fech!J13/SER_summary!J$26)</f>
        <v>18.427291676091155</v>
      </c>
      <c r="K13" s="132">
        <f>IF(SER_hh_fech!K13=0,0,SER_hh_fech!K13/SER_summary!K$26)</f>
        <v>19.664291914000028</v>
      </c>
      <c r="L13" s="132">
        <f>IF(SER_hh_fech!L13=0,0,SER_hh_fech!L13/SER_summary!L$26)</f>
        <v>16.561870340090312</v>
      </c>
      <c r="M13" s="132">
        <f>IF(SER_hh_fech!M13=0,0,SER_hh_fech!M13/SER_summary!M$26)</f>
        <v>13.322429561314307</v>
      </c>
      <c r="N13" s="132">
        <f>IF(SER_hh_fech!N13=0,0,SER_hh_fech!N13/SER_summary!N$26)</f>
        <v>12.489011466532769</v>
      </c>
      <c r="O13" s="132">
        <f>IF(SER_hh_fech!O13=0,0,SER_hh_fech!O13/SER_summary!O$26)</f>
        <v>16.989373095085931</v>
      </c>
      <c r="P13" s="132">
        <f>IF(SER_hh_fech!P13=0,0,SER_hh_fech!P13/SER_summary!P$26)</f>
        <v>15.545863098182577</v>
      </c>
      <c r="Q13" s="132">
        <f>IF(SER_hh_fech!Q13=0,0,SER_hh_fech!Q13/SER_summary!Q$26)</f>
        <v>16.764236889834763</v>
      </c>
      <c r="R13" s="132">
        <f>IF(SER_hh_fech!R13=0,0,SER_hh_fech!R13/SER_summary!R$26)</f>
        <v>16.351951891928156</v>
      </c>
      <c r="S13" s="132">
        <f>IF(SER_hh_fech!S13=0,0,SER_hh_fech!S13/SER_summary!S$26)</f>
        <v>16.247821575758209</v>
      </c>
      <c r="T13" s="132">
        <f>IF(SER_hh_fech!T13=0,0,SER_hh_fech!T13/SER_summary!T$26)</f>
        <v>16.162623624248944</v>
      </c>
      <c r="U13" s="132">
        <f>IF(SER_hh_fech!U13=0,0,SER_hh_fech!U13/SER_summary!U$26)</f>
        <v>16.38042442483761</v>
      </c>
      <c r="V13" s="132">
        <f>IF(SER_hh_fech!V13=0,0,SER_hh_fech!V13/SER_summary!V$26)</f>
        <v>14.885964897439633</v>
      </c>
      <c r="W13" s="132">
        <f>IF(SER_hh_fech!W13=0,0,SER_hh_fech!W13/SER_summary!W$26)</f>
        <v>15.490795051696166</v>
      </c>
      <c r="X13" s="132">
        <f>IF(SER_hh_fech!X13=0,0,SER_hh_fech!X13/SER_summary!X$26)</f>
        <v>16.788720714367845</v>
      </c>
      <c r="Y13" s="132">
        <f>IF(SER_hh_fech!Y13=0,0,SER_hh_fech!Y13/SER_summary!Y$26)</f>
        <v>16.512849998881528</v>
      </c>
      <c r="DA13" s="156" t="s">
        <v>487</v>
      </c>
    </row>
    <row r="14" spans="1:105" ht="12" customHeight="1" x14ac:dyDescent="0.25">
      <c r="A14" s="60" t="s">
        <v>76</v>
      </c>
      <c r="B14" s="65">
        <f>IF(SER_hh_fech!B14=0,0,SER_hh_fech!B14/SER_summary!B$26)</f>
        <v>16.579235357579229</v>
      </c>
      <c r="C14" s="65">
        <f>IF(SER_hh_fech!C14=0,0,SER_hh_fech!C14/SER_summary!C$26)</f>
        <v>26.235762188553593</v>
      </c>
      <c r="D14" s="65">
        <f>IF(SER_hh_fech!D14=0,0,SER_hh_fech!D14/SER_summary!D$26)</f>
        <v>33.60796736048588</v>
      </c>
      <c r="E14" s="65">
        <f>IF(SER_hh_fech!E14=0,0,SER_hh_fech!E14/SER_summary!E$26)</f>
        <v>30.673033226251817</v>
      </c>
      <c r="F14" s="65">
        <f>IF(SER_hh_fech!F14=0,0,SER_hh_fech!F14/SER_summary!F$26)</f>
        <v>33.270979699000733</v>
      </c>
      <c r="G14" s="65">
        <f>IF(SER_hh_fech!G14=0,0,SER_hh_fech!G14/SER_summary!G$26)</f>
        <v>35.9714622167727</v>
      </c>
      <c r="H14" s="65">
        <f>IF(SER_hh_fech!H14=0,0,SER_hh_fech!H14/SER_summary!H$26)</f>
        <v>54.139139250142271</v>
      </c>
      <c r="I14" s="65">
        <f>IF(SER_hh_fech!I14=0,0,SER_hh_fech!I14/SER_summary!I$26)</f>
        <v>53.632210889940758</v>
      </c>
      <c r="J14" s="65">
        <f>IF(SER_hh_fech!J14=0,0,SER_hh_fech!J14/SER_summary!J$26)</f>
        <v>59.520591832690954</v>
      </c>
      <c r="K14" s="65">
        <f>IF(SER_hh_fech!K14=0,0,SER_hh_fech!K14/SER_summary!K$26)</f>
        <v>64.47378015368237</v>
      </c>
      <c r="L14" s="65">
        <f>IF(SER_hh_fech!L14=0,0,SER_hh_fech!L14/SER_summary!L$26)</f>
        <v>70.996079675160857</v>
      </c>
      <c r="M14" s="65">
        <f>IF(SER_hh_fech!M14=0,0,SER_hh_fech!M14/SER_summary!M$26)</f>
        <v>75.370940134656848</v>
      </c>
      <c r="N14" s="65">
        <f>IF(SER_hh_fech!N14=0,0,SER_hh_fech!N14/SER_summary!N$26)</f>
        <v>54.087609945634334</v>
      </c>
      <c r="O14" s="65">
        <f>IF(SER_hh_fech!O14=0,0,SER_hh_fech!O14/SER_summary!O$26)</f>
        <v>18.985382818162119</v>
      </c>
      <c r="P14" s="65">
        <f>IF(SER_hh_fech!P14=0,0,SER_hh_fech!P14/SER_summary!P$26)</f>
        <v>55.136206733741744</v>
      </c>
      <c r="Q14" s="65">
        <f>IF(SER_hh_fech!Q14=0,0,SER_hh_fech!Q14/SER_summary!Q$26)</f>
        <v>59.650298584298056</v>
      </c>
      <c r="R14" s="65">
        <f>IF(SER_hh_fech!R14=0,0,SER_hh_fech!R14/SER_summary!R$26)</f>
        <v>93.183494855866385</v>
      </c>
      <c r="S14" s="65">
        <f>IF(SER_hh_fech!S14=0,0,SER_hh_fech!S14/SER_summary!S$26)</f>
        <v>114.49122334714212</v>
      </c>
      <c r="T14" s="65">
        <f>IF(SER_hh_fech!T14=0,0,SER_hh_fech!T14/SER_summary!T$26)</f>
        <v>116.15240835953095</v>
      </c>
      <c r="U14" s="65">
        <f>IF(SER_hh_fech!U14=0,0,SER_hh_fech!U14/SER_summary!U$26)</f>
        <v>146.57823509394595</v>
      </c>
      <c r="V14" s="65">
        <f>IF(SER_hh_fech!V14=0,0,SER_hh_fech!V14/SER_summary!V$26)</f>
        <v>59.143326010724508</v>
      </c>
      <c r="W14" s="65">
        <f>IF(SER_hh_fech!W14=0,0,SER_hh_fech!W14/SER_summary!W$26)</f>
        <v>93.568639134231674</v>
      </c>
      <c r="X14" s="65">
        <f>IF(SER_hh_fech!X14=0,0,SER_hh_fech!X14/SER_summary!X$26)</f>
        <v>119.69914962238549</v>
      </c>
      <c r="Y14" s="65">
        <f>IF(SER_hh_fech!Y14=0,0,SER_hh_fech!Y14/SER_summary!Y$26)</f>
        <v>111.41217020935859</v>
      </c>
      <c r="DA14" s="109" t="s">
        <v>488</v>
      </c>
    </row>
    <row r="15" spans="1:105" ht="12" customHeight="1" x14ac:dyDescent="0.25">
      <c r="A15" s="133" t="s">
        <v>80</v>
      </c>
      <c r="B15" s="134">
        <f>IF(SER_hh_fech!B15=0,0,SER_hh_fech!B15/SER_summary!B$26)</f>
        <v>0.24113341882418823</v>
      </c>
      <c r="C15" s="134">
        <f>IF(SER_hh_fech!C15=0,0,SER_hh_fech!C15/SER_summary!C$26)</f>
        <v>0.27758598103350274</v>
      </c>
      <c r="D15" s="134">
        <f>IF(SER_hh_fech!D15=0,0,SER_hh_fech!D15/SER_summary!D$26)</f>
        <v>0.30779454900770903</v>
      </c>
      <c r="E15" s="134">
        <f>IF(SER_hh_fech!E15=0,0,SER_hh_fech!E15/SER_summary!E$26)</f>
        <v>0.3555081725741302</v>
      </c>
      <c r="F15" s="134">
        <f>IF(SER_hh_fech!F15=0,0,SER_hh_fech!F15/SER_summary!F$26)</f>
        <v>0.36145311692620019</v>
      </c>
      <c r="G15" s="134">
        <f>IF(SER_hh_fech!G15=0,0,SER_hh_fech!G15/SER_summary!G$26)</f>
        <v>0.38920116375241848</v>
      </c>
      <c r="H15" s="134">
        <f>IF(SER_hh_fech!H15=0,0,SER_hh_fech!H15/SER_summary!H$26)</f>
        <v>0.49440247681476512</v>
      </c>
      <c r="I15" s="134">
        <f>IF(SER_hh_fech!I15=0,0,SER_hh_fech!I15/SER_summary!I$26)</f>
        <v>0.52541459014338376</v>
      </c>
      <c r="J15" s="134">
        <f>IF(SER_hh_fech!J15=0,0,SER_hh_fech!J15/SER_summary!J$26)</f>
        <v>0.71643015243643815</v>
      </c>
      <c r="K15" s="134">
        <f>IF(SER_hh_fech!K15=0,0,SER_hh_fech!K15/SER_summary!K$26)</f>
        <v>0.59439308998629714</v>
      </c>
      <c r="L15" s="134">
        <f>IF(SER_hh_fech!L15=0,0,SER_hh_fech!L15/SER_summary!L$26)</f>
        <v>0.67201303747669794</v>
      </c>
      <c r="M15" s="134">
        <f>IF(SER_hh_fech!M15=0,0,SER_hh_fech!M15/SER_summary!M$26)</f>
        <v>0.66056434105751738</v>
      </c>
      <c r="N15" s="134">
        <f>IF(SER_hh_fech!N15=0,0,SER_hh_fech!N15/SER_summary!N$26)</f>
        <v>0.574164243086698</v>
      </c>
      <c r="O15" s="134">
        <f>IF(SER_hh_fech!O15=0,0,SER_hh_fech!O15/SER_summary!O$26)</f>
        <v>0.65657559611619309</v>
      </c>
      <c r="P15" s="134">
        <f>IF(SER_hh_fech!P15=0,0,SER_hh_fech!P15/SER_summary!P$26)</f>
        <v>0.68105435557485239</v>
      </c>
      <c r="Q15" s="134">
        <f>IF(SER_hh_fech!Q15=0,0,SER_hh_fech!Q15/SER_summary!Q$26)</f>
        <v>0.66682941858367506</v>
      </c>
      <c r="R15" s="134">
        <f>IF(SER_hh_fech!R15=0,0,SER_hh_fech!R15/SER_summary!R$26)</f>
        <v>0.68807608248489782</v>
      </c>
      <c r="S15" s="134">
        <f>IF(SER_hh_fech!S15=0,0,SER_hh_fech!S15/SER_summary!S$26)</f>
        <v>0.8307305967467461</v>
      </c>
      <c r="T15" s="134">
        <f>IF(SER_hh_fech!T15=0,0,SER_hh_fech!T15/SER_summary!T$26)</f>
        <v>0.79536885586795369</v>
      </c>
      <c r="U15" s="134">
        <f>IF(SER_hh_fech!U15=0,0,SER_hh_fech!U15/SER_summary!U$26)</f>
        <v>0.94392983653819251</v>
      </c>
      <c r="V15" s="134">
        <f>IF(SER_hh_fech!V15=0,0,SER_hh_fech!V15/SER_summary!V$26)</f>
        <v>0.72253425116064929</v>
      </c>
      <c r="W15" s="134">
        <f>IF(SER_hh_fech!W15=0,0,SER_hh_fech!W15/SER_summary!W$26)</f>
        <v>0.83129226225156627</v>
      </c>
      <c r="X15" s="134">
        <f>IF(SER_hh_fech!X15=0,0,SER_hh_fech!X15/SER_summary!X$26)</f>
        <v>0.94933053385398924</v>
      </c>
      <c r="Y15" s="134">
        <f>IF(SER_hh_fech!Y15=0,0,SER_hh_fech!Y15/SER_summary!Y$26)</f>
        <v>0.97313988796720408</v>
      </c>
      <c r="DA15" s="157" t="s">
        <v>489</v>
      </c>
    </row>
    <row r="16" spans="1:105" ht="12.95" customHeight="1" x14ac:dyDescent="0.25">
      <c r="A16" s="129" t="s">
        <v>74</v>
      </c>
      <c r="B16" s="130">
        <f>IF(SER_hh_fech!B16=0,0,SER_hh_fech!B16/SER_summary!B$26)</f>
        <v>53.482863490741991</v>
      </c>
      <c r="C16" s="130">
        <f>IF(SER_hh_fech!C16=0,0,SER_hh_fech!C16/SER_summary!C$26)</f>
        <v>43.457391112688349</v>
      </c>
      <c r="D16" s="130">
        <f>IF(SER_hh_fech!D16=0,0,SER_hh_fech!D16/SER_summary!D$26)</f>
        <v>39.178116760866587</v>
      </c>
      <c r="E16" s="130">
        <f>IF(SER_hh_fech!E16=0,0,SER_hh_fech!E16/SER_summary!E$26)</f>
        <v>40.245560463505619</v>
      </c>
      <c r="F16" s="130">
        <f>IF(SER_hh_fech!F16=0,0,SER_hh_fech!F16/SER_summary!F$26)</f>
        <v>31.702884929105661</v>
      </c>
      <c r="G16" s="130">
        <f>IF(SER_hh_fech!G16=0,0,SER_hh_fech!G16/SER_summary!G$26)</f>
        <v>27.742681154647553</v>
      </c>
      <c r="H16" s="130">
        <f>IF(SER_hh_fech!H16=0,0,SER_hh_fech!H16/SER_summary!H$26)</f>
        <v>30.72054133791795</v>
      </c>
      <c r="I16" s="130">
        <f>IF(SER_hh_fech!I16=0,0,SER_hh_fech!I16/SER_summary!I$26)</f>
        <v>33.065656207763205</v>
      </c>
      <c r="J16" s="130">
        <f>IF(SER_hh_fech!J16=0,0,SER_hh_fech!J16/SER_summary!J$26)</f>
        <v>32.255255276618499</v>
      </c>
      <c r="K16" s="130">
        <f>IF(SER_hh_fech!K16=0,0,SER_hh_fech!K16/SER_summary!K$26)</f>
        <v>30.489107374208075</v>
      </c>
      <c r="L16" s="130">
        <f>IF(SER_hh_fech!L16=0,0,SER_hh_fech!L16/SER_summary!L$26)</f>
        <v>31.080321310732931</v>
      </c>
      <c r="M16" s="130">
        <f>IF(SER_hh_fech!M16=0,0,SER_hh_fech!M16/SER_summary!M$26)</f>
        <v>25.797421718878699</v>
      </c>
      <c r="N16" s="130">
        <f>IF(SER_hh_fech!N16=0,0,SER_hh_fech!N16/SER_summary!N$26)</f>
        <v>30.327785829270439</v>
      </c>
      <c r="O16" s="130">
        <f>IF(SER_hh_fech!O16=0,0,SER_hh_fech!O16/SER_summary!O$26)</f>
        <v>24.79149449180419</v>
      </c>
      <c r="P16" s="130">
        <f>IF(SER_hh_fech!P16=0,0,SER_hh_fech!P16/SER_summary!P$26)</f>
        <v>21.587505524687607</v>
      </c>
      <c r="Q16" s="130">
        <f>IF(SER_hh_fech!Q16=0,0,SER_hh_fech!Q16/SER_summary!Q$26)</f>
        <v>22.811159967321174</v>
      </c>
      <c r="R16" s="130">
        <f>IF(SER_hh_fech!R16=0,0,SER_hh_fech!R16/SER_summary!R$26)</f>
        <v>25.263133854367847</v>
      </c>
      <c r="S16" s="130">
        <f>IF(SER_hh_fech!S16=0,0,SER_hh_fech!S16/SER_summary!S$26)</f>
        <v>23.303221337582059</v>
      </c>
      <c r="T16" s="130">
        <f>IF(SER_hh_fech!T16=0,0,SER_hh_fech!T16/SER_summary!T$26)</f>
        <v>28.728022228401443</v>
      </c>
      <c r="U16" s="130">
        <f>IF(SER_hh_fech!U16=0,0,SER_hh_fech!U16/SER_summary!U$26)</f>
        <v>23.766769340019025</v>
      </c>
      <c r="V16" s="130">
        <f>IF(SER_hh_fech!V16=0,0,SER_hh_fech!V16/SER_summary!V$26)</f>
        <v>24.276071399025899</v>
      </c>
      <c r="W16" s="130">
        <f>IF(SER_hh_fech!W16=0,0,SER_hh_fech!W16/SER_summary!W$26)</f>
        <v>21.911725169919055</v>
      </c>
      <c r="X16" s="130">
        <f>IF(SER_hh_fech!X16=0,0,SER_hh_fech!X16/SER_summary!X$26)</f>
        <v>20.554775574954686</v>
      </c>
      <c r="Y16" s="130">
        <f>IF(SER_hh_fech!Y16=0,0,SER_hh_fech!Y16/SER_summary!Y$26)</f>
        <v>22.724691727058904</v>
      </c>
      <c r="DA16" s="155" t="s">
        <v>490</v>
      </c>
    </row>
    <row r="17" spans="1:105" ht="12.95" customHeight="1" x14ac:dyDescent="0.25">
      <c r="A17" s="131" t="s">
        <v>73</v>
      </c>
      <c r="B17" s="132">
        <f>IF(SER_hh_fech!B17=0,0,SER_hh_fech!B17/SER_summary!B$26)</f>
        <v>0</v>
      </c>
      <c r="C17" s="132">
        <f>IF(SER_hh_fech!C17=0,0,SER_hh_fech!C17/SER_summary!C$26)</f>
        <v>0</v>
      </c>
      <c r="D17" s="132">
        <f>IF(SER_hh_fech!D17=0,0,SER_hh_fech!D17/SER_summary!D$26)</f>
        <v>0</v>
      </c>
      <c r="E17" s="132">
        <f>IF(SER_hh_fech!E17=0,0,SER_hh_fech!E17/SER_summary!E$26)</f>
        <v>0</v>
      </c>
      <c r="F17" s="132">
        <f>IF(SER_hh_fech!F17=0,0,SER_hh_fech!F17/SER_summary!F$26)</f>
        <v>0</v>
      </c>
      <c r="G17" s="132">
        <f>IF(SER_hh_fech!G17=0,0,SER_hh_fech!G17/SER_summary!G$26)</f>
        <v>0</v>
      </c>
      <c r="H17" s="132">
        <f>IF(SER_hh_fech!H17=0,0,SER_hh_fech!H17/SER_summary!H$26)</f>
        <v>0</v>
      </c>
      <c r="I17" s="132">
        <f>IF(SER_hh_fech!I17=0,0,SER_hh_fech!I17/SER_summary!I$26)</f>
        <v>0</v>
      </c>
      <c r="J17" s="132">
        <f>IF(SER_hh_fech!J17=0,0,SER_hh_fech!J17/SER_summary!J$26)</f>
        <v>0</v>
      </c>
      <c r="K17" s="132">
        <f>IF(SER_hh_fech!K17=0,0,SER_hh_fech!K17/SER_summary!K$26)</f>
        <v>0</v>
      </c>
      <c r="L17" s="132">
        <f>IF(SER_hh_fech!L17=0,0,SER_hh_fech!L17/SER_summary!L$26)</f>
        <v>0</v>
      </c>
      <c r="M17" s="132">
        <f>IF(SER_hh_fech!M17=0,0,SER_hh_fech!M17/SER_summary!M$26)</f>
        <v>0</v>
      </c>
      <c r="N17" s="132">
        <f>IF(SER_hh_fech!N17=0,0,SER_hh_fech!N17/SER_summary!N$26)</f>
        <v>0</v>
      </c>
      <c r="O17" s="132">
        <f>IF(SER_hh_fech!O17=0,0,SER_hh_fech!O17/SER_summary!O$26)</f>
        <v>0</v>
      </c>
      <c r="P17" s="132">
        <f>IF(SER_hh_fech!P17=0,0,SER_hh_fech!P17/SER_summary!P$26)</f>
        <v>0</v>
      </c>
      <c r="Q17" s="132">
        <f>IF(SER_hh_fech!Q17=0,0,SER_hh_fech!Q17/SER_summary!Q$26)</f>
        <v>0</v>
      </c>
      <c r="R17" s="132">
        <f>IF(SER_hh_fech!R17=0,0,SER_hh_fech!R17/SER_summary!R$26)</f>
        <v>0</v>
      </c>
      <c r="S17" s="132">
        <f>IF(SER_hh_fech!S17=0,0,SER_hh_fech!S17/SER_summary!S$26)</f>
        <v>0</v>
      </c>
      <c r="T17" s="132">
        <f>IF(SER_hh_fech!T17=0,0,SER_hh_fech!T17/SER_summary!T$26)</f>
        <v>0</v>
      </c>
      <c r="U17" s="132">
        <f>IF(SER_hh_fech!U17=0,0,SER_hh_fech!U17/SER_summary!U$26)</f>
        <v>0</v>
      </c>
      <c r="V17" s="132">
        <f>IF(SER_hh_fech!V17=0,0,SER_hh_fech!V17/SER_summary!V$26)</f>
        <v>0</v>
      </c>
      <c r="W17" s="132">
        <f>IF(SER_hh_fech!W17=0,0,SER_hh_fech!W17/SER_summary!W$26)</f>
        <v>0</v>
      </c>
      <c r="X17" s="132">
        <f>IF(SER_hh_fech!X17=0,0,SER_hh_fech!X17/SER_summary!X$26)</f>
        <v>0</v>
      </c>
      <c r="Y17" s="132">
        <f>IF(SER_hh_fech!Y17=0,0,SER_hh_fech!Y17/SER_summary!Y$26)</f>
        <v>0</v>
      </c>
      <c r="DA17" s="156" t="s">
        <v>491</v>
      </c>
    </row>
    <row r="18" spans="1:105" ht="12" customHeight="1" x14ac:dyDescent="0.25">
      <c r="A18" s="131" t="s">
        <v>72</v>
      </c>
      <c r="B18" s="132">
        <f>IF(SER_hh_fech!B18=0,0,SER_hh_fech!B18/SER_summary!B$26)</f>
        <v>53.482863490741991</v>
      </c>
      <c r="C18" s="132">
        <f>IF(SER_hh_fech!C18=0,0,SER_hh_fech!C18/SER_summary!C$26)</f>
        <v>43.457391112688349</v>
      </c>
      <c r="D18" s="132">
        <f>IF(SER_hh_fech!D18=0,0,SER_hh_fech!D18/SER_summary!D$26)</f>
        <v>39.178116760866587</v>
      </c>
      <c r="E18" s="132">
        <f>IF(SER_hh_fech!E18=0,0,SER_hh_fech!E18/SER_summary!E$26)</f>
        <v>40.245560463505619</v>
      </c>
      <c r="F18" s="132">
        <f>IF(SER_hh_fech!F18=0,0,SER_hh_fech!F18/SER_summary!F$26)</f>
        <v>31.702884929105661</v>
      </c>
      <c r="G18" s="132">
        <f>IF(SER_hh_fech!G18=0,0,SER_hh_fech!G18/SER_summary!G$26)</f>
        <v>27.742681154647553</v>
      </c>
      <c r="H18" s="132">
        <f>IF(SER_hh_fech!H18=0,0,SER_hh_fech!H18/SER_summary!H$26)</f>
        <v>30.72054133791795</v>
      </c>
      <c r="I18" s="132">
        <f>IF(SER_hh_fech!I18=0,0,SER_hh_fech!I18/SER_summary!I$26)</f>
        <v>33.065656207763205</v>
      </c>
      <c r="J18" s="132">
        <f>IF(SER_hh_fech!J18=0,0,SER_hh_fech!J18/SER_summary!J$26)</f>
        <v>32.255255276618499</v>
      </c>
      <c r="K18" s="132">
        <f>IF(SER_hh_fech!K18=0,0,SER_hh_fech!K18/SER_summary!K$26)</f>
        <v>30.489107374208075</v>
      </c>
      <c r="L18" s="132">
        <f>IF(SER_hh_fech!L18=0,0,SER_hh_fech!L18/SER_summary!L$26)</f>
        <v>31.080321310732931</v>
      </c>
      <c r="M18" s="132">
        <f>IF(SER_hh_fech!M18=0,0,SER_hh_fech!M18/SER_summary!M$26)</f>
        <v>25.797421718878699</v>
      </c>
      <c r="N18" s="132">
        <f>IF(SER_hh_fech!N18=0,0,SER_hh_fech!N18/SER_summary!N$26)</f>
        <v>30.327785829270439</v>
      </c>
      <c r="O18" s="132">
        <f>IF(SER_hh_fech!O18=0,0,SER_hh_fech!O18/SER_summary!O$26)</f>
        <v>24.79149449180419</v>
      </c>
      <c r="P18" s="132">
        <f>IF(SER_hh_fech!P18=0,0,SER_hh_fech!P18/SER_summary!P$26)</f>
        <v>21.587505524687607</v>
      </c>
      <c r="Q18" s="132">
        <f>IF(SER_hh_fech!Q18=0,0,SER_hh_fech!Q18/SER_summary!Q$26)</f>
        <v>22.811159967321174</v>
      </c>
      <c r="R18" s="132">
        <f>IF(SER_hh_fech!R18=0,0,SER_hh_fech!R18/SER_summary!R$26)</f>
        <v>25.263133854367847</v>
      </c>
      <c r="S18" s="132">
        <f>IF(SER_hh_fech!S18=0,0,SER_hh_fech!S18/SER_summary!S$26)</f>
        <v>23.303221337582059</v>
      </c>
      <c r="T18" s="132">
        <f>IF(SER_hh_fech!T18=0,0,SER_hh_fech!T18/SER_summary!T$26)</f>
        <v>28.728022228401443</v>
      </c>
      <c r="U18" s="132">
        <f>IF(SER_hh_fech!U18=0,0,SER_hh_fech!U18/SER_summary!U$26)</f>
        <v>23.766769340019025</v>
      </c>
      <c r="V18" s="132">
        <f>IF(SER_hh_fech!V18=0,0,SER_hh_fech!V18/SER_summary!V$26)</f>
        <v>24.276071399025899</v>
      </c>
      <c r="W18" s="132">
        <f>IF(SER_hh_fech!W18=0,0,SER_hh_fech!W18/SER_summary!W$26)</f>
        <v>21.911725169919055</v>
      </c>
      <c r="X18" s="132">
        <f>IF(SER_hh_fech!X18=0,0,SER_hh_fech!X18/SER_summary!X$26)</f>
        <v>20.554775574954686</v>
      </c>
      <c r="Y18" s="132">
        <f>IF(SER_hh_fech!Y18=0,0,SER_hh_fech!Y18/SER_summary!Y$26)</f>
        <v>22.724691727058904</v>
      </c>
      <c r="DA18" s="156" t="s">
        <v>492</v>
      </c>
    </row>
    <row r="19" spans="1:105" ht="12.95" customHeight="1" x14ac:dyDescent="0.25">
      <c r="A19" s="129" t="s">
        <v>35</v>
      </c>
      <c r="B19" s="130">
        <f>IF(SER_hh_fech!B19=0,0,SER_hh_fech!B19/SER_summary!B$26)</f>
        <v>21.240925227510914</v>
      </c>
      <c r="C19" s="130">
        <f>IF(SER_hh_fech!C19=0,0,SER_hh_fech!C19/SER_summary!C$26)</f>
        <v>21.106619141493312</v>
      </c>
      <c r="D19" s="130">
        <f>IF(SER_hh_fech!D19=0,0,SER_hh_fech!D19/SER_summary!D$26)</f>
        <v>20.996515473878244</v>
      </c>
      <c r="E19" s="130">
        <f>IF(SER_hh_fech!E19=0,0,SER_hh_fech!E19/SER_summary!E$26)</f>
        <v>20.850179141746789</v>
      </c>
      <c r="F19" s="130">
        <f>IF(SER_hh_fech!F19=0,0,SER_hh_fech!F19/SER_summary!F$26)</f>
        <v>20.493171566615356</v>
      </c>
      <c r="G19" s="130">
        <f>IF(SER_hh_fech!G19=0,0,SER_hh_fech!G19/SER_summary!G$26)</f>
        <v>20.436838359110705</v>
      </c>
      <c r="H19" s="130">
        <f>IF(SER_hh_fech!H19=0,0,SER_hh_fech!H19/SER_summary!H$26)</f>
        <v>19.121058249942571</v>
      </c>
      <c r="I19" s="130">
        <f>IF(SER_hh_fech!I19=0,0,SER_hh_fech!I19/SER_summary!I$26)</f>
        <v>18.347449478195244</v>
      </c>
      <c r="J19" s="130">
        <f>IF(SER_hh_fech!J19=0,0,SER_hh_fech!J19/SER_summary!J$26)</f>
        <v>18.434078683760983</v>
      </c>
      <c r="K19" s="130">
        <f>IF(SER_hh_fech!K19=0,0,SER_hh_fech!K19/SER_summary!K$26)</f>
        <v>18.213111033940077</v>
      </c>
      <c r="L19" s="130">
        <f>IF(SER_hh_fech!L19=0,0,SER_hh_fech!L19/SER_summary!L$26)</f>
        <v>17.872167944952114</v>
      </c>
      <c r="M19" s="130">
        <f>IF(SER_hh_fech!M19=0,0,SER_hh_fech!M19/SER_summary!M$26)</f>
        <v>17.788259672377706</v>
      </c>
      <c r="N19" s="130">
        <f>IF(SER_hh_fech!N19=0,0,SER_hh_fech!N19/SER_summary!N$26)</f>
        <v>17.535629277920982</v>
      </c>
      <c r="O19" s="130">
        <f>IF(SER_hh_fech!O19=0,0,SER_hh_fech!O19/SER_summary!O$26)</f>
        <v>17.370923042662035</v>
      </c>
      <c r="P19" s="130">
        <f>IF(SER_hh_fech!P19=0,0,SER_hh_fech!P19/SER_summary!P$26)</f>
        <v>17.180132771645251</v>
      </c>
      <c r="Q19" s="130">
        <f>IF(SER_hh_fech!Q19=0,0,SER_hh_fech!Q19/SER_summary!Q$26)</f>
        <v>17.175950756847921</v>
      </c>
      <c r="R19" s="130">
        <f>IF(SER_hh_fech!R19=0,0,SER_hh_fech!R19/SER_summary!R$26)</f>
        <v>17.215646802145613</v>
      </c>
      <c r="S19" s="130">
        <f>IF(SER_hh_fech!S19=0,0,SER_hh_fech!S19/SER_summary!S$26)</f>
        <v>16.787887864080663</v>
      </c>
      <c r="T19" s="130">
        <f>IF(SER_hh_fech!T19=0,0,SER_hh_fech!T19/SER_summary!T$26)</f>
        <v>16.535275107476114</v>
      </c>
      <c r="U19" s="130">
        <f>IF(SER_hh_fech!U19=0,0,SER_hh_fech!U19/SER_summary!U$26)</f>
        <v>16.00687927957329</v>
      </c>
      <c r="V19" s="130">
        <f>IF(SER_hh_fech!V19=0,0,SER_hh_fech!V19/SER_summary!V$26)</f>
        <v>14.777024436805398</v>
      </c>
      <c r="W19" s="130">
        <f>IF(SER_hh_fech!W19=0,0,SER_hh_fech!W19/SER_summary!W$26)</f>
        <v>14.653573581730679</v>
      </c>
      <c r="X19" s="130">
        <f>IF(SER_hh_fech!X19=0,0,SER_hh_fech!X19/SER_summary!X$26)</f>
        <v>15.700745418144981</v>
      </c>
      <c r="Y19" s="130">
        <f>IF(SER_hh_fech!Y19=0,0,SER_hh_fech!Y19/SER_summary!Y$26)</f>
        <v>16.584202149305732</v>
      </c>
      <c r="DA19" s="155" t="s">
        <v>493</v>
      </c>
    </row>
    <row r="20" spans="1:105" ht="12" customHeight="1" x14ac:dyDescent="0.25">
      <c r="A20" s="131" t="s">
        <v>29</v>
      </c>
      <c r="B20" s="132">
        <f>IF(SER_hh_fech!B20=0,0,SER_hh_fech!B20/SER_summary!B$26)</f>
        <v>0</v>
      </c>
      <c r="C20" s="132">
        <f>IF(SER_hh_fech!C20=0,0,SER_hh_fech!C20/SER_summary!C$26)</f>
        <v>0</v>
      </c>
      <c r="D20" s="132">
        <f>IF(SER_hh_fech!D20=0,0,SER_hh_fech!D20/SER_summary!D$26)</f>
        <v>0</v>
      </c>
      <c r="E20" s="132">
        <f>IF(SER_hh_fech!E20=0,0,SER_hh_fech!E20/SER_summary!E$26)</f>
        <v>0</v>
      </c>
      <c r="F20" s="132">
        <f>IF(SER_hh_fech!F20=0,0,SER_hh_fech!F20/SER_summary!F$26)</f>
        <v>0</v>
      </c>
      <c r="G20" s="132">
        <f>IF(SER_hh_fech!G20=0,0,SER_hh_fech!G20/SER_summary!G$26)</f>
        <v>0</v>
      </c>
      <c r="H20" s="132">
        <f>IF(SER_hh_fech!H20=0,0,SER_hh_fech!H20/SER_summary!H$26)</f>
        <v>0</v>
      </c>
      <c r="I20" s="132">
        <f>IF(SER_hh_fech!I20=0,0,SER_hh_fech!I20/SER_summary!I$26)</f>
        <v>0</v>
      </c>
      <c r="J20" s="132">
        <f>IF(SER_hh_fech!J20=0,0,SER_hh_fech!J20/SER_summary!J$26)</f>
        <v>0</v>
      </c>
      <c r="K20" s="132">
        <f>IF(SER_hh_fech!K20=0,0,SER_hh_fech!K20/SER_summary!K$26)</f>
        <v>0</v>
      </c>
      <c r="L20" s="132">
        <f>IF(SER_hh_fech!L20=0,0,SER_hh_fech!L20/SER_summary!L$26)</f>
        <v>0</v>
      </c>
      <c r="M20" s="132">
        <f>IF(SER_hh_fech!M20=0,0,SER_hh_fech!M20/SER_summary!M$26)</f>
        <v>0</v>
      </c>
      <c r="N20" s="132">
        <f>IF(SER_hh_fech!N20=0,0,SER_hh_fech!N20/SER_summary!N$26)</f>
        <v>0</v>
      </c>
      <c r="O20" s="132">
        <f>IF(SER_hh_fech!O20=0,0,SER_hh_fech!O20/SER_summary!O$26)</f>
        <v>0</v>
      </c>
      <c r="P20" s="132">
        <f>IF(SER_hh_fech!P20=0,0,SER_hh_fech!P20/SER_summary!P$26)</f>
        <v>0</v>
      </c>
      <c r="Q20" s="132">
        <f>IF(SER_hh_fech!Q20=0,0,SER_hh_fech!Q20/SER_summary!Q$26)</f>
        <v>0</v>
      </c>
      <c r="R20" s="132">
        <f>IF(SER_hh_fech!R20=0,0,SER_hh_fech!R20/SER_summary!R$26)</f>
        <v>0</v>
      </c>
      <c r="S20" s="132">
        <f>IF(SER_hh_fech!S20=0,0,SER_hh_fech!S20/SER_summary!S$26)</f>
        <v>0</v>
      </c>
      <c r="T20" s="132">
        <f>IF(SER_hh_fech!T20=0,0,SER_hh_fech!T20/SER_summary!T$26)</f>
        <v>0</v>
      </c>
      <c r="U20" s="132">
        <f>IF(SER_hh_fech!U20=0,0,SER_hh_fech!U20/SER_summary!U$26)</f>
        <v>0</v>
      </c>
      <c r="V20" s="132">
        <f>IF(SER_hh_fech!V20=0,0,SER_hh_fech!V20/SER_summary!V$26)</f>
        <v>0</v>
      </c>
      <c r="W20" s="132">
        <f>IF(SER_hh_fech!W20=0,0,SER_hh_fech!W20/SER_summary!W$26)</f>
        <v>0</v>
      </c>
      <c r="X20" s="132">
        <f>IF(SER_hh_fech!X20=0,0,SER_hh_fech!X20/SER_summary!X$26)</f>
        <v>0</v>
      </c>
      <c r="Y20" s="132">
        <f>IF(SER_hh_fech!Y20=0,0,SER_hh_fech!Y20/SER_summary!Y$26)</f>
        <v>0</v>
      </c>
      <c r="DA20" s="156" t="s">
        <v>494</v>
      </c>
    </row>
    <row r="21" spans="1:105" s="2" customFormat="1" ht="12" customHeight="1" x14ac:dyDescent="0.25">
      <c r="A21" s="131" t="s">
        <v>52</v>
      </c>
      <c r="B21" s="132">
        <f>IF(SER_hh_fech!B21=0,0,SER_hh_fech!B21/SER_summary!B$26)</f>
        <v>0</v>
      </c>
      <c r="C21" s="132">
        <f>IF(SER_hh_fech!C21=0,0,SER_hh_fech!C21/SER_summary!C$26)</f>
        <v>0</v>
      </c>
      <c r="D21" s="132">
        <f>IF(SER_hh_fech!D21=0,0,SER_hh_fech!D21/SER_summary!D$26)</f>
        <v>0</v>
      </c>
      <c r="E21" s="132">
        <f>IF(SER_hh_fech!E21=0,0,SER_hh_fech!E21/SER_summary!E$26)</f>
        <v>0</v>
      </c>
      <c r="F21" s="132">
        <f>IF(SER_hh_fech!F21=0,0,SER_hh_fech!F21/SER_summary!F$26)</f>
        <v>0</v>
      </c>
      <c r="G21" s="132">
        <f>IF(SER_hh_fech!G21=0,0,SER_hh_fech!G21/SER_summary!G$26)</f>
        <v>0</v>
      </c>
      <c r="H21" s="132">
        <f>IF(SER_hh_fech!H21=0,0,SER_hh_fech!H21/SER_summary!H$26)</f>
        <v>25.199617050633094</v>
      </c>
      <c r="I21" s="132">
        <f>IF(SER_hh_fech!I21=0,0,SER_hh_fech!I21/SER_summary!I$26)</f>
        <v>19.363195742450404</v>
      </c>
      <c r="J21" s="132">
        <f>IF(SER_hh_fech!J21=0,0,SER_hh_fech!J21/SER_summary!J$26)</f>
        <v>17.354770698214029</v>
      </c>
      <c r="K21" s="132">
        <f>IF(SER_hh_fech!K21=0,0,SER_hh_fech!K21/SER_summary!K$26)</f>
        <v>17.167367104815607</v>
      </c>
      <c r="L21" s="132">
        <f>IF(SER_hh_fech!L21=0,0,SER_hh_fech!L21/SER_summary!L$26)</f>
        <v>17.584173613888201</v>
      </c>
      <c r="M21" s="132">
        <f>IF(SER_hh_fech!M21=0,0,SER_hh_fech!M21/SER_summary!M$26)</f>
        <v>17.230557352611182</v>
      </c>
      <c r="N21" s="132">
        <f>IF(SER_hh_fech!N21=0,0,SER_hh_fech!N21/SER_summary!N$26)</f>
        <v>17.213118713886136</v>
      </c>
      <c r="O21" s="132">
        <f>IF(SER_hh_fech!O21=0,0,SER_hh_fech!O21/SER_summary!O$26)</f>
        <v>17.408961129209697</v>
      </c>
      <c r="P21" s="132">
        <f>IF(SER_hh_fech!P21=0,0,SER_hh_fech!P21/SER_summary!P$26)</f>
        <v>16.602305385789485</v>
      </c>
      <c r="Q21" s="132">
        <f>IF(SER_hh_fech!Q21=0,0,SER_hh_fech!Q21/SER_summary!Q$26)</f>
        <v>16.6706959727038</v>
      </c>
      <c r="R21" s="132">
        <f>IF(SER_hh_fech!R21=0,0,SER_hh_fech!R21/SER_summary!R$26)</f>
        <v>16.955542208190142</v>
      </c>
      <c r="S21" s="132">
        <f>IF(SER_hh_fech!S21=0,0,SER_hh_fech!S21/SER_summary!S$26)</f>
        <v>16.99694522171373</v>
      </c>
      <c r="T21" s="132">
        <f>IF(SER_hh_fech!T21=0,0,SER_hh_fech!T21/SER_summary!T$26)</f>
        <v>16.341965106365233</v>
      </c>
      <c r="U21" s="132">
        <f>IF(SER_hh_fech!U21=0,0,SER_hh_fech!U21/SER_summary!U$26)</f>
        <v>16.393090372137635</v>
      </c>
      <c r="V21" s="132">
        <f>IF(SER_hh_fech!V21=0,0,SER_hh_fech!V21/SER_summary!V$26)</f>
        <v>14.180376338368383</v>
      </c>
      <c r="W21" s="132">
        <f>IF(SER_hh_fech!W21=0,0,SER_hh_fech!W21/SER_summary!W$26)</f>
        <v>13.392571500093037</v>
      </c>
      <c r="X21" s="132">
        <f>IF(SER_hh_fech!X21=0,0,SER_hh_fech!X21/SER_summary!X$26)</f>
        <v>14.644470704442421</v>
      </c>
      <c r="Y21" s="132">
        <f>IF(SER_hh_fech!Y21=0,0,SER_hh_fech!Y21/SER_summary!Y$26)</f>
        <v>14.963171277779358</v>
      </c>
      <c r="DA21" s="156" t="s">
        <v>495</v>
      </c>
    </row>
    <row r="22" spans="1:105" ht="12" customHeight="1" x14ac:dyDescent="0.25">
      <c r="A22" s="131" t="s">
        <v>161</v>
      </c>
      <c r="B22" s="132">
        <f>IF(SER_hh_fech!B22=0,0,SER_hh_fech!B22/SER_summary!B$26)</f>
        <v>29.089052305390812</v>
      </c>
      <c r="C22" s="132">
        <f>IF(SER_hh_fech!C22=0,0,SER_hh_fech!C22/SER_summary!C$26)</f>
        <v>29.013727876916501</v>
      </c>
      <c r="D22" s="132">
        <f>IF(SER_hh_fech!D22=0,0,SER_hh_fech!D22/SER_summary!D$26)</f>
        <v>28.876188656272873</v>
      </c>
      <c r="E22" s="132">
        <f>IF(SER_hh_fech!E22=0,0,SER_hh_fech!E22/SER_summary!E$26)</f>
        <v>28.477838565710297</v>
      </c>
      <c r="F22" s="132">
        <f>IF(SER_hh_fech!F22=0,0,SER_hh_fech!F22/SER_summary!F$26)</f>
        <v>28.311637073898392</v>
      </c>
      <c r="G22" s="132">
        <f>IF(SER_hh_fech!G22=0,0,SER_hh_fech!G22/SER_summary!G$26)</f>
        <v>27.977625307300269</v>
      </c>
      <c r="H22" s="132">
        <f>IF(SER_hh_fech!H22=0,0,SER_hh_fech!H22/SER_summary!H$26)</f>
        <v>27.06379601527167</v>
      </c>
      <c r="I22" s="132">
        <f>IF(SER_hh_fech!I22=0,0,SER_hh_fech!I22/SER_summary!I$26)</f>
        <v>26.168526279935907</v>
      </c>
      <c r="J22" s="132">
        <f>IF(SER_hh_fech!J22=0,0,SER_hh_fech!J22/SER_summary!J$26)</f>
        <v>25.558447584197165</v>
      </c>
      <c r="K22" s="132">
        <f>IF(SER_hh_fech!K22=0,0,SER_hh_fech!K22/SER_summary!K$26)</f>
        <v>25.186587349270916</v>
      </c>
      <c r="L22" s="132">
        <f>IF(SER_hh_fech!L22=0,0,SER_hh_fech!L22/SER_summary!L$26)</f>
        <v>24.692771726829566</v>
      </c>
      <c r="M22" s="132">
        <f>IF(SER_hh_fech!M22=0,0,SER_hh_fech!M22/SER_summary!M$26)</f>
        <v>24.391273760077429</v>
      </c>
      <c r="N22" s="132">
        <f>IF(SER_hh_fech!N22=0,0,SER_hh_fech!N22/SER_summary!N$26)</f>
        <v>24.119821013419127</v>
      </c>
      <c r="O22" s="132">
        <f>IF(SER_hh_fech!O22=0,0,SER_hh_fech!O22/SER_summary!O$26)</f>
        <v>23.365771592182096</v>
      </c>
      <c r="P22" s="132">
        <f>IF(SER_hh_fech!P22=0,0,SER_hh_fech!P22/SER_summary!P$26)</f>
        <v>23.165260477348927</v>
      </c>
      <c r="Q22" s="132">
        <f>IF(SER_hh_fech!Q22=0,0,SER_hh_fech!Q22/SER_summary!Q$26)</f>
        <v>22.810999567664847</v>
      </c>
      <c r="R22" s="132">
        <f>IF(SER_hh_fech!R22=0,0,SER_hh_fech!R22/SER_summary!R$26)</f>
        <v>22.494774072300814</v>
      </c>
      <c r="S22" s="132">
        <f>IF(SER_hh_fech!S22=0,0,SER_hh_fech!S22/SER_summary!S$26)</f>
        <v>21.525698566589021</v>
      </c>
      <c r="T22" s="132">
        <f>IF(SER_hh_fech!T22=0,0,SER_hh_fech!T22/SER_summary!T$26)</f>
        <v>20.890653760888011</v>
      </c>
      <c r="U22" s="132">
        <f>IF(SER_hh_fech!U22=0,0,SER_hh_fech!U22/SER_summary!U$26)</f>
        <v>19.949225363147391</v>
      </c>
      <c r="V22" s="132">
        <f>IF(SER_hh_fech!V22=0,0,SER_hh_fech!V22/SER_summary!V$26)</f>
        <v>18.031176974346863</v>
      </c>
      <c r="W22" s="132">
        <f>IF(SER_hh_fech!W22=0,0,SER_hh_fech!W22/SER_summary!W$26)</f>
        <v>19.290518663351989</v>
      </c>
      <c r="X22" s="132">
        <f>IF(SER_hh_fech!X22=0,0,SER_hh_fech!X22/SER_summary!X$26)</f>
        <v>21.151986232936569</v>
      </c>
      <c r="Y22" s="132">
        <f>IF(SER_hh_fech!Y22=0,0,SER_hh_fech!Y22/SER_summary!Y$26)</f>
        <v>21.343012226844799</v>
      </c>
      <c r="DA22" s="156" t="s">
        <v>496</v>
      </c>
    </row>
    <row r="23" spans="1:105" ht="12" customHeight="1" x14ac:dyDescent="0.25">
      <c r="A23" s="131" t="s">
        <v>149</v>
      </c>
      <c r="B23" s="132">
        <f>IF(SER_hh_fech!B23=0,0,SER_hh_fech!B23/SER_summary!B$26)</f>
        <v>0</v>
      </c>
      <c r="C23" s="132">
        <f>IF(SER_hh_fech!C23=0,0,SER_hh_fech!C23/SER_summary!C$26)</f>
        <v>0</v>
      </c>
      <c r="D23" s="132">
        <f>IF(SER_hh_fech!D23=0,0,SER_hh_fech!D23/SER_summary!D$26)</f>
        <v>0</v>
      </c>
      <c r="E23" s="132">
        <f>IF(SER_hh_fech!E23=0,0,SER_hh_fech!E23/SER_summary!E$26)</f>
        <v>0</v>
      </c>
      <c r="F23" s="132">
        <f>IF(SER_hh_fech!F23=0,0,SER_hh_fech!F23/SER_summary!F$26)</f>
        <v>0</v>
      </c>
      <c r="G23" s="132">
        <f>IF(SER_hh_fech!G23=0,0,SER_hh_fech!G23/SER_summary!G$26)</f>
        <v>0</v>
      </c>
      <c r="H23" s="132">
        <f>IF(SER_hh_fech!H23=0,0,SER_hh_fech!H23/SER_summary!H$26)</f>
        <v>0</v>
      </c>
      <c r="I23" s="132">
        <f>IF(SER_hh_fech!I23=0,0,SER_hh_fech!I23/SER_summary!I$26)</f>
        <v>0</v>
      </c>
      <c r="J23" s="132">
        <f>IF(SER_hh_fech!J23=0,0,SER_hh_fech!J23/SER_summary!J$26)</f>
        <v>0</v>
      </c>
      <c r="K23" s="132">
        <f>IF(SER_hh_fech!K23=0,0,SER_hh_fech!K23/SER_summary!K$26)</f>
        <v>0</v>
      </c>
      <c r="L23" s="132">
        <f>IF(SER_hh_fech!L23=0,0,SER_hh_fech!L23/SER_summary!L$26)</f>
        <v>0</v>
      </c>
      <c r="M23" s="132">
        <f>IF(SER_hh_fech!M23=0,0,SER_hh_fech!M23/SER_summary!M$26)</f>
        <v>0</v>
      </c>
      <c r="N23" s="132">
        <f>IF(SER_hh_fech!N23=0,0,SER_hh_fech!N23/SER_summary!N$26)</f>
        <v>0</v>
      </c>
      <c r="O23" s="132">
        <f>IF(SER_hh_fech!O23=0,0,SER_hh_fech!O23/SER_summary!O$26)</f>
        <v>0</v>
      </c>
      <c r="P23" s="132">
        <f>IF(SER_hh_fech!P23=0,0,SER_hh_fech!P23/SER_summary!P$26)</f>
        <v>0</v>
      </c>
      <c r="Q23" s="132">
        <f>IF(SER_hh_fech!Q23=0,0,SER_hh_fech!Q23/SER_summary!Q$26)</f>
        <v>0</v>
      </c>
      <c r="R23" s="132">
        <f>IF(SER_hh_fech!R23=0,0,SER_hh_fech!R23/SER_summary!R$26)</f>
        <v>0</v>
      </c>
      <c r="S23" s="132">
        <f>IF(SER_hh_fech!S23=0,0,SER_hh_fech!S23/SER_summary!S$26)</f>
        <v>0</v>
      </c>
      <c r="T23" s="132">
        <f>IF(SER_hh_fech!T23=0,0,SER_hh_fech!T23/SER_summary!T$26)</f>
        <v>0</v>
      </c>
      <c r="U23" s="132">
        <f>IF(SER_hh_fech!U23=0,0,SER_hh_fech!U23/SER_summary!U$26)</f>
        <v>0</v>
      </c>
      <c r="V23" s="132">
        <f>IF(SER_hh_fech!V23=0,0,SER_hh_fech!V23/SER_summary!V$26)</f>
        <v>0</v>
      </c>
      <c r="W23" s="132">
        <f>IF(SER_hh_fech!W23=0,0,SER_hh_fech!W23/SER_summary!W$26)</f>
        <v>0</v>
      </c>
      <c r="X23" s="132">
        <f>IF(SER_hh_fech!X23=0,0,SER_hh_fech!X23/SER_summary!X$26)</f>
        <v>0</v>
      </c>
      <c r="Y23" s="132">
        <f>IF(SER_hh_fech!Y23=0,0,SER_hh_fech!Y23/SER_summary!Y$26)</f>
        <v>0</v>
      </c>
      <c r="DA23" s="156" t="s">
        <v>497</v>
      </c>
    </row>
    <row r="24" spans="1:105" ht="12" customHeight="1" x14ac:dyDescent="0.25">
      <c r="A24" s="131" t="s">
        <v>128</v>
      </c>
      <c r="B24" s="132">
        <f>IF(SER_hh_fech!B24=0,0,SER_hh_fech!B24/SER_summary!B$26)</f>
        <v>0</v>
      </c>
      <c r="C24" s="132">
        <f>IF(SER_hh_fech!C24=0,0,SER_hh_fech!C24/SER_summary!C$26)</f>
        <v>0</v>
      </c>
      <c r="D24" s="132">
        <f>IF(SER_hh_fech!D24=0,0,SER_hh_fech!D24/SER_summary!D$26)</f>
        <v>0</v>
      </c>
      <c r="E24" s="132">
        <f>IF(SER_hh_fech!E24=0,0,SER_hh_fech!E24/SER_summary!E$26)</f>
        <v>0</v>
      </c>
      <c r="F24" s="132">
        <f>IF(SER_hh_fech!F24=0,0,SER_hh_fech!F24/SER_summary!F$26)</f>
        <v>0</v>
      </c>
      <c r="G24" s="132">
        <f>IF(SER_hh_fech!G24=0,0,SER_hh_fech!G24/SER_summary!G$26)</f>
        <v>0</v>
      </c>
      <c r="H24" s="132">
        <f>IF(SER_hh_fech!H24=0,0,SER_hh_fech!H24/SER_summary!H$26)</f>
        <v>0</v>
      </c>
      <c r="I24" s="132">
        <f>IF(SER_hh_fech!I24=0,0,SER_hh_fech!I24/SER_summary!I$26)</f>
        <v>0</v>
      </c>
      <c r="J24" s="132">
        <f>IF(SER_hh_fech!J24=0,0,SER_hh_fech!J24/SER_summary!J$26)</f>
        <v>0</v>
      </c>
      <c r="K24" s="132">
        <f>IF(SER_hh_fech!K24=0,0,SER_hh_fech!K24/SER_summary!K$26)</f>
        <v>0</v>
      </c>
      <c r="L24" s="132">
        <f>IF(SER_hh_fech!L24=0,0,SER_hh_fech!L24/SER_summary!L$26)</f>
        <v>0</v>
      </c>
      <c r="M24" s="132">
        <f>IF(SER_hh_fech!M24=0,0,SER_hh_fech!M24/SER_summary!M$26)</f>
        <v>0</v>
      </c>
      <c r="N24" s="132">
        <f>IF(SER_hh_fech!N24=0,0,SER_hh_fech!N24/SER_summary!N$26)</f>
        <v>0</v>
      </c>
      <c r="O24" s="132">
        <f>IF(SER_hh_fech!O24=0,0,SER_hh_fech!O24/SER_summary!O$26)</f>
        <v>0</v>
      </c>
      <c r="P24" s="132">
        <f>IF(SER_hh_fech!P24=0,0,SER_hh_fech!P24/SER_summary!P$26)</f>
        <v>0</v>
      </c>
      <c r="Q24" s="132">
        <f>IF(SER_hh_fech!Q24=0,0,SER_hh_fech!Q24/SER_summary!Q$26)</f>
        <v>0</v>
      </c>
      <c r="R24" s="132">
        <f>IF(SER_hh_fech!R24=0,0,SER_hh_fech!R24/SER_summary!R$26)</f>
        <v>0</v>
      </c>
      <c r="S24" s="132">
        <f>IF(SER_hh_fech!S24=0,0,SER_hh_fech!S24/SER_summary!S$26)</f>
        <v>0</v>
      </c>
      <c r="T24" s="132">
        <f>IF(SER_hh_fech!T24=0,0,SER_hh_fech!T24/SER_summary!T$26)</f>
        <v>0</v>
      </c>
      <c r="U24" s="132">
        <f>IF(SER_hh_fech!U24=0,0,SER_hh_fech!U24/SER_summary!U$26)</f>
        <v>0</v>
      </c>
      <c r="V24" s="132">
        <f>IF(SER_hh_fech!V24=0,0,SER_hh_fech!V24/SER_summary!V$26)</f>
        <v>0</v>
      </c>
      <c r="W24" s="132">
        <f>IF(SER_hh_fech!W24=0,0,SER_hh_fech!W24/SER_summary!W$26)</f>
        <v>0</v>
      </c>
      <c r="X24" s="132">
        <f>IF(SER_hh_fech!X24=0,0,SER_hh_fech!X24/SER_summary!X$26)</f>
        <v>0</v>
      </c>
      <c r="Y24" s="132">
        <f>IF(SER_hh_fech!Y24=0,0,SER_hh_fech!Y24/SER_summary!Y$26)</f>
        <v>0</v>
      </c>
      <c r="DA24" s="156" t="s">
        <v>498</v>
      </c>
    </row>
    <row r="25" spans="1:105" ht="12" customHeight="1" x14ac:dyDescent="0.25">
      <c r="A25" s="131" t="s">
        <v>162</v>
      </c>
      <c r="B25" s="132">
        <f>IF(SER_hh_fech!B25=0,0,SER_hh_fech!B25/SER_summary!B$26)</f>
        <v>0</v>
      </c>
      <c r="C25" s="132">
        <f>IF(SER_hh_fech!C25=0,0,SER_hh_fech!C25/SER_summary!C$26)</f>
        <v>0</v>
      </c>
      <c r="D25" s="132">
        <f>IF(SER_hh_fech!D25=0,0,SER_hh_fech!D25/SER_summary!D$26)</f>
        <v>0</v>
      </c>
      <c r="E25" s="132">
        <f>IF(SER_hh_fech!E25=0,0,SER_hh_fech!E25/SER_summary!E$26)</f>
        <v>0</v>
      </c>
      <c r="F25" s="132">
        <f>IF(SER_hh_fech!F25=0,0,SER_hh_fech!F25/SER_summary!F$26)</f>
        <v>0</v>
      </c>
      <c r="G25" s="132">
        <f>IF(SER_hh_fech!G25=0,0,SER_hh_fech!G25/SER_summary!G$26)</f>
        <v>0</v>
      </c>
      <c r="H25" s="132">
        <f>IF(SER_hh_fech!H25=0,0,SER_hh_fech!H25/SER_summary!H$26)</f>
        <v>0</v>
      </c>
      <c r="I25" s="132">
        <f>IF(SER_hh_fech!I25=0,0,SER_hh_fech!I25/SER_summary!I$26)</f>
        <v>0</v>
      </c>
      <c r="J25" s="132">
        <f>IF(SER_hh_fech!J25=0,0,SER_hh_fech!J25/SER_summary!J$26)</f>
        <v>0</v>
      </c>
      <c r="K25" s="132">
        <f>IF(SER_hh_fech!K25=0,0,SER_hh_fech!K25/SER_summary!K$26)</f>
        <v>0</v>
      </c>
      <c r="L25" s="132">
        <f>IF(SER_hh_fech!L25=0,0,SER_hh_fech!L25/SER_summary!L$26)</f>
        <v>0</v>
      </c>
      <c r="M25" s="132">
        <f>IF(SER_hh_fech!M25=0,0,SER_hh_fech!M25/SER_summary!M$26)</f>
        <v>0</v>
      </c>
      <c r="N25" s="132">
        <f>IF(SER_hh_fech!N25=0,0,SER_hh_fech!N25/SER_summary!N$26)</f>
        <v>0</v>
      </c>
      <c r="O25" s="132">
        <f>IF(SER_hh_fech!O25=0,0,SER_hh_fech!O25/SER_summary!O$26)</f>
        <v>0</v>
      </c>
      <c r="P25" s="132">
        <f>IF(SER_hh_fech!P25=0,0,SER_hh_fech!P25/SER_summary!P$26)</f>
        <v>0</v>
      </c>
      <c r="Q25" s="132">
        <f>IF(SER_hh_fech!Q25=0,0,SER_hh_fech!Q25/SER_summary!Q$26)</f>
        <v>0</v>
      </c>
      <c r="R25" s="132">
        <f>IF(SER_hh_fech!R25=0,0,SER_hh_fech!R25/SER_summary!R$26)</f>
        <v>0</v>
      </c>
      <c r="S25" s="132">
        <f>IF(SER_hh_fech!S25=0,0,SER_hh_fech!S25/SER_summary!S$26)</f>
        <v>0</v>
      </c>
      <c r="T25" s="132">
        <f>IF(SER_hh_fech!T25=0,0,SER_hh_fech!T25/SER_summary!T$26)</f>
        <v>0</v>
      </c>
      <c r="U25" s="132">
        <f>IF(SER_hh_fech!U25=0,0,SER_hh_fech!U25/SER_summary!U$26)</f>
        <v>0</v>
      </c>
      <c r="V25" s="132">
        <f>IF(SER_hh_fech!V25=0,0,SER_hh_fech!V25/SER_summary!V$26)</f>
        <v>0</v>
      </c>
      <c r="W25" s="132">
        <f>IF(SER_hh_fech!W25=0,0,SER_hh_fech!W25/SER_summary!W$26)</f>
        <v>0</v>
      </c>
      <c r="X25" s="132">
        <f>IF(SER_hh_fech!X25=0,0,SER_hh_fech!X25/SER_summary!X$26)</f>
        <v>0</v>
      </c>
      <c r="Y25" s="132">
        <f>IF(SER_hh_fech!Y25=0,0,SER_hh_fech!Y25/SER_summary!Y$26)</f>
        <v>0</v>
      </c>
      <c r="DA25" s="156" t="s">
        <v>499</v>
      </c>
    </row>
    <row r="26" spans="1:105" ht="12" customHeight="1" x14ac:dyDescent="0.25">
      <c r="A26" s="131" t="s">
        <v>24</v>
      </c>
      <c r="B26" s="65">
        <f>IF(SER_hh_fech!B26=0,0,SER_hh_fech!B26/SER_summary!B$26)</f>
        <v>16.67801421736095</v>
      </c>
      <c r="C26" s="65">
        <f>IF(SER_hh_fech!C26=0,0,SER_hh_fech!C26/SER_summary!C$26)</f>
        <v>16.758395986888857</v>
      </c>
      <c r="D26" s="65">
        <f>IF(SER_hh_fech!D26=0,0,SER_hh_fech!D26/SER_summary!D$26)</f>
        <v>16.617521682467363</v>
      </c>
      <c r="E26" s="65">
        <f>IF(SER_hh_fech!E26=0,0,SER_hh_fech!E26/SER_summary!E$26)</f>
        <v>16.444591886869972</v>
      </c>
      <c r="F26" s="65">
        <f>IF(SER_hh_fech!F26=0,0,SER_hh_fech!F26/SER_summary!F$26)</f>
        <v>15.786690338192397</v>
      </c>
      <c r="G26" s="65">
        <f>IF(SER_hh_fech!G26=0,0,SER_hh_fech!G26/SER_summary!G$26)</f>
        <v>15.654714318473662</v>
      </c>
      <c r="H26" s="65">
        <f>IF(SER_hh_fech!H26=0,0,SER_hh_fech!H26/SER_summary!H$26)</f>
        <v>10.44307136428842</v>
      </c>
      <c r="I26" s="65">
        <f>IF(SER_hh_fech!I26=0,0,SER_hh_fech!I26/SER_summary!I$26)</f>
        <v>9.150968202526041</v>
      </c>
      <c r="J26" s="65">
        <f>IF(SER_hh_fech!J26=0,0,SER_hh_fech!J26/SER_summary!J$26)</f>
        <v>9.5194212899699089</v>
      </c>
      <c r="K26" s="65">
        <f>IF(SER_hh_fech!K26=0,0,SER_hh_fech!K26/SER_summary!K$26)</f>
        <v>9.3488649393308041</v>
      </c>
      <c r="L26" s="65">
        <f>IF(SER_hh_fech!L26=0,0,SER_hh_fech!L26/SER_summary!L$26)</f>
        <v>8.5993126828255946</v>
      </c>
      <c r="M26" s="65">
        <f>IF(SER_hh_fech!M26=0,0,SER_hh_fech!M26/SER_summary!M$26)</f>
        <v>8.8250909792983876</v>
      </c>
      <c r="N26" s="65">
        <f>IF(SER_hh_fech!N26=0,0,SER_hh_fech!N26/SER_summary!N$26)</f>
        <v>8.7426742659939976</v>
      </c>
      <c r="O26" s="65">
        <f>IF(SER_hh_fech!O26=0,0,SER_hh_fech!O26/SER_summary!O$26)</f>
        <v>8.570150113394698</v>
      </c>
      <c r="P26" s="65">
        <f>IF(SER_hh_fech!P26=0,0,SER_hh_fech!P26/SER_summary!P$26)</f>
        <v>8.7125868101371822</v>
      </c>
      <c r="Q26" s="65">
        <f>IF(SER_hh_fech!Q26=0,0,SER_hh_fech!Q26/SER_summary!Q$26)</f>
        <v>8.5669199650159111</v>
      </c>
      <c r="R26" s="65">
        <f>IF(SER_hh_fech!R26=0,0,SER_hh_fech!R26/SER_summary!R$26)</f>
        <v>8.4953622181170569</v>
      </c>
      <c r="S26" s="65">
        <f>IF(SER_hh_fech!S26=0,0,SER_hh_fech!S26/SER_summary!S$26)</f>
        <v>7.8965107139305131</v>
      </c>
      <c r="T26" s="65">
        <f>IF(SER_hh_fech!T26=0,0,SER_hh_fech!T26/SER_summary!T$26)</f>
        <v>7.8004586997422596</v>
      </c>
      <c r="U26" s="65">
        <f>IF(SER_hh_fech!U26=0,0,SER_hh_fech!U26/SER_summary!U$26)</f>
        <v>7.192388254384019</v>
      </c>
      <c r="V26" s="65">
        <f>IF(SER_hh_fech!V26=0,0,SER_hh_fech!V26/SER_summary!V$26)</f>
        <v>6.4855459520911696</v>
      </c>
      <c r="W26" s="65">
        <f>IF(SER_hh_fech!W26=0,0,SER_hh_fech!W26/SER_summary!W$26)</f>
        <v>6.5072762462063016</v>
      </c>
      <c r="X26" s="65">
        <f>IF(SER_hh_fech!X26=0,0,SER_hh_fech!X26/SER_summary!X$26)</f>
        <v>9.0093151194778649</v>
      </c>
      <c r="Y26" s="65">
        <f>IF(SER_hh_fech!Y26=0,0,SER_hh_fech!Y26/SER_summary!Y$26)</f>
        <v>10.06150343832536</v>
      </c>
      <c r="DA26" s="109" t="s">
        <v>500</v>
      </c>
    </row>
    <row r="27" spans="1:105" ht="12" customHeight="1" x14ac:dyDescent="0.25">
      <c r="A27" s="144" t="s">
        <v>86</v>
      </c>
      <c r="B27" s="145">
        <f>IF(SER_hh_fech!B27=0,0,SER_hh_fech!B27/SER_summary!B$26)</f>
        <v>4.1560278059668105</v>
      </c>
      <c r="C27" s="145">
        <f>IF(SER_hh_fech!C27=0,0,SER_hh_fech!C27/SER_summary!C$26)</f>
        <v>3.950884367618301</v>
      </c>
      <c r="D27" s="145">
        <f>IF(SER_hh_fech!D27=0,0,SER_hh_fech!D27/SER_summary!D$26)</f>
        <v>3.9845252940387135</v>
      </c>
      <c r="E27" s="145">
        <f>IF(SER_hh_fech!E27=0,0,SER_hh_fech!E27/SER_summary!E$26)</f>
        <v>4.0224763048884133</v>
      </c>
      <c r="F27" s="145">
        <f>IF(SER_hh_fech!F27=0,0,SER_hh_fech!F27/SER_summary!F$26)</f>
        <v>4.3123482357529745</v>
      </c>
      <c r="G27" s="145">
        <f>IF(SER_hh_fech!G27=0,0,SER_hh_fech!G27/SER_summary!G$26)</f>
        <v>4.3977519215099612</v>
      </c>
      <c r="H27" s="145">
        <f>IF(SER_hh_fech!H27=0,0,SER_hh_fech!H27/SER_summary!H$26)</f>
        <v>4.47574649803372</v>
      </c>
      <c r="I27" s="145">
        <f>IF(SER_hh_fech!I27=0,0,SER_hh_fech!I27/SER_summary!I$26)</f>
        <v>5.4012773232964388</v>
      </c>
      <c r="J27" s="145">
        <f>IF(SER_hh_fech!J27=0,0,SER_hh_fech!J27/SER_summary!J$26)</f>
        <v>5.6565791956167049</v>
      </c>
      <c r="K27" s="145">
        <f>IF(SER_hh_fech!K27=0,0,SER_hh_fech!K27/SER_summary!K$26)</f>
        <v>5.6653172713396964</v>
      </c>
      <c r="L27" s="145">
        <f>IF(SER_hh_fech!L27=0,0,SER_hh_fech!L27/SER_summary!L$26)</f>
        <v>5.748406313824284</v>
      </c>
      <c r="M27" s="145">
        <f>IF(SER_hh_fech!M27=0,0,SER_hh_fech!M27/SER_summary!M$26)</f>
        <v>5.7951209618607136</v>
      </c>
      <c r="N27" s="145">
        <f>IF(SER_hh_fech!N27=0,0,SER_hh_fech!N27/SER_summary!N$26)</f>
        <v>5.8211185983825855</v>
      </c>
      <c r="O27" s="145">
        <f>IF(SER_hh_fech!O27=0,0,SER_hh_fech!O27/SER_summary!O$26)</f>
        <v>5.9337731070210893</v>
      </c>
      <c r="P27" s="145">
        <f>IF(SER_hh_fech!P27=0,0,SER_hh_fech!P27/SER_summary!P$26)</f>
        <v>6.0818256462214757</v>
      </c>
      <c r="Q27" s="145">
        <f>IF(SER_hh_fech!Q27=0,0,SER_hh_fech!Q27/SER_summary!Q$26)</f>
        <v>6.2244995146137256</v>
      </c>
      <c r="R27" s="145">
        <f>IF(SER_hh_fech!R27=0,0,SER_hh_fech!R27/SER_summary!R$26)</f>
        <v>6.2743756088336911</v>
      </c>
      <c r="S27" s="145">
        <f>IF(SER_hh_fech!S27=0,0,SER_hh_fech!S27/SER_summary!S$26)</f>
        <v>6.3016775184199423</v>
      </c>
      <c r="T27" s="145">
        <f>IF(SER_hh_fech!T27=0,0,SER_hh_fech!T27/SER_summary!T$26)</f>
        <v>6.3436689822376593</v>
      </c>
      <c r="U27" s="145">
        <f>IF(SER_hh_fech!U27=0,0,SER_hh_fech!U27/SER_summary!U$26)</f>
        <v>6.3556844549573901</v>
      </c>
      <c r="V27" s="145">
        <f>IF(SER_hh_fech!V27=0,0,SER_hh_fech!V27/SER_summary!V$26)</f>
        <v>6.3908983868007274</v>
      </c>
      <c r="W27" s="145">
        <f>IF(SER_hh_fech!W27=0,0,SER_hh_fech!W27/SER_summary!W$26)</f>
        <v>6.4332693394102325</v>
      </c>
      <c r="X27" s="145">
        <f>IF(SER_hh_fech!X27=0,0,SER_hh_fech!X27/SER_summary!X$26)</f>
        <v>5.1902353485813295</v>
      </c>
      <c r="Y27" s="145">
        <f>IF(SER_hh_fech!Y27=0,0,SER_hh_fech!Y27/SER_summary!Y$26)</f>
        <v>5.1935795883352096</v>
      </c>
      <c r="DA27" s="158" t="s">
        <v>501</v>
      </c>
    </row>
    <row r="28" spans="1:105" ht="12" customHeight="1" x14ac:dyDescent="0.25">
      <c r="A28" s="78" t="s">
        <v>85</v>
      </c>
      <c r="B28" s="146">
        <f>IF(SER_hh_fech!B28=0,0,SER_hh_fech!B28/SER_summary!B$26)</f>
        <v>11.15428338430355</v>
      </c>
      <c r="C28" s="146">
        <f>IF(SER_hh_fech!C28=0,0,SER_hh_fech!C28/SER_summary!C$26)</f>
        <v>11.209348808982805</v>
      </c>
      <c r="D28" s="146">
        <f>IF(SER_hh_fech!D28=0,0,SER_hh_fech!D28/SER_summary!D$26)</f>
        <v>10.371866863404298</v>
      </c>
      <c r="E28" s="146">
        <f>IF(SER_hh_fech!E28=0,0,SER_hh_fech!E28/SER_summary!E$26)</f>
        <v>9.6946799433872286</v>
      </c>
      <c r="F28" s="146">
        <f>IF(SER_hh_fech!F28=0,0,SER_hh_fech!F28/SER_summary!F$26)</f>
        <v>9.8158241205210075</v>
      </c>
      <c r="G28" s="146">
        <f>IF(SER_hh_fech!G28=0,0,SER_hh_fech!G28/SER_summary!G$26)</f>
        <v>9.2245187282026464</v>
      </c>
      <c r="H28" s="146">
        <f>IF(SER_hh_fech!H28=0,0,SER_hh_fech!H28/SER_summary!H$26)</f>
        <v>9.619845908997231</v>
      </c>
      <c r="I28" s="146">
        <f>IF(SER_hh_fech!I28=0,0,SER_hh_fech!I28/SER_summary!I$26)</f>
        <v>10.554251471578619</v>
      </c>
      <c r="J28" s="146">
        <f>IF(SER_hh_fech!J28=0,0,SER_hh_fech!J28/SER_summary!J$26)</f>
        <v>10.753454814464613</v>
      </c>
      <c r="K28" s="146">
        <f>IF(SER_hh_fech!K28=0,0,SER_hh_fech!K28/SER_summary!K$26)</f>
        <v>10.345752997734127</v>
      </c>
      <c r="L28" s="146">
        <f>IF(SER_hh_fech!L28=0,0,SER_hh_fech!L28/SER_summary!L$26)</f>
        <v>10.560748338311125</v>
      </c>
      <c r="M28" s="146">
        <f>IF(SER_hh_fech!M28=0,0,SER_hh_fech!M28/SER_summary!M$26)</f>
        <v>10.511124445140835</v>
      </c>
      <c r="N28" s="146">
        <f>IF(SER_hh_fech!N28=0,0,SER_hh_fech!N28/SER_summary!N$26)</f>
        <v>11.099529658977204</v>
      </c>
      <c r="O28" s="146">
        <f>IF(SER_hh_fech!O28=0,0,SER_hh_fech!O28/SER_summary!O$26)</f>
        <v>12.397936172345913</v>
      </c>
      <c r="P28" s="146">
        <f>IF(SER_hh_fech!P28=0,0,SER_hh_fech!P28/SER_summary!P$26)</f>
        <v>12.58170904329176</v>
      </c>
      <c r="Q28" s="146">
        <f>IF(SER_hh_fech!Q28=0,0,SER_hh_fech!Q28/SER_summary!Q$26)</f>
        <v>12.429400574030396</v>
      </c>
      <c r="R28" s="146">
        <f>IF(SER_hh_fech!R28=0,0,SER_hh_fech!R28/SER_summary!R$26)</f>
        <v>12.099010119734666</v>
      </c>
      <c r="S28" s="146">
        <f>IF(SER_hh_fech!S28=0,0,SER_hh_fech!S28/SER_summary!S$26)</f>
        <v>11.408846016556289</v>
      </c>
      <c r="T28" s="146">
        <f>IF(SER_hh_fech!T28=0,0,SER_hh_fech!T28/SER_summary!T$26)</f>
        <v>11.634884150618971</v>
      </c>
      <c r="U28" s="146">
        <f>IF(SER_hh_fech!U28=0,0,SER_hh_fech!U28/SER_summary!U$26)</f>
        <v>11.683906674978404</v>
      </c>
      <c r="V28" s="146">
        <f>IF(SER_hh_fech!V28=0,0,SER_hh_fech!V28/SER_summary!V$26)</f>
        <v>10.826944965835315</v>
      </c>
      <c r="W28" s="146">
        <f>IF(SER_hh_fech!W28=0,0,SER_hh_fech!W28/SER_summary!W$26)</f>
        <v>11.136204164878663</v>
      </c>
      <c r="X28" s="146">
        <f>IF(SER_hh_fech!X28=0,0,SER_hh_fech!X28/SER_summary!X$26)</f>
        <v>11.984599422340507</v>
      </c>
      <c r="Y28" s="146">
        <f>IF(SER_hh_fech!Y28=0,0,SER_hh_fech!Y28/SER_summary!Y$26)</f>
        <v>13.14412944739837</v>
      </c>
      <c r="DA28" s="159"/>
    </row>
    <row r="29" spans="1:105" ht="12.95" customHeight="1" x14ac:dyDescent="0.25">
      <c r="A29" s="129" t="s">
        <v>34</v>
      </c>
      <c r="B29" s="130">
        <f>IF(SER_hh_fech!B29=0,0,SER_hh_fech!B29/SER_summary!B$26)</f>
        <v>16.756593105822823</v>
      </c>
      <c r="C29" s="130">
        <f>IF(SER_hh_fech!C29=0,0,SER_hh_fech!C29/SER_summary!C$26)</f>
        <v>16.620985471556075</v>
      </c>
      <c r="D29" s="130">
        <f>IF(SER_hh_fech!D29=0,0,SER_hh_fech!D29/SER_summary!D$26)</f>
        <v>16.801598199898219</v>
      </c>
      <c r="E29" s="130">
        <f>IF(SER_hh_fech!E29=0,0,SER_hh_fech!E29/SER_summary!E$26)</f>
        <v>16.875586895784998</v>
      </c>
      <c r="F29" s="130">
        <f>IF(SER_hh_fech!F29=0,0,SER_hh_fech!F29/SER_summary!F$26)</f>
        <v>17.225247416423894</v>
      </c>
      <c r="G29" s="130">
        <f>IF(SER_hh_fech!G29=0,0,SER_hh_fech!G29/SER_summary!G$26)</f>
        <v>17.527679865537536</v>
      </c>
      <c r="H29" s="130">
        <f>IF(SER_hh_fech!H29=0,0,SER_hh_fech!H29/SER_summary!H$26)</f>
        <v>18.499440612118054</v>
      </c>
      <c r="I29" s="130">
        <f>IF(SER_hh_fech!I29=0,0,SER_hh_fech!I29/SER_summary!I$26)</f>
        <v>18.769251467599116</v>
      </c>
      <c r="J29" s="130">
        <f>IF(SER_hh_fech!J29=0,0,SER_hh_fech!J29/SER_summary!J$26)</f>
        <v>19.038171268446906</v>
      </c>
      <c r="K29" s="130">
        <f>IF(SER_hh_fech!K29=0,0,SER_hh_fech!K29/SER_summary!K$26)</f>
        <v>18.6394739046012</v>
      </c>
      <c r="L29" s="130">
        <f>IF(SER_hh_fech!L29=0,0,SER_hh_fech!L29/SER_summary!L$26)</f>
        <v>18.250589740955686</v>
      </c>
      <c r="M29" s="130">
        <f>IF(SER_hh_fech!M29=0,0,SER_hh_fech!M29/SER_summary!M$26)</f>
        <v>18.383766713003467</v>
      </c>
      <c r="N29" s="130">
        <f>IF(SER_hh_fech!N29=0,0,SER_hh_fech!N29/SER_summary!N$26)</f>
        <v>18.345953288040711</v>
      </c>
      <c r="O29" s="130">
        <f>IF(SER_hh_fech!O29=0,0,SER_hh_fech!O29/SER_summary!O$26)</f>
        <v>17.962924492529545</v>
      </c>
      <c r="P29" s="130">
        <f>IF(SER_hh_fech!P29=0,0,SER_hh_fech!P29/SER_summary!P$26)</f>
        <v>18.028570317459671</v>
      </c>
      <c r="Q29" s="130">
        <f>IF(SER_hh_fech!Q29=0,0,SER_hh_fech!Q29/SER_summary!Q$26)</f>
        <v>18.143691593619895</v>
      </c>
      <c r="R29" s="130">
        <f>IF(SER_hh_fech!R29=0,0,SER_hh_fech!R29/SER_summary!R$26)</f>
        <v>18.087344767538632</v>
      </c>
      <c r="S29" s="130">
        <f>IF(SER_hh_fech!S29=0,0,SER_hh_fech!S29/SER_summary!S$26)</f>
        <v>18.357712125177649</v>
      </c>
      <c r="T29" s="130">
        <f>IF(SER_hh_fech!T29=0,0,SER_hh_fech!T29/SER_summary!T$26)</f>
        <v>18.489701997980205</v>
      </c>
      <c r="U29" s="130">
        <f>IF(SER_hh_fech!U29=0,0,SER_hh_fech!U29/SER_summary!U$26)</f>
        <v>18.92944246575415</v>
      </c>
      <c r="V29" s="130">
        <f>IF(SER_hh_fech!V29=0,0,SER_hh_fech!V29/SER_summary!V$26)</f>
        <v>16.451757367839818</v>
      </c>
      <c r="W29" s="130">
        <f>IF(SER_hh_fech!W29=0,0,SER_hh_fech!W29/SER_summary!W$26)</f>
        <v>16.31817796069657</v>
      </c>
      <c r="X29" s="130">
        <f>IF(SER_hh_fech!X29=0,0,SER_hh_fech!X29/SER_summary!X$26)</f>
        <v>17.370866347863682</v>
      </c>
      <c r="Y29" s="130">
        <f>IF(SER_hh_fech!Y29=0,0,SER_hh_fech!Y29/SER_summary!Y$26)</f>
        <v>17.930617152105999</v>
      </c>
      <c r="DA29" s="155" t="s">
        <v>502</v>
      </c>
    </row>
    <row r="30" spans="1:105" ht="12" customHeight="1" x14ac:dyDescent="0.25">
      <c r="A30" s="131" t="s">
        <v>52</v>
      </c>
      <c r="B30" s="132">
        <f>IF(SER_hh_fech!B30=0,0,SER_hh_fech!B30/SER_summary!B$26)</f>
        <v>0</v>
      </c>
      <c r="C30" s="132">
        <f>IF(SER_hh_fech!C30=0,0,SER_hh_fech!C30/SER_summary!C$26)</f>
        <v>0</v>
      </c>
      <c r="D30" s="132">
        <f>IF(SER_hh_fech!D30=0,0,SER_hh_fech!D30/SER_summary!D$26)</f>
        <v>0</v>
      </c>
      <c r="E30" s="132">
        <f>IF(SER_hh_fech!E30=0,0,SER_hh_fech!E30/SER_summary!E$26)</f>
        <v>0</v>
      </c>
      <c r="F30" s="132">
        <f>IF(SER_hh_fech!F30=0,0,SER_hh_fech!F30/SER_summary!F$26)</f>
        <v>0</v>
      </c>
      <c r="G30" s="132">
        <f>IF(SER_hh_fech!G30=0,0,SER_hh_fech!G30/SER_summary!G$26)</f>
        <v>0</v>
      </c>
      <c r="H30" s="132">
        <f>IF(SER_hh_fech!H30=0,0,SER_hh_fech!H30/SER_summary!H$26)</f>
        <v>30.221459510056423</v>
      </c>
      <c r="I30" s="132">
        <f>IF(SER_hh_fech!I30=0,0,SER_hh_fech!I30/SER_summary!I$26)</f>
        <v>23.105825346605773</v>
      </c>
      <c r="J30" s="132">
        <f>IF(SER_hh_fech!J30=0,0,SER_hh_fech!J30/SER_summary!J$26)</f>
        <v>24.110257773068923</v>
      </c>
      <c r="K30" s="132">
        <f>IF(SER_hh_fech!K30=0,0,SER_hh_fech!K30/SER_summary!K$26)</f>
        <v>20.379747394904808</v>
      </c>
      <c r="L30" s="132">
        <f>IF(SER_hh_fech!L30=0,0,SER_hh_fech!L30/SER_summary!L$26)</f>
        <v>18.801385068618888</v>
      </c>
      <c r="M30" s="132">
        <f>IF(SER_hh_fech!M30=0,0,SER_hh_fech!M30/SER_summary!M$26)</f>
        <v>22.45436615876368</v>
      </c>
      <c r="N30" s="132">
        <f>IF(SER_hh_fech!N30=0,0,SER_hh_fech!N30/SER_summary!N$26)</f>
        <v>23.055177459186961</v>
      </c>
      <c r="O30" s="132">
        <f>IF(SER_hh_fech!O30=0,0,SER_hh_fech!O30/SER_summary!O$26)</f>
        <v>21.299493665121652</v>
      </c>
      <c r="P30" s="132">
        <f>IF(SER_hh_fech!P30=0,0,SER_hh_fech!P30/SER_summary!P$26)</f>
        <v>18.613857584110637</v>
      </c>
      <c r="Q30" s="132">
        <f>IF(SER_hh_fech!Q30=0,0,SER_hh_fech!Q30/SER_summary!Q$26)</f>
        <v>21.302045685110652</v>
      </c>
      <c r="R30" s="132">
        <f>IF(SER_hh_fech!R30=0,0,SER_hh_fech!R30/SER_summary!R$26)</f>
        <v>19.065507575627471</v>
      </c>
      <c r="S30" s="132">
        <f>IF(SER_hh_fech!S30=0,0,SER_hh_fech!S30/SER_summary!S$26)</f>
        <v>22.076699266287445</v>
      </c>
      <c r="T30" s="132">
        <f>IF(SER_hh_fech!T30=0,0,SER_hh_fech!T30/SER_summary!T$26)</f>
        <v>22.92485391146305</v>
      </c>
      <c r="U30" s="132">
        <f>IF(SER_hh_fech!U30=0,0,SER_hh_fech!U30/SER_summary!U$26)</f>
        <v>29.02142362178904</v>
      </c>
      <c r="V30" s="132">
        <f>IF(SER_hh_fech!V30=0,0,SER_hh_fech!V30/SER_summary!V$26)</f>
        <v>20.511701863437274</v>
      </c>
      <c r="W30" s="132">
        <f>IF(SER_hh_fech!W30=0,0,SER_hh_fech!W30/SER_summary!W$26)</f>
        <v>17.784469805687898</v>
      </c>
      <c r="X30" s="132">
        <f>IF(SER_hh_fech!X30=0,0,SER_hh_fech!X30/SER_summary!X$26)</f>
        <v>22.517954602981831</v>
      </c>
      <c r="Y30" s="132">
        <f>IF(SER_hh_fech!Y30=0,0,SER_hh_fech!Y30/SER_summary!Y$26)</f>
        <v>20.848768436870973</v>
      </c>
      <c r="DA30" s="156" t="s">
        <v>503</v>
      </c>
    </row>
    <row r="31" spans="1:105" ht="12" customHeight="1" x14ac:dyDescent="0.25">
      <c r="A31" s="131" t="s">
        <v>149</v>
      </c>
      <c r="B31" s="132">
        <f>IF(SER_hh_fech!B31=0,0,SER_hh_fech!B31/SER_summary!B$26)</f>
        <v>0</v>
      </c>
      <c r="C31" s="132">
        <f>IF(SER_hh_fech!C31=0,0,SER_hh_fech!C31/SER_summary!C$26)</f>
        <v>0</v>
      </c>
      <c r="D31" s="132">
        <f>IF(SER_hh_fech!D31=0,0,SER_hh_fech!D31/SER_summary!D$26)</f>
        <v>0</v>
      </c>
      <c r="E31" s="132">
        <f>IF(SER_hh_fech!E31=0,0,SER_hh_fech!E31/SER_summary!E$26)</f>
        <v>0</v>
      </c>
      <c r="F31" s="132">
        <f>IF(SER_hh_fech!F31=0,0,SER_hh_fech!F31/SER_summary!F$26)</f>
        <v>0</v>
      </c>
      <c r="G31" s="132">
        <f>IF(SER_hh_fech!G31=0,0,SER_hh_fech!G31/SER_summary!G$26)</f>
        <v>0</v>
      </c>
      <c r="H31" s="132">
        <f>IF(SER_hh_fech!H31=0,0,SER_hh_fech!H31/SER_summary!H$26)</f>
        <v>0</v>
      </c>
      <c r="I31" s="132">
        <f>IF(SER_hh_fech!I31=0,0,SER_hh_fech!I31/SER_summary!I$26)</f>
        <v>0</v>
      </c>
      <c r="J31" s="132">
        <f>IF(SER_hh_fech!J31=0,0,SER_hh_fech!J31/SER_summary!J$26)</f>
        <v>0</v>
      </c>
      <c r="K31" s="132">
        <f>IF(SER_hh_fech!K31=0,0,SER_hh_fech!K31/SER_summary!K$26)</f>
        <v>0</v>
      </c>
      <c r="L31" s="132">
        <f>IF(SER_hh_fech!L31=0,0,SER_hh_fech!L31/SER_summary!L$26)</f>
        <v>0</v>
      </c>
      <c r="M31" s="132">
        <f>IF(SER_hh_fech!M31=0,0,SER_hh_fech!M31/SER_summary!M$26)</f>
        <v>0</v>
      </c>
      <c r="N31" s="132">
        <f>IF(SER_hh_fech!N31=0,0,SER_hh_fech!N31/SER_summary!N$26)</f>
        <v>0</v>
      </c>
      <c r="O31" s="132">
        <f>IF(SER_hh_fech!O31=0,0,SER_hh_fech!O31/SER_summary!O$26)</f>
        <v>0</v>
      </c>
      <c r="P31" s="132">
        <f>IF(SER_hh_fech!P31=0,0,SER_hh_fech!P31/SER_summary!P$26)</f>
        <v>0</v>
      </c>
      <c r="Q31" s="132">
        <f>IF(SER_hh_fech!Q31=0,0,SER_hh_fech!Q31/SER_summary!Q$26)</f>
        <v>0</v>
      </c>
      <c r="R31" s="132">
        <f>IF(SER_hh_fech!R31=0,0,SER_hh_fech!R31/SER_summary!R$26)</f>
        <v>0</v>
      </c>
      <c r="S31" s="132">
        <f>IF(SER_hh_fech!S31=0,0,SER_hh_fech!S31/SER_summary!S$26)</f>
        <v>0</v>
      </c>
      <c r="T31" s="132">
        <f>IF(SER_hh_fech!T31=0,0,SER_hh_fech!T31/SER_summary!T$26)</f>
        <v>0</v>
      </c>
      <c r="U31" s="132">
        <f>IF(SER_hh_fech!U31=0,0,SER_hh_fech!U31/SER_summary!U$26)</f>
        <v>0</v>
      </c>
      <c r="V31" s="132">
        <f>IF(SER_hh_fech!V31=0,0,SER_hh_fech!V31/SER_summary!V$26)</f>
        <v>0</v>
      </c>
      <c r="W31" s="132">
        <f>IF(SER_hh_fech!W31=0,0,SER_hh_fech!W31/SER_summary!W$26)</f>
        <v>0</v>
      </c>
      <c r="X31" s="132">
        <f>IF(SER_hh_fech!X31=0,0,SER_hh_fech!X31/SER_summary!X$26)</f>
        <v>0</v>
      </c>
      <c r="Y31" s="132">
        <f>IF(SER_hh_fech!Y31=0,0,SER_hh_fech!Y31/SER_summary!Y$26)</f>
        <v>0</v>
      </c>
      <c r="DA31" s="156" t="s">
        <v>504</v>
      </c>
    </row>
    <row r="32" spans="1:105" ht="12" customHeight="1" x14ac:dyDescent="0.25">
      <c r="A32" s="131" t="s">
        <v>128</v>
      </c>
      <c r="B32" s="132">
        <f>IF(SER_hh_fech!B32=0,0,SER_hh_fech!B32/SER_summary!B$26)</f>
        <v>22.133924140181744</v>
      </c>
      <c r="C32" s="132">
        <f>IF(SER_hh_fech!C32=0,0,SER_hh_fech!C32/SER_summary!C$26)</f>
        <v>20.067280458373951</v>
      </c>
      <c r="D32" s="132">
        <f>IF(SER_hh_fech!D32=0,0,SER_hh_fech!D32/SER_summary!D$26)</f>
        <v>23.736143432977119</v>
      </c>
      <c r="E32" s="132">
        <f>IF(SER_hh_fech!E32=0,0,SER_hh_fech!E32/SER_summary!E$26)</f>
        <v>21.080303554358704</v>
      </c>
      <c r="F32" s="132">
        <f>IF(SER_hh_fech!F32=0,0,SER_hh_fech!F32/SER_summary!F$26)</f>
        <v>21.999014357587679</v>
      </c>
      <c r="G32" s="132">
        <f>IF(SER_hh_fech!G32=0,0,SER_hh_fech!G32/SER_summary!G$26)</f>
        <v>23.59239180438863</v>
      </c>
      <c r="H32" s="132">
        <f>IF(SER_hh_fech!H32=0,0,SER_hh_fech!H32/SER_summary!H$26)</f>
        <v>20.916994968908519</v>
      </c>
      <c r="I32" s="132">
        <f>IF(SER_hh_fech!I32=0,0,SER_hh_fech!I32/SER_summary!I$26)</f>
        <v>25.338621868233755</v>
      </c>
      <c r="J32" s="132">
        <f>IF(SER_hh_fech!J32=0,0,SER_hh_fech!J32/SER_summary!J$26)</f>
        <v>23.986755937486674</v>
      </c>
      <c r="K32" s="132">
        <f>IF(SER_hh_fech!K32=0,0,SER_hh_fech!K32/SER_summary!K$26)</f>
        <v>23.008085682360818</v>
      </c>
      <c r="L32" s="132">
        <f>IF(SER_hh_fech!L32=0,0,SER_hh_fech!L32/SER_summary!L$26)</f>
        <v>22.913752492190266</v>
      </c>
      <c r="M32" s="132">
        <f>IF(SER_hh_fech!M32=0,0,SER_hh_fech!M32/SER_summary!M$26)</f>
        <v>22.790161533188471</v>
      </c>
      <c r="N32" s="132">
        <f>IF(SER_hh_fech!N32=0,0,SER_hh_fech!N32/SER_summary!N$26)</f>
        <v>22.672788482768325</v>
      </c>
      <c r="O32" s="132">
        <f>IF(SER_hh_fech!O32=0,0,SER_hh_fech!O32/SER_summary!O$26)</f>
        <v>22.62022290842496</v>
      </c>
      <c r="P32" s="132">
        <f>IF(SER_hh_fech!P32=0,0,SER_hh_fech!P32/SER_summary!P$26)</f>
        <v>22.779624660865707</v>
      </c>
      <c r="Q32" s="132">
        <f>IF(SER_hh_fech!Q32=0,0,SER_hh_fech!Q32/SER_summary!Q$26)</f>
        <v>22.373643830635466</v>
      </c>
      <c r="R32" s="132">
        <f>IF(SER_hh_fech!R32=0,0,SER_hh_fech!R32/SER_summary!R$26)</f>
        <v>22.444874751710941</v>
      </c>
      <c r="S32" s="132">
        <f>IF(SER_hh_fech!S32=0,0,SER_hh_fech!S32/SER_summary!S$26)</f>
        <v>22.079468865749195</v>
      </c>
      <c r="T32" s="132">
        <f>IF(SER_hh_fech!T32=0,0,SER_hh_fech!T32/SER_summary!T$26)</f>
        <v>21.074157876019456</v>
      </c>
      <c r="U32" s="132">
        <f>IF(SER_hh_fech!U32=0,0,SER_hh_fech!U32/SER_summary!U$26)</f>
        <v>25.66662270819636</v>
      </c>
      <c r="V32" s="132">
        <f>IF(SER_hh_fech!V32=0,0,SER_hh_fech!V32/SER_summary!V$26)</f>
        <v>25.096369533330666</v>
      </c>
      <c r="W32" s="132">
        <f>IF(SER_hh_fech!W32=0,0,SER_hh_fech!W32/SER_summary!W$26)</f>
        <v>18.22345034534095</v>
      </c>
      <c r="X32" s="132">
        <f>IF(SER_hh_fech!X32=0,0,SER_hh_fech!X32/SER_summary!X$26)</f>
        <v>23.316894652093168</v>
      </c>
      <c r="Y32" s="132">
        <f>IF(SER_hh_fech!Y32=0,0,SER_hh_fech!Y32/SER_summary!Y$26)</f>
        <v>22.341013212496119</v>
      </c>
      <c r="DA32" s="156" t="s">
        <v>505</v>
      </c>
    </row>
    <row r="33" spans="1:105" ht="12" customHeight="1" x14ac:dyDescent="0.25">
      <c r="A33" s="62" t="s">
        <v>24</v>
      </c>
      <c r="B33" s="68">
        <f>IF(SER_hh_fech!B33=0,0,SER_hh_fech!B33/SER_summary!B$26)</f>
        <v>16.393907822480674</v>
      </c>
      <c r="C33" s="68">
        <f>IF(SER_hh_fech!C33=0,0,SER_hh_fech!C33/SER_summary!C$26)</f>
        <v>16.368263049860637</v>
      </c>
      <c r="D33" s="68">
        <f>IF(SER_hh_fech!D33=0,0,SER_hh_fech!D33/SER_summary!D$26)</f>
        <v>16.200816206936029</v>
      </c>
      <c r="E33" s="68">
        <f>IF(SER_hh_fech!E33=0,0,SER_hh_fech!E33/SER_summary!E$26)</f>
        <v>16.468390464285978</v>
      </c>
      <c r="F33" s="68">
        <f>IF(SER_hh_fech!F33=0,0,SER_hh_fech!F33/SER_summary!F$26)</f>
        <v>16.702115286385993</v>
      </c>
      <c r="G33" s="68">
        <f>IF(SER_hh_fech!G33=0,0,SER_hh_fech!G33/SER_summary!G$26)</f>
        <v>16.75833276464618</v>
      </c>
      <c r="H33" s="68">
        <f>IF(SER_hh_fech!H33=0,0,SER_hh_fech!H33/SER_summary!H$26)</f>
        <v>15.948966440722536</v>
      </c>
      <c r="I33" s="68">
        <f>IF(SER_hh_fech!I33=0,0,SER_hh_fech!I33/SER_summary!I$26)</f>
        <v>16.367558735132548</v>
      </c>
      <c r="J33" s="68">
        <f>IF(SER_hh_fech!J33=0,0,SER_hh_fech!J33/SER_summary!J$26)</f>
        <v>16.552841674280547</v>
      </c>
      <c r="K33" s="68">
        <f>IF(SER_hh_fech!K33=0,0,SER_hh_fech!K33/SER_summary!K$26)</f>
        <v>17.26804739828339</v>
      </c>
      <c r="L33" s="68">
        <f>IF(SER_hh_fech!L33=0,0,SER_hh_fech!L33/SER_summary!L$26)</f>
        <v>17.163075497447373</v>
      </c>
      <c r="M33" s="68">
        <f>IF(SER_hh_fech!M33=0,0,SER_hh_fech!M33/SER_summary!M$26)</f>
        <v>16.375865203127788</v>
      </c>
      <c r="N33" s="68">
        <f>IF(SER_hh_fech!N33=0,0,SER_hh_fech!N33/SER_summary!N$26)</f>
        <v>16.160619892708755</v>
      </c>
      <c r="O33" s="68">
        <f>IF(SER_hh_fech!O33=0,0,SER_hh_fech!O33/SER_summary!O$26)</f>
        <v>16.099129458316678</v>
      </c>
      <c r="P33" s="68">
        <f>IF(SER_hh_fech!P33=0,0,SER_hh_fech!P33/SER_summary!P$26)</f>
        <v>16.924958783717102</v>
      </c>
      <c r="Q33" s="68">
        <f>IF(SER_hh_fech!Q33=0,0,SER_hh_fech!Q33/SER_summary!Q$26)</f>
        <v>16.332902620308001</v>
      </c>
      <c r="R33" s="68">
        <f>IF(SER_hh_fech!R33=0,0,SER_hh_fech!R33/SER_summary!R$26)</f>
        <v>16.858987175904634</v>
      </c>
      <c r="S33" s="68">
        <f>IF(SER_hh_fech!S33=0,0,SER_hh_fech!S33/SER_summary!S$26)</f>
        <v>15.925910147369482</v>
      </c>
      <c r="T33" s="68">
        <f>IF(SER_hh_fech!T33=0,0,SER_hh_fech!T33/SER_summary!T$26)</f>
        <v>15.933508727163096</v>
      </c>
      <c r="U33" s="68">
        <f>IF(SER_hh_fech!U33=0,0,SER_hh_fech!U33/SER_summary!U$26)</f>
        <v>13.112907243435389</v>
      </c>
      <c r="V33" s="68">
        <f>IF(SER_hh_fech!V33=0,0,SER_hh_fech!V33/SER_summary!V$26)</f>
        <v>12.73495231215453</v>
      </c>
      <c r="W33" s="68">
        <f>IF(SER_hh_fech!W33=0,0,SER_hh_fech!W33/SER_summary!W$26)</f>
        <v>15.330530820073109</v>
      </c>
      <c r="X33" s="68">
        <f>IF(SER_hh_fech!X33=0,0,SER_hh_fech!X33/SER_summary!X$26)</f>
        <v>14.53426588437066</v>
      </c>
      <c r="Y33" s="68">
        <f>IF(SER_hh_fech!Y33=0,0,SER_hh_fech!Y33/SER_summary!Y$26)</f>
        <v>16.300548673144185</v>
      </c>
      <c r="DA33" s="111" t="s">
        <v>506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>
        <f>IF(SER_hh_tesh!B3=0,0,SER_hh_tesh!B3/SER_summary!B$26)</f>
        <v>59.899005945364308</v>
      </c>
      <c r="C3" s="125">
        <f>IF(SER_hh_tesh!C3=0,0,SER_hh_tesh!C3/SER_summary!C$26)</f>
        <v>65.419102745376549</v>
      </c>
      <c r="D3" s="125">
        <f>IF(SER_hh_tesh!D3=0,0,SER_hh_tesh!D3/SER_summary!D$26)</f>
        <v>72.809043043031224</v>
      </c>
      <c r="E3" s="125">
        <f>IF(SER_hh_tesh!E3=0,0,SER_hh_tesh!E3/SER_summary!E$26)</f>
        <v>79.757376579324102</v>
      </c>
      <c r="F3" s="125">
        <f>IF(SER_hh_tesh!F3=0,0,SER_hh_tesh!F3/SER_summary!F$26)</f>
        <v>79.328804833522142</v>
      </c>
      <c r="G3" s="125">
        <f>IF(SER_hh_tesh!G3=0,0,SER_hh_tesh!G3/SER_summary!G$26)</f>
        <v>82.159714001448322</v>
      </c>
      <c r="H3" s="125">
        <f>IF(SER_hh_tesh!H3=0,0,SER_hh_tesh!H3/SER_summary!H$26)</f>
        <v>99.219193523624341</v>
      </c>
      <c r="I3" s="125">
        <f>IF(SER_hh_tesh!I3=0,0,SER_hh_tesh!I3/SER_summary!I$26)</f>
        <v>108.24985009102387</v>
      </c>
      <c r="J3" s="125">
        <f>IF(SER_hh_tesh!J3=0,0,SER_hh_tesh!J3/SER_summary!J$26)</f>
        <v>117.88284293115926</v>
      </c>
      <c r="K3" s="125">
        <f>IF(SER_hh_tesh!K3=0,0,SER_hh_tesh!K3/SER_summary!K$26)</f>
        <v>119.20736208311475</v>
      </c>
      <c r="L3" s="125">
        <f>IF(SER_hh_tesh!L3=0,0,SER_hh_tesh!L3/SER_summary!L$26)</f>
        <v>126.80314919325099</v>
      </c>
      <c r="M3" s="125">
        <f>IF(SER_hh_tesh!M3=0,0,SER_hh_tesh!M3/SER_summary!M$26)</f>
        <v>120.5620146760792</v>
      </c>
      <c r="N3" s="125">
        <f>IF(SER_hh_tesh!N3=0,0,SER_hh_tesh!N3/SER_summary!N$26)</f>
        <v>125.93603910386072</v>
      </c>
      <c r="O3" s="125">
        <f>IF(SER_hh_tesh!O3=0,0,SER_hh_tesh!O3/SER_summary!O$26)</f>
        <v>121.67144008291426</v>
      </c>
      <c r="P3" s="125">
        <f>IF(SER_hh_tesh!P3=0,0,SER_hh_tesh!P3/SER_summary!P$26)</f>
        <v>119.75563587019165</v>
      </c>
      <c r="Q3" s="125">
        <f>IF(SER_hh_tesh!Q3=0,0,SER_hh_tesh!Q3/SER_summary!Q$26)</f>
        <v>128.68293690810765</v>
      </c>
      <c r="R3" s="125">
        <f>IF(SER_hh_tesh!R3=0,0,SER_hh_tesh!R3/SER_summary!R$26)</f>
        <v>141.67130504900913</v>
      </c>
      <c r="S3" s="125">
        <f>IF(SER_hh_tesh!S3=0,0,SER_hh_tesh!S3/SER_summary!S$26)</f>
        <v>143.88719077409067</v>
      </c>
      <c r="T3" s="125">
        <f>IF(SER_hh_tesh!T3=0,0,SER_hh_tesh!T3/SER_summary!T$26)</f>
        <v>164.47920015594266</v>
      </c>
      <c r="U3" s="125">
        <f>IF(SER_hh_tesh!U3=0,0,SER_hh_tesh!U3/SER_summary!U$26)</f>
        <v>159.85445683347237</v>
      </c>
      <c r="V3" s="125">
        <f>IF(SER_hh_tesh!V3=0,0,SER_hh_tesh!V3/SER_summary!V$26)</f>
        <v>148.76091868701471</v>
      </c>
      <c r="W3" s="125">
        <f>IF(SER_hh_tesh!W3=0,0,SER_hh_tesh!W3/SER_summary!W$26)</f>
        <v>150.61359277744501</v>
      </c>
      <c r="X3" s="125">
        <f>IF(SER_hh_tesh!X3=0,0,SER_hh_tesh!X3/SER_summary!X$26)</f>
        <v>159.65718261694724</v>
      </c>
      <c r="Y3" s="125">
        <f>IF(SER_hh_tesh!Y3=0,0,SER_hh_tesh!Y3/SER_summary!Y$26)</f>
        <v>169.80140602324425</v>
      </c>
      <c r="DA3" s="154" t="s">
        <v>508</v>
      </c>
    </row>
    <row r="4" spans="1:105" ht="12.95" customHeight="1" x14ac:dyDescent="0.25">
      <c r="A4" s="129" t="s">
        <v>32</v>
      </c>
      <c r="B4" s="130">
        <f>IF(SER_hh_tesh!B4=0,0,SER_hh_tesh!B4/SER_summary!B$26)</f>
        <v>11.208904612795724</v>
      </c>
      <c r="C4" s="130">
        <f>IF(SER_hh_tesh!C4=0,0,SER_hh_tesh!C4/SER_summary!C$26)</f>
        <v>14.838665849774788</v>
      </c>
      <c r="D4" s="130">
        <f>IF(SER_hh_tesh!D4=0,0,SER_hh_tesh!D4/SER_summary!D$26)</f>
        <v>18.040910553651827</v>
      </c>
      <c r="E4" s="130">
        <f>IF(SER_hh_tesh!E4=0,0,SER_hh_tesh!E4/SER_summary!E$26)</f>
        <v>18.558622406847597</v>
      </c>
      <c r="F4" s="130">
        <f>IF(SER_hh_tesh!F4=0,0,SER_hh_tesh!F4/SER_summary!F$26)</f>
        <v>19.983685531459329</v>
      </c>
      <c r="G4" s="130">
        <f>IF(SER_hh_tesh!G4=0,0,SER_hh_tesh!G4/SER_summary!G$26)</f>
        <v>22.177542243226924</v>
      </c>
      <c r="H4" s="130">
        <f>IF(SER_hh_tesh!H4=0,0,SER_hh_tesh!H4/SER_summary!H$26)</f>
        <v>31.123498501960235</v>
      </c>
      <c r="I4" s="130">
        <f>IF(SER_hh_tesh!I4=0,0,SER_hh_tesh!I4/SER_summary!I$26)</f>
        <v>32.219665061160995</v>
      </c>
      <c r="J4" s="130">
        <f>IF(SER_hh_tesh!J4=0,0,SER_hh_tesh!J4/SER_summary!J$26)</f>
        <v>37.611466290160841</v>
      </c>
      <c r="K4" s="130">
        <f>IF(SER_hh_tesh!K4=0,0,SER_hh_tesh!K4/SER_summary!K$26)</f>
        <v>38.728099408276371</v>
      </c>
      <c r="L4" s="130">
        <f>IF(SER_hh_tesh!L4=0,0,SER_hh_tesh!L4/SER_summary!L$26)</f>
        <v>41.096788069165186</v>
      </c>
      <c r="M4" s="130">
        <f>IF(SER_hh_tesh!M4=0,0,SER_hh_tesh!M4/SER_summary!M$26)</f>
        <v>40.257320363337925</v>
      </c>
      <c r="N4" s="130">
        <f>IF(SER_hh_tesh!N4=0,0,SER_hh_tesh!N4/SER_summary!N$26)</f>
        <v>32.791717960909637</v>
      </c>
      <c r="O4" s="130">
        <f>IF(SER_hh_tesh!O4=0,0,SER_hh_tesh!O4/SER_summary!O$26)</f>
        <v>38.010070471325747</v>
      </c>
      <c r="P4" s="130">
        <f>IF(SER_hh_tesh!P4=0,0,SER_hh_tesh!P4/SER_summary!P$26)</f>
        <v>41.05316712927619</v>
      </c>
      <c r="Q4" s="130">
        <f>IF(SER_hh_tesh!Q4=0,0,SER_hh_tesh!Q4/SER_summary!Q$26)</f>
        <v>44.317876768869311</v>
      </c>
      <c r="R4" s="130">
        <f>IF(SER_hh_tesh!R4=0,0,SER_hh_tesh!R4/SER_summary!R$26)</f>
        <v>47.735329962472179</v>
      </c>
      <c r="S4" s="130">
        <f>IF(SER_hh_tesh!S4=0,0,SER_hh_tesh!S4/SER_summary!S$26)</f>
        <v>52.484657267013255</v>
      </c>
      <c r="T4" s="130">
        <f>IF(SER_hh_tesh!T4=0,0,SER_hh_tesh!T4/SER_summary!T$26)</f>
        <v>52.898108729461342</v>
      </c>
      <c r="U4" s="130">
        <f>IF(SER_hh_tesh!U4=0,0,SER_hh_tesh!U4/SER_summary!U$26)</f>
        <v>58.983803119616489</v>
      </c>
      <c r="V4" s="130">
        <f>IF(SER_hh_tesh!V4=0,0,SER_hh_tesh!V4/SER_summary!V$26)</f>
        <v>44.897215721241892</v>
      </c>
      <c r="W4" s="130">
        <f>IF(SER_hh_tesh!W4=0,0,SER_hh_tesh!W4/SER_summary!W$26)</f>
        <v>53.107720462119993</v>
      </c>
      <c r="X4" s="130">
        <f>IF(SER_hh_tesh!X4=0,0,SER_hh_tesh!X4/SER_summary!X$26)</f>
        <v>63.313026063358855</v>
      </c>
      <c r="Y4" s="130">
        <f>IF(SER_hh_tesh!Y4=0,0,SER_hh_tesh!Y4/SER_summary!Y$26)</f>
        <v>62.90034679612463</v>
      </c>
      <c r="DA4" s="155" t="s">
        <v>509</v>
      </c>
    </row>
    <row r="5" spans="1:105" ht="12" customHeight="1" x14ac:dyDescent="0.25">
      <c r="A5" s="131" t="s">
        <v>29</v>
      </c>
      <c r="B5" s="132">
        <f>IF(SER_hh_tesh!B5=0,0,SER_hh_tesh!B5/SER_summary!B$26)</f>
        <v>0</v>
      </c>
      <c r="C5" s="132">
        <f>IF(SER_hh_tesh!C5=0,0,SER_hh_tesh!C5/SER_summary!C$26)</f>
        <v>0</v>
      </c>
      <c r="D5" s="132">
        <f>IF(SER_hh_tesh!D5=0,0,SER_hh_tesh!D5/SER_summary!D$26)</f>
        <v>0</v>
      </c>
      <c r="E5" s="132">
        <f>IF(SER_hh_tesh!E5=0,0,SER_hh_tesh!E5/SER_summary!E$26)</f>
        <v>0</v>
      </c>
      <c r="F5" s="132">
        <f>IF(SER_hh_tesh!F5=0,0,SER_hh_tesh!F5/SER_summary!F$26)</f>
        <v>0</v>
      </c>
      <c r="G5" s="132">
        <f>IF(SER_hh_tesh!G5=0,0,SER_hh_tesh!G5/SER_summary!G$26)</f>
        <v>0</v>
      </c>
      <c r="H5" s="132">
        <f>IF(SER_hh_tesh!H5=0,0,SER_hh_tesh!H5/SER_summary!H$26)</f>
        <v>0</v>
      </c>
      <c r="I5" s="132">
        <f>IF(SER_hh_tesh!I5=0,0,SER_hh_tesh!I5/SER_summary!I$26)</f>
        <v>0</v>
      </c>
      <c r="J5" s="132">
        <f>IF(SER_hh_tesh!J5=0,0,SER_hh_tesh!J5/SER_summary!J$26)</f>
        <v>0</v>
      </c>
      <c r="K5" s="132">
        <f>IF(SER_hh_tesh!K5=0,0,SER_hh_tesh!K5/SER_summary!K$26)</f>
        <v>0</v>
      </c>
      <c r="L5" s="132">
        <f>IF(SER_hh_tesh!L5=0,0,SER_hh_tesh!L5/SER_summary!L$26)</f>
        <v>0</v>
      </c>
      <c r="M5" s="132">
        <f>IF(SER_hh_tesh!M5=0,0,SER_hh_tesh!M5/SER_summary!M$26)</f>
        <v>0</v>
      </c>
      <c r="N5" s="132">
        <f>IF(SER_hh_tesh!N5=0,0,SER_hh_tesh!N5/SER_summary!N$26)</f>
        <v>0</v>
      </c>
      <c r="O5" s="132">
        <f>IF(SER_hh_tesh!O5=0,0,SER_hh_tesh!O5/SER_summary!O$26)</f>
        <v>0</v>
      </c>
      <c r="P5" s="132">
        <f>IF(SER_hh_tesh!P5=0,0,SER_hh_tesh!P5/SER_summary!P$26)</f>
        <v>0</v>
      </c>
      <c r="Q5" s="132">
        <f>IF(SER_hh_tesh!Q5=0,0,SER_hh_tesh!Q5/SER_summary!Q$26)</f>
        <v>0</v>
      </c>
      <c r="R5" s="132">
        <f>IF(SER_hh_tesh!R5=0,0,SER_hh_tesh!R5/SER_summary!R$26)</f>
        <v>0</v>
      </c>
      <c r="S5" s="132">
        <f>IF(SER_hh_tesh!S5=0,0,SER_hh_tesh!S5/SER_summary!S$26)</f>
        <v>0</v>
      </c>
      <c r="T5" s="132">
        <f>IF(SER_hh_tesh!T5=0,0,SER_hh_tesh!T5/SER_summary!T$26)</f>
        <v>0</v>
      </c>
      <c r="U5" s="132">
        <f>IF(SER_hh_tesh!U5=0,0,SER_hh_tesh!U5/SER_summary!U$26)</f>
        <v>0</v>
      </c>
      <c r="V5" s="132">
        <f>IF(SER_hh_tesh!V5=0,0,SER_hh_tesh!V5/SER_summary!V$26)</f>
        <v>0</v>
      </c>
      <c r="W5" s="132">
        <f>IF(SER_hh_tesh!W5=0,0,SER_hh_tesh!W5/SER_summary!W$26)</f>
        <v>0</v>
      </c>
      <c r="X5" s="132">
        <f>IF(SER_hh_tesh!X5=0,0,SER_hh_tesh!X5/SER_summary!X$26)</f>
        <v>0</v>
      </c>
      <c r="Y5" s="132">
        <f>IF(SER_hh_tesh!Y5=0,0,SER_hh_tesh!Y5/SER_summary!Y$26)</f>
        <v>0</v>
      </c>
      <c r="DA5" s="156" t="s">
        <v>510</v>
      </c>
    </row>
    <row r="6" spans="1:105" ht="12" customHeight="1" x14ac:dyDescent="0.25">
      <c r="A6" s="131" t="s">
        <v>52</v>
      </c>
      <c r="B6" s="132">
        <f>IF(SER_hh_tesh!B6=0,0,SER_hh_tesh!B6/SER_summary!B$26)</f>
        <v>0</v>
      </c>
      <c r="C6" s="132">
        <f>IF(SER_hh_tesh!C6=0,0,SER_hh_tesh!C6/SER_summary!C$26)</f>
        <v>0</v>
      </c>
      <c r="D6" s="132">
        <f>IF(SER_hh_tesh!D6=0,0,SER_hh_tesh!D6/SER_summary!D$26)</f>
        <v>0</v>
      </c>
      <c r="E6" s="132">
        <f>IF(SER_hh_tesh!E6=0,0,SER_hh_tesh!E6/SER_summary!E$26)</f>
        <v>0</v>
      </c>
      <c r="F6" s="132">
        <f>IF(SER_hh_tesh!F6=0,0,SER_hh_tesh!F6/SER_summary!F$26)</f>
        <v>0</v>
      </c>
      <c r="G6" s="132">
        <f>IF(SER_hh_tesh!G6=0,0,SER_hh_tesh!G6/SER_summary!G$26)</f>
        <v>0</v>
      </c>
      <c r="H6" s="132">
        <f>IF(SER_hh_tesh!H6=0,0,SER_hh_tesh!H6/SER_summary!H$26)</f>
        <v>0</v>
      </c>
      <c r="I6" s="132">
        <f>IF(SER_hh_tesh!I6=0,0,SER_hh_tesh!I6/SER_summary!I$26)</f>
        <v>0</v>
      </c>
      <c r="J6" s="132">
        <f>IF(SER_hh_tesh!J6=0,0,SER_hh_tesh!J6/SER_summary!J$26)</f>
        <v>0</v>
      </c>
      <c r="K6" s="132">
        <f>IF(SER_hh_tesh!K6=0,0,SER_hh_tesh!K6/SER_summary!K$26)</f>
        <v>0</v>
      </c>
      <c r="L6" s="132">
        <f>IF(SER_hh_tesh!L6=0,0,SER_hh_tesh!L6/SER_summary!L$26)</f>
        <v>0</v>
      </c>
      <c r="M6" s="132">
        <f>IF(SER_hh_tesh!M6=0,0,SER_hh_tesh!M6/SER_summary!M$26)</f>
        <v>0</v>
      </c>
      <c r="N6" s="132">
        <f>IF(SER_hh_tesh!N6=0,0,SER_hh_tesh!N6/SER_summary!N$26)</f>
        <v>0</v>
      </c>
      <c r="O6" s="132">
        <f>IF(SER_hh_tesh!O6=0,0,SER_hh_tesh!O6/SER_summary!O$26)</f>
        <v>0</v>
      </c>
      <c r="P6" s="132">
        <f>IF(SER_hh_tesh!P6=0,0,SER_hh_tesh!P6/SER_summary!P$26)</f>
        <v>0</v>
      </c>
      <c r="Q6" s="132">
        <f>IF(SER_hh_tesh!Q6=0,0,SER_hh_tesh!Q6/SER_summary!Q$26)</f>
        <v>0</v>
      </c>
      <c r="R6" s="132">
        <f>IF(SER_hh_tesh!R6=0,0,SER_hh_tesh!R6/SER_summary!R$26)</f>
        <v>0</v>
      </c>
      <c r="S6" s="132">
        <f>IF(SER_hh_tesh!S6=0,0,SER_hh_tesh!S6/SER_summary!S$26)</f>
        <v>0</v>
      </c>
      <c r="T6" s="132">
        <f>IF(SER_hh_tesh!T6=0,0,SER_hh_tesh!T6/SER_summary!T$26)</f>
        <v>0</v>
      </c>
      <c r="U6" s="132">
        <f>IF(SER_hh_tesh!U6=0,0,SER_hh_tesh!U6/SER_summary!U$26)</f>
        <v>0</v>
      </c>
      <c r="V6" s="132">
        <f>IF(SER_hh_tesh!V6=0,0,SER_hh_tesh!V6/SER_summary!V$26)</f>
        <v>0</v>
      </c>
      <c r="W6" s="132">
        <f>IF(SER_hh_tesh!W6=0,0,SER_hh_tesh!W6/SER_summary!W$26)</f>
        <v>0</v>
      </c>
      <c r="X6" s="132">
        <f>IF(SER_hh_tesh!X6=0,0,SER_hh_tesh!X6/SER_summary!X$26)</f>
        <v>0</v>
      </c>
      <c r="Y6" s="132">
        <f>IF(SER_hh_tesh!Y6=0,0,SER_hh_tesh!Y6/SER_summary!Y$26)</f>
        <v>0</v>
      </c>
      <c r="DA6" s="156" t="s">
        <v>511</v>
      </c>
    </row>
    <row r="7" spans="1:105" ht="12" customHeight="1" x14ac:dyDescent="0.25">
      <c r="A7" s="131" t="s">
        <v>161</v>
      </c>
      <c r="B7" s="132">
        <f>IF(SER_hh_tesh!B7=0,0,SER_hh_tesh!B7/SER_summary!B$26)</f>
        <v>12.056670941209411</v>
      </c>
      <c r="C7" s="132">
        <f>IF(SER_hh_tesh!C7=0,0,SER_hh_tesh!C7/SER_summary!C$26)</f>
        <v>14.173995178301924</v>
      </c>
      <c r="D7" s="132">
        <f>IF(SER_hh_tesh!D7=0,0,SER_hh_tesh!D7/SER_summary!D$26)</f>
        <v>16.034148863931069</v>
      </c>
      <c r="E7" s="132">
        <f>IF(SER_hh_tesh!E7=0,0,SER_hh_tesh!E7/SER_summary!E$26)</f>
        <v>18.875145135373572</v>
      </c>
      <c r="F7" s="132">
        <f>IF(SER_hh_tesh!F7=0,0,SER_hh_tesh!F7/SER_summary!F$26)</f>
        <v>19.539520272612137</v>
      </c>
      <c r="G7" s="132">
        <f>IF(SER_hh_tesh!G7=0,0,SER_hh_tesh!G7/SER_summary!G$26)</f>
        <v>21.400442482319612</v>
      </c>
      <c r="H7" s="132">
        <f>IF(SER_hh_tesh!H7=0,0,SER_hh_tesh!H7/SER_summary!H$26)</f>
        <v>27.623674570634279</v>
      </c>
      <c r="I7" s="132">
        <f>IF(SER_hh_tesh!I7=0,0,SER_hh_tesh!I7/SER_summary!I$26)</f>
        <v>30.216940172810954</v>
      </c>
      <c r="J7" s="132">
        <f>IF(SER_hh_tesh!J7=0,0,SER_hh_tesh!J7/SER_summary!J$26)</f>
        <v>41.433128156505354</v>
      </c>
      <c r="K7" s="132">
        <f>IF(SER_hh_tesh!K7=0,0,SER_hh_tesh!K7/SER_summary!K$26)</f>
        <v>34.020844762524632</v>
      </c>
      <c r="L7" s="132">
        <f>IF(SER_hh_tesh!L7=0,0,SER_hh_tesh!L7/SER_summary!L$26)</f>
        <v>39.828345528558444</v>
      </c>
      <c r="M7" s="132">
        <f>IF(SER_hh_tesh!M7=0,0,SER_hh_tesh!M7/SER_summary!M$26)</f>
        <v>39.183108661788133</v>
      </c>
      <c r="N7" s="132">
        <f>IF(SER_hh_tesh!N7=0,0,SER_hh_tesh!N7/SER_summary!N$26)</f>
        <v>33.959188343370542</v>
      </c>
      <c r="O7" s="132">
        <f>IF(SER_hh_tesh!O7=0,0,SER_hh_tesh!O7/SER_summary!O$26)</f>
        <v>39.599848246857292</v>
      </c>
      <c r="P7" s="132">
        <f>IF(SER_hh_tesh!P7=0,0,SER_hh_tesh!P7/SER_summary!P$26)</f>
        <v>41.903377072348341</v>
      </c>
      <c r="Q7" s="132">
        <f>IF(SER_hh_tesh!Q7=0,0,SER_hh_tesh!Q7/SER_summary!Q$26)</f>
        <v>40.738228047657856</v>
      </c>
      <c r="R7" s="132">
        <f>IF(SER_hh_tesh!R7=0,0,SER_hh_tesh!R7/SER_summary!R$26)</f>
        <v>43.176821351087376</v>
      </c>
      <c r="S7" s="132">
        <f>IF(SER_hh_tesh!S7=0,0,SER_hh_tesh!S7/SER_summary!S$26)</f>
        <v>52.563842519756676</v>
      </c>
      <c r="T7" s="132">
        <f>IF(SER_hh_tesh!T7=0,0,SER_hh_tesh!T7/SER_summary!T$26)</f>
        <v>48.686394077379362</v>
      </c>
      <c r="U7" s="132">
        <f>IF(SER_hh_tesh!U7=0,0,SER_hh_tesh!U7/SER_summary!U$26)</f>
        <v>58.73617997986856</v>
      </c>
      <c r="V7" s="132">
        <f>IF(SER_hh_tesh!V7=0,0,SER_hh_tesh!V7/SER_summary!V$26)</f>
        <v>46.604387840824344</v>
      </c>
      <c r="W7" s="132">
        <f>IF(SER_hh_tesh!W7=0,0,SER_hh_tesh!W7/SER_summary!W$26)</f>
        <v>52.72681407715347</v>
      </c>
      <c r="X7" s="132">
        <f>IF(SER_hh_tesh!X7=0,0,SER_hh_tesh!X7/SER_summary!X$26)</f>
        <v>60.452804019230015</v>
      </c>
      <c r="Y7" s="132">
        <f>IF(SER_hh_tesh!Y7=0,0,SER_hh_tesh!Y7/SER_summary!Y$26)</f>
        <v>63.011545893140038</v>
      </c>
      <c r="DA7" s="156" t="s">
        <v>512</v>
      </c>
    </row>
    <row r="8" spans="1:105" ht="12" customHeight="1" x14ac:dyDescent="0.25">
      <c r="A8" s="131" t="s">
        <v>73</v>
      </c>
      <c r="B8" s="132">
        <f>IF(SER_hh_tesh!B8=0,0,SER_hh_tesh!B8/SER_summary!B$26)</f>
        <v>0</v>
      </c>
      <c r="C8" s="132">
        <f>IF(SER_hh_tesh!C8=0,0,SER_hh_tesh!C8/SER_summary!C$26)</f>
        <v>0</v>
      </c>
      <c r="D8" s="132">
        <f>IF(SER_hh_tesh!D8=0,0,SER_hh_tesh!D8/SER_summary!D$26)</f>
        <v>0</v>
      </c>
      <c r="E8" s="132">
        <f>IF(SER_hh_tesh!E8=0,0,SER_hh_tesh!E8/SER_summary!E$26)</f>
        <v>0</v>
      </c>
      <c r="F8" s="132">
        <f>IF(SER_hh_tesh!F8=0,0,SER_hh_tesh!F8/SER_summary!F$26)</f>
        <v>0</v>
      </c>
      <c r="G8" s="132">
        <f>IF(SER_hh_tesh!G8=0,0,SER_hh_tesh!G8/SER_summary!G$26)</f>
        <v>0</v>
      </c>
      <c r="H8" s="132">
        <f>IF(SER_hh_tesh!H8=0,0,SER_hh_tesh!H8/SER_summary!H$26)</f>
        <v>0</v>
      </c>
      <c r="I8" s="132">
        <f>IF(SER_hh_tesh!I8=0,0,SER_hh_tesh!I8/SER_summary!I$26)</f>
        <v>0</v>
      </c>
      <c r="J8" s="132">
        <f>IF(SER_hh_tesh!J8=0,0,SER_hh_tesh!J8/SER_summary!J$26)</f>
        <v>0</v>
      </c>
      <c r="K8" s="132">
        <f>IF(SER_hh_tesh!K8=0,0,SER_hh_tesh!K8/SER_summary!K$26)</f>
        <v>0</v>
      </c>
      <c r="L8" s="132">
        <f>IF(SER_hh_tesh!L8=0,0,SER_hh_tesh!L8/SER_summary!L$26)</f>
        <v>0</v>
      </c>
      <c r="M8" s="132">
        <f>IF(SER_hh_tesh!M8=0,0,SER_hh_tesh!M8/SER_summary!M$26)</f>
        <v>0</v>
      </c>
      <c r="N8" s="132">
        <f>IF(SER_hh_tesh!N8=0,0,SER_hh_tesh!N8/SER_summary!N$26)</f>
        <v>0</v>
      </c>
      <c r="O8" s="132">
        <f>IF(SER_hh_tesh!O8=0,0,SER_hh_tesh!O8/SER_summary!O$26)</f>
        <v>0</v>
      </c>
      <c r="P8" s="132">
        <f>IF(SER_hh_tesh!P8=0,0,SER_hh_tesh!P8/SER_summary!P$26)</f>
        <v>0</v>
      </c>
      <c r="Q8" s="132">
        <f>IF(SER_hh_tesh!Q8=0,0,SER_hh_tesh!Q8/SER_summary!Q$26)</f>
        <v>0</v>
      </c>
      <c r="R8" s="132">
        <f>IF(SER_hh_tesh!R8=0,0,SER_hh_tesh!R8/SER_summary!R$26)</f>
        <v>0</v>
      </c>
      <c r="S8" s="132">
        <f>IF(SER_hh_tesh!S8=0,0,SER_hh_tesh!S8/SER_summary!S$26)</f>
        <v>0</v>
      </c>
      <c r="T8" s="132">
        <f>IF(SER_hh_tesh!T8=0,0,SER_hh_tesh!T8/SER_summary!T$26)</f>
        <v>0</v>
      </c>
      <c r="U8" s="132">
        <f>IF(SER_hh_tesh!U8=0,0,SER_hh_tesh!U8/SER_summary!U$26)</f>
        <v>0</v>
      </c>
      <c r="V8" s="132">
        <f>IF(SER_hh_tesh!V8=0,0,SER_hh_tesh!V8/SER_summary!V$26)</f>
        <v>0</v>
      </c>
      <c r="W8" s="132">
        <f>IF(SER_hh_tesh!W8=0,0,SER_hh_tesh!W8/SER_summary!W$26)</f>
        <v>0</v>
      </c>
      <c r="X8" s="132">
        <f>IF(SER_hh_tesh!X8=0,0,SER_hh_tesh!X8/SER_summary!X$26)</f>
        <v>0</v>
      </c>
      <c r="Y8" s="132">
        <f>IF(SER_hh_tesh!Y8=0,0,SER_hh_tesh!Y8/SER_summary!Y$26)</f>
        <v>0</v>
      </c>
      <c r="DA8" s="156" t="s">
        <v>513</v>
      </c>
    </row>
    <row r="9" spans="1:105" ht="12" customHeight="1" x14ac:dyDescent="0.25">
      <c r="A9" s="131" t="s">
        <v>78</v>
      </c>
      <c r="B9" s="132">
        <f>IF(SER_hh_tesh!B9=0,0,SER_hh_tesh!B9/SER_summary!B$26)</f>
        <v>0</v>
      </c>
      <c r="C9" s="132">
        <f>IF(SER_hh_tesh!C9=0,0,SER_hh_tesh!C9/SER_summary!C$26)</f>
        <v>0</v>
      </c>
      <c r="D9" s="132">
        <f>IF(SER_hh_tesh!D9=0,0,SER_hh_tesh!D9/SER_summary!D$26)</f>
        <v>0</v>
      </c>
      <c r="E9" s="132">
        <f>IF(SER_hh_tesh!E9=0,0,SER_hh_tesh!E9/SER_summary!E$26)</f>
        <v>0</v>
      </c>
      <c r="F9" s="132">
        <f>IF(SER_hh_tesh!F9=0,0,SER_hh_tesh!F9/SER_summary!F$26)</f>
        <v>0</v>
      </c>
      <c r="G9" s="132">
        <f>IF(SER_hh_tesh!G9=0,0,SER_hh_tesh!G9/SER_summary!G$26)</f>
        <v>0</v>
      </c>
      <c r="H9" s="132">
        <f>IF(SER_hh_tesh!H9=0,0,SER_hh_tesh!H9/SER_summary!H$26)</f>
        <v>0</v>
      </c>
      <c r="I9" s="132">
        <f>IF(SER_hh_tesh!I9=0,0,SER_hh_tesh!I9/SER_summary!I$26)</f>
        <v>0</v>
      </c>
      <c r="J9" s="132">
        <f>IF(SER_hh_tesh!J9=0,0,SER_hh_tesh!J9/SER_summary!J$26)</f>
        <v>0</v>
      </c>
      <c r="K9" s="132">
        <f>IF(SER_hh_tesh!K9=0,0,SER_hh_tesh!K9/SER_summary!K$26)</f>
        <v>54.177692656260284</v>
      </c>
      <c r="L9" s="132">
        <f>IF(SER_hh_tesh!L9=0,0,SER_hh_tesh!L9/SER_summary!L$26)</f>
        <v>45.022542579053798</v>
      </c>
      <c r="M9" s="132">
        <f>IF(SER_hh_tesh!M9=0,0,SER_hh_tesh!M9/SER_summary!M$26)</f>
        <v>37.027447144185047</v>
      </c>
      <c r="N9" s="132">
        <f>IF(SER_hh_tesh!N9=0,0,SER_hh_tesh!N9/SER_summary!N$26)</f>
        <v>35.471194447463454</v>
      </c>
      <c r="O9" s="132">
        <f>IF(SER_hh_tesh!O9=0,0,SER_hh_tesh!O9/SER_summary!O$26)</f>
        <v>36.570130281291362</v>
      </c>
      <c r="P9" s="132">
        <f>IF(SER_hh_tesh!P9=0,0,SER_hh_tesh!P9/SER_summary!P$26)</f>
        <v>39.674777355828297</v>
      </c>
      <c r="Q9" s="132">
        <f>IF(SER_hh_tesh!Q9=0,0,SER_hh_tesh!Q9/SER_summary!Q$26)</f>
        <v>39.422233854470335</v>
      </c>
      <c r="R9" s="132">
        <f>IF(SER_hh_tesh!R9=0,0,SER_hh_tesh!R9/SER_summary!R$26)</f>
        <v>42.408058196398343</v>
      </c>
      <c r="S9" s="132">
        <f>IF(SER_hh_tesh!S9=0,0,SER_hh_tesh!S9/SER_summary!S$26)</f>
        <v>33.987007066332502</v>
      </c>
      <c r="T9" s="132">
        <f>IF(SER_hh_tesh!T9=0,0,SER_hh_tesh!T9/SER_summary!T$26)</f>
        <v>70.589099166535576</v>
      </c>
      <c r="U9" s="132">
        <f>IF(SER_hh_tesh!U9=0,0,SER_hh_tesh!U9/SER_summary!U$26)</f>
        <v>80.064681771721638</v>
      </c>
      <c r="V9" s="132">
        <f>IF(SER_hh_tesh!V9=0,0,SER_hh_tesh!V9/SER_summary!V$26)</f>
        <v>29.540528603236304</v>
      </c>
      <c r="W9" s="132">
        <f>IF(SER_hh_tesh!W9=0,0,SER_hh_tesh!W9/SER_summary!W$26)</f>
        <v>33.618027239035079</v>
      </c>
      <c r="X9" s="132">
        <f>IF(SER_hh_tesh!X9=0,0,SER_hh_tesh!X9/SER_summary!X$26)</f>
        <v>39.650867466915969</v>
      </c>
      <c r="Y9" s="132">
        <f>IF(SER_hh_tesh!Y9=0,0,SER_hh_tesh!Y9/SER_summary!Y$26)</f>
        <v>56.430095440450671</v>
      </c>
      <c r="DA9" s="156" t="s">
        <v>514</v>
      </c>
    </row>
    <row r="10" spans="1:105" ht="12" customHeight="1" x14ac:dyDescent="0.25">
      <c r="A10" s="131" t="s">
        <v>128</v>
      </c>
      <c r="B10" s="132">
        <f>IF(SER_hh_tesh!B10=0,0,SER_hh_tesh!B10/SER_summary!B$26)</f>
        <v>0</v>
      </c>
      <c r="C10" s="132">
        <f>IF(SER_hh_tesh!C10=0,0,SER_hh_tesh!C10/SER_summary!C$26)</f>
        <v>0</v>
      </c>
      <c r="D10" s="132">
        <f>IF(SER_hh_tesh!D10=0,0,SER_hh_tesh!D10/SER_summary!D$26)</f>
        <v>0</v>
      </c>
      <c r="E10" s="132">
        <f>IF(SER_hh_tesh!E10=0,0,SER_hh_tesh!E10/SER_summary!E$26)</f>
        <v>0</v>
      </c>
      <c r="F10" s="132">
        <f>IF(SER_hh_tesh!F10=0,0,SER_hh_tesh!F10/SER_summary!F$26)</f>
        <v>0</v>
      </c>
      <c r="G10" s="132">
        <f>IF(SER_hh_tesh!G10=0,0,SER_hh_tesh!G10/SER_summary!G$26)</f>
        <v>0</v>
      </c>
      <c r="H10" s="132">
        <f>IF(SER_hh_tesh!H10=0,0,SER_hh_tesh!H10/SER_summary!H$26)</f>
        <v>0</v>
      </c>
      <c r="I10" s="132">
        <f>IF(SER_hh_tesh!I10=0,0,SER_hh_tesh!I10/SER_summary!I$26)</f>
        <v>21.026796869541478</v>
      </c>
      <c r="J10" s="132">
        <f>IF(SER_hh_tesh!J10=0,0,SER_hh_tesh!J10/SER_summary!J$26)</f>
        <v>55.696722088764695</v>
      </c>
      <c r="K10" s="132">
        <f>IF(SER_hh_tesh!K10=0,0,SER_hh_tesh!K10/SER_summary!K$26)</f>
        <v>65.093971668201931</v>
      </c>
      <c r="L10" s="132">
        <f>IF(SER_hh_tesh!L10=0,0,SER_hh_tesh!L10/SER_summary!L$26)</f>
        <v>18.853216538921561</v>
      </c>
      <c r="M10" s="132">
        <f>IF(SER_hh_tesh!M10=0,0,SER_hh_tesh!M10/SER_summary!M$26)</f>
        <v>32.440252652888624</v>
      </c>
      <c r="N10" s="132">
        <f>IF(SER_hh_tesh!N10=0,0,SER_hh_tesh!N10/SER_summary!N$26)</f>
        <v>42.455194773252671</v>
      </c>
      <c r="O10" s="132">
        <f>IF(SER_hh_tesh!O10=0,0,SER_hh_tesh!O10/SER_summary!O$26)</f>
        <v>33.569462114360064</v>
      </c>
      <c r="P10" s="132">
        <f>IF(SER_hh_tesh!P10=0,0,SER_hh_tesh!P10/SER_summary!P$26)</f>
        <v>27.335535111267223</v>
      </c>
      <c r="Q10" s="132">
        <f>IF(SER_hh_tesh!Q10=0,0,SER_hh_tesh!Q10/SER_summary!Q$26)</f>
        <v>58.862990879726752</v>
      </c>
      <c r="R10" s="132">
        <f>IF(SER_hh_tesh!R10=0,0,SER_hh_tesh!R10/SER_summary!R$26)</f>
        <v>44.624832522696686</v>
      </c>
      <c r="S10" s="132">
        <f>IF(SER_hh_tesh!S10=0,0,SER_hh_tesh!S10/SER_summary!S$26)</f>
        <v>64.220403921252128</v>
      </c>
      <c r="T10" s="132">
        <f>IF(SER_hh_tesh!T10=0,0,SER_hh_tesh!T10/SER_summary!T$26)</f>
        <v>48.281934470768569</v>
      </c>
      <c r="U10" s="132">
        <f>IF(SER_hh_tesh!U10=0,0,SER_hh_tesh!U10/SER_summary!U$26)</f>
        <v>31.419109551592495</v>
      </c>
      <c r="V10" s="132">
        <f>IF(SER_hh_tesh!V10=0,0,SER_hh_tesh!V10/SER_summary!V$26)</f>
        <v>27.743090145042842</v>
      </c>
      <c r="W10" s="132">
        <f>IF(SER_hh_tesh!W10=0,0,SER_hh_tesh!W10/SER_summary!W$26)</f>
        <v>77.930792629058871</v>
      </c>
      <c r="X10" s="132">
        <f>IF(SER_hh_tesh!X10=0,0,SER_hh_tesh!X10/SER_summary!X$26)</f>
        <v>83.989644363897398</v>
      </c>
      <c r="Y10" s="132">
        <f>IF(SER_hh_tesh!Y10=0,0,SER_hh_tesh!Y10/SER_summary!Y$26)</f>
        <v>53.163675666984396</v>
      </c>
      <c r="DA10" s="156" t="s">
        <v>515</v>
      </c>
    </row>
    <row r="11" spans="1:105" ht="12" customHeight="1" x14ac:dyDescent="0.25">
      <c r="A11" s="131" t="s">
        <v>25</v>
      </c>
      <c r="B11" s="132">
        <f>IF(SER_hh_tesh!B11=0,0,SER_hh_tesh!B11/SER_summary!B$26)</f>
        <v>0</v>
      </c>
      <c r="C11" s="132">
        <f>IF(SER_hh_tesh!C11=0,0,SER_hh_tesh!C11/SER_summary!C$26)</f>
        <v>0</v>
      </c>
      <c r="D11" s="132">
        <f>IF(SER_hh_tesh!D11=0,0,SER_hh_tesh!D11/SER_summary!D$26)</f>
        <v>0</v>
      </c>
      <c r="E11" s="132">
        <f>IF(SER_hh_tesh!E11=0,0,SER_hh_tesh!E11/SER_summary!E$26)</f>
        <v>0</v>
      </c>
      <c r="F11" s="132">
        <f>IF(SER_hh_tesh!F11=0,0,SER_hh_tesh!F11/SER_summary!F$26)</f>
        <v>0</v>
      </c>
      <c r="G11" s="132">
        <f>IF(SER_hh_tesh!G11=0,0,SER_hh_tesh!G11/SER_summary!G$26)</f>
        <v>0</v>
      </c>
      <c r="H11" s="132">
        <f>IF(SER_hh_tesh!H11=0,0,SER_hh_tesh!H11/SER_summary!H$26)</f>
        <v>0</v>
      </c>
      <c r="I11" s="132">
        <f>IF(SER_hh_tesh!I11=0,0,SER_hh_tesh!I11/SER_summary!I$26)</f>
        <v>0</v>
      </c>
      <c r="J11" s="132">
        <f>IF(SER_hh_tesh!J11=0,0,SER_hh_tesh!J11/SER_summary!J$26)</f>
        <v>0</v>
      </c>
      <c r="K11" s="132">
        <f>IF(SER_hh_tesh!K11=0,0,SER_hh_tesh!K11/SER_summary!K$26)</f>
        <v>0</v>
      </c>
      <c r="L11" s="132">
        <f>IF(SER_hh_tesh!L11=0,0,SER_hh_tesh!L11/SER_summary!L$26)</f>
        <v>0</v>
      </c>
      <c r="M11" s="132">
        <f>IF(SER_hh_tesh!M11=0,0,SER_hh_tesh!M11/SER_summary!M$26)</f>
        <v>0</v>
      </c>
      <c r="N11" s="132">
        <f>IF(SER_hh_tesh!N11=0,0,SER_hh_tesh!N11/SER_summary!N$26)</f>
        <v>0</v>
      </c>
      <c r="O11" s="132">
        <f>IF(SER_hh_tesh!O11=0,0,SER_hh_tesh!O11/SER_summary!O$26)</f>
        <v>0</v>
      </c>
      <c r="P11" s="132">
        <f>IF(SER_hh_tesh!P11=0,0,SER_hh_tesh!P11/SER_summary!P$26)</f>
        <v>0</v>
      </c>
      <c r="Q11" s="132">
        <f>IF(SER_hh_tesh!Q11=0,0,SER_hh_tesh!Q11/SER_summary!Q$26)</f>
        <v>0</v>
      </c>
      <c r="R11" s="132">
        <f>IF(SER_hh_tesh!R11=0,0,SER_hh_tesh!R11/SER_summary!R$26)</f>
        <v>0</v>
      </c>
      <c r="S11" s="132">
        <f>IF(SER_hh_tesh!S11=0,0,SER_hh_tesh!S11/SER_summary!S$26)</f>
        <v>0</v>
      </c>
      <c r="T11" s="132">
        <f>IF(SER_hh_tesh!T11=0,0,SER_hh_tesh!T11/SER_summary!T$26)</f>
        <v>0</v>
      </c>
      <c r="U11" s="132">
        <f>IF(SER_hh_tesh!U11=0,0,SER_hh_tesh!U11/SER_summary!U$26)</f>
        <v>0</v>
      </c>
      <c r="V11" s="132">
        <f>IF(SER_hh_tesh!V11=0,0,SER_hh_tesh!V11/SER_summary!V$26)</f>
        <v>0</v>
      </c>
      <c r="W11" s="132">
        <f>IF(SER_hh_tesh!W11=0,0,SER_hh_tesh!W11/SER_summary!W$26)</f>
        <v>0</v>
      </c>
      <c r="X11" s="132">
        <f>IF(SER_hh_tesh!X11=0,0,SER_hh_tesh!X11/SER_summary!X$26)</f>
        <v>0</v>
      </c>
      <c r="Y11" s="132">
        <f>IF(SER_hh_tesh!Y11=0,0,SER_hh_tesh!Y11/SER_summary!Y$26)</f>
        <v>0</v>
      </c>
      <c r="DA11" s="156" t="s">
        <v>516</v>
      </c>
    </row>
    <row r="12" spans="1:105" ht="12" customHeight="1" x14ac:dyDescent="0.25">
      <c r="A12" s="131" t="s">
        <v>162</v>
      </c>
      <c r="B12" s="132">
        <f>IF(SER_hh_tesh!B12=0,0,SER_hh_tesh!B12/SER_summary!B$26)</f>
        <v>0</v>
      </c>
      <c r="C12" s="132">
        <f>IF(SER_hh_tesh!C12=0,0,SER_hh_tesh!C12/SER_summary!C$26)</f>
        <v>0</v>
      </c>
      <c r="D12" s="132">
        <f>IF(SER_hh_tesh!D12=0,0,SER_hh_tesh!D12/SER_summary!D$26)</f>
        <v>0</v>
      </c>
      <c r="E12" s="132">
        <f>IF(SER_hh_tesh!E12=0,0,SER_hh_tesh!E12/SER_summary!E$26)</f>
        <v>0</v>
      </c>
      <c r="F12" s="132">
        <f>IF(SER_hh_tesh!F12=0,0,SER_hh_tesh!F12/SER_summary!F$26)</f>
        <v>0</v>
      </c>
      <c r="G12" s="132">
        <f>IF(SER_hh_tesh!G12=0,0,SER_hh_tesh!G12/SER_summary!G$26)</f>
        <v>0</v>
      </c>
      <c r="H12" s="132">
        <f>IF(SER_hh_tesh!H12=0,0,SER_hh_tesh!H12/SER_summary!H$26)</f>
        <v>0</v>
      </c>
      <c r="I12" s="132">
        <f>IF(SER_hh_tesh!I12=0,0,SER_hh_tesh!I12/SER_summary!I$26)</f>
        <v>0</v>
      </c>
      <c r="J12" s="132">
        <f>IF(SER_hh_tesh!J12=0,0,SER_hh_tesh!J12/SER_summary!J$26)</f>
        <v>0</v>
      </c>
      <c r="K12" s="132">
        <f>IF(SER_hh_tesh!K12=0,0,SER_hh_tesh!K12/SER_summary!K$26)</f>
        <v>0</v>
      </c>
      <c r="L12" s="132">
        <f>IF(SER_hh_tesh!L12=0,0,SER_hh_tesh!L12/SER_summary!L$26)</f>
        <v>0</v>
      </c>
      <c r="M12" s="132">
        <f>IF(SER_hh_tesh!M12=0,0,SER_hh_tesh!M12/SER_summary!M$26)</f>
        <v>0</v>
      </c>
      <c r="N12" s="132">
        <f>IF(SER_hh_tesh!N12=0,0,SER_hh_tesh!N12/SER_summary!N$26)</f>
        <v>0</v>
      </c>
      <c r="O12" s="132">
        <f>IF(SER_hh_tesh!O12=0,0,SER_hh_tesh!O12/SER_summary!O$26)</f>
        <v>0</v>
      </c>
      <c r="P12" s="132">
        <f>IF(SER_hh_tesh!P12=0,0,SER_hh_tesh!P12/SER_summary!P$26)</f>
        <v>0</v>
      </c>
      <c r="Q12" s="132">
        <f>IF(SER_hh_tesh!Q12=0,0,SER_hh_tesh!Q12/SER_summary!Q$26)</f>
        <v>0</v>
      </c>
      <c r="R12" s="132">
        <f>IF(SER_hh_tesh!R12=0,0,SER_hh_tesh!R12/SER_summary!R$26)</f>
        <v>0</v>
      </c>
      <c r="S12" s="132">
        <f>IF(SER_hh_tesh!S12=0,0,SER_hh_tesh!S12/SER_summary!S$26)</f>
        <v>0</v>
      </c>
      <c r="T12" s="132">
        <f>IF(SER_hh_tesh!T12=0,0,SER_hh_tesh!T12/SER_summary!T$26)</f>
        <v>0</v>
      </c>
      <c r="U12" s="132">
        <f>IF(SER_hh_tesh!U12=0,0,SER_hh_tesh!U12/SER_summary!U$26)</f>
        <v>0</v>
      </c>
      <c r="V12" s="132">
        <f>IF(SER_hh_tesh!V12=0,0,SER_hh_tesh!V12/SER_summary!V$26)</f>
        <v>0</v>
      </c>
      <c r="W12" s="132">
        <f>IF(SER_hh_tesh!W12=0,0,SER_hh_tesh!W12/SER_summary!W$26)</f>
        <v>0</v>
      </c>
      <c r="X12" s="132">
        <f>IF(SER_hh_tesh!X12=0,0,SER_hh_tesh!X12/SER_summary!X$26)</f>
        <v>0</v>
      </c>
      <c r="Y12" s="132">
        <f>IF(SER_hh_tesh!Y12=0,0,SER_hh_tesh!Y12/SER_summary!Y$26)</f>
        <v>0</v>
      </c>
      <c r="DA12" s="156" t="s">
        <v>517</v>
      </c>
    </row>
    <row r="13" spans="1:105" ht="12" customHeight="1" x14ac:dyDescent="0.25">
      <c r="A13" s="131" t="s">
        <v>77</v>
      </c>
      <c r="B13" s="132">
        <f>IF(SER_hh_tesh!B13=0,0,SER_hh_tesh!B13/SER_summary!B$26)</f>
        <v>7.3348070689600418</v>
      </c>
      <c r="C13" s="132">
        <f>IF(SER_hh_tesh!C13=0,0,SER_hh_tesh!C13/SER_summary!C$26)</f>
        <v>15.503431629691683</v>
      </c>
      <c r="D13" s="132">
        <f>IF(SER_hh_tesh!D13=0,0,SER_hh_tesh!D13/SER_summary!D$26)</f>
        <v>17.20383092417072</v>
      </c>
      <c r="E13" s="132">
        <f>IF(SER_hh_tesh!E13=0,0,SER_hh_tesh!E13/SER_summary!E$26)</f>
        <v>18.002472069257276</v>
      </c>
      <c r="F13" s="132">
        <f>IF(SER_hh_tesh!F13=0,0,SER_hh_tesh!F13/SER_summary!F$26)</f>
        <v>20.725269813120189</v>
      </c>
      <c r="G13" s="132">
        <f>IF(SER_hh_tesh!G13=0,0,SER_hh_tesh!G13/SER_summary!G$26)</f>
        <v>25.052669388208006</v>
      </c>
      <c r="H13" s="132">
        <f>IF(SER_hh_tesh!H13=0,0,SER_hh_tesh!H13/SER_summary!H$26)</f>
        <v>29.264560833178383</v>
      </c>
      <c r="I13" s="132">
        <f>IF(SER_hh_tesh!I13=0,0,SER_hh_tesh!I13/SER_summary!I$26)</f>
        <v>32.974986330204992</v>
      </c>
      <c r="J13" s="132">
        <f>IF(SER_hh_tesh!J13=0,0,SER_hh_tesh!J13/SER_summary!J$26)</f>
        <v>34.810120013353369</v>
      </c>
      <c r="K13" s="132">
        <f>IF(SER_hh_tesh!K13=0,0,SER_hh_tesh!K13/SER_summary!K$26)</f>
        <v>38.687721795292731</v>
      </c>
      <c r="L13" s="132">
        <f>IF(SER_hh_tesh!L13=0,0,SER_hh_tesh!L13/SER_summary!L$26)</f>
        <v>34.629657052438375</v>
      </c>
      <c r="M13" s="132">
        <f>IF(SER_hh_tesh!M13=0,0,SER_hh_tesh!M13/SER_summary!M$26)</f>
        <v>30.473105726253905</v>
      </c>
      <c r="N13" s="132">
        <f>IF(SER_hh_tesh!N13=0,0,SER_hh_tesh!N13/SER_summary!N$26)</f>
        <v>31.112288175590631</v>
      </c>
      <c r="O13" s="132">
        <f>IF(SER_hh_tesh!O13=0,0,SER_hh_tesh!O13/SER_summary!O$26)</f>
        <v>44.952090908868954</v>
      </c>
      <c r="P13" s="132">
        <f>IF(SER_hh_tesh!P13=0,0,SER_hh_tesh!P13/SER_summary!P$26)</f>
        <v>42.180429894376566</v>
      </c>
      <c r="Q13" s="132">
        <f>IF(SER_hh_tesh!Q13=0,0,SER_hh_tesh!Q13/SER_summary!Q$26)</f>
        <v>46.186802265217644</v>
      </c>
      <c r="R13" s="132">
        <f>IF(SER_hh_tesh!R13=0,0,SER_hh_tesh!R13/SER_summary!R$26)</f>
        <v>45.80318722174124</v>
      </c>
      <c r="S13" s="132">
        <f>IF(SER_hh_tesh!S13=0,0,SER_hh_tesh!S13/SER_summary!S$26)</f>
        <v>46.713546727698599</v>
      </c>
      <c r="T13" s="132">
        <f>IF(SER_hh_tesh!T13=0,0,SER_hh_tesh!T13/SER_summary!T$26)</f>
        <v>47.737693157812387</v>
      </c>
      <c r="U13" s="132">
        <f>IF(SER_hh_tesh!U13=0,0,SER_hh_tesh!U13/SER_summary!U$26)</f>
        <v>49.465523253392348</v>
      </c>
      <c r="V13" s="132">
        <f>IF(SER_hh_tesh!V13=0,0,SER_hh_tesh!V13/SER_summary!V$26)</f>
        <v>45.795841328591955</v>
      </c>
      <c r="W13" s="132">
        <f>IF(SER_hh_tesh!W13=0,0,SER_hh_tesh!W13/SER_summary!W$26)</f>
        <v>48.241103974105286</v>
      </c>
      <c r="X13" s="132">
        <f>IF(SER_hh_tesh!X13=0,0,SER_hh_tesh!X13/SER_summary!X$26)</f>
        <v>52.857556876474341</v>
      </c>
      <c r="Y13" s="132">
        <f>IF(SER_hh_tesh!Y13=0,0,SER_hh_tesh!Y13/SER_summary!Y$26)</f>
        <v>53.272625927557065</v>
      </c>
      <c r="DA13" s="156" t="s">
        <v>518</v>
      </c>
    </row>
    <row r="14" spans="1:105" ht="12" customHeight="1" x14ac:dyDescent="0.25">
      <c r="A14" s="60" t="s">
        <v>76</v>
      </c>
      <c r="B14" s="65">
        <f>IF(SER_hh_tesh!B14=0,0,SER_hh_tesh!B14/SER_summary!B$26)</f>
        <v>9.4883376273189235</v>
      </c>
      <c r="C14" s="65">
        <f>IF(SER_hh_tesh!C14=0,0,SER_hh_tesh!C14/SER_summary!C$26)</f>
        <v>15.260135022472006</v>
      </c>
      <c r="D14" s="65">
        <f>IF(SER_hh_tesh!D14=0,0,SER_hh_tesh!D14/SER_summary!D$26)</f>
        <v>19.75918709938076</v>
      </c>
      <c r="E14" s="65">
        <f>IF(SER_hh_tesh!E14=0,0,SER_hh_tesh!E14/SER_summary!E$26)</f>
        <v>18.16799665542619</v>
      </c>
      <c r="F14" s="65">
        <f>IF(SER_hh_tesh!F14=0,0,SER_hh_tesh!F14/SER_summary!F$26)</f>
        <v>19.856699608039836</v>
      </c>
      <c r="G14" s="65">
        <f>IF(SER_hh_tesh!G14=0,0,SER_hh_tesh!G14/SER_summary!G$26)</f>
        <v>21.619871764002649</v>
      </c>
      <c r="H14" s="65">
        <f>IF(SER_hh_tesh!H14=0,0,SER_hh_tesh!H14/SER_summary!H$26)</f>
        <v>32.779750669128767</v>
      </c>
      <c r="I14" s="65">
        <f>IF(SER_hh_tesh!I14=0,0,SER_hh_tesh!I14/SER_summary!I$26)</f>
        <v>32.659301975882208</v>
      </c>
      <c r="J14" s="65">
        <f>IF(SER_hh_tesh!J14=0,0,SER_hh_tesh!J14/SER_summary!J$26)</f>
        <v>36.444762131450084</v>
      </c>
      <c r="K14" s="65">
        <f>IF(SER_hh_tesh!K14=0,0,SER_hh_tesh!K14/SER_summary!K$26)</f>
        <v>39.726199395986974</v>
      </c>
      <c r="L14" s="65">
        <f>IF(SER_hh_tesh!L14=0,0,SER_hh_tesh!L14/SER_summary!L$26)</f>
        <v>43.934296198522958</v>
      </c>
      <c r="M14" s="65">
        <f>IF(SER_hh_tesh!M14=0,0,SER_hh_tesh!M14/SER_summary!M$26)</f>
        <v>46.800147676135822</v>
      </c>
      <c r="N14" s="65">
        <f>IF(SER_hh_tesh!N14=0,0,SER_hh_tesh!N14/SER_summary!N$26)</f>
        <v>33.694772450538522</v>
      </c>
      <c r="O14" s="65">
        <f>IF(SER_hh_tesh!O14=0,0,SER_hh_tesh!O14/SER_summary!O$26)</f>
        <v>11.866488498309774</v>
      </c>
      <c r="P14" s="65">
        <f>IF(SER_hh_tesh!P14=0,0,SER_hh_tesh!P14/SER_summary!P$26)</f>
        <v>34.461942080012946</v>
      </c>
      <c r="Q14" s="65">
        <f>IF(SER_hh_tesh!Q14=0,0,SER_hh_tesh!Q14/SER_summary!Q$26)</f>
        <v>37.398554539532569</v>
      </c>
      <c r="R14" s="65">
        <f>IF(SER_hh_tesh!R14=0,0,SER_hh_tesh!R14/SER_summary!R$26)</f>
        <v>59.268097849742674</v>
      </c>
      <c r="S14" s="65">
        <f>IF(SER_hh_tesh!S14=0,0,SER_hh_tesh!S14/SER_summary!S$26)</f>
        <v>74.218290719556904</v>
      </c>
      <c r="T14" s="65">
        <f>IF(SER_hh_tesh!T14=0,0,SER_hh_tesh!T14/SER_summary!T$26)</f>
        <v>76.571902052850888</v>
      </c>
      <c r="U14" s="65">
        <f>IF(SER_hh_tesh!U14=0,0,SER_hh_tesh!U14/SER_summary!U$26)</f>
        <v>98.298912258714736</v>
      </c>
      <c r="V14" s="65">
        <f>IF(SER_hh_tesh!V14=0,0,SER_hh_tesh!V14/SER_summary!V$26)</f>
        <v>40.776939637325754</v>
      </c>
      <c r="W14" s="65">
        <f>IF(SER_hh_tesh!W14=0,0,SER_hh_tesh!W14/SER_summary!W$26)</f>
        <v>67.420553371836462</v>
      </c>
      <c r="X14" s="65">
        <f>IF(SER_hh_tesh!X14=0,0,SER_hh_tesh!X14/SER_summary!X$26)</f>
        <v>89.850595938582217</v>
      </c>
      <c r="Y14" s="65">
        <f>IF(SER_hh_tesh!Y14=0,0,SER_hh_tesh!Y14/SER_summary!Y$26)</f>
        <v>85.33970532002796</v>
      </c>
      <c r="DA14" s="109" t="s">
        <v>519</v>
      </c>
    </row>
    <row r="15" spans="1:105" ht="12" customHeight="1" x14ac:dyDescent="0.25">
      <c r="A15" s="133" t="s">
        <v>80</v>
      </c>
      <c r="B15" s="134">
        <f>IF(SER_hh_tesh!B15=0,0,SER_hh_tesh!B15/SER_summary!B$26)</f>
        <v>0.24113341882418823</v>
      </c>
      <c r="C15" s="134">
        <f>IF(SER_hh_tesh!C15=0,0,SER_hh_tesh!C15/SER_summary!C$26)</f>
        <v>0.27758598103350274</v>
      </c>
      <c r="D15" s="134">
        <f>IF(SER_hh_tesh!D15=0,0,SER_hh_tesh!D15/SER_summary!D$26)</f>
        <v>0.30779454900770903</v>
      </c>
      <c r="E15" s="134">
        <f>IF(SER_hh_tesh!E15=0,0,SER_hh_tesh!E15/SER_summary!E$26)</f>
        <v>0.3555081725741302</v>
      </c>
      <c r="F15" s="134">
        <f>IF(SER_hh_tesh!F15=0,0,SER_hh_tesh!F15/SER_summary!F$26)</f>
        <v>0.36145311692620019</v>
      </c>
      <c r="G15" s="134">
        <f>IF(SER_hh_tesh!G15=0,0,SER_hh_tesh!G15/SER_summary!G$26)</f>
        <v>0.38920116375241848</v>
      </c>
      <c r="H15" s="134">
        <f>IF(SER_hh_tesh!H15=0,0,SER_hh_tesh!H15/SER_summary!H$26)</f>
        <v>0.49440247681476512</v>
      </c>
      <c r="I15" s="134">
        <f>IF(SER_hh_tesh!I15=0,0,SER_hh_tesh!I15/SER_summary!I$26)</f>
        <v>0.52541459014338376</v>
      </c>
      <c r="J15" s="134">
        <f>IF(SER_hh_tesh!J15=0,0,SER_hh_tesh!J15/SER_summary!J$26)</f>
        <v>0.71643015243643815</v>
      </c>
      <c r="K15" s="134">
        <f>IF(SER_hh_tesh!K15=0,0,SER_hh_tesh!K15/SER_summary!K$26)</f>
        <v>0.59439308998629714</v>
      </c>
      <c r="L15" s="134">
        <f>IF(SER_hh_tesh!L15=0,0,SER_hh_tesh!L15/SER_summary!L$26)</f>
        <v>0.67201303747669794</v>
      </c>
      <c r="M15" s="134">
        <f>IF(SER_hh_tesh!M15=0,0,SER_hh_tesh!M15/SER_summary!M$26)</f>
        <v>0.66056434105751738</v>
      </c>
      <c r="N15" s="134">
        <f>IF(SER_hh_tesh!N15=0,0,SER_hh_tesh!N15/SER_summary!N$26)</f>
        <v>0.574164243086698</v>
      </c>
      <c r="O15" s="134">
        <f>IF(SER_hh_tesh!O15=0,0,SER_hh_tesh!O15/SER_summary!O$26)</f>
        <v>0.65657559611619309</v>
      </c>
      <c r="P15" s="134">
        <f>IF(SER_hh_tesh!P15=0,0,SER_hh_tesh!P15/SER_summary!P$26)</f>
        <v>0.68105435557485239</v>
      </c>
      <c r="Q15" s="134">
        <f>IF(SER_hh_tesh!Q15=0,0,SER_hh_tesh!Q15/SER_summary!Q$26)</f>
        <v>0.66682941858367506</v>
      </c>
      <c r="R15" s="134">
        <f>IF(SER_hh_tesh!R15=0,0,SER_hh_tesh!R15/SER_summary!R$26)</f>
        <v>0.68807608248489782</v>
      </c>
      <c r="S15" s="134">
        <f>IF(SER_hh_tesh!S15=0,0,SER_hh_tesh!S15/SER_summary!S$26)</f>
        <v>0.8307305967467461</v>
      </c>
      <c r="T15" s="134">
        <f>IF(SER_hh_tesh!T15=0,0,SER_hh_tesh!T15/SER_summary!T$26)</f>
        <v>0.79536885586795369</v>
      </c>
      <c r="U15" s="134">
        <f>IF(SER_hh_tesh!U15=0,0,SER_hh_tesh!U15/SER_summary!U$26)</f>
        <v>0.94392983653819251</v>
      </c>
      <c r="V15" s="134">
        <f>IF(SER_hh_tesh!V15=0,0,SER_hh_tesh!V15/SER_summary!V$26)</f>
        <v>0.72253425116064929</v>
      </c>
      <c r="W15" s="134">
        <f>IF(SER_hh_tesh!W15=0,0,SER_hh_tesh!W15/SER_summary!W$26)</f>
        <v>0.83129226225156627</v>
      </c>
      <c r="X15" s="134">
        <f>IF(SER_hh_tesh!X15=0,0,SER_hh_tesh!X15/SER_summary!X$26)</f>
        <v>0.94933053385398924</v>
      </c>
      <c r="Y15" s="134">
        <f>IF(SER_hh_tesh!Y15=0,0,SER_hh_tesh!Y15/SER_summary!Y$26)</f>
        <v>0.97313988796720408</v>
      </c>
      <c r="DA15" s="157" t="s">
        <v>520</v>
      </c>
    </row>
    <row r="16" spans="1:105" ht="12.95" customHeight="1" x14ac:dyDescent="0.25">
      <c r="A16" s="129" t="s">
        <v>74</v>
      </c>
      <c r="B16" s="130">
        <f>IF(SER_hh_tesh!B16=0,0,SER_hh_tesh!B16/SER_summary!B$26)</f>
        <v>91.645783334388497</v>
      </c>
      <c r="C16" s="130">
        <f>IF(SER_hh_tesh!C16=0,0,SER_hh_tesh!C16/SER_summary!C$26)</f>
        <v>81.649359723694957</v>
      </c>
      <c r="D16" s="130">
        <f>IF(SER_hh_tesh!D16=0,0,SER_hh_tesh!D16/SER_summary!D$26)</f>
        <v>79.552735673674093</v>
      </c>
      <c r="E16" s="130">
        <f>IF(SER_hh_tesh!E16=0,0,SER_hh_tesh!E16/SER_summary!E$26)</f>
        <v>86.751719480121679</v>
      </c>
      <c r="F16" s="130">
        <f>IF(SER_hh_tesh!F16=0,0,SER_hh_tesh!F16/SER_summary!F$26)</f>
        <v>72.612351475095906</v>
      </c>
      <c r="G16" s="130">
        <f>IF(SER_hh_tesh!G16=0,0,SER_hh_tesh!G16/SER_summary!G$26)</f>
        <v>67.112123617404819</v>
      </c>
      <c r="H16" s="130">
        <f>IF(SER_hh_tesh!H16=0,0,SER_hh_tesh!H16/SER_summary!H$26)</f>
        <v>78.098959184929768</v>
      </c>
      <c r="I16" s="130">
        <f>IF(SER_hh_tesh!I16=0,0,SER_hh_tesh!I16/SER_summary!I$26)</f>
        <v>88.504970881220686</v>
      </c>
      <c r="J16" s="130">
        <f>IF(SER_hh_tesh!J16=0,0,SER_hh_tesh!J16/SER_summary!J$26)</f>
        <v>91.283746969165222</v>
      </c>
      <c r="K16" s="130">
        <f>IF(SER_hh_tesh!K16=0,0,SER_hh_tesh!K16/SER_summary!K$26)</f>
        <v>88.55621528384043</v>
      </c>
      <c r="L16" s="130">
        <f>IF(SER_hh_tesh!L16=0,0,SER_hh_tesh!L16/SER_summary!L$26)</f>
        <v>93.518482467170998</v>
      </c>
      <c r="M16" s="130">
        <f>IF(SER_hh_tesh!M16=0,0,SER_hh_tesh!M16/SER_summary!M$26)</f>
        <v>81.250122745159885</v>
      </c>
      <c r="N16" s="130">
        <f>IF(SER_hh_tesh!N16=0,0,SER_hh_tesh!N16/SER_summary!N$26)</f>
        <v>99.344677749220281</v>
      </c>
      <c r="O16" s="130">
        <f>IF(SER_hh_tesh!O16=0,0,SER_hh_tesh!O16/SER_summary!O$26)</f>
        <v>84.223123996450795</v>
      </c>
      <c r="P16" s="130">
        <f>IF(SER_hh_tesh!P16=0,0,SER_hh_tesh!P16/SER_summary!P$26)</f>
        <v>76.025477913778303</v>
      </c>
      <c r="Q16" s="130">
        <f>IF(SER_hh_tesh!Q16=0,0,SER_hh_tesh!Q16/SER_summary!Q$26)</f>
        <v>83.273734542196777</v>
      </c>
      <c r="R16" s="130">
        <f>IF(SER_hh_tesh!R16=0,0,SER_hh_tesh!R16/SER_summary!R$26)</f>
        <v>95.746477810733509</v>
      </c>
      <c r="S16" s="130">
        <f>IF(SER_hh_tesh!S16=0,0,SER_hh_tesh!S16/SER_summary!S$26)</f>
        <v>91.640498604543865</v>
      </c>
      <c r="T16" s="130">
        <f>IF(SER_hh_tesh!T16=0,0,SER_hh_tesh!T16/SER_summary!T$26)</f>
        <v>117.1214817952342</v>
      </c>
      <c r="U16" s="130">
        <f>IF(SER_hh_tesh!U16=0,0,SER_hh_tesh!U16/SER_summary!U$26)</f>
        <v>100.03013033169387</v>
      </c>
      <c r="V16" s="130">
        <f>IF(SER_hh_tesh!V16=0,0,SER_hh_tesh!V16/SER_summary!V$26)</f>
        <v>105.0999830203543</v>
      </c>
      <c r="W16" s="130">
        <f>IF(SER_hh_tesh!W16=0,0,SER_hh_tesh!W16/SER_summary!W$26)</f>
        <v>96.958900609216059</v>
      </c>
      <c r="X16" s="130">
        <f>IF(SER_hh_tesh!X16=0,0,SER_hh_tesh!X16/SER_summary!X$26)</f>
        <v>92.422911465719253</v>
      </c>
      <c r="Y16" s="130">
        <f>IF(SER_hh_tesh!Y16=0,0,SER_hh_tesh!Y16/SER_summary!Y$26)</f>
        <v>103.33324084147823</v>
      </c>
      <c r="DA16" s="155" t="s">
        <v>521</v>
      </c>
    </row>
    <row r="17" spans="1:105" ht="12.95" customHeight="1" x14ac:dyDescent="0.25">
      <c r="A17" s="131" t="s">
        <v>73</v>
      </c>
      <c r="B17" s="132">
        <f>IF(SER_hh_tesh!B17=0,0,SER_hh_tesh!B17/SER_summary!B$26)</f>
        <v>0</v>
      </c>
      <c r="C17" s="132">
        <f>IF(SER_hh_tesh!C17=0,0,SER_hh_tesh!C17/SER_summary!C$26)</f>
        <v>0</v>
      </c>
      <c r="D17" s="132">
        <f>IF(SER_hh_tesh!D17=0,0,SER_hh_tesh!D17/SER_summary!D$26)</f>
        <v>0</v>
      </c>
      <c r="E17" s="132">
        <f>IF(SER_hh_tesh!E17=0,0,SER_hh_tesh!E17/SER_summary!E$26)</f>
        <v>0</v>
      </c>
      <c r="F17" s="132">
        <f>IF(SER_hh_tesh!F17=0,0,SER_hh_tesh!F17/SER_summary!F$26)</f>
        <v>0</v>
      </c>
      <c r="G17" s="132">
        <f>IF(SER_hh_tesh!G17=0,0,SER_hh_tesh!G17/SER_summary!G$26)</f>
        <v>0</v>
      </c>
      <c r="H17" s="132">
        <f>IF(SER_hh_tesh!H17=0,0,SER_hh_tesh!H17/SER_summary!H$26)</f>
        <v>0</v>
      </c>
      <c r="I17" s="132">
        <f>IF(SER_hh_tesh!I17=0,0,SER_hh_tesh!I17/SER_summary!I$26)</f>
        <v>0</v>
      </c>
      <c r="J17" s="132">
        <f>IF(SER_hh_tesh!J17=0,0,SER_hh_tesh!J17/SER_summary!J$26)</f>
        <v>0</v>
      </c>
      <c r="K17" s="132">
        <f>IF(SER_hh_tesh!K17=0,0,SER_hh_tesh!K17/SER_summary!K$26)</f>
        <v>0</v>
      </c>
      <c r="L17" s="132">
        <f>IF(SER_hh_tesh!L17=0,0,SER_hh_tesh!L17/SER_summary!L$26)</f>
        <v>0</v>
      </c>
      <c r="M17" s="132">
        <f>IF(SER_hh_tesh!M17=0,0,SER_hh_tesh!M17/SER_summary!M$26)</f>
        <v>0</v>
      </c>
      <c r="N17" s="132">
        <f>IF(SER_hh_tesh!N17=0,0,SER_hh_tesh!N17/SER_summary!N$26)</f>
        <v>0</v>
      </c>
      <c r="O17" s="132">
        <f>IF(SER_hh_tesh!O17=0,0,SER_hh_tesh!O17/SER_summary!O$26)</f>
        <v>0</v>
      </c>
      <c r="P17" s="132">
        <f>IF(SER_hh_tesh!P17=0,0,SER_hh_tesh!P17/SER_summary!P$26)</f>
        <v>0</v>
      </c>
      <c r="Q17" s="132">
        <f>IF(SER_hh_tesh!Q17=0,0,SER_hh_tesh!Q17/SER_summary!Q$26)</f>
        <v>0</v>
      </c>
      <c r="R17" s="132">
        <f>IF(SER_hh_tesh!R17=0,0,SER_hh_tesh!R17/SER_summary!R$26)</f>
        <v>0</v>
      </c>
      <c r="S17" s="132">
        <f>IF(SER_hh_tesh!S17=0,0,SER_hh_tesh!S17/SER_summary!S$26)</f>
        <v>0</v>
      </c>
      <c r="T17" s="132">
        <f>IF(SER_hh_tesh!T17=0,0,SER_hh_tesh!T17/SER_summary!T$26)</f>
        <v>0</v>
      </c>
      <c r="U17" s="132">
        <f>IF(SER_hh_tesh!U17=0,0,SER_hh_tesh!U17/SER_summary!U$26)</f>
        <v>0</v>
      </c>
      <c r="V17" s="132">
        <f>IF(SER_hh_tesh!V17=0,0,SER_hh_tesh!V17/SER_summary!V$26)</f>
        <v>0</v>
      </c>
      <c r="W17" s="132">
        <f>IF(SER_hh_tesh!W17=0,0,SER_hh_tesh!W17/SER_summary!W$26)</f>
        <v>0</v>
      </c>
      <c r="X17" s="132">
        <f>IF(SER_hh_tesh!X17=0,0,SER_hh_tesh!X17/SER_summary!X$26)</f>
        <v>0</v>
      </c>
      <c r="Y17" s="132">
        <f>IF(SER_hh_tesh!Y17=0,0,SER_hh_tesh!Y17/SER_summary!Y$26)</f>
        <v>0</v>
      </c>
      <c r="DA17" s="156" t="s">
        <v>522</v>
      </c>
    </row>
    <row r="18" spans="1:105" ht="12" customHeight="1" x14ac:dyDescent="0.25">
      <c r="A18" s="131" t="s">
        <v>72</v>
      </c>
      <c r="B18" s="132">
        <f>IF(SER_hh_tesh!B18=0,0,SER_hh_tesh!B18/SER_summary!B$26)</f>
        <v>91.645783334388497</v>
      </c>
      <c r="C18" s="132">
        <f>IF(SER_hh_tesh!C18=0,0,SER_hh_tesh!C18/SER_summary!C$26)</f>
        <v>81.649359723694957</v>
      </c>
      <c r="D18" s="132">
        <f>IF(SER_hh_tesh!D18=0,0,SER_hh_tesh!D18/SER_summary!D$26)</f>
        <v>79.552735673674093</v>
      </c>
      <c r="E18" s="132">
        <f>IF(SER_hh_tesh!E18=0,0,SER_hh_tesh!E18/SER_summary!E$26)</f>
        <v>86.751719480121679</v>
      </c>
      <c r="F18" s="132">
        <f>IF(SER_hh_tesh!F18=0,0,SER_hh_tesh!F18/SER_summary!F$26)</f>
        <v>72.612351475095906</v>
      </c>
      <c r="G18" s="132">
        <f>IF(SER_hh_tesh!G18=0,0,SER_hh_tesh!G18/SER_summary!G$26)</f>
        <v>67.112123617404819</v>
      </c>
      <c r="H18" s="132">
        <f>IF(SER_hh_tesh!H18=0,0,SER_hh_tesh!H18/SER_summary!H$26)</f>
        <v>78.098959184929768</v>
      </c>
      <c r="I18" s="132">
        <f>IF(SER_hh_tesh!I18=0,0,SER_hh_tesh!I18/SER_summary!I$26)</f>
        <v>88.504970881220686</v>
      </c>
      <c r="J18" s="132">
        <f>IF(SER_hh_tesh!J18=0,0,SER_hh_tesh!J18/SER_summary!J$26)</f>
        <v>91.283746969165222</v>
      </c>
      <c r="K18" s="132">
        <f>IF(SER_hh_tesh!K18=0,0,SER_hh_tesh!K18/SER_summary!K$26)</f>
        <v>88.55621528384043</v>
      </c>
      <c r="L18" s="132">
        <f>IF(SER_hh_tesh!L18=0,0,SER_hh_tesh!L18/SER_summary!L$26)</f>
        <v>93.518482467170998</v>
      </c>
      <c r="M18" s="132">
        <f>IF(SER_hh_tesh!M18=0,0,SER_hh_tesh!M18/SER_summary!M$26)</f>
        <v>81.250122745159885</v>
      </c>
      <c r="N18" s="132">
        <f>IF(SER_hh_tesh!N18=0,0,SER_hh_tesh!N18/SER_summary!N$26)</f>
        <v>99.344677749220281</v>
      </c>
      <c r="O18" s="132">
        <f>IF(SER_hh_tesh!O18=0,0,SER_hh_tesh!O18/SER_summary!O$26)</f>
        <v>84.223123996450795</v>
      </c>
      <c r="P18" s="132">
        <f>IF(SER_hh_tesh!P18=0,0,SER_hh_tesh!P18/SER_summary!P$26)</f>
        <v>76.025477913778303</v>
      </c>
      <c r="Q18" s="132">
        <f>IF(SER_hh_tesh!Q18=0,0,SER_hh_tesh!Q18/SER_summary!Q$26)</f>
        <v>83.273734542196777</v>
      </c>
      <c r="R18" s="132">
        <f>IF(SER_hh_tesh!R18=0,0,SER_hh_tesh!R18/SER_summary!R$26)</f>
        <v>95.746477810733509</v>
      </c>
      <c r="S18" s="132">
        <f>IF(SER_hh_tesh!S18=0,0,SER_hh_tesh!S18/SER_summary!S$26)</f>
        <v>91.640498604543865</v>
      </c>
      <c r="T18" s="132">
        <f>IF(SER_hh_tesh!T18=0,0,SER_hh_tesh!T18/SER_summary!T$26)</f>
        <v>117.1214817952342</v>
      </c>
      <c r="U18" s="132">
        <f>IF(SER_hh_tesh!U18=0,0,SER_hh_tesh!U18/SER_summary!U$26)</f>
        <v>100.03013033169387</v>
      </c>
      <c r="V18" s="132">
        <f>IF(SER_hh_tesh!V18=0,0,SER_hh_tesh!V18/SER_summary!V$26)</f>
        <v>105.0999830203543</v>
      </c>
      <c r="W18" s="132">
        <f>IF(SER_hh_tesh!W18=0,0,SER_hh_tesh!W18/SER_summary!W$26)</f>
        <v>96.958900609216059</v>
      </c>
      <c r="X18" s="132">
        <f>IF(SER_hh_tesh!X18=0,0,SER_hh_tesh!X18/SER_summary!X$26)</f>
        <v>92.422911465719253</v>
      </c>
      <c r="Y18" s="132">
        <f>IF(SER_hh_tesh!Y18=0,0,SER_hh_tesh!Y18/SER_summary!Y$26)</f>
        <v>103.33324084147823</v>
      </c>
      <c r="DA18" s="156" t="s">
        <v>523</v>
      </c>
    </row>
    <row r="19" spans="1:105" ht="12.95" customHeight="1" x14ac:dyDescent="0.25">
      <c r="A19" s="129" t="s">
        <v>35</v>
      </c>
      <c r="B19" s="130">
        <f>IF(SER_hh_tesh!B19=0,0,SER_hh_tesh!B19/SER_summary!B$26)</f>
        <v>13.029605005289753</v>
      </c>
      <c r="C19" s="130">
        <f>IF(SER_hh_tesh!C19=0,0,SER_hh_tesh!C19/SER_summary!C$26)</f>
        <v>12.897786075577793</v>
      </c>
      <c r="D19" s="130">
        <f>IF(SER_hh_tesh!D19=0,0,SER_hh_tesh!D19/SER_summary!D$26)</f>
        <v>12.874817293728425</v>
      </c>
      <c r="E19" s="130">
        <f>IF(SER_hh_tesh!E19=0,0,SER_hh_tesh!E19/SER_summary!E$26)</f>
        <v>12.841610015308605</v>
      </c>
      <c r="F19" s="130">
        <f>IF(SER_hh_tesh!F19=0,0,SER_hh_tesh!F19/SER_summary!F$26)</f>
        <v>12.819569520180602</v>
      </c>
      <c r="G19" s="130">
        <f>IF(SER_hh_tesh!G19=0,0,SER_hh_tesh!G19/SER_summary!G$26)</f>
        <v>12.86237033363245</v>
      </c>
      <c r="H19" s="130">
        <f>IF(SER_hh_tesh!H19=0,0,SER_hh_tesh!H19/SER_summary!H$26)</f>
        <v>12.937449585843448</v>
      </c>
      <c r="I19" s="130">
        <f>IF(SER_hh_tesh!I19=0,0,SER_hh_tesh!I19/SER_summary!I$26)</f>
        <v>12.949609996817134</v>
      </c>
      <c r="J19" s="130">
        <f>IF(SER_hh_tesh!J19=0,0,SER_hh_tesh!J19/SER_summary!J$26)</f>
        <v>13.115594126714745</v>
      </c>
      <c r="K19" s="130">
        <f>IF(SER_hh_tesh!K19=0,0,SER_hh_tesh!K19/SER_summary!K$26)</f>
        <v>13.009791148730251</v>
      </c>
      <c r="L19" s="130">
        <f>IF(SER_hh_tesh!L19=0,0,SER_hh_tesh!L19/SER_summary!L$26)</f>
        <v>12.915515399702397</v>
      </c>
      <c r="M19" s="130">
        <f>IF(SER_hh_tesh!M19=0,0,SER_hh_tesh!M19/SER_summary!M$26)</f>
        <v>12.901961327497609</v>
      </c>
      <c r="N19" s="130">
        <f>IF(SER_hh_tesh!N19=0,0,SER_hh_tesh!N19/SER_summary!N$26)</f>
        <v>12.823557174302277</v>
      </c>
      <c r="O19" s="130">
        <f>IF(SER_hh_tesh!O19=0,0,SER_hh_tesh!O19/SER_summary!O$26)</f>
        <v>12.85520340981734</v>
      </c>
      <c r="P19" s="130">
        <f>IF(SER_hh_tesh!P19=0,0,SER_hh_tesh!P19/SER_summary!P$26)</f>
        <v>12.787689983191022</v>
      </c>
      <c r="Q19" s="130">
        <f>IF(SER_hh_tesh!Q19=0,0,SER_hh_tesh!Q19/SER_summary!Q$26)</f>
        <v>12.851001924739043</v>
      </c>
      <c r="R19" s="130">
        <f>IF(SER_hh_tesh!R19=0,0,SER_hh_tesh!R19/SER_summary!R$26)</f>
        <v>12.929941575440106</v>
      </c>
      <c r="S19" s="130">
        <f>IF(SER_hh_tesh!S19=0,0,SER_hh_tesh!S19/SER_summary!S$26)</f>
        <v>12.734209033835569</v>
      </c>
      <c r="T19" s="130">
        <f>IF(SER_hh_tesh!T19=0,0,SER_hh_tesh!T19/SER_summary!T$26)</f>
        <v>12.702695833576891</v>
      </c>
      <c r="U19" s="130">
        <f>IF(SER_hh_tesh!U19=0,0,SER_hh_tesh!U19/SER_summary!U$26)</f>
        <v>12.523334471076693</v>
      </c>
      <c r="V19" s="130">
        <f>IF(SER_hh_tesh!V19=0,0,SER_hh_tesh!V19/SER_summary!V$26)</f>
        <v>11.791214908799281</v>
      </c>
      <c r="W19" s="130">
        <f>IF(SER_hh_tesh!W19=0,0,SER_hh_tesh!W19/SER_summary!W$26)</f>
        <v>11.895899971525761</v>
      </c>
      <c r="X19" s="130">
        <f>IF(SER_hh_tesh!X19=0,0,SER_hh_tesh!X19/SER_summary!X$26)</f>
        <v>12.636244684377019</v>
      </c>
      <c r="Y19" s="130">
        <f>IF(SER_hh_tesh!Y19=0,0,SER_hh_tesh!Y19/SER_summary!Y$26)</f>
        <v>13.433391310491341</v>
      </c>
      <c r="DA19" s="155" t="s">
        <v>524</v>
      </c>
    </row>
    <row r="20" spans="1:105" ht="12" customHeight="1" x14ac:dyDescent="0.25">
      <c r="A20" s="131" t="s">
        <v>29</v>
      </c>
      <c r="B20" s="132">
        <f>IF(SER_hh_tesh!B20=0,0,SER_hh_tesh!B20/SER_summary!B$26)</f>
        <v>0</v>
      </c>
      <c r="C20" s="132">
        <f>IF(SER_hh_tesh!C20=0,0,SER_hh_tesh!C20/SER_summary!C$26)</f>
        <v>0</v>
      </c>
      <c r="D20" s="132">
        <f>IF(SER_hh_tesh!D20=0,0,SER_hh_tesh!D20/SER_summary!D$26)</f>
        <v>0</v>
      </c>
      <c r="E20" s="132">
        <f>IF(SER_hh_tesh!E20=0,0,SER_hh_tesh!E20/SER_summary!E$26)</f>
        <v>0</v>
      </c>
      <c r="F20" s="132">
        <f>IF(SER_hh_tesh!F20=0,0,SER_hh_tesh!F20/SER_summary!F$26)</f>
        <v>0</v>
      </c>
      <c r="G20" s="132">
        <f>IF(SER_hh_tesh!G20=0,0,SER_hh_tesh!G20/SER_summary!G$26)</f>
        <v>0</v>
      </c>
      <c r="H20" s="132">
        <f>IF(SER_hh_tesh!H20=0,0,SER_hh_tesh!H20/SER_summary!H$26)</f>
        <v>0</v>
      </c>
      <c r="I20" s="132">
        <f>IF(SER_hh_tesh!I20=0,0,SER_hh_tesh!I20/SER_summary!I$26)</f>
        <v>0</v>
      </c>
      <c r="J20" s="132">
        <f>IF(SER_hh_tesh!J20=0,0,SER_hh_tesh!J20/SER_summary!J$26)</f>
        <v>0</v>
      </c>
      <c r="K20" s="132">
        <f>IF(SER_hh_tesh!K20=0,0,SER_hh_tesh!K20/SER_summary!K$26)</f>
        <v>0</v>
      </c>
      <c r="L20" s="132">
        <f>IF(SER_hh_tesh!L20=0,0,SER_hh_tesh!L20/SER_summary!L$26)</f>
        <v>0</v>
      </c>
      <c r="M20" s="132">
        <f>IF(SER_hh_tesh!M20=0,0,SER_hh_tesh!M20/SER_summary!M$26)</f>
        <v>0</v>
      </c>
      <c r="N20" s="132">
        <f>IF(SER_hh_tesh!N20=0,0,SER_hh_tesh!N20/SER_summary!N$26)</f>
        <v>0</v>
      </c>
      <c r="O20" s="132">
        <f>IF(SER_hh_tesh!O20=0,0,SER_hh_tesh!O20/SER_summary!O$26)</f>
        <v>0</v>
      </c>
      <c r="P20" s="132">
        <f>IF(SER_hh_tesh!P20=0,0,SER_hh_tesh!P20/SER_summary!P$26)</f>
        <v>0</v>
      </c>
      <c r="Q20" s="132">
        <f>IF(SER_hh_tesh!Q20=0,0,SER_hh_tesh!Q20/SER_summary!Q$26)</f>
        <v>0</v>
      </c>
      <c r="R20" s="132">
        <f>IF(SER_hh_tesh!R20=0,0,SER_hh_tesh!R20/SER_summary!R$26)</f>
        <v>0</v>
      </c>
      <c r="S20" s="132">
        <f>IF(SER_hh_tesh!S20=0,0,SER_hh_tesh!S20/SER_summary!S$26)</f>
        <v>0</v>
      </c>
      <c r="T20" s="132">
        <f>IF(SER_hh_tesh!T20=0,0,SER_hh_tesh!T20/SER_summary!T$26)</f>
        <v>0</v>
      </c>
      <c r="U20" s="132">
        <f>IF(SER_hh_tesh!U20=0,0,SER_hh_tesh!U20/SER_summary!U$26)</f>
        <v>0</v>
      </c>
      <c r="V20" s="132">
        <f>IF(SER_hh_tesh!V20=0,0,SER_hh_tesh!V20/SER_summary!V$26)</f>
        <v>0</v>
      </c>
      <c r="W20" s="132">
        <f>IF(SER_hh_tesh!W20=0,0,SER_hh_tesh!W20/SER_summary!W$26)</f>
        <v>0</v>
      </c>
      <c r="X20" s="132">
        <f>IF(SER_hh_tesh!X20=0,0,SER_hh_tesh!X20/SER_summary!X$26)</f>
        <v>0</v>
      </c>
      <c r="Y20" s="132">
        <f>IF(SER_hh_tesh!Y20=0,0,SER_hh_tesh!Y20/SER_summary!Y$26)</f>
        <v>0</v>
      </c>
      <c r="DA20" s="156" t="s">
        <v>525</v>
      </c>
    </row>
    <row r="21" spans="1:105" s="2" customFormat="1" ht="12" customHeight="1" x14ac:dyDescent="0.25">
      <c r="A21" s="131" t="s">
        <v>52</v>
      </c>
      <c r="B21" s="132">
        <f>IF(SER_hh_tesh!B21=0,0,SER_hh_tesh!B21/SER_summary!B$26)</f>
        <v>0</v>
      </c>
      <c r="C21" s="132">
        <f>IF(SER_hh_tesh!C21=0,0,SER_hh_tesh!C21/SER_summary!C$26)</f>
        <v>0</v>
      </c>
      <c r="D21" s="132">
        <f>IF(SER_hh_tesh!D21=0,0,SER_hh_tesh!D21/SER_summary!D$26)</f>
        <v>0</v>
      </c>
      <c r="E21" s="132">
        <f>IF(SER_hh_tesh!E21=0,0,SER_hh_tesh!E21/SER_summary!E$26)</f>
        <v>0</v>
      </c>
      <c r="F21" s="132">
        <f>IF(SER_hh_tesh!F21=0,0,SER_hh_tesh!F21/SER_summary!F$26)</f>
        <v>0</v>
      </c>
      <c r="G21" s="132">
        <f>IF(SER_hh_tesh!G21=0,0,SER_hh_tesh!G21/SER_summary!G$26)</f>
        <v>0</v>
      </c>
      <c r="H21" s="132">
        <f>IF(SER_hh_tesh!H21=0,0,SER_hh_tesh!H21/SER_summary!H$26)</f>
        <v>16.37781533733002</v>
      </c>
      <c r="I21" s="132">
        <f>IF(SER_hh_tesh!I21=0,0,SER_hh_tesh!I21/SER_summary!I$26)</f>
        <v>12.592754920181196</v>
      </c>
      <c r="J21" s="132">
        <f>IF(SER_hh_tesh!J21=0,0,SER_hh_tesh!J21/SER_summary!J$26)</f>
        <v>11.294541392205705</v>
      </c>
      <c r="K21" s="132">
        <f>IF(SER_hh_tesh!K21=0,0,SER_hh_tesh!K21/SER_summary!K$26)</f>
        <v>11.175731346640234</v>
      </c>
      <c r="L21" s="132">
        <f>IF(SER_hh_tesh!L21=0,0,SER_hh_tesh!L21/SER_summary!L$26)</f>
        <v>11.451046195526335</v>
      </c>
      <c r="M21" s="132">
        <f>IF(SER_hh_tesh!M21=0,0,SER_hh_tesh!M21/SER_summary!M$26)</f>
        <v>11.221206442027173</v>
      </c>
      <c r="N21" s="132">
        <f>IF(SER_hh_tesh!N21=0,0,SER_hh_tesh!N21/SER_summary!N$26)</f>
        <v>11.210417870813204</v>
      </c>
      <c r="O21" s="132">
        <f>IF(SER_hh_tesh!O21=0,0,SER_hh_tesh!O21/SER_summary!O$26)</f>
        <v>11.33842710497562</v>
      </c>
      <c r="P21" s="132">
        <f>IF(SER_hh_tesh!P21=0,0,SER_hh_tesh!P21/SER_summary!P$26)</f>
        <v>10.814226394475311</v>
      </c>
      <c r="Q21" s="132">
        <f>IF(SER_hh_tesh!Q21=0,0,SER_hh_tesh!Q21/SER_summary!Q$26)</f>
        <v>10.859061550596177</v>
      </c>
      <c r="R21" s="132">
        <f>IF(SER_hh_tesh!R21=0,0,SER_hh_tesh!R21/SER_summary!R$26)</f>
        <v>11.055357399510473</v>
      </c>
      <c r="S21" s="132">
        <f>IF(SER_hh_tesh!S21=0,0,SER_hh_tesh!S21/SER_summary!S$26)</f>
        <v>11.154397448310354</v>
      </c>
      <c r="T21" s="132">
        <f>IF(SER_hh_tesh!T21=0,0,SER_hh_tesh!T21/SER_summary!T$26)</f>
        <v>10.885117830027719</v>
      </c>
      <c r="U21" s="132">
        <f>IF(SER_hh_tesh!U21=0,0,SER_hh_tesh!U21/SER_summary!U$26)</f>
        <v>11.21614867399995</v>
      </c>
      <c r="V21" s="132">
        <f>IF(SER_hh_tesh!V21=0,0,SER_hh_tesh!V21/SER_summary!V$26)</f>
        <v>9.912831594503805</v>
      </c>
      <c r="W21" s="132">
        <f>IF(SER_hh_tesh!W21=0,0,SER_hh_tesh!W21/SER_summary!W$26)</f>
        <v>9.8859755209979596</v>
      </c>
      <c r="X21" s="132">
        <f>IF(SER_hh_tesh!X21=0,0,SER_hh_tesh!X21/SER_summary!X$26)</f>
        <v>11.77537745092096</v>
      </c>
      <c r="Y21" s="132">
        <f>IF(SER_hh_tesh!Y21=0,0,SER_hh_tesh!Y21/SER_summary!Y$26)</f>
        <v>12.201213963810249</v>
      </c>
      <c r="DA21" s="156" t="s">
        <v>526</v>
      </c>
    </row>
    <row r="22" spans="1:105" ht="12" customHeight="1" x14ac:dyDescent="0.25">
      <c r="A22" s="131" t="s">
        <v>161</v>
      </c>
      <c r="B22" s="132">
        <f>IF(SER_hh_tesh!B22=0,0,SER_hh_tesh!B22/SER_summary!B$26)</f>
        <v>12.351830478537222</v>
      </c>
      <c r="C22" s="132">
        <f>IF(SER_hh_tesh!C22=0,0,SER_hh_tesh!C22/SER_summary!C$26)</f>
        <v>12.362639952714604</v>
      </c>
      <c r="D22" s="132">
        <f>IF(SER_hh_tesh!D22=0,0,SER_hh_tesh!D22/SER_summary!D$26)</f>
        <v>12.330957951709591</v>
      </c>
      <c r="E22" s="132">
        <f>IF(SER_hh_tesh!E22=0,0,SER_hh_tesh!E22/SER_summary!E$26)</f>
        <v>12.200815339654861</v>
      </c>
      <c r="F22" s="132">
        <f>IF(SER_hh_tesh!F22=0,0,SER_hh_tesh!F22/SER_summary!F$26)</f>
        <v>12.179622316514063</v>
      </c>
      <c r="G22" s="132">
        <f>IF(SER_hh_tesh!G22=0,0,SER_hh_tesh!G22/SER_summary!G$26)</f>
        <v>12.093162154517749</v>
      </c>
      <c r="H22" s="132">
        <f>IF(SER_hh_tesh!H22=0,0,SER_hh_tesh!H22/SER_summary!H$26)</f>
        <v>11.765672451321164</v>
      </c>
      <c r="I22" s="132">
        <f>IF(SER_hh_tesh!I22=0,0,SER_hh_tesh!I22/SER_summary!I$26)</f>
        <v>11.428081231134415</v>
      </c>
      <c r="J22" s="132">
        <f>IF(SER_hh_tesh!J22=0,0,SER_hh_tesh!J22/SER_summary!J$26)</f>
        <v>11.227622884847255</v>
      </c>
      <c r="K22" s="132">
        <f>IF(SER_hh_tesh!K22=0,0,SER_hh_tesh!K22/SER_summary!K$26)</f>
        <v>11.157597167397075</v>
      </c>
      <c r="L22" s="132">
        <f>IF(SER_hh_tesh!L22=0,0,SER_hh_tesh!L22/SER_summary!L$26)</f>
        <v>11.061280679084343</v>
      </c>
      <c r="M22" s="132">
        <f>IF(SER_hh_tesh!M22=0,0,SER_hh_tesh!M22/SER_summary!M$26)</f>
        <v>11.073471426621545</v>
      </c>
      <c r="N22" s="132">
        <f>IF(SER_hh_tesh!N22=0,0,SER_hh_tesh!N22/SER_summary!N$26)</f>
        <v>11.167320701604645</v>
      </c>
      <c r="O22" s="132">
        <f>IF(SER_hh_tesh!O22=0,0,SER_hh_tesh!O22/SER_summary!O$26)</f>
        <v>11.088768640483334</v>
      </c>
      <c r="P22" s="132">
        <f>IF(SER_hh_tesh!P22=0,0,SER_hh_tesh!P22/SER_summary!P$26)</f>
        <v>11.09040058357211</v>
      </c>
      <c r="Q22" s="132">
        <f>IF(SER_hh_tesh!Q22=0,0,SER_hh_tesh!Q22/SER_summary!Q$26)</f>
        <v>11.031441753448185</v>
      </c>
      <c r="R22" s="132">
        <f>IF(SER_hh_tesh!R22=0,0,SER_hh_tesh!R22/SER_summary!R$26)</f>
        <v>11.077176311661635</v>
      </c>
      <c r="S22" s="132">
        <f>IF(SER_hh_tesh!S22=0,0,SER_hh_tesh!S22/SER_summary!S$26)</f>
        <v>10.840817886974385</v>
      </c>
      <c r="T22" s="132">
        <f>IF(SER_hh_tesh!T22=0,0,SER_hh_tesh!T22/SER_summary!T$26)</f>
        <v>10.86061621663583</v>
      </c>
      <c r="U22" s="132">
        <f>IF(SER_hh_tesh!U22=0,0,SER_hh_tesh!U22/SER_summary!U$26)</f>
        <v>10.723847784507221</v>
      </c>
      <c r="V22" s="132">
        <f>IF(SER_hh_tesh!V22=0,0,SER_hh_tesh!V22/SER_summary!V$26)</f>
        <v>9.912758868603067</v>
      </c>
      <c r="W22" s="132">
        <f>IF(SER_hh_tesh!W22=0,0,SER_hh_tesh!W22/SER_summary!W$26)</f>
        <v>10.925913156879062</v>
      </c>
      <c r="X22" s="132">
        <f>IF(SER_hh_tesh!X22=0,0,SER_hh_tesh!X22/SER_summary!X$26)</f>
        <v>12.562156528628801</v>
      </c>
      <c r="Y22" s="132">
        <f>IF(SER_hh_tesh!Y22=0,0,SER_hh_tesh!Y22/SER_summary!Y$26)</f>
        <v>12.962706038874993</v>
      </c>
      <c r="DA22" s="156" t="s">
        <v>527</v>
      </c>
    </row>
    <row r="23" spans="1:105" ht="12" customHeight="1" x14ac:dyDescent="0.25">
      <c r="A23" s="131" t="s">
        <v>149</v>
      </c>
      <c r="B23" s="132">
        <f>IF(SER_hh_tesh!B23=0,0,SER_hh_tesh!B23/SER_summary!B$26)</f>
        <v>0</v>
      </c>
      <c r="C23" s="132">
        <f>IF(SER_hh_tesh!C23=0,0,SER_hh_tesh!C23/SER_summary!C$26)</f>
        <v>0</v>
      </c>
      <c r="D23" s="132">
        <f>IF(SER_hh_tesh!D23=0,0,SER_hh_tesh!D23/SER_summary!D$26)</f>
        <v>0</v>
      </c>
      <c r="E23" s="132">
        <f>IF(SER_hh_tesh!E23=0,0,SER_hh_tesh!E23/SER_summary!E$26)</f>
        <v>0</v>
      </c>
      <c r="F23" s="132">
        <f>IF(SER_hh_tesh!F23=0,0,SER_hh_tesh!F23/SER_summary!F$26)</f>
        <v>0</v>
      </c>
      <c r="G23" s="132">
        <f>IF(SER_hh_tesh!G23=0,0,SER_hh_tesh!G23/SER_summary!G$26)</f>
        <v>0</v>
      </c>
      <c r="H23" s="132">
        <f>IF(SER_hh_tesh!H23=0,0,SER_hh_tesh!H23/SER_summary!H$26)</f>
        <v>0</v>
      </c>
      <c r="I23" s="132">
        <f>IF(SER_hh_tesh!I23=0,0,SER_hh_tesh!I23/SER_summary!I$26)</f>
        <v>0</v>
      </c>
      <c r="J23" s="132">
        <f>IF(SER_hh_tesh!J23=0,0,SER_hh_tesh!J23/SER_summary!J$26)</f>
        <v>0</v>
      </c>
      <c r="K23" s="132">
        <f>IF(SER_hh_tesh!K23=0,0,SER_hh_tesh!K23/SER_summary!K$26)</f>
        <v>0</v>
      </c>
      <c r="L23" s="132">
        <f>IF(SER_hh_tesh!L23=0,0,SER_hh_tesh!L23/SER_summary!L$26)</f>
        <v>0</v>
      </c>
      <c r="M23" s="132">
        <f>IF(SER_hh_tesh!M23=0,0,SER_hh_tesh!M23/SER_summary!M$26)</f>
        <v>0</v>
      </c>
      <c r="N23" s="132">
        <f>IF(SER_hh_tesh!N23=0,0,SER_hh_tesh!N23/SER_summary!N$26)</f>
        <v>0</v>
      </c>
      <c r="O23" s="132">
        <f>IF(SER_hh_tesh!O23=0,0,SER_hh_tesh!O23/SER_summary!O$26)</f>
        <v>0</v>
      </c>
      <c r="P23" s="132">
        <f>IF(SER_hh_tesh!P23=0,0,SER_hh_tesh!P23/SER_summary!P$26)</f>
        <v>0</v>
      </c>
      <c r="Q23" s="132">
        <f>IF(SER_hh_tesh!Q23=0,0,SER_hh_tesh!Q23/SER_summary!Q$26)</f>
        <v>0</v>
      </c>
      <c r="R23" s="132">
        <f>IF(SER_hh_tesh!R23=0,0,SER_hh_tesh!R23/SER_summary!R$26)</f>
        <v>0</v>
      </c>
      <c r="S23" s="132">
        <f>IF(SER_hh_tesh!S23=0,0,SER_hh_tesh!S23/SER_summary!S$26)</f>
        <v>0</v>
      </c>
      <c r="T23" s="132">
        <f>IF(SER_hh_tesh!T23=0,0,SER_hh_tesh!T23/SER_summary!T$26)</f>
        <v>0</v>
      </c>
      <c r="U23" s="132">
        <f>IF(SER_hh_tesh!U23=0,0,SER_hh_tesh!U23/SER_summary!U$26)</f>
        <v>0</v>
      </c>
      <c r="V23" s="132">
        <f>IF(SER_hh_tesh!V23=0,0,SER_hh_tesh!V23/SER_summary!V$26)</f>
        <v>0</v>
      </c>
      <c r="W23" s="132">
        <f>IF(SER_hh_tesh!W23=0,0,SER_hh_tesh!W23/SER_summary!W$26)</f>
        <v>0</v>
      </c>
      <c r="X23" s="132">
        <f>IF(SER_hh_tesh!X23=0,0,SER_hh_tesh!X23/SER_summary!X$26)</f>
        <v>0</v>
      </c>
      <c r="Y23" s="132">
        <f>IF(SER_hh_tesh!Y23=0,0,SER_hh_tesh!Y23/SER_summary!Y$26)</f>
        <v>0</v>
      </c>
      <c r="DA23" s="156" t="s">
        <v>528</v>
      </c>
    </row>
    <row r="24" spans="1:105" ht="12" customHeight="1" x14ac:dyDescent="0.25">
      <c r="A24" s="131" t="s">
        <v>128</v>
      </c>
      <c r="B24" s="132">
        <f>IF(SER_hh_tesh!B24=0,0,SER_hh_tesh!B24/SER_summary!B$26)</f>
        <v>0</v>
      </c>
      <c r="C24" s="132">
        <f>IF(SER_hh_tesh!C24=0,0,SER_hh_tesh!C24/SER_summary!C$26)</f>
        <v>0</v>
      </c>
      <c r="D24" s="132">
        <f>IF(SER_hh_tesh!D24=0,0,SER_hh_tesh!D24/SER_summary!D$26)</f>
        <v>0</v>
      </c>
      <c r="E24" s="132">
        <f>IF(SER_hh_tesh!E24=0,0,SER_hh_tesh!E24/SER_summary!E$26)</f>
        <v>0</v>
      </c>
      <c r="F24" s="132">
        <f>IF(SER_hh_tesh!F24=0,0,SER_hh_tesh!F24/SER_summary!F$26)</f>
        <v>0</v>
      </c>
      <c r="G24" s="132">
        <f>IF(SER_hh_tesh!G24=0,0,SER_hh_tesh!G24/SER_summary!G$26)</f>
        <v>0</v>
      </c>
      <c r="H24" s="132">
        <f>IF(SER_hh_tesh!H24=0,0,SER_hh_tesh!H24/SER_summary!H$26)</f>
        <v>0</v>
      </c>
      <c r="I24" s="132">
        <f>IF(SER_hh_tesh!I24=0,0,SER_hh_tesh!I24/SER_summary!I$26)</f>
        <v>0</v>
      </c>
      <c r="J24" s="132">
        <f>IF(SER_hh_tesh!J24=0,0,SER_hh_tesh!J24/SER_summary!J$26)</f>
        <v>0</v>
      </c>
      <c r="K24" s="132">
        <f>IF(SER_hh_tesh!K24=0,0,SER_hh_tesh!K24/SER_summary!K$26)</f>
        <v>0</v>
      </c>
      <c r="L24" s="132">
        <f>IF(SER_hh_tesh!L24=0,0,SER_hh_tesh!L24/SER_summary!L$26)</f>
        <v>0</v>
      </c>
      <c r="M24" s="132">
        <f>IF(SER_hh_tesh!M24=0,0,SER_hh_tesh!M24/SER_summary!M$26)</f>
        <v>0</v>
      </c>
      <c r="N24" s="132">
        <f>IF(SER_hh_tesh!N24=0,0,SER_hh_tesh!N24/SER_summary!N$26)</f>
        <v>0</v>
      </c>
      <c r="O24" s="132">
        <f>IF(SER_hh_tesh!O24=0,0,SER_hh_tesh!O24/SER_summary!O$26)</f>
        <v>0</v>
      </c>
      <c r="P24" s="132">
        <f>IF(SER_hh_tesh!P24=0,0,SER_hh_tesh!P24/SER_summary!P$26)</f>
        <v>0</v>
      </c>
      <c r="Q24" s="132">
        <f>IF(SER_hh_tesh!Q24=0,0,SER_hh_tesh!Q24/SER_summary!Q$26)</f>
        <v>0</v>
      </c>
      <c r="R24" s="132">
        <f>IF(SER_hh_tesh!R24=0,0,SER_hh_tesh!R24/SER_summary!R$26)</f>
        <v>0</v>
      </c>
      <c r="S24" s="132">
        <f>IF(SER_hh_tesh!S24=0,0,SER_hh_tesh!S24/SER_summary!S$26)</f>
        <v>0</v>
      </c>
      <c r="T24" s="132">
        <f>IF(SER_hh_tesh!T24=0,0,SER_hh_tesh!T24/SER_summary!T$26)</f>
        <v>0</v>
      </c>
      <c r="U24" s="132">
        <f>IF(SER_hh_tesh!U24=0,0,SER_hh_tesh!U24/SER_summary!U$26)</f>
        <v>0</v>
      </c>
      <c r="V24" s="132">
        <f>IF(SER_hh_tesh!V24=0,0,SER_hh_tesh!V24/SER_summary!V$26)</f>
        <v>0</v>
      </c>
      <c r="W24" s="132">
        <f>IF(SER_hh_tesh!W24=0,0,SER_hh_tesh!W24/SER_summary!W$26)</f>
        <v>0</v>
      </c>
      <c r="X24" s="132">
        <f>IF(SER_hh_tesh!X24=0,0,SER_hh_tesh!X24/SER_summary!X$26)</f>
        <v>0</v>
      </c>
      <c r="Y24" s="132">
        <f>IF(SER_hh_tesh!Y24=0,0,SER_hh_tesh!Y24/SER_summary!Y$26)</f>
        <v>0</v>
      </c>
      <c r="DA24" s="156" t="s">
        <v>529</v>
      </c>
    </row>
    <row r="25" spans="1:105" ht="12" customHeight="1" x14ac:dyDescent="0.25">
      <c r="A25" s="131" t="s">
        <v>162</v>
      </c>
      <c r="B25" s="132">
        <f>IF(SER_hh_tesh!B25=0,0,SER_hh_tesh!B25/SER_summary!B$26)</f>
        <v>0</v>
      </c>
      <c r="C25" s="132">
        <f>IF(SER_hh_tesh!C25=0,0,SER_hh_tesh!C25/SER_summary!C$26)</f>
        <v>0</v>
      </c>
      <c r="D25" s="132">
        <f>IF(SER_hh_tesh!D25=0,0,SER_hh_tesh!D25/SER_summary!D$26)</f>
        <v>0</v>
      </c>
      <c r="E25" s="132">
        <f>IF(SER_hh_tesh!E25=0,0,SER_hh_tesh!E25/SER_summary!E$26)</f>
        <v>0</v>
      </c>
      <c r="F25" s="132">
        <f>IF(SER_hh_tesh!F25=0,0,SER_hh_tesh!F25/SER_summary!F$26)</f>
        <v>0</v>
      </c>
      <c r="G25" s="132">
        <f>IF(SER_hh_tesh!G25=0,0,SER_hh_tesh!G25/SER_summary!G$26)</f>
        <v>0</v>
      </c>
      <c r="H25" s="132">
        <f>IF(SER_hh_tesh!H25=0,0,SER_hh_tesh!H25/SER_summary!H$26)</f>
        <v>0</v>
      </c>
      <c r="I25" s="132">
        <f>IF(SER_hh_tesh!I25=0,0,SER_hh_tesh!I25/SER_summary!I$26)</f>
        <v>0</v>
      </c>
      <c r="J25" s="132">
        <f>IF(SER_hh_tesh!J25=0,0,SER_hh_tesh!J25/SER_summary!J$26)</f>
        <v>0</v>
      </c>
      <c r="K25" s="132">
        <f>IF(SER_hh_tesh!K25=0,0,SER_hh_tesh!K25/SER_summary!K$26)</f>
        <v>0</v>
      </c>
      <c r="L25" s="132">
        <f>IF(SER_hh_tesh!L25=0,0,SER_hh_tesh!L25/SER_summary!L$26)</f>
        <v>0</v>
      </c>
      <c r="M25" s="132">
        <f>IF(SER_hh_tesh!M25=0,0,SER_hh_tesh!M25/SER_summary!M$26)</f>
        <v>0</v>
      </c>
      <c r="N25" s="132">
        <f>IF(SER_hh_tesh!N25=0,0,SER_hh_tesh!N25/SER_summary!N$26)</f>
        <v>0</v>
      </c>
      <c r="O25" s="132">
        <f>IF(SER_hh_tesh!O25=0,0,SER_hh_tesh!O25/SER_summary!O$26)</f>
        <v>0</v>
      </c>
      <c r="P25" s="132">
        <f>IF(SER_hh_tesh!P25=0,0,SER_hh_tesh!P25/SER_summary!P$26)</f>
        <v>0</v>
      </c>
      <c r="Q25" s="132">
        <f>IF(SER_hh_tesh!Q25=0,0,SER_hh_tesh!Q25/SER_summary!Q$26)</f>
        <v>0</v>
      </c>
      <c r="R25" s="132">
        <f>IF(SER_hh_tesh!R25=0,0,SER_hh_tesh!R25/SER_summary!R$26)</f>
        <v>0</v>
      </c>
      <c r="S25" s="132">
        <f>IF(SER_hh_tesh!S25=0,0,SER_hh_tesh!S25/SER_summary!S$26)</f>
        <v>0</v>
      </c>
      <c r="T25" s="132">
        <f>IF(SER_hh_tesh!T25=0,0,SER_hh_tesh!T25/SER_summary!T$26)</f>
        <v>0</v>
      </c>
      <c r="U25" s="132">
        <f>IF(SER_hh_tesh!U25=0,0,SER_hh_tesh!U25/SER_summary!U$26)</f>
        <v>0</v>
      </c>
      <c r="V25" s="132">
        <f>IF(SER_hh_tesh!V25=0,0,SER_hh_tesh!V25/SER_summary!V$26)</f>
        <v>0</v>
      </c>
      <c r="W25" s="132">
        <f>IF(SER_hh_tesh!W25=0,0,SER_hh_tesh!W25/SER_summary!W$26)</f>
        <v>0</v>
      </c>
      <c r="X25" s="132">
        <f>IF(SER_hh_tesh!X25=0,0,SER_hh_tesh!X25/SER_summary!X$26)</f>
        <v>0</v>
      </c>
      <c r="Y25" s="132">
        <f>IF(SER_hh_tesh!Y25=0,0,SER_hh_tesh!Y25/SER_summary!Y$26)</f>
        <v>0</v>
      </c>
      <c r="DA25" s="156" t="s">
        <v>530</v>
      </c>
    </row>
    <row r="26" spans="1:105" ht="12" customHeight="1" x14ac:dyDescent="0.25">
      <c r="A26" s="131" t="s">
        <v>24</v>
      </c>
      <c r="B26" s="65">
        <f>IF(SER_hh_tesh!B26=0,0,SER_hh_tesh!B26/SER_summary!B$26)</f>
        <v>8.7556811164332036</v>
      </c>
      <c r="C26" s="65">
        <f>IF(SER_hh_tesh!C26=0,0,SER_hh_tesh!C26/SER_summary!C$26)</f>
        <v>8.8324468184145548</v>
      </c>
      <c r="D26" s="65">
        <f>IF(SER_hh_tesh!D26=0,0,SER_hh_tesh!D26/SER_summary!D$26)</f>
        <v>8.775894526421812</v>
      </c>
      <c r="E26" s="65">
        <f>IF(SER_hh_tesh!E26=0,0,SER_hh_tesh!E26/SER_summary!E$26)</f>
        <v>8.7079282024598061</v>
      </c>
      <c r="F26" s="65">
        <f>IF(SER_hh_tesh!F26=0,0,SER_hh_tesh!F26/SER_summary!F$26)</f>
        <v>8.3879041108463017</v>
      </c>
      <c r="G26" s="65">
        <f>IF(SER_hh_tesh!G26=0,0,SER_hh_tesh!G26/SER_summary!G$26)</f>
        <v>8.3477941455324078</v>
      </c>
      <c r="H26" s="65">
        <f>IF(SER_hh_tesh!H26=0,0,SER_hh_tesh!H26/SER_summary!H$26)</f>
        <v>5.5698974061173301</v>
      </c>
      <c r="I26" s="65">
        <f>IF(SER_hh_tesh!I26=0,0,SER_hh_tesh!I26/SER_summary!I$26)</f>
        <v>4.8746206449968534</v>
      </c>
      <c r="J26" s="65">
        <f>IF(SER_hh_tesh!J26=0,0,SER_hh_tesh!J26/SER_summary!J$26)</f>
        <v>5.070963658791273</v>
      </c>
      <c r="K26" s="65">
        <f>IF(SER_hh_tesh!K26=0,0,SER_hh_tesh!K26/SER_summary!K$26)</f>
        <v>5.0105962278269862</v>
      </c>
      <c r="L26" s="65">
        <f>IF(SER_hh_tesh!L26=0,0,SER_hh_tesh!L26/SER_summary!L$26)</f>
        <v>4.6780584356394224</v>
      </c>
      <c r="M26" s="65">
        <f>IF(SER_hh_tesh!M26=0,0,SER_hh_tesh!M26/SER_summary!M$26)</f>
        <v>4.8760512592425194</v>
      </c>
      <c r="N26" s="65">
        <f>IF(SER_hh_tesh!N26=0,0,SER_hh_tesh!N26/SER_summary!N$26)</f>
        <v>4.9555362312016769</v>
      </c>
      <c r="O26" s="65">
        <f>IF(SER_hh_tesh!O26=0,0,SER_hh_tesh!O26/SER_summary!O$26)</f>
        <v>4.9945396116948988</v>
      </c>
      <c r="P26" s="65">
        <f>IF(SER_hh_tesh!P26=0,0,SER_hh_tesh!P26/SER_summary!P$26)</f>
        <v>5.1141377833190376</v>
      </c>
      <c r="Q26" s="65">
        <f>IF(SER_hh_tesh!Q26=0,0,SER_hh_tesh!Q26/SER_summary!Q$26)</f>
        <v>5.0424641811540338</v>
      </c>
      <c r="R26" s="65">
        <f>IF(SER_hh_tesh!R26=0,0,SER_hh_tesh!R26/SER_summary!R$26)</f>
        <v>5.0345505586714134</v>
      </c>
      <c r="S26" s="65">
        <f>IF(SER_hh_tesh!S26=0,0,SER_hh_tesh!S26/SER_summary!S$26)</f>
        <v>4.7074355169660977</v>
      </c>
      <c r="T26" s="65">
        <f>IF(SER_hh_tesh!T26=0,0,SER_hh_tesh!T26/SER_summary!T$26)</f>
        <v>4.7448497084769947</v>
      </c>
      <c r="U26" s="65">
        <f>IF(SER_hh_tesh!U26=0,0,SER_hh_tesh!U26/SER_summary!U$26)</f>
        <v>4.4651692987322518</v>
      </c>
      <c r="V26" s="65">
        <f>IF(SER_hh_tesh!V26=0,0,SER_hh_tesh!V26/SER_summary!V$26)</f>
        <v>4.0479500954580434</v>
      </c>
      <c r="W26" s="65">
        <f>IF(SER_hh_tesh!W26=0,0,SER_hh_tesh!W26/SER_summary!W$26)</f>
        <v>4.1664248391225174</v>
      </c>
      <c r="X26" s="65">
        <f>IF(SER_hh_tesh!X26=0,0,SER_hh_tesh!X26/SER_summary!X$26)</f>
        <v>6.1350430399215989</v>
      </c>
      <c r="Y26" s="65">
        <f>IF(SER_hh_tesh!Y26=0,0,SER_hh_tesh!Y26/SER_summary!Y$26)</f>
        <v>7.0389120908337581</v>
      </c>
      <c r="DA26" s="109" t="s">
        <v>531</v>
      </c>
    </row>
    <row r="27" spans="1:105" ht="12" customHeight="1" x14ac:dyDescent="0.25">
      <c r="A27" s="144" t="s">
        <v>86</v>
      </c>
      <c r="B27" s="145">
        <f>IF(SER_hh_tesh!B27=0,0,SER_hh_tesh!B27/SER_summary!B$26)</f>
        <v>4.1560278059668105</v>
      </c>
      <c r="C27" s="145">
        <f>IF(SER_hh_tesh!C27=0,0,SER_hh_tesh!C27/SER_summary!C$26)</f>
        <v>3.950884367618301</v>
      </c>
      <c r="D27" s="145">
        <f>IF(SER_hh_tesh!D27=0,0,SER_hh_tesh!D27/SER_summary!D$26)</f>
        <v>3.9845252940387135</v>
      </c>
      <c r="E27" s="145">
        <f>IF(SER_hh_tesh!E27=0,0,SER_hh_tesh!E27/SER_summary!E$26)</f>
        <v>4.0224763048884133</v>
      </c>
      <c r="F27" s="145">
        <f>IF(SER_hh_tesh!F27=0,0,SER_hh_tesh!F27/SER_summary!F$26)</f>
        <v>4.3123482357529745</v>
      </c>
      <c r="G27" s="145">
        <f>IF(SER_hh_tesh!G27=0,0,SER_hh_tesh!G27/SER_summary!G$26)</f>
        <v>4.3977519215099612</v>
      </c>
      <c r="H27" s="145">
        <f>IF(SER_hh_tesh!H27=0,0,SER_hh_tesh!H27/SER_summary!H$26)</f>
        <v>4.47574649803372</v>
      </c>
      <c r="I27" s="145">
        <f>IF(SER_hh_tesh!I27=0,0,SER_hh_tesh!I27/SER_summary!I$26)</f>
        <v>5.4012773232964388</v>
      </c>
      <c r="J27" s="145">
        <f>IF(SER_hh_tesh!J27=0,0,SER_hh_tesh!J27/SER_summary!J$26)</f>
        <v>5.6565791956167049</v>
      </c>
      <c r="K27" s="145">
        <f>IF(SER_hh_tesh!K27=0,0,SER_hh_tesh!K27/SER_summary!K$26)</f>
        <v>5.6653172713396964</v>
      </c>
      <c r="L27" s="145">
        <f>IF(SER_hh_tesh!L27=0,0,SER_hh_tesh!L27/SER_summary!L$26)</f>
        <v>5.748406313824284</v>
      </c>
      <c r="M27" s="145">
        <f>IF(SER_hh_tesh!M27=0,0,SER_hh_tesh!M27/SER_summary!M$26)</f>
        <v>5.7951209618607136</v>
      </c>
      <c r="N27" s="145">
        <f>IF(SER_hh_tesh!N27=0,0,SER_hh_tesh!N27/SER_summary!N$26)</f>
        <v>5.8211185983825855</v>
      </c>
      <c r="O27" s="145">
        <f>IF(SER_hh_tesh!O27=0,0,SER_hh_tesh!O27/SER_summary!O$26)</f>
        <v>5.9337731070210893</v>
      </c>
      <c r="P27" s="145">
        <f>IF(SER_hh_tesh!P27=0,0,SER_hh_tesh!P27/SER_summary!P$26)</f>
        <v>6.0818256462214757</v>
      </c>
      <c r="Q27" s="145">
        <f>IF(SER_hh_tesh!Q27=0,0,SER_hh_tesh!Q27/SER_summary!Q$26)</f>
        <v>6.2244995146137256</v>
      </c>
      <c r="R27" s="145">
        <f>IF(SER_hh_tesh!R27=0,0,SER_hh_tesh!R27/SER_summary!R$26)</f>
        <v>6.2743756088336911</v>
      </c>
      <c r="S27" s="145">
        <f>IF(SER_hh_tesh!S27=0,0,SER_hh_tesh!S27/SER_summary!S$26)</f>
        <v>6.3016775184199423</v>
      </c>
      <c r="T27" s="145">
        <f>IF(SER_hh_tesh!T27=0,0,SER_hh_tesh!T27/SER_summary!T$26)</f>
        <v>6.3436689822376593</v>
      </c>
      <c r="U27" s="145">
        <f>IF(SER_hh_tesh!U27=0,0,SER_hh_tesh!U27/SER_summary!U$26)</f>
        <v>6.3556844549573901</v>
      </c>
      <c r="V27" s="145">
        <f>IF(SER_hh_tesh!V27=0,0,SER_hh_tesh!V27/SER_summary!V$26)</f>
        <v>6.3908983868007274</v>
      </c>
      <c r="W27" s="145">
        <f>IF(SER_hh_tesh!W27=0,0,SER_hh_tesh!W27/SER_summary!W$26)</f>
        <v>6.4332693394102325</v>
      </c>
      <c r="X27" s="145">
        <f>IF(SER_hh_tesh!X27=0,0,SER_hh_tesh!X27/SER_summary!X$26)</f>
        <v>5.1902353485813295</v>
      </c>
      <c r="Y27" s="145">
        <f>IF(SER_hh_tesh!Y27=0,0,SER_hh_tesh!Y27/SER_summary!Y$26)</f>
        <v>5.1935795883352096</v>
      </c>
      <c r="DA27" s="158" t="s">
        <v>532</v>
      </c>
    </row>
    <row r="28" spans="1:105" ht="12" customHeight="1" x14ac:dyDescent="0.25">
      <c r="A28" s="78" t="s">
        <v>85</v>
      </c>
      <c r="B28" s="146">
        <f>IF(SER_hh_tesh!B28=0,0,SER_hh_tesh!B28/SER_summary!B$26)</f>
        <v>11.15428338430355</v>
      </c>
      <c r="C28" s="146">
        <f>IF(SER_hh_tesh!C28=0,0,SER_hh_tesh!C28/SER_summary!C$26)</f>
        <v>11.209348808982805</v>
      </c>
      <c r="D28" s="146">
        <f>IF(SER_hh_tesh!D28=0,0,SER_hh_tesh!D28/SER_summary!D$26)</f>
        <v>10.371866863404298</v>
      </c>
      <c r="E28" s="146">
        <f>IF(SER_hh_tesh!E28=0,0,SER_hh_tesh!E28/SER_summary!E$26)</f>
        <v>9.6946799433872286</v>
      </c>
      <c r="F28" s="146">
        <f>IF(SER_hh_tesh!F28=0,0,SER_hh_tesh!F28/SER_summary!F$26)</f>
        <v>9.8158241205210075</v>
      </c>
      <c r="G28" s="146">
        <f>IF(SER_hh_tesh!G28=0,0,SER_hh_tesh!G28/SER_summary!G$26)</f>
        <v>9.2245187282026464</v>
      </c>
      <c r="H28" s="146">
        <f>IF(SER_hh_tesh!H28=0,0,SER_hh_tesh!H28/SER_summary!H$26)</f>
        <v>9.619845908997231</v>
      </c>
      <c r="I28" s="146">
        <f>IF(SER_hh_tesh!I28=0,0,SER_hh_tesh!I28/SER_summary!I$26)</f>
        <v>10.554251471578619</v>
      </c>
      <c r="J28" s="146">
        <f>IF(SER_hh_tesh!J28=0,0,SER_hh_tesh!J28/SER_summary!J$26)</f>
        <v>10.753454814464613</v>
      </c>
      <c r="K28" s="146">
        <f>IF(SER_hh_tesh!K28=0,0,SER_hh_tesh!K28/SER_summary!K$26)</f>
        <v>10.345752997734127</v>
      </c>
      <c r="L28" s="146">
        <f>IF(SER_hh_tesh!L28=0,0,SER_hh_tesh!L28/SER_summary!L$26)</f>
        <v>10.560748338311125</v>
      </c>
      <c r="M28" s="146">
        <f>IF(SER_hh_tesh!M28=0,0,SER_hh_tesh!M28/SER_summary!M$26)</f>
        <v>10.511124445140835</v>
      </c>
      <c r="N28" s="146">
        <f>IF(SER_hh_tesh!N28=0,0,SER_hh_tesh!N28/SER_summary!N$26)</f>
        <v>11.099529658977204</v>
      </c>
      <c r="O28" s="146">
        <f>IF(SER_hh_tesh!O28=0,0,SER_hh_tesh!O28/SER_summary!O$26)</f>
        <v>12.397936172345913</v>
      </c>
      <c r="P28" s="146">
        <f>IF(SER_hh_tesh!P28=0,0,SER_hh_tesh!P28/SER_summary!P$26)</f>
        <v>12.58170904329176</v>
      </c>
      <c r="Q28" s="146">
        <f>IF(SER_hh_tesh!Q28=0,0,SER_hh_tesh!Q28/SER_summary!Q$26)</f>
        <v>12.429400574030396</v>
      </c>
      <c r="R28" s="146">
        <f>IF(SER_hh_tesh!R28=0,0,SER_hh_tesh!R28/SER_summary!R$26)</f>
        <v>12.099010119734666</v>
      </c>
      <c r="S28" s="146">
        <f>IF(SER_hh_tesh!S28=0,0,SER_hh_tesh!S28/SER_summary!S$26)</f>
        <v>11.408846016556289</v>
      </c>
      <c r="T28" s="146">
        <f>IF(SER_hh_tesh!T28=0,0,SER_hh_tesh!T28/SER_summary!T$26)</f>
        <v>11.634884150618971</v>
      </c>
      <c r="U28" s="146">
        <f>IF(SER_hh_tesh!U28=0,0,SER_hh_tesh!U28/SER_summary!U$26)</f>
        <v>11.683906674978404</v>
      </c>
      <c r="V28" s="146">
        <f>IF(SER_hh_tesh!V28=0,0,SER_hh_tesh!V28/SER_summary!V$26)</f>
        <v>10.826944965835315</v>
      </c>
      <c r="W28" s="146">
        <f>IF(SER_hh_tesh!W28=0,0,SER_hh_tesh!W28/SER_summary!W$26)</f>
        <v>11.136204164878663</v>
      </c>
      <c r="X28" s="146">
        <f>IF(SER_hh_tesh!X28=0,0,SER_hh_tesh!X28/SER_summary!X$26)</f>
        <v>11.984599422340507</v>
      </c>
      <c r="Y28" s="146">
        <f>IF(SER_hh_tesh!Y28=0,0,SER_hh_tesh!Y28/SER_summary!Y$26)</f>
        <v>13.14412944739837</v>
      </c>
      <c r="DA28" s="159"/>
    </row>
    <row r="29" spans="1:105" ht="12.95" customHeight="1" x14ac:dyDescent="0.25">
      <c r="A29" s="129" t="s">
        <v>34</v>
      </c>
      <c r="B29" s="130">
        <f>IF(SER_hh_tesh!B29=0,0,SER_hh_tesh!B29/SER_summary!B$26)</f>
        <v>12.600546655224683</v>
      </c>
      <c r="C29" s="130">
        <f>IF(SER_hh_tesh!C29=0,0,SER_hh_tesh!C29/SER_summary!C$26)</f>
        <v>12.526279291361984</v>
      </c>
      <c r="D29" s="130">
        <f>IF(SER_hh_tesh!D29=0,0,SER_hh_tesh!D29/SER_summary!D$26)</f>
        <v>12.584639035712634</v>
      </c>
      <c r="E29" s="130">
        <f>IF(SER_hh_tesh!E29=0,0,SER_hh_tesh!E29/SER_summary!E$26)</f>
        <v>12.67441553501919</v>
      </c>
      <c r="F29" s="130">
        <f>IF(SER_hh_tesh!F29=0,0,SER_hh_tesh!F29/SER_summary!F$26)</f>
        <v>12.91067945413978</v>
      </c>
      <c r="G29" s="130">
        <f>IF(SER_hh_tesh!G29=0,0,SER_hh_tesh!G29/SER_summary!G$26)</f>
        <v>13.076981521698819</v>
      </c>
      <c r="H29" s="130">
        <f>IF(SER_hh_tesh!H29=0,0,SER_hh_tesh!H29/SER_summary!H$26)</f>
        <v>13.19361742249181</v>
      </c>
      <c r="I29" s="130">
        <f>IF(SER_hh_tesh!I29=0,0,SER_hh_tesh!I29/SER_summary!I$26)</f>
        <v>13.257001054300499</v>
      </c>
      <c r="J29" s="130">
        <f>IF(SER_hh_tesh!J29=0,0,SER_hh_tesh!J29/SER_summary!J$26)</f>
        <v>13.421946138961113</v>
      </c>
      <c r="K29" s="130">
        <f>IF(SER_hh_tesh!K29=0,0,SER_hh_tesh!K29/SER_summary!K$26)</f>
        <v>13.340628215432698</v>
      </c>
      <c r="L29" s="130">
        <f>IF(SER_hh_tesh!L29=0,0,SER_hh_tesh!L29/SER_summary!L$26)</f>
        <v>13.141621836833755</v>
      </c>
      <c r="M29" s="130">
        <f>IF(SER_hh_tesh!M29=0,0,SER_hh_tesh!M29/SER_summary!M$26)</f>
        <v>13.11774549870864</v>
      </c>
      <c r="N29" s="130">
        <f>IF(SER_hh_tesh!N29=0,0,SER_hh_tesh!N29/SER_summary!N$26)</f>
        <v>13.084749740365387</v>
      </c>
      <c r="O29" s="130">
        <f>IF(SER_hh_tesh!O29=0,0,SER_hh_tesh!O29/SER_summary!O$26)</f>
        <v>12.867264861160811</v>
      </c>
      <c r="P29" s="130">
        <f>IF(SER_hh_tesh!P29=0,0,SER_hh_tesh!P29/SER_summary!P$26)</f>
        <v>13.048989865000985</v>
      </c>
      <c r="Q29" s="130">
        <f>IF(SER_hh_tesh!Q29=0,0,SER_hh_tesh!Q29/SER_summary!Q$26)</f>
        <v>13.033182849215633</v>
      </c>
      <c r="R29" s="130">
        <f>IF(SER_hh_tesh!R29=0,0,SER_hh_tesh!R29/SER_summary!R$26)</f>
        <v>13.052116033426875</v>
      </c>
      <c r="S29" s="130">
        <f>IF(SER_hh_tesh!S29=0,0,SER_hh_tesh!S29/SER_summary!S$26)</f>
        <v>13.014976305537678</v>
      </c>
      <c r="T29" s="130">
        <f>IF(SER_hh_tesh!T29=0,0,SER_hh_tesh!T29/SER_summary!T$26)</f>
        <v>13.137869399838744</v>
      </c>
      <c r="U29" s="130">
        <f>IF(SER_hh_tesh!U29=0,0,SER_hh_tesh!U29/SER_summary!U$26)</f>
        <v>13.170598741536784</v>
      </c>
      <c r="V29" s="130">
        <f>IF(SER_hh_tesh!V29=0,0,SER_hh_tesh!V29/SER_summary!V$26)</f>
        <v>11.695009326117889</v>
      </c>
      <c r="W29" s="130">
        <f>IF(SER_hh_tesh!W29=0,0,SER_hh_tesh!W29/SER_summary!W$26)</f>
        <v>12.180628268600655</v>
      </c>
      <c r="X29" s="130">
        <f>IF(SER_hh_tesh!X29=0,0,SER_hh_tesh!X29/SER_summary!X$26)</f>
        <v>12.952685704684701</v>
      </c>
      <c r="Y29" s="130">
        <f>IF(SER_hh_tesh!Y29=0,0,SER_hh_tesh!Y29/SER_summary!Y$26)</f>
        <v>13.777636730560959</v>
      </c>
      <c r="DA29" s="155" t="s">
        <v>533</v>
      </c>
    </row>
    <row r="30" spans="1:105" ht="12" customHeight="1" x14ac:dyDescent="0.25">
      <c r="A30" s="131" t="s">
        <v>52</v>
      </c>
      <c r="B30" s="132">
        <f>IF(SER_hh_tesh!B30=0,0,SER_hh_tesh!B30/SER_summary!B$26)</f>
        <v>0</v>
      </c>
      <c r="C30" s="132">
        <f>IF(SER_hh_tesh!C30=0,0,SER_hh_tesh!C30/SER_summary!C$26)</f>
        <v>0</v>
      </c>
      <c r="D30" s="132">
        <f>IF(SER_hh_tesh!D30=0,0,SER_hh_tesh!D30/SER_summary!D$26)</f>
        <v>0</v>
      </c>
      <c r="E30" s="132">
        <f>IF(SER_hh_tesh!E30=0,0,SER_hh_tesh!E30/SER_summary!E$26)</f>
        <v>0</v>
      </c>
      <c r="F30" s="132">
        <f>IF(SER_hh_tesh!F30=0,0,SER_hh_tesh!F30/SER_summary!F$26)</f>
        <v>0</v>
      </c>
      <c r="G30" s="132">
        <f>IF(SER_hh_tesh!G30=0,0,SER_hh_tesh!G30/SER_summary!G$26)</f>
        <v>0</v>
      </c>
      <c r="H30" s="132">
        <f>IF(SER_hh_tesh!H30=0,0,SER_hh_tesh!H30/SER_summary!H$26)</f>
        <v>18.595443917024333</v>
      </c>
      <c r="I30" s="132">
        <f>IF(SER_hh_tesh!I30=0,0,SER_hh_tesh!I30/SER_summary!I$26)</f>
        <v>14.217630439218894</v>
      </c>
      <c r="J30" s="132">
        <f>IF(SER_hh_tesh!J30=0,0,SER_hh_tesh!J30/SER_summary!J$26)</f>
        <v>14.836144076797934</v>
      </c>
      <c r="K30" s="132">
        <f>IF(SER_hh_tesh!K30=0,0,SER_hh_tesh!K30/SER_summary!K$26)</f>
        <v>12.540595585600858</v>
      </c>
      <c r="L30" s="132">
        <f>IF(SER_hh_tesh!L30=0,0,SER_hh_tesh!L30/SER_summary!L$26)</f>
        <v>11.569516340863434</v>
      </c>
      <c r="M30" s="132">
        <f>IF(SER_hh_tesh!M30=0,0,SER_hh_tesh!M30/SER_summary!M$26)</f>
        <v>13.818367542373911</v>
      </c>
      <c r="N30" s="132">
        <f>IF(SER_hh_tesh!N30=0,0,SER_hh_tesh!N30/SER_summary!N$26)</f>
        <v>14.188920800435012</v>
      </c>
      <c r="O30" s="132">
        <f>IF(SER_hh_tesh!O30=0,0,SER_hh_tesh!O30/SER_summary!O$26)</f>
        <v>13.10898143510868</v>
      </c>
      <c r="P30" s="132">
        <f>IF(SER_hh_tesh!P30=0,0,SER_hh_tesh!P30/SER_summary!P$26)</f>
        <v>11.456609989032644</v>
      </c>
      <c r="Q30" s="132">
        <f>IF(SER_hh_tesh!Q30=0,0,SER_hh_tesh!Q30/SER_summary!Q$26)</f>
        <v>13.113902712456802</v>
      </c>
      <c r="R30" s="132">
        <f>IF(SER_hh_tesh!R30=0,0,SER_hh_tesh!R30/SER_summary!R$26)</f>
        <v>11.742554753427838</v>
      </c>
      <c r="S30" s="132">
        <f>IF(SER_hh_tesh!S30=0,0,SER_hh_tesh!S30/SER_summary!S$26)</f>
        <v>13.61104218475637</v>
      </c>
      <c r="T30" s="132">
        <f>IF(SER_hh_tesh!T30=0,0,SER_hh_tesh!T30/SER_summary!T$26)</f>
        <v>14.147010510614596</v>
      </c>
      <c r="U30" s="132">
        <f>IF(SER_hh_tesh!U30=0,0,SER_hh_tesh!U30/SER_summary!U$26)</f>
        <v>17.916478016091823</v>
      </c>
      <c r="V30" s="132">
        <f>IF(SER_hh_tesh!V30=0,0,SER_hh_tesh!V30/SER_summary!V$26)</f>
        <v>12.66883265593642</v>
      </c>
      <c r="W30" s="132">
        <f>IF(SER_hh_tesh!W30=0,0,SER_hh_tesh!W30/SER_summary!W$26)</f>
        <v>10.987875992904414</v>
      </c>
      <c r="X30" s="132">
        <f>IF(SER_hh_tesh!X30=0,0,SER_hh_tesh!X30/SER_summary!X$26)</f>
        <v>13.915208395758251</v>
      </c>
      <c r="Y30" s="132">
        <f>IF(SER_hh_tesh!Y30=0,0,SER_hh_tesh!Y30/SER_summary!Y$26)</f>
        <v>12.889682807858716</v>
      </c>
      <c r="DA30" s="156" t="s">
        <v>534</v>
      </c>
    </row>
    <row r="31" spans="1:105" ht="12" customHeight="1" x14ac:dyDescent="0.25">
      <c r="A31" s="131" t="s">
        <v>149</v>
      </c>
      <c r="B31" s="132">
        <f>IF(SER_hh_tesh!B31=0,0,SER_hh_tesh!B31/SER_summary!B$26)</f>
        <v>0</v>
      </c>
      <c r="C31" s="132">
        <f>IF(SER_hh_tesh!C31=0,0,SER_hh_tesh!C31/SER_summary!C$26)</f>
        <v>0</v>
      </c>
      <c r="D31" s="132">
        <f>IF(SER_hh_tesh!D31=0,0,SER_hh_tesh!D31/SER_summary!D$26)</f>
        <v>0</v>
      </c>
      <c r="E31" s="132">
        <f>IF(SER_hh_tesh!E31=0,0,SER_hh_tesh!E31/SER_summary!E$26)</f>
        <v>0</v>
      </c>
      <c r="F31" s="132">
        <f>IF(SER_hh_tesh!F31=0,0,SER_hh_tesh!F31/SER_summary!F$26)</f>
        <v>0</v>
      </c>
      <c r="G31" s="132">
        <f>IF(SER_hh_tesh!G31=0,0,SER_hh_tesh!G31/SER_summary!G$26)</f>
        <v>0</v>
      </c>
      <c r="H31" s="132">
        <f>IF(SER_hh_tesh!H31=0,0,SER_hh_tesh!H31/SER_summary!H$26)</f>
        <v>0</v>
      </c>
      <c r="I31" s="132">
        <f>IF(SER_hh_tesh!I31=0,0,SER_hh_tesh!I31/SER_summary!I$26)</f>
        <v>0</v>
      </c>
      <c r="J31" s="132">
        <f>IF(SER_hh_tesh!J31=0,0,SER_hh_tesh!J31/SER_summary!J$26)</f>
        <v>0</v>
      </c>
      <c r="K31" s="132">
        <f>IF(SER_hh_tesh!K31=0,0,SER_hh_tesh!K31/SER_summary!K$26)</f>
        <v>0</v>
      </c>
      <c r="L31" s="132">
        <f>IF(SER_hh_tesh!L31=0,0,SER_hh_tesh!L31/SER_summary!L$26)</f>
        <v>0</v>
      </c>
      <c r="M31" s="132">
        <f>IF(SER_hh_tesh!M31=0,0,SER_hh_tesh!M31/SER_summary!M$26)</f>
        <v>0</v>
      </c>
      <c r="N31" s="132">
        <f>IF(SER_hh_tesh!N31=0,0,SER_hh_tesh!N31/SER_summary!N$26)</f>
        <v>0</v>
      </c>
      <c r="O31" s="132">
        <f>IF(SER_hh_tesh!O31=0,0,SER_hh_tesh!O31/SER_summary!O$26)</f>
        <v>0</v>
      </c>
      <c r="P31" s="132">
        <f>IF(SER_hh_tesh!P31=0,0,SER_hh_tesh!P31/SER_summary!P$26)</f>
        <v>0</v>
      </c>
      <c r="Q31" s="132">
        <f>IF(SER_hh_tesh!Q31=0,0,SER_hh_tesh!Q31/SER_summary!Q$26)</f>
        <v>0</v>
      </c>
      <c r="R31" s="132">
        <f>IF(SER_hh_tesh!R31=0,0,SER_hh_tesh!R31/SER_summary!R$26)</f>
        <v>0</v>
      </c>
      <c r="S31" s="132">
        <f>IF(SER_hh_tesh!S31=0,0,SER_hh_tesh!S31/SER_summary!S$26)</f>
        <v>0</v>
      </c>
      <c r="T31" s="132">
        <f>IF(SER_hh_tesh!T31=0,0,SER_hh_tesh!T31/SER_summary!T$26)</f>
        <v>0</v>
      </c>
      <c r="U31" s="132">
        <f>IF(SER_hh_tesh!U31=0,0,SER_hh_tesh!U31/SER_summary!U$26)</f>
        <v>0</v>
      </c>
      <c r="V31" s="132">
        <f>IF(SER_hh_tesh!V31=0,0,SER_hh_tesh!V31/SER_summary!V$26)</f>
        <v>0</v>
      </c>
      <c r="W31" s="132">
        <f>IF(SER_hh_tesh!W31=0,0,SER_hh_tesh!W31/SER_summary!W$26)</f>
        <v>0</v>
      </c>
      <c r="X31" s="132">
        <f>IF(SER_hh_tesh!X31=0,0,SER_hh_tesh!X31/SER_summary!X$26)</f>
        <v>0</v>
      </c>
      <c r="Y31" s="132">
        <f>IF(SER_hh_tesh!Y31=0,0,SER_hh_tesh!Y31/SER_summary!Y$26)</f>
        <v>0</v>
      </c>
      <c r="DA31" s="156" t="s">
        <v>535</v>
      </c>
    </row>
    <row r="32" spans="1:105" ht="12" customHeight="1" x14ac:dyDescent="0.25">
      <c r="A32" s="131" t="s">
        <v>128</v>
      </c>
      <c r="B32" s="132">
        <f>IF(SER_hh_tesh!B32=0,0,SER_hh_tesh!B32/SER_summary!B$26)</f>
        <v>12.567387533006688</v>
      </c>
      <c r="C32" s="132">
        <f>IF(SER_hh_tesh!C32=0,0,SER_hh_tesh!C32/SER_summary!C$26)</f>
        <v>11.416472780764385</v>
      </c>
      <c r="D32" s="132">
        <f>IF(SER_hh_tesh!D32=0,0,SER_hh_tesh!D32/SER_summary!D$26)</f>
        <v>13.534586450427618</v>
      </c>
      <c r="E32" s="132">
        <f>IF(SER_hh_tesh!E32=0,0,SER_hh_tesh!E32/SER_summary!E$26)</f>
        <v>12.039834555908001</v>
      </c>
      <c r="F32" s="132">
        <f>IF(SER_hh_tesh!F32=0,0,SER_hh_tesh!F32/SER_summary!F$26)</f>
        <v>12.58366872567791</v>
      </c>
      <c r="G32" s="132">
        <f>IF(SER_hh_tesh!G32=0,0,SER_hh_tesh!G32/SER_summary!G$26)</f>
        <v>13.514065897384278</v>
      </c>
      <c r="H32" s="132">
        <f>IF(SER_hh_tesh!H32=0,0,SER_hh_tesh!H32/SER_summary!H$26)</f>
        <v>11.994898546317661</v>
      </c>
      <c r="I32" s="132">
        <f>IF(SER_hh_tesh!I32=0,0,SER_hh_tesh!I32/SER_summary!I$26)</f>
        <v>14.546072325505467</v>
      </c>
      <c r="J32" s="132">
        <f>IF(SER_hh_tesh!J32=0,0,SER_hh_tesh!J32/SER_summary!J$26)</f>
        <v>13.780496154889875</v>
      </c>
      <c r="K32" s="132">
        <f>IF(SER_hh_tesh!K32=0,0,SER_hh_tesh!K32/SER_summary!K$26)</f>
        <v>13.227692981717134</v>
      </c>
      <c r="L32" s="132">
        <f>IF(SER_hh_tesh!L32=0,0,SER_hh_tesh!L32/SER_summary!L$26)</f>
        <v>13.180038516041394</v>
      </c>
      <c r="M32" s="132">
        <f>IF(SER_hh_tesh!M32=0,0,SER_hh_tesh!M32/SER_summary!M$26)</f>
        <v>13.112037232159457</v>
      </c>
      <c r="N32" s="132">
        <f>IF(SER_hh_tesh!N32=0,0,SER_hh_tesh!N32/SER_summary!N$26)</f>
        <v>13.048659782498399</v>
      </c>
      <c r="O32" s="132">
        <f>IF(SER_hh_tesh!O32=0,0,SER_hh_tesh!O32/SER_summary!O$26)</f>
        <v>13.023695335214788</v>
      </c>
      <c r="P32" s="132">
        <f>IF(SER_hh_tesh!P32=0,0,SER_hh_tesh!P32/SER_summary!P$26)</f>
        <v>13.121014988940072</v>
      </c>
      <c r="Q32" s="132">
        <f>IF(SER_hh_tesh!Q32=0,0,SER_hh_tesh!Q32/SER_summary!Q$26)</f>
        <v>12.894019508499387</v>
      </c>
      <c r="R32" s="132">
        <f>IF(SER_hh_tesh!R32=0,0,SER_hh_tesh!R32/SER_summary!R$26)</f>
        <v>12.947826462937162</v>
      </c>
      <c r="S32" s="132">
        <f>IF(SER_hh_tesh!S32=0,0,SER_hh_tesh!S32/SER_summary!S$26)</f>
        <v>12.760627264347606</v>
      </c>
      <c r="T32" s="132">
        <f>IF(SER_hh_tesh!T32=0,0,SER_hh_tesh!T32/SER_summary!T$26)</f>
        <v>12.214000053324298</v>
      </c>
      <c r="U32" s="132">
        <f>IF(SER_hh_tesh!U32=0,0,SER_hh_tesh!U32/SER_summary!U$26)</f>
        <v>14.910658304562366</v>
      </c>
      <c r="V32" s="132">
        <f>IF(SER_hh_tesh!V32=0,0,SER_hh_tesh!V32/SER_summary!V$26)</f>
        <v>14.613396556604913</v>
      </c>
      <c r="W32" s="132">
        <f>IF(SER_hh_tesh!W32=0,0,SER_hh_tesh!W32/SER_summary!W$26)</f>
        <v>10.62221838786907</v>
      </c>
      <c r="X32" s="132">
        <f>IF(SER_hh_tesh!X32=0,0,SER_hh_tesh!X32/SER_summary!X$26)</f>
        <v>13.602559232152103</v>
      </c>
      <c r="Y32" s="132">
        <f>IF(SER_hh_tesh!Y32=0,0,SER_hh_tesh!Y32/SER_summary!Y$26)</f>
        <v>13.050784415995258</v>
      </c>
      <c r="DA32" s="156" t="s">
        <v>536</v>
      </c>
    </row>
    <row r="33" spans="1:105" ht="12" customHeight="1" x14ac:dyDescent="0.25">
      <c r="A33" s="62" t="s">
        <v>24</v>
      </c>
      <c r="B33" s="68">
        <f>IF(SER_hh_tesh!B33=0,0,SER_hh_tesh!B33/SER_summary!B$26)</f>
        <v>12.602783141236083</v>
      </c>
      <c r="C33" s="68">
        <f>IF(SER_hh_tesh!C33=0,0,SER_hh_tesh!C33/SER_summary!C$26)</f>
        <v>12.607663209466619</v>
      </c>
      <c r="D33" s="68">
        <f>IF(SER_hh_tesh!D33=0,0,SER_hh_tesh!D33/SER_summary!D$26)</f>
        <v>12.502339291195955</v>
      </c>
      <c r="E33" s="68">
        <f>IF(SER_hh_tesh!E33=0,0,SER_hh_tesh!E33/SER_summary!E$26)</f>
        <v>12.735870118329659</v>
      </c>
      <c r="F33" s="68">
        <f>IF(SER_hh_tesh!F33=0,0,SER_hh_tesh!F33/SER_summary!F$26)</f>
        <v>12.946514848082121</v>
      </c>
      <c r="G33" s="68">
        <f>IF(SER_hh_tesh!G33=0,0,SER_hh_tesh!G33/SER_summary!G$26)</f>
        <v>13.021534601767744</v>
      </c>
      <c r="H33" s="68">
        <f>IF(SER_hh_tesh!H33=0,0,SER_hh_tesh!H33/SER_summary!H$26)</f>
        <v>12.406806833891295</v>
      </c>
      <c r="I33" s="68">
        <f>IF(SER_hh_tesh!I33=0,0,SER_hh_tesh!I33/SER_summary!I$26)</f>
        <v>12.758724897473241</v>
      </c>
      <c r="J33" s="68">
        <f>IF(SER_hh_tesh!J33=0,0,SER_hh_tesh!J33/SER_summary!J$26)</f>
        <v>12.949544458089221</v>
      </c>
      <c r="K33" s="68">
        <f>IF(SER_hh_tesh!K33=0,0,SER_hh_tesh!K33/SER_summary!K$26)</f>
        <v>13.570978459034674</v>
      </c>
      <c r="L33" s="68">
        <f>IF(SER_hh_tesh!L33=0,0,SER_hh_tesh!L33/SER_summary!L$26)</f>
        <v>13.532767152185469</v>
      </c>
      <c r="M33" s="68">
        <f>IF(SER_hh_tesh!M33=0,0,SER_hh_tesh!M33/SER_summary!M$26)</f>
        <v>12.926817318214757</v>
      </c>
      <c r="N33" s="68">
        <f>IF(SER_hh_tesh!N33=0,0,SER_hh_tesh!N33/SER_summary!N$26)</f>
        <v>12.781753599823613</v>
      </c>
      <c r="O33" s="68">
        <f>IF(SER_hh_tesh!O33=0,0,SER_hh_tesh!O33/SER_summary!O$26)</f>
        <v>12.768365449496649</v>
      </c>
      <c r="P33" s="68">
        <f>IF(SER_hh_tesh!P33=0,0,SER_hh_tesh!P33/SER_summary!P$26)</f>
        <v>13.465962654107985</v>
      </c>
      <c r="Q33" s="68">
        <f>IF(SER_hh_tesh!Q33=0,0,SER_hh_tesh!Q33/SER_summary!Q$26)</f>
        <v>13.037073163978754</v>
      </c>
      <c r="R33" s="68">
        <f>IF(SER_hh_tesh!R33=0,0,SER_hh_tesh!R33/SER_summary!R$26)</f>
        <v>13.516926774618641</v>
      </c>
      <c r="S33" s="68">
        <f>IF(SER_hh_tesh!S33=0,0,SER_hh_tesh!S33/SER_summary!S$26)</f>
        <v>12.815185540412683</v>
      </c>
      <c r="T33" s="68">
        <f>IF(SER_hh_tesh!T33=0,0,SER_hh_tesh!T33/SER_summary!T$26)</f>
        <v>12.914676982666174</v>
      </c>
      <c r="U33" s="68">
        <f>IF(SER_hh_tesh!U33=0,0,SER_hh_tesh!U33/SER_summary!U$26)</f>
        <v>10.76530954448258</v>
      </c>
      <c r="V33" s="68">
        <f>IF(SER_hh_tesh!V33=0,0,SER_hh_tesh!V33/SER_summary!V$26)</f>
        <v>10.608671526805201</v>
      </c>
      <c r="W33" s="68">
        <f>IF(SER_hh_tesh!W33=0,0,SER_hh_tesh!W33/SER_summary!W$26)</f>
        <v>12.985798497193084</v>
      </c>
      <c r="X33" s="68">
        <f>IF(SER_hh_tesh!X33=0,0,SER_hh_tesh!X33/SER_summary!X$26)</f>
        <v>12.500216650446324</v>
      </c>
      <c r="Y33" s="68">
        <f>IF(SER_hh_tesh!Y33=0,0,SER_hh_tesh!Y33/SER_summary!Y$26)</f>
        <v>14.178854399257293</v>
      </c>
      <c r="DA33" s="111" t="s">
        <v>537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>
        <f>IF(SER_hh_emih!B3=0,0,SER_hh_emih!B3/SER_summary!B$26)</f>
        <v>5.5235649555290962</v>
      </c>
      <c r="C3" s="125">
        <f>IF(SER_hh_emih!C3=0,0,SER_hh_emih!C3/SER_summary!C$26)</f>
        <v>5.471597266995964</v>
      </c>
      <c r="D3" s="125">
        <f>IF(SER_hh_emih!D3=0,0,SER_hh_emih!D3/SER_summary!D$26)</f>
        <v>5.1710404683912747</v>
      </c>
      <c r="E3" s="125">
        <f>IF(SER_hh_emih!E3=0,0,SER_hh_emih!E3/SER_summary!E$26)</f>
        <v>5.2231744185972984</v>
      </c>
      <c r="F3" s="125">
        <f>IF(SER_hh_emih!F3=0,0,SER_hh_emih!F3/SER_summary!F$26)</f>
        <v>4.5988756331440692</v>
      </c>
      <c r="G3" s="125">
        <f>IF(SER_hh_emih!G3=0,0,SER_hh_emih!G3/SER_summary!G$26)</f>
        <v>4.323325032307161</v>
      </c>
      <c r="H3" s="125">
        <f>IF(SER_hh_emih!H3=0,0,SER_hh_emih!H3/SER_summary!H$26)</f>
        <v>7.195341579151882</v>
      </c>
      <c r="I3" s="125">
        <f>IF(SER_hh_emih!I3=0,0,SER_hh_emih!I3/SER_summary!I$26)</f>
        <v>7.2045783494916975</v>
      </c>
      <c r="J3" s="125">
        <f>IF(SER_hh_emih!J3=0,0,SER_hh_emih!J3/SER_summary!J$26)</f>
        <v>8.8618051212667091</v>
      </c>
      <c r="K3" s="125">
        <f>IF(SER_hh_emih!K3=0,0,SER_hh_emih!K3/SER_summary!K$26)</f>
        <v>6.9844828798052543</v>
      </c>
      <c r="L3" s="125">
        <f>IF(SER_hh_emih!L3=0,0,SER_hh_emih!L3/SER_summary!L$26)</f>
        <v>7.4458114491587066</v>
      </c>
      <c r="M3" s="125">
        <f>IF(SER_hh_emih!M3=0,0,SER_hh_emih!M3/SER_summary!M$26)</f>
        <v>7.2630380532067322</v>
      </c>
      <c r="N3" s="125">
        <f>IF(SER_hh_emih!N3=0,0,SER_hh_emih!N3/SER_summary!N$26)</f>
        <v>6.4301725323624339</v>
      </c>
      <c r="O3" s="125">
        <f>IF(SER_hh_emih!O3=0,0,SER_hh_emih!O3/SER_summary!O$26)</f>
        <v>6.5862928280292321</v>
      </c>
      <c r="P3" s="125">
        <f>IF(SER_hh_emih!P3=0,0,SER_hh_emih!P3/SER_summary!P$26)</f>
        <v>6.1869216104041396</v>
      </c>
      <c r="Q3" s="125">
        <f>IF(SER_hh_emih!Q3=0,0,SER_hh_emih!Q3/SER_summary!Q$26)</f>
        <v>5.730197480135458</v>
      </c>
      <c r="R3" s="125">
        <f>IF(SER_hh_emih!R3=0,0,SER_hh_emih!R3/SER_summary!R$26)</f>
        <v>5.5106286311919295</v>
      </c>
      <c r="S3" s="125">
        <f>IF(SER_hh_emih!S3=0,0,SER_hh_emih!S3/SER_summary!S$26)</f>
        <v>6.2529944098615911</v>
      </c>
      <c r="T3" s="125">
        <f>IF(SER_hh_emih!T3=0,0,SER_hh_emih!T3/SER_summary!T$26)</f>
        <v>6.1236903196546244</v>
      </c>
      <c r="U3" s="125">
        <f>IF(SER_hh_emih!U3=0,0,SER_hh_emih!U3/SER_summary!U$26)</f>
        <v>7.3500703937138896</v>
      </c>
      <c r="V3" s="125">
        <f>IF(SER_hh_emih!V3=0,0,SER_hh_emih!V3/SER_summary!V$26)</f>
        <v>5.7016720015365241</v>
      </c>
      <c r="W3" s="125">
        <f>IF(SER_hh_emih!W3=0,0,SER_hh_emih!W3/SER_summary!W$26)</f>
        <v>5.9061209904688994</v>
      </c>
      <c r="X3" s="125">
        <f>IF(SER_hh_emih!X3=0,0,SER_hh_emih!X3/SER_summary!X$26)</f>
        <v>6.5603892650041402</v>
      </c>
      <c r="Y3" s="125">
        <f>IF(SER_hh_emih!Y3=0,0,SER_hh_emih!Y3/SER_summary!Y$26)</f>
        <v>6.4655596053068578</v>
      </c>
      <c r="DA3" s="154" t="s">
        <v>539</v>
      </c>
    </row>
    <row r="4" spans="1:105" ht="12.95" customHeight="1" x14ac:dyDescent="0.25">
      <c r="A4" s="129" t="s">
        <v>32</v>
      </c>
      <c r="B4" s="130">
        <f>IF(SER_hh_emih!B4=0,0,SER_hh_emih!B4/SER_summary!B$26)</f>
        <v>5.2691679846805712</v>
      </c>
      <c r="C4" s="130">
        <f>IF(SER_hh_emih!C4=0,0,SER_hh_emih!C4/SER_summary!C$26)</f>
        <v>5.2206629103290298</v>
      </c>
      <c r="D4" s="130">
        <f>IF(SER_hh_emih!D4=0,0,SER_hh_emih!D4/SER_summary!D$26)</f>
        <v>4.9231672200783727</v>
      </c>
      <c r="E4" s="130">
        <f>IF(SER_hh_emih!E4=0,0,SER_hh_emih!E4/SER_summary!E$26)</f>
        <v>4.9813113949719856</v>
      </c>
      <c r="F4" s="130">
        <f>IF(SER_hh_emih!F4=0,0,SER_hh_emih!F4/SER_summary!F$26)</f>
        <v>4.3612175475020898</v>
      </c>
      <c r="G4" s="130">
        <f>IF(SER_hh_emih!G4=0,0,SER_hh_emih!G4/SER_summary!G$26)</f>
        <v>4.0900853349471316</v>
      </c>
      <c r="H4" s="130">
        <f>IF(SER_hh_emih!H4=0,0,SER_hh_emih!H4/SER_summary!H$26)</f>
        <v>4.610801299104204</v>
      </c>
      <c r="I4" s="130">
        <f>IF(SER_hh_emih!I4=0,0,SER_hh_emih!I4/SER_summary!I$26)</f>
        <v>4.6883492514341158</v>
      </c>
      <c r="J4" s="130">
        <f>IF(SER_hh_emih!J4=0,0,SER_hh_emih!J4/SER_summary!J$26)</f>
        <v>6.2370531700569378</v>
      </c>
      <c r="K4" s="130">
        <f>IF(SER_hh_emih!K4=0,0,SER_hh_emih!K4/SER_summary!K$26)</f>
        <v>4.6102790040531447</v>
      </c>
      <c r="L4" s="130">
        <f>IF(SER_hh_emih!L4=0,0,SER_hh_emih!L4/SER_summary!L$26)</f>
        <v>5.1512968930895839</v>
      </c>
      <c r="M4" s="130">
        <f>IF(SER_hh_emih!M4=0,0,SER_hh_emih!M4/SER_summary!M$26)</f>
        <v>4.8620534077977515</v>
      </c>
      <c r="N4" s="130">
        <f>IF(SER_hh_emih!N4=0,0,SER_hh_emih!N4/SER_summary!N$26)</f>
        <v>4.0824427156863612</v>
      </c>
      <c r="O4" s="130">
        <f>IF(SER_hh_emih!O4=0,0,SER_hh_emih!O4/SER_summary!O$26)</f>
        <v>4.3984928180442919</v>
      </c>
      <c r="P4" s="130">
        <f>IF(SER_hh_emih!P4=0,0,SER_hh_emih!P4/SER_summary!P$26)</f>
        <v>4.288400204532941</v>
      </c>
      <c r="Q4" s="130">
        <f>IF(SER_hh_emih!Q4=0,0,SER_hh_emih!Q4/SER_summary!Q$26)</f>
        <v>3.6622744845724471</v>
      </c>
      <c r="R4" s="130">
        <f>IF(SER_hh_emih!R4=0,0,SER_hh_emih!R4/SER_summary!R$26)</f>
        <v>3.4583904935426104</v>
      </c>
      <c r="S4" s="130">
        <f>IF(SER_hh_emih!S4=0,0,SER_hh_emih!S4/SER_summary!S$26)</f>
        <v>3.858263954525313</v>
      </c>
      <c r="T4" s="130">
        <f>IF(SER_hh_emih!T4=0,0,SER_hh_emih!T4/SER_summary!T$26)</f>
        <v>3.7260961979703504</v>
      </c>
      <c r="U4" s="130">
        <f>IF(SER_hh_emih!U4=0,0,SER_hh_emih!U4/SER_summary!U$26)</f>
        <v>4.6664389671447104</v>
      </c>
      <c r="V4" s="130">
        <f>IF(SER_hh_emih!V4=0,0,SER_hh_emih!V4/SER_summary!V$26)</f>
        <v>3.7138393439721882</v>
      </c>
      <c r="W4" s="130">
        <f>IF(SER_hh_emih!W4=0,0,SER_hh_emih!W4/SER_summary!W$26)</f>
        <v>4.1519750536816087</v>
      </c>
      <c r="X4" s="130">
        <f>IF(SER_hh_emih!X4=0,0,SER_hh_emih!X4/SER_summary!X$26)</f>
        <v>4.5327395466856206</v>
      </c>
      <c r="Y4" s="130">
        <f>IF(SER_hh_emih!Y4=0,0,SER_hh_emih!Y4/SER_summary!Y$26)</f>
        <v>4.5749067634185554</v>
      </c>
      <c r="DA4" s="155" t="s">
        <v>540</v>
      </c>
    </row>
    <row r="5" spans="1:105" ht="12" customHeight="1" x14ac:dyDescent="0.25">
      <c r="A5" s="131" t="s">
        <v>29</v>
      </c>
      <c r="B5" s="132">
        <f>IF(SER_hh_emih!B5=0,0,SER_hh_emih!B5/SER_summary!B$26)</f>
        <v>0</v>
      </c>
      <c r="C5" s="132">
        <f>IF(SER_hh_emih!C5=0,0,SER_hh_emih!C5/SER_summary!C$26)</f>
        <v>0</v>
      </c>
      <c r="D5" s="132">
        <f>IF(SER_hh_emih!D5=0,0,SER_hh_emih!D5/SER_summary!D$26)</f>
        <v>0</v>
      </c>
      <c r="E5" s="132">
        <f>IF(SER_hh_emih!E5=0,0,SER_hh_emih!E5/SER_summary!E$26)</f>
        <v>0</v>
      </c>
      <c r="F5" s="132">
        <f>IF(SER_hh_emih!F5=0,0,SER_hh_emih!F5/SER_summary!F$26)</f>
        <v>0</v>
      </c>
      <c r="G5" s="132">
        <f>IF(SER_hh_emih!G5=0,0,SER_hh_emih!G5/SER_summary!G$26)</f>
        <v>0</v>
      </c>
      <c r="H5" s="132">
        <f>IF(SER_hh_emih!H5=0,0,SER_hh_emih!H5/SER_summary!H$26)</f>
        <v>0</v>
      </c>
      <c r="I5" s="132">
        <f>IF(SER_hh_emih!I5=0,0,SER_hh_emih!I5/SER_summary!I$26)</f>
        <v>0</v>
      </c>
      <c r="J5" s="132">
        <f>IF(SER_hh_emih!J5=0,0,SER_hh_emih!J5/SER_summary!J$26)</f>
        <v>0</v>
      </c>
      <c r="K5" s="132">
        <f>IF(SER_hh_emih!K5=0,0,SER_hh_emih!K5/SER_summary!K$26)</f>
        <v>0</v>
      </c>
      <c r="L5" s="132">
        <f>IF(SER_hh_emih!L5=0,0,SER_hh_emih!L5/SER_summary!L$26)</f>
        <v>0</v>
      </c>
      <c r="M5" s="132">
        <f>IF(SER_hh_emih!M5=0,0,SER_hh_emih!M5/SER_summary!M$26)</f>
        <v>0</v>
      </c>
      <c r="N5" s="132">
        <f>IF(SER_hh_emih!N5=0,0,SER_hh_emih!N5/SER_summary!N$26)</f>
        <v>0</v>
      </c>
      <c r="O5" s="132">
        <f>IF(SER_hh_emih!O5=0,0,SER_hh_emih!O5/SER_summary!O$26)</f>
        <v>0</v>
      </c>
      <c r="P5" s="132">
        <f>IF(SER_hh_emih!P5=0,0,SER_hh_emih!P5/SER_summary!P$26)</f>
        <v>0</v>
      </c>
      <c r="Q5" s="132">
        <f>IF(SER_hh_emih!Q5=0,0,SER_hh_emih!Q5/SER_summary!Q$26)</f>
        <v>0</v>
      </c>
      <c r="R5" s="132">
        <f>IF(SER_hh_emih!R5=0,0,SER_hh_emih!R5/SER_summary!R$26)</f>
        <v>0</v>
      </c>
      <c r="S5" s="132">
        <f>IF(SER_hh_emih!S5=0,0,SER_hh_emih!S5/SER_summary!S$26)</f>
        <v>0</v>
      </c>
      <c r="T5" s="132">
        <f>IF(SER_hh_emih!T5=0,0,SER_hh_emih!T5/SER_summary!T$26)</f>
        <v>0</v>
      </c>
      <c r="U5" s="132">
        <f>IF(SER_hh_emih!U5=0,0,SER_hh_emih!U5/SER_summary!U$26)</f>
        <v>0</v>
      </c>
      <c r="V5" s="132">
        <f>IF(SER_hh_emih!V5=0,0,SER_hh_emih!V5/SER_summary!V$26)</f>
        <v>0</v>
      </c>
      <c r="W5" s="132">
        <f>IF(SER_hh_emih!W5=0,0,SER_hh_emih!W5/SER_summary!W$26)</f>
        <v>0</v>
      </c>
      <c r="X5" s="132">
        <f>IF(SER_hh_emih!X5=0,0,SER_hh_emih!X5/SER_summary!X$26)</f>
        <v>0</v>
      </c>
      <c r="Y5" s="132">
        <f>IF(SER_hh_emih!Y5=0,0,SER_hh_emih!Y5/SER_summary!Y$26)</f>
        <v>0</v>
      </c>
      <c r="DA5" s="156" t="s">
        <v>541</v>
      </c>
    </row>
    <row r="6" spans="1:105" ht="12" customHeight="1" x14ac:dyDescent="0.25">
      <c r="A6" s="131" t="s">
        <v>52</v>
      </c>
      <c r="B6" s="132">
        <f>IF(SER_hh_emih!B6=0,0,SER_hh_emih!B6/SER_summary!B$26)</f>
        <v>0</v>
      </c>
      <c r="C6" s="132">
        <f>IF(SER_hh_emih!C6=0,0,SER_hh_emih!C6/SER_summary!C$26)</f>
        <v>0</v>
      </c>
      <c r="D6" s="132">
        <f>IF(SER_hh_emih!D6=0,0,SER_hh_emih!D6/SER_summary!D$26)</f>
        <v>0</v>
      </c>
      <c r="E6" s="132">
        <f>IF(SER_hh_emih!E6=0,0,SER_hh_emih!E6/SER_summary!E$26)</f>
        <v>0</v>
      </c>
      <c r="F6" s="132">
        <f>IF(SER_hh_emih!F6=0,0,SER_hh_emih!F6/SER_summary!F$26)</f>
        <v>0</v>
      </c>
      <c r="G6" s="132">
        <f>IF(SER_hh_emih!G6=0,0,SER_hh_emih!G6/SER_summary!G$26)</f>
        <v>0</v>
      </c>
      <c r="H6" s="132">
        <f>IF(SER_hh_emih!H6=0,0,SER_hh_emih!H6/SER_summary!H$26)</f>
        <v>0</v>
      </c>
      <c r="I6" s="132">
        <f>IF(SER_hh_emih!I6=0,0,SER_hh_emih!I6/SER_summary!I$26)</f>
        <v>0</v>
      </c>
      <c r="J6" s="132">
        <f>IF(SER_hh_emih!J6=0,0,SER_hh_emih!J6/SER_summary!J$26)</f>
        <v>0</v>
      </c>
      <c r="K6" s="132">
        <f>IF(SER_hh_emih!K6=0,0,SER_hh_emih!K6/SER_summary!K$26)</f>
        <v>0</v>
      </c>
      <c r="L6" s="132">
        <f>IF(SER_hh_emih!L6=0,0,SER_hh_emih!L6/SER_summary!L$26)</f>
        <v>0</v>
      </c>
      <c r="M6" s="132">
        <f>IF(SER_hh_emih!M6=0,0,SER_hh_emih!M6/SER_summary!M$26)</f>
        <v>0</v>
      </c>
      <c r="N6" s="132">
        <f>IF(SER_hh_emih!N6=0,0,SER_hh_emih!N6/SER_summary!N$26)</f>
        <v>0</v>
      </c>
      <c r="O6" s="132">
        <f>IF(SER_hh_emih!O6=0,0,SER_hh_emih!O6/SER_summary!O$26)</f>
        <v>0</v>
      </c>
      <c r="P6" s="132">
        <f>IF(SER_hh_emih!P6=0,0,SER_hh_emih!P6/SER_summary!P$26)</f>
        <v>0</v>
      </c>
      <c r="Q6" s="132">
        <f>IF(SER_hh_emih!Q6=0,0,SER_hh_emih!Q6/SER_summary!Q$26)</f>
        <v>0</v>
      </c>
      <c r="R6" s="132">
        <f>IF(SER_hh_emih!R6=0,0,SER_hh_emih!R6/SER_summary!R$26)</f>
        <v>0</v>
      </c>
      <c r="S6" s="132">
        <f>IF(SER_hh_emih!S6=0,0,SER_hh_emih!S6/SER_summary!S$26)</f>
        <v>0</v>
      </c>
      <c r="T6" s="132">
        <f>IF(SER_hh_emih!T6=0,0,SER_hh_emih!T6/SER_summary!T$26)</f>
        <v>0</v>
      </c>
      <c r="U6" s="132">
        <f>IF(SER_hh_emih!U6=0,0,SER_hh_emih!U6/SER_summary!U$26)</f>
        <v>0</v>
      </c>
      <c r="V6" s="132">
        <f>IF(SER_hh_emih!V6=0,0,SER_hh_emih!V6/SER_summary!V$26)</f>
        <v>0</v>
      </c>
      <c r="W6" s="132">
        <f>IF(SER_hh_emih!W6=0,0,SER_hh_emih!W6/SER_summary!W$26)</f>
        <v>0</v>
      </c>
      <c r="X6" s="132">
        <f>IF(SER_hh_emih!X6=0,0,SER_hh_emih!X6/SER_summary!X$26)</f>
        <v>0</v>
      </c>
      <c r="Y6" s="132">
        <f>IF(SER_hh_emih!Y6=0,0,SER_hh_emih!Y6/SER_summary!Y$26)</f>
        <v>0</v>
      </c>
      <c r="DA6" s="156" t="s">
        <v>542</v>
      </c>
    </row>
    <row r="7" spans="1:105" ht="12" customHeight="1" x14ac:dyDescent="0.25">
      <c r="A7" s="131" t="s">
        <v>161</v>
      </c>
      <c r="B7" s="132">
        <f>IF(SER_hh_emih!B7=0,0,SER_hh_emih!B7/SER_summary!B$26)</f>
        <v>8.2884297175382322</v>
      </c>
      <c r="C7" s="132">
        <f>IF(SER_hh_emih!C7=0,0,SER_hh_emih!C7/SER_summary!C$26)</f>
        <v>9.7439967819422613</v>
      </c>
      <c r="D7" s="132">
        <f>IF(SER_hh_emih!D7=0,0,SER_hh_emih!D7/SER_summary!D$26)</f>
        <v>11.022770430351237</v>
      </c>
      <c r="E7" s="132">
        <f>IF(SER_hh_emih!E7=0,0,SER_hh_emih!E7/SER_summary!E$26)</f>
        <v>12.975830113116146</v>
      </c>
      <c r="F7" s="132">
        <f>IF(SER_hh_emih!F7=0,0,SER_hh_emih!F7/SER_summary!F$26)</f>
        <v>13.432558728994698</v>
      </c>
      <c r="G7" s="132">
        <f>IF(SER_hh_emih!G7=0,0,SER_hh_emih!G7/SER_summary!G$26)</f>
        <v>14.740083663531617</v>
      </c>
      <c r="H7" s="132">
        <f>IF(SER_hh_emih!H7=0,0,SER_hh_emih!H7/SER_summary!H$26)</f>
        <v>19.053934887338624</v>
      </c>
      <c r="I7" s="132">
        <f>IF(SER_hh_emih!I7=0,0,SER_hh_emih!I7/SER_summary!I$26)</f>
        <v>20.840028804820729</v>
      </c>
      <c r="J7" s="132">
        <f>IF(SER_hh_emih!J7=0,0,SER_hh_emih!J7/SER_summary!J$26)</f>
        <v>28.117182194324091</v>
      </c>
      <c r="K7" s="132">
        <f>IF(SER_hh_emih!K7=0,0,SER_hh_emih!K7/SER_summary!K$26)</f>
        <v>22.395580227073165</v>
      </c>
      <c r="L7" s="132">
        <f>IF(SER_hh_emih!L7=0,0,SER_hh_emih!L7/SER_summary!L$26)</f>
        <v>25.025258301049291</v>
      </c>
      <c r="M7" s="132">
        <f>IF(SER_hh_emih!M7=0,0,SER_hh_emih!M7/SER_summary!M$26)</f>
        <v>23.334344702924707</v>
      </c>
      <c r="N7" s="132">
        <f>IF(SER_hh_emih!N7=0,0,SER_hh_emih!N7/SER_summary!N$26)</f>
        <v>19.080580521759721</v>
      </c>
      <c r="O7" s="132">
        <f>IF(SER_hh_emih!O7=0,0,SER_hh_emih!O7/SER_summary!O$26)</f>
        <v>21.054582918136134</v>
      </c>
      <c r="P7" s="132">
        <f>IF(SER_hh_emih!P7=0,0,SER_hh_emih!P7/SER_summary!P$26)</f>
        <v>22.241188695824601</v>
      </c>
      <c r="Q7" s="132">
        <f>IF(SER_hh_emih!Q7=0,0,SER_hh_emih!Q7/SER_summary!Q$26)</f>
        <v>21.661134941004153</v>
      </c>
      <c r="R7" s="132">
        <f>IF(SER_hh_emih!R7=0,0,SER_hh_emih!R7/SER_summary!R$26)</f>
        <v>22.954264449602334</v>
      </c>
      <c r="S7" s="132">
        <f>IF(SER_hh_emih!S7=0,0,SER_hh_emih!S7/SER_summary!S$26)</f>
        <v>26.568017871143219</v>
      </c>
      <c r="T7" s="132">
        <f>IF(SER_hh_emih!T7=0,0,SER_hh_emih!T7/SER_summary!T$26)</f>
        <v>25.707796869833295</v>
      </c>
      <c r="U7" s="132">
        <f>IF(SER_hh_emih!U7=0,0,SER_hh_emih!U7/SER_summary!U$26)</f>
        <v>30.697406800923897</v>
      </c>
      <c r="V7" s="132">
        <f>IF(SER_hh_emih!V7=0,0,SER_hh_emih!V7/SER_summary!V$26)</f>
        <v>23.802066480385438</v>
      </c>
      <c r="W7" s="132">
        <f>IF(SER_hh_emih!W7=0,0,SER_hh_emih!W7/SER_summary!W$26)</f>
        <v>26.752449468504963</v>
      </c>
      <c r="X7" s="132">
        <f>IF(SER_hh_emih!X7=0,0,SER_hh_emih!X7/SER_summary!X$26)</f>
        <v>30.229663447374381</v>
      </c>
      <c r="Y7" s="132">
        <f>IF(SER_hh_emih!Y7=0,0,SER_hh_emih!Y7/SER_summary!Y$26)</f>
        <v>30.594811605393016</v>
      </c>
      <c r="DA7" s="156" t="s">
        <v>543</v>
      </c>
    </row>
    <row r="8" spans="1:105" ht="12" customHeight="1" x14ac:dyDescent="0.25">
      <c r="A8" s="131" t="s">
        <v>73</v>
      </c>
      <c r="B8" s="132">
        <f>IF(SER_hh_emih!B8=0,0,SER_hh_emih!B8/SER_summary!B$26)</f>
        <v>0</v>
      </c>
      <c r="C8" s="132">
        <f>IF(SER_hh_emih!C8=0,0,SER_hh_emih!C8/SER_summary!C$26)</f>
        <v>0</v>
      </c>
      <c r="D8" s="132">
        <f>IF(SER_hh_emih!D8=0,0,SER_hh_emih!D8/SER_summary!D$26)</f>
        <v>0</v>
      </c>
      <c r="E8" s="132">
        <f>IF(SER_hh_emih!E8=0,0,SER_hh_emih!E8/SER_summary!E$26)</f>
        <v>0</v>
      </c>
      <c r="F8" s="132">
        <f>IF(SER_hh_emih!F8=0,0,SER_hh_emih!F8/SER_summary!F$26)</f>
        <v>0</v>
      </c>
      <c r="G8" s="132">
        <f>IF(SER_hh_emih!G8=0,0,SER_hh_emih!G8/SER_summary!G$26)</f>
        <v>0</v>
      </c>
      <c r="H8" s="132">
        <f>IF(SER_hh_emih!H8=0,0,SER_hh_emih!H8/SER_summary!H$26)</f>
        <v>0</v>
      </c>
      <c r="I8" s="132">
        <f>IF(SER_hh_emih!I8=0,0,SER_hh_emih!I8/SER_summary!I$26)</f>
        <v>0</v>
      </c>
      <c r="J8" s="132">
        <f>IF(SER_hh_emih!J8=0,0,SER_hh_emih!J8/SER_summary!J$26)</f>
        <v>0</v>
      </c>
      <c r="K8" s="132">
        <f>IF(SER_hh_emih!K8=0,0,SER_hh_emih!K8/SER_summary!K$26)</f>
        <v>0</v>
      </c>
      <c r="L8" s="132">
        <f>IF(SER_hh_emih!L8=0,0,SER_hh_emih!L8/SER_summary!L$26)</f>
        <v>0</v>
      </c>
      <c r="M8" s="132">
        <f>IF(SER_hh_emih!M8=0,0,SER_hh_emih!M8/SER_summary!M$26)</f>
        <v>0</v>
      </c>
      <c r="N8" s="132">
        <f>IF(SER_hh_emih!N8=0,0,SER_hh_emih!N8/SER_summary!N$26)</f>
        <v>0</v>
      </c>
      <c r="O8" s="132">
        <f>IF(SER_hh_emih!O8=0,0,SER_hh_emih!O8/SER_summary!O$26)</f>
        <v>0</v>
      </c>
      <c r="P8" s="132">
        <f>IF(SER_hh_emih!P8=0,0,SER_hh_emih!P8/SER_summary!P$26)</f>
        <v>0</v>
      </c>
      <c r="Q8" s="132">
        <f>IF(SER_hh_emih!Q8=0,0,SER_hh_emih!Q8/SER_summary!Q$26)</f>
        <v>0</v>
      </c>
      <c r="R8" s="132">
        <f>IF(SER_hh_emih!R8=0,0,SER_hh_emih!R8/SER_summary!R$26)</f>
        <v>0</v>
      </c>
      <c r="S8" s="132">
        <f>IF(SER_hh_emih!S8=0,0,SER_hh_emih!S8/SER_summary!S$26)</f>
        <v>0</v>
      </c>
      <c r="T8" s="132">
        <f>IF(SER_hh_emih!T8=0,0,SER_hh_emih!T8/SER_summary!T$26)</f>
        <v>0</v>
      </c>
      <c r="U8" s="132">
        <f>IF(SER_hh_emih!U8=0,0,SER_hh_emih!U8/SER_summary!U$26)</f>
        <v>0</v>
      </c>
      <c r="V8" s="132">
        <f>IF(SER_hh_emih!V8=0,0,SER_hh_emih!V8/SER_summary!V$26)</f>
        <v>0</v>
      </c>
      <c r="W8" s="132">
        <f>IF(SER_hh_emih!W8=0,0,SER_hh_emih!W8/SER_summary!W$26)</f>
        <v>0</v>
      </c>
      <c r="X8" s="132">
        <f>IF(SER_hh_emih!X8=0,0,SER_hh_emih!X8/SER_summary!X$26)</f>
        <v>0</v>
      </c>
      <c r="Y8" s="132">
        <f>IF(SER_hh_emih!Y8=0,0,SER_hh_emih!Y8/SER_summary!Y$26)</f>
        <v>0</v>
      </c>
      <c r="DA8" s="156" t="s">
        <v>544</v>
      </c>
    </row>
    <row r="9" spans="1:105" ht="12" customHeight="1" x14ac:dyDescent="0.25">
      <c r="A9" s="131" t="s">
        <v>78</v>
      </c>
      <c r="B9" s="132">
        <f>IF(SER_hh_emih!B9=0,0,SER_hh_emih!B9/SER_summary!B$26)</f>
        <v>0</v>
      </c>
      <c r="C9" s="132">
        <f>IF(SER_hh_emih!C9=0,0,SER_hh_emih!C9/SER_summary!C$26)</f>
        <v>0</v>
      </c>
      <c r="D9" s="132">
        <f>IF(SER_hh_emih!D9=0,0,SER_hh_emih!D9/SER_summary!D$26)</f>
        <v>0</v>
      </c>
      <c r="E9" s="132">
        <f>IF(SER_hh_emih!E9=0,0,SER_hh_emih!E9/SER_summary!E$26)</f>
        <v>0</v>
      </c>
      <c r="F9" s="132">
        <f>IF(SER_hh_emih!F9=0,0,SER_hh_emih!F9/SER_summary!F$26)</f>
        <v>0</v>
      </c>
      <c r="G9" s="132">
        <f>IF(SER_hh_emih!G9=0,0,SER_hh_emih!G9/SER_summary!G$26)</f>
        <v>0</v>
      </c>
      <c r="H9" s="132">
        <f>IF(SER_hh_emih!H9=0,0,SER_hh_emih!H9/SER_summary!H$26)</f>
        <v>0</v>
      </c>
      <c r="I9" s="132">
        <f>IF(SER_hh_emih!I9=0,0,SER_hh_emih!I9/SER_summary!I$26)</f>
        <v>0</v>
      </c>
      <c r="J9" s="132">
        <f>IF(SER_hh_emih!J9=0,0,SER_hh_emih!J9/SER_summary!J$26)</f>
        <v>0</v>
      </c>
      <c r="K9" s="132">
        <f>IF(SER_hh_emih!K9=0,0,SER_hh_emih!K9/SER_summary!K$26)</f>
        <v>0</v>
      </c>
      <c r="L9" s="132">
        <f>IF(SER_hh_emih!L9=0,0,SER_hh_emih!L9/SER_summary!L$26)</f>
        <v>0</v>
      </c>
      <c r="M9" s="132">
        <f>IF(SER_hh_emih!M9=0,0,SER_hh_emih!M9/SER_summary!M$26)</f>
        <v>0</v>
      </c>
      <c r="N9" s="132">
        <f>IF(SER_hh_emih!N9=0,0,SER_hh_emih!N9/SER_summary!N$26)</f>
        <v>0</v>
      </c>
      <c r="O9" s="132">
        <f>IF(SER_hh_emih!O9=0,0,SER_hh_emih!O9/SER_summary!O$26)</f>
        <v>0</v>
      </c>
      <c r="P9" s="132">
        <f>IF(SER_hh_emih!P9=0,0,SER_hh_emih!P9/SER_summary!P$26)</f>
        <v>0</v>
      </c>
      <c r="Q9" s="132">
        <f>IF(SER_hh_emih!Q9=0,0,SER_hh_emih!Q9/SER_summary!Q$26)</f>
        <v>0</v>
      </c>
      <c r="R9" s="132">
        <f>IF(SER_hh_emih!R9=0,0,SER_hh_emih!R9/SER_summary!R$26)</f>
        <v>0</v>
      </c>
      <c r="S9" s="132">
        <f>IF(SER_hh_emih!S9=0,0,SER_hh_emih!S9/SER_summary!S$26)</f>
        <v>0</v>
      </c>
      <c r="T9" s="132">
        <f>IF(SER_hh_emih!T9=0,0,SER_hh_emih!T9/SER_summary!T$26)</f>
        <v>0</v>
      </c>
      <c r="U9" s="132">
        <f>IF(SER_hh_emih!U9=0,0,SER_hh_emih!U9/SER_summary!U$26)</f>
        <v>0</v>
      </c>
      <c r="V9" s="132">
        <f>IF(SER_hh_emih!V9=0,0,SER_hh_emih!V9/SER_summary!V$26)</f>
        <v>0</v>
      </c>
      <c r="W9" s="132">
        <f>IF(SER_hh_emih!W9=0,0,SER_hh_emih!W9/SER_summary!W$26)</f>
        <v>0</v>
      </c>
      <c r="X9" s="132">
        <f>IF(SER_hh_emih!X9=0,0,SER_hh_emih!X9/SER_summary!X$26)</f>
        <v>0</v>
      </c>
      <c r="Y9" s="132">
        <f>IF(SER_hh_emih!Y9=0,0,SER_hh_emih!Y9/SER_summary!Y$26)</f>
        <v>0</v>
      </c>
      <c r="DA9" s="156" t="s">
        <v>545</v>
      </c>
    </row>
    <row r="10" spans="1:105" ht="12" customHeight="1" x14ac:dyDescent="0.25">
      <c r="A10" s="131" t="s">
        <v>128</v>
      </c>
      <c r="B10" s="132">
        <f>IF(SER_hh_emih!B10=0,0,SER_hh_emih!B10/SER_summary!B$26)</f>
        <v>0</v>
      </c>
      <c r="C10" s="132">
        <f>IF(SER_hh_emih!C10=0,0,SER_hh_emih!C10/SER_summary!C$26)</f>
        <v>0</v>
      </c>
      <c r="D10" s="132">
        <f>IF(SER_hh_emih!D10=0,0,SER_hh_emih!D10/SER_summary!D$26)</f>
        <v>0</v>
      </c>
      <c r="E10" s="132">
        <f>IF(SER_hh_emih!E10=0,0,SER_hh_emih!E10/SER_summary!E$26)</f>
        <v>0</v>
      </c>
      <c r="F10" s="132">
        <f>IF(SER_hh_emih!F10=0,0,SER_hh_emih!F10/SER_summary!F$26)</f>
        <v>0</v>
      </c>
      <c r="G10" s="132">
        <f>IF(SER_hh_emih!G10=0,0,SER_hh_emih!G10/SER_summary!G$26)</f>
        <v>0</v>
      </c>
      <c r="H10" s="132">
        <f>IF(SER_hh_emih!H10=0,0,SER_hh_emih!H10/SER_summary!H$26)</f>
        <v>0</v>
      </c>
      <c r="I10" s="132">
        <f>IF(SER_hh_emih!I10=0,0,SER_hh_emih!I10/SER_summary!I$26)</f>
        <v>0</v>
      </c>
      <c r="J10" s="132">
        <f>IF(SER_hh_emih!J10=0,0,SER_hh_emih!J10/SER_summary!J$26)</f>
        <v>0</v>
      </c>
      <c r="K10" s="132">
        <f>IF(SER_hh_emih!K10=0,0,SER_hh_emih!K10/SER_summary!K$26)</f>
        <v>0</v>
      </c>
      <c r="L10" s="132">
        <f>IF(SER_hh_emih!L10=0,0,SER_hh_emih!L10/SER_summary!L$26)</f>
        <v>0</v>
      </c>
      <c r="M10" s="132">
        <f>IF(SER_hh_emih!M10=0,0,SER_hh_emih!M10/SER_summary!M$26)</f>
        <v>0</v>
      </c>
      <c r="N10" s="132">
        <f>IF(SER_hh_emih!N10=0,0,SER_hh_emih!N10/SER_summary!N$26)</f>
        <v>0</v>
      </c>
      <c r="O10" s="132">
        <f>IF(SER_hh_emih!O10=0,0,SER_hh_emih!O10/SER_summary!O$26)</f>
        <v>0</v>
      </c>
      <c r="P10" s="132">
        <f>IF(SER_hh_emih!P10=0,0,SER_hh_emih!P10/SER_summary!P$26)</f>
        <v>0</v>
      </c>
      <c r="Q10" s="132">
        <f>IF(SER_hh_emih!Q10=0,0,SER_hh_emih!Q10/SER_summary!Q$26)</f>
        <v>0</v>
      </c>
      <c r="R10" s="132">
        <f>IF(SER_hh_emih!R10=0,0,SER_hh_emih!R10/SER_summary!R$26)</f>
        <v>0</v>
      </c>
      <c r="S10" s="132">
        <f>IF(SER_hh_emih!S10=0,0,SER_hh_emih!S10/SER_summary!S$26)</f>
        <v>0</v>
      </c>
      <c r="T10" s="132">
        <f>IF(SER_hh_emih!T10=0,0,SER_hh_emih!T10/SER_summary!T$26)</f>
        <v>0</v>
      </c>
      <c r="U10" s="132">
        <f>IF(SER_hh_emih!U10=0,0,SER_hh_emih!U10/SER_summary!U$26)</f>
        <v>0</v>
      </c>
      <c r="V10" s="132">
        <f>IF(SER_hh_emih!V10=0,0,SER_hh_emih!V10/SER_summary!V$26)</f>
        <v>0</v>
      </c>
      <c r="W10" s="132">
        <f>IF(SER_hh_emih!W10=0,0,SER_hh_emih!W10/SER_summary!W$26)</f>
        <v>0</v>
      </c>
      <c r="X10" s="132">
        <f>IF(SER_hh_emih!X10=0,0,SER_hh_emih!X10/SER_summary!X$26)</f>
        <v>0</v>
      </c>
      <c r="Y10" s="132">
        <f>IF(SER_hh_emih!Y10=0,0,SER_hh_emih!Y10/SER_summary!Y$26)</f>
        <v>0</v>
      </c>
      <c r="DA10" s="156" t="s">
        <v>546</v>
      </c>
    </row>
    <row r="11" spans="1:105" ht="12" customHeight="1" x14ac:dyDescent="0.25">
      <c r="A11" s="131" t="s">
        <v>25</v>
      </c>
      <c r="B11" s="132">
        <f>IF(SER_hh_emih!B11=0,0,SER_hh_emih!B11/SER_summary!B$26)</f>
        <v>0</v>
      </c>
      <c r="C11" s="132">
        <f>IF(SER_hh_emih!C11=0,0,SER_hh_emih!C11/SER_summary!C$26)</f>
        <v>0</v>
      </c>
      <c r="D11" s="132">
        <f>IF(SER_hh_emih!D11=0,0,SER_hh_emih!D11/SER_summary!D$26)</f>
        <v>0</v>
      </c>
      <c r="E11" s="132">
        <f>IF(SER_hh_emih!E11=0,0,SER_hh_emih!E11/SER_summary!E$26)</f>
        <v>0</v>
      </c>
      <c r="F11" s="132">
        <f>IF(SER_hh_emih!F11=0,0,SER_hh_emih!F11/SER_summary!F$26)</f>
        <v>0</v>
      </c>
      <c r="G11" s="132">
        <f>IF(SER_hh_emih!G11=0,0,SER_hh_emih!G11/SER_summary!G$26)</f>
        <v>0</v>
      </c>
      <c r="H11" s="132">
        <f>IF(SER_hh_emih!H11=0,0,SER_hh_emih!H11/SER_summary!H$26)</f>
        <v>0</v>
      </c>
      <c r="I11" s="132">
        <f>IF(SER_hh_emih!I11=0,0,SER_hh_emih!I11/SER_summary!I$26)</f>
        <v>0</v>
      </c>
      <c r="J11" s="132">
        <f>IF(SER_hh_emih!J11=0,0,SER_hh_emih!J11/SER_summary!J$26)</f>
        <v>0</v>
      </c>
      <c r="K11" s="132">
        <f>IF(SER_hh_emih!K11=0,0,SER_hh_emih!K11/SER_summary!K$26)</f>
        <v>0</v>
      </c>
      <c r="L11" s="132">
        <f>IF(SER_hh_emih!L11=0,0,SER_hh_emih!L11/SER_summary!L$26)</f>
        <v>0</v>
      </c>
      <c r="M11" s="132">
        <f>IF(SER_hh_emih!M11=0,0,SER_hh_emih!M11/SER_summary!M$26)</f>
        <v>0</v>
      </c>
      <c r="N11" s="132">
        <f>IF(SER_hh_emih!N11=0,0,SER_hh_emih!N11/SER_summary!N$26)</f>
        <v>0</v>
      </c>
      <c r="O11" s="132">
        <f>IF(SER_hh_emih!O11=0,0,SER_hh_emih!O11/SER_summary!O$26)</f>
        <v>0</v>
      </c>
      <c r="P11" s="132">
        <f>IF(SER_hh_emih!P11=0,0,SER_hh_emih!P11/SER_summary!P$26)</f>
        <v>0</v>
      </c>
      <c r="Q11" s="132">
        <f>IF(SER_hh_emih!Q11=0,0,SER_hh_emih!Q11/SER_summary!Q$26)</f>
        <v>0</v>
      </c>
      <c r="R11" s="132">
        <f>IF(SER_hh_emih!R11=0,0,SER_hh_emih!R11/SER_summary!R$26)</f>
        <v>0</v>
      </c>
      <c r="S11" s="132">
        <f>IF(SER_hh_emih!S11=0,0,SER_hh_emih!S11/SER_summary!S$26)</f>
        <v>0</v>
      </c>
      <c r="T11" s="132">
        <f>IF(SER_hh_emih!T11=0,0,SER_hh_emih!T11/SER_summary!T$26)</f>
        <v>0</v>
      </c>
      <c r="U11" s="132">
        <f>IF(SER_hh_emih!U11=0,0,SER_hh_emih!U11/SER_summary!U$26)</f>
        <v>0</v>
      </c>
      <c r="V11" s="132">
        <f>IF(SER_hh_emih!V11=0,0,SER_hh_emih!V11/SER_summary!V$26)</f>
        <v>0</v>
      </c>
      <c r="W11" s="132">
        <f>IF(SER_hh_emih!W11=0,0,SER_hh_emih!W11/SER_summary!W$26)</f>
        <v>0</v>
      </c>
      <c r="X11" s="132">
        <f>IF(SER_hh_emih!X11=0,0,SER_hh_emih!X11/SER_summary!X$26)</f>
        <v>0</v>
      </c>
      <c r="Y11" s="132">
        <f>IF(SER_hh_emih!Y11=0,0,SER_hh_emih!Y11/SER_summary!Y$26)</f>
        <v>0</v>
      </c>
      <c r="DA11" s="156" t="s">
        <v>547</v>
      </c>
    </row>
    <row r="12" spans="1:105" ht="12" customHeight="1" x14ac:dyDescent="0.25">
      <c r="A12" s="131" t="s">
        <v>162</v>
      </c>
      <c r="B12" s="132">
        <f>IF(SER_hh_emih!B12=0,0,SER_hh_emih!B12/SER_summary!B$26)</f>
        <v>0</v>
      </c>
      <c r="C12" s="132">
        <f>IF(SER_hh_emih!C12=0,0,SER_hh_emih!C12/SER_summary!C$26)</f>
        <v>0</v>
      </c>
      <c r="D12" s="132">
        <f>IF(SER_hh_emih!D12=0,0,SER_hh_emih!D12/SER_summary!D$26)</f>
        <v>0</v>
      </c>
      <c r="E12" s="132">
        <f>IF(SER_hh_emih!E12=0,0,SER_hh_emih!E12/SER_summary!E$26)</f>
        <v>0</v>
      </c>
      <c r="F12" s="132">
        <f>IF(SER_hh_emih!F12=0,0,SER_hh_emih!F12/SER_summary!F$26)</f>
        <v>0</v>
      </c>
      <c r="G12" s="132">
        <f>IF(SER_hh_emih!G12=0,0,SER_hh_emih!G12/SER_summary!G$26)</f>
        <v>0</v>
      </c>
      <c r="H12" s="132">
        <f>IF(SER_hh_emih!H12=0,0,SER_hh_emih!H12/SER_summary!H$26)</f>
        <v>0</v>
      </c>
      <c r="I12" s="132">
        <f>IF(SER_hh_emih!I12=0,0,SER_hh_emih!I12/SER_summary!I$26)</f>
        <v>0</v>
      </c>
      <c r="J12" s="132">
        <f>IF(SER_hh_emih!J12=0,0,SER_hh_emih!J12/SER_summary!J$26)</f>
        <v>0</v>
      </c>
      <c r="K12" s="132">
        <f>IF(SER_hh_emih!K12=0,0,SER_hh_emih!K12/SER_summary!K$26)</f>
        <v>0</v>
      </c>
      <c r="L12" s="132">
        <f>IF(SER_hh_emih!L12=0,0,SER_hh_emih!L12/SER_summary!L$26)</f>
        <v>0</v>
      </c>
      <c r="M12" s="132">
        <f>IF(SER_hh_emih!M12=0,0,SER_hh_emih!M12/SER_summary!M$26)</f>
        <v>0</v>
      </c>
      <c r="N12" s="132">
        <f>IF(SER_hh_emih!N12=0,0,SER_hh_emih!N12/SER_summary!N$26)</f>
        <v>0</v>
      </c>
      <c r="O12" s="132">
        <f>IF(SER_hh_emih!O12=0,0,SER_hh_emih!O12/SER_summary!O$26)</f>
        <v>0</v>
      </c>
      <c r="P12" s="132">
        <f>IF(SER_hh_emih!P12=0,0,SER_hh_emih!P12/SER_summary!P$26)</f>
        <v>0</v>
      </c>
      <c r="Q12" s="132">
        <f>IF(SER_hh_emih!Q12=0,0,SER_hh_emih!Q12/SER_summary!Q$26)</f>
        <v>0</v>
      </c>
      <c r="R12" s="132">
        <f>IF(SER_hh_emih!R12=0,0,SER_hh_emih!R12/SER_summary!R$26)</f>
        <v>0</v>
      </c>
      <c r="S12" s="132">
        <f>IF(SER_hh_emih!S12=0,0,SER_hh_emih!S12/SER_summary!S$26)</f>
        <v>0</v>
      </c>
      <c r="T12" s="132">
        <f>IF(SER_hh_emih!T12=0,0,SER_hh_emih!T12/SER_summary!T$26)</f>
        <v>0</v>
      </c>
      <c r="U12" s="132">
        <f>IF(SER_hh_emih!U12=0,0,SER_hh_emih!U12/SER_summary!U$26)</f>
        <v>0</v>
      </c>
      <c r="V12" s="132">
        <f>IF(SER_hh_emih!V12=0,0,SER_hh_emih!V12/SER_summary!V$26)</f>
        <v>0</v>
      </c>
      <c r="W12" s="132">
        <f>IF(SER_hh_emih!W12=0,0,SER_hh_emih!W12/SER_summary!W$26)</f>
        <v>0</v>
      </c>
      <c r="X12" s="132">
        <f>IF(SER_hh_emih!X12=0,0,SER_hh_emih!X12/SER_summary!X$26)</f>
        <v>0</v>
      </c>
      <c r="Y12" s="132">
        <f>IF(SER_hh_emih!Y12=0,0,SER_hh_emih!Y12/SER_summary!Y$26)</f>
        <v>0</v>
      </c>
      <c r="DA12" s="156" t="s">
        <v>548</v>
      </c>
    </row>
    <row r="13" spans="1:105" ht="12" customHeight="1" x14ac:dyDescent="0.25">
      <c r="A13" s="131" t="s">
        <v>77</v>
      </c>
      <c r="B13" s="132">
        <f>IF(SER_hh_emih!B13=0,0,SER_hh_emih!B13/SER_summary!B$26)</f>
        <v>0</v>
      </c>
      <c r="C13" s="132">
        <f>IF(SER_hh_emih!C13=0,0,SER_hh_emih!C13/SER_summary!C$26)</f>
        <v>0</v>
      </c>
      <c r="D13" s="132">
        <f>IF(SER_hh_emih!D13=0,0,SER_hh_emih!D13/SER_summary!D$26)</f>
        <v>0</v>
      </c>
      <c r="E13" s="132">
        <f>IF(SER_hh_emih!E13=0,0,SER_hh_emih!E13/SER_summary!E$26)</f>
        <v>0</v>
      </c>
      <c r="F13" s="132">
        <f>IF(SER_hh_emih!F13=0,0,SER_hh_emih!F13/SER_summary!F$26)</f>
        <v>0</v>
      </c>
      <c r="G13" s="132">
        <f>IF(SER_hh_emih!G13=0,0,SER_hh_emih!G13/SER_summary!G$26)</f>
        <v>0</v>
      </c>
      <c r="H13" s="132">
        <f>IF(SER_hh_emih!H13=0,0,SER_hh_emih!H13/SER_summary!H$26)</f>
        <v>0</v>
      </c>
      <c r="I13" s="132">
        <f>IF(SER_hh_emih!I13=0,0,SER_hh_emih!I13/SER_summary!I$26)</f>
        <v>0</v>
      </c>
      <c r="J13" s="132">
        <f>IF(SER_hh_emih!J13=0,0,SER_hh_emih!J13/SER_summary!J$26)</f>
        <v>0</v>
      </c>
      <c r="K13" s="132">
        <f>IF(SER_hh_emih!K13=0,0,SER_hh_emih!K13/SER_summary!K$26)</f>
        <v>0</v>
      </c>
      <c r="L13" s="132">
        <f>IF(SER_hh_emih!L13=0,0,SER_hh_emih!L13/SER_summary!L$26)</f>
        <v>0</v>
      </c>
      <c r="M13" s="132">
        <f>IF(SER_hh_emih!M13=0,0,SER_hh_emih!M13/SER_summary!M$26)</f>
        <v>0</v>
      </c>
      <c r="N13" s="132">
        <f>IF(SER_hh_emih!N13=0,0,SER_hh_emih!N13/SER_summary!N$26)</f>
        <v>0</v>
      </c>
      <c r="O13" s="132">
        <f>IF(SER_hh_emih!O13=0,0,SER_hh_emih!O13/SER_summary!O$26)</f>
        <v>0</v>
      </c>
      <c r="P13" s="132">
        <f>IF(SER_hh_emih!P13=0,0,SER_hh_emih!P13/SER_summary!P$26)</f>
        <v>0</v>
      </c>
      <c r="Q13" s="132">
        <f>IF(SER_hh_emih!Q13=0,0,SER_hh_emih!Q13/SER_summary!Q$26)</f>
        <v>0</v>
      </c>
      <c r="R13" s="132">
        <f>IF(SER_hh_emih!R13=0,0,SER_hh_emih!R13/SER_summary!R$26)</f>
        <v>0</v>
      </c>
      <c r="S13" s="132">
        <f>IF(SER_hh_emih!S13=0,0,SER_hh_emih!S13/SER_summary!S$26)</f>
        <v>0</v>
      </c>
      <c r="T13" s="132">
        <f>IF(SER_hh_emih!T13=0,0,SER_hh_emih!T13/SER_summary!T$26)</f>
        <v>0</v>
      </c>
      <c r="U13" s="132">
        <f>IF(SER_hh_emih!U13=0,0,SER_hh_emih!U13/SER_summary!U$26)</f>
        <v>0</v>
      </c>
      <c r="V13" s="132">
        <f>IF(SER_hh_emih!V13=0,0,SER_hh_emih!V13/SER_summary!V$26)</f>
        <v>0</v>
      </c>
      <c r="W13" s="132">
        <f>IF(SER_hh_emih!W13=0,0,SER_hh_emih!W13/SER_summary!W$26)</f>
        <v>0</v>
      </c>
      <c r="X13" s="132">
        <f>IF(SER_hh_emih!X13=0,0,SER_hh_emih!X13/SER_summary!X$26)</f>
        <v>0</v>
      </c>
      <c r="Y13" s="132">
        <f>IF(SER_hh_emih!Y13=0,0,SER_hh_emih!Y13/SER_summary!Y$26)</f>
        <v>0</v>
      </c>
      <c r="DA13" s="156" t="s">
        <v>549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X14" s="65">
        <f>IF(SER_hh_emih!X14=0,0,SER_hh_emih!X14/SER_summary!X$26)</f>
        <v>0</v>
      </c>
      <c r="Y14" s="65">
        <f>IF(SER_hh_emih!Y14=0,0,SER_hh_emih!Y14/SER_summary!Y$26)</f>
        <v>0</v>
      </c>
      <c r="DA14" s="109" t="s">
        <v>550</v>
      </c>
    </row>
    <row r="15" spans="1:105" ht="12" customHeight="1" x14ac:dyDescent="0.25">
      <c r="A15" s="133" t="s">
        <v>80</v>
      </c>
      <c r="B15" s="134">
        <f>IF(SER_hh_emih!B15=0,0,SER_hh_emih!B15/SER_summary!B$26)</f>
        <v>0</v>
      </c>
      <c r="C15" s="134">
        <f>IF(SER_hh_emih!C15=0,0,SER_hh_emih!C15/SER_summary!C$26)</f>
        <v>0</v>
      </c>
      <c r="D15" s="134">
        <f>IF(SER_hh_emih!D15=0,0,SER_hh_emih!D15/SER_summary!D$26)</f>
        <v>0</v>
      </c>
      <c r="E15" s="134">
        <f>IF(SER_hh_emih!E15=0,0,SER_hh_emih!E15/SER_summary!E$26)</f>
        <v>0</v>
      </c>
      <c r="F15" s="134">
        <f>IF(SER_hh_emih!F15=0,0,SER_hh_emih!F15/SER_summary!F$26)</f>
        <v>0</v>
      </c>
      <c r="G15" s="134">
        <f>IF(SER_hh_emih!G15=0,0,SER_hh_emih!G15/SER_summary!G$26)</f>
        <v>0</v>
      </c>
      <c r="H15" s="134">
        <f>IF(SER_hh_emih!H15=0,0,SER_hh_emih!H15/SER_summary!H$26)</f>
        <v>0</v>
      </c>
      <c r="I15" s="134">
        <f>IF(SER_hh_emih!I15=0,0,SER_hh_emih!I15/SER_summary!I$26)</f>
        <v>0</v>
      </c>
      <c r="J15" s="134">
        <f>IF(SER_hh_emih!J15=0,0,SER_hh_emih!J15/SER_summary!J$26)</f>
        <v>0</v>
      </c>
      <c r="K15" s="134">
        <f>IF(SER_hh_emih!K15=0,0,SER_hh_emih!K15/SER_summary!K$26)</f>
        <v>0</v>
      </c>
      <c r="L15" s="134">
        <f>IF(SER_hh_emih!L15=0,0,SER_hh_emih!L15/SER_summary!L$26)</f>
        <v>0</v>
      </c>
      <c r="M15" s="134">
        <f>IF(SER_hh_emih!M15=0,0,SER_hh_emih!M15/SER_summary!M$26)</f>
        <v>0</v>
      </c>
      <c r="N15" s="134">
        <f>IF(SER_hh_emih!N15=0,0,SER_hh_emih!N15/SER_summary!N$26)</f>
        <v>0</v>
      </c>
      <c r="O15" s="134">
        <f>IF(SER_hh_emih!O15=0,0,SER_hh_emih!O15/SER_summary!O$26)</f>
        <v>0</v>
      </c>
      <c r="P15" s="134">
        <f>IF(SER_hh_emih!P15=0,0,SER_hh_emih!P15/SER_summary!P$26)</f>
        <v>0</v>
      </c>
      <c r="Q15" s="134">
        <f>IF(SER_hh_emih!Q15=0,0,SER_hh_emih!Q15/SER_summary!Q$26)</f>
        <v>0</v>
      </c>
      <c r="R15" s="134">
        <f>IF(SER_hh_emih!R15=0,0,SER_hh_emih!R15/SER_summary!R$26)</f>
        <v>0</v>
      </c>
      <c r="S15" s="134">
        <f>IF(SER_hh_emih!S15=0,0,SER_hh_emih!S15/SER_summary!S$26)</f>
        <v>0</v>
      </c>
      <c r="T15" s="134">
        <f>IF(SER_hh_emih!T15=0,0,SER_hh_emih!T15/SER_summary!T$26)</f>
        <v>0</v>
      </c>
      <c r="U15" s="134">
        <f>IF(SER_hh_emih!U15=0,0,SER_hh_emih!U15/SER_summary!U$26)</f>
        <v>0</v>
      </c>
      <c r="V15" s="134">
        <f>IF(SER_hh_emih!V15=0,0,SER_hh_emih!V15/SER_summary!V$26)</f>
        <v>0</v>
      </c>
      <c r="W15" s="134">
        <f>IF(SER_hh_emih!W15=0,0,SER_hh_emih!W15/SER_summary!W$26)</f>
        <v>0</v>
      </c>
      <c r="X15" s="134">
        <f>IF(SER_hh_emih!X15=0,0,SER_hh_emih!X15/SER_summary!X$26)</f>
        <v>0</v>
      </c>
      <c r="Y15" s="134">
        <f>IF(SER_hh_emih!Y15=0,0,SER_hh_emih!Y15/SER_summary!Y$26)</f>
        <v>0</v>
      </c>
      <c r="DA15" s="157" t="s">
        <v>551</v>
      </c>
    </row>
    <row r="16" spans="1:105" ht="12.95" customHeight="1" x14ac:dyDescent="0.25">
      <c r="A16" s="129" t="s">
        <v>74</v>
      </c>
      <c r="B16" s="130">
        <f>IF(SER_hh_emih!B16=0,0,SER_hh_emih!B16/SER_summary!B$26)</f>
        <v>0</v>
      </c>
      <c r="C16" s="130">
        <f>IF(SER_hh_emih!C16=0,0,SER_hh_emih!C16/SER_summary!C$26)</f>
        <v>0</v>
      </c>
      <c r="D16" s="130">
        <f>IF(SER_hh_emih!D16=0,0,SER_hh_emih!D16/SER_summary!D$26)</f>
        <v>0</v>
      </c>
      <c r="E16" s="130">
        <f>IF(SER_hh_emih!E16=0,0,SER_hh_emih!E16/SER_summary!E$26)</f>
        <v>0</v>
      </c>
      <c r="F16" s="130">
        <f>IF(SER_hh_emih!F16=0,0,SER_hh_emih!F16/SER_summary!F$26)</f>
        <v>0</v>
      </c>
      <c r="G16" s="130">
        <f>IF(SER_hh_emih!G16=0,0,SER_hh_emih!G16/SER_summary!G$26)</f>
        <v>0</v>
      </c>
      <c r="H16" s="130">
        <f>IF(SER_hh_emih!H16=0,0,SER_hh_emih!H16/SER_summary!H$26)</f>
        <v>0</v>
      </c>
      <c r="I16" s="130">
        <f>IF(SER_hh_emih!I16=0,0,SER_hh_emih!I16/SER_summary!I$26)</f>
        <v>0</v>
      </c>
      <c r="J16" s="130">
        <f>IF(SER_hh_emih!J16=0,0,SER_hh_emih!J16/SER_summary!J$26)</f>
        <v>0</v>
      </c>
      <c r="K16" s="130">
        <f>IF(SER_hh_emih!K16=0,0,SER_hh_emih!K16/SER_summary!K$26)</f>
        <v>0</v>
      </c>
      <c r="L16" s="130">
        <f>IF(SER_hh_emih!L16=0,0,SER_hh_emih!L16/SER_summary!L$26)</f>
        <v>0</v>
      </c>
      <c r="M16" s="130">
        <f>IF(SER_hh_emih!M16=0,0,SER_hh_emih!M16/SER_summary!M$26)</f>
        <v>0</v>
      </c>
      <c r="N16" s="130">
        <f>IF(SER_hh_emih!N16=0,0,SER_hh_emih!N16/SER_summary!N$26)</f>
        <v>0</v>
      </c>
      <c r="O16" s="130">
        <f>IF(SER_hh_emih!O16=0,0,SER_hh_emih!O16/SER_summary!O$26)</f>
        <v>0</v>
      </c>
      <c r="P16" s="130">
        <f>IF(SER_hh_emih!P16=0,0,SER_hh_emih!P16/SER_summary!P$26)</f>
        <v>0</v>
      </c>
      <c r="Q16" s="130">
        <f>IF(SER_hh_emih!Q16=0,0,SER_hh_emih!Q16/SER_summary!Q$26)</f>
        <v>0</v>
      </c>
      <c r="R16" s="130">
        <f>IF(SER_hh_emih!R16=0,0,SER_hh_emih!R16/SER_summary!R$26)</f>
        <v>0</v>
      </c>
      <c r="S16" s="130">
        <f>IF(SER_hh_emih!S16=0,0,SER_hh_emih!S16/SER_summary!S$26)</f>
        <v>0</v>
      </c>
      <c r="T16" s="130">
        <f>IF(SER_hh_emih!T16=0,0,SER_hh_emih!T16/SER_summary!T$26)</f>
        <v>0</v>
      </c>
      <c r="U16" s="130">
        <f>IF(SER_hh_emih!U16=0,0,SER_hh_emih!U16/SER_summary!U$26)</f>
        <v>0</v>
      </c>
      <c r="V16" s="130">
        <f>IF(SER_hh_emih!V16=0,0,SER_hh_emih!V16/SER_summary!V$26)</f>
        <v>0</v>
      </c>
      <c r="W16" s="130">
        <f>IF(SER_hh_emih!W16=0,0,SER_hh_emih!W16/SER_summary!W$26)</f>
        <v>0</v>
      </c>
      <c r="X16" s="130">
        <f>IF(SER_hh_emih!X16=0,0,SER_hh_emih!X16/SER_summary!X$26)</f>
        <v>0</v>
      </c>
      <c r="Y16" s="130">
        <f>IF(SER_hh_emih!Y16=0,0,SER_hh_emih!Y16/SER_summary!Y$26)</f>
        <v>0</v>
      </c>
      <c r="DA16" s="155" t="s">
        <v>552</v>
      </c>
    </row>
    <row r="17" spans="1:105" ht="12.95" customHeight="1" x14ac:dyDescent="0.25">
      <c r="A17" s="131" t="s">
        <v>73</v>
      </c>
      <c r="B17" s="132">
        <f>IF(SER_hh_emih!B17=0,0,SER_hh_emih!B17/SER_summary!B$26)</f>
        <v>0</v>
      </c>
      <c r="C17" s="132">
        <f>IF(SER_hh_emih!C17=0,0,SER_hh_emih!C17/SER_summary!C$26)</f>
        <v>0</v>
      </c>
      <c r="D17" s="132">
        <f>IF(SER_hh_emih!D17=0,0,SER_hh_emih!D17/SER_summary!D$26)</f>
        <v>0</v>
      </c>
      <c r="E17" s="132">
        <f>IF(SER_hh_emih!E17=0,0,SER_hh_emih!E17/SER_summary!E$26)</f>
        <v>0</v>
      </c>
      <c r="F17" s="132">
        <f>IF(SER_hh_emih!F17=0,0,SER_hh_emih!F17/SER_summary!F$26)</f>
        <v>0</v>
      </c>
      <c r="G17" s="132">
        <f>IF(SER_hh_emih!G17=0,0,SER_hh_emih!G17/SER_summary!G$26)</f>
        <v>0</v>
      </c>
      <c r="H17" s="132">
        <f>IF(SER_hh_emih!H17=0,0,SER_hh_emih!H17/SER_summary!H$26)</f>
        <v>0</v>
      </c>
      <c r="I17" s="132">
        <f>IF(SER_hh_emih!I17=0,0,SER_hh_emih!I17/SER_summary!I$26)</f>
        <v>0</v>
      </c>
      <c r="J17" s="132">
        <f>IF(SER_hh_emih!J17=0,0,SER_hh_emih!J17/SER_summary!J$26)</f>
        <v>0</v>
      </c>
      <c r="K17" s="132">
        <f>IF(SER_hh_emih!K17=0,0,SER_hh_emih!K17/SER_summary!K$26)</f>
        <v>0</v>
      </c>
      <c r="L17" s="132">
        <f>IF(SER_hh_emih!L17=0,0,SER_hh_emih!L17/SER_summary!L$26)</f>
        <v>0</v>
      </c>
      <c r="M17" s="132">
        <f>IF(SER_hh_emih!M17=0,0,SER_hh_emih!M17/SER_summary!M$26)</f>
        <v>0</v>
      </c>
      <c r="N17" s="132">
        <f>IF(SER_hh_emih!N17=0,0,SER_hh_emih!N17/SER_summary!N$26)</f>
        <v>0</v>
      </c>
      <c r="O17" s="132">
        <f>IF(SER_hh_emih!O17=0,0,SER_hh_emih!O17/SER_summary!O$26)</f>
        <v>0</v>
      </c>
      <c r="P17" s="132">
        <f>IF(SER_hh_emih!P17=0,0,SER_hh_emih!P17/SER_summary!P$26)</f>
        <v>0</v>
      </c>
      <c r="Q17" s="132">
        <f>IF(SER_hh_emih!Q17=0,0,SER_hh_emih!Q17/SER_summary!Q$26)</f>
        <v>0</v>
      </c>
      <c r="R17" s="132">
        <f>IF(SER_hh_emih!R17=0,0,SER_hh_emih!R17/SER_summary!R$26)</f>
        <v>0</v>
      </c>
      <c r="S17" s="132">
        <f>IF(SER_hh_emih!S17=0,0,SER_hh_emih!S17/SER_summary!S$26)</f>
        <v>0</v>
      </c>
      <c r="T17" s="132">
        <f>IF(SER_hh_emih!T17=0,0,SER_hh_emih!T17/SER_summary!T$26)</f>
        <v>0</v>
      </c>
      <c r="U17" s="132">
        <f>IF(SER_hh_emih!U17=0,0,SER_hh_emih!U17/SER_summary!U$26)</f>
        <v>0</v>
      </c>
      <c r="V17" s="132">
        <f>IF(SER_hh_emih!V17=0,0,SER_hh_emih!V17/SER_summary!V$26)</f>
        <v>0</v>
      </c>
      <c r="W17" s="132">
        <f>IF(SER_hh_emih!W17=0,0,SER_hh_emih!W17/SER_summary!W$26)</f>
        <v>0</v>
      </c>
      <c r="X17" s="132">
        <f>IF(SER_hh_emih!X17=0,0,SER_hh_emih!X17/SER_summary!X$26)</f>
        <v>0</v>
      </c>
      <c r="Y17" s="132">
        <f>IF(SER_hh_emih!Y17=0,0,SER_hh_emih!Y17/SER_summary!Y$26)</f>
        <v>0</v>
      </c>
      <c r="DA17" s="156" t="s">
        <v>553</v>
      </c>
    </row>
    <row r="18" spans="1:105" ht="12" customHeight="1" x14ac:dyDescent="0.25">
      <c r="A18" s="131" t="s">
        <v>72</v>
      </c>
      <c r="B18" s="132">
        <f>IF(SER_hh_emih!B18=0,0,SER_hh_emih!B18/SER_summary!B$26)</f>
        <v>0</v>
      </c>
      <c r="C18" s="132">
        <f>IF(SER_hh_emih!C18=0,0,SER_hh_emih!C18/SER_summary!C$26)</f>
        <v>0</v>
      </c>
      <c r="D18" s="132">
        <f>IF(SER_hh_emih!D18=0,0,SER_hh_emih!D18/SER_summary!D$26)</f>
        <v>0</v>
      </c>
      <c r="E18" s="132">
        <f>IF(SER_hh_emih!E18=0,0,SER_hh_emih!E18/SER_summary!E$26)</f>
        <v>0</v>
      </c>
      <c r="F18" s="132">
        <f>IF(SER_hh_emih!F18=0,0,SER_hh_emih!F18/SER_summary!F$26)</f>
        <v>0</v>
      </c>
      <c r="G18" s="132">
        <f>IF(SER_hh_emih!G18=0,0,SER_hh_emih!G18/SER_summary!G$26)</f>
        <v>0</v>
      </c>
      <c r="H18" s="132">
        <f>IF(SER_hh_emih!H18=0,0,SER_hh_emih!H18/SER_summary!H$26)</f>
        <v>0</v>
      </c>
      <c r="I18" s="132">
        <f>IF(SER_hh_emih!I18=0,0,SER_hh_emih!I18/SER_summary!I$26)</f>
        <v>0</v>
      </c>
      <c r="J18" s="132">
        <f>IF(SER_hh_emih!J18=0,0,SER_hh_emih!J18/SER_summary!J$26)</f>
        <v>0</v>
      </c>
      <c r="K18" s="132">
        <f>IF(SER_hh_emih!K18=0,0,SER_hh_emih!K18/SER_summary!K$26)</f>
        <v>0</v>
      </c>
      <c r="L18" s="132">
        <f>IF(SER_hh_emih!L18=0,0,SER_hh_emih!L18/SER_summary!L$26)</f>
        <v>0</v>
      </c>
      <c r="M18" s="132">
        <f>IF(SER_hh_emih!M18=0,0,SER_hh_emih!M18/SER_summary!M$26)</f>
        <v>0</v>
      </c>
      <c r="N18" s="132">
        <f>IF(SER_hh_emih!N18=0,0,SER_hh_emih!N18/SER_summary!N$26)</f>
        <v>0</v>
      </c>
      <c r="O18" s="132">
        <f>IF(SER_hh_emih!O18=0,0,SER_hh_emih!O18/SER_summary!O$26)</f>
        <v>0</v>
      </c>
      <c r="P18" s="132">
        <f>IF(SER_hh_emih!P18=0,0,SER_hh_emih!P18/SER_summary!P$26)</f>
        <v>0</v>
      </c>
      <c r="Q18" s="132">
        <f>IF(SER_hh_emih!Q18=0,0,SER_hh_emih!Q18/SER_summary!Q$26)</f>
        <v>0</v>
      </c>
      <c r="R18" s="132">
        <f>IF(SER_hh_emih!R18=0,0,SER_hh_emih!R18/SER_summary!R$26)</f>
        <v>0</v>
      </c>
      <c r="S18" s="132">
        <f>IF(SER_hh_emih!S18=0,0,SER_hh_emih!S18/SER_summary!S$26)</f>
        <v>0</v>
      </c>
      <c r="T18" s="132">
        <f>IF(SER_hh_emih!T18=0,0,SER_hh_emih!T18/SER_summary!T$26)</f>
        <v>0</v>
      </c>
      <c r="U18" s="132">
        <f>IF(SER_hh_emih!U18=0,0,SER_hh_emih!U18/SER_summary!U$26)</f>
        <v>0</v>
      </c>
      <c r="V18" s="132">
        <f>IF(SER_hh_emih!V18=0,0,SER_hh_emih!V18/SER_summary!V$26)</f>
        <v>0</v>
      </c>
      <c r="W18" s="132">
        <f>IF(SER_hh_emih!W18=0,0,SER_hh_emih!W18/SER_summary!W$26)</f>
        <v>0</v>
      </c>
      <c r="X18" s="132">
        <f>IF(SER_hh_emih!X18=0,0,SER_hh_emih!X18/SER_summary!X$26)</f>
        <v>0</v>
      </c>
      <c r="Y18" s="132">
        <f>IF(SER_hh_emih!Y18=0,0,SER_hh_emih!Y18/SER_summary!Y$26)</f>
        <v>0</v>
      </c>
      <c r="DA18" s="156" t="s">
        <v>554</v>
      </c>
    </row>
    <row r="19" spans="1:105" ht="12.95" customHeight="1" x14ac:dyDescent="0.25">
      <c r="A19" s="129" t="s">
        <v>35</v>
      </c>
      <c r="B19" s="130">
        <f>IF(SER_hh_emih!B19=0,0,SER_hh_emih!B19/SER_summary!B$26)</f>
        <v>0.25439697084852525</v>
      </c>
      <c r="C19" s="130">
        <f>IF(SER_hh_emih!C19=0,0,SER_hh_emih!C19/SER_summary!C$26)</f>
        <v>0.25093435666693387</v>
      </c>
      <c r="D19" s="130">
        <f>IF(SER_hh_emih!D19=0,0,SER_hh_emih!D19/SER_summary!D$26)</f>
        <v>0.24787324831290289</v>
      </c>
      <c r="E19" s="130">
        <f>IF(SER_hh_emih!E19=0,0,SER_hh_emih!E19/SER_summary!E$26)</f>
        <v>0.24186302362531459</v>
      </c>
      <c r="F19" s="130">
        <f>IF(SER_hh_emih!F19=0,0,SER_hh_emih!F19/SER_summary!F$26)</f>
        <v>0.23765808564197988</v>
      </c>
      <c r="G19" s="130">
        <f>IF(SER_hh_emih!G19=0,0,SER_hh_emih!G19/SER_summary!G$26)</f>
        <v>0.23323969736002864</v>
      </c>
      <c r="H19" s="130">
        <f>IF(SER_hh_emih!H19=0,0,SER_hh_emih!H19/SER_summary!H$26)</f>
        <v>1.6549053157493414</v>
      </c>
      <c r="I19" s="130">
        <f>IF(SER_hh_emih!I19=0,0,SER_hh_emih!I19/SER_summary!I$26)</f>
        <v>1.6245761045620495</v>
      </c>
      <c r="J19" s="130">
        <f>IF(SER_hh_emih!J19=0,0,SER_hh_emih!J19/SER_summary!J$26)</f>
        <v>1.6017799582208176</v>
      </c>
      <c r="K19" s="130">
        <f>IF(SER_hh_emih!K19=0,0,SER_hh_emih!K19/SER_summary!K$26)</f>
        <v>1.5608598861623337</v>
      </c>
      <c r="L19" s="130">
        <f>IF(SER_hh_emih!L19=0,0,SER_hh_emih!L19/SER_summary!L$26)</f>
        <v>1.5506403546726812</v>
      </c>
      <c r="M19" s="130">
        <f>IF(SER_hh_emih!M19=0,0,SER_hh_emih!M19/SER_summary!M$26)</f>
        <v>1.4539092541561924</v>
      </c>
      <c r="N19" s="130">
        <f>IF(SER_hh_emih!N19=0,0,SER_hh_emih!N19/SER_summary!N$26)</f>
        <v>1.353791852286482</v>
      </c>
      <c r="O19" s="130">
        <f>IF(SER_hh_emih!O19=0,0,SER_hh_emih!O19/SER_summary!O$26)</f>
        <v>1.2722559096844277</v>
      </c>
      <c r="P19" s="130">
        <f>IF(SER_hh_emih!P19=0,0,SER_hh_emih!P19/SER_summary!P$26)</f>
        <v>1.1193182909215411</v>
      </c>
      <c r="Q19" s="130">
        <f>IF(SER_hh_emih!Q19=0,0,SER_hh_emih!Q19/SER_summary!Q$26)</f>
        <v>1.0978744616071772</v>
      </c>
      <c r="R19" s="130">
        <f>IF(SER_hh_emih!R19=0,0,SER_hh_emih!R19/SER_summary!R$26)</f>
        <v>1.1029053409526275</v>
      </c>
      <c r="S19" s="130">
        <f>IF(SER_hh_emih!S19=0,0,SER_hh_emih!S19/SER_summary!S$26)</f>
        <v>1.0893712482720581</v>
      </c>
      <c r="T19" s="130">
        <f>IF(SER_hh_emih!T19=0,0,SER_hh_emih!T19/SER_summary!T$26)</f>
        <v>1.0354262385293977</v>
      </c>
      <c r="U19" s="130">
        <f>IF(SER_hh_emih!U19=0,0,SER_hh_emih!U19/SER_summary!U$26)</f>
        <v>1.000393624229956</v>
      </c>
      <c r="V19" s="130">
        <f>IF(SER_hh_emih!V19=0,0,SER_hh_emih!V19/SER_summary!V$26)</f>
        <v>0.79277099357235115</v>
      </c>
      <c r="W19" s="130">
        <f>IF(SER_hh_emih!W19=0,0,SER_hh_emih!W19/SER_summary!W$26)</f>
        <v>0.73870558990748048</v>
      </c>
      <c r="X19" s="130">
        <f>IF(SER_hh_emih!X19=0,0,SER_hh_emih!X19/SER_summary!X$26)</f>
        <v>0.83303810120404942</v>
      </c>
      <c r="Y19" s="130">
        <f>IF(SER_hh_emih!Y19=0,0,SER_hh_emih!Y19/SER_summary!Y$26)</f>
        <v>0.84822682984684539</v>
      </c>
      <c r="DA19" s="155" t="s">
        <v>555</v>
      </c>
    </row>
    <row r="20" spans="1:105" ht="12" customHeight="1" x14ac:dyDescent="0.25">
      <c r="A20" s="131" t="s">
        <v>29</v>
      </c>
      <c r="B20" s="132">
        <f>IF(SER_hh_emih!B20=0,0,SER_hh_emih!B20/SER_summary!B$26)</f>
        <v>0</v>
      </c>
      <c r="C20" s="132">
        <f>IF(SER_hh_emih!C20=0,0,SER_hh_emih!C20/SER_summary!C$26)</f>
        <v>0</v>
      </c>
      <c r="D20" s="132">
        <f>IF(SER_hh_emih!D20=0,0,SER_hh_emih!D20/SER_summary!D$26)</f>
        <v>0</v>
      </c>
      <c r="E20" s="132">
        <f>IF(SER_hh_emih!E20=0,0,SER_hh_emih!E20/SER_summary!E$26)</f>
        <v>0</v>
      </c>
      <c r="F20" s="132">
        <f>IF(SER_hh_emih!F20=0,0,SER_hh_emih!F20/SER_summary!F$26)</f>
        <v>0</v>
      </c>
      <c r="G20" s="132">
        <f>IF(SER_hh_emih!G20=0,0,SER_hh_emih!G20/SER_summary!G$26)</f>
        <v>0</v>
      </c>
      <c r="H20" s="132">
        <f>IF(SER_hh_emih!H20=0,0,SER_hh_emih!H20/SER_summary!H$26)</f>
        <v>0</v>
      </c>
      <c r="I20" s="132">
        <f>IF(SER_hh_emih!I20=0,0,SER_hh_emih!I20/SER_summary!I$26)</f>
        <v>0</v>
      </c>
      <c r="J20" s="132">
        <f>IF(SER_hh_emih!J20=0,0,SER_hh_emih!J20/SER_summary!J$26)</f>
        <v>0</v>
      </c>
      <c r="K20" s="132">
        <f>IF(SER_hh_emih!K20=0,0,SER_hh_emih!K20/SER_summary!K$26)</f>
        <v>0</v>
      </c>
      <c r="L20" s="132">
        <f>IF(SER_hh_emih!L20=0,0,SER_hh_emih!L20/SER_summary!L$26)</f>
        <v>0</v>
      </c>
      <c r="M20" s="132">
        <f>IF(SER_hh_emih!M20=0,0,SER_hh_emih!M20/SER_summary!M$26)</f>
        <v>0</v>
      </c>
      <c r="N20" s="132">
        <f>IF(SER_hh_emih!N20=0,0,SER_hh_emih!N20/SER_summary!N$26)</f>
        <v>0</v>
      </c>
      <c r="O20" s="132">
        <f>IF(SER_hh_emih!O20=0,0,SER_hh_emih!O20/SER_summary!O$26)</f>
        <v>0</v>
      </c>
      <c r="P20" s="132">
        <f>IF(SER_hh_emih!P20=0,0,SER_hh_emih!P20/SER_summary!P$26)</f>
        <v>0</v>
      </c>
      <c r="Q20" s="132">
        <f>IF(SER_hh_emih!Q20=0,0,SER_hh_emih!Q20/SER_summary!Q$26)</f>
        <v>0</v>
      </c>
      <c r="R20" s="132">
        <f>IF(SER_hh_emih!R20=0,0,SER_hh_emih!R20/SER_summary!R$26)</f>
        <v>0</v>
      </c>
      <c r="S20" s="132">
        <f>IF(SER_hh_emih!S20=0,0,SER_hh_emih!S20/SER_summary!S$26)</f>
        <v>0</v>
      </c>
      <c r="T20" s="132">
        <f>IF(SER_hh_emih!T20=0,0,SER_hh_emih!T20/SER_summary!T$26)</f>
        <v>0</v>
      </c>
      <c r="U20" s="132">
        <f>IF(SER_hh_emih!U20=0,0,SER_hh_emih!U20/SER_summary!U$26)</f>
        <v>0</v>
      </c>
      <c r="V20" s="132">
        <f>IF(SER_hh_emih!V20=0,0,SER_hh_emih!V20/SER_summary!V$26)</f>
        <v>0</v>
      </c>
      <c r="W20" s="132">
        <f>IF(SER_hh_emih!W20=0,0,SER_hh_emih!W20/SER_summary!W$26)</f>
        <v>0</v>
      </c>
      <c r="X20" s="132">
        <f>IF(SER_hh_emih!X20=0,0,SER_hh_emih!X20/SER_summary!X$26)</f>
        <v>0</v>
      </c>
      <c r="Y20" s="132">
        <f>IF(SER_hh_emih!Y20=0,0,SER_hh_emih!Y20/SER_summary!Y$26)</f>
        <v>0</v>
      </c>
      <c r="DA20" s="156" t="s">
        <v>556</v>
      </c>
    </row>
    <row r="21" spans="1:105" s="2" customFormat="1" ht="12" customHeight="1" x14ac:dyDescent="0.25">
      <c r="A21" s="131" t="s">
        <v>52</v>
      </c>
      <c r="B21" s="132">
        <f>IF(SER_hh_emih!B21=0,0,SER_hh_emih!B21/SER_summary!B$26)</f>
        <v>0</v>
      </c>
      <c r="C21" s="132">
        <f>IF(SER_hh_emih!C21=0,0,SER_hh_emih!C21/SER_summary!C$26)</f>
        <v>0</v>
      </c>
      <c r="D21" s="132">
        <f>IF(SER_hh_emih!D21=0,0,SER_hh_emih!D21/SER_summary!D$26)</f>
        <v>0</v>
      </c>
      <c r="E21" s="132">
        <f>IF(SER_hh_emih!E21=0,0,SER_hh_emih!E21/SER_summary!E$26)</f>
        <v>0</v>
      </c>
      <c r="F21" s="132">
        <f>IF(SER_hh_emih!F21=0,0,SER_hh_emih!F21/SER_summary!F$26)</f>
        <v>0</v>
      </c>
      <c r="G21" s="132">
        <f>IF(SER_hh_emih!G21=0,0,SER_hh_emih!G21/SER_summary!G$26)</f>
        <v>0</v>
      </c>
      <c r="H21" s="132">
        <f>IF(SER_hh_emih!H21=0,0,SER_hh_emih!H21/SER_summary!H$26)</f>
        <v>5.7243450092218131</v>
      </c>
      <c r="I21" s="132">
        <f>IF(SER_hh_emih!I21=0,0,SER_hh_emih!I21/SER_summary!I$26)</f>
        <v>4.3985435448550332</v>
      </c>
      <c r="J21" s="132">
        <f>IF(SER_hh_emih!J21=0,0,SER_hh_emih!J21/SER_summary!J$26)</f>
        <v>3.9423097118063</v>
      </c>
      <c r="K21" s="132">
        <f>IF(SER_hh_emih!K21=0,0,SER_hh_emih!K21/SER_summary!K$26)</f>
        <v>3.8997391115299136</v>
      </c>
      <c r="L21" s="132">
        <f>IF(SER_hh_emih!L21=0,0,SER_hh_emih!L21/SER_summary!L$26)</f>
        <v>3.9944208781308439</v>
      </c>
      <c r="M21" s="132">
        <f>IF(SER_hh_emih!M21=0,0,SER_hh_emih!M21/SER_summary!M$26)</f>
        <v>3.9140934082191574</v>
      </c>
      <c r="N21" s="132">
        <f>IF(SER_hh_emih!N21=0,0,SER_hh_emih!N21/SER_summary!N$26)</f>
        <v>3.9101320470463743</v>
      </c>
      <c r="O21" s="132">
        <f>IF(SER_hh_emih!O21=0,0,SER_hh_emih!O21/SER_summary!O$26)</f>
        <v>3.9546196101112758</v>
      </c>
      <c r="P21" s="132">
        <f>IF(SER_hh_emih!P21=0,0,SER_hh_emih!P21/SER_summary!P$26)</f>
        <v>3.7713796914359388</v>
      </c>
      <c r="Q21" s="132">
        <f>IF(SER_hh_emih!Q21=0,0,SER_hh_emih!Q21/SER_summary!Q$26)</f>
        <v>3.7869152971593953</v>
      </c>
      <c r="R21" s="132">
        <f>IF(SER_hh_emih!R21=0,0,SER_hh_emih!R21/SER_summary!R$26)</f>
        <v>3.8516209680124738</v>
      </c>
      <c r="S21" s="132">
        <f>IF(SER_hh_emih!S21=0,0,SER_hh_emih!S21/SER_summary!S$26)</f>
        <v>3.8610260765644906</v>
      </c>
      <c r="T21" s="132">
        <f>IF(SER_hh_emih!T21=0,0,SER_hh_emih!T21/SER_summary!T$26)</f>
        <v>3.7122407935619259</v>
      </c>
      <c r="U21" s="132">
        <f>IF(SER_hh_emih!U21=0,0,SER_hh_emih!U21/SER_summary!U$26)</f>
        <v>3.7238544089347858</v>
      </c>
      <c r="V21" s="132">
        <f>IF(SER_hh_emih!V21=0,0,SER_hh_emih!V21/SER_summary!V$26)</f>
        <v>3.2212142890237625</v>
      </c>
      <c r="W21" s="132">
        <f>IF(SER_hh_emih!W21=0,0,SER_hh_emih!W21/SER_summary!W$26)</f>
        <v>3.0422565419611347</v>
      </c>
      <c r="X21" s="132">
        <f>IF(SER_hh_emih!X21=0,0,SER_hh_emih!X21/SER_summary!X$26)</f>
        <v>3.3266379652211406</v>
      </c>
      <c r="Y21" s="132">
        <f>IF(SER_hh_emih!Y21=0,0,SER_hh_emih!Y21/SER_summary!Y$26)</f>
        <v>3.3990339874603595</v>
      </c>
      <c r="DA21" s="156" t="s">
        <v>557</v>
      </c>
    </row>
    <row r="22" spans="1:105" ht="12" customHeight="1" x14ac:dyDescent="0.25">
      <c r="A22" s="131" t="s">
        <v>161</v>
      </c>
      <c r="B22" s="132">
        <f>IF(SER_hh_emih!B22=0,0,SER_hh_emih!B22/SER_summary!B$26)</f>
        <v>7.7597955929860527</v>
      </c>
      <c r="C22" s="132">
        <f>IF(SER_hh_emih!C22=0,0,SER_hh_emih!C22/SER_summary!C$26)</f>
        <v>7.7397020484462482</v>
      </c>
      <c r="D22" s="132">
        <f>IF(SER_hh_emih!D22=0,0,SER_hh_emih!D22/SER_summary!D$26)</f>
        <v>7.7030120859473525</v>
      </c>
      <c r="E22" s="132">
        <f>IF(SER_hh_emih!E22=0,0,SER_hh_emih!E22/SER_summary!E$26)</f>
        <v>7.5967482157888782</v>
      </c>
      <c r="F22" s="132">
        <f>IF(SER_hh_emih!F22=0,0,SER_hh_emih!F22/SER_summary!F$26)</f>
        <v>7.5524123058331343</v>
      </c>
      <c r="G22" s="132">
        <f>IF(SER_hh_emih!G22=0,0,SER_hh_emih!G22/SER_summary!G$26)</f>
        <v>7.4776288044924311</v>
      </c>
      <c r="H22" s="132">
        <f>IF(SER_hh_emih!H22=0,0,SER_hh_emih!H22/SER_summary!H$26)</f>
        <v>7.2438224463322163</v>
      </c>
      <c r="I22" s="132">
        <f>IF(SER_hh_emih!I22=0,0,SER_hh_emih!I22/SER_summary!I$26)</f>
        <v>7.0033035888049788</v>
      </c>
      <c r="J22" s="132">
        <f>IF(SER_hh_emih!J22=0,0,SER_hh_emih!J22/SER_summary!J$26)</f>
        <v>6.8344348896987475</v>
      </c>
      <c r="K22" s="132">
        <f>IF(SER_hh_emih!K22=0,0,SER_hh_emih!K22/SER_summary!K$26)</f>
        <v>6.7322690793444835</v>
      </c>
      <c r="L22" s="132">
        <f>IF(SER_hh_emih!L22=0,0,SER_hh_emih!L22/SER_summary!L$26)</f>
        <v>6.5984914303296867</v>
      </c>
      <c r="M22" s="132">
        <f>IF(SER_hh_emih!M22=0,0,SER_hh_emih!M22/SER_summary!M$26)</f>
        <v>6.5117190380160093</v>
      </c>
      <c r="N22" s="132">
        <f>IF(SER_hh_emih!N22=0,0,SER_hh_emih!N22/SER_summary!N$26)</f>
        <v>6.4688086679885126</v>
      </c>
      <c r="O22" s="132">
        <f>IF(SER_hh_emih!O22=0,0,SER_hh_emih!O22/SER_summary!O$26)</f>
        <v>6.2572207780199252</v>
      </c>
      <c r="P22" s="132">
        <f>IF(SER_hh_emih!P22=0,0,SER_hh_emih!P22/SER_summary!P$26)</f>
        <v>6.1946754513597453</v>
      </c>
      <c r="Q22" s="132">
        <f>IF(SER_hh_emih!Q22=0,0,SER_hh_emih!Q22/SER_summary!Q$26)</f>
        <v>6.1107679125476233</v>
      </c>
      <c r="R22" s="132">
        <f>IF(SER_hh_emih!R22=0,0,SER_hh_emih!R22/SER_summary!R$26)</f>
        <v>6.0251345530513865</v>
      </c>
      <c r="S22" s="132">
        <f>IF(SER_hh_emih!S22=0,0,SER_hh_emih!S22/SER_summary!S$26)</f>
        <v>5.4815288466602885</v>
      </c>
      <c r="T22" s="132">
        <f>IF(SER_hh_emih!T22=0,0,SER_hh_emih!T22/SER_summary!T$26)</f>
        <v>5.5698080762951099</v>
      </c>
      <c r="U22" s="132">
        <f>IF(SER_hh_emih!U22=0,0,SER_hh_emih!U22/SER_summary!U$26)</f>
        <v>5.3226048689907257</v>
      </c>
      <c r="V22" s="132">
        <f>IF(SER_hh_emih!V22=0,0,SER_hh_emih!V22/SER_summary!V$26)</f>
        <v>4.7462797479156968</v>
      </c>
      <c r="W22" s="132">
        <f>IF(SER_hh_emih!W22=0,0,SER_hh_emih!W22/SER_summary!W$26)</f>
        <v>5.0944690814165803</v>
      </c>
      <c r="X22" s="132">
        <f>IF(SER_hh_emih!X22=0,0,SER_hh_emih!X22/SER_summary!X$26)</f>
        <v>5.5790752532289964</v>
      </c>
      <c r="Y22" s="132">
        <f>IF(SER_hh_emih!Y22=0,0,SER_hh_emih!Y22/SER_summary!Y$26)</f>
        <v>5.6231889364617018</v>
      </c>
      <c r="DA22" s="156" t="s">
        <v>558</v>
      </c>
    </row>
    <row r="23" spans="1:105" ht="12" customHeight="1" x14ac:dyDescent="0.25">
      <c r="A23" s="131" t="s">
        <v>149</v>
      </c>
      <c r="B23" s="132">
        <f>IF(SER_hh_emih!B23=0,0,SER_hh_emih!B23/SER_summary!B$26)</f>
        <v>0</v>
      </c>
      <c r="C23" s="132">
        <f>IF(SER_hh_emih!C23=0,0,SER_hh_emih!C23/SER_summary!C$26)</f>
        <v>0</v>
      </c>
      <c r="D23" s="132">
        <f>IF(SER_hh_emih!D23=0,0,SER_hh_emih!D23/SER_summary!D$26)</f>
        <v>0</v>
      </c>
      <c r="E23" s="132">
        <f>IF(SER_hh_emih!E23=0,0,SER_hh_emih!E23/SER_summary!E$26)</f>
        <v>0</v>
      </c>
      <c r="F23" s="132">
        <f>IF(SER_hh_emih!F23=0,0,SER_hh_emih!F23/SER_summary!F$26)</f>
        <v>0</v>
      </c>
      <c r="G23" s="132">
        <f>IF(SER_hh_emih!G23=0,0,SER_hh_emih!G23/SER_summary!G$26)</f>
        <v>0</v>
      </c>
      <c r="H23" s="132">
        <f>IF(SER_hh_emih!H23=0,0,SER_hh_emih!H23/SER_summary!H$26)</f>
        <v>0</v>
      </c>
      <c r="I23" s="132">
        <f>IF(SER_hh_emih!I23=0,0,SER_hh_emih!I23/SER_summary!I$26)</f>
        <v>0</v>
      </c>
      <c r="J23" s="132">
        <f>IF(SER_hh_emih!J23=0,0,SER_hh_emih!J23/SER_summary!J$26)</f>
        <v>0</v>
      </c>
      <c r="K23" s="132">
        <f>IF(SER_hh_emih!K23=0,0,SER_hh_emih!K23/SER_summary!K$26)</f>
        <v>0</v>
      </c>
      <c r="L23" s="132">
        <f>IF(SER_hh_emih!L23=0,0,SER_hh_emih!L23/SER_summary!L$26)</f>
        <v>0</v>
      </c>
      <c r="M23" s="132">
        <f>IF(SER_hh_emih!M23=0,0,SER_hh_emih!M23/SER_summary!M$26)</f>
        <v>0</v>
      </c>
      <c r="N23" s="132">
        <f>IF(SER_hh_emih!N23=0,0,SER_hh_emih!N23/SER_summary!N$26)</f>
        <v>0</v>
      </c>
      <c r="O23" s="132">
        <f>IF(SER_hh_emih!O23=0,0,SER_hh_emih!O23/SER_summary!O$26)</f>
        <v>0</v>
      </c>
      <c r="P23" s="132">
        <f>IF(SER_hh_emih!P23=0,0,SER_hh_emih!P23/SER_summary!P$26)</f>
        <v>0</v>
      </c>
      <c r="Q23" s="132">
        <f>IF(SER_hh_emih!Q23=0,0,SER_hh_emih!Q23/SER_summary!Q$26)</f>
        <v>0</v>
      </c>
      <c r="R23" s="132">
        <f>IF(SER_hh_emih!R23=0,0,SER_hh_emih!R23/SER_summary!R$26)</f>
        <v>0</v>
      </c>
      <c r="S23" s="132">
        <f>IF(SER_hh_emih!S23=0,0,SER_hh_emih!S23/SER_summary!S$26)</f>
        <v>0</v>
      </c>
      <c r="T23" s="132">
        <f>IF(SER_hh_emih!T23=0,0,SER_hh_emih!T23/SER_summary!T$26)</f>
        <v>0</v>
      </c>
      <c r="U23" s="132">
        <f>IF(SER_hh_emih!U23=0,0,SER_hh_emih!U23/SER_summary!U$26)</f>
        <v>0</v>
      </c>
      <c r="V23" s="132">
        <f>IF(SER_hh_emih!V23=0,0,SER_hh_emih!V23/SER_summary!V$26)</f>
        <v>0</v>
      </c>
      <c r="W23" s="132">
        <f>IF(SER_hh_emih!W23=0,0,SER_hh_emih!W23/SER_summary!W$26)</f>
        <v>0</v>
      </c>
      <c r="X23" s="132">
        <f>IF(SER_hh_emih!X23=0,0,SER_hh_emih!X23/SER_summary!X$26)</f>
        <v>0</v>
      </c>
      <c r="Y23" s="132">
        <f>IF(SER_hh_emih!Y23=0,0,SER_hh_emih!Y23/SER_summary!Y$26)</f>
        <v>0</v>
      </c>
      <c r="DA23" s="156" t="s">
        <v>559</v>
      </c>
    </row>
    <row r="24" spans="1:105" ht="12" customHeight="1" x14ac:dyDescent="0.25">
      <c r="A24" s="131" t="s">
        <v>128</v>
      </c>
      <c r="B24" s="132">
        <f>IF(SER_hh_emih!B24=0,0,SER_hh_emih!B24/SER_summary!B$26)</f>
        <v>0</v>
      </c>
      <c r="C24" s="132">
        <f>IF(SER_hh_emih!C24=0,0,SER_hh_emih!C24/SER_summary!C$26)</f>
        <v>0</v>
      </c>
      <c r="D24" s="132">
        <f>IF(SER_hh_emih!D24=0,0,SER_hh_emih!D24/SER_summary!D$26)</f>
        <v>0</v>
      </c>
      <c r="E24" s="132">
        <f>IF(SER_hh_emih!E24=0,0,SER_hh_emih!E24/SER_summary!E$26)</f>
        <v>0</v>
      </c>
      <c r="F24" s="132">
        <f>IF(SER_hh_emih!F24=0,0,SER_hh_emih!F24/SER_summary!F$26)</f>
        <v>0</v>
      </c>
      <c r="G24" s="132">
        <f>IF(SER_hh_emih!G24=0,0,SER_hh_emih!G24/SER_summary!G$26)</f>
        <v>0</v>
      </c>
      <c r="H24" s="132">
        <f>IF(SER_hh_emih!H24=0,0,SER_hh_emih!H24/SER_summary!H$26)</f>
        <v>0</v>
      </c>
      <c r="I24" s="132">
        <f>IF(SER_hh_emih!I24=0,0,SER_hh_emih!I24/SER_summary!I$26)</f>
        <v>0</v>
      </c>
      <c r="J24" s="132">
        <f>IF(SER_hh_emih!J24=0,0,SER_hh_emih!J24/SER_summary!J$26)</f>
        <v>0</v>
      </c>
      <c r="K24" s="132">
        <f>IF(SER_hh_emih!K24=0,0,SER_hh_emih!K24/SER_summary!K$26)</f>
        <v>0</v>
      </c>
      <c r="L24" s="132">
        <f>IF(SER_hh_emih!L24=0,0,SER_hh_emih!L24/SER_summary!L$26)</f>
        <v>0</v>
      </c>
      <c r="M24" s="132">
        <f>IF(SER_hh_emih!M24=0,0,SER_hh_emih!M24/SER_summary!M$26)</f>
        <v>0</v>
      </c>
      <c r="N24" s="132">
        <f>IF(SER_hh_emih!N24=0,0,SER_hh_emih!N24/SER_summary!N$26)</f>
        <v>0</v>
      </c>
      <c r="O24" s="132">
        <f>IF(SER_hh_emih!O24=0,0,SER_hh_emih!O24/SER_summary!O$26)</f>
        <v>0</v>
      </c>
      <c r="P24" s="132">
        <f>IF(SER_hh_emih!P24=0,0,SER_hh_emih!P24/SER_summary!P$26)</f>
        <v>0</v>
      </c>
      <c r="Q24" s="132">
        <f>IF(SER_hh_emih!Q24=0,0,SER_hh_emih!Q24/SER_summary!Q$26)</f>
        <v>0</v>
      </c>
      <c r="R24" s="132">
        <f>IF(SER_hh_emih!R24=0,0,SER_hh_emih!R24/SER_summary!R$26)</f>
        <v>0</v>
      </c>
      <c r="S24" s="132">
        <f>IF(SER_hh_emih!S24=0,0,SER_hh_emih!S24/SER_summary!S$26)</f>
        <v>0</v>
      </c>
      <c r="T24" s="132">
        <f>IF(SER_hh_emih!T24=0,0,SER_hh_emih!T24/SER_summary!T$26)</f>
        <v>0</v>
      </c>
      <c r="U24" s="132">
        <f>IF(SER_hh_emih!U24=0,0,SER_hh_emih!U24/SER_summary!U$26)</f>
        <v>0</v>
      </c>
      <c r="V24" s="132">
        <f>IF(SER_hh_emih!V24=0,0,SER_hh_emih!V24/SER_summary!V$26)</f>
        <v>0</v>
      </c>
      <c r="W24" s="132">
        <f>IF(SER_hh_emih!W24=0,0,SER_hh_emih!W24/SER_summary!W$26)</f>
        <v>0</v>
      </c>
      <c r="X24" s="132">
        <f>IF(SER_hh_emih!X24=0,0,SER_hh_emih!X24/SER_summary!X$26)</f>
        <v>0</v>
      </c>
      <c r="Y24" s="132">
        <f>IF(SER_hh_emih!Y24=0,0,SER_hh_emih!Y24/SER_summary!Y$26)</f>
        <v>0</v>
      </c>
      <c r="DA24" s="156" t="s">
        <v>560</v>
      </c>
    </row>
    <row r="25" spans="1:105" ht="12" customHeight="1" x14ac:dyDescent="0.25">
      <c r="A25" s="131" t="s">
        <v>162</v>
      </c>
      <c r="B25" s="132">
        <f>IF(SER_hh_emih!B25=0,0,SER_hh_emih!B25/SER_summary!B$26)</f>
        <v>0</v>
      </c>
      <c r="C25" s="132">
        <f>IF(SER_hh_emih!C25=0,0,SER_hh_emih!C25/SER_summary!C$26)</f>
        <v>0</v>
      </c>
      <c r="D25" s="132">
        <f>IF(SER_hh_emih!D25=0,0,SER_hh_emih!D25/SER_summary!D$26)</f>
        <v>0</v>
      </c>
      <c r="E25" s="132">
        <f>IF(SER_hh_emih!E25=0,0,SER_hh_emih!E25/SER_summary!E$26)</f>
        <v>0</v>
      </c>
      <c r="F25" s="132">
        <f>IF(SER_hh_emih!F25=0,0,SER_hh_emih!F25/SER_summary!F$26)</f>
        <v>0</v>
      </c>
      <c r="G25" s="132">
        <f>IF(SER_hh_emih!G25=0,0,SER_hh_emih!G25/SER_summary!G$26)</f>
        <v>0</v>
      </c>
      <c r="H25" s="132">
        <f>IF(SER_hh_emih!H25=0,0,SER_hh_emih!H25/SER_summary!H$26)</f>
        <v>0</v>
      </c>
      <c r="I25" s="132">
        <f>IF(SER_hh_emih!I25=0,0,SER_hh_emih!I25/SER_summary!I$26)</f>
        <v>0</v>
      </c>
      <c r="J25" s="132">
        <f>IF(SER_hh_emih!J25=0,0,SER_hh_emih!J25/SER_summary!J$26)</f>
        <v>0</v>
      </c>
      <c r="K25" s="132">
        <f>IF(SER_hh_emih!K25=0,0,SER_hh_emih!K25/SER_summary!K$26)</f>
        <v>0</v>
      </c>
      <c r="L25" s="132">
        <f>IF(SER_hh_emih!L25=0,0,SER_hh_emih!L25/SER_summary!L$26)</f>
        <v>0</v>
      </c>
      <c r="M25" s="132">
        <f>IF(SER_hh_emih!M25=0,0,SER_hh_emih!M25/SER_summary!M$26)</f>
        <v>0</v>
      </c>
      <c r="N25" s="132">
        <f>IF(SER_hh_emih!N25=0,0,SER_hh_emih!N25/SER_summary!N$26)</f>
        <v>0</v>
      </c>
      <c r="O25" s="132">
        <f>IF(SER_hh_emih!O25=0,0,SER_hh_emih!O25/SER_summary!O$26)</f>
        <v>0</v>
      </c>
      <c r="P25" s="132">
        <f>IF(SER_hh_emih!P25=0,0,SER_hh_emih!P25/SER_summary!P$26)</f>
        <v>0</v>
      </c>
      <c r="Q25" s="132">
        <f>IF(SER_hh_emih!Q25=0,0,SER_hh_emih!Q25/SER_summary!Q$26)</f>
        <v>0</v>
      </c>
      <c r="R25" s="132">
        <f>IF(SER_hh_emih!R25=0,0,SER_hh_emih!R25/SER_summary!R$26)</f>
        <v>0</v>
      </c>
      <c r="S25" s="132">
        <f>IF(SER_hh_emih!S25=0,0,SER_hh_emih!S25/SER_summary!S$26)</f>
        <v>0</v>
      </c>
      <c r="T25" s="132">
        <f>IF(SER_hh_emih!T25=0,0,SER_hh_emih!T25/SER_summary!T$26)</f>
        <v>0</v>
      </c>
      <c r="U25" s="132">
        <f>IF(SER_hh_emih!U25=0,0,SER_hh_emih!U25/SER_summary!U$26)</f>
        <v>0</v>
      </c>
      <c r="V25" s="132">
        <f>IF(SER_hh_emih!V25=0,0,SER_hh_emih!V25/SER_summary!V$26)</f>
        <v>0</v>
      </c>
      <c r="W25" s="132">
        <f>IF(SER_hh_emih!W25=0,0,SER_hh_emih!W25/SER_summary!W$26)</f>
        <v>0</v>
      </c>
      <c r="X25" s="132">
        <f>IF(SER_hh_emih!X25=0,0,SER_hh_emih!X25/SER_summary!X$26)</f>
        <v>0</v>
      </c>
      <c r="Y25" s="132">
        <f>IF(SER_hh_emih!Y25=0,0,SER_hh_emih!Y25/SER_summary!Y$26)</f>
        <v>0</v>
      </c>
      <c r="DA25" s="156" t="s">
        <v>561</v>
      </c>
    </row>
    <row r="26" spans="1:105" ht="12" customHeight="1" x14ac:dyDescent="0.25">
      <c r="A26" s="131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X26" s="65">
        <f>IF(SER_hh_emih!X26=0,0,SER_hh_emih!X26/SER_summary!X$26)</f>
        <v>0</v>
      </c>
      <c r="Y26" s="65">
        <f>IF(SER_hh_emih!Y26=0,0,SER_hh_emih!Y26/SER_summary!Y$26)</f>
        <v>0</v>
      </c>
      <c r="DA26" s="109" t="s">
        <v>562</v>
      </c>
    </row>
    <row r="27" spans="1:105" ht="12" customHeight="1" x14ac:dyDescent="0.25">
      <c r="A27" s="144" t="s">
        <v>86</v>
      </c>
      <c r="B27" s="145">
        <f>IF(SER_hh_emih!B27=0,0,SER_hh_emih!B27/SER_summary!B$26)</f>
        <v>0</v>
      </c>
      <c r="C27" s="145">
        <f>IF(SER_hh_emih!C27=0,0,SER_hh_emih!C27/SER_summary!C$26)</f>
        <v>0</v>
      </c>
      <c r="D27" s="145">
        <f>IF(SER_hh_emih!D27=0,0,SER_hh_emih!D27/SER_summary!D$26)</f>
        <v>0</v>
      </c>
      <c r="E27" s="145">
        <f>IF(SER_hh_emih!E27=0,0,SER_hh_emih!E27/SER_summary!E$26)</f>
        <v>0</v>
      </c>
      <c r="F27" s="145">
        <f>IF(SER_hh_emih!F27=0,0,SER_hh_emih!F27/SER_summary!F$26)</f>
        <v>0</v>
      </c>
      <c r="G27" s="145">
        <f>IF(SER_hh_emih!G27=0,0,SER_hh_emih!G27/SER_summary!G$26)</f>
        <v>0</v>
      </c>
      <c r="H27" s="145">
        <f>IF(SER_hh_emih!H27=0,0,SER_hh_emih!H27/SER_summary!H$26)</f>
        <v>0</v>
      </c>
      <c r="I27" s="145">
        <f>IF(SER_hh_emih!I27=0,0,SER_hh_emih!I27/SER_summary!I$26)</f>
        <v>0</v>
      </c>
      <c r="J27" s="145">
        <f>IF(SER_hh_emih!J27=0,0,SER_hh_emih!J27/SER_summary!J$26)</f>
        <v>0</v>
      </c>
      <c r="K27" s="145">
        <f>IF(SER_hh_emih!K27=0,0,SER_hh_emih!K27/SER_summary!K$26)</f>
        <v>0</v>
      </c>
      <c r="L27" s="145">
        <f>IF(SER_hh_emih!L27=0,0,SER_hh_emih!L27/SER_summary!L$26)</f>
        <v>0</v>
      </c>
      <c r="M27" s="145">
        <f>IF(SER_hh_emih!M27=0,0,SER_hh_emih!M27/SER_summary!M$26)</f>
        <v>0</v>
      </c>
      <c r="N27" s="145">
        <f>IF(SER_hh_emih!N27=0,0,SER_hh_emih!N27/SER_summary!N$26)</f>
        <v>0</v>
      </c>
      <c r="O27" s="145">
        <f>IF(SER_hh_emih!O27=0,0,SER_hh_emih!O27/SER_summary!O$26)</f>
        <v>0</v>
      </c>
      <c r="P27" s="145">
        <f>IF(SER_hh_emih!P27=0,0,SER_hh_emih!P27/SER_summary!P$26)</f>
        <v>0</v>
      </c>
      <c r="Q27" s="145">
        <f>IF(SER_hh_emih!Q27=0,0,SER_hh_emih!Q27/SER_summary!Q$26)</f>
        <v>0</v>
      </c>
      <c r="R27" s="145">
        <f>IF(SER_hh_emih!R27=0,0,SER_hh_emih!R27/SER_summary!R$26)</f>
        <v>0</v>
      </c>
      <c r="S27" s="145">
        <f>IF(SER_hh_emih!S27=0,0,SER_hh_emih!S27/SER_summary!S$26)</f>
        <v>0</v>
      </c>
      <c r="T27" s="145">
        <f>IF(SER_hh_emih!T27=0,0,SER_hh_emih!T27/SER_summary!T$26)</f>
        <v>0</v>
      </c>
      <c r="U27" s="145">
        <f>IF(SER_hh_emih!U27=0,0,SER_hh_emih!U27/SER_summary!U$26)</f>
        <v>0</v>
      </c>
      <c r="V27" s="145">
        <f>IF(SER_hh_emih!V27=0,0,SER_hh_emih!V27/SER_summary!V$26)</f>
        <v>0</v>
      </c>
      <c r="W27" s="145">
        <f>IF(SER_hh_emih!W27=0,0,SER_hh_emih!W27/SER_summary!W$26)</f>
        <v>0</v>
      </c>
      <c r="X27" s="145">
        <f>IF(SER_hh_emih!X27=0,0,SER_hh_emih!X27/SER_summary!X$26)</f>
        <v>0</v>
      </c>
      <c r="Y27" s="145">
        <f>IF(SER_hh_emih!Y27=0,0,SER_hh_emih!Y27/SER_summary!Y$26)</f>
        <v>0</v>
      </c>
      <c r="DA27" s="158" t="s">
        <v>563</v>
      </c>
    </row>
    <row r="28" spans="1:105" ht="12" customHeight="1" x14ac:dyDescent="0.25">
      <c r="A28" s="78" t="s">
        <v>85</v>
      </c>
      <c r="B28" s="146">
        <f>IF(SER_hh_emih!B28=0,0,SER_hh_emih!B28/SER_summary!B$26)</f>
        <v>0</v>
      </c>
      <c r="C28" s="146">
        <f>IF(SER_hh_emih!C28=0,0,SER_hh_emih!C28/SER_summary!C$26)</f>
        <v>0</v>
      </c>
      <c r="D28" s="146">
        <f>IF(SER_hh_emih!D28=0,0,SER_hh_emih!D28/SER_summary!D$26)</f>
        <v>0</v>
      </c>
      <c r="E28" s="146">
        <f>IF(SER_hh_emih!E28=0,0,SER_hh_emih!E28/SER_summary!E$26)</f>
        <v>0</v>
      </c>
      <c r="F28" s="146">
        <f>IF(SER_hh_emih!F28=0,0,SER_hh_emih!F28/SER_summary!F$26)</f>
        <v>0</v>
      </c>
      <c r="G28" s="146">
        <f>IF(SER_hh_emih!G28=0,0,SER_hh_emih!G28/SER_summary!G$26)</f>
        <v>0</v>
      </c>
      <c r="H28" s="146">
        <f>IF(SER_hh_emih!H28=0,0,SER_hh_emih!H28/SER_summary!H$26)</f>
        <v>0</v>
      </c>
      <c r="I28" s="146">
        <f>IF(SER_hh_emih!I28=0,0,SER_hh_emih!I28/SER_summary!I$26)</f>
        <v>0</v>
      </c>
      <c r="J28" s="146">
        <f>IF(SER_hh_emih!J28=0,0,SER_hh_emih!J28/SER_summary!J$26)</f>
        <v>0</v>
      </c>
      <c r="K28" s="146">
        <f>IF(SER_hh_emih!K28=0,0,SER_hh_emih!K28/SER_summary!K$26)</f>
        <v>0</v>
      </c>
      <c r="L28" s="146">
        <f>IF(SER_hh_emih!L28=0,0,SER_hh_emih!L28/SER_summary!L$26)</f>
        <v>0</v>
      </c>
      <c r="M28" s="146">
        <f>IF(SER_hh_emih!M28=0,0,SER_hh_emih!M28/SER_summary!M$26)</f>
        <v>0</v>
      </c>
      <c r="N28" s="146">
        <f>IF(SER_hh_emih!N28=0,0,SER_hh_emih!N28/SER_summary!N$26)</f>
        <v>0</v>
      </c>
      <c r="O28" s="146">
        <f>IF(SER_hh_emih!O28=0,0,SER_hh_emih!O28/SER_summary!O$26)</f>
        <v>0</v>
      </c>
      <c r="P28" s="146">
        <f>IF(SER_hh_emih!P28=0,0,SER_hh_emih!P28/SER_summary!P$26)</f>
        <v>0</v>
      </c>
      <c r="Q28" s="146">
        <f>IF(SER_hh_emih!Q28=0,0,SER_hh_emih!Q28/SER_summary!Q$26)</f>
        <v>0</v>
      </c>
      <c r="R28" s="146">
        <f>IF(SER_hh_emih!R28=0,0,SER_hh_emih!R28/SER_summary!R$26)</f>
        <v>0</v>
      </c>
      <c r="S28" s="146">
        <f>IF(SER_hh_emih!S28=0,0,SER_hh_emih!S28/SER_summary!S$26)</f>
        <v>0</v>
      </c>
      <c r="T28" s="146">
        <f>IF(SER_hh_emih!T28=0,0,SER_hh_emih!T28/SER_summary!T$26)</f>
        <v>0</v>
      </c>
      <c r="U28" s="146">
        <f>IF(SER_hh_emih!U28=0,0,SER_hh_emih!U28/SER_summary!U$26)</f>
        <v>0</v>
      </c>
      <c r="V28" s="146">
        <f>IF(SER_hh_emih!V28=0,0,SER_hh_emih!V28/SER_summary!V$26)</f>
        <v>0</v>
      </c>
      <c r="W28" s="146">
        <f>IF(SER_hh_emih!W28=0,0,SER_hh_emih!W28/SER_summary!W$26)</f>
        <v>0</v>
      </c>
      <c r="X28" s="146">
        <f>IF(SER_hh_emih!X28=0,0,SER_hh_emih!X28/SER_summary!X$26)</f>
        <v>0</v>
      </c>
      <c r="Y28" s="146">
        <f>IF(SER_hh_emih!Y28=0,0,SER_hh_emih!Y28/SER_summary!Y$26)</f>
        <v>0</v>
      </c>
      <c r="DA28" s="159"/>
    </row>
    <row r="29" spans="1:105" ht="12.95" customHeight="1" x14ac:dyDescent="0.25">
      <c r="A29" s="129" t="s">
        <v>34</v>
      </c>
      <c r="B29" s="130">
        <f>IF(SER_hh_emih!B29=0,0,SER_hh_emih!B29/SER_summary!B$26)</f>
        <v>0</v>
      </c>
      <c r="C29" s="130">
        <f>IF(SER_hh_emih!C29=0,0,SER_hh_emih!C29/SER_summary!C$26)</f>
        <v>0</v>
      </c>
      <c r="D29" s="130">
        <f>IF(SER_hh_emih!D29=0,0,SER_hh_emih!D29/SER_summary!D$26)</f>
        <v>0</v>
      </c>
      <c r="E29" s="130">
        <f>IF(SER_hh_emih!E29=0,0,SER_hh_emih!E29/SER_summary!E$26)</f>
        <v>0</v>
      </c>
      <c r="F29" s="130">
        <f>IF(SER_hh_emih!F29=0,0,SER_hh_emih!F29/SER_summary!F$26)</f>
        <v>0</v>
      </c>
      <c r="G29" s="130">
        <f>IF(SER_hh_emih!G29=0,0,SER_hh_emih!G29/SER_summary!G$26)</f>
        <v>0</v>
      </c>
      <c r="H29" s="130">
        <f>IF(SER_hh_emih!H29=0,0,SER_hh_emih!H29/SER_summary!H$26)</f>
        <v>0.92963496429833647</v>
      </c>
      <c r="I29" s="130">
        <f>IF(SER_hh_emih!I29=0,0,SER_hh_emih!I29/SER_summary!I$26)</f>
        <v>0.89165299349553151</v>
      </c>
      <c r="J29" s="130">
        <f>IF(SER_hh_emih!J29=0,0,SER_hh_emih!J29/SER_summary!J$26)</f>
        <v>1.0229719929889531</v>
      </c>
      <c r="K29" s="130">
        <f>IF(SER_hh_emih!K29=0,0,SER_hh_emih!K29/SER_summary!K$26)</f>
        <v>0.81334398958977583</v>
      </c>
      <c r="L29" s="130">
        <f>IF(SER_hh_emih!L29=0,0,SER_hh_emih!L29/SER_summary!L$26)</f>
        <v>0.74387420139643823</v>
      </c>
      <c r="M29" s="130">
        <f>IF(SER_hh_emih!M29=0,0,SER_hh_emih!M29/SER_summary!M$26)</f>
        <v>0.94707539125278928</v>
      </c>
      <c r="N29" s="130">
        <f>IF(SER_hh_emih!N29=0,0,SER_hh_emih!N29/SER_summary!N$26)</f>
        <v>0.99393796438959114</v>
      </c>
      <c r="O29" s="130">
        <f>IF(SER_hh_emih!O29=0,0,SER_hh_emih!O29/SER_summary!O$26)</f>
        <v>0.9155441003005127</v>
      </c>
      <c r="P29" s="130">
        <f>IF(SER_hh_emih!P29=0,0,SER_hh_emih!P29/SER_summary!P$26)</f>
        <v>0.77920311494965577</v>
      </c>
      <c r="Q29" s="130">
        <f>IF(SER_hh_emih!Q29=0,0,SER_hh_emih!Q29/SER_summary!Q$26)</f>
        <v>0.9700485339558339</v>
      </c>
      <c r="R29" s="130">
        <f>IF(SER_hh_emih!R29=0,0,SER_hh_emih!R29/SER_summary!R$26)</f>
        <v>0.94933279669669268</v>
      </c>
      <c r="S29" s="130">
        <f>IF(SER_hh_emih!S29=0,0,SER_hh_emih!S29/SER_summary!S$26)</f>
        <v>1.305359207064217</v>
      </c>
      <c r="T29" s="130">
        <f>IF(SER_hh_emih!T29=0,0,SER_hh_emih!T29/SER_summary!T$26)</f>
        <v>1.3621678831548774</v>
      </c>
      <c r="U29" s="130">
        <f>IF(SER_hh_emih!U29=0,0,SER_hh_emih!U29/SER_summary!U$26)</f>
        <v>1.6832378023392212</v>
      </c>
      <c r="V29" s="130">
        <f>IF(SER_hh_emih!V29=0,0,SER_hh_emih!V29/SER_summary!V$26)</f>
        <v>1.1950616639919849</v>
      </c>
      <c r="W29" s="130">
        <f>IF(SER_hh_emih!W29=0,0,SER_hh_emih!W29/SER_summary!W$26)</f>
        <v>1.0154403468798097</v>
      </c>
      <c r="X29" s="130">
        <f>IF(SER_hh_emih!X29=0,0,SER_hh_emih!X29/SER_summary!X$26)</f>
        <v>1.1946116171144692</v>
      </c>
      <c r="Y29" s="130">
        <f>IF(SER_hh_emih!Y29=0,0,SER_hh_emih!Y29/SER_summary!Y$26)</f>
        <v>1.0424260120414566</v>
      </c>
      <c r="DA29" s="155" t="s">
        <v>564</v>
      </c>
    </row>
    <row r="30" spans="1:105" ht="12" customHeight="1" x14ac:dyDescent="0.25">
      <c r="A30" s="131" t="s">
        <v>52</v>
      </c>
      <c r="B30" s="132">
        <f>IF(SER_hh_emih!B30=0,0,SER_hh_emih!B30/SER_summary!B$26)</f>
        <v>0</v>
      </c>
      <c r="C30" s="132">
        <f>IF(SER_hh_emih!C30=0,0,SER_hh_emih!C30/SER_summary!C$26)</f>
        <v>0</v>
      </c>
      <c r="D30" s="132">
        <f>IF(SER_hh_emih!D30=0,0,SER_hh_emih!D30/SER_summary!D$26)</f>
        <v>0</v>
      </c>
      <c r="E30" s="132">
        <f>IF(SER_hh_emih!E30=0,0,SER_hh_emih!E30/SER_summary!E$26)</f>
        <v>0</v>
      </c>
      <c r="F30" s="132">
        <f>IF(SER_hh_emih!F30=0,0,SER_hh_emih!F30/SER_summary!F$26)</f>
        <v>0</v>
      </c>
      <c r="G30" s="132">
        <f>IF(SER_hh_emih!G30=0,0,SER_hh_emih!G30/SER_summary!G$26)</f>
        <v>0</v>
      </c>
      <c r="H30" s="132">
        <f>IF(SER_hh_emih!H30=0,0,SER_hh_emih!H30/SER_summary!H$26)</f>
        <v>6.8651067423044179</v>
      </c>
      <c r="I30" s="132">
        <f>IF(SER_hh_emih!I30=0,0,SER_hh_emih!I30/SER_summary!I$26)</f>
        <v>5.2487192857349685</v>
      </c>
      <c r="J30" s="132">
        <f>IF(SER_hh_emih!J30=0,0,SER_hh_emih!J30/SER_summary!J$26)</f>
        <v>5.4768861557303374</v>
      </c>
      <c r="K30" s="132">
        <f>IF(SER_hh_emih!K30=0,0,SER_hh_emih!K30/SER_summary!K$26)</f>
        <v>4.6294634182265773</v>
      </c>
      <c r="L30" s="132">
        <f>IF(SER_hh_emih!L30=0,0,SER_hh_emih!L30/SER_summary!L$26)</f>
        <v>4.2709226321874674</v>
      </c>
      <c r="M30" s="132">
        <f>IF(SER_hh_emih!M30=0,0,SER_hh_emih!M30/SER_summary!M$26)</f>
        <v>5.100733816624758</v>
      </c>
      <c r="N30" s="132">
        <f>IF(SER_hh_emih!N30=0,0,SER_hh_emih!N30/SER_summary!N$26)</f>
        <v>5.2372141116289113</v>
      </c>
      <c r="O30" s="132">
        <f>IF(SER_hh_emih!O30=0,0,SER_hh_emih!O30/SER_summary!O$26)</f>
        <v>4.8383929809690329</v>
      </c>
      <c r="P30" s="132">
        <f>IF(SER_hh_emih!P30=0,0,SER_hh_emih!P30/SER_summary!P$26)</f>
        <v>4.2283238888065728</v>
      </c>
      <c r="Q30" s="132">
        <f>IF(SER_hh_emih!Q30=0,0,SER_hh_emih!Q30/SER_summary!Q$26)</f>
        <v>4.8389726978297363</v>
      </c>
      <c r="R30" s="132">
        <f>IF(SER_hh_emih!R30=0,0,SER_hh_emih!R30/SER_summary!R$26)</f>
        <v>4.3309207008795365</v>
      </c>
      <c r="S30" s="132">
        <f>IF(SER_hh_emih!S30=0,0,SER_hh_emih!S30/SER_summary!S$26)</f>
        <v>5.0149430053298563</v>
      </c>
      <c r="T30" s="132">
        <f>IF(SER_hh_emih!T30=0,0,SER_hh_emih!T30/SER_summary!T$26)</f>
        <v>5.2076098145279461</v>
      </c>
      <c r="U30" s="132">
        <f>IF(SER_hh_emih!U30=0,0,SER_hh_emih!U30/SER_summary!U$26)</f>
        <v>6.5925065899255992</v>
      </c>
      <c r="V30" s="132">
        <f>IF(SER_hh_emih!V30=0,0,SER_hh_emih!V30/SER_summary!V$26)</f>
        <v>4.6594381952984119</v>
      </c>
      <c r="W30" s="132">
        <f>IF(SER_hh_emih!W30=0,0,SER_hh_emih!W30/SER_summary!W$26)</f>
        <v>4.0399201610600635</v>
      </c>
      <c r="X30" s="132">
        <f>IF(SER_hh_emih!X30=0,0,SER_hh_emih!X30/SER_summary!X$26)</f>
        <v>5.1151785676133539</v>
      </c>
      <c r="Y30" s="132">
        <f>IF(SER_hh_emih!Y30=0,0,SER_hh_emih!Y30/SER_summary!Y$26)</f>
        <v>4.7360062381196109</v>
      </c>
      <c r="DA30" s="156" t="s">
        <v>565</v>
      </c>
    </row>
    <row r="31" spans="1:105" ht="12" customHeight="1" x14ac:dyDescent="0.25">
      <c r="A31" s="131" t="s">
        <v>149</v>
      </c>
      <c r="B31" s="132">
        <f>IF(SER_hh_emih!B31=0,0,SER_hh_emih!B31/SER_summary!B$26)</f>
        <v>0</v>
      </c>
      <c r="C31" s="132">
        <f>IF(SER_hh_emih!C31=0,0,SER_hh_emih!C31/SER_summary!C$26)</f>
        <v>0</v>
      </c>
      <c r="D31" s="132">
        <f>IF(SER_hh_emih!D31=0,0,SER_hh_emih!D31/SER_summary!D$26)</f>
        <v>0</v>
      </c>
      <c r="E31" s="132">
        <f>IF(SER_hh_emih!E31=0,0,SER_hh_emih!E31/SER_summary!E$26)</f>
        <v>0</v>
      </c>
      <c r="F31" s="132">
        <f>IF(SER_hh_emih!F31=0,0,SER_hh_emih!F31/SER_summary!F$26)</f>
        <v>0</v>
      </c>
      <c r="G31" s="132">
        <f>IF(SER_hh_emih!G31=0,0,SER_hh_emih!G31/SER_summary!G$26)</f>
        <v>0</v>
      </c>
      <c r="H31" s="132">
        <f>IF(SER_hh_emih!H31=0,0,SER_hh_emih!H31/SER_summary!H$26)</f>
        <v>0</v>
      </c>
      <c r="I31" s="132">
        <f>IF(SER_hh_emih!I31=0,0,SER_hh_emih!I31/SER_summary!I$26)</f>
        <v>0</v>
      </c>
      <c r="J31" s="132">
        <f>IF(SER_hh_emih!J31=0,0,SER_hh_emih!J31/SER_summary!J$26)</f>
        <v>0</v>
      </c>
      <c r="K31" s="132">
        <f>IF(SER_hh_emih!K31=0,0,SER_hh_emih!K31/SER_summary!K$26)</f>
        <v>0</v>
      </c>
      <c r="L31" s="132">
        <f>IF(SER_hh_emih!L31=0,0,SER_hh_emih!L31/SER_summary!L$26)</f>
        <v>0</v>
      </c>
      <c r="M31" s="132">
        <f>IF(SER_hh_emih!M31=0,0,SER_hh_emih!M31/SER_summary!M$26)</f>
        <v>0</v>
      </c>
      <c r="N31" s="132">
        <f>IF(SER_hh_emih!N31=0,0,SER_hh_emih!N31/SER_summary!N$26)</f>
        <v>0</v>
      </c>
      <c r="O31" s="132">
        <f>IF(SER_hh_emih!O31=0,0,SER_hh_emih!O31/SER_summary!O$26)</f>
        <v>0</v>
      </c>
      <c r="P31" s="132">
        <f>IF(SER_hh_emih!P31=0,0,SER_hh_emih!P31/SER_summary!P$26)</f>
        <v>0</v>
      </c>
      <c r="Q31" s="132">
        <f>IF(SER_hh_emih!Q31=0,0,SER_hh_emih!Q31/SER_summary!Q$26)</f>
        <v>0</v>
      </c>
      <c r="R31" s="132">
        <f>IF(SER_hh_emih!R31=0,0,SER_hh_emih!R31/SER_summary!R$26)</f>
        <v>0</v>
      </c>
      <c r="S31" s="132">
        <f>IF(SER_hh_emih!S31=0,0,SER_hh_emih!S31/SER_summary!S$26)</f>
        <v>0</v>
      </c>
      <c r="T31" s="132">
        <f>IF(SER_hh_emih!T31=0,0,SER_hh_emih!T31/SER_summary!T$26)</f>
        <v>0</v>
      </c>
      <c r="U31" s="132">
        <f>IF(SER_hh_emih!U31=0,0,SER_hh_emih!U31/SER_summary!U$26)</f>
        <v>0</v>
      </c>
      <c r="V31" s="132">
        <f>IF(SER_hh_emih!V31=0,0,SER_hh_emih!V31/SER_summary!V$26)</f>
        <v>0</v>
      </c>
      <c r="W31" s="132">
        <f>IF(SER_hh_emih!W31=0,0,SER_hh_emih!W31/SER_summary!W$26)</f>
        <v>0</v>
      </c>
      <c r="X31" s="132">
        <f>IF(SER_hh_emih!X31=0,0,SER_hh_emih!X31/SER_summary!X$26)</f>
        <v>0</v>
      </c>
      <c r="Y31" s="132">
        <f>IF(SER_hh_emih!Y31=0,0,SER_hh_emih!Y31/SER_summary!Y$26)</f>
        <v>0</v>
      </c>
      <c r="DA31" s="156" t="s">
        <v>566</v>
      </c>
    </row>
    <row r="32" spans="1:105" ht="12" customHeight="1" x14ac:dyDescent="0.25">
      <c r="A32" s="131" t="s">
        <v>128</v>
      </c>
      <c r="B32" s="132">
        <f>IF(SER_hh_emih!B32=0,0,SER_hh_emih!B32/SER_summary!B$26)</f>
        <v>0</v>
      </c>
      <c r="C32" s="132">
        <f>IF(SER_hh_emih!C32=0,0,SER_hh_emih!C32/SER_summary!C$26)</f>
        <v>0</v>
      </c>
      <c r="D32" s="132">
        <f>IF(SER_hh_emih!D32=0,0,SER_hh_emih!D32/SER_summary!D$26)</f>
        <v>0</v>
      </c>
      <c r="E32" s="132">
        <f>IF(SER_hh_emih!E32=0,0,SER_hh_emih!E32/SER_summary!E$26)</f>
        <v>0</v>
      </c>
      <c r="F32" s="132">
        <f>IF(SER_hh_emih!F32=0,0,SER_hh_emih!F32/SER_summary!F$26)</f>
        <v>0</v>
      </c>
      <c r="G32" s="132">
        <f>IF(SER_hh_emih!G32=0,0,SER_hh_emih!G32/SER_summary!G$26)</f>
        <v>0</v>
      </c>
      <c r="H32" s="132">
        <f>IF(SER_hh_emih!H32=0,0,SER_hh_emih!H32/SER_summary!H$26)</f>
        <v>0</v>
      </c>
      <c r="I32" s="132">
        <f>IF(SER_hh_emih!I32=0,0,SER_hh_emih!I32/SER_summary!I$26)</f>
        <v>0</v>
      </c>
      <c r="J32" s="132">
        <f>IF(SER_hh_emih!J32=0,0,SER_hh_emih!J32/SER_summary!J$26)</f>
        <v>0</v>
      </c>
      <c r="K32" s="132">
        <f>IF(SER_hh_emih!K32=0,0,SER_hh_emih!K32/SER_summary!K$26)</f>
        <v>0</v>
      </c>
      <c r="L32" s="132">
        <f>IF(SER_hh_emih!L32=0,0,SER_hh_emih!L32/SER_summary!L$26)</f>
        <v>0</v>
      </c>
      <c r="M32" s="132">
        <f>IF(SER_hh_emih!M32=0,0,SER_hh_emih!M32/SER_summary!M$26)</f>
        <v>0</v>
      </c>
      <c r="N32" s="132">
        <f>IF(SER_hh_emih!N32=0,0,SER_hh_emih!N32/SER_summary!N$26)</f>
        <v>0</v>
      </c>
      <c r="O32" s="132">
        <f>IF(SER_hh_emih!O32=0,0,SER_hh_emih!O32/SER_summary!O$26)</f>
        <v>0</v>
      </c>
      <c r="P32" s="132">
        <f>IF(SER_hh_emih!P32=0,0,SER_hh_emih!P32/SER_summary!P$26)</f>
        <v>0</v>
      </c>
      <c r="Q32" s="132">
        <f>IF(SER_hh_emih!Q32=0,0,SER_hh_emih!Q32/SER_summary!Q$26)</f>
        <v>0</v>
      </c>
      <c r="R32" s="132">
        <f>IF(SER_hh_emih!R32=0,0,SER_hh_emih!R32/SER_summary!R$26)</f>
        <v>0</v>
      </c>
      <c r="S32" s="132">
        <f>IF(SER_hh_emih!S32=0,0,SER_hh_emih!S32/SER_summary!S$26)</f>
        <v>0</v>
      </c>
      <c r="T32" s="132">
        <f>IF(SER_hh_emih!T32=0,0,SER_hh_emih!T32/SER_summary!T$26)</f>
        <v>0</v>
      </c>
      <c r="U32" s="132">
        <f>IF(SER_hh_emih!U32=0,0,SER_hh_emih!U32/SER_summary!U$26)</f>
        <v>0</v>
      </c>
      <c r="V32" s="132">
        <f>IF(SER_hh_emih!V32=0,0,SER_hh_emih!V32/SER_summary!V$26)</f>
        <v>0</v>
      </c>
      <c r="W32" s="132">
        <f>IF(SER_hh_emih!W32=0,0,SER_hh_emih!W32/SER_summary!W$26)</f>
        <v>0</v>
      </c>
      <c r="X32" s="132">
        <f>IF(SER_hh_emih!X32=0,0,SER_hh_emih!X32/SER_summary!X$26)</f>
        <v>0</v>
      </c>
      <c r="Y32" s="132">
        <f>IF(SER_hh_emih!Y32=0,0,SER_hh_emih!Y32/SER_summary!Y$26)</f>
        <v>0</v>
      </c>
      <c r="DA32" s="156" t="s">
        <v>567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X33" s="68">
        <f>IF(SER_hh_emih!X33=0,0,SER_hh_emih!X33/SER_summary!X$26)</f>
        <v>0</v>
      </c>
      <c r="Y33" s="68">
        <f>IF(SER_hh_emih!Y33=0,0,SER_hh_emih!Y33/SER_summary!Y$26)</f>
        <v>0</v>
      </c>
      <c r="DA33" s="111" t="s">
        <v>568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/>
      <c r="C3" s="124">
        <f t="shared" ref="C3:Y3" si="0">C4</f>
        <v>391.51955459205624</v>
      </c>
      <c r="D3" s="124">
        <f t="shared" si="0"/>
        <v>302.97356671211105</v>
      </c>
      <c r="E3" s="124">
        <f t="shared" si="0"/>
        <v>349.95320196844597</v>
      </c>
      <c r="F3" s="124">
        <f t="shared" si="0"/>
        <v>448.42686455957153</v>
      </c>
      <c r="G3" s="124">
        <f t="shared" si="0"/>
        <v>465.0111348892957</v>
      </c>
      <c r="H3" s="124">
        <f t="shared" si="0"/>
        <v>449.09874271266324</v>
      </c>
      <c r="I3" s="124">
        <f t="shared" si="0"/>
        <v>541.88388124696621</v>
      </c>
      <c r="J3" s="124">
        <f t="shared" si="0"/>
        <v>538.83299642359907</v>
      </c>
      <c r="K3" s="124">
        <f t="shared" si="0"/>
        <v>701.16109428458151</v>
      </c>
      <c r="L3" s="124">
        <f t="shared" si="0"/>
        <v>758.84428015576486</v>
      </c>
      <c r="M3" s="124">
        <f t="shared" si="0"/>
        <v>555.94924659283106</v>
      </c>
      <c r="N3" s="124">
        <f t="shared" si="0"/>
        <v>573.76751829049408</v>
      </c>
      <c r="O3" s="124">
        <f t="shared" si="0"/>
        <v>94.486802478846087</v>
      </c>
      <c r="P3" s="124">
        <f t="shared" si="0"/>
        <v>86.094463073044864</v>
      </c>
      <c r="Q3" s="124">
        <f t="shared" si="0"/>
        <v>84.809471086880038</v>
      </c>
      <c r="R3" s="124">
        <f t="shared" si="0"/>
        <v>285.4050693735453</v>
      </c>
      <c r="S3" s="124">
        <f t="shared" si="0"/>
        <v>407.70759623309243</v>
      </c>
      <c r="T3" s="124">
        <f t="shared" si="0"/>
        <v>408.17263657456067</v>
      </c>
      <c r="U3" s="124">
        <f t="shared" si="0"/>
        <v>402.40368288265825</v>
      </c>
      <c r="V3" s="124">
        <f t="shared" si="0"/>
        <v>364.86871847267537</v>
      </c>
      <c r="W3" s="124">
        <f t="shared" si="0"/>
        <v>356.83342700859521</v>
      </c>
      <c r="X3" s="124">
        <f t="shared" si="0"/>
        <v>348.94472126110253</v>
      </c>
      <c r="Y3" s="124">
        <f t="shared" si="0"/>
        <v>341.44502880943958</v>
      </c>
      <c r="DA3" s="168" t="s">
        <v>570</v>
      </c>
    </row>
    <row r="4" spans="1:105" ht="12.95" customHeight="1" x14ac:dyDescent="0.25">
      <c r="A4" s="129" t="s">
        <v>32</v>
      </c>
      <c r="B4" s="139"/>
      <c r="C4" s="139">
        <f t="shared" ref="C4:Q4" si="1">SUM(C5:C14)</f>
        <v>391.51955459205624</v>
      </c>
      <c r="D4" s="139">
        <f t="shared" si="1"/>
        <v>302.97356671211105</v>
      </c>
      <c r="E4" s="139">
        <f t="shared" si="1"/>
        <v>349.95320196844597</v>
      </c>
      <c r="F4" s="139">
        <f t="shared" si="1"/>
        <v>448.42686455957153</v>
      </c>
      <c r="G4" s="139">
        <f t="shared" si="1"/>
        <v>465.0111348892957</v>
      </c>
      <c r="H4" s="139">
        <f t="shared" si="1"/>
        <v>449.09874271266324</v>
      </c>
      <c r="I4" s="139">
        <f t="shared" si="1"/>
        <v>541.88388124696621</v>
      </c>
      <c r="J4" s="139">
        <f t="shared" si="1"/>
        <v>538.83299642359907</v>
      </c>
      <c r="K4" s="139">
        <f t="shared" si="1"/>
        <v>701.16109428458151</v>
      </c>
      <c r="L4" s="139">
        <f t="shared" si="1"/>
        <v>758.84428015576486</v>
      </c>
      <c r="M4" s="139">
        <f t="shared" si="1"/>
        <v>555.94924659283106</v>
      </c>
      <c r="N4" s="139">
        <f t="shared" si="1"/>
        <v>573.76751829049408</v>
      </c>
      <c r="O4" s="139">
        <f t="shared" si="1"/>
        <v>94.486802478846087</v>
      </c>
      <c r="P4" s="139">
        <f t="shared" si="1"/>
        <v>86.094463073044864</v>
      </c>
      <c r="Q4" s="139">
        <f t="shared" si="1"/>
        <v>84.809471086880038</v>
      </c>
      <c r="R4" s="139">
        <f t="shared" ref="R4:W4" si="2">SUM(R5:R14)</f>
        <v>285.4050693735453</v>
      </c>
      <c r="S4" s="139">
        <f t="shared" si="2"/>
        <v>407.70759623309243</v>
      </c>
      <c r="T4" s="139">
        <f t="shared" si="2"/>
        <v>408.17263657456067</v>
      </c>
      <c r="U4" s="139">
        <f t="shared" si="2"/>
        <v>402.40368288265825</v>
      </c>
      <c r="V4" s="139">
        <f t="shared" si="2"/>
        <v>364.86871847267537</v>
      </c>
      <c r="W4" s="139">
        <f t="shared" si="2"/>
        <v>356.83342700859521</v>
      </c>
      <c r="X4" s="139">
        <f t="shared" ref="X4:Y4" si="3">SUM(X5:X14)</f>
        <v>348.94472126110253</v>
      </c>
      <c r="Y4" s="139">
        <f t="shared" si="3"/>
        <v>341.44502880943958</v>
      </c>
      <c r="DA4" s="169" t="s">
        <v>571</v>
      </c>
    </row>
    <row r="5" spans="1:105" ht="12" customHeight="1" x14ac:dyDescent="0.25">
      <c r="A5" s="131" t="s">
        <v>29</v>
      </c>
      <c r="B5" s="140"/>
      <c r="C5" s="140">
        <v>0</v>
      </c>
      <c r="D5" s="140">
        <v>0</v>
      </c>
      <c r="E5" s="140">
        <v>0</v>
      </c>
      <c r="F5" s="140">
        <v>0</v>
      </c>
      <c r="G5" s="140">
        <v>0</v>
      </c>
      <c r="H5" s="140">
        <v>0</v>
      </c>
      <c r="I5" s="140">
        <v>0</v>
      </c>
      <c r="J5" s="140">
        <v>0</v>
      </c>
      <c r="K5" s="140">
        <v>0</v>
      </c>
      <c r="L5" s="140">
        <v>0</v>
      </c>
      <c r="M5" s="140">
        <v>0</v>
      </c>
      <c r="N5" s="140">
        <v>0</v>
      </c>
      <c r="O5" s="140">
        <v>0</v>
      </c>
      <c r="P5" s="140">
        <v>0</v>
      </c>
      <c r="Q5" s="140">
        <v>0</v>
      </c>
      <c r="R5" s="140">
        <v>0</v>
      </c>
      <c r="S5" s="140">
        <v>0</v>
      </c>
      <c r="T5" s="140">
        <v>0</v>
      </c>
      <c r="U5" s="140">
        <v>0</v>
      </c>
      <c r="V5" s="140">
        <v>0</v>
      </c>
      <c r="W5" s="140">
        <v>0</v>
      </c>
      <c r="X5" s="140">
        <v>0</v>
      </c>
      <c r="Y5" s="140">
        <v>0</v>
      </c>
      <c r="DA5" s="170" t="s">
        <v>572</v>
      </c>
    </row>
    <row r="6" spans="1:105" ht="12" customHeight="1" x14ac:dyDescent="0.25">
      <c r="A6" s="131" t="s">
        <v>52</v>
      </c>
      <c r="B6" s="140"/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DA6" s="170" t="s">
        <v>573</v>
      </c>
    </row>
    <row r="7" spans="1:105" ht="12" customHeight="1" x14ac:dyDescent="0.25">
      <c r="A7" s="131" t="s">
        <v>161</v>
      </c>
      <c r="B7" s="140"/>
      <c r="C7" s="140">
        <v>0</v>
      </c>
      <c r="D7" s="140">
        <v>0</v>
      </c>
      <c r="E7" s="140">
        <v>0</v>
      </c>
      <c r="F7" s="140">
        <v>0</v>
      </c>
      <c r="G7" s="140">
        <v>0</v>
      </c>
      <c r="H7" s="140">
        <v>0</v>
      </c>
      <c r="I7" s="140">
        <v>0</v>
      </c>
      <c r="J7" s="140">
        <v>143.29580812735375</v>
      </c>
      <c r="K7" s="140">
        <v>206.48435560758321</v>
      </c>
      <c r="L7" s="140">
        <v>314.04598484952265</v>
      </c>
      <c r="M7" s="140">
        <v>167.79492209885998</v>
      </c>
      <c r="N7" s="140">
        <v>129.5183030497989</v>
      </c>
      <c r="O7" s="140">
        <v>13.167797184127991</v>
      </c>
      <c r="P7" s="140">
        <v>0</v>
      </c>
      <c r="Q7" s="140">
        <v>0</v>
      </c>
      <c r="R7" s="140">
        <v>0</v>
      </c>
      <c r="S7" s="140">
        <v>0</v>
      </c>
      <c r="T7" s="140">
        <v>11.077545630678756</v>
      </c>
      <c r="U7" s="140">
        <v>61.861326591348046</v>
      </c>
      <c r="V7" s="140">
        <v>44.476813618778827</v>
      </c>
      <c r="W7" s="140">
        <v>32.258653675266828</v>
      </c>
      <c r="X7" s="140">
        <v>30.306984798140647</v>
      </c>
      <c r="Y7" s="140">
        <v>66.774118415544237</v>
      </c>
      <c r="DA7" s="170" t="s">
        <v>574</v>
      </c>
    </row>
    <row r="8" spans="1:105" ht="12" customHeight="1" x14ac:dyDescent="0.25">
      <c r="A8" s="131" t="s">
        <v>73</v>
      </c>
      <c r="B8" s="140"/>
      <c r="C8" s="140">
        <v>0</v>
      </c>
      <c r="D8" s="140">
        <v>0</v>
      </c>
      <c r="E8" s="140">
        <v>0</v>
      </c>
      <c r="F8" s="140">
        <v>0</v>
      </c>
      <c r="G8" s="140">
        <v>0</v>
      </c>
      <c r="H8" s="140">
        <v>0</v>
      </c>
      <c r="I8" s="140">
        <v>0</v>
      </c>
      <c r="J8" s="140">
        <v>0</v>
      </c>
      <c r="K8" s="140">
        <v>0</v>
      </c>
      <c r="L8" s="140">
        <v>0</v>
      </c>
      <c r="M8" s="140">
        <v>0</v>
      </c>
      <c r="N8" s="140">
        <v>0</v>
      </c>
      <c r="O8" s="140">
        <v>0</v>
      </c>
      <c r="P8" s="140">
        <v>0</v>
      </c>
      <c r="Q8" s="140">
        <v>0</v>
      </c>
      <c r="R8" s="140">
        <v>0</v>
      </c>
      <c r="S8" s="140">
        <v>0</v>
      </c>
      <c r="T8" s="140">
        <v>0</v>
      </c>
      <c r="U8" s="140">
        <v>0</v>
      </c>
      <c r="V8" s="140">
        <v>0</v>
      </c>
      <c r="W8" s="140">
        <v>0</v>
      </c>
      <c r="X8" s="140">
        <v>0</v>
      </c>
      <c r="Y8" s="140">
        <v>0</v>
      </c>
      <c r="DA8" s="170" t="s">
        <v>575</v>
      </c>
    </row>
    <row r="9" spans="1:105" ht="12" customHeight="1" x14ac:dyDescent="0.25">
      <c r="A9" s="131" t="s">
        <v>78</v>
      </c>
      <c r="B9" s="140"/>
      <c r="C9" s="140">
        <v>0</v>
      </c>
      <c r="D9" s="140">
        <v>0</v>
      </c>
      <c r="E9" s="140">
        <v>0</v>
      </c>
      <c r="F9" s="140">
        <v>0</v>
      </c>
      <c r="G9" s="140">
        <v>0</v>
      </c>
      <c r="H9" s="140">
        <v>0</v>
      </c>
      <c r="I9" s="140">
        <v>0</v>
      </c>
      <c r="J9" s="140">
        <v>0</v>
      </c>
      <c r="K9" s="140">
        <v>15.09330948320615</v>
      </c>
      <c r="L9" s="140">
        <v>4.8107431697108298</v>
      </c>
      <c r="M9" s="140">
        <v>1.2581551016790986</v>
      </c>
      <c r="N9" s="140">
        <v>0.41993473487295069</v>
      </c>
      <c r="O9" s="140">
        <v>0</v>
      </c>
      <c r="P9" s="140">
        <v>2.6138231353239887E-2</v>
      </c>
      <c r="Q9" s="140">
        <v>0.15398985651818148</v>
      </c>
      <c r="R9" s="140">
        <v>6.0095826133498367</v>
      </c>
      <c r="S9" s="140">
        <v>10.538965095048368</v>
      </c>
      <c r="T9" s="140">
        <v>12.611691727944502</v>
      </c>
      <c r="U9" s="140">
        <v>4.9338764694344164</v>
      </c>
      <c r="V9" s="140">
        <v>2.8080934242191407</v>
      </c>
      <c r="W9" s="140">
        <v>3.2776892042890324</v>
      </c>
      <c r="X9" s="140">
        <v>1.5120400561980087</v>
      </c>
      <c r="Y9" s="140">
        <v>0.63342243362572626</v>
      </c>
      <c r="DA9" s="170" t="s">
        <v>576</v>
      </c>
    </row>
    <row r="10" spans="1:105" ht="12" customHeight="1" x14ac:dyDescent="0.25">
      <c r="A10" s="131" t="s">
        <v>128</v>
      </c>
      <c r="B10" s="140"/>
      <c r="C10" s="140">
        <v>0</v>
      </c>
      <c r="D10" s="140">
        <v>0</v>
      </c>
      <c r="E10" s="140">
        <v>0</v>
      </c>
      <c r="F10" s="140">
        <v>0</v>
      </c>
      <c r="G10" s="140">
        <v>0</v>
      </c>
      <c r="H10" s="140">
        <v>0</v>
      </c>
      <c r="I10" s="140">
        <v>42.214959230456671</v>
      </c>
      <c r="J10" s="140">
        <v>20.999727104286833</v>
      </c>
      <c r="K10" s="140">
        <v>0</v>
      </c>
      <c r="L10" s="140">
        <v>0.16557006690961831</v>
      </c>
      <c r="M10" s="140">
        <v>1.2839677041281554</v>
      </c>
      <c r="N10" s="140">
        <v>3.3823100208736561</v>
      </c>
      <c r="O10" s="140">
        <v>0.80748306068912168</v>
      </c>
      <c r="P10" s="140">
        <v>2.3887197581958426</v>
      </c>
      <c r="Q10" s="140">
        <v>10.393374358398587</v>
      </c>
      <c r="R10" s="140">
        <v>1.5833475604718144</v>
      </c>
      <c r="S10" s="140">
        <v>0</v>
      </c>
      <c r="T10" s="140">
        <v>0</v>
      </c>
      <c r="U10" s="140">
        <v>0</v>
      </c>
      <c r="V10" s="140">
        <v>2.3673087110133912</v>
      </c>
      <c r="W10" s="140">
        <v>13.210716341250983</v>
      </c>
      <c r="X10" s="140">
        <v>17.976168740657325</v>
      </c>
      <c r="Y10" s="140">
        <v>6.1733217566224061</v>
      </c>
      <c r="DA10" s="170" t="s">
        <v>577</v>
      </c>
    </row>
    <row r="11" spans="1:105" ht="12" customHeight="1" x14ac:dyDescent="0.25">
      <c r="A11" s="131" t="s">
        <v>25</v>
      </c>
      <c r="B11" s="140"/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  <c r="K11" s="140">
        <v>0</v>
      </c>
      <c r="L11" s="140">
        <v>0</v>
      </c>
      <c r="M11" s="140">
        <v>0</v>
      </c>
      <c r="N11" s="140">
        <v>0</v>
      </c>
      <c r="O11" s="140">
        <v>0</v>
      </c>
      <c r="P11" s="140">
        <v>0</v>
      </c>
      <c r="Q11" s="140">
        <v>0</v>
      </c>
      <c r="R11" s="140">
        <v>0</v>
      </c>
      <c r="S11" s="140">
        <v>0</v>
      </c>
      <c r="T11" s="140">
        <v>0</v>
      </c>
      <c r="U11" s="140">
        <v>0</v>
      </c>
      <c r="V11" s="140">
        <v>0</v>
      </c>
      <c r="W11" s="140">
        <v>0</v>
      </c>
      <c r="X11" s="140">
        <v>0</v>
      </c>
      <c r="Y11" s="140">
        <v>0</v>
      </c>
      <c r="DA11" s="170" t="s">
        <v>578</v>
      </c>
    </row>
    <row r="12" spans="1:105" ht="12" customHeight="1" x14ac:dyDescent="0.25">
      <c r="A12" s="131" t="s">
        <v>162</v>
      </c>
      <c r="B12" s="140"/>
      <c r="C12" s="140">
        <v>0</v>
      </c>
      <c r="D12" s="140">
        <v>0</v>
      </c>
      <c r="E12" s="140">
        <v>0</v>
      </c>
      <c r="F12" s="140">
        <v>0</v>
      </c>
      <c r="G12" s="140">
        <v>0</v>
      </c>
      <c r="H12" s="140">
        <v>0</v>
      </c>
      <c r="I12" s="140">
        <v>0</v>
      </c>
      <c r="J12" s="140">
        <v>0</v>
      </c>
      <c r="K12" s="140">
        <v>0</v>
      </c>
      <c r="L12" s="140">
        <v>0</v>
      </c>
      <c r="M12" s="140">
        <v>0</v>
      </c>
      <c r="N12" s="140">
        <v>0</v>
      </c>
      <c r="O12" s="140">
        <v>0</v>
      </c>
      <c r="P12" s="140">
        <v>0</v>
      </c>
      <c r="Q12" s="140">
        <v>0</v>
      </c>
      <c r="R12" s="140">
        <v>0</v>
      </c>
      <c r="S12" s="140">
        <v>0</v>
      </c>
      <c r="T12" s="140">
        <v>0</v>
      </c>
      <c r="U12" s="140">
        <v>0</v>
      </c>
      <c r="V12" s="140">
        <v>0</v>
      </c>
      <c r="W12" s="140">
        <v>0</v>
      </c>
      <c r="X12" s="140">
        <v>0</v>
      </c>
      <c r="Y12" s="140">
        <v>0</v>
      </c>
      <c r="DA12" s="170" t="s">
        <v>579</v>
      </c>
    </row>
    <row r="13" spans="1:105" ht="12" customHeight="1" x14ac:dyDescent="0.25">
      <c r="A13" s="131" t="s">
        <v>77</v>
      </c>
      <c r="B13" s="140"/>
      <c r="C13" s="140">
        <v>60.240265488549142</v>
      </c>
      <c r="D13" s="140">
        <v>73.442147434530668</v>
      </c>
      <c r="E13" s="140">
        <v>116.54566941922711</v>
      </c>
      <c r="F13" s="140">
        <v>133.11995854079896</v>
      </c>
      <c r="G13" s="140">
        <v>126.64439354790302</v>
      </c>
      <c r="H13" s="140">
        <v>42.2001753525374</v>
      </c>
      <c r="I13" s="140">
        <v>100.14996166003375</v>
      </c>
      <c r="J13" s="140">
        <v>70.674559531507327</v>
      </c>
      <c r="K13" s="140">
        <v>167.33265346917142</v>
      </c>
      <c r="L13" s="140">
        <v>324.96258084597582</v>
      </c>
      <c r="M13" s="140">
        <v>385.61220168816385</v>
      </c>
      <c r="N13" s="140">
        <v>440.44697048494857</v>
      </c>
      <c r="O13" s="140">
        <v>80.511522234028973</v>
      </c>
      <c r="P13" s="140">
        <v>83.679605083495787</v>
      </c>
      <c r="Q13" s="140">
        <v>56.103988723443145</v>
      </c>
      <c r="R13" s="140">
        <v>109.59350071042579</v>
      </c>
      <c r="S13" s="140">
        <v>251.09722429671595</v>
      </c>
      <c r="T13" s="140">
        <v>286.15301260823094</v>
      </c>
      <c r="U13" s="140">
        <v>242.06596094826008</v>
      </c>
      <c r="V13" s="140">
        <v>176.08620576984691</v>
      </c>
      <c r="W13" s="140">
        <v>63.638846426241066</v>
      </c>
      <c r="X13" s="140">
        <v>43.227840512966267</v>
      </c>
      <c r="Y13" s="140">
        <v>168.67405510312341</v>
      </c>
      <c r="DA13" s="170" t="s">
        <v>580</v>
      </c>
    </row>
    <row r="14" spans="1:105" ht="12" customHeight="1" x14ac:dyDescent="0.25">
      <c r="A14" s="60" t="s">
        <v>76</v>
      </c>
      <c r="B14" s="141"/>
      <c r="C14" s="141">
        <v>331.2792891035071</v>
      </c>
      <c r="D14" s="141">
        <v>229.5314192775804</v>
      </c>
      <c r="E14" s="141">
        <v>233.40753254921884</v>
      </c>
      <c r="F14" s="141">
        <v>315.30690601877257</v>
      </c>
      <c r="G14" s="141">
        <v>338.3667413413927</v>
      </c>
      <c r="H14" s="141">
        <v>406.89856736012581</v>
      </c>
      <c r="I14" s="141">
        <v>399.51896035647582</v>
      </c>
      <c r="J14" s="141">
        <v>303.86290166045114</v>
      </c>
      <c r="K14" s="141">
        <v>312.25077572462072</v>
      </c>
      <c r="L14" s="141">
        <v>114.85940122364606</v>
      </c>
      <c r="M14" s="141">
        <v>0</v>
      </c>
      <c r="N14" s="141">
        <v>0</v>
      </c>
      <c r="O14" s="141">
        <v>0</v>
      </c>
      <c r="P14" s="141">
        <v>0</v>
      </c>
      <c r="Q14" s="141">
        <v>18.158118148520128</v>
      </c>
      <c r="R14" s="141">
        <v>168.21863848929789</v>
      </c>
      <c r="S14" s="141">
        <v>146.0714068413281</v>
      </c>
      <c r="T14" s="141">
        <v>98.330386607706515</v>
      </c>
      <c r="U14" s="141">
        <v>93.542518873615649</v>
      </c>
      <c r="V14" s="141">
        <v>139.13029694881709</v>
      </c>
      <c r="W14" s="141">
        <v>244.44752136154733</v>
      </c>
      <c r="X14" s="141">
        <v>255.92168715314028</v>
      </c>
      <c r="Y14" s="141">
        <v>99.190111100523779</v>
      </c>
      <c r="DA14" s="171" t="s">
        <v>581</v>
      </c>
    </row>
    <row r="15" spans="1:105" ht="12" customHeight="1" x14ac:dyDescent="0.25">
      <c r="A15" s="142" t="s">
        <v>75</v>
      </c>
      <c r="B15" s="143"/>
      <c r="C15" s="143">
        <f t="shared" ref="C15:Q15" si="4">SUM(C5:C12)</f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42.214959230456671</v>
      </c>
      <c r="J15" s="143">
        <f t="shared" si="4"/>
        <v>164.2955352316406</v>
      </c>
      <c r="K15" s="143">
        <f t="shared" si="4"/>
        <v>221.57766509078937</v>
      </c>
      <c r="L15" s="143">
        <f t="shared" si="4"/>
        <v>319.02229808614305</v>
      </c>
      <c r="M15" s="143">
        <f t="shared" si="4"/>
        <v>170.33704490466724</v>
      </c>
      <c r="N15" s="143">
        <f t="shared" si="4"/>
        <v>133.32054780554552</v>
      </c>
      <c r="O15" s="143">
        <f t="shared" si="4"/>
        <v>13.975280244817114</v>
      </c>
      <c r="P15" s="143">
        <f t="shared" si="4"/>
        <v>2.4148579895490823</v>
      </c>
      <c r="Q15" s="143">
        <f t="shared" si="4"/>
        <v>10.547364214916769</v>
      </c>
      <c r="R15" s="143">
        <f t="shared" ref="R15:W15" si="5">SUM(R5:R12)</f>
        <v>7.5929301738216513</v>
      </c>
      <c r="S15" s="143">
        <f t="shared" si="5"/>
        <v>10.538965095048368</v>
      </c>
      <c r="T15" s="143">
        <f t="shared" si="5"/>
        <v>23.689237358623259</v>
      </c>
      <c r="U15" s="143">
        <f t="shared" si="5"/>
        <v>66.795203060782455</v>
      </c>
      <c r="V15" s="143">
        <f t="shared" si="5"/>
        <v>49.652215754011358</v>
      </c>
      <c r="W15" s="143">
        <f t="shared" si="5"/>
        <v>48.747059220806847</v>
      </c>
      <c r="X15" s="143">
        <f t="shared" ref="X15:Y15" si="6">SUM(X5:X12)</f>
        <v>49.795193594995979</v>
      </c>
      <c r="Y15" s="143">
        <f t="shared" si="6"/>
        <v>73.580862605792362</v>
      </c>
      <c r="DA15" s="172"/>
    </row>
    <row r="16" spans="1:105" ht="12.95" customHeight="1" x14ac:dyDescent="0.25">
      <c r="A16" s="129" t="s">
        <v>74</v>
      </c>
      <c r="B16" s="139"/>
      <c r="C16" s="139">
        <f t="shared" ref="C16:Q16" si="7">SUM(C17:C18)</f>
        <v>391.51955459205618</v>
      </c>
      <c r="D16" s="139">
        <f t="shared" si="7"/>
        <v>302.97356671211105</v>
      </c>
      <c r="E16" s="139">
        <f t="shared" si="7"/>
        <v>349.95320196844591</v>
      </c>
      <c r="F16" s="139">
        <f t="shared" si="7"/>
        <v>448.42686455957158</v>
      </c>
      <c r="G16" s="139">
        <f t="shared" si="7"/>
        <v>465.01113488929582</v>
      </c>
      <c r="H16" s="139">
        <f t="shared" si="7"/>
        <v>449.09874271266318</v>
      </c>
      <c r="I16" s="139">
        <f t="shared" si="7"/>
        <v>541.88388124696633</v>
      </c>
      <c r="J16" s="139">
        <f t="shared" si="7"/>
        <v>538.83299642359907</v>
      </c>
      <c r="K16" s="139">
        <f t="shared" si="7"/>
        <v>701.16109428458151</v>
      </c>
      <c r="L16" s="139">
        <f t="shared" si="7"/>
        <v>758.84428015576509</v>
      </c>
      <c r="M16" s="139">
        <f t="shared" si="7"/>
        <v>555.94924659283106</v>
      </c>
      <c r="N16" s="139">
        <f t="shared" si="7"/>
        <v>573.76751829049408</v>
      </c>
      <c r="O16" s="139">
        <f t="shared" si="7"/>
        <v>94.486802478846087</v>
      </c>
      <c r="P16" s="139">
        <f t="shared" si="7"/>
        <v>86.094463073044878</v>
      </c>
      <c r="Q16" s="139">
        <f t="shared" si="7"/>
        <v>84.809471086880038</v>
      </c>
      <c r="R16" s="139">
        <f t="shared" ref="R16:W16" si="8">SUM(R17:R18)</f>
        <v>285.4050693735453</v>
      </c>
      <c r="S16" s="139">
        <f t="shared" si="8"/>
        <v>407.70759623309243</v>
      </c>
      <c r="T16" s="139">
        <f t="shared" si="8"/>
        <v>408.17263657456073</v>
      </c>
      <c r="U16" s="139">
        <f t="shared" si="8"/>
        <v>402.40368288265819</v>
      </c>
      <c r="V16" s="139">
        <f t="shared" si="8"/>
        <v>364.86871847267537</v>
      </c>
      <c r="W16" s="139">
        <f t="shared" si="8"/>
        <v>356.83342700859521</v>
      </c>
      <c r="X16" s="139">
        <f t="shared" ref="X16:Y16" si="9">SUM(X17:X18)</f>
        <v>348.94472126110253</v>
      </c>
      <c r="Y16" s="139">
        <f t="shared" si="9"/>
        <v>341.44502880943958</v>
      </c>
      <c r="DA16" s="169" t="s">
        <v>582</v>
      </c>
    </row>
    <row r="17" spans="1:105" ht="12.95" customHeight="1" x14ac:dyDescent="0.25">
      <c r="A17" s="131" t="s">
        <v>73</v>
      </c>
      <c r="B17" s="140"/>
      <c r="C17" s="140">
        <v>0</v>
      </c>
      <c r="D17" s="140">
        <v>0</v>
      </c>
      <c r="E17" s="140">
        <v>0</v>
      </c>
      <c r="F17" s="140">
        <v>0</v>
      </c>
      <c r="G17" s="140">
        <v>0</v>
      </c>
      <c r="H17" s="140">
        <v>0</v>
      </c>
      <c r="I17" s="140">
        <v>0</v>
      </c>
      <c r="J17" s="140">
        <v>0</v>
      </c>
      <c r="K17" s="140">
        <v>0</v>
      </c>
      <c r="L17" s="140">
        <v>0</v>
      </c>
      <c r="M17" s="140">
        <v>0</v>
      </c>
      <c r="N17" s="140">
        <v>0</v>
      </c>
      <c r="O17" s="140">
        <v>0</v>
      </c>
      <c r="P17" s="140">
        <v>0</v>
      </c>
      <c r="Q17" s="140">
        <v>0</v>
      </c>
      <c r="R17" s="140">
        <v>0</v>
      </c>
      <c r="S17" s="140">
        <v>0</v>
      </c>
      <c r="T17" s="140">
        <v>0</v>
      </c>
      <c r="U17" s="140">
        <v>0</v>
      </c>
      <c r="V17" s="140">
        <v>0</v>
      </c>
      <c r="W17" s="140">
        <v>0</v>
      </c>
      <c r="X17" s="140">
        <v>0</v>
      </c>
      <c r="Y17" s="140">
        <v>0</v>
      </c>
      <c r="DA17" s="170" t="s">
        <v>583</v>
      </c>
    </row>
    <row r="18" spans="1:105" ht="12" customHeight="1" x14ac:dyDescent="0.25">
      <c r="A18" s="131" t="s">
        <v>72</v>
      </c>
      <c r="B18" s="140"/>
      <c r="C18" s="140">
        <v>391.51955459205618</v>
      </c>
      <c r="D18" s="140">
        <v>302.97356671211105</v>
      </c>
      <c r="E18" s="140">
        <v>349.95320196844591</v>
      </c>
      <c r="F18" s="140">
        <v>448.42686455957158</v>
      </c>
      <c r="G18" s="140">
        <v>465.01113488929582</v>
      </c>
      <c r="H18" s="140">
        <v>449.09874271266318</v>
      </c>
      <c r="I18" s="140">
        <v>541.88388124696633</v>
      </c>
      <c r="J18" s="140">
        <v>538.83299642359907</v>
      </c>
      <c r="K18" s="140">
        <v>701.16109428458151</v>
      </c>
      <c r="L18" s="140">
        <v>758.84428015576509</v>
      </c>
      <c r="M18" s="140">
        <v>555.94924659283106</v>
      </c>
      <c r="N18" s="140">
        <v>573.76751829049408</v>
      </c>
      <c r="O18" s="140">
        <v>94.486802478846087</v>
      </c>
      <c r="P18" s="140">
        <v>86.094463073044878</v>
      </c>
      <c r="Q18" s="140">
        <v>84.809471086880038</v>
      </c>
      <c r="R18" s="140">
        <v>285.4050693735453</v>
      </c>
      <c r="S18" s="140">
        <v>407.70759623309243</v>
      </c>
      <c r="T18" s="140">
        <v>408.17263657456073</v>
      </c>
      <c r="U18" s="140">
        <v>402.40368288265819</v>
      </c>
      <c r="V18" s="140">
        <v>364.86871847267537</v>
      </c>
      <c r="W18" s="140">
        <v>356.83342700859521</v>
      </c>
      <c r="X18" s="140">
        <v>348.94472126110253</v>
      </c>
      <c r="Y18" s="140">
        <v>341.44502880943958</v>
      </c>
      <c r="DA18" s="170" t="s">
        <v>584</v>
      </c>
    </row>
    <row r="19" spans="1:105" ht="12.95" customHeight="1" x14ac:dyDescent="0.25">
      <c r="A19" s="129" t="s">
        <v>35</v>
      </c>
      <c r="B19" s="139"/>
      <c r="C19" s="139">
        <f t="shared" ref="C19:Q19" si="10">SUM(C20:C26)</f>
        <v>391.51955459205618</v>
      </c>
      <c r="D19" s="139">
        <f t="shared" si="10"/>
        <v>302.97356671211105</v>
      </c>
      <c r="E19" s="139">
        <f t="shared" si="10"/>
        <v>349.95320196844591</v>
      </c>
      <c r="F19" s="139">
        <f t="shared" si="10"/>
        <v>448.42686455957158</v>
      </c>
      <c r="G19" s="139">
        <f t="shared" si="10"/>
        <v>465.01113488929582</v>
      </c>
      <c r="H19" s="139">
        <f t="shared" si="10"/>
        <v>449.09874271266324</v>
      </c>
      <c r="I19" s="139">
        <f t="shared" si="10"/>
        <v>541.88388124696633</v>
      </c>
      <c r="J19" s="139">
        <f t="shared" si="10"/>
        <v>538.83299642359896</v>
      </c>
      <c r="K19" s="139">
        <f t="shared" si="10"/>
        <v>701.16109428458151</v>
      </c>
      <c r="L19" s="139">
        <f t="shared" si="10"/>
        <v>758.84428015576509</v>
      </c>
      <c r="M19" s="139">
        <f t="shared" si="10"/>
        <v>555.94924659283106</v>
      </c>
      <c r="N19" s="139">
        <f t="shared" si="10"/>
        <v>573.76751829049408</v>
      </c>
      <c r="O19" s="139">
        <f t="shared" si="10"/>
        <v>94.486802478846073</v>
      </c>
      <c r="P19" s="139">
        <f t="shared" si="10"/>
        <v>86.094463073044878</v>
      </c>
      <c r="Q19" s="139">
        <f t="shared" si="10"/>
        <v>84.809471086880038</v>
      </c>
      <c r="R19" s="139">
        <f t="shared" ref="R19:W19" si="11">SUM(R20:R26)</f>
        <v>285.4050693735453</v>
      </c>
      <c r="S19" s="139">
        <f t="shared" si="11"/>
        <v>407.70759623309249</v>
      </c>
      <c r="T19" s="139">
        <f t="shared" si="11"/>
        <v>408.17263657456078</v>
      </c>
      <c r="U19" s="139">
        <f t="shared" si="11"/>
        <v>402.40368288265813</v>
      </c>
      <c r="V19" s="139">
        <f t="shared" si="11"/>
        <v>364.86871847267548</v>
      </c>
      <c r="W19" s="139">
        <f t="shared" si="11"/>
        <v>356.83342700859521</v>
      </c>
      <c r="X19" s="139">
        <f t="shared" ref="X19:Y19" si="12">SUM(X20:X26)</f>
        <v>348.94472126110259</v>
      </c>
      <c r="Y19" s="139">
        <f t="shared" si="12"/>
        <v>341.44502880943958</v>
      </c>
      <c r="DA19" s="169" t="s">
        <v>585</v>
      </c>
    </row>
    <row r="20" spans="1:105" ht="12" customHeight="1" x14ac:dyDescent="0.25">
      <c r="A20" s="131" t="s">
        <v>29</v>
      </c>
      <c r="B20" s="140"/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DA20" s="170" t="s">
        <v>586</v>
      </c>
    </row>
    <row r="21" spans="1:105" s="2" customFormat="1" ht="12" customHeight="1" x14ac:dyDescent="0.25">
      <c r="A21" s="131" t="s">
        <v>52</v>
      </c>
      <c r="B21" s="140"/>
      <c r="C21" s="140">
        <v>0</v>
      </c>
      <c r="D21" s="140">
        <v>0</v>
      </c>
      <c r="E21" s="140">
        <v>0</v>
      </c>
      <c r="F21" s="140">
        <v>0</v>
      </c>
      <c r="G21" s="140">
        <v>0</v>
      </c>
      <c r="H21" s="140">
        <v>443.90078642183119</v>
      </c>
      <c r="I21" s="140">
        <v>522.36949053355738</v>
      </c>
      <c r="J21" s="140">
        <v>482.32782185049814</v>
      </c>
      <c r="K21" s="140">
        <v>61.046055750999663</v>
      </c>
      <c r="L21" s="140">
        <v>39.008813700865552</v>
      </c>
      <c r="M21" s="140">
        <v>0</v>
      </c>
      <c r="N21" s="140">
        <v>0</v>
      </c>
      <c r="O21" s="140">
        <v>0</v>
      </c>
      <c r="P21" s="140">
        <v>0</v>
      </c>
      <c r="Q21" s="140">
        <v>0</v>
      </c>
      <c r="R21" s="140">
        <v>8.0191756293100287</v>
      </c>
      <c r="S21" s="140">
        <v>59.054928907609664</v>
      </c>
      <c r="T21" s="140">
        <v>75.878590717266562</v>
      </c>
      <c r="U21" s="140">
        <v>106.50658511789996</v>
      </c>
      <c r="V21" s="140">
        <v>61.069640624273006</v>
      </c>
      <c r="W21" s="140">
        <v>127.83238103033572</v>
      </c>
      <c r="X21" s="140">
        <v>130.84213543838277</v>
      </c>
      <c r="Y21" s="140">
        <v>85.949733130180633</v>
      </c>
      <c r="DA21" s="170" t="s">
        <v>587</v>
      </c>
    </row>
    <row r="22" spans="1:105" ht="12" customHeight="1" x14ac:dyDescent="0.25">
      <c r="A22" s="131" t="s">
        <v>161</v>
      </c>
      <c r="B22" s="140"/>
      <c r="C22" s="140">
        <v>11.362124524713808</v>
      </c>
      <c r="D22" s="140">
        <v>9.0935648334921488</v>
      </c>
      <c r="E22" s="140">
        <v>10.119591736549321</v>
      </c>
      <c r="F22" s="140">
        <v>12.847442112693566</v>
      </c>
      <c r="G22" s="140">
        <v>13.71928340248323</v>
      </c>
      <c r="H22" s="140">
        <v>5.1979562908320487</v>
      </c>
      <c r="I22" s="140">
        <v>19.514390713408982</v>
      </c>
      <c r="J22" s="140">
        <v>30.378975155163641</v>
      </c>
      <c r="K22" s="140">
        <v>22.076903016656498</v>
      </c>
      <c r="L22" s="140">
        <v>22.182109900096897</v>
      </c>
      <c r="M22" s="140">
        <v>17.204800154801017</v>
      </c>
      <c r="N22" s="140">
        <v>16.538102969770879</v>
      </c>
      <c r="O22" s="140">
        <v>2.9660196325104051</v>
      </c>
      <c r="P22" s="140">
        <v>2.566559906871611</v>
      </c>
      <c r="Q22" s="140">
        <v>4.115951022277903</v>
      </c>
      <c r="R22" s="140">
        <v>12.320919288881628</v>
      </c>
      <c r="S22" s="140">
        <v>15.951964074159976</v>
      </c>
      <c r="T22" s="140">
        <v>15.21090835478345</v>
      </c>
      <c r="U22" s="140">
        <v>14.810024921834783</v>
      </c>
      <c r="V22" s="140">
        <v>9.8695669037200329</v>
      </c>
      <c r="W22" s="140">
        <v>9.804899760256804</v>
      </c>
      <c r="X22" s="140">
        <v>10.764858016916497</v>
      </c>
      <c r="Y22" s="140">
        <v>12.007845265473605</v>
      </c>
      <c r="DA22" s="170" t="s">
        <v>588</v>
      </c>
    </row>
    <row r="23" spans="1:105" ht="12" customHeight="1" x14ac:dyDescent="0.25">
      <c r="A23" s="131" t="s">
        <v>149</v>
      </c>
      <c r="B23" s="140"/>
      <c r="C23" s="140">
        <v>0</v>
      </c>
      <c r="D23" s="140">
        <v>0</v>
      </c>
      <c r="E23" s="140">
        <v>0</v>
      </c>
      <c r="F23" s="140">
        <v>0</v>
      </c>
      <c r="G23" s="140">
        <v>0</v>
      </c>
      <c r="H23" s="140">
        <v>0</v>
      </c>
      <c r="I23" s="140">
        <v>0</v>
      </c>
      <c r="J23" s="140">
        <v>0</v>
      </c>
      <c r="K23" s="140">
        <v>0</v>
      </c>
      <c r="L23" s="140">
        <v>0</v>
      </c>
      <c r="M23" s="140">
        <v>0</v>
      </c>
      <c r="N23" s="140">
        <v>0</v>
      </c>
      <c r="O23" s="140">
        <v>0</v>
      </c>
      <c r="P23" s="140">
        <v>0</v>
      </c>
      <c r="Q23" s="140">
        <v>0</v>
      </c>
      <c r="R23" s="140">
        <v>0</v>
      </c>
      <c r="S23" s="140">
        <v>0</v>
      </c>
      <c r="T23" s="140">
        <v>0</v>
      </c>
      <c r="U23" s="140">
        <v>0</v>
      </c>
      <c r="V23" s="140">
        <v>0</v>
      </c>
      <c r="W23" s="140">
        <v>0</v>
      </c>
      <c r="X23" s="140">
        <v>0</v>
      </c>
      <c r="Y23" s="140">
        <v>0</v>
      </c>
      <c r="DA23" s="170" t="s">
        <v>589</v>
      </c>
    </row>
    <row r="24" spans="1:105" ht="12" customHeight="1" x14ac:dyDescent="0.25">
      <c r="A24" s="131" t="s">
        <v>128</v>
      </c>
      <c r="B24" s="140"/>
      <c r="C24" s="140"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0</v>
      </c>
      <c r="O24" s="140">
        <v>0</v>
      </c>
      <c r="P24" s="140">
        <v>0</v>
      </c>
      <c r="Q24" s="140">
        <v>0</v>
      </c>
      <c r="R24" s="140">
        <v>0</v>
      </c>
      <c r="S24" s="140">
        <v>0</v>
      </c>
      <c r="T24" s="140">
        <v>0</v>
      </c>
      <c r="U24" s="140">
        <v>0</v>
      </c>
      <c r="V24" s="140">
        <v>0</v>
      </c>
      <c r="W24" s="140">
        <v>0</v>
      </c>
      <c r="X24" s="140">
        <v>0</v>
      </c>
      <c r="Y24" s="140">
        <v>0</v>
      </c>
      <c r="DA24" s="170" t="s">
        <v>590</v>
      </c>
    </row>
    <row r="25" spans="1:105" ht="12" customHeight="1" x14ac:dyDescent="0.25">
      <c r="A25" s="131" t="s">
        <v>162</v>
      </c>
      <c r="B25" s="140"/>
      <c r="C25" s="140">
        <v>0</v>
      </c>
      <c r="D25" s="140">
        <v>0</v>
      </c>
      <c r="E25" s="140">
        <v>0</v>
      </c>
      <c r="F25" s="140">
        <v>0</v>
      </c>
      <c r="G25" s="140">
        <v>0</v>
      </c>
      <c r="H25" s="140">
        <v>0</v>
      </c>
      <c r="I25" s="140">
        <v>0</v>
      </c>
      <c r="J25" s="140">
        <v>0</v>
      </c>
      <c r="K25" s="140">
        <v>0</v>
      </c>
      <c r="L25" s="140">
        <v>0</v>
      </c>
      <c r="M25" s="140">
        <v>0</v>
      </c>
      <c r="N25" s="140">
        <v>0</v>
      </c>
      <c r="O25" s="140">
        <v>0</v>
      </c>
      <c r="P25" s="140">
        <v>0</v>
      </c>
      <c r="Q25" s="140">
        <v>0</v>
      </c>
      <c r="R25" s="140">
        <v>0</v>
      </c>
      <c r="S25" s="140">
        <v>0</v>
      </c>
      <c r="T25" s="140">
        <v>0</v>
      </c>
      <c r="U25" s="140">
        <v>0</v>
      </c>
      <c r="V25" s="140">
        <v>0</v>
      </c>
      <c r="W25" s="140">
        <v>0</v>
      </c>
      <c r="X25" s="140">
        <v>0</v>
      </c>
      <c r="Y25" s="140">
        <v>0</v>
      </c>
      <c r="DA25" s="170" t="s">
        <v>591</v>
      </c>
    </row>
    <row r="26" spans="1:105" ht="12" customHeight="1" x14ac:dyDescent="0.25">
      <c r="A26" s="131" t="s">
        <v>24</v>
      </c>
      <c r="B26" s="141"/>
      <c r="C26" s="141">
        <v>380.15743006734237</v>
      </c>
      <c r="D26" s="141">
        <v>293.88000187861888</v>
      </c>
      <c r="E26" s="141">
        <v>339.83361023189661</v>
      </c>
      <c r="F26" s="141">
        <v>435.57942244687803</v>
      </c>
      <c r="G26" s="141">
        <v>451.29185148681256</v>
      </c>
      <c r="H26" s="141">
        <v>0</v>
      </c>
      <c r="I26" s="141">
        <v>0</v>
      </c>
      <c r="J26" s="141">
        <v>26.126199417937226</v>
      </c>
      <c r="K26" s="141">
        <v>618.03813551692531</v>
      </c>
      <c r="L26" s="141">
        <v>697.6533565548026</v>
      </c>
      <c r="M26" s="141">
        <v>538.74444643803008</v>
      </c>
      <c r="N26" s="141">
        <v>557.22941532072321</v>
      </c>
      <c r="O26" s="141">
        <v>91.520782846335663</v>
      </c>
      <c r="P26" s="141">
        <v>83.52790316617326</v>
      </c>
      <c r="Q26" s="141">
        <v>80.69352006460214</v>
      </c>
      <c r="R26" s="141">
        <v>265.06497445535365</v>
      </c>
      <c r="S26" s="141">
        <v>332.70070325132286</v>
      </c>
      <c r="T26" s="141">
        <v>317.08313750251074</v>
      </c>
      <c r="U26" s="141">
        <v>281.08707284292342</v>
      </c>
      <c r="V26" s="141">
        <v>293.92951094468242</v>
      </c>
      <c r="W26" s="141">
        <v>219.19614621800267</v>
      </c>
      <c r="X26" s="141">
        <v>207.33772780580333</v>
      </c>
      <c r="Y26" s="141">
        <v>243.48745041378533</v>
      </c>
      <c r="DA26" s="171" t="s">
        <v>592</v>
      </c>
    </row>
    <row r="27" spans="1:105" ht="12" customHeight="1" x14ac:dyDescent="0.25">
      <c r="A27" s="144" t="s">
        <v>26</v>
      </c>
      <c r="B27" s="150"/>
      <c r="C27" s="150">
        <v>246.07173230199086</v>
      </c>
      <c r="D27" s="150">
        <v>302.97356671211105</v>
      </c>
      <c r="E27" s="150">
        <v>345.63656703578067</v>
      </c>
      <c r="F27" s="150">
        <v>441.5711188779577</v>
      </c>
      <c r="G27" s="150">
        <v>460.24241225166372</v>
      </c>
      <c r="H27" s="150">
        <v>444.75389935074793</v>
      </c>
      <c r="I27" s="150">
        <v>541.88388124696644</v>
      </c>
      <c r="J27" s="150">
        <v>538.83299642359907</v>
      </c>
      <c r="K27" s="150">
        <v>662.27009735304273</v>
      </c>
      <c r="L27" s="150">
        <v>701.5474228055765</v>
      </c>
      <c r="M27" s="150">
        <v>543.60543523680315</v>
      </c>
      <c r="N27" s="150">
        <v>412.39134170930805</v>
      </c>
      <c r="O27" s="150">
        <v>53.693462223322179</v>
      </c>
      <c r="P27" s="150">
        <v>84.422103603857252</v>
      </c>
      <c r="Q27" s="150">
        <v>84.809471086880038</v>
      </c>
      <c r="R27" s="150">
        <v>280.72370902277254</v>
      </c>
      <c r="S27" s="150">
        <v>407.70759623309249</v>
      </c>
      <c r="T27" s="150">
        <v>355.65783184881309</v>
      </c>
      <c r="U27" s="150">
        <v>333.64792503295917</v>
      </c>
      <c r="V27" s="150">
        <v>364.86871847267543</v>
      </c>
      <c r="W27" s="150">
        <v>260.24924666185024</v>
      </c>
      <c r="X27" s="150">
        <v>0</v>
      </c>
      <c r="Y27" s="150">
        <v>3.3009875628564606E-12</v>
      </c>
      <c r="DA27" s="173" t="s">
        <v>593</v>
      </c>
    </row>
    <row r="28" spans="1:105" ht="12" hidden="1" customHeight="1" x14ac:dyDescent="0.25">
      <c r="A28" s="78" t="s">
        <v>26</v>
      </c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DA28" s="174"/>
    </row>
    <row r="29" spans="1:105" ht="12.95" customHeight="1" x14ac:dyDescent="0.25">
      <c r="A29" s="129" t="s">
        <v>34</v>
      </c>
      <c r="B29" s="139"/>
      <c r="C29" s="139">
        <f t="shared" ref="C29:Q29" si="13">SUM(C30:C33)</f>
        <v>391.51955459205618</v>
      </c>
      <c r="D29" s="139">
        <f t="shared" si="13"/>
        <v>302.97356671211105</v>
      </c>
      <c r="E29" s="139">
        <f t="shared" si="13"/>
        <v>349.95320196844597</v>
      </c>
      <c r="F29" s="139">
        <f t="shared" si="13"/>
        <v>448.42686455957158</v>
      </c>
      <c r="G29" s="139">
        <f t="shared" si="13"/>
        <v>465.01113488929582</v>
      </c>
      <c r="H29" s="139">
        <f t="shared" si="13"/>
        <v>449.09874271266324</v>
      </c>
      <c r="I29" s="139">
        <f t="shared" si="13"/>
        <v>541.88388124696633</v>
      </c>
      <c r="J29" s="139">
        <f t="shared" si="13"/>
        <v>538.83299642359907</v>
      </c>
      <c r="K29" s="139">
        <f t="shared" si="13"/>
        <v>701.1610942845814</v>
      </c>
      <c r="L29" s="139">
        <f t="shared" si="13"/>
        <v>758.84428015576509</v>
      </c>
      <c r="M29" s="139">
        <f t="shared" si="13"/>
        <v>555.94924659283106</v>
      </c>
      <c r="N29" s="139">
        <f t="shared" si="13"/>
        <v>573.76751829049408</v>
      </c>
      <c r="O29" s="139">
        <f t="shared" si="13"/>
        <v>94.486802478846087</v>
      </c>
      <c r="P29" s="139">
        <f t="shared" si="13"/>
        <v>86.094463073044864</v>
      </c>
      <c r="Q29" s="139">
        <f t="shared" si="13"/>
        <v>84.809471086880052</v>
      </c>
      <c r="R29" s="139">
        <f t="shared" ref="R29:W29" si="14">SUM(R30:R33)</f>
        <v>285.4050693735453</v>
      </c>
      <c r="S29" s="139">
        <f t="shared" si="14"/>
        <v>407.70759623309243</v>
      </c>
      <c r="T29" s="139">
        <f t="shared" si="14"/>
        <v>408.17263657456067</v>
      </c>
      <c r="U29" s="139">
        <f t="shared" si="14"/>
        <v>402.40368288265825</v>
      </c>
      <c r="V29" s="139">
        <f t="shared" si="14"/>
        <v>364.86871847267537</v>
      </c>
      <c r="W29" s="139">
        <f t="shared" si="14"/>
        <v>356.83342700859527</v>
      </c>
      <c r="X29" s="139">
        <f t="shared" ref="X29:Y29" si="15">SUM(X30:X33)</f>
        <v>348.94472126110247</v>
      </c>
      <c r="Y29" s="139">
        <f t="shared" si="15"/>
        <v>341.44502880943952</v>
      </c>
      <c r="DA29" s="169" t="s">
        <v>594</v>
      </c>
    </row>
    <row r="30" spans="1:105" s="2" customFormat="1" ht="12" customHeight="1" x14ac:dyDescent="0.25">
      <c r="A30" s="131" t="s">
        <v>52</v>
      </c>
      <c r="B30" s="140"/>
      <c r="C30" s="140">
        <v>0</v>
      </c>
      <c r="D30" s="140">
        <v>0</v>
      </c>
      <c r="E30" s="140">
        <v>0</v>
      </c>
      <c r="F30" s="140">
        <v>0</v>
      </c>
      <c r="G30" s="140">
        <v>0</v>
      </c>
      <c r="H30" s="140">
        <v>388.81116219304141</v>
      </c>
      <c r="I30" s="140">
        <v>196.53363189555589</v>
      </c>
      <c r="J30" s="140">
        <v>90.969917484917957</v>
      </c>
      <c r="K30" s="140">
        <v>0</v>
      </c>
      <c r="L30" s="140">
        <v>27.786839901516288</v>
      </c>
      <c r="M30" s="140">
        <v>139.86443168442773</v>
      </c>
      <c r="N30" s="140">
        <v>93.022484715372343</v>
      </c>
      <c r="O30" s="140">
        <v>10.046930873198651</v>
      </c>
      <c r="P30" s="140">
        <v>7.8603122982909657</v>
      </c>
      <c r="Q30" s="140">
        <v>30.016157007728847</v>
      </c>
      <c r="R30" s="140">
        <v>112.51947928975355</v>
      </c>
      <c r="S30" s="140">
        <v>250.89076197374837</v>
      </c>
      <c r="T30" s="140">
        <v>144.14721410314408</v>
      </c>
      <c r="U30" s="140">
        <v>48.519825399204997</v>
      </c>
      <c r="V30" s="140">
        <v>53.207828851883946</v>
      </c>
      <c r="W30" s="140">
        <v>31.666342525682047</v>
      </c>
      <c r="X30" s="140">
        <v>5.7390011333596078</v>
      </c>
      <c r="Y30" s="140">
        <v>36.623012984025756</v>
      </c>
      <c r="DA30" s="170" t="s">
        <v>595</v>
      </c>
    </row>
    <row r="31" spans="1:105" ht="12" customHeight="1" x14ac:dyDescent="0.25">
      <c r="A31" s="131" t="s">
        <v>149</v>
      </c>
      <c r="B31" s="140"/>
      <c r="C31" s="140">
        <v>0</v>
      </c>
      <c r="D31" s="140">
        <v>0</v>
      </c>
      <c r="E31" s="140">
        <v>0</v>
      </c>
      <c r="F31" s="140">
        <v>0</v>
      </c>
      <c r="G31" s="140">
        <v>0</v>
      </c>
      <c r="H31" s="140">
        <v>0</v>
      </c>
      <c r="I31" s="140">
        <v>0</v>
      </c>
      <c r="J31" s="140">
        <v>0</v>
      </c>
      <c r="K31" s="140">
        <v>0</v>
      </c>
      <c r="L31" s="140">
        <v>0</v>
      </c>
      <c r="M31" s="140">
        <v>0</v>
      </c>
      <c r="N31" s="140">
        <v>0</v>
      </c>
      <c r="O31" s="140">
        <v>0</v>
      </c>
      <c r="P31" s="140">
        <v>0</v>
      </c>
      <c r="Q31" s="140">
        <v>0</v>
      </c>
      <c r="R31" s="140">
        <v>0</v>
      </c>
      <c r="S31" s="140">
        <v>0</v>
      </c>
      <c r="T31" s="140">
        <v>0</v>
      </c>
      <c r="U31" s="140">
        <v>0</v>
      </c>
      <c r="V31" s="140">
        <v>0</v>
      </c>
      <c r="W31" s="140">
        <v>0</v>
      </c>
      <c r="X31" s="140">
        <v>0</v>
      </c>
      <c r="Y31" s="140">
        <v>0</v>
      </c>
      <c r="DA31" s="170" t="s">
        <v>596</v>
      </c>
    </row>
    <row r="32" spans="1:105" ht="12" customHeight="1" x14ac:dyDescent="0.25">
      <c r="A32" s="131" t="s">
        <v>128</v>
      </c>
      <c r="B32" s="140"/>
      <c r="C32" s="140">
        <v>41.249241152281741</v>
      </c>
      <c r="D32" s="140">
        <v>49.443672674096938</v>
      </c>
      <c r="E32" s="140">
        <v>48.836386155391892</v>
      </c>
      <c r="F32" s="140">
        <v>69.758779407430723</v>
      </c>
      <c r="G32" s="140">
        <v>86.523658549100631</v>
      </c>
      <c r="H32" s="140">
        <v>60.287580519621834</v>
      </c>
      <c r="I32" s="140">
        <v>136.760394043118</v>
      </c>
      <c r="J32" s="140">
        <v>68.257873360046233</v>
      </c>
      <c r="K32" s="140">
        <v>63.815935016418301</v>
      </c>
      <c r="L32" s="140">
        <v>61.042909292143072</v>
      </c>
      <c r="M32" s="140">
        <v>63.205799841480506</v>
      </c>
      <c r="N32" s="140">
        <v>67.997808131314542</v>
      </c>
      <c r="O32" s="140">
        <v>13.942025281593239</v>
      </c>
      <c r="P32" s="140">
        <v>13.912317945400517</v>
      </c>
      <c r="Q32" s="140">
        <v>12.481680091822904</v>
      </c>
      <c r="R32" s="140">
        <v>39.292636467075518</v>
      </c>
      <c r="S32" s="140">
        <v>65.750089076313358</v>
      </c>
      <c r="T32" s="140">
        <v>77.851108626577599</v>
      </c>
      <c r="U32" s="140">
        <v>50.119902781521475</v>
      </c>
      <c r="V32" s="140">
        <v>40.806295139842767</v>
      </c>
      <c r="W32" s="140">
        <v>5.666180801652799</v>
      </c>
      <c r="X32" s="140">
        <v>0</v>
      </c>
      <c r="Y32" s="140">
        <v>10.818498326884622</v>
      </c>
      <c r="DA32" s="170" t="s">
        <v>597</v>
      </c>
    </row>
    <row r="33" spans="1:105" ht="12" customHeight="1" x14ac:dyDescent="0.25">
      <c r="A33" s="62" t="s">
        <v>24</v>
      </c>
      <c r="B33" s="152"/>
      <c r="C33" s="152">
        <v>350.27031343977444</v>
      </c>
      <c r="D33" s="152">
        <v>253.52989403801413</v>
      </c>
      <c r="E33" s="152">
        <v>301.11681581305407</v>
      </c>
      <c r="F33" s="152">
        <v>378.66808515214086</v>
      </c>
      <c r="G33" s="152">
        <v>378.4874763401952</v>
      </c>
      <c r="H33" s="152">
        <v>0</v>
      </c>
      <c r="I33" s="152">
        <v>208.58985530829241</v>
      </c>
      <c r="J33" s="152">
        <v>379.60520557863487</v>
      </c>
      <c r="K33" s="152">
        <v>637.34515926816312</v>
      </c>
      <c r="L33" s="152">
        <v>670.01453096210571</v>
      </c>
      <c r="M33" s="152">
        <v>352.87901506692282</v>
      </c>
      <c r="N33" s="152">
        <v>412.74722544380722</v>
      </c>
      <c r="O33" s="152">
        <v>70.497846324054194</v>
      </c>
      <c r="P33" s="152">
        <v>64.321832829353383</v>
      </c>
      <c r="Q33" s="152">
        <v>42.311633987328293</v>
      </c>
      <c r="R33" s="152">
        <v>133.59295361671624</v>
      </c>
      <c r="S33" s="152">
        <v>91.066745183030704</v>
      </c>
      <c r="T33" s="152">
        <v>186.17431384483902</v>
      </c>
      <c r="U33" s="152">
        <v>303.76395470193177</v>
      </c>
      <c r="V33" s="152">
        <v>270.85459448094866</v>
      </c>
      <c r="W33" s="152">
        <v>319.50090368126041</v>
      </c>
      <c r="X33" s="152">
        <v>343.20572012774289</v>
      </c>
      <c r="Y33" s="152">
        <v>294.00351749852916</v>
      </c>
      <c r="DA33" s="175" t="s">
        <v>598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Y15 C19:Y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/>
      <c r="C3" s="125">
        <f t="shared" ref="C3:Q3" si="0">SUM(C4,C16,C19,C29)</f>
        <v>2.7355357473433637</v>
      </c>
      <c r="D3" s="125">
        <f t="shared" si="0"/>
        <v>2.0939968916220386</v>
      </c>
      <c r="E3" s="125">
        <f t="shared" si="0"/>
        <v>2.3442841959524592</v>
      </c>
      <c r="F3" s="125">
        <f t="shared" si="0"/>
        <v>2.8675754959878388</v>
      </c>
      <c r="G3" s="125">
        <f t="shared" si="0"/>
        <v>2.9814043312378979</v>
      </c>
      <c r="H3" s="125">
        <f t="shared" si="0"/>
        <v>4.2502222224460633</v>
      </c>
      <c r="I3" s="125">
        <f t="shared" si="0"/>
        <v>4.5378253276460985</v>
      </c>
      <c r="J3" s="125">
        <f t="shared" si="0"/>
        <v>4.9591855315887594</v>
      </c>
      <c r="K3" s="125">
        <f t="shared" si="0"/>
        <v>5.5558662885522994</v>
      </c>
      <c r="L3" s="125">
        <f t="shared" si="0"/>
        <v>5.7832928338784209</v>
      </c>
      <c r="M3" s="125">
        <f t="shared" si="0"/>
        <v>3.3469853634647437</v>
      </c>
      <c r="N3" s="125">
        <f t="shared" si="0"/>
        <v>3.3034784051137827</v>
      </c>
      <c r="O3" s="125">
        <f t="shared" si="0"/>
        <v>0.50058713570852476</v>
      </c>
      <c r="P3" s="125">
        <f t="shared" si="0"/>
        <v>0.38956699815745488</v>
      </c>
      <c r="Q3" s="125">
        <f t="shared" si="0"/>
        <v>0.48555451619101664</v>
      </c>
      <c r="R3" s="125">
        <f t="shared" ref="R3:W3" si="1">SUM(R4,R16,R19,R29)</f>
        <v>1.9595006729457229</v>
      </c>
      <c r="S3" s="125">
        <f t="shared" si="1"/>
        <v>2.513785764574914</v>
      </c>
      <c r="T3" s="125">
        <f t="shared" si="1"/>
        <v>2.3768061506837892</v>
      </c>
      <c r="U3" s="125">
        <f t="shared" si="1"/>
        <v>2.3682507848337622</v>
      </c>
      <c r="V3" s="125">
        <f t="shared" si="1"/>
        <v>1.7143822387330896</v>
      </c>
      <c r="W3" s="125">
        <f t="shared" si="1"/>
        <v>2.0863238491897085</v>
      </c>
      <c r="X3" s="125">
        <f t="shared" ref="X3:Y3" si="2">SUM(X4,X16,X19,X29)</f>
        <v>2.1491070905324228</v>
      </c>
      <c r="Y3" s="125">
        <f t="shared" si="2"/>
        <v>1.7555946603740549</v>
      </c>
      <c r="DA3" s="154" t="s">
        <v>600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0.67986954734556659</v>
      </c>
      <c r="D4" s="130">
        <f t="shared" si="3"/>
        <v>0.61529654132624412</v>
      </c>
      <c r="E4" s="130">
        <f t="shared" si="3"/>
        <v>0.59880819702286336</v>
      </c>
      <c r="F4" s="130">
        <f t="shared" si="3"/>
        <v>0.84867696285821415</v>
      </c>
      <c r="G4" s="130">
        <f t="shared" si="3"/>
        <v>0.96416654066541585</v>
      </c>
      <c r="H4" s="130">
        <f t="shared" si="3"/>
        <v>1.5603084575789694</v>
      </c>
      <c r="I4" s="130">
        <f t="shared" si="3"/>
        <v>1.6926893797743323</v>
      </c>
      <c r="J4" s="130">
        <f t="shared" si="3"/>
        <v>2.319261299708709</v>
      </c>
      <c r="K4" s="130">
        <f t="shared" si="3"/>
        <v>2.5647894070172321</v>
      </c>
      <c r="L4" s="130">
        <f t="shared" si="3"/>
        <v>2.5534226326510963</v>
      </c>
      <c r="M4" s="130">
        <f t="shared" si="3"/>
        <v>1.1545773538392969</v>
      </c>
      <c r="N4" s="130">
        <f t="shared" si="3"/>
        <v>0.85949450218081791</v>
      </c>
      <c r="O4" s="130">
        <f t="shared" si="3"/>
        <v>0.13316142644069509</v>
      </c>
      <c r="P4" s="130">
        <f t="shared" si="3"/>
        <v>7.0229746533989432E-2</v>
      </c>
      <c r="Q4" s="130">
        <f t="shared" si="3"/>
        <v>0.16544680916427743</v>
      </c>
      <c r="R4" s="130">
        <f t="shared" ref="R4:W4" si="4">SUM(R5:R15)</f>
        <v>0.88026102293223096</v>
      </c>
      <c r="S4" s="130">
        <f t="shared" si="4"/>
        <v>0.97016627575463699</v>
      </c>
      <c r="T4" s="130">
        <f t="shared" si="4"/>
        <v>0.76609121824265092</v>
      </c>
      <c r="U4" s="130">
        <f t="shared" si="4"/>
        <v>0.97601915756404756</v>
      </c>
      <c r="V4" s="130">
        <f t="shared" si="4"/>
        <v>0.543050467481758</v>
      </c>
      <c r="W4" s="130">
        <f t="shared" si="4"/>
        <v>0.97812511388783907</v>
      </c>
      <c r="X4" s="130">
        <f t="shared" ref="X4:Y4" si="5">SUM(X5:X15)</f>
        <v>1.1086723363531643</v>
      </c>
      <c r="Y4" s="130">
        <f t="shared" si="5"/>
        <v>0.62916289415550686</v>
      </c>
      <c r="DA4" s="155" t="s">
        <v>601</v>
      </c>
    </row>
    <row r="5" spans="1:105" ht="12" customHeight="1" x14ac:dyDescent="0.25">
      <c r="A5" s="131" t="s">
        <v>29</v>
      </c>
      <c r="B5" s="132"/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602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603</v>
      </c>
    </row>
    <row r="7" spans="1:105" ht="12" customHeight="1" x14ac:dyDescent="0.25">
      <c r="A7" s="131" t="s">
        <v>161</v>
      </c>
      <c r="B7" s="132"/>
      <c r="C7" s="132">
        <v>0</v>
      </c>
      <c r="D7" s="132">
        <v>0</v>
      </c>
      <c r="E7" s="132">
        <v>0</v>
      </c>
      <c r="F7" s="132">
        <v>0</v>
      </c>
      <c r="G7" s="132">
        <v>0</v>
      </c>
      <c r="H7" s="132">
        <v>0</v>
      </c>
      <c r="I7" s="132">
        <v>0</v>
      </c>
      <c r="J7" s="132">
        <v>0.86456341573485496</v>
      </c>
      <c r="K7" s="132">
        <v>0.99124481770223971</v>
      </c>
      <c r="L7" s="132">
        <v>1.7116144279502687</v>
      </c>
      <c r="M7" s="132">
        <v>0.85590700961238486</v>
      </c>
      <c r="N7" s="132">
        <v>0.53475556912254718</v>
      </c>
      <c r="O7" s="132">
        <v>5.793546512810014E-2</v>
      </c>
      <c r="P7" s="132">
        <v>0</v>
      </c>
      <c r="Q7" s="132">
        <v>0</v>
      </c>
      <c r="R7" s="132">
        <v>0</v>
      </c>
      <c r="S7" s="132">
        <v>0</v>
      </c>
      <c r="T7" s="132">
        <v>4.0619175549910257E-2</v>
      </c>
      <c r="U7" s="132">
        <v>0.25635917586924717</v>
      </c>
      <c r="V7" s="132">
        <v>0.13507900807073411</v>
      </c>
      <c r="W7" s="132">
        <v>9.6311743346699563E-2</v>
      </c>
      <c r="X7" s="132">
        <v>8.7534735856024198E-2</v>
      </c>
      <c r="Y7" s="132">
        <v>0.20328572739318118</v>
      </c>
      <c r="DA7" s="156" t="s">
        <v>604</v>
      </c>
    </row>
    <row r="8" spans="1:105" ht="12" customHeight="1" x14ac:dyDescent="0.25">
      <c r="A8" s="131" t="s">
        <v>73</v>
      </c>
      <c r="B8" s="132"/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605</v>
      </c>
    </row>
    <row r="9" spans="1:105" ht="12" customHeight="1" x14ac:dyDescent="0.25">
      <c r="A9" s="131" t="s">
        <v>78</v>
      </c>
      <c r="B9" s="132"/>
      <c r="C9" s="132">
        <v>0</v>
      </c>
      <c r="D9" s="132">
        <v>0</v>
      </c>
      <c r="E9" s="132">
        <v>0</v>
      </c>
      <c r="F9" s="132">
        <v>0</v>
      </c>
      <c r="G9" s="132">
        <v>0</v>
      </c>
      <c r="H9" s="132">
        <v>0</v>
      </c>
      <c r="I9" s="132">
        <v>0</v>
      </c>
      <c r="J9" s="132">
        <v>0</v>
      </c>
      <c r="K9" s="132">
        <v>7.7902212492484468E-2</v>
      </c>
      <c r="L9" s="132">
        <v>1.9960477787035056E-2</v>
      </c>
      <c r="M9" s="132">
        <v>4.0983967225244689E-3</v>
      </c>
      <c r="N9" s="132">
        <v>1.2363817003821194E-3</v>
      </c>
      <c r="O9" s="132">
        <v>0</v>
      </c>
      <c r="P9" s="132">
        <v>7.4035473911798278E-5</v>
      </c>
      <c r="Q9" s="132">
        <v>4.0161164611024009E-4</v>
      </c>
      <c r="R9" s="132">
        <v>1.6069048455128354E-2</v>
      </c>
      <c r="S9" s="132">
        <v>2.150779312516491E-2</v>
      </c>
      <c r="T9" s="132">
        <v>5.05714115644793E-2</v>
      </c>
      <c r="U9" s="132">
        <v>2.0872507456745761E-2</v>
      </c>
      <c r="V9" s="132">
        <v>4.0265437897196218E-3</v>
      </c>
      <c r="W9" s="132">
        <v>4.645283817132413E-3</v>
      </c>
      <c r="X9" s="132">
        <v>2.1306629821289435E-3</v>
      </c>
      <c r="Y9" s="132">
        <v>1.27438111718696E-3</v>
      </c>
      <c r="DA9" s="156" t="s">
        <v>606</v>
      </c>
    </row>
    <row r="10" spans="1:105" ht="12" customHeight="1" x14ac:dyDescent="0.25">
      <c r="A10" s="131" t="s">
        <v>128</v>
      </c>
      <c r="B10" s="132"/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0.13738435895607357</v>
      </c>
      <c r="J10" s="132">
        <v>0.17402507427141037</v>
      </c>
      <c r="K10" s="132">
        <v>0</v>
      </c>
      <c r="L10" s="132">
        <v>4.2620130816129728E-4</v>
      </c>
      <c r="M10" s="132">
        <v>5.4356469088885431E-3</v>
      </c>
      <c r="N10" s="132">
        <v>1.7889254709856372E-2</v>
      </c>
      <c r="O10" s="132">
        <v>3.2121980508724238E-3</v>
      </c>
      <c r="P10" s="132">
        <v>7.376245210658619E-3</v>
      </c>
      <c r="Q10" s="132">
        <v>6.6010073429168148E-2</v>
      </c>
      <c r="R10" s="132">
        <v>7.1481464030390476E-3</v>
      </c>
      <c r="S10" s="132">
        <v>0</v>
      </c>
      <c r="T10" s="132">
        <v>0</v>
      </c>
      <c r="U10" s="132">
        <v>0</v>
      </c>
      <c r="V10" s="132">
        <v>4.7588993036032472E-3</v>
      </c>
      <c r="W10" s="132">
        <v>6.5654503859017235E-2</v>
      </c>
      <c r="X10" s="132">
        <v>8.2355557463543561E-2</v>
      </c>
      <c r="Y10" s="132">
        <v>1.7926120690975329E-2</v>
      </c>
      <c r="DA10" s="156" t="s">
        <v>607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608</v>
      </c>
    </row>
    <row r="12" spans="1:105" ht="12" customHeight="1" x14ac:dyDescent="0.25">
      <c r="A12" s="131" t="s">
        <v>162</v>
      </c>
      <c r="B12" s="132"/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609</v>
      </c>
    </row>
    <row r="13" spans="1:105" ht="12" customHeight="1" x14ac:dyDescent="0.25">
      <c r="A13" s="131" t="s">
        <v>77</v>
      </c>
      <c r="B13" s="132"/>
      <c r="C13" s="132">
        <v>4.2487221234135904E-2</v>
      </c>
      <c r="D13" s="132">
        <v>5.3870524713396893E-2</v>
      </c>
      <c r="E13" s="132">
        <v>8.3948912664345954E-2</v>
      </c>
      <c r="F13" s="132">
        <v>0.10371649415380921</v>
      </c>
      <c r="G13" s="132">
        <v>0.11208352479743994</v>
      </c>
      <c r="H13" s="132">
        <v>4.0943182942628699E-2</v>
      </c>
      <c r="I13" s="132">
        <v>0.1028933102736278</v>
      </c>
      <c r="J13" s="132">
        <v>7.191653440339181E-2</v>
      </c>
      <c r="K13" s="132">
        <v>0.1777554572551821</v>
      </c>
      <c r="L13" s="132">
        <v>0.29068837256711827</v>
      </c>
      <c r="M13" s="132">
        <v>0.28167001317993723</v>
      </c>
      <c r="N13" s="132">
        <v>0.30071768156162121</v>
      </c>
      <c r="O13" s="132">
        <v>7.14514999911086E-2</v>
      </c>
      <c r="P13" s="132">
        <v>6.2745732669239551E-2</v>
      </c>
      <c r="Q13" s="132">
        <v>4.2037512434042822E-2</v>
      </c>
      <c r="R13" s="132">
        <v>7.4005309045263326E-2</v>
      </c>
      <c r="S13" s="132">
        <v>0.15989619782046599</v>
      </c>
      <c r="T13" s="132">
        <v>0.17309513674812596</v>
      </c>
      <c r="U13" s="132">
        <v>0.14058329457442165</v>
      </c>
      <c r="V13" s="132">
        <v>8.6769135258141464E-2</v>
      </c>
      <c r="W13" s="132">
        <v>2.84587853395117E-2</v>
      </c>
      <c r="X13" s="132">
        <v>1.7707328755096334E-2</v>
      </c>
      <c r="Y13" s="132">
        <v>6.9719568210131422E-2</v>
      </c>
      <c r="DA13" s="156" t="s">
        <v>610</v>
      </c>
    </row>
    <row r="14" spans="1:105" ht="12" customHeight="1" x14ac:dyDescent="0.25">
      <c r="A14" s="60" t="s">
        <v>76</v>
      </c>
      <c r="B14" s="65"/>
      <c r="C14" s="65">
        <v>0.63738232611143064</v>
      </c>
      <c r="D14" s="65">
        <v>0.56142601661284719</v>
      </c>
      <c r="E14" s="65">
        <v>0.51485928435851747</v>
      </c>
      <c r="F14" s="65">
        <v>0.74496046870440491</v>
      </c>
      <c r="G14" s="65">
        <v>0.85208301586797597</v>
      </c>
      <c r="H14" s="65">
        <v>1.5193652746363406</v>
      </c>
      <c r="I14" s="65">
        <v>1.4518397670445466</v>
      </c>
      <c r="J14" s="65">
        <v>1.2008880079977773</v>
      </c>
      <c r="K14" s="65">
        <v>1.3086337551769618</v>
      </c>
      <c r="L14" s="65">
        <v>0.51605757596004687</v>
      </c>
      <c r="M14" s="65">
        <v>0</v>
      </c>
      <c r="N14" s="65">
        <v>0</v>
      </c>
      <c r="O14" s="65">
        <v>0</v>
      </c>
      <c r="P14" s="65">
        <v>0</v>
      </c>
      <c r="Q14" s="65">
        <v>5.6698477878848588E-2</v>
      </c>
      <c r="R14" s="65">
        <v>0.78277154277666694</v>
      </c>
      <c r="S14" s="65">
        <v>0.78844594504637511</v>
      </c>
      <c r="T14" s="65">
        <v>0.50062727604587376</v>
      </c>
      <c r="U14" s="65">
        <v>0.55519543049620967</v>
      </c>
      <c r="V14" s="65">
        <v>0.31091381232533749</v>
      </c>
      <c r="W14" s="65">
        <v>0.78166430414095822</v>
      </c>
      <c r="X14" s="65">
        <v>0.91759325258900448</v>
      </c>
      <c r="Y14" s="65">
        <v>0.33471423457957061</v>
      </c>
      <c r="DA14" s="109" t="s">
        <v>611</v>
      </c>
    </row>
    <row r="15" spans="1:105" ht="12" customHeight="1" x14ac:dyDescent="0.25">
      <c r="A15" s="133" t="s">
        <v>80</v>
      </c>
      <c r="B15" s="134"/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5.7194350008436454E-4</v>
      </c>
      <c r="J15" s="134">
        <v>7.8682673012743266E-3</v>
      </c>
      <c r="K15" s="134">
        <v>9.2531643903642092E-3</v>
      </c>
      <c r="L15" s="134">
        <v>1.4675577078466484E-2</v>
      </c>
      <c r="M15" s="134">
        <v>7.4662874155618231E-3</v>
      </c>
      <c r="N15" s="134">
        <v>4.895615086411122E-3</v>
      </c>
      <c r="O15" s="134">
        <v>5.6226327061393981E-4</v>
      </c>
      <c r="P15" s="134">
        <v>3.3733180179456055E-5</v>
      </c>
      <c r="Q15" s="134">
        <v>2.9913377610759593E-4</v>
      </c>
      <c r="R15" s="134">
        <v>2.6697625213322997E-4</v>
      </c>
      <c r="S15" s="134">
        <v>3.1633976263099601E-4</v>
      </c>
      <c r="T15" s="134">
        <v>1.1782183342616752E-3</v>
      </c>
      <c r="U15" s="134">
        <v>3.0087491674233857E-3</v>
      </c>
      <c r="V15" s="134">
        <v>1.5030687342220989E-3</v>
      </c>
      <c r="W15" s="134">
        <v>1.3904933845198726E-3</v>
      </c>
      <c r="X15" s="134">
        <v>1.3507987073667698E-3</v>
      </c>
      <c r="Y15" s="134">
        <v>2.2428621644613651E-3</v>
      </c>
      <c r="DA15" s="157" t="s">
        <v>612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1.0114447546154732</v>
      </c>
      <c r="D16" s="130">
        <f t="shared" si="6"/>
        <v>0.72397062410873891</v>
      </c>
      <c r="E16" s="130">
        <f t="shared" si="6"/>
        <v>0.86622200396041926</v>
      </c>
      <c r="F16" s="130">
        <f t="shared" si="6"/>
        <v>0.88326799522203303</v>
      </c>
      <c r="G16" s="130">
        <f t="shared" si="6"/>
        <v>0.80498478325380241</v>
      </c>
      <c r="H16" s="130">
        <f t="shared" si="6"/>
        <v>0.86033530231436817</v>
      </c>
      <c r="I16" s="130">
        <f t="shared" si="6"/>
        <v>1.1192692087008651</v>
      </c>
      <c r="J16" s="130">
        <f t="shared" si="6"/>
        <v>1.0915652673781999</v>
      </c>
      <c r="K16" s="130">
        <f t="shared" si="6"/>
        <v>1.311094955292242</v>
      </c>
      <c r="L16" s="130">
        <f t="shared" si="6"/>
        <v>1.42477835152345</v>
      </c>
      <c r="M16" s="130">
        <f t="shared" si="6"/>
        <v>0.85580450997662683</v>
      </c>
      <c r="N16" s="130">
        <f t="shared" si="6"/>
        <v>1.0139264043745846</v>
      </c>
      <c r="O16" s="130">
        <f t="shared" si="6"/>
        <v>0.13142044300411171</v>
      </c>
      <c r="P16" s="130">
        <f t="shared" si="6"/>
        <v>0.100264952249599</v>
      </c>
      <c r="Q16" s="130">
        <f t="shared" si="6"/>
        <v>0.10128787485750945</v>
      </c>
      <c r="R16" s="130">
        <f t="shared" ref="R16:W16" si="7">SUM(R17:R18)</f>
        <v>0.36781325836438949</v>
      </c>
      <c r="S16" s="130">
        <f t="shared" si="7"/>
        <v>0.47926421573688949</v>
      </c>
      <c r="T16" s="130">
        <f t="shared" si="7"/>
        <v>0.58486835245887159</v>
      </c>
      <c r="U16" s="130">
        <f t="shared" si="7"/>
        <v>0.4685159593039217</v>
      </c>
      <c r="V16" s="130">
        <f t="shared" si="7"/>
        <v>0.42213447905269158</v>
      </c>
      <c r="W16" s="130">
        <f t="shared" si="7"/>
        <v>0.34811603140065001</v>
      </c>
      <c r="X16" s="130">
        <f t="shared" ref="X16:Y16" si="8">SUM(X17:X18)</f>
        <v>0.29262667426380184</v>
      </c>
      <c r="Y16" s="130">
        <f t="shared" si="8"/>
        <v>0.32163988707090679</v>
      </c>
      <c r="DA16" s="155" t="s">
        <v>613</v>
      </c>
    </row>
    <row r="17" spans="1:105" ht="12.95" customHeight="1" x14ac:dyDescent="0.25">
      <c r="A17" s="131" t="s">
        <v>73</v>
      </c>
      <c r="B17" s="132"/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614</v>
      </c>
    </row>
    <row r="18" spans="1:105" ht="12" customHeight="1" x14ac:dyDescent="0.25">
      <c r="A18" s="131" t="s">
        <v>72</v>
      </c>
      <c r="B18" s="132"/>
      <c r="C18" s="132">
        <v>1.0114447546154732</v>
      </c>
      <c r="D18" s="132">
        <v>0.72397062410873891</v>
      </c>
      <c r="E18" s="132">
        <v>0.86622200396041926</v>
      </c>
      <c r="F18" s="132">
        <v>0.88326799522203303</v>
      </c>
      <c r="G18" s="132">
        <v>0.80498478325380241</v>
      </c>
      <c r="H18" s="132">
        <v>0.86033530231436817</v>
      </c>
      <c r="I18" s="132">
        <v>1.1192692087008651</v>
      </c>
      <c r="J18" s="132">
        <v>1.0915652673781999</v>
      </c>
      <c r="K18" s="132">
        <v>1.311094955292242</v>
      </c>
      <c r="L18" s="132">
        <v>1.42477835152345</v>
      </c>
      <c r="M18" s="132">
        <v>0.85580450997662683</v>
      </c>
      <c r="N18" s="132">
        <v>1.0139264043745846</v>
      </c>
      <c r="O18" s="132">
        <v>0.13142044300411171</v>
      </c>
      <c r="P18" s="132">
        <v>0.100264952249599</v>
      </c>
      <c r="Q18" s="132">
        <v>0.10128787485750945</v>
      </c>
      <c r="R18" s="132">
        <v>0.36781325836438949</v>
      </c>
      <c r="S18" s="132">
        <v>0.47926421573688949</v>
      </c>
      <c r="T18" s="132">
        <v>0.58486835245887159</v>
      </c>
      <c r="U18" s="132">
        <v>0.4685159593039217</v>
      </c>
      <c r="V18" s="132">
        <v>0.42213447905269158</v>
      </c>
      <c r="W18" s="132">
        <v>0.34811603140065001</v>
      </c>
      <c r="X18" s="132">
        <v>0.29262667426380184</v>
      </c>
      <c r="Y18" s="132">
        <v>0.32163988707090679</v>
      </c>
      <c r="DA18" s="156" t="s">
        <v>615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0.54358052882952101</v>
      </c>
      <c r="D19" s="130">
        <f t="shared" si="9"/>
        <v>0.35122955055481386</v>
      </c>
      <c r="E19" s="130">
        <f t="shared" si="9"/>
        <v>0.42157071963048587</v>
      </c>
      <c r="F19" s="130">
        <f t="shared" si="9"/>
        <v>0.53436233767778696</v>
      </c>
      <c r="G19" s="130">
        <f t="shared" si="9"/>
        <v>0.57002885687602856</v>
      </c>
      <c r="H19" s="130">
        <f t="shared" si="9"/>
        <v>0.82297540341577224</v>
      </c>
      <c r="I19" s="130">
        <f t="shared" si="9"/>
        <v>0.84608329112346925</v>
      </c>
      <c r="J19" s="130">
        <f t="shared" si="9"/>
        <v>0.7712001988961632</v>
      </c>
      <c r="K19" s="130">
        <f t="shared" si="9"/>
        <v>0.72186940822744827</v>
      </c>
      <c r="L19" s="130">
        <f t="shared" si="9"/>
        <v>0.77309155212789349</v>
      </c>
      <c r="M19" s="130">
        <f t="shared" si="9"/>
        <v>0.53935363067457709</v>
      </c>
      <c r="N19" s="130">
        <f t="shared" si="9"/>
        <v>0.634833423822738</v>
      </c>
      <c r="O19" s="130">
        <f t="shared" si="9"/>
        <v>0.10853917263794724</v>
      </c>
      <c r="P19" s="130">
        <f t="shared" si="9"/>
        <v>0.10063376274133162</v>
      </c>
      <c r="Q19" s="130">
        <f t="shared" si="9"/>
        <v>9.5718832791563152E-2</v>
      </c>
      <c r="R19" s="130">
        <f t="shared" ref="R19:W19" si="10">SUM(R20:R27)</f>
        <v>0.30948020888106054</v>
      </c>
      <c r="S19" s="130">
        <f t="shared" si="10"/>
        <v>0.41828421828302909</v>
      </c>
      <c r="T19" s="130">
        <f t="shared" si="10"/>
        <v>0.4287911554412045</v>
      </c>
      <c r="U19" s="130">
        <f t="shared" si="10"/>
        <v>0.42730344876367432</v>
      </c>
      <c r="V19" s="130">
        <f t="shared" si="10"/>
        <v>0.33592857789709474</v>
      </c>
      <c r="W19" s="130">
        <f t="shared" si="10"/>
        <v>0.34972035866036255</v>
      </c>
      <c r="X19" s="130">
        <f t="shared" ref="X19:Y19" si="11">SUM(X20:X27)</f>
        <v>0.36939189193598199</v>
      </c>
      <c r="Y19" s="130">
        <f t="shared" si="11"/>
        <v>0.37200383666726533</v>
      </c>
      <c r="DA19" s="155" t="s">
        <v>616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617</v>
      </c>
    </row>
    <row r="21" spans="1:105" s="2" customFormat="1" ht="12" customHeight="1" x14ac:dyDescent="0.25">
      <c r="A21" s="131" t="s">
        <v>52</v>
      </c>
      <c r="B21" s="132"/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0.45680524840522746</v>
      </c>
      <c r="I21" s="132">
        <v>0.5044837622719216</v>
      </c>
      <c r="J21" s="132">
        <v>0.44701161956958207</v>
      </c>
      <c r="K21" s="132">
        <v>7.7212577041637295E-2</v>
      </c>
      <c r="L21" s="132">
        <v>6.4543111441967574E-2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7.3258452805441913E-3</v>
      </c>
      <c r="S21" s="132">
        <v>4.4812940801507967E-2</v>
      </c>
      <c r="T21" s="132">
        <v>7.9642832236594407E-2</v>
      </c>
      <c r="U21" s="132">
        <v>0.11227180314658645</v>
      </c>
      <c r="V21" s="132">
        <v>3.909648503347448E-2</v>
      </c>
      <c r="W21" s="132">
        <v>0.12540584820808076</v>
      </c>
      <c r="X21" s="132">
        <v>0.15555832692245866</v>
      </c>
      <c r="Y21" s="132">
        <v>0.10275486061739977</v>
      </c>
      <c r="DA21" s="156" t="s">
        <v>618</v>
      </c>
    </row>
    <row r="22" spans="1:105" ht="12" customHeight="1" x14ac:dyDescent="0.25">
      <c r="A22" s="131" t="s">
        <v>161</v>
      </c>
      <c r="B22" s="132"/>
      <c r="C22" s="132">
        <v>2.4335845586459428E-2</v>
      </c>
      <c r="D22" s="132">
        <v>6.4502440537652509E-3</v>
      </c>
      <c r="E22" s="132">
        <v>1.5350437566759138E-2</v>
      </c>
      <c r="F22" s="132">
        <v>2.1926633657728543E-2</v>
      </c>
      <c r="G22" s="132">
        <v>2.1547183292888739E-2</v>
      </c>
      <c r="H22" s="132">
        <v>1.0749817115298498E-2</v>
      </c>
      <c r="I22" s="132">
        <v>1.9373332455444096E-2</v>
      </c>
      <c r="J22" s="132">
        <v>3.383755484099496E-2</v>
      </c>
      <c r="K22" s="132">
        <v>3.7350754203596771E-2</v>
      </c>
      <c r="L22" s="132">
        <v>4.8485135865314812E-2</v>
      </c>
      <c r="M22" s="132">
        <v>3.2445601040192E-2</v>
      </c>
      <c r="N22" s="132">
        <v>3.490851955145674E-2</v>
      </c>
      <c r="O22" s="132">
        <v>5.8077819608610935E-3</v>
      </c>
      <c r="P22" s="132">
        <v>3.8137699578638063E-3</v>
      </c>
      <c r="Q22" s="132">
        <v>3.4270120507745674E-3</v>
      </c>
      <c r="R22" s="132">
        <v>1.2793395719400337E-2</v>
      </c>
      <c r="S22" s="132">
        <v>1.3594130530479566E-2</v>
      </c>
      <c r="T22" s="132">
        <v>1.9124308014094836E-2</v>
      </c>
      <c r="U22" s="132">
        <v>1.7689164394903929E-2</v>
      </c>
      <c r="V22" s="132">
        <v>7.0524432473892933E-3</v>
      </c>
      <c r="W22" s="132">
        <v>1.2538537271093152E-2</v>
      </c>
      <c r="X22" s="132">
        <v>1.6650006241244179E-2</v>
      </c>
      <c r="Y22" s="132">
        <v>1.8863769062947823E-2</v>
      </c>
      <c r="DA22" s="156" t="s">
        <v>619</v>
      </c>
    </row>
    <row r="23" spans="1:105" ht="12" customHeight="1" x14ac:dyDescent="0.25">
      <c r="A23" s="131" t="s">
        <v>149</v>
      </c>
      <c r="B23" s="132"/>
      <c r="C23" s="132">
        <v>0</v>
      </c>
      <c r="D23" s="132">
        <v>0</v>
      </c>
      <c r="E23" s="132">
        <v>0</v>
      </c>
      <c r="F23" s="132">
        <v>0</v>
      </c>
      <c r="G23" s="132">
        <v>0</v>
      </c>
      <c r="H23" s="132">
        <v>0</v>
      </c>
      <c r="I23" s="132">
        <v>0</v>
      </c>
      <c r="J23" s="132">
        <v>0</v>
      </c>
      <c r="K23" s="132">
        <v>0</v>
      </c>
      <c r="L23" s="132">
        <v>0</v>
      </c>
      <c r="M23" s="132">
        <v>0</v>
      </c>
      <c r="N23" s="132">
        <v>0</v>
      </c>
      <c r="O23" s="132">
        <v>0</v>
      </c>
      <c r="P23" s="132">
        <v>0</v>
      </c>
      <c r="Q23" s="132">
        <v>0</v>
      </c>
      <c r="R23" s="132">
        <v>0</v>
      </c>
      <c r="S23" s="132">
        <v>0</v>
      </c>
      <c r="T23" s="132">
        <v>0</v>
      </c>
      <c r="U23" s="132">
        <v>0</v>
      </c>
      <c r="V23" s="132">
        <v>0</v>
      </c>
      <c r="W23" s="132">
        <v>0</v>
      </c>
      <c r="X23" s="132">
        <v>0</v>
      </c>
      <c r="Y23" s="132">
        <v>0</v>
      </c>
      <c r="DA23" s="156" t="s">
        <v>620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621</v>
      </c>
    </row>
    <row r="25" spans="1:105" ht="12" customHeight="1" x14ac:dyDescent="0.25">
      <c r="A25" s="131" t="s">
        <v>162</v>
      </c>
      <c r="B25" s="132"/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622</v>
      </c>
    </row>
    <row r="26" spans="1:105" ht="12" customHeight="1" x14ac:dyDescent="0.25">
      <c r="A26" s="131" t="s">
        <v>24</v>
      </c>
      <c r="B26" s="65"/>
      <c r="C26" s="65">
        <v>0.30620040701374462</v>
      </c>
      <c r="D26" s="65">
        <v>0.1031521858475752</v>
      </c>
      <c r="E26" s="65">
        <v>0.14877025482829936</v>
      </c>
      <c r="F26" s="65">
        <v>0.17987522374613468</v>
      </c>
      <c r="G26" s="65">
        <v>0.22387919957381763</v>
      </c>
      <c r="H26" s="65">
        <v>0</v>
      </c>
      <c r="I26" s="65">
        <v>0</v>
      </c>
      <c r="J26" s="65">
        <v>3.8290436147820738E-4</v>
      </c>
      <c r="K26" s="65">
        <v>9.4935563651495879E-3</v>
      </c>
      <c r="L26" s="65">
        <v>9.8162467939907558E-3</v>
      </c>
      <c r="M26" s="65">
        <v>7.8471710815177457E-3</v>
      </c>
      <c r="N26" s="65">
        <v>0.1932899326262032</v>
      </c>
      <c r="O26" s="65">
        <v>4.1988577386496924E-2</v>
      </c>
      <c r="P26" s="65">
        <v>8.860866460692902E-4</v>
      </c>
      <c r="Q26" s="65">
        <v>8.3353529261056018E-4</v>
      </c>
      <c r="R26" s="65">
        <v>2.7658447644804056E-3</v>
      </c>
      <c r="S26" s="65">
        <v>3.4221744115711583E-3</v>
      </c>
      <c r="T26" s="65">
        <v>3.1533177726299952E-3</v>
      </c>
      <c r="U26" s="65">
        <v>2.541390684190866E-3</v>
      </c>
      <c r="V26" s="65">
        <v>2.5800683869015282E-3</v>
      </c>
      <c r="W26" s="65">
        <v>1.8747374130190231E-3</v>
      </c>
      <c r="X26" s="65">
        <v>0.19718355877227911</v>
      </c>
      <c r="Y26" s="65">
        <v>0.25038520698691452</v>
      </c>
      <c r="DA26" s="109" t="s">
        <v>623</v>
      </c>
    </row>
    <row r="27" spans="1:105" ht="12" customHeight="1" x14ac:dyDescent="0.25">
      <c r="A27" s="144" t="s">
        <v>26</v>
      </c>
      <c r="B27" s="147"/>
      <c r="C27" s="147">
        <v>0.21304427622931696</v>
      </c>
      <c r="D27" s="147">
        <v>0.24162712065347339</v>
      </c>
      <c r="E27" s="147">
        <v>0.25745002723542737</v>
      </c>
      <c r="F27" s="147">
        <v>0.33256048027392376</v>
      </c>
      <c r="G27" s="147">
        <v>0.32460247400932218</v>
      </c>
      <c r="H27" s="147">
        <v>0.3554203378952463</v>
      </c>
      <c r="I27" s="147">
        <v>0.32222619639610345</v>
      </c>
      <c r="J27" s="147">
        <v>0.289968120124108</v>
      </c>
      <c r="K27" s="147">
        <v>0.59781252061706458</v>
      </c>
      <c r="L27" s="147">
        <v>0.65024705802662031</v>
      </c>
      <c r="M27" s="147">
        <v>0.4990608585528673</v>
      </c>
      <c r="N27" s="147">
        <v>0.406634971645078</v>
      </c>
      <c r="O27" s="147">
        <v>6.0742813290589233E-2</v>
      </c>
      <c r="P27" s="147">
        <v>9.5933906137398522E-2</v>
      </c>
      <c r="Q27" s="147">
        <v>9.1458285448178023E-2</v>
      </c>
      <c r="R27" s="147">
        <v>0.2865951231166356</v>
      </c>
      <c r="S27" s="147">
        <v>0.35645497253947039</v>
      </c>
      <c r="T27" s="147">
        <v>0.32687069741788527</v>
      </c>
      <c r="U27" s="147">
        <v>0.29480109053799303</v>
      </c>
      <c r="V27" s="147">
        <v>0.28719958122932943</v>
      </c>
      <c r="W27" s="147">
        <v>0.20990123576816963</v>
      </c>
      <c r="X27" s="147">
        <v>0</v>
      </c>
      <c r="Y27" s="147">
        <v>3.2328523228267671E-15</v>
      </c>
      <c r="DA27" s="160" t="s">
        <v>624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0.50064091655280285</v>
      </c>
      <c r="D29" s="130">
        <f t="shared" si="12"/>
        <v>0.40350017563224194</v>
      </c>
      <c r="E29" s="130">
        <f t="shared" si="12"/>
        <v>0.4576832753386908</v>
      </c>
      <c r="F29" s="130">
        <f t="shared" si="12"/>
        <v>0.60126820022980465</v>
      </c>
      <c r="G29" s="130">
        <f t="shared" si="12"/>
        <v>0.64222415044265069</v>
      </c>
      <c r="H29" s="130">
        <f t="shared" si="12"/>
        <v>1.0066030591369535</v>
      </c>
      <c r="I29" s="130">
        <f t="shared" si="12"/>
        <v>0.87978344804743225</v>
      </c>
      <c r="J29" s="130">
        <f t="shared" si="12"/>
        <v>0.7771587656056872</v>
      </c>
      <c r="K29" s="130">
        <f t="shared" si="12"/>
        <v>0.95811251801537678</v>
      </c>
      <c r="L29" s="130">
        <f t="shared" si="12"/>
        <v>1.032000297575981</v>
      </c>
      <c r="M29" s="130">
        <f t="shared" si="12"/>
        <v>0.79724986897424277</v>
      </c>
      <c r="N29" s="130">
        <f t="shared" si="12"/>
        <v>0.79522407473564194</v>
      </c>
      <c r="O29" s="130">
        <f t="shared" si="12"/>
        <v>0.12746609362577077</v>
      </c>
      <c r="P29" s="130">
        <f t="shared" si="12"/>
        <v>0.11843853663253481</v>
      </c>
      <c r="Q29" s="130">
        <f t="shared" si="12"/>
        <v>0.12310099937766658</v>
      </c>
      <c r="R29" s="130">
        <f t="shared" ref="R29:W29" si="13">SUM(R30:R33)</f>
        <v>0.40194618276804173</v>
      </c>
      <c r="S29" s="130">
        <f t="shared" si="13"/>
        <v>0.6460710548003582</v>
      </c>
      <c r="T29" s="130">
        <f t="shared" si="13"/>
        <v>0.59705542454106231</v>
      </c>
      <c r="U29" s="130">
        <f t="shared" si="13"/>
        <v>0.49641221920211842</v>
      </c>
      <c r="V29" s="130">
        <f t="shared" si="13"/>
        <v>0.41326871430154527</v>
      </c>
      <c r="W29" s="130">
        <f t="shared" si="13"/>
        <v>0.41036234524085702</v>
      </c>
      <c r="X29" s="130">
        <f t="shared" ref="X29:Y29" si="14">SUM(X30:X33)</f>
        <v>0.37841618797947463</v>
      </c>
      <c r="Y29" s="130">
        <f t="shared" si="14"/>
        <v>0.43278804248037572</v>
      </c>
      <c r="DA29" s="155" t="s">
        <v>625</v>
      </c>
    </row>
    <row r="30" spans="1:105" s="2" customFormat="1" ht="12" customHeight="1" x14ac:dyDescent="0.25">
      <c r="A30" s="131" t="s">
        <v>52</v>
      </c>
      <c r="B30" s="132"/>
      <c r="C30" s="132">
        <v>0</v>
      </c>
      <c r="D30" s="132">
        <v>0</v>
      </c>
      <c r="E30" s="132">
        <v>0</v>
      </c>
      <c r="F30" s="132">
        <v>0</v>
      </c>
      <c r="G30" s="132">
        <v>0</v>
      </c>
      <c r="H30" s="132">
        <v>0.9093204398751058</v>
      </c>
      <c r="I30" s="132">
        <v>0.35137454594862205</v>
      </c>
      <c r="J30" s="132">
        <v>0.1696912918712157</v>
      </c>
      <c r="K30" s="132">
        <v>0</v>
      </c>
      <c r="L30" s="132">
        <v>4.0407696540867392E-2</v>
      </c>
      <c r="M30" s="132">
        <v>0.24289804766213749</v>
      </c>
      <c r="N30" s="132">
        <v>0.16587063376966141</v>
      </c>
      <c r="O30" s="132">
        <v>1.6550760512880035E-2</v>
      </c>
      <c r="P30" s="132">
        <v>1.1315276561446094E-2</v>
      </c>
      <c r="Q30" s="132">
        <v>4.943877354938004E-2</v>
      </c>
      <c r="R30" s="132">
        <v>0.165758548027723</v>
      </c>
      <c r="S30" s="132">
        <v>0.42772472676106027</v>
      </c>
      <c r="T30" s="132">
        <v>0.25497372374366667</v>
      </c>
      <c r="U30" s="132">
        <v>0.10851781529223897</v>
      </c>
      <c r="V30" s="132">
        <v>8.4052108263722225E-2</v>
      </c>
      <c r="W30" s="132">
        <v>4.3362222427315841E-2</v>
      </c>
      <c r="X30" s="132">
        <v>9.9461049564097646E-3</v>
      </c>
      <c r="Y30" s="132">
        <v>5.8788995086162248E-2</v>
      </c>
      <c r="DA30" s="156" t="s">
        <v>626</v>
      </c>
    </row>
    <row r="31" spans="1:105" ht="12" customHeight="1" x14ac:dyDescent="0.25">
      <c r="A31" s="131" t="s">
        <v>149</v>
      </c>
      <c r="B31" s="132"/>
      <c r="C31" s="132">
        <v>0</v>
      </c>
      <c r="D31" s="132">
        <v>0</v>
      </c>
      <c r="E31" s="132">
        <v>0</v>
      </c>
      <c r="F31" s="132">
        <v>0</v>
      </c>
      <c r="G31" s="132">
        <v>0</v>
      </c>
      <c r="H31" s="132">
        <v>0</v>
      </c>
      <c r="I31" s="132">
        <v>0</v>
      </c>
      <c r="J31" s="132">
        <v>0</v>
      </c>
      <c r="K31" s="132">
        <v>0</v>
      </c>
      <c r="L31" s="132">
        <v>0</v>
      </c>
      <c r="M31" s="132">
        <v>0</v>
      </c>
      <c r="N31" s="132">
        <v>0</v>
      </c>
      <c r="O31" s="132">
        <v>0</v>
      </c>
      <c r="P31" s="132">
        <v>0</v>
      </c>
      <c r="Q31" s="132">
        <v>0</v>
      </c>
      <c r="R31" s="132">
        <v>0</v>
      </c>
      <c r="S31" s="132">
        <v>0</v>
      </c>
      <c r="T31" s="132">
        <v>0</v>
      </c>
      <c r="U31" s="132">
        <v>0</v>
      </c>
      <c r="V31" s="132">
        <v>0</v>
      </c>
      <c r="W31" s="132">
        <v>0</v>
      </c>
      <c r="X31" s="132">
        <v>0</v>
      </c>
      <c r="Y31" s="132">
        <v>0</v>
      </c>
      <c r="DA31" s="156" t="s">
        <v>627</v>
      </c>
    </row>
    <row r="32" spans="1:105" ht="12" customHeight="1" x14ac:dyDescent="0.25">
      <c r="A32" s="131" t="s">
        <v>128</v>
      </c>
      <c r="B32" s="132"/>
      <c r="C32" s="132">
        <v>6.3510027010499931E-2</v>
      </c>
      <c r="D32" s="132">
        <v>9.0205537649248352E-2</v>
      </c>
      <c r="E32" s="132">
        <v>7.9218152746552639E-2</v>
      </c>
      <c r="F32" s="132">
        <v>0.11820888326523275</v>
      </c>
      <c r="G32" s="132">
        <v>0.15737953367484361</v>
      </c>
      <c r="H32" s="132">
        <v>9.7282619261847753E-2</v>
      </c>
      <c r="I32" s="132">
        <v>0.26748563847992857</v>
      </c>
      <c r="J32" s="132">
        <v>0.1264141315733579</v>
      </c>
      <c r="K32" s="132">
        <v>0.11339005218542766</v>
      </c>
      <c r="L32" s="132">
        <v>0.10801830677492918</v>
      </c>
      <c r="M32" s="132">
        <v>0.11122653542322772</v>
      </c>
      <c r="N32" s="132">
        <v>0.11905575587049076</v>
      </c>
      <c r="O32" s="132">
        <v>2.4360985547033361E-2</v>
      </c>
      <c r="P32" s="132">
        <v>2.448210579384796E-2</v>
      </c>
      <c r="Q32" s="132">
        <v>2.1553676859943346E-2</v>
      </c>
      <c r="R32" s="132">
        <v>6.7879530243623101E-2</v>
      </c>
      <c r="S32" s="132">
        <v>0.111355407847539</v>
      </c>
      <c r="T32" s="132">
        <v>0.12547847706179058</v>
      </c>
      <c r="U32" s="132">
        <v>9.8104648741428796E-2</v>
      </c>
      <c r="V32" s="132">
        <v>7.7994073093440489E-2</v>
      </c>
      <c r="W32" s="132">
        <v>7.8581874024135755E-3</v>
      </c>
      <c r="X32" s="132">
        <v>0</v>
      </c>
      <c r="Y32" s="132">
        <v>1.8420913410042844E-2</v>
      </c>
      <c r="DA32" s="156" t="s">
        <v>628</v>
      </c>
    </row>
    <row r="33" spans="1:105" ht="12" customHeight="1" x14ac:dyDescent="0.25">
      <c r="A33" s="62" t="s">
        <v>24</v>
      </c>
      <c r="B33" s="68"/>
      <c r="C33" s="68">
        <v>0.43713088954230295</v>
      </c>
      <c r="D33" s="68">
        <v>0.31329463798299356</v>
      </c>
      <c r="E33" s="68">
        <v>0.37846512259213816</v>
      </c>
      <c r="F33" s="68">
        <v>0.48305931696457194</v>
      </c>
      <c r="G33" s="68">
        <v>0.4848446167678071</v>
      </c>
      <c r="H33" s="68">
        <v>0</v>
      </c>
      <c r="I33" s="68">
        <v>0.26092326361888163</v>
      </c>
      <c r="J33" s="68">
        <v>0.48105334216111362</v>
      </c>
      <c r="K33" s="68">
        <v>0.84472246582994914</v>
      </c>
      <c r="L33" s="68">
        <v>0.88357429426018441</v>
      </c>
      <c r="M33" s="68">
        <v>0.44312528588887756</v>
      </c>
      <c r="N33" s="68">
        <v>0.51029768509548978</v>
      </c>
      <c r="O33" s="68">
        <v>8.6554347565857365E-2</v>
      </c>
      <c r="P33" s="68">
        <v>8.2641154277240766E-2</v>
      </c>
      <c r="Q33" s="68">
        <v>5.2108548968343188E-2</v>
      </c>
      <c r="R33" s="68">
        <v>0.16830810449669562</v>
      </c>
      <c r="S33" s="68">
        <v>0.10699092019175896</v>
      </c>
      <c r="T33" s="68">
        <v>0.21660322373560503</v>
      </c>
      <c r="U33" s="68">
        <v>0.28978975516845068</v>
      </c>
      <c r="V33" s="68">
        <v>0.25122253294438257</v>
      </c>
      <c r="W33" s="68">
        <v>0.3591419354111276</v>
      </c>
      <c r="X33" s="68">
        <v>0.36847008302306489</v>
      </c>
      <c r="Y33" s="68">
        <v>0.35557813398417065</v>
      </c>
      <c r="DA33" s="111" t="s">
        <v>629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/>
      <c r="C3" s="125">
        <f t="shared" ref="C3:Q3" si="0">SUM(C4,C16,C19,C29)</f>
        <v>3.6827626102054047</v>
      </c>
      <c r="D3" s="125">
        <f t="shared" si="0"/>
        <v>2.8735737137416075</v>
      </c>
      <c r="E3" s="125">
        <f t="shared" si="0"/>
        <v>3.4552214430060708</v>
      </c>
      <c r="F3" s="125">
        <f t="shared" si="0"/>
        <v>3.9913357359590775</v>
      </c>
      <c r="G3" s="125">
        <f t="shared" si="0"/>
        <v>4.0052792190931621</v>
      </c>
      <c r="H3" s="125">
        <f t="shared" si="0"/>
        <v>4.8861830296598265</v>
      </c>
      <c r="I3" s="125">
        <f t="shared" si="0"/>
        <v>5.9256208377131596</v>
      </c>
      <c r="J3" s="125">
        <f t="shared" si="0"/>
        <v>6.105435427364716</v>
      </c>
      <c r="K3" s="125">
        <f t="shared" si="0"/>
        <v>7.605407169598859</v>
      </c>
      <c r="L3" s="125">
        <f t="shared" si="0"/>
        <v>8.3894990811334296</v>
      </c>
      <c r="M3" s="125">
        <f t="shared" si="0"/>
        <v>5.3765506267661696</v>
      </c>
      <c r="N3" s="125">
        <f t="shared" si="0"/>
        <v>6.0984375860211388</v>
      </c>
      <c r="O3" s="125">
        <f t="shared" si="0"/>
        <v>0.95799993403287032</v>
      </c>
      <c r="P3" s="125">
        <f t="shared" si="0"/>
        <v>0.81313492057681735</v>
      </c>
      <c r="Q3" s="125">
        <f t="shared" si="0"/>
        <v>0.83301869870840883</v>
      </c>
      <c r="R3" s="125">
        <f t="shared" ref="R3:W3" si="1">SUM(R4,R16,R19,R29)</f>
        <v>3.0356041961796056</v>
      </c>
      <c r="S3" s="125">
        <f t="shared" si="1"/>
        <v>4.15585285867928</v>
      </c>
      <c r="T3" s="125">
        <f t="shared" si="1"/>
        <v>4.5792900677421855</v>
      </c>
      <c r="U3" s="125">
        <f t="shared" si="1"/>
        <v>4.0729540353961848</v>
      </c>
      <c r="V3" s="125">
        <f t="shared" si="1"/>
        <v>3.266724319644482</v>
      </c>
      <c r="W3" s="125">
        <f t="shared" si="1"/>
        <v>3.1421334478033454</v>
      </c>
      <c r="X3" s="125">
        <f t="shared" ref="X3:Y3" si="2">SUM(X4,X16,X19,X29)</f>
        <v>2.9372803637333553</v>
      </c>
      <c r="Y3" s="125">
        <f t="shared" si="2"/>
        <v>2.8808158711339167</v>
      </c>
      <c r="DA3" s="154" t="s">
        <v>631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0.45909303962035064</v>
      </c>
      <c r="D4" s="130">
        <f t="shared" si="3"/>
        <v>0.43975724062745775</v>
      </c>
      <c r="E4" s="130">
        <f t="shared" si="3"/>
        <v>0.47516764460291372</v>
      </c>
      <c r="F4" s="130">
        <f t="shared" si="3"/>
        <v>0.66765942907424358</v>
      </c>
      <c r="G4" s="130">
        <f t="shared" si="3"/>
        <v>0.76563335301009072</v>
      </c>
      <c r="H4" s="130">
        <f t="shared" si="3"/>
        <v>1.0472319175726743</v>
      </c>
      <c r="I4" s="130">
        <f t="shared" si="3"/>
        <v>1.2214255688686564</v>
      </c>
      <c r="J4" s="130">
        <f t="shared" si="3"/>
        <v>1.4387073176331853</v>
      </c>
      <c r="K4" s="130">
        <f t="shared" si="3"/>
        <v>1.8256240928427356</v>
      </c>
      <c r="L4" s="130">
        <f t="shared" si="3"/>
        <v>1.9512900190299816</v>
      </c>
      <c r="M4" s="130">
        <f t="shared" si="3"/>
        <v>1.2101651320169065</v>
      </c>
      <c r="N4" s="130">
        <f t="shared" si="3"/>
        <v>1.1648559895869937</v>
      </c>
      <c r="O4" s="130">
        <f t="shared" si="3"/>
        <v>0.25539276078944922</v>
      </c>
      <c r="P4" s="130">
        <f t="shared" si="3"/>
        <v>0.21152241085828868</v>
      </c>
      <c r="Q4" s="130">
        <f t="shared" si="3"/>
        <v>0.21956778066526517</v>
      </c>
      <c r="R4" s="130">
        <f t="shared" ref="R4:W4" si="4">SUM(R5:R15)</f>
        <v>0.82602594587206823</v>
      </c>
      <c r="S4" s="130">
        <f t="shared" si="4"/>
        <v>1.1822611743584555</v>
      </c>
      <c r="T4" s="130">
        <f t="shared" si="4"/>
        <v>1.1057658575712404</v>
      </c>
      <c r="U4" s="130">
        <f t="shared" si="4"/>
        <v>1.1574059736564457</v>
      </c>
      <c r="V4" s="130">
        <f t="shared" si="4"/>
        <v>0.68099420165776203</v>
      </c>
      <c r="W4" s="130">
        <f t="shared" si="4"/>
        <v>0.8561295289250922</v>
      </c>
      <c r="X4" s="130">
        <f t="shared" ref="X4:Y4" si="5">SUM(X5:X15)</f>
        <v>0.93994017019657561</v>
      </c>
      <c r="Y4" s="130">
        <f t="shared" si="5"/>
        <v>0.70670909159172235</v>
      </c>
      <c r="DA4" s="155" t="s">
        <v>632</v>
      </c>
    </row>
    <row r="5" spans="1:105" ht="12" customHeight="1" x14ac:dyDescent="0.25">
      <c r="A5" s="131" t="s">
        <v>29</v>
      </c>
      <c r="B5" s="132"/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633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634</v>
      </c>
    </row>
    <row r="7" spans="1:105" ht="12" customHeight="1" x14ac:dyDescent="0.25">
      <c r="A7" s="131" t="s">
        <v>161</v>
      </c>
      <c r="B7" s="132"/>
      <c r="C7" s="132">
        <v>0</v>
      </c>
      <c r="D7" s="132">
        <v>0</v>
      </c>
      <c r="E7" s="132">
        <v>0</v>
      </c>
      <c r="F7" s="132">
        <v>0</v>
      </c>
      <c r="G7" s="132">
        <v>0</v>
      </c>
      <c r="H7" s="132">
        <v>0</v>
      </c>
      <c r="I7" s="132">
        <v>0</v>
      </c>
      <c r="J7" s="132">
        <v>0.40805261339485105</v>
      </c>
      <c r="K7" s="132">
        <v>0.47491577696772663</v>
      </c>
      <c r="L7" s="132">
        <v>0.83359562325912739</v>
      </c>
      <c r="M7" s="132">
        <v>0.42910027532326367</v>
      </c>
      <c r="N7" s="132">
        <v>0.28007549976919566</v>
      </c>
      <c r="O7" s="132">
        <v>3.2159706411373945E-2</v>
      </c>
      <c r="P7" s="132">
        <v>0</v>
      </c>
      <c r="Q7" s="132">
        <v>0</v>
      </c>
      <c r="R7" s="132">
        <v>0</v>
      </c>
      <c r="S7" s="132">
        <v>0</v>
      </c>
      <c r="T7" s="132">
        <v>2.5913308404022749E-2</v>
      </c>
      <c r="U7" s="132">
        <v>0.16367529702540004</v>
      </c>
      <c r="V7" s="132">
        <v>8.6437908694111651E-2</v>
      </c>
      <c r="W7" s="132">
        <v>6.1823124536154045E-2</v>
      </c>
      <c r="X7" s="132">
        <v>5.6279521593974112E-2</v>
      </c>
      <c r="Y7" s="132">
        <v>0.13083494687771111</v>
      </c>
      <c r="DA7" s="156" t="s">
        <v>635</v>
      </c>
    </row>
    <row r="8" spans="1:105" ht="12" customHeight="1" x14ac:dyDescent="0.25">
      <c r="A8" s="131" t="s">
        <v>73</v>
      </c>
      <c r="B8" s="132"/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636</v>
      </c>
    </row>
    <row r="9" spans="1:105" ht="12" customHeight="1" x14ac:dyDescent="0.25">
      <c r="A9" s="131" t="s">
        <v>78</v>
      </c>
      <c r="B9" s="132"/>
      <c r="C9" s="132">
        <v>0</v>
      </c>
      <c r="D9" s="132">
        <v>0</v>
      </c>
      <c r="E9" s="132">
        <v>0</v>
      </c>
      <c r="F9" s="132">
        <v>0</v>
      </c>
      <c r="G9" s="132">
        <v>0</v>
      </c>
      <c r="H9" s="132">
        <v>0</v>
      </c>
      <c r="I9" s="132">
        <v>0</v>
      </c>
      <c r="J9" s="132">
        <v>0</v>
      </c>
      <c r="K9" s="132">
        <v>5.7261848664631403E-2</v>
      </c>
      <c r="L9" s="132">
        <v>1.480610223487628E-2</v>
      </c>
      <c r="M9" s="132">
        <v>3.091037870473671E-3</v>
      </c>
      <c r="N9" s="132">
        <v>9.5683983088019474E-4</v>
      </c>
      <c r="O9" s="132">
        <v>0</v>
      </c>
      <c r="P9" s="132">
        <v>6.1808477819777833E-5</v>
      </c>
      <c r="Q9" s="132">
        <v>3.4644191848133679E-4</v>
      </c>
      <c r="R9" s="132">
        <v>1.4087917979909574E-2</v>
      </c>
      <c r="S9" s="132">
        <v>1.9087523901312898E-2</v>
      </c>
      <c r="T9" s="132">
        <v>4.5321775452657316E-2</v>
      </c>
      <c r="U9" s="132">
        <v>1.8863972995608408E-2</v>
      </c>
      <c r="V9" s="132">
        <v>3.6667417316410271E-3</v>
      </c>
      <c r="W9" s="132">
        <v>4.2539332717920183E-3</v>
      </c>
      <c r="X9" s="132">
        <v>1.9553017615187994E-3</v>
      </c>
      <c r="Y9" s="132">
        <v>1.1711854286779707E-3</v>
      </c>
      <c r="DA9" s="156" t="s">
        <v>637</v>
      </c>
    </row>
    <row r="10" spans="1:105" ht="12" customHeight="1" x14ac:dyDescent="0.25">
      <c r="A10" s="131" t="s">
        <v>128</v>
      </c>
      <c r="B10" s="132"/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6.4821420709749181E-2</v>
      </c>
      <c r="J10" s="132">
        <v>8.3658608557021216E-2</v>
      </c>
      <c r="K10" s="132">
        <v>0</v>
      </c>
      <c r="L10" s="132">
        <v>2.1242687885243301E-4</v>
      </c>
      <c r="M10" s="132">
        <v>2.7532488325193371E-3</v>
      </c>
      <c r="N10" s="132">
        <v>9.1868061838996287E-3</v>
      </c>
      <c r="O10" s="132">
        <v>1.6680062973078061E-3</v>
      </c>
      <c r="P10" s="132">
        <v>3.8667657443765065E-3</v>
      </c>
      <c r="Q10" s="132">
        <v>3.4993286083557784E-2</v>
      </c>
      <c r="R10" s="132">
        <v>3.852567504400699E-3</v>
      </c>
      <c r="S10" s="132">
        <v>0</v>
      </c>
      <c r="T10" s="132">
        <v>0</v>
      </c>
      <c r="U10" s="132">
        <v>0</v>
      </c>
      <c r="V10" s="132">
        <v>2.7410873659641411E-3</v>
      </c>
      <c r="W10" s="132">
        <v>3.822659464516466E-2</v>
      </c>
      <c r="X10" s="132">
        <v>4.84117067541057E-2</v>
      </c>
      <c r="Y10" s="132">
        <v>1.0632238840719004E-2</v>
      </c>
      <c r="DA10" s="156" t="s">
        <v>638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639</v>
      </c>
    </row>
    <row r="12" spans="1:105" ht="12" customHeight="1" x14ac:dyDescent="0.25">
      <c r="A12" s="131" t="s">
        <v>162</v>
      </c>
      <c r="B12" s="132"/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640</v>
      </c>
    </row>
    <row r="13" spans="1:105" ht="12" customHeight="1" x14ac:dyDescent="0.25">
      <c r="A13" s="131" t="s">
        <v>77</v>
      </c>
      <c r="B13" s="132"/>
      <c r="C13" s="132">
        <v>7.1604348549081112E-2</v>
      </c>
      <c r="D13" s="132">
        <v>9.5868778413153999E-2</v>
      </c>
      <c r="E13" s="132">
        <v>0.15744636636215739</v>
      </c>
      <c r="F13" s="132">
        <v>0.20453440533941308</v>
      </c>
      <c r="G13" s="132">
        <v>0.23202511391411615</v>
      </c>
      <c r="H13" s="132">
        <v>8.8829075401719138E-2</v>
      </c>
      <c r="I13" s="132">
        <v>0.23363400394683212</v>
      </c>
      <c r="J13" s="132">
        <v>0.17074311596938052</v>
      </c>
      <c r="K13" s="132">
        <v>0.4409972947131765</v>
      </c>
      <c r="L13" s="132">
        <v>0.75318913059746406</v>
      </c>
      <c r="M13" s="132">
        <v>0.76775428257508793</v>
      </c>
      <c r="N13" s="132">
        <v>0.86974122871660708</v>
      </c>
      <c r="O13" s="132">
        <v>0.22100278481015354</v>
      </c>
      <c r="P13" s="132">
        <v>0.20756010345591294</v>
      </c>
      <c r="Q13" s="132">
        <v>0.14608388652147136</v>
      </c>
      <c r="R13" s="132">
        <v>0.27015010314728094</v>
      </c>
      <c r="S13" s="132">
        <v>0.60068593618624855</v>
      </c>
      <c r="T13" s="132">
        <v>0.66174185677369446</v>
      </c>
      <c r="U13" s="132">
        <v>0.5437166428580642</v>
      </c>
      <c r="V13" s="132">
        <v>0.33914478061846587</v>
      </c>
      <c r="W13" s="132">
        <v>0.11240146771438723</v>
      </c>
      <c r="X13" s="132">
        <v>7.054620912843515E-2</v>
      </c>
      <c r="Y13" s="132">
        <v>0.27982003543877565</v>
      </c>
      <c r="DA13" s="156" t="s">
        <v>641</v>
      </c>
    </row>
    <row r="14" spans="1:105" ht="12" customHeight="1" x14ac:dyDescent="0.25">
      <c r="A14" s="60" t="s">
        <v>76</v>
      </c>
      <c r="B14" s="65"/>
      <c r="C14" s="65">
        <v>0.38748869107126954</v>
      </c>
      <c r="D14" s="65">
        <v>0.34388846221430375</v>
      </c>
      <c r="E14" s="65">
        <v>0.3177212782407563</v>
      </c>
      <c r="F14" s="65">
        <v>0.4631250237348305</v>
      </c>
      <c r="G14" s="65">
        <v>0.53360823909597455</v>
      </c>
      <c r="H14" s="65">
        <v>0.95840284217095517</v>
      </c>
      <c r="I14" s="65">
        <v>0.92239820071199075</v>
      </c>
      <c r="J14" s="65">
        <v>0.76838471241065798</v>
      </c>
      <c r="K14" s="65">
        <v>0.84319600810683693</v>
      </c>
      <c r="L14" s="65">
        <v>0.33481115898119457</v>
      </c>
      <c r="M14" s="65">
        <v>0</v>
      </c>
      <c r="N14" s="65">
        <v>0</v>
      </c>
      <c r="O14" s="65">
        <v>0</v>
      </c>
      <c r="P14" s="65">
        <v>0</v>
      </c>
      <c r="Q14" s="65">
        <v>3.7845032365647104E-2</v>
      </c>
      <c r="R14" s="65">
        <v>0.5376683809883438</v>
      </c>
      <c r="S14" s="65">
        <v>0.56217137450826316</v>
      </c>
      <c r="T14" s="65">
        <v>0.37161069860660406</v>
      </c>
      <c r="U14" s="65">
        <v>0.42814131160994967</v>
      </c>
      <c r="V14" s="65">
        <v>0.24750061451335728</v>
      </c>
      <c r="W14" s="65">
        <v>0.6380339153730743</v>
      </c>
      <c r="X14" s="65">
        <v>0.76139663225117515</v>
      </c>
      <c r="Y14" s="65">
        <v>0.28200782284137721</v>
      </c>
      <c r="DA14" s="109" t="s">
        <v>642</v>
      </c>
    </row>
    <row r="15" spans="1:105" ht="12" customHeight="1" x14ac:dyDescent="0.25">
      <c r="A15" s="133" t="s">
        <v>80</v>
      </c>
      <c r="B15" s="134"/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5.7194350008436454E-4</v>
      </c>
      <c r="J15" s="134">
        <v>7.8682673012743266E-3</v>
      </c>
      <c r="K15" s="134">
        <v>9.2531643903642092E-3</v>
      </c>
      <c r="L15" s="134">
        <v>1.4675577078466484E-2</v>
      </c>
      <c r="M15" s="134">
        <v>7.4662874155618231E-3</v>
      </c>
      <c r="N15" s="134">
        <v>4.895615086411122E-3</v>
      </c>
      <c r="O15" s="134">
        <v>5.6226327061393981E-4</v>
      </c>
      <c r="P15" s="134">
        <v>3.3733180179456055E-5</v>
      </c>
      <c r="Q15" s="134">
        <v>2.9913377610759593E-4</v>
      </c>
      <c r="R15" s="134">
        <v>2.6697625213322997E-4</v>
      </c>
      <c r="S15" s="134">
        <v>3.1633976263099601E-4</v>
      </c>
      <c r="T15" s="134">
        <v>1.1782183342616752E-3</v>
      </c>
      <c r="U15" s="134">
        <v>3.0087491674233857E-3</v>
      </c>
      <c r="V15" s="134">
        <v>1.5030687342220989E-3</v>
      </c>
      <c r="W15" s="134">
        <v>1.3904933845198726E-3</v>
      </c>
      <c r="X15" s="134">
        <v>1.3507987073667698E-3</v>
      </c>
      <c r="Y15" s="134">
        <v>2.2428621644613651E-3</v>
      </c>
      <c r="DA15" s="157" t="s">
        <v>643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2.4555383291214419</v>
      </c>
      <c r="D16" s="130">
        <f t="shared" si="6"/>
        <v>1.8360296827440408</v>
      </c>
      <c r="E16" s="130">
        <f t="shared" si="6"/>
        <v>2.2920072838280987</v>
      </c>
      <c r="F16" s="130">
        <f t="shared" si="6"/>
        <v>2.4349844776290652</v>
      </c>
      <c r="G16" s="130">
        <f t="shared" si="6"/>
        <v>2.3096009093800447</v>
      </c>
      <c r="H16" s="130">
        <f t="shared" si="6"/>
        <v>2.5662779962239846</v>
      </c>
      <c r="I16" s="130">
        <f t="shared" si="6"/>
        <v>3.4677167382205636</v>
      </c>
      <c r="J16" s="130">
        <f t="shared" si="6"/>
        <v>3.5101189596560944</v>
      </c>
      <c r="K16" s="130">
        <f t="shared" si="6"/>
        <v>4.3735397822551558</v>
      </c>
      <c r="L16" s="130">
        <f t="shared" si="6"/>
        <v>4.9277546704446546</v>
      </c>
      <c r="M16" s="130">
        <f t="shared" si="6"/>
        <v>3.0803430927380702</v>
      </c>
      <c r="N16" s="130">
        <f t="shared" si="6"/>
        <v>3.8149352185141625</v>
      </c>
      <c r="O16" s="130">
        <f t="shared" si="6"/>
        <v>0.51883071629902666</v>
      </c>
      <c r="P16" s="130">
        <f t="shared" si="6"/>
        <v>0.41482766973535817</v>
      </c>
      <c r="Q16" s="130">
        <f t="shared" si="6"/>
        <v>0.43378673535719819</v>
      </c>
      <c r="R16" s="130">
        <f t="shared" ref="R16:W16" si="7">SUM(R17:R18)</f>
        <v>1.6261701051093118</v>
      </c>
      <c r="S16" s="130">
        <f t="shared" si="7"/>
        <v>2.1512635437149403</v>
      </c>
      <c r="T16" s="130">
        <f t="shared" si="7"/>
        <v>2.6506878914301613</v>
      </c>
      <c r="U16" s="130">
        <f t="shared" si="7"/>
        <v>2.1378115799175621</v>
      </c>
      <c r="V16" s="130">
        <f t="shared" si="7"/>
        <v>1.9390397215363022</v>
      </c>
      <c r="W16" s="130">
        <f t="shared" si="7"/>
        <v>1.6099093084651208</v>
      </c>
      <c r="X16" s="130">
        <f t="shared" ref="X16:Y16" si="8">SUM(X17:X18)</f>
        <v>1.3600089151431582</v>
      </c>
      <c r="Y16" s="130">
        <f t="shared" si="8"/>
        <v>1.5012741124448052</v>
      </c>
      <c r="DA16" s="155" t="s">
        <v>644</v>
      </c>
    </row>
    <row r="17" spans="1:105" ht="12.95" customHeight="1" x14ac:dyDescent="0.25">
      <c r="A17" s="131" t="s">
        <v>73</v>
      </c>
      <c r="B17" s="132"/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645</v>
      </c>
    </row>
    <row r="18" spans="1:105" ht="12" customHeight="1" x14ac:dyDescent="0.25">
      <c r="A18" s="131" t="s">
        <v>72</v>
      </c>
      <c r="B18" s="132"/>
      <c r="C18" s="132">
        <v>2.4555383291214419</v>
      </c>
      <c r="D18" s="132">
        <v>1.8360296827440408</v>
      </c>
      <c r="E18" s="132">
        <v>2.2920072838280987</v>
      </c>
      <c r="F18" s="132">
        <v>2.4349844776290652</v>
      </c>
      <c r="G18" s="132">
        <v>2.3096009093800447</v>
      </c>
      <c r="H18" s="132">
        <v>2.5662779962239846</v>
      </c>
      <c r="I18" s="132">
        <v>3.4677167382205636</v>
      </c>
      <c r="J18" s="132">
        <v>3.5101189596560944</v>
      </c>
      <c r="K18" s="132">
        <v>4.3735397822551558</v>
      </c>
      <c r="L18" s="132">
        <v>4.9277546704446546</v>
      </c>
      <c r="M18" s="132">
        <v>3.0803430927380702</v>
      </c>
      <c r="N18" s="132">
        <v>3.8149352185141625</v>
      </c>
      <c r="O18" s="132">
        <v>0.51883071629902666</v>
      </c>
      <c r="P18" s="132">
        <v>0.41482766973535817</v>
      </c>
      <c r="Q18" s="132">
        <v>0.43378673535719819</v>
      </c>
      <c r="R18" s="132">
        <v>1.6261701051093118</v>
      </c>
      <c r="S18" s="132">
        <v>2.1512635437149403</v>
      </c>
      <c r="T18" s="132">
        <v>2.6506878914301613</v>
      </c>
      <c r="U18" s="132">
        <v>2.1378115799175621</v>
      </c>
      <c r="V18" s="132">
        <v>1.9390397215363022</v>
      </c>
      <c r="W18" s="132">
        <v>1.6099093084651208</v>
      </c>
      <c r="X18" s="132">
        <v>1.3600089151431582</v>
      </c>
      <c r="Y18" s="132">
        <v>1.5012741124448052</v>
      </c>
      <c r="DA18" s="156" t="s">
        <v>646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0.38994466496587554</v>
      </c>
      <c r="D19" s="130">
        <f t="shared" si="9"/>
        <v>0.30070813377831412</v>
      </c>
      <c r="E19" s="130">
        <f t="shared" si="9"/>
        <v>0.34577050428843226</v>
      </c>
      <c r="F19" s="130">
        <f t="shared" si="9"/>
        <v>0.44138073536763534</v>
      </c>
      <c r="G19" s="130">
        <f t="shared" si="9"/>
        <v>0.45816217308020324</v>
      </c>
      <c r="H19" s="130">
        <f t="shared" si="9"/>
        <v>0.65720160979879849</v>
      </c>
      <c r="I19" s="130">
        <f t="shared" si="9"/>
        <v>0.66034622284922673</v>
      </c>
      <c r="J19" s="130">
        <f t="shared" si="9"/>
        <v>0.5989663138757686</v>
      </c>
      <c r="K19" s="130">
        <f t="shared" si="9"/>
        <v>0.67157592383690989</v>
      </c>
      <c r="L19" s="130">
        <f t="shared" si="9"/>
        <v>0.72164433602725975</v>
      </c>
      <c r="M19" s="130">
        <f t="shared" si="9"/>
        <v>0.51933975898290308</v>
      </c>
      <c r="N19" s="130">
        <f t="shared" si="9"/>
        <v>0.53958171407967903</v>
      </c>
      <c r="O19" s="130">
        <f t="shared" si="9"/>
        <v>8.987434287138471E-2</v>
      </c>
      <c r="P19" s="130">
        <f t="shared" si="9"/>
        <v>9.86613234682195E-2</v>
      </c>
      <c r="Q19" s="130">
        <f t="shared" si="9"/>
        <v>9.4060651160076378E-2</v>
      </c>
      <c r="R19" s="130">
        <f t="shared" ref="R19:W19" si="10">SUM(R20:R27)</f>
        <v>0.3020489104047055</v>
      </c>
      <c r="S19" s="130">
        <f t="shared" si="10"/>
        <v>0.40282333197857662</v>
      </c>
      <c r="T19" s="130">
        <f t="shared" si="10"/>
        <v>0.40537664106954746</v>
      </c>
      <c r="U19" s="130">
        <f t="shared" si="10"/>
        <v>0.39957102029951197</v>
      </c>
      <c r="V19" s="130">
        <f t="shared" si="10"/>
        <v>0.32601744982340852</v>
      </c>
      <c r="W19" s="130">
        <f t="shared" si="10"/>
        <v>0.32343795962744454</v>
      </c>
      <c r="X19" s="130">
        <f t="shared" ref="X19:Y19" si="11">SUM(X20:X27)</f>
        <v>0.29915374368845549</v>
      </c>
      <c r="Y19" s="130">
        <f t="shared" si="11"/>
        <v>0.30278161121483782</v>
      </c>
      <c r="DA19" s="155" t="s">
        <v>647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648</v>
      </c>
    </row>
    <row r="21" spans="1:105" s="2" customFormat="1" ht="12" customHeight="1" x14ac:dyDescent="0.25">
      <c r="A21" s="131" t="s">
        <v>52</v>
      </c>
      <c r="B21" s="132"/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0.2968883212975662</v>
      </c>
      <c r="I21" s="132">
        <v>0.32923536118552682</v>
      </c>
      <c r="J21" s="132">
        <v>0.29312933092314492</v>
      </c>
      <c r="K21" s="132">
        <v>5.0921039804973686E-2</v>
      </c>
      <c r="L21" s="132">
        <v>4.2848678737819057E-2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5.670213361738681E-3</v>
      </c>
      <c r="S21" s="132">
        <v>3.5321992028369963E-2</v>
      </c>
      <c r="T21" s="132">
        <v>6.3789736718604148E-2</v>
      </c>
      <c r="U21" s="132">
        <v>9.1141825912135668E-2</v>
      </c>
      <c r="V21" s="132">
        <v>3.2072274396469612E-2</v>
      </c>
      <c r="W21" s="132">
        <v>0.10353329189693303</v>
      </c>
      <c r="X21" s="132">
        <v>0.1289451352503444</v>
      </c>
      <c r="Y21" s="132">
        <v>8.5348772413460658E-2</v>
      </c>
      <c r="DA21" s="156" t="s">
        <v>649</v>
      </c>
    </row>
    <row r="22" spans="1:105" ht="12" customHeight="1" x14ac:dyDescent="0.25">
      <c r="A22" s="131" t="s">
        <v>161</v>
      </c>
      <c r="B22" s="132"/>
      <c r="C22" s="132">
        <v>1.0752329920038385E-2</v>
      </c>
      <c r="D22" s="132">
        <v>2.8642924849631144E-3</v>
      </c>
      <c r="E22" s="132">
        <v>6.8554736846339684E-3</v>
      </c>
      <c r="F22" s="132">
        <v>9.8489736643238117E-3</v>
      </c>
      <c r="G22" s="132">
        <v>9.7402851494902652E-3</v>
      </c>
      <c r="H22" s="132">
        <v>4.8929506059860088E-3</v>
      </c>
      <c r="I22" s="132">
        <v>8.8846652675964293E-3</v>
      </c>
      <c r="J22" s="132">
        <v>1.5653270189266925E-2</v>
      </c>
      <c r="K22" s="132">
        <v>1.7456530840317022E-2</v>
      </c>
      <c r="L22" s="132">
        <v>2.2931519768252358E-2</v>
      </c>
      <c r="M22" s="132">
        <v>1.5715348465949335E-2</v>
      </c>
      <c r="N22" s="132">
        <v>1.7564281988526532E-2</v>
      </c>
      <c r="O22" s="132">
        <v>3.0817499892331953E-3</v>
      </c>
      <c r="P22" s="132">
        <v>2.1507285086203678E-3</v>
      </c>
      <c r="Q22" s="132">
        <v>2.0354113310222521E-3</v>
      </c>
      <c r="R22" s="132">
        <v>7.8473574423996474E-3</v>
      </c>
      <c r="S22" s="132">
        <v>8.5848286781992165E-3</v>
      </c>
      <c r="T22" s="132">
        <v>1.2387837796689141E-2</v>
      </c>
      <c r="U22" s="132">
        <v>1.1702934464137262E-2</v>
      </c>
      <c r="V22" s="132">
        <v>4.7426157569063652E-3</v>
      </c>
      <c r="W22" s="132">
        <v>8.515828102983623E-3</v>
      </c>
      <c r="X22" s="132">
        <v>1.1357417311478091E-2</v>
      </c>
      <c r="Y22" s="132">
        <v>1.2895706696957132E-2</v>
      </c>
      <c r="DA22" s="156" t="s">
        <v>650</v>
      </c>
    </row>
    <row r="23" spans="1:105" ht="12" customHeight="1" x14ac:dyDescent="0.25">
      <c r="A23" s="131" t="s">
        <v>149</v>
      </c>
      <c r="B23" s="132"/>
      <c r="C23" s="132">
        <v>0</v>
      </c>
      <c r="D23" s="132">
        <v>0</v>
      </c>
      <c r="E23" s="132">
        <v>0</v>
      </c>
      <c r="F23" s="132">
        <v>0</v>
      </c>
      <c r="G23" s="132">
        <v>0</v>
      </c>
      <c r="H23" s="132">
        <v>0</v>
      </c>
      <c r="I23" s="132">
        <v>0</v>
      </c>
      <c r="J23" s="132">
        <v>0</v>
      </c>
      <c r="K23" s="132">
        <v>0</v>
      </c>
      <c r="L23" s="132">
        <v>0</v>
      </c>
      <c r="M23" s="132">
        <v>0</v>
      </c>
      <c r="N23" s="132">
        <v>0</v>
      </c>
      <c r="O23" s="132">
        <v>0</v>
      </c>
      <c r="P23" s="132">
        <v>0</v>
      </c>
      <c r="Q23" s="132">
        <v>0</v>
      </c>
      <c r="R23" s="132">
        <v>0</v>
      </c>
      <c r="S23" s="132">
        <v>0</v>
      </c>
      <c r="T23" s="132">
        <v>0</v>
      </c>
      <c r="U23" s="132">
        <v>0</v>
      </c>
      <c r="V23" s="132">
        <v>0</v>
      </c>
      <c r="W23" s="132">
        <v>0</v>
      </c>
      <c r="X23" s="132">
        <v>0</v>
      </c>
      <c r="Y23" s="132">
        <v>0</v>
      </c>
      <c r="DA23" s="156" t="s">
        <v>651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652</v>
      </c>
    </row>
    <row r="25" spans="1:105" ht="12" customHeight="1" x14ac:dyDescent="0.25">
      <c r="A25" s="131" t="s">
        <v>162</v>
      </c>
      <c r="B25" s="132"/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653</v>
      </c>
    </row>
    <row r="26" spans="1:105" ht="12" customHeight="1" x14ac:dyDescent="0.25">
      <c r="A26" s="131" t="s">
        <v>24</v>
      </c>
      <c r="B26" s="65"/>
      <c r="C26" s="65">
        <v>0.1661480588165202</v>
      </c>
      <c r="D26" s="65">
        <v>5.6216720639877621E-2</v>
      </c>
      <c r="E26" s="65">
        <v>8.1465003368370953E-2</v>
      </c>
      <c r="F26" s="65">
        <v>9.8971281429387756E-2</v>
      </c>
      <c r="G26" s="65">
        <v>0.1238194139213908</v>
      </c>
      <c r="H26" s="65">
        <v>0</v>
      </c>
      <c r="I26" s="65">
        <v>0</v>
      </c>
      <c r="J26" s="65">
        <v>2.155926392487354E-4</v>
      </c>
      <c r="K26" s="65">
        <v>5.3858325745546626E-3</v>
      </c>
      <c r="L26" s="65">
        <v>5.6170794945680702E-3</v>
      </c>
      <c r="M26" s="65">
        <v>4.5635519640864772E-3</v>
      </c>
      <c r="N26" s="65">
        <v>0.11538246044607452</v>
      </c>
      <c r="O26" s="65">
        <v>2.6049779591562287E-2</v>
      </c>
      <c r="P26" s="65">
        <v>5.7668882220061229E-4</v>
      </c>
      <c r="Q26" s="65">
        <v>5.6695438087610815E-4</v>
      </c>
      <c r="R26" s="65">
        <v>1.9362164839315714E-3</v>
      </c>
      <c r="S26" s="65">
        <v>2.4615387325370563E-3</v>
      </c>
      <c r="T26" s="65">
        <v>2.3283691363689052E-3</v>
      </c>
      <c r="U26" s="65">
        <v>1.925169385246038E-3</v>
      </c>
      <c r="V26" s="65">
        <v>2.0029784407031058E-3</v>
      </c>
      <c r="W26" s="65">
        <v>1.4876038593582505E-3</v>
      </c>
      <c r="X26" s="65">
        <v>0.15885119112663298</v>
      </c>
      <c r="Y26" s="65">
        <v>0.20453713210441679</v>
      </c>
      <c r="DA26" s="109" t="s">
        <v>654</v>
      </c>
    </row>
    <row r="27" spans="1:105" ht="12" customHeight="1" x14ac:dyDescent="0.25">
      <c r="A27" s="144" t="s">
        <v>26</v>
      </c>
      <c r="B27" s="147"/>
      <c r="C27" s="147">
        <v>0.21304427622931696</v>
      </c>
      <c r="D27" s="147">
        <v>0.24162712065347339</v>
      </c>
      <c r="E27" s="147">
        <v>0.25745002723542737</v>
      </c>
      <c r="F27" s="147">
        <v>0.33256048027392376</v>
      </c>
      <c r="G27" s="147">
        <v>0.32460247400932218</v>
      </c>
      <c r="H27" s="147">
        <v>0.3554203378952463</v>
      </c>
      <c r="I27" s="147">
        <v>0.32222619639610345</v>
      </c>
      <c r="J27" s="147">
        <v>0.289968120124108</v>
      </c>
      <c r="K27" s="147">
        <v>0.59781252061706458</v>
      </c>
      <c r="L27" s="147">
        <v>0.65024705802662031</v>
      </c>
      <c r="M27" s="147">
        <v>0.4990608585528673</v>
      </c>
      <c r="N27" s="147">
        <v>0.406634971645078</v>
      </c>
      <c r="O27" s="147">
        <v>6.0742813290589233E-2</v>
      </c>
      <c r="P27" s="147">
        <v>9.5933906137398522E-2</v>
      </c>
      <c r="Q27" s="147">
        <v>9.1458285448178023E-2</v>
      </c>
      <c r="R27" s="147">
        <v>0.2865951231166356</v>
      </c>
      <c r="S27" s="147">
        <v>0.35645497253947039</v>
      </c>
      <c r="T27" s="147">
        <v>0.32687069741788527</v>
      </c>
      <c r="U27" s="147">
        <v>0.29480109053799303</v>
      </c>
      <c r="V27" s="147">
        <v>0.28719958122932943</v>
      </c>
      <c r="W27" s="147">
        <v>0.20990123576816963</v>
      </c>
      <c r="X27" s="147">
        <v>0</v>
      </c>
      <c r="Y27" s="147">
        <v>3.2328523228267671E-15</v>
      </c>
      <c r="DA27" s="160" t="s">
        <v>655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0.37818657649773646</v>
      </c>
      <c r="D29" s="130">
        <f t="shared" si="12"/>
        <v>0.29707865659179522</v>
      </c>
      <c r="E29" s="130">
        <f t="shared" si="12"/>
        <v>0.34227601028662646</v>
      </c>
      <c r="F29" s="130">
        <f t="shared" si="12"/>
        <v>0.44731109388813339</v>
      </c>
      <c r="G29" s="130">
        <f t="shared" si="12"/>
        <v>0.47188278362282304</v>
      </c>
      <c r="H29" s="130">
        <f t="shared" si="12"/>
        <v>0.61547150606436929</v>
      </c>
      <c r="I29" s="130">
        <f t="shared" si="12"/>
        <v>0.57613230777471314</v>
      </c>
      <c r="J29" s="130">
        <f t="shared" si="12"/>
        <v>0.55764283619966748</v>
      </c>
      <c r="K29" s="130">
        <f t="shared" si="12"/>
        <v>0.73466737066405763</v>
      </c>
      <c r="L29" s="130">
        <f t="shared" si="12"/>
        <v>0.7888100556315335</v>
      </c>
      <c r="M29" s="130">
        <f t="shared" si="12"/>
        <v>0.56670264302829065</v>
      </c>
      <c r="N29" s="130">
        <f t="shared" si="12"/>
        <v>0.57906466384030331</v>
      </c>
      <c r="O29" s="130">
        <f t="shared" si="12"/>
        <v>9.3902114073009676E-2</v>
      </c>
      <c r="P29" s="130">
        <f t="shared" si="12"/>
        <v>8.812351651495097E-2</v>
      </c>
      <c r="Q29" s="130">
        <f t="shared" si="12"/>
        <v>8.5603531525869053E-2</v>
      </c>
      <c r="R29" s="130">
        <f t="shared" ref="R29:W29" si="13">SUM(R30:R33)</f>
        <v>0.28135923479352043</v>
      </c>
      <c r="S29" s="130">
        <f t="shared" si="13"/>
        <v>0.41950480862730721</v>
      </c>
      <c r="T29" s="130">
        <f t="shared" si="13"/>
        <v>0.41745967767123637</v>
      </c>
      <c r="U29" s="130">
        <f t="shared" si="13"/>
        <v>0.37816546152266506</v>
      </c>
      <c r="V29" s="130">
        <f t="shared" si="13"/>
        <v>0.32067294662700918</v>
      </c>
      <c r="W29" s="130">
        <f t="shared" si="13"/>
        <v>0.35265665078568798</v>
      </c>
      <c r="X29" s="130">
        <f t="shared" ref="X29:Y29" si="14">SUM(X30:X33)</f>
        <v>0.33817753470516598</v>
      </c>
      <c r="Y29" s="130">
        <f t="shared" si="14"/>
        <v>0.37005105588255122</v>
      </c>
      <c r="DA29" s="155" t="s">
        <v>656</v>
      </c>
    </row>
    <row r="30" spans="1:105" s="2" customFormat="1" ht="12" customHeight="1" x14ac:dyDescent="0.25">
      <c r="A30" s="131" t="s">
        <v>52</v>
      </c>
      <c r="B30" s="132"/>
      <c r="C30" s="132">
        <v>0</v>
      </c>
      <c r="D30" s="132">
        <v>0</v>
      </c>
      <c r="E30" s="132">
        <v>0</v>
      </c>
      <c r="F30" s="132">
        <v>0</v>
      </c>
      <c r="G30" s="132">
        <v>0</v>
      </c>
      <c r="H30" s="132">
        <v>0.55951027900140815</v>
      </c>
      <c r="I30" s="132">
        <v>0.21623545076970327</v>
      </c>
      <c r="J30" s="132">
        <v>0.10444355307090251</v>
      </c>
      <c r="K30" s="132">
        <v>0</v>
      </c>
      <c r="L30" s="132">
        <v>2.4878097031074284E-2</v>
      </c>
      <c r="M30" s="132">
        <v>0.14956391322515927</v>
      </c>
      <c r="N30" s="132">
        <v>0.10214099754578544</v>
      </c>
      <c r="O30" s="132">
        <v>1.0192134760698471E-2</v>
      </c>
      <c r="P30" s="132">
        <v>6.968811621166358E-3</v>
      </c>
      <c r="Q30" s="132">
        <v>3.0461398669051218E-2</v>
      </c>
      <c r="R30" s="132">
        <v>0.1022475951632337</v>
      </c>
      <c r="S30" s="132">
        <v>0.26426451165015691</v>
      </c>
      <c r="T30" s="132">
        <v>0.15780971089369661</v>
      </c>
      <c r="U30" s="132">
        <v>6.7272050438394085E-2</v>
      </c>
      <c r="V30" s="132">
        <v>5.2164485962098175E-2</v>
      </c>
      <c r="W30" s="132">
        <v>2.6926161680045295E-2</v>
      </c>
      <c r="X30" s="132">
        <v>6.1800049078910169E-3</v>
      </c>
      <c r="Y30" s="132">
        <v>3.6530792669730451E-2</v>
      </c>
      <c r="DA30" s="156" t="s">
        <v>657</v>
      </c>
    </row>
    <row r="31" spans="1:105" ht="12" customHeight="1" x14ac:dyDescent="0.25">
      <c r="A31" s="131" t="s">
        <v>149</v>
      </c>
      <c r="B31" s="132"/>
      <c r="C31" s="132">
        <v>0</v>
      </c>
      <c r="D31" s="132">
        <v>0</v>
      </c>
      <c r="E31" s="132">
        <v>0</v>
      </c>
      <c r="F31" s="132">
        <v>0</v>
      </c>
      <c r="G31" s="132">
        <v>0</v>
      </c>
      <c r="H31" s="132">
        <v>0</v>
      </c>
      <c r="I31" s="132">
        <v>0</v>
      </c>
      <c r="J31" s="132">
        <v>0</v>
      </c>
      <c r="K31" s="132">
        <v>0</v>
      </c>
      <c r="L31" s="132">
        <v>0</v>
      </c>
      <c r="M31" s="132">
        <v>0</v>
      </c>
      <c r="N31" s="132">
        <v>0</v>
      </c>
      <c r="O31" s="132">
        <v>0</v>
      </c>
      <c r="P31" s="132">
        <v>0</v>
      </c>
      <c r="Q31" s="132">
        <v>0</v>
      </c>
      <c r="R31" s="132">
        <v>0</v>
      </c>
      <c r="S31" s="132">
        <v>0</v>
      </c>
      <c r="T31" s="132">
        <v>0</v>
      </c>
      <c r="U31" s="132">
        <v>0</v>
      </c>
      <c r="V31" s="132">
        <v>0</v>
      </c>
      <c r="W31" s="132">
        <v>0</v>
      </c>
      <c r="X31" s="132">
        <v>0</v>
      </c>
      <c r="Y31" s="132">
        <v>0</v>
      </c>
      <c r="DA31" s="156" t="s">
        <v>658</v>
      </c>
    </row>
    <row r="32" spans="1:105" ht="12" customHeight="1" x14ac:dyDescent="0.25">
      <c r="A32" s="131" t="s">
        <v>128</v>
      </c>
      <c r="B32" s="132"/>
      <c r="C32" s="132">
        <v>3.6442713238004257E-2</v>
      </c>
      <c r="D32" s="132">
        <v>5.178673224512377E-2</v>
      </c>
      <c r="E32" s="132">
        <v>4.5501617253432415E-2</v>
      </c>
      <c r="F32" s="132">
        <v>6.7931146491287647E-2</v>
      </c>
      <c r="G32" s="132">
        <v>9.0486481597918347E-2</v>
      </c>
      <c r="H32" s="132">
        <v>5.5961227062961187E-2</v>
      </c>
      <c r="I32" s="132">
        <v>0.15394616721532578</v>
      </c>
      <c r="J32" s="132">
        <v>7.2791455308784989E-2</v>
      </c>
      <c r="K32" s="132">
        <v>6.532449150168132E-2</v>
      </c>
      <c r="L32" s="132">
        <v>6.2260800175537354E-2</v>
      </c>
      <c r="M32" s="132">
        <v>6.4134232220887363E-2</v>
      </c>
      <c r="N32" s="132">
        <v>6.8663133089855069E-2</v>
      </c>
      <c r="O32" s="132">
        <v>1.4051506505674919E-2</v>
      </c>
      <c r="P32" s="132">
        <v>1.4126342137854702E-2</v>
      </c>
      <c r="Q32" s="132">
        <v>1.2454438860062908E-2</v>
      </c>
      <c r="R32" s="132">
        <v>3.9370491351872205E-2</v>
      </c>
      <c r="S32" s="132">
        <v>6.4927871141052418E-2</v>
      </c>
      <c r="T32" s="132">
        <v>7.3584359451826051E-2</v>
      </c>
      <c r="U32" s="132">
        <v>5.7832215835755506E-2</v>
      </c>
      <c r="V32" s="132">
        <v>4.6146751126048442E-2</v>
      </c>
      <c r="W32" s="132">
        <v>4.6576671461974542E-3</v>
      </c>
      <c r="X32" s="132">
        <v>0</v>
      </c>
      <c r="Y32" s="132">
        <v>1.0926130733626728E-2</v>
      </c>
      <c r="DA32" s="156" t="s">
        <v>659</v>
      </c>
    </row>
    <row r="33" spans="1:105" ht="12" customHeight="1" x14ac:dyDescent="0.25">
      <c r="A33" s="62" t="s">
        <v>24</v>
      </c>
      <c r="B33" s="68"/>
      <c r="C33" s="68">
        <v>0.34174386325973222</v>
      </c>
      <c r="D33" s="68">
        <v>0.24529192434667146</v>
      </c>
      <c r="E33" s="68">
        <v>0.29677439303319403</v>
      </c>
      <c r="F33" s="68">
        <v>0.37937994739684572</v>
      </c>
      <c r="G33" s="68">
        <v>0.38139630202490471</v>
      </c>
      <c r="H33" s="68">
        <v>0</v>
      </c>
      <c r="I33" s="68">
        <v>0.20595068978968417</v>
      </c>
      <c r="J33" s="68">
        <v>0.38040782781998</v>
      </c>
      <c r="K33" s="68">
        <v>0.66934287916237634</v>
      </c>
      <c r="L33" s="68">
        <v>0.70167115842492189</v>
      </c>
      <c r="M33" s="68">
        <v>0.35300449758224395</v>
      </c>
      <c r="N33" s="68">
        <v>0.40826053320466277</v>
      </c>
      <c r="O33" s="68">
        <v>6.9658472806636285E-2</v>
      </c>
      <c r="P33" s="68">
        <v>6.702836275592991E-2</v>
      </c>
      <c r="Q33" s="68">
        <v>4.2687693996754934E-2</v>
      </c>
      <c r="R33" s="68">
        <v>0.13974114827841452</v>
      </c>
      <c r="S33" s="68">
        <v>9.0312425836097873E-2</v>
      </c>
      <c r="T33" s="68">
        <v>0.18606560732571373</v>
      </c>
      <c r="U33" s="68">
        <v>0.2530611952485155</v>
      </c>
      <c r="V33" s="68">
        <v>0.22236170953886253</v>
      </c>
      <c r="W33" s="68">
        <v>0.3210728219594452</v>
      </c>
      <c r="X33" s="68">
        <v>0.33199752979727498</v>
      </c>
      <c r="Y33" s="68">
        <v>0.32259413247919405</v>
      </c>
      <c r="DA33" s="111" t="s">
        <v>660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/>
      <c r="C3" s="126">
        <f>IF(SER_hh_tes_in!C3=0,"",SER_hh_tes_in!C3/SER_hh_fec_in!C3)</f>
        <v>1.346267404394897</v>
      </c>
      <c r="D3" s="126">
        <f>IF(SER_hh_tes_in!D3=0,"",SER_hh_tes_in!D3/SER_hh_fec_in!D3)</f>
        <v>1.3722912986349747</v>
      </c>
      <c r="E3" s="126">
        <f>IF(SER_hh_tes_in!E3=0,"",SER_hh_tes_in!E3/SER_hh_fec_in!E3)</f>
        <v>1.4738918809296706</v>
      </c>
      <c r="F3" s="126">
        <f>IF(SER_hh_tes_in!F3=0,"",SER_hh_tes_in!F3/SER_hh_fec_in!F3)</f>
        <v>1.391885145323478</v>
      </c>
      <c r="G3" s="126">
        <f>IF(SER_hh_tes_in!G3=0,"",SER_hh_tes_in!G3/SER_hh_fec_in!G3)</f>
        <v>1.3434203395787463</v>
      </c>
      <c r="H3" s="126">
        <f>IF(SER_hh_tes_in!H3=0,"",SER_hh_tes_in!H3/SER_hh_fec_in!H3)</f>
        <v>1.1496300131920534</v>
      </c>
      <c r="I3" s="126">
        <f>IF(SER_hh_tes_in!I3=0,"",SER_hh_tes_in!I3/SER_hh_fec_in!I3)</f>
        <v>1.3058283230101655</v>
      </c>
      <c r="J3" s="126">
        <f>IF(SER_hh_tes_in!J3=0,"",SER_hh_tes_in!J3/SER_hh_fec_in!J3)</f>
        <v>1.2311367236564621</v>
      </c>
      <c r="K3" s="126">
        <f>IF(SER_hh_tes_in!K3=0,"",SER_hh_tes_in!K3/SER_hh_fec_in!K3)</f>
        <v>1.3688967254790814</v>
      </c>
      <c r="L3" s="126">
        <f>IF(SER_hh_tes_in!L3=0,"",SER_hh_tes_in!L3/SER_hh_fec_in!L3)</f>
        <v>1.450644005433704</v>
      </c>
      <c r="M3" s="126">
        <f>IF(SER_hh_tes_in!M3=0,"",SER_hh_tes_in!M3/SER_hh_fec_in!M3)</f>
        <v>1.6063860587667624</v>
      </c>
      <c r="N3" s="126">
        <f>IF(SER_hh_tes_in!N3=0,"",SER_hh_tes_in!N3/SER_hh_fec_in!N3)</f>
        <v>1.8460655218998134</v>
      </c>
      <c r="O3" s="126">
        <f>IF(SER_hh_tes_in!O3=0,"",SER_hh_tes_in!O3/SER_hh_fec_in!O3)</f>
        <v>1.9137526030846344</v>
      </c>
      <c r="P3" s="126">
        <f>IF(SER_hh_tes_in!P3=0,"",SER_hh_tes_in!P3/SER_hh_fec_in!P3)</f>
        <v>2.0872787592961486</v>
      </c>
      <c r="Q3" s="126">
        <f>IF(SER_hh_tes_in!Q3=0,"",SER_hh_tes_in!Q3/SER_hh_fec_in!Q3)</f>
        <v>1.7156028230220397</v>
      </c>
      <c r="R3" s="126">
        <f>IF(SER_hh_tes_in!R3=0,"",SER_hh_tes_in!R3/SER_hh_fec_in!R3)</f>
        <v>1.5491723162392046</v>
      </c>
      <c r="S3" s="126">
        <f>IF(SER_hh_tes_in!S3=0,"",SER_hh_tes_in!S3/SER_hh_fec_in!S3)</f>
        <v>1.6532247565583786</v>
      </c>
      <c r="T3" s="126">
        <f>IF(SER_hh_tes_in!T3=0,"",SER_hh_tes_in!T3/SER_hh_fec_in!T3)</f>
        <v>1.9266569410487087</v>
      </c>
      <c r="U3" s="126">
        <f>IF(SER_hh_tes_in!U3=0,"",SER_hh_tes_in!U3/SER_hh_fec_in!U3)</f>
        <v>1.7198153428172867</v>
      </c>
      <c r="V3" s="126">
        <f>IF(SER_hh_tes_in!V3=0,"",SER_hh_tes_in!V3/SER_hh_fec_in!V3)</f>
        <v>1.9054818965335041</v>
      </c>
      <c r="W3" s="126">
        <f>IF(SER_hh_tes_in!W3=0,"",SER_hh_tes_in!W3/SER_hh_fec_in!W3)</f>
        <v>1.5060621815849418</v>
      </c>
      <c r="X3" s="126">
        <f>IF(SER_hh_tes_in!X3=0,"",SER_hh_tes_in!X3/SER_hh_fec_in!X3)</f>
        <v>1.3667445315652789</v>
      </c>
      <c r="Y3" s="126">
        <f>IF(SER_hh_tes_in!Y3=0,"",SER_hh_tes_in!Y3/SER_hh_fec_in!Y3)</f>
        <v>1.6409345141891223</v>
      </c>
      <c r="DA3" s="161" t="s">
        <v>662</v>
      </c>
    </row>
    <row r="4" spans="1:105" ht="12.95" customHeight="1" x14ac:dyDescent="0.25">
      <c r="A4" s="129" t="s">
        <v>32</v>
      </c>
      <c r="B4" s="135"/>
      <c r="C4" s="135">
        <f>IF(SER_hh_tes_in!C4=0,"",SER_hh_tes_in!C4/SER_hh_fec_in!C4)</f>
        <v>0.67526636751535685</v>
      </c>
      <c r="D4" s="135">
        <f>IF(SER_hh_tes_in!D4=0,"",SER_hh_tes_in!D4/SER_hh_fec_in!D4)</f>
        <v>0.71470780524717514</v>
      </c>
      <c r="E4" s="135">
        <f>IF(SER_hh_tes_in!E4=0,"",SER_hh_tes_in!E4/SER_hh_fec_in!E4)</f>
        <v>0.79352227802715125</v>
      </c>
      <c r="F4" s="135">
        <f>IF(SER_hh_tes_in!F4=0,"",SER_hh_tes_in!F4/SER_hh_fec_in!F4)</f>
        <v>0.78670620070287856</v>
      </c>
      <c r="G4" s="135">
        <f>IF(SER_hh_tes_in!G4=0,"",SER_hh_tes_in!G4/SER_hh_fec_in!G4)</f>
        <v>0.79408828321473568</v>
      </c>
      <c r="H4" s="135">
        <f>IF(SER_hh_tes_in!H4=0,"",SER_hh_tes_in!H4/SER_hh_fec_in!H4)</f>
        <v>0.67116980138503957</v>
      </c>
      <c r="I4" s="135">
        <f>IF(SER_hh_tes_in!I4=0,"",SER_hh_tes_in!I4/SER_hh_fec_in!I4)</f>
        <v>0.72158872352084802</v>
      </c>
      <c r="J4" s="135">
        <f>IF(SER_hh_tes_in!J4=0,"",SER_hh_tes_in!J4/SER_hh_fec_in!J4)</f>
        <v>0.6203299808494549</v>
      </c>
      <c r="K4" s="135">
        <f>IF(SER_hh_tes_in!K4=0,"",SER_hh_tes_in!K4/SER_hh_fec_in!K4)</f>
        <v>0.71180272651152199</v>
      </c>
      <c r="L4" s="135">
        <f>IF(SER_hh_tes_in!L4=0,"",SER_hh_tes_in!L4/SER_hh_fec_in!L4)</f>
        <v>0.7641860748308833</v>
      </c>
      <c r="M4" s="135">
        <f>IF(SER_hh_tes_in!M4=0,"",SER_hh_tes_in!M4/SER_hh_fec_in!M4)</f>
        <v>1.0481455642558417</v>
      </c>
      <c r="N4" s="135">
        <f>IF(SER_hh_tes_in!N4=0,"",SER_hh_tes_in!N4/SER_hh_fec_in!N4)</f>
        <v>1.3552803265540083</v>
      </c>
      <c r="O4" s="135">
        <f>IF(SER_hh_tes_in!O4=0,"",SER_hh_tes_in!O4/SER_hh_fec_in!O4)</f>
        <v>1.9179184814694907</v>
      </c>
      <c r="P4" s="135">
        <f>IF(SER_hh_tes_in!P4=0,"",SER_hh_tes_in!P4/SER_hh_fec_in!P4)</f>
        <v>3.0118635093737263</v>
      </c>
      <c r="Q4" s="135">
        <f>IF(SER_hh_tes_in!Q4=0,"",SER_hh_tes_in!Q4/SER_hh_fec_in!Q4)</f>
        <v>1.3271200682223452</v>
      </c>
      <c r="R4" s="135">
        <f>IF(SER_hh_tes_in!R4=0,"",SER_hh_tes_in!R4/SER_hh_fec_in!R4)</f>
        <v>0.93838750592466236</v>
      </c>
      <c r="S4" s="135">
        <f>IF(SER_hh_tes_in!S4=0,"",SER_hh_tes_in!S4/SER_hh_fec_in!S4)</f>
        <v>1.2186170596775712</v>
      </c>
      <c r="T4" s="135">
        <f>IF(SER_hh_tes_in!T4=0,"",SER_hh_tes_in!T4/SER_hh_fec_in!T4)</f>
        <v>1.4433866767299259</v>
      </c>
      <c r="U4" s="135">
        <f>IF(SER_hh_tes_in!U4=0,"",SER_hh_tes_in!U4/SER_hh_fec_in!U4)</f>
        <v>1.1858434997783283</v>
      </c>
      <c r="V4" s="135">
        <f>IF(SER_hh_tes_in!V4=0,"",SER_hh_tes_in!V4/SER_hh_fec_in!V4)</f>
        <v>1.2540164173243029</v>
      </c>
      <c r="W4" s="135">
        <f>IF(SER_hh_tes_in!W4=0,"",SER_hh_tes_in!W4/SER_hh_fec_in!W4)</f>
        <v>0.87527609379352256</v>
      </c>
      <c r="X4" s="135">
        <f>IF(SER_hh_tes_in!X4=0,"",SER_hh_tes_in!X4/SER_hh_fec_in!X4)</f>
        <v>0.84780700246241236</v>
      </c>
      <c r="Y4" s="135">
        <f>IF(SER_hh_tes_in!Y4=0,"",SER_hh_tes_in!Y4/SER_hh_fec_in!Y4)</f>
        <v>1.1232529733659862</v>
      </c>
      <c r="DA4" s="162" t="s">
        <v>663</v>
      </c>
    </row>
    <row r="5" spans="1:105" ht="12" customHeight="1" x14ac:dyDescent="0.25">
      <c r="A5" s="131" t="s">
        <v>29</v>
      </c>
      <c r="B5" s="136"/>
      <c r="C5" s="136" t="str">
        <f>IF(SER_hh_tes_in!C5=0,"",SER_hh_tes_in!C5/SER_hh_fec_in!C5)</f>
        <v/>
      </c>
      <c r="D5" s="136" t="str">
        <f>IF(SER_hh_tes_in!D5=0,"",SER_hh_tes_in!D5/SER_hh_fec_in!D5)</f>
        <v/>
      </c>
      <c r="E5" s="136" t="str">
        <f>IF(SER_hh_tes_in!E5=0,"",SER_hh_tes_in!E5/SER_hh_fec_in!E5)</f>
        <v/>
      </c>
      <c r="F5" s="136" t="str">
        <f>IF(SER_hh_tes_in!F5=0,"",SER_hh_tes_in!F5/SER_hh_fec_in!F5)</f>
        <v/>
      </c>
      <c r="G5" s="136" t="str">
        <f>IF(SER_hh_tes_in!G5=0,"",SER_hh_tes_in!G5/SER_hh_fec_in!G5)</f>
        <v/>
      </c>
      <c r="H5" s="136" t="str">
        <f>IF(SER_hh_tes_in!H5=0,"",SER_hh_tes_in!H5/SER_hh_fec_in!H5)</f>
        <v/>
      </c>
      <c r="I5" s="136" t="str">
        <f>IF(SER_hh_tes_in!I5=0,"",SER_hh_tes_in!I5/SER_hh_fec_in!I5)</f>
        <v/>
      </c>
      <c r="J5" s="136" t="str">
        <f>IF(SER_hh_tes_in!J5=0,"",SER_hh_tes_in!J5/SER_hh_fec_in!J5)</f>
        <v/>
      </c>
      <c r="K5" s="136" t="str">
        <f>IF(SER_hh_tes_in!K5=0,"",SER_hh_tes_in!K5/SER_hh_fec_in!K5)</f>
        <v/>
      </c>
      <c r="L5" s="136" t="str">
        <f>IF(SER_hh_tes_in!L5=0,"",SER_hh_tes_in!L5/SER_hh_fec_in!L5)</f>
        <v/>
      </c>
      <c r="M5" s="136" t="str">
        <f>IF(SER_hh_tes_in!M5=0,"",SER_hh_tes_in!M5/SER_hh_fec_in!M5)</f>
        <v/>
      </c>
      <c r="N5" s="136" t="str">
        <f>IF(SER_hh_tes_in!N5=0,"",SER_hh_tes_in!N5/SER_hh_fec_in!N5)</f>
        <v/>
      </c>
      <c r="O5" s="136" t="str">
        <f>IF(SER_hh_tes_in!O5=0,"",SER_hh_tes_in!O5/SER_hh_fec_in!O5)</f>
        <v/>
      </c>
      <c r="P5" s="136" t="str">
        <f>IF(SER_hh_tes_in!P5=0,"",SER_hh_tes_in!P5/SER_hh_fec_in!P5)</f>
        <v/>
      </c>
      <c r="Q5" s="136" t="str">
        <f>IF(SER_hh_tes_in!Q5=0,"",SER_hh_tes_in!Q5/SER_hh_fec_in!Q5)</f>
        <v/>
      </c>
      <c r="R5" s="136" t="str">
        <f>IF(SER_hh_tes_in!R5=0,"",SER_hh_tes_in!R5/SER_hh_fec_in!R5)</f>
        <v/>
      </c>
      <c r="S5" s="136" t="str">
        <f>IF(SER_hh_tes_in!S5=0,"",SER_hh_tes_in!S5/SER_hh_fec_in!S5)</f>
        <v/>
      </c>
      <c r="T5" s="136" t="str">
        <f>IF(SER_hh_tes_in!T5=0,"",SER_hh_tes_in!T5/SER_hh_fec_in!T5)</f>
        <v/>
      </c>
      <c r="U5" s="136" t="str">
        <f>IF(SER_hh_tes_in!U5=0,"",SER_hh_tes_in!U5/SER_hh_fec_in!U5)</f>
        <v/>
      </c>
      <c r="V5" s="136" t="str">
        <f>IF(SER_hh_tes_in!V5=0,"",SER_hh_tes_in!V5/SER_hh_fec_in!V5)</f>
        <v/>
      </c>
      <c r="W5" s="136" t="str">
        <f>IF(SER_hh_tes_in!W5=0,"",SER_hh_tes_in!W5/SER_hh_fec_in!W5)</f>
        <v/>
      </c>
      <c r="X5" s="136" t="str">
        <f>IF(SER_hh_tes_in!X5=0,"",SER_hh_tes_in!X5/SER_hh_fec_in!X5)</f>
        <v/>
      </c>
      <c r="Y5" s="136" t="str">
        <f>IF(SER_hh_tes_in!Y5=0,"",SER_hh_tes_in!Y5/SER_hh_fec_in!Y5)</f>
        <v/>
      </c>
      <c r="DA5" s="163" t="s">
        <v>664</v>
      </c>
    </row>
    <row r="6" spans="1:105" ht="12" customHeight="1" x14ac:dyDescent="0.25">
      <c r="A6" s="131" t="s">
        <v>52</v>
      </c>
      <c r="B6" s="136"/>
      <c r="C6" s="136" t="str">
        <f>IF(SER_hh_tes_in!C6=0,"",SER_hh_tes_in!C6/SER_hh_fec_in!C6)</f>
        <v/>
      </c>
      <c r="D6" s="136" t="str">
        <f>IF(SER_hh_tes_in!D6=0,"",SER_hh_tes_in!D6/SER_hh_fec_in!D6)</f>
        <v/>
      </c>
      <c r="E6" s="136" t="str">
        <f>IF(SER_hh_tes_in!E6=0,"",SER_hh_tes_in!E6/SER_hh_fec_in!E6)</f>
        <v/>
      </c>
      <c r="F6" s="136" t="str">
        <f>IF(SER_hh_tes_in!F6=0,"",SER_hh_tes_in!F6/SER_hh_fec_in!F6)</f>
        <v/>
      </c>
      <c r="G6" s="136" t="str">
        <f>IF(SER_hh_tes_in!G6=0,"",SER_hh_tes_in!G6/SER_hh_fec_in!G6)</f>
        <v/>
      </c>
      <c r="H6" s="136" t="str">
        <f>IF(SER_hh_tes_in!H6=0,"",SER_hh_tes_in!H6/SER_hh_fec_in!H6)</f>
        <v/>
      </c>
      <c r="I6" s="136" t="str">
        <f>IF(SER_hh_tes_in!I6=0,"",SER_hh_tes_in!I6/SER_hh_fec_in!I6)</f>
        <v/>
      </c>
      <c r="J6" s="136" t="str">
        <f>IF(SER_hh_tes_in!J6=0,"",SER_hh_tes_in!J6/SER_hh_fec_in!J6)</f>
        <v/>
      </c>
      <c r="K6" s="136" t="str">
        <f>IF(SER_hh_tes_in!K6=0,"",SER_hh_tes_in!K6/SER_hh_fec_in!K6)</f>
        <v/>
      </c>
      <c r="L6" s="136" t="str">
        <f>IF(SER_hh_tes_in!L6=0,"",SER_hh_tes_in!L6/SER_hh_fec_in!L6)</f>
        <v/>
      </c>
      <c r="M6" s="136" t="str">
        <f>IF(SER_hh_tes_in!M6=0,"",SER_hh_tes_in!M6/SER_hh_fec_in!M6)</f>
        <v/>
      </c>
      <c r="N6" s="136" t="str">
        <f>IF(SER_hh_tes_in!N6=0,"",SER_hh_tes_in!N6/SER_hh_fec_in!N6)</f>
        <v/>
      </c>
      <c r="O6" s="136" t="str">
        <f>IF(SER_hh_tes_in!O6=0,"",SER_hh_tes_in!O6/SER_hh_fec_in!O6)</f>
        <v/>
      </c>
      <c r="P6" s="136" t="str">
        <f>IF(SER_hh_tes_in!P6=0,"",SER_hh_tes_in!P6/SER_hh_fec_in!P6)</f>
        <v/>
      </c>
      <c r="Q6" s="136" t="str">
        <f>IF(SER_hh_tes_in!Q6=0,"",SER_hh_tes_in!Q6/SER_hh_fec_in!Q6)</f>
        <v/>
      </c>
      <c r="R6" s="136" t="str">
        <f>IF(SER_hh_tes_in!R6=0,"",SER_hh_tes_in!R6/SER_hh_fec_in!R6)</f>
        <v/>
      </c>
      <c r="S6" s="136" t="str">
        <f>IF(SER_hh_tes_in!S6=0,"",SER_hh_tes_in!S6/SER_hh_fec_in!S6)</f>
        <v/>
      </c>
      <c r="T6" s="136" t="str">
        <f>IF(SER_hh_tes_in!T6=0,"",SER_hh_tes_in!T6/SER_hh_fec_in!T6)</f>
        <v/>
      </c>
      <c r="U6" s="136" t="str">
        <f>IF(SER_hh_tes_in!U6=0,"",SER_hh_tes_in!U6/SER_hh_fec_in!U6)</f>
        <v/>
      </c>
      <c r="V6" s="136" t="str">
        <f>IF(SER_hh_tes_in!V6=0,"",SER_hh_tes_in!V6/SER_hh_fec_in!V6)</f>
        <v/>
      </c>
      <c r="W6" s="136" t="str">
        <f>IF(SER_hh_tes_in!W6=0,"",SER_hh_tes_in!W6/SER_hh_fec_in!W6)</f>
        <v/>
      </c>
      <c r="X6" s="136" t="str">
        <f>IF(SER_hh_tes_in!X6=0,"",SER_hh_tes_in!X6/SER_hh_fec_in!X6)</f>
        <v/>
      </c>
      <c r="Y6" s="136" t="str">
        <f>IF(SER_hh_tes_in!Y6=0,"",SER_hh_tes_in!Y6/SER_hh_fec_in!Y6)</f>
        <v/>
      </c>
      <c r="DA6" s="163" t="s">
        <v>665</v>
      </c>
    </row>
    <row r="7" spans="1:105" ht="12" customHeight="1" x14ac:dyDescent="0.25">
      <c r="A7" s="131" t="s">
        <v>161</v>
      </c>
      <c r="B7" s="136"/>
      <c r="C7" s="136" t="str">
        <f>IF(SER_hh_tes_in!C7=0,"",SER_hh_tes_in!C7/SER_hh_fec_in!C7)</f>
        <v/>
      </c>
      <c r="D7" s="136" t="str">
        <f>IF(SER_hh_tes_in!D7=0,"",SER_hh_tes_in!D7/SER_hh_fec_in!D7)</f>
        <v/>
      </c>
      <c r="E7" s="136" t="str">
        <f>IF(SER_hh_tes_in!E7=0,"",SER_hh_tes_in!E7/SER_hh_fec_in!E7)</f>
        <v/>
      </c>
      <c r="F7" s="136" t="str">
        <f>IF(SER_hh_tes_in!F7=0,"",SER_hh_tes_in!F7/SER_hh_fec_in!F7)</f>
        <v/>
      </c>
      <c r="G7" s="136" t="str">
        <f>IF(SER_hh_tes_in!G7=0,"",SER_hh_tes_in!G7/SER_hh_fec_in!G7)</f>
        <v/>
      </c>
      <c r="H7" s="136" t="str">
        <f>IF(SER_hh_tes_in!H7=0,"",SER_hh_tes_in!H7/SER_hh_fec_in!H7)</f>
        <v/>
      </c>
      <c r="I7" s="136" t="str">
        <f>IF(SER_hh_tes_in!I7=0,"",SER_hh_tes_in!I7/SER_hh_fec_in!I7)</f>
        <v/>
      </c>
      <c r="J7" s="136">
        <f>IF(SER_hh_tes_in!J7=0,"",SER_hh_tes_in!J7/SER_hh_fec_in!J7)</f>
        <v>0.47197534150576753</v>
      </c>
      <c r="K7" s="136">
        <f>IF(SER_hh_tes_in!K7=0,"",SER_hh_tes_in!K7/SER_hh_fec_in!K7)</f>
        <v>0.47911047653051814</v>
      </c>
      <c r="L7" s="136">
        <f>IF(SER_hh_tes_in!L7=0,"",SER_hh_tes_in!L7/SER_hh_fec_in!L7)</f>
        <v>0.48702301736109671</v>
      </c>
      <c r="M7" s="136">
        <f>IF(SER_hh_tes_in!M7=0,"",SER_hh_tes_in!M7/SER_hh_fec_in!M7)</f>
        <v>0.50133983073417121</v>
      </c>
      <c r="N7" s="136">
        <f>IF(SER_hh_tes_in!N7=0,"",SER_hh_tes_in!N7/SER_hh_fec_in!N7)</f>
        <v>0.5237448956889913</v>
      </c>
      <c r="O7" s="136">
        <f>IF(SER_hh_tes_in!O7=0,"",SER_hh_tes_in!O7/SER_hh_fec_in!O7)</f>
        <v>0.55509533478787398</v>
      </c>
      <c r="P7" s="136" t="str">
        <f>IF(SER_hh_tes_in!P7=0,"",SER_hh_tes_in!P7/SER_hh_fec_in!P7)</f>
        <v/>
      </c>
      <c r="Q7" s="136" t="str">
        <f>IF(SER_hh_tes_in!Q7=0,"",SER_hh_tes_in!Q7/SER_hh_fec_in!Q7)</f>
        <v/>
      </c>
      <c r="R7" s="136" t="str">
        <f>IF(SER_hh_tes_in!R7=0,"",SER_hh_tes_in!R7/SER_hh_fec_in!R7)</f>
        <v/>
      </c>
      <c r="S7" s="136" t="str">
        <f>IF(SER_hh_tes_in!S7=0,"",SER_hh_tes_in!S7/SER_hh_fec_in!S7)</f>
        <v/>
      </c>
      <c r="T7" s="136">
        <f>IF(SER_hh_tes_in!T7=0,"",SER_hh_tes_in!T7/SER_hh_fec_in!T7)</f>
        <v>0.63795751767984865</v>
      </c>
      <c r="U7" s="136">
        <f>IF(SER_hh_tes_in!U7=0,"",SER_hh_tes_in!U7/SER_hh_fec_in!U7)</f>
        <v>0.63846084880878462</v>
      </c>
      <c r="V7" s="136">
        <f>IF(SER_hh_tes_in!V7=0,"",SER_hh_tes_in!V7/SER_hh_fec_in!V7)</f>
        <v>0.63990630319737352</v>
      </c>
      <c r="W7" s="136">
        <f>IF(SER_hh_tes_in!W7=0,"",SER_hh_tes_in!W7/SER_hh_fec_in!W7)</f>
        <v>0.64190640090072271</v>
      </c>
      <c r="X7" s="136">
        <f>IF(SER_hh_tes_in!X7=0,"",SER_hh_tes_in!X7/SER_hh_fec_in!X7)</f>
        <v>0.64293929768111502</v>
      </c>
      <c r="Y7" s="136">
        <f>IF(SER_hh_tes_in!Y7=0,"",SER_hh_tes_in!Y7/SER_hh_fec_in!Y7)</f>
        <v>0.64360124321300338</v>
      </c>
      <c r="DA7" s="163" t="s">
        <v>666</v>
      </c>
    </row>
    <row r="8" spans="1:105" ht="12" customHeight="1" x14ac:dyDescent="0.25">
      <c r="A8" s="131" t="s">
        <v>73</v>
      </c>
      <c r="B8" s="136"/>
      <c r="C8" s="136" t="str">
        <f>IF(SER_hh_tes_in!C8=0,"",SER_hh_tes_in!C8/SER_hh_fec_in!C8)</f>
        <v/>
      </c>
      <c r="D8" s="136" t="str">
        <f>IF(SER_hh_tes_in!D8=0,"",SER_hh_tes_in!D8/SER_hh_fec_in!D8)</f>
        <v/>
      </c>
      <c r="E8" s="136" t="str">
        <f>IF(SER_hh_tes_in!E8=0,"",SER_hh_tes_in!E8/SER_hh_fec_in!E8)</f>
        <v/>
      </c>
      <c r="F8" s="136" t="str">
        <f>IF(SER_hh_tes_in!F8=0,"",SER_hh_tes_in!F8/SER_hh_fec_in!F8)</f>
        <v/>
      </c>
      <c r="G8" s="136" t="str">
        <f>IF(SER_hh_tes_in!G8=0,"",SER_hh_tes_in!G8/SER_hh_fec_in!G8)</f>
        <v/>
      </c>
      <c r="H8" s="136" t="str">
        <f>IF(SER_hh_tes_in!H8=0,"",SER_hh_tes_in!H8/SER_hh_fec_in!H8)</f>
        <v/>
      </c>
      <c r="I8" s="136" t="str">
        <f>IF(SER_hh_tes_in!I8=0,"",SER_hh_tes_in!I8/SER_hh_fec_in!I8)</f>
        <v/>
      </c>
      <c r="J8" s="136" t="str">
        <f>IF(SER_hh_tes_in!J8=0,"",SER_hh_tes_in!J8/SER_hh_fec_in!J8)</f>
        <v/>
      </c>
      <c r="K8" s="136" t="str">
        <f>IF(SER_hh_tes_in!K8=0,"",SER_hh_tes_in!K8/SER_hh_fec_in!K8)</f>
        <v/>
      </c>
      <c r="L8" s="136" t="str">
        <f>IF(SER_hh_tes_in!L8=0,"",SER_hh_tes_in!L8/SER_hh_fec_in!L8)</f>
        <v/>
      </c>
      <c r="M8" s="136" t="str">
        <f>IF(SER_hh_tes_in!M8=0,"",SER_hh_tes_in!M8/SER_hh_fec_in!M8)</f>
        <v/>
      </c>
      <c r="N8" s="136" t="str">
        <f>IF(SER_hh_tes_in!N8=0,"",SER_hh_tes_in!N8/SER_hh_fec_in!N8)</f>
        <v/>
      </c>
      <c r="O8" s="136" t="str">
        <f>IF(SER_hh_tes_in!O8=0,"",SER_hh_tes_in!O8/SER_hh_fec_in!O8)</f>
        <v/>
      </c>
      <c r="P8" s="136" t="str">
        <f>IF(SER_hh_tes_in!P8=0,"",SER_hh_tes_in!P8/SER_hh_fec_in!P8)</f>
        <v/>
      </c>
      <c r="Q8" s="136" t="str">
        <f>IF(SER_hh_tes_in!Q8=0,"",SER_hh_tes_in!Q8/SER_hh_fec_in!Q8)</f>
        <v/>
      </c>
      <c r="R8" s="136" t="str">
        <f>IF(SER_hh_tes_in!R8=0,"",SER_hh_tes_in!R8/SER_hh_fec_in!R8)</f>
        <v/>
      </c>
      <c r="S8" s="136" t="str">
        <f>IF(SER_hh_tes_in!S8=0,"",SER_hh_tes_in!S8/SER_hh_fec_in!S8)</f>
        <v/>
      </c>
      <c r="T8" s="136" t="str">
        <f>IF(SER_hh_tes_in!T8=0,"",SER_hh_tes_in!T8/SER_hh_fec_in!T8)</f>
        <v/>
      </c>
      <c r="U8" s="136" t="str">
        <f>IF(SER_hh_tes_in!U8=0,"",SER_hh_tes_in!U8/SER_hh_fec_in!U8)</f>
        <v/>
      </c>
      <c r="V8" s="136" t="str">
        <f>IF(SER_hh_tes_in!V8=0,"",SER_hh_tes_in!V8/SER_hh_fec_in!V8)</f>
        <v/>
      </c>
      <c r="W8" s="136" t="str">
        <f>IF(SER_hh_tes_in!W8=0,"",SER_hh_tes_in!W8/SER_hh_fec_in!W8)</f>
        <v/>
      </c>
      <c r="X8" s="136" t="str">
        <f>IF(SER_hh_tes_in!X8=0,"",SER_hh_tes_in!X8/SER_hh_fec_in!X8)</f>
        <v/>
      </c>
      <c r="Y8" s="136" t="str">
        <f>IF(SER_hh_tes_in!Y8=0,"",SER_hh_tes_in!Y8/SER_hh_fec_in!Y8)</f>
        <v/>
      </c>
      <c r="DA8" s="163" t="s">
        <v>667</v>
      </c>
    </row>
    <row r="9" spans="1:105" ht="12" customHeight="1" x14ac:dyDescent="0.25">
      <c r="A9" s="131" t="s">
        <v>78</v>
      </c>
      <c r="B9" s="136"/>
      <c r="C9" s="136" t="str">
        <f>IF(SER_hh_tes_in!C9=0,"",SER_hh_tes_in!C9/SER_hh_fec_in!C9)</f>
        <v/>
      </c>
      <c r="D9" s="136" t="str">
        <f>IF(SER_hh_tes_in!D9=0,"",SER_hh_tes_in!D9/SER_hh_fec_in!D9)</f>
        <v/>
      </c>
      <c r="E9" s="136" t="str">
        <f>IF(SER_hh_tes_in!E9=0,"",SER_hh_tes_in!E9/SER_hh_fec_in!E9)</f>
        <v/>
      </c>
      <c r="F9" s="136" t="str">
        <f>IF(SER_hh_tes_in!F9=0,"",SER_hh_tes_in!F9/SER_hh_fec_in!F9)</f>
        <v/>
      </c>
      <c r="G9" s="136" t="str">
        <f>IF(SER_hh_tes_in!G9=0,"",SER_hh_tes_in!G9/SER_hh_fec_in!G9)</f>
        <v/>
      </c>
      <c r="H9" s="136" t="str">
        <f>IF(SER_hh_tes_in!H9=0,"",SER_hh_tes_in!H9/SER_hh_fec_in!H9)</f>
        <v/>
      </c>
      <c r="I9" s="136" t="str">
        <f>IF(SER_hh_tes_in!I9=0,"",SER_hh_tes_in!I9/SER_hh_fec_in!I9)</f>
        <v/>
      </c>
      <c r="J9" s="136" t="str">
        <f>IF(SER_hh_tes_in!J9=0,"",SER_hh_tes_in!J9/SER_hh_fec_in!J9)</f>
        <v/>
      </c>
      <c r="K9" s="136">
        <f>IF(SER_hh_tes_in!K9=0,"",SER_hh_tes_in!K9/SER_hh_fec_in!K9)</f>
        <v>0.73504778404279181</v>
      </c>
      <c r="L9" s="136">
        <f>IF(SER_hh_tes_in!L9=0,"",SER_hh_tes_in!L9/SER_hh_fec_in!L9)</f>
        <v>0.74177093318343801</v>
      </c>
      <c r="M9" s="136">
        <f>IF(SER_hh_tes_in!M9=0,"",SER_hh_tes_in!M9/SER_hh_fec_in!M9)</f>
        <v>0.75420660315424515</v>
      </c>
      <c r="N9" s="136">
        <f>IF(SER_hh_tes_in!N9=0,"",SER_hh_tes_in!N9/SER_hh_fec_in!N9)</f>
        <v>0.77390326190081205</v>
      </c>
      <c r="O9" s="136" t="str">
        <f>IF(SER_hh_tes_in!O9=0,"",SER_hh_tes_in!O9/SER_hh_fec_in!O9)</f>
        <v/>
      </c>
      <c r="P9" s="136">
        <f>IF(SER_hh_tes_in!P9=0,"",SER_hh_tes_in!P9/SER_hh_fec_in!P9)</f>
        <v>0.83484949246644924</v>
      </c>
      <c r="Q9" s="136">
        <f>IF(SER_hh_tes_in!Q9=0,"",SER_hh_tes_in!Q9/SER_hh_fec_in!Q9)</f>
        <v>0.86262916386204713</v>
      </c>
      <c r="R9" s="136">
        <f>IF(SER_hh_tes_in!R9=0,"",SER_hh_tes_in!R9/SER_hh_fec_in!R9)</f>
        <v>0.87671140075587284</v>
      </c>
      <c r="S9" s="136">
        <f>IF(SER_hh_tes_in!S9=0,"",SER_hh_tes_in!S9/SER_hh_fec_in!S9)</f>
        <v>0.88747012723401131</v>
      </c>
      <c r="T9" s="136">
        <f>IF(SER_hh_tes_in!T9=0,"",SER_hh_tes_in!T9/SER_hh_fec_in!T9)</f>
        <v>0.8961936012972741</v>
      </c>
      <c r="U9" s="136">
        <f>IF(SER_hh_tes_in!U9=0,"",SER_hh_tes_in!U9/SER_hh_fec_in!U9)</f>
        <v>0.90377129028222158</v>
      </c>
      <c r="V9" s="136">
        <f>IF(SER_hh_tes_in!V9=0,"",SER_hh_tes_in!V9/SER_hh_fec_in!V9)</f>
        <v>0.91064245743527639</v>
      </c>
      <c r="W9" s="136">
        <f>IF(SER_hh_tes_in!W9=0,"",SER_hh_tes_in!W9/SER_hh_fec_in!W9)</f>
        <v>0.91575314647147221</v>
      </c>
      <c r="X9" s="136">
        <f>IF(SER_hh_tes_in!X9=0,"",SER_hh_tes_in!X9/SER_hh_fec_in!X9)</f>
        <v>0.91769640619797865</v>
      </c>
      <c r="Y9" s="136">
        <f>IF(SER_hh_tes_in!Y9=0,"",SER_hh_tes_in!Y9/SER_hh_fec_in!Y9)</f>
        <v>0.91902289894503364</v>
      </c>
      <c r="DA9" s="163" t="s">
        <v>668</v>
      </c>
    </row>
    <row r="10" spans="1:105" ht="12" customHeight="1" x14ac:dyDescent="0.25">
      <c r="A10" s="131" t="s">
        <v>128</v>
      </c>
      <c r="B10" s="136"/>
      <c r="C10" s="136" t="str">
        <f>IF(SER_hh_tes_in!C10=0,"",SER_hh_tes_in!C10/SER_hh_fec_in!C10)</f>
        <v/>
      </c>
      <c r="D10" s="136" t="str">
        <f>IF(SER_hh_tes_in!D10=0,"",SER_hh_tes_in!D10/SER_hh_fec_in!D10)</f>
        <v/>
      </c>
      <c r="E10" s="136" t="str">
        <f>IF(SER_hh_tes_in!E10=0,"",SER_hh_tes_in!E10/SER_hh_fec_in!E10)</f>
        <v/>
      </c>
      <c r="F10" s="136" t="str">
        <f>IF(SER_hh_tes_in!F10=0,"",SER_hh_tes_in!F10/SER_hh_fec_in!F10)</f>
        <v/>
      </c>
      <c r="G10" s="136" t="str">
        <f>IF(SER_hh_tes_in!G10=0,"",SER_hh_tes_in!G10/SER_hh_fec_in!G10)</f>
        <v/>
      </c>
      <c r="H10" s="136" t="str">
        <f>IF(SER_hh_tes_in!H10=0,"",SER_hh_tes_in!H10/SER_hh_fec_in!H10)</f>
        <v/>
      </c>
      <c r="I10" s="136">
        <f>IF(SER_hh_tes_in!I10=0,"",SER_hh_tes_in!I10/SER_hh_fec_in!I10)</f>
        <v>0.47182533151735845</v>
      </c>
      <c r="J10" s="136">
        <f>IF(SER_hh_tes_in!J10=0,"",SER_hh_tes_in!J10/SER_hh_fec_in!J10)</f>
        <v>0.48072732568725607</v>
      </c>
      <c r="K10" s="136" t="str">
        <f>IF(SER_hh_tes_in!K10=0,"",SER_hh_tes_in!K10/SER_hh_fec_in!K10)</f>
        <v/>
      </c>
      <c r="L10" s="136">
        <f>IF(SER_hh_tes_in!L10=0,"",SER_hh_tes_in!L10/SER_hh_fec_in!L10)</f>
        <v>0.49841911506296777</v>
      </c>
      <c r="M10" s="136">
        <f>IF(SER_hh_tes_in!M10=0,"",SER_hh_tes_in!M10/SER_hh_fec_in!M10)</f>
        <v>0.50651723312217667</v>
      </c>
      <c r="N10" s="136">
        <f>IF(SER_hh_tes_in!N10=0,"",SER_hh_tes_in!N10/SER_hh_fec_in!N10)</f>
        <v>0.51353767012093632</v>
      </c>
      <c r="O10" s="136">
        <f>IF(SER_hh_tes_in!O10=0,"",SER_hh_tes_in!O10/SER_hh_fec_in!O10)</f>
        <v>0.51927255757308621</v>
      </c>
      <c r="P10" s="136">
        <f>IF(SER_hh_tes_in!P10=0,"",SER_hh_tes_in!P10/SER_hh_fec_in!P10)</f>
        <v>0.52421870937656179</v>
      </c>
      <c r="Q10" s="136">
        <f>IF(SER_hh_tes_in!Q10=0,"",SER_hh_tes_in!Q10/SER_hh_fec_in!Q10)</f>
        <v>0.53012039323221161</v>
      </c>
      <c r="R10" s="136">
        <f>IF(SER_hh_tes_in!R10=0,"",SER_hh_tes_in!R10/SER_hh_fec_in!R10)</f>
        <v>0.53896035240167617</v>
      </c>
      <c r="S10" s="136" t="str">
        <f>IF(SER_hh_tes_in!S10=0,"",SER_hh_tes_in!S10/SER_hh_fec_in!S10)</f>
        <v/>
      </c>
      <c r="T10" s="136" t="str">
        <f>IF(SER_hh_tes_in!T10=0,"",SER_hh_tes_in!T10/SER_hh_fec_in!T10)</f>
        <v/>
      </c>
      <c r="U10" s="136" t="str">
        <f>IF(SER_hh_tes_in!U10=0,"",SER_hh_tes_in!U10/SER_hh_fec_in!U10)</f>
        <v/>
      </c>
      <c r="V10" s="136">
        <f>IF(SER_hh_tes_in!V10=0,"",SER_hh_tes_in!V10/SER_hh_fec_in!V10)</f>
        <v>0.57599188196495354</v>
      </c>
      <c r="W10" s="136">
        <f>IF(SER_hh_tes_in!W10=0,"",SER_hh_tes_in!W10/SER_hh_fec_in!W10)</f>
        <v>0.58223872542316801</v>
      </c>
      <c r="X10" s="136">
        <f>IF(SER_hh_tes_in!X10=0,"",SER_hh_tes_in!X10/SER_hh_fec_in!X10)</f>
        <v>0.58783776402140409</v>
      </c>
      <c r="Y10" s="136">
        <f>IF(SER_hh_tes_in!Y10=0,"",SER_hh_tes_in!Y10/SER_hh_fec_in!Y10)</f>
        <v>0.59311431759307887</v>
      </c>
      <c r="DA10" s="163" t="s">
        <v>669</v>
      </c>
    </row>
    <row r="11" spans="1:105" ht="12" customHeight="1" x14ac:dyDescent="0.25">
      <c r="A11" s="131" t="s">
        <v>25</v>
      </c>
      <c r="B11" s="136"/>
      <c r="C11" s="136" t="str">
        <f>IF(SER_hh_tes_in!C11=0,"",SER_hh_tes_in!C11/SER_hh_fec_in!C11)</f>
        <v/>
      </c>
      <c r="D11" s="136" t="str">
        <f>IF(SER_hh_tes_in!D11=0,"",SER_hh_tes_in!D11/SER_hh_fec_in!D11)</f>
        <v/>
      </c>
      <c r="E11" s="136" t="str">
        <f>IF(SER_hh_tes_in!E11=0,"",SER_hh_tes_in!E11/SER_hh_fec_in!E11)</f>
        <v/>
      </c>
      <c r="F11" s="136" t="str">
        <f>IF(SER_hh_tes_in!F11=0,"",SER_hh_tes_in!F11/SER_hh_fec_in!F11)</f>
        <v/>
      </c>
      <c r="G11" s="136" t="str">
        <f>IF(SER_hh_tes_in!G11=0,"",SER_hh_tes_in!G11/SER_hh_fec_in!G11)</f>
        <v/>
      </c>
      <c r="H11" s="136" t="str">
        <f>IF(SER_hh_tes_in!H11=0,"",SER_hh_tes_in!H11/SER_hh_fec_in!H11)</f>
        <v/>
      </c>
      <c r="I11" s="136" t="str">
        <f>IF(SER_hh_tes_in!I11=0,"",SER_hh_tes_in!I11/SER_hh_fec_in!I11)</f>
        <v/>
      </c>
      <c r="J11" s="136" t="str">
        <f>IF(SER_hh_tes_in!J11=0,"",SER_hh_tes_in!J11/SER_hh_fec_in!J11)</f>
        <v/>
      </c>
      <c r="K11" s="136" t="str">
        <f>IF(SER_hh_tes_in!K11=0,"",SER_hh_tes_in!K11/SER_hh_fec_in!K11)</f>
        <v/>
      </c>
      <c r="L11" s="136" t="str">
        <f>IF(SER_hh_tes_in!L11=0,"",SER_hh_tes_in!L11/SER_hh_fec_in!L11)</f>
        <v/>
      </c>
      <c r="M11" s="136" t="str">
        <f>IF(SER_hh_tes_in!M11=0,"",SER_hh_tes_in!M11/SER_hh_fec_in!M11)</f>
        <v/>
      </c>
      <c r="N11" s="136" t="str">
        <f>IF(SER_hh_tes_in!N11=0,"",SER_hh_tes_in!N11/SER_hh_fec_in!N11)</f>
        <v/>
      </c>
      <c r="O11" s="136" t="str">
        <f>IF(SER_hh_tes_in!O11=0,"",SER_hh_tes_in!O11/SER_hh_fec_in!O11)</f>
        <v/>
      </c>
      <c r="P11" s="136" t="str">
        <f>IF(SER_hh_tes_in!P11=0,"",SER_hh_tes_in!P11/SER_hh_fec_in!P11)</f>
        <v/>
      </c>
      <c r="Q11" s="136" t="str">
        <f>IF(SER_hh_tes_in!Q11=0,"",SER_hh_tes_in!Q11/SER_hh_fec_in!Q11)</f>
        <v/>
      </c>
      <c r="R11" s="136" t="str">
        <f>IF(SER_hh_tes_in!R11=0,"",SER_hh_tes_in!R11/SER_hh_fec_in!R11)</f>
        <v/>
      </c>
      <c r="S11" s="136" t="str">
        <f>IF(SER_hh_tes_in!S11=0,"",SER_hh_tes_in!S11/SER_hh_fec_in!S11)</f>
        <v/>
      </c>
      <c r="T11" s="136" t="str">
        <f>IF(SER_hh_tes_in!T11=0,"",SER_hh_tes_in!T11/SER_hh_fec_in!T11)</f>
        <v/>
      </c>
      <c r="U11" s="136" t="str">
        <f>IF(SER_hh_tes_in!U11=0,"",SER_hh_tes_in!U11/SER_hh_fec_in!U11)</f>
        <v/>
      </c>
      <c r="V11" s="136" t="str">
        <f>IF(SER_hh_tes_in!V11=0,"",SER_hh_tes_in!V11/SER_hh_fec_in!V11)</f>
        <v/>
      </c>
      <c r="W11" s="136" t="str">
        <f>IF(SER_hh_tes_in!W11=0,"",SER_hh_tes_in!W11/SER_hh_fec_in!W11)</f>
        <v/>
      </c>
      <c r="X11" s="136" t="str">
        <f>IF(SER_hh_tes_in!X11=0,"",SER_hh_tes_in!X11/SER_hh_fec_in!X11)</f>
        <v/>
      </c>
      <c r="Y11" s="136" t="str">
        <f>IF(SER_hh_tes_in!Y11=0,"",SER_hh_tes_in!Y11/SER_hh_fec_in!Y11)</f>
        <v/>
      </c>
      <c r="DA11" s="163" t="s">
        <v>670</v>
      </c>
    </row>
    <row r="12" spans="1:105" ht="12" customHeight="1" x14ac:dyDescent="0.25">
      <c r="A12" s="131" t="s">
        <v>162</v>
      </c>
      <c r="B12" s="136"/>
      <c r="C12" s="136" t="str">
        <f>IF(SER_hh_tes_in!C12=0,"",SER_hh_tes_in!C12/SER_hh_fec_in!C12)</f>
        <v/>
      </c>
      <c r="D12" s="136" t="str">
        <f>IF(SER_hh_tes_in!D12=0,"",SER_hh_tes_in!D12/SER_hh_fec_in!D12)</f>
        <v/>
      </c>
      <c r="E12" s="136" t="str">
        <f>IF(SER_hh_tes_in!E12=0,"",SER_hh_tes_in!E12/SER_hh_fec_in!E12)</f>
        <v/>
      </c>
      <c r="F12" s="136" t="str">
        <f>IF(SER_hh_tes_in!F12=0,"",SER_hh_tes_in!F12/SER_hh_fec_in!F12)</f>
        <v/>
      </c>
      <c r="G12" s="136" t="str">
        <f>IF(SER_hh_tes_in!G12=0,"",SER_hh_tes_in!G12/SER_hh_fec_in!G12)</f>
        <v/>
      </c>
      <c r="H12" s="136" t="str">
        <f>IF(SER_hh_tes_in!H12=0,"",SER_hh_tes_in!H12/SER_hh_fec_in!H12)</f>
        <v/>
      </c>
      <c r="I12" s="136" t="str">
        <f>IF(SER_hh_tes_in!I12=0,"",SER_hh_tes_in!I12/SER_hh_fec_in!I12)</f>
        <v/>
      </c>
      <c r="J12" s="136" t="str">
        <f>IF(SER_hh_tes_in!J12=0,"",SER_hh_tes_in!J12/SER_hh_fec_in!J12)</f>
        <v/>
      </c>
      <c r="K12" s="136" t="str">
        <f>IF(SER_hh_tes_in!K12=0,"",SER_hh_tes_in!K12/SER_hh_fec_in!K12)</f>
        <v/>
      </c>
      <c r="L12" s="136" t="str">
        <f>IF(SER_hh_tes_in!L12=0,"",SER_hh_tes_in!L12/SER_hh_fec_in!L12)</f>
        <v/>
      </c>
      <c r="M12" s="136" t="str">
        <f>IF(SER_hh_tes_in!M12=0,"",SER_hh_tes_in!M12/SER_hh_fec_in!M12)</f>
        <v/>
      </c>
      <c r="N12" s="136" t="str">
        <f>IF(SER_hh_tes_in!N12=0,"",SER_hh_tes_in!N12/SER_hh_fec_in!N12)</f>
        <v/>
      </c>
      <c r="O12" s="136" t="str">
        <f>IF(SER_hh_tes_in!O12=0,"",SER_hh_tes_in!O12/SER_hh_fec_in!O12)</f>
        <v/>
      </c>
      <c r="P12" s="136" t="str">
        <f>IF(SER_hh_tes_in!P12=0,"",SER_hh_tes_in!P12/SER_hh_fec_in!P12)</f>
        <v/>
      </c>
      <c r="Q12" s="136" t="str">
        <f>IF(SER_hh_tes_in!Q12=0,"",SER_hh_tes_in!Q12/SER_hh_fec_in!Q12)</f>
        <v/>
      </c>
      <c r="R12" s="136" t="str">
        <f>IF(SER_hh_tes_in!R12=0,"",SER_hh_tes_in!R12/SER_hh_fec_in!R12)</f>
        <v/>
      </c>
      <c r="S12" s="136" t="str">
        <f>IF(SER_hh_tes_in!S12=0,"",SER_hh_tes_in!S12/SER_hh_fec_in!S12)</f>
        <v/>
      </c>
      <c r="T12" s="136" t="str">
        <f>IF(SER_hh_tes_in!T12=0,"",SER_hh_tes_in!T12/SER_hh_fec_in!T12)</f>
        <v/>
      </c>
      <c r="U12" s="136" t="str">
        <f>IF(SER_hh_tes_in!U12=0,"",SER_hh_tes_in!U12/SER_hh_fec_in!U12)</f>
        <v/>
      </c>
      <c r="V12" s="136" t="str">
        <f>IF(SER_hh_tes_in!V12=0,"",SER_hh_tes_in!V12/SER_hh_fec_in!V12)</f>
        <v/>
      </c>
      <c r="W12" s="136" t="str">
        <f>IF(SER_hh_tes_in!W12=0,"",SER_hh_tes_in!W12/SER_hh_fec_in!W12)</f>
        <v/>
      </c>
      <c r="X12" s="136" t="str">
        <f>IF(SER_hh_tes_in!X12=0,"",SER_hh_tes_in!X12/SER_hh_fec_in!X12)</f>
        <v/>
      </c>
      <c r="Y12" s="136" t="str">
        <f>IF(SER_hh_tes_in!Y12=0,"",SER_hh_tes_in!Y12/SER_hh_fec_in!Y12)</f>
        <v/>
      </c>
      <c r="DA12" s="163" t="s">
        <v>671</v>
      </c>
    </row>
    <row r="13" spans="1:105" ht="12" customHeight="1" x14ac:dyDescent="0.25">
      <c r="A13" s="131" t="s">
        <v>77</v>
      </c>
      <c r="B13" s="136"/>
      <c r="C13" s="136">
        <f>IF(SER_hh_tes_in!C13=0,"",SER_hh_tes_in!C13/SER_hh_fec_in!C13)</f>
        <v>1.6853149363308175</v>
      </c>
      <c r="D13" s="136">
        <f>IF(SER_hh_tes_in!D13=0,"",SER_hh_tes_in!D13/SER_hh_fec_in!D13)</f>
        <v>1.7796147136712908</v>
      </c>
      <c r="E13" s="136">
        <f>IF(SER_hh_tes_in!E13=0,"",SER_hh_tes_in!E13/SER_hh_fec_in!E13)</f>
        <v>1.8755021520252118</v>
      </c>
      <c r="F13" s="136">
        <f>IF(SER_hh_tes_in!F13=0,"",SER_hh_tes_in!F13/SER_hh_fec_in!F13)</f>
        <v>1.9720528254271033</v>
      </c>
      <c r="G13" s="136">
        <f>IF(SER_hh_tes_in!G13=0,"",SER_hh_tes_in!G13/SER_hh_fec_in!G13)</f>
        <v>2.070109004275495</v>
      </c>
      <c r="H13" s="136">
        <f>IF(SER_hh_tes_in!H13=0,"",SER_hh_tes_in!H13/SER_hh_fec_in!H13)</f>
        <v>2.1695693646043628</v>
      </c>
      <c r="I13" s="136">
        <f>IF(SER_hh_tes_in!I13=0,"",SER_hh_tes_in!I13/SER_hh_fec_in!I13)</f>
        <v>2.2706432840533655</v>
      </c>
      <c r="J13" s="136">
        <f>IF(SER_hh_tes_in!J13=0,"",SER_hh_tes_in!J13/SER_hh_fec_in!J13)</f>
        <v>2.3741844262357521</v>
      </c>
      <c r="K13" s="136">
        <f>IF(SER_hh_tes_in!K13=0,"",SER_hh_tes_in!K13/SER_hh_fec_in!K13)</f>
        <v>2.480921269719949</v>
      </c>
      <c r="L13" s="136">
        <f>IF(SER_hh_tes_in!L13=0,"",SER_hh_tes_in!L13/SER_hh_fec_in!L13)</f>
        <v>2.5910535187421608</v>
      </c>
      <c r="M13" s="136">
        <f>IF(SER_hh_tes_in!M13=0,"",SER_hh_tes_in!M13/SER_hh_fec_in!M13)</f>
        <v>2.7257224647645719</v>
      </c>
      <c r="N13" s="136">
        <f>IF(SER_hh_tes_in!N13=0,"",SER_hh_tes_in!N13/SER_hh_fec_in!N13)</f>
        <v>2.8922184561947186</v>
      </c>
      <c r="O13" s="136">
        <f>IF(SER_hh_tes_in!O13=0,"",SER_hh_tes_in!O13/SER_hh_fec_in!O13)</f>
        <v>3.0930461199226755</v>
      </c>
      <c r="P13" s="136">
        <f>IF(SER_hh_tes_in!P13=0,"",SER_hh_tes_in!P13/SER_hh_fec_in!P13)</f>
        <v>3.3079556907886287</v>
      </c>
      <c r="Q13" s="136">
        <f>IF(SER_hh_tes_in!Q13=0,"",SER_hh_tes_in!Q13/SER_hh_fec_in!Q13)</f>
        <v>3.4750839919626095</v>
      </c>
      <c r="R13" s="136">
        <f>IF(SER_hh_tes_in!R13=0,"",SER_hh_tes_in!R13/SER_hh_fec_in!R13)</f>
        <v>3.6504151747011964</v>
      </c>
      <c r="S13" s="136">
        <f>IF(SER_hh_tes_in!S13=0,"",SER_hh_tes_in!S13/SER_hh_fec_in!S13)</f>
        <v>3.7567243272457818</v>
      </c>
      <c r="T13" s="136">
        <f>IF(SER_hh_tes_in!T13=0,"",SER_hh_tes_in!T13/SER_hh_fec_in!T13)</f>
        <v>3.8229950835453437</v>
      </c>
      <c r="U13" s="136">
        <f>IF(SER_hh_tes_in!U13=0,"",SER_hh_tes_in!U13/SER_hh_fec_in!U13)</f>
        <v>3.8675764748864441</v>
      </c>
      <c r="V13" s="136">
        <f>IF(SER_hh_tes_in!V13=0,"",SER_hh_tes_in!V13/SER_hh_fec_in!V13)</f>
        <v>3.90858776694613</v>
      </c>
      <c r="W13" s="136">
        <f>IF(SER_hh_tes_in!W13=0,"",SER_hh_tes_in!W13/SER_hh_fec_in!W13)</f>
        <v>3.9496228097385071</v>
      </c>
      <c r="X13" s="136">
        <f>IF(SER_hh_tes_in!X13=0,"",SER_hh_tes_in!X13/SER_hh_fec_in!X13)</f>
        <v>3.9840119367598739</v>
      </c>
      <c r="Y13" s="136">
        <f>IF(SER_hh_tes_in!Y13=0,"",SER_hh_tes_in!Y13/SER_hh_fec_in!Y13)</f>
        <v>4.0135078661906158</v>
      </c>
      <c r="DA13" s="163" t="s">
        <v>672</v>
      </c>
    </row>
    <row r="14" spans="1:105" ht="12" customHeight="1" x14ac:dyDescent="0.25">
      <c r="A14" s="60" t="s">
        <v>76</v>
      </c>
      <c r="B14" s="137"/>
      <c r="C14" s="137">
        <f>IF(SER_hh_tes_in!C14=0,"",SER_hh_tes_in!C14/SER_hh_fec_in!C14)</f>
        <v>0.60793761483045372</v>
      </c>
      <c r="D14" s="137">
        <f>IF(SER_hh_tes_in!D14=0,"",SER_hh_tes_in!D14/SER_hh_fec_in!D14)</f>
        <v>0.61252676584000421</v>
      </c>
      <c r="E14" s="137">
        <f>IF(SER_hh_tes_in!E14=0,"",SER_hh_tes_in!E14/SER_hh_fec_in!E14)</f>
        <v>0.61710313457125898</v>
      </c>
      <c r="F14" s="137">
        <f>IF(SER_hh_tes_in!F14=0,"",SER_hh_tes_in!F14/SER_hh_fec_in!F14)</f>
        <v>0.62167731469063392</v>
      </c>
      <c r="G14" s="137">
        <f>IF(SER_hh_tes_in!G14=0,"",SER_hh_tes_in!G14/SER_hh_fec_in!G14)</f>
        <v>0.62623973152711365</v>
      </c>
      <c r="H14" s="137">
        <f>IF(SER_hh_tes_in!H14=0,"",SER_hh_tes_in!H14/SER_hh_fec_in!H14)</f>
        <v>0.63079159315415345</v>
      </c>
      <c r="I14" s="137">
        <f>IF(SER_hh_tes_in!I14=0,"",SER_hh_tes_in!I14/SER_hh_fec_in!I14)</f>
        <v>0.63533057962014683</v>
      </c>
      <c r="J14" s="137">
        <f>IF(SER_hh_tes_in!J14=0,"",SER_hh_tes_in!J14/SER_hh_fec_in!J14)</f>
        <v>0.63984710255519528</v>
      </c>
      <c r="K14" s="137">
        <f>IF(SER_hh_tes_in!K14=0,"",SER_hh_tes_in!K14/SER_hh_fec_in!K14)</f>
        <v>0.64433307239030724</v>
      </c>
      <c r="L14" s="137">
        <f>IF(SER_hh_tes_in!L14=0,"",SER_hh_tes_in!L14/SER_hh_fec_in!L14)</f>
        <v>0.64878644278853803</v>
      </c>
      <c r="M14" s="137" t="str">
        <f>IF(SER_hh_tes_in!M14=0,"",SER_hh_tes_in!M14/SER_hh_fec_in!M14)</f>
        <v/>
      </c>
      <c r="N14" s="137" t="str">
        <f>IF(SER_hh_tes_in!N14=0,"",SER_hh_tes_in!N14/SER_hh_fec_in!N14)</f>
        <v/>
      </c>
      <c r="O14" s="137" t="str">
        <f>IF(SER_hh_tes_in!O14=0,"",SER_hh_tes_in!O14/SER_hh_fec_in!O14)</f>
        <v/>
      </c>
      <c r="P14" s="137" t="str">
        <f>IF(SER_hh_tes_in!P14=0,"",SER_hh_tes_in!P14/SER_hh_fec_in!P14)</f>
        <v/>
      </c>
      <c r="Q14" s="137">
        <f>IF(SER_hh_tes_in!Q14=0,"",SER_hh_tes_in!Q14/SER_hh_fec_in!Q14)</f>
        <v>0.66747880686520555</v>
      </c>
      <c r="R14" s="137">
        <f>IF(SER_hh_tes_in!R14=0,"",SER_hh_tes_in!R14/SER_hh_fec_in!R14)</f>
        <v>0.68687778183799708</v>
      </c>
      <c r="S14" s="137">
        <f>IF(SER_hh_tes_in!S14=0,"",SER_hh_tes_in!S14/SER_hh_fec_in!S14)</f>
        <v>0.71301194208716123</v>
      </c>
      <c r="T14" s="137">
        <f>IF(SER_hh_tes_in!T14=0,"",SER_hh_tes_in!T14/SER_hh_fec_in!T14)</f>
        <v>0.7422901555458844</v>
      </c>
      <c r="U14" s="137">
        <f>IF(SER_hh_tes_in!U14=0,"",SER_hh_tes_in!U14/SER_hh_fec_in!U14)</f>
        <v>0.77115424243909114</v>
      </c>
      <c r="V14" s="137">
        <f>IF(SER_hh_tes_in!V14=0,"",SER_hh_tes_in!V14/SER_hh_fec_in!V14)</f>
        <v>0.79604251950818705</v>
      </c>
      <c r="W14" s="137">
        <f>IF(SER_hh_tes_in!W14=0,"",SER_hh_tes_in!W14/SER_hh_fec_in!W14)</f>
        <v>0.81625054642128969</v>
      </c>
      <c r="X14" s="137">
        <f>IF(SER_hh_tes_in!X14=0,"",SER_hh_tes_in!X14/SER_hh_fec_in!X14)</f>
        <v>0.82977575314866581</v>
      </c>
      <c r="Y14" s="137">
        <f>IF(SER_hh_tes_in!Y14=0,"",SER_hh_tes_in!Y14/SER_hh_fec_in!Y14)</f>
        <v>0.84253310348633037</v>
      </c>
      <c r="DA14" s="164" t="s">
        <v>673</v>
      </c>
    </row>
    <row r="15" spans="1:105" ht="12" customHeight="1" x14ac:dyDescent="0.25">
      <c r="A15" s="133" t="s">
        <v>80</v>
      </c>
      <c r="B15" s="138"/>
      <c r="C15" s="138" t="str">
        <f>IF(SER_hh_tes_in!C15=0,"",SER_hh_tes_in!C15/SER_hh_fec_in!C15)</f>
        <v/>
      </c>
      <c r="D15" s="138" t="str">
        <f>IF(SER_hh_tes_in!D15=0,"",SER_hh_tes_in!D15/SER_hh_fec_in!D15)</f>
        <v/>
      </c>
      <c r="E15" s="138" t="str">
        <f>IF(SER_hh_tes_in!E15=0,"",SER_hh_tes_in!E15/SER_hh_fec_in!E15)</f>
        <v/>
      </c>
      <c r="F15" s="138" t="str">
        <f>IF(SER_hh_tes_in!F15=0,"",SER_hh_tes_in!F15/SER_hh_fec_in!F15)</f>
        <v/>
      </c>
      <c r="G15" s="138" t="str">
        <f>IF(SER_hh_tes_in!G15=0,"",SER_hh_tes_in!G15/SER_hh_fec_in!G15)</f>
        <v/>
      </c>
      <c r="H15" s="138" t="str">
        <f>IF(SER_hh_tes_in!H15=0,"",SER_hh_tes_in!H15/SER_hh_fec_in!H15)</f>
        <v/>
      </c>
      <c r="I15" s="138">
        <f>IF(SER_hh_tes_in!I15=0,"",SER_hh_tes_in!I15/SER_hh_fec_in!I15)</f>
        <v>1</v>
      </c>
      <c r="J15" s="138">
        <f>IF(SER_hh_tes_in!J15=0,"",SER_hh_tes_in!J15/SER_hh_fec_in!J15)</f>
        <v>1</v>
      </c>
      <c r="K15" s="138">
        <f>IF(SER_hh_tes_in!K15=0,"",SER_hh_tes_in!K15/SER_hh_fec_in!K15)</f>
        <v>1</v>
      </c>
      <c r="L15" s="138">
        <f>IF(SER_hh_tes_in!L15=0,"",SER_hh_tes_in!L15/SER_hh_fec_in!L15)</f>
        <v>1</v>
      </c>
      <c r="M15" s="138">
        <f>IF(SER_hh_tes_in!M15=0,"",SER_hh_tes_in!M15/SER_hh_fec_in!M15)</f>
        <v>1</v>
      </c>
      <c r="N15" s="138">
        <f>IF(SER_hh_tes_in!N15=0,"",SER_hh_tes_in!N15/SER_hh_fec_in!N15)</f>
        <v>1</v>
      </c>
      <c r="O15" s="138">
        <f>IF(SER_hh_tes_in!O15=0,"",SER_hh_tes_in!O15/SER_hh_fec_in!O15)</f>
        <v>1</v>
      </c>
      <c r="P15" s="138">
        <f>IF(SER_hh_tes_in!P15=0,"",SER_hh_tes_in!P15/SER_hh_fec_in!P15)</f>
        <v>1</v>
      </c>
      <c r="Q15" s="138">
        <f>IF(SER_hh_tes_in!Q15=0,"",SER_hh_tes_in!Q15/SER_hh_fec_in!Q15)</f>
        <v>1</v>
      </c>
      <c r="R15" s="138">
        <f>IF(SER_hh_tes_in!R15=0,"",SER_hh_tes_in!R15/SER_hh_fec_in!R15)</f>
        <v>1</v>
      </c>
      <c r="S15" s="138">
        <f>IF(SER_hh_tes_in!S15=0,"",SER_hh_tes_in!S15/SER_hh_fec_in!S15)</f>
        <v>1</v>
      </c>
      <c r="T15" s="138">
        <f>IF(SER_hh_tes_in!T15=0,"",SER_hh_tes_in!T15/SER_hh_fec_in!T15)</f>
        <v>1</v>
      </c>
      <c r="U15" s="138">
        <f>IF(SER_hh_tes_in!U15=0,"",SER_hh_tes_in!U15/SER_hh_fec_in!U15)</f>
        <v>1</v>
      </c>
      <c r="V15" s="138">
        <f>IF(SER_hh_tes_in!V15=0,"",SER_hh_tes_in!V15/SER_hh_fec_in!V15)</f>
        <v>1</v>
      </c>
      <c r="W15" s="138">
        <f>IF(SER_hh_tes_in!W15=0,"",SER_hh_tes_in!W15/SER_hh_fec_in!W15)</f>
        <v>1</v>
      </c>
      <c r="X15" s="138">
        <f>IF(SER_hh_tes_in!X15=0,"",SER_hh_tes_in!X15/SER_hh_fec_in!X15)</f>
        <v>1</v>
      </c>
      <c r="Y15" s="138">
        <f>IF(SER_hh_tes_in!Y15=0,"",SER_hh_tes_in!Y15/SER_hh_fec_in!Y15)</f>
        <v>1</v>
      </c>
      <c r="DA15" s="165" t="s">
        <v>674</v>
      </c>
    </row>
    <row r="16" spans="1:105" ht="12.95" customHeight="1" x14ac:dyDescent="0.25">
      <c r="A16" s="129" t="s">
        <v>74</v>
      </c>
      <c r="B16" s="135"/>
      <c r="C16" s="135">
        <f>IF(SER_hh_tes_in!C16=0,"",SER_hh_tes_in!C16/SER_hh_fec_in!C16)</f>
        <v>2.4277532884680171</v>
      </c>
      <c r="D16" s="135">
        <f>IF(SER_hh_tes_in!D16=0,"",SER_hh_tes_in!D16/SER_hh_fec_in!D16)</f>
        <v>2.5360554994953399</v>
      </c>
      <c r="E16" s="135">
        <f>IF(SER_hh_tes_in!E16=0,"",SER_hh_tes_in!E16/SER_hh_fec_in!E16)</f>
        <v>2.6459813689203266</v>
      </c>
      <c r="F16" s="135">
        <f>IF(SER_hh_tes_in!F16=0,"",SER_hh_tes_in!F16/SER_hh_fec_in!F16)</f>
        <v>2.7567901144396916</v>
      </c>
      <c r="G16" s="135">
        <f>IF(SER_hh_tes_in!G16=0,"",SER_hh_tes_in!G16/SER_hh_fec_in!G16)</f>
        <v>2.8691236870894419</v>
      </c>
      <c r="H16" s="135">
        <f>IF(SER_hh_tes_in!H16=0,"",SER_hh_tes_in!H16/SER_hh_fec_in!H16)</f>
        <v>2.9828811968083833</v>
      </c>
      <c r="I16" s="135">
        <f>IF(SER_hh_tes_in!I16=0,"",SER_hh_tes_in!I16/SER_hh_fec_in!I16)</f>
        <v>3.0981972087354568</v>
      </c>
      <c r="J16" s="135">
        <f>IF(SER_hh_tes_in!J16=0,"",SER_hh_tes_in!J16/SER_hh_fec_in!J16)</f>
        <v>3.2156748337064176</v>
      </c>
      <c r="K16" s="135">
        <f>IF(SER_hh_tes_in!K16=0,"",SER_hh_tes_in!K16/SER_hh_fec_in!K16)</f>
        <v>3.3357917857904482</v>
      </c>
      <c r="L16" s="135">
        <f>IF(SER_hh_tes_in!L16=0,"",SER_hh_tes_in!L16/SER_hh_fec_in!L16)</f>
        <v>3.4586114150145764</v>
      </c>
      <c r="M16" s="135">
        <f>IF(SER_hh_tes_in!M16=0,"",SER_hh_tes_in!M16/SER_hh_fec_in!M16)</f>
        <v>3.5993536570895128</v>
      </c>
      <c r="N16" s="135">
        <f>IF(SER_hh_tes_in!N16=0,"",SER_hh_tes_in!N16/SER_hh_fec_in!N16)</f>
        <v>3.7625366121787813</v>
      </c>
      <c r="O16" s="135">
        <f>IF(SER_hh_tes_in!O16=0,"",SER_hh_tes_in!O16/SER_hh_fec_in!O16)</f>
        <v>3.9478691780303476</v>
      </c>
      <c r="P16" s="135">
        <f>IF(SER_hh_tes_in!P16=0,"",SER_hh_tes_in!P16/SER_hh_fec_in!P16)</f>
        <v>4.1373147887478021</v>
      </c>
      <c r="Q16" s="135">
        <f>IF(SER_hh_tes_in!Q16=0,"",SER_hh_tes_in!Q16/SER_hh_fec_in!Q16)</f>
        <v>4.2827113903558951</v>
      </c>
      <c r="R16" s="135">
        <f>IF(SER_hh_tes_in!R16=0,"",SER_hh_tes_in!R16/SER_hh_fec_in!R16)</f>
        <v>4.4211840332799497</v>
      </c>
      <c r="S16" s="135">
        <f>IF(SER_hh_tes_in!S16=0,"",SER_hh_tes_in!S16/SER_hh_fec_in!S16)</f>
        <v>4.4886796741277237</v>
      </c>
      <c r="T16" s="135">
        <f>IF(SER_hh_tes_in!T16=0,"",SER_hh_tes_in!T16/SER_hh_fec_in!T16)</f>
        <v>4.5321103121519295</v>
      </c>
      <c r="U16" s="135">
        <f>IF(SER_hh_tes_in!U16=0,"",SER_hh_tes_in!U16/SER_hh_fec_in!U16)</f>
        <v>4.5629429210772834</v>
      </c>
      <c r="V16" s="135">
        <f>IF(SER_hh_tes_in!V16=0,"",SER_hh_tes_in!V16/SER_hh_fec_in!V16)</f>
        <v>4.5934170691000764</v>
      </c>
      <c r="W16" s="135">
        <f>IF(SER_hh_tes_in!W16=0,"",SER_hh_tes_in!W16/SER_hh_fec_in!W16)</f>
        <v>4.6246342117242545</v>
      </c>
      <c r="X16" s="135">
        <f>IF(SER_hh_tes_in!X16=0,"",SER_hh_tes_in!X16/SER_hh_fec_in!X16)</f>
        <v>4.6475903762522872</v>
      </c>
      <c r="Y16" s="135">
        <f>IF(SER_hh_tes_in!Y16=0,"",SER_hh_tes_in!Y16/SER_hh_fec_in!Y16)</f>
        <v>4.667561993372555</v>
      </c>
      <c r="DA16" s="162" t="s">
        <v>675</v>
      </c>
    </row>
    <row r="17" spans="1:105" ht="12.95" customHeight="1" x14ac:dyDescent="0.25">
      <c r="A17" s="131" t="s">
        <v>73</v>
      </c>
      <c r="B17" s="136"/>
      <c r="C17" s="136" t="str">
        <f>IF(SER_hh_tes_in!C17=0,"",SER_hh_tes_in!C17/SER_hh_fec_in!C17)</f>
        <v/>
      </c>
      <c r="D17" s="136" t="str">
        <f>IF(SER_hh_tes_in!D17=0,"",SER_hh_tes_in!D17/SER_hh_fec_in!D17)</f>
        <v/>
      </c>
      <c r="E17" s="136" t="str">
        <f>IF(SER_hh_tes_in!E17=0,"",SER_hh_tes_in!E17/SER_hh_fec_in!E17)</f>
        <v/>
      </c>
      <c r="F17" s="136" t="str">
        <f>IF(SER_hh_tes_in!F17=0,"",SER_hh_tes_in!F17/SER_hh_fec_in!F17)</f>
        <v/>
      </c>
      <c r="G17" s="136" t="str">
        <f>IF(SER_hh_tes_in!G17=0,"",SER_hh_tes_in!G17/SER_hh_fec_in!G17)</f>
        <v/>
      </c>
      <c r="H17" s="136" t="str">
        <f>IF(SER_hh_tes_in!H17=0,"",SER_hh_tes_in!H17/SER_hh_fec_in!H17)</f>
        <v/>
      </c>
      <c r="I17" s="136" t="str">
        <f>IF(SER_hh_tes_in!I17=0,"",SER_hh_tes_in!I17/SER_hh_fec_in!I17)</f>
        <v/>
      </c>
      <c r="J17" s="136" t="str">
        <f>IF(SER_hh_tes_in!J17=0,"",SER_hh_tes_in!J17/SER_hh_fec_in!J17)</f>
        <v/>
      </c>
      <c r="K17" s="136" t="str">
        <f>IF(SER_hh_tes_in!K17=0,"",SER_hh_tes_in!K17/SER_hh_fec_in!K17)</f>
        <v/>
      </c>
      <c r="L17" s="136" t="str">
        <f>IF(SER_hh_tes_in!L17=0,"",SER_hh_tes_in!L17/SER_hh_fec_in!L17)</f>
        <v/>
      </c>
      <c r="M17" s="136" t="str">
        <f>IF(SER_hh_tes_in!M17=0,"",SER_hh_tes_in!M17/SER_hh_fec_in!M17)</f>
        <v/>
      </c>
      <c r="N17" s="136" t="str">
        <f>IF(SER_hh_tes_in!N17=0,"",SER_hh_tes_in!N17/SER_hh_fec_in!N17)</f>
        <v/>
      </c>
      <c r="O17" s="136" t="str">
        <f>IF(SER_hh_tes_in!O17=0,"",SER_hh_tes_in!O17/SER_hh_fec_in!O17)</f>
        <v/>
      </c>
      <c r="P17" s="136" t="str">
        <f>IF(SER_hh_tes_in!P17=0,"",SER_hh_tes_in!P17/SER_hh_fec_in!P17)</f>
        <v/>
      </c>
      <c r="Q17" s="136" t="str">
        <f>IF(SER_hh_tes_in!Q17=0,"",SER_hh_tes_in!Q17/SER_hh_fec_in!Q17)</f>
        <v/>
      </c>
      <c r="R17" s="136" t="str">
        <f>IF(SER_hh_tes_in!R17=0,"",SER_hh_tes_in!R17/SER_hh_fec_in!R17)</f>
        <v/>
      </c>
      <c r="S17" s="136" t="str">
        <f>IF(SER_hh_tes_in!S17=0,"",SER_hh_tes_in!S17/SER_hh_fec_in!S17)</f>
        <v/>
      </c>
      <c r="T17" s="136" t="str">
        <f>IF(SER_hh_tes_in!T17=0,"",SER_hh_tes_in!T17/SER_hh_fec_in!T17)</f>
        <v/>
      </c>
      <c r="U17" s="136" t="str">
        <f>IF(SER_hh_tes_in!U17=0,"",SER_hh_tes_in!U17/SER_hh_fec_in!U17)</f>
        <v/>
      </c>
      <c r="V17" s="136" t="str">
        <f>IF(SER_hh_tes_in!V17=0,"",SER_hh_tes_in!V17/SER_hh_fec_in!V17)</f>
        <v/>
      </c>
      <c r="W17" s="136" t="str">
        <f>IF(SER_hh_tes_in!W17=0,"",SER_hh_tes_in!W17/SER_hh_fec_in!W17)</f>
        <v/>
      </c>
      <c r="X17" s="136" t="str">
        <f>IF(SER_hh_tes_in!X17=0,"",SER_hh_tes_in!X17/SER_hh_fec_in!X17)</f>
        <v/>
      </c>
      <c r="Y17" s="136" t="str">
        <f>IF(SER_hh_tes_in!Y17=0,"",SER_hh_tes_in!Y17/SER_hh_fec_in!Y17)</f>
        <v/>
      </c>
      <c r="DA17" s="163" t="s">
        <v>676</v>
      </c>
    </row>
    <row r="18" spans="1:105" ht="12" customHeight="1" x14ac:dyDescent="0.25">
      <c r="A18" s="131" t="s">
        <v>72</v>
      </c>
      <c r="B18" s="136"/>
      <c r="C18" s="136">
        <f>IF(SER_hh_tes_in!C18=0,"",SER_hh_tes_in!C18/SER_hh_fec_in!C18)</f>
        <v>2.4277532884680171</v>
      </c>
      <c r="D18" s="136">
        <f>IF(SER_hh_tes_in!D18=0,"",SER_hh_tes_in!D18/SER_hh_fec_in!D18)</f>
        <v>2.5360554994953399</v>
      </c>
      <c r="E18" s="136">
        <f>IF(SER_hh_tes_in!E18=0,"",SER_hh_tes_in!E18/SER_hh_fec_in!E18)</f>
        <v>2.6459813689203266</v>
      </c>
      <c r="F18" s="136">
        <f>IF(SER_hh_tes_in!F18=0,"",SER_hh_tes_in!F18/SER_hh_fec_in!F18)</f>
        <v>2.7567901144396916</v>
      </c>
      <c r="G18" s="136">
        <f>IF(SER_hh_tes_in!G18=0,"",SER_hh_tes_in!G18/SER_hh_fec_in!G18)</f>
        <v>2.8691236870894419</v>
      </c>
      <c r="H18" s="136">
        <f>IF(SER_hh_tes_in!H18=0,"",SER_hh_tes_in!H18/SER_hh_fec_in!H18)</f>
        <v>2.9828811968083833</v>
      </c>
      <c r="I18" s="136">
        <f>IF(SER_hh_tes_in!I18=0,"",SER_hh_tes_in!I18/SER_hh_fec_in!I18)</f>
        <v>3.0981972087354568</v>
      </c>
      <c r="J18" s="136">
        <f>IF(SER_hh_tes_in!J18=0,"",SER_hh_tes_in!J18/SER_hh_fec_in!J18)</f>
        <v>3.2156748337064176</v>
      </c>
      <c r="K18" s="136">
        <f>IF(SER_hh_tes_in!K18=0,"",SER_hh_tes_in!K18/SER_hh_fec_in!K18)</f>
        <v>3.3357917857904482</v>
      </c>
      <c r="L18" s="136">
        <f>IF(SER_hh_tes_in!L18=0,"",SER_hh_tes_in!L18/SER_hh_fec_in!L18)</f>
        <v>3.4586114150145764</v>
      </c>
      <c r="M18" s="136">
        <f>IF(SER_hh_tes_in!M18=0,"",SER_hh_tes_in!M18/SER_hh_fec_in!M18)</f>
        <v>3.5993536570895128</v>
      </c>
      <c r="N18" s="136">
        <f>IF(SER_hh_tes_in!N18=0,"",SER_hh_tes_in!N18/SER_hh_fec_in!N18)</f>
        <v>3.7625366121787813</v>
      </c>
      <c r="O18" s="136">
        <f>IF(SER_hh_tes_in!O18=0,"",SER_hh_tes_in!O18/SER_hh_fec_in!O18)</f>
        <v>3.9478691780303476</v>
      </c>
      <c r="P18" s="136">
        <f>IF(SER_hh_tes_in!P18=0,"",SER_hh_tes_in!P18/SER_hh_fec_in!P18)</f>
        <v>4.1373147887478021</v>
      </c>
      <c r="Q18" s="136">
        <f>IF(SER_hh_tes_in!Q18=0,"",SER_hh_tes_in!Q18/SER_hh_fec_in!Q18)</f>
        <v>4.2827113903558951</v>
      </c>
      <c r="R18" s="136">
        <f>IF(SER_hh_tes_in!R18=0,"",SER_hh_tes_in!R18/SER_hh_fec_in!R18)</f>
        <v>4.4211840332799497</v>
      </c>
      <c r="S18" s="136">
        <f>IF(SER_hh_tes_in!S18=0,"",SER_hh_tes_in!S18/SER_hh_fec_in!S18)</f>
        <v>4.4886796741277237</v>
      </c>
      <c r="T18" s="136">
        <f>IF(SER_hh_tes_in!T18=0,"",SER_hh_tes_in!T18/SER_hh_fec_in!T18)</f>
        <v>4.5321103121519295</v>
      </c>
      <c r="U18" s="136">
        <f>IF(SER_hh_tes_in!U18=0,"",SER_hh_tes_in!U18/SER_hh_fec_in!U18)</f>
        <v>4.5629429210772834</v>
      </c>
      <c r="V18" s="136">
        <f>IF(SER_hh_tes_in!V18=0,"",SER_hh_tes_in!V18/SER_hh_fec_in!V18)</f>
        <v>4.5934170691000764</v>
      </c>
      <c r="W18" s="136">
        <f>IF(SER_hh_tes_in!W18=0,"",SER_hh_tes_in!W18/SER_hh_fec_in!W18)</f>
        <v>4.6246342117242545</v>
      </c>
      <c r="X18" s="136">
        <f>IF(SER_hh_tes_in!X18=0,"",SER_hh_tes_in!X18/SER_hh_fec_in!X18)</f>
        <v>4.6475903762522872</v>
      </c>
      <c r="Y18" s="136">
        <f>IF(SER_hh_tes_in!Y18=0,"",SER_hh_tes_in!Y18/SER_hh_fec_in!Y18)</f>
        <v>4.667561993372555</v>
      </c>
      <c r="DA18" s="163" t="s">
        <v>677</v>
      </c>
    </row>
    <row r="19" spans="1:105" ht="12.95" customHeight="1" x14ac:dyDescent="0.25">
      <c r="A19" s="129" t="s">
        <v>35</v>
      </c>
      <c r="B19" s="135"/>
      <c r="C19" s="135">
        <f>IF(SER_hh_tes_in!C19=0,"",SER_hh_tes_in!C19/SER_hh_fec_in!C19)</f>
        <v>0.71736319511946844</v>
      </c>
      <c r="D19" s="135">
        <f>IF(SER_hh_tes_in!D19=0,"",SER_hh_tes_in!D19/SER_hh_fec_in!D19)</f>
        <v>0.85615841065566822</v>
      </c>
      <c r="E19" s="135">
        <f>IF(SER_hh_tes_in!E19=0,"",SER_hh_tes_in!E19/SER_hh_fec_in!E19)</f>
        <v>0.82019573036644045</v>
      </c>
      <c r="F19" s="135">
        <f>IF(SER_hh_tes_in!F19=0,"",SER_hh_tes_in!F19/SER_hh_fec_in!F19)</f>
        <v>0.8259952175629971</v>
      </c>
      <c r="G19" s="135">
        <f>IF(SER_hh_tes_in!G19=0,"",SER_hh_tes_in!G19/SER_hh_fec_in!G19)</f>
        <v>0.80375259524772724</v>
      </c>
      <c r="H19" s="135">
        <f>IF(SER_hh_tes_in!H19=0,"",SER_hh_tes_in!H19/SER_hh_fec_in!H19)</f>
        <v>0.79856774220842197</v>
      </c>
      <c r="I19" s="135">
        <f>IF(SER_hh_tes_in!I19=0,"",SER_hh_tes_in!I19/SER_hh_fec_in!I19)</f>
        <v>0.78047425091256428</v>
      </c>
      <c r="J19" s="135">
        <f>IF(SER_hh_tes_in!J19=0,"",SER_hh_tes_in!J19/SER_hh_fec_in!J19)</f>
        <v>0.77666773781060094</v>
      </c>
      <c r="K19" s="135">
        <f>IF(SER_hh_tes_in!K19=0,"",SER_hh_tes_in!K19/SER_hh_fec_in!K19)</f>
        <v>0.93032883258755328</v>
      </c>
      <c r="L19" s="135">
        <f>IF(SER_hh_tes_in!L19=0,"",SER_hh_tes_in!L19/SER_hh_fec_in!L19)</f>
        <v>0.93345262154394526</v>
      </c>
      <c r="M19" s="135">
        <f>IF(SER_hh_tes_in!M19=0,"",SER_hh_tes_in!M19/SER_hh_fec_in!M19)</f>
        <v>0.96289285812975356</v>
      </c>
      <c r="N19" s="135">
        <f>IF(SER_hh_tes_in!N19=0,"",SER_hh_tes_in!N19/SER_hh_fec_in!N19)</f>
        <v>0.84995794775661382</v>
      </c>
      <c r="O19" s="135">
        <f>IF(SER_hh_tes_in!O19=0,"",SER_hh_tes_in!O19/SER_hh_fec_in!O19)</f>
        <v>0.82803600476279138</v>
      </c>
      <c r="P19" s="135">
        <f>IF(SER_hh_tes_in!P19=0,"",SER_hh_tes_in!P19/SER_hh_fec_in!P19)</f>
        <v>0.98039982586975238</v>
      </c>
      <c r="Q19" s="135">
        <f>IF(SER_hh_tes_in!Q19=0,"",SER_hh_tes_in!Q19/SER_hh_fec_in!Q19)</f>
        <v>0.98267653727978876</v>
      </c>
      <c r="R19" s="135">
        <f>IF(SER_hh_tes_in!R19=0,"",SER_hh_tes_in!R19/SER_hh_fec_in!R19)</f>
        <v>0.9759878070936322</v>
      </c>
      <c r="S19" s="135">
        <f>IF(SER_hh_tes_in!S19=0,"",SER_hh_tes_in!S19/SER_hh_fec_in!S19)</f>
        <v>0.96303736639188486</v>
      </c>
      <c r="T19" s="135">
        <f>IF(SER_hh_tes_in!T19=0,"",SER_hh_tes_in!T19/SER_hh_fec_in!T19)</f>
        <v>0.94539412934587075</v>
      </c>
      <c r="U19" s="135">
        <f>IF(SER_hh_tes_in!U19=0,"",SER_hh_tes_in!U19/SER_hh_fec_in!U19)</f>
        <v>0.93509898283198711</v>
      </c>
      <c r="V19" s="135">
        <f>IF(SER_hh_tes_in!V19=0,"",SER_hh_tes_in!V19/SER_hh_fec_in!V19)</f>
        <v>0.97049632354672044</v>
      </c>
      <c r="W19" s="135">
        <f>IF(SER_hh_tes_in!W19=0,"",SER_hh_tes_in!W19/SER_hh_fec_in!W19)</f>
        <v>0.92484738625570651</v>
      </c>
      <c r="X19" s="135">
        <f>IF(SER_hh_tes_in!X19=0,"",SER_hh_tes_in!X19/SER_hh_fec_in!X19)</f>
        <v>0.80985465631254505</v>
      </c>
      <c r="Y19" s="135">
        <f>IF(SER_hh_tes_in!Y19=0,"",SER_hh_tes_in!Y19/SER_hh_fec_in!Y19)</f>
        <v>0.81392066793563056</v>
      </c>
      <c r="DA19" s="162" t="s">
        <v>678</v>
      </c>
    </row>
    <row r="20" spans="1:105" ht="12" customHeight="1" x14ac:dyDescent="0.25">
      <c r="A20" s="131" t="s">
        <v>29</v>
      </c>
      <c r="B20" s="136"/>
      <c r="C20" s="136" t="str">
        <f>IF(SER_hh_tes_in!C20=0,"",SER_hh_tes_in!C20/SER_hh_fec_in!C20)</f>
        <v/>
      </c>
      <c r="D20" s="136" t="str">
        <f>IF(SER_hh_tes_in!D20=0,"",SER_hh_tes_in!D20/SER_hh_fec_in!D20)</f>
        <v/>
      </c>
      <c r="E20" s="136" t="str">
        <f>IF(SER_hh_tes_in!E20=0,"",SER_hh_tes_in!E20/SER_hh_fec_in!E20)</f>
        <v/>
      </c>
      <c r="F20" s="136" t="str">
        <f>IF(SER_hh_tes_in!F20=0,"",SER_hh_tes_in!F20/SER_hh_fec_in!F20)</f>
        <v/>
      </c>
      <c r="G20" s="136" t="str">
        <f>IF(SER_hh_tes_in!G20=0,"",SER_hh_tes_in!G20/SER_hh_fec_in!G20)</f>
        <v/>
      </c>
      <c r="H20" s="136" t="str">
        <f>IF(SER_hh_tes_in!H20=0,"",SER_hh_tes_in!H20/SER_hh_fec_in!H20)</f>
        <v/>
      </c>
      <c r="I20" s="136" t="str">
        <f>IF(SER_hh_tes_in!I20=0,"",SER_hh_tes_in!I20/SER_hh_fec_in!I20)</f>
        <v/>
      </c>
      <c r="J20" s="136" t="str">
        <f>IF(SER_hh_tes_in!J20=0,"",SER_hh_tes_in!J20/SER_hh_fec_in!J20)</f>
        <v/>
      </c>
      <c r="K20" s="136" t="str">
        <f>IF(SER_hh_tes_in!K20=0,"",SER_hh_tes_in!K20/SER_hh_fec_in!K20)</f>
        <v/>
      </c>
      <c r="L20" s="136" t="str">
        <f>IF(SER_hh_tes_in!L20=0,"",SER_hh_tes_in!L20/SER_hh_fec_in!L20)</f>
        <v/>
      </c>
      <c r="M20" s="136" t="str">
        <f>IF(SER_hh_tes_in!M20=0,"",SER_hh_tes_in!M20/SER_hh_fec_in!M20)</f>
        <v/>
      </c>
      <c r="N20" s="136" t="str">
        <f>IF(SER_hh_tes_in!N20=0,"",SER_hh_tes_in!N20/SER_hh_fec_in!N20)</f>
        <v/>
      </c>
      <c r="O20" s="136" t="str">
        <f>IF(SER_hh_tes_in!O20=0,"",SER_hh_tes_in!O20/SER_hh_fec_in!O20)</f>
        <v/>
      </c>
      <c r="P20" s="136" t="str">
        <f>IF(SER_hh_tes_in!P20=0,"",SER_hh_tes_in!P20/SER_hh_fec_in!P20)</f>
        <v/>
      </c>
      <c r="Q20" s="136" t="str">
        <f>IF(SER_hh_tes_in!Q20=0,"",SER_hh_tes_in!Q20/SER_hh_fec_in!Q20)</f>
        <v/>
      </c>
      <c r="R20" s="136" t="str">
        <f>IF(SER_hh_tes_in!R20=0,"",SER_hh_tes_in!R20/SER_hh_fec_in!R20)</f>
        <v/>
      </c>
      <c r="S20" s="136" t="str">
        <f>IF(SER_hh_tes_in!S20=0,"",SER_hh_tes_in!S20/SER_hh_fec_in!S20)</f>
        <v/>
      </c>
      <c r="T20" s="136" t="str">
        <f>IF(SER_hh_tes_in!T20=0,"",SER_hh_tes_in!T20/SER_hh_fec_in!T20)</f>
        <v/>
      </c>
      <c r="U20" s="136" t="str">
        <f>IF(SER_hh_tes_in!U20=0,"",SER_hh_tes_in!U20/SER_hh_fec_in!U20)</f>
        <v/>
      </c>
      <c r="V20" s="136" t="str">
        <f>IF(SER_hh_tes_in!V20=0,"",SER_hh_tes_in!V20/SER_hh_fec_in!V20)</f>
        <v/>
      </c>
      <c r="W20" s="136" t="str">
        <f>IF(SER_hh_tes_in!W20=0,"",SER_hh_tes_in!W20/SER_hh_fec_in!W20)</f>
        <v/>
      </c>
      <c r="X20" s="136" t="str">
        <f>IF(SER_hh_tes_in!X20=0,"",SER_hh_tes_in!X20/SER_hh_fec_in!X20)</f>
        <v/>
      </c>
      <c r="Y20" s="136" t="str">
        <f>IF(SER_hh_tes_in!Y20=0,"",SER_hh_tes_in!Y20/SER_hh_fec_in!Y20)</f>
        <v/>
      </c>
      <c r="DA20" s="163" t="s">
        <v>679</v>
      </c>
    </row>
    <row r="21" spans="1:105" s="2" customFormat="1" ht="12" customHeight="1" x14ac:dyDescent="0.25">
      <c r="A21" s="131" t="s">
        <v>52</v>
      </c>
      <c r="B21" s="136"/>
      <c r="C21" s="136" t="str">
        <f>IF(SER_hh_tes_in!C21=0,"",SER_hh_tes_in!C21/SER_hh_fec_in!C21)</f>
        <v/>
      </c>
      <c r="D21" s="136" t="str">
        <f>IF(SER_hh_tes_in!D21=0,"",SER_hh_tes_in!D21/SER_hh_fec_in!D21)</f>
        <v/>
      </c>
      <c r="E21" s="136" t="str">
        <f>IF(SER_hh_tes_in!E21=0,"",SER_hh_tes_in!E21/SER_hh_fec_in!E21)</f>
        <v/>
      </c>
      <c r="F21" s="136" t="str">
        <f>IF(SER_hh_tes_in!F21=0,"",SER_hh_tes_in!F21/SER_hh_fec_in!F21)</f>
        <v/>
      </c>
      <c r="G21" s="136" t="str">
        <f>IF(SER_hh_tes_in!G21=0,"",SER_hh_tes_in!G21/SER_hh_fec_in!G21)</f>
        <v/>
      </c>
      <c r="H21" s="136">
        <f>IF(SER_hh_tes_in!H21=0,"",SER_hh_tes_in!H21/SER_hh_fec_in!H21)</f>
        <v>0.64992318353181333</v>
      </c>
      <c r="I21" s="136">
        <f>IF(SER_hh_tes_in!I21=0,"",SER_hh_tes_in!I21/SER_hh_fec_in!I21)</f>
        <v>0.65261835128811496</v>
      </c>
      <c r="J21" s="136">
        <f>IF(SER_hh_tes_in!J21=0,"",SER_hh_tes_in!J21/SER_hh_fec_in!J21)</f>
        <v>0.65575326924475219</v>
      </c>
      <c r="K21" s="136">
        <f>IF(SER_hh_tes_in!K21=0,"",SER_hh_tes_in!K21/SER_hh_fec_in!K21)</f>
        <v>0.65949152011225121</v>
      </c>
      <c r="L21" s="136">
        <f>IF(SER_hh_tes_in!L21=0,"",SER_hh_tes_in!L21/SER_hh_fec_in!L21)</f>
        <v>0.66387686897222864</v>
      </c>
      <c r="M21" s="136" t="str">
        <f>IF(SER_hh_tes_in!M21=0,"",SER_hh_tes_in!M21/SER_hh_fec_in!M21)</f>
        <v/>
      </c>
      <c r="N21" s="136" t="str">
        <f>IF(SER_hh_tes_in!N21=0,"",SER_hh_tes_in!N21/SER_hh_fec_in!N21)</f>
        <v/>
      </c>
      <c r="O21" s="136" t="str">
        <f>IF(SER_hh_tes_in!O21=0,"",SER_hh_tes_in!O21/SER_hh_fec_in!O21)</f>
        <v/>
      </c>
      <c r="P21" s="136" t="str">
        <f>IF(SER_hh_tes_in!P21=0,"",SER_hh_tes_in!P21/SER_hh_fec_in!P21)</f>
        <v/>
      </c>
      <c r="Q21" s="136" t="str">
        <f>IF(SER_hh_tes_in!Q21=0,"",SER_hh_tes_in!Q21/SER_hh_fec_in!Q21)</f>
        <v/>
      </c>
      <c r="R21" s="136">
        <f>IF(SER_hh_tes_in!R21=0,"",SER_hh_tes_in!R21/SER_hh_fec_in!R21)</f>
        <v>0.77400124417007565</v>
      </c>
      <c r="S21" s="136">
        <f>IF(SER_hh_tes_in!S21=0,"",SER_hh_tes_in!S21/SER_hh_fec_in!S21)</f>
        <v>0.78820964205012334</v>
      </c>
      <c r="T21" s="136">
        <f>IF(SER_hh_tes_in!T21=0,"",SER_hh_tes_in!T21/SER_hh_fec_in!T21)</f>
        <v>0.80094761734620912</v>
      </c>
      <c r="U21" s="136">
        <f>IF(SER_hh_tes_in!U21=0,"",SER_hh_tes_in!U21/SER_hh_fec_in!U21)</f>
        <v>0.81179622449937261</v>
      </c>
      <c r="V21" s="136">
        <f>IF(SER_hh_tes_in!V21=0,"",SER_hh_tes_in!V21/SER_hh_fec_in!V21)</f>
        <v>0.820336517950636</v>
      </c>
      <c r="W21" s="136">
        <f>IF(SER_hh_tes_in!W21=0,"",SER_hh_tes_in!W21/SER_hh_fec_in!W21)</f>
        <v>0.82558583492170556</v>
      </c>
      <c r="X21" s="136">
        <f>IF(SER_hh_tes_in!X21=0,"",SER_hh_tes_in!X21/SER_hh_fec_in!X21)</f>
        <v>0.82891824437414929</v>
      </c>
      <c r="Y21" s="136">
        <f>IF(SER_hh_tes_in!Y21=0,"",SER_hh_tes_in!Y21/SER_hh_fec_in!Y21)</f>
        <v>0.83060569495832015</v>
      </c>
      <c r="DA21" s="163" t="s">
        <v>680</v>
      </c>
    </row>
    <row r="22" spans="1:105" ht="12" customHeight="1" x14ac:dyDescent="0.25">
      <c r="A22" s="131" t="s">
        <v>161</v>
      </c>
      <c r="B22" s="136"/>
      <c r="C22" s="136">
        <f>IF(SER_hh_tes_in!C22=0,"",SER_hh_tes_in!C22/SER_hh_fec_in!C22)</f>
        <v>0.44183095597964467</v>
      </c>
      <c r="D22" s="136">
        <f>IF(SER_hh_tes_in!D22=0,"",SER_hh_tes_in!D22/SER_hh_fec_in!D22)</f>
        <v>0.44405955202441044</v>
      </c>
      <c r="E22" s="136">
        <f>IF(SER_hh_tes_in!E22=0,"",SER_hh_tes_in!E22/SER_hh_fec_in!E22)</f>
        <v>0.44659793278331483</v>
      </c>
      <c r="F22" s="136">
        <f>IF(SER_hh_tes_in!F22=0,"",SER_hh_tes_in!F22/SER_hh_fec_in!F22)</f>
        <v>0.44917855691232911</v>
      </c>
      <c r="G22" s="136">
        <f>IF(SER_hh_tes_in!G22=0,"",SER_hh_tes_in!G22/SER_hh_fec_in!G22)</f>
        <v>0.45204447454182428</v>
      </c>
      <c r="H22" s="136">
        <f>IF(SER_hh_tes_in!H22=0,"",SER_hh_tes_in!H22/SER_hh_fec_in!H22)</f>
        <v>0.45516593943004419</v>
      </c>
      <c r="I22" s="136">
        <f>IF(SER_hh_tes_in!I22=0,"",SER_hh_tes_in!I22/SER_hh_fec_in!I22)</f>
        <v>0.45860283913621436</v>
      </c>
      <c r="J22" s="136">
        <f>IF(SER_hh_tes_in!J22=0,"",SER_hh_tes_in!J22/SER_hh_fec_in!J22)</f>
        <v>0.46260051185207496</v>
      </c>
      <c r="K22" s="136">
        <f>IF(SER_hh_tes_in!K22=0,"",SER_hh_tes_in!K22/SER_hh_fec_in!K22)</f>
        <v>0.46736755957222431</v>
      </c>
      <c r="L22" s="136">
        <f>IF(SER_hh_tes_in!L22=0,"",SER_hh_tes_in!L22/SER_hh_fec_in!L22)</f>
        <v>0.47295979188246551</v>
      </c>
      <c r="M22" s="136">
        <f>IF(SER_hh_tes_in!M22=0,"",SER_hh_tes_in!M22/SER_hh_fec_in!M22)</f>
        <v>0.48435991204114054</v>
      </c>
      <c r="N22" s="136">
        <f>IF(SER_hh_tes_in!N22=0,"",SER_hh_tes_in!N22/SER_hh_fec_in!N22)</f>
        <v>0.50315172955518739</v>
      </c>
      <c r="O22" s="136">
        <f>IF(SER_hh_tes_in!O22=0,"",SER_hh_tes_in!O22/SER_hh_fec_in!O22)</f>
        <v>0.53062425724678519</v>
      </c>
      <c r="P22" s="136">
        <f>IF(SER_hh_tes_in!P22=0,"",SER_hh_tes_in!P22/SER_hh_fec_in!P22)</f>
        <v>0.56393766073532337</v>
      </c>
      <c r="Q22" s="136">
        <f>IF(SER_hh_tes_in!Q22=0,"",SER_hh_tes_in!Q22/SER_hh_fec_in!Q22)</f>
        <v>0.59393176938558234</v>
      </c>
      <c r="R22" s="136">
        <f>IF(SER_hh_tes_in!R22=0,"",SER_hh_tes_in!R22/SER_hh_fec_in!R22)</f>
        <v>0.61339128520035147</v>
      </c>
      <c r="S22" s="136">
        <f>IF(SER_hh_tes_in!S22=0,"",SER_hh_tes_in!S22/SER_hh_fec_in!S22)</f>
        <v>0.63150994901447111</v>
      </c>
      <c r="T22" s="136">
        <f>IF(SER_hh_tes_in!T22=0,"",SER_hh_tes_in!T22/SER_hh_fec_in!T22)</f>
        <v>0.64775351806502812</v>
      </c>
      <c r="U22" s="136">
        <f>IF(SER_hh_tes_in!U22=0,"",SER_hh_tes_in!U22/SER_hh_fec_in!U22)</f>
        <v>0.66158774958916433</v>
      </c>
      <c r="V22" s="136">
        <f>IF(SER_hh_tes_in!V22=0,"",SER_hh_tes_in!V22/SER_hh_fec_in!V22)</f>
        <v>0.67247840082399946</v>
      </c>
      <c r="W22" s="136">
        <f>IF(SER_hh_tes_in!W22=0,"",SER_hh_tes_in!W22/SER_hh_fec_in!W22)</f>
        <v>0.67917237225241223</v>
      </c>
      <c r="X22" s="136">
        <f>IF(SER_hh_tes_in!X22=0,"",SER_hh_tes_in!X22/SER_hh_fec_in!X22)</f>
        <v>0.68212691015960869</v>
      </c>
      <c r="Y22" s="136">
        <f>IF(SER_hh_tes_in!Y22=0,"",SER_hh_tes_in!Y22/SER_hh_fec_in!Y22)</f>
        <v>0.68362301584187934</v>
      </c>
      <c r="DA22" s="163" t="s">
        <v>681</v>
      </c>
    </row>
    <row r="23" spans="1:105" ht="12" customHeight="1" x14ac:dyDescent="0.25">
      <c r="A23" s="131" t="s">
        <v>149</v>
      </c>
      <c r="B23" s="136"/>
      <c r="C23" s="136" t="str">
        <f>IF(SER_hh_tes_in!C23=0,"",SER_hh_tes_in!C23/SER_hh_fec_in!C23)</f>
        <v/>
      </c>
      <c r="D23" s="136" t="str">
        <f>IF(SER_hh_tes_in!D23=0,"",SER_hh_tes_in!D23/SER_hh_fec_in!D23)</f>
        <v/>
      </c>
      <c r="E23" s="136" t="str">
        <f>IF(SER_hh_tes_in!E23=0,"",SER_hh_tes_in!E23/SER_hh_fec_in!E23)</f>
        <v/>
      </c>
      <c r="F23" s="136" t="str">
        <f>IF(SER_hh_tes_in!F23=0,"",SER_hh_tes_in!F23/SER_hh_fec_in!F23)</f>
        <v/>
      </c>
      <c r="G23" s="136" t="str">
        <f>IF(SER_hh_tes_in!G23=0,"",SER_hh_tes_in!G23/SER_hh_fec_in!G23)</f>
        <v/>
      </c>
      <c r="H23" s="136" t="str">
        <f>IF(SER_hh_tes_in!H23=0,"",SER_hh_tes_in!H23/SER_hh_fec_in!H23)</f>
        <v/>
      </c>
      <c r="I23" s="136" t="str">
        <f>IF(SER_hh_tes_in!I23=0,"",SER_hh_tes_in!I23/SER_hh_fec_in!I23)</f>
        <v/>
      </c>
      <c r="J23" s="136" t="str">
        <f>IF(SER_hh_tes_in!J23=0,"",SER_hh_tes_in!J23/SER_hh_fec_in!J23)</f>
        <v/>
      </c>
      <c r="K23" s="136" t="str">
        <f>IF(SER_hh_tes_in!K23=0,"",SER_hh_tes_in!K23/SER_hh_fec_in!K23)</f>
        <v/>
      </c>
      <c r="L23" s="136" t="str">
        <f>IF(SER_hh_tes_in!L23=0,"",SER_hh_tes_in!L23/SER_hh_fec_in!L23)</f>
        <v/>
      </c>
      <c r="M23" s="136" t="str">
        <f>IF(SER_hh_tes_in!M23=0,"",SER_hh_tes_in!M23/SER_hh_fec_in!M23)</f>
        <v/>
      </c>
      <c r="N23" s="136" t="str">
        <f>IF(SER_hh_tes_in!N23=0,"",SER_hh_tes_in!N23/SER_hh_fec_in!N23)</f>
        <v/>
      </c>
      <c r="O23" s="136" t="str">
        <f>IF(SER_hh_tes_in!O23=0,"",SER_hh_tes_in!O23/SER_hh_fec_in!O23)</f>
        <v/>
      </c>
      <c r="P23" s="136" t="str">
        <f>IF(SER_hh_tes_in!P23=0,"",SER_hh_tes_in!P23/SER_hh_fec_in!P23)</f>
        <v/>
      </c>
      <c r="Q23" s="136" t="str">
        <f>IF(SER_hh_tes_in!Q23=0,"",SER_hh_tes_in!Q23/SER_hh_fec_in!Q23)</f>
        <v/>
      </c>
      <c r="R23" s="136" t="str">
        <f>IF(SER_hh_tes_in!R23=0,"",SER_hh_tes_in!R23/SER_hh_fec_in!R23)</f>
        <v/>
      </c>
      <c r="S23" s="136" t="str">
        <f>IF(SER_hh_tes_in!S23=0,"",SER_hh_tes_in!S23/SER_hh_fec_in!S23)</f>
        <v/>
      </c>
      <c r="T23" s="136" t="str">
        <f>IF(SER_hh_tes_in!T23=0,"",SER_hh_tes_in!T23/SER_hh_fec_in!T23)</f>
        <v/>
      </c>
      <c r="U23" s="136" t="str">
        <f>IF(SER_hh_tes_in!U23=0,"",SER_hh_tes_in!U23/SER_hh_fec_in!U23)</f>
        <v/>
      </c>
      <c r="V23" s="136" t="str">
        <f>IF(SER_hh_tes_in!V23=0,"",SER_hh_tes_in!V23/SER_hh_fec_in!V23)</f>
        <v/>
      </c>
      <c r="W23" s="136" t="str">
        <f>IF(SER_hh_tes_in!W23=0,"",SER_hh_tes_in!W23/SER_hh_fec_in!W23)</f>
        <v/>
      </c>
      <c r="X23" s="136" t="str">
        <f>IF(SER_hh_tes_in!X23=0,"",SER_hh_tes_in!X23/SER_hh_fec_in!X23)</f>
        <v/>
      </c>
      <c r="Y23" s="136" t="str">
        <f>IF(SER_hh_tes_in!Y23=0,"",SER_hh_tes_in!Y23/SER_hh_fec_in!Y23)</f>
        <v/>
      </c>
      <c r="DA23" s="163" t="s">
        <v>682</v>
      </c>
    </row>
    <row r="24" spans="1:105" ht="12" customHeight="1" x14ac:dyDescent="0.25">
      <c r="A24" s="131" t="s">
        <v>128</v>
      </c>
      <c r="B24" s="136"/>
      <c r="C24" s="136" t="str">
        <f>IF(SER_hh_tes_in!C24=0,"",SER_hh_tes_in!C24/SER_hh_fec_in!C24)</f>
        <v/>
      </c>
      <c r="D24" s="136" t="str">
        <f>IF(SER_hh_tes_in!D24=0,"",SER_hh_tes_in!D24/SER_hh_fec_in!D24)</f>
        <v/>
      </c>
      <c r="E24" s="136" t="str">
        <f>IF(SER_hh_tes_in!E24=0,"",SER_hh_tes_in!E24/SER_hh_fec_in!E24)</f>
        <v/>
      </c>
      <c r="F24" s="136" t="str">
        <f>IF(SER_hh_tes_in!F24=0,"",SER_hh_tes_in!F24/SER_hh_fec_in!F24)</f>
        <v/>
      </c>
      <c r="G24" s="136" t="str">
        <f>IF(SER_hh_tes_in!G24=0,"",SER_hh_tes_in!G24/SER_hh_fec_in!G24)</f>
        <v/>
      </c>
      <c r="H24" s="136" t="str">
        <f>IF(SER_hh_tes_in!H24=0,"",SER_hh_tes_in!H24/SER_hh_fec_in!H24)</f>
        <v/>
      </c>
      <c r="I24" s="136" t="str">
        <f>IF(SER_hh_tes_in!I24=0,"",SER_hh_tes_in!I24/SER_hh_fec_in!I24)</f>
        <v/>
      </c>
      <c r="J24" s="136" t="str">
        <f>IF(SER_hh_tes_in!J24=0,"",SER_hh_tes_in!J24/SER_hh_fec_in!J24)</f>
        <v/>
      </c>
      <c r="K24" s="136" t="str">
        <f>IF(SER_hh_tes_in!K24=0,"",SER_hh_tes_in!K24/SER_hh_fec_in!K24)</f>
        <v/>
      </c>
      <c r="L24" s="136" t="str">
        <f>IF(SER_hh_tes_in!L24=0,"",SER_hh_tes_in!L24/SER_hh_fec_in!L24)</f>
        <v/>
      </c>
      <c r="M24" s="136" t="str">
        <f>IF(SER_hh_tes_in!M24=0,"",SER_hh_tes_in!M24/SER_hh_fec_in!M24)</f>
        <v/>
      </c>
      <c r="N24" s="136" t="str">
        <f>IF(SER_hh_tes_in!N24=0,"",SER_hh_tes_in!N24/SER_hh_fec_in!N24)</f>
        <v/>
      </c>
      <c r="O24" s="136" t="str">
        <f>IF(SER_hh_tes_in!O24=0,"",SER_hh_tes_in!O24/SER_hh_fec_in!O24)</f>
        <v/>
      </c>
      <c r="P24" s="136" t="str">
        <f>IF(SER_hh_tes_in!P24=0,"",SER_hh_tes_in!P24/SER_hh_fec_in!P24)</f>
        <v/>
      </c>
      <c r="Q24" s="136" t="str">
        <f>IF(SER_hh_tes_in!Q24=0,"",SER_hh_tes_in!Q24/SER_hh_fec_in!Q24)</f>
        <v/>
      </c>
      <c r="R24" s="136" t="str">
        <f>IF(SER_hh_tes_in!R24=0,"",SER_hh_tes_in!R24/SER_hh_fec_in!R24)</f>
        <v/>
      </c>
      <c r="S24" s="136" t="str">
        <f>IF(SER_hh_tes_in!S24=0,"",SER_hh_tes_in!S24/SER_hh_fec_in!S24)</f>
        <v/>
      </c>
      <c r="T24" s="136" t="str">
        <f>IF(SER_hh_tes_in!T24=0,"",SER_hh_tes_in!T24/SER_hh_fec_in!T24)</f>
        <v/>
      </c>
      <c r="U24" s="136" t="str">
        <f>IF(SER_hh_tes_in!U24=0,"",SER_hh_tes_in!U24/SER_hh_fec_in!U24)</f>
        <v/>
      </c>
      <c r="V24" s="136" t="str">
        <f>IF(SER_hh_tes_in!V24=0,"",SER_hh_tes_in!V24/SER_hh_fec_in!V24)</f>
        <v/>
      </c>
      <c r="W24" s="136" t="str">
        <f>IF(SER_hh_tes_in!W24=0,"",SER_hh_tes_in!W24/SER_hh_fec_in!W24)</f>
        <v/>
      </c>
      <c r="X24" s="136" t="str">
        <f>IF(SER_hh_tes_in!X24=0,"",SER_hh_tes_in!X24/SER_hh_fec_in!X24)</f>
        <v/>
      </c>
      <c r="Y24" s="136" t="str">
        <f>IF(SER_hh_tes_in!Y24=0,"",SER_hh_tes_in!Y24/SER_hh_fec_in!Y24)</f>
        <v/>
      </c>
      <c r="DA24" s="163" t="s">
        <v>683</v>
      </c>
    </row>
    <row r="25" spans="1:105" ht="12" customHeight="1" x14ac:dyDescent="0.25">
      <c r="A25" s="131" t="s">
        <v>162</v>
      </c>
      <c r="B25" s="136"/>
      <c r="C25" s="136" t="str">
        <f>IF(SER_hh_tes_in!C25=0,"",SER_hh_tes_in!C25/SER_hh_fec_in!C25)</f>
        <v/>
      </c>
      <c r="D25" s="136" t="str">
        <f>IF(SER_hh_tes_in!D25=0,"",SER_hh_tes_in!D25/SER_hh_fec_in!D25)</f>
        <v/>
      </c>
      <c r="E25" s="136" t="str">
        <f>IF(SER_hh_tes_in!E25=0,"",SER_hh_tes_in!E25/SER_hh_fec_in!E25)</f>
        <v/>
      </c>
      <c r="F25" s="136" t="str">
        <f>IF(SER_hh_tes_in!F25=0,"",SER_hh_tes_in!F25/SER_hh_fec_in!F25)</f>
        <v/>
      </c>
      <c r="G25" s="136" t="str">
        <f>IF(SER_hh_tes_in!G25=0,"",SER_hh_tes_in!G25/SER_hh_fec_in!G25)</f>
        <v/>
      </c>
      <c r="H25" s="136" t="str">
        <f>IF(SER_hh_tes_in!H25=0,"",SER_hh_tes_in!H25/SER_hh_fec_in!H25)</f>
        <v/>
      </c>
      <c r="I25" s="136" t="str">
        <f>IF(SER_hh_tes_in!I25=0,"",SER_hh_tes_in!I25/SER_hh_fec_in!I25)</f>
        <v/>
      </c>
      <c r="J25" s="136" t="str">
        <f>IF(SER_hh_tes_in!J25=0,"",SER_hh_tes_in!J25/SER_hh_fec_in!J25)</f>
        <v/>
      </c>
      <c r="K25" s="136" t="str">
        <f>IF(SER_hh_tes_in!K25=0,"",SER_hh_tes_in!K25/SER_hh_fec_in!K25)</f>
        <v/>
      </c>
      <c r="L25" s="136" t="str">
        <f>IF(SER_hh_tes_in!L25=0,"",SER_hh_tes_in!L25/SER_hh_fec_in!L25)</f>
        <v/>
      </c>
      <c r="M25" s="136" t="str">
        <f>IF(SER_hh_tes_in!M25=0,"",SER_hh_tes_in!M25/SER_hh_fec_in!M25)</f>
        <v/>
      </c>
      <c r="N25" s="136" t="str">
        <f>IF(SER_hh_tes_in!N25=0,"",SER_hh_tes_in!N25/SER_hh_fec_in!N25)</f>
        <v/>
      </c>
      <c r="O25" s="136" t="str">
        <f>IF(SER_hh_tes_in!O25=0,"",SER_hh_tes_in!O25/SER_hh_fec_in!O25)</f>
        <v/>
      </c>
      <c r="P25" s="136" t="str">
        <f>IF(SER_hh_tes_in!P25=0,"",SER_hh_tes_in!P25/SER_hh_fec_in!P25)</f>
        <v/>
      </c>
      <c r="Q25" s="136" t="str">
        <f>IF(SER_hh_tes_in!Q25=0,"",SER_hh_tes_in!Q25/SER_hh_fec_in!Q25)</f>
        <v/>
      </c>
      <c r="R25" s="136" t="str">
        <f>IF(SER_hh_tes_in!R25=0,"",SER_hh_tes_in!R25/SER_hh_fec_in!R25)</f>
        <v/>
      </c>
      <c r="S25" s="136" t="str">
        <f>IF(SER_hh_tes_in!S25=0,"",SER_hh_tes_in!S25/SER_hh_fec_in!S25)</f>
        <v/>
      </c>
      <c r="T25" s="136" t="str">
        <f>IF(SER_hh_tes_in!T25=0,"",SER_hh_tes_in!T25/SER_hh_fec_in!T25)</f>
        <v/>
      </c>
      <c r="U25" s="136" t="str">
        <f>IF(SER_hh_tes_in!U25=0,"",SER_hh_tes_in!U25/SER_hh_fec_in!U25)</f>
        <v/>
      </c>
      <c r="V25" s="136" t="str">
        <f>IF(SER_hh_tes_in!V25=0,"",SER_hh_tes_in!V25/SER_hh_fec_in!V25)</f>
        <v/>
      </c>
      <c r="W25" s="136" t="str">
        <f>IF(SER_hh_tes_in!W25=0,"",SER_hh_tes_in!W25/SER_hh_fec_in!W25)</f>
        <v/>
      </c>
      <c r="X25" s="136" t="str">
        <f>IF(SER_hh_tes_in!X25=0,"",SER_hh_tes_in!X25/SER_hh_fec_in!X25)</f>
        <v/>
      </c>
      <c r="Y25" s="136" t="str">
        <f>IF(SER_hh_tes_in!Y25=0,"",SER_hh_tes_in!Y25/SER_hh_fec_in!Y25)</f>
        <v/>
      </c>
      <c r="DA25" s="163" t="s">
        <v>684</v>
      </c>
    </row>
    <row r="26" spans="1:105" ht="12" customHeight="1" x14ac:dyDescent="0.25">
      <c r="A26" s="131" t="s">
        <v>24</v>
      </c>
      <c r="B26" s="137"/>
      <c r="C26" s="137">
        <f>IF(SER_hh_tes_in!C26=0,"",SER_hh_tes_in!C26/SER_hh_fec_in!C26)</f>
        <v>0.54261214227929555</v>
      </c>
      <c r="D26" s="137">
        <f>IF(SER_hh_tes_in!D26=0,"",SER_hh_tes_in!D26/SER_hh_fec_in!D26)</f>
        <v>0.54498816654207727</v>
      </c>
      <c r="E26" s="137">
        <f>IF(SER_hh_tes_in!E26=0,"",SER_hh_tes_in!E26/SER_hh_fec_in!E26)</f>
        <v>0.54758932464283527</v>
      </c>
      <c r="F26" s="137">
        <f>IF(SER_hh_tes_in!F26=0,"",SER_hh_tes_in!F26/SER_hh_fec_in!F26)</f>
        <v>0.55022186695967645</v>
      </c>
      <c r="G26" s="137">
        <f>IF(SER_hh_tes_in!G26=0,"",SER_hh_tes_in!G26/SER_hh_fec_in!G26)</f>
        <v>0.55306350101794499</v>
      </c>
      <c r="H26" s="137" t="str">
        <f>IF(SER_hh_tes_in!H26=0,"",SER_hh_tes_in!H26/SER_hh_fec_in!H26)</f>
        <v/>
      </c>
      <c r="I26" s="137" t="str">
        <f>IF(SER_hh_tes_in!I26=0,"",SER_hh_tes_in!I26/SER_hh_fec_in!I26)</f>
        <v/>
      </c>
      <c r="J26" s="137">
        <f>IF(SER_hh_tes_in!J26=0,"",SER_hh_tes_in!J26/SER_hh_fec_in!J26)</f>
        <v>0.5630456608444917</v>
      </c>
      <c r="K26" s="137">
        <f>IF(SER_hh_tes_in!K26=0,"",SER_hh_tes_in!K26/SER_hh_fec_in!K26)</f>
        <v>0.56731454129516823</v>
      </c>
      <c r="L26" s="137">
        <f>IF(SER_hh_tes_in!L26=0,"",SER_hh_tes_in!L26/SER_hh_fec_in!L26)</f>
        <v>0.57222272549287334</v>
      </c>
      <c r="M26" s="137">
        <f>IF(SER_hh_tes_in!M26=0,"",SER_hh_tes_in!M26/SER_hh_fec_in!M26)</f>
        <v>0.58155377481636683</v>
      </c>
      <c r="N26" s="137">
        <f>IF(SER_hh_tes_in!N26=0,"",SER_hh_tes_in!N26/SER_hh_fec_in!N26)</f>
        <v>0.59693983477767942</v>
      </c>
      <c r="O26" s="137">
        <f>IF(SER_hh_tes_in!O26=0,"",SER_hh_tes_in!O26/SER_hh_fec_in!O26)</f>
        <v>0.62040157616627467</v>
      </c>
      <c r="P26" s="137">
        <f>IF(SER_hh_tes_in!P26=0,"",SER_hh_tes_in!P26/SER_hh_fec_in!P26)</f>
        <v>0.65082667113743675</v>
      </c>
      <c r="Q26" s="137">
        <f>IF(SER_hh_tes_in!Q26=0,"",SER_hh_tes_in!Q26/SER_hh_fec_in!Q26)</f>
        <v>0.68018041455744038</v>
      </c>
      <c r="R26" s="137">
        <f>IF(SER_hh_tes_in!R26=0,"",SER_hh_tes_in!R26/SER_hh_fec_in!R26)</f>
        <v>0.70004524794626755</v>
      </c>
      <c r="S26" s="137">
        <f>IF(SER_hh_tes_in!S26=0,"",SER_hh_tes_in!S26/SER_hh_fec_in!S26)</f>
        <v>0.71929084742555138</v>
      </c>
      <c r="T26" s="137">
        <f>IF(SER_hh_tes_in!T26=0,"",SER_hh_tes_in!T26/SER_hh_fec_in!T26)</f>
        <v>0.73838709075836362</v>
      </c>
      <c r="U26" s="137">
        <f>IF(SER_hh_tes_in!U26=0,"",SER_hh_tes_in!U26/SER_hh_fec_in!U26)</f>
        <v>0.75752594719964439</v>
      </c>
      <c r="V26" s="137">
        <f>IF(SER_hh_tes_in!V26=0,"",SER_hh_tes_in!V26/SER_hh_fec_in!V26)</f>
        <v>0.77632765506209511</v>
      </c>
      <c r="W26" s="137">
        <f>IF(SER_hh_tes_in!W26=0,"",SER_hh_tes_in!W26/SER_hh_fec_in!W26)</f>
        <v>0.79349985178065874</v>
      </c>
      <c r="X26" s="137">
        <f>IF(SER_hh_tes_in!X26=0,"",SER_hh_tes_in!X26/SER_hh_fec_in!X26)</f>
        <v>0.80560058919559852</v>
      </c>
      <c r="Y26" s="137">
        <f>IF(SER_hh_tes_in!Y26=0,"",SER_hh_tes_in!Y26/SER_hh_fec_in!Y26)</f>
        <v>0.81688984171938794</v>
      </c>
      <c r="DA26" s="164" t="s">
        <v>685</v>
      </c>
    </row>
    <row r="27" spans="1:105" ht="12" customHeight="1" x14ac:dyDescent="0.25">
      <c r="A27" s="144" t="s">
        <v>26</v>
      </c>
      <c r="B27" s="148"/>
      <c r="C27" s="148">
        <f>IF(SER_hh_tes_in!C27=0,"",SER_hh_tes_in!C27/SER_hh_fec_in!C27)</f>
        <v>1</v>
      </c>
      <c r="D27" s="148">
        <f>IF(SER_hh_tes_in!D27=0,"",SER_hh_tes_in!D27/SER_hh_fec_in!D27)</f>
        <v>1</v>
      </c>
      <c r="E27" s="148">
        <f>IF(SER_hh_tes_in!E27=0,"",SER_hh_tes_in!E27/SER_hh_fec_in!E27)</f>
        <v>1</v>
      </c>
      <c r="F27" s="148">
        <f>IF(SER_hh_tes_in!F27=0,"",SER_hh_tes_in!F27/SER_hh_fec_in!F27)</f>
        <v>1</v>
      </c>
      <c r="G27" s="148">
        <f>IF(SER_hh_tes_in!G27=0,"",SER_hh_tes_in!G27/SER_hh_fec_in!G27)</f>
        <v>1</v>
      </c>
      <c r="H27" s="148">
        <f>IF(SER_hh_tes_in!H27=0,"",SER_hh_tes_in!H27/SER_hh_fec_in!H27)</f>
        <v>1</v>
      </c>
      <c r="I27" s="148">
        <f>IF(SER_hh_tes_in!I27=0,"",SER_hh_tes_in!I27/SER_hh_fec_in!I27)</f>
        <v>1</v>
      </c>
      <c r="J27" s="148">
        <f>IF(SER_hh_tes_in!J27=0,"",SER_hh_tes_in!J27/SER_hh_fec_in!J27)</f>
        <v>1</v>
      </c>
      <c r="K27" s="148">
        <f>IF(SER_hh_tes_in!K27=0,"",SER_hh_tes_in!K27/SER_hh_fec_in!K27)</f>
        <v>1</v>
      </c>
      <c r="L27" s="148">
        <f>IF(SER_hh_tes_in!L27=0,"",SER_hh_tes_in!L27/SER_hh_fec_in!L27)</f>
        <v>1</v>
      </c>
      <c r="M27" s="148">
        <f>IF(SER_hh_tes_in!M27=0,"",SER_hh_tes_in!M27/SER_hh_fec_in!M27)</f>
        <v>1</v>
      </c>
      <c r="N27" s="148">
        <f>IF(SER_hh_tes_in!N27=0,"",SER_hh_tes_in!N27/SER_hh_fec_in!N27)</f>
        <v>1</v>
      </c>
      <c r="O27" s="148">
        <f>IF(SER_hh_tes_in!O27=0,"",SER_hh_tes_in!O27/SER_hh_fec_in!O27)</f>
        <v>1</v>
      </c>
      <c r="P27" s="148">
        <f>IF(SER_hh_tes_in!P27=0,"",SER_hh_tes_in!P27/SER_hh_fec_in!P27)</f>
        <v>1</v>
      </c>
      <c r="Q27" s="148">
        <f>IF(SER_hh_tes_in!Q27=0,"",SER_hh_tes_in!Q27/SER_hh_fec_in!Q27)</f>
        <v>1</v>
      </c>
      <c r="R27" s="148">
        <f>IF(SER_hh_tes_in!R27=0,"",SER_hh_tes_in!R27/SER_hh_fec_in!R27)</f>
        <v>1</v>
      </c>
      <c r="S27" s="148">
        <f>IF(SER_hh_tes_in!S27=0,"",SER_hh_tes_in!S27/SER_hh_fec_in!S27)</f>
        <v>1</v>
      </c>
      <c r="T27" s="148">
        <f>IF(SER_hh_tes_in!T27=0,"",SER_hh_tes_in!T27/SER_hh_fec_in!T27)</f>
        <v>1</v>
      </c>
      <c r="U27" s="148">
        <f>IF(SER_hh_tes_in!U27=0,"",SER_hh_tes_in!U27/SER_hh_fec_in!U27)</f>
        <v>1</v>
      </c>
      <c r="V27" s="148">
        <f>IF(SER_hh_tes_in!V27=0,"",SER_hh_tes_in!V27/SER_hh_fec_in!V27)</f>
        <v>1</v>
      </c>
      <c r="W27" s="148">
        <f>IF(SER_hh_tes_in!W27=0,"",SER_hh_tes_in!W27/SER_hh_fec_in!W27)</f>
        <v>1</v>
      </c>
      <c r="X27" s="148" t="str">
        <f>IF(SER_hh_tes_in!X27=0,"",SER_hh_tes_in!X27/SER_hh_fec_in!X27)</f>
        <v/>
      </c>
      <c r="Y27" s="148">
        <f>IF(SER_hh_tes_in!Y27=0,"",SER_hh_tes_in!Y27/SER_hh_fec_in!Y27)</f>
        <v>1</v>
      </c>
      <c r="DA27" s="166" t="s">
        <v>686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/>
      <c r="C29" s="135">
        <f>IF(SER_hh_tes_in!C29=0,"",SER_hh_tes_in!C29/SER_hh_fec_in!C29)</f>
        <v>0.75540485005054303</v>
      </c>
      <c r="D29" s="135">
        <f>IF(SER_hh_tes_in!D29=0,"",SER_hh_tes_in!D29/SER_hh_fec_in!D29)</f>
        <v>0.73625409487444338</v>
      </c>
      <c r="E29" s="135">
        <f>IF(SER_hh_tes_in!E29=0,"",SER_hh_tes_in!E29/SER_hh_fec_in!E29)</f>
        <v>0.74784469682301224</v>
      </c>
      <c r="F29" s="135">
        <f>IF(SER_hh_tes_in!F29=0,"",SER_hh_tes_in!F29/SER_hh_fec_in!F29)</f>
        <v>0.74394603559139028</v>
      </c>
      <c r="G29" s="135">
        <f>IF(SER_hh_tes_in!G29=0,"",SER_hh_tes_in!G29/SER_hh_fec_in!G29)</f>
        <v>0.73476337396776426</v>
      </c>
      <c r="H29" s="135">
        <f>IF(SER_hh_tes_in!H29=0,"",SER_hh_tes_in!H29/SER_hh_fec_in!H29)</f>
        <v>0.61143417008097056</v>
      </c>
      <c r="I29" s="135">
        <f>IF(SER_hh_tes_in!I29=0,"",SER_hh_tes_in!I29/SER_hh_fec_in!I29)</f>
        <v>0.65485695264370536</v>
      </c>
      <c r="J29" s="135">
        <f>IF(SER_hh_tes_in!J29=0,"",SER_hh_tes_in!J29/SER_hh_fec_in!J29)</f>
        <v>0.7175404317354156</v>
      </c>
      <c r="K29" s="135">
        <f>IF(SER_hh_tes_in!K29=0,"",SER_hh_tes_in!K29/SER_hh_fec_in!K29)</f>
        <v>0.76678611003417341</v>
      </c>
      <c r="L29" s="135">
        <f>IF(SER_hh_tes_in!L29=0,"",SER_hh_tes_in!L29/SER_hh_fec_in!L29)</f>
        <v>0.76435060870072802</v>
      </c>
      <c r="M29" s="135">
        <f>IF(SER_hh_tes_in!M29=0,"",SER_hh_tes_in!M29/SER_hh_fec_in!M29)</f>
        <v>0.71082187038477829</v>
      </c>
      <c r="N29" s="135">
        <f>IF(SER_hh_tes_in!N29=0,"",SER_hh_tes_in!N29/SER_hh_fec_in!N29)</f>
        <v>0.72817798434083247</v>
      </c>
      <c r="O29" s="135">
        <f>IF(SER_hh_tes_in!O29=0,"",SER_hh_tes_in!O29/SER_hh_fec_in!O29)</f>
        <v>0.73668307705967684</v>
      </c>
      <c r="P29" s="135">
        <f>IF(SER_hh_tes_in!P29=0,"",SER_hh_tes_in!P29/SER_hh_fec_in!P29)</f>
        <v>0.74404428677096324</v>
      </c>
      <c r="Q29" s="135">
        <f>IF(SER_hh_tes_in!Q29=0,"",SER_hh_tes_in!Q29/SER_hh_fec_in!Q29)</f>
        <v>0.69539266097460739</v>
      </c>
      <c r="R29" s="135">
        <f>IF(SER_hh_tes_in!R29=0,"",SER_hh_tes_in!R29/SER_hh_fec_in!R29)</f>
        <v>0.69999230458145545</v>
      </c>
      <c r="S29" s="135">
        <f>IF(SER_hh_tes_in!S29=0,"",SER_hh_tes_in!S29/SER_hh_fec_in!S29)</f>
        <v>0.6493168290242286</v>
      </c>
      <c r="T29" s="135">
        <f>IF(SER_hh_tes_in!T29=0,"",SER_hh_tes_in!T29/SER_hh_fec_in!T29)</f>
        <v>0.69919752926141565</v>
      </c>
      <c r="U29" s="135">
        <f>IF(SER_hh_tes_in!U29=0,"",SER_hh_tes_in!U29/SER_hh_fec_in!U29)</f>
        <v>0.76179724610826272</v>
      </c>
      <c r="V29" s="135">
        <f>IF(SER_hh_tes_in!V29=0,"",SER_hh_tes_in!V29/SER_hh_fec_in!V29)</f>
        <v>0.77594295316782014</v>
      </c>
      <c r="W29" s="135">
        <f>IF(SER_hh_tes_in!W29=0,"",SER_hh_tes_in!W29/SER_hh_fec_in!W29)</f>
        <v>0.8593786805139263</v>
      </c>
      <c r="X29" s="135">
        <f>IF(SER_hh_tes_in!X29=0,"",SER_hh_tes_in!X29/SER_hh_fec_in!X29)</f>
        <v>0.8936656132784383</v>
      </c>
      <c r="Y29" s="135">
        <f>IF(SER_hh_tes_in!Y29=0,"",SER_hh_tes_in!Y29/SER_hh_fec_in!Y29)</f>
        <v>0.85503992615352986</v>
      </c>
      <c r="DA29" s="162" t="s">
        <v>687</v>
      </c>
    </row>
    <row r="30" spans="1:105" s="2" customFormat="1" ht="12" customHeight="1" x14ac:dyDescent="0.25">
      <c r="A30" s="131" t="s">
        <v>52</v>
      </c>
      <c r="B30" s="136"/>
      <c r="C30" s="136" t="str">
        <f>IF(SER_hh_tes_in!C30=0,"",SER_hh_tes_in!C30/SER_hh_fec_in!C30)</f>
        <v/>
      </c>
      <c r="D30" s="136" t="str">
        <f>IF(SER_hh_tes_in!D30=0,"",SER_hh_tes_in!D30/SER_hh_fec_in!D30)</f>
        <v/>
      </c>
      <c r="E30" s="136" t="str">
        <f>IF(SER_hh_tes_in!E30=0,"",SER_hh_tes_in!E30/SER_hh_fec_in!E30)</f>
        <v/>
      </c>
      <c r="F30" s="136" t="str">
        <f>IF(SER_hh_tes_in!F30=0,"",SER_hh_tes_in!F30/SER_hh_fec_in!F30)</f>
        <v/>
      </c>
      <c r="G30" s="136" t="str">
        <f>IF(SER_hh_tes_in!G30=0,"",SER_hh_tes_in!G30/SER_hh_fec_in!G30)</f>
        <v/>
      </c>
      <c r="H30" s="136">
        <f>IF(SER_hh_tes_in!H30=0,"",SER_hh_tes_in!H30/SER_hh_fec_in!H30)</f>
        <v>0.61530595207807748</v>
      </c>
      <c r="I30" s="136">
        <f>IF(SER_hh_tes_in!I30=0,"",SER_hh_tes_in!I30/SER_hh_fec_in!I30)</f>
        <v>0.61539873409419132</v>
      </c>
      <c r="J30" s="136">
        <f>IF(SER_hh_tes_in!J30=0,"",SER_hh_tes_in!J30/SER_hh_fec_in!J30)</f>
        <v>0.61549153123407274</v>
      </c>
      <c r="K30" s="136" t="str">
        <f>IF(SER_hh_tes_in!K30=0,"",SER_hh_tes_in!K30/SER_hh_fec_in!K30)</f>
        <v/>
      </c>
      <c r="L30" s="136">
        <f>IF(SER_hh_tes_in!L30=0,"",SER_hh_tes_in!L30/SER_hh_fec_in!L30)</f>
        <v>0.61567718926796933</v>
      </c>
      <c r="M30" s="136">
        <f>IF(SER_hh_tes_in!M30=0,"",SER_hh_tes_in!M30/SER_hh_fec_in!M30)</f>
        <v>0.61574769605887214</v>
      </c>
      <c r="N30" s="136">
        <f>IF(SER_hh_tes_in!N30=0,"",SER_hh_tes_in!N30/SER_hh_fec_in!N30)</f>
        <v>0.61578710603846232</v>
      </c>
      <c r="O30" s="136">
        <f>IF(SER_hh_tes_in!O30=0,"",SER_hh_tes_in!O30/SER_hh_fec_in!O30)</f>
        <v>0.61581066034801291</v>
      </c>
      <c r="P30" s="136">
        <f>IF(SER_hh_tes_in!P30=0,"",SER_hh_tes_in!P30/SER_hh_fec_in!P30)</f>
        <v>0.61587638475499562</v>
      </c>
      <c r="Q30" s="136">
        <f>IF(SER_hh_tes_in!Q30=0,"",SER_hh_tes_in!Q30/SER_hh_fec_in!Q30)</f>
        <v>0.61614389844493223</v>
      </c>
      <c r="R30" s="136">
        <f>IF(SER_hh_tes_in!R30=0,"",SER_hh_tes_in!R30/SER_hh_fec_in!R30)</f>
        <v>0.61684659029549938</v>
      </c>
      <c r="S30" s="136">
        <f>IF(SER_hh_tes_in!S30=0,"",SER_hh_tes_in!S30/SER_hh_fec_in!S30)</f>
        <v>0.6178378174469743</v>
      </c>
      <c r="T30" s="136">
        <f>IF(SER_hh_tes_in!T30=0,"",SER_hh_tes_in!T30/SER_hh_fec_in!T30)</f>
        <v>0.61892538798369601</v>
      </c>
      <c r="U30" s="136">
        <f>IF(SER_hh_tes_in!U30=0,"",SER_hh_tes_in!U30/SER_hh_fec_in!U30)</f>
        <v>0.61991710999000615</v>
      </c>
      <c r="V30" s="136">
        <f>IF(SER_hh_tes_in!V30=0,"",SER_hh_tes_in!V30/SER_hh_fec_in!V30)</f>
        <v>0.62062079155024497</v>
      </c>
      <c r="W30" s="136">
        <f>IF(SER_hh_tes_in!W30=0,"",SER_hh_tes_in!W30/SER_hh_fec_in!W30)</f>
        <v>0.62095898625074342</v>
      </c>
      <c r="X30" s="136">
        <f>IF(SER_hh_tes_in!X30=0,"",SER_hh_tes_in!X30/SER_hh_fec_in!X30)</f>
        <v>0.62134925530906593</v>
      </c>
      <c r="Y30" s="136">
        <f>IF(SER_hh_tes_in!Y30=0,"",SER_hh_tes_in!Y30/SER_hh_fec_in!Y30)</f>
        <v>0.62138828221489817</v>
      </c>
      <c r="DA30" s="163" t="s">
        <v>688</v>
      </c>
    </row>
    <row r="31" spans="1:105" ht="12" customHeight="1" x14ac:dyDescent="0.25">
      <c r="A31" s="131" t="s">
        <v>149</v>
      </c>
      <c r="B31" s="136"/>
      <c r="C31" s="136" t="str">
        <f>IF(SER_hh_tes_in!C31=0,"",SER_hh_tes_in!C31/SER_hh_fec_in!C31)</f>
        <v/>
      </c>
      <c r="D31" s="136" t="str">
        <f>IF(SER_hh_tes_in!D31=0,"",SER_hh_tes_in!D31/SER_hh_fec_in!D31)</f>
        <v/>
      </c>
      <c r="E31" s="136" t="str">
        <f>IF(SER_hh_tes_in!E31=0,"",SER_hh_tes_in!E31/SER_hh_fec_in!E31)</f>
        <v/>
      </c>
      <c r="F31" s="136" t="str">
        <f>IF(SER_hh_tes_in!F31=0,"",SER_hh_tes_in!F31/SER_hh_fec_in!F31)</f>
        <v/>
      </c>
      <c r="G31" s="136" t="str">
        <f>IF(SER_hh_tes_in!G31=0,"",SER_hh_tes_in!G31/SER_hh_fec_in!G31)</f>
        <v/>
      </c>
      <c r="H31" s="136" t="str">
        <f>IF(SER_hh_tes_in!H31=0,"",SER_hh_tes_in!H31/SER_hh_fec_in!H31)</f>
        <v/>
      </c>
      <c r="I31" s="136" t="str">
        <f>IF(SER_hh_tes_in!I31=0,"",SER_hh_tes_in!I31/SER_hh_fec_in!I31)</f>
        <v/>
      </c>
      <c r="J31" s="136" t="str">
        <f>IF(SER_hh_tes_in!J31=0,"",SER_hh_tes_in!J31/SER_hh_fec_in!J31)</f>
        <v/>
      </c>
      <c r="K31" s="136" t="str">
        <f>IF(SER_hh_tes_in!K31=0,"",SER_hh_tes_in!K31/SER_hh_fec_in!K31)</f>
        <v/>
      </c>
      <c r="L31" s="136" t="str">
        <f>IF(SER_hh_tes_in!L31=0,"",SER_hh_tes_in!L31/SER_hh_fec_in!L31)</f>
        <v/>
      </c>
      <c r="M31" s="136" t="str">
        <f>IF(SER_hh_tes_in!M31=0,"",SER_hh_tes_in!M31/SER_hh_fec_in!M31)</f>
        <v/>
      </c>
      <c r="N31" s="136" t="str">
        <f>IF(SER_hh_tes_in!N31=0,"",SER_hh_tes_in!N31/SER_hh_fec_in!N31)</f>
        <v/>
      </c>
      <c r="O31" s="136" t="str">
        <f>IF(SER_hh_tes_in!O31=0,"",SER_hh_tes_in!O31/SER_hh_fec_in!O31)</f>
        <v/>
      </c>
      <c r="P31" s="136" t="str">
        <f>IF(SER_hh_tes_in!P31=0,"",SER_hh_tes_in!P31/SER_hh_fec_in!P31)</f>
        <v/>
      </c>
      <c r="Q31" s="136" t="str">
        <f>IF(SER_hh_tes_in!Q31=0,"",SER_hh_tes_in!Q31/SER_hh_fec_in!Q31)</f>
        <v/>
      </c>
      <c r="R31" s="136" t="str">
        <f>IF(SER_hh_tes_in!R31=0,"",SER_hh_tes_in!R31/SER_hh_fec_in!R31)</f>
        <v/>
      </c>
      <c r="S31" s="136" t="str">
        <f>IF(SER_hh_tes_in!S31=0,"",SER_hh_tes_in!S31/SER_hh_fec_in!S31)</f>
        <v/>
      </c>
      <c r="T31" s="136" t="str">
        <f>IF(SER_hh_tes_in!T31=0,"",SER_hh_tes_in!T31/SER_hh_fec_in!T31)</f>
        <v/>
      </c>
      <c r="U31" s="136" t="str">
        <f>IF(SER_hh_tes_in!U31=0,"",SER_hh_tes_in!U31/SER_hh_fec_in!U31)</f>
        <v/>
      </c>
      <c r="V31" s="136" t="str">
        <f>IF(SER_hh_tes_in!V31=0,"",SER_hh_tes_in!V31/SER_hh_fec_in!V31)</f>
        <v/>
      </c>
      <c r="W31" s="136" t="str">
        <f>IF(SER_hh_tes_in!W31=0,"",SER_hh_tes_in!W31/SER_hh_fec_in!W31)</f>
        <v/>
      </c>
      <c r="X31" s="136" t="str">
        <f>IF(SER_hh_tes_in!X31=0,"",SER_hh_tes_in!X31/SER_hh_fec_in!X31)</f>
        <v/>
      </c>
      <c r="Y31" s="136" t="str">
        <f>IF(SER_hh_tes_in!Y31=0,"",SER_hh_tes_in!Y31/SER_hh_fec_in!Y31)</f>
        <v/>
      </c>
      <c r="DA31" s="163" t="s">
        <v>689</v>
      </c>
    </row>
    <row r="32" spans="1:105" ht="12" customHeight="1" x14ac:dyDescent="0.25">
      <c r="A32" s="131" t="s">
        <v>128</v>
      </c>
      <c r="B32" s="136"/>
      <c r="C32" s="136">
        <f>IF(SER_hh_tes_in!C32=0,"",SER_hh_tes_in!C32/SER_hh_fec_in!C32)</f>
        <v>0.57381038795620865</v>
      </c>
      <c r="D32" s="136">
        <f>IF(SER_hh_tes_in!D32=0,"",SER_hh_tes_in!D32/SER_hh_fec_in!D32)</f>
        <v>0.57409704098754177</v>
      </c>
      <c r="E32" s="136">
        <f>IF(SER_hh_tes_in!E32=0,"",SER_hh_tes_in!E32/SER_hh_fec_in!E32)</f>
        <v>0.57438371984017922</v>
      </c>
      <c r="F32" s="136">
        <f>IF(SER_hh_tes_in!F32=0,"",SER_hh_tes_in!F32/SER_hh_fec_in!F32)</f>
        <v>0.57467040221390331</v>
      </c>
      <c r="G32" s="136">
        <f>IF(SER_hh_tes_in!G32=0,"",SER_hh_tes_in!G32/SER_hh_fec_in!G32)</f>
        <v>0.57495710836752967</v>
      </c>
      <c r="H32" s="136">
        <f>IF(SER_hh_tes_in!H32=0,"",SER_hh_tes_in!H32/SER_hh_fec_in!H32)</f>
        <v>0.57524383582163718</v>
      </c>
      <c r="I32" s="136">
        <f>IF(SER_hh_tes_in!I32=0,"",SER_hh_tes_in!I32/SER_hh_fec_in!I32)</f>
        <v>0.57553058956799841</v>
      </c>
      <c r="J32" s="136">
        <f>IF(SER_hh_tes_in!J32=0,"",SER_hh_tes_in!J32/SER_hh_fec_in!J32)</f>
        <v>0.57581739005614441</v>
      </c>
      <c r="K32" s="136">
        <f>IF(SER_hh_tes_in!K32=0,"",SER_hh_tes_in!K32/SER_hh_fec_in!K32)</f>
        <v>0.57610425467355508</v>
      </c>
      <c r="L32" s="136">
        <f>IF(SER_hh_tes_in!L32=0,"",SER_hh_tes_in!L32/SER_hh_fec_in!L32)</f>
        <v>0.576391188072094</v>
      </c>
      <c r="M32" s="136">
        <f>IF(SER_hh_tes_in!M32=0,"",SER_hh_tes_in!M32/SER_hh_fec_in!M32)</f>
        <v>0.57660909761191792</v>
      </c>
      <c r="N32" s="136">
        <f>IF(SER_hh_tes_in!N32=0,"",SER_hh_tes_in!N32/SER_hh_fec_in!N32)</f>
        <v>0.57673089879457029</v>
      </c>
      <c r="O32" s="136">
        <f>IF(SER_hh_tes_in!O32=0,"",SER_hh_tes_in!O32/SER_hh_fec_in!O32)</f>
        <v>0.57680369616187743</v>
      </c>
      <c r="P32" s="136">
        <f>IF(SER_hh_tes_in!P32=0,"",SER_hh_tes_in!P32/SER_hh_fec_in!P32)</f>
        <v>0.57700682518104596</v>
      </c>
      <c r="Q32" s="136">
        <f>IF(SER_hh_tes_in!Q32=0,"",SER_hh_tes_in!Q32/SER_hh_fec_in!Q32)</f>
        <v>0.57783360774091352</v>
      </c>
      <c r="R32" s="136">
        <f>IF(SER_hh_tes_in!R32=0,"",SER_hh_tes_in!R32/SER_hh_fec_in!R32)</f>
        <v>0.58000535965068556</v>
      </c>
      <c r="S32" s="136">
        <f>IF(SER_hh_tes_in!S32=0,"",SER_hh_tes_in!S32/SER_hh_fec_in!S32)</f>
        <v>0.58306886388443457</v>
      </c>
      <c r="T32" s="136">
        <f>IF(SER_hh_tes_in!T32=0,"",SER_hh_tes_in!T32/SER_hh_fec_in!T32)</f>
        <v>0.58643012869521993</v>
      </c>
      <c r="U32" s="136">
        <f>IF(SER_hh_tes_in!U32=0,"",SER_hh_tes_in!U32/SER_hh_fec_in!U32)</f>
        <v>0.58949516233610888</v>
      </c>
      <c r="V32" s="136">
        <f>IF(SER_hh_tes_in!V32=0,"",SER_hh_tes_in!V32/SER_hh_fec_in!V32)</f>
        <v>0.59166997306016456</v>
      </c>
      <c r="W32" s="136">
        <f>IF(SER_hh_tes_in!W32=0,"",SER_hh_tes_in!W32/SER_hh_fec_in!W32)</f>
        <v>0.59271520360622743</v>
      </c>
      <c r="X32" s="136" t="str">
        <f>IF(SER_hh_tes_in!X32=0,"",SER_hh_tes_in!X32/SER_hh_fec_in!X32)</f>
        <v/>
      </c>
      <c r="Y32" s="136">
        <f>IF(SER_hh_tes_in!Y32=0,"",SER_hh_tes_in!Y32/SER_hh_fec_in!Y32)</f>
        <v>0.59313729403179016</v>
      </c>
      <c r="DA32" s="163" t="s">
        <v>690</v>
      </c>
    </row>
    <row r="33" spans="1:105" ht="12" customHeight="1" x14ac:dyDescent="0.25">
      <c r="A33" s="62" t="s">
        <v>24</v>
      </c>
      <c r="B33" s="149"/>
      <c r="C33" s="149">
        <f>IF(SER_hh_tes_in!C33=0,"",SER_hh_tes_in!C33/SER_hh_fec_in!C33)</f>
        <v>0.78178841037190139</v>
      </c>
      <c r="D33" s="149">
        <f>IF(SER_hh_tes_in!D33=0,"",SER_hh_tes_in!D33/SER_hh_fec_in!D33)</f>
        <v>0.78294325726693903</v>
      </c>
      <c r="E33" s="149">
        <f>IF(SER_hh_tes_in!E33=0,"",SER_hh_tes_in!E33/SER_hh_fec_in!E33)</f>
        <v>0.78415255546022911</v>
      </c>
      <c r="F33" s="149">
        <f>IF(SER_hh_tes_in!F33=0,"",SER_hh_tes_in!F33/SER_hh_fec_in!F33)</f>
        <v>0.78536927883055374</v>
      </c>
      <c r="G33" s="149">
        <f>IF(SER_hh_tes_in!G33=0,"",SER_hh_tes_in!G33/SER_hh_fec_in!G33)</f>
        <v>0.78663614864379539</v>
      </c>
      <c r="H33" s="149" t="str">
        <f>IF(SER_hh_tes_in!H33=0,"",SER_hh_tes_in!H33/SER_hh_fec_in!H33)</f>
        <v/>
      </c>
      <c r="I33" s="149">
        <f>IF(SER_hh_tes_in!I33=0,"",SER_hh_tes_in!I33/SER_hh_fec_in!I33)</f>
        <v>0.78931516850297678</v>
      </c>
      <c r="J33" s="149">
        <f>IF(SER_hh_tes_in!J33=0,"",SER_hh_tes_in!J33/SER_hh_fec_in!J33)</f>
        <v>0.79078096851175061</v>
      </c>
      <c r="K33" s="149">
        <f>IF(SER_hh_tes_in!K33=0,"",SER_hh_tes_in!K33/SER_hh_fec_in!K33)</f>
        <v>0.79238200265543968</v>
      </c>
      <c r="L33" s="149">
        <f>IF(SER_hh_tes_in!L33=0,"",SER_hh_tes_in!L33/SER_hh_fec_in!L33)</f>
        <v>0.79412808066403773</v>
      </c>
      <c r="M33" s="149">
        <f>IF(SER_hh_tes_in!M33=0,"",SER_hh_tes_in!M33/SER_hh_fec_in!M33)</f>
        <v>0.79662458637209621</v>
      </c>
      <c r="N33" s="149">
        <f>IF(SER_hh_tes_in!N33=0,"",SER_hh_tes_in!N33/SER_hh_fec_in!N33)</f>
        <v>0.80004386680348505</v>
      </c>
      <c r="O33" s="149">
        <f>IF(SER_hh_tes_in!O33=0,"",SER_hh_tes_in!O33/SER_hh_fec_in!O33)</f>
        <v>0.80479461477812686</v>
      </c>
      <c r="P33" s="149">
        <f>IF(SER_hh_tes_in!P33=0,"",SER_hh_tes_in!P33/SER_hh_fec_in!P33)</f>
        <v>0.81107728155715519</v>
      </c>
      <c r="Q33" s="149">
        <f>IF(SER_hh_tes_in!Q33=0,"",SER_hh_tes_in!Q33/SER_hh_fec_in!Q33)</f>
        <v>0.81920711364825027</v>
      </c>
      <c r="R33" s="149">
        <f>IF(SER_hh_tes_in!R33=0,"",SER_hh_tes_in!R33/SER_hh_fec_in!R33)</f>
        <v>0.8302698714140534</v>
      </c>
      <c r="S33" s="149">
        <f>IF(SER_hh_tes_in!S33=0,"",SER_hh_tes_in!S33/SER_hh_fec_in!S33)</f>
        <v>0.84411299271220064</v>
      </c>
      <c r="T33" s="149">
        <f>IF(SER_hh_tes_in!T33=0,"",SER_hh_tes_in!T33/SER_hh_fec_in!T33)</f>
        <v>0.85901587297164705</v>
      </c>
      <c r="U33" s="149">
        <f>IF(SER_hh_tes_in!U33=0,"",SER_hh_tes_in!U33/SER_hh_fec_in!U33)</f>
        <v>0.87325790762138789</v>
      </c>
      <c r="V33" s="149">
        <f>IF(SER_hh_tes_in!V33=0,"",SER_hh_tes_in!V33/SER_hh_fec_in!V33)</f>
        <v>0.88511849209039917</v>
      </c>
      <c r="W33" s="149">
        <f>IF(SER_hh_tes_in!W33=0,"",SER_hh_tes_in!W33/SER_hh_fec_in!W33)</f>
        <v>0.89399980982977445</v>
      </c>
      <c r="X33" s="149">
        <f>IF(SER_hh_tes_in!X33=0,"",SER_hh_tes_in!X33/SER_hh_fec_in!X33)</f>
        <v>0.90101624282070447</v>
      </c>
      <c r="Y33" s="149">
        <f>IF(SER_hh_tes_in!Y33=0,"",SER_hh_tes_in!Y33/SER_hh_fec_in!Y33)</f>
        <v>0.90723838629952158</v>
      </c>
      <c r="DA33" s="167" t="s">
        <v>691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/>
      <c r="C3" s="125">
        <f t="shared" ref="C3:Q3" si="0">SUM(C4,C16,C19,C29)</f>
        <v>7.5499984861328764E-2</v>
      </c>
      <c r="D3" s="125">
        <f t="shared" si="0"/>
        <v>2.0011358416989526E-2</v>
      </c>
      <c r="E3" s="125">
        <f t="shared" si="0"/>
        <v>4.7623486095339812E-2</v>
      </c>
      <c r="F3" s="125">
        <f t="shared" si="0"/>
        <v>6.802560048044981E-2</v>
      </c>
      <c r="G3" s="125">
        <f t="shared" si="0"/>
        <v>6.6976627235221853E-2</v>
      </c>
      <c r="H3" s="125">
        <f t="shared" si="0"/>
        <v>3.642590179925941</v>
      </c>
      <c r="I3" s="125">
        <f t="shared" si="0"/>
        <v>2.3213657435163619</v>
      </c>
      <c r="J3" s="125">
        <f t="shared" si="0"/>
        <v>4.4231957887470585</v>
      </c>
      <c r="K3" s="125">
        <f t="shared" si="0"/>
        <v>3.401529466346962</v>
      </c>
      <c r="L3" s="125">
        <f t="shared" si="0"/>
        <v>5.7473223867896852</v>
      </c>
      <c r="M3" s="125">
        <f t="shared" si="0"/>
        <v>3.3999085408888328</v>
      </c>
      <c r="N3" s="125">
        <f t="shared" si="0"/>
        <v>2.21505066654984</v>
      </c>
      <c r="O3" s="125">
        <f t="shared" si="0"/>
        <v>0.24224999126409918</v>
      </c>
      <c r="P3" s="125">
        <f t="shared" si="0"/>
        <v>4.1754342311661329E-2</v>
      </c>
      <c r="Q3" s="125">
        <f t="shared" si="0"/>
        <v>0.14128779265461813</v>
      </c>
      <c r="R3" s="125">
        <f t="shared" ref="R3:W3" si="1">SUM(R4,R16,R19,R29)</f>
        <v>0.49711865425264667</v>
      </c>
      <c r="S3" s="125">
        <f t="shared" si="1"/>
        <v>1.2886436354256625</v>
      </c>
      <c r="T3" s="125">
        <f t="shared" si="1"/>
        <v>1.0692638106462637</v>
      </c>
      <c r="U3" s="125">
        <f t="shared" si="1"/>
        <v>1.433662067208946</v>
      </c>
      <c r="V3" s="125">
        <f t="shared" si="1"/>
        <v>0.76045276981270071</v>
      </c>
      <c r="W3" s="125">
        <f t="shared" si="1"/>
        <v>0.7801849279371601</v>
      </c>
      <c r="X3" s="125">
        <f t="shared" ref="X3:Y3" si="2">SUM(X4,X16,X19,X29)</f>
        <v>0.75683259029693695</v>
      </c>
      <c r="Y3" s="125">
        <f t="shared" si="2"/>
        <v>1.1074721332985522</v>
      </c>
      <c r="DA3" s="154" t="s">
        <v>693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0</v>
      </c>
      <c r="D4" s="130">
        <f t="shared" si="3"/>
        <v>0</v>
      </c>
      <c r="E4" s="130">
        <f t="shared" si="3"/>
        <v>0</v>
      </c>
      <c r="F4" s="130">
        <f t="shared" si="3"/>
        <v>0</v>
      </c>
      <c r="G4" s="130">
        <f t="shared" si="3"/>
        <v>0</v>
      </c>
      <c r="H4" s="130">
        <f t="shared" si="3"/>
        <v>0</v>
      </c>
      <c r="I4" s="130">
        <f t="shared" si="3"/>
        <v>0</v>
      </c>
      <c r="J4" s="130">
        <f t="shared" si="3"/>
        <v>2.6887146165637139</v>
      </c>
      <c r="K4" s="130">
        <f t="shared" si="3"/>
        <v>3.0814333847475774</v>
      </c>
      <c r="L4" s="130">
        <f t="shared" si="3"/>
        <v>5.3193732972345025</v>
      </c>
      <c r="M4" s="130">
        <f t="shared" si="3"/>
        <v>2.6574644957098075</v>
      </c>
      <c r="N4" s="130">
        <f t="shared" si="3"/>
        <v>1.6679585585093704</v>
      </c>
      <c r="O4" s="130">
        <f t="shared" si="3"/>
        <v>0.18043698616947013</v>
      </c>
      <c r="P4" s="130">
        <f t="shared" si="3"/>
        <v>0</v>
      </c>
      <c r="Q4" s="130">
        <f t="shared" si="3"/>
        <v>0</v>
      </c>
      <c r="R4" s="130">
        <f t="shared" ref="R4:W4" si="4">SUM(R5:R15)</f>
        <v>0</v>
      </c>
      <c r="S4" s="130">
        <f t="shared" si="4"/>
        <v>0</v>
      </c>
      <c r="T4" s="130">
        <f t="shared" si="4"/>
        <v>0.12595024550351827</v>
      </c>
      <c r="U4" s="130">
        <f t="shared" si="4"/>
        <v>0.79547543337068738</v>
      </c>
      <c r="V4" s="130">
        <f t="shared" si="4"/>
        <v>0.41352029952151553</v>
      </c>
      <c r="W4" s="130">
        <f t="shared" si="4"/>
        <v>0.29581077211899093</v>
      </c>
      <c r="X4" s="130">
        <f t="shared" ref="X4:Y4" si="5">SUM(X5:X15)</f>
        <v>0.26851664026789207</v>
      </c>
      <c r="Y4" s="130">
        <f t="shared" si="5"/>
        <v>0.62289316510828807</v>
      </c>
      <c r="DA4" s="155" t="s">
        <v>694</v>
      </c>
    </row>
    <row r="5" spans="1:105" ht="12" customHeight="1" x14ac:dyDescent="0.25">
      <c r="A5" s="131" t="s">
        <v>29</v>
      </c>
      <c r="B5" s="132"/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695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696</v>
      </c>
    </row>
    <row r="7" spans="1:105" ht="12" customHeight="1" x14ac:dyDescent="0.25">
      <c r="A7" s="131" t="s">
        <v>161</v>
      </c>
      <c r="B7" s="132"/>
      <c r="C7" s="132">
        <v>0</v>
      </c>
      <c r="D7" s="132">
        <v>0</v>
      </c>
      <c r="E7" s="132">
        <v>0</v>
      </c>
      <c r="F7" s="132">
        <v>0</v>
      </c>
      <c r="G7" s="132">
        <v>0</v>
      </c>
      <c r="H7" s="132">
        <v>0</v>
      </c>
      <c r="I7" s="132">
        <v>0</v>
      </c>
      <c r="J7" s="132">
        <v>2.6887146165637139</v>
      </c>
      <c r="K7" s="132">
        <v>3.0814333847475774</v>
      </c>
      <c r="L7" s="132">
        <v>5.3193732972345025</v>
      </c>
      <c r="M7" s="132">
        <v>2.6574644957098075</v>
      </c>
      <c r="N7" s="132">
        <v>1.6679585585093704</v>
      </c>
      <c r="O7" s="132">
        <v>0.18043698616947013</v>
      </c>
      <c r="P7" s="132">
        <v>0</v>
      </c>
      <c r="Q7" s="132">
        <v>0</v>
      </c>
      <c r="R7" s="132">
        <v>0</v>
      </c>
      <c r="S7" s="132">
        <v>0</v>
      </c>
      <c r="T7" s="132">
        <v>0.12595024550351827</v>
      </c>
      <c r="U7" s="132">
        <v>0.79547543337068738</v>
      </c>
      <c r="V7" s="132">
        <v>0.41352029952151553</v>
      </c>
      <c r="W7" s="132">
        <v>0.29581077211899093</v>
      </c>
      <c r="X7" s="132">
        <v>0.26851664026789207</v>
      </c>
      <c r="Y7" s="132">
        <v>0.62289316510828807</v>
      </c>
      <c r="DA7" s="156" t="s">
        <v>697</v>
      </c>
    </row>
    <row r="8" spans="1:105" ht="12" customHeight="1" x14ac:dyDescent="0.25">
      <c r="A8" s="131" t="s">
        <v>73</v>
      </c>
      <c r="B8" s="132"/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698</v>
      </c>
    </row>
    <row r="9" spans="1:105" ht="12" customHeight="1" x14ac:dyDescent="0.25">
      <c r="A9" s="131" t="s">
        <v>78</v>
      </c>
      <c r="B9" s="132"/>
      <c r="C9" s="132">
        <v>0</v>
      </c>
      <c r="D9" s="132">
        <v>0</v>
      </c>
      <c r="E9" s="132">
        <v>0</v>
      </c>
      <c r="F9" s="132">
        <v>0</v>
      </c>
      <c r="G9" s="132">
        <v>0</v>
      </c>
      <c r="H9" s="132">
        <v>0</v>
      </c>
      <c r="I9" s="132">
        <v>0</v>
      </c>
      <c r="J9" s="132">
        <v>0</v>
      </c>
      <c r="K9" s="132">
        <v>0</v>
      </c>
      <c r="L9" s="132">
        <v>0</v>
      </c>
      <c r="M9" s="132">
        <v>0</v>
      </c>
      <c r="N9" s="132">
        <v>0</v>
      </c>
      <c r="O9" s="132">
        <v>0</v>
      </c>
      <c r="P9" s="132">
        <v>0</v>
      </c>
      <c r="Q9" s="132">
        <v>0</v>
      </c>
      <c r="R9" s="132">
        <v>0</v>
      </c>
      <c r="S9" s="132">
        <v>0</v>
      </c>
      <c r="T9" s="132">
        <v>0</v>
      </c>
      <c r="U9" s="132">
        <v>0</v>
      </c>
      <c r="V9" s="132">
        <v>0</v>
      </c>
      <c r="W9" s="132">
        <v>0</v>
      </c>
      <c r="X9" s="132">
        <v>0</v>
      </c>
      <c r="Y9" s="132">
        <v>0</v>
      </c>
      <c r="DA9" s="156" t="s">
        <v>699</v>
      </c>
    </row>
    <row r="10" spans="1:105" ht="12" customHeight="1" x14ac:dyDescent="0.25">
      <c r="A10" s="131" t="s">
        <v>128</v>
      </c>
      <c r="B10" s="132"/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0</v>
      </c>
      <c r="N10" s="132">
        <v>0</v>
      </c>
      <c r="O10" s="132">
        <v>0</v>
      </c>
      <c r="P10" s="132">
        <v>0</v>
      </c>
      <c r="Q10" s="132">
        <v>0</v>
      </c>
      <c r="R10" s="132">
        <v>0</v>
      </c>
      <c r="S10" s="132">
        <v>0</v>
      </c>
      <c r="T10" s="132">
        <v>0</v>
      </c>
      <c r="U10" s="132">
        <v>0</v>
      </c>
      <c r="V10" s="132">
        <v>0</v>
      </c>
      <c r="W10" s="132">
        <v>0</v>
      </c>
      <c r="X10" s="132">
        <v>0</v>
      </c>
      <c r="Y10" s="132">
        <v>0</v>
      </c>
      <c r="DA10" s="156" t="s">
        <v>700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701</v>
      </c>
    </row>
    <row r="12" spans="1:105" ht="12" customHeight="1" x14ac:dyDescent="0.25">
      <c r="A12" s="131" t="s">
        <v>162</v>
      </c>
      <c r="B12" s="132"/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702</v>
      </c>
    </row>
    <row r="13" spans="1:105" ht="12" customHeight="1" x14ac:dyDescent="0.25">
      <c r="A13" s="131" t="s">
        <v>77</v>
      </c>
      <c r="B13" s="132"/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703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704</v>
      </c>
    </row>
    <row r="15" spans="1:105" ht="12" customHeight="1" x14ac:dyDescent="0.25">
      <c r="A15" s="133" t="s">
        <v>80</v>
      </c>
      <c r="B15" s="134"/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705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0</v>
      </c>
      <c r="D16" s="130">
        <f t="shared" si="6"/>
        <v>0</v>
      </c>
      <c r="E16" s="130">
        <f t="shared" si="6"/>
        <v>0</v>
      </c>
      <c r="F16" s="130">
        <f t="shared" si="6"/>
        <v>0</v>
      </c>
      <c r="G16" s="130">
        <f t="shared" si="6"/>
        <v>0</v>
      </c>
      <c r="H16" s="130">
        <f t="shared" si="6"/>
        <v>0</v>
      </c>
      <c r="I16" s="130">
        <f t="shared" si="6"/>
        <v>0</v>
      </c>
      <c r="J16" s="130">
        <f t="shared" si="6"/>
        <v>0</v>
      </c>
      <c r="K16" s="130">
        <f t="shared" si="6"/>
        <v>0</v>
      </c>
      <c r="L16" s="130">
        <f t="shared" si="6"/>
        <v>0</v>
      </c>
      <c r="M16" s="130">
        <f t="shared" si="6"/>
        <v>0</v>
      </c>
      <c r="N16" s="130">
        <f t="shared" si="6"/>
        <v>0</v>
      </c>
      <c r="O16" s="130">
        <f t="shared" si="6"/>
        <v>0</v>
      </c>
      <c r="P16" s="130">
        <f t="shared" si="6"/>
        <v>0</v>
      </c>
      <c r="Q16" s="130">
        <f t="shared" si="6"/>
        <v>0</v>
      </c>
      <c r="R16" s="130">
        <f t="shared" ref="R16:W16" si="7">SUM(R17:R18)</f>
        <v>0</v>
      </c>
      <c r="S16" s="130">
        <f t="shared" si="7"/>
        <v>0</v>
      </c>
      <c r="T16" s="130">
        <f t="shared" si="7"/>
        <v>0</v>
      </c>
      <c r="U16" s="130">
        <f t="shared" si="7"/>
        <v>0</v>
      </c>
      <c r="V16" s="130">
        <f t="shared" si="7"/>
        <v>0</v>
      </c>
      <c r="W16" s="130">
        <f t="shared" si="7"/>
        <v>0</v>
      </c>
      <c r="X16" s="130">
        <f t="shared" ref="X16:Y16" si="8">SUM(X17:X18)</f>
        <v>0</v>
      </c>
      <c r="Y16" s="130">
        <f t="shared" si="8"/>
        <v>0</v>
      </c>
      <c r="DA16" s="155" t="s">
        <v>706</v>
      </c>
    </row>
    <row r="17" spans="1:105" ht="12.95" customHeight="1" x14ac:dyDescent="0.25">
      <c r="A17" s="131" t="s">
        <v>73</v>
      </c>
      <c r="B17" s="132"/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707</v>
      </c>
    </row>
    <row r="18" spans="1:105" ht="12" customHeight="1" x14ac:dyDescent="0.25">
      <c r="A18" s="131" t="s">
        <v>72</v>
      </c>
      <c r="B18" s="132"/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708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7.5499984861328764E-2</v>
      </c>
      <c r="D19" s="130">
        <f t="shared" si="9"/>
        <v>2.0011358416989526E-2</v>
      </c>
      <c r="E19" s="130">
        <f t="shared" si="9"/>
        <v>4.7623486095339812E-2</v>
      </c>
      <c r="F19" s="130">
        <f t="shared" si="9"/>
        <v>6.802560048044981E-2</v>
      </c>
      <c r="G19" s="130">
        <f t="shared" si="9"/>
        <v>6.6976627235221853E-2</v>
      </c>
      <c r="H19" s="130">
        <f t="shared" si="9"/>
        <v>1.2402830619767431</v>
      </c>
      <c r="I19" s="130">
        <f t="shared" si="9"/>
        <v>1.3930795907114388</v>
      </c>
      <c r="J19" s="130">
        <f t="shared" si="9"/>
        <v>1.2861787031745024</v>
      </c>
      <c r="K19" s="130">
        <f t="shared" si="9"/>
        <v>0.32009608159938463</v>
      </c>
      <c r="L19" s="130">
        <f t="shared" si="9"/>
        <v>0.32119717596860387</v>
      </c>
      <c r="M19" s="130">
        <f t="shared" si="9"/>
        <v>0.1007387856834159</v>
      </c>
      <c r="N19" s="130">
        <f t="shared" si="9"/>
        <v>0.10888332410690726</v>
      </c>
      <c r="O19" s="130">
        <f t="shared" si="9"/>
        <v>1.8088034177858269E-2</v>
      </c>
      <c r="P19" s="130">
        <f t="shared" si="9"/>
        <v>1.1860843570052487E-2</v>
      </c>
      <c r="Q19" s="130">
        <f t="shared" si="9"/>
        <v>1.0676940426698629E-2</v>
      </c>
      <c r="R19" s="130">
        <f t="shared" ref="R19:W19" si="10">SUM(R20:R27)</f>
        <v>5.920598636780762E-2</v>
      </c>
      <c r="S19" s="130">
        <f t="shared" si="10"/>
        <v>0.15865016935763857</v>
      </c>
      <c r="T19" s="130">
        <f t="shared" si="10"/>
        <v>0.26970592961708578</v>
      </c>
      <c r="U19" s="130">
        <f t="shared" si="10"/>
        <v>0.35149658633789893</v>
      </c>
      <c r="V19" s="130">
        <f t="shared" si="10"/>
        <v>0.1248776597908187</v>
      </c>
      <c r="W19" s="130">
        <f t="shared" si="10"/>
        <v>0.36981676656433837</v>
      </c>
      <c r="X19" s="130">
        <f t="shared" ref="X19:Y19" si="11">SUM(X20:X27)</f>
        <v>0.46203962577097057</v>
      </c>
      <c r="Y19" s="130">
        <f t="shared" si="11"/>
        <v>0.32926603871078863</v>
      </c>
      <c r="DA19" s="155" t="s">
        <v>709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710</v>
      </c>
    </row>
    <row r="21" spans="1:105" s="2" customFormat="1" ht="12" customHeight="1" x14ac:dyDescent="0.25">
      <c r="A21" s="131" t="s">
        <v>52</v>
      </c>
      <c r="B21" s="132"/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1.2068204470485171</v>
      </c>
      <c r="I21" s="132">
        <v>1.3327809206203316</v>
      </c>
      <c r="J21" s="132">
        <v>1.1809469450015877</v>
      </c>
      <c r="K21" s="132">
        <v>0.20398565267905197</v>
      </c>
      <c r="L21" s="132">
        <v>0.17051456145968005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1.9353936731987511E-2</v>
      </c>
      <c r="S21" s="132">
        <v>0.11838999976563251</v>
      </c>
      <c r="T21" s="132">
        <v>0.2104060729151575</v>
      </c>
      <c r="U21" s="132">
        <v>0.2966075983963149</v>
      </c>
      <c r="V21" s="132">
        <v>0.10328786219257327</v>
      </c>
      <c r="W21" s="132">
        <v>0.33130604853016093</v>
      </c>
      <c r="X21" s="132">
        <v>0.41096500159329746</v>
      </c>
      <c r="Y21" s="132">
        <v>0.27146506582317848</v>
      </c>
      <c r="DA21" s="156" t="s">
        <v>711</v>
      </c>
    </row>
    <row r="22" spans="1:105" ht="12" customHeight="1" x14ac:dyDescent="0.25">
      <c r="A22" s="131" t="s">
        <v>161</v>
      </c>
      <c r="B22" s="132"/>
      <c r="C22" s="132">
        <v>7.5499984861328764E-2</v>
      </c>
      <c r="D22" s="132">
        <v>2.0011358416989526E-2</v>
      </c>
      <c r="E22" s="132">
        <v>4.7623486095339812E-2</v>
      </c>
      <c r="F22" s="132">
        <v>6.802560048044981E-2</v>
      </c>
      <c r="G22" s="132">
        <v>6.6976627235221853E-2</v>
      </c>
      <c r="H22" s="132">
        <v>3.3462614928225984E-2</v>
      </c>
      <c r="I22" s="132">
        <v>6.0298670091107169E-2</v>
      </c>
      <c r="J22" s="132">
        <v>0.10523175817291475</v>
      </c>
      <c r="K22" s="132">
        <v>0.11611042892033266</v>
      </c>
      <c r="L22" s="132">
        <v>0.15068261450892384</v>
      </c>
      <c r="M22" s="132">
        <v>0.1007387856834159</v>
      </c>
      <c r="N22" s="132">
        <v>0.10888332410690726</v>
      </c>
      <c r="O22" s="132">
        <v>1.8088034177858269E-2</v>
      </c>
      <c r="P22" s="132">
        <v>1.1860843570052487E-2</v>
      </c>
      <c r="Q22" s="132">
        <v>1.0676940426698629E-2</v>
      </c>
      <c r="R22" s="132">
        <v>3.9852049635820105E-2</v>
      </c>
      <c r="S22" s="132">
        <v>4.0260169592006061E-2</v>
      </c>
      <c r="T22" s="132">
        <v>5.9299856701928264E-2</v>
      </c>
      <c r="U22" s="132">
        <v>5.4888987941584061E-2</v>
      </c>
      <c r="V22" s="132">
        <v>2.158979759824543E-2</v>
      </c>
      <c r="W22" s="132">
        <v>3.8510718034177431E-2</v>
      </c>
      <c r="X22" s="132">
        <v>5.1074624177673091E-2</v>
      </c>
      <c r="Y22" s="132">
        <v>5.7800972887610151E-2</v>
      </c>
      <c r="DA22" s="156" t="s">
        <v>712</v>
      </c>
    </row>
    <row r="23" spans="1:105" ht="12" customHeight="1" x14ac:dyDescent="0.25">
      <c r="A23" s="131" t="s">
        <v>149</v>
      </c>
      <c r="B23" s="132"/>
      <c r="C23" s="132">
        <v>0</v>
      </c>
      <c r="D23" s="132">
        <v>0</v>
      </c>
      <c r="E23" s="132">
        <v>0</v>
      </c>
      <c r="F23" s="132">
        <v>0</v>
      </c>
      <c r="G23" s="132">
        <v>0</v>
      </c>
      <c r="H23" s="132">
        <v>0</v>
      </c>
      <c r="I23" s="132">
        <v>0</v>
      </c>
      <c r="J23" s="132">
        <v>0</v>
      </c>
      <c r="K23" s="132">
        <v>0</v>
      </c>
      <c r="L23" s="132">
        <v>0</v>
      </c>
      <c r="M23" s="132">
        <v>0</v>
      </c>
      <c r="N23" s="132">
        <v>0</v>
      </c>
      <c r="O23" s="132">
        <v>0</v>
      </c>
      <c r="P23" s="132">
        <v>0</v>
      </c>
      <c r="Q23" s="132">
        <v>0</v>
      </c>
      <c r="R23" s="132">
        <v>0</v>
      </c>
      <c r="S23" s="132">
        <v>0</v>
      </c>
      <c r="T23" s="132">
        <v>0</v>
      </c>
      <c r="U23" s="132">
        <v>0</v>
      </c>
      <c r="V23" s="132">
        <v>0</v>
      </c>
      <c r="W23" s="132">
        <v>0</v>
      </c>
      <c r="X23" s="132">
        <v>0</v>
      </c>
      <c r="Y23" s="132">
        <v>0</v>
      </c>
      <c r="DA23" s="156" t="s">
        <v>713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714</v>
      </c>
    </row>
    <row r="25" spans="1:105" ht="12" customHeight="1" x14ac:dyDescent="0.25">
      <c r="A25" s="131" t="s">
        <v>162</v>
      </c>
      <c r="B25" s="132"/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715</v>
      </c>
    </row>
    <row r="26" spans="1:105" ht="12" customHeight="1" x14ac:dyDescent="0.25">
      <c r="A26" s="131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716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0</v>
      </c>
      <c r="J27" s="147">
        <v>0</v>
      </c>
      <c r="K27" s="147">
        <v>0</v>
      </c>
      <c r="L27" s="147">
        <v>0</v>
      </c>
      <c r="M27" s="147">
        <v>0</v>
      </c>
      <c r="N27" s="147">
        <v>0</v>
      </c>
      <c r="O27" s="147">
        <v>0</v>
      </c>
      <c r="P27" s="147">
        <v>0</v>
      </c>
      <c r="Q27" s="147">
        <v>0</v>
      </c>
      <c r="R27" s="147">
        <v>0</v>
      </c>
      <c r="S27" s="147">
        <v>0</v>
      </c>
      <c r="T27" s="147">
        <v>0</v>
      </c>
      <c r="U27" s="147">
        <v>0</v>
      </c>
      <c r="V27" s="147">
        <v>0</v>
      </c>
      <c r="W27" s="147">
        <v>0</v>
      </c>
      <c r="X27" s="147">
        <v>0</v>
      </c>
      <c r="Y27" s="147">
        <v>0</v>
      </c>
      <c r="DA27" s="160" t="s">
        <v>717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0</v>
      </c>
      <c r="D29" s="130">
        <f t="shared" si="12"/>
        <v>0</v>
      </c>
      <c r="E29" s="130">
        <f t="shared" si="12"/>
        <v>0</v>
      </c>
      <c r="F29" s="130">
        <f t="shared" si="12"/>
        <v>0</v>
      </c>
      <c r="G29" s="130">
        <f t="shared" si="12"/>
        <v>0</v>
      </c>
      <c r="H29" s="130">
        <f t="shared" si="12"/>
        <v>2.4023071179491979</v>
      </c>
      <c r="I29" s="130">
        <f t="shared" si="12"/>
        <v>0.92828615280492299</v>
      </c>
      <c r="J29" s="130">
        <f t="shared" si="12"/>
        <v>0.44830246900884219</v>
      </c>
      <c r="K29" s="130">
        <f t="shared" si="12"/>
        <v>0</v>
      </c>
      <c r="L29" s="130">
        <f t="shared" si="12"/>
        <v>0.10675191358657858</v>
      </c>
      <c r="M29" s="130">
        <f t="shared" si="12"/>
        <v>0.64170525949560941</v>
      </c>
      <c r="N29" s="130">
        <f t="shared" si="12"/>
        <v>0.43820878393356244</v>
      </c>
      <c r="O29" s="130">
        <f t="shared" si="12"/>
        <v>4.3724970916770793E-2</v>
      </c>
      <c r="P29" s="130">
        <f t="shared" si="12"/>
        <v>2.9893498741608841E-2</v>
      </c>
      <c r="Q29" s="130">
        <f t="shared" si="12"/>
        <v>0.13061085222791952</v>
      </c>
      <c r="R29" s="130">
        <f t="shared" ref="R29:W29" si="13">SUM(R30:R33)</f>
        <v>0.43791266788483907</v>
      </c>
      <c r="S29" s="130">
        <f t="shared" si="13"/>
        <v>1.129993466068024</v>
      </c>
      <c r="T29" s="130">
        <f t="shared" si="13"/>
        <v>0.67360763552565972</v>
      </c>
      <c r="U29" s="130">
        <f t="shared" si="13"/>
        <v>0.28669004750035965</v>
      </c>
      <c r="V29" s="130">
        <f t="shared" si="13"/>
        <v>0.22205481050036649</v>
      </c>
      <c r="W29" s="130">
        <f t="shared" si="13"/>
        <v>0.11455738925383085</v>
      </c>
      <c r="X29" s="130">
        <f t="shared" ref="X29:Y29" si="14">SUM(X30:X33)</f>
        <v>2.6276324258074236E-2</v>
      </c>
      <c r="Y29" s="130">
        <f t="shared" si="14"/>
        <v>0.15531292947947556</v>
      </c>
      <c r="DA29" s="155" t="s">
        <v>718</v>
      </c>
    </row>
    <row r="30" spans="1:105" s="2" customFormat="1" ht="12" customHeight="1" x14ac:dyDescent="0.25">
      <c r="A30" s="131" t="s">
        <v>52</v>
      </c>
      <c r="B30" s="132"/>
      <c r="C30" s="132">
        <v>0</v>
      </c>
      <c r="D30" s="132">
        <v>0</v>
      </c>
      <c r="E30" s="132">
        <v>0</v>
      </c>
      <c r="F30" s="132">
        <v>0</v>
      </c>
      <c r="G30" s="132">
        <v>0</v>
      </c>
      <c r="H30" s="132">
        <v>2.4023071179491979</v>
      </c>
      <c r="I30" s="132">
        <v>0.92828615280492299</v>
      </c>
      <c r="J30" s="132">
        <v>0.44830246900884219</v>
      </c>
      <c r="K30" s="132">
        <v>0</v>
      </c>
      <c r="L30" s="132">
        <v>0.10675191358657858</v>
      </c>
      <c r="M30" s="132">
        <v>0.64170525949560941</v>
      </c>
      <c r="N30" s="132">
        <v>0.43820878393356244</v>
      </c>
      <c r="O30" s="132">
        <v>4.3724970916770793E-2</v>
      </c>
      <c r="P30" s="132">
        <v>2.9893498741608841E-2</v>
      </c>
      <c r="Q30" s="132">
        <v>0.13061085222791952</v>
      </c>
      <c r="R30" s="132">
        <v>0.43791266788483907</v>
      </c>
      <c r="S30" s="132">
        <v>1.129993466068024</v>
      </c>
      <c r="T30" s="132">
        <v>0.67360763552565972</v>
      </c>
      <c r="U30" s="132">
        <v>0.28669004750035965</v>
      </c>
      <c r="V30" s="132">
        <v>0.22205481050036649</v>
      </c>
      <c r="W30" s="132">
        <v>0.11455738925383085</v>
      </c>
      <c r="X30" s="132">
        <v>2.6276324258074236E-2</v>
      </c>
      <c r="Y30" s="132">
        <v>0.15531292947947556</v>
      </c>
      <c r="DA30" s="156" t="s">
        <v>719</v>
      </c>
    </row>
    <row r="31" spans="1:105" ht="12" customHeight="1" x14ac:dyDescent="0.25">
      <c r="A31" s="131" t="s">
        <v>149</v>
      </c>
      <c r="B31" s="132"/>
      <c r="C31" s="132">
        <v>0</v>
      </c>
      <c r="D31" s="132">
        <v>0</v>
      </c>
      <c r="E31" s="132">
        <v>0</v>
      </c>
      <c r="F31" s="132">
        <v>0</v>
      </c>
      <c r="G31" s="132">
        <v>0</v>
      </c>
      <c r="H31" s="132">
        <v>0</v>
      </c>
      <c r="I31" s="132">
        <v>0</v>
      </c>
      <c r="J31" s="132">
        <v>0</v>
      </c>
      <c r="K31" s="132">
        <v>0</v>
      </c>
      <c r="L31" s="132">
        <v>0</v>
      </c>
      <c r="M31" s="132">
        <v>0</v>
      </c>
      <c r="N31" s="132">
        <v>0</v>
      </c>
      <c r="O31" s="132">
        <v>0</v>
      </c>
      <c r="P31" s="132">
        <v>0</v>
      </c>
      <c r="Q31" s="132">
        <v>0</v>
      </c>
      <c r="R31" s="132">
        <v>0</v>
      </c>
      <c r="S31" s="132">
        <v>0</v>
      </c>
      <c r="T31" s="132">
        <v>0</v>
      </c>
      <c r="U31" s="132">
        <v>0</v>
      </c>
      <c r="V31" s="132">
        <v>0</v>
      </c>
      <c r="W31" s="132">
        <v>0</v>
      </c>
      <c r="X31" s="132">
        <v>0</v>
      </c>
      <c r="Y31" s="132">
        <v>0</v>
      </c>
      <c r="DA31" s="156" t="s">
        <v>720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721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722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/>
      <c r="C3" s="125">
        <f>IF(SER_hh_fec_in!C3=0,0,11630*1000*SER_hh_fec_in!C3/SER_hh_num_in!C3)</f>
        <v>81258.471942103133</v>
      </c>
      <c r="D3" s="125">
        <f>IF(SER_hh_fec_in!D3=0,0,11630*1000*SER_hh_fec_in!D3/SER_hh_num_in!D3)</f>
        <v>80380.556343071949</v>
      </c>
      <c r="E3" s="125">
        <f>IF(SER_hh_fec_in!E3=0,0,11630*1000*SER_hh_fec_in!E3/SER_hh_num_in!E3)</f>
        <v>77907.631779249728</v>
      </c>
      <c r="F3" s="125">
        <f>IF(SER_hh_fec_in!F3=0,0,11630*1000*SER_hh_fec_in!F3/SER_hh_num_in!F3)</f>
        <v>74370.885542492237</v>
      </c>
      <c r="G3" s="125">
        <f>IF(SER_hh_fec_in!G3=0,0,11630*1000*SER_hh_fec_in!G3/SER_hh_num_in!G3)</f>
        <v>74565.380849539142</v>
      </c>
      <c r="H3" s="125">
        <f>IF(SER_hh_fec_in!H3=0,0,11630*1000*SER_hh_fec_in!H3/SER_hh_num_in!H3)</f>
        <v>110065.06976278368</v>
      </c>
      <c r="I3" s="125">
        <f>IF(SER_hh_fec_in!I3=0,0,11630*1000*SER_hh_fec_in!I3/SER_hh_num_in!I3)</f>
        <v>97391.545286566121</v>
      </c>
      <c r="J3" s="125">
        <f>IF(SER_hh_fec_in!J3=0,0,11630*1000*SER_hh_fec_in!J3/SER_hh_num_in!J3)</f>
        <v>107037.48307023925</v>
      </c>
      <c r="K3" s="125">
        <f>IF(SER_hh_fec_in!K3=0,0,11630*1000*SER_hh_fec_in!K3/SER_hh_num_in!K3)</f>
        <v>92153.893680869223</v>
      </c>
      <c r="L3" s="125">
        <f>IF(SER_hh_fec_in!L3=0,0,11630*1000*SER_hh_fec_in!L3/SER_hh_num_in!L3)</f>
        <v>88634.38444077078</v>
      </c>
      <c r="M3" s="125">
        <f>IF(SER_hh_fec_in!M3=0,0,11630*1000*SER_hh_fec_in!M3/SER_hh_num_in!M3)</f>
        <v>70016.175065713105</v>
      </c>
      <c r="N3" s="125">
        <f>IF(SER_hh_fec_in!N3=0,0,11630*1000*SER_hh_fec_in!N3/SER_hh_num_in!N3)</f>
        <v>66959.966583576839</v>
      </c>
      <c r="O3" s="125">
        <f>IF(SER_hh_fec_in!O3=0,0,11630*1000*SER_hh_fec_in!O3/SER_hh_num_in!O3)</f>
        <v>61615.254570536941</v>
      </c>
      <c r="P3" s="125">
        <f>IF(SER_hh_fec_in!P3=0,0,11630*1000*SER_hh_fec_in!P3/SER_hh_num_in!P3)</f>
        <v>52624.338742054329</v>
      </c>
      <c r="Q3" s="125">
        <f>IF(SER_hh_fec_in!Q3=0,0,11630*1000*SER_hh_fec_in!Q3/SER_hh_num_in!Q3)</f>
        <v>66584.532964680984</v>
      </c>
      <c r="R3" s="125">
        <f>IF(SER_hh_fec_in!R3=0,0,11630*1000*SER_hh_fec_in!R3/SER_hh_num_in!R3)</f>
        <v>79847.890846437469</v>
      </c>
      <c r="S3" s="125">
        <f>IF(SER_hh_fec_in!S3=0,0,11630*1000*SER_hh_fec_in!S3/SER_hh_num_in!S3)</f>
        <v>71706.607166798975</v>
      </c>
      <c r="T3" s="125">
        <f>IF(SER_hh_fec_in!T3=0,0,11630*1000*SER_hh_fec_in!T3/SER_hh_num_in!T3)</f>
        <v>67721.971184619266</v>
      </c>
      <c r="U3" s="125">
        <f>IF(SER_hh_fec_in!U3=0,0,11630*1000*SER_hh_fec_in!U3/SER_hh_num_in!U3)</f>
        <v>68445.587849274685</v>
      </c>
      <c r="V3" s="125">
        <f>IF(SER_hh_fec_in!V3=0,0,11630*1000*SER_hh_fec_in!V3/SER_hh_num_in!V3)</f>
        <v>54645.039234732285</v>
      </c>
      <c r="W3" s="125">
        <f>IF(SER_hh_fec_in!W3=0,0,11630*1000*SER_hh_fec_in!W3/SER_hh_num_in!W3)</f>
        <v>67997.963558195042</v>
      </c>
      <c r="X3" s="125">
        <f>IF(SER_hh_fec_in!X3=0,0,11630*1000*SER_hh_fec_in!X3/SER_hh_num_in!X3)</f>
        <v>71627.721928453815</v>
      </c>
      <c r="Y3" s="125">
        <f>IF(SER_hh_fec_in!Y3=0,0,11630*1000*SER_hh_fec_in!Y3/SER_hh_num_in!Y3)</f>
        <v>59797.519885829992</v>
      </c>
      <c r="DA3" s="154" t="s">
        <v>724</v>
      </c>
    </row>
    <row r="4" spans="1:105" ht="12.95" customHeight="1" x14ac:dyDescent="0.25">
      <c r="A4" s="129" t="s">
        <v>32</v>
      </c>
      <c r="B4" s="130"/>
      <c r="C4" s="130">
        <f>IF(SER_hh_fec_in!C4=0,0,11630*1000*SER_hh_fec_in!C4/SER_hh_num_in!C4)</f>
        <v>20195.37145179764</v>
      </c>
      <c r="D4" s="130">
        <f>IF(SER_hh_fec_in!D4=0,0,11630*1000*SER_hh_fec_in!D4/SER_hh_num_in!D4)</f>
        <v>23618.888120440672</v>
      </c>
      <c r="E4" s="130">
        <f>IF(SER_hh_fec_in!E4=0,0,11630*1000*SER_hh_fec_in!E4/SER_hh_num_in!E4)</f>
        <v>19900.201776133006</v>
      </c>
      <c r="F4" s="130">
        <f>IF(SER_hh_fec_in!F4=0,0,11630*1000*SER_hh_fec_in!F4/SER_hh_num_in!F4)</f>
        <v>22010.530273950233</v>
      </c>
      <c r="G4" s="130">
        <f>IF(SER_hh_fec_in!G4=0,0,11630*1000*SER_hh_fec_in!G4/SER_hh_num_in!G4)</f>
        <v>24113.953466099912</v>
      </c>
      <c r="H4" s="130">
        <f>IF(SER_hh_fec_in!H4=0,0,11630*1000*SER_hh_fec_in!H4/SER_hh_num_in!H4)</f>
        <v>40406.230603174081</v>
      </c>
      <c r="I4" s="130">
        <f>IF(SER_hh_fec_in!I4=0,0,11630*1000*SER_hh_fec_in!I4/SER_hh_num_in!I4)</f>
        <v>36328.774794841156</v>
      </c>
      <c r="J4" s="130">
        <f>IF(SER_hh_fec_in!J4=0,0,11630*1000*SER_hh_fec_in!J4/SER_hh_num_in!J4)</f>
        <v>50058.198170194606</v>
      </c>
      <c r="K4" s="130">
        <f>IF(SER_hh_fec_in!K4=0,0,11630*1000*SER_hh_fec_in!K4/SER_hh_num_in!K4)</f>
        <v>42541.58002597883</v>
      </c>
      <c r="L4" s="130">
        <f>IF(SER_hh_fec_in!L4=0,0,11630*1000*SER_hh_fec_in!L4/SER_hh_num_in!L4)</f>
        <v>39133.595645784684</v>
      </c>
      <c r="M4" s="130">
        <f>IF(SER_hh_fec_in!M4=0,0,11630*1000*SER_hh_fec_in!M4/SER_hh_num_in!M4)</f>
        <v>24152.806587010804</v>
      </c>
      <c r="N4" s="130">
        <f>IF(SER_hh_fec_in!N4=0,0,11630*1000*SER_hh_fec_in!N4/SER_hh_num_in!N4)</f>
        <v>17421.55270508369</v>
      </c>
      <c r="O4" s="130">
        <f>IF(SER_hh_fec_in!O4=0,0,11630*1000*SER_hh_fec_in!O4/SER_hh_num_in!O4)</f>
        <v>16390.303713071495</v>
      </c>
      <c r="P4" s="130">
        <f>IF(SER_hh_fec_in!P4=0,0,11630*1000*SER_hh_fec_in!P4/SER_hh_num_in!P4)</f>
        <v>9486.9277655791375</v>
      </c>
      <c r="Q4" s="130">
        <f>IF(SER_hh_fec_in!Q4=0,0,11630*1000*SER_hh_fec_in!Q4/SER_hh_num_in!Q4)</f>
        <v>22687.871601149633</v>
      </c>
      <c r="R4" s="130">
        <f>IF(SER_hh_fec_in!R4=0,0,11630*1000*SER_hh_fec_in!R4/SER_hh_num_in!R4)</f>
        <v>35869.845336569109</v>
      </c>
      <c r="S4" s="130">
        <f>IF(SER_hh_fec_in!S4=0,0,11630*1000*SER_hh_fec_in!S4/SER_hh_num_in!S4)</f>
        <v>27674.328100023311</v>
      </c>
      <c r="T4" s="130">
        <f>IF(SER_hh_fec_in!T4=0,0,11630*1000*SER_hh_fec_in!T4/SER_hh_num_in!T4)</f>
        <v>21828.118961949356</v>
      </c>
      <c r="U4" s="130">
        <f>IF(SER_hh_fec_in!U4=0,0,11630*1000*SER_hh_fec_in!U4/SER_hh_num_in!U4)</f>
        <v>28208.247800206835</v>
      </c>
      <c r="V4" s="130">
        <f>IF(SER_hh_fec_in!V4=0,0,11630*1000*SER_hh_fec_in!V4/SER_hh_num_in!V4)</f>
        <v>17309.450268167675</v>
      </c>
      <c r="W4" s="130">
        <f>IF(SER_hh_fec_in!W4=0,0,11630*1000*SER_hh_fec_in!W4/SER_hh_num_in!W4)</f>
        <v>31879.286562022564</v>
      </c>
      <c r="X4" s="130">
        <f>IF(SER_hh_fec_in!X4=0,0,11630*1000*SER_hh_fec_in!X4/SER_hh_num_in!X4)</f>
        <v>36951.008243335193</v>
      </c>
      <c r="Y4" s="130">
        <f>IF(SER_hh_fec_in!Y4=0,0,11630*1000*SER_hh_fec_in!Y4/SER_hh_num_in!Y4)</f>
        <v>21429.992653699617</v>
      </c>
      <c r="DA4" s="155" t="s">
        <v>725</v>
      </c>
    </row>
    <row r="5" spans="1:105" ht="12" customHeight="1" x14ac:dyDescent="0.25">
      <c r="A5" s="131" t="s">
        <v>29</v>
      </c>
      <c r="B5" s="132"/>
      <c r="C5" s="132">
        <f>IF(SER_hh_fec_in!C5=0,0,11630*1000*SER_hh_fec_in!C5/SER_hh_num_in!C5)</f>
        <v>0</v>
      </c>
      <c r="D5" s="132">
        <f>IF(SER_hh_fec_in!D5=0,0,11630*1000*SER_hh_fec_in!D5/SER_hh_num_in!D5)</f>
        <v>0</v>
      </c>
      <c r="E5" s="132">
        <f>IF(SER_hh_fec_in!E5=0,0,11630*1000*SER_hh_fec_in!E5/SER_hh_num_in!E5)</f>
        <v>0</v>
      </c>
      <c r="F5" s="132">
        <f>IF(SER_hh_fec_in!F5=0,0,11630*1000*SER_hh_fec_in!F5/SER_hh_num_in!F5)</f>
        <v>0</v>
      </c>
      <c r="G5" s="132">
        <f>IF(SER_hh_fec_in!G5=0,0,11630*1000*SER_hh_fec_in!G5/SER_hh_num_in!G5)</f>
        <v>0</v>
      </c>
      <c r="H5" s="132">
        <f>IF(SER_hh_fec_in!H5=0,0,11630*1000*SER_hh_fec_in!H5/SER_hh_num_in!H5)</f>
        <v>0</v>
      </c>
      <c r="I5" s="132">
        <f>IF(SER_hh_fec_in!I5=0,0,11630*1000*SER_hh_fec_in!I5/SER_hh_num_in!I5)</f>
        <v>0</v>
      </c>
      <c r="J5" s="132">
        <f>IF(SER_hh_fec_in!J5=0,0,11630*1000*SER_hh_fec_in!J5/SER_hh_num_in!J5)</f>
        <v>0</v>
      </c>
      <c r="K5" s="132">
        <f>IF(SER_hh_fec_in!K5=0,0,11630*1000*SER_hh_fec_in!K5/SER_hh_num_in!K5)</f>
        <v>0</v>
      </c>
      <c r="L5" s="132">
        <f>IF(SER_hh_fec_in!L5=0,0,11630*1000*SER_hh_fec_in!L5/SER_hh_num_in!L5)</f>
        <v>0</v>
      </c>
      <c r="M5" s="132">
        <f>IF(SER_hh_fec_in!M5=0,0,11630*1000*SER_hh_fec_in!M5/SER_hh_num_in!M5)</f>
        <v>0</v>
      </c>
      <c r="N5" s="132">
        <f>IF(SER_hh_fec_in!N5=0,0,11630*1000*SER_hh_fec_in!N5/SER_hh_num_in!N5)</f>
        <v>0</v>
      </c>
      <c r="O5" s="132">
        <f>IF(SER_hh_fec_in!O5=0,0,11630*1000*SER_hh_fec_in!O5/SER_hh_num_in!O5)</f>
        <v>0</v>
      </c>
      <c r="P5" s="132">
        <f>IF(SER_hh_fec_in!P5=0,0,11630*1000*SER_hh_fec_in!P5/SER_hh_num_in!P5)</f>
        <v>0</v>
      </c>
      <c r="Q5" s="132">
        <f>IF(SER_hh_fec_in!Q5=0,0,11630*1000*SER_hh_fec_in!Q5/SER_hh_num_in!Q5)</f>
        <v>0</v>
      </c>
      <c r="R5" s="132">
        <f>IF(SER_hh_fec_in!R5=0,0,11630*1000*SER_hh_fec_in!R5/SER_hh_num_in!R5)</f>
        <v>0</v>
      </c>
      <c r="S5" s="132">
        <f>IF(SER_hh_fec_in!S5=0,0,11630*1000*SER_hh_fec_in!S5/SER_hh_num_in!S5)</f>
        <v>0</v>
      </c>
      <c r="T5" s="132">
        <f>IF(SER_hh_fec_in!T5=0,0,11630*1000*SER_hh_fec_in!T5/SER_hh_num_in!T5)</f>
        <v>0</v>
      </c>
      <c r="U5" s="132">
        <f>IF(SER_hh_fec_in!U5=0,0,11630*1000*SER_hh_fec_in!U5/SER_hh_num_in!U5)</f>
        <v>0</v>
      </c>
      <c r="V5" s="132">
        <f>IF(SER_hh_fec_in!V5=0,0,11630*1000*SER_hh_fec_in!V5/SER_hh_num_in!V5)</f>
        <v>0</v>
      </c>
      <c r="W5" s="132">
        <f>IF(SER_hh_fec_in!W5=0,0,11630*1000*SER_hh_fec_in!W5/SER_hh_num_in!W5)</f>
        <v>0</v>
      </c>
      <c r="X5" s="132">
        <f>IF(SER_hh_fec_in!X5=0,0,11630*1000*SER_hh_fec_in!X5/SER_hh_num_in!X5)</f>
        <v>0</v>
      </c>
      <c r="Y5" s="132">
        <f>IF(SER_hh_fec_in!Y5=0,0,11630*1000*SER_hh_fec_in!Y5/SER_hh_num_in!Y5)</f>
        <v>0</v>
      </c>
      <c r="DA5" s="156" t="s">
        <v>726</v>
      </c>
    </row>
    <row r="6" spans="1:105" ht="12" customHeight="1" x14ac:dyDescent="0.25">
      <c r="A6" s="131" t="s">
        <v>52</v>
      </c>
      <c r="B6" s="132"/>
      <c r="C6" s="132">
        <f>IF(SER_hh_fec_in!C6=0,0,11630*1000*SER_hh_fec_in!C6/SER_hh_num_in!C6)</f>
        <v>0</v>
      </c>
      <c r="D6" s="132">
        <f>IF(SER_hh_fec_in!D6=0,0,11630*1000*SER_hh_fec_in!D6/SER_hh_num_in!D6)</f>
        <v>0</v>
      </c>
      <c r="E6" s="132">
        <f>IF(SER_hh_fec_in!E6=0,0,11630*1000*SER_hh_fec_in!E6/SER_hh_num_in!E6)</f>
        <v>0</v>
      </c>
      <c r="F6" s="132">
        <f>IF(SER_hh_fec_in!F6=0,0,11630*1000*SER_hh_fec_in!F6/SER_hh_num_in!F6)</f>
        <v>0</v>
      </c>
      <c r="G6" s="132">
        <f>IF(SER_hh_fec_in!G6=0,0,11630*1000*SER_hh_fec_in!G6/SER_hh_num_in!G6)</f>
        <v>0</v>
      </c>
      <c r="H6" s="132">
        <f>IF(SER_hh_fec_in!H6=0,0,11630*1000*SER_hh_fec_in!H6/SER_hh_num_in!H6)</f>
        <v>0</v>
      </c>
      <c r="I6" s="132">
        <f>IF(SER_hh_fec_in!I6=0,0,11630*1000*SER_hh_fec_in!I6/SER_hh_num_in!I6)</f>
        <v>0</v>
      </c>
      <c r="J6" s="132">
        <f>IF(SER_hh_fec_in!J6=0,0,11630*1000*SER_hh_fec_in!J6/SER_hh_num_in!J6)</f>
        <v>0</v>
      </c>
      <c r="K6" s="132">
        <f>IF(SER_hh_fec_in!K6=0,0,11630*1000*SER_hh_fec_in!K6/SER_hh_num_in!K6)</f>
        <v>0</v>
      </c>
      <c r="L6" s="132">
        <f>IF(SER_hh_fec_in!L6=0,0,11630*1000*SER_hh_fec_in!L6/SER_hh_num_in!L6)</f>
        <v>0</v>
      </c>
      <c r="M6" s="132">
        <f>IF(SER_hh_fec_in!M6=0,0,11630*1000*SER_hh_fec_in!M6/SER_hh_num_in!M6)</f>
        <v>0</v>
      </c>
      <c r="N6" s="132">
        <f>IF(SER_hh_fec_in!N6=0,0,11630*1000*SER_hh_fec_in!N6/SER_hh_num_in!N6)</f>
        <v>0</v>
      </c>
      <c r="O6" s="132">
        <f>IF(SER_hh_fec_in!O6=0,0,11630*1000*SER_hh_fec_in!O6/SER_hh_num_in!O6)</f>
        <v>0</v>
      </c>
      <c r="P6" s="132">
        <f>IF(SER_hh_fec_in!P6=0,0,11630*1000*SER_hh_fec_in!P6/SER_hh_num_in!P6)</f>
        <v>0</v>
      </c>
      <c r="Q6" s="132">
        <f>IF(SER_hh_fec_in!Q6=0,0,11630*1000*SER_hh_fec_in!Q6/SER_hh_num_in!Q6)</f>
        <v>0</v>
      </c>
      <c r="R6" s="132">
        <f>IF(SER_hh_fec_in!R6=0,0,11630*1000*SER_hh_fec_in!R6/SER_hh_num_in!R6)</f>
        <v>0</v>
      </c>
      <c r="S6" s="132">
        <f>IF(SER_hh_fec_in!S6=0,0,11630*1000*SER_hh_fec_in!S6/SER_hh_num_in!S6)</f>
        <v>0</v>
      </c>
      <c r="T6" s="132">
        <f>IF(SER_hh_fec_in!T6=0,0,11630*1000*SER_hh_fec_in!T6/SER_hh_num_in!T6)</f>
        <v>0</v>
      </c>
      <c r="U6" s="132">
        <f>IF(SER_hh_fec_in!U6=0,0,11630*1000*SER_hh_fec_in!U6/SER_hh_num_in!U6)</f>
        <v>0</v>
      </c>
      <c r="V6" s="132">
        <f>IF(SER_hh_fec_in!V6=0,0,11630*1000*SER_hh_fec_in!V6/SER_hh_num_in!V6)</f>
        <v>0</v>
      </c>
      <c r="W6" s="132">
        <f>IF(SER_hh_fec_in!W6=0,0,11630*1000*SER_hh_fec_in!W6/SER_hh_num_in!W6)</f>
        <v>0</v>
      </c>
      <c r="X6" s="132">
        <f>IF(SER_hh_fec_in!X6=0,0,11630*1000*SER_hh_fec_in!X6/SER_hh_num_in!X6)</f>
        <v>0</v>
      </c>
      <c r="Y6" s="132">
        <f>IF(SER_hh_fec_in!Y6=0,0,11630*1000*SER_hh_fec_in!Y6/SER_hh_num_in!Y6)</f>
        <v>0</v>
      </c>
      <c r="DA6" s="156" t="s">
        <v>727</v>
      </c>
    </row>
    <row r="7" spans="1:105" ht="12" customHeight="1" x14ac:dyDescent="0.25">
      <c r="A7" s="131" t="s">
        <v>161</v>
      </c>
      <c r="B7" s="132"/>
      <c r="C7" s="132">
        <f>IF(SER_hh_fec_in!C7=0,0,11630*1000*SER_hh_fec_in!C7/SER_hh_num_in!C7)</f>
        <v>0</v>
      </c>
      <c r="D7" s="132">
        <f>IF(SER_hh_fec_in!D7=0,0,11630*1000*SER_hh_fec_in!D7/SER_hh_num_in!D7)</f>
        <v>0</v>
      </c>
      <c r="E7" s="132">
        <f>IF(SER_hh_fec_in!E7=0,0,11630*1000*SER_hh_fec_in!E7/SER_hh_num_in!E7)</f>
        <v>0</v>
      </c>
      <c r="F7" s="132">
        <f>IF(SER_hh_fec_in!F7=0,0,11630*1000*SER_hh_fec_in!F7/SER_hh_num_in!F7)</f>
        <v>0</v>
      </c>
      <c r="G7" s="132">
        <f>IF(SER_hh_fec_in!G7=0,0,11630*1000*SER_hh_fec_in!G7/SER_hh_num_in!G7)</f>
        <v>0</v>
      </c>
      <c r="H7" s="132">
        <f>IF(SER_hh_fec_in!H7=0,0,11630*1000*SER_hh_fec_in!H7/SER_hh_num_in!H7)</f>
        <v>0</v>
      </c>
      <c r="I7" s="132">
        <f>IF(SER_hh_fec_in!I7=0,0,11630*1000*SER_hh_fec_in!I7/SER_hh_num_in!I7)</f>
        <v>0</v>
      </c>
      <c r="J7" s="132">
        <f>IF(SER_hh_fec_in!J7=0,0,11630*1000*SER_hh_fec_in!J7/SER_hh_num_in!J7)</f>
        <v>70168.643845185768</v>
      </c>
      <c r="K7" s="132">
        <f>IF(SER_hh_fec_in!K7=0,0,11630*1000*SER_hh_fec_in!K7/SER_hh_num_in!K7)</f>
        <v>55830.753840673395</v>
      </c>
      <c r="L7" s="132">
        <f>IF(SER_hh_fec_in!L7=0,0,11630*1000*SER_hh_fec_in!L7/SER_hh_num_in!L7)</f>
        <v>63385.863081802374</v>
      </c>
      <c r="M7" s="132">
        <f>IF(SER_hh_fec_in!M7=0,0,11630*1000*SER_hh_fec_in!M7/SER_hh_num_in!M7)</f>
        <v>59323.598099871611</v>
      </c>
      <c r="N7" s="132">
        <f>IF(SER_hh_fec_in!N7=0,0,11630*1000*SER_hh_fec_in!N7/SER_hh_num_in!N7)</f>
        <v>48017.979871956639</v>
      </c>
      <c r="O7" s="132">
        <f>IF(SER_hh_fec_in!O7=0,0,11630*1000*SER_hh_fec_in!O7/SER_hh_num_in!O7)</f>
        <v>51169.489476339084</v>
      </c>
      <c r="P7" s="132">
        <f>IF(SER_hh_fec_in!P7=0,0,11630*1000*SER_hh_fec_in!P7/SER_hh_num_in!P7)</f>
        <v>0</v>
      </c>
      <c r="Q7" s="132">
        <f>IF(SER_hh_fec_in!Q7=0,0,11630*1000*SER_hh_fec_in!Q7/SER_hh_num_in!Q7)</f>
        <v>0</v>
      </c>
      <c r="R7" s="132">
        <f>IF(SER_hh_fec_in!R7=0,0,11630*1000*SER_hh_fec_in!R7/SER_hh_num_in!R7)</f>
        <v>0</v>
      </c>
      <c r="S7" s="132">
        <f>IF(SER_hh_fec_in!S7=0,0,11630*1000*SER_hh_fec_in!S7/SER_hh_num_in!S7)</f>
        <v>0</v>
      </c>
      <c r="T7" s="132">
        <f>IF(SER_hh_fec_in!T7=0,0,11630*1000*SER_hh_fec_in!T7/SER_hh_num_in!T7)</f>
        <v>42644.916788892595</v>
      </c>
      <c r="U7" s="132">
        <f>IF(SER_hh_fec_in!U7=0,0,11630*1000*SER_hh_fec_in!U7/SER_hh_num_in!U7)</f>
        <v>48195.817639907073</v>
      </c>
      <c r="V7" s="132">
        <f>IF(SER_hh_fec_in!V7=0,0,11630*1000*SER_hh_fec_in!V7/SER_hh_num_in!V7)</f>
        <v>35321.074871230194</v>
      </c>
      <c r="W7" s="132">
        <f>IF(SER_hh_fec_in!W7=0,0,11630*1000*SER_hh_fec_in!W7/SER_hh_num_in!W7)</f>
        <v>34722.638656830146</v>
      </c>
      <c r="X7" s="132">
        <f>IF(SER_hh_fec_in!X7=0,0,11630*1000*SER_hh_fec_in!X7/SER_hh_num_in!X7)</f>
        <v>33590.5727602443</v>
      </c>
      <c r="Y7" s="132">
        <f>IF(SER_hh_fec_in!Y7=0,0,11630*1000*SER_hh_fec_in!Y7/SER_hh_num_in!Y7)</f>
        <v>35406.128387497149</v>
      </c>
      <c r="DA7" s="156" t="s">
        <v>728</v>
      </c>
    </row>
    <row r="8" spans="1:105" ht="12" customHeight="1" x14ac:dyDescent="0.25">
      <c r="A8" s="131" t="s">
        <v>73</v>
      </c>
      <c r="B8" s="132"/>
      <c r="C8" s="132">
        <f>IF(SER_hh_fec_in!C8=0,0,11630*1000*SER_hh_fec_in!C8/SER_hh_num_in!C8)</f>
        <v>0</v>
      </c>
      <c r="D8" s="132">
        <f>IF(SER_hh_fec_in!D8=0,0,11630*1000*SER_hh_fec_in!D8/SER_hh_num_in!D8)</f>
        <v>0</v>
      </c>
      <c r="E8" s="132">
        <f>IF(SER_hh_fec_in!E8=0,0,11630*1000*SER_hh_fec_in!E8/SER_hh_num_in!E8)</f>
        <v>0</v>
      </c>
      <c r="F8" s="132">
        <f>IF(SER_hh_fec_in!F8=0,0,11630*1000*SER_hh_fec_in!F8/SER_hh_num_in!F8)</f>
        <v>0</v>
      </c>
      <c r="G8" s="132">
        <f>IF(SER_hh_fec_in!G8=0,0,11630*1000*SER_hh_fec_in!G8/SER_hh_num_in!G8)</f>
        <v>0</v>
      </c>
      <c r="H8" s="132">
        <f>IF(SER_hh_fec_in!H8=0,0,11630*1000*SER_hh_fec_in!H8/SER_hh_num_in!H8)</f>
        <v>0</v>
      </c>
      <c r="I8" s="132">
        <f>IF(SER_hh_fec_in!I8=0,0,11630*1000*SER_hh_fec_in!I8/SER_hh_num_in!I8)</f>
        <v>0</v>
      </c>
      <c r="J8" s="132">
        <f>IF(SER_hh_fec_in!J8=0,0,11630*1000*SER_hh_fec_in!J8/SER_hh_num_in!J8)</f>
        <v>0</v>
      </c>
      <c r="K8" s="132">
        <f>IF(SER_hh_fec_in!K8=0,0,11630*1000*SER_hh_fec_in!K8/SER_hh_num_in!K8)</f>
        <v>0</v>
      </c>
      <c r="L8" s="132">
        <f>IF(SER_hh_fec_in!L8=0,0,11630*1000*SER_hh_fec_in!L8/SER_hh_num_in!L8)</f>
        <v>0</v>
      </c>
      <c r="M8" s="132">
        <f>IF(SER_hh_fec_in!M8=0,0,11630*1000*SER_hh_fec_in!M8/SER_hh_num_in!M8)</f>
        <v>0</v>
      </c>
      <c r="N8" s="132">
        <f>IF(SER_hh_fec_in!N8=0,0,11630*1000*SER_hh_fec_in!N8/SER_hh_num_in!N8)</f>
        <v>0</v>
      </c>
      <c r="O8" s="132">
        <f>IF(SER_hh_fec_in!O8=0,0,11630*1000*SER_hh_fec_in!O8/SER_hh_num_in!O8)</f>
        <v>0</v>
      </c>
      <c r="P8" s="132">
        <f>IF(SER_hh_fec_in!P8=0,0,11630*1000*SER_hh_fec_in!P8/SER_hh_num_in!P8)</f>
        <v>0</v>
      </c>
      <c r="Q8" s="132">
        <f>IF(SER_hh_fec_in!Q8=0,0,11630*1000*SER_hh_fec_in!Q8/SER_hh_num_in!Q8)</f>
        <v>0</v>
      </c>
      <c r="R8" s="132">
        <f>IF(SER_hh_fec_in!R8=0,0,11630*1000*SER_hh_fec_in!R8/SER_hh_num_in!R8)</f>
        <v>0</v>
      </c>
      <c r="S8" s="132">
        <f>IF(SER_hh_fec_in!S8=0,0,11630*1000*SER_hh_fec_in!S8/SER_hh_num_in!S8)</f>
        <v>0</v>
      </c>
      <c r="T8" s="132">
        <f>IF(SER_hh_fec_in!T8=0,0,11630*1000*SER_hh_fec_in!T8/SER_hh_num_in!T8)</f>
        <v>0</v>
      </c>
      <c r="U8" s="132">
        <f>IF(SER_hh_fec_in!U8=0,0,11630*1000*SER_hh_fec_in!U8/SER_hh_num_in!U8)</f>
        <v>0</v>
      </c>
      <c r="V8" s="132">
        <f>IF(SER_hh_fec_in!V8=0,0,11630*1000*SER_hh_fec_in!V8/SER_hh_num_in!V8)</f>
        <v>0</v>
      </c>
      <c r="W8" s="132">
        <f>IF(SER_hh_fec_in!W8=0,0,11630*1000*SER_hh_fec_in!W8/SER_hh_num_in!W8)</f>
        <v>0</v>
      </c>
      <c r="X8" s="132">
        <f>IF(SER_hh_fec_in!X8=0,0,11630*1000*SER_hh_fec_in!X8/SER_hh_num_in!X8)</f>
        <v>0</v>
      </c>
      <c r="Y8" s="132">
        <f>IF(SER_hh_fec_in!Y8=0,0,11630*1000*SER_hh_fec_in!Y8/SER_hh_num_in!Y8)</f>
        <v>0</v>
      </c>
      <c r="DA8" s="156" t="s">
        <v>729</v>
      </c>
    </row>
    <row r="9" spans="1:105" ht="12" customHeight="1" x14ac:dyDescent="0.25">
      <c r="A9" s="131" t="s">
        <v>78</v>
      </c>
      <c r="B9" s="132"/>
      <c r="C9" s="132">
        <f>IF(SER_hh_fec_in!C9=0,0,11630*1000*SER_hh_fec_in!C9/SER_hh_num_in!C9)</f>
        <v>0</v>
      </c>
      <c r="D9" s="132">
        <f>IF(SER_hh_fec_in!D9=0,0,11630*1000*SER_hh_fec_in!D9/SER_hh_num_in!D9)</f>
        <v>0</v>
      </c>
      <c r="E9" s="132">
        <f>IF(SER_hh_fec_in!E9=0,0,11630*1000*SER_hh_fec_in!E9/SER_hh_num_in!E9)</f>
        <v>0</v>
      </c>
      <c r="F9" s="132">
        <f>IF(SER_hh_fec_in!F9=0,0,11630*1000*SER_hh_fec_in!F9/SER_hh_num_in!F9)</f>
        <v>0</v>
      </c>
      <c r="G9" s="132">
        <f>IF(SER_hh_fec_in!G9=0,0,11630*1000*SER_hh_fec_in!G9/SER_hh_num_in!G9)</f>
        <v>0</v>
      </c>
      <c r="H9" s="132">
        <f>IF(SER_hh_fec_in!H9=0,0,11630*1000*SER_hh_fec_in!H9/SER_hh_num_in!H9)</f>
        <v>0</v>
      </c>
      <c r="I9" s="132">
        <f>IF(SER_hh_fec_in!I9=0,0,11630*1000*SER_hh_fec_in!I9/SER_hh_num_in!I9)</f>
        <v>0</v>
      </c>
      <c r="J9" s="132">
        <f>IF(SER_hh_fec_in!J9=0,0,11630*1000*SER_hh_fec_in!J9/SER_hh_num_in!J9)</f>
        <v>0</v>
      </c>
      <c r="K9" s="132">
        <f>IF(SER_hh_fec_in!K9=0,0,11630*1000*SER_hh_fec_in!K9/SER_hh_num_in!K9)</f>
        <v>60026.777579541129</v>
      </c>
      <c r="L9" s="132">
        <f>IF(SER_hh_fec_in!L9=0,0,11630*1000*SER_hh_fec_in!L9/SER_hh_num_in!L9)</f>
        <v>48254.572832906291</v>
      </c>
      <c r="M9" s="132">
        <f>IF(SER_hh_fec_in!M9=0,0,11630*1000*SER_hh_fec_in!M9/SER_hh_num_in!M9)</f>
        <v>37884.32270341555</v>
      </c>
      <c r="N9" s="132">
        <f>IF(SER_hh_fec_in!N9=0,0,11630*1000*SER_hh_fec_in!N9/SER_hh_num_in!N9)</f>
        <v>34241.318903506246</v>
      </c>
      <c r="O9" s="132">
        <f>IF(SER_hh_fec_in!O9=0,0,11630*1000*SER_hh_fec_in!O9/SER_hh_num_in!O9)</f>
        <v>0</v>
      </c>
      <c r="P9" s="132">
        <f>IF(SER_hh_fec_in!P9=0,0,11630*1000*SER_hh_fec_in!P9/SER_hh_num_in!P9)</f>
        <v>32941.500515393025</v>
      </c>
      <c r="Q9" s="132">
        <f>IF(SER_hh_fec_in!Q9=0,0,11630*1000*SER_hh_fec_in!Q9/SER_hh_num_in!Q9)</f>
        <v>30331.500722650657</v>
      </c>
      <c r="R9" s="132">
        <f>IF(SER_hh_fec_in!R9=0,0,11630*1000*SER_hh_fec_in!R9/SER_hh_num_in!R9)</f>
        <v>31097.506358926847</v>
      </c>
      <c r="S9" s="132">
        <f>IF(SER_hh_fec_in!S9=0,0,11630*1000*SER_hh_fec_in!S9/SER_hh_num_in!S9)</f>
        <v>23734.364028133252</v>
      </c>
      <c r="T9" s="132">
        <f>IF(SER_hh_fec_in!T9=0,0,11630*1000*SER_hh_fec_in!T9/SER_hh_num_in!T9)</f>
        <v>46634.94233622156</v>
      </c>
      <c r="U9" s="132">
        <f>IF(SER_hh_fec_in!U9=0,0,11630*1000*SER_hh_fec_in!U9/SER_hh_num_in!U9)</f>
        <v>49200.109331026681</v>
      </c>
      <c r="V9" s="132">
        <f>IF(SER_hh_fec_in!V9=0,0,11630*1000*SER_hh_fec_in!V9/SER_hh_num_in!V9)</f>
        <v>16676.334152757427</v>
      </c>
      <c r="W9" s="132">
        <f>IF(SER_hh_fec_in!W9=0,0,11630*1000*SER_hh_fec_in!W9/SER_hh_num_in!W9)</f>
        <v>16482.542250362178</v>
      </c>
      <c r="X9" s="132">
        <f>IF(SER_hh_fec_in!X9=0,0,11630*1000*SER_hh_fec_in!X9/SER_hh_num_in!X9)</f>
        <v>16388.197111965008</v>
      </c>
      <c r="Y9" s="132">
        <f>IF(SER_hh_fec_in!Y9=0,0,11630*1000*SER_hh_fec_in!Y9/SER_hh_num_in!Y9)</f>
        <v>23398.369880978578</v>
      </c>
      <c r="DA9" s="156" t="s">
        <v>730</v>
      </c>
    </row>
    <row r="10" spans="1:105" ht="12" customHeight="1" x14ac:dyDescent="0.25">
      <c r="A10" s="131" t="s">
        <v>128</v>
      </c>
      <c r="B10" s="132"/>
      <c r="C10" s="132">
        <f>IF(SER_hh_fec_in!C10=0,0,11630*1000*SER_hh_fec_in!C10/SER_hh_num_in!C10)</f>
        <v>0</v>
      </c>
      <c r="D10" s="132">
        <f>IF(SER_hh_fec_in!D10=0,0,11630*1000*SER_hh_fec_in!D10/SER_hh_num_in!D10)</f>
        <v>0</v>
      </c>
      <c r="E10" s="132">
        <f>IF(SER_hh_fec_in!E10=0,0,11630*1000*SER_hh_fec_in!E10/SER_hh_num_in!E10)</f>
        <v>0</v>
      </c>
      <c r="F10" s="132">
        <f>IF(SER_hh_fec_in!F10=0,0,11630*1000*SER_hh_fec_in!F10/SER_hh_num_in!F10)</f>
        <v>0</v>
      </c>
      <c r="G10" s="132">
        <f>IF(SER_hh_fec_in!G10=0,0,11630*1000*SER_hh_fec_in!G10/SER_hh_num_in!G10)</f>
        <v>0</v>
      </c>
      <c r="H10" s="132">
        <f>IF(SER_hh_fec_in!H10=0,0,11630*1000*SER_hh_fec_in!H10/SER_hh_num_in!H10)</f>
        <v>0</v>
      </c>
      <c r="I10" s="132">
        <f>IF(SER_hh_fec_in!I10=0,0,11630*1000*SER_hh_fec_in!I10/SER_hh_num_in!I10)</f>
        <v>37848.67079787184</v>
      </c>
      <c r="J10" s="132">
        <f>IF(SER_hh_fec_in!J10=0,0,11630*1000*SER_hh_fec_in!J10/SER_hh_num_in!J10)</f>
        <v>96377.995948497177</v>
      </c>
      <c r="K10" s="132">
        <f>IF(SER_hh_fec_in!K10=0,0,11630*1000*SER_hh_fec_in!K10/SER_hh_num_in!K10)</f>
        <v>0</v>
      </c>
      <c r="L10" s="132">
        <f>IF(SER_hh_fec_in!L10=0,0,11630*1000*SER_hh_fec_in!L10/SER_hh_num_in!L10)</f>
        <v>29937.302716810951</v>
      </c>
      <c r="M10" s="132">
        <f>IF(SER_hh_fec_in!M10=0,0,11630*1000*SER_hh_fec_in!M10/SER_hh_num_in!M10)</f>
        <v>49235.329944143195</v>
      </c>
      <c r="N10" s="132">
        <f>IF(SER_hh_fec_in!N10=0,0,11630*1000*SER_hh_fec_in!N10/SER_hh_num_in!N10)</f>
        <v>61511.816182328977</v>
      </c>
      <c r="O10" s="132">
        <f>IF(SER_hh_fec_in!O10=0,0,11630*1000*SER_hh_fec_in!O10/SER_hh_num_in!O10)</f>
        <v>46264.57835507331</v>
      </c>
      <c r="P10" s="132">
        <f>IF(SER_hh_fec_in!P10=0,0,11630*1000*SER_hh_fec_in!P10/SER_hh_num_in!P10)</f>
        <v>35912.848924878563</v>
      </c>
      <c r="Q10" s="132">
        <f>IF(SER_hh_fec_in!Q10=0,0,11630*1000*SER_hh_fec_in!Q10/SER_hh_num_in!Q10)</f>
        <v>73864.091440223317</v>
      </c>
      <c r="R10" s="132">
        <f>IF(SER_hh_fec_in!R10=0,0,11630*1000*SER_hh_fec_in!R10/SER_hh_num_in!R10)</f>
        <v>52504.544638684209</v>
      </c>
      <c r="S10" s="132">
        <f>IF(SER_hh_fec_in!S10=0,0,11630*1000*SER_hh_fec_in!S10/SER_hh_num_in!S10)</f>
        <v>0</v>
      </c>
      <c r="T10" s="132">
        <f>IF(SER_hh_fec_in!T10=0,0,11630*1000*SER_hh_fec_in!T10/SER_hh_num_in!T10)</f>
        <v>0</v>
      </c>
      <c r="U10" s="132">
        <f>IF(SER_hh_fec_in!U10=0,0,11630*1000*SER_hh_fec_in!U10/SER_hh_num_in!U10)</f>
        <v>0</v>
      </c>
      <c r="V10" s="132">
        <f>IF(SER_hh_fec_in!V10=0,0,11630*1000*SER_hh_fec_in!V10/SER_hh_num_in!V10)</f>
        <v>23379.290856076561</v>
      </c>
      <c r="W10" s="132">
        <f>IF(SER_hh_fec_in!W10=0,0,11630*1000*SER_hh_fec_in!W10/SER_hh_num_in!W10)</f>
        <v>57798.673452409115</v>
      </c>
      <c r="X10" s="132">
        <f>IF(SER_hh_fec_in!X10=0,0,11630*1000*SER_hh_fec_in!X10/SER_hh_num_in!X10)</f>
        <v>53281.383097763937</v>
      </c>
      <c r="Y10" s="132">
        <f>IF(SER_hh_fec_in!Y10=0,0,11630*1000*SER_hh_fec_in!Y10/SER_hh_num_in!Y10)</f>
        <v>33771.248584669374</v>
      </c>
      <c r="DA10" s="156" t="s">
        <v>731</v>
      </c>
    </row>
    <row r="11" spans="1:105" ht="12" customHeight="1" x14ac:dyDescent="0.25">
      <c r="A11" s="131" t="s">
        <v>25</v>
      </c>
      <c r="B11" s="132"/>
      <c r="C11" s="132">
        <f>IF(SER_hh_fec_in!C11=0,0,11630*1000*SER_hh_fec_in!C11/SER_hh_num_in!C11)</f>
        <v>0</v>
      </c>
      <c r="D11" s="132">
        <f>IF(SER_hh_fec_in!D11=0,0,11630*1000*SER_hh_fec_in!D11/SER_hh_num_in!D11)</f>
        <v>0</v>
      </c>
      <c r="E11" s="132">
        <f>IF(SER_hh_fec_in!E11=0,0,11630*1000*SER_hh_fec_in!E11/SER_hh_num_in!E11)</f>
        <v>0</v>
      </c>
      <c r="F11" s="132">
        <f>IF(SER_hh_fec_in!F11=0,0,11630*1000*SER_hh_fec_in!F11/SER_hh_num_in!F11)</f>
        <v>0</v>
      </c>
      <c r="G11" s="132">
        <f>IF(SER_hh_fec_in!G11=0,0,11630*1000*SER_hh_fec_in!G11/SER_hh_num_in!G11)</f>
        <v>0</v>
      </c>
      <c r="H11" s="132">
        <f>IF(SER_hh_fec_in!H11=0,0,11630*1000*SER_hh_fec_in!H11/SER_hh_num_in!H11)</f>
        <v>0</v>
      </c>
      <c r="I11" s="132">
        <f>IF(SER_hh_fec_in!I11=0,0,11630*1000*SER_hh_fec_in!I11/SER_hh_num_in!I11)</f>
        <v>0</v>
      </c>
      <c r="J11" s="132">
        <f>IF(SER_hh_fec_in!J11=0,0,11630*1000*SER_hh_fec_in!J11/SER_hh_num_in!J11)</f>
        <v>0</v>
      </c>
      <c r="K11" s="132">
        <f>IF(SER_hh_fec_in!K11=0,0,11630*1000*SER_hh_fec_in!K11/SER_hh_num_in!K11)</f>
        <v>0</v>
      </c>
      <c r="L11" s="132">
        <f>IF(SER_hh_fec_in!L11=0,0,11630*1000*SER_hh_fec_in!L11/SER_hh_num_in!L11)</f>
        <v>0</v>
      </c>
      <c r="M11" s="132">
        <f>IF(SER_hh_fec_in!M11=0,0,11630*1000*SER_hh_fec_in!M11/SER_hh_num_in!M11)</f>
        <v>0</v>
      </c>
      <c r="N11" s="132">
        <f>IF(SER_hh_fec_in!N11=0,0,11630*1000*SER_hh_fec_in!N11/SER_hh_num_in!N11)</f>
        <v>0</v>
      </c>
      <c r="O11" s="132">
        <f>IF(SER_hh_fec_in!O11=0,0,11630*1000*SER_hh_fec_in!O11/SER_hh_num_in!O11)</f>
        <v>0</v>
      </c>
      <c r="P11" s="132">
        <f>IF(SER_hh_fec_in!P11=0,0,11630*1000*SER_hh_fec_in!P11/SER_hh_num_in!P11)</f>
        <v>0</v>
      </c>
      <c r="Q11" s="132">
        <f>IF(SER_hh_fec_in!Q11=0,0,11630*1000*SER_hh_fec_in!Q11/SER_hh_num_in!Q11)</f>
        <v>0</v>
      </c>
      <c r="R11" s="132">
        <f>IF(SER_hh_fec_in!R11=0,0,11630*1000*SER_hh_fec_in!R11/SER_hh_num_in!R11)</f>
        <v>0</v>
      </c>
      <c r="S11" s="132">
        <f>IF(SER_hh_fec_in!S11=0,0,11630*1000*SER_hh_fec_in!S11/SER_hh_num_in!S11)</f>
        <v>0</v>
      </c>
      <c r="T11" s="132">
        <f>IF(SER_hh_fec_in!T11=0,0,11630*1000*SER_hh_fec_in!T11/SER_hh_num_in!T11)</f>
        <v>0</v>
      </c>
      <c r="U11" s="132">
        <f>IF(SER_hh_fec_in!U11=0,0,11630*1000*SER_hh_fec_in!U11/SER_hh_num_in!U11)</f>
        <v>0</v>
      </c>
      <c r="V11" s="132">
        <f>IF(SER_hh_fec_in!V11=0,0,11630*1000*SER_hh_fec_in!V11/SER_hh_num_in!V11)</f>
        <v>0</v>
      </c>
      <c r="W11" s="132">
        <f>IF(SER_hh_fec_in!W11=0,0,11630*1000*SER_hh_fec_in!W11/SER_hh_num_in!W11)</f>
        <v>0</v>
      </c>
      <c r="X11" s="132">
        <f>IF(SER_hh_fec_in!X11=0,0,11630*1000*SER_hh_fec_in!X11/SER_hh_num_in!X11)</f>
        <v>0</v>
      </c>
      <c r="Y11" s="132">
        <f>IF(SER_hh_fec_in!Y11=0,0,11630*1000*SER_hh_fec_in!Y11/SER_hh_num_in!Y11)</f>
        <v>0</v>
      </c>
      <c r="DA11" s="156" t="s">
        <v>732</v>
      </c>
    </row>
    <row r="12" spans="1:105" ht="12" customHeight="1" x14ac:dyDescent="0.25">
      <c r="A12" s="131" t="s">
        <v>162</v>
      </c>
      <c r="B12" s="132"/>
      <c r="C12" s="132">
        <f>IF(SER_hh_fec_in!C12=0,0,11630*1000*SER_hh_fec_in!C12/SER_hh_num_in!C12)</f>
        <v>0</v>
      </c>
      <c r="D12" s="132">
        <f>IF(SER_hh_fec_in!D12=0,0,11630*1000*SER_hh_fec_in!D12/SER_hh_num_in!D12)</f>
        <v>0</v>
      </c>
      <c r="E12" s="132">
        <f>IF(SER_hh_fec_in!E12=0,0,11630*1000*SER_hh_fec_in!E12/SER_hh_num_in!E12)</f>
        <v>0</v>
      </c>
      <c r="F12" s="132">
        <f>IF(SER_hh_fec_in!F12=0,0,11630*1000*SER_hh_fec_in!F12/SER_hh_num_in!F12)</f>
        <v>0</v>
      </c>
      <c r="G12" s="132">
        <f>IF(SER_hh_fec_in!G12=0,0,11630*1000*SER_hh_fec_in!G12/SER_hh_num_in!G12)</f>
        <v>0</v>
      </c>
      <c r="H12" s="132">
        <f>IF(SER_hh_fec_in!H12=0,0,11630*1000*SER_hh_fec_in!H12/SER_hh_num_in!H12)</f>
        <v>0</v>
      </c>
      <c r="I12" s="132">
        <f>IF(SER_hh_fec_in!I12=0,0,11630*1000*SER_hh_fec_in!I12/SER_hh_num_in!I12)</f>
        <v>0</v>
      </c>
      <c r="J12" s="132">
        <f>IF(SER_hh_fec_in!J12=0,0,11630*1000*SER_hh_fec_in!J12/SER_hh_num_in!J12)</f>
        <v>0</v>
      </c>
      <c r="K12" s="132">
        <f>IF(SER_hh_fec_in!K12=0,0,11630*1000*SER_hh_fec_in!K12/SER_hh_num_in!K12)</f>
        <v>0</v>
      </c>
      <c r="L12" s="132">
        <f>IF(SER_hh_fec_in!L12=0,0,11630*1000*SER_hh_fec_in!L12/SER_hh_num_in!L12)</f>
        <v>0</v>
      </c>
      <c r="M12" s="132">
        <f>IF(SER_hh_fec_in!M12=0,0,11630*1000*SER_hh_fec_in!M12/SER_hh_num_in!M12)</f>
        <v>0</v>
      </c>
      <c r="N12" s="132">
        <f>IF(SER_hh_fec_in!N12=0,0,11630*1000*SER_hh_fec_in!N12/SER_hh_num_in!N12)</f>
        <v>0</v>
      </c>
      <c r="O12" s="132">
        <f>IF(SER_hh_fec_in!O12=0,0,11630*1000*SER_hh_fec_in!O12/SER_hh_num_in!O12)</f>
        <v>0</v>
      </c>
      <c r="P12" s="132">
        <f>IF(SER_hh_fec_in!P12=0,0,11630*1000*SER_hh_fec_in!P12/SER_hh_num_in!P12)</f>
        <v>0</v>
      </c>
      <c r="Q12" s="132">
        <f>IF(SER_hh_fec_in!Q12=0,0,11630*1000*SER_hh_fec_in!Q12/SER_hh_num_in!Q12)</f>
        <v>0</v>
      </c>
      <c r="R12" s="132">
        <f>IF(SER_hh_fec_in!R12=0,0,11630*1000*SER_hh_fec_in!R12/SER_hh_num_in!R12)</f>
        <v>0</v>
      </c>
      <c r="S12" s="132">
        <f>IF(SER_hh_fec_in!S12=0,0,11630*1000*SER_hh_fec_in!S12/SER_hh_num_in!S12)</f>
        <v>0</v>
      </c>
      <c r="T12" s="132">
        <f>IF(SER_hh_fec_in!T12=0,0,11630*1000*SER_hh_fec_in!T12/SER_hh_num_in!T12)</f>
        <v>0</v>
      </c>
      <c r="U12" s="132">
        <f>IF(SER_hh_fec_in!U12=0,0,11630*1000*SER_hh_fec_in!U12/SER_hh_num_in!U12)</f>
        <v>0</v>
      </c>
      <c r="V12" s="132">
        <f>IF(SER_hh_fec_in!V12=0,0,11630*1000*SER_hh_fec_in!V12/SER_hh_num_in!V12)</f>
        <v>0</v>
      </c>
      <c r="W12" s="132">
        <f>IF(SER_hh_fec_in!W12=0,0,11630*1000*SER_hh_fec_in!W12/SER_hh_num_in!W12)</f>
        <v>0</v>
      </c>
      <c r="X12" s="132">
        <f>IF(SER_hh_fec_in!X12=0,0,11630*1000*SER_hh_fec_in!X12/SER_hh_num_in!X12)</f>
        <v>0</v>
      </c>
      <c r="Y12" s="132">
        <f>IF(SER_hh_fec_in!Y12=0,0,11630*1000*SER_hh_fec_in!Y12/SER_hh_num_in!Y12)</f>
        <v>0</v>
      </c>
      <c r="DA12" s="156" t="s">
        <v>733</v>
      </c>
    </row>
    <row r="13" spans="1:105" ht="12" customHeight="1" x14ac:dyDescent="0.25">
      <c r="A13" s="131" t="s">
        <v>77</v>
      </c>
      <c r="B13" s="132"/>
      <c r="C13" s="132">
        <f>IF(SER_hh_fec_in!C13=0,0,11630*1000*SER_hh_fec_in!C13/SER_hh_num_in!C13)</f>
        <v>8202.5930487794285</v>
      </c>
      <c r="D13" s="132">
        <f>IF(SER_hh_fec_in!D13=0,0,11630*1000*SER_hh_fec_in!D13/SER_hh_num_in!D13)</f>
        <v>8530.7173646482261</v>
      </c>
      <c r="E13" s="132">
        <f>IF(SER_hh_fec_in!E13=0,0,11630*1000*SER_hh_fec_in!E13/SER_hh_num_in!E13)</f>
        <v>8377.1954732560334</v>
      </c>
      <c r="F13" s="132">
        <f>IF(SER_hh_fec_in!F13=0,0,11630*1000*SER_hh_fec_in!F13/SER_hh_num_in!F13)</f>
        <v>9061.1718951152961</v>
      </c>
      <c r="G13" s="132">
        <f>IF(SER_hh_fec_in!G13=0,0,11630*1000*SER_hh_fec_in!G13/SER_hh_num_in!G13)</f>
        <v>10292.847214757818</v>
      </c>
      <c r="H13" s="132">
        <f>IF(SER_hh_fec_in!H13=0,0,11630*1000*SER_hh_fec_in!H13/SER_hh_num_in!H13)</f>
        <v>11283.58386297892</v>
      </c>
      <c r="I13" s="132">
        <f>IF(SER_hh_fec_in!I13=0,0,11630*1000*SER_hh_fec_in!I13/SER_hh_num_in!I13)</f>
        <v>11948.573705344023</v>
      </c>
      <c r="J13" s="132">
        <f>IF(SER_hh_fec_in!J13=0,0,11630*1000*SER_hh_fec_in!J13/SER_hh_num_in!J13)</f>
        <v>11834.375773344256</v>
      </c>
      <c r="K13" s="132">
        <f>IF(SER_hh_fec_in!K13=0,0,11630*1000*SER_hh_fec_in!K13/SER_hh_num_in!K13)</f>
        <v>12354.408568908737</v>
      </c>
      <c r="L13" s="132">
        <f>IF(SER_hh_fec_in!L13=0,0,11630*1000*SER_hh_fec_in!L13/SER_hh_num_in!L13)</f>
        <v>10403.369409962792</v>
      </c>
      <c r="M13" s="132">
        <f>IF(SER_hh_fec_in!M13=0,0,11630*1000*SER_hh_fec_in!M13/SER_hh_num_in!M13)</f>
        <v>8495.1208466472635</v>
      </c>
      <c r="N13" s="132">
        <f>IF(SER_hh_fec_in!N13=0,0,11630*1000*SER_hh_fec_in!N13/SER_hh_num_in!N13)</f>
        <v>7940.448841573244</v>
      </c>
      <c r="O13" s="132">
        <f>IF(SER_hh_fec_in!O13=0,0,11630*1000*SER_hh_fec_in!O13/SER_hh_num_in!O13)</f>
        <v>10321.267339612799</v>
      </c>
      <c r="P13" s="132">
        <f>IF(SER_hh_fec_in!P13=0,0,11630*1000*SER_hh_fec_in!P13/SER_hh_num_in!P13)</f>
        <v>8720.558255684</v>
      </c>
      <c r="Q13" s="132">
        <f>IF(SER_hh_fec_in!Q13=0,0,11630*1000*SER_hh_fec_in!Q13/SER_hh_num_in!Q13)</f>
        <v>8714.1089382764658</v>
      </c>
      <c r="R13" s="132">
        <f>IF(SER_hh_fec_in!R13=0,0,11630*1000*SER_hh_fec_in!R13/SER_hh_num_in!R13)</f>
        <v>7853.4013296149287</v>
      </c>
      <c r="S13" s="132">
        <f>IF(SER_hh_fec_in!S13=0,0,11630*1000*SER_hh_fec_in!S13/SER_hh_num_in!S13)</f>
        <v>7405.8675314330849</v>
      </c>
      <c r="T13" s="132">
        <f>IF(SER_hh_fec_in!T13=0,0,11630*1000*SER_hh_fec_in!T13/SER_hh_num_in!T13)</f>
        <v>7035.0349347424617</v>
      </c>
      <c r="U13" s="132">
        <f>IF(SER_hh_fec_in!U13=0,0,11630*1000*SER_hh_fec_in!U13/SER_hh_num_in!U13)</f>
        <v>6754.2900682760192</v>
      </c>
      <c r="V13" s="132">
        <f>IF(SER_hh_fec_in!V13=0,0,11630*1000*SER_hh_fec_in!V13/SER_hh_num_in!V13)</f>
        <v>5730.8580115080667</v>
      </c>
      <c r="W13" s="132">
        <f>IF(SER_hh_fec_in!W13=0,0,11630*1000*SER_hh_fec_in!W13/SER_hh_num_in!W13)</f>
        <v>5200.8433855275762</v>
      </c>
      <c r="X13" s="132">
        <f>IF(SER_hh_fec_in!X13=0,0,11630*1000*SER_hh_fec_in!X13/SER_hh_num_in!X13)</f>
        <v>4763.9722682885213</v>
      </c>
      <c r="Y13" s="132">
        <f>IF(SER_hh_fec_in!Y13=0,0,11630*1000*SER_hh_fec_in!Y13/SER_hh_num_in!Y13)</f>
        <v>4807.1327732537202</v>
      </c>
      <c r="DA13" s="156" t="s">
        <v>734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22376.154189222038</v>
      </c>
      <c r="D14" s="65">
        <f>IF(SER_hh_fec_in!D14=0,0,11630*1000*SER_hh_fec_in!D14/SER_hh_num_in!D14)</f>
        <v>28446.583015770921</v>
      </c>
      <c r="E14" s="65">
        <f>IF(SER_hh_fec_in!E14=0,0,11630*1000*SER_hh_fec_in!E14/SER_hh_num_in!E14)</f>
        <v>25653.899904995149</v>
      </c>
      <c r="F14" s="65">
        <f>IF(SER_hh_fec_in!F14=0,0,11630*1000*SER_hh_fec_in!F14/SER_hh_num_in!F14)</f>
        <v>27477.641896357334</v>
      </c>
      <c r="G14" s="65">
        <f>IF(SER_hh_fec_in!G14=0,0,11630*1000*SER_hh_fec_in!G14/SER_hh_num_in!G14)</f>
        <v>29286.937112256594</v>
      </c>
      <c r="H14" s="65">
        <f>IF(SER_hh_fec_in!H14=0,0,11630*1000*SER_hh_fec_in!H14/SER_hh_num_in!H14)</f>
        <v>43426.592181588108</v>
      </c>
      <c r="I14" s="65">
        <f>IF(SER_hh_fec_in!I14=0,0,11630*1000*SER_hh_fec_in!I14/SER_hh_num_in!I14)</f>
        <v>42263.06675323323</v>
      </c>
      <c r="J14" s="65">
        <f>IF(SER_hh_fec_in!J14=0,0,11630*1000*SER_hh_fec_in!J14/SER_hh_num_in!J14)</f>
        <v>45962.595159512748</v>
      </c>
      <c r="K14" s="65">
        <f>IF(SER_hh_fec_in!K14=0,0,11630*1000*SER_hh_fec_in!K14/SER_hh_num_in!K14)</f>
        <v>48740.985630505915</v>
      </c>
      <c r="L14" s="65">
        <f>IF(SER_hh_fec_in!L14=0,0,11630*1000*SER_hh_fec_in!L14/SER_hh_num_in!L14)</f>
        <v>52253.011459890557</v>
      </c>
      <c r="M14" s="65">
        <f>IF(SER_hh_fec_in!M14=0,0,11630*1000*SER_hh_fec_in!M14/SER_hh_num_in!M14)</f>
        <v>0</v>
      </c>
      <c r="N14" s="65">
        <f>IF(SER_hh_fec_in!N14=0,0,11630*1000*SER_hh_fec_in!N14/SER_hh_num_in!N14)</f>
        <v>0</v>
      </c>
      <c r="O14" s="65">
        <f>IF(SER_hh_fec_in!O14=0,0,11630*1000*SER_hh_fec_in!O14/SER_hh_num_in!O14)</f>
        <v>0</v>
      </c>
      <c r="P14" s="65">
        <f>IF(SER_hh_fec_in!P14=0,0,11630*1000*SER_hh_fec_in!P14/SER_hh_num_in!P14)</f>
        <v>0</v>
      </c>
      <c r="Q14" s="65">
        <f>IF(SER_hh_fec_in!Q14=0,0,11630*1000*SER_hh_fec_in!Q14/SER_hh_num_in!Q14)</f>
        <v>36314.517415162314</v>
      </c>
      <c r="R14" s="65">
        <f>IF(SER_hh_fec_in!R14=0,0,11630*1000*SER_hh_fec_in!R14/SER_hh_num_in!R14)</f>
        <v>54117.861874573508</v>
      </c>
      <c r="S14" s="65">
        <f>IF(SER_hh_fec_in!S14=0,0,11630*1000*SER_hh_fec_in!S14/SER_hh_num_in!S14)</f>
        <v>62774.957393612043</v>
      </c>
      <c r="T14" s="65">
        <f>IF(SER_hh_fec_in!T14=0,0,11630*1000*SER_hh_fec_in!T14/SER_hh_num_in!T14)</f>
        <v>59211.556277530151</v>
      </c>
      <c r="U14" s="65">
        <f>IF(SER_hh_fec_in!U14=0,0,11630*1000*SER_hh_fec_in!U14/SER_hh_num_in!U14)</f>
        <v>69026.608802300936</v>
      </c>
      <c r="V14" s="65">
        <f>IF(SER_hh_fec_in!V14=0,0,11630*1000*SER_hh_fec_in!V14/SER_hh_num_in!V14)</f>
        <v>25989.505640700914</v>
      </c>
      <c r="W14" s="65">
        <f>IF(SER_hh_fec_in!W14=0,0,11630*1000*SER_hh_fec_in!W14/SER_hh_num_in!W14)</f>
        <v>37188.987667065623</v>
      </c>
      <c r="X14" s="65">
        <f>IF(SER_hh_fec_in!X14=0,0,11630*1000*SER_hh_fec_in!X14/SER_hh_num_in!X14)</f>
        <v>41698.730757524143</v>
      </c>
      <c r="Y14" s="65">
        <f>IF(SER_hh_fec_in!Y14=0,0,11630*1000*SER_hh_fec_in!Y14/SER_hh_num_in!Y14)</f>
        <v>39245.107248799628</v>
      </c>
      <c r="DA14" s="109" t="s">
        <v>735</v>
      </c>
    </row>
    <row r="15" spans="1:105" ht="12" customHeight="1" x14ac:dyDescent="0.25">
      <c r="A15" s="133" t="s">
        <v>80</v>
      </c>
      <c r="B15" s="134"/>
      <c r="C15" s="134">
        <f>IF(SER_hh_fec_in!C15=0,0,11630*1000*SER_hh_fec_in!C15/SER_hh_num_in!C15)</f>
        <v>0</v>
      </c>
      <c r="D15" s="134">
        <f>IF(SER_hh_fec_in!D15=0,0,11630*1000*SER_hh_fec_in!D15/SER_hh_num_in!D15)</f>
        <v>0</v>
      </c>
      <c r="E15" s="134">
        <f>IF(SER_hh_fec_in!E15=0,0,11630*1000*SER_hh_fec_in!E15/SER_hh_num_in!E15)</f>
        <v>0</v>
      </c>
      <c r="F15" s="134">
        <f>IF(SER_hh_fec_in!F15=0,0,11630*1000*SER_hh_fec_in!F15/SER_hh_num_in!F15)</f>
        <v>0</v>
      </c>
      <c r="G15" s="134">
        <f>IF(SER_hh_fec_in!G15=0,0,11630*1000*SER_hh_fec_in!G15/SER_hh_num_in!G15)</f>
        <v>0</v>
      </c>
      <c r="H15" s="134">
        <f>IF(SER_hh_fec_in!H15=0,0,11630*1000*SER_hh_fec_in!H15/SER_hh_num_in!H15)</f>
        <v>0</v>
      </c>
      <c r="I15" s="134">
        <f>IF(SER_hh_fec_in!I15=0,0,11630*1000*SER_hh_fec_in!I15/SER_hh_num_in!I15)</f>
        <v>157.56743645466273</v>
      </c>
      <c r="J15" s="134">
        <f>IF(SER_hh_fec_in!J15=0,0,11630*1000*SER_hh_fec_in!J15/SER_hh_num_in!J15)</f>
        <v>556.97160963505905</v>
      </c>
      <c r="K15" s="134">
        <f>IF(SER_hh_fec_in!K15=0,0,11630*1000*SER_hh_fec_in!K15/SER_hh_num_in!K15)</f>
        <v>485.67305651425568</v>
      </c>
      <c r="L15" s="134">
        <f>IF(SER_hh_fec_in!L15=0,0,11630*1000*SER_hh_fec_in!L15/SER_hh_num_in!L15)</f>
        <v>535.00010013870155</v>
      </c>
      <c r="M15" s="134">
        <f>IF(SER_hh_fec_in!M15=0,0,11630*1000*SER_hh_fec_in!M15/SER_hh_num_in!M15)</f>
        <v>509.77121677543425</v>
      </c>
      <c r="N15" s="134">
        <f>IF(SER_hh_fec_in!N15=0,0,11630*1000*SER_hh_fec_in!N15/SER_hh_num_in!N15)</f>
        <v>427.0609774121636</v>
      </c>
      <c r="O15" s="134">
        <f>IF(SER_hh_fec_in!O15=0,0,11630*1000*SER_hh_fec_in!O15/SER_hh_num_in!O15)</f>
        <v>467.90631190850178</v>
      </c>
      <c r="P15" s="134">
        <f>IF(SER_hh_fec_in!P15=0,0,11630*1000*SER_hh_fec_in!P15/SER_hh_num_in!P15)</f>
        <v>162.45960929583683</v>
      </c>
      <c r="Q15" s="134">
        <f>IF(SER_hh_fec_in!Q15=0,0,11630*1000*SER_hh_fec_in!Q15/SER_hh_num_in!Q15)</f>
        <v>329.83840751523655</v>
      </c>
      <c r="R15" s="134">
        <f>IF(SER_hh_fec_in!R15=0,0,11630*1000*SER_hh_fec_in!R15/SER_hh_num_in!R15)</f>
        <v>408.92432054945374</v>
      </c>
      <c r="S15" s="134">
        <f>IF(SER_hh_fec_in!S15=0,0,11630*1000*SER_hh_fec_in!S15/SER_hh_num_in!S15)</f>
        <v>349.08849267629142</v>
      </c>
      <c r="T15" s="134">
        <f>IF(SER_hh_fec_in!T15=0,0,11630*1000*SER_hh_fec_in!T15/SER_hh_num_in!T15)</f>
        <v>578.43479804871345</v>
      </c>
      <c r="U15" s="134">
        <f>IF(SER_hh_fec_in!U15=0,0,11630*1000*SER_hh_fec_in!U15/SER_hh_num_in!U15)</f>
        <v>523.86625406755775</v>
      </c>
      <c r="V15" s="134">
        <f>IF(SER_hh_fec_in!V15=0,0,11630*1000*SER_hh_fec_in!V15/SER_hh_num_in!V15)</f>
        <v>352.0626242664863</v>
      </c>
      <c r="W15" s="134">
        <f>IF(SER_hh_fec_in!W15=0,0,11630*1000*SER_hh_fec_in!W15/SER_hh_num_in!W15)</f>
        <v>331.7418182851863</v>
      </c>
      <c r="X15" s="134">
        <f>IF(SER_hh_fec_in!X15=0,0,11630*1000*SER_hh_fec_in!X15/SER_hh_num_in!X15)</f>
        <v>315.48805883655086</v>
      </c>
      <c r="Y15" s="134">
        <f>IF(SER_hh_fec_in!Y15=0,0,11630*1000*SER_hh_fec_in!Y15/SER_hh_num_in!Y15)</f>
        <v>354.50096735658923</v>
      </c>
      <c r="DA15" s="157" t="s">
        <v>736</v>
      </c>
    </row>
    <row r="16" spans="1:105" ht="12.95" customHeight="1" x14ac:dyDescent="0.25">
      <c r="A16" s="129" t="s">
        <v>74</v>
      </c>
      <c r="B16" s="130"/>
      <c r="C16" s="130">
        <f>IF(SER_hh_fec_in!C16=0,0,11630*1000*SER_hh_fec_in!C16/SER_hh_num_in!C16)</f>
        <v>30044.738144521332</v>
      </c>
      <c r="D16" s="130">
        <f>IF(SER_hh_fec_in!D16=0,0,11630*1000*SER_hh_fec_in!D16/SER_hh_num_in!D16)</f>
        <v>27790.471788534618</v>
      </c>
      <c r="E16" s="130">
        <f>IF(SER_hh_fec_in!E16=0,0,11630*1000*SER_hh_fec_in!E16/SER_hh_num_in!E16)</f>
        <v>28787.16882541349</v>
      </c>
      <c r="F16" s="130">
        <f>IF(SER_hh_fec_in!F16=0,0,11630*1000*SER_hh_fec_in!F16/SER_hh_num_in!F16)</f>
        <v>22907.652498744526</v>
      </c>
      <c r="G16" s="130">
        <f>IF(SER_hh_fec_in!G16=0,0,11630*1000*SER_hh_fec_in!G16/SER_hh_num_in!G16)</f>
        <v>20132.793231866388</v>
      </c>
      <c r="H16" s="130">
        <f>IF(SER_hh_fec_in!H16=0,0,11630*1000*SER_hh_fec_in!H16/SER_hh_num_in!H16)</f>
        <v>22279.509190961653</v>
      </c>
      <c r="I16" s="130">
        <f>IF(SER_hh_fec_in!I16=0,0,11630*1000*SER_hh_fec_in!I16/SER_hh_num_in!I16)</f>
        <v>24021.93781301727</v>
      </c>
      <c r="J16" s="130">
        <f>IF(SER_hh_fec_in!J16=0,0,11630*1000*SER_hh_fec_in!J16/SER_hh_num_in!J16)</f>
        <v>23559.997520323479</v>
      </c>
      <c r="K16" s="130">
        <f>IF(SER_hh_fec_in!K16=0,0,11630*1000*SER_hh_fec_in!K16/SER_hh_num_in!K16)</f>
        <v>21746.834578160473</v>
      </c>
      <c r="L16" s="130">
        <f>IF(SER_hh_fec_in!L16=0,0,11630*1000*SER_hh_fec_in!L16/SER_hh_num_in!L16)</f>
        <v>21836.063948214021</v>
      </c>
      <c r="M16" s="130">
        <f>IF(SER_hh_fec_in!M16=0,0,11630*1000*SER_hh_fec_in!M16/SER_hh_num_in!M16)</f>
        <v>17902.724955606609</v>
      </c>
      <c r="N16" s="130">
        <f>IF(SER_hh_fec_in!N16=0,0,11630*1000*SER_hh_fec_in!N16/SER_hh_num_in!N16)</f>
        <v>20551.815338048185</v>
      </c>
      <c r="O16" s="130">
        <f>IF(SER_hh_fec_in!O16=0,0,11630*1000*SER_hh_fec_in!O16/SER_hh_num_in!O16)</f>
        <v>16176.01307314855</v>
      </c>
      <c r="P16" s="130">
        <f>IF(SER_hh_fec_in!P16=0,0,11630*1000*SER_hh_fec_in!P16/SER_hh_num_in!P16)</f>
        <v>13544.208919376166</v>
      </c>
      <c r="Q16" s="130">
        <f>IF(SER_hh_fec_in!Q16=0,0,11630*1000*SER_hh_fec_in!Q16/SER_hh_num_in!Q16)</f>
        <v>13889.698514757833</v>
      </c>
      <c r="R16" s="130">
        <f>IF(SER_hh_fec_in!R16=0,0,11630*1000*SER_hh_fec_in!R16/SER_hh_num_in!R16)</f>
        <v>14988.059617046012</v>
      </c>
      <c r="S16" s="130">
        <f>IF(SER_hh_fec_in!S16=0,0,11630*1000*SER_hh_fec_in!S16/SER_hh_num_in!S16)</f>
        <v>13671.177286168042</v>
      </c>
      <c r="T16" s="130">
        <f>IF(SER_hh_fec_in!T16=0,0,11630*1000*SER_hh_fec_in!T16/SER_hh_num_in!T16)</f>
        <v>16664.56378894021</v>
      </c>
      <c r="U16" s="130">
        <f>IF(SER_hh_fec_in!U16=0,0,11630*1000*SER_hh_fec_in!U16/SER_hh_num_in!U16)</f>
        <v>13540.732449741281</v>
      </c>
      <c r="V16" s="130">
        <f>IF(SER_hh_fec_in!V16=0,0,11630*1000*SER_hh_fec_in!V16/SER_hh_num_in!V16)</f>
        <v>13455.316235202181</v>
      </c>
      <c r="W16" s="130">
        <f>IF(SER_hh_fec_in!W16=0,0,11630*1000*SER_hh_fec_in!W16/SER_hh_num_in!W16)</f>
        <v>11345.880567102922</v>
      </c>
      <c r="X16" s="130">
        <f>IF(SER_hh_fec_in!X16=0,0,11630*1000*SER_hh_fec_in!X16/SER_hh_num_in!X16)</f>
        <v>9752.9723601736041</v>
      </c>
      <c r="Y16" s="130">
        <f>IF(SER_hh_fec_in!Y16=0,0,11630*1000*SER_hh_fec_in!Y16/SER_hh_num_in!Y16)</f>
        <v>10955.414696408758</v>
      </c>
      <c r="DA16" s="155" t="s">
        <v>737</v>
      </c>
    </row>
    <row r="17" spans="1:105" ht="12.95" customHeight="1" x14ac:dyDescent="0.25">
      <c r="A17" s="131" t="s">
        <v>73</v>
      </c>
      <c r="B17" s="132"/>
      <c r="C17" s="132">
        <f>IF(SER_hh_fec_in!C17=0,0,11630*1000*SER_hh_fec_in!C17/SER_hh_num_in!C17)</f>
        <v>0</v>
      </c>
      <c r="D17" s="132">
        <f>IF(SER_hh_fec_in!D17=0,0,11630*1000*SER_hh_fec_in!D17/SER_hh_num_in!D17)</f>
        <v>0</v>
      </c>
      <c r="E17" s="132">
        <f>IF(SER_hh_fec_in!E17=0,0,11630*1000*SER_hh_fec_in!E17/SER_hh_num_in!E17)</f>
        <v>0</v>
      </c>
      <c r="F17" s="132">
        <f>IF(SER_hh_fec_in!F17=0,0,11630*1000*SER_hh_fec_in!F17/SER_hh_num_in!F17)</f>
        <v>0</v>
      </c>
      <c r="G17" s="132">
        <f>IF(SER_hh_fec_in!G17=0,0,11630*1000*SER_hh_fec_in!G17/SER_hh_num_in!G17)</f>
        <v>0</v>
      </c>
      <c r="H17" s="132">
        <f>IF(SER_hh_fec_in!H17=0,0,11630*1000*SER_hh_fec_in!H17/SER_hh_num_in!H17)</f>
        <v>0</v>
      </c>
      <c r="I17" s="132">
        <f>IF(SER_hh_fec_in!I17=0,0,11630*1000*SER_hh_fec_in!I17/SER_hh_num_in!I17)</f>
        <v>0</v>
      </c>
      <c r="J17" s="132">
        <f>IF(SER_hh_fec_in!J17=0,0,11630*1000*SER_hh_fec_in!J17/SER_hh_num_in!J17)</f>
        <v>0</v>
      </c>
      <c r="K17" s="132">
        <f>IF(SER_hh_fec_in!K17=0,0,11630*1000*SER_hh_fec_in!K17/SER_hh_num_in!K17)</f>
        <v>0</v>
      </c>
      <c r="L17" s="132">
        <f>IF(SER_hh_fec_in!L17=0,0,11630*1000*SER_hh_fec_in!L17/SER_hh_num_in!L17)</f>
        <v>0</v>
      </c>
      <c r="M17" s="132">
        <f>IF(SER_hh_fec_in!M17=0,0,11630*1000*SER_hh_fec_in!M17/SER_hh_num_in!M17)</f>
        <v>0</v>
      </c>
      <c r="N17" s="132">
        <f>IF(SER_hh_fec_in!N17=0,0,11630*1000*SER_hh_fec_in!N17/SER_hh_num_in!N17)</f>
        <v>0</v>
      </c>
      <c r="O17" s="132">
        <f>IF(SER_hh_fec_in!O17=0,0,11630*1000*SER_hh_fec_in!O17/SER_hh_num_in!O17)</f>
        <v>0</v>
      </c>
      <c r="P17" s="132">
        <f>IF(SER_hh_fec_in!P17=0,0,11630*1000*SER_hh_fec_in!P17/SER_hh_num_in!P17)</f>
        <v>0</v>
      </c>
      <c r="Q17" s="132">
        <f>IF(SER_hh_fec_in!Q17=0,0,11630*1000*SER_hh_fec_in!Q17/SER_hh_num_in!Q17)</f>
        <v>0</v>
      </c>
      <c r="R17" s="132">
        <f>IF(SER_hh_fec_in!R17=0,0,11630*1000*SER_hh_fec_in!R17/SER_hh_num_in!R17)</f>
        <v>0</v>
      </c>
      <c r="S17" s="132">
        <f>IF(SER_hh_fec_in!S17=0,0,11630*1000*SER_hh_fec_in!S17/SER_hh_num_in!S17)</f>
        <v>0</v>
      </c>
      <c r="T17" s="132">
        <f>IF(SER_hh_fec_in!T17=0,0,11630*1000*SER_hh_fec_in!T17/SER_hh_num_in!T17)</f>
        <v>0</v>
      </c>
      <c r="U17" s="132">
        <f>IF(SER_hh_fec_in!U17=0,0,11630*1000*SER_hh_fec_in!U17/SER_hh_num_in!U17)</f>
        <v>0</v>
      </c>
      <c r="V17" s="132">
        <f>IF(SER_hh_fec_in!V17=0,0,11630*1000*SER_hh_fec_in!V17/SER_hh_num_in!V17)</f>
        <v>0</v>
      </c>
      <c r="W17" s="132">
        <f>IF(SER_hh_fec_in!W17=0,0,11630*1000*SER_hh_fec_in!W17/SER_hh_num_in!W17)</f>
        <v>0</v>
      </c>
      <c r="X17" s="132">
        <f>IF(SER_hh_fec_in!X17=0,0,11630*1000*SER_hh_fec_in!X17/SER_hh_num_in!X17)</f>
        <v>0</v>
      </c>
      <c r="Y17" s="132">
        <f>IF(SER_hh_fec_in!Y17=0,0,11630*1000*SER_hh_fec_in!Y17/SER_hh_num_in!Y17)</f>
        <v>0</v>
      </c>
      <c r="DA17" s="156" t="s">
        <v>738</v>
      </c>
    </row>
    <row r="18" spans="1:105" ht="12" customHeight="1" x14ac:dyDescent="0.25">
      <c r="A18" s="131" t="s">
        <v>72</v>
      </c>
      <c r="B18" s="132"/>
      <c r="C18" s="132">
        <f>IF(SER_hh_fec_in!C18=0,0,11630*1000*SER_hh_fec_in!C18/SER_hh_num_in!C18)</f>
        <v>30044.738144521332</v>
      </c>
      <c r="D18" s="132">
        <f>IF(SER_hh_fec_in!D18=0,0,11630*1000*SER_hh_fec_in!D18/SER_hh_num_in!D18)</f>
        <v>27790.471788534618</v>
      </c>
      <c r="E18" s="132">
        <f>IF(SER_hh_fec_in!E18=0,0,11630*1000*SER_hh_fec_in!E18/SER_hh_num_in!E18)</f>
        <v>28787.16882541349</v>
      </c>
      <c r="F18" s="132">
        <f>IF(SER_hh_fec_in!F18=0,0,11630*1000*SER_hh_fec_in!F18/SER_hh_num_in!F18)</f>
        <v>22907.652498744526</v>
      </c>
      <c r="G18" s="132">
        <f>IF(SER_hh_fec_in!G18=0,0,11630*1000*SER_hh_fec_in!G18/SER_hh_num_in!G18)</f>
        <v>20132.793231866388</v>
      </c>
      <c r="H18" s="132">
        <f>IF(SER_hh_fec_in!H18=0,0,11630*1000*SER_hh_fec_in!H18/SER_hh_num_in!H18)</f>
        <v>22279.509190961653</v>
      </c>
      <c r="I18" s="132">
        <f>IF(SER_hh_fec_in!I18=0,0,11630*1000*SER_hh_fec_in!I18/SER_hh_num_in!I18)</f>
        <v>24021.93781301727</v>
      </c>
      <c r="J18" s="132">
        <f>IF(SER_hh_fec_in!J18=0,0,11630*1000*SER_hh_fec_in!J18/SER_hh_num_in!J18)</f>
        <v>23559.997520323479</v>
      </c>
      <c r="K18" s="132">
        <f>IF(SER_hh_fec_in!K18=0,0,11630*1000*SER_hh_fec_in!K18/SER_hh_num_in!K18)</f>
        <v>21746.834578160473</v>
      </c>
      <c r="L18" s="132">
        <f>IF(SER_hh_fec_in!L18=0,0,11630*1000*SER_hh_fec_in!L18/SER_hh_num_in!L18)</f>
        <v>21836.063948214021</v>
      </c>
      <c r="M18" s="132">
        <f>IF(SER_hh_fec_in!M18=0,0,11630*1000*SER_hh_fec_in!M18/SER_hh_num_in!M18)</f>
        <v>17902.724955606609</v>
      </c>
      <c r="N18" s="132">
        <f>IF(SER_hh_fec_in!N18=0,0,11630*1000*SER_hh_fec_in!N18/SER_hh_num_in!N18)</f>
        <v>20551.815338048185</v>
      </c>
      <c r="O18" s="132">
        <f>IF(SER_hh_fec_in!O18=0,0,11630*1000*SER_hh_fec_in!O18/SER_hh_num_in!O18)</f>
        <v>16176.01307314855</v>
      </c>
      <c r="P18" s="132">
        <f>IF(SER_hh_fec_in!P18=0,0,11630*1000*SER_hh_fec_in!P18/SER_hh_num_in!P18)</f>
        <v>13544.208919376166</v>
      </c>
      <c r="Q18" s="132">
        <f>IF(SER_hh_fec_in!Q18=0,0,11630*1000*SER_hh_fec_in!Q18/SER_hh_num_in!Q18)</f>
        <v>13889.698514757833</v>
      </c>
      <c r="R18" s="132">
        <f>IF(SER_hh_fec_in!R18=0,0,11630*1000*SER_hh_fec_in!R18/SER_hh_num_in!R18)</f>
        <v>14988.059617046012</v>
      </c>
      <c r="S18" s="132">
        <f>IF(SER_hh_fec_in!S18=0,0,11630*1000*SER_hh_fec_in!S18/SER_hh_num_in!S18)</f>
        <v>13671.177286168042</v>
      </c>
      <c r="T18" s="132">
        <f>IF(SER_hh_fec_in!T18=0,0,11630*1000*SER_hh_fec_in!T18/SER_hh_num_in!T18)</f>
        <v>16664.56378894021</v>
      </c>
      <c r="U18" s="132">
        <f>IF(SER_hh_fec_in!U18=0,0,11630*1000*SER_hh_fec_in!U18/SER_hh_num_in!U18)</f>
        <v>13540.732449741281</v>
      </c>
      <c r="V18" s="132">
        <f>IF(SER_hh_fec_in!V18=0,0,11630*1000*SER_hh_fec_in!V18/SER_hh_num_in!V18)</f>
        <v>13455.316235202181</v>
      </c>
      <c r="W18" s="132">
        <f>IF(SER_hh_fec_in!W18=0,0,11630*1000*SER_hh_fec_in!W18/SER_hh_num_in!W18)</f>
        <v>11345.880567102922</v>
      </c>
      <c r="X18" s="132">
        <f>IF(SER_hh_fec_in!X18=0,0,11630*1000*SER_hh_fec_in!X18/SER_hh_num_in!X18)</f>
        <v>9752.9723601736041</v>
      </c>
      <c r="Y18" s="132">
        <f>IF(SER_hh_fec_in!Y18=0,0,11630*1000*SER_hh_fec_in!Y18/SER_hh_num_in!Y18)</f>
        <v>10955.414696408758</v>
      </c>
      <c r="DA18" s="156" t="s">
        <v>739</v>
      </c>
    </row>
    <row r="19" spans="1:105" ht="12.95" customHeight="1" x14ac:dyDescent="0.25">
      <c r="A19" s="129" t="s">
        <v>35</v>
      </c>
      <c r="B19" s="130"/>
      <c r="C19" s="130">
        <f>IF(SER_hh_fec_in!C19=0,0,11630*1000*SER_hh_fec_in!C19/SER_hh_num_in!C19)</f>
        <v>16146.936918321673</v>
      </c>
      <c r="D19" s="130">
        <f>IF(SER_hh_fec_in!D19=0,0,11630*1000*SER_hh_fec_in!D19/SER_hh_num_in!D19)</f>
        <v>13482.363221587277</v>
      </c>
      <c r="E19" s="130">
        <f>IF(SER_hh_fec_in!E19=0,0,11630*1000*SER_hh_fec_in!E19/SER_hh_num_in!E19)</f>
        <v>14010.066036614306</v>
      </c>
      <c r="F19" s="130">
        <f>IF(SER_hh_fec_in!F19=0,0,11630*1000*SER_hh_fec_in!F19/SER_hh_num_in!F19)</f>
        <v>13858.745936857391</v>
      </c>
      <c r="G19" s="130">
        <f>IF(SER_hh_fec_in!G19=0,0,11630*1000*SER_hh_fec_in!G19/SER_hh_num_in!G19)</f>
        <v>14256.509378095789</v>
      </c>
      <c r="H19" s="130">
        <f>IF(SER_hh_fec_in!H19=0,0,11630*1000*SER_hh_fec_in!H19/SER_hh_num_in!H19)</f>
        <v>21312.025689301827</v>
      </c>
      <c r="I19" s="130">
        <f>IF(SER_hh_fec_in!I19=0,0,11630*1000*SER_hh_fec_in!I19/SER_hh_num_in!I19)</f>
        <v>18158.777214636026</v>
      </c>
      <c r="J19" s="130">
        <f>IF(SER_hh_fec_in!J19=0,0,11630*1000*SER_hh_fec_in!J19/SER_hh_num_in!J19)</f>
        <v>16645.339785597374</v>
      </c>
      <c r="K19" s="130">
        <f>IF(SER_hh_fec_in!K19=0,0,11630*1000*SER_hh_fec_in!K19/SER_hh_num_in!K19)</f>
        <v>11973.484105320011</v>
      </c>
      <c r="L19" s="130">
        <f>IF(SER_hh_fec_in!L19=0,0,11630*1000*SER_hh_fec_in!L19/SER_hh_num_in!L19)</f>
        <v>11848.352799604472</v>
      </c>
      <c r="M19" s="130">
        <f>IF(SER_hh_fec_in!M19=0,0,11630*1000*SER_hh_fec_in!M19/SER_hh_num_in!M19)</f>
        <v>11282.833393853578</v>
      </c>
      <c r="N19" s="130">
        <f>IF(SER_hh_fec_in!N19=0,0,11630*1000*SER_hh_fec_in!N19/SER_hh_num_in!N19)</f>
        <v>12867.777425003047</v>
      </c>
      <c r="O19" s="130">
        <f>IF(SER_hh_fec_in!O19=0,0,11630*1000*SER_hh_fec_in!O19/SER_hh_num_in!O19)</f>
        <v>13359.649651197959</v>
      </c>
      <c r="P19" s="130">
        <f>IF(SER_hh_fec_in!P19=0,0,11630*1000*SER_hh_fec_in!P19/SER_hh_num_in!P19)</f>
        <v>13594.029382455323</v>
      </c>
      <c r="Q19" s="130">
        <f>IF(SER_hh_fec_in!Q19=0,0,11630*1000*SER_hh_fec_in!Q19/SER_hh_num_in!Q19)</f>
        <v>13126.010704930481</v>
      </c>
      <c r="R19" s="130">
        <f>IF(SER_hh_fec_in!R19=0,0,11630*1000*SER_hh_fec_in!R19/SER_hh_num_in!R19)</f>
        <v>12611.040291565176</v>
      </c>
      <c r="S19" s="130">
        <f>IF(SER_hh_fec_in!S19=0,0,11630*1000*SER_hh_fec_in!S19/SER_hh_num_in!S19)</f>
        <v>11931.701797016403</v>
      </c>
      <c r="T19" s="130">
        <f>IF(SER_hh_fec_in!T19=0,0,11630*1000*SER_hh_fec_in!T19/SER_hh_num_in!T19)</f>
        <v>12217.480279009991</v>
      </c>
      <c r="U19" s="130">
        <f>IF(SER_hh_fec_in!U19=0,0,11630*1000*SER_hh_fec_in!U19/SER_hh_num_in!U19)</f>
        <v>12349.636249652967</v>
      </c>
      <c r="V19" s="130">
        <f>IF(SER_hh_fec_in!V19=0,0,11630*1000*SER_hh_fec_in!V19/SER_hh_num_in!V19)</f>
        <v>10707.548121135493</v>
      </c>
      <c r="W19" s="130">
        <f>IF(SER_hh_fec_in!W19=0,0,11630*1000*SER_hh_fec_in!W19/SER_hh_num_in!W19)</f>
        <v>11398.169183073891</v>
      </c>
      <c r="X19" s="130">
        <f>IF(SER_hh_fec_in!X19=0,0,11630*1000*SER_hh_fec_in!X19/SER_hh_num_in!X19)</f>
        <v>12311.485004528582</v>
      </c>
      <c r="Y19" s="130">
        <f>IF(SER_hh_fec_in!Y19=0,0,11630*1000*SER_hh_fec_in!Y19/SER_hh_num_in!Y19)</f>
        <v>12670.867212580979</v>
      </c>
      <c r="DA19" s="155" t="s">
        <v>740</v>
      </c>
    </row>
    <row r="20" spans="1:105" ht="12" customHeight="1" x14ac:dyDescent="0.25">
      <c r="A20" s="131" t="s">
        <v>29</v>
      </c>
      <c r="B20" s="132"/>
      <c r="C20" s="132">
        <f>IF(SER_hh_fec_in!C20=0,0,11630*1000*SER_hh_fec_in!C20/SER_hh_num_in!C20)</f>
        <v>0</v>
      </c>
      <c r="D20" s="132">
        <f>IF(SER_hh_fec_in!D20=0,0,11630*1000*SER_hh_fec_in!D20/SER_hh_num_in!D20)</f>
        <v>0</v>
      </c>
      <c r="E20" s="132">
        <f>IF(SER_hh_fec_in!E20=0,0,11630*1000*SER_hh_fec_in!E20/SER_hh_num_in!E20)</f>
        <v>0</v>
      </c>
      <c r="F20" s="132">
        <f>IF(SER_hh_fec_in!F20=0,0,11630*1000*SER_hh_fec_in!F20/SER_hh_num_in!F20)</f>
        <v>0</v>
      </c>
      <c r="G20" s="132">
        <f>IF(SER_hh_fec_in!G20=0,0,11630*1000*SER_hh_fec_in!G20/SER_hh_num_in!G20)</f>
        <v>0</v>
      </c>
      <c r="H20" s="132">
        <f>IF(SER_hh_fec_in!H20=0,0,11630*1000*SER_hh_fec_in!H20/SER_hh_num_in!H20)</f>
        <v>0</v>
      </c>
      <c r="I20" s="132">
        <f>IF(SER_hh_fec_in!I20=0,0,11630*1000*SER_hh_fec_in!I20/SER_hh_num_in!I20)</f>
        <v>0</v>
      </c>
      <c r="J20" s="132">
        <f>IF(SER_hh_fec_in!J20=0,0,11630*1000*SER_hh_fec_in!J20/SER_hh_num_in!J20)</f>
        <v>0</v>
      </c>
      <c r="K20" s="132">
        <f>IF(SER_hh_fec_in!K20=0,0,11630*1000*SER_hh_fec_in!K20/SER_hh_num_in!K20)</f>
        <v>0</v>
      </c>
      <c r="L20" s="132">
        <f>IF(SER_hh_fec_in!L20=0,0,11630*1000*SER_hh_fec_in!L20/SER_hh_num_in!L20)</f>
        <v>0</v>
      </c>
      <c r="M20" s="132">
        <f>IF(SER_hh_fec_in!M20=0,0,11630*1000*SER_hh_fec_in!M20/SER_hh_num_in!M20)</f>
        <v>0</v>
      </c>
      <c r="N20" s="132">
        <f>IF(SER_hh_fec_in!N20=0,0,11630*1000*SER_hh_fec_in!N20/SER_hh_num_in!N20)</f>
        <v>0</v>
      </c>
      <c r="O20" s="132">
        <f>IF(SER_hh_fec_in!O20=0,0,11630*1000*SER_hh_fec_in!O20/SER_hh_num_in!O20)</f>
        <v>0</v>
      </c>
      <c r="P20" s="132">
        <f>IF(SER_hh_fec_in!P20=0,0,11630*1000*SER_hh_fec_in!P20/SER_hh_num_in!P20)</f>
        <v>0</v>
      </c>
      <c r="Q20" s="132">
        <f>IF(SER_hh_fec_in!Q20=0,0,11630*1000*SER_hh_fec_in!Q20/SER_hh_num_in!Q20)</f>
        <v>0</v>
      </c>
      <c r="R20" s="132">
        <f>IF(SER_hh_fec_in!R20=0,0,11630*1000*SER_hh_fec_in!R20/SER_hh_num_in!R20)</f>
        <v>0</v>
      </c>
      <c r="S20" s="132">
        <f>IF(SER_hh_fec_in!S20=0,0,11630*1000*SER_hh_fec_in!S20/SER_hh_num_in!S20)</f>
        <v>0</v>
      </c>
      <c r="T20" s="132">
        <f>IF(SER_hh_fec_in!T20=0,0,11630*1000*SER_hh_fec_in!T20/SER_hh_num_in!T20)</f>
        <v>0</v>
      </c>
      <c r="U20" s="132">
        <f>IF(SER_hh_fec_in!U20=0,0,11630*1000*SER_hh_fec_in!U20/SER_hh_num_in!U20)</f>
        <v>0</v>
      </c>
      <c r="V20" s="132">
        <f>IF(SER_hh_fec_in!V20=0,0,11630*1000*SER_hh_fec_in!V20/SER_hh_num_in!V20)</f>
        <v>0</v>
      </c>
      <c r="W20" s="132">
        <f>IF(SER_hh_fec_in!W20=0,0,11630*1000*SER_hh_fec_in!W20/SER_hh_num_in!W20)</f>
        <v>0</v>
      </c>
      <c r="X20" s="132">
        <f>IF(SER_hh_fec_in!X20=0,0,11630*1000*SER_hh_fec_in!X20/SER_hh_num_in!X20)</f>
        <v>0</v>
      </c>
      <c r="Y20" s="132">
        <f>IF(SER_hh_fec_in!Y20=0,0,11630*1000*SER_hh_fec_in!Y20/SER_hh_num_in!Y20)</f>
        <v>0</v>
      </c>
      <c r="DA20" s="156" t="s">
        <v>741</v>
      </c>
    </row>
    <row r="21" spans="1:105" s="2" customFormat="1" ht="12" customHeight="1" x14ac:dyDescent="0.25">
      <c r="A21" s="131" t="s">
        <v>52</v>
      </c>
      <c r="B21" s="132"/>
      <c r="C21" s="132">
        <f>IF(SER_hh_fec_in!C21=0,0,11630*1000*SER_hh_fec_in!C21/SER_hh_num_in!C21)</f>
        <v>0</v>
      </c>
      <c r="D21" s="132">
        <f>IF(SER_hh_fec_in!D21=0,0,11630*1000*SER_hh_fec_in!D21/SER_hh_num_in!D21)</f>
        <v>0</v>
      </c>
      <c r="E21" s="132">
        <f>IF(SER_hh_fec_in!E21=0,0,11630*1000*SER_hh_fec_in!E21/SER_hh_num_in!E21)</f>
        <v>0</v>
      </c>
      <c r="F21" s="132">
        <f>IF(SER_hh_fec_in!F21=0,0,11630*1000*SER_hh_fec_in!F21/SER_hh_num_in!F21)</f>
        <v>0</v>
      </c>
      <c r="G21" s="132">
        <f>IF(SER_hh_fec_in!G21=0,0,11630*1000*SER_hh_fec_in!G21/SER_hh_num_in!G21)</f>
        <v>0</v>
      </c>
      <c r="H21" s="132">
        <f>IF(SER_hh_fec_in!H21=0,0,11630*1000*SER_hh_fec_in!H21/SER_hh_num_in!H21)</f>
        <v>11968.091072279114</v>
      </c>
      <c r="I21" s="132">
        <f>IF(SER_hh_fec_in!I21=0,0,11630*1000*SER_hh_fec_in!I21/SER_hh_num_in!I21)</f>
        <v>11231.79332167666</v>
      </c>
      <c r="J21" s="132">
        <f>IF(SER_hh_fec_in!J21=0,0,11630*1000*SER_hh_fec_in!J21/SER_hh_num_in!J21)</f>
        <v>10778.447562176161</v>
      </c>
      <c r="K21" s="132">
        <f>IF(SER_hh_fec_in!K21=0,0,11630*1000*SER_hh_fec_in!K21/SER_hh_num_in!K21)</f>
        <v>14709.914669295185</v>
      </c>
      <c r="L21" s="132">
        <f>IF(SER_hh_fec_in!L21=0,0,11630*1000*SER_hh_fec_in!L21/SER_hh_num_in!L21)</f>
        <v>19242.738111090708</v>
      </c>
      <c r="M21" s="132">
        <f>IF(SER_hh_fec_in!M21=0,0,11630*1000*SER_hh_fec_in!M21/SER_hh_num_in!M21)</f>
        <v>0</v>
      </c>
      <c r="N21" s="132">
        <f>IF(SER_hh_fec_in!N21=0,0,11630*1000*SER_hh_fec_in!N21/SER_hh_num_in!N21)</f>
        <v>0</v>
      </c>
      <c r="O21" s="132">
        <f>IF(SER_hh_fec_in!O21=0,0,11630*1000*SER_hh_fec_in!O21/SER_hh_num_in!O21)</f>
        <v>0</v>
      </c>
      <c r="P21" s="132">
        <f>IF(SER_hh_fec_in!P21=0,0,11630*1000*SER_hh_fec_in!P21/SER_hh_num_in!P21)</f>
        <v>0</v>
      </c>
      <c r="Q21" s="132">
        <f>IF(SER_hh_fec_in!Q21=0,0,11630*1000*SER_hh_fec_in!Q21/SER_hh_num_in!Q21)</f>
        <v>0</v>
      </c>
      <c r="R21" s="132">
        <f>IF(SER_hh_fec_in!R21=0,0,11630*1000*SER_hh_fec_in!R21/SER_hh_num_in!R21)</f>
        <v>10624.481187483298</v>
      </c>
      <c r="S21" s="132">
        <f>IF(SER_hh_fec_in!S21=0,0,11630*1000*SER_hh_fec_in!S21/SER_hh_num_in!S21)</f>
        <v>8825.2498337082998</v>
      </c>
      <c r="T21" s="132">
        <f>IF(SER_hh_fec_in!T21=0,0,11630*1000*SER_hh_fec_in!T21/SER_hh_num_in!T21)</f>
        <v>12206.949683118204</v>
      </c>
      <c r="U21" s="132">
        <f>IF(SER_hh_fec_in!U21=0,0,11630*1000*SER_hh_fec_in!U21/SER_hh_num_in!U21)</f>
        <v>12259.533710046209</v>
      </c>
      <c r="V21" s="132">
        <f>IF(SER_hh_fec_in!V21=0,0,11630*1000*SER_hh_fec_in!V21/SER_hh_num_in!V21)</f>
        <v>7445.4690790923742</v>
      </c>
      <c r="W21" s="132">
        <f>IF(SER_hh_fec_in!W21=0,0,11630*1000*SER_hh_fec_in!W21/SER_hh_num_in!W21)</f>
        <v>11409.237650935029</v>
      </c>
      <c r="X21" s="132">
        <f>IF(SER_hh_fec_in!X21=0,0,11630*1000*SER_hh_fec_in!X21/SER_hh_num_in!X21)</f>
        <v>13826.916964070573</v>
      </c>
      <c r="Y21" s="132">
        <f>IF(SER_hh_fec_in!Y21=0,0,11630*1000*SER_hh_fec_in!Y21/SER_hh_num_in!Y21)</f>
        <v>13903.929488301459</v>
      </c>
      <c r="DA21" s="156" t="s">
        <v>742</v>
      </c>
    </row>
    <row r="22" spans="1:105" ht="12" customHeight="1" x14ac:dyDescent="0.25">
      <c r="A22" s="131" t="s">
        <v>161</v>
      </c>
      <c r="B22" s="132"/>
      <c r="C22" s="132">
        <f>IF(SER_hh_fec_in!C22=0,0,11630*1000*SER_hh_fec_in!C22/SER_hh_num_in!C22)</f>
        <v>24909.591824566989</v>
      </c>
      <c r="D22" s="132">
        <f>IF(SER_hh_fec_in!D22=0,0,11630*1000*SER_hh_fec_in!D22/SER_hh_num_in!D22)</f>
        <v>8249.3873105737548</v>
      </c>
      <c r="E22" s="132">
        <f>IF(SER_hh_fec_in!E22=0,0,11630*1000*SER_hh_fec_in!E22/SER_hh_num_in!E22)</f>
        <v>17641.580169348235</v>
      </c>
      <c r="F22" s="132">
        <f>IF(SER_hh_fec_in!F22=0,0,11630*1000*SER_hh_fec_in!F22/SER_hh_num_in!F22)</f>
        <v>19848.83428176185</v>
      </c>
      <c r="G22" s="132">
        <f>IF(SER_hh_fec_in!G22=0,0,11630*1000*SER_hh_fec_in!G22/SER_hh_num_in!G22)</f>
        <v>18265.804003359084</v>
      </c>
      <c r="H22" s="132">
        <f>IF(SER_hh_fec_in!H22=0,0,11630*1000*SER_hh_fec_in!H22/SER_hh_num_in!H22)</f>
        <v>24051.832307906778</v>
      </c>
      <c r="I22" s="132">
        <f>IF(SER_hh_fec_in!I22=0,0,11630*1000*SER_hh_fec_in!I22/SER_hh_num_in!I22)</f>
        <v>11545.933448078173</v>
      </c>
      <c r="J22" s="132">
        <f>IF(SER_hh_fec_in!J22=0,0,11630*1000*SER_hh_fec_in!J22/SER_hh_num_in!J22)</f>
        <v>12954.049989862193</v>
      </c>
      <c r="K22" s="132">
        <f>IF(SER_hh_fec_in!K22=0,0,11630*1000*SER_hh_fec_in!K22/SER_hh_num_in!K22)</f>
        <v>19676.186966083696</v>
      </c>
      <c r="L22" s="132">
        <f>IF(SER_hh_fec_in!L22=0,0,11630*1000*SER_hh_fec_in!L22/SER_hh_num_in!L22)</f>
        <v>25420.581389831994</v>
      </c>
      <c r="M22" s="132">
        <f>IF(SER_hh_fec_in!M22=0,0,11630*1000*SER_hh_fec_in!M22/SER_hh_num_in!M22)</f>
        <v>21932.38728158869</v>
      </c>
      <c r="N22" s="132">
        <f>IF(SER_hh_fec_in!N22=0,0,11630*1000*SER_hh_fec_in!N22/SER_hh_num_in!N22)</f>
        <v>24548.527913118109</v>
      </c>
      <c r="O22" s="132">
        <f>IF(SER_hh_fec_in!O22=0,0,11630*1000*SER_hh_fec_in!O22/SER_hh_num_in!O22)</f>
        <v>22772.777180724734</v>
      </c>
      <c r="P22" s="132">
        <f>IF(SER_hh_fec_in!P22=0,0,11630*1000*SER_hh_fec_in!P22/SER_hh_num_in!P22)</f>
        <v>17281.554383828701</v>
      </c>
      <c r="Q22" s="132">
        <f>IF(SER_hh_fec_in!Q22=0,0,11630*1000*SER_hh_fec_in!Q22/SER_hh_num_in!Q22)</f>
        <v>9683.339265891098</v>
      </c>
      <c r="R22" s="132">
        <f>IF(SER_hh_fec_in!R22=0,0,11630*1000*SER_hh_fec_in!R22/SER_hh_num_in!R22)</f>
        <v>12075.981404317061</v>
      </c>
      <c r="S22" s="132">
        <f>IF(SER_hh_fec_in!S22=0,0,11630*1000*SER_hh_fec_in!S22/SER_hh_num_in!S22)</f>
        <v>9910.9888496788644</v>
      </c>
      <c r="T22" s="132">
        <f>IF(SER_hh_fec_in!T22=0,0,11630*1000*SER_hh_fec_in!T22/SER_hh_num_in!T22)</f>
        <v>14622.118351924641</v>
      </c>
      <c r="U22" s="132">
        <f>IF(SER_hh_fec_in!U22=0,0,11630*1000*SER_hh_fec_in!U22/SER_hh_num_in!U22)</f>
        <v>13890.927462885449</v>
      </c>
      <c r="V22" s="132">
        <f>IF(SER_hh_fec_in!V22=0,0,11630*1000*SER_hh_fec_in!V22/SER_hh_num_in!V22)</f>
        <v>8310.3864401813389</v>
      </c>
      <c r="W22" s="132">
        <f>IF(SER_hh_fec_in!W22=0,0,11630*1000*SER_hh_fec_in!W22/SER_hh_num_in!W22)</f>
        <v>14872.481313260672</v>
      </c>
      <c r="X22" s="132">
        <f>IF(SER_hh_fec_in!X22=0,0,11630*1000*SER_hh_fec_in!X22/SER_hh_num_in!X22)</f>
        <v>17988.12137432503</v>
      </c>
      <c r="Y22" s="132">
        <f>IF(SER_hh_fec_in!Y22=0,0,11630*1000*SER_hh_fec_in!Y22/SER_hh_num_in!Y22)</f>
        <v>18270.191641533478</v>
      </c>
      <c r="DA22" s="156" t="s">
        <v>743</v>
      </c>
    </row>
    <row r="23" spans="1:105" ht="12" customHeight="1" x14ac:dyDescent="0.25">
      <c r="A23" s="131" t="s">
        <v>149</v>
      </c>
      <c r="B23" s="132"/>
      <c r="C23" s="132">
        <f>IF(SER_hh_fec_in!C23=0,0,11630*1000*SER_hh_fec_in!C23/SER_hh_num_in!C23)</f>
        <v>0</v>
      </c>
      <c r="D23" s="132">
        <f>IF(SER_hh_fec_in!D23=0,0,11630*1000*SER_hh_fec_in!D23/SER_hh_num_in!D23)</f>
        <v>0</v>
      </c>
      <c r="E23" s="132">
        <f>IF(SER_hh_fec_in!E23=0,0,11630*1000*SER_hh_fec_in!E23/SER_hh_num_in!E23)</f>
        <v>0</v>
      </c>
      <c r="F23" s="132">
        <f>IF(SER_hh_fec_in!F23=0,0,11630*1000*SER_hh_fec_in!F23/SER_hh_num_in!F23)</f>
        <v>0</v>
      </c>
      <c r="G23" s="132">
        <f>IF(SER_hh_fec_in!G23=0,0,11630*1000*SER_hh_fec_in!G23/SER_hh_num_in!G23)</f>
        <v>0</v>
      </c>
      <c r="H23" s="132">
        <f>IF(SER_hh_fec_in!H23=0,0,11630*1000*SER_hh_fec_in!H23/SER_hh_num_in!H23)</f>
        <v>0</v>
      </c>
      <c r="I23" s="132">
        <f>IF(SER_hh_fec_in!I23=0,0,11630*1000*SER_hh_fec_in!I23/SER_hh_num_in!I23)</f>
        <v>0</v>
      </c>
      <c r="J23" s="132">
        <f>IF(SER_hh_fec_in!J23=0,0,11630*1000*SER_hh_fec_in!J23/SER_hh_num_in!J23)</f>
        <v>0</v>
      </c>
      <c r="K23" s="132">
        <f>IF(SER_hh_fec_in!K23=0,0,11630*1000*SER_hh_fec_in!K23/SER_hh_num_in!K23)</f>
        <v>0</v>
      </c>
      <c r="L23" s="132">
        <f>IF(SER_hh_fec_in!L23=0,0,11630*1000*SER_hh_fec_in!L23/SER_hh_num_in!L23)</f>
        <v>0</v>
      </c>
      <c r="M23" s="132">
        <f>IF(SER_hh_fec_in!M23=0,0,11630*1000*SER_hh_fec_in!M23/SER_hh_num_in!M23)</f>
        <v>0</v>
      </c>
      <c r="N23" s="132">
        <f>IF(SER_hh_fec_in!N23=0,0,11630*1000*SER_hh_fec_in!N23/SER_hh_num_in!N23)</f>
        <v>0</v>
      </c>
      <c r="O23" s="132">
        <f>IF(SER_hh_fec_in!O23=0,0,11630*1000*SER_hh_fec_in!O23/SER_hh_num_in!O23)</f>
        <v>0</v>
      </c>
      <c r="P23" s="132">
        <f>IF(SER_hh_fec_in!P23=0,0,11630*1000*SER_hh_fec_in!P23/SER_hh_num_in!P23)</f>
        <v>0</v>
      </c>
      <c r="Q23" s="132">
        <f>IF(SER_hh_fec_in!Q23=0,0,11630*1000*SER_hh_fec_in!Q23/SER_hh_num_in!Q23)</f>
        <v>0</v>
      </c>
      <c r="R23" s="132">
        <f>IF(SER_hh_fec_in!R23=0,0,11630*1000*SER_hh_fec_in!R23/SER_hh_num_in!R23)</f>
        <v>0</v>
      </c>
      <c r="S23" s="132">
        <f>IF(SER_hh_fec_in!S23=0,0,11630*1000*SER_hh_fec_in!S23/SER_hh_num_in!S23)</f>
        <v>0</v>
      </c>
      <c r="T23" s="132">
        <f>IF(SER_hh_fec_in!T23=0,0,11630*1000*SER_hh_fec_in!T23/SER_hh_num_in!T23)</f>
        <v>0</v>
      </c>
      <c r="U23" s="132">
        <f>IF(SER_hh_fec_in!U23=0,0,11630*1000*SER_hh_fec_in!U23/SER_hh_num_in!U23)</f>
        <v>0</v>
      </c>
      <c r="V23" s="132">
        <f>IF(SER_hh_fec_in!V23=0,0,11630*1000*SER_hh_fec_in!V23/SER_hh_num_in!V23)</f>
        <v>0</v>
      </c>
      <c r="W23" s="132">
        <f>IF(SER_hh_fec_in!W23=0,0,11630*1000*SER_hh_fec_in!W23/SER_hh_num_in!W23)</f>
        <v>0</v>
      </c>
      <c r="X23" s="132">
        <f>IF(SER_hh_fec_in!X23=0,0,11630*1000*SER_hh_fec_in!X23/SER_hh_num_in!X23)</f>
        <v>0</v>
      </c>
      <c r="Y23" s="132">
        <f>IF(SER_hh_fec_in!Y23=0,0,11630*1000*SER_hh_fec_in!Y23/SER_hh_num_in!Y23)</f>
        <v>0</v>
      </c>
      <c r="DA23" s="156" t="s">
        <v>744</v>
      </c>
    </row>
    <row r="24" spans="1:105" ht="12" customHeight="1" x14ac:dyDescent="0.25">
      <c r="A24" s="131" t="s">
        <v>128</v>
      </c>
      <c r="B24" s="132"/>
      <c r="C24" s="132">
        <f>IF(SER_hh_fec_in!C24=0,0,11630*1000*SER_hh_fec_in!C24/SER_hh_num_in!C24)</f>
        <v>0</v>
      </c>
      <c r="D24" s="132">
        <f>IF(SER_hh_fec_in!D24=0,0,11630*1000*SER_hh_fec_in!D24/SER_hh_num_in!D24)</f>
        <v>0</v>
      </c>
      <c r="E24" s="132">
        <f>IF(SER_hh_fec_in!E24=0,0,11630*1000*SER_hh_fec_in!E24/SER_hh_num_in!E24)</f>
        <v>0</v>
      </c>
      <c r="F24" s="132">
        <f>IF(SER_hh_fec_in!F24=0,0,11630*1000*SER_hh_fec_in!F24/SER_hh_num_in!F24)</f>
        <v>0</v>
      </c>
      <c r="G24" s="132">
        <f>IF(SER_hh_fec_in!G24=0,0,11630*1000*SER_hh_fec_in!G24/SER_hh_num_in!G24)</f>
        <v>0</v>
      </c>
      <c r="H24" s="132">
        <f>IF(SER_hh_fec_in!H24=0,0,11630*1000*SER_hh_fec_in!H24/SER_hh_num_in!H24)</f>
        <v>0</v>
      </c>
      <c r="I24" s="132">
        <f>IF(SER_hh_fec_in!I24=0,0,11630*1000*SER_hh_fec_in!I24/SER_hh_num_in!I24)</f>
        <v>0</v>
      </c>
      <c r="J24" s="132">
        <f>IF(SER_hh_fec_in!J24=0,0,11630*1000*SER_hh_fec_in!J24/SER_hh_num_in!J24)</f>
        <v>0</v>
      </c>
      <c r="K24" s="132">
        <f>IF(SER_hh_fec_in!K24=0,0,11630*1000*SER_hh_fec_in!K24/SER_hh_num_in!K24)</f>
        <v>0</v>
      </c>
      <c r="L24" s="132">
        <f>IF(SER_hh_fec_in!L24=0,0,11630*1000*SER_hh_fec_in!L24/SER_hh_num_in!L24)</f>
        <v>0</v>
      </c>
      <c r="M24" s="132">
        <f>IF(SER_hh_fec_in!M24=0,0,11630*1000*SER_hh_fec_in!M24/SER_hh_num_in!M24)</f>
        <v>0</v>
      </c>
      <c r="N24" s="132">
        <f>IF(SER_hh_fec_in!N24=0,0,11630*1000*SER_hh_fec_in!N24/SER_hh_num_in!N24)</f>
        <v>0</v>
      </c>
      <c r="O24" s="132">
        <f>IF(SER_hh_fec_in!O24=0,0,11630*1000*SER_hh_fec_in!O24/SER_hh_num_in!O24)</f>
        <v>0</v>
      </c>
      <c r="P24" s="132">
        <f>IF(SER_hh_fec_in!P24=0,0,11630*1000*SER_hh_fec_in!P24/SER_hh_num_in!P24)</f>
        <v>0</v>
      </c>
      <c r="Q24" s="132">
        <f>IF(SER_hh_fec_in!Q24=0,0,11630*1000*SER_hh_fec_in!Q24/SER_hh_num_in!Q24)</f>
        <v>0</v>
      </c>
      <c r="R24" s="132">
        <f>IF(SER_hh_fec_in!R24=0,0,11630*1000*SER_hh_fec_in!R24/SER_hh_num_in!R24)</f>
        <v>0</v>
      </c>
      <c r="S24" s="132">
        <f>IF(SER_hh_fec_in!S24=0,0,11630*1000*SER_hh_fec_in!S24/SER_hh_num_in!S24)</f>
        <v>0</v>
      </c>
      <c r="T24" s="132">
        <f>IF(SER_hh_fec_in!T24=0,0,11630*1000*SER_hh_fec_in!T24/SER_hh_num_in!T24)</f>
        <v>0</v>
      </c>
      <c r="U24" s="132">
        <f>IF(SER_hh_fec_in!U24=0,0,11630*1000*SER_hh_fec_in!U24/SER_hh_num_in!U24)</f>
        <v>0</v>
      </c>
      <c r="V24" s="132">
        <f>IF(SER_hh_fec_in!V24=0,0,11630*1000*SER_hh_fec_in!V24/SER_hh_num_in!V24)</f>
        <v>0</v>
      </c>
      <c r="W24" s="132">
        <f>IF(SER_hh_fec_in!W24=0,0,11630*1000*SER_hh_fec_in!W24/SER_hh_num_in!W24)</f>
        <v>0</v>
      </c>
      <c r="X24" s="132">
        <f>IF(SER_hh_fec_in!X24=0,0,11630*1000*SER_hh_fec_in!X24/SER_hh_num_in!X24)</f>
        <v>0</v>
      </c>
      <c r="Y24" s="132">
        <f>IF(SER_hh_fec_in!Y24=0,0,11630*1000*SER_hh_fec_in!Y24/SER_hh_num_in!Y24)</f>
        <v>0</v>
      </c>
      <c r="DA24" s="156" t="s">
        <v>745</v>
      </c>
    </row>
    <row r="25" spans="1:105" ht="12" customHeight="1" x14ac:dyDescent="0.25">
      <c r="A25" s="131" t="s">
        <v>162</v>
      </c>
      <c r="B25" s="132"/>
      <c r="C25" s="132">
        <f>IF(SER_hh_fec_in!C25=0,0,11630*1000*SER_hh_fec_in!C25/SER_hh_num_in!C25)</f>
        <v>0</v>
      </c>
      <c r="D25" s="132">
        <f>IF(SER_hh_fec_in!D25=0,0,11630*1000*SER_hh_fec_in!D25/SER_hh_num_in!D25)</f>
        <v>0</v>
      </c>
      <c r="E25" s="132">
        <f>IF(SER_hh_fec_in!E25=0,0,11630*1000*SER_hh_fec_in!E25/SER_hh_num_in!E25)</f>
        <v>0</v>
      </c>
      <c r="F25" s="132">
        <f>IF(SER_hh_fec_in!F25=0,0,11630*1000*SER_hh_fec_in!F25/SER_hh_num_in!F25)</f>
        <v>0</v>
      </c>
      <c r="G25" s="132">
        <f>IF(SER_hh_fec_in!G25=0,0,11630*1000*SER_hh_fec_in!G25/SER_hh_num_in!G25)</f>
        <v>0</v>
      </c>
      <c r="H25" s="132">
        <f>IF(SER_hh_fec_in!H25=0,0,11630*1000*SER_hh_fec_in!H25/SER_hh_num_in!H25)</f>
        <v>0</v>
      </c>
      <c r="I25" s="132">
        <f>IF(SER_hh_fec_in!I25=0,0,11630*1000*SER_hh_fec_in!I25/SER_hh_num_in!I25)</f>
        <v>0</v>
      </c>
      <c r="J25" s="132">
        <f>IF(SER_hh_fec_in!J25=0,0,11630*1000*SER_hh_fec_in!J25/SER_hh_num_in!J25)</f>
        <v>0</v>
      </c>
      <c r="K25" s="132">
        <f>IF(SER_hh_fec_in!K25=0,0,11630*1000*SER_hh_fec_in!K25/SER_hh_num_in!K25)</f>
        <v>0</v>
      </c>
      <c r="L25" s="132">
        <f>IF(SER_hh_fec_in!L25=0,0,11630*1000*SER_hh_fec_in!L25/SER_hh_num_in!L25)</f>
        <v>0</v>
      </c>
      <c r="M25" s="132">
        <f>IF(SER_hh_fec_in!M25=0,0,11630*1000*SER_hh_fec_in!M25/SER_hh_num_in!M25)</f>
        <v>0</v>
      </c>
      <c r="N25" s="132">
        <f>IF(SER_hh_fec_in!N25=0,0,11630*1000*SER_hh_fec_in!N25/SER_hh_num_in!N25)</f>
        <v>0</v>
      </c>
      <c r="O25" s="132">
        <f>IF(SER_hh_fec_in!O25=0,0,11630*1000*SER_hh_fec_in!O25/SER_hh_num_in!O25)</f>
        <v>0</v>
      </c>
      <c r="P25" s="132">
        <f>IF(SER_hh_fec_in!P25=0,0,11630*1000*SER_hh_fec_in!P25/SER_hh_num_in!P25)</f>
        <v>0</v>
      </c>
      <c r="Q25" s="132">
        <f>IF(SER_hh_fec_in!Q25=0,0,11630*1000*SER_hh_fec_in!Q25/SER_hh_num_in!Q25)</f>
        <v>0</v>
      </c>
      <c r="R25" s="132">
        <f>IF(SER_hh_fec_in!R25=0,0,11630*1000*SER_hh_fec_in!R25/SER_hh_num_in!R25)</f>
        <v>0</v>
      </c>
      <c r="S25" s="132">
        <f>IF(SER_hh_fec_in!S25=0,0,11630*1000*SER_hh_fec_in!S25/SER_hh_num_in!S25)</f>
        <v>0</v>
      </c>
      <c r="T25" s="132">
        <f>IF(SER_hh_fec_in!T25=0,0,11630*1000*SER_hh_fec_in!T25/SER_hh_num_in!T25)</f>
        <v>0</v>
      </c>
      <c r="U25" s="132">
        <f>IF(SER_hh_fec_in!U25=0,0,11630*1000*SER_hh_fec_in!U25/SER_hh_num_in!U25)</f>
        <v>0</v>
      </c>
      <c r="V25" s="132">
        <f>IF(SER_hh_fec_in!V25=0,0,11630*1000*SER_hh_fec_in!V25/SER_hh_num_in!V25)</f>
        <v>0</v>
      </c>
      <c r="W25" s="132">
        <f>IF(SER_hh_fec_in!W25=0,0,11630*1000*SER_hh_fec_in!W25/SER_hh_num_in!W25)</f>
        <v>0</v>
      </c>
      <c r="X25" s="132">
        <f>IF(SER_hh_fec_in!X25=0,0,11630*1000*SER_hh_fec_in!X25/SER_hh_num_in!X25)</f>
        <v>0</v>
      </c>
      <c r="Y25" s="132">
        <f>IF(SER_hh_fec_in!Y25=0,0,11630*1000*SER_hh_fec_in!Y25/SER_hh_num_in!Y25)</f>
        <v>0</v>
      </c>
      <c r="DA25" s="156" t="s">
        <v>746</v>
      </c>
    </row>
    <row r="26" spans="1:105" ht="12" customHeight="1" x14ac:dyDescent="0.25">
      <c r="A26" s="131" t="s">
        <v>24</v>
      </c>
      <c r="B26" s="65"/>
      <c r="C26" s="65">
        <f>IF(SER_hh_fec_in!C26=0,0,11630*1000*SER_hh_fec_in!C26/SER_hh_num_in!C26)</f>
        <v>9367.4631926542188</v>
      </c>
      <c r="D26" s="65">
        <f>IF(SER_hh_fec_in!D26=0,0,11630*1000*SER_hh_fec_in!D26/SER_hh_num_in!D26)</f>
        <v>4082.142077509563</v>
      </c>
      <c r="E26" s="65">
        <f>IF(SER_hh_fec_in!E26=0,0,11630*1000*SER_hh_fec_in!E26/SER_hh_num_in!E26)</f>
        <v>5091.3094277886885</v>
      </c>
      <c r="F26" s="65">
        <f>IF(SER_hh_fec_in!F26=0,0,11630*1000*SER_hh_fec_in!F26/SER_hh_num_in!F26)</f>
        <v>4802.6806234692458</v>
      </c>
      <c r="G26" s="65">
        <f>IF(SER_hh_fec_in!G26=0,0,11630*1000*SER_hh_fec_in!G26/SER_hh_num_in!G26)</f>
        <v>5769.4706484625813</v>
      </c>
      <c r="H26" s="65">
        <f>IF(SER_hh_fec_in!H26=0,0,11630*1000*SER_hh_fec_in!H26/SER_hh_num_in!H26)</f>
        <v>0</v>
      </c>
      <c r="I26" s="65">
        <f>IF(SER_hh_fec_in!I26=0,0,11630*1000*SER_hh_fec_in!I26/SER_hh_num_in!I26)</f>
        <v>0</v>
      </c>
      <c r="J26" s="65">
        <f>IF(SER_hh_fec_in!J26=0,0,11630*1000*SER_hh_fec_in!J26/SER_hh_num_in!J26)</f>
        <v>170.44873817100907</v>
      </c>
      <c r="K26" s="65">
        <f>IF(SER_hh_fec_in!K26=0,0,11630*1000*SER_hh_fec_in!K26/SER_hh_num_in!K26)</f>
        <v>178.64603198691461</v>
      </c>
      <c r="L26" s="65">
        <f>IF(SER_hh_fec_in!L26=0,0,11630*1000*SER_hh_fec_in!L26/SER_hh_num_in!L26)</f>
        <v>163.63850204617293</v>
      </c>
      <c r="M26" s="65">
        <f>IF(SER_hh_fec_in!M26=0,0,11630*1000*SER_hh_fec_in!M26/SER_hh_num_in!M26)</f>
        <v>169.39868295895093</v>
      </c>
      <c r="N26" s="65">
        <f>IF(SER_hh_fec_in!N26=0,0,11630*1000*SER_hh_fec_in!N26/SER_hh_num_in!N26)</f>
        <v>4034.1766867222705</v>
      </c>
      <c r="O26" s="65">
        <f>IF(SER_hh_fec_in!O26=0,0,11630*1000*SER_hh_fec_in!O26/SER_hh_num_in!O26)</f>
        <v>5335.6968747182327</v>
      </c>
      <c r="P26" s="65">
        <f>IF(SER_hh_fec_in!P26=0,0,11630*1000*SER_hh_fec_in!P26/SER_hh_num_in!P26)</f>
        <v>123.37419357079219</v>
      </c>
      <c r="Q26" s="65">
        <f>IF(SER_hh_fec_in!Q26=0,0,11630*1000*SER_hh_fec_in!Q26/SER_hh_num_in!Q26)</f>
        <v>120.13375355666622</v>
      </c>
      <c r="R26" s="65">
        <f>IF(SER_hh_fec_in!R26=0,0,11630*1000*SER_hh_fec_in!R26/SER_hh_num_in!R26)</f>
        <v>121.35430068420882</v>
      </c>
      <c r="S26" s="65">
        <f>IF(SER_hh_fec_in!S26=0,0,11630*1000*SER_hh_fec_in!S26/SER_hh_num_in!S26)</f>
        <v>119.62670357359494</v>
      </c>
      <c r="T26" s="65">
        <f>IF(SER_hh_fec_in!T26=0,0,11630*1000*SER_hh_fec_in!T26/SER_hh_num_in!T26)</f>
        <v>115.65763472804181</v>
      </c>
      <c r="U26" s="65">
        <f>IF(SER_hh_fec_in!U26=0,0,11630*1000*SER_hh_fec_in!U26/SER_hh_num_in!U26)</f>
        <v>105.15024173187933</v>
      </c>
      <c r="V26" s="65">
        <f>IF(SER_hh_fec_in!V26=0,0,11630*1000*SER_hh_fec_in!V26/SER_hh_num_in!V26)</f>
        <v>102.08636500372344</v>
      </c>
      <c r="W26" s="65">
        <f>IF(SER_hh_fec_in!W26=0,0,11630*1000*SER_hh_fec_in!W26/SER_hh_num_in!W26)</f>
        <v>99.468884328498902</v>
      </c>
      <c r="X26" s="65">
        <f>IF(SER_hh_fec_in!X26=0,0,11630*1000*SER_hh_fec_in!X26/SER_hh_num_in!X26)</f>
        <v>11060.431754463447</v>
      </c>
      <c r="Y26" s="65">
        <f>IF(SER_hh_fec_in!Y26=0,0,11630*1000*SER_hh_fec_in!Y26/SER_hh_num_in!Y26)</f>
        <v>11959.466298197975</v>
      </c>
      <c r="DA26" s="109" t="s">
        <v>747</v>
      </c>
    </row>
    <row r="27" spans="1:105" ht="12" customHeight="1" x14ac:dyDescent="0.25">
      <c r="A27" s="144" t="s">
        <v>86</v>
      </c>
      <c r="B27" s="147"/>
      <c r="C27" s="145">
        <f>IF(SER_hh_fec_in!C27=0,0,11630*1000*SER_hh_fec_in!C27/SER_hh_num_in!C19)</f>
        <v>6328.4321395609504</v>
      </c>
      <c r="D27" s="145">
        <f>IF(SER_hh_fec_in!D27=0,0,11630*1000*SER_hh_fec_in!D27/SER_hh_num_in!D19)</f>
        <v>9275.1438473512335</v>
      </c>
      <c r="E27" s="145">
        <f>IF(SER_hh_fec_in!E27=0,0,11630*1000*SER_hh_fec_in!E27/SER_hh_num_in!E19)</f>
        <v>8555.8406092766418</v>
      </c>
      <c r="F27" s="145">
        <f>IF(SER_hh_fec_in!F27=0,0,11630*1000*SER_hh_fec_in!F27/SER_hh_num_in!F19)</f>
        <v>8624.9925935735919</v>
      </c>
      <c r="G27" s="145">
        <f>IF(SER_hh_fec_in!G27=0,0,11630*1000*SER_hh_fec_in!G27/SER_hh_num_in!G19)</f>
        <v>8118.3577972324319</v>
      </c>
      <c r="H27" s="145">
        <f>IF(SER_hh_fec_in!H27=0,0,11630*1000*SER_hh_fec_in!H27/SER_hh_num_in!H19)</f>
        <v>9204.0750431723736</v>
      </c>
      <c r="I27" s="145">
        <f>IF(SER_hh_fec_in!I27=0,0,11630*1000*SER_hh_fec_in!I27/SER_hh_num_in!I19)</f>
        <v>6915.6710390851158</v>
      </c>
      <c r="J27" s="145">
        <f>IF(SER_hh_fec_in!J27=0,0,11630*1000*SER_hh_fec_in!J27/SER_hh_num_in!J19)</f>
        <v>6258.57967018829</v>
      </c>
      <c r="K27" s="145">
        <f>IF(SER_hh_fec_in!K27=0,0,11630*1000*SER_hh_fec_in!K27/SER_hh_num_in!K19)</f>
        <v>9915.7806550438945</v>
      </c>
      <c r="L27" s="145">
        <f>IF(SER_hh_fec_in!L27=0,0,11630*1000*SER_hh_fec_in!L27/SER_hh_num_in!L19)</f>
        <v>9965.6457623918504</v>
      </c>
      <c r="M27" s="145">
        <f>IF(SER_hh_fec_in!M27=0,0,11630*1000*SER_hh_fec_in!M27/SER_hh_num_in!M19)</f>
        <v>10439.941812207666</v>
      </c>
      <c r="N27" s="145">
        <f>IF(SER_hh_fec_in!N27=0,0,11630*1000*SER_hh_fec_in!N27/SER_hh_num_in!N19)</f>
        <v>8242.3012273725781</v>
      </c>
      <c r="O27" s="145">
        <f>IF(SER_hh_fec_in!O27=0,0,11630*1000*SER_hh_fec_in!O27/SER_hh_num_in!O19)</f>
        <v>7476.5882645643769</v>
      </c>
      <c r="P27" s="145">
        <f>IF(SER_hh_fec_in!P27=0,0,11630*1000*SER_hh_fec_in!P27/SER_hh_num_in!P19)</f>
        <v>12959.153104089228</v>
      </c>
      <c r="Q27" s="145">
        <f>IF(SER_hh_fec_in!Q27=0,0,11630*1000*SER_hh_fec_in!Q27/SER_hh_num_in!Q19)</f>
        <v>12541.757967959524</v>
      </c>
      <c r="R27" s="145">
        <f>IF(SER_hh_fec_in!R27=0,0,11630*1000*SER_hh_fec_in!R27/SER_hh_num_in!R19)</f>
        <v>11678.493620181727</v>
      </c>
      <c r="S27" s="145">
        <f>IF(SER_hh_fec_in!S27=0,0,11630*1000*SER_hh_fec_in!S27/SER_hh_num_in!S19)</f>
        <v>10168.001207080664</v>
      </c>
      <c r="T27" s="145">
        <f>IF(SER_hh_fec_in!T27=0,0,11630*1000*SER_hh_fec_in!T27/SER_hh_num_in!T19)</f>
        <v>9313.4763831126766</v>
      </c>
      <c r="U27" s="145">
        <f>IF(SER_hh_fec_in!U27=0,0,11630*1000*SER_hh_fec_in!U27/SER_hh_num_in!U19)</f>
        <v>8520.1424062429087</v>
      </c>
      <c r="V27" s="145">
        <f>IF(SER_hh_fec_in!V27=0,0,11630*1000*SER_hh_fec_in!V27/SER_hh_num_in!V19)</f>
        <v>9154.3367808529711</v>
      </c>
      <c r="W27" s="145">
        <f>IF(SER_hh_fec_in!W27=0,0,11630*1000*SER_hh_fec_in!W27/SER_hh_num_in!W19)</f>
        <v>6841.1510447562741</v>
      </c>
      <c r="X27" s="145">
        <f>IF(SER_hh_fec_in!X27=0,0,11630*1000*SER_hh_fec_in!X27/SER_hh_num_in!X19)</f>
        <v>0</v>
      </c>
      <c r="Y27" s="145">
        <f>IF(SER_hh_fec_in!Y27=0,0,11630*1000*SER_hh_fec_in!Y27/SER_hh_num_in!Y19)</f>
        <v>1.1011456996627933E-10</v>
      </c>
      <c r="DA27" s="158" t="s">
        <v>748</v>
      </c>
    </row>
    <row r="28" spans="1:105" ht="12" customHeight="1" x14ac:dyDescent="0.25">
      <c r="A28" s="78" t="s">
        <v>85</v>
      </c>
      <c r="B28" s="68"/>
      <c r="C28" s="146">
        <f>IF(SER_hh_fec_in!C27=0,0,11630*1000*SER_hh_fec_in!C27/SER_hh_num_in!C27)</f>
        <v>10069.03519298267</v>
      </c>
      <c r="D28" s="146">
        <f>IF(SER_hh_fec_in!D27=0,0,11630*1000*SER_hh_fec_in!D27/SER_hh_num_in!D27)</f>
        <v>9275.1438473512335</v>
      </c>
      <c r="E28" s="146">
        <f>IF(SER_hh_fec_in!E27=0,0,11630*1000*SER_hh_fec_in!E27/SER_hh_num_in!E27)</f>
        <v>8662.6940037801705</v>
      </c>
      <c r="F28" s="146">
        <f>IF(SER_hh_fec_in!F27=0,0,11630*1000*SER_hh_fec_in!F27/SER_hh_num_in!F27)</f>
        <v>8758.9025192897407</v>
      </c>
      <c r="G28" s="146">
        <f>IF(SER_hh_fec_in!G27=0,0,11630*1000*SER_hh_fec_in!G27/SER_hh_num_in!G27)</f>
        <v>8202.4747659808272</v>
      </c>
      <c r="H28" s="146">
        <f>IF(SER_hh_fec_in!H27=0,0,11630*1000*SER_hh_fec_in!H27/SER_hh_num_in!H27)</f>
        <v>9293.9905321928763</v>
      </c>
      <c r="I28" s="146">
        <f>IF(SER_hh_fec_in!I27=0,0,11630*1000*SER_hh_fec_in!I27/SER_hh_num_in!I27)</f>
        <v>6915.6710390851149</v>
      </c>
      <c r="J28" s="146">
        <f>IF(SER_hh_fec_in!J27=0,0,11630*1000*SER_hh_fec_in!J27/SER_hh_num_in!J27)</f>
        <v>6258.5796701882891</v>
      </c>
      <c r="K28" s="146">
        <f>IF(SER_hh_fec_in!K27=0,0,11630*1000*SER_hh_fec_in!K27/SER_hh_num_in!K27)</f>
        <v>10498.072678450093</v>
      </c>
      <c r="L28" s="146">
        <f>IF(SER_hh_fec_in!L27=0,0,11630*1000*SER_hh_fec_in!L27/SER_hh_num_in!L27)</f>
        <v>10779.561066031305</v>
      </c>
      <c r="M28" s="146">
        <f>IF(SER_hh_fec_in!M27=0,0,11630*1000*SER_hh_fec_in!M27/SER_hh_num_in!M27)</f>
        <v>10677.004696322616</v>
      </c>
      <c r="N28" s="146">
        <f>IF(SER_hh_fec_in!N27=0,0,11630*1000*SER_hh_fec_in!N27/SER_hh_num_in!N27)</f>
        <v>11467.662489300794</v>
      </c>
      <c r="O28" s="146">
        <f>IF(SER_hh_fec_in!O27=0,0,11630*1000*SER_hh_fec_in!O27/SER_hh_num_in!O27)</f>
        <v>13156.888926836711</v>
      </c>
      <c r="P28" s="146">
        <f>IF(SER_hh_fec_in!P27=0,0,11630*1000*SER_hh_fec_in!P27/SER_hh_num_in!P27)</f>
        <v>13215.86741800838</v>
      </c>
      <c r="Q28" s="146">
        <f>IF(SER_hh_fec_in!Q27=0,0,11630*1000*SER_hh_fec_in!Q27/SER_hh_num_in!Q27)</f>
        <v>12541.757967959524</v>
      </c>
      <c r="R28" s="146">
        <f>IF(SER_hh_fec_in!R27=0,0,11630*1000*SER_hh_fec_in!R27/SER_hh_num_in!R27)</f>
        <v>11873.244669819065</v>
      </c>
      <c r="S28" s="146">
        <f>IF(SER_hh_fec_in!S27=0,0,11630*1000*SER_hh_fec_in!S27/SER_hh_num_in!S27)</f>
        <v>10168.001207080664</v>
      </c>
      <c r="T28" s="146">
        <f>IF(SER_hh_fec_in!T27=0,0,11630*1000*SER_hh_fec_in!T27/SER_hh_num_in!T27)</f>
        <v>10688.66160266644</v>
      </c>
      <c r="U28" s="146">
        <f>IF(SER_hh_fec_in!U27=0,0,11630*1000*SER_hh_fec_in!U27/SER_hh_num_in!U27)</f>
        <v>10275.911899101946</v>
      </c>
      <c r="V28" s="146">
        <f>IF(SER_hh_fec_in!V27=0,0,11630*1000*SER_hh_fec_in!V27/SER_hh_num_in!V27)</f>
        <v>9154.3367808529729</v>
      </c>
      <c r="W28" s="146">
        <f>IF(SER_hh_fec_in!W27=0,0,11630*1000*SER_hh_fec_in!W27/SER_hh_num_in!W27)</f>
        <v>9380.0516362518993</v>
      </c>
      <c r="X28" s="146">
        <f>IF(SER_hh_fec_in!X27=0,0,11630*1000*SER_hh_fec_in!X27/SER_hh_num_in!X27)</f>
        <v>0</v>
      </c>
      <c r="Y28" s="146">
        <f>IF(SER_hh_fec_in!Y27=0,0,11630*1000*SER_hh_fec_in!Y27/SER_hh_num_in!Y27)</f>
        <v>11389.946735194713</v>
      </c>
      <c r="DA28" s="159"/>
    </row>
    <row r="29" spans="1:105" ht="12.95" customHeight="1" x14ac:dyDescent="0.25">
      <c r="A29" s="129" t="s">
        <v>34</v>
      </c>
      <c r="B29" s="130"/>
      <c r="C29" s="130">
        <f>IF(SER_hh_fec_in!C29=0,0,11630*1000*SER_hh_fec_in!C29/SER_hh_num_in!C29)</f>
        <v>14871.425427462502</v>
      </c>
      <c r="D29" s="130">
        <f>IF(SER_hh_fec_in!D29=0,0,11630*1000*SER_hh_fec_in!D29/SER_hh_num_in!D29)</f>
        <v>15488.833212509388</v>
      </c>
      <c r="E29" s="130">
        <f>IF(SER_hh_fec_in!E29=0,0,11630*1000*SER_hh_fec_in!E29/SER_hh_num_in!E29)</f>
        <v>15210.195141088943</v>
      </c>
      <c r="F29" s="130">
        <f>IF(SER_hh_fec_in!F29=0,0,11630*1000*SER_hh_fec_in!F29/SER_hh_num_in!F29)</f>
        <v>15593.956832940081</v>
      </c>
      <c r="G29" s="130">
        <f>IF(SER_hh_fec_in!G29=0,0,11630*1000*SER_hh_fec_in!G29/SER_hh_num_in!G29)</f>
        <v>16062.12477347703</v>
      </c>
      <c r="H29" s="130">
        <f>IF(SER_hh_fec_in!H29=0,0,11630*1000*SER_hh_fec_in!H29/SER_hh_num_in!H29)</f>
        <v>26067.304279346121</v>
      </c>
      <c r="I29" s="130">
        <f>IF(SER_hh_fec_in!I29=0,0,11630*1000*SER_hh_fec_in!I29/SER_hh_num_in!I29)</f>
        <v>18882.055464071658</v>
      </c>
      <c r="J29" s="130">
        <f>IF(SER_hh_fec_in!J29=0,0,11630*1000*SER_hh_fec_in!J29/SER_hh_num_in!J29)</f>
        <v>16773.947594123791</v>
      </c>
      <c r="K29" s="130">
        <f>IF(SER_hh_fec_in!K29=0,0,11630*1000*SER_hh_fec_in!K29/SER_hh_num_in!K29)</f>
        <v>15891.994971409902</v>
      </c>
      <c r="L29" s="130">
        <f>IF(SER_hh_fec_in!L29=0,0,11630*1000*SER_hh_fec_in!L29/SER_hh_num_in!L29)</f>
        <v>15816.372047167595</v>
      </c>
      <c r="M29" s="130">
        <f>IF(SER_hh_fec_in!M29=0,0,11630*1000*SER_hh_fec_in!M29/SER_hh_num_in!M29)</f>
        <v>16677.81012924212</v>
      </c>
      <c r="N29" s="130">
        <f>IF(SER_hh_fec_in!N29=0,0,11630*1000*SER_hh_fec_in!N29/SER_hh_num_in!N29)</f>
        <v>16118.821115441904</v>
      </c>
      <c r="O29" s="130">
        <f>IF(SER_hh_fec_in!O29=0,0,11630*1000*SER_hh_fec_in!O29/SER_hh_num_in!O29)</f>
        <v>15689.288133118949</v>
      </c>
      <c r="P29" s="130">
        <f>IF(SER_hh_fec_in!P29=0,0,11630*1000*SER_hh_fec_in!P29/SER_hh_num_in!P29)</f>
        <v>15999.172674643693</v>
      </c>
      <c r="Q29" s="130">
        <f>IF(SER_hh_fec_in!Q29=0,0,11630*1000*SER_hh_fec_in!Q29/SER_hh_num_in!Q29)</f>
        <v>16880.952143843042</v>
      </c>
      <c r="R29" s="130">
        <f>IF(SER_hh_fec_in!R29=0,0,11630*1000*SER_hh_fec_in!R29/SER_hh_num_in!R29)</f>
        <v>16378.945601257163</v>
      </c>
      <c r="S29" s="130">
        <f>IF(SER_hh_fec_in!S29=0,0,11630*1000*SER_hh_fec_in!S29/SER_hh_num_in!S29)</f>
        <v>18429.399983591211</v>
      </c>
      <c r="T29" s="130">
        <f>IF(SER_hh_fec_in!T29=0,0,11630*1000*SER_hh_fec_in!T29/SER_hh_num_in!T29)</f>
        <v>17011.808154719707</v>
      </c>
      <c r="U29" s="130">
        <f>IF(SER_hh_fec_in!U29=0,0,11630*1000*SER_hh_fec_in!U29/SER_hh_num_in!U29)</f>
        <v>14346.971349673595</v>
      </c>
      <c r="V29" s="130">
        <f>IF(SER_hh_fec_in!V29=0,0,11630*1000*SER_hh_fec_in!V29/SER_hh_num_in!V29)</f>
        <v>13172.724610226927</v>
      </c>
      <c r="W29" s="130">
        <f>IF(SER_hh_fec_in!W29=0,0,11630*1000*SER_hh_fec_in!W29/SER_hh_num_in!W29)</f>
        <v>13374.627245995674</v>
      </c>
      <c r="X29" s="130">
        <f>IF(SER_hh_fec_in!X29=0,0,11630*1000*SER_hh_fec_in!X29/SER_hh_num_in!X29)</f>
        <v>12612.256320416434</v>
      </c>
      <c r="Y29" s="130">
        <f>IF(SER_hh_fec_in!Y29=0,0,11630*1000*SER_hh_fec_in!Y29/SER_hh_num_in!Y29)</f>
        <v>14741.245323140634</v>
      </c>
      <c r="DA29" s="155" t="s">
        <v>749</v>
      </c>
    </row>
    <row r="30" spans="1:105" s="2" customFormat="1" ht="12" customHeight="1" x14ac:dyDescent="0.25">
      <c r="A30" s="131" t="s">
        <v>52</v>
      </c>
      <c r="B30" s="132"/>
      <c r="C30" s="132">
        <f>IF(SER_hh_fec_in!C30=0,0,11630*1000*SER_hh_fec_in!C30/SER_hh_num_in!C30)</f>
        <v>0</v>
      </c>
      <c r="D30" s="132">
        <f>IF(SER_hh_fec_in!D30=0,0,11630*1000*SER_hh_fec_in!D30/SER_hh_num_in!D30)</f>
        <v>0</v>
      </c>
      <c r="E30" s="132">
        <f>IF(SER_hh_fec_in!E30=0,0,11630*1000*SER_hh_fec_in!E30/SER_hh_num_in!E30)</f>
        <v>0</v>
      </c>
      <c r="F30" s="132">
        <f>IF(SER_hh_fec_in!F30=0,0,11630*1000*SER_hh_fec_in!F30/SER_hh_num_in!F30)</f>
        <v>0</v>
      </c>
      <c r="G30" s="132">
        <f>IF(SER_hh_fec_in!G30=0,0,11630*1000*SER_hh_fec_in!G30/SER_hh_num_in!G30)</f>
        <v>0</v>
      </c>
      <c r="H30" s="132">
        <f>IF(SER_hh_fec_in!H30=0,0,11630*1000*SER_hh_fec_in!H30/SER_hh_num_in!H30)</f>
        <v>27199.313559050774</v>
      </c>
      <c r="I30" s="132">
        <f>IF(SER_hh_fec_in!I30=0,0,11630*1000*SER_hh_fec_in!I30/SER_hh_num_in!I30)</f>
        <v>20792.807469991501</v>
      </c>
      <c r="J30" s="132">
        <f>IF(SER_hh_fec_in!J30=0,0,11630*1000*SER_hh_fec_in!J30/SER_hh_num_in!J30)</f>
        <v>21694.091618687351</v>
      </c>
      <c r="K30" s="132">
        <f>IF(SER_hh_fec_in!K30=0,0,11630*1000*SER_hh_fec_in!K30/SER_hh_num_in!K30)</f>
        <v>0</v>
      </c>
      <c r="L30" s="132">
        <f>IF(SER_hh_fec_in!L30=0,0,11630*1000*SER_hh_fec_in!L30/SER_hh_num_in!L30)</f>
        <v>16912.376953834311</v>
      </c>
      <c r="M30" s="132">
        <f>IF(SER_hh_fec_in!M30=0,0,11630*1000*SER_hh_fec_in!M30/SER_hh_num_in!M30)</f>
        <v>20197.445914515371</v>
      </c>
      <c r="N30" s="132">
        <f>IF(SER_hh_fec_in!N30=0,0,11630*1000*SER_hh_fec_in!N30/SER_hh_num_in!N30)</f>
        <v>20737.733211961542</v>
      </c>
      <c r="O30" s="132">
        <f>IF(SER_hh_fec_in!O30=0,0,11630*1000*SER_hh_fec_in!O30/SER_hh_num_in!O30)</f>
        <v>19158.621393352245</v>
      </c>
      <c r="P30" s="132">
        <f>IF(SER_hh_fec_in!P30=0,0,11630*1000*SER_hh_fec_in!P30/SER_hh_num_in!P30)</f>
        <v>16741.913223757099</v>
      </c>
      <c r="Q30" s="132">
        <f>IF(SER_hh_fec_in!Q30=0,0,11630*1000*SER_hh_fec_in!Q30/SER_hh_num_in!Q30)</f>
        <v>19155.44805523373</v>
      </c>
      <c r="R30" s="132">
        <f>IF(SER_hh_fec_in!R30=0,0,11630*1000*SER_hh_fec_in!R30/SER_hh_num_in!R30)</f>
        <v>17132.78381424192</v>
      </c>
      <c r="S30" s="132">
        <f>IF(SER_hh_fec_in!S30=0,0,11630*1000*SER_hh_fec_in!S30/SER_hh_num_in!S30)</f>
        <v>19827.109348695845</v>
      </c>
      <c r="T30" s="132">
        <f>IF(SER_hh_fec_in!T30=0,0,11630*1000*SER_hh_fec_in!T30/SER_hh_num_in!T30)</f>
        <v>20571.638693044744</v>
      </c>
      <c r="U30" s="132">
        <f>IF(SER_hh_fec_in!U30=0,0,11630*1000*SER_hh_fec_in!U30/SER_hh_num_in!U30)</f>
        <v>26011.268207684407</v>
      </c>
      <c r="V30" s="132">
        <f>IF(SER_hh_fec_in!V30=0,0,11630*1000*SER_hh_fec_in!V30/SER_hh_num_in!V30)</f>
        <v>18371.84565129043</v>
      </c>
      <c r="W30" s="132">
        <f>IF(SER_hh_fec_in!W30=0,0,11630*1000*SER_hh_fec_in!W30/SER_hh_num_in!W30)</f>
        <v>15925.509756003035</v>
      </c>
      <c r="X30" s="132">
        <f>IF(SER_hh_fec_in!X30=0,0,11630*1000*SER_hh_fec_in!X30/SER_hh_num_in!X30)</f>
        <v>20155.633002172024</v>
      </c>
      <c r="Y30" s="132">
        <f>IF(SER_hh_fec_in!Y30=0,0,11630*1000*SER_hh_fec_in!Y30/SER_hh_num_in!Y30)</f>
        <v>18669.026853423842</v>
      </c>
      <c r="DA30" s="156" t="s">
        <v>750</v>
      </c>
    </row>
    <row r="31" spans="1:105" ht="12" customHeight="1" x14ac:dyDescent="0.25">
      <c r="A31" s="131" t="s">
        <v>149</v>
      </c>
      <c r="B31" s="132"/>
      <c r="C31" s="132">
        <f>IF(SER_hh_fec_in!C31=0,0,11630*1000*SER_hh_fec_in!C31/SER_hh_num_in!C31)</f>
        <v>0</v>
      </c>
      <c r="D31" s="132">
        <f>IF(SER_hh_fec_in!D31=0,0,11630*1000*SER_hh_fec_in!D31/SER_hh_num_in!D31)</f>
        <v>0</v>
      </c>
      <c r="E31" s="132">
        <f>IF(SER_hh_fec_in!E31=0,0,11630*1000*SER_hh_fec_in!E31/SER_hh_num_in!E31)</f>
        <v>0</v>
      </c>
      <c r="F31" s="132">
        <f>IF(SER_hh_fec_in!F31=0,0,11630*1000*SER_hh_fec_in!F31/SER_hh_num_in!F31)</f>
        <v>0</v>
      </c>
      <c r="G31" s="132">
        <f>IF(SER_hh_fec_in!G31=0,0,11630*1000*SER_hh_fec_in!G31/SER_hh_num_in!G31)</f>
        <v>0</v>
      </c>
      <c r="H31" s="132">
        <f>IF(SER_hh_fec_in!H31=0,0,11630*1000*SER_hh_fec_in!H31/SER_hh_num_in!H31)</f>
        <v>0</v>
      </c>
      <c r="I31" s="132">
        <f>IF(SER_hh_fec_in!I31=0,0,11630*1000*SER_hh_fec_in!I31/SER_hh_num_in!I31)</f>
        <v>0</v>
      </c>
      <c r="J31" s="132">
        <f>IF(SER_hh_fec_in!J31=0,0,11630*1000*SER_hh_fec_in!J31/SER_hh_num_in!J31)</f>
        <v>0</v>
      </c>
      <c r="K31" s="132">
        <f>IF(SER_hh_fec_in!K31=0,0,11630*1000*SER_hh_fec_in!K31/SER_hh_num_in!K31)</f>
        <v>0</v>
      </c>
      <c r="L31" s="132">
        <f>IF(SER_hh_fec_in!L31=0,0,11630*1000*SER_hh_fec_in!L31/SER_hh_num_in!L31)</f>
        <v>0</v>
      </c>
      <c r="M31" s="132">
        <f>IF(SER_hh_fec_in!M31=0,0,11630*1000*SER_hh_fec_in!M31/SER_hh_num_in!M31)</f>
        <v>0</v>
      </c>
      <c r="N31" s="132">
        <f>IF(SER_hh_fec_in!N31=0,0,11630*1000*SER_hh_fec_in!N31/SER_hh_num_in!N31)</f>
        <v>0</v>
      </c>
      <c r="O31" s="132">
        <f>IF(SER_hh_fec_in!O31=0,0,11630*1000*SER_hh_fec_in!O31/SER_hh_num_in!O31)</f>
        <v>0</v>
      </c>
      <c r="P31" s="132">
        <f>IF(SER_hh_fec_in!P31=0,0,11630*1000*SER_hh_fec_in!P31/SER_hh_num_in!P31)</f>
        <v>0</v>
      </c>
      <c r="Q31" s="132">
        <f>IF(SER_hh_fec_in!Q31=0,0,11630*1000*SER_hh_fec_in!Q31/SER_hh_num_in!Q31)</f>
        <v>0</v>
      </c>
      <c r="R31" s="132">
        <f>IF(SER_hh_fec_in!R31=0,0,11630*1000*SER_hh_fec_in!R31/SER_hh_num_in!R31)</f>
        <v>0</v>
      </c>
      <c r="S31" s="132">
        <f>IF(SER_hh_fec_in!S31=0,0,11630*1000*SER_hh_fec_in!S31/SER_hh_num_in!S31)</f>
        <v>0</v>
      </c>
      <c r="T31" s="132">
        <f>IF(SER_hh_fec_in!T31=0,0,11630*1000*SER_hh_fec_in!T31/SER_hh_num_in!T31)</f>
        <v>0</v>
      </c>
      <c r="U31" s="132">
        <f>IF(SER_hh_fec_in!U31=0,0,11630*1000*SER_hh_fec_in!U31/SER_hh_num_in!U31)</f>
        <v>0</v>
      </c>
      <c r="V31" s="132">
        <f>IF(SER_hh_fec_in!V31=0,0,11630*1000*SER_hh_fec_in!V31/SER_hh_num_in!V31)</f>
        <v>0</v>
      </c>
      <c r="W31" s="132">
        <f>IF(SER_hh_fec_in!W31=0,0,11630*1000*SER_hh_fec_in!W31/SER_hh_num_in!W31)</f>
        <v>0</v>
      </c>
      <c r="X31" s="132">
        <f>IF(SER_hh_fec_in!X31=0,0,11630*1000*SER_hh_fec_in!X31/SER_hh_num_in!X31)</f>
        <v>0</v>
      </c>
      <c r="Y31" s="132">
        <f>IF(SER_hh_fec_in!Y31=0,0,11630*1000*SER_hh_fec_in!Y31/SER_hh_num_in!Y31)</f>
        <v>0</v>
      </c>
      <c r="DA31" s="156" t="s">
        <v>751</v>
      </c>
    </row>
    <row r="32" spans="1:105" ht="12" customHeight="1" x14ac:dyDescent="0.25">
      <c r="A32" s="131" t="s">
        <v>128</v>
      </c>
      <c r="B32" s="132"/>
      <c r="C32" s="132">
        <f>IF(SER_hh_fec_in!C32=0,0,11630*1000*SER_hh_fec_in!C32/SER_hh_num_in!C32)</f>
        <v>17906.307934376549</v>
      </c>
      <c r="D32" s="132">
        <f>IF(SER_hh_fec_in!D32=0,0,11630*1000*SER_hh_fec_in!D32/SER_hh_num_in!D32)</f>
        <v>21217.889896159893</v>
      </c>
      <c r="E32" s="132">
        <f>IF(SER_hh_fec_in!E32=0,0,11630*1000*SER_hh_fec_in!E32/SER_hh_num_in!E32)</f>
        <v>18865.177974285638</v>
      </c>
      <c r="F32" s="132">
        <f>IF(SER_hh_fec_in!F32=0,0,11630*1000*SER_hh_fec_in!F32/SER_hh_num_in!F32)</f>
        <v>19707.473726643449</v>
      </c>
      <c r="G32" s="132">
        <f>IF(SER_hh_fec_in!G32=0,0,11630*1000*SER_hh_fec_in!G32/SER_hh_num_in!G32)</f>
        <v>21154.028936487412</v>
      </c>
      <c r="H32" s="132">
        <f>IF(SER_hh_fec_in!H32=0,0,11630*1000*SER_hh_fec_in!H32/SER_hh_num_in!H32)</f>
        <v>18766.665576288186</v>
      </c>
      <c r="I32" s="132">
        <f>IF(SER_hh_fec_in!I32=0,0,11630*1000*SER_hh_fec_in!I32/SER_hh_num_in!I32)</f>
        <v>22746.775462936832</v>
      </c>
      <c r="J32" s="132">
        <f>IF(SER_hh_fec_in!J32=0,0,11630*1000*SER_hh_fec_in!J32/SER_hh_num_in!J32)</f>
        <v>21538.853729637449</v>
      </c>
      <c r="K32" s="132">
        <f>IF(SER_hh_fec_in!K32=0,0,11630*1000*SER_hh_fec_in!K32/SER_hh_num_in!K32)</f>
        <v>20664.530051581118</v>
      </c>
      <c r="L32" s="132">
        <f>IF(SER_hh_fec_in!L32=0,0,11630*1000*SER_hh_fec_in!L32/SER_hh_num_in!L32)</f>
        <v>20579.833470586578</v>
      </c>
      <c r="M32" s="132">
        <f>IF(SER_hh_fec_in!M32=0,0,11630*1000*SER_hh_fec_in!M32/SER_hh_num_in!M32)</f>
        <v>20465.916264272979</v>
      </c>
      <c r="N32" s="132">
        <f>IF(SER_hh_fec_in!N32=0,0,11630*1000*SER_hh_fec_in!N32/SER_hh_num_in!N32)</f>
        <v>20362.692251783908</v>
      </c>
      <c r="O32" s="132">
        <f>IF(SER_hh_fec_in!O32=0,0,11630*1000*SER_hh_fec_in!O32/SER_hh_num_in!O32)</f>
        <v>20321.169714563988</v>
      </c>
      <c r="P32" s="132">
        <f>IF(SER_hh_fec_in!P32=0,0,11630*1000*SER_hh_fec_in!P32/SER_hh_num_in!P32)</f>
        <v>20465.812490763547</v>
      </c>
      <c r="Q32" s="132">
        <f>IF(SER_hh_fec_in!Q32=0,0,11630*1000*SER_hh_fec_in!Q32/SER_hh_num_in!Q32)</f>
        <v>20082.974410260806</v>
      </c>
      <c r="R32" s="132">
        <f>IF(SER_hh_fec_in!R32=0,0,11630*1000*SER_hh_fec_in!R32/SER_hh_num_in!R32)</f>
        <v>20091.269197342644</v>
      </c>
      <c r="S32" s="132">
        <f>IF(SER_hh_fec_in!S32=0,0,11630*1000*SER_hh_fec_in!S32/SER_hh_num_in!S32)</f>
        <v>19696.754962016144</v>
      </c>
      <c r="T32" s="132">
        <f>IF(SER_hh_fec_in!T32=0,0,11630*1000*SER_hh_fec_in!T32/SER_hh_num_in!T32)</f>
        <v>18744.944214325918</v>
      </c>
      <c r="U32" s="132">
        <f>IF(SER_hh_fec_in!U32=0,0,11630*1000*SER_hh_fec_in!U32/SER_hh_num_in!U32)</f>
        <v>22764.550638423669</v>
      </c>
      <c r="V32" s="132">
        <f>IF(SER_hh_fec_in!V32=0,0,11630*1000*SER_hh_fec_in!V32/SER_hh_num_in!V32)</f>
        <v>22228.70434495926</v>
      </c>
      <c r="W32" s="132">
        <f>IF(SER_hh_fec_in!W32=0,0,11630*1000*SER_hh_fec_in!W32/SER_hh_num_in!W32)</f>
        <v>16129.156955847866</v>
      </c>
      <c r="X32" s="132">
        <f>IF(SER_hh_fec_in!X32=0,0,11630*1000*SER_hh_fec_in!X32/SER_hh_num_in!X32)</f>
        <v>0</v>
      </c>
      <c r="Y32" s="132">
        <f>IF(SER_hh_fec_in!Y32=0,0,11630*1000*SER_hh_fec_in!Y32/SER_hh_num_in!Y32)</f>
        <v>19802.676534728558</v>
      </c>
      <c r="DA32" s="156" t="s">
        <v>752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14514.025454946524</v>
      </c>
      <c r="D33" s="68">
        <f>IF(SER_hh_fec_in!D33=0,0,11630*1000*SER_hh_fec_in!D33/SER_hh_num_in!D33)</f>
        <v>14371.546414940296</v>
      </c>
      <c r="E33" s="68">
        <f>IF(SER_hh_fec_in!E33=0,0,11630*1000*SER_hh_fec_in!E33/SER_hh_num_in!E33)</f>
        <v>14617.414719472967</v>
      </c>
      <c r="F33" s="68">
        <f>IF(SER_hh_fec_in!F33=0,0,11630*1000*SER_hh_fec_in!F33/SER_hh_num_in!F33)</f>
        <v>14836.158832981095</v>
      </c>
      <c r="G33" s="68">
        <f>IF(SER_hh_fec_in!G33=0,0,11630*1000*SER_hh_fec_in!G33/SER_hh_num_in!G33)</f>
        <v>14898.096358520819</v>
      </c>
      <c r="H33" s="68">
        <f>IF(SER_hh_fec_in!H33=0,0,11630*1000*SER_hh_fec_in!H33/SER_hh_num_in!H33)</f>
        <v>0</v>
      </c>
      <c r="I33" s="68">
        <f>IF(SER_hh_fec_in!I33=0,0,11630*1000*SER_hh_fec_in!I33/SER_hh_num_in!I33)</f>
        <v>14547.867399412096</v>
      </c>
      <c r="J33" s="68">
        <f>IF(SER_hh_fec_in!J33=0,0,11630*1000*SER_hh_fec_in!J33/SER_hh_num_in!J33)</f>
        <v>14738.075998736073</v>
      </c>
      <c r="K33" s="68">
        <f>IF(SER_hh_fec_in!K33=0,0,11630*1000*SER_hh_fec_in!K33/SER_hh_num_in!K33)</f>
        <v>15414.131785174206</v>
      </c>
      <c r="L33" s="68">
        <f>IF(SER_hh_fec_in!L33=0,0,11630*1000*SER_hh_fec_in!L33/SER_hh_num_in!L33)</f>
        <v>15336.934599746952</v>
      </c>
      <c r="M33" s="68">
        <f>IF(SER_hh_fec_in!M33=0,0,11630*1000*SER_hh_fec_in!M33/SER_hh_num_in!M33)</f>
        <v>14604.288877620807</v>
      </c>
      <c r="N33" s="68">
        <f>IF(SER_hh_fec_in!N33=0,0,11630*1000*SER_hh_fec_in!N33/SER_hh_num_in!N33)</f>
        <v>14378.684366149724</v>
      </c>
      <c r="O33" s="68">
        <f>IF(SER_hh_fec_in!O33=0,0,11630*1000*SER_hh_fec_in!O33/SER_hh_num_in!O33)</f>
        <v>14278.83424358533</v>
      </c>
      <c r="P33" s="68">
        <f>IF(SER_hh_fec_in!P33=0,0,11630*1000*SER_hh_fec_in!P33/SER_hh_num_in!P33)</f>
        <v>14942.307797636369</v>
      </c>
      <c r="Q33" s="68">
        <f>IF(SER_hh_fec_in!Q33=0,0,11630*1000*SER_hh_fec_in!Q33/SER_hh_num_in!Q33)</f>
        <v>14322.831982412356</v>
      </c>
      <c r="R33" s="68">
        <f>IF(SER_hh_fec_in!R33=0,0,11630*1000*SER_hh_fec_in!R33/SER_hh_num_in!R33)</f>
        <v>14652.144460496764</v>
      </c>
      <c r="S33" s="68">
        <f>IF(SER_hh_fec_in!S33=0,0,11630*1000*SER_hh_fec_in!S33/SER_hh_num_in!S33)</f>
        <v>13663.652953987636</v>
      </c>
      <c r="T33" s="68">
        <f>IF(SER_hh_fec_in!T33=0,0,11630*1000*SER_hh_fec_in!T33/SER_hh_num_in!T33)</f>
        <v>13530.843433882857</v>
      </c>
      <c r="U33" s="68">
        <f>IF(SER_hh_fec_in!U33=0,0,11630*1000*SER_hh_fec_in!U33/SER_hh_num_in!U33)</f>
        <v>11094.979507743577</v>
      </c>
      <c r="V33" s="68">
        <f>IF(SER_hh_fec_in!V33=0,0,11630*1000*SER_hh_fec_in!V33/SER_hh_num_in!V33)</f>
        <v>10787.035249456241</v>
      </c>
      <c r="W33" s="68">
        <f>IF(SER_hh_fec_in!W33=0,0,11630*1000*SER_hh_fec_in!W33/SER_hh_num_in!W33)</f>
        <v>13072.954288098923</v>
      </c>
      <c r="X33" s="68">
        <f>IF(SER_hh_fec_in!X33=0,0,11630*1000*SER_hh_fec_in!X33/SER_hh_num_in!X33)</f>
        <v>12486.117841984777</v>
      </c>
      <c r="Y33" s="68">
        <f>IF(SER_hh_fec_in!Y33=0,0,11630*1000*SER_hh_fec_in!Y33/SER_hh_num_in!Y33)</f>
        <v>14065.72864644925</v>
      </c>
      <c r="DA33" s="111" t="s">
        <v>753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/>
      <c r="C3" s="125">
        <f>IF(SER_hh_tes_in!C3=0,0,11630*1000*SER_hh_tes_in!C3/SER_hh_num_in!C3)</f>
        <v>109395.63210659074</v>
      </c>
      <c r="D3" s="125">
        <f>IF(SER_hh_tes_in!D3=0,0,11630*1000*SER_hh_tes_in!D3/SER_hh_num_in!D3)</f>
        <v>110305.53804903594</v>
      </c>
      <c r="E3" s="125">
        <f>IF(SER_hh_tes_in!E3=0,0,11630*1000*SER_hh_tes_in!E3/SER_hh_num_in!E3)</f>
        <v>114827.42594189457</v>
      </c>
      <c r="F3" s="125">
        <f>IF(SER_hh_tes_in!F3=0,0,11630*1000*SER_hh_tes_in!F3/SER_hh_num_in!F3)</f>
        <v>103515.73083114756</v>
      </c>
      <c r="G3" s="125">
        <f>IF(SER_hh_tes_in!G3=0,0,11630*1000*SER_hh_tes_in!G3/SER_hh_num_in!G3)</f>
        <v>100172.64926170644</v>
      </c>
      <c r="H3" s="125">
        <f>IF(SER_hh_tes_in!H3=0,0,11630*1000*SER_hh_tes_in!H3/SER_hh_num_in!H3)</f>
        <v>126534.10760337328</v>
      </c>
      <c r="I3" s="125">
        <f>IF(SER_hh_tes_in!I3=0,0,11630*1000*SER_hh_tes_in!I3/SER_hh_num_in!I3)</f>
        <v>127176.63825692522</v>
      </c>
      <c r="J3" s="125">
        <f>IF(SER_hh_tes_in!J3=0,0,11630*1000*SER_hh_tes_in!J3/SER_hh_num_in!J3)</f>
        <v>131777.7762155284</v>
      </c>
      <c r="K3" s="125">
        <f>IF(SER_hh_tes_in!K3=0,0,11630*1000*SER_hh_tes_in!K3/SER_hh_num_in!K3)</f>
        <v>126149.16329988926</v>
      </c>
      <c r="L3" s="125">
        <f>IF(SER_hh_tes_in!L3=0,0,11630*1000*SER_hh_tes_in!L3/SER_hh_num_in!L3)</f>
        <v>128576.9384643105</v>
      </c>
      <c r="M3" s="125">
        <f>IF(SER_hh_tes_in!M3=0,0,11630*1000*SER_hh_tes_in!M3/SER_hh_num_in!M3)</f>
        <v>112473.00751373456</v>
      </c>
      <c r="N3" s="125">
        <f>IF(SER_hh_tes_in!N3=0,0,11630*1000*SER_hh_tes_in!N3/SER_hh_num_in!N3)</f>
        <v>123612.48565750483</v>
      </c>
      <c r="O3" s="125">
        <f>IF(SER_hh_tes_in!O3=0,0,11630*1000*SER_hh_tes_in!O3/SER_hh_num_in!O3)</f>
        <v>117916.35382408748</v>
      </c>
      <c r="P3" s="125">
        <f>IF(SER_hh_tes_in!P3=0,0,11630*1000*SER_hh_tes_in!P3/SER_hh_num_in!P3)</f>
        <v>109841.66447829538</v>
      </c>
      <c r="Q3" s="125">
        <f>IF(SER_hh_tes_in!Q3=0,0,11630*1000*SER_hh_tes_in!Q3/SER_hh_num_in!Q3)</f>
        <v>114232.61272381079</v>
      </c>
      <c r="R3" s="125">
        <f>IF(SER_hh_tes_in!R3=0,0,11630*1000*SER_hh_tes_in!R3/SER_hh_num_in!R3)</f>
        <v>123698.14200939071</v>
      </c>
      <c r="S3" s="125">
        <f>IF(SER_hh_tes_in!S3=0,0,11630*1000*SER_hh_tes_in!S3/SER_hh_num_in!S3)</f>
        <v>118547.13817695853</v>
      </c>
      <c r="T3" s="125">
        <f>IF(SER_hh_tes_in!T3=0,0,11630*1000*SER_hh_tes_in!T3/SER_hh_num_in!T3)</f>
        <v>130477.00584434735</v>
      </c>
      <c r="U3" s="125">
        <f>IF(SER_hh_tes_in!U3=0,0,11630*1000*SER_hh_tes_in!U3/SER_hh_num_in!U3)</f>
        <v>117713.77213133103</v>
      </c>
      <c r="V3" s="125">
        <f>IF(SER_hh_tes_in!V3=0,0,11630*1000*SER_hh_tes_in!V3/SER_hh_num_in!V3)</f>
        <v>104125.1329971454</v>
      </c>
      <c r="W3" s="125">
        <f>IF(SER_hh_tes_in!W3=0,0,11630*1000*SER_hh_tes_in!W3/SER_hh_num_in!W3)</f>
        <v>102409.16133978861</v>
      </c>
      <c r="X3" s="125">
        <f>IF(SER_hh_tes_in!X3=0,0,11630*1000*SER_hh_tes_in!X3/SER_hh_num_in!X3)</f>
        <v>97896.797254192657</v>
      </c>
      <c r="Y3" s="125">
        <f>IF(SER_hh_tes_in!Y3=0,0,11630*1000*SER_hh_tes_in!Y3/SER_hh_num_in!Y3)</f>
        <v>98123.814243568821</v>
      </c>
      <c r="DA3" s="154" t="s">
        <v>755</v>
      </c>
    </row>
    <row r="4" spans="1:105" ht="12.95" customHeight="1" x14ac:dyDescent="0.25">
      <c r="A4" s="129" t="s">
        <v>32</v>
      </c>
      <c r="B4" s="130"/>
      <c r="C4" s="130">
        <f>IF(SER_hh_tes_in!C4=0,0,11630*1000*SER_hh_tes_in!C4/SER_hh_num_in!C4)</f>
        <v>13637.25512087873</v>
      </c>
      <c r="D4" s="130">
        <f>IF(SER_hh_tes_in!D4=0,0,11630*1000*SER_hh_tes_in!D4/SER_hh_num_in!D4)</f>
        <v>16880.603690938729</v>
      </c>
      <c r="E4" s="130">
        <f>IF(SER_hh_tes_in!E4=0,0,11630*1000*SER_hh_tes_in!E4/SER_hh_num_in!E4)</f>
        <v>15791.253446597024</v>
      </c>
      <c r="F4" s="130">
        <f>IF(SER_hh_tes_in!F4=0,0,11630*1000*SER_hh_tes_in!F4/SER_hh_num_in!F4)</f>
        <v>17315.820647275075</v>
      </c>
      <c r="G4" s="130">
        <f>IF(SER_hh_tes_in!G4=0,0,11630*1000*SER_hh_tes_in!G4/SER_hh_num_in!G4)</f>
        <v>19148.607909415303</v>
      </c>
      <c r="H4" s="130">
        <f>IF(SER_hh_tes_in!H4=0,0,11630*1000*SER_hh_tes_in!H4/SER_hh_num_in!H4)</f>
        <v>27119.441768650453</v>
      </c>
      <c r="I4" s="130">
        <f>IF(SER_hh_tes_in!I4=0,0,11630*1000*SER_hh_tes_in!I4/SER_hh_num_in!I4)</f>
        <v>26214.434231285788</v>
      </c>
      <c r="J4" s="130">
        <f>IF(SER_hh_tes_in!J4=0,0,11630*1000*SER_hh_tes_in!J4/SER_hh_num_in!J4)</f>
        <v>31052.601112275039</v>
      </c>
      <c r="K4" s="130">
        <f>IF(SER_hh_tes_in!K4=0,0,11630*1000*SER_hh_tes_in!K4/SER_hh_num_in!K4)</f>
        <v>30281.212652599832</v>
      </c>
      <c r="L4" s="130">
        <f>IF(SER_hh_tes_in!L4=0,0,11630*1000*SER_hh_tes_in!L4/SER_hh_num_in!L4)</f>
        <v>29905.348850571136</v>
      </c>
      <c r="M4" s="130">
        <f>IF(SER_hh_tes_in!M4=0,0,11630*1000*SER_hh_tes_in!M4/SER_hh_num_in!M4)</f>
        <v>25315.657088504646</v>
      </c>
      <c r="N4" s="130">
        <f>IF(SER_hh_tes_in!N4=0,0,11630*1000*SER_hh_tes_in!N4/SER_hh_num_in!N4)</f>
        <v>23611.08763922369</v>
      </c>
      <c r="O4" s="130">
        <f>IF(SER_hh_tes_in!O4=0,0,11630*1000*SER_hh_tes_in!O4/SER_hh_num_in!O4)</f>
        <v>31435.266408197836</v>
      </c>
      <c r="P4" s="130">
        <f>IF(SER_hh_tes_in!P4=0,0,11630*1000*SER_hh_tes_in!P4/SER_hh_num_in!P4)</f>
        <v>28573.331553212221</v>
      </c>
      <c r="Q4" s="130">
        <f>IF(SER_hh_tes_in!Q4=0,0,11630*1000*SER_hh_tes_in!Q4/SER_hh_num_in!Q4)</f>
        <v>30109.529707137506</v>
      </c>
      <c r="R4" s="130">
        <f>IF(SER_hh_tes_in!R4=0,0,11630*1000*SER_hh_tes_in!R4/SER_hh_num_in!R4)</f>
        <v>33659.814703286465</v>
      </c>
      <c r="S4" s="130">
        <f>IF(SER_hh_tes_in!S4=0,0,11630*1000*SER_hh_tes_in!S4/SER_hh_num_in!S4)</f>
        <v>33724.408337802794</v>
      </c>
      <c r="T4" s="130">
        <f>IF(SER_hh_tes_in!T4=0,0,11630*1000*SER_hh_tes_in!T4/SER_hh_num_in!T4)</f>
        <v>31506.416087753558</v>
      </c>
      <c r="U4" s="130">
        <f>IF(SER_hh_tes_in!U4=0,0,11630*1000*SER_hh_tes_in!U4/SER_hh_num_in!U4)</f>
        <v>33450.567294011598</v>
      </c>
      <c r="V4" s="130">
        <f>IF(SER_hh_tes_in!V4=0,0,11630*1000*SER_hh_tes_in!V4/SER_hh_num_in!V4)</f>
        <v>21706.33481114082</v>
      </c>
      <c r="W4" s="130">
        <f>IF(SER_hh_tes_in!W4=0,0,11630*1000*SER_hh_tes_in!W4/SER_hh_num_in!W4)</f>
        <v>27903.177414931444</v>
      </c>
      <c r="X4" s="130">
        <f>IF(SER_hh_tes_in!X4=0,0,11630*1000*SER_hh_tes_in!X4/SER_hh_num_in!X4)</f>
        <v>31327.323536745898</v>
      </c>
      <c r="Y4" s="130">
        <f>IF(SER_hh_tes_in!Y4=0,0,11630*1000*SER_hh_tes_in!Y4/SER_hh_num_in!Y4)</f>
        <v>24071.30296747934</v>
      </c>
      <c r="DA4" s="155" t="s">
        <v>756</v>
      </c>
    </row>
    <row r="5" spans="1:105" ht="12" customHeight="1" x14ac:dyDescent="0.25">
      <c r="A5" s="131" t="s">
        <v>29</v>
      </c>
      <c r="B5" s="132"/>
      <c r="C5" s="132">
        <f>IF(SER_hh_tes_in!C5=0,0,11630*1000*SER_hh_tes_in!C5/SER_hh_num_in!C5)</f>
        <v>0</v>
      </c>
      <c r="D5" s="132">
        <f>IF(SER_hh_tes_in!D5=0,0,11630*1000*SER_hh_tes_in!D5/SER_hh_num_in!D5)</f>
        <v>0</v>
      </c>
      <c r="E5" s="132">
        <f>IF(SER_hh_tes_in!E5=0,0,11630*1000*SER_hh_tes_in!E5/SER_hh_num_in!E5)</f>
        <v>0</v>
      </c>
      <c r="F5" s="132">
        <f>IF(SER_hh_tes_in!F5=0,0,11630*1000*SER_hh_tes_in!F5/SER_hh_num_in!F5)</f>
        <v>0</v>
      </c>
      <c r="G5" s="132">
        <f>IF(SER_hh_tes_in!G5=0,0,11630*1000*SER_hh_tes_in!G5/SER_hh_num_in!G5)</f>
        <v>0</v>
      </c>
      <c r="H5" s="132">
        <f>IF(SER_hh_tes_in!H5=0,0,11630*1000*SER_hh_tes_in!H5/SER_hh_num_in!H5)</f>
        <v>0</v>
      </c>
      <c r="I5" s="132">
        <f>IF(SER_hh_tes_in!I5=0,0,11630*1000*SER_hh_tes_in!I5/SER_hh_num_in!I5)</f>
        <v>0</v>
      </c>
      <c r="J5" s="132">
        <f>IF(SER_hh_tes_in!J5=0,0,11630*1000*SER_hh_tes_in!J5/SER_hh_num_in!J5)</f>
        <v>0</v>
      </c>
      <c r="K5" s="132">
        <f>IF(SER_hh_tes_in!K5=0,0,11630*1000*SER_hh_tes_in!K5/SER_hh_num_in!K5)</f>
        <v>0</v>
      </c>
      <c r="L5" s="132">
        <f>IF(SER_hh_tes_in!L5=0,0,11630*1000*SER_hh_tes_in!L5/SER_hh_num_in!L5)</f>
        <v>0</v>
      </c>
      <c r="M5" s="132">
        <f>IF(SER_hh_tes_in!M5=0,0,11630*1000*SER_hh_tes_in!M5/SER_hh_num_in!M5)</f>
        <v>0</v>
      </c>
      <c r="N5" s="132">
        <f>IF(SER_hh_tes_in!N5=0,0,11630*1000*SER_hh_tes_in!N5/SER_hh_num_in!N5)</f>
        <v>0</v>
      </c>
      <c r="O5" s="132">
        <f>IF(SER_hh_tes_in!O5=0,0,11630*1000*SER_hh_tes_in!O5/SER_hh_num_in!O5)</f>
        <v>0</v>
      </c>
      <c r="P5" s="132">
        <f>IF(SER_hh_tes_in!P5=0,0,11630*1000*SER_hh_tes_in!P5/SER_hh_num_in!P5)</f>
        <v>0</v>
      </c>
      <c r="Q5" s="132">
        <f>IF(SER_hh_tes_in!Q5=0,0,11630*1000*SER_hh_tes_in!Q5/SER_hh_num_in!Q5)</f>
        <v>0</v>
      </c>
      <c r="R5" s="132">
        <f>IF(SER_hh_tes_in!R5=0,0,11630*1000*SER_hh_tes_in!R5/SER_hh_num_in!R5)</f>
        <v>0</v>
      </c>
      <c r="S5" s="132">
        <f>IF(SER_hh_tes_in!S5=0,0,11630*1000*SER_hh_tes_in!S5/SER_hh_num_in!S5)</f>
        <v>0</v>
      </c>
      <c r="T5" s="132">
        <f>IF(SER_hh_tes_in!T5=0,0,11630*1000*SER_hh_tes_in!T5/SER_hh_num_in!T5)</f>
        <v>0</v>
      </c>
      <c r="U5" s="132">
        <f>IF(SER_hh_tes_in!U5=0,0,11630*1000*SER_hh_tes_in!U5/SER_hh_num_in!U5)</f>
        <v>0</v>
      </c>
      <c r="V5" s="132">
        <f>IF(SER_hh_tes_in!V5=0,0,11630*1000*SER_hh_tes_in!V5/SER_hh_num_in!V5)</f>
        <v>0</v>
      </c>
      <c r="W5" s="132">
        <f>IF(SER_hh_tes_in!W5=0,0,11630*1000*SER_hh_tes_in!W5/SER_hh_num_in!W5)</f>
        <v>0</v>
      </c>
      <c r="X5" s="132">
        <f>IF(SER_hh_tes_in!X5=0,0,11630*1000*SER_hh_tes_in!X5/SER_hh_num_in!X5)</f>
        <v>0</v>
      </c>
      <c r="Y5" s="132">
        <f>IF(SER_hh_tes_in!Y5=0,0,11630*1000*SER_hh_tes_in!Y5/SER_hh_num_in!Y5)</f>
        <v>0</v>
      </c>
      <c r="DA5" s="156" t="s">
        <v>757</v>
      </c>
    </row>
    <row r="6" spans="1:105" ht="12" customHeight="1" x14ac:dyDescent="0.25">
      <c r="A6" s="131" t="s">
        <v>52</v>
      </c>
      <c r="B6" s="132"/>
      <c r="C6" s="132">
        <f>IF(SER_hh_tes_in!C6=0,0,11630*1000*SER_hh_tes_in!C6/SER_hh_num_in!C6)</f>
        <v>0</v>
      </c>
      <c r="D6" s="132">
        <f>IF(SER_hh_tes_in!D6=0,0,11630*1000*SER_hh_tes_in!D6/SER_hh_num_in!D6)</f>
        <v>0</v>
      </c>
      <c r="E6" s="132">
        <f>IF(SER_hh_tes_in!E6=0,0,11630*1000*SER_hh_tes_in!E6/SER_hh_num_in!E6)</f>
        <v>0</v>
      </c>
      <c r="F6" s="132">
        <f>IF(SER_hh_tes_in!F6=0,0,11630*1000*SER_hh_tes_in!F6/SER_hh_num_in!F6)</f>
        <v>0</v>
      </c>
      <c r="G6" s="132">
        <f>IF(SER_hh_tes_in!G6=0,0,11630*1000*SER_hh_tes_in!G6/SER_hh_num_in!G6)</f>
        <v>0</v>
      </c>
      <c r="H6" s="132">
        <f>IF(SER_hh_tes_in!H6=0,0,11630*1000*SER_hh_tes_in!H6/SER_hh_num_in!H6)</f>
        <v>0</v>
      </c>
      <c r="I6" s="132">
        <f>IF(SER_hh_tes_in!I6=0,0,11630*1000*SER_hh_tes_in!I6/SER_hh_num_in!I6)</f>
        <v>0</v>
      </c>
      <c r="J6" s="132">
        <f>IF(SER_hh_tes_in!J6=0,0,11630*1000*SER_hh_tes_in!J6/SER_hh_num_in!J6)</f>
        <v>0</v>
      </c>
      <c r="K6" s="132">
        <f>IF(SER_hh_tes_in!K6=0,0,11630*1000*SER_hh_tes_in!K6/SER_hh_num_in!K6)</f>
        <v>0</v>
      </c>
      <c r="L6" s="132">
        <f>IF(SER_hh_tes_in!L6=0,0,11630*1000*SER_hh_tes_in!L6/SER_hh_num_in!L6)</f>
        <v>0</v>
      </c>
      <c r="M6" s="132">
        <f>IF(SER_hh_tes_in!M6=0,0,11630*1000*SER_hh_tes_in!M6/SER_hh_num_in!M6)</f>
        <v>0</v>
      </c>
      <c r="N6" s="132">
        <f>IF(SER_hh_tes_in!N6=0,0,11630*1000*SER_hh_tes_in!N6/SER_hh_num_in!N6)</f>
        <v>0</v>
      </c>
      <c r="O6" s="132">
        <f>IF(SER_hh_tes_in!O6=0,0,11630*1000*SER_hh_tes_in!O6/SER_hh_num_in!O6)</f>
        <v>0</v>
      </c>
      <c r="P6" s="132">
        <f>IF(SER_hh_tes_in!P6=0,0,11630*1000*SER_hh_tes_in!P6/SER_hh_num_in!P6)</f>
        <v>0</v>
      </c>
      <c r="Q6" s="132">
        <f>IF(SER_hh_tes_in!Q6=0,0,11630*1000*SER_hh_tes_in!Q6/SER_hh_num_in!Q6)</f>
        <v>0</v>
      </c>
      <c r="R6" s="132">
        <f>IF(SER_hh_tes_in!R6=0,0,11630*1000*SER_hh_tes_in!R6/SER_hh_num_in!R6)</f>
        <v>0</v>
      </c>
      <c r="S6" s="132">
        <f>IF(SER_hh_tes_in!S6=0,0,11630*1000*SER_hh_tes_in!S6/SER_hh_num_in!S6)</f>
        <v>0</v>
      </c>
      <c r="T6" s="132">
        <f>IF(SER_hh_tes_in!T6=0,0,11630*1000*SER_hh_tes_in!T6/SER_hh_num_in!T6)</f>
        <v>0</v>
      </c>
      <c r="U6" s="132">
        <f>IF(SER_hh_tes_in!U6=0,0,11630*1000*SER_hh_tes_in!U6/SER_hh_num_in!U6)</f>
        <v>0</v>
      </c>
      <c r="V6" s="132">
        <f>IF(SER_hh_tes_in!V6=0,0,11630*1000*SER_hh_tes_in!V6/SER_hh_num_in!V6)</f>
        <v>0</v>
      </c>
      <c r="W6" s="132">
        <f>IF(SER_hh_tes_in!W6=0,0,11630*1000*SER_hh_tes_in!W6/SER_hh_num_in!W6)</f>
        <v>0</v>
      </c>
      <c r="X6" s="132">
        <f>IF(SER_hh_tes_in!X6=0,0,11630*1000*SER_hh_tes_in!X6/SER_hh_num_in!X6)</f>
        <v>0</v>
      </c>
      <c r="Y6" s="132">
        <f>IF(SER_hh_tes_in!Y6=0,0,11630*1000*SER_hh_tes_in!Y6/SER_hh_num_in!Y6)</f>
        <v>0</v>
      </c>
      <c r="DA6" s="156" t="s">
        <v>758</v>
      </c>
    </row>
    <row r="7" spans="1:105" ht="12" customHeight="1" x14ac:dyDescent="0.25">
      <c r="A7" s="131" t="s">
        <v>161</v>
      </c>
      <c r="B7" s="132"/>
      <c r="C7" s="132">
        <f>IF(SER_hh_tes_in!C7=0,0,11630*1000*SER_hh_tes_in!C7/SER_hh_num_in!C7)</f>
        <v>0</v>
      </c>
      <c r="D7" s="132">
        <f>IF(SER_hh_tes_in!D7=0,0,11630*1000*SER_hh_tes_in!D7/SER_hh_num_in!D7)</f>
        <v>0</v>
      </c>
      <c r="E7" s="132">
        <f>IF(SER_hh_tes_in!E7=0,0,11630*1000*SER_hh_tes_in!E7/SER_hh_num_in!E7)</f>
        <v>0</v>
      </c>
      <c r="F7" s="132">
        <f>IF(SER_hh_tes_in!F7=0,0,11630*1000*SER_hh_tes_in!F7/SER_hh_num_in!F7)</f>
        <v>0</v>
      </c>
      <c r="G7" s="132">
        <f>IF(SER_hh_tes_in!G7=0,0,11630*1000*SER_hh_tes_in!G7/SER_hh_num_in!G7)</f>
        <v>0</v>
      </c>
      <c r="H7" s="132">
        <f>IF(SER_hh_tes_in!H7=0,0,11630*1000*SER_hh_tes_in!H7/SER_hh_num_in!H7)</f>
        <v>0</v>
      </c>
      <c r="I7" s="132">
        <f>IF(SER_hh_tes_in!I7=0,0,11630*1000*SER_hh_tes_in!I7/SER_hh_num_in!I7)</f>
        <v>0</v>
      </c>
      <c r="J7" s="132">
        <f>IF(SER_hh_tes_in!J7=0,0,11630*1000*SER_hh_tes_in!J7/SER_hh_num_in!J7)</f>
        <v>33117.869641828132</v>
      </c>
      <c r="K7" s="132">
        <f>IF(SER_hh_tes_in!K7=0,0,11630*1000*SER_hh_tes_in!K7/SER_hh_num_in!K7)</f>
        <v>26749.099077663086</v>
      </c>
      <c r="L7" s="132">
        <f>IF(SER_hh_tes_in!L7=0,0,11630*1000*SER_hh_tes_in!L7/SER_hh_num_in!L7)</f>
        <v>30870.374296136735</v>
      </c>
      <c r="M7" s="132">
        <f>IF(SER_hh_tes_in!M7=0,0,11630*1000*SER_hh_tes_in!M7/SER_hh_num_in!M7)</f>
        <v>29741.282629931637</v>
      </c>
      <c r="N7" s="132">
        <f>IF(SER_hh_tes_in!N7=0,0,11630*1000*SER_hh_tes_in!N7/SER_hh_num_in!N7)</f>
        <v>25149.171859234011</v>
      </c>
      <c r="O7" s="132">
        <f>IF(SER_hh_tes_in!O7=0,0,11630*1000*SER_hh_tes_in!O7/SER_hh_num_in!O7)</f>
        <v>28403.944891793035</v>
      </c>
      <c r="P7" s="132">
        <f>IF(SER_hh_tes_in!P7=0,0,11630*1000*SER_hh_tes_in!P7/SER_hh_num_in!P7)</f>
        <v>0</v>
      </c>
      <c r="Q7" s="132">
        <f>IF(SER_hh_tes_in!Q7=0,0,11630*1000*SER_hh_tes_in!Q7/SER_hh_num_in!Q7)</f>
        <v>0</v>
      </c>
      <c r="R7" s="132">
        <f>IF(SER_hh_tes_in!R7=0,0,11630*1000*SER_hh_tes_in!R7/SER_hh_num_in!R7)</f>
        <v>0</v>
      </c>
      <c r="S7" s="132">
        <f>IF(SER_hh_tes_in!S7=0,0,11630*1000*SER_hh_tes_in!S7/SER_hh_num_in!S7)</f>
        <v>0</v>
      </c>
      <c r="T7" s="132">
        <f>IF(SER_hh_tes_in!T7=0,0,11630*1000*SER_hh_tes_in!T7/SER_hh_num_in!T7)</f>
        <v>27205.645256305623</v>
      </c>
      <c r="U7" s="132">
        <f>IF(SER_hh_tes_in!U7=0,0,11630*1000*SER_hh_tes_in!U7/SER_hh_num_in!U7)</f>
        <v>30771.142639408463</v>
      </c>
      <c r="V7" s="132">
        <f>IF(SER_hh_tes_in!V7=0,0,11630*1000*SER_hh_tes_in!V7/SER_hh_num_in!V7)</f>
        <v>22602.178445806559</v>
      </c>
      <c r="W7" s="132">
        <f>IF(SER_hh_tes_in!W7=0,0,11630*1000*SER_hh_tes_in!W7/SER_hh_num_in!W7)</f>
        <v>22288.684009982149</v>
      </c>
      <c r="X7" s="132">
        <f>IF(SER_hh_tes_in!X7=0,0,11630*1000*SER_hh_tes_in!X7/SER_hh_num_in!X7)</f>
        <v>21596.699259177862</v>
      </c>
      <c r="Y7" s="132">
        <f>IF(SER_hh_tes_in!Y7=0,0,11630*1000*SER_hh_tes_in!Y7/SER_hh_num_in!Y7)</f>
        <v>22787.42824755238</v>
      </c>
      <c r="DA7" s="156" t="s">
        <v>759</v>
      </c>
    </row>
    <row r="8" spans="1:105" ht="12" customHeight="1" x14ac:dyDescent="0.25">
      <c r="A8" s="131" t="s">
        <v>73</v>
      </c>
      <c r="B8" s="132"/>
      <c r="C8" s="132">
        <f>IF(SER_hh_tes_in!C8=0,0,11630*1000*SER_hh_tes_in!C8/SER_hh_num_in!C8)</f>
        <v>0</v>
      </c>
      <c r="D8" s="132">
        <f>IF(SER_hh_tes_in!D8=0,0,11630*1000*SER_hh_tes_in!D8/SER_hh_num_in!D8)</f>
        <v>0</v>
      </c>
      <c r="E8" s="132">
        <f>IF(SER_hh_tes_in!E8=0,0,11630*1000*SER_hh_tes_in!E8/SER_hh_num_in!E8)</f>
        <v>0</v>
      </c>
      <c r="F8" s="132">
        <f>IF(SER_hh_tes_in!F8=0,0,11630*1000*SER_hh_tes_in!F8/SER_hh_num_in!F8)</f>
        <v>0</v>
      </c>
      <c r="G8" s="132">
        <f>IF(SER_hh_tes_in!G8=0,0,11630*1000*SER_hh_tes_in!G8/SER_hh_num_in!G8)</f>
        <v>0</v>
      </c>
      <c r="H8" s="132">
        <f>IF(SER_hh_tes_in!H8=0,0,11630*1000*SER_hh_tes_in!H8/SER_hh_num_in!H8)</f>
        <v>0</v>
      </c>
      <c r="I8" s="132">
        <f>IF(SER_hh_tes_in!I8=0,0,11630*1000*SER_hh_tes_in!I8/SER_hh_num_in!I8)</f>
        <v>0</v>
      </c>
      <c r="J8" s="132">
        <f>IF(SER_hh_tes_in!J8=0,0,11630*1000*SER_hh_tes_in!J8/SER_hh_num_in!J8)</f>
        <v>0</v>
      </c>
      <c r="K8" s="132">
        <f>IF(SER_hh_tes_in!K8=0,0,11630*1000*SER_hh_tes_in!K8/SER_hh_num_in!K8)</f>
        <v>0</v>
      </c>
      <c r="L8" s="132">
        <f>IF(SER_hh_tes_in!L8=0,0,11630*1000*SER_hh_tes_in!L8/SER_hh_num_in!L8)</f>
        <v>0</v>
      </c>
      <c r="M8" s="132">
        <f>IF(SER_hh_tes_in!M8=0,0,11630*1000*SER_hh_tes_in!M8/SER_hh_num_in!M8)</f>
        <v>0</v>
      </c>
      <c r="N8" s="132">
        <f>IF(SER_hh_tes_in!N8=0,0,11630*1000*SER_hh_tes_in!N8/SER_hh_num_in!N8)</f>
        <v>0</v>
      </c>
      <c r="O8" s="132">
        <f>IF(SER_hh_tes_in!O8=0,0,11630*1000*SER_hh_tes_in!O8/SER_hh_num_in!O8)</f>
        <v>0</v>
      </c>
      <c r="P8" s="132">
        <f>IF(SER_hh_tes_in!P8=0,0,11630*1000*SER_hh_tes_in!P8/SER_hh_num_in!P8)</f>
        <v>0</v>
      </c>
      <c r="Q8" s="132">
        <f>IF(SER_hh_tes_in!Q8=0,0,11630*1000*SER_hh_tes_in!Q8/SER_hh_num_in!Q8)</f>
        <v>0</v>
      </c>
      <c r="R8" s="132">
        <f>IF(SER_hh_tes_in!R8=0,0,11630*1000*SER_hh_tes_in!R8/SER_hh_num_in!R8)</f>
        <v>0</v>
      </c>
      <c r="S8" s="132">
        <f>IF(SER_hh_tes_in!S8=0,0,11630*1000*SER_hh_tes_in!S8/SER_hh_num_in!S8)</f>
        <v>0</v>
      </c>
      <c r="T8" s="132">
        <f>IF(SER_hh_tes_in!T8=0,0,11630*1000*SER_hh_tes_in!T8/SER_hh_num_in!T8)</f>
        <v>0</v>
      </c>
      <c r="U8" s="132">
        <f>IF(SER_hh_tes_in!U8=0,0,11630*1000*SER_hh_tes_in!U8/SER_hh_num_in!U8)</f>
        <v>0</v>
      </c>
      <c r="V8" s="132">
        <f>IF(SER_hh_tes_in!V8=0,0,11630*1000*SER_hh_tes_in!V8/SER_hh_num_in!V8)</f>
        <v>0</v>
      </c>
      <c r="W8" s="132">
        <f>IF(SER_hh_tes_in!W8=0,0,11630*1000*SER_hh_tes_in!W8/SER_hh_num_in!W8)</f>
        <v>0</v>
      </c>
      <c r="X8" s="132">
        <f>IF(SER_hh_tes_in!X8=0,0,11630*1000*SER_hh_tes_in!X8/SER_hh_num_in!X8)</f>
        <v>0</v>
      </c>
      <c r="Y8" s="132">
        <f>IF(SER_hh_tes_in!Y8=0,0,11630*1000*SER_hh_tes_in!Y8/SER_hh_num_in!Y8)</f>
        <v>0</v>
      </c>
      <c r="DA8" s="156" t="s">
        <v>760</v>
      </c>
    </row>
    <row r="9" spans="1:105" ht="12" customHeight="1" x14ac:dyDescent="0.25">
      <c r="A9" s="131" t="s">
        <v>78</v>
      </c>
      <c r="B9" s="132"/>
      <c r="C9" s="132">
        <f>IF(SER_hh_tes_in!C9=0,0,11630*1000*SER_hh_tes_in!C9/SER_hh_num_in!C9)</f>
        <v>0</v>
      </c>
      <c r="D9" s="132">
        <f>IF(SER_hh_tes_in!D9=0,0,11630*1000*SER_hh_tes_in!D9/SER_hh_num_in!D9)</f>
        <v>0</v>
      </c>
      <c r="E9" s="132">
        <f>IF(SER_hh_tes_in!E9=0,0,11630*1000*SER_hh_tes_in!E9/SER_hh_num_in!E9)</f>
        <v>0</v>
      </c>
      <c r="F9" s="132">
        <f>IF(SER_hh_tes_in!F9=0,0,11630*1000*SER_hh_tes_in!F9/SER_hh_num_in!F9)</f>
        <v>0</v>
      </c>
      <c r="G9" s="132">
        <f>IF(SER_hh_tes_in!G9=0,0,11630*1000*SER_hh_tes_in!G9/SER_hh_num_in!G9)</f>
        <v>0</v>
      </c>
      <c r="H9" s="132">
        <f>IF(SER_hh_tes_in!H9=0,0,11630*1000*SER_hh_tes_in!H9/SER_hh_num_in!H9)</f>
        <v>0</v>
      </c>
      <c r="I9" s="132">
        <f>IF(SER_hh_tes_in!I9=0,0,11630*1000*SER_hh_tes_in!I9/SER_hh_num_in!I9)</f>
        <v>0</v>
      </c>
      <c r="J9" s="132">
        <f>IF(SER_hh_tes_in!J9=0,0,11630*1000*SER_hh_tes_in!J9/SER_hh_num_in!J9)</f>
        <v>0</v>
      </c>
      <c r="K9" s="132">
        <f>IF(SER_hh_tes_in!K9=0,0,11630*1000*SER_hh_tes_in!K9/SER_hh_num_in!K9)</f>
        <v>44122.549843071247</v>
      </c>
      <c r="L9" s="132">
        <f>IF(SER_hh_tes_in!L9=0,0,11630*1000*SER_hh_tes_in!L9/SER_hh_num_in!L9)</f>
        <v>35793.839520633075</v>
      </c>
      <c r="M9" s="132">
        <f>IF(SER_hh_tes_in!M9=0,0,11630*1000*SER_hh_tes_in!M9/SER_hh_num_in!M9)</f>
        <v>28572.606338942289</v>
      </c>
      <c r="N9" s="132">
        <f>IF(SER_hh_tes_in!N9=0,0,11630*1000*SER_hh_tes_in!N9/SER_hh_num_in!N9)</f>
        <v>26499.468391209422</v>
      </c>
      <c r="O9" s="132">
        <f>IF(SER_hh_tes_in!O9=0,0,11630*1000*SER_hh_tes_in!O9/SER_hh_num_in!O9)</f>
        <v>0</v>
      </c>
      <c r="P9" s="132">
        <f>IF(SER_hh_tes_in!P9=0,0,11630*1000*SER_hh_tes_in!P9/SER_hh_num_in!P9)</f>
        <v>27501.194986359147</v>
      </c>
      <c r="Q9" s="132">
        <f>IF(SER_hh_tes_in!Q9=0,0,11630*1000*SER_hh_tes_in!Q9/SER_hh_num_in!Q9)</f>
        <v>26164.837107061212</v>
      </c>
      <c r="R9" s="132">
        <f>IF(SER_hh_tes_in!R9=0,0,11630*1000*SER_hh_tes_in!R9/SER_hh_num_in!R9)</f>
        <v>27263.538359949416</v>
      </c>
      <c r="S9" s="132">
        <f>IF(SER_hh_tes_in!S9=0,0,11630*1000*SER_hh_tes_in!S9/SER_hh_num_in!S9)</f>
        <v>21063.539063865755</v>
      </c>
      <c r="T9" s="132">
        <f>IF(SER_hh_tes_in!T9=0,0,11630*1000*SER_hh_tes_in!T9/SER_hh_num_in!T9)</f>
        <v>41793.936918589112</v>
      </c>
      <c r="U9" s="132">
        <f>IF(SER_hh_tes_in!U9=0,0,11630*1000*SER_hh_tes_in!U9/SER_hh_num_in!U9)</f>
        <v>44465.646292128353</v>
      </c>
      <c r="V9" s="132">
        <f>IF(SER_hh_tes_in!V9=0,0,11630*1000*SER_hh_tes_in!V9/SER_hh_num_in!V9)</f>
        <v>15186.17791387885</v>
      </c>
      <c r="W9" s="132">
        <f>IF(SER_hh_tes_in!W9=0,0,11630*1000*SER_hh_tes_in!W9/SER_hh_num_in!W9)</f>
        <v>15093.939927618145</v>
      </c>
      <c r="X9" s="132">
        <f>IF(SER_hh_tes_in!X9=0,0,11630*1000*SER_hh_tes_in!X9/SER_hh_num_in!X9)</f>
        <v>15039.389593714377</v>
      </c>
      <c r="Y9" s="132">
        <f>IF(SER_hh_tes_in!Y9=0,0,11630*1000*SER_hh_tes_in!Y9/SER_hh_num_in!Y9)</f>
        <v>21503.637718605092</v>
      </c>
      <c r="DA9" s="156" t="s">
        <v>761</v>
      </c>
    </row>
    <row r="10" spans="1:105" ht="12" customHeight="1" x14ac:dyDescent="0.25">
      <c r="A10" s="131" t="s">
        <v>128</v>
      </c>
      <c r="B10" s="132"/>
      <c r="C10" s="132">
        <f>IF(SER_hh_tes_in!C10=0,0,11630*1000*SER_hh_tes_in!C10/SER_hh_num_in!C10)</f>
        <v>0</v>
      </c>
      <c r="D10" s="132">
        <f>IF(SER_hh_tes_in!D10=0,0,11630*1000*SER_hh_tes_in!D10/SER_hh_num_in!D10)</f>
        <v>0</v>
      </c>
      <c r="E10" s="132">
        <f>IF(SER_hh_tes_in!E10=0,0,11630*1000*SER_hh_tes_in!E10/SER_hh_num_in!E10)</f>
        <v>0</v>
      </c>
      <c r="F10" s="132">
        <f>IF(SER_hh_tes_in!F10=0,0,11630*1000*SER_hh_tes_in!F10/SER_hh_num_in!F10)</f>
        <v>0</v>
      </c>
      <c r="G10" s="132">
        <f>IF(SER_hh_tes_in!G10=0,0,11630*1000*SER_hh_tes_in!G10/SER_hh_num_in!G10)</f>
        <v>0</v>
      </c>
      <c r="H10" s="132">
        <f>IF(SER_hh_tes_in!H10=0,0,11630*1000*SER_hh_tes_in!H10/SER_hh_num_in!H10)</f>
        <v>0</v>
      </c>
      <c r="I10" s="132">
        <f>IF(SER_hh_tes_in!I10=0,0,11630*1000*SER_hh_tes_in!I10/SER_hh_num_in!I10)</f>
        <v>17857.961646697244</v>
      </c>
      <c r="J10" s="132">
        <f>IF(SER_hh_tes_in!J10=0,0,11630*1000*SER_hh_tes_in!J10/SER_hh_num_in!J10)</f>
        <v>46331.53624741824</v>
      </c>
      <c r="K10" s="132">
        <f>IF(SER_hh_tes_in!K10=0,0,11630*1000*SER_hh_tes_in!K10/SER_hh_num_in!K10)</f>
        <v>0</v>
      </c>
      <c r="L10" s="132">
        <f>IF(SER_hh_tes_in!L10=0,0,11630*1000*SER_hh_tes_in!L10/SER_hh_num_in!L10)</f>
        <v>14921.323927485095</v>
      </c>
      <c r="M10" s="132">
        <f>IF(SER_hh_tes_in!M10=0,0,11630*1000*SER_hh_tes_in!M10/SER_hh_num_in!M10)</f>
        <v>24938.543095164863</v>
      </c>
      <c r="N10" s="132">
        <f>IF(SER_hh_tes_in!N10=0,0,11630*1000*SER_hh_tes_in!N10/SER_hh_num_in!N10)</f>
        <v>31588.634767180531</v>
      </c>
      <c r="O10" s="132">
        <f>IF(SER_hh_tes_in!O10=0,0,11630*1000*SER_hh_tes_in!O10/SER_hh_num_in!O10)</f>
        <v>24023.925927479366</v>
      </c>
      <c r="P10" s="132">
        <f>IF(SER_hh_tes_in!P10=0,0,11630*1000*SER_hh_tes_in!P10/SER_hh_num_in!P10)</f>
        <v>18826.187313435286</v>
      </c>
      <c r="Q10" s="132">
        <f>IF(SER_hh_tes_in!Q10=0,0,11630*1000*SER_hh_tes_in!Q10/SER_hh_num_in!Q10)</f>
        <v>39156.861200031221</v>
      </c>
      <c r="R10" s="132">
        <f>IF(SER_hh_tes_in!R10=0,0,11630*1000*SER_hh_tes_in!R10/SER_hh_num_in!R10)</f>
        <v>28297.86788115478</v>
      </c>
      <c r="S10" s="132">
        <f>IF(SER_hh_tes_in!S10=0,0,11630*1000*SER_hh_tes_in!S10/SER_hh_num_in!S10)</f>
        <v>0</v>
      </c>
      <c r="T10" s="132">
        <f>IF(SER_hh_tes_in!T10=0,0,11630*1000*SER_hh_tes_in!T10/SER_hh_num_in!T10)</f>
        <v>0</v>
      </c>
      <c r="U10" s="132">
        <f>IF(SER_hh_tes_in!U10=0,0,11630*1000*SER_hh_tes_in!U10/SER_hh_num_in!U10)</f>
        <v>0</v>
      </c>
      <c r="V10" s="132">
        <f>IF(SER_hh_tes_in!V10=0,0,11630*1000*SER_hh_tes_in!V10/SER_hh_num_in!V10)</f>
        <v>13466.281739197568</v>
      </c>
      <c r="W10" s="132">
        <f>IF(SER_hh_tes_in!W10=0,0,11630*1000*SER_hh_tes_in!W10/SER_hh_num_in!W10)</f>
        <v>33652.625962080579</v>
      </c>
      <c r="X10" s="132">
        <f>IF(SER_hh_tes_in!X10=0,0,11630*1000*SER_hh_tes_in!X10/SER_hh_num_in!X10)</f>
        <v>31320.809104157386</v>
      </c>
      <c r="Y10" s="132">
        <f>IF(SER_hh_tes_in!Y10=0,0,11630*1000*SER_hh_tes_in!Y10/SER_hh_num_in!Y10)</f>
        <v>20030.211058562407</v>
      </c>
      <c r="DA10" s="156" t="s">
        <v>762</v>
      </c>
    </row>
    <row r="11" spans="1:105" ht="12" customHeight="1" x14ac:dyDescent="0.25">
      <c r="A11" s="131" t="s">
        <v>25</v>
      </c>
      <c r="B11" s="132"/>
      <c r="C11" s="132">
        <f>IF(SER_hh_tes_in!C11=0,0,11630*1000*SER_hh_tes_in!C11/SER_hh_num_in!C11)</f>
        <v>0</v>
      </c>
      <c r="D11" s="132">
        <f>IF(SER_hh_tes_in!D11=0,0,11630*1000*SER_hh_tes_in!D11/SER_hh_num_in!D11)</f>
        <v>0</v>
      </c>
      <c r="E11" s="132">
        <f>IF(SER_hh_tes_in!E11=0,0,11630*1000*SER_hh_tes_in!E11/SER_hh_num_in!E11)</f>
        <v>0</v>
      </c>
      <c r="F11" s="132">
        <f>IF(SER_hh_tes_in!F11=0,0,11630*1000*SER_hh_tes_in!F11/SER_hh_num_in!F11)</f>
        <v>0</v>
      </c>
      <c r="G11" s="132">
        <f>IF(SER_hh_tes_in!G11=0,0,11630*1000*SER_hh_tes_in!G11/SER_hh_num_in!G11)</f>
        <v>0</v>
      </c>
      <c r="H11" s="132">
        <f>IF(SER_hh_tes_in!H11=0,0,11630*1000*SER_hh_tes_in!H11/SER_hh_num_in!H11)</f>
        <v>0</v>
      </c>
      <c r="I11" s="132">
        <f>IF(SER_hh_tes_in!I11=0,0,11630*1000*SER_hh_tes_in!I11/SER_hh_num_in!I11)</f>
        <v>0</v>
      </c>
      <c r="J11" s="132">
        <f>IF(SER_hh_tes_in!J11=0,0,11630*1000*SER_hh_tes_in!J11/SER_hh_num_in!J11)</f>
        <v>0</v>
      </c>
      <c r="K11" s="132">
        <f>IF(SER_hh_tes_in!K11=0,0,11630*1000*SER_hh_tes_in!K11/SER_hh_num_in!K11)</f>
        <v>0</v>
      </c>
      <c r="L11" s="132">
        <f>IF(SER_hh_tes_in!L11=0,0,11630*1000*SER_hh_tes_in!L11/SER_hh_num_in!L11)</f>
        <v>0</v>
      </c>
      <c r="M11" s="132">
        <f>IF(SER_hh_tes_in!M11=0,0,11630*1000*SER_hh_tes_in!M11/SER_hh_num_in!M11)</f>
        <v>0</v>
      </c>
      <c r="N11" s="132">
        <f>IF(SER_hh_tes_in!N11=0,0,11630*1000*SER_hh_tes_in!N11/SER_hh_num_in!N11)</f>
        <v>0</v>
      </c>
      <c r="O11" s="132">
        <f>IF(SER_hh_tes_in!O11=0,0,11630*1000*SER_hh_tes_in!O11/SER_hh_num_in!O11)</f>
        <v>0</v>
      </c>
      <c r="P11" s="132">
        <f>IF(SER_hh_tes_in!P11=0,0,11630*1000*SER_hh_tes_in!P11/SER_hh_num_in!P11)</f>
        <v>0</v>
      </c>
      <c r="Q11" s="132">
        <f>IF(SER_hh_tes_in!Q11=0,0,11630*1000*SER_hh_tes_in!Q11/SER_hh_num_in!Q11)</f>
        <v>0</v>
      </c>
      <c r="R11" s="132">
        <f>IF(SER_hh_tes_in!R11=0,0,11630*1000*SER_hh_tes_in!R11/SER_hh_num_in!R11)</f>
        <v>0</v>
      </c>
      <c r="S11" s="132">
        <f>IF(SER_hh_tes_in!S11=0,0,11630*1000*SER_hh_tes_in!S11/SER_hh_num_in!S11)</f>
        <v>0</v>
      </c>
      <c r="T11" s="132">
        <f>IF(SER_hh_tes_in!T11=0,0,11630*1000*SER_hh_tes_in!T11/SER_hh_num_in!T11)</f>
        <v>0</v>
      </c>
      <c r="U11" s="132">
        <f>IF(SER_hh_tes_in!U11=0,0,11630*1000*SER_hh_tes_in!U11/SER_hh_num_in!U11)</f>
        <v>0</v>
      </c>
      <c r="V11" s="132">
        <f>IF(SER_hh_tes_in!V11=0,0,11630*1000*SER_hh_tes_in!V11/SER_hh_num_in!V11)</f>
        <v>0</v>
      </c>
      <c r="W11" s="132">
        <f>IF(SER_hh_tes_in!W11=0,0,11630*1000*SER_hh_tes_in!W11/SER_hh_num_in!W11)</f>
        <v>0</v>
      </c>
      <c r="X11" s="132">
        <f>IF(SER_hh_tes_in!X11=0,0,11630*1000*SER_hh_tes_in!X11/SER_hh_num_in!X11)</f>
        <v>0</v>
      </c>
      <c r="Y11" s="132">
        <f>IF(SER_hh_tes_in!Y11=0,0,11630*1000*SER_hh_tes_in!Y11/SER_hh_num_in!Y11)</f>
        <v>0</v>
      </c>
      <c r="DA11" s="156" t="s">
        <v>763</v>
      </c>
    </row>
    <row r="12" spans="1:105" ht="12" customHeight="1" x14ac:dyDescent="0.25">
      <c r="A12" s="131" t="s">
        <v>162</v>
      </c>
      <c r="B12" s="132"/>
      <c r="C12" s="132">
        <f>IF(SER_hh_tes_in!C12=0,0,11630*1000*SER_hh_tes_in!C12/SER_hh_num_in!C12)</f>
        <v>0</v>
      </c>
      <c r="D12" s="132">
        <f>IF(SER_hh_tes_in!D12=0,0,11630*1000*SER_hh_tes_in!D12/SER_hh_num_in!D12)</f>
        <v>0</v>
      </c>
      <c r="E12" s="132">
        <f>IF(SER_hh_tes_in!E12=0,0,11630*1000*SER_hh_tes_in!E12/SER_hh_num_in!E12)</f>
        <v>0</v>
      </c>
      <c r="F12" s="132">
        <f>IF(SER_hh_tes_in!F12=0,0,11630*1000*SER_hh_tes_in!F12/SER_hh_num_in!F12)</f>
        <v>0</v>
      </c>
      <c r="G12" s="132">
        <f>IF(SER_hh_tes_in!G12=0,0,11630*1000*SER_hh_tes_in!G12/SER_hh_num_in!G12)</f>
        <v>0</v>
      </c>
      <c r="H12" s="132">
        <f>IF(SER_hh_tes_in!H12=0,0,11630*1000*SER_hh_tes_in!H12/SER_hh_num_in!H12)</f>
        <v>0</v>
      </c>
      <c r="I12" s="132">
        <f>IF(SER_hh_tes_in!I12=0,0,11630*1000*SER_hh_tes_in!I12/SER_hh_num_in!I12)</f>
        <v>0</v>
      </c>
      <c r="J12" s="132">
        <f>IF(SER_hh_tes_in!J12=0,0,11630*1000*SER_hh_tes_in!J12/SER_hh_num_in!J12)</f>
        <v>0</v>
      </c>
      <c r="K12" s="132">
        <f>IF(SER_hh_tes_in!K12=0,0,11630*1000*SER_hh_tes_in!K12/SER_hh_num_in!K12)</f>
        <v>0</v>
      </c>
      <c r="L12" s="132">
        <f>IF(SER_hh_tes_in!L12=0,0,11630*1000*SER_hh_tes_in!L12/SER_hh_num_in!L12)</f>
        <v>0</v>
      </c>
      <c r="M12" s="132">
        <f>IF(SER_hh_tes_in!M12=0,0,11630*1000*SER_hh_tes_in!M12/SER_hh_num_in!M12)</f>
        <v>0</v>
      </c>
      <c r="N12" s="132">
        <f>IF(SER_hh_tes_in!N12=0,0,11630*1000*SER_hh_tes_in!N12/SER_hh_num_in!N12)</f>
        <v>0</v>
      </c>
      <c r="O12" s="132">
        <f>IF(SER_hh_tes_in!O12=0,0,11630*1000*SER_hh_tes_in!O12/SER_hh_num_in!O12)</f>
        <v>0</v>
      </c>
      <c r="P12" s="132">
        <f>IF(SER_hh_tes_in!P12=0,0,11630*1000*SER_hh_tes_in!P12/SER_hh_num_in!P12)</f>
        <v>0</v>
      </c>
      <c r="Q12" s="132">
        <f>IF(SER_hh_tes_in!Q12=0,0,11630*1000*SER_hh_tes_in!Q12/SER_hh_num_in!Q12)</f>
        <v>0</v>
      </c>
      <c r="R12" s="132">
        <f>IF(SER_hh_tes_in!R12=0,0,11630*1000*SER_hh_tes_in!R12/SER_hh_num_in!R12)</f>
        <v>0</v>
      </c>
      <c r="S12" s="132">
        <f>IF(SER_hh_tes_in!S12=0,0,11630*1000*SER_hh_tes_in!S12/SER_hh_num_in!S12)</f>
        <v>0</v>
      </c>
      <c r="T12" s="132">
        <f>IF(SER_hh_tes_in!T12=0,0,11630*1000*SER_hh_tes_in!T12/SER_hh_num_in!T12)</f>
        <v>0</v>
      </c>
      <c r="U12" s="132">
        <f>IF(SER_hh_tes_in!U12=0,0,11630*1000*SER_hh_tes_in!U12/SER_hh_num_in!U12)</f>
        <v>0</v>
      </c>
      <c r="V12" s="132">
        <f>IF(SER_hh_tes_in!V12=0,0,11630*1000*SER_hh_tes_in!V12/SER_hh_num_in!V12)</f>
        <v>0</v>
      </c>
      <c r="W12" s="132">
        <f>IF(SER_hh_tes_in!W12=0,0,11630*1000*SER_hh_tes_in!W12/SER_hh_num_in!W12)</f>
        <v>0</v>
      </c>
      <c r="X12" s="132">
        <f>IF(SER_hh_tes_in!X12=0,0,11630*1000*SER_hh_tes_in!X12/SER_hh_num_in!X12)</f>
        <v>0</v>
      </c>
      <c r="Y12" s="132">
        <f>IF(SER_hh_tes_in!Y12=0,0,11630*1000*SER_hh_tes_in!Y12/SER_hh_num_in!Y12)</f>
        <v>0</v>
      </c>
      <c r="DA12" s="156" t="s">
        <v>764</v>
      </c>
    </row>
    <row r="13" spans="1:105" ht="12" customHeight="1" x14ac:dyDescent="0.25">
      <c r="A13" s="131" t="s">
        <v>77</v>
      </c>
      <c r="B13" s="132"/>
      <c r="C13" s="132">
        <f>IF(SER_hh_tes_in!C13=0,0,11630*1000*SER_hh_tes_in!C13/SER_hh_num_in!C13)</f>
        <v>13823.952581751311</v>
      </c>
      <c r="D13" s="132">
        <f>IF(SER_hh_tes_in!D13=0,0,11630*1000*SER_hh_tes_in!D13/SER_hh_num_in!D13)</f>
        <v>15181.39014029916</v>
      </c>
      <c r="E13" s="132">
        <f>IF(SER_hh_tes_in!E13=0,0,11630*1000*SER_hh_tes_in!E13/SER_hh_num_in!E13)</f>
        <v>15711.448138027554</v>
      </c>
      <c r="F13" s="132">
        <f>IF(SER_hh_tes_in!F13=0,0,11630*1000*SER_hh_tes_in!F13/SER_hh_num_in!F13)</f>
        <v>17869.10963744278</v>
      </c>
      <c r="G13" s="132">
        <f>IF(SER_hh_tes_in!G13=0,0,11630*1000*SER_hh_tes_in!G13/SER_hh_num_in!G13)</f>
        <v>21307.315698902108</v>
      </c>
      <c r="H13" s="132">
        <f>IF(SER_hh_tes_in!H13=0,0,11630*1000*SER_hh_tes_in!H13/SER_hh_num_in!H13)</f>
        <v>24480.517872063218</v>
      </c>
      <c r="I13" s="132">
        <f>IF(SER_hh_tes_in!I13=0,0,11630*1000*SER_hh_tes_in!I13/SER_hh_num_in!I13)</f>
        <v>27130.948638056041</v>
      </c>
      <c r="J13" s="132">
        <f>IF(SER_hh_tes_in!J13=0,0,11630*1000*SER_hh_tes_in!J13/SER_hh_num_in!J13)</f>
        <v>28096.99065529562</v>
      </c>
      <c r="K13" s="132">
        <f>IF(SER_hh_tes_in!K13=0,0,11630*1000*SER_hh_tes_in!K13/SER_hh_num_in!K13)</f>
        <v>30650.314993416083</v>
      </c>
      <c r="L13" s="132">
        <f>IF(SER_hh_tes_in!L13=0,0,11630*1000*SER_hh_tes_in!L13/SER_hh_num_in!L13)</f>
        <v>26955.68691645865</v>
      </c>
      <c r="M13" s="132">
        <f>IF(SER_hh_tes_in!M13=0,0,11630*1000*SER_hh_tes_in!M13/SER_hh_num_in!M13)</f>
        <v>23155.34173259628</v>
      </c>
      <c r="N13" s="132">
        <f>IF(SER_hh_tes_in!N13=0,0,11630*1000*SER_hh_tes_in!N13/SER_hh_num_in!N13)</f>
        <v>22965.51269006811</v>
      </c>
      <c r="O13" s="132">
        <f>IF(SER_hh_tes_in!O13=0,0,11630*1000*SER_hh_tes_in!O13/SER_hh_num_in!O13)</f>
        <v>31924.155897474007</v>
      </c>
      <c r="P13" s="132">
        <f>IF(SER_hh_tes_in!P13=0,0,11630*1000*SER_hh_tes_in!P13/SER_hh_num_in!P13)</f>
        <v>28847.220308743643</v>
      </c>
      <c r="Q13" s="132">
        <f>IF(SER_hh_tes_in!Q13=0,0,11630*1000*SER_hh_tes_in!Q13/SER_hh_num_in!Q13)</f>
        <v>30282.260475622839</v>
      </c>
      <c r="R13" s="132">
        <f>IF(SER_hh_tes_in!R13=0,0,11630*1000*SER_hh_tes_in!R13/SER_hh_num_in!R13)</f>
        <v>28668.175386644885</v>
      </c>
      <c r="S13" s="132">
        <f>IF(SER_hh_tes_in!S13=0,0,11630*1000*SER_hh_tes_in!S13/SER_hh_num_in!S13)</f>
        <v>27821.802719694333</v>
      </c>
      <c r="T13" s="132">
        <f>IF(SER_hh_tes_in!T13=0,0,11630*1000*SER_hh_tes_in!T13/SER_hh_num_in!T13)</f>
        <v>26894.90396809017</v>
      </c>
      <c r="U13" s="132">
        <f>IF(SER_hh_tes_in!U13=0,0,11630*1000*SER_hh_tes_in!U13/SER_hh_num_in!U13)</f>
        <v>26122.733372623487</v>
      </c>
      <c r="V13" s="132">
        <f>IF(SER_hh_tes_in!V13=0,0,11630*1000*SER_hh_tes_in!V13/SER_hh_num_in!V13)</f>
        <v>22399.561517885653</v>
      </c>
      <c r="W13" s="132">
        <f>IF(SER_hh_tes_in!W13=0,0,11630*1000*SER_hh_tes_in!W13/SER_hh_num_in!W13)</f>
        <v>20541.369665357353</v>
      </c>
      <c r="X13" s="132">
        <f>IF(SER_hh_tes_in!X13=0,0,11630*1000*SER_hh_tes_in!X13/SER_hh_num_in!X13)</f>
        <v>18979.722383254484</v>
      </c>
      <c r="Y13" s="132">
        <f>IF(SER_hh_tes_in!Y13=0,0,11630*1000*SER_hh_tes_in!Y13/SER_hh_num_in!Y13)</f>
        <v>19293.465199276518</v>
      </c>
      <c r="DA13" s="156" t="s">
        <v>765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13603.30580687411</v>
      </c>
      <c r="D14" s="65">
        <f>IF(SER_hh_tes_in!D14=0,0,11630*1000*SER_hh_tes_in!D14/SER_hh_num_in!D14)</f>
        <v>17424.293493849356</v>
      </c>
      <c r="E14" s="65">
        <f>IF(SER_hh_tes_in!E14=0,0,11630*1000*SER_hh_tes_in!E14/SER_hh_num_in!E14)</f>
        <v>15831.102045349831</v>
      </c>
      <c r="F14" s="65">
        <f>IF(SER_hh_tes_in!F14=0,0,11630*1000*SER_hh_tes_in!F14/SER_hh_num_in!F14)</f>
        <v>17082.226628158285</v>
      </c>
      <c r="G14" s="65">
        <f>IF(SER_hh_tes_in!G14=0,0,11630*1000*SER_hh_tes_in!G14/SER_hh_num_in!G14)</f>
        <v>18340.643634431028</v>
      </c>
      <c r="H14" s="65">
        <f>IF(SER_hh_tes_in!H14=0,0,11630*1000*SER_hh_tes_in!H14/SER_hh_num_in!H14)</f>
        <v>27393.129267479664</v>
      </c>
      <c r="I14" s="65">
        <f>IF(SER_hh_tes_in!I14=0,0,11630*1000*SER_hh_tes_in!I14/SER_hh_num_in!I14)</f>
        <v>26851.018696856623</v>
      </c>
      <c r="J14" s="65">
        <f>IF(SER_hh_tes_in!J14=0,0,11630*1000*SER_hh_tes_in!J14/SER_hh_num_in!J14)</f>
        <v>29409.033338731675</v>
      </c>
      <c r="K14" s="65">
        <f>IF(SER_hh_tes_in!K14=0,0,11630*1000*SER_hh_tes_in!K14/SER_hh_num_in!K14)</f>
        <v>31405.429022635697</v>
      </c>
      <c r="L14" s="65">
        <f>IF(SER_hh_tes_in!L14=0,0,11630*1000*SER_hh_tes_in!L14/SER_hh_num_in!L14)</f>
        <v>33901.045430051105</v>
      </c>
      <c r="M14" s="65">
        <f>IF(SER_hh_tes_in!M14=0,0,11630*1000*SER_hh_tes_in!M14/SER_hh_num_in!M14)</f>
        <v>0</v>
      </c>
      <c r="N14" s="65">
        <f>IF(SER_hh_tes_in!N14=0,0,11630*1000*SER_hh_tes_in!N14/SER_hh_num_in!N14)</f>
        <v>0</v>
      </c>
      <c r="O14" s="65">
        <f>IF(SER_hh_tes_in!O14=0,0,11630*1000*SER_hh_tes_in!O14/SER_hh_num_in!O14)</f>
        <v>0</v>
      </c>
      <c r="P14" s="65">
        <f>IF(SER_hh_tes_in!P14=0,0,11630*1000*SER_hh_tes_in!P14/SER_hh_num_in!P14)</f>
        <v>0</v>
      </c>
      <c r="Q14" s="65">
        <f>IF(SER_hh_tes_in!Q14=0,0,11630*1000*SER_hh_tes_in!Q14/SER_hh_num_in!Q14)</f>
        <v>24239.17075615827</v>
      </c>
      <c r="R14" s="65">
        <f>IF(SER_hh_tes_in!R14=0,0,11630*1000*SER_hh_tes_in!R14/SER_hh_num_in!R14)</f>
        <v>37172.356922222149</v>
      </c>
      <c r="S14" s="65">
        <f>IF(SER_hh_tes_in!S14=0,0,11630*1000*SER_hh_tes_in!S14/SER_hh_num_in!S14)</f>
        <v>44759.294285658129</v>
      </c>
      <c r="T14" s="65">
        <f>IF(SER_hh_tes_in!T14=0,0,11630*1000*SER_hh_tes_in!T14/SER_hh_num_in!T14)</f>
        <v>43952.155319361751</v>
      </c>
      <c r="U14" s="65">
        <f>IF(SER_hh_tes_in!U14=0,0,11630*1000*SER_hh_tes_in!U14/SER_hh_num_in!U14)</f>
        <v>53230.16221907788</v>
      </c>
      <c r="V14" s="65">
        <f>IF(SER_hh_tes_in!V14=0,0,11630*1000*SER_hh_tes_in!V14/SER_hh_num_in!V14)</f>
        <v>20688.751550995796</v>
      </c>
      <c r="W14" s="65">
        <f>IF(SER_hh_tes_in!W14=0,0,11630*1000*SER_hh_tes_in!W14/SER_hh_num_in!W14)</f>
        <v>30355.531504096918</v>
      </c>
      <c r="X14" s="65">
        <f>IF(SER_hh_tes_in!X14=0,0,11630*1000*SER_hh_tes_in!X14/SER_hh_num_in!X14)</f>
        <v>34600.595719668032</v>
      </c>
      <c r="Y14" s="65">
        <f>IF(SER_hh_tes_in!Y14=0,0,11630*1000*SER_hh_tes_in!Y14/SER_hh_num_in!Y14)</f>
        <v>33065.302006985024</v>
      </c>
      <c r="DA14" s="109" t="s">
        <v>766</v>
      </c>
    </row>
    <row r="15" spans="1:105" ht="12" customHeight="1" x14ac:dyDescent="0.25">
      <c r="A15" s="133" t="s">
        <v>80</v>
      </c>
      <c r="B15" s="134"/>
      <c r="C15" s="134">
        <f>IF(SER_hh_tes_in!C15=0,0,11630*1000*SER_hh_tes_in!C15/SER_hh_num_in!C15)</f>
        <v>0</v>
      </c>
      <c r="D15" s="134">
        <f>IF(SER_hh_tes_in!D15=0,0,11630*1000*SER_hh_tes_in!D15/SER_hh_num_in!D15)</f>
        <v>0</v>
      </c>
      <c r="E15" s="134">
        <f>IF(SER_hh_tes_in!E15=0,0,11630*1000*SER_hh_tes_in!E15/SER_hh_num_in!E15)</f>
        <v>0</v>
      </c>
      <c r="F15" s="134">
        <f>IF(SER_hh_tes_in!F15=0,0,11630*1000*SER_hh_tes_in!F15/SER_hh_num_in!F15)</f>
        <v>0</v>
      </c>
      <c r="G15" s="134">
        <f>IF(SER_hh_tes_in!G15=0,0,11630*1000*SER_hh_tes_in!G15/SER_hh_num_in!G15)</f>
        <v>0</v>
      </c>
      <c r="H15" s="134">
        <f>IF(SER_hh_tes_in!H15=0,0,11630*1000*SER_hh_tes_in!H15/SER_hh_num_in!H15)</f>
        <v>0</v>
      </c>
      <c r="I15" s="134">
        <f>IF(SER_hh_tes_in!I15=0,0,11630*1000*SER_hh_tes_in!I15/SER_hh_num_in!I15)</f>
        <v>157.56743645466273</v>
      </c>
      <c r="J15" s="134">
        <f>IF(SER_hh_tes_in!J15=0,0,11630*1000*SER_hh_tes_in!J15/SER_hh_num_in!J15)</f>
        <v>556.97160963505905</v>
      </c>
      <c r="K15" s="134">
        <f>IF(SER_hh_tes_in!K15=0,0,11630*1000*SER_hh_tes_in!K15/SER_hh_num_in!K15)</f>
        <v>485.67305651425568</v>
      </c>
      <c r="L15" s="134">
        <f>IF(SER_hh_tes_in!L15=0,0,11630*1000*SER_hh_tes_in!L15/SER_hh_num_in!L15)</f>
        <v>535.00010013870155</v>
      </c>
      <c r="M15" s="134">
        <f>IF(SER_hh_tes_in!M15=0,0,11630*1000*SER_hh_tes_in!M15/SER_hh_num_in!M15)</f>
        <v>509.77121677543425</v>
      </c>
      <c r="N15" s="134">
        <f>IF(SER_hh_tes_in!N15=0,0,11630*1000*SER_hh_tes_in!N15/SER_hh_num_in!N15)</f>
        <v>427.0609774121636</v>
      </c>
      <c r="O15" s="134">
        <f>IF(SER_hh_tes_in!O15=0,0,11630*1000*SER_hh_tes_in!O15/SER_hh_num_in!O15)</f>
        <v>467.90631190850178</v>
      </c>
      <c r="P15" s="134">
        <f>IF(SER_hh_tes_in!P15=0,0,11630*1000*SER_hh_tes_in!P15/SER_hh_num_in!P15)</f>
        <v>162.45960929583683</v>
      </c>
      <c r="Q15" s="134">
        <f>IF(SER_hh_tes_in!Q15=0,0,11630*1000*SER_hh_tes_in!Q15/SER_hh_num_in!Q15)</f>
        <v>329.83840751523655</v>
      </c>
      <c r="R15" s="134">
        <f>IF(SER_hh_tes_in!R15=0,0,11630*1000*SER_hh_tes_in!R15/SER_hh_num_in!R15)</f>
        <v>408.92432054945374</v>
      </c>
      <c r="S15" s="134">
        <f>IF(SER_hh_tes_in!S15=0,0,11630*1000*SER_hh_tes_in!S15/SER_hh_num_in!S15)</f>
        <v>349.08849267629142</v>
      </c>
      <c r="T15" s="134">
        <f>IF(SER_hh_tes_in!T15=0,0,11630*1000*SER_hh_tes_in!T15/SER_hh_num_in!T15)</f>
        <v>578.43479804871345</v>
      </c>
      <c r="U15" s="134">
        <f>IF(SER_hh_tes_in!U15=0,0,11630*1000*SER_hh_tes_in!U15/SER_hh_num_in!U15)</f>
        <v>523.86625406755775</v>
      </c>
      <c r="V15" s="134">
        <f>IF(SER_hh_tes_in!V15=0,0,11630*1000*SER_hh_tes_in!V15/SER_hh_num_in!V15)</f>
        <v>352.0626242664863</v>
      </c>
      <c r="W15" s="134">
        <f>IF(SER_hh_tes_in!W15=0,0,11630*1000*SER_hh_tes_in!W15/SER_hh_num_in!W15)</f>
        <v>331.7418182851863</v>
      </c>
      <c r="X15" s="134">
        <f>IF(SER_hh_tes_in!X15=0,0,11630*1000*SER_hh_tes_in!X15/SER_hh_num_in!X15)</f>
        <v>315.48805883655086</v>
      </c>
      <c r="Y15" s="134">
        <f>IF(SER_hh_tes_in!Y15=0,0,11630*1000*SER_hh_tes_in!Y15/SER_hh_num_in!Y15)</f>
        <v>354.50096735658923</v>
      </c>
      <c r="DA15" s="157" t="s">
        <v>767</v>
      </c>
    </row>
    <row r="16" spans="1:105" ht="12.95" customHeight="1" x14ac:dyDescent="0.25">
      <c r="A16" s="129" t="s">
        <v>74</v>
      </c>
      <c r="B16" s="130"/>
      <c r="C16" s="130">
        <f>IF(SER_hh_tes_in!C16=0,0,11630*1000*SER_hh_tes_in!C16/SER_hh_num_in!C16)</f>
        <v>72941.211831522145</v>
      </c>
      <c r="D16" s="130">
        <f>IF(SER_hh_tes_in!D16=0,0,11630*1000*SER_hh_tes_in!D16/SER_hh_num_in!D16)</f>
        <v>70478.178812883314</v>
      </c>
      <c r="E16" s="130">
        <f>IF(SER_hh_tes_in!E16=0,0,11630*1000*SER_hh_tes_in!E16/SER_hh_num_in!E16)</f>
        <v>76170.312376008136</v>
      </c>
      <c r="F16" s="130">
        <f>IF(SER_hh_tes_in!F16=0,0,11630*1000*SER_hh_tes_in!F16/SER_hh_num_in!F16)</f>
        <v>63151.589953558607</v>
      </c>
      <c r="G16" s="130">
        <f>IF(SER_hh_tes_in!G16=0,0,11630*1000*SER_hh_tes_in!G16/SER_hh_num_in!G16)</f>
        <v>57763.47394882184</v>
      </c>
      <c r="H16" s="130">
        <f>IF(SER_hh_tes_in!H16=0,0,11630*1000*SER_hh_tes_in!H16/SER_hh_num_in!H16)</f>
        <v>66457.12903983907</v>
      </c>
      <c r="I16" s="130">
        <f>IF(SER_hh_tes_in!I16=0,0,11630*1000*SER_hh_tes_in!I16/SER_hh_num_in!I16)</f>
        <v>74424.700680706839</v>
      </c>
      <c r="J16" s="130">
        <f>IF(SER_hh_tes_in!J16=0,0,11630*1000*SER_hh_tes_in!J16/SER_hh_num_in!J16)</f>
        <v>75761.291108289821</v>
      </c>
      <c r="K16" s="130">
        <f>IF(SER_hh_tes_in!K16=0,0,11630*1000*SER_hh_tes_in!K16/SER_hh_num_in!K16)</f>
        <v>72542.912152771401</v>
      </c>
      <c r="L16" s="130">
        <f>IF(SER_hh_tes_in!L16=0,0,11630*1000*SER_hh_tes_in!L16/SER_hh_num_in!L16)</f>
        <v>75522.460030281276</v>
      </c>
      <c r="M16" s="130">
        <f>IF(SER_hh_tes_in!M16=0,0,11630*1000*SER_hh_tes_in!M16/SER_hh_num_in!M16)</f>
        <v>64438.238540830338</v>
      </c>
      <c r="N16" s="130">
        <f>IF(SER_hh_tes_in!N16=0,0,11630*1000*SER_hh_tes_in!N16/SER_hh_num_in!N16)</f>
        <v>77326.957656143728</v>
      </c>
      <c r="O16" s="130">
        <f>IF(SER_hh_tes_in!O16=0,0,11630*1000*SER_hh_tes_in!O16/SER_hh_num_in!O16)</f>
        <v>63860.783434899131</v>
      </c>
      <c r="P16" s="130">
        <f>IF(SER_hh_tes_in!P16=0,0,11630*1000*SER_hh_tes_in!P16/SER_hh_num_in!P16)</f>
        <v>56036.655864024899</v>
      </c>
      <c r="Q16" s="130">
        <f>IF(SER_hh_tes_in!Q16=0,0,11630*1000*SER_hh_tes_in!Q16/SER_hh_num_in!Q16)</f>
        <v>59485.570037762714</v>
      </c>
      <c r="R16" s="130">
        <f>IF(SER_hh_tes_in!R16=0,0,11630*1000*SER_hh_tes_in!R16/SER_hh_num_in!R16)</f>
        <v>66264.969868731831</v>
      </c>
      <c r="S16" s="130">
        <f>IF(SER_hh_tes_in!S16=0,0,11630*1000*SER_hh_tes_in!S16/SER_hh_num_in!S16)</f>
        <v>61365.535605819117</v>
      </c>
      <c r="T16" s="130">
        <f>IF(SER_hh_tes_in!T16=0,0,11630*1000*SER_hh_tes_in!T16/SER_hh_num_in!T16)</f>
        <v>75525.641395369545</v>
      </c>
      <c r="U16" s="130">
        <f>IF(SER_hh_tes_in!U16=0,0,11630*1000*SER_hh_tes_in!U16/SER_hh_num_in!U16)</f>
        <v>61785.589277748441</v>
      </c>
      <c r="V16" s="130">
        <f>IF(SER_hh_tes_in!V16=0,0,11630*1000*SER_hh_tes_in!V16/SER_hh_num_in!V16)</f>
        <v>61805.879264917086</v>
      </c>
      <c r="W16" s="130">
        <f>IF(SER_hh_tes_in!W16=0,0,11630*1000*SER_hh_tes_in!W16/SER_hh_num_in!W16)</f>
        <v>52470.547432761559</v>
      </c>
      <c r="X16" s="130">
        <f>IF(SER_hh_tes_in!X16=0,0,11630*1000*SER_hh_tes_in!X16/SER_hh_num_in!X16)</f>
        <v>45327.820480997398</v>
      </c>
      <c r="Y16" s="130">
        <f>IF(SER_hh_tes_in!Y16=0,0,11630*1000*SER_hh_tes_in!Y16/SER_hh_num_in!Y16)</f>
        <v>51135.077258592653</v>
      </c>
      <c r="DA16" s="155" t="s">
        <v>768</v>
      </c>
    </row>
    <row r="17" spans="1:105" ht="12.95" customHeight="1" x14ac:dyDescent="0.25">
      <c r="A17" s="131" t="s">
        <v>73</v>
      </c>
      <c r="B17" s="132"/>
      <c r="C17" s="132">
        <f>IF(SER_hh_tes_in!C17=0,0,11630*1000*SER_hh_tes_in!C17/SER_hh_num_in!C17)</f>
        <v>0</v>
      </c>
      <c r="D17" s="132">
        <f>IF(SER_hh_tes_in!D17=0,0,11630*1000*SER_hh_tes_in!D17/SER_hh_num_in!D17)</f>
        <v>0</v>
      </c>
      <c r="E17" s="132">
        <f>IF(SER_hh_tes_in!E17=0,0,11630*1000*SER_hh_tes_in!E17/SER_hh_num_in!E17)</f>
        <v>0</v>
      </c>
      <c r="F17" s="132">
        <f>IF(SER_hh_tes_in!F17=0,0,11630*1000*SER_hh_tes_in!F17/SER_hh_num_in!F17)</f>
        <v>0</v>
      </c>
      <c r="G17" s="132">
        <f>IF(SER_hh_tes_in!G17=0,0,11630*1000*SER_hh_tes_in!G17/SER_hh_num_in!G17)</f>
        <v>0</v>
      </c>
      <c r="H17" s="132">
        <f>IF(SER_hh_tes_in!H17=0,0,11630*1000*SER_hh_tes_in!H17/SER_hh_num_in!H17)</f>
        <v>0</v>
      </c>
      <c r="I17" s="132">
        <f>IF(SER_hh_tes_in!I17=0,0,11630*1000*SER_hh_tes_in!I17/SER_hh_num_in!I17)</f>
        <v>0</v>
      </c>
      <c r="J17" s="132">
        <f>IF(SER_hh_tes_in!J17=0,0,11630*1000*SER_hh_tes_in!J17/SER_hh_num_in!J17)</f>
        <v>0</v>
      </c>
      <c r="K17" s="132">
        <f>IF(SER_hh_tes_in!K17=0,0,11630*1000*SER_hh_tes_in!K17/SER_hh_num_in!K17)</f>
        <v>0</v>
      </c>
      <c r="L17" s="132">
        <f>IF(SER_hh_tes_in!L17=0,0,11630*1000*SER_hh_tes_in!L17/SER_hh_num_in!L17)</f>
        <v>0</v>
      </c>
      <c r="M17" s="132">
        <f>IF(SER_hh_tes_in!M17=0,0,11630*1000*SER_hh_tes_in!M17/SER_hh_num_in!M17)</f>
        <v>0</v>
      </c>
      <c r="N17" s="132">
        <f>IF(SER_hh_tes_in!N17=0,0,11630*1000*SER_hh_tes_in!N17/SER_hh_num_in!N17)</f>
        <v>0</v>
      </c>
      <c r="O17" s="132">
        <f>IF(SER_hh_tes_in!O17=0,0,11630*1000*SER_hh_tes_in!O17/SER_hh_num_in!O17)</f>
        <v>0</v>
      </c>
      <c r="P17" s="132">
        <f>IF(SER_hh_tes_in!P17=0,0,11630*1000*SER_hh_tes_in!P17/SER_hh_num_in!P17)</f>
        <v>0</v>
      </c>
      <c r="Q17" s="132">
        <f>IF(SER_hh_tes_in!Q17=0,0,11630*1000*SER_hh_tes_in!Q17/SER_hh_num_in!Q17)</f>
        <v>0</v>
      </c>
      <c r="R17" s="132">
        <f>IF(SER_hh_tes_in!R17=0,0,11630*1000*SER_hh_tes_in!R17/SER_hh_num_in!R17)</f>
        <v>0</v>
      </c>
      <c r="S17" s="132">
        <f>IF(SER_hh_tes_in!S17=0,0,11630*1000*SER_hh_tes_in!S17/SER_hh_num_in!S17)</f>
        <v>0</v>
      </c>
      <c r="T17" s="132">
        <f>IF(SER_hh_tes_in!T17=0,0,11630*1000*SER_hh_tes_in!T17/SER_hh_num_in!T17)</f>
        <v>0</v>
      </c>
      <c r="U17" s="132">
        <f>IF(SER_hh_tes_in!U17=0,0,11630*1000*SER_hh_tes_in!U17/SER_hh_num_in!U17)</f>
        <v>0</v>
      </c>
      <c r="V17" s="132">
        <f>IF(SER_hh_tes_in!V17=0,0,11630*1000*SER_hh_tes_in!V17/SER_hh_num_in!V17)</f>
        <v>0</v>
      </c>
      <c r="W17" s="132">
        <f>IF(SER_hh_tes_in!W17=0,0,11630*1000*SER_hh_tes_in!W17/SER_hh_num_in!W17)</f>
        <v>0</v>
      </c>
      <c r="X17" s="132">
        <f>IF(SER_hh_tes_in!X17=0,0,11630*1000*SER_hh_tes_in!X17/SER_hh_num_in!X17)</f>
        <v>0</v>
      </c>
      <c r="Y17" s="132">
        <f>IF(SER_hh_tes_in!Y17=0,0,11630*1000*SER_hh_tes_in!Y17/SER_hh_num_in!Y17)</f>
        <v>0</v>
      </c>
      <c r="DA17" s="156" t="s">
        <v>769</v>
      </c>
    </row>
    <row r="18" spans="1:105" ht="12" customHeight="1" x14ac:dyDescent="0.25">
      <c r="A18" s="131" t="s">
        <v>72</v>
      </c>
      <c r="B18" s="132"/>
      <c r="C18" s="132">
        <f>IF(SER_hh_tes_in!C18=0,0,11630*1000*SER_hh_tes_in!C18/SER_hh_num_in!C18)</f>
        <v>72941.211831522145</v>
      </c>
      <c r="D18" s="132">
        <f>IF(SER_hh_tes_in!D18=0,0,11630*1000*SER_hh_tes_in!D18/SER_hh_num_in!D18)</f>
        <v>70478.178812883314</v>
      </c>
      <c r="E18" s="132">
        <f>IF(SER_hh_tes_in!E18=0,0,11630*1000*SER_hh_tes_in!E18/SER_hh_num_in!E18)</f>
        <v>76170.312376008136</v>
      </c>
      <c r="F18" s="132">
        <f>IF(SER_hh_tes_in!F18=0,0,11630*1000*SER_hh_tes_in!F18/SER_hh_num_in!F18)</f>
        <v>63151.589953558607</v>
      </c>
      <c r="G18" s="132">
        <f>IF(SER_hh_tes_in!G18=0,0,11630*1000*SER_hh_tes_in!G18/SER_hh_num_in!G18)</f>
        <v>57763.47394882184</v>
      </c>
      <c r="H18" s="132">
        <f>IF(SER_hh_tes_in!H18=0,0,11630*1000*SER_hh_tes_in!H18/SER_hh_num_in!H18)</f>
        <v>66457.12903983907</v>
      </c>
      <c r="I18" s="132">
        <f>IF(SER_hh_tes_in!I18=0,0,11630*1000*SER_hh_tes_in!I18/SER_hh_num_in!I18)</f>
        <v>74424.700680706839</v>
      </c>
      <c r="J18" s="132">
        <f>IF(SER_hh_tes_in!J18=0,0,11630*1000*SER_hh_tes_in!J18/SER_hh_num_in!J18)</f>
        <v>75761.291108289821</v>
      </c>
      <c r="K18" s="132">
        <f>IF(SER_hh_tes_in!K18=0,0,11630*1000*SER_hh_tes_in!K18/SER_hh_num_in!K18)</f>
        <v>72542.912152771401</v>
      </c>
      <c r="L18" s="132">
        <f>IF(SER_hh_tes_in!L18=0,0,11630*1000*SER_hh_tes_in!L18/SER_hh_num_in!L18)</f>
        <v>75522.460030281276</v>
      </c>
      <c r="M18" s="132">
        <f>IF(SER_hh_tes_in!M18=0,0,11630*1000*SER_hh_tes_in!M18/SER_hh_num_in!M18)</f>
        <v>64438.238540830338</v>
      </c>
      <c r="N18" s="132">
        <f>IF(SER_hh_tes_in!N18=0,0,11630*1000*SER_hh_tes_in!N18/SER_hh_num_in!N18)</f>
        <v>77326.957656143728</v>
      </c>
      <c r="O18" s="132">
        <f>IF(SER_hh_tes_in!O18=0,0,11630*1000*SER_hh_tes_in!O18/SER_hh_num_in!O18)</f>
        <v>63860.783434899131</v>
      </c>
      <c r="P18" s="132">
        <f>IF(SER_hh_tes_in!P18=0,0,11630*1000*SER_hh_tes_in!P18/SER_hh_num_in!P18)</f>
        <v>56036.655864024899</v>
      </c>
      <c r="Q18" s="132">
        <f>IF(SER_hh_tes_in!Q18=0,0,11630*1000*SER_hh_tes_in!Q18/SER_hh_num_in!Q18)</f>
        <v>59485.570037762714</v>
      </c>
      <c r="R18" s="132">
        <f>IF(SER_hh_tes_in!R18=0,0,11630*1000*SER_hh_tes_in!R18/SER_hh_num_in!R18)</f>
        <v>66264.969868731831</v>
      </c>
      <c r="S18" s="132">
        <f>IF(SER_hh_tes_in!S18=0,0,11630*1000*SER_hh_tes_in!S18/SER_hh_num_in!S18)</f>
        <v>61365.535605819117</v>
      </c>
      <c r="T18" s="132">
        <f>IF(SER_hh_tes_in!T18=0,0,11630*1000*SER_hh_tes_in!T18/SER_hh_num_in!T18)</f>
        <v>75525.641395369545</v>
      </c>
      <c r="U18" s="132">
        <f>IF(SER_hh_tes_in!U18=0,0,11630*1000*SER_hh_tes_in!U18/SER_hh_num_in!U18)</f>
        <v>61785.589277748441</v>
      </c>
      <c r="V18" s="132">
        <f>IF(SER_hh_tes_in!V18=0,0,11630*1000*SER_hh_tes_in!V18/SER_hh_num_in!V18)</f>
        <v>61805.879264917086</v>
      </c>
      <c r="W18" s="132">
        <f>IF(SER_hh_tes_in!W18=0,0,11630*1000*SER_hh_tes_in!W18/SER_hh_num_in!W18)</f>
        <v>52470.547432761559</v>
      </c>
      <c r="X18" s="132">
        <f>IF(SER_hh_tes_in!X18=0,0,11630*1000*SER_hh_tes_in!X18/SER_hh_num_in!X18)</f>
        <v>45327.820480997398</v>
      </c>
      <c r="Y18" s="132">
        <f>IF(SER_hh_tes_in!Y18=0,0,11630*1000*SER_hh_tes_in!Y18/SER_hh_num_in!Y18)</f>
        <v>51135.077258592653</v>
      </c>
      <c r="DA18" s="156" t="s">
        <v>770</v>
      </c>
    </row>
    <row r="19" spans="1:105" ht="12.95" customHeight="1" x14ac:dyDescent="0.25">
      <c r="A19" s="129" t="s">
        <v>35</v>
      </c>
      <c r="B19" s="130"/>
      <c r="C19" s="130">
        <f>IF(SER_hh_tes_in!C19=0,0,11630*1000*SER_hh_tes_in!C19/SER_hh_num_in!C19)</f>
        <v>11583.21825911974</v>
      </c>
      <c r="D19" s="130">
        <f>IF(SER_hh_tes_in!D19=0,0,11630*1000*SER_hh_tes_in!D19/SER_hh_num_in!D19)</f>
        <v>11543.038667676599</v>
      </c>
      <c r="E19" s="130">
        <f>IF(SER_hh_tes_in!E19=0,0,11630*1000*SER_hh_tes_in!E19/SER_hh_num_in!E19)</f>
        <v>11490.996345382933</v>
      </c>
      <c r="F19" s="130">
        <f>IF(SER_hh_tes_in!F19=0,0,11630*1000*SER_hh_tes_in!F19/SER_hh_num_in!F19)</f>
        <v>11447.257865264823</v>
      </c>
      <c r="G19" s="130">
        <f>IF(SER_hh_tes_in!G19=0,0,11630*1000*SER_hh_tes_in!G19/SER_hh_num_in!G19)</f>
        <v>11458.706411818053</v>
      </c>
      <c r="H19" s="130">
        <f>IF(SER_hh_tes_in!H19=0,0,11630*1000*SER_hh_tes_in!H19/SER_hh_num_in!H19)</f>
        <v>17019.09623659365</v>
      </c>
      <c r="I19" s="130">
        <f>IF(SER_hh_tes_in!I19=0,0,11630*1000*SER_hh_tes_in!I19/SER_hh_num_in!I19)</f>
        <v>14172.458044081195</v>
      </c>
      <c r="J19" s="130">
        <f>IF(SER_hh_tes_in!J19=0,0,11630*1000*SER_hh_tes_in!J19/SER_hh_num_in!J19)</f>
        <v>12927.898396368704</v>
      </c>
      <c r="K19" s="130">
        <f>IF(SER_hh_tes_in!K19=0,0,11630*1000*SER_hh_tes_in!K19/SER_hh_num_in!K19)</f>
        <v>11139.277489707993</v>
      </c>
      <c r="L19" s="130">
        <f>IF(SER_hh_tes_in!L19=0,0,11630*1000*SER_hh_tes_in!L19/SER_hh_num_in!L19)</f>
        <v>11059.87598176834</v>
      </c>
      <c r="M19" s="130">
        <f>IF(SER_hh_tes_in!M19=0,0,11630*1000*SER_hh_tes_in!M19/SER_hh_num_in!M19)</f>
        <v>10864.159694409498</v>
      </c>
      <c r="N19" s="130">
        <f>IF(SER_hh_tes_in!N19=0,0,11630*1000*SER_hh_tes_in!N19/SER_hh_num_in!N19)</f>
        <v>10937.069692344476</v>
      </c>
      <c r="O19" s="130">
        <f>IF(SER_hh_tes_in!O19=0,0,11630*1000*SER_hh_tes_in!O19/SER_hh_num_in!O19)</f>
        <v>11062.270922208576</v>
      </c>
      <c r="P19" s="130">
        <f>IF(SER_hh_tes_in!P19=0,0,11630*1000*SER_hh_tes_in!P19/SER_hh_num_in!P19)</f>
        <v>13327.584039427495</v>
      </c>
      <c r="Q19" s="130">
        <f>IF(SER_hh_tes_in!Q19=0,0,11630*1000*SER_hh_tes_in!Q19/SER_hh_num_in!Q19)</f>
        <v>12898.622747818525</v>
      </c>
      <c r="R19" s="130">
        <f>IF(SER_hh_tes_in!R19=0,0,11630*1000*SER_hh_tes_in!R19/SER_hh_num_in!R19)</f>
        <v>12308.221559334135</v>
      </c>
      <c r="S19" s="130">
        <f>IF(SER_hh_tes_in!S19=0,0,11630*1000*SER_hh_tes_in!S19/SER_hh_num_in!S19)</f>
        <v>11490.674675171998</v>
      </c>
      <c r="T19" s="130">
        <f>IF(SER_hh_tes_in!T19=0,0,11630*1000*SER_hh_tes_in!T19/SER_hh_num_in!T19)</f>
        <v>11550.334131174995</v>
      </c>
      <c r="U19" s="130">
        <f>IF(SER_hh_tes_in!U19=0,0,11630*1000*SER_hh_tes_in!U19/SER_hh_num_in!U19)</f>
        <v>11548.132295395526</v>
      </c>
      <c r="V19" s="130">
        <f>IF(SER_hh_tes_in!V19=0,0,11630*1000*SER_hh_tes_in!V19/SER_hh_num_in!V19)</f>
        <v>10391.636085761589</v>
      </c>
      <c r="W19" s="130">
        <f>IF(SER_hh_tes_in!W19=0,0,11630*1000*SER_hh_tes_in!W19/SER_hh_num_in!W19)</f>
        <v>10541.56697706623</v>
      </c>
      <c r="X19" s="130">
        <f>IF(SER_hh_tes_in!X19=0,0,11630*1000*SER_hh_tes_in!X19/SER_hh_num_in!X19)</f>
        <v>9970.5134570395476</v>
      </c>
      <c r="Y19" s="130">
        <f>IF(SER_hh_tes_in!Y19=0,0,11630*1000*SER_hh_tes_in!Y19/SER_hh_num_in!Y19)</f>
        <v>10313.080704987591</v>
      </c>
      <c r="DA19" s="155" t="s">
        <v>771</v>
      </c>
    </row>
    <row r="20" spans="1:105" ht="12" customHeight="1" x14ac:dyDescent="0.25">
      <c r="A20" s="131" t="s">
        <v>29</v>
      </c>
      <c r="B20" s="132"/>
      <c r="C20" s="132">
        <f>IF(SER_hh_tes_in!C20=0,0,11630*1000*SER_hh_tes_in!C20/SER_hh_num_in!C20)</f>
        <v>0</v>
      </c>
      <c r="D20" s="132">
        <f>IF(SER_hh_tes_in!D20=0,0,11630*1000*SER_hh_tes_in!D20/SER_hh_num_in!D20)</f>
        <v>0</v>
      </c>
      <c r="E20" s="132">
        <f>IF(SER_hh_tes_in!E20=0,0,11630*1000*SER_hh_tes_in!E20/SER_hh_num_in!E20)</f>
        <v>0</v>
      </c>
      <c r="F20" s="132">
        <f>IF(SER_hh_tes_in!F20=0,0,11630*1000*SER_hh_tes_in!F20/SER_hh_num_in!F20)</f>
        <v>0</v>
      </c>
      <c r="G20" s="132">
        <f>IF(SER_hh_tes_in!G20=0,0,11630*1000*SER_hh_tes_in!G20/SER_hh_num_in!G20)</f>
        <v>0</v>
      </c>
      <c r="H20" s="132">
        <f>IF(SER_hh_tes_in!H20=0,0,11630*1000*SER_hh_tes_in!H20/SER_hh_num_in!H20)</f>
        <v>0</v>
      </c>
      <c r="I20" s="132">
        <f>IF(SER_hh_tes_in!I20=0,0,11630*1000*SER_hh_tes_in!I20/SER_hh_num_in!I20)</f>
        <v>0</v>
      </c>
      <c r="J20" s="132">
        <f>IF(SER_hh_tes_in!J20=0,0,11630*1000*SER_hh_tes_in!J20/SER_hh_num_in!J20)</f>
        <v>0</v>
      </c>
      <c r="K20" s="132">
        <f>IF(SER_hh_tes_in!K20=0,0,11630*1000*SER_hh_tes_in!K20/SER_hh_num_in!K20)</f>
        <v>0</v>
      </c>
      <c r="L20" s="132">
        <f>IF(SER_hh_tes_in!L20=0,0,11630*1000*SER_hh_tes_in!L20/SER_hh_num_in!L20)</f>
        <v>0</v>
      </c>
      <c r="M20" s="132">
        <f>IF(SER_hh_tes_in!M20=0,0,11630*1000*SER_hh_tes_in!M20/SER_hh_num_in!M20)</f>
        <v>0</v>
      </c>
      <c r="N20" s="132">
        <f>IF(SER_hh_tes_in!N20=0,0,11630*1000*SER_hh_tes_in!N20/SER_hh_num_in!N20)</f>
        <v>0</v>
      </c>
      <c r="O20" s="132">
        <f>IF(SER_hh_tes_in!O20=0,0,11630*1000*SER_hh_tes_in!O20/SER_hh_num_in!O20)</f>
        <v>0</v>
      </c>
      <c r="P20" s="132">
        <f>IF(SER_hh_tes_in!P20=0,0,11630*1000*SER_hh_tes_in!P20/SER_hh_num_in!P20)</f>
        <v>0</v>
      </c>
      <c r="Q20" s="132">
        <f>IF(SER_hh_tes_in!Q20=0,0,11630*1000*SER_hh_tes_in!Q20/SER_hh_num_in!Q20)</f>
        <v>0</v>
      </c>
      <c r="R20" s="132">
        <f>IF(SER_hh_tes_in!R20=0,0,11630*1000*SER_hh_tes_in!R20/SER_hh_num_in!R20)</f>
        <v>0</v>
      </c>
      <c r="S20" s="132">
        <f>IF(SER_hh_tes_in!S20=0,0,11630*1000*SER_hh_tes_in!S20/SER_hh_num_in!S20)</f>
        <v>0</v>
      </c>
      <c r="T20" s="132">
        <f>IF(SER_hh_tes_in!T20=0,0,11630*1000*SER_hh_tes_in!T20/SER_hh_num_in!T20)</f>
        <v>0</v>
      </c>
      <c r="U20" s="132">
        <f>IF(SER_hh_tes_in!U20=0,0,11630*1000*SER_hh_tes_in!U20/SER_hh_num_in!U20)</f>
        <v>0</v>
      </c>
      <c r="V20" s="132">
        <f>IF(SER_hh_tes_in!V20=0,0,11630*1000*SER_hh_tes_in!V20/SER_hh_num_in!V20)</f>
        <v>0</v>
      </c>
      <c r="W20" s="132">
        <f>IF(SER_hh_tes_in!W20=0,0,11630*1000*SER_hh_tes_in!W20/SER_hh_num_in!W20)</f>
        <v>0</v>
      </c>
      <c r="X20" s="132">
        <f>IF(SER_hh_tes_in!X20=0,0,11630*1000*SER_hh_tes_in!X20/SER_hh_num_in!X20)</f>
        <v>0</v>
      </c>
      <c r="Y20" s="132">
        <f>IF(SER_hh_tes_in!Y20=0,0,11630*1000*SER_hh_tes_in!Y20/SER_hh_num_in!Y20)</f>
        <v>0</v>
      </c>
      <c r="DA20" s="156" t="s">
        <v>772</v>
      </c>
    </row>
    <row r="21" spans="1:105" s="2" customFormat="1" ht="12" customHeight="1" x14ac:dyDescent="0.25">
      <c r="A21" s="131" t="s">
        <v>52</v>
      </c>
      <c r="B21" s="132"/>
      <c r="C21" s="132">
        <f>IF(SER_hh_tes_in!C21=0,0,11630*1000*SER_hh_tes_in!C21/SER_hh_num_in!C21)</f>
        <v>0</v>
      </c>
      <c r="D21" s="132">
        <f>IF(SER_hh_tes_in!D21=0,0,11630*1000*SER_hh_tes_in!D21/SER_hh_num_in!D21)</f>
        <v>0</v>
      </c>
      <c r="E21" s="132">
        <f>IF(SER_hh_tes_in!E21=0,0,11630*1000*SER_hh_tes_in!E21/SER_hh_num_in!E21)</f>
        <v>0</v>
      </c>
      <c r="F21" s="132">
        <f>IF(SER_hh_tes_in!F21=0,0,11630*1000*SER_hh_tes_in!F21/SER_hh_num_in!F21)</f>
        <v>0</v>
      </c>
      <c r="G21" s="132">
        <f>IF(SER_hh_tes_in!G21=0,0,11630*1000*SER_hh_tes_in!G21/SER_hh_num_in!G21)</f>
        <v>0</v>
      </c>
      <c r="H21" s="132">
        <f>IF(SER_hh_tes_in!H21=0,0,11630*1000*SER_hh_tes_in!H21/SER_hh_num_in!H21)</f>
        <v>7778.3398504943143</v>
      </c>
      <c r="I21" s="132">
        <f>IF(SER_hh_tes_in!I21=0,0,11630*1000*SER_hh_tes_in!I21/SER_hh_num_in!I21)</f>
        <v>7330.0744396014816</v>
      </c>
      <c r="J21" s="132">
        <f>IF(SER_hh_tes_in!J21=0,0,11630*1000*SER_hh_tes_in!J21/SER_hh_num_in!J21)</f>
        <v>7068.0022262801485</v>
      </c>
      <c r="K21" s="132">
        <f>IF(SER_hh_tes_in!K21=0,0,11630*1000*SER_hh_tes_in!K21/SER_hh_num_in!K21)</f>
        <v>9701.0639859749845</v>
      </c>
      <c r="L21" s="132">
        <f>IF(SER_hh_tes_in!L21=0,0,11630*1000*SER_hh_tes_in!L21/SER_hh_num_in!L21)</f>
        <v>12774.808727643474</v>
      </c>
      <c r="M21" s="132">
        <f>IF(SER_hh_tes_in!M21=0,0,11630*1000*SER_hh_tes_in!M21/SER_hh_num_in!M21)</f>
        <v>0</v>
      </c>
      <c r="N21" s="132">
        <f>IF(SER_hh_tes_in!N21=0,0,11630*1000*SER_hh_tes_in!N21/SER_hh_num_in!N21)</f>
        <v>0</v>
      </c>
      <c r="O21" s="132">
        <f>IF(SER_hh_tes_in!O21=0,0,11630*1000*SER_hh_tes_in!O21/SER_hh_num_in!O21)</f>
        <v>0</v>
      </c>
      <c r="P21" s="132">
        <f>IF(SER_hh_tes_in!P21=0,0,11630*1000*SER_hh_tes_in!P21/SER_hh_num_in!P21)</f>
        <v>0</v>
      </c>
      <c r="Q21" s="132">
        <f>IF(SER_hh_tes_in!Q21=0,0,11630*1000*SER_hh_tes_in!Q21/SER_hh_num_in!Q21)</f>
        <v>0</v>
      </c>
      <c r="R21" s="132">
        <f>IF(SER_hh_tes_in!R21=0,0,11630*1000*SER_hh_tes_in!R21/SER_hh_num_in!R21)</f>
        <v>8223.3616577736357</v>
      </c>
      <c r="S21" s="132">
        <f>IF(SER_hh_tes_in!S21=0,0,11630*1000*SER_hh_tes_in!S21/SER_hh_num_in!S21)</f>
        <v>6956.1470124301295</v>
      </c>
      <c r="T21" s="132">
        <f>IF(SER_hh_tes_in!T21=0,0,11630*1000*SER_hh_tes_in!T21/SER_hh_num_in!T21)</f>
        <v>9777.127263758588</v>
      </c>
      <c r="U21" s="132">
        <f>IF(SER_hh_tes_in!U21=0,0,11630*1000*SER_hh_tes_in!U21/SER_hh_num_in!U21)</f>
        <v>9952.2431799382994</v>
      </c>
      <c r="V21" s="132">
        <f>IF(SER_hh_tes_in!V21=0,0,11630*1000*SER_hh_tes_in!V21/SER_hh_num_in!V21)</f>
        <v>6107.7901788517675</v>
      </c>
      <c r="W21" s="132">
        <f>IF(SER_hh_tes_in!W21=0,0,11630*1000*SER_hh_tes_in!W21/SER_hh_num_in!W21)</f>
        <v>9419.3049918673551</v>
      </c>
      <c r="X21" s="132">
        <f>IF(SER_hh_tes_in!X21=0,0,11630*1000*SER_hh_tes_in!X21/SER_hh_num_in!X21)</f>
        <v>11461.383734964522</v>
      </c>
      <c r="Y21" s="132">
        <f>IF(SER_hh_tes_in!Y21=0,0,11630*1000*SER_hh_tes_in!Y21/SER_hh_num_in!Y21)</f>
        <v>11548.683015282115</v>
      </c>
      <c r="DA21" s="156" t="s">
        <v>773</v>
      </c>
    </row>
    <row r="22" spans="1:105" ht="12" customHeight="1" x14ac:dyDescent="0.25">
      <c r="A22" s="131" t="s">
        <v>161</v>
      </c>
      <c r="B22" s="132"/>
      <c r="C22" s="132">
        <f>IF(SER_hh_tes_in!C22=0,0,11630*1000*SER_hh_tes_in!C22/SER_hh_num_in!C22)</f>
        <v>11005.828768911173</v>
      </c>
      <c r="D22" s="132">
        <f>IF(SER_hh_tes_in!D22=0,0,11630*1000*SER_hh_tes_in!D22/SER_hh_num_in!D22)</f>
        <v>3663.2192336092371</v>
      </c>
      <c r="E22" s="132">
        <f>IF(SER_hh_tes_in!E22=0,0,11630*1000*SER_hh_tes_in!E22/SER_hh_num_in!E22)</f>
        <v>7878.6932346620442</v>
      </c>
      <c r="F22" s="132">
        <f>IF(SER_hh_tes_in!F22=0,0,11630*1000*SER_hh_tes_in!F22/SER_hh_num_in!F22)</f>
        <v>8915.6707390737556</v>
      </c>
      <c r="G22" s="132">
        <f>IF(SER_hh_tes_in!G22=0,0,11630*1000*SER_hh_tes_in!G22/SER_hh_num_in!G22)</f>
        <v>8256.9557727824085</v>
      </c>
      <c r="H22" s="132">
        <f>IF(SER_hh_tes_in!H22=0,0,11630*1000*SER_hh_tes_in!H22/SER_hh_num_in!H22)</f>
        <v>10947.574847442274</v>
      </c>
      <c r="I22" s="132">
        <f>IF(SER_hh_tes_in!I22=0,0,11630*1000*SER_hh_tes_in!I22/SER_hh_num_in!I22)</f>
        <v>5294.9978597664312</v>
      </c>
      <c r="J22" s="132">
        <f>IF(SER_hh_tes_in!J22=0,0,11630*1000*SER_hh_tes_in!J22/SER_hh_num_in!J22)</f>
        <v>5992.5501558676169</v>
      </c>
      <c r="K22" s="132">
        <f>IF(SER_hh_tes_in!K22=0,0,11630*1000*SER_hh_tes_in!K22/SER_hh_num_in!K22)</f>
        <v>9196.0114840253464</v>
      </c>
      <c r="L22" s="132">
        <f>IF(SER_hh_tes_in!L22=0,0,11630*1000*SER_hh_tes_in!L22/SER_hh_num_in!L22)</f>
        <v>12022.912883666218</v>
      </c>
      <c r="M22" s="132">
        <f>IF(SER_hh_tes_in!M22=0,0,11630*1000*SER_hh_tes_in!M22/SER_hh_num_in!M22)</f>
        <v>10623.169174562527</v>
      </c>
      <c r="N22" s="132">
        <f>IF(SER_hh_tes_in!N22=0,0,11630*1000*SER_hh_tes_in!N22/SER_hh_num_in!N22)</f>
        <v>12351.63427751917</v>
      </c>
      <c r="O22" s="132">
        <f>IF(SER_hh_tes_in!O22=0,0,11630*1000*SER_hh_tes_in!O22/SER_hh_num_in!O22)</f>
        <v>12083.787976968601</v>
      </c>
      <c r="P22" s="132">
        <f>IF(SER_hh_tes_in!P22=0,0,11630*1000*SER_hh_tes_in!P22/SER_hh_num_in!P22)</f>
        <v>9745.7193530866298</v>
      </c>
      <c r="Q22" s="132">
        <f>IF(SER_hh_tes_in!Q22=0,0,11630*1000*SER_hh_tes_in!Q22/SER_hh_num_in!Q22)</f>
        <v>5751.2428237515851</v>
      </c>
      <c r="R22" s="132">
        <f>IF(SER_hh_tes_in!R22=0,0,11630*1000*SER_hh_tes_in!R22/SER_hh_num_in!R22)</f>
        <v>7407.3017536495872</v>
      </c>
      <c r="S22" s="132">
        <f>IF(SER_hh_tes_in!S22=0,0,11630*1000*SER_hh_tes_in!S22/SER_hh_num_in!S22)</f>
        <v>6258.8880631436914</v>
      </c>
      <c r="T22" s="132">
        <f>IF(SER_hh_tes_in!T22=0,0,11630*1000*SER_hh_tes_in!T22/SER_hh_num_in!T22)</f>
        <v>9471.5286040223964</v>
      </c>
      <c r="U22" s="132">
        <f>IF(SER_hh_tes_in!U22=0,0,11630*1000*SER_hh_tes_in!U22/SER_hh_num_in!U22)</f>
        <v>9190.0674398767042</v>
      </c>
      <c r="V22" s="132">
        <f>IF(SER_hh_tes_in!V22=0,0,11630*1000*SER_hh_tes_in!V22/SER_hh_num_in!V22)</f>
        <v>5588.5553835225965</v>
      </c>
      <c r="W22" s="132">
        <f>IF(SER_hh_tes_in!W22=0,0,11630*1000*SER_hh_tes_in!W22/SER_hh_num_in!W22)</f>
        <v>10100.978414806921</v>
      </c>
      <c r="X22" s="132">
        <f>IF(SER_hh_tes_in!X22=0,0,11630*1000*SER_hh_tes_in!X22/SER_hh_num_in!X22)</f>
        <v>12270.181652644345</v>
      </c>
      <c r="Y22" s="132">
        <f>IF(SER_hh_tes_in!Y22=0,0,11630*1000*SER_hh_tes_in!Y22/SER_hh_num_in!Y22)</f>
        <v>12489.923509994211</v>
      </c>
      <c r="DA22" s="156" t="s">
        <v>774</v>
      </c>
    </row>
    <row r="23" spans="1:105" ht="12" customHeight="1" x14ac:dyDescent="0.25">
      <c r="A23" s="131" t="s">
        <v>149</v>
      </c>
      <c r="B23" s="132"/>
      <c r="C23" s="132">
        <f>IF(SER_hh_tes_in!C23=0,0,11630*1000*SER_hh_tes_in!C23/SER_hh_num_in!C23)</f>
        <v>0</v>
      </c>
      <c r="D23" s="132">
        <f>IF(SER_hh_tes_in!D23=0,0,11630*1000*SER_hh_tes_in!D23/SER_hh_num_in!D23)</f>
        <v>0</v>
      </c>
      <c r="E23" s="132">
        <f>IF(SER_hh_tes_in!E23=0,0,11630*1000*SER_hh_tes_in!E23/SER_hh_num_in!E23)</f>
        <v>0</v>
      </c>
      <c r="F23" s="132">
        <f>IF(SER_hh_tes_in!F23=0,0,11630*1000*SER_hh_tes_in!F23/SER_hh_num_in!F23)</f>
        <v>0</v>
      </c>
      <c r="G23" s="132">
        <f>IF(SER_hh_tes_in!G23=0,0,11630*1000*SER_hh_tes_in!G23/SER_hh_num_in!G23)</f>
        <v>0</v>
      </c>
      <c r="H23" s="132">
        <f>IF(SER_hh_tes_in!H23=0,0,11630*1000*SER_hh_tes_in!H23/SER_hh_num_in!H23)</f>
        <v>0</v>
      </c>
      <c r="I23" s="132">
        <f>IF(SER_hh_tes_in!I23=0,0,11630*1000*SER_hh_tes_in!I23/SER_hh_num_in!I23)</f>
        <v>0</v>
      </c>
      <c r="J23" s="132">
        <f>IF(SER_hh_tes_in!J23=0,0,11630*1000*SER_hh_tes_in!J23/SER_hh_num_in!J23)</f>
        <v>0</v>
      </c>
      <c r="K23" s="132">
        <f>IF(SER_hh_tes_in!K23=0,0,11630*1000*SER_hh_tes_in!K23/SER_hh_num_in!K23)</f>
        <v>0</v>
      </c>
      <c r="L23" s="132">
        <f>IF(SER_hh_tes_in!L23=0,0,11630*1000*SER_hh_tes_in!L23/SER_hh_num_in!L23)</f>
        <v>0</v>
      </c>
      <c r="M23" s="132">
        <f>IF(SER_hh_tes_in!M23=0,0,11630*1000*SER_hh_tes_in!M23/SER_hh_num_in!M23)</f>
        <v>0</v>
      </c>
      <c r="N23" s="132">
        <f>IF(SER_hh_tes_in!N23=0,0,11630*1000*SER_hh_tes_in!N23/SER_hh_num_in!N23)</f>
        <v>0</v>
      </c>
      <c r="O23" s="132">
        <f>IF(SER_hh_tes_in!O23=0,0,11630*1000*SER_hh_tes_in!O23/SER_hh_num_in!O23)</f>
        <v>0</v>
      </c>
      <c r="P23" s="132">
        <f>IF(SER_hh_tes_in!P23=0,0,11630*1000*SER_hh_tes_in!P23/SER_hh_num_in!P23)</f>
        <v>0</v>
      </c>
      <c r="Q23" s="132">
        <f>IF(SER_hh_tes_in!Q23=0,0,11630*1000*SER_hh_tes_in!Q23/SER_hh_num_in!Q23)</f>
        <v>0</v>
      </c>
      <c r="R23" s="132">
        <f>IF(SER_hh_tes_in!R23=0,0,11630*1000*SER_hh_tes_in!R23/SER_hh_num_in!R23)</f>
        <v>0</v>
      </c>
      <c r="S23" s="132">
        <f>IF(SER_hh_tes_in!S23=0,0,11630*1000*SER_hh_tes_in!S23/SER_hh_num_in!S23)</f>
        <v>0</v>
      </c>
      <c r="T23" s="132">
        <f>IF(SER_hh_tes_in!T23=0,0,11630*1000*SER_hh_tes_in!T23/SER_hh_num_in!T23)</f>
        <v>0</v>
      </c>
      <c r="U23" s="132">
        <f>IF(SER_hh_tes_in!U23=0,0,11630*1000*SER_hh_tes_in!U23/SER_hh_num_in!U23)</f>
        <v>0</v>
      </c>
      <c r="V23" s="132">
        <f>IF(SER_hh_tes_in!V23=0,0,11630*1000*SER_hh_tes_in!V23/SER_hh_num_in!V23)</f>
        <v>0</v>
      </c>
      <c r="W23" s="132">
        <f>IF(SER_hh_tes_in!W23=0,0,11630*1000*SER_hh_tes_in!W23/SER_hh_num_in!W23)</f>
        <v>0</v>
      </c>
      <c r="X23" s="132">
        <f>IF(SER_hh_tes_in!X23=0,0,11630*1000*SER_hh_tes_in!X23/SER_hh_num_in!X23)</f>
        <v>0</v>
      </c>
      <c r="Y23" s="132">
        <f>IF(SER_hh_tes_in!Y23=0,0,11630*1000*SER_hh_tes_in!Y23/SER_hh_num_in!Y23)</f>
        <v>0</v>
      </c>
      <c r="DA23" s="156" t="s">
        <v>775</v>
      </c>
    </row>
    <row r="24" spans="1:105" ht="12" customHeight="1" x14ac:dyDescent="0.25">
      <c r="A24" s="131" t="s">
        <v>128</v>
      </c>
      <c r="B24" s="132"/>
      <c r="C24" s="132">
        <f>IF(SER_hh_tes_in!C24=0,0,11630*1000*SER_hh_tes_in!C24/SER_hh_num_in!C24)</f>
        <v>0</v>
      </c>
      <c r="D24" s="132">
        <f>IF(SER_hh_tes_in!D24=0,0,11630*1000*SER_hh_tes_in!D24/SER_hh_num_in!D24)</f>
        <v>0</v>
      </c>
      <c r="E24" s="132">
        <f>IF(SER_hh_tes_in!E24=0,0,11630*1000*SER_hh_tes_in!E24/SER_hh_num_in!E24)</f>
        <v>0</v>
      </c>
      <c r="F24" s="132">
        <f>IF(SER_hh_tes_in!F24=0,0,11630*1000*SER_hh_tes_in!F24/SER_hh_num_in!F24)</f>
        <v>0</v>
      </c>
      <c r="G24" s="132">
        <f>IF(SER_hh_tes_in!G24=0,0,11630*1000*SER_hh_tes_in!G24/SER_hh_num_in!G24)</f>
        <v>0</v>
      </c>
      <c r="H24" s="132">
        <f>IF(SER_hh_tes_in!H24=0,0,11630*1000*SER_hh_tes_in!H24/SER_hh_num_in!H24)</f>
        <v>0</v>
      </c>
      <c r="I24" s="132">
        <f>IF(SER_hh_tes_in!I24=0,0,11630*1000*SER_hh_tes_in!I24/SER_hh_num_in!I24)</f>
        <v>0</v>
      </c>
      <c r="J24" s="132">
        <f>IF(SER_hh_tes_in!J24=0,0,11630*1000*SER_hh_tes_in!J24/SER_hh_num_in!J24)</f>
        <v>0</v>
      </c>
      <c r="K24" s="132">
        <f>IF(SER_hh_tes_in!K24=0,0,11630*1000*SER_hh_tes_in!K24/SER_hh_num_in!K24)</f>
        <v>0</v>
      </c>
      <c r="L24" s="132">
        <f>IF(SER_hh_tes_in!L24=0,0,11630*1000*SER_hh_tes_in!L24/SER_hh_num_in!L24)</f>
        <v>0</v>
      </c>
      <c r="M24" s="132">
        <f>IF(SER_hh_tes_in!M24=0,0,11630*1000*SER_hh_tes_in!M24/SER_hh_num_in!M24)</f>
        <v>0</v>
      </c>
      <c r="N24" s="132">
        <f>IF(SER_hh_tes_in!N24=0,0,11630*1000*SER_hh_tes_in!N24/SER_hh_num_in!N24)</f>
        <v>0</v>
      </c>
      <c r="O24" s="132">
        <f>IF(SER_hh_tes_in!O24=0,0,11630*1000*SER_hh_tes_in!O24/SER_hh_num_in!O24)</f>
        <v>0</v>
      </c>
      <c r="P24" s="132">
        <f>IF(SER_hh_tes_in!P24=0,0,11630*1000*SER_hh_tes_in!P24/SER_hh_num_in!P24)</f>
        <v>0</v>
      </c>
      <c r="Q24" s="132">
        <f>IF(SER_hh_tes_in!Q24=0,0,11630*1000*SER_hh_tes_in!Q24/SER_hh_num_in!Q24)</f>
        <v>0</v>
      </c>
      <c r="R24" s="132">
        <f>IF(SER_hh_tes_in!R24=0,0,11630*1000*SER_hh_tes_in!R24/SER_hh_num_in!R24)</f>
        <v>0</v>
      </c>
      <c r="S24" s="132">
        <f>IF(SER_hh_tes_in!S24=0,0,11630*1000*SER_hh_tes_in!S24/SER_hh_num_in!S24)</f>
        <v>0</v>
      </c>
      <c r="T24" s="132">
        <f>IF(SER_hh_tes_in!T24=0,0,11630*1000*SER_hh_tes_in!T24/SER_hh_num_in!T24)</f>
        <v>0</v>
      </c>
      <c r="U24" s="132">
        <f>IF(SER_hh_tes_in!U24=0,0,11630*1000*SER_hh_tes_in!U24/SER_hh_num_in!U24)</f>
        <v>0</v>
      </c>
      <c r="V24" s="132">
        <f>IF(SER_hh_tes_in!V24=0,0,11630*1000*SER_hh_tes_in!V24/SER_hh_num_in!V24)</f>
        <v>0</v>
      </c>
      <c r="W24" s="132">
        <f>IF(SER_hh_tes_in!W24=0,0,11630*1000*SER_hh_tes_in!W24/SER_hh_num_in!W24)</f>
        <v>0</v>
      </c>
      <c r="X24" s="132">
        <f>IF(SER_hh_tes_in!X24=0,0,11630*1000*SER_hh_tes_in!X24/SER_hh_num_in!X24)</f>
        <v>0</v>
      </c>
      <c r="Y24" s="132">
        <f>IF(SER_hh_tes_in!Y24=0,0,11630*1000*SER_hh_tes_in!Y24/SER_hh_num_in!Y24)</f>
        <v>0</v>
      </c>
      <c r="DA24" s="156" t="s">
        <v>776</v>
      </c>
    </row>
    <row r="25" spans="1:105" ht="12" customHeight="1" x14ac:dyDescent="0.25">
      <c r="A25" s="131" t="s">
        <v>162</v>
      </c>
      <c r="B25" s="132"/>
      <c r="C25" s="132">
        <f>IF(SER_hh_tes_in!C25=0,0,11630*1000*SER_hh_tes_in!C25/SER_hh_num_in!C25)</f>
        <v>0</v>
      </c>
      <c r="D25" s="132">
        <f>IF(SER_hh_tes_in!D25=0,0,11630*1000*SER_hh_tes_in!D25/SER_hh_num_in!D25)</f>
        <v>0</v>
      </c>
      <c r="E25" s="132">
        <f>IF(SER_hh_tes_in!E25=0,0,11630*1000*SER_hh_tes_in!E25/SER_hh_num_in!E25)</f>
        <v>0</v>
      </c>
      <c r="F25" s="132">
        <f>IF(SER_hh_tes_in!F25=0,0,11630*1000*SER_hh_tes_in!F25/SER_hh_num_in!F25)</f>
        <v>0</v>
      </c>
      <c r="G25" s="132">
        <f>IF(SER_hh_tes_in!G25=0,0,11630*1000*SER_hh_tes_in!G25/SER_hh_num_in!G25)</f>
        <v>0</v>
      </c>
      <c r="H25" s="132">
        <f>IF(SER_hh_tes_in!H25=0,0,11630*1000*SER_hh_tes_in!H25/SER_hh_num_in!H25)</f>
        <v>0</v>
      </c>
      <c r="I25" s="132">
        <f>IF(SER_hh_tes_in!I25=0,0,11630*1000*SER_hh_tes_in!I25/SER_hh_num_in!I25)</f>
        <v>0</v>
      </c>
      <c r="J25" s="132">
        <f>IF(SER_hh_tes_in!J25=0,0,11630*1000*SER_hh_tes_in!J25/SER_hh_num_in!J25)</f>
        <v>0</v>
      </c>
      <c r="K25" s="132">
        <f>IF(SER_hh_tes_in!K25=0,0,11630*1000*SER_hh_tes_in!K25/SER_hh_num_in!K25)</f>
        <v>0</v>
      </c>
      <c r="L25" s="132">
        <f>IF(SER_hh_tes_in!L25=0,0,11630*1000*SER_hh_tes_in!L25/SER_hh_num_in!L25)</f>
        <v>0</v>
      </c>
      <c r="M25" s="132">
        <f>IF(SER_hh_tes_in!M25=0,0,11630*1000*SER_hh_tes_in!M25/SER_hh_num_in!M25)</f>
        <v>0</v>
      </c>
      <c r="N25" s="132">
        <f>IF(SER_hh_tes_in!N25=0,0,11630*1000*SER_hh_tes_in!N25/SER_hh_num_in!N25)</f>
        <v>0</v>
      </c>
      <c r="O25" s="132">
        <f>IF(SER_hh_tes_in!O25=0,0,11630*1000*SER_hh_tes_in!O25/SER_hh_num_in!O25)</f>
        <v>0</v>
      </c>
      <c r="P25" s="132">
        <f>IF(SER_hh_tes_in!P25=0,0,11630*1000*SER_hh_tes_in!P25/SER_hh_num_in!P25)</f>
        <v>0</v>
      </c>
      <c r="Q25" s="132">
        <f>IF(SER_hh_tes_in!Q25=0,0,11630*1000*SER_hh_tes_in!Q25/SER_hh_num_in!Q25)</f>
        <v>0</v>
      </c>
      <c r="R25" s="132">
        <f>IF(SER_hh_tes_in!R25=0,0,11630*1000*SER_hh_tes_in!R25/SER_hh_num_in!R25)</f>
        <v>0</v>
      </c>
      <c r="S25" s="132">
        <f>IF(SER_hh_tes_in!S25=0,0,11630*1000*SER_hh_tes_in!S25/SER_hh_num_in!S25)</f>
        <v>0</v>
      </c>
      <c r="T25" s="132">
        <f>IF(SER_hh_tes_in!T25=0,0,11630*1000*SER_hh_tes_in!T25/SER_hh_num_in!T25)</f>
        <v>0</v>
      </c>
      <c r="U25" s="132">
        <f>IF(SER_hh_tes_in!U25=0,0,11630*1000*SER_hh_tes_in!U25/SER_hh_num_in!U25)</f>
        <v>0</v>
      </c>
      <c r="V25" s="132">
        <f>IF(SER_hh_tes_in!V25=0,0,11630*1000*SER_hh_tes_in!V25/SER_hh_num_in!V25)</f>
        <v>0</v>
      </c>
      <c r="W25" s="132">
        <f>IF(SER_hh_tes_in!W25=0,0,11630*1000*SER_hh_tes_in!W25/SER_hh_num_in!W25)</f>
        <v>0</v>
      </c>
      <c r="X25" s="132">
        <f>IF(SER_hh_tes_in!X25=0,0,11630*1000*SER_hh_tes_in!X25/SER_hh_num_in!X25)</f>
        <v>0</v>
      </c>
      <c r="Y25" s="132">
        <f>IF(SER_hh_tes_in!Y25=0,0,11630*1000*SER_hh_tes_in!Y25/SER_hh_num_in!Y25)</f>
        <v>0</v>
      </c>
      <c r="DA25" s="156" t="s">
        <v>777</v>
      </c>
    </row>
    <row r="26" spans="1:105" ht="12" customHeight="1" x14ac:dyDescent="0.25">
      <c r="A26" s="131" t="s">
        <v>24</v>
      </c>
      <c r="B26" s="65"/>
      <c r="C26" s="65">
        <f>IF(SER_hh_tes_in!C26=0,0,11630*1000*SER_hh_tes_in!C26/SER_hh_num_in!C26)</f>
        <v>5082.8992706885547</v>
      </c>
      <c r="D26" s="65">
        <f>IF(SER_hh_tes_in!D26=0,0,11630*1000*SER_hh_tes_in!D26/SER_hh_num_in!D26)</f>
        <v>2224.7191263862028</v>
      </c>
      <c r="E26" s="65">
        <f>IF(SER_hh_tes_in!E26=0,0,11630*1000*SER_hh_tes_in!E26/SER_hh_num_in!E26)</f>
        <v>2787.9466911105078</v>
      </c>
      <c r="F26" s="65">
        <f>IF(SER_hh_tes_in!F26=0,0,11630*1000*SER_hh_tes_in!F26/SER_hh_num_in!F26)</f>
        <v>2642.5398990563112</v>
      </c>
      <c r="G26" s="65">
        <f>IF(SER_hh_tes_in!G26=0,0,11630*1000*SER_hh_tes_in!G26/SER_hh_num_in!G26)</f>
        <v>3190.8836358589883</v>
      </c>
      <c r="H26" s="65">
        <f>IF(SER_hh_tes_in!H26=0,0,11630*1000*SER_hh_tes_in!H26/SER_hh_num_in!H26)</f>
        <v>0</v>
      </c>
      <c r="I26" s="65">
        <f>IF(SER_hh_tes_in!I26=0,0,11630*1000*SER_hh_tes_in!I26/SER_hh_num_in!I26)</f>
        <v>0</v>
      </c>
      <c r="J26" s="65">
        <f>IF(SER_hh_tes_in!J26=0,0,11630*1000*SER_hh_tes_in!J26/SER_hh_num_in!J26)</f>
        <v>95.970422423605527</v>
      </c>
      <c r="K26" s="65">
        <f>IF(SER_hh_tes_in!K26=0,0,11630*1000*SER_hh_tes_in!K26/SER_hh_num_in!K26)</f>
        <v>101.34849169085841</v>
      </c>
      <c r="L26" s="65">
        <f>IF(SER_hh_tes_in!L26=0,0,11630*1000*SER_hh_tes_in!L26/SER_hh_num_in!L26)</f>
        <v>93.637669636432221</v>
      </c>
      <c r="M26" s="65">
        <f>IF(SER_hh_tes_in!M26=0,0,11630*1000*SER_hh_tes_in!M26/SER_hh_num_in!M26)</f>
        <v>98.514443523698887</v>
      </c>
      <c r="N26" s="65">
        <f>IF(SER_hh_tes_in!N26=0,0,11630*1000*SER_hh_tes_in!N26/SER_hh_num_in!N26)</f>
        <v>2408.1607648359582</v>
      </c>
      <c r="O26" s="65">
        <f>IF(SER_hh_tes_in!O26=0,0,11630*1000*SER_hh_tes_in!O26/SER_hh_num_in!O26)</f>
        <v>3310.2747510206573</v>
      </c>
      <c r="P26" s="65">
        <f>IF(SER_hh_tes_in!P26=0,0,11630*1000*SER_hh_tes_in!P26/SER_hh_num_in!P26)</f>
        <v>80.295215705944429</v>
      </c>
      <c r="Q26" s="65">
        <f>IF(SER_hh_tes_in!Q26=0,0,11630*1000*SER_hh_tes_in!Q26/SER_hh_num_in!Q26)</f>
        <v>81.712626296514614</v>
      </c>
      <c r="R26" s="65">
        <f>IF(SER_hh_tes_in!R26=0,0,11630*1000*SER_hh_tes_in!R26/SER_hh_num_in!R26)</f>
        <v>84.953501511822864</v>
      </c>
      <c r="S26" s="65">
        <f>IF(SER_hh_tes_in!S26=0,0,11630*1000*SER_hh_tes_in!S26/SER_hh_num_in!S26)</f>
        <v>86.046392988176336</v>
      </c>
      <c r="T26" s="65">
        <f>IF(SER_hh_tes_in!T26=0,0,11630*1000*SER_hh_tes_in!T26/SER_hh_num_in!T26)</f>
        <v>85.400104430832272</v>
      </c>
      <c r="U26" s="65">
        <f>IF(SER_hh_tes_in!U26=0,0,11630*1000*SER_hh_tes_in!U26/SER_hh_num_in!U26)</f>
        <v>79.654036466213455</v>
      </c>
      <c r="V26" s="65">
        <f>IF(SER_hh_tes_in!V26=0,0,11630*1000*SER_hh_tes_in!V26/SER_hh_num_in!V26)</f>
        <v>79.252468357153759</v>
      </c>
      <c r="W26" s="65">
        <f>IF(SER_hh_tes_in!W26=0,0,11630*1000*SER_hh_tes_in!W26/SER_hh_num_in!W26)</f>
        <v>78.928544971451373</v>
      </c>
      <c r="X26" s="65">
        <f>IF(SER_hh_tes_in!X26=0,0,11630*1000*SER_hh_tes_in!X26/SER_hh_num_in!X26)</f>
        <v>8910.2903381534616</v>
      </c>
      <c r="Y26" s="65">
        <f>IF(SER_hh_tes_in!Y26=0,0,11630*1000*SER_hh_tes_in!Y26/SER_hh_num_in!Y26)</f>
        <v>9769.5665313832978</v>
      </c>
      <c r="DA26" s="109" t="s">
        <v>778</v>
      </c>
    </row>
    <row r="27" spans="1:105" ht="12" customHeight="1" x14ac:dyDescent="0.25">
      <c r="A27" s="144" t="s">
        <v>86</v>
      </c>
      <c r="B27" s="147"/>
      <c r="C27" s="145">
        <f>IF(SER_hh_tes_in!C27=0,0,11630*1000*SER_hh_tes_in!C27/SER_hh_num_in!C19)</f>
        <v>6328.4321395609504</v>
      </c>
      <c r="D27" s="145">
        <f>IF(SER_hh_tes_in!D27=0,0,11630*1000*SER_hh_tes_in!D27/SER_hh_num_in!D19)</f>
        <v>9275.1438473512335</v>
      </c>
      <c r="E27" s="145">
        <f>IF(SER_hh_tes_in!E27=0,0,11630*1000*SER_hh_tes_in!E27/SER_hh_num_in!E19)</f>
        <v>8555.8406092766418</v>
      </c>
      <c r="F27" s="145">
        <f>IF(SER_hh_tes_in!F27=0,0,11630*1000*SER_hh_tes_in!F27/SER_hh_num_in!F19)</f>
        <v>8624.9925935735919</v>
      </c>
      <c r="G27" s="145">
        <f>IF(SER_hh_tes_in!G27=0,0,11630*1000*SER_hh_tes_in!G27/SER_hh_num_in!G19)</f>
        <v>8118.3577972324319</v>
      </c>
      <c r="H27" s="145">
        <f>IF(SER_hh_tes_in!H27=0,0,11630*1000*SER_hh_tes_in!H27/SER_hh_num_in!H19)</f>
        <v>9204.0750431723736</v>
      </c>
      <c r="I27" s="145">
        <f>IF(SER_hh_tes_in!I27=0,0,11630*1000*SER_hh_tes_in!I27/SER_hh_num_in!I19)</f>
        <v>6915.6710390851158</v>
      </c>
      <c r="J27" s="145">
        <f>IF(SER_hh_tes_in!J27=0,0,11630*1000*SER_hh_tes_in!J27/SER_hh_num_in!J19)</f>
        <v>6258.57967018829</v>
      </c>
      <c r="K27" s="145">
        <f>IF(SER_hh_tes_in!K27=0,0,11630*1000*SER_hh_tes_in!K27/SER_hh_num_in!K19)</f>
        <v>9915.7806550438945</v>
      </c>
      <c r="L27" s="145">
        <f>IF(SER_hh_tes_in!L27=0,0,11630*1000*SER_hh_tes_in!L27/SER_hh_num_in!L19)</f>
        <v>9965.6457623918504</v>
      </c>
      <c r="M27" s="145">
        <f>IF(SER_hh_tes_in!M27=0,0,11630*1000*SER_hh_tes_in!M27/SER_hh_num_in!M19)</f>
        <v>10439.941812207666</v>
      </c>
      <c r="N27" s="145">
        <f>IF(SER_hh_tes_in!N27=0,0,11630*1000*SER_hh_tes_in!N27/SER_hh_num_in!N19)</f>
        <v>8242.3012273725781</v>
      </c>
      <c r="O27" s="145">
        <f>IF(SER_hh_tes_in!O27=0,0,11630*1000*SER_hh_tes_in!O27/SER_hh_num_in!O19)</f>
        <v>7476.5882645643769</v>
      </c>
      <c r="P27" s="145">
        <f>IF(SER_hh_tes_in!P27=0,0,11630*1000*SER_hh_tes_in!P27/SER_hh_num_in!P19)</f>
        <v>12959.153104089228</v>
      </c>
      <c r="Q27" s="145">
        <f>IF(SER_hh_tes_in!Q27=0,0,11630*1000*SER_hh_tes_in!Q27/SER_hh_num_in!Q19)</f>
        <v>12541.757967959524</v>
      </c>
      <c r="R27" s="145">
        <f>IF(SER_hh_tes_in!R27=0,0,11630*1000*SER_hh_tes_in!R27/SER_hh_num_in!R19)</f>
        <v>11678.493620181727</v>
      </c>
      <c r="S27" s="145">
        <f>IF(SER_hh_tes_in!S27=0,0,11630*1000*SER_hh_tes_in!S27/SER_hh_num_in!S19)</f>
        <v>10168.001207080664</v>
      </c>
      <c r="T27" s="145">
        <f>IF(SER_hh_tes_in!T27=0,0,11630*1000*SER_hh_tes_in!T27/SER_hh_num_in!T19)</f>
        <v>9313.4763831126766</v>
      </c>
      <c r="U27" s="145">
        <f>IF(SER_hh_tes_in!U27=0,0,11630*1000*SER_hh_tes_in!U27/SER_hh_num_in!U19)</f>
        <v>8520.1424062429087</v>
      </c>
      <c r="V27" s="145">
        <f>IF(SER_hh_tes_in!V27=0,0,11630*1000*SER_hh_tes_in!V27/SER_hh_num_in!V19)</f>
        <v>9154.3367808529711</v>
      </c>
      <c r="W27" s="145">
        <f>IF(SER_hh_tes_in!W27=0,0,11630*1000*SER_hh_tes_in!W27/SER_hh_num_in!W19)</f>
        <v>6841.1510447562741</v>
      </c>
      <c r="X27" s="145">
        <f>IF(SER_hh_tes_in!X27=0,0,11630*1000*SER_hh_tes_in!X27/SER_hh_num_in!X19)</f>
        <v>0</v>
      </c>
      <c r="Y27" s="145">
        <f>IF(SER_hh_tes_in!Y27=0,0,11630*1000*SER_hh_tes_in!Y27/SER_hh_num_in!Y19)</f>
        <v>1.1011456996627933E-10</v>
      </c>
      <c r="DA27" s="158" t="s">
        <v>779</v>
      </c>
    </row>
    <row r="28" spans="1:105" ht="12" customHeight="1" x14ac:dyDescent="0.25">
      <c r="A28" s="78" t="s">
        <v>85</v>
      </c>
      <c r="B28" s="68"/>
      <c r="C28" s="146">
        <f>IF(SER_hh_tes_in!C27=0,0,11630*1000*SER_hh_tes_in!C27/SER_hh_num_in!C27)</f>
        <v>10069.03519298267</v>
      </c>
      <c r="D28" s="146">
        <f>IF(SER_hh_tes_in!D27=0,0,11630*1000*SER_hh_tes_in!D27/SER_hh_num_in!D27)</f>
        <v>9275.1438473512335</v>
      </c>
      <c r="E28" s="146">
        <f>IF(SER_hh_tes_in!E27=0,0,11630*1000*SER_hh_tes_in!E27/SER_hh_num_in!E27)</f>
        <v>8662.6940037801705</v>
      </c>
      <c r="F28" s="146">
        <f>IF(SER_hh_tes_in!F27=0,0,11630*1000*SER_hh_tes_in!F27/SER_hh_num_in!F27)</f>
        <v>8758.9025192897407</v>
      </c>
      <c r="G28" s="146">
        <f>IF(SER_hh_tes_in!G27=0,0,11630*1000*SER_hh_tes_in!G27/SER_hh_num_in!G27)</f>
        <v>8202.4747659808272</v>
      </c>
      <c r="H28" s="146">
        <f>IF(SER_hh_tes_in!H27=0,0,11630*1000*SER_hh_tes_in!H27/SER_hh_num_in!H27)</f>
        <v>9293.9905321928763</v>
      </c>
      <c r="I28" s="146">
        <f>IF(SER_hh_tes_in!I27=0,0,11630*1000*SER_hh_tes_in!I27/SER_hh_num_in!I27)</f>
        <v>6915.6710390851149</v>
      </c>
      <c r="J28" s="146">
        <f>IF(SER_hh_tes_in!J27=0,0,11630*1000*SER_hh_tes_in!J27/SER_hh_num_in!J27)</f>
        <v>6258.5796701882891</v>
      </c>
      <c r="K28" s="146">
        <f>IF(SER_hh_tes_in!K27=0,0,11630*1000*SER_hh_tes_in!K27/SER_hh_num_in!K27)</f>
        <v>10498.072678450093</v>
      </c>
      <c r="L28" s="146">
        <f>IF(SER_hh_tes_in!L27=0,0,11630*1000*SER_hh_tes_in!L27/SER_hh_num_in!L27)</f>
        <v>10779.561066031305</v>
      </c>
      <c r="M28" s="146">
        <f>IF(SER_hh_tes_in!M27=0,0,11630*1000*SER_hh_tes_in!M27/SER_hh_num_in!M27)</f>
        <v>10677.004696322616</v>
      </c>
      <c r="N28" s="146">
        <f>IF(SER_hh_tes_in!N27=0,0,11630*1000*SER_hh_tes_in!N27/SER_hh_num_in!N27)</f>
        <v>11467.662489300794</v>
      </c>
      <c r="O28" s="146">
        <f>IF(SER_hh_tes_in!O27=0,0,11630*1000*SER_hh_tes_in!O27/SER_hh_num_in!O27)</f>
        <v>13156.888926836711</v>
      </c>
      <c r="P28" s="146">
        <f>IF(SER_hh_tes_in!P27=0,0,11630*1000*SER_hh_tes_in!P27/SER_hh_num_in!P27)</f>
        <v>13215.86741800838</v>
      </c>
      <c r="Q28" s="146">
        <f>IF(SER_hh_tes_in!Q27=0,0,11630*1000*SER_hh_tes_in!Q27/SER_hh_num_in!Q27)</f>
        <v>12541.757967959524</v>
      </c>
      <c r="R28" s="146">
        <f>IF(SER_hh_tes_in!R27=0,0,11630*1000*SER_hh_tes_in!R27/SER_hh_num_in!R27)</f>
        <v>11873.244669819065</v>
      </c>
      <c r="S28" s="146">
        <f>IF(SER_hh_tes_in!S27=0,0,11630*1000*SER_hh_tes_in!S27/SER_hh_num_in!S27)</f>
        <v>10168.001207080664</v>
      </c>
      <c r="T28" s="146">
        <f>IF(SER_hh_tes_in!T27=0,0,11630*1000*SER_hh_tes_in!T27/SER_hh_num_in!T27)</f>
        <v>10688.66160266644</v>
      </c>
      <c r="U28" s="146">
        <f>IF(SER_hh_tes_in!U27=0,0,11630*1000*SER_hh_tes_in!U27/SER_hh_num_in!U27)</f>
        <v>10275.911899101946</v>
      </c>
      <c r="V28" s="146">
        <f>IF(SER_hh_tes_in!V27=0,0,11630*1000*SER_hh_tes_in!V27/SER_hh_num_in!V27)</f>
        <v>9154.3367808529729</v>
      </c>
      <c r="W28" s="146">
        <f>IF(SER_hh_tes_in!W27=0,0,11630*1000*SER_hh_tes_in!W27/SER_hh_num_in!W27)</f>
        <v>9380.0516362518993</v>
      </c>
      <c r="X28" s="146">
        <f>IF(SER_hh_tes_in!X27=0,0,11630*1000*SER_hh_tes_in!X27/SER_hh_num_in!X27)</f>
        <v>0</v>
      </c>
      <c r="Y28" s="146">
        <f>IF(SER_hh_tes_in!Y27=0,0,11630*1000*SER_hh_tes_in!Y27/SER_hh_num_in!Y27)</f>
        <v>11389.946735194713</v>
      </c>
      <c r="DA28" s="159"/>
    </row>
    <row r="29" spans="1:105" ht="12.95" customHeight="1" x14ac:dyDescent="0.25">
      <c r="A29" s="129" t="s">
        <v>34</v>
      </c>
      <c r="B29" s="130"/>
      <c r="C29" s="130">
        <f>IF(SER_hh_tes_in!C29=0,0,11630*1000*SER_hh_tes_in!C29/SER_hh_num_in!C29)</f>
        <v>11233.946895070145</v>
      </c>
      <c r="D29" s="130">
        <f>IF(SER_hh_tes_in!D29=0,0,11630*1000*SER_hh_tes_in!D29/SER_hh_num_in!D29)</f>
        <v>11403.716877537314</v>
      </c>
      <c r="E29" s="130">
        <f>IF(SER_hh_tes_in!E29=0,0,11630*1000*SER_hh_tes_in!E29/SER_hh_num_in!E29)</f>
        <v>11374.863773906514</v>
      </c>
      <c r="F29" s="130">
        <f>IF(SER_hh_tes_in!F29=0,0,11630*1000*SER_hh_tes_in!F29/SER_hh_num_in!F29)</f>
        <v>11601.062365049045</v>
      </c>
      <c r="G29" s="130">
        <f>IF(SER_hh_tes_in!G29=0,0,11630*1000*SER_hh_tes_in!G29/SER_hh_num_in!G29)</f>
        <v>11801.860991651194</v>
      </c>
      <c r="H29" s="130">
        <f>IF(SER_hh_tes_in!H29=0,0,11630*1000*SER_hh_tes_in!H29/SER_hh_num_in!H29)</f>
        <v>15938.440558290129</v>
      </c>
      <c r="I29" s="130">
        <f>IF(SER_hh_tes_in!I29=0,0,11630*1000*SER_hh_tes_in!I29/SER_hh_num_in!I29)</f>
        <v>12365.04530085139</v>
      </c>
      <c r="J29" s="130">
        <f>IF(SER_hh_tes_in!J29=0,0,11630*1000*SER_hh_tes_in!J29/SER_hh_num_in!J29)</f>
        <v>12035.985598594822</v>
      </c>
      <c r="K29" s="130">
        <f>IF(SER_hh_tes_in!K29=0,0,11630*1000*SER_hh_tes_in!K29/SER_hh_num_in!K29)</f>
        <v>12185.761004810045</v>
      </c>
      <c r="L29" s="130">
        <f>IF(SER_hh_tes_in!L29=0,0,11630*1000*SER_hh_tes_in!L29/SER_hh_num_in!L29)</f>
        <v>12089.253601689732</v>
      </c>
      <c r="M29" s="130">
        <f>IF(SER_hh_tes_in!M29=0,0,11630*1000*SER_hh_tes_in!M29/SER_hh_num_in!M29)</f>
        <v>11854.952189990085</v>
      </c>
      <c r="N29" s="130">
        <f>IF(SER_hh_tes_in!N29=0,0,11630*1000*SER_hh_tes_in!N29/SER_hh_num_in!N29)</f>
        <v>11737.370669792937</v>
      </c>
      <c r="O29" s="130">
        <f>IF(SER_hh_tes_in!O29=0,0,11630*1000*SER_hh_tes_in!O29/SER_hh_num_in!O29)</f>
        <v>11558.033058781941</v>
      </c>
      <c r="P29" s="130">
        <f>IF(SER_hh_tes_in!P29=0,0,11630*1000*SER_hh_tes_in!P29/SER_hh_num_in!P29)</f>
        <v>11904.093021630752</v>
      </c>
      <c r="Q29" s="130">
        <f>IF(SER_hh_tes_in!Q29=0,0,11630*1000*SER_hh_tes_in!Q29/SER_hh_num_in!Q29)</f>
        <v>11738.890231092017</v>
      </c>
      <c r="R29" s="130">
        <f>IF(SER_hh_tes_in!R29=0,0,11630*1000*SER_hh_tes_in!R29/SER_hh_num_in!R29)</f>
        <v>11465.135878038294</v>
      </c>
      <c r="S29" s="130">
        <f>IF(SER_hh_tes_in!S29=0,0,11630*1000*SER_hh_tes_in!S29/SER_hh_num_in!S29)</f>
        <v>11966.519558164617</v>
      </c>
      <c r="T29" s="130">
        <f>IF(SER_hh_tes_in!T29=0,0,11630*1000*SER_hh_tes_in!T29/SER_hh_num_in!T29)</f>
        <v>11894.614230049223</v>
      </c>
      <c r="U29" s="130">
        <f>IF(SER_hh_tes_in!U29=0,0,11630*1000*SER_hh_tes_in!U29/SER_hh_num_in!U29)</f>
        <v>10929.483264175491</v>
      </c>
      <c r="V29" s="130">
        <f>IF(SER_hh_tes_in!V29=0,0,11630*1000*SER_hh_tes_in!V29/SER_hh_num_in!V29)</f>
        <v>10221.282835325905</v>
      </c>
      <c r="W29" s="130">
        <f>IF(SER_hh_tes_in!W29=0,0,11630*1000*SER_hh_tes_in!W29/SER_hh_num_in!W29)</f>
        <v>11493.86951502937</v>
      </c>
      <c r="X29" s="130">
        <f>IF(SER_hh_tes_in!X29=0,0,11630*1000*SER_hh_tes_in!X29/SER_hh_num_in!X29)</f>
        <v>11271.13977940981</v>
      </c>
      <c r="Y29" s="130">
        <f>IF(SER_hh_tes_in!Y29=0,0,11630*1000*SER_hh_tes_in!Y29/SER_hh_num_in!Y29)</f>
        <v>12604.353312509236</v>
      </c>
      <c r="DA29" s="155" t="s">
        <v>780</v>
      </c>
    </row>
    <row r="30" spans="1:105" s="2" customFormat="1" ht="12" customHeight="1" x14ac:dyDescent="0.25">
      <c r="A30" s="131" t="s">
        <v>52</v>
      </c>
      <c r="B30" s="132"/>
      <c r="C30" s="132">
        <f>IF(SER_hh_tes_in!C30=0,0,11630*1000*SER_hh_tes_in!C30/SER_hh_num_in!C30)</f>
        <v>0</v>
      </c>
      <c r="D30" s="132">
        <f>IF(SER_hh_tes_in!D30=0,0,11630*1000*SER_hh_tes_in!D30/SER_hh_num_in!D30)</f>
        <v>0</v>
      </c>
      <c r="E30" s="132">
        <f>IF(SER_hh_tes_in!E30=0,0,11630*1000*SER_hh_tes_in!E30/SER_hh_num_in!E30)</f>
        <v>0</v>
      </c>
      <c r="F30" s="132">
        <f>IF(SER_hh_tes_in!F30=0,0,11630*1000*SER_hh_tes_in!F30/SER_hh_num_in!F30)</f>
        <v>0</v>
      </c>
      <c r="G30" s="132">
        <f>IF(SER_hh_tes_in!G30=0,0,11630*1000*SER_hh_tes_in!G30/SER_hh_num_in!G30)</f>
        <v>0</v>
      </c>
      <c r="H30" s="132">
        <f>IF(SER_hh_tes_in!H30=0,0,11630*1000*SER_hh_tes_in!H30/SER_hh_num_in!H30)</f>
        <v>16735.899525321896</v>
      </c>
      <c r="I30" s="132">
        <f>IF(SER_hh_tes_in!I30=0,0,11630*1000*SER_hh_tes_in!I30/SER_hh_num_in!I30)</f>
        <v>12795.867395297015</v>
      </c>
      <c r="J30" s="132">
        <f>IF(SER_hh_tes_in!J30=0,0,11630*1000*SER_hh_tes_in!J30/SER_hh_num_in!J30)</f>
        <v>13352.529669118141</v>
      </c>
      <c r="K30" s="132">
        <f>IF(SER_hh_tes_in!K30=0,0,11630*1000*SER_hh_tes_in!K30/SER_hh_num_in!K30)</f>
        <v>0</v>
      </c>
      <c r="L30" s="132">
        <f>IF(SER_hh_tes_in!L30=0,0,11630*1000*SER_hh_tes_in!L30/SER_hh_num_in!L30)</f>
        <v>10412.564706777091</v>
      </c>
      <c r="M30" s="132">
        <f>IF(SER_hh_tes_in!M30=0,0,11630*1000*SER_hh_tes_in!M30/SER_hh_num_in!M30)</f>
        <v>12436.530788136519</v>
      </c>
      <c r="N30" s="132">
        <f>IF(SER_hh_tes_in!N30=0,0,11630*1000*SER_hh_tes_in!N30/SER_hh_num_in!N30)</f>
        <v>12770.028720391507</v>
      </c>
      <c r="O30" s="132">
        <f>IF(SER_hh_tes_in!O30=0,0,11630*1000*SER_hh_tes_in!O30/SER_hh_num_in!O30)</f>
        <v>11798.083291597812</v>
      </c>
      <c r="P30" s="132">
        <f>IF(SER_hh_tes_in!P30=0,0,11630*1000*SER_hh_tes_in!P30/SER_hh_num_in!P30)</f>
        <v>10310.948990129376</v>
      </c>
      <c r="Q30" s="132">
        <f>IF(SER_hh_tes_in!Q30=0,0,11630*1000*SER_hh_tes_in!Q30/SER_hh_num_in!Q30)</f>
        <v>11802.512441211107</v>
      </c>
      <c r="R30" s="132">
        <f>IF(SER_hh_tes_in!R30=0,0,11630*1000*SER_hh_tes_in!R30/SER_hh_num_in!R30)</f>
        <v>10568.299278085049</v>
      </c>
      <c r="S30" s="132">
        <f>IF(SER_hh_tes_in!S30=0,0,11630*1000*SER_hh_tes_in!S30/SER_hh_num_in!S30)</f>
        <v>12249.937966280742</v>
      </c>
      <c r="T30" s="132">
        <f>IF(SER_hh_tes_in!T30=0,0,11630*1000*SER_hh_tes_in!T30/SER_hh_num_in!T30)</f>
        <v>12732.309459553129</v>
      </c>
      <c r="U30" s="132">
        <f>IF(SER_hh_tes_in!U30=0,0,11630*1000*SER_hh_tes_in!U30/SER_hh_num_in!U30)</f>
        <v>16124.830214482645</v>
      </c>
      <c r="V30" s="132">
        <f>IF(SER_hh_tes_in!V30=0,0,11630*1000*SER_hh_tes_in!V30/SER_hh_num_in!V30)</f>
        <v>11401.949390342792</v>
      </c>
      <c r="W30" s="132">
        <f>IF(SER_hh_tes_in!W30=0,0,11630*1000*SER_hh_tes_in!W30/SER_hh_num_in!W30)</f>
        <v>9889.0883936139689</v>
      </c>
      <c r="X30" s="132">
        <f>IF(SER_hh_tes_in!X30=0,0,11630*1000*SER_hh_tes_in!X30/SER_hh_num_in!X30)</f>
        <v>12523.68755618242</v>
      </c>
      <c r="Y30" s="132">
        <f>IF(SER_hh_tes_in!Y30=0,0,11630*1000*SER_hh_tes_in!Y30/SER_hh_num_in!Y30)</f>
        <v>11600.714527072849</v>
      </c>
      <c r="DA30" s="156" t="s">
        <v>781</v>
      </c>
    </row>
    <row r="31" spans="1:105" ht="12" customHeight="1" x14ac:dyDescent="0.25">
      <c r="A31" s="131" t="s">
        <v>149</v>
      </c>
      <c r="B31" s="132"/>
      <c r="C31" s="132">
        <f>IF(SER_hh_tes_in!C31=0,0,11630*1000*SER_hh_tes_in!C31/SER_hh_num_in!C31)</f>
        <v>0</v>
      </c>
      <c r="D31" s="132">
        <f>IF(SER_hh_tes_in!D31=0,0,11630*1000*SER_hh_tes_in!D31/SER_hh_num_in!D31)</f>
        <v>0</v>
      </c>
      <c r="E31" s="132">
        <f>IF(SER_hh_tes_in!E31=0,0,11630*1000*SER_hh_tes_in!E31/SER_hh_num_in!E31)</f>
        <v>0</v>
      </c>
      <c r="F31" s="132">
        <f>IF(SER_hh_tes_in!F31=0,0,11630*1000*SER_hh_tes_in!F31/SER_hh_num_in!F31)</f>
        <v>0</v>
      </c>
      <c r="G31" s="132">
        <f>IF(SER_hh_tes_in!G31=0,0,11630*1000*SER_hh_tes_in!G31/SER_hh_num_in!G31)</f>
        <v>0</v>
      </c>
      <c r="H31" s="132">
        <f>IF(SER_hh_tes_in!H31=0,0,11630*1000*SER_hh_tes_in!H31/SER_hh_num_in!H31)</f>
        <v>0</v>
      </c>
      <c r="I31" s="132">
        <f>IF(SER_hh_tes_in!I31=0,0,11630*1000*SER_hh_tes_in!I31/SER_hh_num_in!I31)</f>
        <v>0</v>
      </c>
      <c r="J31" s="132">
        <f>IF(SER_hh_tes_in!J31=0,0,11630*1000*SER_hh_tes_in!J31/SER_hh_num_in!J31)</f>
        <v>0</v>
      </c>
      <c r="K31" s="132">
        <f>IF(SER_hh_tes_in!K31=0,0,11630*1000*SER_hh_tes_in!K31/SER_hh_num_in!K31)</f>
        <v>0</v>
      </c>
      <c r="L31" s="132">
        <f>IF(SER_hh_tes_in!L31=0,0,11630*1000*SER_hh_tes_in!L31/SER_hh_num_in!L31)</f>
        <v>0</v>
      </c>
      <c r="M31" s="132">
        <f>IF(SER_hh_tes_in!M31=0,0,11630*1000*SER_hh_tes_in!M31/SER_hh_num_in!M31)</f>
        <v>0</v>
      </c>
      <c r="N31" s="132">
        <f>IF(SER_hh_tes_in!N31=0,0,11630*1000*SER_hh_tes_in!N31/SER_hh_num_in!N31)</f>
        <v>0</v>
      </c>
      <c r="O31" s="132">
        <f>IF(SER_hh_tes_in!O31=0,0,11630*1000*SER_hh_tes_in!O31/SER_hh_num_in!O31)</f>
        <v>0</v>
      </c>
      <c r="P31" s="132">
        <f>IF(SER_hh_tes_in!P31=0,0,11630*1000*SER_hh_tes_in!P31/SER_hh_num_in!P31)</f>
        <v>0</v>
      </c>
      <c r="Q31" s="132">
        <f>IF(SER_hh_tes_in!Q31=0,0,11630*1000*SER_hh_tes_in!Q31/SER_hh_num_in!Q31)</f>
        <v>0</v>
      </c>
      <c r="R31" s="132">
        <f>IF(SER_hh_tes_in!R31=0,0,11630*1000*SER_hh_tes_in!R31/SER_hh_num_in!R31)</f>
        <v>0</v>
      </c>
      <c r="S31" s="132">
        <f>IF(SER_hh_tes_in!S31=0,0,11630*1000*SER_hh_tes_in!S31/SER_hh_num_in!S31)</f>
        <v>0</v>
      </c>
      <c r="T31" s="132">
        <f>IF(SER_hh_tes_in!T31=0,0,11630*1000*SER_hh_tes_in!T31/SER_hh_num_in!T31)</f>
        <v>0</v>
      </c>
      <c r="U31" s="132">
        <f>IF(SER_hh_tes_in!U31=0,0,11630*1000*SER_hh_tes_in!U31/SER_hh_num_in!U31)</f>
        <v>0</v>
      </c>
      <c r="V31" s="132">
        <f>IF(SER_hh_tes_in!V31=0,0,11630*1000*SER_hh_tes_in!V31/SER_hh_num_in!V31)</f>
        <v>0</v>
      </c>
      <c r="W31" s="132">
        <f>IF(SER_hh_tes_in!W31=0,0,11630*1000*SER_hh_tes_in!W31/SER_hh_num_in!W31)</f>
        <v>0</v>
      </c>
      <c r="X31" s="132">
        <f>IF(SER_hh_tes_in!X31=0,0,11630*1000*SER_hh_tes_in!X31/SER_hh_num_in!X31)</f>
        <v>0</v>
      </c>
      <c r="Y31" s="132">
        <f>IF(SER_hh_tes_in!Y31=0,0,11630*1000*SER_hh_tes_in!Y31/SER_hh_num_in!Y31)</f>
        <v>0</v>
      </c>
      <c r="DA31" s="156" t="s">
        <v>782</v>
      </c>
    </row>
    <row r="32" spans="1:105" ht="12" customHeight="1" x14ac:dyDescent="0.25">
      <c r="A32" s="131" t="s">
        <v>128</v>
      </c>
      <c r="B32" s="132"/>
      <c r="C32" s="132">
        <f>IF(SER_hh_tes_in!C32=0,0,11630*1000*SER_hh_tes_in!C32/SER_hh_num_in!C32)</f>
        <v>10274.825502687945</v>
      </c>
      <c r="D32" s="132">
        <f>IF(SER_hh_tes_in!D32=0,0,11630*1000*SER_hh_tes_in!D32/SER_hh_num_in!D32)</f>
        <v>12181.127805384853</v>
      </c>
      <c r="E32" s="132">
        <f>IF(SER_hh_tes_in!E32=0,0,11630*1000*SER_hh_tes_in!E32/SER_hh_num_in!E32)</f>
        <v>10835.851100317201</v>
      </c>
      <c r="F32" s="132">
        <f>IF(SER_hh_tes_in!F32=0,0,11630*1000*SER_hh_tes_in!F32/SER_hh_num_in!F32)</f>
        <v>11325.301853110122</v>
      </c>
      <c r="G32" s="132">
        <f>IF(SER_hh_tes_in!G32=0,0,11630*1000*SER_hh_tes_in!G32/SER_hh_num_in!G32)</f>
        <v>12162.65930764585</v>
      </c>
      <c r="H32" s="132">
        <f>IF(SER_hh_tes_in!H32=0,0,11630*1000*SER_hh_tes_in!H32/SER_hh_num_in!H32)</f>
        <v>10795.408691685892</v>
      </c>
      <c r="I32" s="132">
        <f>IF(SER_hh_tes_in!I32=0,0,11630*1000*SER_hh_tes_in!I32/SER_hh_num_in!I32)</f>
        <v>13091.465092954917</v>
      </c>
      <c r="J32" s="132">
        <f>IF(SER_hh_tes_in!J32=0,0,11630*1000*SER_hh_tes_in!J32/SER_hh_num_in!J32)</f>
        <v>12402.446539400888</v>
      </c>
      <c r="K32" s="132">
        <f>IF(SER_hh_tes_in!K32=0,0,11630*1000*SER_hh_tes_in!K32/SER_hh_num_in!K32)</f>
        <v>11904.923683545421</v>
      </c>
      <c r="L32" s="132">
        <f>IF(SER_hh_tes_in!L32=0,0,11630*1000*SER_hh_tes_in!L32/SER_hh_num_in!L32)</f>
        <v>11862.034664437244</v>
      </c>
      <c r="M32" s="132">
        <f>IF(SER_hh_tes_in!M32=0,0,11630*1000*SER_hh_tes_in!M32/SER_hh_num_in!M32)</f>
        <v>11800.833508943517</v>
      </c>
      <c r="N32" s="132">
        <f>IF(SER_hh_tes_in!N32=0,0,11630*1000*SER_hh_tes_in!N32/SER_hh_num_in!N32)</f>
        <v>11743.793804248566</v>
      </c>
      <c r="O32" s="132">
        <f>IF(SER_hh_tes_in!O32=0,0,11630*1000*SER_hh_tes_in!O32/SER_hh_num_in!O32)</f>
        <v>11721.325801693314</v>
      </c>
      <c r="P32" s="132">
        <f>IF(SER_hh_tes_in!P32=0,0,11630*1000*SER_hh_tes_in!P32/SER_hh_num_in!P32)</f>
        <v>11808.91349004607</v>
      </c>
      <c r="Q32" s="132">
        <f>IF(SER_hh_tes_in!Q32=0,0,11630*1000*SER_hh_tes_in!Q32/SER_hh_num_in!Q32)</f>
        <v>11604.617557649446</v>
      </c>
      <c r="R32" s="132">
        <f>IF(SER_hh_tes_in!R32=0,0,11630*1000*SER_hh_tes_in!R32/SER_hh_num_in!R32)</f>
        <v>11653.043816643461</v>
      </c>
      <c r="S32" s="132">
        <f>IF(SER_hh_tes_in!S32=0,0,11630*1000*SER_hh_tes_in!S32/SER_hh_num_in!S32)</f>
        <v>11484.564537912853</v>
      </c>
      <c r="T32" s="132">
        <f>IF(SER_hh_tes_in!T32=0,0,11630*1000*SER_hh_tes_in!T32/SER_hh_num_in!T32)</f>
        <v>10992.600047991868</v>
      </c>
      <c r="U32" s="132">
        <f>IF(SER_hh_tes_in!U32=0,0,11630*1000*SER_hh_tes_in!U32/SER_hh_num_in!U32)</f>
        <v>13419.59247410613</v>
      </c>
      <c r="V32" s="132">
        <f>IF(SER_hh_tes_in!V32=0,0,11630*1000*SER_hh_tes_in!V32/SER_hh_num_in!V32)</f>
        <v>13152.05690094441</v>
      </c>
      <c r="W32" s="132">
        <f>IF(SER_hh_tes_in!W32=0,0,11630*1000*SER_hh_tes_in!W32/SER_hh_num_in!W32)</f>
        <v>9559.9965490821687</v>
      </c>
      <c r="X32" s="132">
        <f>IF(SER_hh_tes_in!X32=0,0,11630*1000*SER_hh_tes_in!X32/SER_hh_num_in!X32)</f>
        <v>0</v>
      </c>
      <c r="Y32" s="132">
        <f>IF(SER_hh_tes_in!Y32=0,0,11630*1000*SER_hh_tes_in!Y32/SER_hh_num_in!Y32)</f>
        <v>11745.705974395723</v>
      </c>
      <c r="DA32" s="156" t="s">
        <v>783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11346.896888519954</v>
      </c>
      <c r="D33" s="68">
        <f>IF(SER_hh_tes_in!D33=0,0,11630*1000*SER_hh_tes_in!D33/SER_hh_num_in!D33)</f>
        <v>11252.105362076356</v>
      </c>
      <c r="E33" s="68">
        <f>IF(SER_hh_tes_in!E33=0,0,11630*1000*SER_hh_tes_in!E33/SER_hh_num_in!E33)</f>
        <v>11462.283106496694</v>
      </c>
      <c r="F33" s="68">
        <f>IF(SER_hh_tes_in!F33=0,0,11630*1000*SER_hh_tes_in!F33/SER_hh_num_in!F33)</f>
        <v>11651.863363273911</v>
      </c>
      <c r="G33" s="68">
        <f>IF(SER_hh_tes_in!G33=0,0,11630*1000*SER_hh_tes_in!G33/SER_hh_num_in!G33)</f>
        <v>11719.381141590969</v>
      </c>
      <c r="H33" s="68">
        <f>IF(SER_hh_tes_in!H33=0,0,11630*1000*SER_hh_tes_in!H33/SER_hh_num_in!H33)</f>
        <v>0</v>
      </c>
      <c r="I33" s="68">
        <f>IF(SER_hh_tes_in!I33=0,0,11630*1000*SER_hh_tes_in!I33/SER_hh_num_in!I33)</f>
        <v>11482.852407725921</v>
      </c>
      <c r="J33" s="68">
        <f>IF(SER_hh_tes_in!J33=0,0,11630*1000*SER_hh_tes_in!J33/SER_hh_num_in!J33)</f>
        <v>11654.590012280298</v>
      </c>
      <c r="K33" s="68">
        <f>IF(SER_hh_tes_in!K33=0,0,11630*1000*SER_hh_tes_in!K33/SER_hh_num_in!K33)</f>
        <v>12213.880613131205</v>
      </c>
      <c r="L33" s="68">
        <f>IF(SER_hh_tes_in!L33=0,0,11630*1000*SER_hh_tes_in!L33/SER_hh_num_in!L33)</f>
        <v>12179.490436966918</v>
      </c>
      <c r="M33" s="68">
        <f>IF(SER_hh_tes_in!M33=0,0,11630*1000*SER_hh_tes_in!M33/SER_hh_num_in!M33)</f>
        <v>11634.13558639328</v>
      </c>
      <c r="N33" s="68">
        <f>IF(SER_hh_tes_in!N33=0,0,11630*1000*SER_hh_tes_in!N33/SER_hh_num_in!N33)</f>
        <v>11503.578239841243</v>
      </c>
      <c r="O33" s="68">
        <f>IF(SER_hh_tes_in!O33=0,0,11630*1000*SER_hh_tes_in!O33/SER_hh_num_in!O33)</f>
        <v>11491.528904546982</v>
      </c>
      <c r="P33" s="68">
        <f>IF(SER_hh_tes_in!P33=0,0,11630*1000*SER_hh_tes_in!P33/SER_hh_num_in!P33)</f>
        <v>12119.36638869719</v>
      </c>
      <c r="Q33" s="68">
        <f>IF(SER_hh_tes_in!Q33=0,0,11630*1000*SER_hh_tes_in!Q33/SER_hh_num_in!Q33)</f>
        <v>11733.365847580872</v>
      </c>
      <c r="R33" s="68">
        <f>IF(SER_hh_tes_in!R33=0,0,11630*1000*SER_hh_tes_in!R33/SER_hh_num_in!R33)</f>
        <v>12165.234097156781</v>
      </c>
      <c r="S33" s="68">
        <f>IF(SER_hh_tes_in!S33=0,0,11630*1000*SER_hh_tes_in!S33/SER_hh_num_in!S33)</f>
        <v>11533.666986371405</v>
      </c>
      <c r="T33" s="68">
        <f>IF(SER_hh_tes_in!T33=0,0,11630*1000*SER_hh_tes_in!T33/SER_hh_num_in!T33)</f>
        <v>11623.209284399562</v>
      </c>
      <c r="U33" s="68">
        <f>IF(SER_hh_tes_in!U33=0,0,11630*1000*SER_hh_tes_in!U33/SER_hh_num_in!U33)</f>
        <v>9688.7785900343333</v>
      </c>
      <c r="V33" s="68">
        <f>IF(SER_hh_tes_in!V33=0,0,11630*1000*SER_hh_tes_in!V33/SER_hh_num_in!V33)</f>
        <v>9547.8043741246929</v>
      </c>
      <c r="W33" s="68">
        <f>IF(SER_hh_tes_in!W33=0,0,11630*1000*SER_hh_tes_in!W33/SER_hh_num_in!W33)</f>
        <v>11687.21864747377</v>
      </c>
      <c r="X33" s="68">
        <f>IF(SER_hh_tes_in!X33=0,0,11630*1000*SER_hh_tes_in!X33/SER_hh_num_in!X33)</f>
        <v>11250.194985401688</v>
      </c>
      <c r="Y33" s="68">
        <f>IF(SER_hh_tes_in!Y33=0,0,11630*1000*SER_hh_tes_in!Y33/SER_hh_num_in!Y33)</f>
        <v>12760.968959331571</v>
      </c>
      <c r="DA33" s="111" t="s">
        <v>784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/>
      <c r="C3" s="125">
        <f>IF(SER_hh_emi_in!C3=0,0,1000000*SER_hh_emi_in!C3/SER_hh_num_in!C3)</f>
        <v>192.83834990054575</v>
      </c>
      <c r="D3" s="125">
        <f>IF(SER_hh_emi_in!D3=0,0,1000000*SER_hh_emi_in!D3/SER_hh_num_in!D3)</f>
        <v>66.049849279440764</v>
      </c>
      <c r="E3" s="125">
        <f>IF(SER_hh_emi_in!E3=0,0,1000000*SER_hh_emi_in!E3/SER_hh_num_in!E3)</f>
        <v>136.08529891272104</v>
      </c>
      <c r="F3" s="125">
        <f>IF(SER_hh_emi_in!F3=0,0,1000000*SER_hh_emi_in!F3/SER_hh_num_in!F3)</f>
        <v>151.69831661905909</v>
      </c>
      <c r="G3" s="125">
        <f>IF(SER_hh_emi_in!G3=0,0,1000000*SER_hh_emi_in!G3/SER_hh_num_in!G3)</f>
        <v>144.03230849765961</v>
      </c>
      <c r="H3" s="125">
        <f>IF(SER_hh_emi_in!H3=0,0,1000000*SER_hh_emi_in!H3/SER_hh_num_in!H3)</f>
        <v>8110.8892844451748</v>
      </c>
      <c r="I3" s="125">
        <f>IF(SER_hh_emi_in!I3=0,0,1000000*SER_hh_emi_in!I3/SER_hh_num_in!I3)</f>
        <v>4283.880410272599</v>
      </c>
      <c r="J3" s="125">
        <f>IF(SER_hh_emi_in!J3=0,0,1000000*SER_hh_emi_in!J3/SER_hh_num_in!J3)</f>
        <v>8208.8435899530541</v>
      </c>
      <c r="K3" s="125">
        <f>IF(SER_hh_emi_in!K3=0,0,1000000*SER_hh_emi_in!K3/SER_hh_num_in!K3)</f>
        <v>4851.2809596454554</v>
      </c>
      <c r="L3" s="125">
        <f>IF(SER_hh_emi_in!L3=0,0,1000000*SER_hh_emi_in!L3/SER_hh_num_in!L3)</f>
        <v>7573.783630035342</v>
      </c>
      <c r="M3" s="125">
        <f>IF(SER_hh_emi_in!M3=0,0,1000000*SER_hh_emi_in!M3/SER_hh_num_in!M3)</f>
        <v>6115.5016608537208</v>
      </c>
      <c r="N3" s="125">
        <f>IF(SER_hh_emi_in!N3=0,0,1000000*SER_hh_emi_in!N3/SER_hh_num_in!N3)</f>
        <v>3860.5368828640749</v>
      </c>
      <c r="O3" s="125">
        <f>IF(SER_hh_emi_in!O3=0,0,1000000*SER_hh_emi_in!O3/SER_hh_num_in!O3)</f>
        <v>2563.8500288792675</v>
      </c>
      <c r="P3" s="125">
        <f>IF(SER_hh_emi_in!P3=0,0,1000000*SER_hh_emi_in!P3/SER_hh_num_in!P3)</f>
        <v>484.982899263055</v>
      </c>
      <c r="Q3" s="125">
        <f>IF(SER_hh_emi_in!Q3=0,0,1000000*SER_hh_emi_in!Q3/SER_hh_num_in!Q3)</f>
        <v>1665.9435655468349</v>
      </c>
      <c r="R3" s="125">
        <f>IF(SER_hh_emi_in!R3=0,0,1000000*SER_hh_emi_in!R3/SER_hh_num_in!R3)</f>
        <v>1741.8003658582718</v>
      </c>
      <c r="S3" s="125">
        <f>IF(SER_hh_emi_in!S3=0,0,1000000*SER_hh_emi_in!S3/SER_hh_num_in!S3)</f>
        <v>3160.7054843514029</v>
      </c>
      <c r="T3" s="125">
        <f>IF(SER_hh_emi_in!T3=0,0,1000000*SER_hh_emi_in!T3/SER_hh_num_in!T3)</f>
        <v>2619.6361902641697</v>
      </c>
      <c r="U3" s="125">
        <f>IF(SER_hh_emi_in!U3=0,0,1000000*SER_hh_emi_in!U3/SER_hh_num_in!U3)</f>
        <v>3562.7458897462548</v>
      </c>
      <c r="V3" s="125">
        <f>IF(SER_hh_emi_in!V3=0,0,1000000*SER_hh_emi_in!V3/SER_hh_num_in!V3)</f>
        <v>2084.1818750478883</v>
      </c>
      <c r="W3" s="125">
        <f>IF(SER_hh_emi_in!W3=0,0,1000000*SER_hh_emi_in!W3/SER_hh_num_in!W3)</f>
        <v>2186.4121152482935</v>
      </c>
      <c r="X3" s="125">
        <f>IF(SER_hh_emi_in!X3=0,0,1000000*SER_hh_emi_in!X3/SER_hh_num_in!X3)</f>
        <v>2168.9182961751321</v>
      </c>
      <c r="Y3" s="125">
        <f>IF(SER_hh_emi_in!Y3=0,0,1000000*SER_hh_emi_in!Y3/SER_hh_num_in!Y3)</f>
        <v>3243.485890423176</v>
      </c>
      <c r="DA3" s="154" t="s">
        <v>786</v>
      </c>
    </row>
    <row r="4" spans="1:105" ht="12.95" customHeight="1" x14ac:dyDescent="0.25">
      <c r="A4" s="129" t="s">
        <v>32</v>
      </c>
      <c r="B4" s="130"/>
      <c r="C4" s="130">
        <f>IF(SER_hh_emi_in!C4=0,0,1000000*SER_hh_emi_in!C4/SER_hh_num_in!C4)</f>
        <v>0</v>
      </c>
      <c r="D4" s="130">
        <f>IF(SER_hh_emi_in!D4=0,0,1000000*SER_hh_emi_in!D4/SER_hh_num_in!D4)</f>
        <v>0</v>
      </c>
      <c r="E4" s="130">
        <f>IF(SER_hh_emi_in!E4=0,0,1000000*SER_hh_emi_in!E4/SER_hh_num_in!E4)</f>
        <v>0</v>
      </c>
      <c r="F4" s="130">
        <f>IF(SER_hh_emi_in!F4=0,0,1000000*SER_hh_emi_in!F4/SER_hh_num_in!F4)</f>
        <v>0</v>
      </c>
      <c r="G4" s="130">
        <f>IF(SER_hh_emi_in!G4=0,0,1000000*SER_hh_emi_in!G4/SER_hh_num_in!G4)</f>
        <v>0</v>
      </c>
      <c r="H4" s="130">
        <f>IF(SER_hh_emi_in!H4=0,0,1000000*SER_hh_emi_in!H4/SER_hh_num_in!H4)</f>
        <v>0</v>
      </c>
      <c r="I4" s="130">
        <f>IF(SER_hh_emi_in!I4=0,0,1000000*SER_hh_emi_in!I4/SER_hh_num_in!I4)</f>
        <v>0</v>
      </c>
      <c r="J4" s="130">
        <f>IF(SER_hh_emi_in!J4=0,0,1000000*SER_hh_emi_in!J4/SER_hh_num_in!J4)</f>
        <v>4989.8848704692236</v>
      </c>
      <c r="K4" s="130">
        <f>IF(SER_hh_emi_in!K4=0,0,1000000*SER_hh_emi_in!K4/SER_hh_num_in!K4)</f>
        <v>4394.7580803690607</v>
      </c>
      <c r="L4" s="130">
        <f>IF(SER_hh_emi_in!L4=0,0,1000000*SER_hh_emi_in!L4/SER_hh_num_in!L4)</f>
        <v>7009.8351352699356</v>
      </c>
      <c r="M4" s="130">
        <f>IF(SER_hh_emi_in!M4=0,0,1000000*SER_hh_emi_in!M4/SER_hh_num_in!M4)</f>
        <v>4780.0487400535949</v>
      </c>
      <c r="N4" s="130">
        <f>IF(SER_hh_emi_in!N4=0,0,1000000*SER_hh_emi_in!N4/SER_hh_num_in!N4)</f>
        <v>2907.0285530957781</v>
      </c>
      <c r="O4" s="130">
        <f>IF(SER_hh_emi_in!O4=0,0,1000000*SER_hh_emi_in!O4/SER_hh_num_in!O4)</f>
        <v>1909.6527920909034</v>
      </c>
      <c r="P4" s="130">
        <f>IF(SER_hh_emi_in!P4=0,0,1000000*SER_hh_emi_in!P4/SER_hh_num_in!P4)</f>
        <v>0</v>
      </c>
      <c r="Q4" s="130">
        <f>IF(SER_hh_emi_in!Q4=0,0,1000000*SER_hh_emi_in!Q4/SER_hh_num_in!Q4)</f>
        <v>0</v>
      </c>
      <c r="R4" s="130">
        <f>IF(SER_hh_emi_in!R4=0,0,1000000*SER_hh_emi_in!R4/SER_hh_num_in!R4)</f>
        <v>0</v>
      </c>
      <c r="S4" s="130">
        <f>IF(SER_hh_emi_in!S4=0,0,1000000*SER_hh_emi_in!S4/SER_hh_num_in!S4)</f>
        <v>0</v>
      </c>
      <c r="T4" s="130">
        <f>IF(SER_hh_emi_in!T4=0,0,1000000*SER_hh_emi_in!T4/SER_hh_num_in!T4)</f>
        <v>308.57101681413423</v>
      </c>
      <c r="U4" s="130">
        <f>IF(SER_hh_emi_in!U4=0,0,1000000*SER_hh_emi_in!U4/SER_hh_num_in!U4)</f>
        <v>1976.8095253806355</v>
      </c>
      <c r="V4" s="130">
        <f>IF(SER_hh_emi_in!V4=0,0,1000000*SER_hh_emi_in!V4/SER_hh_num_in!V4)</f>
        <v>1133.3399619800064</v>
      </c>
      <c r="W4" s="130">
        <f>IF(SER_hh_emi_in!W4=0,0,1000000*SER_hh_emi_in!W4/SER_hh_num_in!W4)</f>
        <v>828.9884011114957</v>
      </c>
      <c r="X4" s="130">
        <f>IF(SER_hh_emi_in!X4=0,0,1000000*SER_hh_emi_in!X4/SER_hh_num_in!X4)</f>
        <v>769.51053822353401</v>
      </c>
      <c r="Y4" s="130">
        <f>IF(SER_hh_emi_in!Y4=0,0,1000000*SER_hh_emi_in!Y4/SER_hh_num_in!Y4)</f>
        <v>1824.285353575684</v>
      </c>
      <c r="DA4" s="155" t="s">
        <v>787</v>
      </c>
    </row>
    <row r="5" spans="1:105" ht="12" customHeight="1" x14ac:dyDescent="0.25">
      <c r="A5" s="131" t="s">
        <v>29</v>
      </c>
      <c r="B5" s="132"/>
      <c r="C5" s="132">
        <f>IF(SER_hh_emi_in!C5=0,0,1000000*SER_hh_emi_in!C5/SER_hh_num_in!C5)</f>
        <v>0</v>
      </c>
      <c r="D5" s="132">
        <f>IF(SER_hh_emi_in!D5=0,0,1000000*SER_hh_emi_in!D5/SER_hh_num_in!D5)</f>
        <v>0</v>
      </c>
      <c r="E5" s="132">
        <f>IF(SER_hh_emi_in!E5=0,0,1000000*SER_hh_emi_in!E5/SER_hh_num_in!E5)</f>
        <v>0</v>
      </c>
      <c r="F5" s="132">
        <f>IF(SER_hh_emi_in!F5=0,0,1000000*SER_hh_emi_in!F5/SER_hh_num_in!F5)</f>
        <v>0</v>
      </c>
      <c r="G5" s="132">
        <f>IF(SER_hh_emi_in!G5=0,0,1000000*SER_hh_emi_in!G5/SER_hh_num_in!G5)</f>
        <v>0</v>
      </c>
      <c r="H5" s="132">
        <f>IF(SER_hh_emi_in!H5=0,0,1000000*SER_hh_emi_in!H5/SER_hh_num_in!H5)</f>
        <v>0</v>
      </c>
      <c r="I5" s="132">
        <f>IF(SER_hh_emi_in!I5=0,0,1000000*SER_hh_emi_in!I5/SER_hh_num_in!I5)</f>
        <v>0</v>
      </c>
      <c r="J5" s="132">
        <f>IF(SER_hh_emi_in!J5=0,0,1000000*SER_hh_emi_in!J5/SER_hh_num_in!J5)</f>
        <v>0</v>
      </c>
      <c r="K5" s="132">
        <f>IF(SER_hh_emi_in!K5=0,0,1000000*SER_hh_emi_in!K5/SER_hh_num_in!K5)</f>
        <v>0</v>
      </c>
      <c r="L5" s="132">
        <f>IF(SER_hh_emi_in!L5=0,0,1000000*SER_hh_emi_in!L5/SER_hh_num_in!L5)</f>
        <v>0</v>
      </c>
      <c r="M5" s="132">
        <f>IF(SER_hh_emi_in!M5=0,0,1000000*SER_hh_emi_in!M5/SER_hh_num_in!M5)</f>
        <v>0</v>
      </c>
      <c r="N5" s="132">
        <f>IF(SER_hh_emi_in!N5=0,0,1000000*SER_hh_emi_in!N5/SER_hh_num_in!N5)</f>
        <v>0</v>
      </c>
      <c r="O5" s="132">
        <f>IF(SER_hh_emi_in!O5=0,0,1000000*SER_hh_emi_in!O5/SER_hh_num_in!O5)</f>
        <v>0</v>
      </c>
      <c r="P5" s="132">
        <f>IF(SER_hh_emi_in!P5=0,0,1000000*SER_hh_emi_in!P5/SER_hh_num_in!P5)</f>
        <v>0</v>
      </c>
      <c r="Q5" s="132">
        <f>IF(SER_hh_emi_in!Q5=0,0,1000000*SER_hh_emi_in!Q5/SER_hh_num_in!Q5)</f>
        <v>0</v>
      </c>
      <c r="R5" s="132">
        <f>IF(SER_hh_emi_in!R5=0,0,1000000*SER_hh_emi_in!R5/SER_hh_num_in!R5)</f>
        <v>0</v>
      </c>
      <c r="S5" s="132">
        <f>IF(SER_hh_emi_in!S5=0,0,1000000*SER_hh_emi_in!S5/SER_hh_num_in!S5)</f>
        <v>0</v>
      </c>
      <c r="T5" s="132">
        <f>IF(SER_hh_emi_in!T5=0,0,1000000*SER_hh_emi_in!T5/SER_hh_num_in!T5)</f>
        <v>0</v>
      </c>
      <c r="U5" s="132">
        <f>IF(SER_hh_emi_in!U5=0,0,1000000*SER_hh_emi_in!U5/SER_hh_num_in!U5)</f>
        <v>0</v>
      </c>
      <c r="V5" s="132">
        <f>IF(SER_hh_emi_in!V5=0,0,1000000*SER_hh_emi_in!V5/SER_hh_num_in!V5)</f>
        <v>0</v>
      </c>
      <c r="W5" s="132">
        <f>IF(SER_hh_emi_in!W5=0,0,1000000*SER_hh_emi_in!W5/SER_hh_num_in!W5)</f>
        <v>0</v>
      </c>
      <c r="X5" s="132">
        <f>IF(SER_hh_emi_in!X5=0,0,1000000*SER_hh_emi_in!X5/SER_hh_num_in!X5)</f>
        <v>0</v>
      </c>
      <c r="Y5" s="132">
        <f>IF(SER_hh_emi_in!Y5=0,0,1000000*SER_hh_emi_in!Y5/SER_hh_num_in!Y5)</f>
        <v>0</v>
      </c>
      <c r="DA5" s="156" t="s">
        <v>788</v>
      </c>
    </row>
    <row r="6" spans="1:105" ht="12" customHeight="1" x14ac:dyDescent="0.25">
      <c r="A6" s="131" t="s">
        <v>52</v>
      </c>
      <c r="B6" s="132"/>
      <c r="C6" s="132">
        <f>IF(SER_hh_emi_in!C6=0,0,1000000*SER_hh_emi_in!C6/SER_hh_num_in!C6)</f>
        <v>0</v>
      </c>
      <c r="D6" s="132">
        <f>IF(SER_hh_emi_in!D6=0,0,1000000*SER_hh_emi_in!D6/SER_hh_num_in!D6)</f>
        <v>0</v>
      </c>
      <c r="E6" s="132">
        <f>IF(SER_hh_emi_in!E6=0,0,1000000*SER_hh_emi_in!E6/SER_hh_num_in!E6)</f>
        <v>0</v>
      </c>
      <c r="F6" s="132">
        <f>IF(SER_hh_emi_in!F6=0,0,1000000*SER_hh_emi_in!F6/SER_hh_num_in!F6)</f>
        <v>0</v>
      </c>
      <c r="G6" s="132">
        <f>IF(SER_hh_emi_in!G6=0,0,1000000*SER_hh_emi_in!G6/SER_hh_num_in!G6)</f>
        <v>0</v>
      </c>
      <c r="H6" s="132">
        <f>IF(SER_hh_emi_in!H6=0,0,1000000*SER_hh_emi_in!H6/SER_hh_num_in!H6)</f>
        <v>0</v>
      </c>
      <c r="I6" s="132">
        <f>IF(SER_hh_emi_in!I6=0,0,1000000*SER_hh_emi_in!I6/SER_hh_num_in!I6)</f>
        <v>0</v>
      </c>
      <c r="J6" s="132">
        <f>IF(SER_hh_emi_in!J6=0,0,1000000*SER_hh_emi_in!J6/SER_hh_num_in!J6)</f>
        <v>0</v>
      </c>
      <c r="K6" s="132">
        <f>IF(SER_hh_emi_in!K6=0,0,1000000*SER_hh_emi_in!K6/SER_hh_num_in!K6)</f>
        <v>0</v>
      </c>
      <c r="L6" s="132">
        <f>IF(SER_hh_emi_in!L6=0,0,1000000*SER_hh_emi_in!L6/SER_hh_num_in!L6)</f>
        <v>0</v>
      </c>
      <c r="M6" s="132">
        <f>IF(SER_hh_emi_in!M6=0,0,1000000*SER_hh_emi_in!M6/SER_hh_num_in!M6)</f>
        <v>0</v>
      </c>
      <c r="N6" s="132">
        <f>IF(SER_hh_emi_in!N6=0,0,1000000*SER_hh_emi_in!N6/SER_hh_num_in!N6)</f>
        <v>0</v>
      </c>
      <c r="O6" s="132">
        <f>IF(SER_hh_emi_in!O6=0,0,1000000*SER_hh_emi_in!O6/SER_hh_num_in!O6)</f>
        <v>0</v>
      </c>
      <c r="P6" s="132">
        <f>IF(SER_hh_emi_in!P6=0,0,1000000*SER_hh_emi_in!P6/SER_hh_num_in!P6)</f>
        <v>0</v>
      </c>
      <c r="Q6" s="132">
        <f>IF(SER_hh_emi_in!Q6=0,0,1000000*SER_hh_emi_in!Q6/SER_hh_num_in!Q6)</f>
        <v>0</v>
      </c>
      <c r="R6" s="132">
        <f>IF(SER_hh_emi_in!R6=0,0,1000000*SER_hh_emi_in!R6/SER_hh_num_in!R6)</f>
        <v>0</v>
      </c>
      <c r="S6" s="132">
        <f>IF(SER_hh_emi_in!S6=0,0,1000000*SER_hh_emi_in!S6/SER_hh_num_in!S6)</f>
        <v>0</v>
      </c>
      <c r="T6" s="132">
        <f>IF(SER_hh_emi_in!T6=0,0,1000000*SER_hh_emi_in!T6/SER_hh_num_in!T6)</f>
        <v>0</v>
      </c>
      <c r="U6" s="132">
        <f>IF(SER_hh_emi_in!U6=0,0,1000000*SER_hh_emi_in!U6/SER_hh_num_in!U6)</f>
        <v>0</v>
      </c>
      <c r="V6" s="132">
        <f>IF(SER_hh_emi_in!V6=0,0,1000000*SER_hh_emi_in!V6/SER_hh_num_in!V6)</f>
        <v>0</v>
      </c>
      <c r="W6" s="132">
        <f>IF(SER_hh_emi_in!W6=0,0,1000000*SER_hh_emi_in!W6/SER_hh_num_in!W6)</f>
        <v>0</v>
      </c>
      <c r="X6" s="132">
        <f>IF(SER_hh_emi_in!X6=0,0,1000000*SER_hh_emi_in!X6/SER_hh_num_in!X6)</f>
        <v>0</v>
      </c>
      <c r="Y6" s="132">
        <f>IF(SER_hh_emi_in!Y6=0,0,1000000*SER_hh_emi_in!Y6/SER_hh_num_in!Y6)</f>
        <v>0</v>
      </c>
      <c r="DA6" s="156" t="s">
        <v>789</v>
      </c>
    </row>
    <row r="7" spans="1:105" ht="12" customHeight="1" x14ac:dyDescent="0.25">
      <c r="A7" s="131" t="s">
        <v>161</v>
      </c>
      <c r="B7" s="132"/>
      <c r="C7" s="132">
        <f>IF(SER_hh_emi_in!C7=0,0,1000000*SER_hh_emi_in!C7/SER_hh_num_in!C7)</f>
        <v>0</v>
      </c>
      <c r="D7" s="132">
        <f>IF(SER_hh_emi_in!D7=0,0,1000000*SER_hh_emi_in!D7/SER_hh_num_in!D7)</f>
        <v>0</v>
      </c>
      <c r="E7" s="132">
        <f>IF(SER_hh_emi_in!E7=0,0,1000000*SER_hh_emi_in!E7/SER_hh_num_in!E7)</f>
        <v>0</v>
      </c>
      <c r="F7" s="132">
        <f>IF(SER_hh_emi_in!F7=0,0,1000000*SER_hh_emi_in!F7/SER_hh_num_in!F7)</f>
        <v>0</v>
      </c>
      <c r="G7" s="132">
        <f>IF(SER_hh_emi_in!G7=0,0,1000000*SER_hh_emi_in!G7/SER_hh_num_in!G7)</f>
        <v>0</v>
      </c>
      <c r="H7" s="132">
        <f>IF(SER_hh_emi_in!H7=0,0,1000000*SER_hh_emi_in!H7/SER_hh_num_in!H7)</f>
        <v>0</v>
      </c>
      <c r="I7" s="132">
        <f>IF(SER_hh_emi_in!I7=0,0,1000000*SER_hh_emi_in!I7/SER_hh_num_in!I7)</f>
        <v>0</v>
      </c>
      <c r="J7" s="132">
        <f>IF(SER_hh_emi_in!J7=0,0,1000000*SER_hh_emi_in!J7/SER_hh_num_in!J7)</f>
        <v>18763.386394207195</v>
      </c>
      <c r="K7" s="132">
        <f>IF(SER_hh_emi_in!K7=0,0,1000000*SER_hh_emi_in!K7/SER_hh_num_in!K7)</f>
        <v>14923.326155535682</v>
      </c>
      <c r="L7" s="132">
        <f>IF(SER_hh_emi_in!L7=0,0,1000000*SER_hh_emi_in!L7/SER_hh_num_in!L7)</f>
        <v>16938.198715654071</v>
      </c>
      <c r="M7" s="132">
        <f>IF(SER_hh_emi_in!M7=0,0,1000000*SER_hh_emi_in!M7/SER_hh_num_in!M7)</f>
        <v>15837.574000863418</v>
      </c>
      <c r="N7" s="132">
        <f>IF(SER_hh_emi_in!N7=0,0,1000000*SER_hh_emi_in!N7/SER_hh_num_in!N7)</f>
        <v>12878.168716185632</v>
      </c>
      <c r="O7" s="132">
        <f>IF(SER_hh_emi_in!O7=0,0,1000000*SER_hh_emi_in!O7/SER_hh_num_in!O7)</f>
        <v>13702.898339515939</v>
      </c>
      <c r="P7" s="132">
        <f>IF(SER_hh_emi_in!P7=0,0,1000000*SER_hh_emi_in!P7/SER_hh_num_in!P7)</f>
        <v>0</v>
      </c>
      <c r="Q7" s="132">
        <f>IF(SER_hh_emi_in!Q7=0,0,1000000*SER_hh_emi_in!Q7/SER_hh_num_in!Q7)</f>
        <v>0</v>
      </c>
      <c r="R7" s="132">
        <f>IF(SER_hh_emi_in!R7=0,0,1000000*SER_hh_emi_in!R7/SER_hh_num_in!R7)</f>
        <v>0</v>
      </c>
      <c r="S7" s="132">
        <f>IF(SER_hh_emi_in!S7=0,0,1000000*SER_hh_emi_in!S7/SER_hh_num_in!S7)</f>
        <v>0</v>
      </c>
      <c r="T7" s="132">
        <f>IF(SER_hh_emi_in!T7=0,0,1000000*SER_hh_emi_in!T7/SER_hh_num_in!T7)</f>
        <v>11369.869256480859</v>
      </c>
      <c r="U7" s="132">
        <f>IF(SER_hh_emi_in!U7=0,0,1000000*SER_hh_emi_in!U7/SER_hh_num_in!U7)</f>
        <v>12859.010260571149</v>
      </c>
      <c r="V7" s="132">
        <f>IF(SER_hh_emi_in!V7=0,0,1000000*SER_hh_emi_in!V7/SER_hh_num_in!V7)</f>
        <v>9297.4353573503431</v>
      </c>
      <c r="W7" s="132">
        <f>IF(SER_hh_emi_in!W7=0,0,1000000*SER_hh_emi_in!W7/SER_hh_num_in!W7)</f>
        <v>9169.9664560332621</v>
      </c>
      <c r="X7" s="132">
        <f>IF(SER_hh_emi_in!X7=0,0,1000000*SER_hh_emi_in!X7/SER_hh_num_in!X7)</f>
        <v>8859.8929275328537</v>
      </c>
      <c r="Y7" s="132">
        <f>IF(SER_hh_emi_in!Y7=0,0,1000000*SER_hh_emi_in!Y7/SER_hh_num_in!Y7)</f>
        <v>9328.362244064996</v>
      </c>
      <c r="DA7" s="156" t="s">
        <v>790</v>
      </c>
    </row>
    <row r="8" spans="1:105" ht="12" customHeight="1" x14ac:dyDescent="0.25">
      <c r="A8" s="131" t="s">
        <v>73</v>
      </c>
      <c r="B8" s="132"/>
      <c r="C8" s="132">
        <f>IF(SER_hh_emi_in!C8=0,0,1000000*SER_hh_emi_in!C8/SER_hh_num_in!C8)</f>
        <v>0</v>
      </c>
      <c r="D8" s="132">
        <f>IF(SER_hh_emi_in!D8=0,0,1000000*SER_hh_emi_in!D8/SER_hh_num_in!D8)</f>
        <v>0</v>
      </c>
      <c r="E8" s="132">
        <f>IF(SER_hh_emi_in!E8=0,0,1000000*SER_hh_emi_in!E8/SER_hh_num_in!E8)</f>
        <v>0</v>
      </c>
      <c r="F8" s="132">
        <f>IF(SER_hh_emi_in!F8=0,0,1000000*SER_hh_emi_in!F8/SER_hh_num_in!F8)</f>
        <v>0</v>
      </c>
      <c r="G8" s="132">
        <f>IF(SER_hh_emi_in!G8=0,0,1000000*SER_hh_emi_in!G8/SER_hh_num_in!G8)</f>
        <v>0</v>
      </c>
      <c r="H8" s="132">
        <f>IF(SER_hh_emi_in!H8=0,0,1000000*SER_hh_emi_in!H8/SER_hh_num_in!H8)</f>
        <v>0</v>
      </c>
      <c r="I8" s="132">
        <f>IF(SER_hh_emi_in!I8=0,0,1000000*SER_hh_emi_in!I8/SER_hh_num_in!I8)</f>
        <v>0</v>
      </c>
      <c r="J8" s="132">
        <f>IF(SER_hh_emi_in!J8=0,0,1000000*SER_hh_emi_in!J8/SER_hh_num_in!J8)</f>
        <v>0</v>
      </c>
      <c r="K8" s="132">
        <f>IF(SER_hh_emi_in!K8=0,0,1000000*SER_hh_emi_in!K8/SER_hh_num_in!K8)</f>
        <v>0</v>
      </c>
      <c r="L8" s="132">
        <f>IF(SER_hh_emi_in!L8=0,0,1000000*SER_hh_emi_in!L8/SER_hh_num_in!L8)</f>
        <v>0</v>
      </c>
      <c r="M8" s="132">
        <f>IF(SER_hh_emi_in!M8=0,0,1000000*SER_hh_emi_in!M8/SER_hh_num_in!M8)</f>
        <v>0</v>
      </c>
      <c r="N8" s="132">
        <f>IF(SER_hh_emi_in!N8=0,0,1000000*SER_hh_emi_in!N8/SER_hh_num_in!N8)</f>
        <v>0</v>
      </c>
      <c r="O8" s="132">
        <f>IF(SER_hh_emi_in!O8=0,0,1000000*SER_hh_emi_in!O8/SER_hh_num_in!O8)</f>
        <v>0</v>
      </c>
      <c r="P8" s="132">
        <f>IF(SER_hh_emi_in!P8=0,0,1000000*SER_hh_emi_in!P8/SER_hh_num_in!P8)</f>
        <v>0</v>
      </c>
      <c r="Q8" s="132">
        <f>IF(SER_hh_emi_in!Q8=0,0,1000000*SER_hh_emi_in!Q8/SER_hh_num_in!Q8)</f>
        <v>0</v>
      </c>
      <c r="R8" s="132">
        <f>IF(SER_hh_emi_in!R8=0,0,1000000*SER_hh_emi_in!R8/SER_hh_num_in!R8)</f>
        <v>0</v>
      </c>
      <c r="S8" s="132">
        <f>IF(SER_hh_emi_in!S8=0,0,1000000*SER_hh_emi_in!S8/SER_hh_num_in!S8)</f>
        <v>0</v>
      </c>
      <c r="T8" s="132">
        <f>IF(SER_hh_emi_in!T8=0,0,1000000*SER_hh_emi_in!T8/SER_hh_num_in!T8)</f>
        <v>0</v>
      </c>
      <c r="U8" s="132">
        <f>IF(SER_hh_emi_in!U8=0,0,1000000*SER_hh_emi_in!U8/SER_hh_num_in!U8)</f>
        <v>0</v>
      </c>
      <c r="V8" s="132">
        <f>IF(SER_hh_emi_in!V8=0,0,1000000*SER_hh_emi_in!V8/SER_hh_num_in!V8)</f>
        <v>0</v>
      </c>
      <c r="W8" s="132">
        <f>IF(SER_hh_emi_in!W8=0,0,1000000*SER_hh_emi_in!W8/SER_hh_num_in!W8)</f>
        <v>0</v>
      </c>
      <c r="X8" s="132">
        <f>IF(SER_hh_emi_in!X8=0,0,1000000*SER_hh_emi_in!X8/SER_hh_num_in!X8)</f>
        <v>0</v>
      </c>
      <c r="Y8" s="132">
        <f>IF(SER_hh_emi_in!Y8=0,0,1000000*SER_hh_emi_in!Y8/SER_hh_num_in!Y8)</f>
        <v>0</v>
      </c>
      <c r="DA8" s="156" t="s">
        <v>791</v>
      </c>
    </row>
    <row r="9" spans="1:105" ht="12" customHeight="1" x14ac:dyDescent="0.25">
      <c r="A9" s="131" t="s">
        <v>78</v>
      </c>
      <c r="B9" s="132"/>
      <c r="C9" s="132">
        <f>IF(SER_hh_emi_in!C9=0,0,1000000*SER_hh_emi_in!C9/SER_hh_num_in!C9)</f>
        <v>0</v>
      </c>
      <c r="D9" s="132">
        <f>IF(SER_hh_emi_in!D9=0,0,1000000*SER_hh_emi_in!D9/SER_hh_num_in!D9)</f>
        <v>0</v>
      </c>
      <c r="E9" s="132">
        <f>IF(SER_hh_emi_in!E9=0,0,1000000*SER_hh_emi_in!E9/SER_hh_num_in!E9)</f>
        <v>0</v>
      </c>
      <c r="F9" s="132">
        <f>IF(SER_hh_emi_in!F9=0,0,1000000*SER_hh_emi_in!F9/SER_hh_num_in!F9)</f>
        <v>0</v>
      </c>
      <c r="G9" s="132">
        <f>IF(SER_hh_emi_in!G9=0,0,1000000*SER_hh_emi_in!G9/SER_hh_num_in!G9)</f>
        <v>0</v>
      </c>
      <c r="H9" s="132">
        <f>IF(SER_hh_emi_in!H9=0,0,1000000*SER_hh_emi_in!H9/SER_hh_num_in!H9)</f>
        <v>0</v>
      </c>
      <c r="I9" s="132">
        <f>IF(SER_hh_emi_in!I9=0,0,1000000*SER_hh_emi_in!I9/SER_hh_num_in!I9)</f>
        <v>0</v>
      </c>
      <c r="J9" s="132">
        <f>IF(SER_hh_emi_in!J9=0,0,1000000*SER_hh_emi_in!J9/SER_hh_num_in!J9)</f>
        <v>0</v>
      </c>
      <c r="K9" s="132">
        <f>IF(SER_hh_emi_in!K9=0,0,1000000*SER_hh_emi_in!K9/SER_hh_num_in!K9)</f>
        <v>0</v>
      </c>
      <c r="L9" s="132">
        <f>IF(SER_hh_emi_in!L9=0,0,1000000*SER_hh_emi_in!L9/SER_hh_num_in!L9)</f>
        <v>0</v>
      </c>
      <c r="M9" s="132">
        <f>IF(SER_hh_emi_in!M9=0,0,1000000*SER_hh_emi_in!M9/SER_hh_num_in!M9)</f>
        <v>0</v>
      </c>
      <c r="N9" s="132">
        <f>IF(SER_hh_emi_in!N9=0,0,1000000*SER_hh_emi_in!N9/SER_hh_num_in!N9)</f>
        <v>0</v>
      </c>
      <c r="O9" s="132">
        <f>IF(SER_hh_emi_in!O9=0,0,1000000*SER_hh_emi_in!O9/SER_hh_num_in!O9)</f>
        <v>0</v>
      </c>
      <c r="P9" s="132">
        <f>IF(SER_hh_emi_in!P9=0,0,1000000*SER_hh_emi_in!P9/SER_hh_num_in!P9)</f>
        <v>0</v>
      </c>
      <c r="Q9" s="132">
        <f>IF(SER_hh_emi_in!Q9=0,0,1000000*SER_hh_emi_in!Q9/SER_hh_num_in!Q9)</f>
        <v>0</v>
      </c>
      <c r="R9" s="132">
        <f>IF(SER_hh_emi_in!R9=0,0,1000000*SER_hh_emi_in!R9/SER_hh_num_in!R9)</f>
        <v>0</v>
      </c>
      <c r="S9" s="132">
        <f>IF(SER_hh_emi_in!S9=0,0,1000000*SER_hh_emi_in!S9/SER_hh_num_in!S9)</f>
        <v>0</v>
      </c>
      <c r="T9" s="132">
        <f>IF(SER_hh_emi_in!T9=0,0,1000000*SER_hh_emi_in!T9/SER_hh_num_in!T9)</f>
        <v>0</v>
      </c>
      <c r="U9" s="132">
        <f>IF(SER_hh_emi_in!U9=0,0,1000000*SER_hh_emi_in!U9/SER_hh_num_in!U9)</f>
        <v>0</v>
      </c>
      <c r="V9" s="132">
        <f>IF(SER_hh_emi_in!V9=0,0,1000000*SER_hh_emi_in!V9/SER_hh_num_in!V9)</f>
        <v>0</v>
      </c>
      <c r="W9" s="132">
        <f>IF(SER_hh_emi_in!W9=0,0,1000000*SER_hh_emi_in!W9/SER_hh_num_in!W9)</f>
        <v>0</v>
      </c>
      <c r="X9" s="132">
        <f>IF(SER_hh_emi_in!X9=0,0,1000000*SER_hh_emi_in!X9/SER_hh_num_in!X9)</f>
        <v>0</v>
      </c>
      <c r="Y9" s="132">
        <f>IF(SER_hh_emi_in!Y9=0,0,1000000*SER_hh_emi_in!Y9/SER_hh_num_in!Y9)</f>
        <v>0</v>
      </c>
      <c r="DA9" s="156" t="s">
        <v>792</v>
      </c>
    </row>
    <row r="10" spans="1:105" ht="12" customHeight="1" x14ac:dyDescent="0.25">
      <c r="A10" s="131" t="s">
        <v>128</v>
      </c>
      <c r="B10" s="132"/>
      <c r="C10" s="132">
        <f>IF(SER_hh_emi_in!C10=0,0,1000000*SER_hh_emi_in!C10/SER_hh_num_in!C10)</f>
        <v>0</v>
      </c>
      <c r="D10" s="132">
        <f>IF(SER_hh_emi_in!D10=0,0,1000000*SER_hh_emi_in!D10/SER_hh_num_in!D10)</f>
        <v>0</v>
      </c>
      <c r="E10" s="132">
        <f>IF(SER_hh_emi_in!E10=0,0,1000000*SER_hh_emi_in!E10/SER_hh_num_in!E10)</f>
        <v>0</v>
      </c>
      <c r="F10" s="132">
        <f>IF(SER_hh_emi_in!F10=0,0,1000000*SER_hh_emi_in!F10/SER_hh_num_in!F10)</f>
        <v>0</v>
      </c>
      <c r="G10" s="132">
        <f>IF(SER_hh_emi_in!G10=0,0,1000000*SER_hh_emi_in!G10/SER_hh_num_in!G10)</f>
        <v>0</v>
      </c>
      <c r="H10" s="132">
        <f>IF(SER_hh_emi_in!H10=0,0,1000000*SER_hh_emi_in!H10/SER_hh_num_in!H10)</f>
        <v>0</v>
      </c>
      <c r="I10" s="132">
        <f>IF(SER_hh_emi_in!I10=0,0,1000000*SER_hh_emi_in!I10/SER_hh_num_in!I10)</f>
        <v>0</v>
      </c>
      <c r="J10" s="132">
        <f>IF(SER_hh_emi_in!J10=0,0,1000000*SER_hh_emi_in!J10/SER_hh_num_in!J10)</f>
        <v>0</v>
      </c>
      <c r="K10" s="132">
        <f>IF(SER_hh_emi_in!K10=0,0,1000000*SER_hh_emi_in!K10/SER_hh_num_in!K10)</f>
        <v>0</v>
      </c>
      <c r="L10" s="132">
        <f>IF(SER_hh_emi_in!L10=0,0,1000000*SER_hh_emi_in!L10/SER_hh_num_in!L10)</f>
        <v>0</v>
      </c>
      <c r="M10" s="132">
        <f>IF(SER_hh_emi_in!M10=0,0,1000000*SER_hh_emi_in!M10/SER_hh_num_in!M10)</f>
        <v>0</v>
      </c>
      <c r="N10" s="132">
        <f>IF(SER_hh_emi_in!N10=0,0,1000000*SER_hh_emi_in!N10/SER_hh_num_in!N10)</f>
        <v>0</v>
      </c>
      <c r="O10" s="132">
        <f>IF(SER_hh_emi_in!O10=0,0,1000000*SER_hh_emi_in!O10/SER_hh_num_in!O10)</f>
        <v>0</v>
      </c>
      <c r="P10" s="132">
        <f>IF(SER_hh_emi_in!P10=0,0,1000000*SER_hh_emi_in!P10/SER_hh_num_in!P10)</f>
        <v>0</v>
      </c>
      <c r="Q10" s="132">
        <f>IF(SER_hh_emi_in!Q10=0,0,1000000*SER_hh_emi_in!Q10/SER_hh_num_in!Q10)</f>
        <v>0</v>
      </c>
      <c r="R10" s="132">
        <f>IF(SER_hh_emi_in!R10=0,0,1000000*SER_hh_emi_in!R10/SER_hh_num_in!R10)</f>
        <v>0</v>
      </c>
      <c r="S10" s="132">
        <f>IF(SER_hh_emi_in!S10=0,0,1000000*SER_hh_emi_in!S10/SER_hh_num_in!S10)</f>
        <v>0</v>
      </c>
      <c r="T10" s="132">
        <f>IF(SER_hh_emi_in!T10=0,0,1000000*SER_hh_emi_in!T10/SER_hh_num_in!T10)</f>
        <v>0</v>
      </c>
      <c r="U10" s="132">
        <f>IF(SER_hh_emi_in!U10=0,0,1000000*SER_hh_emi_in!U10/SER_hh_num_in!U10)</f>
        <v>0</v>
      </c>
      <c r="V10" s="132">
        <f>IF(SER_hh_emi_in!V10=0,0,1000000*SER_hh_emi_in!V10/SER_hh_num_in!V10)</f>
        <v>0</v>
      </c>
      <c r="W10" s="132">
        <f>IF(SER_hh_emi_in!W10=0,0,1000000*SER_hh_emi_in!W10/SER_hh_num_in!W10)</f>
        <v>0</v>
      </c>
      <c r="X10" s="132">
        <f>IF(SER_hh_emi_in!X10=0,0,1000000*SER_hh_emi_in!X10/SER_hh_num_in!X10)</f>
        <v>0</v>
      </c>
      <c r="Y10" s="132">
        <f>IF(SER_hh_emi_in!Y10=0,0,1000000*SER_hh_emi_in!Y10/SER_hh_num_in!Y10)</f>
        <v>0</v>
      </c>
      <c r="DA10" s="156" t="s">
        <v>793</v>
      </c>
    </row>
    <row r="11" spans="1:105" ht="12" customHeight="1" x14ac:dyDescent="0.25">
      <c r="A11" s="131" t="s">
        <v>25</v>
      </c>
      <c r="B11" s="132"/>
      <c r="C11" s="132">
        <f>IF(SER_hh_emi_in!C11=0,0,1000000*SER_hh_emi_in!C11/SER_hh_num_in!C11)</f>
        <v>0</v>
      </c>
      <c r="D11" s="132">
        <f>IF(SER_hh_emi_in!D11=0,0,1000000*SER_hh_emi_in!D11/SER_hh_num_in!D11)</f>
        <v>0</v>
      </c>
      <c r="E11" s="132">
        <f>IF(SER_hh_emi_in!E11=0,0,1000000*SER_hh_emi_in!E11/SER_hh_num_in!E11)</f>
        <v>0</v>
      </c>
      <c r="F11" s="132">
        <f>IF(SER_hh_emi_in!F11=0,0,1000000*SER_hh_emi_in!F11/SER_hh_num_in!F11)</f>
        <v>0</v>
      </c>
      <c r="G11" s="132">
        <f>IF(SER_hh_emi_in!G11=0,0,1000000*SER_hh_emi_in!G11/SER_hh_num_in!G11)</f>
        <v>0</v>
      </c>
      <c r="H11" s="132">
        <f>IF(SER_hh_emi_in!H11=0,0,1000000*SER_hh_emi_in!H11/SER_hh_num_in!H11)</f>
        <v>0</v>
      </c>
      <c r="I11" s="132">
        <f>IF(SER_hh_emi_in!I11=0,0,1000000*SER_hh_emi_in!I11/SER_hh_num_in!I11)</f>
        <v>0</v>
      </c>
      <c r="J11" s="132">
        <f>IF(SER_hh_emi_in!J11=0,0,1000000*SER_hh_emi_in!J11/SER_hh_num_in!J11)</f>
        <v>0</v>
      </c>
      <c r="K11" s="132">
        <f>IF(SER_hh_emi_in!K11=0,0,1000000*SER_hh_emi_in!K11/SER_hh_num_in!K11)</f>
        <v>0</v>
      </c>
      <c r="L11" s="132">
        <f>IF(SER_hh_emi_in!L11=0,0,1000000*SER_hh_emi_in!L11/SER_hh_num_in!L11)</f>
        <v>0</v>
      </c>
      <c r="M11" s="132">
        <f>IF(SER_hh_emi_in!M11=0,0,1000000*SER_hh_emi_in!M11/SER_hh_num_in!M11)</f>
        <v>0</v>
      </c>
      <c r="N11" s="132">
        <f>IF(SER_hh_emi_in!N11=0,0,1000000*SER_hh_emi_in!N11/SER_hh_num_in!N11)</f>
        <v>0</v>
      </c>
      <c r="O11" s="132">
        <f>IF(SER_hh_emi_in!O11=0,0,1000000*SER_hh_emi_in!O11/SER_hh_num_in!O11)</f>
        <v>0</v>
      </c>
      <c r="P11" s="132">
        <f>IF(SER_hh_emi_in!P11=0,0,1000000*SER_hh_emi_in!P11/SER_hh_num_in!P11)</f>
        <v>0</v>
      </c>
      <c r="Q11" s="132">
        <f>IF(SER_hh_emi_in!Q11=0,0,1000000*SER_hh_emi_in!Q11/SER_hh_num_in!Q11)</f>
        <v>0</v>
      </c>
      <c r="R11" s="132">
        <f>IF(SER_hh_emi_in!R11=0,0,1000000*SER_hh_emi_in!R11/SER_hh_num_in!R11)</f>
        <v>0</v>
      </c>
      <c r="S11" s="132">
        <f>IF(SER_hh_emi_in!S11=0,0,1000000*SER_hh_emi_in!S11/SER_hh_num_in!S11)</f>
        <v>0</v>
      </c>
      <c r="T11" s="132">
        <f>IF(SER_hh_emi_in!T11=0,0,1000000*SER_hh_emi_in!T11/SER_hh_num_in!T11)</f>
        <v>0</v>
      </c>
      <c r="U11" s="132">
        <f>IF(SER_hh_emi_in!U11=0,0,1000000*SER_hh_emi_in!U11/SER_hh_num_in!U11)</f>
        <v>0</v>
      </c>
      <c r="V11" s="132">
        <f>IF(SER_hh_emi_in!V11=0,0,1000000*SER_hh_emi_in!V11/SER_hh_num_in!V11)</f>
        <v>0</v>
      </c>
      <c r="W11" s="132">
        <f>IF(SER_hh_emi_in!W11=0,0,1000000*SER_hh_emi_in!W11/SER_hh_num_in!W11)</f>
        <v>0</v>
      </c>
      <c r="X11" s="132">
        <f>IF(SER_hh_emi_in!X11=0,0,1000000*SER_hh_emi_in!X11/SER_hh_num_in!X11)</f>
        <v>0</v>
      </c>
      <c r="Y11" s="132">
        <f>IF(SER_hh_emi_in!Y11=0,0,1000000*SER_hh_emi_in!Y11/SER_hh_num_in!Y11)</f>
        <v>0</v>
      </c>
      <c r="DA11" s="156" t="s">
        <v>794</v>
      </c>
    </row>
    <row r="12" spans="1:105" ht="12" customHeight="1" x14ac:dyDescent="0.25">
      <c r="A12" s="131" t="s">
        <v>162</v>
      </c>
      <c r="B12" s="132"/>
      <c r="C12" s="132">
        <f>IF(SER_hh_emi_in!C12=0,0,1000000*SER_hh_emi_in!C12/SER_hh_num_in!C12)</f>
        <v>0</v>
      </c>
      <c r="D12" s="132">
        <f>IF(SER_hh_emi_in!D12=0,0,1000000*SER_hh_emi_in!D12/SER_hh_num_in!D12)</f>
        <v>0</v>
      </c>
      <c r="E12" s="132">
        <f>IF(SER_hh_emi_in!E12=0,0,1000000*SER_hh_emi_in!E12/SER_hh_num_in!E12)</f>
        <v>0</v>
      </c>
      <c r="F12" s="132">
        <f>IF(SER_hh_emi_in!F12=0,0,1000000*SER_hh_emi_in!F12/SER_hh_num_in!F12)</f>
        <v>0</v>
      </c>
      <c r="G12" s="132">
        <f>IF(SER_hh_emi_in!G12=0,0,1000000*SER_hh_emi_in!G12/SER_hh_num_in!G12)</f>
        <v>0</v>
      </c>
      <c r="H12" s="132">
        <f>IF(SER_hh_emi_in!H12=0,0,1000000*SER_hh_emi_in!H12/SER_hh_num_in!H12)</f>
        <v>0</v>
      </c>
      <c r="I12" s="132">
        <f>IF(SER_hh_emi_in!I12=0,0,1000000*SER_hh_emi_in!I12/SER_hh_num_in!I12)</f>
        <v>0</v>
      </c>
      <c r="J12" s="132">
        <f>IF(SER_hh_emi_in!J12=0,0,1000000*SER_hh_emi_in!J12/SER_hh_num_in!J12)</f>
        <v>0</v>
      </c>
      <c r="K12" s="132">
        <f>IF(SER_hh_emi_in!K12=0,0,1000000*SER_hh_emi_in!K12/SER_hh_num_in!K12)</f>
        <v>0</v>
      </c>
      <c r="L12" s="132">
        <f>IF(SER_hh_emi_in!L12=0,0,1000000*SER_hh_emi_in!L12/SER_hh_num_in!L12)</f>
        <v>0</v>
      </c>
      <c r="M12" s="132">
        <f>IF(SER_hh_emi_in!M12=0,0,1000000*SER_hh_emi_in!M12/SER_hh_num_in!M12)</f>
        <v>0</v>
      </c>
      <c r="N12" s="132">
        <f>IF(SER_hh_emi_in!N12=0,0,1000000*SER_hh_emi_in!N12/SER_hh_num_in!N12)</f>
        <v>0</v>
      </c>
      <c r="O12" s="132">
        <f>IF(SER_hh_emi_in!O12=0,0,1000000*SER_hh_emi_in!O12/SER_hh_num_in!O12)</f>
        <v>0</v>
      </c>
      <c r="P12" s="132">
        <f>IF(SER_hh_emi_in!P12=0,0,1000000*SER_hh_emi_in!P12/SER_hh_num_in!P12)</f>
        <v>0</v>
      </c>
      <c r="Q12" s="132">
        <f>IF(SER_hh_emi_in!Q12=0,0,1000000*SER_hh_emi_in!Q12/SER_hh_num_in!Q12)</f>
        <v>0</v>
      </c>
      <c r="R12" s="132">
        <f>IF(SER_hh_emi_in!R12=0,0,1000000*SER_hh_emi_in!R12/SER_hh_num_in!R12)</f>
        <v>0</v>
      </c>
      <c r="S12" s="132">
        <f>IF(SER_hh_emi_in!S12=0,0,1000000*SER_hh_emi_in!S12/SER_hh_num_in!S12)</f>
        <v>0</v>
      </c>
      <c r="T12" s="132">
        <f>IF(SER_hh_emi_in!T12=0,0,1000000*SER_hh_emi_in!T12/SER_hh_num_in!T12)</f>
        <v>0</v>
      </c>
      <c r="U12" s="132">
        <f>IF(SER_hh_emi_in!U12=0,0,1000000*SER_hh_emi_in!U12/SER_hh_num_in!U12)</f>
        <v>0</v>
      </c>
      <c r="V12" s="132">
        <f>IF(SER_hh_emi_in!V12=0,0,1000000*SER_hh_emi_in!V12/SER_hh_num_in!V12)</f>
        <v>0</v>
      </c>
      <c r="W12" s="132">
        <f>IF(SER_hh_emi_in!W12=0,0,1000000*SER_hh_emi_in!W12/SER_hh_num_in!W12)</f>
        <v>0</v>
      </c>
      <c r="X12" s="132">
        <f>IF(SER_hh_emi_in!X12=0,0,1000000*SER_hh_emi_in!X12/SER_hh_num_in!X12)</f>
        <v>0</v>
      </c>
      <c r="Y12" s="132">
        <f>IF(SER_hh_emi_in!Y12=0,0,1000000*SER_hh_emi_in!Y12/SER_hh_num_in!Y12)</f>
        <v>0</v>
      </c>
      <c r="DA12" s="156" t="s">
        <v>795</v>
      </c>
    </row>
    <row r="13" spans="1:105" ht="12" customHeight="1" x14ac:dyDescent="0.25">
      <c r="A13" s="131" t="s">
        <v>77</v>
      </c>
      <c r="B13" s="132"/>
      <c r="C13" s="132">
        <f>IF(SER_hh_emi_in!C13=0,0,1000000*SER_hh_emi_in!C13/SER_hh_num_in!C13)</f>
        <v>0</v>
      </c>
      <c r="D13" s="132">
        <f>IF(SER_hh_emi_in!D13=0,0,1000000*SER_hh_emi_in!D13/SER_hh_num_in!D13)</f>
        <v>0</v>
      </c>
      <c r="E13" s="132">
        <f>IF(SER_hh_emi_in!E13=0,0,1000000*SER_hh_emi_in!E13/SER_hh_num_in!E13)</f>
        <v>0</v>
      </c>
      <c r="F13" s="132">
        <f>IF(SER_hh_emi_in!F13=0,0,1000000*SER_hh_emi_in!F13/SER_hh_num_in!F13)</f>
        <v>0</v>
      </c>
      <c r="G13" s="132">
        <f>IF(SER_hh_emi_in!G13=0,0,1000000*SER_hh_emi_in!G13/SER_hh_num_in!G13)</f>
        <v>0</v>
      </c>
      <c r="H13" s="132">
        <f>IF(SER_hh_emi_in!H13=0,0,1000000*SER_hh_emi_in!H13/SER_hh_num_in!H13)</f>
        <v>0</v>
      </c>
      <c r="I13" s="132">
        <f>IF(SER_hh_emi_in!I13=0,0,1000000*SER_hh_emi_in!I13/SER_hh_num_in!I13)</f>
        <v>0</v>
      </c>
      <c r="J13" s="132">
        <f>IF(SER_hh_emi_in!J13=0,0,1000000*SER_hh_emi_in!J13/SER_hh_num_in!J13)</f>
        <v>0</v>
      </c>
      <c r="K13" s="132">
        <f>IF(SER_hh_emi_in!K13=0,0,1000000*SER_hh_emi_in!K13/SER_hh_num_in!K13)</f>
        <v>0</v>
      </c>
      <c r="L13" s="132">
        <f>IF(SER_hh_emi_in!L13=0,0,1000000*SER_hh_emi_in!L13/SER_hh_num_in!L13)</f>
        <v>0</v>
      </c>
      <c r="M13" s="132">
        <f>IF(SER_hh_emi_in!M13=0,0,1000000*SER_hh_emi_in!M13/SER_hh_num_in!M13)</f>
        <v>0</v>
      </c>
      <c r="N13" s="132">
        <f>IF(SER_hh_emi_in!N13=0,0,1000000*SER_hh_emi_in!N13/SER_hh_num_in!N13)</f>
        <v>0</v>
      </c>
      <c r="O13" s="132">
        <f>IF(SER_hh_emi_in!O13=0,0,1000000*SER_hh_emi_in!O13/SER_hh_num_in!O13)</f>
        <v>0</v>
      </c>
      <c r="P13" s="132">
        <f>IF(SER_hh_emi_in!P13=0,0,1000000*SER_hh_emi_in!P13/SER_hh_num_in!P13)</f>
        <v>0</v>
      </c>
      <c r="Q13" s="132">
        <f>IF(SER_hh_emi_in!Q13=0,0,1000000*SER_hh_emi_in!Q13/SER_hh_num_in!Q13)</f>
        <v>0</v>
      </c>
      <c r="R13" s="132">
        <f>IF(SER_hh_emi_in!R13=0,0,1000000*SER_hh_emi_in!R13/SER_hh_num_in!R13)</f>
        <v>0</v>
      </c>
      <c r="S13" s="132">
        <f>IF(SER_hh_emi_in!S13=0,0,1000000*SER_hh_emi_in!S13/SER_hh_num_in!S13)</f>
        <v>0</v>
      </c>
      <c r="T13" s="132">
        <f>IF(SER_hh_emi_in!T13=0,0,1000000*SER_hh_emi_in!T13/SER_hh_num_in!T13)</f>
        <v>0</v>
      </c>
      <c r="U13" s="132">
        <f>IF(SER_hh_emi_in!U13=0,0,1000000*SER_hh_emi_in!U13/SER_hh_num_in!U13)</f>
        <v>0</v>
      </c>
      <c r="V13" s="132">
        <f>IF(SER_hh_emi_in!V13=0,0,1000000*SER_hh_emi_in!V13/SER_hh_num_in!V13)</f>
        <v>0</v>
      </c>
      <c r="W13" s="132">
        <f>IF(SER_hh_emi_in!W13=0,0,1000000*SER_hh_emi_in!W13/SER_hh_num_in!W13)</f>
        <v>0</v>
      </c>
      <c r="X13" s="132">
        <f>IF(SER_hh_emi_in!X13=0,0,1000000*SER_hh_emi_in!X13/SER_hh_num_in!X13)</f>
        <v>0</v>
      </c>
      <c r="Y13" s="132">
        <f>IF(SER_hh_emi_in!Y13=0,0,1000000*SER_hh_emi_in!Y13/SER_hh_num_in!Y13)</f>
        <v>0</v>
      </c>
      <c r="DA13" s="156" t="s">
        <v>796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X14" s="65">
        <f>IF(SER_hh_emi_in!X14=0,0,1000000*SER_hh_emi_in!X14/SER_hh_num_in!X14)</f>
        <v>0</v>
      </c>
      <c r="Y14" s="65">
        <f>IF(SER_hh_emi_in!Y14=0,0,1000000*SER_hh_emi_in!Y14/SER_hh_num_in!Y14)</f>
        <v>0</v>
      </c>
      <c r="DA14" s="109" t="s">
        <v>797</v>
      </c>
    </row>
    <row r="15" spans="1:105" ht="12" customHeight="1" x14ac:dyDescent="0.25">
      <c r="A15" s="133" t="s">
        <v>80</v>
      </c>
      <c r="B15" s="134"/>
      <c r="C15" s="134">
        <f>IF(SER_hh_emi_in!C15=0,0,1000000*SER_hh_emi_in!C15/SER_hh_num_in!C15)</f>
        <v>0</v>
      </c>
      <c r="D15" s="134">
        <f>IF(SER_hh_emi_in!D15=0,0,1000000*SER_hh_emi_in!D15/SER_hh_num_in!D15)</f>
        <v>0</v>
      </c>
      <c r="E15" s="134">
        <f>IF(SER_hh_emi_in!E15=0,0,1000000*SER_hh_emi_in!E15/SER_hh_num_in!E15)</f>
        <v>0</v>
      </c>
      <c r="F15" s="134">
        <f>IF(SER_hh_emi_in!F15=0,0,1000000*SER_hh_emi_in!F15/SER_hh_num_in!F15)</f>
        <v>0</v>
      </c>
      <c r="G15" s="134">
        <f>IF(SER_hh_emi_in!G15=0,0,1000000*SER_hh_emi_in!G15/SER_hh_num_in!G15)</f>
        <v>0</v>
      </c>
      <c r="H15" s="134">
        <f>IF(SER_hh_emi_in!H15=0,0,1000000*SER_hh_emi_in!H15/SER_hh_num_in!H15)</f>
        <v>0</v>
      </c>
      <c r="I15" s="134">
        <f>IF(SER_hh_emi_in!I15=0,0,1000000*SER_hh_emi_in!I15/SER_hh_num_in!I15)</f>
        <v>0</v>
      </c>
      <c r="J15" s="134">
        <f>IF(SER_hh_emi_in!J15=0,0,1000000*SER_hh_emi_in!J15/SER_hh_num_in!J15)</f>
        <v>0</v>
      </c>
      <c r="K15" s="134">
        <f>IF(SER_hh_emi_in!K15=0,0,1000000*SER_hh_emi_in!K15/SER_hh_num_in!K15)</f>
        <v>0</v>
      </c>
      <c r="L15" s="134">
        <f>IF(SER_hh_emi_in!L15=0,0,1000000*SER_hh_emi_in!L15/SER_hh_num_in!L15)</f>
        <v>0</v>
      </c>
      <c r="M15" s="134">
        <f>IF(SER_hh_emi_in!M15=0,0,1000000*SER_hh_emi_in!M15/SER_hh_num_in!M15)</f>
        <v>0</v>
      </c>
      <c r="N15" s="134">
        <f>IF(SER_hh_emi_in!N15=0,0,1000000*SER_hh_emi_in!N15/SER_hh_num_in!N15)</f>
        <v>0</v>
      </c>
      <c r="O15" s="134">
        <f>IF(SER_hh_emi_in!O15=0,0,1000000*SER_hh_emi_in!O15/SER_hh_num_in!O15)</f>
        <v>0</v>
      </c>
      <c r="P15" s="134">
        <f>IF(SER_hh_emi_in!P15=0,0,1000000*SER_hh_emi_in!P15/SER_hh_num_in!P15)</f>
        <v>0</v>
      </c>
      <c r="Q15" s="134">
        <f>IF(SER_hh_emi_in!Q15=0,0,1000000*SER_hh_emi_in!Q15/SER_hh_num_in!Q15)</f>
        <v>0</v>
      </c>
      <c r="R15" s="134">
        <f>IF(SER_hh_emi_in!R15=0,0,1000000*SER_hh_emi_in!R15/SER_hh_num_in!R15)</f>
        <v>0</v>
      </c>
      <c r="S15" s="134">
        <f>IF(SER_hh_emi_in!S15=0,0,1000000*SER_hh_emi_in!S15/SER_hh_num_in!S15)</f>
        <v>0</v>
      </c>
      <c r="T15" s="134">
        <f>IF(SER_hh_emi_in!T15=0,0,1000000*SER_hh_emi_in!T15/SER_hh_num_in!T15)</f>
        <v>0</v>
      </c>
      <c r="U15" s="134">
        <f>IF(SER_hh_emi_in!U15=0,0,1000000*SER_hh_emi_in!U15/SER_hh_num_in!U15)</f>
        <v>0</v>
      </c>
      <c r="V15" s="134">
        <f>IF(SER_hh_emi_in!V15=0,0,1000000*SER_hh_emi_in!V15/SER_hh_num_in!V15)</f>
        <v>0</v>
      </c>
      <c r="W15" s="134">
        <f>IF(SER_hh_emi_in!W15=0,0,1000000*SER_hh_emi_in!W15/SER_hh_num_in!W15)</f>
        <v>0</v>
      </c>
      <c r="X15" s="134">
        <f>IF(SER_hh_emi_in!X15=0,0,1000000*SER_hh_emi_in!X15/SER_hh_num_in!X15)</f>
        <v>0</v>
      </c>
      <c r="Y15" s="134">
        <f>IF(SER_hh_emi_in!Y15=0,0,1000000*SER_hh_emi_in!Y15/SER_hh_num_in!Y15)</f>
        <v>0</v>
      </c>
      <c r="DA15" s="157" t="s">
        <v>798</v>
      </c>
    </row>
    <row r="16" spans="1:105" ht="12.95" customHeight="1" x14ac:dyDescent="0.25">
      <c r="A16" s="129" t="s">
        <v>74</v>
      </c>
      <c r="B16" s="130"/>
      <c r="C16" s="130">
        <f>IF(SER_hh_emi_in!C16=0,0,1000000*SER_hh_emi_in!C16/SER_hh_num_in!C16)</f>
        <v>0</v>
      </c>
      <c r="D16" s="130">
        <f>IF(SER_hh_emi_in!D16=0,0,1000000*SER_hh_emi_in!D16/SER_hh_num_in!D16)</f>
        <v>0</v>
      </c>
      <c r="E16" s="130">
        <f>IF(SER_hh_emi_in!E16=0,0,1000000*SER_hh_emi_in!E16/SER_hh_num_in!E16)</f>
        <v>0</v>
      </c>
      <c r="F16" s="130">
        <f>IF(SER_hh_emi_in!F16=0,0,1000000*SER_hh_emi_in!F16/SER_hh_num_in!F16)</f>
        <v>0</v>
      </c>
      <c r="G16" s="130">
        <f>IF(SER_hh_emi_in!G16=0,0,1000000*SER_hh_emi_in!G16/SER_hh_num_in!G16)</f>
        <v>0</v>
      </c>
      <c r="H16" s="130">
        <f>IF(SER_hh_emi_in!H16=0,0,1000000*SER_hh_emi_in!H16/SER_hh_num_in!H16)</f>
        <v>0</v>
      </c>
      <c r="I16" s="130">
        <f>IF(SER_hh_emi_in!I16=0,0,1000000*SER_hh_emi_in!I16/SER_hh_num_in!I16)</f>
        <v>0</v>
      </c>
      <c r="J16" s="130">
        <f>IF(SER_hh_emi_in!J16=0,0,1000000*SER_hh_emi_in!J16/SER_hh_num_in!J16)</f>
        <v>0</v>
      </c>
      <c r="K16" s="130">
        <f>IF(SER_hh_emi_in!K16=0,0,1000000*SER_hh_emi_in!K16/SER_hh_num_in!K16)</f>
        <v>0</v>
      </c>
      <c r="L16" s="130">
        <f>IF(SER_hh_emi_in!L16=0,0,1000000*SER_hh_emi_in!L16/SER_hh_num_in!L16)</f>
        <v>0</v>
      </c>
      <c r="M16" s="130">
        <f>IF(SER_hh_emi_in!M16=0,0,1000000*SER_hh_emi_in!M16/SER_hh_num_in!M16)</f>
        <v>0</v>
      </c>
      <c r="N16" s="130">
        <f>IF(SER_hh_emi_in!N16=0,0,1000000*SER_hh_emi_in!N16/SER_hh_num_in!N16)</f>
        <v>0</v>
      </c>
      <c r="O16" s="130">
        <f>IF(SER_hh_emi_in!O16=0,0,1000000*SER_hh_emi_in!O16/SER_hh_num_in!O16)</f>
        <v>0</v>
      </c>
      <c r="P16" s="130">
        <f>IF(SER_hh_emi_in!P16=0,0,1000000*SER_hh_emi_in!P16/SER_hh_num_in!P16)</f>
        <v>0</v>
      </c>
      <c r="Q16" s="130">
        <f>IF(SER_hh_emi_in!Q16=0,0,1000000*SER_hh_emi_in!Q16/SER_hh_num_in!Q16)</f>
        <v>0</v>
      </c>
      <c r="R16" s="130">
        <f>IF(SER_hh_emi_in!R16=0,0,1000000*SER_hh_emi_in!R16/SER_hh_num_in!R16)</f>
        <v>0</v>
      </c>
      <c r="S16" s="130">
        <f>IF(SER_hh_emi_in!S16=0,0,1000000*SER_hh_emi_in!S16/SER_hh_num_in!S16)</f>
        <v>0</v>
      </c>
      <c r="T16" s="130">
        <f>IF(SER_hh_emi_in!T16=0,0,1000000*SER_hh_emi_in!T16/SER_hh_num_in!T16)</f>
        <v>0</v>
      </c>
      <c r="U16" s="130">
        <f>IF(SER_hh_emi_in!U16=0,0,1000000*SER_hh_emi_in!U16/SER_hh_num_in!U16)</f>
        <v>0</v>
      </c>
      <c r="V16" s="130">
        <f>IF(SER_hh_emi_in!V16=0,0,1000000*SER_hh_emi_in!V16/SER_hh_num_in!V16)</f>
        <v>0</v>
      </c>
      <c r="W16" s="130">
        <f>IF(SER_hh_emi_in!W16=0,0,1000000*SER_hh_emi_in!W16/SER_hh_num_in!W16)</f>
        <v>0</v>
      </c>
      <c r="X16" s="130">
        <f>IF(SER_hh_emi_in!X16=0,0,1000000*SER_hh_emi_in!X16/SER_hh_num_in!X16)</f>
        <v>0</v>
      </c>
      <c r="Y16" s="130">
        <f>IF(SER_hh_emi_in!Y16=0,0,1000000*SER_hh_emi_in!Y16/SER_hh_num_in!Y16)</f>
        <v>0</v>
      </c>
      <c r="DA16" s="155" t="s">
        <v>799</v>
      </c>
    </row>
    <row r="17" spans="1:105" ht="12.95" customHeight="1" x14ac:dyDescent="0.25">
      <c r="A17" s="131" t="s">
        <v>73</v>
      </c>
      <c r="B17" s="132"/>
      <c r="C17" s="132">
        <f>IF(SER_hh_emi_in!C17=0,0,1000000*SER_hh_emi_in!C17/SER_hh_num_in!C17)</f>
        <v>0</v>
      </c>
      <c r="D17" s="132">
        <f>IF(SER_hh_emi_in!D17=0,0,1000000*SER_hh_emi_in!D17/SER_hh_num_in!D17)</f>
        <v>0</v>
      </c>
      <c r="E17" s="132">
        <f>IF(SER_hh_emi_in!E17=0,0,1000000*SER_hh_emi_in!E17/SER_hh_num_in!E17)</f>
        <v>0</v>
      </c>
      <c r="F17" s="132">
        <f>IF(SER_hh_emi_in!F17=0,0,1000000*SER_hh_emi_in!F17/SER_hh_num_in!F17)</f>
        <v>0</v>
      </c>
      <c r="G17" s="132">
        <f>IF(SER_hh_emi_in!G17=0,0,1000000*SER_hh_emi_in!G17/SER_hh_num_in!G17)</f>
        <v>0</v>
      </c>
      <c r="H17" s="132">
        <f>IF(SER_hh_emi_in!H17=0,0,1000000*SER_hh_emi_in!H17/SER_hh_num_in!H17)</f>
        <v>0</v>
      </c>
      <c r="I17" s="132">
        <f>IF(SER_hh_emi_in!I17=0,0,1000000*SER_hh_emi_in!I17/SER_hh_num_in!I17)</f>
        <v>0</v>
      </c>
      <c r="J17" s="132">
        <f>IF(SER_hh_emi_in!J17=0,0,1000000*SER_hh_emi_in!J17/SER_hh_num_in!J17)</f>
        <v>0</v>
      </c>
      <c r="K17" s="132">
        <f>IF(SER_hh_emi_in!K17=0,0,1000000*SER_hh_emi_in!K17/SER_hh_num_in!K17)</f>
        <v>0</v>
      </c>
      <c r="L17" s="132">
        <f>IF(SER_hh_emi_in!L17=0,0,1000000*SER_hh_emi_in!L17/SER_hh_num_in!L17)</f>
        <v>0</v>
      </c>
      <c r="M17" s="132">
        <f>IF(SER_hh_emi_in!M17=0,0,1000000*SER_hh_emi_in!M17/SER_hh_num_in!M17)</f>
        <v>0</v>
      </c>
      <c r="N17" s="132">
        <f>IF(SER_hh_emi_in!N17=0,0,1000000*SER_hh_emi_in!N17/SER_hh_num_in!N17)</f>
        <v>0</v>
      </c>
      <c r="O17" s="132">
        <f>IF(SER_hh_emi_in!O17=0,0,1000000*SER_hh_emi_in!O17/SER_hh_num_in!O17)</f>
        <v>0</v>
      </c>
      <c r="P17" s="132">
        <f>IF(SER_hh_emi_in!P17=0,0,1000000*SER_hh_emi_in!P17/SER_hh_num_in!P17)</f>
        <v>0</v>
      </c>
      <c r="Q17" s="132">
        <f>IF(SER_hh_emi_in!Q17=0,0,1000000*SER_hh_emi_in!Q17/SER_hh_num_in!Q17)</f>
        <v>0</v>
      </c>
      <c r="R17" s="132">
        <f>IF(SER_hh_emi_in!R17=0,0,1000000*SER_hh_emi_in!R17/SER_hh_num_in!R17)</f>
        <v>0</v>
      </c>
      <c r="S17" s="132">
        <f>IF(SER_hh_emi_in!S17=0,0,1000000*SER_hh_emi_in!S17/SER_hh_num_in!S17)</f>
        <v>0</v>
      </c>
      <c r="T17" s="132">
        <f>IF(SER_hh_emi_in!T17=0,0,1000000*SER_hh_emi_in!T17/SER_hh_num_in!T17)</f>
        <v>0</v>
      </c>
      <c r="U17" s="132">
        <f>IF(SER_hh_emi_in!U17=0,0,1000000*SER_hh_emi_in!U17/SER_hh_num_in!U17)</f>
        <v>0</v>
      </c>
      <c r="V17" s="132">
        <f>IF(SER_hh_emi_in!V17=0,0,1000000*SER_hh_emi_in!V17/SER_hh_num_in!V17)</f>
        <v>0</v>
      </c>
      <c r="W17" s="132">
        <f>IF(SER_hh_emi_in!W17=0,0,1000000*SER_hh_emi_in!W17/SER_hh_num_in!W17)</f>
        <v>0</v>
      </c>
      <c r="X17" s="132">
        <f>IF(SER_hh_emi_in!X17=0,0,1000000*SER_hh_emi_in!X17/SER_hh_num_in!X17)</f>
        <v>0</v>
      </c>
      <c r="Y17" s="132">
        <f>IF(SER_hh_emi_in!Y17=0,0,1000000*SER_hh_emi_in!Y17/SER_hh_num_in!Y17)</f>
        <v>0</v>
      </c>
      <c r="DA17" s="156" t="s">
        <v>800</v>
      </c>
    </row>
    <row r="18" spans="1:105" ht="12" customHeight="1" x14ac:dyDescent="0.25">
      <c r="A18" s="131" t="s">
        <v>72</v>
      </c>
      <c r="B18" s="132"/>
      <c r="C18" s="132">
        <f>IF(SER_hh_emi_in!C18=0,0,1000000*SER_hh_emi_in!C18/SER_hh_num_in!C18)</f>
        <v>0</v>
      </c>
      <c r="D18" s="132">
        <f>IF(SER_hh_emi_in!D18=0,0,1000000*SER_hh_emi_in!D18/SER_hh_num_in!D18)</f>
        <v>0</v>
      </c>
      <c r="E18" s="132">
        <f>IF(SER_hh_emi_in!E18=0,0,1000000*SER_hh_emi_in!E18/SER_hh_num_in!E18)</f>
        <v>0</v>
      </c>
      <c r="F18" s="132">
        <f>IF(SER_hh_emi_in!F18=0,0,1000000*SER_hh_emi_in!F18/SER_hh_num_in!F18)</f>
        <v>0</v>
      </c>
      <c r="G18" s="132">
        <f>IF(SER_hh_emi_in!G18=0,0,1000000*SER_hh_emi_in!G18/SER_hh_num_in!G18)</f>
        <v>0</v>
      </c>
      <c r="H18" s="132">
        <f>IF(SER_hh_emi_in!H18=0,0,1000000*SER_hh_emi_in!H18/SER_hh_num_in!H18)</f>
        <v>0</v>
      </c>
      <c r="I18" s="132">
        <f>IF(SER_hh_emi_in!I18=0,0,1000000*SER_hh_emi_in!I18/SER_hh_num_in!I18)</f>
        <v>0</v>
      </c>
      <c r="J18" s="132">
        <f>IF(SER_hh_emi_in!J18=0,0,1000000*SER_hh_emi_in!J18/SER_hh_num_in!J18)</f>
        <v>0</v>
      </c>
      <c r="K18" s="132">
        <f>IF(SER_hh_emi_in!K18=0,0,1000000*SER_hh_emi_in!K18/SER_hh_num_in!K18)</f>
        <v>0</v>
      </c>
      <c r="L18" s="132">
        <f>IF(SER_hh_emi_in!L18=0,0,1000000*SER_hh_emi_in!L18/SER_hh_num_in!L18)</f>
        <v>0</v>
      </c>
      <c r="M18" s="132">
        <f>IF(SER_hh_emi_in!M18=0,0,1000000*SER_hh_emi_in!M18/SER_hh_num_in!M18)</f>
        <v>0</v>
      </c>
      <c r="N18" s="132">
        <f>IF(SER_hh_emi_in!N18=0,0,1000000*SER_hh_emi_in!N18/SER_hh_num_in!N18)</f>
        <v>0</v>
      </c>
      <c r="O18" s="132">
        <f>IF(SER_hh_emi_in!O18=0,0,1000000*SER_hh_emi_in!O18/SER_hh_num_in!O18)</f>
        <v>0</v>
      </c>
      <c r="P18" s="132">
        <f>IF(SER_hh_emi_in!P18=0,0,1000000*SER_hh_emi_in!P18/SER_hh_num_in!P18)</f>
        <v>0</v>
      </c>
      <c r="Q18" s="132">
        <f>IF(SER_hh_emi_in!Q18=0,0,1000000*SER_hh_emi_in!Q18/SER_hh_num_in!Q18)</f>
        <v>0</v>
      </c>
      <c r="R18" s="132">
        <f>IF(SER_hh_emi_in!R18=0,0,1000000*SER_hh_emi_in!R18/SER_hh_num_in!R18)</f>
        <v>0</v>
      </c>
      <c r="S18" s="132">
        <f>IF(SER_hh_emi_in!S18=0,0,1000000*SER_hh_emi_in!S18/SER_hh_num_in!S18)</f>
        <v>0</v>
      </c>
      <c r="T18" s="132">
        <f>IF(SER_hh_emi_in!T18=0,0,1000000*SER_hh_emi_in!T18/SER_hh_num_in!T18)</f>
        <v>0</v>
      </c>
      <c r="U18" s="132">
        <f>IF(SER_hh_emi_in!U18=0,0,1000000*SER_hh_emi_in!U18/SER_hh_num_in!U18)</f>
        <v>0</v>
      </c>
      <c r="V18" s="132">
        <f>IF(SER_hh_emi_in!V18=0,0,1000000*SER_hh_emi_in!V18/SER_hh_num_in!V18)</f>
        <v>0</v>
      </c>
      <c r="W18" s="132">
        <f>IF(SER_hh_emi_in!W18=0,0,1000000*SER_hh_emi_in!W18/SER_hh_num_in!W18)</f>
        <v>0</v>
      </c>
      <c r="X18" s="132">
        <f>IF(SER_hh_emi_in!X18=0,0,1000000*SER_hh_emi_in!X18/SER_hh_num_in!X18)</f>
        <v>0</v>
      </c>
      <c r="Y18" s="132">
        <f>IF(SER_hh_emi_in!Y18=0,0,1000000*SER_hh_emi_in!Y18/SER_hh_num_in!Y18)</f>
        <v>0</v>
      </c>
      <c r="DA18" s="156" t="s">
        <v>801</v>
      </c>
    </row>
    <row r="19" spans="1:105" ht="12.95" customHeight="1" x14ac:dyDescent="0.25">
      <c r="A19" s="129" t="s">
        <v>35</v>
      </c>
      <c r="B19" s="130"/>
      <c r="C19" s="130">
        <f>IF(SER_hh_emi_in!C19=0,0,1000000*SER_hh_emi_in!C19/SER_hh_num_in!C19)</f>
        <v>192.83834990054578</v>
      </c>
      <c r="D19" s="130">
        <f>IF(SER_hh_emi_in!D19=0,0,1000000*SER_hh_emi_in!D19/SER_hh_num_in!D19)</f>
        <v>66.049849279440764</v>
      </c>
      <c r="E19" s="130">
        <f>IF(SER_hh_emi_in!E19=0,0,1000000*SER_hh_emi_in!E19/SER_hh_num_in!E19)</f>
        <v>136.08529891272107</v>
      </c>
      <c r="F19" s="130">
        <f>IF(SER_hh_emi_in!F19=0,0,1000000*SER_hh_emi_in!F19/SER_hh_num_in!F19)</f>
        <v>151.69831661905906</v>
      </c>
      <c r="G19" s="130">
        <f>IF(SER_hh_emi_in!G19=0,0,1000000*SER_hh_emi_in!G19/SER_hh_num_in!G19)</f>
        <v>144.03230849765959</v>
      </c>
      <c r="H19" s="130">
        <f>IF(SER_hh_emi_in!H19=0,0,1000000*SER_hh_emi_in!H19/SER_hh_num_in!H19)</f>
        <v>2761.7157297861454</v>
      </c>
      <c r="I19" s="130">
        <f>IF(SER_hh_emi_in!I19=0,0,1000000*SER_hh_emi_in!I19/SER_hh_num_in!I19)</f>
        <v>2570.808320605011</v>
      </c>
      <c r="J19" s="130">
        <f>IF(SER_hh_emi_in!J19=0,0,1000000*SER_hh_emi_in!J19/SER_hh_num_in!J19)</f>
        <v>2386.9709385120577</v>
      </c>
      <c r="K19" s="130">
        <f>IF(SER_hh_emi_in!K19=0,0,1000000*SER_hh_emi_in!K19/SER_hh_num_in!K19)</f>
        <v>456.52287927639441</v>
      </c>
      <c r="L19" s="130">
        <f>IF(SER_hh_emi_in!L19=0,0,1000000*SER_hh_emi_in!L19/SER_hh_num_in!L19)</f>
        <v>423.27152535520588</v>
      </c>
      <c r="M19" s="130">
        <f>IF(SER_hh_emi_in!M19=0,0,1000000*SER_hh_emi_in!M19/SER_hh_num_in!M19)</f>
        <v>181.20140696439415</v>
      </c>
      <c r="N19" s="130">
        <f>IF(SER_hh_emi_in!N19=0,0,1000000*SER_hh_emi_in!N19/SER_hh_num_in!N19)</f>
        <v>189.76906261846017</v>
      </c>
      <c r="O19" s="130">
        <f>IF(SER_hh_emi_in!O19=0,0,1000000*SER_hh_emi_in!O19/SER_hh_num_in!O19)</f>
        <v>191.43450411403074</v>
      </c>
      <c r="P19" s="130">
        <f>IF(SER_hh_emi_in!P19=0,0,1000000*SER_hh_emi_in!P19/SER_hh_num_in!P19)</f>
        <v>137.76546303551979</v>
      </c>
      <c r="Q19" s="130">
        <f>IF(SER_hh_emi_in!Q19=0,0,1000000*SER_hh_emi_in!Q19/SER_hh_num_in!Q19)</f>
        <v>125.89325566906341</v>
      </c>
      <c r="R19" s="130">
        <f>IF(SER_hh_emi_in!R19=0,0,1000000*SER_hh_emi_in!R19/SER_hh_num_in!R19)</f>
        <v>207.44546163024646</v>
      </c>
      <c r="S19" s="130">
        <f>IF(SER_hh_emi_in!S19=0,0,1000000*SER_hh_emi_in!S19/SER_hh_num_in!S19)</f>
        <v>389.1273324888848</v>
      </c>
      <c r="T19" s="130">
        <f>IF(SER_hh_emi_in!T19=0,0,1000000*SER_hh_emi_in!T19/SER_hh_num_in!T19)</f>
        <v>660.76435667146609</v>
      </c>
      <c r="U19" s="130">
        <f>IF(SER_hh_emi_in!U19=0,0,1000000*SER_hh_emi_in!U19/SER_hh_num_in!U19)</f>
        <v>873.49246860744108</v>
      </c>
      <c r="V19" s="130">
        <f>IF(SER_hh_emi_in!V19=0,0,1000000*SER_hh_emi_in!V19/SER_hh_num_in!V19)</f>
        <v>342.25367500275479</v>
      </c>
      <c r="W19" s="130">
        <f>IF(SER_hh_emi_in!W19=0,0,1000000*SER_hh_emi_in!W19/SER_hh_num_in!W19)</f>
        <v>1036.3848747708</v>
      </c>
      <c r="X19" s="130">
        <f>IF(SER_hh_emi_in!X19=0,0,1000000*SER_hh_emi_in!X19/SER_hh_num_in!X19)</f>
        <v>1324.1055033047576</v>
      </c>
      <c r="Y19" s="130">
        <f>IF(SER_hh_emi_in!Y19=0,0,1000000*SER_hh_emi_in!Y19/SER_hh_num_in!Y19)</f>
        <v>964.33103700142601</v>
      </c>
      <c r="DA19" s="155" t="s">
        <v>802</v>
      </c>
    </row>
    <row r="20" spans="1:105" ht="12" customHeight="1" x14ac:dyDescent="0.25">
      <c r="A20" s="131" t="s">
        <v>29</v>
      </c>
      <c r="B20" s="132"/>
      <c r="C20" s="132">
        <f>IF(SER_hh_emi_in!C20=0,0,1000000*SER_hh_emi_in!C20/SER_hh_num_in!C20)</f>
        <v>0</v>
      </c>
      <c r="D20" s="132">
        <f>IF(SER_hh_emi_in!D20=0,0,1000000*SER_hh_emi_in!D20/SER_hh_num_in!D20)</f>
        <v>0</v>
      </c>
      <c r="E20" s="132">
        <f>IF(SER_hh_emi_in!E20=0,0,1000000*SER_hh_emi_in!E20/SER_hh_num_in!E20)</f>
        <v>0</v>
      </c>
      <c r="F20" s="132">
        <f>IF(SER_hh_emi_in!F20=0,0,1000000*SER_hh_emi_in!F20/SER_hh_num_in!F20)</f>
        <v>0</v>
      </c>
      <c r="G20" s="132">
        <f>IF(SER_hh_emi_in!G20=0,0,1000000*SER_hh_emi_in!G20/SER_hh_num_in!G20)</f>
        <v>0</v>
      </c>
      <c r="H20" s="132">
        <f>IF(SER_hh_emi_in!H20=0,0,1000000*SER_hh_emi_in!H20/SER_hh_num_in!H20)</f>
        <v>0</v>
      </c>
      <c r="I20" s="132">
        <f>IF(SER_hh_emi_in!I20=0,0,1000000*SER_hh_emi_in!I20/SER_hh_num_in!I20)</f>
        <v>0</v>
      </c>
      <c r="J20" s="132">
        <f>IF(SER_hh_emi_in!J20=0,0,1000000*SER_hh_emi_in!J20/SER_hh_num_in!J20)</f>
        <v>0</v>
      </c>
      <c r="K20" s="132">
        <f>IF(SER_hh_emi_in!K20=0,0,1000000*SER_hh_emi_in!K20/SER_hh_num_in!K20)</f>
        <v>0</v>
      </c>
      <c r="L20" s="132">
        <f>IF(SER_hh_emi_in!L20=0,0,1000000*SER_hh_emi_in!L20/SER_hh_num_in!L20)</f>
        <v>0</v>
      </c>
      <c r="M20" s="132">
        <f>IF(SER_hh_emi_in!M20=0,0,1000000*SER_hh_emi_in!M20/SER_hh_num_in!M20)</f>
        <v>0</v>
      </c>
      <c r="N20" s="132">
        <f>IF(SER_hh_emi_in!N20=0,0,1000000*SER_hh_emi_in!N20/SER_hh_num_in!N20)</f>
        <v>0</v>
      </c>
      <c r="O20" s="132">
        <f>IF(SER_hh_emi_in!O20=0,0,1000000*SER_hh_emi_in!O20/SER_hh_num_in!O20)</f>
        <v>0</v>
      </c>
      <c r="P20" s="132">
        <f>IF(SER_hh_emi_in!P20=0,0,1000000*SER_hh_emi_in!P20/SER_hh_num_in!P20)</f>
        <v>0</v>
      </c>
      <c r="Q20" s="132">
        <f>IF(SER_hh_emi_in!Q20=0,0,1000000*SER_hh_emi_in!Q20/SER_hh_num_in!Q20)</f>
        <v>0</v>
      </c>
      <c r="R20" s="132">
        <f>IF(SER_hh_emi_in!R20=0,0,1000000*SER_hh_emi_in!R20/SER_hh_num_in!R20)</f>
        <v>0</v>
      </c>
      <c r="S20" s="132">
        <f>IF(SER_hh_emi_in!S20=0,0,1000000*SER_hh_emi_in!S20/SER_hh_num_in!S20)</f>
        <v>0</v>
      </c>
      <c r="T20" s="132">
        <f>IF(SER_hh_emi_in!T20=0,0,1000000*SER_hh_emi_in!T20/SER_hh_num_in!T20)</f>
        <v>0</v>
      </c>
      <c r="U20" s="132">
        <f>IF(SER_hh_emi_in!U20=0,0,1000000*SER_hh_emi_in!U20/SER_hh_num_in!U20)</f>
        <v>0</v>
      </c>
      <c r="V20" s="132">
        <f>IF(SER_hh_emi_in!V20=0,0,1000000*SER_hh_emi_in!V20/SER_hh_num_in!V20)</f>
        <v>0</v>
      </c>
      <c r="W20" s="132">
        <f>IF(SER_hh_emi_in!W20=0,0,1000000*SER_hh_emi_in!W20/SER_hh_num_in!W20)</f>
        <v>0</v>
      </c>
      <c r="X20" s="132">
        <f>IF(SER_hh_emi_in!X20=0,0,1000000*SER_hh_emi_in!X20/SER_hh_num_in!X20)</f>
        <v>0</v>
      </c>
      <c r="Y20" s="132">
        <f>IF(SER_hh_emi_in!Y20=0,0,1000000*SER_hh_emi_in!Y20/SER_hh_num_in!Y20)</f>
        <v>0</v>
      </c>
      <c r="DA20" s="156" t="s">
        <v>803</v>
      </c>
    </row>
    <row r="21" spans="1:105" s="2" customFormat="1" ht="12" customHeight="1" x14ac:dyDescent="0.25">
      <c r="A21" s="131" t="s">
        <v>52</v>
      </c>
      <c r="B21" s="132"/>
      <c r="C21" s="132">
        <f>IF(SER_hh_emi_in!C21=0,0,1000000*SER_hh_emi_in!C21/SER_hh_num_in!C21)</f>
        <v>0</v>
      </c>
      <c r="D21" s="132">
        <f>IF(SER_hh_emi_in!D21=0,0,1000000*SER_hh_emi_in!D21/SER_hh_num_in!D21)</f>
        <v>0</v>
      </c>
      <c r="E21" s="132">
        <f>IF(SER_hh_emi_in!E21=0,0,1000000*SER_hh_emi_in!E21/SER_hh_num_in!E21)</f>
        <v>0</v>
      </c>
      <c r="F21" s="132">
        <f>IF(SER_hh_emi_in!F21=0,0,1000000*SER_hh_emi_in!F21/SER_hh_num_in!F21)</f>
        <v>0</v>
      </c>
      <c r="G21" s="132">
        <f>IF(SER_hh_emi_in!G21=0,0,1000000*SER_hh_emi_in!G21/SER_hh_num_in!G21)</f>
        <v>0</v>
      </c>
      <c r="H21" s="132">
        <f>IF(SER_hh_emi_in!H21=0,0,1000000*SER_hh_emi_in!H21/SER_hh_num_in!H21)</f>
        <v>2718.671567978924</v>
      </c>
      <c r="I21" s="132">
        <f>IF(SER_hh_emi_in!I21=0,0,1000000*SER_hh_emi_in!I21/SER_hh_num_in!I21)</f>
        <v>2551.41417095207</v>
      </c>
      <c r="J21" s="132">
        <f>IF(SER_hh_emi_in!J21=0,0,1000000*SER_hh_emi_in!J21/SER_hh_num_in!J21)</f>
        <v>2448.4321482239375</v>
      </c>
      <c r="K21" s="132">
        <f>IF(SER_hh_emi_in!K21=0,0,1000000*SER_hh_emi_in!K21/SER_hh_num_in!K21)</f>
        <v>3341.5042162770951</v>
      </c>
      <c r="L21" s="132">
        <f>IF(SER_hh_emi_in!L21=0,0,1000000*SER_hh_emi_in!L21/SER_hh_num_in!L21)</f>
        <v>4371.1803893153656</v>
      </c>
      <c r="M21" s="132">
        <f>IF(SER_hh_emi_in!M21=0,0,1000000*SER_hh_emi_in!M21/SER_hh_num_in!M21)</f>
        <v>0</v>
      </c>
      <c r="N21" s="132">
        <f>IF(SER_hh_emi_in!N21=0,0,1000000*SER_hh_emi_in!N21/SER_hh_num_in!N21)</f>
        <v>0</v>
      </c>
      <c r="O21" s="132">
        <f>IF(SER_hh_emi_in!O21=0,0,1000000*SER_hh_emi_in!O21/SER_hh_num_in!O21)</f>
        <v>0</v>
      </c>
      <c r="P21" s="132">
        <f>IF(SER_hh_emi_in!P21=0,0,1000000*SER_hh_emi_in!P21/SER_hh_num_in!P21)</f>
        <v>0</v>
      </c>
      <c r="Q21" s="132">
        <f>IF(SER_hh_emi_in!Q21=0,0,1000000*SER_hh_emi_in!Q21/SER_hh_num_in!Q21)</f>
        <v>0</v>
      </c>
      <c r="R21" s="132">
        <f>IF(SER_hh_emi_in!R21=0,0,1000000*SER_hh_emi_in!R21/SER_hh_num_in!R21)</f>
        <v>2413.4571465487065</v>
      </c>
      <c r="S21" s="132">
        <f>IF(SER_hh_emi_in!S21=0,0,1000000*SER_hh_emi_in!S21/SER_hh_num_in!S21)</f>
        <v>2004.7437522251778</v>
      </c>
      <c r="T21" s="132">
        <f>IF(SER_hh_emi_in!T21=0,0,1000000*SER_hh_emi_in!T21/SER_hh_num_in!T21)</f>
        <v>2772.9306900171318</v>
      </c>
      <c r="U21" s="132">
        <f>IF(SER_hh_emi_in!U21=0,0,1000000*SER_hh_emi_in!U21/SER_hh_num_in!U21)</f>
        <v>2784.8756775740972</v>
      </c>
      <c r="V21" s="132">
        <f>IF(SER_hh_emi_in!V21=0,0,1000000*SER_hh_emi_in!V21/SER_hh_num_in!V21)</f>
        <v>1691.3127560066241</v>
      </c>
      <c r="W21" s="132">
        <f>IF(SER_hh_emi_in!W21=0,0,1000000*SER_hh_emi_in!W21/SER_hh_num_in!W21)</f>
        <v>2591.7224247864015</v>
      </c>
      <c r="X21" s="132">
        <f>IF(SER_hh_emi_in!X21=0,0,1000000*SER_hh_emi_in!X21/SER_hh_num_in!X21)</f>
        <v>3140.9224575582721</v>
      </c>
      <c r="Y21" s="132">
        <f>IF(SER_hh_emi_in!Y21=0,0,1000000*SER_hh_emi_in!Y21/SER_hh_num_in!Y21)</f>
        <v>3158.4166225625595</v>
      </c>
      <c r="DA21" s="156" t="s">
        <v>804</v>
      </c>
    </row>
    <row r="22" spans="1:105" ht="12" customHeight="1" x14ac:dyDescent="0.25">
      <c r="A22" s="131" t="s">
        <v>161</v>
      </c>
      <c r="B22" s="132"/>
      <c r="C22" s="132">
        <f>IF(SER_hh_emi_in!C22=0,0,1000000*SER_hh_emi_in!C22/SER_hh_num_in!C22)</f>
        <v>6644.88271512149</v>
      </c>
      <c r="D22" s="132">
        <f>IF(SER_hh_emi_in!D22=0,0,1000000*SER_hh_emi_in!D22/SER_hh_num_in!D22)</f>
        <v>2200.6065589686546</v>
      </c>
      <c r="E22" s="132">
        <f>IF(SER_hh_emi_in!E22=0,0,1000000*SER_hh_emi_in!E22/SER_hh_num_in!E22)</f>
        <v>4706.067925975336</v>
      </c>
      <c r="F22" s="132">
        <f>IF(SER_hh_emi_in!F22=0,0,1000000*SER_hh_emi_in!F22/SER_hh_num_in!F22)</f>
        <v>5294.8750330027924</v>
      </c>
      <c r="G22" s="132">
        <f>IF(SER_hh_emi_in!G22=0,0,1000000*SER_hh_emi_in!G22/SER_hh_num_in!G22)</f>
        <v>4881.9333539752442</v>
      </c>
      <c r="H22" s="132">
        <f>IF(SER_hh_emi_in!H22=0,0,1000000*SER_hh_emi_in!H22/SER_hh_num_in!H22)</f>
        <v>6437.648386394867</v>
      </c>
      <c r="I22" s="132">
        <f>IF(SER_hh_emi_in!I22=0,0,1000000*SER_hh_emi_in!I22/SER_hh_num_in!I22)</f>
        <v>3089.9591474139115</v>
      </c>
      <c r="J22" s="132">
        <f>IF(SER_hh_emi_in!J22=0,0,1000000*SER_hh_emi_in!J22/SER_hh_num_in!J22)</f>
        <v>3463.9666952368561</v>
      </c>
      <c r="K22" s="132">
        <f>IF(SER_hh_emi_in!K22=0,0,1000000*SER_hh_emi_in!K22/SER_hh_num_in!K22)</f>
        <v>5259.3621864774286</v>
      </c>
      <c r="L22" s="132">
        <f>IF(SER_hh_emi_in!L22=0,0,1000000*SER_hh_emi_in!L22/SER_hh_num_in!L22)</f>
        <v>6792.9793508175535</v>
      </c>
      <c r="M22" s="132">
        <f>IF(SER_hh_emi_in!M22=0,0,1000000*SER_hh_emi_in!M22/SER_hh_num_in!M22)</f>
        <v>5855.2720622741235</v>
      </c>
      <c r="N22" s="132">
        <f>IF(SER_hh_emi_in!N22=0,0,1000000*SER_hh_emi_in!N22/SER_hh_num_in!N22)</f>
        <v>6583.7855953569351</v>
      </c>
      <c r="O22" s="132">
        <f>IF(SER_hh_emi_in!O22=0,0,1000000*SER_hh_emi_in!O22/SER_hh_num_in!O22)</f>
        <v>6098.4202463113043</v>
      </c>
      <c r="P22" s="132">
        <f>IF(SER_hh_emi_in!P22=0,0,1000000*SER_hh_emi_in!P22/SER_hh_num_in!P22)</f>
        <v>4621.3001061446921</v>
      </c>
      <c r="Q22" s="132">
        <f>IF(SER_hh_emi_in!Q22=0,0,1000000*SER_hh_emi_in!Q22/SER_hh_num_in!Q22)</f>
        <v>2594.0397174088962</v>
      </c>
      <c r="R22" s="132">
        <f>IF(SER_hh_emi_in!R22=0,0,1000000*SER_hh_emi_in!R22/SER_hh_num_in!R22)</f>
        <v>3234.5029377623237</v>
      </c>
      <c r="S22" s="132">
        <f>IF(SER_hh_emi_in!S22=0,0,1000000*SER_hh_emi_in!S22/SER_hh_num_in!S22)</f>
        <v>2523.8377797767289</v>
      </c>
      <c r="T22" s="132">
        <f>IF(SER_hh_emi_in!T22=0,0,1000000*SER_hh_emi_in!T22/SER_hh_num_in!T22)</f>
        <v>3898.5085781073649</v>
      </c>
      <c r="U22" s="132">
        <f>IF(SER_hh_emi_in!U22=0,0,1000000*SER_hh_emi_in!U22/SER_hh_num_in!U22)</f>
        <v>3706.2049680051437</v>
      </c>
      <c r="V22" s="132">
        <f>IF(SER_hh_emi_in!V22=0,0,1000000*SER_hh_emi_in!V22/SER_hh_num_in!V22)</f>
        <v>2187.5121582192032</v>
      </c>
      <c r="W22" s="132">
        <f>IF(SER_hh_emi_in!W22=0,0,1000000*SER_hh_emi_in!W22/SER_hh_num_in!W22)</f>
        <v>3927.701350938521</v>
      </c>
      <c r="X22" s="132">
        <f>IF(SER_hh_emi_in!X22=0,0,1000000*SER_hh_emi_in!X22/SER_hh_num_in!X22)</f>
        <v>4744.5701650139354</v>
      </c>
      <c r="Y22" s="132">
        <f>IF(SER_hh_emi_in!Y22=0,0,1000000*SER_hh_emi_in!Y22/SER_hh_num_in!Y22)</f>
        <v>4813.6007426583374</v>
      </c>
      <c r="DA22" s="156" t="s">
        <v>805</v>
      </c>
    </row>
    <row r="23" spans="1:105" ht="12" customHeight="1" x14ac:dyDescent="0.25">
      <c r="A23" s="131" t="s">
        <v>149</v>
      </c>
      <c r="B23" s="132"/>
      <c r="C23" s="132">
        <f>IF(SER_hh_emi_in!C23=0,0,1000000*SER_hh_emi_in!C23/SER_hh_num_in!C23)</f>
        <v>0</v>
      </c>
      <c r="D23" s="132">
        <f>IF(SER_hh_emi_in!D23=0,0,1000000*SER_hh_emi_in!D23/SER_hh_num_in!D23)</f>
        <v>0</v>
      </c>
      <c r="E23" s="132">
        <f>IF(SER_hh_emi_in!E23=0,0,1000000*SER_hh_emi_in!E23/SER_hh_num_in!E23)</f>
        <v>0</v>
      </c>
      <c r="F23" s="132">
        <f>IF(SER_hh_emi_in!F23=0,0,1000000*SER_hh_emi_in!F23/SER_hh_num_in!F23)</f>
        <v>0</v>
      </c>
      <c r="G23" s="132">
        <f>IF(SER_hh_emi_in!G23=0,0,1000000*SER_hh_emi_in!G23/SER_hh_num_in!G23)</f>
        <v>0</v>
      </c>
      <c r="H23" s="132">
        <f>IF(SER_hh_emi_in!H23=0,0,1000000*SER_hh_emi_in!H23/SER_hh_num_in!H23)</f>
        <v>0</v>
      </c>
      <c r="I23" s="132">
        <f>IF(SER_hh_emi_in!I23=0,0,1000000*SER_hh_emi_in!I23/SER_hh_num_in!I23)</f>
        <v>0</v>
      </c>
      <c r="J23" s="132">
        <f>IF(SER_hh_emi_in!J23=0,0,1000000*SER_hh_emi_in!J23/SER_hh_num_in!J23)</f>
        <v>0</v>
      </c>
      <c r="K23" s="132">
        <f>IF(SER_hh_emi_in!K23=0,0,1000000*SER_hh_emi_in!K23/SER_hh_num_in!K23)</f>
        <v>0</v>
      </c>
      <c r="L23" s="132">
        <f>IF(SER_hh_emi_in!L23=0,0,1000000*SER_hh_emi_in!L23/SER_hh_num_in!L23)</f>
        <v>0</v>
      </c>
      <c r="M23" s="132">
        <f>IF(SER_hh_emi_in!M23=0,0,1000000*SER_hh_emi_in!M23/SER_hh_num_in!M23)</f>
        <v>0</v>
      </c>
      <c r="N23" s="132">
        <f>IF(SER_hh_emi_in!N23=0,0,1000000*SER_hh_emi_in!N23/SER_hh_num_in!N23)</f>
        <v>0</v>
      </c>
      <c r="O23" s="132">
        <f>IF(SER_hh_emi_in!O23=0,0,1000000*SER_hh_emi_in!O23/SER_hh_num_in!O23)</f>
        <v>0</v>
      </c>
      <c r="P23" s="132">
        <f>IF(SER_hh_emi_in!P23=0,0,1000000*SER_hh_emi_in!P23/SER_hh_num_in!P23)</f>
        <v>0</v>
      </c>
      <c r="Q23" s="132">
        <f>IF(SER_hh_emi_in!Q23=0,0,1000000*SER_hh_emi_in!Q23/SER_hh_num_in!Q23)</f>
        <v>0</v>
      </c>
      <c r="R23" s="132">
        <f>IF(SER_hh_emi_in!R23=0,0,1000000*SER_hh_emi_in!R23/SER_hh_num_in!R23)</f>
        <v>0</v>
      </c>
      <c r="S23" s="132">
        <f>IF(SER_hh_emi_in!S23=0,0,1000000*SER_hh_emi_in!S23/SER_hh_num_in!S23)</f>
        <v>0</v>
      </c>
      <c r="T23" s="132">
        <f>IF(SER_hh_emi_in!T23=0,0,1000000*SER_hh_emi_in!T23/SER_hh_num_in!T23)</f>
        <v>0</v>
      </c>
      <c r="U23" s="132">
        <f>IF(SER_hh_emi_in!U23=0,0,1000000*SER_hh_emi_in!U23/SER_hh_num_in!U23)</f>
        <v>0</v>
      </c>
      <c r="V23" s="132">
        <f>IF(SER_hh_emi_in!V23=0,0,1000000*SER_hh_emi_in!V23/SER_hh_num_in!V23)</f>
        <v>0</v>
      </c>
      <c r="W23" s="132">
        <f>IF(SER_hh_emi_in!W23=0,0,1000000*SER_hh_emi_in!W23/SER_hh_num_in!W23)</f>
        <v>0</v>
      </c>
      <c r="X23" s="132">
        <f>IF(SER_hh_emi_in!X23=0,0,1000000*SER_hh_emi_in!X23/SER_hh_num_in!X23)</f>
        <v>0</v>
      </c>
      <c r="Y23" s="132">
        <f>IF(SER_hh_emi_in!Y23=0,0,1000000*SER_hh_emi_in!Y23/SER_hh_num_in!Y23)</f>
        <v>0</v>
      </c>
      <c r="DA23" s="156" t="s">
        <v>806</v>
      </c>
    </row>
    <row r="24" spans="1:105" ht="12" customHeight="1" x14ac:dyDescent="0.25">
      <c r="A24" s="131" t="s">
        <v>128</v>
      </c>
      <c r="B24" s="132"/>
      <c r="C24" s="132">
        <f>IF(SER_hh_emi_in!C24=0,0,1000000*SER_hh_emi_in!C24/SER_hh_num_in!C24)</f>
        <v>0</v>
      </c>
      <c r="D24" s="132">
        <f>IF(SER_hh_emi_in!D24=0,0,1000000*SER_hh_emi_in!D24/SER_hh_num_in!D24)</f>
        <v>0</v>
      </c>
      <c r="E24" s="132">
        <f>IF(SER_hh_emi_in!E24=0,0,1000000*SER_hh_emi_in!E24/SER_hh_num_in!E24)</f>
        <v>0</v>
      </c>
      <c r="F24" s="132">
        <f>IF(SER_hh_emi_in!F24=0,0,1000000*SER_hh_emi_in!F24/SER_hh_num_in!F24)</f>
        <v>0</v>
      </c>
      <c r="G24" s="132">
        <f>IF(SER_hh_emi_in!G24=0,0,1000000*SER_hh_emi_in!G24/SER_hh_num_in!G24)</f>
        <v>0</v>
      </c>
      <c r="H24" s="132">
        <f>IF(SER_hh_emi_in!H24=0,0,1000000*SER_hh_emi_in!H24/SER_hh_num_in!H24)</f>
        <v>0</v>
      </c>
      <c r="I24" s="132">
        <f>IF(SER_hh_emi_in!I24=0,0,1000000*SER_hh_emi_in!I24/SER_hh_num_in!I24)</f>
        <v>0</v>
      </c>
      <c r="J24" s="132">
        <f>IF(SER_hh_emi_in!J24=0,0,1000000*SER_hh_emi_in!J24/SER_hh_num_in!J24)</f>
        <v>0</v>
      </c>
      <c r="K24" s="132">
        <f>IF(SER_hh_emi_in!K24=0,0,1000000*SER_hh_emi_in!K24/SER_hh_num_in!K24)</f>
        <v>0</v>
      </c>
      <c r="L24" s="132">
        <f>IF(SER_hh_emi_in!L24=0,0,1000000*SER_hh_emi_in!L24/SER_hh_num_in!L24)</f>
        <v>0</v>
      </c>
      <c r="M24" s="132">
        <f>IF(SER_hh_emi_in!M24=0,0,1000000*SER_hh_emi_in!M24/SER_hh_num_in!M24)</f>
        <v>0</v>
      </c>
      <c r="N24" s="132">
        <f>IF(SER_hh_emi_in!N24=0,0,1000000*SER_hh_emi_in!N24/SER_hh_num_in!N24)</f>
        <v>0</v>
      </c>
      <c r="O24" s="132">
        <f>IF(SER_hh_emi_in!O24=0,0,1000000*SER_hh_emi_in!O24/SER_hh_num_in!O24)</f>
        <v>0</v>
      </c>
      <c r="P24" s="132">
        <f>IF(SER_hh_emi_in!P24=0,0,1000000*SER_hh_emi_in!P24/SER_hh_num_in!P24)</f>
        <v>0</v>
      </c>
      <c r="Q24" s="132">
        <f>IF(SER_hh_emi_in!Q24=0,0,1000000*SER_hh_emi_in!Q24/SER_hh_num_in!Q24)</f>
        <v>0</v>
      </c>
      <c r="R24" s="132">
        <f>IF(SER_hh_emi_in!R24=0,0,1000000*SER_hh_emi_in!R24/SER_hh_num_in!R24)</f>
        <v>0</v>
      </c>
      <c r="S24" s="132">
        <f>IF(SER_hh_emi_in!S24=0,0,1000000*SER_hh_emi_in!S24/SER_hh_num_in!S24)</f>
        <v>0</v>
      </c>
      <c r="T24" s="132">
        <f>IF(SER_hh_emi_in!T24=0,0,1000000*SER_hh_emi_in!T24/SER_hh_num_in!T24)</f>
        <v>0</v>
      </c>
      <c r="U24" s="132">
        <f>IF(SER_hh_emi_in!U24=0,0,1000000*SER_hh_emi_in!U24/SER_hh_num_in!U24)</f>
        <v>0</v>
      </c>
      <c r="V24" s="132">
        <f>IF(SER_hh_emi_in!V24=0,0,1000000*SER_hh_emi_in!V24/SER_hh_num_in!V24)</f>
        <v>0</v>
      </c>
      <c r="W24" s="132">
        <f>IF(SER_hh_emi_in!W24=0,0,1000000*SER_hh_emi_in!W24/SER_hh_num_in!W24)</f>
        <v>0</v>
      </c>
      <c r="X24" s="132">
        <f>IF(SER_hh_emi_in!X24=0,0,1000000*SER_hh_emi_in!X24/SER_hh_num_in!X24)</f>
        <v>0</v>
      </c>
      <c r="Y24" s="132">
        <f>IF(SER_hh_emi_in!Y24=0,0,1000000*SER_hh_emi_in!Y24/SER_hh_num_in!Y24)</f>
        <v>0</v>
      </c>
      <c r="DA24" s="156" t="s">
        <v>807</v>
      </c>
    </row>
    <row r="25" spans="1:105" ht="12" customHeight="1" x14ac:dyDescent="0.25">
      <c r="A25" s="131" t="s">
        <v>162</v>
      </c>
      <c r="B25" s="132"/>
      <c r="C25" s="132">
        <f>IF(SER_hh_emi_in!C25=0,0,1000000*SER_hh_emi_in!C25/SER_hh_num_in!C25)</f>
        <v>0</v>
      </c>
      <c r="D25" s="132">
        <f>IF(SER_hh_emi_in!D25=0,0,1000000*SER_hh_emi_in!D25/SER_hh_num_in!D25)</f>
        <v>0</v>
      </c>
      <c r="E25" s="132">
        <f>IF(SER_hh_emi_in!E25=0,0,1000000*SER_hh_emi_in!E25/SER_hh_num_in!E25)</f>
        <v>0</v>
      </c>
      <c r="F25" s="132">
        <f>IF(SER_hh_emi_in!F25=0,0,1000000*SER_hh_emi_in!F25/SER_hh_num_in!F25)</f>
        <v>0</v>
      </c>
      <c r="G25" s="132">
        <f>IF(SER_hh_emi_in!G25=0,0,1000000*SER_hh_emi_in!G25/SER_hh_num_in!G25)</f>
        <v>0</v>
      </c>
      <c r="H25" s="132">
        <f>IF(SER_hh_emi_in!H25=0,0,1000000*SER_hh_emi_in!H25/SER_hh_num_in!H25)</f>
        <v>0</v>
      </c>
      <c r="I25" s="132">
        <f>IF(SER_hh_emi_in!I25=0,0,1000000*SER_hh_emi_in!I25/SER_hh_num_in!I25)</f>
        <v>0</v>
      </c>
      <c r="J25" s="132">
        <f>IF(SER_hh_emi_in!J25=0,0,1000000*SER_hh_emi_in!J25/SER_hh_num_in!J25)</f>
        <v>0</v>
      </c>
      <c r="K25" s="132">
        <f>IF(SER_hh_emi_in!K25=0,0,1000000*SER_hh_emi_in!K25/SER_hh_num_in!K25)</f>
        <v>0</v>
      </c>
      <c r="L25" s="132">
        <f>IF(SER_hh_emi_in!L25=0,0,1000000*SER_hh_emi_in!L25/SER_hh_num_in!L25)</f>
        <v>0</v>
      </c>
      <c r="M25" s="132">
        <f>IF(SER_hh_emi_in!M25=0,0,1000000*SER_hh_emi_in!M25/SER_hh_num_in!M25)</f>
        <v>0</v>
      </c>
      <c r="N25" s="132">
        <f>IF(SER_hh_emi_in!N25=0,0,1000000*SER_hh_emi_in!N25/SER_hh_num_in!N25)</f>
        <v>0</v>
      </c>
      <c r="O25" s="132">
        <f>IF(SER_hh_emi_in!O25=0,0,1000000*SER_hh_emi_in!O25/SER_hh_num_in!O25)</f>
        <v>0</v>
      </c>
      <c r="P25" s="132">
        <f>IF(SER_hh_emi_in!P25=0,0,1000000*SER_hh_emi_in!P25/SER_hh_num_in!P25)</f>
        <v>0</v>
      </c>
      <c r="Q25" s="132">
        <f>IF(SER_hh_emi_in!Q25=0,0,1000000*SER_hh_emi_in!Q25/SER_hh_num_in!Q25)</f>
        <v>0</v>
      </c>
      <c r="R25" s="132">
        <f>IF(SER_hh_emi_in!R25=0,0,1000000*SER_hh_emi_in!R25/SER_hh_num_in!R25)</f>
        <v>0</v>
      </c>
      <c r="S25" s="132">
        <f>IF(SER_hh_emi_in!S25=0,0,1000000*SER_hh_emi_in!S25/SER_hh_num_in!S25)</f>
        <v>0</v>
      </c>
      <c r="T25" s="132">
        <f>IF(SER_hh_emi_in!T25=0,0,1000000*SER_hh_emi_in!T25/SER_hh_num_in!T25)</f>
        <v>0</v>
      </c>
      <c r="U25" s="132">
        <f>IF(SER_hh_emi_in!U25=0,0,1000000*SER_hh_emi_in!U25/SER_hh_num_in!U25)</f>
        <v>0</v>
      </c>
      <c r="V25" s="132">
        <f>IF(SER_hh_emi_in!V25=0,0,1000000*SER_hh_emi_in!V25/SER_hh_num_in!V25)</f>
        <v>0</v>
      </c>
      <c r="W25" s="132">
        <f>IF(SER_hh_emi_in!W25=0,0,1000000*SER_hh_emi_in!W25/SER_hh_num_in!W25)</f>
        <v>0</v>
      </c>
      <c r="X25" s="132">
        <f>IF(SER_hh_emi_in!X25=0,0,1000000*SER_hh_emi_in!X25/SER_hh_num_in!X25)</f>
        <v>0</v>
      </c>
      <c r="Y25" s="132">
        <f>IF(SER_hh_emi_in!Y25=0,0,1000000*SER_hh_emi_in!Y25/SER_hh_num_in!Y25)</f>
        <v>0</v>
      </c>
      <c r="DA25" s="156" t="s">
        <v>808</v>
      </c>
    </row>
    <row r="26" spans="1:105" ht="12" customHeight="1" x14ac:dyDescent="0.25">
      <c r="A26" s="131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X26" s="65">
        <f>IF(SER_hh_emi_in!X26=0,0,1000000*SER_hh_emi_in!X26/SER_hh_num_in!X26)</f>
        <v>0</v>
      </c>
      <c r="Y26" s="65">
        <f>IF(SER_hh_emi_in!Y26=0,0,1000000*SER_hh_emi_in!Y26/SER_hh_num_in!Y26)</f>
        <v>0</v>
      </c>
      <c r="DA26" s="109" t="s">
        <v>809</v>
      </c>
    </row>
    <row r="27" spans="1:105" ht="12" customHeight="1" x14ac:dyDescent="0.25">
      <c r="A27" s="144" t="s">
        <v>86</v>
      </c>
      <c r="B27" s="147"/>
      <c r="C27" s="145">
        <f>IF(SER_hh_emi_in!C27=0,0,1000000*SER_hh_emi_in!C27/SER_hh_num_in!C19)</f>
        <v>0</v>
      </c>
      <c r="D27" s="145">
        <f>IF(SER_hh_emi_in!D27=0,0,1000000*SER_hh_emi_in!D27/SER_hh_num_in!D19)</f>
        <v>0</v>
      </c>
      <c r="E27" s="145">
        <f>IF(SER_hh_emi_in!E27=0,0,1000000*SER_hh_emi_in!E27/SER_hh_num_in!E19)</f>
        <v>0</v>
      </c>
      <c r="F27" s="145">
        <f>IF(SER_hh_emi_in!F27=0,0,1000000*SER_hh_emi_in!F27/SER_hh_num_in!F19)</f>
        <v>0</v>
      </c>
      <c r="G27" s="145">
        <f>IF(SER_hh_emi_in!G27=0,0,1000000*SER_hh_emi_in!G27/SER_hh_num_in!G19)</f>
        <v>0</v>
      </c>
      <c r="H27" s="145">
        <f>IF(SER_hh_emi_in!H27=0,0,1000000*SER_hh_emi_in!H27/SER_hh_num_in!H19)</f>
        <v>0</v>
      </c>
      <c r="I27" s="145">
        <f>IF(SER_hh_emi_in!I27=0,0,1000000*SER_hh_emi_in!I27/SER_hh_num_in!I19)</f>
        <v>0</v>
      </c>
      <c r="J27" s="145">
        <f>IF(SER_hh_emi_in!J27=0,0,1000000*SER_hh_emi_in!J27/SER_hh_num_in!J19)</f>
        <v>0</v>
      </c>
      <c r="K27" s="145">
        <f>IF(SER_hh_emi_in!K27=0,0,1000000*SER_hh_emi_in!K27/SER_hh_num_in!K19)</f>
        <v>0</v>
      </c>
      <c r="L27" s="145">
        <f>IF(SER_hh_emi_in!L27=0,0,1000000*SER_hh_emi_in!L27/SER_hh_num_in!L19)</f>
        <v>0</v>
      </c>
      <c r="M27" s="145">
        <f>IF(SER_hh_emi_in!M27=0,0,1000000*SER_hh_emi_in!M27/SER_hh_num_in!M19)</f>
        <v>0</v>
      </c>
      <c r="N27" s="145">
        <f>IF(SER_hh_emi_in!N27=0,0,1000000*SER_hh_emi_in!N27/SER_hh_num_in!N19)</f>
        <v>0</v>
      </c>
      <c r="O27" s="145">
        <f>IF(SER_hh_emi_in!O27=0,0,1000000*SER_hh_emi_in!O27/SER_hh_num_in!O19)</f>
        <v>0</v>
      </c>
      <c r="P27" s="145">
        <f>IF(SER_hh_emi_in!P27=0,0,1000000*SER_hh_emi_in!P27/SER_hh_num_in!P19)</f>
        <v>0</v>
      </c>
      <c r="Q27" s="145">
        <f>IF(SER_hh_emi_in!Q27=0,0,1000000*SER_hh_emi_in!Q27/SER_hh_num_in!Q19)</f>
        <v>0</v>
      </c>
      <c r="R27" s="145">
        <f>IF(SER_hh_emi_in!R27=0,0,1000000*SER_hh_emi_in!R27/SER_hh_num_in!R19)</f>
        <v>0</v>
      </c>
      <c r="S27" s="145">
        <f>IF(SER_hh_emi_in!S27=0,0,1000000*SER_hh_emi_in!S27/SER_hh_num_in!S19)</f>
        <v>0</v>
      </c>
      <c r="T27" s="145">
        <f>IF(SER_hh_emi_in!T27=0,0,1000000*SER_hh_emi_in!T27/SER_hh_num_in!T19)</f>
        <v>0</v>
      </c>
      <c r="U27" s="145">
        <f>IF(SER_hh_emi_in!U27=0,0,1000000*SER_hh_emi_in!U27/SER_hh_num_in!U19)</f>
        <v>0</v>
      </c>
      <c r="V27" s="145">
        <f>IF(SER_hh_emi_in!V27=0,0,1000000*SER_hh_emi_in!V27/SER_hh_num_in!V19)</f>
        <v>0</v>
      </c>
      <c r="W27" s="145">
        <f>IF(SER_hh_emi_in!W27=0,0,1000000*SER_hh_emi_in!W27/SER_hh_num_in!W19)</f>
        <v>0</v>
      </c>
      <c r="X27" s="145">
        <f>IF(SER_hh_emi_in!X27=0,0,1000000*SER_hh_emi_in!X27/SER_hh_num_in!X19)</f>
        <v>0</v>
      </c>
      <c r="Y27" s="145">
        <f>IF(SER_hh_emi_in!Y27=0,0,1000000*SER_hh_emi_in!Y27/SER_hh_num_in!Y19)</f>
        <v>0</v>
      </c>
      <c r="DA27" s="158" t="s">
        <v>810</v>
      </c>
    </row>
    <row r="28" spans="1:105" ht="12" customHeight="1" x14ac:dyDescent="0.25">
      <c r="A28" s="78" t="s">
        <v>85</v>
      </c>
      <c r="B28" s="68"/>
      <c r="C28" s="146">
        <f>IF(SER_hh_emi_in!C27=0,0,1000000*SER_hh_emi_in!C27/SER_hh_num_in!C27)</f>
        <v>0</v>
      </c>
      <c r="D28" s="146">
        <f>IF(SER_hh_emi_in!D27=0,0,1000000*SER_hh_emi_in!D27/SER_hh_num_in!D27)</f>
        <v>0</v>
      </c>
      <c r="E28" s="146">
        <f>IF(SER_hh_emi_in!E27=0,0,1000000*SER_hh_emi_in!E27/SER_hh_num_in!E27)</f>
        <v>0</v>
      </c>
      <c r="F28" s="146">
        <f>IF(SER_hh_emi_in!F27=0,0,1000000*SER_hh_emi_in!F27/SER_hh_num_in!F27)</f>
        <v>0</v>
      </c>
      <c r="G28" s="146">
        <f>IF(SER_hh_emi_in!G27=0,0,1000000*SER_hh_emi_in!G27/SER_hh_num_in!G27)</f>
        <v>0</v>
      </c>
      <c r="H28" s="146">
        <f>IF(SER_hh_emi_in!H27=0,0,1000000*SER_hh_emi_in!H27/SER_hh_num_in!H27)</f>
        <v>0</v>
      </c>
      <c r="I28" s="146">
        <f>IF(SER_hh_emi_in!I27=0,0,1000000*SER_hh_emi_in!I27/SER_hh_num_in!I27)</f>
        <v>0</v>
      </c>
      <c r="J28" s="146">
        <f>IF(SER_hh_emi_in!J27=0,0,1000000*SER_hh_emi_in!J27/SER_hh_num_in!J27)</f>
        <v>0</v>
      </c>
      <c r="K28" s="146">
        <f>IF(SER_hh_emi_in!K27=0,0,1000000*SER_hh_emi_in!K27/SER_hh_num_in!K27)</f>
        <v>0</v>
      </c>
      <c r="L28" s="146">
        <f>IF(SER_hh_emi_in!L27=0,0,1000000*SER_hh_emi_in!L27/SER_hh_num_in!L27)</f>
        <v>0</v>
      </c>
      <c r="M28" s="146">
        <f>IF(SER_hh_emi_in!M27=0,0,1000000*SER_hh_emi_in!M27/SER_hh_num_in!M27)</f>
        <v>0</v>
      </c>
      <c r="N28" s="146">
        <f>IF(SER_hh_emi_in!N27=0,0,1000000*SER_hh_emi_in!N27/SER_hh_num_in!N27)</f>
        <v>0</v>
      </c>
      <c r="O28" s="146">
        <f>IF(SER_hh_emi_in!O27=0,0,1000000*SER_hh_emi_in!O27/SER_hh_num_in!O27)</f>
        <v>0</v>
      </c>
      <c r="P28" s="146">
        <f>IF(SER_hh_emi_in!P27=0,0,1000000*SER_hh_emi_in!P27/SER_hh_num_in!P27)</f>
        <v>0</v>
      </c>
      <c r="Q28" s="146">
        <f>IF(SER_hh_emi_in!Q27=0,0,1000000*SER_hh_emi_in!Q27/SER_hh_num_in!Q27)</f>
        <v>0</v>
      </c>
      <c r="R28" s="146">
        <f>IF(SER_hh_emi_in!R27=0,0,1000000*SER_hh_emi_in!R27/SER_hh_num_in!R27)</f>
        <v>0</v>
      </c>
      <c r="S28" s="146">
        <f>IF(SER_hh_emi_in!S27=0,0,1000000*SER_hh_emi_in!S27/SER_hh_num_in!S27)</f>
        <v>0</v>
      </c>
      <c r="T28" s="146">
        <f>IF(SER_hh_emi_in!T27=0,0,1000000*SER_hh_emi_in!T27/SER_hh_num_in!T27)</f>
        <v>0</v>
      </c>
      <c r="U28" s="146">
        <f>IF(SER_hh_emi_in!U27=0,0,1000000*SER_hh_emi_in!U27/SER_hh_num_in!U27)</f>
        <v>0</v>
      </c>
      <c r="V28" s="146">
        <f>IF(SER_hh_emi_in!V27=0,0,1000000*SER_hh_emi_in!V27/SER_hh_num_in!V27)</f>
        <v>0</v>
      </c>
      <c r="W28" s="146">
        <f>IF(SER_hh_emi_in!W27=0,0,1000000*SER_hh_emi_in!W27/SER_hh_num_in!W27)</f>
        <v>0</v>
      </c>
      <c r="X28" s="146">
        <f>IF(SER_hh_emi_in!X27=0,0,1000000*SER_hh_emi_in!X27/SER_hh_num_in!X27)</f>
        <v>0</v>
      </c>
      <c r="Y28" s="146">
        <f>IF(SER_hh_emi_in!Y27=0,0,1000000*SER_hh_emi_in!Y27/SER_hh_num_in!Y27)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IF(SER_hh_emi_in!C29=0,0,1000000*SER_hh_emi_in!C29/SER_hh_num_in!C29)</f>
        <v>0</v>
      </c>
      <c r="D29" s="130">
        <f>IF(SER_hh_emi_in!D29=0,0,1000000*SER_hh_emi_in!D29/SER_hh_num_in!D29)</f>
        <v>0</v>
      </c>
      <c r="E29" s="130">
        <f>IF(SER_hh_emi_in!E29=0,0,1000000*SER_hh_emi_in!E29/SER_hh_num_in!E29)</f>
        <v>0</v>
      </c>
      <c r="F29" s="130">
        <f>IF(SER_hh_emi_in!F29=0,0,1000000*SER_hh_emi_in!F29/SER_hh_num_in!F29)</f>
        <v>0</v>
      </c>
      <c r="G29" s="130">
        <f>IF(SER_hh_emi_in!G29=0,0,1000000*SER_hh_emi_in!G29/SER_hh_num_in!G29)</f>
        <v>0</v>
      </c>
      <c r="H29" s="130">
        <f>IF(SER_hh_emi_in!H29=0,0,1000000*SER_hh_emi_in!H29/SER_hh_num_in!H29)</f>
        <v>5349.1735546590298</v>
      </c>
      <c r="I29" s="130">
        <f>IF(SER_hh_emi_in!I29=0,0,1000000*SER_hh_emi_in!I29/SER_hh_num_in!I29)</f>
        <v>1713.0720896675866</v>
      </c>
      <c r="J29" s="130">
        <f>IF(SER_hh_emi_in!J29=0,0,1000000*SER_hh_emi_in!J29/SER_hh_num_in!J29)</f>
        <v>831.98778097177433</v>
      </c>
      <c r="K29" s="130">
        <f>IF(SER_hh_emi_in!K29=0,0,1000000*SER_hh_emi_in!K29/SER_hh_num_in!K29)</f>
        <v>0</v>
      </c>
      <c r="L29" s="130">
        <f>IF(SER_hh_emi_in!L29=0,0,1000000*SER_hh_emi_in!L29/SER_hh_num_in!L29)</f>
        <v>140.67696941020102</v>
      </c>
      <c r="M29" s="130">
        <f>IF(SER_hh_emi_in!M29=0,0,1000000*SER_hh_emi_in!M29/SER_hh_num_in!M29)</f>
        <v>1154.2515138357312</v>
      </c>
      <c r="N29" s="130">
        <f>IF(SER_hh_emi_in!N29=0,0,1000000*SER_hh_emi_in!N29/SER_hh_num_in!N29)</f>
        <v>763.73926714983668</v>
      </c>
      <c r="O29" s="130">
        <f>IF(SER_hh_emi_in!O29=0,0,1000000*SER_hh_emi_in!O29/SER_hh_num_in!O29)</f>
        <v>462.76273267433339</v>
      </c>
      <c r="P29" s="130">
        <f>IF(SER_hh_emi_in!P29=0,0,1000000*SER_hh_emi_in!P29/SER_hh_num_in!P29)</f>
        <v>347.21743622753525</v>
      </c>
      <c r="Q29" s="130">
        <f>IF(SER_hh_emi_in!Q29=0,0,1000000*SER_hh_emi_in!Q29/SER_hh_num_in!Q29)</f>
        <v>1540.0503098777715</v>
      </c>
      <c r="R29" s="130">
        <f>IF(SER_hh_emi_in!R29=0,0,1000000*SER_hh_emi_in!R29/SER_hh_num_in!R29)</f>
        <v>1534.3549042280254</v>
      </c>
      <c r="S29" s="130">
        <f>IF(SER_hh_emi_in!S29=0,0,1000000*SER_hh_emi_in!S29/SER_hh_num_in!S29)</f>
        <v>2771.5781518625181</v>
      </c>
      <c r="T29" s="130">
        <f>IF(SER_hh_emi_in!T29=0,0,1000000*SER_hh_emi_in!T29/SER_hh_num_in!T29)</f>
        <v>1650.3008167785697</v>
      </c>
      <c r="U29" s="130">
        <f>IF(SER_hh_emi_in!U29=0,0,1000000*SER_hh_emi_in!U29/SER_hh_num_in!U29)</f>
        <v>712.44389575817843</v>
      </c>
      <c r="V29" s="130">
        <f>IF(SER_hh_emi_in!V29=0,0,1000000*SER_hh_emi_in!V29/SER_hh_num_in!V29)</f>
        <v>608.58823806512737</v>
      </c>
      <c r="W29" s="130">
        <f>IF(SER_hh_emi_in!W29=0,0,1000000*SER_hh_emi_in!W29/SER_hh_num_in!W29)</f>
        <v>321.03883936599766</v>
      </c>
      <c r="X29" s="130">
        <f>IF(SER_hh_emi_in!X29=0,0,1000000*SER_hh_emi_in!X29/SER_hh_num_in!X29)</f>
        <v>75.302254646840268</v>
      </c>
      <c r="Y29" s="130">
        <f>IF(SER_hh_emi_in!Y29=0,0,1000000*SER_hh_emi_in!Y29/SER_hh_num_in!Y29)</f>
        <v>454.86949984606662</v>
      </c>
      <c r="DA29" s="155" t="s">
        <v>811</v>
      </c>
    </row>
    <row r="30" spans="1:105" s="2" customFormat="1" ht="12" customHeight="1" x14ac:dyDescent="0.25">
      <c r="A30" s="131" t="s">
        <v>52</v>
      </c>
      <c r="B30" s="132"/>
      <c r="C30" s="132">
        <f>IF(SER_hh_emi_in!C30=0,0,1000000*SER_hh_emi_in!C30/SER_hh_num_in!C30)</f>
        <v>0</v>
      </c>
      <c r="D30" s="132">
        <f>IF(SER_hh_emi_in!D30=0,0,1000000*SER_hh_emi_in!D30/SER_hh_num_in!D30)</f>
        <v>0</v>
      </c>
      <c r="E30" s="132">
        <f>IF(SER_hh_emi_in!E30=0,0,1000000*SER_hh_emi_in!E30/SER_hh_num_in!E30)</f>
        <v>0</v>
      </c>
      <c r="F30" s="132">
        <f>IF(SER_hh_emi_in!F30=0,0,1000000*SER_hh_emi_in!F30/SER_hh_num_in!F30)</f>
        <v>0</v>
      </c>
      <c r="G30" s="132">
        <f>IF(SER_hh_emi_in!G30=0,0,1000000*SER_hh_emi_in!G30/SER_hh_num_in!G30)</f>
        <v>0</v>
      </c>
      <c r="H30" s="132">
        <f>IF(SER_hh_emi_in!H30=0,0,1000000*SER_hh_emi_in!H30/SER_hh_num_in!H30)</f>
        <v>6178.5960680739745</v>
      </c>
      <c r="I30" s="132">
        <f>IF(SER_hh_emi_in!I30=0,0,1000000*SER_hh_emi_in!I30/SER_hh_num_in!I30)</f>
        <v>4723.2941448832698</v>
      </c>
      <c r="J30" s="132">
        <f>IF(SER_hh_emi_in!J30=0,0,1000000*SER_hh_emi_in!J30/SER_hh_num_in!J30)</f>
        <v>4928.02985210102</v>
      </c>
      <c r="K30" s="132">
        <f>IF(SER_hh_emi_in!K30=0,0,1000000*SER_hh_emi_in!K30/SER_hh_num_in!K30)</f>
        <v>0</v>
      </c>
      <c r="L30" s="132">
        <f>IF(SER_hh_emi_in!L30=0,0,1000000*SER_hh_emi_in!L30/SER_hh_num_in!L30)</f>
        <v>3841.8155488330026</v>
      </c>
      <c r="M30" s="132">
        <f>IF(SER_hh_emi_in!M30=0,0,1000000*SER_hh_emi_in!M30/SER_hh_num_in!M30)</f>
        <v>4588.0518139413125</v>
      </c>
      <c r="N30" s="132">
        <f>IF(SER_hh_emi_in!N30=0,0,1000000*SER_hh_emi_in!N30/SER_hh_num_in!N30)</f>
        <v>4710.7834764291847</v>
      </c>
      <c r="O30" s="132">
        <f>IF(SER_hh_emi_in!O30=0,0,1000000*SER_hh_emi_in!O30/SER_hh_num_in!O30)</f>
        <v>4352.0724357138961</v>
      </c>
      <c r="P30" s="132">
        <f>IF(SER_hh_emi_in!P30=0,0,1000000*SER_hh_emi_in!P30/SER_hh_num_in!P30)</f>
        <v>3803.0930079086625</v>
      </c>
      <c r="Q30" s="132">
        <f>IF(SER_hh_emi_in!Q30=0,0,1000000*SER_hh_emi_in!Q30/SER_hh_num_in!Q30)</f>
        <v>4351.3515802268957</v>
      </c>
      <c r="R30" s="132">
        <f>IF(SER_hh_emi_in!R30=0,0,1000000*SER_hh_emi_in!R30/SER_hh_num_in!R30)</f>
        <v>3891.8831712431952</v>
      </c>
      <c r="S30" s="132">
        <f>IF(SER_hh_emi_in!S30=0,0,1000000*SER_hh_emi_in!S30/SER_hh_num_in!S30)</f>
        <v>4503.9261596497499</v>
      </c>
      <c r="T30" s="132">
        <f>IF(SER_hh_emi_in!T30=0,0,1000000*SER_hh_emi_in!T30/SER_hh_num_in!T30)</f>
        <v>4673.0534455120442</v>
      </c>
      <c r="U30" s="132">
        <f>IF(SER_hh_emi_in!U30=0,0,1000000*SER_hh_emi_in!U30/SER_hh_num_in!U30)</f>
        <v>5908.7196860575905</v>
      </c>
      <c r="V30" s="132">
        <f>IF(SER_hh_emi_in!V30=0,0,1000000*SER_hh_emi_in!V30/SER_hh_num_in!V30)</f>
        <v>4173.3484581471348</v>
      </c>
      <c r="W30" s="132">
        <f>IF(SER_hh_emi_in!W30=0,0,1000000*SER_hh_emi_in!W30/SER_hh_num_in!W30)</f>
        <v>3617.63879617365</v>
      </c>
      <c r="X30" s="132">
        <f>IF(SER_hh_emi_in!X30=0,0,1000000*SER_hh_emi_in!X30/SER_hh_num_in!X30)</f>
        <v>4578.5535927733981</v>
      </c>
      <c r="Y30" s="132">
        <f>IF(SER_hh_emi_in!Y30=0,0,1000000*SER_hh_emi_in!Y30/SER_hh_num_in!Y30)</f>
        <v>4240.8561400237613</v>
      </c>
      <c r="DA30" s="156" t="s">
        <v>812</v>
      </c>
    </row>
    <row r="31" spans="1:105" ht="12" customHeight="1" x14ac:dyDescent="0.25">
      <c r="A31" s="131" t="s">
        <v>149</v>
      </c>
      <c r="B31" s="132"/>
      <c r="C31" s="132">
        <f>IF(SER_hh_emi_in!C31=0,0,1000000*SER_hh_emi_in!C31/SER_hh_num_in!C31)</f>
        <v>0</v>
      </c>
      <c r="D31" s="132">
        <f>IF(SER_hh_emi_in!D31=0,0,1000000*SER_hh_emi_in!D31/SER_hh_num_in!D31)</f>
        <v>0</v>
      </c>
      <c r="E31" s="132">
        <f>IF(SER_hh_emi_in!E31=0,0,1000000*SER_hh_emi_in!E31/SER_hh_num_in!E31)</f>
        <v>0</v>
      </c>
      <c r="F31" s="132">
        <f>IF(SER_hh_emi_in!F31=0,0,1000000*SER_hh_emi_in!F31/SER_hh_num_in!F31)</f>
        <v>0</v>
      </c>
      <c r="G31" s="132">
        <f>IF(SER_hh_emi_in!G31=0,0,1000000*SER_hh_emi_in!G31/SER_hh_num_in!G31)</f>
        <v>0</v>
      </c>
      <c r="H31" s="132">
        <f>IF(SER_hh_emi_in!H31=0,0,1000000*SER_hh_emi_in!H31/SER_hh_num_in!H31)</f>
        <v>0</v>
      </c>
      <c r="I31" s="132">
        <f>IF(SER_hh_emi_in!I31=0,0,1000000*SER_hh_emi_in!I31/SER_hh_num_in!I31)</f>
        <v>0</v>
      </c>
      <c r="J31" s="132">
        <f>IF(SER_hh_emi_in!J31=0,0,1000000*SER_hh_emi_in!J31/SER_hh_num_in!J31)</f>
        <v>0</v>
      </c>
      <c r="K31" s="132">
        <f>IF(SER_hh_emi_in!K31=0,0,1000000*SER_hh_emi_in!K31/SER_hh_num_in!K31)</f>
        <v>0</v>
      </c>
      <c r="L31" s="132">
        <f>IF(SER_hh_emi_in!L31=0,0,1000000*SER_hh_emi_in!L31/SER_hh_num_in!L31)</f>
        <v>0</v>
      </c>
      <c r="M31" s="132">
        <f>IF(SER_hh_emi_in!M31=0,0,1000000*SER_hh_emi_in!M31/SER_hh_num_in!M31)</f>
        <v>0</v>
      </c>
      <c r="N31" s="132">
        <f>IF(SER_hh_emi_in!N31=0,0,1000000*SER_hh_emi_in!N31/SER_hh_num_in!N31)</f>
        <v>0</v>
      </c>
      <c r="O31" s="132">
        <f>IF(SER_hh_emi_in!O31=0,0,1000000*SER_hh_emi_in!O31/SER_hh_num_in!O31)</f>
        <v>0</v>
      </c>
      <c r="P31" s="132">
        <f>IF(SER_hh_emi_in!P31=0,0,1000000*SER_hh_emi_in!P31/SER_hh_num_in!P31)</f>
        <v>0</v>
      </c>
      <c r="Q31" s="132">
        <f>IF(SER_hh_emi_in!Q31=0,0,1000000*SER_hh_emi_in!Q31/SER_hh_num_in!Q31)</f>
        <v>0</v>
      </c>
      <c r="R31" s="132">
        <f>IF(SER_hh_emi_in!R31=0,0,1000000*SER_hh_emi_in!R31/SER_hh_num_in!R31)</f>
        <v>0</v>
      </c>
      <c r="S31" s="132">
        <f>IF(SER_hh_emi_in!S31=0,0,1000000*SER_hh_emi_in!S31/SER_hh_num_in!S31)</f>
        <v>0</v>
      </c>
      <c r="T31" s="132">
        <f>IF(SER_hh_emi_in!T31=0,0,1000000*SER_hh_emi_in!T31/SER_hh_num_in!T31)</f>
        <v>0</v>
      </c>
      <c r="U31" s="132">
        <f>IF(SER_hh_emi_in!U31=0,0,1000000*SER_hh_emi_in!U31/SER_hh_num_in!U31)</f>
        <v>0</v>
      </c>
      <c r="V31" s="132">
        <f>IF(SER_hh_emi_in!V31=0,0,1000000*SER_hh_emi_in!V31/SER_hh_num_in!V31)</f>
        <v>0</v>
      </c>
      <c r="W31" s="132">
        <f>IF(SER_hh_emi_in!W31=0,0,1000000*SER_hh_emi_in!W31/SER_hh_num_in!W31)</f>
        <v>0</v>
      </c>
      <c r="X31" s="132">
        <f>IF(SER_hh_emi_in!X31=0,0,1000000*SER_hh_emi_in!X31/SER_hh_num_in!X31)</f>
        <v>0</v>
      </c>
      <c r="Y31" s="132">
        <f>IF(SER_hh_emi_in!Y31=0,0,1000000*SER_hh_emi_in!Y31/SER_hh_num_in!Y31)</f>
        <v>0</v>
      </c>
      <c r="DA31" s="156" t="s">
        <v>813</v>
      </c>
    </row>
    <row r="32" spans="1:105" ht="12" customHeight="1" x14ac:dyDescent="0.25">
      <c r="A32" s="131" t="s">
        <v>128</v>
      </c>
      <c r="B32" s="132"/>
      <c r="C32" s="132">
        <f>IF(SER_hh_emi_in!C32=0,0,1000000*SER_hh_emi_in!C32/SER_hh_num_in!C32)</f>
        <v>0</v>
      </c>
      <c r="D32" s="132">
        <f>IF(SER_hh_emi_in!D32=0,0,1000000*SER_hh_emi_in!D32/SER_hh_num_in!D32)</f>
        <v>0</v>
      </c>
      <c r="E32" s="132">
        <f>IF(SER_hh_emi_in!E32=0,0,1000000*SER_hh_emi_in!E32/SER_hh_num_in!E32)</f>
        <v>0</v>
      </c>
      <c r="F32" s="132">
        <f>IF(SER_hh_emi_in!F32=0,0,1000000*SER_hh_emi_in!F32/SER_hh_num_in!F32)</f>
        <v>0</v>
      </c>
      <c r="G32" s="132">
        <f>IF(SER_hh_emi_in!G32=0,0,1000000*SER_hh_emi_in!G32/SER_hh_num_in!G32)</f>
        <v>0</v>
      </c>
      <c r="H32" s="132">
        <f>IF(SER_hh_emi_in!H32=0,0,1000000*SER_hh_emi_in!H32/SER_hh_num_in!H32)</f>
        <v>0</v>
      </c>
      <c r="I32" s="132">
        <f>IF(SER_hh_emi_in!I32=0,0,1000000*SER_hh_emi_in!I32/SER_hh_num_in!I32)</f>
        <v>0</v>
      </c>
      <c r="J32" s="132">
        <f>IF(SER_hh_emi_in!J32=0,0,1000000*SER_hh_emi_in!J32/SER_hh_num_in!J32)</f>
        <v>0</v>
      </c>
      <c r="K32" s="132">
        <f>IF(SER_hh_emi_in!K32=0,0,1000000*SER_hh_emi_in!K32/SER_hh_num_in!K32)</f>
        <v>0</v>
      </c>
      <c r="L32" s="132">
        <f>IF(SER_hh_emi_in!L32=0,0,1000000*SER_hh_emi_in!L32/SER_hh_num_in!L32)</f>
        <v>0</v>
      </c>
      <c r="M32" s="132">
        <f>IF(SER_hh_emi_in!M32=0,0,1000000*SER_hh_emi_in!M32/SER_hh_num_in!M32)</f>
        <v>0</v>
      </c>
      <c r="N32" s="132">
        <f>IF(SER_hh_emi_in!N32=0,0,1000000*SER_hh_emi_in!N32/SER_hh_num_in!N32)</f>
        <v>0</v>
      </c>
      <c r="O32" s="132">
        <f>IF(SER_hh_emi_in!O32=0,0,1000000*SER_hh_emi_in!O32/SER_hh_num_in!O32)</f>
        <v>0</v>
      </c>
      <c r="P32" s="132">
        <f>IF(SER_hh_emi_in!P32=0,0,1000000*SER_hh_emi_in!P32/SER_hh_num_in!P32)</f>
        <v>0</v>
      </c>
      <c r="Q32" s="132">
        <f>IF(SER_hh_emi_in!Q32=0,0,1000000*SER_hh_emi_in!Q32/SER_hh_num_in!Q32)</f>
        <v>0</v>
      </c>
      <c r="R32" s="132">
        <f>IF(SER_hh_emi_in!R32=0,0,1000000*SER_hh_emi_in!R32/SER_hh_num_in!R32)</f>
        <v>0</v>
      </c>
      <c r="S32" s="132">
        <f>IF(SER_hh_emi_in!S32=0,0,1000000*SER_hh_emi_in!S32/SER_hh_num_in!S32)</f>
        <v>0</v>
      </c>
      <c r="T32" s="132">
        <f>IF(SER_hh_emi_in!T32=0,0,1000000*SER_hh_emi_in!T32/SER_hh_num_in!T32)</f>
        <v>0</v>
      </c>
      <c r="U32" s="132">
        <f>IF(SER_hh_emi_in!U32=0,0,1000000*SER_hh_emi_in!U32/SER_hh_num_in!U32)</f>
        <v>0</v>
      </c>
      <c r="V32" s="132">
        <f>IF(SER_hh_emi_in!V32=0,0,1000000*SER_hh_emi_in!V32/SER_hh_num_in!V32)</f>
        <v>0</v>
      </c>
      <c r="W32" s="132">
        <f>IF(SER_hh_emi_in!W32=0,0,1000000*SER_hh_emi_in!W32/SER_hh_num_in!W32)</f>
        <v>0</v>
      </c>
      <c r="X32" s="132">
        <f>IF(SER_hh_emi_in!X32=0,0,1000000*SER_hh_emi_in!X32/SER_hh_num_in!X32)</f>
        <v>0</v>
      </c>
      <c r="Y32" s="132">
        <f>IF(SER_hh_emi_in!Y32=0,0,1000000*SER_hh_emi_in!Y32/SER_hh_num_in!Y32)</f>
        <v>0</v>
      </c>
      <c r="DA32" s="156" t="s">
        <v>814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X33" s="68">
        <f>IF(SER_hh_emi_in!X33=0,0,1000000*SER_hh_emi_in!X33/SER_hh_num_in!X33)</f>
        <v>0</v>
      </c>
      <c r="Y33" s="68">
        <f>IF(SER_hh_emi_in!Y33=0,0,1000000*SER_hh_emi_in!Y33/SER_hh_num_in!Y33)</f>
        <v>0</v>
      </c>
      <c r="DA33" s="111" t="s">
        <v>815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/>
      <c r="C3" s="125">
        <f>IF(SER_hh_fech_in!C3=0,0,SER_hh_fech_in!C3/SER_summary!C$27)</f>
        <v>90.287191046781274</v>
      </c>
      <c r="D3" s="125">
        <f>IF(SER_hh_fech_in!D3=0,0,SER_hh_fech_in!D3/SER_summary!D$27)</f>
        <v>89.311729270079951</v>
      </c>
      <c r="E3" s="125">
        <f>IF(SER_hh_fech_in!E3=0,0,SER_hh_fech_in!E3/SER_summary!E$27)</f>
        <v>86.564035310277461</v>
      </c>
      <c r="F3" s="125">
        <f>IF(SER_hh_fech_in!F3=0,0,SER_hh_fech_in!F3/SER_summary!F$27)</f>
        <v>82.634317269435812</v>
      </c>
      <c r="G3" s="125">
        <f>IF(SER_hh_fech_in!G3=0,0,SER_hh_fech_in!G3/SER_summary!G$27)</f>
        <v>82.850423166154599</v>
      </c>
      <c r="H3" s="125">
        <f>IF(SER_hh_fech_in!H3=0,0,SER_hh_fech_in!H3/SER_summary!H$27)</f>
        <v>122.29452195864852</v>
      </c>
      <c r="I3" s="125">
        <f>IF(SER_hh_fech_in!I3=0,0,SER_hh_fech_in!I3/SER_summary!I$27)</f>
        <v>108.21282809618458</v>
      </c>
      <c r="J3" s="125">
        <f>IF(SER_hh_fech_in!J3=0,0,SER_hh_fech_in!J3/SER_summary!J$27)</f>
        <v>118.93053674471031</v>
      </c>
      <c r="K3" s="125">
        <f>IF(SER_hh_fech_in!K3=0,0,SER_hh_fech_in!K3/SER_summary!K$27)</f>
        <v>102.3932152009658</v>
      </c>
      <c r="L3" s="125">
        <f>IF(SER_hh_fech_in!L3=0,0,SER_hh_fech_in!L3/SER_summary!L$27)</f>
        <v>98.482649378634207</v>
      </c>
      <c r="M3" s="125">
        <f>IF(SER_hh_fech_in!M3=0,0,SER_hh_fech_in!M3/SER_summary!M$27)</f>
        <v>77.79575007301456</v>
      </c>
      <c r="N3" s="125">
        <f>IF(SER_hh_fech_in!N3=0,0,SER_hh_fech_in!N3/SER_summary!N$27)</f>
        <v>74.39996287064092</v>
      </c>
      <c r="O3" s="125">
        <f>IF(SER_hh_fech_in!O3=0,0,SER_hh_fech_in!O3/SER_summary!O$27)</f>
        <v>68.461393967263263</v>
      </c>
      <c r="P3" s="125">
        <f>IF(SER_hh_fech_in!P3=0,0,SER_hh_fech_in!P3/SER_summary!P$27)</f>
        <v>58.471487491171487</v>
      </c>
      <c r="Q3" s="125">
        <f>IF(SER_hh_fech_in!Q3=0,0,SER_hh_fech_in!Q3/SER_summary!Q$27)</f>
        <v>73.982814405201083</v>
      </c>
      <c r="R3" s="125">
        <f>IF(SER_hh_fech_in!R3=0,0,SER_hh_fech_in!R3/SER_summary!R$27)</f>
        <v>88.719878718263857</v>
      </c>
      <c r="S3" s="125">
        <f>IF(SER_hh_fech_in!S3=0,0,SER_hh_fech_in!S3/SER_summary!S$27)</f>
        <v>79.674007963109986</v>
      </c>
      <c r="T3" s="125">
        <f>IF(SER_hh_fech_in!T3=0,0,SER_hh_fech_in!T3/SER_summary!T$27)</f>
        <v>75.246634649576947</v>
      </c>
      <c r="U3" s="125">
        <f>IF(SER_hh_fech_in!U3=0,0,SER_hh_fech_in!U3/SER_summary!U$27)</f>
        <v>76.050653165860766</v>
      </c>
      <c r="V3" s="125">
        <f>IF(SER_hh_fech_in!V3=0,0,SER_hh_fech_in!V3/SER_summary!V$27)</f>
        <v>60.716710260813656</v>
      </c>
      <c r="W3" s="125">
        <f>IF(SER_hh_fech_in!W3=0,0,SER_hh_fech_in!W3/SER_summary!W$27)</f>
        <v>75.553292842438921</v>
      </c>
      <c r="X3" s="125">
        <f>IF(SER_hh_fech_in!X3=0,0,SER_hh_fech_in!X3/SER_summary!X$27)</f>
        <v>79.586357698282029</v>
      </c>
      <c r="Y3" s="125">
        <f>IF(SER_hh_fech_in!Y3=0,0,SER_hh_fech_in!Y3/SER_summary!Y$27)</f>
        <v>66.441688762033337</v>
      </c>
      <c r="DA3" s="154" t="s">
        <v>817</v>
      </c>
    </row>
    <row r="4" spans="1:105" ht="12.95" customHeight="1" x14ac:dyDescent="0.25">
      <c r="A4" s="129" t="s">
        <v>32</v>
      </c>
      <c r="B4" s="130"/>
      <c r="C4" s="130">
        <f>IF(SER_hh_fech_in!C4=0,0,SER_hh_fech_in!C4/SER_summary!C$27)</f>
        <v>22.439301613108491</v>
      </c>
      <c r="D4" s="130">
        <f>IF(SER_hh_fech_in!D4=0,0,SER_hh_fech_in!D4/SER_summary!D$27)</f>
        <v>26.243209022711859</v>
      </c>
      <c r="E4" s="130">
        <f>IF(SER_hh_fech_in!E4=0,0,SER_hh_fech_in!E4/SER_summary!E$27)</f>
        <v>22.111335306814446</v>
      </c>
      <c r="F4" s="130">
        <f>IF(SER_hh_fech_in!F4=0,0,SER_hh_fech_in!F4/SER_summary!F$27)</f>
        <v>24.456144748833591</v>
      </c>
      <c r="G4" s="130">
        <f>IF(SER_hh_fech_in!G4=0,0,SER_hh_fech_in!G4/SER_summary!G$27)</f>
        <v>26.793281628999903</v>
      </c>
      <c r="H4" s="130">
        <f>IF(SER_hh_fech_in!H4=0,0,SER_hh_fech_in!H4/SER_summary!H$27)</f>
        <v>44.895811781304531</v>
      </c>
      <c r="I4" s="130">
        <f>IF(SER_hh_fech_in!I4=0,0,SER_hh_fech_in!I4/SER_summary!I$27)</f>
        <v>40.365305327601284</v>
      </c>
      <c r="J4" s="130">
        <f>IF(SER_hh_fech_in!J4=0,0,SER_hh_fech_in!J4/SER_summary!J$27)</f>
        <v>55.620220189105133</v>
      </c>
      <c r="K4" s="130">
        <f>IF(SER_hh_fech_in!K4=0,0,SER_hh_fech_in!K4/SER_summary!K$27)</f>
        <v>47.268422251087593</v>
      </c>
      <c r="L4" s="130">
        <f>IF(SER_hh_fech_in!L4=0,0,SER_hh_fech_in!L4/SER_summary!L$27)</f>
        <v>43.481772939760759</v>
      </c>
      <c r="M4" s="130">
        <f>IF(SER_hh_fech_in!M4=0,0,SER_hh_fech_in!M4/SER_summary!M$27)</f>
        <v>26.836451763345337</v>
      </c>
      <c r="N4" s="130">
        <f>IF(SER_hh_fech_in!N4=0,0,SER_hh_fech_in!N4/SER_summary!N$27)</f>
        <v>19.357280783426319</v>
      </c>
      <c r="O4" s="130">
        <f>IF(SER_hh_fech_in!O4=0,0,SER_hh_fech_in!O4/SER_summary!O$27)</f>
        <v>18.211448570079437</v>
      </c>
      <c r="P4" s="130">
        <f>IF(SER_hh_fech_in!P4=0,0,SER_hh_fech_in!P4/SER_summary!P$27)</f>
        <v>10.541030850643487</v>
      </c>
      <c r="Q4" s="130">
        <f>IF(SER_hh_fech_in!Q4=0,0,SER_hh_fech_in!Q4/SER_summary!Q$27)</f>
        <v>25.208746223499588</v>
      </c>
      <c r="R4" s="130">
        <f>IF(SER_hh_fech_in!R4=0,0,SER_hh_fech_in!R4/SER_summary!R$27)</f>
        <v>39.855383707299012</v>
      </c>
      <c r="S4" s="130">
        <f>IF(SER_hh_fech_in!S4=0,0,SER_hh_fech_in!S4/SER_summary!S$27)</f>
        <v>30.749253444470352</v>
      </c>
      <c r="T4" s="130">
        <f>IF(SER_hh_fech_in!T4=0,0,SER_hh_fech_in!T4/SER_summary!T$27)</f>
        <v>24.25346551327706</v>
      </c>
      <c r="U4" s="130">
        <f>IF(SER_hh_fech_in!U4=0,0,SER_hh_fech_in!U4/SER_summary!U$27)</f>
        <v>31.342497555785371</v>
      </c>
      <c r="V4" s="130">
        <f>IF(SER_hh_fech_in!V4=0,0,SER_hh_fech_in!V4/SER_summary!V$27)</f>
        <v>19.232722520186307</v>
      </c>
      <c r="W4" s="130">
        <f>IF(SER_hh_fech_in!W4=0,0,SER_hh_fech_in!W4/SER_summary!W$27)</f>
        <v>35.421429513358397</v>
      </c>
      <c r="X4" s="130">
        <f>IF(SER_hh_fech_in!X4=0,0,SER_hh_fech_in!X4/SER_summary!X$27)</f>
        <v>41.056675825927996</v>
      </c>
      <c r="Y4" s="130">
        <f>IF(SER_hh_fech_in!Y4=0,0,SER_hh_fech_in!Y4/SER_summary!Y$27)</f>
        <v>23.811102948555135</v>
      </c>
      <c r="DA4" s="155" t="s">
        <v>818</v>
      </c>
    </row>
    <row r="5" spans="1:105" ht="12" customHeight="1" x14ac:dyDescent="0.25">
      <c r="A5" s="131" t="s">
        <v>29</v>
      </c>
      <c r="B5" s="132"/>
      <c r="C5" s="132">
        <f>IF(SER_hh_fech_in!C5=0,0,SER_hh_fech_in!C5/SER_summary!C$27)</f>
        <v>0</v>
      </c>
      <c r="D5" s="132">
        <f>IF(SER_hh_fech_in!D5=0,0,SER_hh_fech_in!D5/SER_summary!D$27)</f>
        <v>0</v>
      </c>
      <c r="E5" s="132">
        <f>IF(SER_hh_fech_in!E5=0,0,SER_hh_fech_in!E5/SER_summary!E$27)</f>
        <v>0</v>
      </c>
      <c r="F5" s="132">
        <f>IF(SER_hh_fech_in!F5=0,0,SER_hh_fech_in!F5/SER_summary!F$27)</f>
        <v>0</v>
      </c>
      <c r="G5" s="132">
        <f>IF(SER_hh_fech_in!G5=0,0,SER_hh_fech_in!G5/SER_summary!G$27)</f>
        <v>0</v>
      </c>
      <c r="H5" s="132">
        <f>IF(SER_hh_fech_in!H5=0,0,SER_hh_fech_in!H5/SER_summary!H$27)</f>
        <v>0</v>
      </c>
      <c r="I5" s="132">
        <f>IF(SER_hh_fech_in!I5=0,0,SER_hh_fech_in!I5/SER_summary!I$27)</f>
        <v>0</v>
      </c>
      <c r="J5" s="132">
        <f>IF(SER_hh_fech_in!J5=0,0,SER_hh_fech_in!J5/SER_summary!J$27)</f>
        <v>0</v>
      </c>
      <c r="K5" s="132">
        <f>IF(SER_hh_fech_in!K5=0,0,SER_hh_fech_in!K5/SER_summary!K$27)</f>
        <v>0</v>
      </c>
      <c r="L5" s="132">
        <f>IF(SER_hh_fech_in!L5=0,0,SER_hh_fech_in!L5/SER_summary!L$27)</f>
        <v>0</v>
      </c>
      <c r="M5" s="132">
        <f>IF(SER_hh_fech_in!M5=0,0,SER_hh_fech_in!M5/SER_summary!M$27)</f>
        <v>0</v>
      </c>
      <c r="N5" s="132">
        <f>IF(SER_hh_fech_in!N5=0,0,SER_hh_fech_in!N5/SER_summary!N$27)</f>
        <v>0</v>
      </c>
      <c r="O5" s="132">
        <f>IF(SER_hh_fech_in!O5=0,0,SER_hh_fech_in!O5/SER_summary!O$27)</f>
        <v>0</v>
      </c>
      <c r="P5" s="132">
        <f>IF(SER_hh_fech_in!P5=0,0,SER_hh_fech_in!P5/SER_summary!P$27)</f>
        <v>0</v>
      </c>
      <c r="Q5" s="132">
        <f>IF(SER_hh_fech_in!Q5=0,0,SER_hh_fech_in!Q5/SER_summary!Q$27)</f>
        <v>0</v>
      </c>
      <c r="R5" s="132">
        <f>IF(SER_hh_fech_in!R5=0,0,SER_hh_fech_in!R5/SER_summary!R$27)</f>
        <v>0</v>
      </c>
      <c r="S5" s="132">
        <f>IF(SER_hh_fech_in!S5=0,0,SER_hh_fech_in!S5/SER_summary!S$27)</f>
        <v>0</v>
      </c>
      <c r="T5" s="132">
        <f>IF(SER_hh_fech_in!T5=0,0,SER_hh_fech_in!T5/SER_summary!T$27)</f>
        <v>0</v>
      </c>
      <c r="U5" s="132">
        <f>IF(SER_hh_fech_in!U5=0,0,SER_hh_fech_in!U5/SER_summary!U$27)</f>
        <v>0</v>
      </c>
      <c r="V5" s="132">
        <f>IF(SER_hh_fech_in!V5=0,0,SER_hh_fech_in!V5/SER_summary!V$27)</f>
        <v>0</v>
      </c>
      <c r="W5" s="132">
        <f>IF(SER_hh_fech_in!W5=0,0,SER_hh_fech_in!W5/SER_summary!W$27)</f>
        <v>0</v>
      </c>
      <c r="X5" s="132">
        <f>IF(SER_hh_fech_in!X5=0,0,SER_hh_fech_in!X5/SER_summary!X$27)</f>
        <v>0</v>
      </c>
      <c r="Y5" s="132">
        <f>IF(SER_hh_fech_in!Y5=0,0,SER_hh_fech_in!Y5/SER_summary!Y$27)</f>
        <v>0</v>
      </c>
      <c r="DA5" s="156" t="s">
        <v>819</v>
      </c>
    </row>
    <row r="6" spans="1:105" ht="12" customHeight="1" x14ac:dyDescent="0.25">
      <c r="A6" s="131" t="s">
        <v>52</v>
      </c>
      <c r="B6" s="132"/>
      <c r="C6" s="132">
        <f>IF(SER_hh_fech_in!C6=0,0,SER_hh_fech_in!C6/SER_summary!C$27)</f>
        <v>0</v>
      </c>
      <c r="D6" s="132">
        <f>IF(SER_hh_fech_in!D6=0,0,SER_hh_fech_in!D6/SER_summary!D$27)</f>
        <v>0</v>
      </c>
      <c r="E6" s="132">
        <f>IF(SER_hh_fech_in!E6=0,0,SER_hh_fech_in!E6/SER_summary!E$27)</f>
        <v>0</v>
      </c>
      <c r="F6" s="132">
        <f>IF(SER_hh_fech_in!F6=0,0,SER_hh_fech_in!F6/SER_summary!F$27)</f>
        <v>0</v>
      </c>
      <c r="G6" s="132">
        <f>IF(SER_hh_fech_in!G6=0,0,SER_hh_fech_in!G6/SER_summary!G$27)</f>
        <v>0</v>
      </c>
      <c r="H6" s="132">
        <f>IF(SER_hh_fech_in!H6=0,0,SER_hh_fech_in!H6/SER_summary!H$27)</f>
        <v>0</v>
      </c>
      <c r="I6" s="132">
        <f>IF(SER_hh_fech_in!I6=0,0,SER_hh_fech_in!I6/SER_summary!I$27)</f>
        <v>0</v>
      </c>
      <c r="J6" s="132">
        <f>IF(SER_hh_fech_in!J6=0,0,SER_hh_fech_in!J6/SER_summary!J$27)</f>
        <v>0</v>
      </c>
      <c r="K6" s="132">
        <f>IF(SER_hh_fech_in!K6=0,0,SER_hh_fech_in!K6/SER_summary!K$27)</f>
        <v>0</v>
      </c>
      <c r="L6" s="132">
        <f>IF(SER_hh_fech_in!L6=0,0,SER_hh_fech_in!L6/SER_summary!L$27)</f>
        <v>0</v>
      </c>
      <c r="M6" s="132">
        <f>IF(SER_hh_fech_in!M6=0,0,SER_hh_fech_in!M6/SER_summary!M$27)</f>
        <v>0</v>
      </c>
      <c r="N6" s="132">
        <f>IF(SER_hh_fech_in!N6=0,0,SER_hh_fech_in!N6/SER_summary!N$27)</f>
        <v>0</v>
      </c>
      <c r="O6" s="132">
        <f>IF(SER_hh_fech_in!O6=0,0,SER_hh_fech_in!O6/SER_summary!O$27)</f>
        <v>0</v>
      </c>
      <c r="P6" s="132">
        <f>IF(SER_hh_fech_in!P6=0,0,SER_hh_fech_in!P6/SER_summary!P$27)</f>
        <v>0</v>
      </c>
      <c r="Q6" s="132">
        <f>IF(SER_hh_fech_in!Q6=0,0,SER_hh_fech_in!Q6/SER_summary!Q$27)</f>
        <v>0</v>
      </c>
      <c r="R6" s="132">
        <f>IF(SER_hh_fech_in!R6=0,0,SER_hh_fech_in!R6/SER_summary!R$27)</f>
        <v>0</v>
      </c>
      <c r="S6" s="132">
        <f>IF(SER_hh_fech_in!S6=0,0,SER_hh_fech_in!S6/SER_summary!S$27)</f>
        <v>0</v>
      </c>
      <c r="T6" s="132">
        <f>IF(SER_hh_fech_in!T6=0,0,SER_hh_fech_in!T6/SER_summary!T$27)</f>
        <v>0</v>
      </c>
      <c r="U6" s="132">
        <f>IF(SER_hh_fech_in!U6=0,0,SER_hh_fech_in!U6/SER_summary!U$27)</f>
        <v>0</v>
      </c>
      <c r="V6" s="132">
        <f>IF(SER_hh_fech_in!V6=0,0,SER_hh_fech_in!V6/SER_summary!V$27)</f>
        <v>0</v>
      </c>
      <c r="W6" s="132">
        <f>IF(SER_hh_fech_in!W6=0,0,SER_hh_fech_in!W6/SER_summary!W$27)</f>
        <v>0</v>
      </c>
      <c r="X6" s="132">
        <f>IF(SER_hh_fech_in!X6=0,0,SER_hh_fech_in!X6/SER_summary!X$27)</f>
        <v>0</v>
      </c>
      <c r="Y6" s="132">
        <f>IF(SER_hh_fech_in!Y6=0,0,SER_hh_fech_in!Y6/SER_summary!Y$27)</f>
        <v>0</v>
      </c>
      <c r="DA6" s="156" t="s">
        <v>820</v>
      </c>
    </row>
    <row r="7" spans="1:105" ht="12" customHeight="1" x14ac:dyDescent="0.25">
      <c r="A7" s="131" t="s">
        <v>161</v>
      </c>
      <c r="B7" s="132"/>
      <c r="C7" s="132">
        <f>IF(SER_hh_fech_in!C7=0,0,SER_hh_fech_in!C7/SER_summary!C$27)</f>
        <v>0</v>
      </c>
      <c r="D7" s="132">
        <f>IF(SER_hh_fech_in!D7=0,0,SER_hh_fech_in!D7/SER_summary!D$27)</f>
        <v>0</v>
      </c>
      <c r="E7" s="132">
        <f>IF(SER_hh_fech_in!E7=0,0,SER_hh_fech_in!E7/SER_summary!E$27)</f>
        <v>0</v>
      </c>
      <c r="F7" s="132">
        <f>IF(SER_hh_fech_in!F7=0,0,SER_hh_fech_in!F7/SER_summary!F$27)</f>
        <v>0</v>
      </c>
      <c r="G7" s="132">
        <f>IF(SER_hh_fech_in!G7=0,0,SER_hh_fech_in!G7/SER_summary!G$27)</f>
        <v>0</v>
      </c>
      <c r="H7" s="132">
        <f>IF(SER_hh_fech_in!H7=0,0,SER_hh_fech_in!H7/SER_summary!H$27)</f>
        <v>0</v>
      </c>
      <c r="I7" s="132">
        <f>IF(SER_hh_fech_in!I7=0,0,SER_hh_fech_in!I7/SER_summary!I$27)</f>
        <v>0</v>
      </c>
      <c r="J7" s="132">
        <f>IF(SER_hh_fech_in!J7=0,0,SER_hh_fech_in!J7/SER_summary!J$27)</f>
        <v>77.965159827984209</v>
      </c>
      <c r="K7" s="132">
        <f>IF(SER_hh_fech_in!K7=0,0,SER_hh_fech_in!K7/SER_summary!K$27)</f>
        <v>62.034170934081551</v>
      </c>
      <c r="L7" s="132">
        <f>IF(SER_hh_fech_in!L7=0,0,SER_hh_fech_in!L7/SER_summary!L$27)</f>
        <v>70.428736757558198</v>
      </c>
      <c r="M7" s="132">
        <f>IF(SER_hh_fech_in!M7=0,0,SER_hh_fech_in!M7/SER_summary!M$27)</f>
        <v>65.915108999857353</v>
      </c>
      <c r="N7" s="132">
        <f>IF(SER_hh_fech_in!N7=0,0,SER_hh_fech_in!N7/SER_summary!N$27)</f>
        <v>53.353310968840702</v>
      </c>
      <c r="O7" s="132">
        <f>IF(SER_hh_fech_in!O7=0,0,SER_hh_fech_in!O7/SER_summary!O$27)</f>
        <v>56.854988307043428</v>
      </c>
      <c r="P7" s="132">
        <f>IF(SER_hh_fech_in!P7=0,0,SER_hh_fech_in!P7/SER_summary!P$27)</f>
        <v>0</v>
      </c>
      <c r="Q7" s="132">
        <f>IF(SER_hh_fech_in!Q7=0,0,SER_hh_fech_in!Q7/SER_summary!Q$27)</f>
        <v>0</v>
      </c>
      <c r="R7" s="132">
        <f>IF(SER_hh_fech_in!R7=0,0,SER_hh_fech_in!R7/SER_summary!R$27)</f>
        <v>0</v>
      </c>
      <c r="S7" s="132">
        <f>IF(SER_hh_fech_in!S7=0,0,SER_hh_fech_in!S7/SER_summary!S$27)</f>
        <v>0</v>
      </c>
      <c r="T7" s="132">
        <f>IF(SER_hh_fech_in!T7=0,0,SER_hh_fech_in!T7/SER_summary!T$27)</f>
        <v>47.383240876547319</v>
      </c>
      <c r="U7" s="132">
        <f>IF(SER_hh_fech_in!U7=0,0,SER_hh_fech_in!U7/SER_summary!U$27)</f>
        <v>53.550908488785637</v>
      </c>
      <c r="V7" s="132">
        <f>IF(SER_hh_fech_in!V7=0,0,SER_hh_fech_in!V7/SER_summary!V$27)</f>
        <v>39.245638745811334</v>
      </c>
      <c r="W7" s="132">
        <f>IF(SER_hh_fech_in!W7=0,0,SER_hh_fech_in!W7/SER_summary!W$27)</f>
        <v>38.580709618700155</v>
      </c>
      <c r="X7" s="132">
        <f>IF(SER_hh_fech_in!X7=0,0,SER_hh_fech_in!X7/SER_summary!X$27)</f>
        <v>37.322858622493669</v>
      </c>
      <c r="Y7" s="132">
        <f>IF(SER_hh_fech_in!Y7=0,0,SER_hh_fech_in!Y7/SER_summary!Y$27)</f>
        <v>39.340142652774617</v>
      </c>
      <c r="DA7" s="156" t="s">
        <v>821</v>
      </c>
    </row>
    <row r="8" spans="1:105" ht="12" customHeight="1" x14ac:dyDescent="0.25">
      <c r="A8" s="131" t="s">
        <v>73</v>
      </c>
      <c r="B8" s="132"/>
      <c r="C8" s="132">
        <f>IF(SER_hh_fech_in!C8=0,0,SER_hh_fech_in!C8/SER_summary!C$27)</f>
        <v>0</v>
      </c>
      <c r="D8" s="132">
        <f>IF(SER_hh_fech_in!D8=0,0,SER_hh_fech_in!D8/SER_summary!D$27)</f>
        <v>0</v>
      </c>
      <c r="E8" s="132">
        <f>IF(SER_hh_fech_in!E8=0,0,SER_hh_fech_in!E8/SER_summary!E$27)</f>
        <v>0</v>
      </c>
      <c r="F8" s="132">
        <f>IF(SER_hh_fech_in!F8=0,0,SER_hh_fech_in!F8/SER_summary!F$27)</f>
        <v>0</v>
      </c>
      <c r="G8" s="132">
        <f>IF(SER_hh_fech_in!G8=0,0,SER_hh_fech_in!G8/SER_summary!G$27)</f>
        <v>0</v>
      </c>
      <c r="H8" s="132">
        <f>IF(SER_hh_fech_in!H8=0,0,SER_hh_fech_in!H8/SER_summary!H$27)</f>
        <v>0</v>
      </c>
      <c r="I8" s="132">
        <f>IF(SER_hh_fech_in!I8=0,0,SER_hh_fech_in!I8/SER_summary!I$27)</f>
        <v>0</v>
      </c>
      <c r="J8" s="132">
        <f>IF(SER_hh_fech_in!J8=0,0,SER_hh_fech_in!J8/SER_summary!J$27)</f>
        <v>0</v>
      </c>
      <c r="K8" s="132">
        <f>IF(SER_hh_fech_in!K8=0,0,SER_hh_fech_in!K8/SER_summary!K$27)</f>
        <v>0</v>
      </c>
      <c r="L8" s="132">
        <f>IF(SER_hh_fech_in!L8=0,0,SER_hh_fech_in!L8/SER_summary!L$27)</f>
        <v>0</v>
      </c>
      <c r="M8" s="132">
        <f>IF(SER_hh_fech_in!M8=0,0,SER_hh_fech_in!M8/SER_summary!M$27)</f>
        <v>0</v>
      </c>
      <c r="N8" s="132">
        <f>IF(SER_hh_fech_in!N8=0,0,SER_hh_fech_in!N8/SER_summary!N$27)</f>
        <v>0</v>
      </c>
      <c r="O8" s="132">
        <f>IF(SER_hh_fech_in!O8=0,0,SER_hh_fech_in!O8/SER_summary!O$27)</f>
        <v>0</v>
      </c>
      <c r="P8" s="132">
        <f>IF(SER_hh_fech_in!P8=0,0,SER_hh_fech_in!P8/SER_summary!P$27)</f>
        <v>0</v>
      </c>
      <c r="Q8" s="132">
        <f>IF(SER_hh_fech_in!Q8=0,0,SER_hh_fech_in!Q8/SER_summary!Q$27)</f>
        <v>0</v>
      </c>
      <c r="R8" s="132">
        <f>IF(SER_hh_fech_in!R8=0,0,SER_hh_fech_in!R8/SER_summary!R$27)</f>
        <v>0</v>
      </c>
      <c r="S8" s="132">
        <f>IF(SER_hh_fech_in!S8=0,0,SER_hh_fech_in!S8/SER_summary!S$27)</f>
        <v>0</v>
      </c>
      <c r="T8" s="132">
        <f>IF(SER_hh_fech_in!T8=0,0,SER_hh_fech_in!T8/SER_summary!T$27)</f>
        <v>0</v>
      </c>
      <c r="U8" s="132">
        <f>IF(SER_hh_fech_in!U8=0,0,SER_hh_fech_in!U8/SER_summary!U$27)</f>
        <v>0</v>
      </c>
      <c r="V8" s="132">
        <f>IF(SER_hh_fech_in!V8=0,0,SER_hh_fech_in!V8/SER_summary!V$27)</f>
        <v>0</v>
      </c>
      <c r="W8" s="132">
        <f>IF(SER_hh_fech_in!W8=0,0,SER_hh_fech_in!W8/SER_summary!W$27)</f>
        <v>0</v>
      </c>
      <c r="X8" s="132">
        <f>IF(SER_hh_fech_in!X8=0,0,SER_hh_fech_in!X8/SER_summary!X$27)</f>
        <v>0</v>
      </c>
      <c r="Y8" s="132">
        <f>IF(SER_hh_fech_in!Y8=0,0,SER_hh_fech_in!Y8/SER_summary!Y$27)</f>
        <v>0</v>
      </c>
      <c r="DA8" s="156" t="s">
        <v>822</v>
      </c>
    </row>
    <row r="9" spans="1:105" ht="12" customHeight="1" x14ac:dyDescent="0.25">
      <c r="A9" s="131" t="s">
        <v>78</v>
      </c>
      <c r="B9" s="132"/>
      <c r="C9" s="132">
        <f>IF(SER_hh_fech_in!C9=0,0,SER_hh_fech_in!C9/SER_summary!C$27)</f>
        <v>0</v>
      </c>
      <c r="D9" s="132">
        <f>IF(SER_hh_fech_in!D9=0,0,SER_hh_fech_in!D9/SER_summary!D$27)</f>
        <v>0</v>
      </c>
      <c r="E9" s="132">
        <f>IF(SER_hh_fech_in!E9=0,0,SER_hh_fech_in!E9/SER_summary!E$27)</f>
        <v>0</v>
      </c>
      <c r="F9" s="132">
        <f>IF(SER_hh_fech_in!F9=0,0,SER_hh_fech_in!F9/SER_summary!F$27)</f>
        <v>0</v>
      </c>
      <c r="G9" s="132">
        <f>IF(SER_hh_fech_in!G9=0,0,SER_hh_fech_in!G9/SER_summary!G$27)</f>
        <v>0</v>
      </c>
      <c r="H9" s="132">
        <f>IF(SER_hh_fech_in!H9=0,0,SER_hh_fech_in!H9/SER_summary!H$27)</f>
        <v>0</v>
      </c>
      <c r="I9" s="132">
        <f>IF(SER_hh_fech_in!I9=0,0,SER_hh_fech_in!I9/SER_summary!I$27)</f>
        <v>0</v>
      </c>
      <c r="J9" s="132">
        <f>IF(SER_hh_fech_in!J9=0,0,SER_hh_fech_in!J9/SER_summary!J$27)</f>
        <v>0</v>
      </c>
      <c r="K9" s="132">
        <f>IF(SER_hh_fech_in!K9=0,0,SER_hh_fech_in!K9/SER_summary!K$27)</f>
        <v>66.696419532823484</v>
      </c>
      <c r="L9" s="132">
        <f>IF(SER_hh_fech_in!L9=0,0,SER_hh_fech_in!L9/SER_summary!L$27)</f>
        <v>53.616192036562545</v>
      </c>
      <c r="M9" s="132">
        <f>IF(SER_hh_fech_in!M9=0,0,SER_hh_fech_in!M9/SER_summary!M$27)</f>
        <v>42.093691892683943</v>
      </c>
      <c r="N9" s="132">
        <f>IF(SER_hh_fech_in!N9=0,0,SER_hh_fech_in!N9/SER_summary!N$27)</f>
        <v>38.045909892784714</v>
      </c>
      <c r="O9" s="132">
        <f>IF(SER_hh_fech_in!O9=0,0,SER_hh_fech_in!O9/SER_summary!O$27)</f>
        <v>0</v>
      </c>
      <c r="P9" s="132">
        <f>IF(SER_hh_fech_in!P9=0,0,SER_hh_fech_in!P9/SER_summary!P$27)</f>
        <v>36.601667239325586</v>
      </c>
      <c r="Q9" s="132">
        <f>IF(SER_hh_fech_in!Q9=0,0,SER_hh_fech_in!Q9/SER_summary!Q$27)</f>
        <v>33.701667469611834</v>
      </c>
      <c r="R9" s="132">
        <f>IF(SER_hh_fech_in!R9=0,0,SER_hh_fech_in!R9/SER_summary!R$27)</f>
        <v>34.552784843252049</v>
      </c>
      <c r="S9" s="132">
        <f>IF(SER_hh_fech_in!S9=0,0,SER_hh_fech_in!S9/SER_summary!S$27)</f>
        <v>26.371515586814731</v>
      </c>
      <c r="T9" s="132">
        <f>IF(SER_hh_fech_in!T9=0,0,SER_hh_fech_in!T9/SER_summary!T$27)</f>
        <v>51.816602595801726</v>
      </c>
      <c r="U9" s="132">
        <f>IF(SER_hh_fech_in!U9=0,0,SER_hh_fech_in!U9/SER_summary!U$27)</f>
        <v>54.666788145585201</v>
      </c>
      <c r="V9" s="132">
        <f>IF(SER_hh_fech_in!V9=0,0,SER_hh_fech_in!V9/SER_summary!V$27)</f>
        <v>18.529260169730478</v>
      </c>
      <c r="W9" s="132">
        <f>IF(SER_hh_fech_in!W9=0,0,SER_hh_fech_in!W9/SER_summary!W$27)</f>
        <v>18.313935833735751</v>
      </c>
      <c r="X9" s="132">
        <f>IF(SER_hh_fech_in!X9=0,0,SER_hh_fech_in!X9/SER_summary!X$27)</f>
        <v>18.209107902183344</v>
      </c>
      <c r="Y9" s="132">
        <f>IF(SER_hh_fech_in!Y9=0,0,SER_hh_fech_in!Y9/SER_summary!Y$27)</f>
        <v>25.998188756642868</v>
      </c>
      <c r="DA9" s="156" t="s">
        <v>823</v>
      </c>
    </row>
    <row r="10" spans="1:105" ht="12" customHeight="1" x14ac:dyDescent="0.25">
      <c r="A10" s="131" t="s">
        <v>128</v>
      </c>
      <c r="B10" s="132"/>
      <c r="C10" s="132">
        <f>IF(SER_hh_fech_in!C10=0,0,SER_hh_fech_in!C10/SER_summary!C$27)</f>
        <v>0</v>
      </c>
      <c r="D10" s="132">
        <f>IF(SER_hh_fech_in!D10=0,0,SER_hh_fech_in!D10/SER_summary!D$27)</f>
        <v>0</v>
      </c>
      <c r="E10" s="132">
        <f>IF(SER_hh_fech_in!E10=0,0,SER_hh_fech_in!E10/SER_summary!E$27)</f>
        <v>0</v>
      </c>
      <c r="F10" s="132">
        <f>IF(SER_hh_fech_in!F10=0,0,SER_hh_fech_in!F10/SER_summary!F$27)</f>
        <v>0</v>
      </c>
      <c r="G10" s="132">
        <f>IF(SER_hh_fech_in!G10=0,0,SER_hh_fech_in!G10/SER_summary!G$27)</f>
        <v>0</v>
      </c>
      <c r="H10" s="132">
        <f>IF(SER_hh_fech_in!H10=0,0,SER_hh_fech_in!H10/SER_summary!H$27)</f>
        <v>0</v>
      </c>
      <c r="I10" s="132">
        <f>IF(SER_hh_fech_in!I10=0,0,SER_hh_fech_in!I10/SER_summary!I$27)</f>
        <v>42.054078664302047</v>
      </c>
      <c r="J10" s="132">
        <f>IF(SER_hh_fech_in!J10=0,0,SER_hh_fech_in!J10/SER_summary!J$27)</f>
        <v>107.08666216499689</v>
      </c>
      <c r="K10" s="132">
        <f>IF(SER_hh_fech_in!K10=0,0,SER_hh_fech_in!K10/SER_summary!K$27)</f>
        <v>0</v>
      </c>
      <c r="L10" s="132">
        <f>IF(SER_hh_fech_in!L10=0,0,SER_hh_fech_in!L10/SER_summary!L$27)</f>
        <v>33.263669685345498</v>
      </c>
      <c r="M10" s="132">
        <f>IF(SER_hh_fech_in!M10=0,0,SER_hh_fech_in!M10/SER_summary!M$27)</f>
        <v>54.705922160159105</v>
      </c>
      <c r="N10" s="132">
        <f>IF(SER_hh_fech_in!N10=0,0,SER_hh_fech_in!N10/SER_summary!N$27)</f>
        <v>68.346462424809971</v>
      </c>
      <c r="O10" s="132">
        <f>IF(SER_hh_fech_in!O10=0,0,SER_hh_fech_in!O10/SER_summary!O$27)</f>
        <v>51.405087061192567</v>
      </c>
      <c r="P10" s="132">
        <f>IF(SER_hh_fech_in!P10=0,0,SER_hh_fech_in!P10/SER_summary!P$27)</f>
        <v>39.903165472087295</v>
      </c>
      <c r="Q10" s="132">
        <f>IF(SER_hh_fech_in!Q10=0,0,SER_hh_fech_in!Q10/SER_summary!Q$27)</f>
        <v>82.071212711359237</v>
      </c>
      <c r="R10" s="132">
        <f>IF(SER_hh_fech_in!R10=0,0,SER_hh_fech_in!R10/SER_summary!R$27)</f>
        <v>58.338382931871344</v>
      </c>
      <c r="S10" s="132">
        <f>IF(SER_hh_fech_in!S10=0,0,SER_hh_fech_in!S10/SER_summary!S$27)</f>
        <v>0</v>
      </c>
      <c r="T10" s="132">
        <f>IF(SER_hh_fech_in!T10=0,0,SER_hh_fech_in!T10/SER_summary!T$27)</f>
        <v>0</v>
      </c>
      <c r="U10" s="132">
        <f>IF(SER_hh_fech_in!U10=0,0,SER_hh_fech_in!U10/SER_summary!U$27)</f>
        <v>0</v>
      </c>
      <c r="V10" s="132">
        <f>IF(SER_hh_fech_in!V10=0,0,SER_hh_fech_in!V10/SER_summary!V$27)</f>
        <v>25.976989840085071</v>
      </c>
      <c r="W10" s="132">
        <f>IF(SER_hh_fech_in!W10=0,0,SER_hh_fech_in!W10/SER_summary!W$27)</f>
        <v>64.220748280454558</v>
      </c>
      <c r="X10" s="132">
        <f>IF(SER_hh_fech_in!X10=0,0,SER_hh_fech_in!X10/SER_summary!X$27)</f>
        <v>59.20153677529327</v>
      </c>
      <c r="Y10" s="132">
        <f>IF(SER_hh_fech_in!Y10=0,0,SER_hh_fech_in!Y10/SER_summary!Y$27)</f>
        <v>37.523609538521534</v>
      </c>
      <c r="DA10" s="156" t="s">
        <v>824</v>
      </c>
    </row>
    <row r="11" spans="1:105" ht="12" customHeight="1" x14ac:dyDescent="0.25">
      <c r="A11" s="131" t="s">
        <v>25</v>
      </c>
      <c r="B11" s="132"/>
      <c r="C11" s="132">
        <f>IF(SER_hh_fech_in!C11=0,0,SER_hh_fech_in!C11/SER_summary!C$27)</f>
        <v>0</v>
      </c>
      <c r="D11" s="132">
        <f>IF(SER_hh_fech_in!D11=0,0,SER_hh_fech_in!D11/SER_summary!D$27)</f>
        <v>0</v>
      </c>
      <c r="E11" s="132">
        <f>IF(SER_hh_fech_in!E11=0,0,SER_hh_fech_in!E11/SER_summary!E$27)</f>
        <v>0</v>
      </c>
      <c r="F11" s="132">
        <f>IF(SER_hh_fech_in!F11=0,0,SER_hh_fech_in!F11/SER_summary!F$27)</f>
        <v>0</v>
      </c>
      <c r="G11" s="132">
        <f>IF(SER_hh_fech_in!G11=0,0,SER_hh_fech_in!G11/SER_summary!G$27)</f>
        <v>0</v>
      </c>
      <c r="H11" s="132">
        <f>IF(SER_hh_fech_in!H11=0,0,SER_hh_fech_in!H11/SER_summary!H$27)</f>
        <v>0</v>
      </c>
      <c r="I11" s="132">
        <f>IF(SER_hh_fech_in!I11=0,0,SER_hh_fech_in!I11/SER_summary!I$27)</f>
        <v>0</v>
      </c>
      <c r="J11" s="132">
        <f>IF(SER_hh_fech_in!J11=0,0,SER_hh_fech_in!J11/SER_summary!J$27)</f>
        <v>0</v>
      </c>
      <c r="K11" s="132">
        <f>IF(SER_hh_fech_in!K11=0,0,SER_hh_fech_in!K11/SER_summary!K$27)</f>
        <v>0</v>
      </c>
      <c r="L11" s="132">
        <f>IF(SER_hh_fech_in!L11=0,0,SER_hh_fech_in!L11/SER_summary!L$27)</f>
        <v>0</v>
      </c>
      <c r="M11" s="132">
        <f>IF(SER_hh_fech_in!M11=0,0,SER_hh_fech_in!M11/SER_summary!M$27)</f>
        <v>0</v>
      </c>
      <c r="N11" s="132">
        <f>IF(SER_hh_fech_in!N11=0,0,SER_hh_fech_in!N11/SER_summary!N$27)</f>
        <v>0</v>
      </c>
      <c r="O11" s="132">
        <f>IF(SER_hh_fech_in!O11=0,0,SER_hh_fech_in!O11/SER_summary!O$27)</f>
        <v>0</v>
      </c>
      <c r="P11" s="132">
        <f>IF(SER_hh_fech_in!P11=0,0,SER_hh_fech_in!P11/SER_summary!P$27)</f>
        <v>0</v>
      </c>
      <c r="Q11" s="132">
        <f>IF(SER_hh_fech_in!Q11=0,0,SER_hh_fech_in!Q11/SER_summary!Q$27)</f>
        <v>0</v>
      </c>
      <c r="R11" s="132">
        <f>IF(SER_hh_fech_in!R11=0,0,SER_hh_fech_in!R11/SER_summary!R$27)</f>
        <v>0</v>
      </c>
      <c r="S11" s="132">
        <f>IF(SER_hh_fech_in!S11=0,0,SER_hh_fech_in!S11/SER_summary!S$27)</f>
        <v>0</v>
      </c>
      <c r="T11" s="132">
        <f>IF(SER_hh_fech_in!T11=0,0,SER_hh_fech_in!T11/SER_summary!T$27)</f>
        <v>0</v>
      </c>
      <c r="U11" s="132">
        <f>IF(SER_hh_fech_in!U11=0,0,SER_hh_fech_in!U11/SER_summary!U$27)</f>
        <v>0</v>
      </c>
      <c r="V11" s="132">
        <f>IF(SER_hh_fech_in!V11=0,0,SER_hh_fech_in!V11/SER_summary!V$27)</f>
        <v>0</v>
      </c>
      <c r="W11" s="132">
        <f>IF(SER_hh_fech_in!W11=0,0,SER_hh_fech_in!W11/SER_summary!W$27)</f>
        <v>0</v>
      </c>
      <c r="X11" s="132">
        <f>IF(SER_hh_fech_in!X11=0,0,SER_hh_fech_in!X11/SER_summary!X$27)</f>
        <v>0</v>
      </c>
      <c r="Y11" s="132">
        <f>IF(SER_hh_fech_in!Y11=0,0,SER_hh_fech_in!Y11/SER_summary!Y$27)</f>
        <v>0</v>
      </c>
      <c r="DA11" s="156" t="s">
        <v>825</v>
      </c>
    </row>
    <row r="12" spans="1:105" ht="12" customHeight="1" x14ac:dyDescent="0.25">
      <c r="A12" s="131" t="s">
        <v>162</v>
      </c>
      <c r="B12" s="132"/>
      <c r="C12" s="132">
        <f>IF(SER_hh_fech_in!C12=0,0,SER_hh_fech_in!C12/SER_summary!C$27)</f>
        <v>0</v>
      </c>
      <c r="D12" s="132">
        <f>IF(SER_hh_fech_in!D12=0,0,SER_hh_fech_in!D12/SER_summary!D$27)</f>
        <v>0</v>
      </c>
      <c r="E12" s="132">
        <f>IF(SER_hh_fech_in!E12=0,0,SER_hh_fech_in!E12/SER_summary!E$27)</f>
        <v>0</v>
      </c>
      <c r="F12" s="132">
        <f>IF(SER_hh_fech_in!F12=0,0,SER_hh_fech_in!F12/SER_summary!F$27)</f>
        <v>0</v>
      </c>
      <c r="G12" s="132">
        <f>IF(SER_hh_fech_in!G12=0,0,SER_hh_fech_in!G12/SER_summary!G$27)</f>
        <v>0</v>
      </c>
      <c r="H12" s="132">
        <f>IF(SER_hh_fech_in!H12=0,0,SER_hh_fech_in!H12/SER_summary!H$27)</f>
        <v>0</v>
      </c>
      <c r="I12" s="132">
        <f>IF(SER_hh_fech_in!I12=0,0,SER_hh_fech_in!I12/SER_summary!I$27)</f>
        <v>0</v>
      </c>
      <c r="J12" s="132">
        <f>IF(SER_hh_fech_in!J12=0,0,SER_hh_fech_in!J12/SER_summary!J$27)</f>
        <v>0</v>
      </c>
      <c r="K12" s="132">
        <f>IF(SER_hh_fech_in!K12=0,0,SER_hh_fech_in!K12/SER_summary!K$27)</f>
        <v>0</v>
      </c>
      <c r="L12" s="132">
        <f>IF(SER_hh_fech_in!L12=0,0,SER_hh_fech_in!L12/SER_summary!L$27)</f>
        <v>0</v>
      </c>
      <c r="M12" s="132">
        <f>IF(SER_hh_fech_in!M12=0,0,SER_hh_fech_in!M12/SER_summary!M$27)</f>
        <v>0</v>
      </c>
      <c r="N12" s="132">
        <f>IF(SER_hh_fech_in!N12=0,0,SER_hh_fech_in!N12/SER_summary!N$27)</f>
        <v>0</v>
      </c>
      <c r="O12" s="132">
        <f>IF(SER_hh_fech_in!O12=0,0,SER_hh_fech_in!O12/SER_summary!O$27)</f>
        <v>0</v>
      </c>
      <c r="P12" s="132">
        <f>IF(SER_hh_fech_in!P12=0,0,SER_hh_fech_in!P12/SER_summary!P$27)</f>
        <v>0</v>
      </c>
      <c r="Q12" s="132">
        <f>IF(SER_hh_fech_in!Q12=0,0,SER_hh_fech_in!Q12/SER_summary!Q$27)</f>
        <v>0</v>
      </c>
      <c r="R12" s="132">
        <f>IF(SER_hh_fech_in!R12=0,0,SER_hh_fech_in!R12/SER_summary!R$27)</f>
        <v>0</v>
      </c>
      <c r="S12" s="132">
        <f>IF(SER_hh_fech_in!S12=0,0,SER_hh_fech_in!S12/SER_summary!S$27)</f>
        <v>0</v>
      </c>
      <c r="T12" s="132">
        <f>IF(SER_hh_fech_in!T12=0,0,SER_hh_fech_in!T12/SER_summary!T$27)</f>
        <v>0</v>
      </c>
      <c r="U12" s="132">
        <f>IF(SER_hh_fech_in!U12=0,0,SER_hh_fech_in!U12/SER_summary!U$27)</f>
        <v>0</v>
      </c>
      <c r="V12" s="132">
        <f>IF(SER_hh_fech_in!V12=0,0,SER_hh_fech_in!V12/SER_summary!V$27)</f>
        <v>0</v>
      </c>
      <c r="W12" s="132">
        <f>IF(SER_hh_fech_in!W12=0,0,SER_hh_fech_in!W12/SER_summary!W$27)</f>
        <v>0</v>
      </c>
      <c r="X12" s="132">
        <f>IF(SER_hh_fech_in!X12=0,0,SER_hh_fech_in!X12/SER_summary!X$27)</f>
        <v>0</v>
      </c>
      <c r="Y12" s="132">
        <f>IF(SER_hh_fech_in!Y12=0,0,SER_hh_fech_in!Y12/SER_summary!Y$27)</f>
        <v>0</v>
      </c>
      <c r="DA12" s="156" t="s">
        <v>826</v>
      </c>
    </row>
    <row r="13" spans="1:105" ht="12" customHeight="1" x14ac:dyDescent="0.25">
      <c r="A13" s="131" t="s">
        <v>77</v>
      </c>
      <c r="B13" s="132"/>
      <c r="C13" s="132">
        <f>IF(SER_hh_fech_in!C13=0,0,SER_hh_fech_in!C13/SER_summary!C$27)</f>
        <v>9.1139922764215875</v>
      </c>
      <c r="D13" s="132">
        <f>IF(SER_hh_fech_in!D13=0,0,SER_hh_fech_in!D13/SER_summary!D$27)</f>
        <v>9.4785748496091404</v>
      </c>
      <c r="E13" s="132">
        <f>IF(SER_hh_fech_in!E13=0,0,SER_hh_fech_in!E13/SER_summary!E$27)</f>
        <v>9.3079949702844793</v>
      </c>
      <c r="F13" s="132">
        <f>IF(SER_hh_fech_in!F13=0,0,SER_hh_fech_in!F13/SER_summary!F$27)</f>
        <v>10.067968772350328</v>
      </c>
      <c r="G13" s="132">
        <f>IF(SER_hh_fech_in!G13=0,0,SER_hh_fech_in!G13/SER_summary!G$27)</f>
        <v>11.436496905286464</v>
      </c>
      <c r="H13" s="132">
        <f>IF(SER_hh_fech_in!H13=0,0,SER_hh_fech_in!H13/SER_summary!H$27)</f>
        <v>12.537315403309909</v>
      </c>
      <c r="I13" s="132">
        <f>IF(SER_hh_fech_in!I13=0,0,SER_hh_fech_in!I13/SER_summary!I$27)</f>
        <v>13.276193005937802</v>
      </c>
      <c r="J13" s="132">
        <f>IF(SER_hh_fech_in!J13=0,0,SER_hh_fech_in!J13/SER_summary!J$27)</f>
        <v>13.149306414826954</v>
      </c>
      <c r="K13" s="132">
        <f>IF(SER_hh_fech_in!K13=0,0,SER_hh_fech_in!K13/SER_summary!K$27)</f>
        <v>13.727120632120819</v>
      </c>
      <c r="L13" s="132">
        <f>IF(SER_hh_fech_in!L13=0,0,SER_hh_fech_in!L13/SER_summary!L$27)</f>
        <v>11.559299344403103</v>
      </c>
      <c r="M13" s="132">
        <f>IF(SER_hh_fech_in!M13=0,0,SER_hh_fech_in!M13/SER_summary!M$27)</f>
        <v>9.4390231629414032</v>
      </c>
      <c r="N13" s="132">
        <f>IF(SER_hh_fech_in!N13=0,0,SER_hh_fech_in!N13/SER_summary!N$27)</f>
        <v>8.8227209350813816</v>
      </c>
      <c r="O13" s="132">
        <f>IF(SER_hh_fech_in!O13=0,0,SER_hh_fech_in!O13/SER_summary!O$27)</f>
        <v>11.468074821791999</v>
      </c>
      <c r="P13" s="132">
        <f>IF(SER_hh_fech_in!P13=0,0,SER_hh_fech_in!P13/SER_summary!P$27)</f>
        <v>9.6895091729822234</v>
      </c>
      <c r="Q13" s="132">
        <f>IF(SER_hh_fech_in!Q13=0,0,SER_hh_fech_in!Q13/SER_summary!Q$27)</f>
        <v>9.6823432647516281</v>
      </c>
      <c r="R13" s="132">
        <f>IF(SER_hh_fech_in!R13=0,0,SER_hh_fech_in!R13/SER_summary!R$27)</f>
        <v>8.7260014773499215</v>
      </c>
      <c r="S13" s="132">
        <f>IF(SER_hh_fech_in!S13=0,0,SER_hh_fech_in!S13/SER_summary!S$27)</f>
        <v>8.2287417015923179</v>
      </c>
      <c r="T13" s="132">
        <f>IF(SER_hh_fech_in!T13=0,0,SER_hh_fech_in!T13/SER_summary!T$27)</f>
        <v>7.8167054830471789</v>
      </c>
      <c r="U13" s="132">
        <f>IF(SER_hh_fech_in!U13=0,0,SER_hh_fech_in!U13/SER_summary!U$27)</f>
        <v>7.5047667425289104</v>
      </c>
      <c r="V13" s="132">
        <f>IF(SER_hh_fech_in!V13=0,0,SER_hh_fech_in!V13/SER_summary!V$27)</f>
        <v>6.3676200127867419</v>
      </c>
      <c r="W13" s="132">
        <f>IF(SER_hh_fech_in!W13=0,0,SER_hh_fech_in!W13/SER_summary!W$27)</f>
        <v>5.7787148728084174</v>
      </c>
      <c r="X13" s="132">
        <f>IF(SER_hh_fech_in!X13=0,0,SER_hh_fech_in!X13/SER_summary!X$27)</f>
        <v>5.2933025203205801</v>
      </c>
      <c r="Y13" s="132">
        <f>IF(SER_hh_fech_in!Y13=0,0,SER_hh_fech_in!Y13/SER_summary!Y$27)</f>
        <v>5.3412586369485791</v>
      </c>
      <c r="DA13" s="156" t="s">
        <v>827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24.862393543580044</v>
      </c>
      <c r="D14" s="65">
        <f>IF(SER_hh_fech_in!D14=0,0,SER_hh_fech_in!D14/SER_summary!D$27)</f>
        <v>31.607314461967693</v>
      </c>
      <c r="E14" s="65">
        <f>IF(SER_hh_fech_in!E14=0,0,SER_hh_fech_in!E14/SER_summary!E$27)</f>
        <v>28.504333227772381</v>
      </c>
      <c r="F14" s="65">
        <f>IF(SER_hh_fech_in!F14=0,0,SER_hh_fech_in!F14/SER_summary!F$27)</f>
        <v>30.53071321817481</v>
      </c>
      <c r="G14" s="65">
        <f>IF(SER_hh_fech_in!G14=0,0,SER_hh_fech_in!G14/SER_summary!G$27)</f>
        <v>32.541041235840659</v>
      </c>
      <c r="H14" s="65">
        <f>IF(SER_hh_fech_in!H14=0,0,SER_hh_fech_in!H14/SER_summary!H$27)</f>
        <v>48.251769090653447</v>
      </c>
      <c r="I14" s="65">
        <f>IF(SER_hh_fech_in!I14=0,0,SER_hh_fech_in!I14/SER_summary!I$27)</f>
        <v>46.958963059148033</v>
      </c>
      <c r="J14" s="65">
        <f>IF(SER_hh_fech_in!J14=0,0,SER_hh_fech_in!J14/SER_summary!J$27)</f>
        <v>51.069550177236401</v>
      </c>
      <c r="K14" s="65">
        <f>IF(SER_hh_fech_in!K14=0,0,SER_hh_fech_in!K14/SER_summary!K$27)</f>
        <v>54.156650700562125</v>
      </c>
      <c r="L14" s="65">
        <f>IF(SER_hh_fech_in!L14=0,0,SER_hh_fech_in!L14/SER_summary!L$27)</f>
        <v>58.05890162210062</v>
      </c>
      <c r="M14" s="65">
        <f>IF(SER_hh_fech_in!M14=0,0,SER_hh_fech_in!M14/SER_summary!M$27)</f>
        <v>0</v>
      </c>
      <c r="N14" s="65">
        <f>IF(SER_hh_fech_in!N14=0,0,SER_hh_fech_in!N14/SER_summary!N$27)</f>
        <v>0</v>
      </c>
      <c r="O14" s="65">
        <f>IF(SER_hh_fech_in!O14=0,0,SER_hh_fech_in!O14/SER_summary!O$27)</f>
        <v>0</v>
      </c>
      <c r="P14" s="65">
        <f>IF(SER_hh_fech_in!P14=0,0,SER_hh_fech_in!P14/SER_summary!P$27)</f>
        <v>0</v>
      </c>
      <c r="Q14" s="65">
        <f>IF(SER_hh_fech_in!Q14=0,0,SER_hh_fech_in!Q14/SER_summary!Q$27)</f>
        <v>40.349463794624789</v>
      </c>
      <c r="R14" s="65">
        <f>IF(SER_hh_fech_in!R14=0,0,SER_hh_fech_in!R14/SER_summary!R$27)</f>
        <v>60.130957638415005</v>
      </c>
      <c r="S14" s="65">
        <f>IF(SER_hh_fech_in!S14=0,0,SER_hh_fech_in!S14/SER_summary!S$27)</f>
        <v>69.749952659568962</v>
      </c>
      <c r="T14" s="65">
        <f>IF(SER_hh_fech_in!T14=0,0,SER_hh_fech_in!T14/SER_summary!T$27)</f>
        <v>65.790618086144605</v>
      </c>
      <c r="U14" s="65">
        <f>IF(SER_hh_fech_in!U14=0,0,SER_hh_fech_in!U14/SER_summary!U$27)</f>
        <v>76.696232002556599</v>
      </c>
      <c r="V14" s="65">
        <f>IF(SER_hh_fech_in!V14=0,0,SER_hh_fech_in!V14/SER_summary!V$27)</f>
        <v>28.877228489667687</v>
      </c>
      <c r="W14" s="65">
        <f>IF(SER_hh_fech_in!W14=0,0,SER_hh_fech_in!W14/SER_summary!W$27)</f>
        <v>41.321097407850687</v>
      </c>
      <c r="X14" s="65">
        <f>IF(SER_hh_fech_in!X14=0,0,SER_hh_fech_in!X14/SER_summary!X$27)</f>
        <v>46.331923063915717</v>
      </c>
      <c r="Y14" s="65">
        <f>IF(SER_hh_fech_in!Y14=0,0,SER_hh_fech_in!Y14/SER_summary!Y$27)</f>
        <v>43.60567472088848</v>
      </c>
      <c r="DA14" s="109" t="s">
        <v>828</v>
      </c>
    </row>
    <row r="15" spans="1:105" ht="12" customHeight="1" x14ac:dyDescent="0.25">
      <c r="A15" s="133" t="s">
        <v>80</v>
      </c>
      <c r="B15" s="134"/>
      <c r="C15" s="134">
        <f>IF(SER_hh_fech_in!C15=0,0,SER_hh_fech_in!C15/SER_summary!C$27)</f>
        <v>0</v>
      </c>
      <c r="D15" s="134">
        <f>IF(SER_hh_fech_in!D15=0,0,SER_hh_fech_in!D15/SER_summary!D$27)</f>
        <v>0</v>
      </c>
      <c r="E15" s="134">
        <f>IF(SER_hh_fech_in!E15=0,0,SER_hh_fech_in!E15/SER_summary!E$27)</f>
        <v>0</v>
      </c>
      <c r="F15" s="134">
        <f>IF(SER_hh_fech_in!F15=0,0,SER_hh_fech_in!F15/SER_summary!F$27)</f>
        <v>0</v>
      </c>
      <c r="G15" s="134">
        <f>IF(SER_hh_fech_in!G15=0,0,SER_hh_fech_in!G15/SER_summary!G$27)</f>
        <v>0</v>
      </c>
      <c r="H15" s="134">
        <f>IF(SER_hh_fech_in!H15=0,0,SER_hh_fech_in!H15/SER_summary!H$27)</f>
        <v>0</v>
      </c>
      <c r="I15" s="134">
        <f>IF(SER_hh_fech_in!I15=0,0,SER_hh_fech_in!I15/SER_summary!I$27)</f>
        <v>0.17507492939406968</v>
      </c>
      <c r="J15" s="134">
        <f>IF(SER_hh_fech_in!J15=0,0,SER_hh_fech_in!J15/SER_summary!J$27)</f>
        <v>0.61885734403895465</v>
      </c>
      <c r="K15" s="134">
        <f>IF(SER_hh_fech_in!K15=0,0,SER_hh_fech_in!K15/SER_summary!K$27)</f>
        <v>0.53963672946028407</v>
      </c>
      <c r="L15" s="134">
        <f>IF(SER_hh_fech_in!L15=0,0,SER_hh_fech_in!L15/SER_summary!L$27)</f>
        <v>0.59444455570966837</v>
      </c>
      <c r="M15" s="134">
        <f>IF(SER_hh_fech_in!M15=0,0,SER_hh_fech_in!M15/SER_summary!M$27)</f>
        <v>0.56641246308381588</v>
      </c>
      <c r="N15" s="134">
        <f>IF(SER_hh_fech_in!N15=0,0,SER_hh_fech_in!N15/SER_summary!N$27)</f>
        <v>0.47451219712462617</v>
      </c>
      <c r="O15" s="134">
        <f>IF(SER_hh_fech_in!O15=0,0,SER_hh_fech_in!O15/SER_summary!O$27)</f>
        <v>0.51989590212055758</v>
      </c>
      <c r="P15" s="134">
        <f>IF(SER_hh_fech_in!P15=0,0,SER_hh_fech_in!P15/SER_summary!P$27)</f>
        <v>0.18051067699537426</v>
      </c>
      <c r="Q15" s="134">
        <f>IF(SER_hh_fech_in!Q15=0,0,SER_hh_fech_in!Q15/SER_summary!Q$27)</f>
        <v>0.36648711946137391</v>
      </c>
      <c r="R15" s="134">
        <f>IF(SER_hh_fech_in!R15=0,0,SER_hh_fech_in!R15/SER_summary!R$27)</f>
        <v>0.45436035616605969</v>
      </c>
      <c r="S15" s="134">
        <f>IF(SER_hh_fech_in!S15=0,0,SER_hh_fech_in!S15/SER_summary!S$27)</f>
        <v>0.38787610297365721</v>
      </c>
      <c r="T15" s="134">
        <f>IF(SER_hh_fech_in!T15=0,0,SER_hh_fech_in!T15/SER_summary!T$27)</f>
        <v>0.64270533116523709</v>
      </c>
      <c r="U15" s="134">
        <f>IF(SER_hh_fech_in!U15=0,0,SER_hh_fech_in!U15/SER_summary!U$27)</f>
        <v>0.58207361563061977</v>
      </c>
      <c r="V15" s="134">
        <f>IF(SER_hh_fech_in!V15=0,0,SER_hh_fech_in!V15/SER_summary!V$27)</f>
        <v>0.39118069362942925</v>
      </c>
      <c r="W15" s="134">
        <f>IF(SER_hh_fech_in!W15=0,0,SER_hh_fech_in!W15/SER_summary!W$27)</f>
        <v>0.36860202031687361</v>
      </c>
      <c r="X15" s="134">
        <f>IF(SER_hh_fech_in!X15=0,0,SER_hh_fech_in!X15/SER_summary!X$27)</f>
        <v>0.35054228759616768</v>
      </c>
      <c r="Y15" s="134">
        <f>IF(SER_hh_fech_in!Y15=0,0,SER_hh_fech_in!Y15/SER_summary!Y$27)</f>
        <v>0.39388996372954366</v>
      </c>
      <c r="DA15" s="157" t="s">
        <v>829</v>
      </c>
    </row>
    <row r="16" spans="1:105" ht="12.95" customHeight="1" x14ac:dyDescent="0.25">
      <c r="A16" s="129" t="s">
        <v>74</v>
      </c>
      <c r="B16" s="130"/>
      <c r="C16" s="130">
        <f>IF(SER_hh_fech_in!C16=0,0,SER_hh_fech_in!C16/SER_summary!C$27)</f>
        <v>33.383042382801484</v>
      </c>
      <c r="D16" s="130">
        <f>IF(SER_hh_fech_in!D16=0,0,SER_hh_fech_in!D16/SER_summary!D$27)</f>
        <v>30.878301987260691</v>
      </c>
      <c r="E16" s="130">
        <f>IF(SER_hh_fech_in!E16=0,0,SER_hh_fech_in!E16/SER_summary!E$27)</f>
        <v>31.985743139348315</v>
      </c>
      <c r="F16" s="130">
        <f>IF(SER_hh_fech_in!F16=0,0,SER_hh_fech_in!F16/SER_summary!F$27)</f>
        <v>25.452947220827248</v>
      </c>
      <c r="G16" s="130">
        <f>IF(SER_hh_fech_in!G16=0,0,SER_hh_fech_in!G16/SER_summary!G$27)</f>
        <v>22.36977025762932</v>
      </c>
      <c r="H16" s="130">
        <f>IF(SER_hh_fech_in!H16=0,0,SER_hh_fech_in!H16/SER_summary!H$27)</f>
        <v>24.755010212179613</v>
      </c>
      <c r="I16" s="130">
        <f>IF(SER_hh_fech_in!I16=0,0,SER_hh_fech_in!I16/SER_summary!I$27)</f>
        <v>26.691042014463633</v>
      </c>
      <c r="J16" s="130">
        <f>IF(SER_hh_fech_in!J16=0,0,SER_hh_fech_in!J16/SER_summary!J$27)</f>
        <v>26.177775022581649</v>
      </c>
      <c r="K16" s="130">
        <f>IF(SER_hh_fech_in!K16=0,0,SER_hh_fech_in!K16/SER_summary!K$27)</f>
        <v>24.163149531289413</v>
      </c>
      <c r="L16" s="130">
        <f>IF(SER_hh_fech_in!L16=0,0,SER_hh_fech_in!L16/SER_summary!L$27)</f>
        <v>24.262293275793358</v>
      </c>
      <c r="M16" s="130">
        <f>IF(SER_hh_fech_in!M16=0,0,SER_hh_fech_in!M16/SER_summary!M$27)</f>
        <v>19.891916617340677</v>
      </c>
      <c r="N16" s="130">
        <f>IF(SER_hh_fech_in!N16=0,0,SER_hh_fech_in!N16/SER_summary!N$27)</f>
        <v>22.835350375609092</v>
      </c>
      <c r="O16" s="130">
        <f>IF(SER_hh_fech_in!O16=0,0,SER_hh_fech_in!O16/SER_summary!O$27)</f>
        <v>17.973347859053945</v>
      </c>
      <c r="P16" s="130">
        <f>IF(SER_hh_fech_in!P16=0,0,SER_hh_fech_in!P16/SER_summary!P$27)</f>
        <v>15.049121021529075</v>
      </c>
      <c r="Q16" s="130">
        <f>IF(SER_hh_fech_in!Q16=0,0,SER_hh_fech_in!Q16/SER_summary!Q$27)</f>
        <v>15.432998349730923</v>
      </c>
      <c r="R16" s="130">
        <f>IF(SER_hh_fech_in!R16=0,0,SER_hh_fech_in!R16/SER_summary!R$27)</f>
        <v>16.65339957449557</v>
      </c>
      <c r="S16" s="130">
        <f>IF(SER_hh_fech_in!S16=0,0,SER_hh_fech_in!S16/SER_summary!S$27)</f>
        <v>15.190196984631161</v>
      </c>
      <c r="T16" s="130">
        <f>IF(SER_hh_fech_in!T16=0,0,SER_hh_fech_in!T16/SER_summary!T$27)</f>
        <v>18.516181987711342</v>
      </c>
      <c r="U16" s="130">
        <f>IF(SER_hh_fech_in!U16=0,0,SER_hh_fech_in!U16/SER_summary!U$27)</f>
        <v>15.045258277490312</v>
      </c>
      <c r="V16" s="130">
        <f>IF(SER_hh_fech_in!V16=0,0,SER_hh_fech_in!V16/SER_summary!V$27)</f>
        <v>14.950351372446869</v>
      </c>
      <c r="W16" s="130">
        <f>IF(SER_hh_fech_in!W16=0,0,SER_hh_fech_in!W16/SER_summary!W$27)</f>
        <v>12.60653396344769</v>
      </c>
      <c r="X16" s="130">
        <f>IF(SER_hh_fech_in!X16=0,0,SER_hh_fech_in!X16/SER_summary!X$27)</f>
        <v>10.83663595574845</v>
      </c>
      <c r="Y16" s="130">
        <f>IF(SER_hh_fech_in!Y16=0,0,SER_hh_fech_in!Y16/SER_summary!Y$27)</f>
        <v>12.172682996009732</v>
      </c>
      <c r="DA16" s="155" t="s">
        <v>830</v>
      </c>
    </row>
    <row r="17" spans="1:105" ht="12.95" customHeight="1" x14ac:dyDescent="0.25">
      <c r="A17" s="131" t="s">
        <v>73</v>
      </c>
      <c r="B17" s="132"/>
      <c r="C17" s="132">
        <f>IF(SER_hh_fech_in!C17=0,0,SER_hh_fech_in!C17/SER_summary!C$27)</f>
        <v>0</v>
      </c>
      <c r="D17" s="132">
        <f>IF(SER_hh_fech_in!D17=0,0,SER_hh_fech_in!D17/SER_summary!D$27)</f>
        <v>0</v>
      </c>
      <c r="E17" s="132">
        <f>IF(SER_hh_fech_in!E17=0,0,SER_hh_fech_in!E17/SER_summary!E$27)</f>
        <v>0</v>
      </c>
      <c r="F17" s="132">
        <f>IF(SER_hh_fech_in!F17=0,0,SER_hh_fech_in!F17/SER_summary!F$27)</f>
        <v>0</v>
      </c>
      <c r="G17" s="132">
        <f>IF(SER_hh_fech_in!G17=0,0,SER_hh_fech_in!G17/SER_summary!G$27)</f>
        <v>0</v>
      </c>
      <c r="H17" s="132">
        <f>IF(SER_hh_fech_in!H17=0,0,SER_hh_fech_in!H17/SER_summary!H$27)</f>
        <v>0</v>
      </c>
      <c r="I17" s="132">
        <f>IF(SER_hh_fech_in!I17=0,0,SER_hh_fech_in!I17/SER_summary!I$27)</f>
        <v>0</v>
      </c>
      <c r="J17" s="132">
        <f>IF(SER_hh_fech_in!J17=0,0,SER_hh_fech_in!J17/SER_summary!J$27)</f>
        <v>0</v>
      </c>
      <c r="K17" s="132">
        <f>IF(SER_hh_fech_in!K17=0,0,SER_hh_fech_in!K17/SER_summary!K$27)</f>
        <v>0</v>
      </c>
      <c r="L17" s="132">
        <f>IF(SER_hh_fech_in!L17=0,0,SER_hh_fech_in!L17/SER_summary!L$27)</f>
        <v>0</v>
      </c>
      <c r="M17" s="132">
        <f>IF(SER_hh_fech_in!M17=0,0,SER_hh_fech_in!M17/SER_summary!M$27)</f>
        <v>0</v>
      </c>
      <c r="N17" s="132">
        <f>IF(SER_hh_fech_in!N17=0,0,SER_hh_fech_in!N17/SER_summary!N$27)</f>
        <v>0</v>
      </c>
      <c r="O17" s="132">
        <f>IF(SER_hh_fech_in!O17=0,0,SER_hh_fech_in!O17/SER_summary!O$27)</f>
        <v>0</v>
      </c>
      <c r="P17" s="132">
        <f>IF(SER_hh_fech_in!P17=0,0,SER_hh_fech_in!P17/SER_summary!P$27)</f>
        <v>0</v>
      </c>
      <c r="Q17" s="132">
        <f>IF(SER_hh_fech_in!Q17=0,0,SER_hh_fech_in!Q17/SER_summary!Q$27)</f>
        <v>0</v>
      </c>
      <c r="R17" s="132">
        <f>IF(SER_hh_fech_in!R17=0,0,SER_hh_fech_in!R17/SER_summary!R$27)</f>
        <v>0</v>
      </c>
      <c r="S17" s="132">
        <f>IF(SER_hh_fech_in!S17=0,0,SER_hh_fech_in!S17/SER_summary!S$27)</f>
        <v>0</v>
      </c>
      <c r="T17" s="132">
        <f>IF(SER_hh_fech_in!T17=0,0,SER_hh_fech_in!T17/SER_summary!T$27)</f>
        <v>0</v>
      </c>
      <c r="U17" s="132">
        <f>IF(SER_hh_fech_in!U17=0,0,SER_hh_fech_in!U17/SER_summary!U$27)</f>
        <v>0</v>
      </c>
      <c r="V17" s="132">
        <f>IF(SER_hh_fech_in!V17=0,0,SER_hh_fech_in!V17/SER_summary!V$27)</f>
        <v>0</v>
      </c>
      <c r="W17" s="132">
        <f>IF(SER_hh_fech_in!W17=0,0,SER_hh_fech_in!W17/SER_summary!W$27)</f>
        <v>0</v>
      </c>
      <c r="X17" s="132">
        <f>IF(SER_hh_fech_in!X17=0,0,SER_hh_fech_in!X17/SER_summary!X$27)</f>
        <v>0</v>
      </c>
      <c r="Y17" s="132">
        <f>IF(SER_hh_fech_in!Y17=0,0,SER_hh_fech_in!Y17/SER_summary!Y$27)</f>
        <v>0</v>
      </c>
      <c r="DA17" s="156" t="s">
        <v>831</v>
      </c>
    </row>
    <row r="18" spans="1:105" ht="12" customHeight="1" x14ac:dyDescent="0.25">
      <c r="A18" s="131" t="s">
        <v>72</v>
      </c>
      <c r="B18" s="132"/>
      <c r="C18" s="132">
        <f>IF(SER_hh_fech_in!C18=0,0,SER_hh_fech_in!C18/SER_summary!C$27)</f>
        <v>33.383042382801484</v>
      </c>
      <c r="D18" s="132">
        <f>IF(SER_hh_fech_in!D18=0,0,SER_hh_fech_in!D18/SER_summary!D$27)</f>
        <v>30.878301987260691</v>
      </c>
      <c r="E18" s="132">
        <f>IF(SER_hh_fech_in!E18=0,0,SER_hh_fech_in!E18/SER_summary!E$27)</f>
        <v>31.985743139348315</v>
      </c>
      <c r="F18" s="132">
        <f>IF(SER_hh_fech_in!F18=0,0,SER_hh_fech_in!F18/SER_summary!F$27)</f>
        <v>25.452947220827248</v>
      </c>
      <c r="G18" s="132">
        <f>IF(SER_hh_fech_in!G18=0,0,SER_hh_fech_in!G18/SER_summary!G$27)</f>
        <v>22.36977025762932</v>
      </c>
      <c r="H18" s="132">
        <f>IF(SER_hh_fech_in!H18=0,0,SER_hh_fech_in!H18/SER_summary!H$27)</f>
        <v>24.755010212179613</v>
      </c>
      <c r="I18" s="132">
        <f>IF(SER_hh_fech_in!I18=0,0,SER_hh_fech_in!I18/SER_summary!I$27)</f>
        <v>26.691042014463633</v>
      </c>
      <c r="J18" s="132">
        <f>IF(SER_hh_fech_in!J18=0,0,SER_hh_fech_in!J18/SER_summary!J$27)</f>
        <v>26.177775022581649</v>
      </c>
      <c r="K18" s="132">
        <f>IF(SER_hh_fech_in!K18=0,0,SER_hh_fech_in!K18/SER_summary!K$27)</f>
        <v>24.163149531289413</v>
      </c>
      <c r="L18" s="132">
        <f>IF(SER_hh_fech_in!L18=0,0,SER_hh_fech_in!L18/SER_summary!L$27)</f>
        <v>24.262293275793358</v>
      </c>
      <c r="M18" s="132">
        <f>IF(SER_hh_fech_in!M18=0,0,SER_hh_fech_in!M18/SER_summary!M$27)</f>
        <v>19.891916617340677</v>
      </c>
      <c r="N18" s="132">
        <f>IF(SER_hh_fech_in!N18=0,0,SER_hh_fech_in!N18/SER_summary!N$27)</f>
        <v>22.835350375609092</v>
      </c>
      <c r="O18" s="132">
        <f>IF(SER_hh_fech_in!O18=0,0,SER_hh_fech_in!O18/SER_summary!O$27)</f>
        <v>17.973347859053945</v>
      </c>
      <c r="P18" s="132">
        <f>IF(SER_hh_fech_in!P18=0,0,SER_hh_fech_in!P18/SER_summary!P$27)</f>
        <v>15.049121021529075</v>
      </c>
      <c r="Q18" s="132">
        <f>IF(SER_hh_fech_in!Q18=0,0,SER_hh_fech_in!Q18/SER_summary!Q$27)</f>
        <v>15.432998349730923</v>
      </c>
      <c r="R18" s="132">
        <f>IF(SER_hh_fech_in!R18=0,0,SER_hh_fech_in!R18/SER_summary!R$27)</f>
        <v>16.65339957449557</v>
      </c>
      <c r="S18" s="132">
        <f>IF(SER_hh_fech_in!S18=0,0,SER_hh_fech_in!S18/SER_summary!S$27)</f>
        <v>15.190196984631161</v>
      </c>
      <c r="T18" s="132">
        <f>IF(SER_hh_fech_in!T18=0,0,SER_hh_fech_in!T18/SER_summary!T$27)</f>
        <v>18.516181987711342</v>
      </c>
      <c r="U18" s="132">
        <f>IF(SER_hh_fech_in!U18=0,0,SER_hh_fech_in!U18/SER_summary!U$27)</f>
        <v>15.045258277490312</v>
      </c>
      <c r="V18" s="132">
        <f>IF(SER_hh_fech_in!V18=0,0,SER_hh_fech_in!V18/SER_summary!V$27)</f>
        <v>14.950351372446869</v>
      </c>
      <c r="W18" s="132">
        <f>IF(SER_hh_fech_in!W18=0,0,SER_hh_fech_in!W18/SER_summary!W$27)</f>
        <v>12.60653396344769</v>
      </c>
      <c r="X18" s="132">
        <f>IF(SER_hh_fech_in!X18=0,0,SER_hh_fech_in!X18/SER_summary!X$27)</f>
        <v>10.83663595574845</v>
      </c>
      <c r="Y18" s="132">
        <f>IF(SER_hh_fech_in!Y18=0,0,SER_hh_fech_in!Y18/SER_summary!Y$27)</f>
        <v>12.172682996009732</v>
      </c>
      <c r="DA18" s="156" t="s">
        <v>832</v>
      </c>
    </row>
    <row r="19" spans="1:105" ht="12.95" customHeight="1" x14ac:dyDescent="0.25">
      <c r="A19" s="129" t="s">
        <v>35</v>
      </c>
      <c r="B19" s="130"/>
      <c r="C19" s="130">
        <f>IF(SER_hh_fech_in!C19=0,0,SER_hh_fech_in!C19/SER_summary!C$27)</f>
        <v>17.941041020357417</v>
      </c>
      <c r="D19" s="130">
        <f>IF(SER_hh_fech_in!D19=0,0,SER_hh_fech_in!D19/SER_summary!D$27)</f>
        <v>14.98040357954142</v>
      </c>
      <c r="E19" s="130">
        <f>IF(SER_hh_fech_in!E19=0,0,SER_hh_fech_in!E19/SER_summary!E$27)</f>
        <v>15.566740040682557</v>
      </c>
      <c r="F19" s="130">
        <f>IF(SER_hh_fech_in!F19=0,0,SER_hh_fech_in!F19/SER_summary!F$27)</f>
        <v>15.398606596508211</v>
      </c>
      <c r="G19" s="130">
        <f>IF(SER_hh_fech_in!G19=0,0,SER_hh_fech_in!G19/SER_summary!G$27)</f>
        <v>15.840565975661987</v>
      </c>
      <c r="H19" s="130">
        <f>IF(SER_hh_fech_in!H19=0,0,SER_hh_fech_in!H19/SER_summary!H$27)</f>
        <v>23.680028543668694</v>
      </c>
      <c r="I19" s="130">
        <f>IF(SER_hh_fech_in!I19=0,0,SER_hh_fech_in!I19/SER_summary!I$27)</f>
        <v>20.176419127373361</v>
      </c>
      <c r="J19" s="130">
        <f>IF(SER_hh_fech_in!J19=0,0,SER_hh_fech_in!J19/SER_summary!J$27)</f>
        <v>18.494821983997088</v>
      </c>
      <c r="K19" s="130">
        <f>IF(SER_hh_fech_in!K19=0,0,SER_hh_fech_in!K19/SER_summary!K$27)</f>
        <v>13.303871228133346</v>
      </c>
      <c r="L19" s="130">
        <f>IF(SER_hh_fech_in!L19=0,0,SER_hh_fech_in!L19/SER_summary!L$27)</f>
        <v>13.164836444004969</v>
      </c>
      <c r="M19" s="130">
        <f>IF(SER_hh_fech_in!M19=0,0,SER_hh_fech_in!M19/SER_summary!M$27)</f>
        <v>12.536481548726197</v>
      </c>
      <c r="N19" s="130">
        <f>IF(SER_hh_fech_in!N19=0,0,SER_hh_fech_in!N19/SER_summary!N$27)</f>
        <v>14.297530472225606</v>
      </c>
      <c r="O19" s="130">
        <f>IF(SER_hh_fech_in!O19=0,0,SER_hh_fech_in!O19/SER_summary!O$27)</f>
        <v>14.844055167997732</v>
      </c>
      <c r="P19" s="130">
        <f>IF(SER_hh_fech_in!P19=0,0,SER_hh_fech_in!P19/SER_summary!P$27)</f>
        <v>15.104477091617028</v>
      </c>
      <c r="Q19" s="130">
        <f>IF(SER_hh_fech_in!Q19=0,0,SER_hh_fech_in!Q19/SER_summary!Q$27)</f>
        <v>14.584456338811643</v>
      </c>
      <c r="R19" s="130">
        <f>IF(SER_hh_fech_in!R19=0,0,SER_hh_fech_in!R19/SER_summary!R$27)</f>
        <v>14.012266990627973</v>
      </c>
      <c r="S19" s="130">
        <f>IF(SER_hh_fech_in!S19=0,0,SER_hh_fech_in!S19/SER_summary!S$27)</f>
        <v>13.257446441129341</v>
      </c>
      <c r="T19" s="130">
        <f>IF(SER_hh_fech_in!T19=0,0,SER_hh_fech_in!T19/SER_summary!T$27)</f>
        <v>13.574978087788878</v>
      </c>
      <c r="U19" s="130">
        <f>IF(SER_hh_fech_in!U19=0,0,SER_hh_fech_in!U19/SER_summary!U$27)</f>
        <v>13.721818055169964</v>
      </c>
      <c r="V19" s="130">
        <f>IF(SER_hh_fech_in!V19=0,0,SER_hh_fech_in!V19/SER_summary!V$27)</f>
        <v>11.897275690150549</v>
      </c>
      <c r="W19" s="130">
        <f>IF(SER_hh_fech_in!W19=0,0,SER_hh_fech_in!W19/SER_summary!W$27)</f>
        <v>12.664632425637656</v>
      </c>
      <c r="X19" s="130">
        <f>IF(SER_hh_fech_in!X19=0,0,SER_hh_fech_in!X19/SER_summary!X$27)</f>
        <v>13.679427782809537</v>
      </c>
      <c r="Y19" s="130">
        <f>IF(SER_hh_fech_in!Y19=0,0,SER_hh_fech_in!Y19/SER_summary!Y$27)</f>
        <v>14.078741347312201</v>
      </c>
      <c r="DA19" s="155" t="s">
        <v>833</v>
      </c>
    </row>
    <row r="20" spans="1:105" ht="12" customHeight="1" x14ac:dyDescent="0.25">
      <c r="A20" s="131" t="s">
        <v>29</v>
      </c>
      <c r="B20" s="132"/>
      <c r="C20" s="132">
        <f>IF(SER_hh_fech_in!C20=0,0,SER_hh_fech_in!C20/SER_summary!C$27)</f>
        <v>0</v>
      </c>
      <c r="D20" s="132">
        <f>IF(SER_hh_fech_in!D20=0,0,SER_hh_fech_in!D20/SER_summary!D$27)</f>
        <v>0</v>
      </c>
      <c r="E20" s="132">
        <f>IF(SER_hh_fech_in!E20=0,0,SER_hh_fech_in!E20/SER_summary!E$27)</f>
        <v>0</v>
      </c>
      <c r="F20" s="132">
        <f>IF(SER_hh_fech_in!F20=0,0,SER_hh_fech_in!F20/SER_summary!F$27)</f>
        <v>0</v>
      </c>
      <c r="G20" s="132">
        <f>IF(SER_hh_fech_in!G20=0,0,SER_hh_fech_in!G20/SER_summary!G$27)</f>
        <v>0</v>
      </c>
      <c r="H20" s="132">
        <f>IF(SER_hh_fech_in!H20=0,0,SER_hh_fech_in!H20/SER_summary!H$27)</f>
        <v>0</v>
      </c>
      <c r="I20" s="132">
        <f>IF(SER_hh_fech_in!I20=0,0,SER_hh_fech_in!I20/SER_summary!I$27)</f>
        <v>0</v>
      </c>
      <c r="J20" s="132">
        <f>IF(SER_hh_fech_in!J20=0,0,SER_hh_fech_in!J20/SER_summary!J$27)</f>
        <v>0</v>
      </c>
      <c r="K20" s="132">
        <f>IF(SER_hh_fech_in!K20=0,0,SER_hh_fech_in!K20/SER_summary!K$27)</f>
        <v>0</v>
      </c>
      <c r="L20" s="132">
        <f>IF(SER_hh_fech_in!L20=0,0,SER_hh_fech_in!L20/SER_summary!L$27)</f>
        <v>0</v>
      </c>
      <c r="M20" s="132">
        <f>IF(SER_hh_fech_in!M20=0,0,SER_hh_fech_in!M20/SER_summary!M$27)</f>
        <v>0</v>
      </c>
      <c r="N20" s="132">
        <f>IF(SER_hh_fech_in!N20=0,0,SER_hh_fech_in!N20/SER_summary!N$27)</f>
        <v>0</v>
      </c>
      <c r="O20" s="132">
        <f>IF(SER_hh_fech_in!O20=0,0,SER_hh_fech_in!O20/SER_summary!O$27)</f>
        <v>0</v>
      </c>
      <c r="P20" s="132">
        <f>IF(SER_hh_fech_in!P20=0,0,SER_hh_fech_in!P20/SER_summary!P$27)</f>
        <v>0</v>
      </c>
      <c r="Q20" s="132">
        <f>IF(SER_hh_fech_in!Q20=0,0,SER_hh_fech_in!Q20/SER_summary!Q$27)</f>
        <v>0</v>
      </c>
      <c r="R20" s="132">
        <f>IF(SER_hh_fech_in!R20=0,0,SER_hh_fech_in!R20/SER_summary!R$27)</f>
        <v>0</v>
      </c>
      <c r="S20" s="132">
        <f>IF(SER_hh_fech_in!S20=0,0,SER_hh_fech_in!S20/SER_summary!S$27)</f>
        <v>0</v>
      </c>
      <c r="T20" s="132">
        <f>IF(SER_hh_fech_in!T20=0,0,SER_hh_fech_in!T20/SER_summary!T$27)</f>
        <v>0</v>
      </c>
      <c r="U20" s="132">
        <f>IF(SER_hh_fech_in!U20=0,0,SER_hh_fech_in!U20/SER_summary!U$27)</f>
        <v>0</v>
      </c>
      <c r="V20" s="132">
        <f>IF(SER_hh_fech_in!V20=0,0,SER_hh_fech_in!V20/SER_summary!V$27)</f>
        <v>0</v>
      </c>
      <c r="W20" s="132">
        <f>IF(SER_hh_fech_in!W20=0,0,SER_hh_fech_in!W20/SER_summary!W$27)</f>
        <v>0</v>
      </c>
      <c r="X20" s="132">
        <f>IF(SER_hh_fech_in!X20=0,0,SER_hh_fech_in!X20/SER_summary!X$27)</f>
        <v>0</v>
      </c>
      <c r="Y20" s="132">
        <f>IF(SER_hh_fech_in!Y20=0,0,SER_hh_fech_in!Y20/SER_summary!Y$27)</f>
        <v>0</v>
      </c>
      <c r="DA20" s="156" t="s">
        <v>834</v>
      </c>
    </row>
    <row r="21" spans="1:105" s="2" customFormat="1" ht="12" customHeight="1" x14ac:dyDescent="0.25">
      <c r="A21" s="131" t="s">
        <v>52</v>
      </c>
      <c r="B21" s="132"/>
      <c r="C21" s="132">
        <f>IF(SER_hh_fech_in!C21=0,0,SER_hh_fech_in!C21/SER_summary!C$27)</f>
        <v>0</v>
      </c>
      <c r="D21" s="132">
        <f>IF(SER_hh_fech_in!D21=0,0,SER_hh_fech_in!D21/SER_summary!D$27)</f>
        <v>0</v>
      </c>
      <c r="E21" s="132">
        <f>IF(SER_hh_fech_in!E21=0,0,SER_hh_fech_in!E21/SER_summary!E$27)</f>
        <v>0</v>
      </c>
      <c r="F21" s="132">
        <f>IF(SER_hh_fech_in!F21=0,0,SER_hh_fech_in!F21/SER_summary!F$27)</f>
        <v>0</v>
      </c>
      <c r="G21" s="132">
        <f>IF(SER_hh_fech_in!G21=0,0,SER_hh_fech_in!G21/SER_summary!G$27)</f>
        <v>0</v>
      </c>
      <c r="H21" s="132">
        <f>IF(SER_hh_fech_in!H21=0,0,SER_hh_fech_in!H21/SER_summary!H$27)</f>
        <v>13.297878969199013</v>
      </c>
      <c r="I21" s="132">
        <f>IF(SER_hh_fech_in!I21=0,0,SER_hh_fech_in!I21/SER_summary!I$27)</f>
        <v>12.479770357418511</v>
      </c>
      <c r="J21" s="132">
        <f>IF(SER_hh_fech_in!J21=0,0,SER_hh_fech_in!J21/SER_summary!J$27)</f>
        <v>11.976052846862405</v>
      </c>
      <c r="K21" s="132">
        <f>IF(SER_hh_fech_in!K21=0,0,SER_hh_fech_in!K21/SER_summary!K$27)</f>
        <v>16.344349632550205</v>
      </c>
      <c r="L21" s="132">
        <f>IF(SER_hh_fech_in!L21=0,0,SER_hh_fech_in!L21/SER_summary!L$27)</f>
        <v>21.38082012343412</v>
      </c>
      <c r="M21" s="132">
        <f>IF(SER_hh_fech_in!M21=0,0,SER_hh_fech_in!M21/SER_summary!M$27)</f>
        <v>0</v>
      </c>
      <c r="N21" s="132">
        <f>IF(SER_hh_fech_in!N21=0,0,SER_hh_fech_in!N21/SER_summary!N$27)</f>
        <v>0</v>
      </c>
      <c r="O21" s="132">
        <f>IF(SER_hh_fech_in!O21=0,0,SER_hh_fech_in!O21/SER_summary!O$27)</f>
        <v>0</v>
      </c>
      <c r="P21" s="132">
        <f>IF(SER_hh_fech_in!P21=0,0,SER_hh_fech_in!P21/SER_summary!P$27)</f>
        <v>0</v>
      </c>
      <c r="Q21" s="132">
        <f>IF(SER_hh_fech_in!Q21=0,0,SER_hh_fech_in!Q21/SER_summary!Q$27)</f>
        <v>0</v>
      </c>
      <c r="R21" s="132">
        <f>IF(SER_hh_fech_in!R21=0,0,SER_hh_fech_in!R21/SER_summary!R$27)</f>
        <v>11.804979097203663</v>
      </c>
      <c r="S21" s="132">
        <f>IF(SER_hh_fech_in!S21=0,0,SER_hh_fech_in!S21/SER_summary!S$27)</f>
        <v>9.8058331485647798</v>
      </c>
      <c r="T21" s="132">
        <f>IF(SER_hh_fech_in!T21=0,0,SER_hh_fech_in!T21/SER_summary!T$27)</f>
        <v>13.563277425686891</v>
      </c>
      <c r="U21" s="132">
        <f>IF(SER_hh_fech_in!U21=0,0,SER_hh_fech_in!U21/SER_summary!U$27)</f>
        <v>13.621704122273567</v>
      </c>
      <c r="V21" s="132">
        <f>IF(SER_hh_fech_in!V21=0,0,SER_hh_fech_in!V21/SER_summary!V$27)</f>
        <v>8.2727434212137503</v>
      </c>
      <c r="W21" s="132">
        <f>IF(SER_hh_fech_in!W21=0,0,SER_hh_fech_in!W21/SER_summary!W$27)</f>
        <v>12.676930723261142</v>
      </c>
      <c r="X21" s="132">
        <f>IF(SER_hh_fech_in!X21=0,0,SER_hh_fech_in!X21/SER_summary!X$27)</f>
        <v>15.363241071189528</v>
      </c>
      <c r="Y21" s="132">
        <f>IF(SER_hh_fech_in!Y21=0,0,SER_hh_fech_in!Y21/SER_summary!Y$27)</f>
        <v>15.44881054255718</v>
      </c>
      <c r="DA21" s="156" t="s">
        <v>835</v>
      </c>
    </row>
    <row r="22" spans="1:105" ht="12" customHeight="1" x14ac:dyDescent="0.25">
      <c r="A22" s="131" t="s">
        <v>161</v>
      </c>
      <c r="B22" s="132"/>
      <c r="C22" s="132">
        <f>IF(SER_hh_fech_in!C22=0,0,SER_hh_fech_in!C22/SER_summary!C$27)</f>
        <v>27.677324249518879</v>
      </c>
      <c r="D22" s="132">
        <f>IF(SER_hh_fech_in!D22=0,0,SER_hh_fech_in!D22/SER_summary!D$27)</f>
        <v>9.1659859006375068</v>
      </c>
      <c r="E22" s="132">
        <f>IF(SER_hh_fech_in!E22=0,0,SER_hh_fech_in!E22/SER_summary!E$27)</f>
        <v>19.601755743720258</v>
      </c>
      <c r="F22" s="132">
        <f>IF(SER_hh_fech_in!F22=0,0,SER_hh_fech_in!F22/SER_summary!F$27)</f>
        <v>22.05426031306872</v>
      </c>
      <c r="G22" s="132">
        <f>IF(SER_hh_fech_in!G22=0,0,SER_hh_fech_in!G22/SER_summary!G$27)</f>
        <v>20.295337781510092</v>
      </c>
      <c r="H22" s="132">
        <f>IF(SER_hh_fech_in!H22=0,0,SER_hh_fech_in!H22/SER_summary!H$27)</f>
        <v>26.724258119896415</v>
      </c>
      <c r="I22" s="132">
        <f>IF(SER_hh_fech_in!I22=0,0,SER_hh_fech_in!I22/SER_summary!I$27)</f>
        <v>12.82881494230908</v>
      </c>
      <c r="J22" s="132">
        <f>IF(SER_hh_fech_in!J22=0,0,SER_hh_fech_in!J22/SER_summary!J$27)</f>
        <v>14.393388877624663</v>
      </c>
      <c r="K22" s="132">
        <f>IF(SER_hh_fech_in!K22=0,0,SER_hh_fech_in!K22/SER_summary!K$27)</f>
        <v>21.862429962315218</v>
      </c>
      <c r="L22" s="132">
        <f>IF(SER_hh_fech_in!L22=0,0,SER_hh_fech_in!L22/SER_summary!L$27)</f>
        <v>28.245090433146661</v>
      </c>
      <c r="M22" s="132">
        <f>IF(SER_hh_fech_in!M22=0,0,SER_hh_fech_in!M22/SER_summary!M$27)</f>
        <v>24.369319201765212</v>
      </c>
      <c r="N22" s="132">
        <f>IF(SER_hh_fech_in!N22=0,0,SER_hh_fech_in!N22/SER_summary!N$27)</f>
        <v>27.276142125686786</v>
      </c>
      <c r="O22" s="132">
        <f>IF(SER_hh_fech_in!O22=0,0,SER_hh_fech_in!O22/SER_summary!O$27)</f>
        <v>25.303085756360815</v>
      </c>
      <c r="P22" s="132">
        <f>IF(SER_hh_fech_in!P22=0,0,SER_hh_fech_in!P22/SER_summary!P$27)</f>
        <v>19.201727093143003</v>
      </c>
      <c r="Q22" s="132">
        <f>IF(SER_hh_fech_in!Q22=0,0,SER_hh_fech_in!Q22/SER_summary!Q$27)</f>
        <v>10.759265850990108</v>
      </c>
      <c r="R22" s="132">
        <f>IF(SER_hh_fech_in!R22=0,0,SER_hh_fech_in!R22/SER_summary!R$27)</f>
        <v>13.417757115907845</v>
      </c>
      <c r="S22" s="132">
        <f>IF(SER_hh_fech_in!S22=0,0,SER_hh_fech_in!S22/SER_summary!S$27)</f>
        <v>11.012209832976518</v>
      </c>
      <c r="T22" s="132">
        <f>IF(SER_hh_fech_in!T22=0,0,SER_hh_fech_in!T22/SER_summary!T$27)</f>
        <v>16.246798168805153</v>
      </c>
      <c r="U22" s="132">
        <f>IF(SER_hh_fech_in!U22=0,0,SER_hh_fech_in!U22/SER_summary!U$27)</f>
        <v>15.434363847650499</v>
      </c>
      <c r="V22" s="132">
        <f>IF(SER_hh_fech_in!V22=0,0,SER_hh_fech_in!V22/SER_summary!V$27)</f>
        <v>9.2337627113126004</v>
      </c>
      <c r="W22" s="132">
        <f>IF(SER_hh_fech_in!W22=0,0,SER_hh_fech_in!W22/SER_summary!W$27)</f>
        <v>16.524979236956302</v>
      </c>
      <c r="X22" s="132">
        <f>IF(SER_hh_fech_in!X22=0,0,SER_hh_fech_in!X22/SER_summary!X$27)</f>
        <v>19.986801527027815</v>
      </c>
      <c r="Y22" s="132">
        <f>IF(SER_hh_fech_in!Y22=0,0,SER_hh_fech_in!Y22/SER_summary!Y$27)</f>
        <v>20.300212935037202</v>
      </c>
      <c r="DA22" s="156" t="s">
        <v>836</v>
      </c>
    </row>
    <row r="23" spans="1:105" ht="12" customHeight="1" x14ac:dyDescent="0.25">
      <c r="A23" s="131" t="s">
        <v>149</v>
      </c>
      <c r="B23" s="132"/>
      <c r="C23" s="132">
        <f>IF(SER_hh_fech_in!C23=0,0,SER_hh_fech_in!C23/SER_summary!C$27)</f>
        <v>0</v>
      </c>
      <c r="D23" s="132">
        <f>IF(SER_hh_fech_in!D23=0,0,SER_hh_fech_in!D23/SER_summary!D$27)</f>
        <v>0</v>
      </c>
      <c r="E23" s="132">
        <f>IF(SER_hh_fech_in!E23=0,0,SER_hh_fech_in!E23/SER_summary!E$27)</f>
        <v>0</v>
      </c>
      <c r="F23" s="132">
        <f>IF(SER_hh_fech_in!F23=0,0,SER_hh_fech_in!F23/SER_summary!F$27)</f>
        <v>0</v>
      </c>
      <c r="G23" s="132">
        <f>IF(SER_hh_fech_in!G23=0,0,SER_hh_fech_in!G23/SER_summary!G$27)</f>
        <v>0</v>
      </c>
      <c r="H23" s="132">
        <f>IF(SER_hh_fech_in!H23=0,0,SER_hh_fech_in!H23/SER_summary!H$27)</f>
        <v>0</v>
      </c>
      <c r="I23" s="132">
        <f>IF(SER_hh_fech_in!I23=0,0,SER_hh_fech_in!I23/SER_summary!I$27)</f>
        <v>0</v>
      </c>
      <c r="J23" s="132">
        <f>IF(SER_hh_fech_in!J23=0,0,SER_hh_fech_in!J23/SER_summary!J$27)</f>
        <v>0</v>
      </c>
      <c r="K23" s="132">
        <f>IF(SER_hh_fech_in!K23=0,0,SER_hh_fech_in!K23/SER_summary!K$27)</f>
        <v>0</v>
      </c>
      <c r="L23" s="132">
        <f>IF(SER_hh_fech_in!L23=0,0,SER_hh_fech_in!L23/SER_summary!L$27)</f>
        <v>0</v>
      </c>
      <c r="M23" s="132">
        <f>IF(SER_hh_fech_in!M23=0,0,SER_hh_fech_in!M23/SER_summary!M$27)</f>
        <v>0</v>
      </c>
      <c r="N23" s="132">
        <f>IF(SER_hh_fech_in!N23=0,0,SER_hh_fech_in!N23/SER_summary!N$27)</f>
        <v>0</v>
      </c>
      <c r="O23" s="132">
        <f>IF(SER_hh_fech_in!O23=0,0,SER_hh_fech_in!O23/SER_summary!O$27)</f>
        <v>0</v>
      </c>
      <c r="P23" s="132">
        <f>IF(SER_hh_fech_in!P23=0,0,SER_hh_fech_in!P23/SER_summary!P$27)</f>
        <v>0</v>
      </c>
      <c r="Q23" s="132">
        <f>IF(SER_hh_fech_in!Q23=0,0,SER_hh_fech_in!Q23/SER_summary!Q$27)</f>
        <v>0</v>
      </c>
      <c r="R23" s="132">
        <f>IF(SER_hh_fech_in!R23=0,0,SER_hh_fech_in!R23/SER_summary!R$27)</f>
        <v>0</v>
      </c>
      <c r="S23" s="132">
        <f>IF(SER_hh_fech_in!S23=0,0,SER_hh_fech_in!S23/SER_summary!S$27)</f>
        <v>0</v>
      </c>
      <c r="T23" s="132">
        <f>IF(SER_hh_fech_in!T23=0,0,SER_hh_fech_in!T23/SER_summary!T$27)</f>
        <v>0</v>
      </c>
      <c r="U23" s="132">
        <f>IF(SER_hh_fech_in!U23=0,0,SER_hh_fech_in!U23/SER_summary!U$27)</f>
        <v>0</v>
      </c>
      <c r="V23" s="132">
        <f>IF(SER_hh_fech_in!V23=0,0,SER_hh_fech_in!V23/SER_summary!V$27)</f>
        <v>0</v>
      </c>
      <c r="W23" s="132">
        <f>IF(SER_hh_fech_in!W23=0,0,SER_hh_fech_in!W23/SER_summary!W$27)</f>
        <v>0</v>
      </c>
      <c r="X23" s="132">
        <f>IF(SER_hh_fech_in!X23=0,0,SER_hh_fech_in!X23/SER_summary!X$27)</f>
        <v>0</v>
      </c>
      <c r="Y23" s="132">
        <f>IF(SER_hh_fech_in!Y23=0,0,SER_hh_fech_in!Y23/SER_summary!Y$27)</f>
        <v>0</v>
      </c>
      <c r="DA23" s="156" t="s">
        <v>837</v>
      </c>
    </row>
    <row r="24" spans="1:105" ht="12" customHeight="1" x14ac:dyDescent="0.25">
      <c r="A24" s="131" t="s">
        <v>128</v>
      </c>
      <c r="B24" s="132"/>
      <c r="C24" s="132">
        <f>IF(SER_hh_fech_in!C24=0,0,SER_hh_fech_in!C24/SER_summary!C$27)</f>
        <v>0</v>
      </c>
      <c r="D24" s="132">
        <f>IF(SER_hh_fech_in!D24=0,0,SER_hh_fech_in!D24/SER_summary!D$27)</f>
        <v>0</v>
      </c>
      <c r="E24" s="132">
        <f>IF(SER_hh_fech_in!E24=0,0,SER_hh_fech_in!E24/SER_summary!E$27)</f>
        <v>0</v>
      </c>
      <c r="F24" s="132">
        <f>IF(SER_hh_fech_in!F24=0,0,SER_hh_fech_in!F24/SER_summary!F$27)</f>
        <v>0</v>
      </c>
      <c r="G24" s="132">
        <f>IF(SER_hh_fech_in!G24=0,0,SER_hh_fech_in!G24/SER_summary!G$27)</f>
        <v>0</v>
      </c>
      <c r="H24" s="132">
        <f>IF(SER_hh_fech_in!H24=0,0,SER_hh_fech_in!H24/SER_summary!H$27)</f>
        <v>0</v>
      </c>
      <c r="I24" s="132">
        <f>IF(SER_hh_fech_in!I24=0,0,SER_hh_fech_in!I24/SER_summary!I$27)</f>
        <v>0</v>
      </c>
      <c r="J24" s="132">
        <f>IF(SER_hh_fech_in!J24=0,0,SER_hh_fech_in!J24/SER_summary!J$27)</f>
        <v>0</v>
      </c>
      <c r="K24" s="132">
        <f>IF(SER_hh_fech_in!K24=0,0,SER_hh_fech_in!K24/SER_summary!K$27)</f>
        <v>0</v>
      </c>
      <c r="L24" s="132">
        <f>IF(SER_hh_fech_in!L24=0,0,SER_hh_fech_in!L24/SER_summary!L$27)</f>
        <v>0</v>
      </c>
      <c r="M24" s="132">
        <f>IF(SER_hh_fech_in!M24=0,0,SER_hh_fech_in!M24/SER_summary!M$27)</f>
        <v>0</v>
      </c>
      <c r="N24" s="132">
        <f>IF(SER_hh_fech_in!N24=0,0,SER_hh_fech_in!N24/SER_summary!N$27)</f>
        <v>0</v>
      </c>
      <c r="O24" s="132">
        <f>IF(SER_hh_fech_in!O24=0,0,SER_hh_fech_in!O24/SER_summary!O$27)</f>
        <v>0</v>
      </c>
      <c r="P24" s="132">
        <f>IF(SER_hh_fech_in!P24=0,0,SER_hh_fech_in!P24/SER_summary!P$27)</f>
        <v>0</v>
      </c>
      <c r="Q24" s="132">
        <f>IF(SER_hh_fech_in!Q24=0,0,SER_hh_fech_in!Q24/SER_summary!Q$27)</f>
        <v>0</v>
      </c>
      <c r="R24" s="132">
        <f>IF(SER_hh_fech_in!R24=0,0,SER_hh_fech_in!R24/SER_summary!R$27)</f>
        <v>0</v>
      </c>
      <c r="S24" s="132">
        <f>IF(SER_hh_fech_in!S24=0,0,SER_hh_fech_in!S24/SER_summary!S$27)</f>
        <v>0</v>
      </c>
      <c r="T24" s="132">
        <f>IF(SER_hh_fech_in!T24=0,0,SER_hh_fech_in!T24/SER_summary!T$27)</f>
        <v>0</v>
      </c>
      <c r="U24" s="132">
        <f>IF(SER_hh_fech_in!U24=0,0,SER_hh_fech_in!U24/SER_summary!U$27)</f>
        <v>0</v>
      </c>
      <c r="V24" s="132">
        <f>IF(SER_hh_fech_in!V24=0,0,SER_hh_fech_in!V24/SER_summary!V$27)</f>
        <v>0</v>
      </c>
      <c r="W24" s="132">
        <f>IF(SER_hh_fech_in!W24=0,0,SER_hh_fech_in!W24/SER_summary!W$27)</f>
        <v>0</v>
      </c>
      <c r="X24" s="132">
        <f>IF(SER_hh_fech_in!X24=0,0,SER_hh_fech_in!X24/SER_summary!X$27)</f>
        <v>0</v>
      </c>
      <c r="Y24" s="132">
        <f>IF(SER_hh_fech_in!Y24=0,0,SER_hh_fech_in!Y24/SER_summary!Y$27)</f>
        <v>0</v>
      </c>
      <c r="DA24" s="156" t="s">
        <v>838</v>
      </c>
    </row>
    <row r="25" spans="1:105" ht="12" customHeight="1" x14ac:dyDescent="0.25">
      <c r="A25" s="131" t="s">
        <v>162</v>
      </c>
      <c r="B25" s="132"/>
      <c r="C25" s="132">
        <f>IF(SER_hh_fech_in!C25=0,0,SER_hh_fech_in!C25/SER_summary!C$27)</f>
        <v>0</v>
      </c>
      <c r="D25" s="132">
        <f>IF(SER_hh_fech_in!D25=0,0,SER_hh_fech_in!D25/SER_summary!D$27)</f>
        <v>0</v>
      </c>
      <c r="E25" s="132">
        <f>IF(SER_hh_fech_in!E25=0,0,SER_hh_fech_in!E25/SER_summary!E$27)</f>
        <v>0</v>
      </c>
      <c r="F25" s="132">
        <f>IF(SER_hh_fech_in!F25=0,0,SER_hh_fech_in!F25/SER_summary!F$27)</f>
        <v>0</v>
      </c>
      <c r="G25" s="132">
        <f>IF(SER_hh_fech_in!G25=0,0,SER_hh_fech_in!G25/SER_summary!G$27)</f>
        <v>0</v>
      </c>
      <c r="H25" s="132">
        <f>IF(SER_hh_fech_in!H25=0,0,SER_hh_fech_in!H25/SER_summary!H$27)</f>
        <v>0</v>
      </c>
      <c r="I25" s="132">
        <f>IF(SER_hh_fech_in!I25=0,0,SER_hh_fech_in!I25/SER_summary!I$27)</f>
        <v>0</v>
      </c>
      <c r="J25" s="132">
        <f>IF(SER_hh_fech_in!J25=0,0,SER_hh_fech_in!J25/SER_summary!J$27)</f>
        <v>0</v>
      </c>
      <c r="K25" s="132">
        <f>IF(SER_hh_fech_in!K25=0,0,SER_hh_fech_in!K25/SER_summary!K$27)</f>
        <v>0</v>
      </c>
      <c r="L25" s="132">
        <f>IF(SER_hh_fech_in!L25=0,0,SER_hh_fech_in!L25/SER_summary!L$27)</f>
        <v>0</v>
      </c>
      <c r="M25" s="132">
        <f>IF(SER_hh_fech_in!M25=0,0,SER_hh_fech_in!M25/SER_summary!M$27)</f>
        <v>0</v>
      </c>
      <c r="N25" s="132">
        <f>IF(SER_hh_fech_in!N25=0,0,SER_hh_fech_in!N25/SER_summary!N$27)</f>
        <v>0</v>
      </c>
      <c r="O25" s="132">
        <f>IF(SER_hh_fech_in!O25=0,0,SER_hh_fech_in!O25/SER_summary!O$27)</f>
        <v>0</v>
      </c>
      <c r="P25" s="132">
        <f>IF(SER_hh_fech_in!P25=0,0,SER_hh_fech_in!P25/SER_summary!P$27)</f>
        <v>0</v>
      </c>
      <c r="Q25" s="132">
        <f>IF(SER_hh_fech_in!Q25=0,0,SER_hh_fech_in!Q25/SER_summary!Q$27)</f>
        <v>0</v>
      </c>
      <c r="R25" s="132">
        <f>IF(SER_hh_fech_in!R25=0,0,SER_hh_fech_in!R25/SER_summary!R$27)</f>
        <v>0</v>
      </c>
      <c r="S25" s="132">
        <f>IF(SER_hh_fech_in!S25=0,0,SER_hh_fech_in!S25/SER_summary!S$27)</f>
        <v>0</v>
      </c>
      <c r="T25" s="132">
        <f>IF(SER_hh_fech_in!T25=0,0,SER_hh_fech_in!T25/SER_summary!T$27)</f>
        <v>0</v>
      </c>
      <c r="U25" s="132">
        <f>IF(SER_hh_fech_in!U25=0,0,SER_hh_fech_in!U25/SER_summary!U$27)</f>
        <v>0</v>
      </c>
      <c r="V25" s="132">
        <f>IF(SER_hh_fech_in!V25=0,0,SER_hh_fech_in!V25/SER_summary!V$27)</f>
        <v>0</v>
      </c>
      <c r="W25" s="132">
        <f>IF(SER_hh_fech_in!W25=0,0,SER_hh_fech_in!W25/SER_summary!W$27)</f>
        <v>0</v>
      </c>
      <c r="X25" s="132">
        <f>IF(SER_hh_fech_in!X25=0,0,SER_hh_fech_in!X25/SER_summary!X$27)</f>
        <v>0</v>
      </c>
      <c r="Y25" s="132">
        <f>IF(SER_hh_fech_in!Y25=0,0,SER_hh_fech_in!Y25/SER_summary!Y$27)</f>
        <v>0</v>
      </c>
      <c r="DA25" s="156" t="s">
        <v>839</v>
      </c>
    </row>
    <row r="26" spans="1:105" ht="12" customHeight="1" x14ac:dyDescent="0.25">
      <c r="A26" s="131" t="s">
        <v>24</v>
      </c>
      <c r="B26" s="65"/>
      <c r="C26" s="65">
        <f>IF(SER_hh_fech_in!C26=0,0,SER_hh_fech_in!C26/SER_summary!C$27)</f>
        <v>10.408292436282467</v>
      </c>
      <c r="D26" s="65">
        <f>IF(SER_hh_fech_in!D26=0,0,SER_hh_fech_in!D26/SER_summary!D$27)</f>
        <v>4.535713419455071</v>
      </c>
      <c r="E26" s="65">
        <f>IF(SER_hh_fech_in!E26=0,0,SER_hh_fech_in!E26/SER_summary!E$27)</f>
        <v>5.6570104753207637</v>
      </c>
      <c r="F26" s="65">
        <f>IF(SER_hh_fech_in!F26=0,0,SER_hh_fech_in!F26/SER_summary!F$27)</f>
        <v>5.3363118038547173</v>
      </c>
      <c r="G26" s="65">
        <f>IF(SER_hh_fech_in!G26=0,0,SER_hh_fech_in!G26/SER_summary!G$27)</f>
        <v>6.4105229427362014</v>
      </c>
      <c r="H26" s="65">
        <f>IF(SER_hh_fech_in!H26=0,0,SER_hh_fech_in!H26/SER_summary!H$27)</f>
        <v>0</v>
      </c>
      <c r="I26" s="65">
        <f>IF(SER_hh_fech_in!I26=0,0,SER_hh_fech_in!I26/SER_summary!I$27)</f>
        <v>0</v>
      </c>
      <c r="J26" s="65">
        <f>IF(SER_hh_fech_in!J26=0,0,SER_hh_fech_in!J26/SER_summary!J$27)</f>
        <v>0.18938748685667678</v>
      </c>
      <c r="K26" s="65">
        <f>IF(SER_hh_fech_in!K26=0,0,SER_hh_fech_in!K26/SER_summary!K$27)</f>
        <v>0.19849559109657178</v>
      </c>
      <c r="L26" s="65">
        <f>IF(SER_hh_fech_in!L26=0,0,SER_hh_fech_in!L26/SER_summary!L$27)</f>
        <v>0.18182055782908105</v>
      </c>
      <c r="M26" s="65">
        <f>IF(SER_hh_fech_in!M26=0,0,SER_hh_fech_in!M26/SER_summary!M$27)</f>
        <v>0.1882207588432788</v>
      </c>
      <c r="N26" s="65">
        <f>IF(SER_hh_fech_in!N26=0,0,SER_hh_fech_in!N26/SER_summary!N$27)</f>
        <v>4.4824185408025219</v>
      </c>
      <c r="O26" s="65">
        <f>IF(SER_hh_fech_in!O26=0,0,SER_hh_fech_in!O26/SER_summary!O$27)</f>
        <v>5.9285520830202589</v>
      </c>
      <c r="P26" s="65">
        <f>IF(SER_hh_fech_in!P26=0,0,SER_hh_fech_in!P26/SER_summary!P$27)</f>
        <v>0.13708243730088021</v>
      </c>
      <c r="Q26" s="65">
        <f>IF(SER_hh_fech_in!Q26=0,0,SER_hh_fech_in!Q26/SER_summary!Q$27)</f>
        <v>0.13348194839629579</v>
      </c>
      <c r="R26" s="65">
        <f>IF(SER_hh_fech_in!R26=0,0,SER_hh_fech_in!R26/SER_summary!R$27)</f>
        <v>0.13483811187134315</v>
      </c>
      <c r="S26" s="65">
        <f>IF(SER_hh_fech_in!S26=0,0,SER_hh_fech_in!S26/SER_summary!S$27)</f>
        <v>0.13291855952621662</v>
      </c>
      <c r="T26" s="65">
        <f>IF(SER_hh_fech_in!T26=0,0,SER_hh_fech_in!T26/SER_summary!T$27)</f>
        <v>0.12850848303115756</v>
      </c>
      <c r="U26" s="65">
        <f>IF(SER_hh_fech_in!U26=0,0,SER_hh_fech_in!U26/SER_summary!U$27)</f>
        <v>0.11683360192431037</v>
      </c>
      <c r="V26" s="65">
        <f>IF(SER_hh_fech_in!V26=0,0,SER_hh_fech_in!V26/SER_summary!V$27)</f>
        <v>0.11342929444858162</v>
      </c>
      <c r="W26" s="65">
        <f>IF(SER_hh_fech_in!W26=0,0,SER_hh_fech_in!W26/SER_summary!W$27)</f>
        <v>0.11052098258722098</v>
      </c>
      <c r="X26" s="65">
        <f>IF(SER_hh_fech_in!X26=0,0,SER_hh_fech_in!X26/SER_summary!X$27)</f>
        <v>12.289368616070497</v>
      </c>
      <c r="Y26" s="65">
        <f>IF(SER_hh_fech_in!Y26=0,0,SER_hh_fech_in!Y26/SER_summary!Y$27)</f>
        <v>13.28829588688664</v>
      </c>
      <c r="DA26" s="109" t="s">
        <v>840</v>
      </c>
    </row>
    <row r="27" spans="1:105" ht="12" customHeight="1" x14ac:dyDescent="0.25">
      <c r="A27" s="144" t="s">
        <v>86</v>
      </c>
      <c r="B27" s="147"/>
      <c r="C27" s="145">
        <f>IF(SER_hh_fech_in!C27=0,0,SER_hh_fech_in!C27/SER_summary!C$27)</f>
        <v>7.0315912661788351</v>
      </c>
      <c r="D27" s="145">
        <f>IF(SER_hh_fech_in!D27=0,0,SER_hh_fech_in!D27/SER_summary!D$27)</f>
        <v>10.305715385945817</v>
      </c>
      <c r="E27" s="145">
        <f>IF(SER_hh_fech_in!E27=0,0,SER_hh_fech_in!E27/SER_summary!E$27)</f>
        <v>9.5064895658629336</v>
      </c>
      <c r="F27" s="145">
        <f>IF(SER_hh_fech_in!F27=0,0,SER_hh_fech_in!F27/SER_summary!F$27)</f>
        <v>9.5833251039706564</v>
      </c>
      <c r="G27" s="145">
        <f>IF(SER_hh_fech_in!G27=0,0,SER_hh_fech_in!G27/SER_summary!G$27)</f>
        <v>9.02039755248048</v>
      </c>
      <c r="H27" s="145">
        <f>IF(SER_hh_fech_in!H27=0,0,SER_hh_fech_in!H27/SER_summary!H$27)</f>
        <v>10.226750047969302</v>
      </c>
      <c r="I27" s="145">
        <f>IF(SER_hh_fech_in!I27=0,0,SER_hh_fech_in!I27/SER_summary!I$27)</f>
        <v>7.6840789323167957</v>
      </c>
      <c r="J27" s="145">
        <f>IF(SER_hh_fech_in!J27=0,0,SER_hh_fech_in!J27/SER_summary!J$27)</f>
        <v>6.9539774113203237</v>
      </c>
      <c r="K27" s="145">
        <f>IF(SER_hh_fech_in!K27=0,0,SER_hh_fech_in!K27/SER_summary!K$27)</f>
        <v>11.017534061159882</v>
      </c>
      <c r="L27" s="145">
        <f>IF(SER_hh_fech_in!L27=0,0,SER_hh_fech_in!L27/SER_summary!L$27)</f>
        <v>11.072939735990944</v>
      </c>
      <c r="M27" s="145">
        <f>IF(SER_hh_fech_in!M27=0,0,SER_hh_fech_in!M27/SER_summary!M$27)</f>
        <v>11.599935346897407</v>
      </c>
      <c r="N27" s="145">
        <f>IF(SER_hh_fech_in!N27=0,0,SER_hh_fech_in!N27/SER_summary!N$27)</f>
        <v>9.1581124748584184</v>
      </c>
      <c r="O27" s="145">
        <f>IF(SER_hh_fech_in!O27=0,0,SER_hh_fech_in!O27/SER_summary!O$27)</f>
        <v>8.3073202939604194</v>
      </c>
      <c r="P27" s="145">
        <f>IF(SER_hh_fech_in!P27=0,0,SER_hh_fech_in!P27/SER_summary!P$27)</f>
        <v>14.399059004543588</v>
      </c>
      <c r="Q27" s="145">
        <f>IF(SER_hh_fech_in!Q27=0,0,SER_hh_fech_in!Q27/SER_summary!Q$27)</f>
        <v>13.935286631066136</v>
      </c>
      <c r="R27" s="145">
        <f>IF(SER_hh_fech_in!R27=0,0,SER_hh_fech_in!R27/SER_summary!R$27)</f>
        <v>12.976104022424142</v>
      </c>
      <c r="S27" s="145">
        <f>IF(SER_hh_fech_in!S27=0,0,SER_hh_fech_in!S27/SER_summary!S$27)</f>
        <v>11.297779118978518</v>
      </c>
      <c r="T27" s="145">
        <f>IF(SER_hh_fech_in!T27=0,0,SER_hh_fech_in!T27/SER_summary!T$27)</f>
        <v>10.348307092347417</v>
      </c>
      <c r="U27" s="145">
        <f>IF(SER_hh_fech_in!U27=0,0,SER_hh_fech_in!U27/SER_summary!U$27)</f>
        <v>9.4668248958254537</v>
      </c>
      <c r="V27" s="145">
        <f>IF(SER_hh_fech_in!V27=0,0,SER_hh_fech_in!V27/SER_summary!V$27)</f>
        <v>10.171485312058858</v>
      </c>
      <c r="W27" s="145">
        <f>IF(SER_hh_fech_in!W27=0,0,SER_hh_fech_in!W27/SER_summary!W$27)</f>
        <v>7.6012789386180817</v>
      </c>
      <c r="X27" s="145">
        <f>IF(SER_hh_fech_in!X27=0,0,SER_hh_fech_in!X27/SER_summary!X$27)</f>
        <v>0</v>
      </c>
      <c r="Y27" s="145">
        <f>IF(SER_hh_fech_in!Y27=0,0,SER_hh_fech_in!Y27/SER_summary!Y$27)</f>
        <v>1.2234952218475484E-13</v>
      </c>
      <c r="DA27" s="158" t="s">
        <v>841</v>
      </c>
    </row>
    <row r="28" spans="1:105" ht="12" customHeight="1" x14ac:dyDescent="0.25">
      <c r="A28" s="78" t="s">
        <v>85</v>
      </c>
      <c r="B28" s="68"/>
      <c r="C28" s="146">
        <f>IF(SER_hh_fech_in!C28=0,0,SER_hh_fech_in!C28/SER_summary!C$27)</f>
        <v>11.187816881091857</v>
      </c>
      <c r="D28" s="146">
        <f>IF(SER_hh_fech_in!D28=0,0,SER_hh_fech_in!D28/SER_summary!D$27)</f>
        <v>10.305715385945817</v>
      </c>
      <c r="E28" s="146">
        <f>IF(SER_hh_fech_in!E28=0,0,SER_hh_fech_in!E28/SER_summary!E$27)</f>
        <v>9.6252155597557429</v>
      </c>
      <c r="F28" s="146">
        <f>IF(SER_hh_fech_in!F28=0,0,SER_hh_fech_in!F28/SER_summary!F$27)</f>
        <v>9.7321139103219334</v>
      </c>
      <c r="G28" s="146">
        <f>IF(SER_hh_fech_in!G28=0,0,SER_hh_fech_in!G28/SER_summary!G$27)</f>
        <v>9.1138608510898074</v>
      </c>
      <c r="H28" s="146">
        <f>IF(SER_hh_fech_in!H28=0,0,SER_hh_fech_in!H28/SER_summary!H$27)</f>
        <v>10.326656146880973</v>
      </c>
      <c r="I28" s="146">
        <f>IF(SER_hh_fech_in!I28=0,0,SER_hh_fech_in!I28/SER_summary!I$27)</f>
        <v>7.684078932316794</v>
      </c>
      <c r="J28" s="146">
        <f>IF(SER_hh_fech_in!J28=0,0,SER_hh_fech_in!J28/SER_summary!J$27)</f>
        <v>6.9539774113203228</v>
      </c>
      <c r="K28" s="146">
        <f>IF(SER_hh_fech_in!K28=0,0,SER_hh_fech_in!K28/SER_summary!K$27)</f>
        <v>11.664525198277881</v>
      </c>
      <c r="L28" s="146">
        <f>IF(SER_hh_fech_in!L28=0,0,SER_hh_fech_in!L28/SER_summary!L$27)</f>
        <v>11.977290073368117</v>
      </c>
      <c r="M28" s="146">
        <f>IF(SER_hh_fech_in!M28=0,0,SER_hh_fech_in!M28/SER_summary!M$27)</f>
        <v>11.863338551469573</v>
      </c>
      <c r="N28" s="146">
        <f>IF(SER_hh_fech_in!N28=0,0,SER_hh_fech_in!N28/SER_summary!N$27)</f>
        <v>12.741847210334214</v>
      </c>
      <c r="O28" s="146">
        <f>IF(SER_hh_fech_in!O28=0,0,SER_hh_fech_in!O28/SER_summary!O$27)</f>
        <v>14.618765474263013</v>
      </c>
      <c r="P28" s="146">
        <f>IF(SER_hh_fech_in!P28=0,0,SER_hh_fech_in!P28/SER_summary!P$27)</f>
        <v>14.684297131120424</v>
      </c>
      <c r="Q28" s="146">
        <f>IF(SER_hh_fech_in!Q28=0,0,SER_hh_fech_in!Q28/SER_summary!Q$27)</f>
        <v>13.935286631066136</v>
      </c>
      <c r="R28" s="146">
        <f>IF(SER_hh_fech_in!R28=0,0,SER_hh_fech_in!R28/SER_summary!R$27)</f>
        <v>13.19249407757674</v>
      </c>
      <c r="S28" s="146">
        <f>IF(SER_hh_fech_in!S28=0,0,SER_hh_fech_in!S28/SER_summary!S$27)</f>
        <v>11.297779118978518</v>
      </c>
      <c r="T28" s="146">
        <f>IF(SER_hh_fech_in!T28=0,0,SER_hh_fech_in!T28/SER_summary!T$27)</f>
        <v>11.876290669629375</v>
      </c>
      <c r="U28" s="146">
        <f>IF(SER_hh_fech_in!U28=0,0,SER_hh_fech_in!U28/SER_summary!U$27)</f>
        <v>11.417679887891051</v>
      </c>
      <c r="V28" s="146">
        <f>IF(SER_hh_fech_in!V28=0,0,SER_hh_fech_in!V28/SER_summary!V$27)</f>
        <v>10.171485312058859</v>
      </c>
      <c r="W28" s="146">
        <f>IF(SER_hh_fech_in!W28=0,0,SER_hh_fech_in!W28/SER_summary!W$27)</f>
        <v>10.422279595835443</v>
      </c>
      <c r="X28" s="146">
        <f>IF(SER_hh_fech_in!X28=0,0,SER_hh_fech_in!X28/SER_summary!X$27)</f>
        <v>0</v>
      </c>
      <c r="Y28" s="146">
        <f>IF(SER_hh_fech_in!Y28=0,0,SER_hh_fech_in!Y28/SER_summary!Y$27)</f>
        <v>12.655496372438572</v>
      </c>
      <c r="DA28" s="159"/>
    </row>
    <row r="29" spans="1:105" ht="12.95" customHeight="1" x14ac:dyDescent="0.25">
      <c r="A29" s="129" t="s">
        <v>34</v>
      </c>
      <c r="B29" s="130"/>
      <c r="C29" s="130">
        <f>IF(SER_hh_fech_in!C29=0,0,SER_hh_fech_in!C29/SER_summary!C$27)</f>
        <v>16.523806030513892</v>
      </c>
      <c r="D29" s="130">
        <f>IF(SER_hh_fech_in!D29=0,0,SER_hh_fech_in!D29/SER_summary!D$27)</f>
        <v>17.209814680565987</v>
      </c>
      <c r="E29" s="130">
        <f>IF(SER_hh_fech_in!E29=0,0,SER_hh_fech_in!E29/SER_summary!E$27)</f>
        <v>16.900216823432157</v>
      </c>
      <c r="F29" s="130">
        <f>IF(SER_hh_fech_in!F29=0,0,SER_hh_fech_in!F29/SER_summary!F$27)</f>
        <v>17.326618703266753</v>
      </c>
      <c r="G29" s="130">
        <f>IF(SER_hh_fech_in!G29=0,0,SER_hh_fech_in!G29/SER_summary!G$27)</f>
        <v>17.846805303863366</v>
      </c>
      <c r="H29" s="130">
        <f>IF(SER_hh_fech_in!H29=0,0,SER_hh_fech_in!H29/SER_summary!H$27)</f>
        <v>28.963671421495686</v>
      </c>
      <c r="I29" s="130">
        <f>IF(SER_hh_fech_in!I29=0,0,SER_hh_fech_in!I29/SER_summary!I$27)</f>
        <v>20.980061626746288</v>
      </c>
      <c r="J29" s="130">
        <f>IF(SER_hh_fech_in!J29=0,0,SER_hh_fech_in!J29/SER_summary!J$27)</f>
        <v>18.637719549026439</v>
      </c>
      <c r="K29" s="130">
        <f>IF(SER_hh_fech_in!K29=0,0,SER_hh_fech_in!K29/SER_summary!K$27)</f>
        <v>17.657772190455447</v>
      </c>
      <c r="L29" s="130">
        <f>IF(SER_hh_fech_in!L29=0,0,SER_hh_fech_in!L29/SER_summary!L$27)</f>
        <v>17.573746719075107</v>
      </c>
      <c r="M29" s="130">
        <f>IF(SER_hh_fech_in!M29=0,0,SER_hh_fech_in!M29/SER_summary!M$27)</f>
        <v>18.530900143602356</v>
      </c>
      <c r="N29" s="130">
        <f>IF(SER_hh_fech_in!N29=0,0,SER_hh_fech_in!N29/SER_summary!N$27)</f>
        <v>17.909801239379892</v>
      </c>
      <c r="O29" s="130">
        <f>IF(SER_hh_fech_in!O29=0,0,SER_hh_fech_in!O29/SER_summary!O$27)</f>
        <v>17.432542370132165</v>
      </c>
      <c r="P29" s="130">
        <f>IF(SER_hh_fech_in!P29=0,0,SER_hh_fech_in!P29/SER_summary!P$27)</f>
        <v>17.776858527381883</v>
      </c>
      <c r="Q29" s="130">
        <f>IF(SER_hh_fech_in!Q29=0,0,SER_hh_fech_in!Q29/SER_summary!Q$27)</f>
        <v>18.756613493158934</v>
      </c>
      <c r="R29" s="130">
        <f>IF(SER_hh_fech_in!R29=0,0,SER_hh_fech_in!R29/SER_summary!R$27)</f>
        <v>18.198828445841293</v>
      </c>
      <c r="S29" s="130">
        <f>IF(SER_hh_fech_in!S29=0,0,SER_hh_fech_in!S29/SER_summary!S$27)</f>
        <v>20.477111092879127</v>
      </c>
      <c r="T29" s="130">
        <f>IF(SER_hh_fech_in!T29=0,0,SER_hh_fech_in!T29/SER_summary!T$27)</f>
        <v>18.902009060799671</v>
      </c>
      <c r="U29" s="130">
        <f>IF(SER_hh_fech_in!U29=0,0,SER_hh_fech_in!U29/SER_summary!U$27)</f>
        <v>15.941079277415106</v>
      </c>
      <c r="V29" s="130">
        <f>IF(SER_hh_fech_in!V29=0,0,SER_hh_fech_in!V29/SER_summary!V$27)</f>
        <v>14.636360678029922</v>
      </c>
      <c r="W29" s="130">
        <f>IF(SER_hh_fech_in!W29=0,0,SER_hh_fech_in!W29/SER_summary!W$27)</f>
        <v>14.860696939995192</v>
      </c>
      <c r="X29" s="130">
        <f>IF(SER_hh_fech_in!X29=0,0,SER_hh_fech_in!X29/SER_summary!X$27)</f>
        <v>14.01361813379604</v>
      </c>
      <c r="Y29" s="130">
        <f>IF(SER_hh_fech_in!Y29=0,0,SER_hh_fech_in!Y29/SER_summary!Y$27)</f>
        <v>16.379161470156262</v>
      </c>
      <c r="DA29" s="155" t="s">
        <v>842</v>
      </c>
    </row>
    <row r="30" spans="1:105" s="2" customFormat="1" ht="12" customHeight="1" x14ac:dyDescent="0.25">
      <c r="A30" s="131" t="s">
        <v>52</v>
      </c>
      <c r="B30" s="132"/>
      <c r="C30" s="132">
        <f>IF(SER_hh_fech_in!C30=0,0,SER_hh_fech_in!C30/SER_summary!C$27)</f>
        <v>0</v>
      </c>
      <c r="D30" s="132">
        <f>IF(SER_hh_fech_in!D30=0,0,SER_hh_fech_in!D30/SER_summary!D$27)</f>
        <v>0</v>
      </c>
      <c r="E30" s="132">
        <f>IF(SER_hh_fech_in!E30=0,0,SER_hh_fech_in!E30/SER_summary!E$27)</f>
        <v>0</v>
      </c>
      <c r="F30" s="132">
        <f>IF(SER_hh_fech_in!F30=0,0,SER_hh_fech_in!F30/SER_summary!F$27)</f>
        <v>0</v>
      </c>
      <c r="G30" s="132">
        <f>IF(SER_hh_fech_in!G30=0,0,SER_hh_fech_in!G30/SER_summary!G$27)</f>
        <v>0</v>
      </c>
      <c r="H30" s="132">
        <f>IF(SER_hh_fech_in!H30=0,0,SER_hh_fech_in!H30/SER_summary!H$27)</f>
        <v>30.221459510056413</v>
      </c>
      <c r="I30" s="132">
        <f>IF(SER_hh_fech_in!I30=0,0,SER_hh_fech_in!I30/SER_summary!I$27)</f>
        <v>23.10311941110167</v>
      </c>
      <c r="J30" s="132">
        <f>IF(SER_hh_fech_in!J30=0,0,SER_hh_fech_in!J30/SER_summary!J$27)</f>
        <v>24.10454624298595</v>
      </c>
      <c r="K30" s="132">
        <f>IF(SER_hh_fech_in!K30=0,0,SER_hh_fech_in!K30/SER_summary!K$27)</f>
        <v>0</v>
      </c>
      <c r="L30" s="132">
        <f>IF(SER_hh_fech_in!L30=0,0,SER_hh_fech_in!L30/SER_summary!L$27)</f>
        <v>18.791529948704792</v>
      </c>
      <c r="M30" s="132">
        <f>IF(SER_hh_fech_in!M30=0,0,SER_hh_fech_in!M30/SER_summary!M$27)</f>
        <v>22.441606571683746</v>
      </c>
      <c r="N30" s="132">
        <f>IF(SER_hh_fech_in!N30=0,0,SER_hh_fech_in!N30/SER_summary!N$27)</f>
        <v>23.041925791068376</v>
      </c>
      <c r="O30" s="132">
        <f>IF(SER_hh_fech_in!O30=0,0,SER_hh_fech_in!O30/SER_summary!O$27)</f>
        <v>21.287357103724716</v>
      </c>
      <c r="P30" s="132">
        <f>IF(SER_hh_fech_in!P30=0,0,SER_hh_fech_in!P30/SER_summary!P$27)</f>
        <v>18.602125804174555</v>
      </c>
      <c r="Q30" s="132">
        <f>IF(SER_hh_fech_in!Q30=0,0,SER_hh_fech_in!Q30/SER_summary!Q$27)</f>
        <v>21.283831172481918</v>
      </c>
      <c r="R30" s="132">
        <f>IF(SER_hh_fech_in!R30=0,0,SER_hh_fech_in!R30/SER_summary!R$27)</f>
        <v>19.0364264602688</v>
      </c>
      <c r="S30" s="132">
        <f>IF(SER_hh_fech_in!S30=0,0,SER_hh_fech_in!S30/SER_summary!S$27)</f>
        <v>22.030121498550944</v>
      </c>
      <c r="T30" s="132">
        <f>IF(SER_hh_fech_in!T30=0,0,SER_hh_fech_in!T30/SER_summary!T$27)</f>
        <v>22.857376325605269</v>
      </c>
      <c r="U30" s="132">
        <f>IF(SER_hh_fech_in!U30=0,0,SER_hh_fech_in!U30/SER_summary!U$27)</f>
        <v>28.90140911964934</v>
      </c>
      <c r="V30" s="132">
        <f>IF(SER_hh_fech_in!V30=0,0,SER_hh_fech_in!V30/SER_summary!V$27)</f>
        <v>20.413161834767148</v>
      </c>
      <c r="W30" s="132">
        <f>IF(SER_hh_fech_in!W30=0,0,SER_hh_fech_in!W30/SER_summary!W$27)</f>
        <v>17.69501084000337</v>
      </c>
      <c r="X30" s="132">
        <f>IF(SER_hh_fech_in!X30=0,0,SER_hh_fech_in!X30/SER_summary!X$27)</f>
        <v>22.395147780191142</v>
      </c>
      <c r="Y30" s="132">
        <f>IF(SER_hh_fech_in!Y30=0,0,SER_hh_fech_in!Y30/SER_summary!Y$27)</f>
        <v>20.743363170470939</v>
      </c>
      <c r="DA30" s="156" t="s">
        <v>843</v>
      </c>
    </row>
    <row r="31" spans="1:105" ht="12" customHeight="1" x14ac:dyDescent="0.25">
      <c r="A31" s="131" t="s">
        <v>149</v>
      </c>
      <c r="B31" s="132"/>
      <c r="C31" s="132">
        <f>IF(SER_hh_fech_in!C31=0,0,SER_hh_fech_in!C31/SER_summary!C$27)</f>
        <v>0</v>
      </c>
      <c r="D31" s="132">
        <f>IF(SER_hh_fech_in!D31=0,0,SER_hh_fech_in!D31/SER_summary!D$27)</f>
        <v>0</v>
      </c>
      <c r="E31" s="132">
        <f>IF(SER_hh_fech_in!E31=0,0,SER_hh_fech_in!E31/SER_summary!E$27)</f>
        <v>0</v>
      </c>
      <c r="F31" s="132">
        <f>IF(SER_hh_fech_in!F31=0,0,SER_hh_fech_in!F31/SER_summary!F$27)</f>
        <v>0</v>
      </c>
      <c r="G31" s="132">
        <f>IF(SER_hh_fech_in!G31=0,0,SER_hh_fech_in!G31/SER_summary!G$27)</f>
        <v>0</v>
      </c>
      <c r="H31" s="132">
        <f>IF(SER_hh_fech_in!H31=0,0,SER_hh_fech_in!H31/SER_summary!H$27)</f>
        <v>0</v>
      </c>
      <c r="I31" s="132">
        <f>IF(SER_hh_fech_in!I31=0,0,SER_hh_fech_in!I31/SER_summary!I$27)</f>
        <v>0</v>
      </c>
      <c r="J31" s="132">
        <f>IF(SER_hh_fech_in!J31=0,0,SER_hh_fech_in!J31/SER_summary!J$27)</f>
        <v>0</v>
      </c>
      <c r="K31" s="132">
        <f>IF(SER_hh_fech_in!K31=0,0,SER_hh_fech_in!K31/SER_summary!K$27)</f>
        <v>0</v>
      </c>
      <c r="L31" s="132">
        <f>IF(SER_hh_fech_in!L31=0,0,SER_hh_fech_in!L31/SER_summary!L$27)</f>
        <v>0</v>
      </c>
      <c r="M31" s="132">
        <f>IF(SER_hh_fech_in!M31=0,0,SER_hh_fech_in!M31/SER_summary!M$27)</f>
        <v>0</v>
      </c>
      <c r="N31" s="132">
        <f>IF(SER_hh_fech_in!N31=0,0,SER_hh_fech_in!N31/SER_summary!N$27)</f>
        <v>0</v>
      </c>
      <c r="O31" s="132">
        <f>IF(SER_hh_fech_in!O31=0,0,SER_hh_fech_in!O31/SER_summary!O$27)</f>
        <v>0</v>
      </c>
      <c r="P31" s="132">
        <f>IF(SER_hh_fech_in!P31=0,0,SER_hh_fech_in!P31/SER_summary!P$27)</f>
        <v>0</v>
      </c>
      <c r="Q31" s="132">
        <f>IF(SER_hh_fech_in!Q31=0,0,SER_hh_fech_in!Q31/SER_summary!Q$27)</f>
        <v>0</v>
      </c>
      <c r="R31" s="132">
        <f>IF(SER_hh_fech_in!R31=0,0,SER_hh_fech_in!R31/SER_summary!R$27)</f>
        <v>0</v>
      </c>
      <c r="S31" s="132">
        <f>IF(SER_hh_fech_in!S31=0,0,SER_hh_fech_in!S31/SER_summary!S$27)</f>
        <v>0</v>
      </c>
      <c r="T31" s="132">
        <f>IF(SER_hh_fech_in!T31=0,0,SER_hh_fech_in!T31/SER_summary!T$27)</f>
        <v>0</v>
      </c>
      <c r="U31" s="132">
        <f>IF(SER_hh_fech_in!U31=0,0,SER_hh_fech_in!U31/SER_summary!U$27)</f>
        <v>0</v>
      </c>
      <c r="V31" s="132">
        <f>IF(SER_hh_fech_in!V31=0,0,SER_hh_fech_in!V31/SER_summary!V$27)</f>
        <v>0</v>
      </c>
      <c r="W31" s="132">
        <f>IF(SER_hh_fech_in!W31=0,0,SER_hh_fech_in!W31/SER_summary!W$27)</f>
        <v>0</v>
      </c>
      <c r="X31" s="132">
        <f>IF(SER_hh_fech_in!X31=0,0,SER_hh_fech_in!X31/SER_summary!X$27)</f>
        <v>0</v>
      </c>
      <c r="Y31" s="132">
        <f>IF(SER_hh_fech_in!Y31=0,0,SER_hh_fech_in!Y31/SER_summary!Y$27)</f>
        <v>0</v>
      </c>
      <c r="DA31" s="156" t="s">
        <v>844</v>
      </c>
    </row>
    <row r="32" spans="1:105" ht="12" customHeight="1" x14ac:dyDescent="0.25">
      <c r="A32" s="131" t="s">
        <v>128</v>
      </c>
      <c r="B32" s="132"/>
      <c r="C32" s="132">
        <f>IF(SER_hh_fech_in!C32=0,0,SER_hh_fech_in!C32/SER_summary!C$27)</f>
        <v>19.895897704862836</v>
      </c>
      <c r="D32" s="132">
        <f>IF(SER_hh_fech_in!D32=0,0,SER_hh_fech_in!D32/SER_summary!D$27)</f>
        <v>23.575433217955439</v>
      </c>
      <c r="E32" s="132">
        <f>IF(SER_hh_fech_in!E32=0,0,SER_hh_fech_in!E32/SER_summary!E$27)</f>
        <v>20.96130886031737</v>
      </c>
      <c r="F32" s="132">
        <f>IF(SER_hh_fech_in!F32=0,0,SER_hh_fech_in!F32/SER_summary!F$27)</f>
        <v>21.89719302960383</v>
      </c>
      <c r="G32" s="132">
        <f>IF(SER_hh_fech_in!G32=0,0,SER_hh_fech_in!G32/SER_summary!G$27)</f>
        <v>23.504476596097124</v>
      </c>
      <c r="H32" s="132">
        <f>IF(SER_hh_fech_in!H32=0,0,SER_hh_fech_in!H32/SER_summary!H$27)</f>
        <v>20.851850640320205</v>
      </c>
      <c r="I32" s="132">
        <f>IF(SER_hh_fech_in!I32=0,0,SER_hh_fech_in!I32/SER_summary!I$27)</f>
        <v>25.2741949588187</v>
      </c>
      <c r="J32" s="132">
        <f>IF(SER_hh_fech_in!J32=0,0,SER_hh_fech_in!J32/SER_summary!J$27)</f>
        <v>23.932059699597172</v>
      </c>
      <c r="K32" s="132">
        <f>IF(SER_hh_fech_in!K32=0,0,SER_hh_fech_in!K32/SER_summary!K$27)</f>
        <v>22.960588946201241</v>
      </c>
      <c r="L32" s="132">
        <f>IF(SER_hh_fech_in!L32=0,0,SER_hh_fech_in!L32/SER_summary!L$27)</f>
        <v>22.866481633985085</v>
      </c>
      <c r="M32" s="132">
        <f>IF(SER_hh_fech_in!M32=0,0,SER_hh_fech_in!M32/SER_summary!M$27)</f>
        <v>22.739906960303308</v>
      </c>
      <c r="N32" s="132">
        <f>IF(SER_hh_fech_in!N32=0,0,SER_hh_fech_in!N32/SER_summary!N$27)</f>
        <v>22.62521361309323</v>
      </c>
      <c r="O32" s="132">
        <f>IF(SER_hh_fech_in!O32=0,0,SER_hh_fech_in!O32/SER_summary!O$27)</f>
        <v>22.579077460626653</v>
      </c>
      <c r="P32" s="132">
        <f>IF(SER_hh_fech_in!P32=0,0,SER_hh_fech_in!P32/SER_summary!P$27)</f>
        <v>22.739791656403945</v>
      </c>
      <c r="Q32" s="132">
        <f>IF(SER_hh_fech_in!Q32=0,0,SER_hh_fech_in!Q32/SER_summary!Q$27)</f>
        <v>22.314416011400894</v>
      </c>
      <c r="R32" s="132">
        <f>IF(SER_hh_fech_in!R32=0,0,SER_hh_fech_in!R32/SER_summary!R$27)</f>
        <v>22.323632441491828</v>
      </c>
      <c r="S32" s="132">
        <f>IF(SER_hh_fech_in!S32=0,0,SER_hh_fech_in!S32/SER_summary!S$27)</f>
        <v>21.885283291129056</v>
      </c>
      <c r="T32" s="132">
        <f>IF(SER_hh_fech_in!T32=0,0,SER_hh_fech_in!T32/SER_summary!T$27)</f>
        <v>20.827715793695461</v>
      </c>
      <c r="U32" s="132">
        <f>IF(SER_hh_fech_in!U32=0,0,SER_hh_fech_in!U32/SER_summary!U$27)</f>
        <v>25.293945153804078</v>
      </c>
      <c r="V32" s="132">
        <f>IF(SER_hh_fech_in!V32=0,0,SER_hh_fech_in!V32/SER_summary!V$27)</f>
        <v>24.698560383288068</v>
      </c>
      <c r="W32" s="132">
        <f>IF(SER_hh_fech_in!W32=0,0,SER_hh_fech_in!W32/SER_summary!W$27)</f>
        <v>17.921285506497625</v>
      </c>
      <c r="X32" s="132">
        <f>IF(SER_hh_fech_in!X32=0,0,SER_hh_fech_in!X32/SER_summary!X$27)</f>
        <v>0</v>
      </c>
      <c r="Y32" s="132">
        <f>IF(SER_hh_fech_in!Y32=0,0,SER_hh_fech_in!Y32/SER_summary!Y$27)</f>
        <v>22.00297392747618</v>
      </c>
      <c r="DA32" s="156" t="s">
        <v>845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16.126694949940585</v>
      </c>
      <c r="D33" s="68">
        <f>IF(SER_hh_fech_in!D33=0,0,SER_hh_fech_in!D33/SER_summary!D$27)</f>
        <v>15.96838490548922</v>
      </c>
      <c r="E33" s="68">
        <f>IF(SER_hh_fech_in!E33=0,0,SER_hh_fech_in!E33/SER_summary!E$27)</f>
        <v>16.241571910525515</v>
      </c>
      <c r="F33" s="68">
        <f>IF(SER_hh_fech_in!F33=0,0,SER_hh_fech_in!F33/SER_summary!F$27)</f>
        <v>16.484620925534546</v>
      </c>
      <c r="G33" s="68">
        <f>IF(SER_hh_fech_in!G33=0,0,SER_hh_fech_in!G33/SER_summary!G$27)</f>
        <v>16.553440398356464</v>
      </c>
      <c r="H33" s="68">
        <f>IF(SER_hh_fech_in!H33=0,0,SER_hh_fech_in!H33/SER_summary!H$27)</f>
        <v>0</v>
      </c>
      <c r="I33" s="68">
        <f>IF(SER_hh_fech_in!I33=0,0,SER_hh_fech_in!I33/SER_summary!I$27)</f>
        <v>16.164297110457884</v>
      </c>
      <c r="J33" s="68">
        <f>IF(SER_hh_fech_in!J33=0,0,SER_hh_fech_in!J33/SER_summary!J$27)</f>
        <v>16.375639998595641</v>
      </c>
      <c r="K33" s="68">
        <f>IF(SER_hh_fech_in!K33=0,0,SER_hh_fech_in!K33/SER_summary!K$27)</f>
        <v>17.126813094638006</v>
      </c>
      <c r="L33" s="68">
        <f>IF(SER_hh_fech_in!L33=0,0,SER_hh_fech_in!L33/SER_summary!L$27)</f>
        <v>17.041038444163281</v>
      </c>
      <c r="M33" s="68">
        <f>IF(SER_hh_fech_in!M33=0,0,SER_hh_fech_in!M33/SER_summary!M$27)</f>
        <v>16.226987641800896</v>
      </c>
      <c r="N33" s="68">
        <f>IF(SER_hh_fech_in!N33=0,0,SER_hh_fech_in!N33/SER_summary!N$27)</f>
        <v>15.976315962388581</v>
      </c>
      <c r="O33" s="68">
        <f>IF(SER_hh_fech_in!O33=0,0,SER_hh_fech_in!O33/SER_summary!O$27)</f>
        <v>15.865371381761477</v>
      </c>
      <c r="P33" s="68">
        <f>IF(SER_hh_fech_in!P33=0,0,SER_hh_fech_in!P33/SER_summary!P$27)</f>
        <v>16.602564219595969</v>
      </c>
      <c r="Q33" s="68">
        <f>IF(SER_hh_fech_in!Q33=0,0,SER_hh_fech_in!Q33/SER_summary!Q$27)</f>
        <v>15.914257758235948</v>
      </c>
      <c r="R33" s="68">
        <f>IF(SER_hh_fech_in!R33=0,0,SER_hh_fech_in!R33/SER_summary!R$27)</f>
        <v>16.28016051166307</v>
      </c>
      <c r="S33" s="68">
        <f>IF(SER_hh_fech_in!S33=0,0,SER_hh_fech_in!S33/SER_summary!S$27)</f>
        <v>15.181836615541821</v>
      </c>
      <c r="T33" s="68">
        <f>IF(SER_hh_fech_in!T33=0,0,SER_hh_fech_in!T33/SER_summary!T$27)</f>
        <v>15.034270482092062</v>
      </c>
      <c r="U33" s="68">
        <f>IF(SER_hh_fech_in!U33=0,0,SER_hh_fech_in!U33/SER_summary!U$27)</f>
        <v>12.327755008603974</v>
      </c>
      <c r="V33" s="68">
        <f>IF(SER_hh_fech_in!V33=0,0,SER_hh_fech_in!V33/SER_summary!V$27)</f>
        <v>11.985594721618048</v>
      </c>
      <c r="W33" s="68">
        <f>IF(SER_hh_fech_in!W33=0,0,SER_hh_fech_in!W33/SER_summary!W$27)</f>
        <v>14.525504764554357</v>
      </c>
      <c r="X33" s="68">
        <f>IF(SER_hh_fech_in!X33=0,0,SER_hh_fech_in!X33/SER_summary!X$27)</f>
        <v>13.873464268871976</v>
      </c>
      <c r="Y33" s="68">
        <f>IF(SER_hh_fech_in!Y33=0,0,SER_hh_fech_in!Y33/SER_summary!Y$27)</f>
        <v>15.628587384943613</v>
      </c>
      <c r="DA33" s="111" t="s">
        <v>846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/>
      <c r="C3" s="125">
        <f>IF(SER_hh_tesh_in!C3=0,0,SER_hh_tesh_in!C3/SER_summary!C$27)</f>
        <v>121.55070234065639</v>
      </c>
      <c r="D3" s="125">
        <f>IF(SER_hh_tesh_in!D3=0,0,SER_hh_tesh_in!D3/SER_summary!D$27)</f>
        <v>122.56170894337328</v>
      </c>
      <c r="E3" s="125">
        <f>IF(SER_hh_tesh_in!E3=0,0,SER_hh_tesh_in!E3/SER_summary!E$27)</f>
        <v>127.58602882432727</v>
      </c>
      <c r="F3" s="125">
        <f>IF(SER_hh_tesh_in!F3=0,0,SER_hh_tesh_in!F3/SER_summary!F$27)</f>
        <v>115.01747870127505</v>
      </c>
      <c r="G3" s="125">
        <f>IF(SER_hh_tesh_in!G3=0,0,SER_hh_tesh_in!G3/SER_summary!G$27)</f>
        <v>111.30294362411826</v>
      </c>
      <c r="H3" s="125">
        <f>IF(SER_hh_tesh_in!H3=0,0,SER_hh_tesh_in!H3/SER_summary!H$27)</f>
        <v>140.59345289263698</v>
      </c>
      <c r="I3" s="125">
        <f>IF(SER_hh_tesh_in!I3=0,0,SER_hh_tesh_in!I3/SER_summary!I$27)</f>
        <v>141.307375841028</v>
      </c>
      <c r="J3" s="125">
        <f>IF(SER_hh_tesh_in!J3=0,0,SER_hh_tesh_in!J3/SER_summary!J$27)</f>
        <v>146.41975135058715</v>
      </c>
      <c r="K3" s="125">
        <f>IF(SER_hh_tesh_in!K3=0,0,SER_hh_tesh_in!K3/SER_summary!K$27)</f>
        <v>140.16573699987697</v>
      </c>
      <c r="L3" s="125">
        <f>IF(SER_hh_tesh_in!L3=0,0,SER_hh_tesh_in!L3/SER_summary!L$27)</f>
        <v>142.86326496034499</v>
      </c>
      <c r="M3" s="125">
        <f>IF(SER_hh_tesh_in!M3=0,0,SER_hh_tesh_in!M3/SER_summary!M$27)</f>
        <v>124.97000834859395</v>
      </c>
      <c r="N3" s="125">
        <f>IF(SER_hh_tesh_in!N3=0,0,SER_hh_tesh_in!N3/SER_summary!N$27)</f>
        <v>137.34720628611646</v>
      </c>
      <c r="O3" s="125">
        <f>IF(SER_hh_tesh_in!O3=0,0,SER_hh_tesh_in!O3/SER_summary!O$27)</f>
        <v>131.01817091565275</v>
      </c>
      <c r="P3" s="125">
        <f>IF(SER_hh_tesh_in!P3=0,0,SER_hh_tesh_in!P3/SER_summary!P$27)</f>
        <v>122.04629386477266</v>
      </c>
      <c r="Q3" s="125">
        <f>IF(SER_hh_tesh_in!Q3=0,0,SER_hh_tesh_in!Q3/SER_summary!Q$27)</f>
        <v>126.92512524867864</v>
      </c>
      <c r="R3" s="125">
        <f>IF(SER_hh_tesh_in!R3=0,0,SER_hh_tesh_in!R3/SER_summary!R$27)</f>
        <v>137.44238001043411</v>
      </c>
      <c r="S3" s="125">
        <f>IF(SER_hh_tesh_in!S3=0,0,SER_hh_tesh_in!S3/SER_summary!S$27)</f>
        <v>131.71904241884283</v>
      </c>
      <c r="T3" s="125">
        <f>IF(SER_hh_tesh_in!T3=0,0,SER_hh_tesh_in!T3/SER_summary!T$27)</f>
        <v>144.9744509381637</v>
      </c>
      <c r="U3" s="125">
        <f>IF(SER_hh_tesh_in!U3=0,0,SER_hh_tesh_in!U3/SER_summary!U$27)</f>
        <v>130.79308014592337</v>
      </c>
      <c r="V3" s="125">
        <f>IF(SER_hh_tesh_in!V3=0,0,SER_hh_tesh_in!V3/SER_summary!V$27)</f>
        <v>115.69459221905045</v>
      </c>
      <c r="W3" s="125">
        <f>IF(SER_hh_tesh_in!W3=0,0,SER_hh_tesh_in!W3/SER_summary!W$27)</f>
        <v>113.78795704420955</v>
      </c>
      <c r="X3" s="125">
        <f>IF(SER_hh_tesh_in!X3=0,0,SER_hh_tesh_in!X3/SER_summary!X$27)</f>
        <v>108.77421917132519</v>
      </c>
      <c r="Y3" s="125">
        <f>IF(SER_hh_tesh_in!Y3=0,0,SER_hh_tesh_in!Y3/SER_summary!Y$27)</f>
        <v>109.02646027063204</v>
      </c>
      <c r="DA3" s="154" t="s">
        <v>848</v>
      </c>
    </row>
    <row r="4" spans="1:105" ht="12.95" customHeight="1" x14ac:dyDescent="0.25">
      <c r="A4" s="129" t="s">
        <v>32</v>
      </c>
      <c r="B4" s="130"/>
      <c r="C4" s="130">
        <f>IF(SER_hh_tesh_in!C4=0,0,SER_hh_tesh_in!C4/SER_summary!C$27)</f>
        <v>15.152505689865258</v>
      </c>
      <c r="D4" s="130">
        <f>IF(SER_hh_tesh_in!D4=0,0,SER_hh_tesh_in!D4/SER_summary!D$27)</f>
        <v>18.756226323265256</v>
      </c>
      <c r="E4" s="130">
        <f>IF(SER_hh_tesh_in!E4=0,0,SER_hh_tesh_in!E4/SER_summary!E$27)</f>
        <v>17.545837162885579</v>
      </c>
      <c r="F4" s="130">
        <f>IF(SER_hh_tesh_in!F4=0,0,SER_hh_tesh_in!F4/SER_summary!F$27)</f>
        <v>19.239800719194527</v>
      </c>
      <c r="G4" s="130">
        <f>IF(SER_hh_tesh_in!G4=0,0,SER_hh_tesh_in!G4/SER_summary!G$27)</f>
        <v>21.276231010461448</v>
      </c>
      <c r="H4" s="130">
        <f>IF(SER_hh_tesh_in!H4=0,0,SER_hh_tesh_in!H4/SER_summary!H$27)</f>
        <v>30.132713076278279</v>
      </c>
      <c r="I4" s="130">
        <f>IF(SER_hh_tesh_in!I4=0,0,SER_hh_tesh_in!I4/SER_summary!I$27)</f>
        <v>29.127149145873098</v>
      </c>
      <c r="J4" s="130">
        <f>IF(SER_hh_tesh_in!J4=0,0,SER_hh_tesh_in!J4/SER_summary!J$27)</f>
        <v>34.502890124750053</v>
      </c>
      <c r="K4" s="130">
        <f>IF(SER_hh_tesh_in!K4=0,0,SER_hh_tesh_in!K4/SER_summary!K$27)</f>
        <v>33.645791836222038</v>
      </c>
      <c r="L4" s="130">
        <f>IF(SER_hh_tesh_in!L4=0,0,SER_hh_tesh_in!L4/SER_summary!L$27)</f>
        <v>33.228165389523483</v>
      </c>
      <c r="M4" s="130">
        <f>IF(SER_hh_tesh_in!M4=0,0,SER_hh_tesh_in!M4/SER_summary!M$27)</f>
        <v>28.128507876116274</v>
      </c>
      <c r="N4" s="130">
        <f>IF(SER_hh_tesh_in!N4=0,0,SER_hh_tesh_in!N4/SER_summary!N$27)</f>
        <v>26.234541821359652</v>
      </c>
      <c r="O4" s="130">
        <f>IF(SER_hh_tesh_in!O4=0,0,SER_hh_tesh_in!O4/SER_summary!O$27)</f>
        <v>34.928073786886486</v>
      </c>
      <c r="P4" s="130">
        <f>IF(SER_hh_tesh_in!P4=0,0,SER_hh_tesh_in!P4/SER_summary!P$27)</f>
        <v>31.748146170235806</v>
      </c>
      <c r="Q4" s="130">
        <f>IF(SER_hh_tesh_in!Q4=0,0,SER_hh_tesh_in!Q4/SER_summary!Q$27)</f>
        <v>33.45503300793056</v>
      </c>
      <c r="R4" s="130">
        <f>IF(SER_hh_tesh_in!R4=0,0,SER_hh_tesh_in!R4/SER_summary!R$27)</f>
        <v>37.399794114762742</v>
      </c>
      <c r="S4" s="130">
        <f>IF(SER_hh_tesh_in!S4=0,0,SER_hh_tesh_in!S4/SER_summary!S$27)</f>
        <v>37.471564819780895</v>
      </c>
      <c r="T4" s="130">
        <f>IF(SER_hh_tesh_in!T4=0,0,SER_hh_tesh_in!T4/SER_summary!T$27)</f>
        <v>35.007128986392836</v>
      </c>
      <c r="U4" s="130">
        <f>IF(SER_hh_tesh_in!U4=0,0,SER_hh_tesh_in!U4/SER_summary!U$27)</f>
        <v>37.16729699334622</v>
      </c>
      <c r="V4" s="130">
        <f>IF(SER_hh_tesh_in!V4=0,0,SER_hh_tesh_in!V4/SER_summary!V$27)</f>
        <v>24.118149790156469</v>
      </c>
      <c r="W4" s="130">
        <f>IF(SER_hh_tesh_in!W4=0,0,SER_hh_tesh_in!W4/SER_summary!W$27)</f>
        <v>31.003530461034934</v>
      </c>
      <c r="X4" s="130">
        <f>IF(SER_hh_tesh_in!X4=0,0,SER_hh_tesh_in!X4/SER_summary!X$27)</f>
        <v>34.808137263051002</v>
      </c>
      <c r="Y4" s="130">
        <f>IF(SER_hh_tesh_in!Y4=0,0,SER_hh_tesh_in!Y4/SER_summary!Y$27)</f>
        <v>26.74589218608816</v>
      </c>
      <c r="DA4" s="155" t="s">
        <v>849</v>
      </c>
    </row>
    <row r="5" spans="1:105" ht="12" customHeight="1" x14ac:dyDescent="0.25">
      <c r="A5" s="131" t="s">
        <v>29</v>
      </c>
      <c r="B5" s="132"/>
      <c r="C5" s="132">
        <f>IF(SER_hh_tesh_in!C5=0,0,SER_hh_tesh_in!C5/SER_summary!C$27)</f>
        <v>0</v>
      </c>
      <c r="D5" s="132">
        <f>IF(SER_hh_tesh_in!D5=0,0,SER_hh_tesh_in!D5/SER_summary!D$27)</f>
        <v>0</v>
      </c>
      <c r="E5" s="132">
        <f>IF(SER_hh_tesh_in!E5=0,0,SER_hh_tesh_in!E5/SER_summary!E$27)</f>
        <v>0</v>
      </c>
      <c r="F5" s="132">
        <f>IF(SER_hh_tesh_in!F5=0,0,SER_hh_tesh_in!F5/SER_summary!F$27)</f>
        <v>0</v>
      </c>
      <c r="G5" s="132">
        <f>IF(SER_hh_tesh_in!G5=0,0,SER_hh_tesh_in!G5/SER_summary!G$27)</f>
        <v>0</v>
      </c>
      <c r="H5" s="132">
        <f>IF(SER_hh_tesh_in!H5=0,0,SER_hh_tesh_in!H5/SER_summary!H$27)</f>
        <v>0</v>
      </c>
      <c r="I5" s="132">
        <f>IF(SER_hh_tesh_in!I5=0,0,SER_hh_tesh_in!I5/SER_summary!I$27)</f>
        <v>0</v>
      </c>
      <c r="J5" s="132">
        <f>IF(SER_hh_tesh_in!J5=0,0,SER_hh_tesh_in!J5/SER_summary!J$27)</f>
        <v>0</v>
      </c>
      <c r="K5" s="132">
        <f>IF(SER_hh_tesh_in!K5=0,0,SER_hh_tesh_in!K5/SER_summary!K$27)</f>
        <v>0</v>
      </c>
      <c r="L5" s="132">
        <f>IF(SER_hh_tesh_in!L5=0,0,SER_hh_tesh_in!L5/SER_summary!L$27)</f>
        <v>0</v>
      </c>
      <c r="M5" s="132">
        <f>IF(SER_hh_tesh_in!M5=0,0,SER_hh_tesh_in!M5/SER_summary!M$27)</f>
        <v>0</v>
      </c>
      <c r="N5" s="132">
        <f>IF(SER_hh_tesh_in!N5=0,0,SER_hh_tesh_in!N5/SER_summary!N$27)</f>
        <v>0</v>
      </c>
      <c r="O5" s="132">
        <f>IF(SER_hh_tesh_in!O5=0,0,SER_hh_tesh_in!O5/SER_summary!O$27)</f>
        <v>0</v>
      </c>
      <c r="P5" s="132">
        <f>IF(SER_hh_tesh_in!P5=0,0,SER_hh_tesh_in!P5/SER_summary!P$27)</f>
        <v>0</v>
      </c>
      <c r="Q5" s="132">
        <f>IF(SER_hh_tesh_in!Q5=0,0,SER_hh_tesh_in!Q5/SER_summary!Q$27)</f>
        <v>0</v>
      </c>
      <c r="R5" s="132">
        <f>IF(SER_hh_tesh_in!R5=0,0,SER_hh_tesh_in!R5/SER_summary!R$27)</f>
        <v>0</v>
      </c>
      <c r="S5" s="132">
        <f>IF(SER_hh_tesh_in!S5=0,0,SER_hh_tesh_in!S5/SER_summary!S$27)</f>
        <v>0</v>
      </c>
      <c r="T5" s="132">
        <f>IF(SER_hh_tesh_in!T5=0,0,SER_hh_tesh_in!T5/SER_summary!T$27)</f>
        <v>0</v>
      </c>
      <c r="U5" s="132">
        <f>IF(SER_hh_tesh_in!U5=0,0,SER_hh_tesh_in!U5/SER_summary!U$27)</f>
        <v>0</v>
      </c>
      <c r="V5" s="132">
        <f>IF(SER_hh_tesh_in!V5=0,0,SER_hh_tesh_in!V5/SER_summary!V$27)</f>
        <v>0</v>
      </c>
      <c r="W5" s="132">
        <f>IF(SER_hh_tesh_in!W5=0,0,SER_hh_tesh_in!W5/SER_summary!W$27)</f>
        <v>0</v>
      </c>
      <c r="X5" s="132">
        <f>IF(SER_hh_tesh_in!X5=0,0,SER_hh_tesh_in!X5/SER_summary!X$27)</f>
        <v>0</v>
      </c>
      <c r="Y5" s="132">
        <f>IF(SER_hh_tesh_in!Y5=0,0,SER_hh_tesh_in!Y5/SER_summary!Y$27)</f>
        <v>0</v>
      </c>
      <c r="DA5" s="156" t="s">
        <v>850</v>
      </c>
    </row>
    <row r="6" spans="1:105" ht="12" customHeight="1" x14ac:dyDescent="0.25">
      <c r="A6" s="131" t="s">
        <v>52</v>
      </c>
      <c r="B6" s="132"/>
      <c r="C6" s="132">
        <f>IF(SER_hh_tesh_in!C6=0,0,SER_hh_tesh_in!C6/SER_summary!C$27)</f>
        <v>0</v>
      </c>
      <c r="D6" s="132">
        <f>IF(SER_hh_tesh_in!D6=0,0,SER_hh_tesh_in!D6/SER_summary!D$27)</f>
        <v>0</v>
      </c>
      <c r="E6" s="132">
        <f>IF(SER_hh_tesh_in!E6=0,0,SER_hh_tesh_in!E6/SER_summary!E$27)</f>
        <v>0</v>
      </c>
      <c r="F6" s="132">
        <f>IF(SER_hh_tesh_in!F6=0,0,SER_hh_tesh_in!F6/SER_summary!F$27)</f>
        <v>0</v>
      </c>
      <c r="G6" s="132">
        <f>IF(SER_hh_tesh_in!G6=0,0,SER_hh_tesh_in!G6/SER_summary!G$27)</f>
        <v>0</v>
      </c>
      <c r="H6" s="132">
        <f>IF(SER_hh_tesh_in!H6=0,0,SER_hh_tesh_in!H6/SER_summary!H$27)</f>
        <v>0</v>
      </c>
      <c r="I6" s="132">
        <f>IF(SER_hh_tesh_in!I6=0,0,SER_hh_tesh_in!I6/SER_summary!I$27)</f>
        <v>0</v>
      </c>
      <c r="J6" s="132">
        <f>IF(SER_hh_tesh_in!J6=0,0,SER_hh_tesh_in!J6/SER_summary!J$27)</f>
        <v>0</v>
      </c>
      <c r="K6" s="132">
        <f>IF(SER_hh_tesh_in!K6=0,0,SER_hh_tesh_in!K6/SER_summary!K$27)</f>
        <v>0</v>
      </c>
      <c r="L6" s="132">
        <f>IF(SER_hh_tesh_in!L6=0,0,SER_hh_tesh_in!L6/SER_summary!L$27)</f>
        <v>0</v>
      </c>
      <c r="M6" s="132">
        <f>IF(SER_hh_tesh_in!M6=0,0,SER_hh_tesh_in!M6/SER_summary!M$27)</f>
        <v>0</v>
      </c>
      <c r="N6" s="132">
        <f>IF(SER_hh_tesh_in!N6=0,0,SER_hh_tesh_in!N6/SER_summary!N$27)</f>
        <v>0</v>
      </c>
      <c r="O6" s="132">
        <f>IF(SER_hh_tesh_in!O6=0,0,SER_hh_tesh_in!O6/SER_summary!O$27)</f>
        <v>0</v>
      </c>
      <c r="P6" s="132">
        <f>IF(SER_hh_tesh_in!P6=0,0,SER_hh_tesh_in!P6/SER_summary!P$27)</f>
        <v>0</v>
      </c>
      <c r="Q6" s="132">
        <f>IF(SER_hh_tesh_in!Q6=0,0,SER_hh_tesh_in!Q6/SER_summary!Q$27)</f>
        <v>0</v>
      </c>
      <c r="R6" s="132">
        <f>IF(SER_hh_tesh_in!R6=0,0,SER_hh_tesh_in!R6/SER_summary!R$27)</f>
        <v>0</v>
      </c>
      <c r="S6" s="132">
        <f>IF(SER_hh_tesh_in!S6=0,0,SER_hh_tesh_in!S6/SER_summary!S$27)</f>
        <v>0</v>
      </c>
      <c r="T6" s="132">
        <f>IF(SER_hh_tesh_in!T6=0,0,SER_hh_tesh_in!T6/SER_summary!T$27)</f>
        <v>0</v>
      </c>
      <c r="U6" s="132">
        <f>IF(SER_hh_tesh_in!U6=0,0,SER_hh_tesh_in!U6/SER_summary!U$27)</f>
        <v>0</v>
      </c>
      <c r="V6" s="132">
        <f>IF(SER_hh_tesh_in!V6=0,0,SER_hh_tesh_in!V6/SER_summary!V$27)</f>
        <v>0</v>
      </c>
      <c r="W6" s="132">
        <f>IF(SER_hh_tesh_in!W6=0,0,SER_hh_tesh_in!W6/SER_summary!W$27)</f>
        <v>0</v>
      </c>
      <c r="X6" s="132">
        <f>IF(SER_hh_tesh_in!X6=0,0,SER_hh_tesh_in!X6/SER_summary!X$27)</f>
        <v>0</v>
      </c>
      <c r="Y6" s="132">
        <f>IF(SER_hh_tesh_in!Y6=0,0,SER_hh_tesh_in!Y6/SER_summary!Y$27)</f>
        <v>0</v>
      </c>
      <c r="DA6" s="156" t="s">
        <v>851</v>
      </c>
    </row>
    <row r="7" spans="1:105" ht="12" customHeight="1" x14ac:dyDescent="0.25">
      <c r="A7" s="131" t="s">
        <v>161</v>
      </c>
      <c r="B7" s="132"/>
      <c r="C7" s="132">
        <f>IF(SER_hh_tesh_in!C7=0,0,SER_hh_tesh_in!C7/SER_summary!C$27)</f>
        <v>0</v>
      </c>
      <c r="D7" s="132">
        <f>IF(SER_hh_tesh_in!D7=0,0,SER_hh_tesh_in!D7/SER_summary!D$27)</f>
        <v>0</v>
      </c>
      <c r="E7" s="132">
        <f>IF(SER_hh_tesh_in!E7=0,0,SER_hh_tesh_in!E7/SER_summary!E$27)</f>
        <v>0</v>
      </c>
      <c r="F7" s="132">
        <f>IF(SER_hh_tesh_in!F7=0,0,SER_hh_tesh_in!F7/SER_summary!F$27)</f>
        <v>0</v>
      </c>
      <c r="G7" s="132">
        <f>IF(SER_hh_tesh_in!G7=0,0,SER_hh_tesh_in!G7/SER_summary!G$27)</f>
        <v>0</v>
      </c>
      <c r="H7" s="132">
        <f>IF(SER_hh_tesh_in!H7=0,0,SER_hh_tesh_in!H7/SER_summary!H$27)</f>
        <v>0</v>
      </c>
      <c r="I7" s="132">
        <f>IF(SER_hh_tesh_in!I7=0,0,SER_hh_tesh_in!I7/SER_summary!I$27)</f>
        <v>0</v>
      </c>
      <c r="J7" s="132">
        <f>IF(SER_hh_tesh_in!J7=0,0,SER_hh_tesh_in!J7/SER_summary!J$27)</f>
        <v>36.797632935364604</v>
      </c>
      <c r="K7" s="132">
        <f>IF(SER_hh_tesh_in!K7=0,0,SER_hh_tesh_in!K7/SER_summary!K$27)</f>
        <v>29.72122119740343</v>
      </c>
      <c r="L7" s="132">
        <f>IF(SER_hh_tesh_in!L7=0,0,SER_hh_tesh_in!L7/SER_summary!L$27)</f>
        <v>34.300415884596376</v>
      </c>
      <c r="M7" s="132">
        <f>IF(SER_hh_tesh_in!M7=0,0,SER_hh_tesh_in!M7/SER_summary!M$27)</f>
        <v>33.045869588812927</v>
      </c>
      <c r="N7" s="132">
        <f>IF(SER_hh_tesh_in!N7=0,0,SER_hh_tesh_in!N7/SER_summary!N$27)</f>
        <v>27.943524288037786</v>
      </c>
      <c r="O7" s="132">
        <f>IF(SER_hh_tesh_in!O7=0,0,SER_hh_tesh_in!O7/SER_summary!O$27)</f>
        <v>31.559938768658927</v>
      </c>
      <c r="P7" s="132">
        <f>IF(SER_hh_tesh_in!P7=0,0,SER_hh_tesh_in!P7/SER_summary!P$27)</f>
        <v>0</v>
      </c>
      <c r="Q7" s="132">
        <f>IF(SER_hh_tesh_in!Q7=0,0,SER_hh_tesh_in!Q7/SER_summary!Q$27)</f>
        <v>0</v>
      </c>
      <c r="R7" s="132">
        <f>IF(SER_hh_tesh_in!R7=0,0,SER_hh_tesh_in!R7/SER_summary!R$27)</f>
        <v>0</v>
      </c>
      <c r="S7" s="132">
        <f>IF(SER_hh_tesh_in!S7=0,0,SER_hh_tesh_in!S7/SER_summary!S$27)</f>
        <v>0</v>
      </c>
      <c r="T7" s="132">
        <f>IF(SER_hh_tesh_in!T7=0,0,SER_hh_tesh_in!T7/SER_summary!T$27)</f>
        <v>30.228494729228466</v>
      </c>
      <c r="U7" s="132">
        <f>IF(SER_hh_tesh_in!U7=0,0,SER_hh_tesh_in!U7/SER_summary!U$27)</f>
        <v>34.190158488231624</v>
      </c>
      <c r="V7" s="132">
        <f>IF(SER_hh_tesh_in!V7=0,0,SER_hh_tesh_in!V7/SER_summary!V$27)</f>
        <v>25.113531606451737</v>
      </c>
      <c r="W7" s="132">
        <f>IF(SER_hh_tesh_in!W7=0,0,SER_hh_tesh_in!W7/SER_summary!W$27)</f>
        <v>24.76520445553572</v>
      </c>
      <c r="X7" s="132">
        <f>IF(SER_hh_tesh_in!X7=0,0,SER_hh_tesh_in!X7/SER_summary!X$27)</f>
        <v>23.996332510197629</v>
      </c>
      <c r="Y7" s="132">
        <f>IF(SER_hh_tesh_in!Y7=0,0,SER_hh_tesh_in!Y7/SER_summary!Y$27)</f>
        <v>25.319364719502648</v>
      </c>
      <c r="DA7" s="156" t="s">
        <v>852</v>
      </c>
    </row>
    <row r="8" spans="1:105" ht="12" customHeight="1" x14ac:dyDescent="0.25">
      <c r="A8" s="131" t="s">
        <v>73</v>
      </c>
      <c r="B8" s="132"/>
      <c r="C8" s="132">
        <f>IF(SER_hh_tesh_in!C8=0,0,SER_hh_tesh_in!C8/SER_summary!C$27)</f>
        <v>0</v>
      </c>
      <c r="D8" s="132">
        <f>IF(SER_hh_tesh_in!D8=0,0,SER_hh_tesh_in!D8/SER_summary!D$27)</f>
        <v>0</v>
      </c>
      <c r="E8" s="132">
        <f>IF(SER_hh_tesh_in!E8=0,0,SER_hh_tesh_in!E8/SER_summary!E$27)</f>
        <v>0</v>
      </c>
      <c r="F8" s="132">
        <f>IF(SER_hh_tesh_in!F8=0,0,SER_hh_tesh_in!F8/SER_summary!F$27)</f>
        <v>0</v>
      </c>
      <c r="G8" s="132">
        <f>IF(SER_hh_tesh_in!G8=0,0,SER_hh_tesh_in!G8/SER_summary!G$27)</f>
        <v>0</v>
      </c>
      <c r="H8" s="132">
        <f>IF(SER_hh_tesh_in!H8=0,0,SER_hh_tesh_in!H8/SER_summary!H$27)</f>
        <v>0</v>
      </c>
      <c r="I8" s="132">
        <f>IF(SER_hh_tesh_in!I8=0,0,SER_hh_tesh_in!I8/SER_summary!I$27)</f>
        <v>0</v>
      </c>
      <c r="J8" s="132">
        <f>IF(SER_hh_tesh_in!J8=0,0,SER_hh_tesh_in!J8/SER_summary!J$27)</f>
        <v>0</v>
      </c>
      <c r="K8" s="132">
        <f>IF(SER_hh_tesh_in!K8=0,0,SER_hh_tesh_in!K8/SER_summary!K$27)</f>
        <v>0</v>
      </c>
      <c r="L8" s="132">
        <f>IF(SER_hh_tesh_in!L8=0,0,SER_hh_tesh_in!L8/SER_summary!L$27)</f>
        <v>0</v>
      </c>
      <c r="M8" s="132">
        <f>IF(SER_hh_tesh_in!M8=0,0,SER_hh_tesh_in!M8/SER_summary!M$27)</f>
        <v>0</v>
      </c>
      <c r="N8" s="132">
        <f>IF(SER_hh_tesh_in!N8=0,0,SER_hh_tesh_in!N8/SER_summary!N$27)</f>
        <v>0</v>
      </c>
      <c r="O8" s="132">
        <f>IF(SER_hh_tesh_in!O8=0,0,SER_hh_tesh_in!O8/SER_summary!O$27)</f>
        <v>0</v>
      </c>
      <c r="P8" s="132">
        <f>IF(SER_hh_tesh_in!P8=0,0,SER_hh_tesh_in!P8/SER_summary!P$27)</f>
        <v>0</v>
      </c>
      <c r="Q8" s="132">
        <f>IF(SER_hh_tesh_in!Q8=0,0,SER_hh_tesh_in!Q8/SER_summary!Q$27)</f>
        <v>0</v>
      </c>
      <c r="R8" s="132">
        <f>IF(SER_hh_tesh_in!R8=0,0,SER_hh_tesh_in!R8/SER_summary!R$27)</f>
        <v>0</v>
      </c>
      <c r="S8" s="132">
        <f>IF(SER_hh_tesh_in!S8=0,0,SER_hh_tesh_in!S8/SER_summary!S$27)</f>
        <v>0</v>
      </c>
      <c r="T8" s="132">
        <f>IF(SER_hh_tesh_in!T8=0,0,SER_hh_tesh_in!T8/SER_summary!T$27)</f>
        <v>0</v>
      </c>
      <c r="U8" s="132">
        <f>IF(SER_hh_tesh_in!U8=0,0,SER_hh_tesh_in!U8/SER_summary!U$27)</f>
        <v>0</v>
      </c>
      <c r="V8" s="132">
        <f>IF(SER_hh_tesh_in!V8=0,0,SER_hh_tesh_in!V8/SER_summary!V$27)</f>
        <v>0</v>
      </c>
      <c r="W8" s="132">
        <f>IF(SER_hh_tesh_in!W8=0,0,SER_hh_tesh_in!W8/SER_summary!W$27)</f>
        <v>0</v>
      </c>
      <c r="X8" s="132">
        <f>IF(SER_hh_tesh_in!X8=0,0,SER_hh_tesh_in!X8/SER_summary!X$27)</f>
        <v>0</v>
      </c>
      <c r="Y8" s="132">
        <f>IF(SER_hh_tesh_in!Y8=0,0,SER_hh_tesh_in!Y8/SER_summary!Y$27)</f>
        <v>0</v>
      </c>
      <c r="DA8" s="156" t="s">
        <v>853</v>
      </c>
    </row>
    <row r="9" spans="1:105" ht="12" customHeight="1" x14ac:dyDescent="0.25">
      <c r="A9" s="131" t="s">
        <v>78</v>
      </c>
      <c r="B9" s="132"/>
      <c r="C9" s="132">
        <f>IF(SER_hh_tesh_in!C9=0,0,SER_hh_tesh_in!C9/SER_summary!C$27)</f>
        <v>0</v>
      </c>
      <c r="D9" s="132">
        <f>IF(SER_hh_tesh_in!D9=0,0,SER_hh_tesh_in!D9/SER_summary!D$27)</f>
        <v>0</v>
      </c>
      <c r="E9" s="132">
        <f>IF(SER_hh_tesh_in!E9=0,0,SER_hh_tesh_in!E9/SER_summary!E$27)</f>
        <v>0</v>
      </c>
      <c r="F9" s="132">
        <f>IF(SER_hh_tesh_in!F9=0,0,SER_hh_tesh_in!F9/SER_summary!F$27)</f>
        <v>0</v>
      </c>
      <c r="G9" s="132">
        <f>IF(SER_hh_tesh_in!G9=0,0,SER_hh_tesh_in!G9/SER_summary!G$27)</f>
        <v>0</v>
      </c>
      <c r="H9" s="132">
        <f>IF(SER_hh_tesh_in!H9=0,0,SER_hh_tesh_in!H9/SER_summary!H$27)</f>
        <v>0</v>
      </c>
      <c r="I9" s="132">
        <f>IF(SER_hh_tesh_in!I9=0,0,SER_hh_tesh_in!I9/SER_summary!I$27)</f>
        <v>0</v>
      </c>
      <c r="J9" s="132">
        <f>IF(SER_hh_tesh_in!J9=0,0,SER_hh_tesh_in!J9/SER_summary!J$27)</f>
        <v>0</v>
      </c>
      <c r="K9" s="132">
        <f>IF(SER_hh_tesh_in!K9=0,0,SER_hh_tesh_in!K9/SER_summary!K$27)</f>
        <v>49.025055381190278</v>
      </c>
      <c r="L9" s="132">
        <f>IF(SER_hh_tesh_in!L9=0,0,SER_hh_tesh_in!L9/SER_summary!L$27)</f>
        <v>39.77093280070342</v>
      </c>
      <c r="M9" s="132">
        <f>IF(SER_hh_tesh_in!M9=0,0,SER_hh_tesh_in!M9/SER_summary!M$27)</f>
        <v>31.747340376602544</v>
      </c>
      <c r="N9" s="132">
        <f>IF(SER_hh_tesh_in!N9=0,0,SER_hh_tesh_in!N9/SER_summary!N$27)</f>
        <v>29.443853768010467</v>
      </c>
      <c r="O9" s="132">
        <f>IF(SER_hh_tesh_in!O9=0,0,SER_hh_tesh_in!O9/SER_summary!O$27)</f>
        <v>0</v>
      </c>
      <c r="P9" s="132">
        <f>IF(SER_hh_tesh_in!P9=0,0,SER_hh_tesh_in!P9/SER_summary!P$27)</f>
        <v>30.556883318176833</v>
      </c>
      <c r="Q9" s="132">
        <f>IF(SER_hh_tesh_in!Q9=0,0,SER_hh_tesh_in!Q9/SER_summary!Q$27)</f>
        <v>29.07204123006801</v>
      </c>
      <c r="R9" s="132">
        <f>IF(SER_hh_tesh_in!R9=0,0,SER_hh_tesh_in!R9/SER_summary!R$27)</f>
        <v>30.292820399943796</v>
      </c>
      <c r="S9" s="132">
        <f>IF(SER_hh_tesh_in!S9=0,0,SER_hh_tesh_in!S9/SER_summary!S$27)</f>
        <v>23.40393229318418</v>
      </c>
      <c r="T9" s="132">
        <f>IF(SER_hh_tesh_in!T9=0,0,SER_hh_tesh_in!T9/SER_summary!T$27)</f>
        <v>46.437707687321229</v>
      </c>
      <c r="U9" s="132">
        <f>IF(SER_hh_tesh_in!U9=0,0,SER_hh_tesh_in!U9/SER_summary!U$27)</f>
        <v>49.406273657920394</v>
      </c>
      <c r="V9" s="132">
        <f>IF(SER_hh_tesh_in!V9=0,0,SER_hh_tesh_in!V9/SER_summary!V$27)</f>
        <v>16.873531015420948</v>
      </c>
      <c r="W9" s="132">
        <f>IF(SER_hh_tesh_in!W9=0,0,SER_hh_tesh_in!W9/SER_summary!W$27)</f>
        <v>16.77104436402016</v>
      </c>
      <c r="X9" s="132">
        <f>IF(SER_hh_tesh_in!X9=0,0,SER_hh_tesh_in!X9/SER_summary!X$27)</f>
        <v>16.710432881904865</v>
      </c>
      <c r="Y9" s="132">
        <f>IF(SER_hh_tesh_in!Y9=0,0,SER_hh_tesh_in!Y9/SER_summary!Y$27)</f>
        <v>23.892930798450106</v>
      </c>
      <c r="DA9" s="156" t="s">
        <v>854</v>
      </c>
    </row>
    <row r="10" spans="1:105" ht="12" customHeight="1" x14ac:dyDescent="0.25">
      <c r="A10" s="131" t="s">
        <v>128</v>
      </c>
      <c r="B10" s="132"/>
      <c r="C10" s="132">
        <f>IF(SER_hh_tesh_in!C10=0,0,SER_hh_tesh_in!C10/SER_summary!C$27)</f>
        <v>0</v>
      </c>
      <c r="D10" s="132">
        <f>IF(SER_hh_tesh_in!D10=0,0,SER_hh_tesh_in!D10/SER_summary!D$27)</f>
        <v>0</v>
      </c>
      <c r="E10" s="132">
        <f>IF(SER_hh_tesh_in!E10=0,0,SER_hh_tesh_in!E10/SER_summary!E$27)</f>
        <v>0</v>
      </c>
      <c r="F10" s="132">
        <f>IF(SER_hh_tesh_in!F10=0,0,SER_hh_tesh_in!F10/SER_summary!F$27)</f>
        <v>0</v>
      </c>
      <c r="G10" s="132">
        <f>IF(SER_hh_tesh_in!G10=0,0,SER_hh_tesh_in!G10/SER_summary!G$27)</f>
        <v>0</v>
      </c>
      <c r="H10" s="132">
        <f>IF(SER_hh_tesh_in!H10=0,0,SER_hh_tesh_in!H10/SER_summary!H$27)</f>
        <v>0</v>
      </c>
      <c r="I10" s="132">
        <f>IF(SER_hh_tesh_in!I10=0,0,SER_hh_tesh_in!I10/SER_summary!I$27)</f>
        <v>19.842179607441381</v>
      </c>
      <c r="J10" s="132">
        <f>IF(SER_hh_tesh_in!J10=0,0,SER_hh_tesh_in!J10/SER_summary!J$27)</f>
        <v>51.479484719353614</v>
      </c>
      <c r="K10" s="132">
        <f>IF(SER_hh_tesh_in!K10=0,0,SER_hh_tesh_in!K10/SER_summary!K$27)</f>
        <v>0</v>
      </c>
      <c r="L10" s="132">
        <f>IF(SER_hh_tesh_in!L10=0,0,SER_hh_tesh_in!L10/SER_summary!L$27)</f>
        <v>16.579248808316773</v>
      </c>
      <c r="M10" s="132">
        <f>IF(SER_hh_tesh_in!M10=0,0,SER_hh_tesh_in!M10/SER_summary!M$27)</f>
        <v>27.709492327960959</v>
      </c>
      <c r="N10" s="132">
        <f>IF(SER_hh_tesh_in!N10=0,0,SER_hh_tesh_in!N10/SER_summary!N$27)</f>
        <v>35.098483074645031</v>
      </c>
      <c r="O10" s="132">
        <f>IF(SER_hh_tesh_in!O10=0,0,SER_hh_tesh_in!O10/SER_summary!O$27)</f>
        <v>26.693251030532629</v>
      </c>
      <c r="P10" s="132">
        <f>IF(SER_hh_tesh_in!P10=0,0,SER_hh_tesh_in!P10/SER_summary!P$27)</f>
        <v>20.917985903816987</v>
      </c>
      <c r="Q10" s="132">
        <f>IF(SER_hh_tesh_in!Q10=0,0,SER_hh_tesh_in!Q10/SER_summary!Q$27)</f>
        <v>43.507623555590243</v>
      </c>
      <c r="R10" s="132">
        <f>IF(SER_hh_tesh_in!R10=0,0,SER_hh_tesh_in!R10/SER_summary!R$27)</f>
        <v>31.442075423505312</v>
      </c>
      <c r="S10" s="132">
        <f>IF(SER_hh_tesh_in!S10=0,0,SER_hh_tesh_in!S10/SER_summary!S$27)</f>
        <v>0</v>
      </c>
      <c r="T10" s="132">
        <f>IF(SER_hh_tesh_in!T10=0,0,SER_hh_tesh_in!T10/SER_summary!T$27)</f>
        <v>0</v>
      </c>
      <c r="U10" s="132">
        <f>IF(SER_hh_tesh_in!U10=0,0,SER_hh_tesh_in!U10/SER_summary!U$27)</f>
        <v>0</v>
      </c>
      <c r="V10" s="132">
        <f>IF(SER_hh_tesh_in!V10=0,0,SER_hh_tesh_in!V10/SER_summary!V$27)</f>
        <v>14.962535265775077</v>
      </c>
      <c r="W10" s="132">
        <f>IF(SER_hh_tesh_in!W10=0,0,SER_hh_tesh_in!W10/SER_summary!W$27)</f>
        <v>37.39180662453397</v>
      </c>
      <c r="X10" s="132">
        <f>IF(SER_hh_tesh_in!X10=0,0,SER_hh_tesh_in!X10/SER_summary!X$27)</f>
        <v>34.800899004619325</v>
      </c>
      <c r="Y10" s="132">
        <f>IF(SER_hh_tesh_in!Y10=0,0,SER_hh_tesh_in!Y10/SER_summary!Y$27)</f>
        <v>22.255790065069345</v>
      </c>
      <c r="DA10" s="156" t="s">
        <v>855</v>
      </c>
    </row>
    <row r="11" spans="1:105" ht="12" customHeight="1" x14ac:dyDescent="0.25">
      <c r="A11" s="131" t="s">
        <v>25</v>
      </c>
      <c r="B11" s="132"/>
      <c r="C11" s="132">
        <f>IF(SER_hh_tesh_in!C11=0,0,SER_hh_tesh_in!C11/SER_summary!C$27)</f>
        <v>0</v>
      </c>
      <c r="D11" s="132">
        <f>IF(SER_hh_tesh_in!D11=0,0,SER_hh_tesh_in!D11/SER_summary!D$27)</f>
        <v>0</v>
      </c>
      <c r="E11" s="132">
        <f>IF(SER_hh_tesh_in!E11=0,0,SER_hh_tesh_in!E11/SER_summary!E$27)</f>
        <v>0</v>
      </c>
      <c r="F11" s="132">
        <f>IF(SER_hh_tesh_in!F11=0,0,SER_hh_tesh_in!F11/SER_summary!F$27)</f>
        <v>0</v>
      </c>
      <c r="G11" s="132">
        <f>IF(SER_hh_tesh_in!G11=0,0,SER_hh_tesh_in!G11/SER_summary!G$27)</f>
        <v>0</v>
      </c>
      <c r="H11" s="132">
        <f>IF(SER_hh_tesh_in!H11=0,0,SER_hh_tesh_in!H11/SER_summary!H$27)</f>
        <v>0</v>
      </c>
      <c r="I11" s="132">
        <f>IF(SER_hh_tesh_in!I11=0,0,SER_hh_tesh_in!I11/SER_summary!I$27)</f>
        <v>0</v>
      </c>
      <c r="J11" s="132">
        <f>IF(SER_hh_tesh_in!J11=0,0,SER_hh_tesh_in!J11/SER_summary!J$27)</f>
        <v>0</v>
      </c>
      <c r="K11" s="132">
        <f>IF(SER_hh_tesh_in!K11=0,0,SER_hh_tesh_in!K11/SER_summary!K$27)</f>
        <v>0</v>
      </c>
      <c r="L11" s="132">
        <f>IF(SER_hh_tesh_in!L11=0,0,SER_hh_tesh_in!L11/SER_summary!L$27)</f>
        <v>0</v>
      </c>
      <c r="M11" s="132">
        <f>IF(SER_hh_tesh_in!M11=0,0,SER_hh_tesh_in!M11/SER_summary!M$27)</f>
        <v>0</v>
      </c>
      <c r="N11" s="132">
        <f>IF(SER_hh_tesh_in!N11=0,0,SER_hh_tesh_in!N11/SER_summary!N$27)</f>
        <v>0</v>
      </c>
      <c r="O11" s="132">
        <f>IF(SER_hh_tesh_in!O11=0,0,SER_hh_tesh_in!O11/SER_summary!O$27)</f>
        <v>0</v>
      </c>
      <c r="P11" s="132">
        <f>IF(SER_hh_tesh_in!P11=0,0,SER_hh_tesh_in!P11/SER_summary!P$27)</f>
        <v>0</v>
      </c>
      <c r="Q11" s="132">
        <f>IF(SER_hh_tesh_in!Q11=0,0,SER_hh_tesh_in!Q11/SER_summary!Q$27)</f>
        <v>0</v>
      </c>
      <c r="R11" s="132">
        <f>IF(SER_hh_tesh_in!R11=0,0,SER_hh_tesh_in!R11/SER_summary!R$27)</f>
        <v>0</v>
      </c>
      <c r="S11" s="132">
        <f>IF(SER_hh_tesh_in!S11=0,0,SER_hh_tesh_in!S11/SER_summary!S$27)</f>
        <v>0</v>
      </c>
      <c r="T11" s="132">
        <f>IF(SER_hh_tesh_in!T11=0,0,SER_hh_tesh_in!T11/SER_summary!T$27)</f>
        <v>0</v>
      </c>
      <c r="U11" s="132">
        <f>IF(SER_hh_tesh_in!U11=0,0,SER_hh_tesh_in!U11/SER_summary!U$27)</f>
        <v>0</v>
      </c>
      <c r="V11" s="132">
        <f>IF(SER_hh_tesh_in!V11=0,0,SER_hh_tesh_in!V11/SER_summary!V$27)</f>
        <v>0</v>
      </c>
      <c r="W11" s="132">
        <f>IF(SER_hh_tesh_in!W11=0,0,SER_hh_tesh_in!W11/SER_summary!W$27)</f>
        <v>0</v>
      </c>
      <c r="X11" s="132">
        <f>IF(SER_hh_tesh_in!X11=0,0,SER_hh_tesh_in!X11/SER_summary!X$27)</f>
        <v>0</v>
      </c>
      <c r="Y11" s="132">
        <f>IF(SER_hh_tesh_in!Y11=0,0,SER_hh_tesh_in!Y11/SER_summary!Y$27)</f>
        <v>0</v>
      </c>
      <c r="DA11" s="156" t="s">
        <v>856</v>
      </c>
    </row>
    <row r="12" spans="1:105" ht="12" customHeight="1" x14ac:dyDescent="0.25">
      <c r="A12" s="131" t="s">
        <v>162</v>
      </c>
      <c r="B12" s="132"/>
      <c r="C12" s="132">
        <f>IF(SER_hh_tesh_in!C12=0,0,SER_hh_tesh_in!C12/SER_summary!C$27)</f>
        <v>0</v>
      </c>
      <c r="D12" s="132">
        <f>IF(SER_hh_tesh_in!D12=0,0,SER_hh_tesh_in!D12/SER_summary!D$27)</f>
        <v>0</v>
      </c>
      <c r="E12" s="132">
        <f>IF(SER_hh_tesh_in!E12=0,0,SER_hh_tesh_in!E12/SER_summary!E$27)</f>
        <v>0</v>
      </c>
      <c r="F12" s="132">
        <f>IF(SER_hh_tesh_in!F12=0,0,SER_hh_tesh_in!F12/SER_summary!F$27)</f>
        <v>0</v>
      </c>
      <c r="G12" s="132">
        <f>IF(SER_hh_tesh_in!G12=0,0,SER_hh_tesh_in!G12/SER_summary!G$27)</f>
        <v>0</v>
      </c>
      <c r="H12" s="132">
        <f>IF(SER_hh_tesh_in!H12=0,0,SER_hh_tesh_in!H12/SER_summary!H$27)</f>
        <v>0</v>
      </c>
      <c r="I12" s="132">
        <f>IF(SER_hh_tesh_in!I12=0,0,SER_hh_tesh_in!I12/SER_summary!I$27)</f>
        <v>0</v>
      </c>
      <c r="J12" s="132">
        <f>IF(SER_hh_tesh_in!J12=0,0,SER_hh_tesh_in!J12/SER_summary!J$27)</f>
        <v>0</v>
      </c>
      <c r="K12" s="132">
        <f>IF(SER_hh_tesh_in!K12=0,0,SER_hh_tesh_in!K12/SER_summary!K$27)</f>
        <v>0</v>
      </c>
      <c r="L12" s="132">
        <f>IF(SER_hh_tesh_in!L12=0,0,SER_hh_tesh_in!L12/SER_summary!L$27)</f>
        <v>0</v>
      </c>
      <c r="M12" s="132">
        <f>IF(SER_hh_tesh_in!M12=0,0,SER_hh_tesh_in!M12/SER_summary!M$27)</f>
        <v>0</v>
      </c>
      <c r="N12" s="132">
        <f>IF(SER_hh_tesh_in!N12=0,0,SER_hh_tesh_in!N12/SER_summary!N$27)</f>
        <v>0</v>
      </c>
      <c r="O12" s="132">
        <f>IF(SER_hh_tesh_in!O12=0,0,SER_hh_tesh_in!O12/SER_summary!O$27)</f>
        <v>0</v>
      </c>
      <c r="P12" s="132">
        <f>IF(SER_hh_tesh_in!P12=0,0,SER_hh_tesh_in!P12/SER_summary!P$27)</f>
        <v>0</v>
      </c>
      <c r="Q12" s="132">
        <f>IF(SER_hh_tesh_in!Q12=0,0,SER_hh_tesh_in!Q12/SER_summary!Q$27)</f>
        <v>0</v>
      </c>
      <c r="R12" s="132">
        <f>IF(SER_hh_tesh_in!R12=0,0,SER_hh_tesh_in!R12/SER_summary!R$27)</f>
        <v>0</v>
      </c>
      <c r="S12" s="132">
        <f>IF(SER_hh_tesh_in!S12=0,0,SER_hh_tesh_in!S12/SER_summary!S$27)</f>
        <v>0</v>
      </c>
      <c r="T12" s="132">
        <f>IF(SER_hh_tesh_in!T12=0,0,SER_hh_tesh_in!T12/SER_summary!T$27)</f>
        <v>0</v>
      </c>
      <c r="U12" s="132">
        <f>IF(SER_hh_tesh_in!U12=0,0,SER_hh_tesh_in!U12/SER_summary!U$27)</f>
        <v>0</v>
      </c>
      <c r="V12" s="132">
        <f>IF(SER_hh_tesh_in!V12=0,0,SER_hh_tesh_in!V12/SER_summary!V$27)</f>
        <v>0</v>
      </c>
      <c r="W12" s="132">
        <f>IF(SER_hh_tesh_in!W12=0,0,SER_hh_tesh_in!W12/SER_summary!W$27)</f>
        <v>0</v>
      </c>
      <c r="X12" s="132">
        <f>IF(SER_hh_tesh_in!X12=0,0,SER_hh_tesh_in!X12/SER_summary!X$27)</f>
        <v>0</v>
      </c>
      <c r="Y12" s="132">
        <f>IF(SER_hh_tesh_in!Y12=0,0,SER_hh_tesh_in!Y12/SER_summary!Y$27)</f>
        <v>0</v>
      </c>
      <c r="DA12" s="156" t="s">
        <v>857</v>
      </c>
    </row>
    <row r="13" spans="1:105" ht="12" customHeight="1" x14ac:dyDescent="0.25">
      <c r="A13" s="131" t="s">
        <v>77</v>
      </c>
      <c r="B13" s="132"/>
      <c r="C13" s="132">
        <f>IF(SER_hh_tesh_in!C13=0,0,SER_hh_tesh_in!C13/SER_summary!C$27)</f>
        <v>15.359947313057015</v>
      </c>
      <c r="D13" s="132">
        <f>IF(SER_hh_tesh_in!D13=0,0,SER_hh_tesh_in!D13/SER_summary!D$27)</f>
        <v>16.868211266999069</v>
      </c>
      <c r="E13" s="132">
        <f>IF(SER_hh_tesh_in!E13=0,0,SER_hh_tesh_in!E13/SER_summary!E$27)</f>
        <v>17.45716459780839</v>
      </c>
      <c r="F13" s="132">
        <f>IF(SER_hh_tesh_in!F13=0,0,SER_hh_tesh_in!F13/SER_summary!F$27)</f>
        <v>19.854566263825308</v>
      </c>
      <c r="G13" s="132">
        <f>IF(SER_hh_tesh_in!G13=0,0,SER_hh_tesh_in!G13/SER_summary!G$27)</f>
        <v>23.674795221002341</v>
      </c>
      <c r="H13" s="132">
        <f>IF(SER_hh_tesh_in!H13=0,0,SER_hh_tesh_in!H13/SER_summary!H$27)</f>
        <v>27.200575413403573</v>
      </c>
      <c r="I13" s="132">
        <f>IF(SER_hh_tesh_in!I13=0,0,SER_hh_tesh_in!I13/SER_summary!I$27)</f>
        <v>30.145498486728936</v>
      </c>
      <c r="J13" s="132">
        <f>IF(SER_hh_tesh_in!J13=0,0,SER_hh_tesh_in!J13/SER_summary!J$27)</f>
        <v>31.218878505884032</v>
      </c>
      <c r="K13" s="132">
        <f>IF(SER_hh_tesh_in!K13=0,0,SER_hh_tesh_in!K13/SER_summary!K$27)</f>
        <v>34.055905548240091</v>
      </c>
      <c r="L13" s="132">
        <f>IF(SER_hh_tesh_in!L13=0,0,SER_hh_tesh_in!L13/SER_summary!L$27)</f>
        <v>29.950763240509612</v>
      </c>
      <c r="M13" s="132">
        <f>IF(SER_hh_tesh_in!M13=0,0,SER_hh_tesh_in!M13/SER_summary!M$27)</f>
        <v>25.728157480662535</v>
      </c>
      <c r="N13" s="132">
        <f>IF(SER_hh_tesh_in!N13=0,0,SER_hh_tesh_in!N13/SER_summary!N$27)</f>
        <v>25.517236322297897</v>
      </c>
      <c r="O13" s="132">
        <f>IF(SER_hh_tesh_in!O13=0,0,SER_hh_tesh_in!O13/SER_summary!O$27)</f>
        <v>35.471284330526672</v>
      </c>
      <c r="P13" s="132">
        <f>IF(SER_hh_tesh_in!P13=0,0,SER_hh_tesh_in!P13/SER_summary!P$27)</f>
        <v>32.052467009715166</v>
      </c>
      <c r="Q13" s="132">
        <f>IF(SER_hh_tesh_in!Q13=0,0,SER_hh_tesh_in!Q13/SER_summary!Q$27)</f>
        <v>33.646956084025369</v>
      </c>
      <c r="R13" s="132">
        <f>IF(SER_hh_tesh_in!R13=0,0,SER_hh_tesh_in!R13/SER_summary!R$27)</f>
        <v>31.853528207383206</v>
      </c>
      <c r="S13" s="132">
        <f>IF(SER_hh_tesh_in!S13=0,0,SER_hh_tesh_in!S13/SER_summary!S$27)</f>
        <v>30.913114132993712</v>
      </c>
      <c r="T13" s="132">
        <f>IF(SER_hh_tesh_in!T13=0,0,SER_hh_tesh_in!T13/SER_summary!T$27)</f>
        <v>29.883226631211297</v>
      </c>
      <c r="U13" s="132">
        <f>IF(SER_hh_tesh_in!U13=0,0,SER_hh_tesh_in!U13/SER_summary!U$27)</f>
        <v>29.025259302914986</v>
      </c>
      <c r="V13" s="132">
        <f>IF(SER_hh_tesh_in!V13=0,0,SER_hh_tesh_in!V13/SER_summary!V$27)</f>
        <v>24.888401686539616</v>
      </c>
      <c r="W13" s="132">
        <f>IF(SER_hh_tesh_in!W13=0,0,SER_hh_tesh_in!W13/SER_summary!W$27)</f>
        <v>22.823744072619277</v>
      </c>
      <c r="X13" s="132">
        <f>IF(SER_hh_tesh_in!X13=0,0,SER_hh_tesh_in!X13/SER_summary!X$27)</f>
        <v>21.08858042583832</v>
      </c>
      <c r="Y13" s="132">
        <f>IF(SER_hh_tesh_in!Y13=0,0,SER_hh_tesh_in!Y13/SER_summary!Y$27)</f>
        <v>21.437183554751687</v>
      </c>
      <c r="DA13" s="156" t="s">
        <v>858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15.114784229860124</v>
      </c>
      <c r="D14" s="65">
        <f>IF(SER_hh_tesh_in!D14=0,0,SER_hh_tesh_in!D14/SER_summary!D$27)</f>
        <v>19.360326104277064</v>
      </c>
      <c r="E14" s="65">
        <f>IF(SER_hh_tesh_in!E14=0,0,SER_hh_tesh_in!E14/SER_summary!E$27)</f>
        <v>17.590113383722031</v>
      </c>
      <c r="F14" s="65">
        <f>IF(SER_hh_tesh_in!F14=0,0,SER_hh_tesh_in!F14/SER_summary!F$27)</f>
        <v>18.980251809064757</v>
      </c>
      <c r="G14" s="65">
        <f>IF(SER_hh_tesh_in!G14=0,0,SER_hh_tesh_in!G14/SER_summary!G$27)</f>
        <v>20.378492927145587</v>
      </c>
      <c r="H14" s="65">
        <f>IF(SER_hh_tesh_in!H14=0,0,SER_hh_tesh_in!H14/SER_summary!H$27)</f>
        <v>30.436810297199624</v>
      </c>
      <c r="I14" s="65">
        <f>IF(SER_hh_tesh_in!I14=0,0,SER_hh_tesh_in!I14/SER_summary!I$27)</f>
        <v>29.83446521872958</v>
      </c>
      <c r="J14" s="65">
        <f>IF(SER_hh_tesh_in!J14=0,0,SER_hh_tesh_in!J14/SER_summary!J$27)</f>
        <v>32.676703709701869</v>
      </c>
      <c r="K14" s="65">
        <f>IF(SER_hh_tesh_in!K14=0,0,SER_hh_tesh_in!K14/SER_summary!K$27)</f>
        <v>34.894921136261885</v>
      </c>
      <c r="L14" s="65">
        <f>IF(SER_hh_tesh_in!L14=0,0,SER_hh_tesh_in!L14/SER_summary!L$27)</f>
        <v>37.667828255612335</v>
      </c>
      <c r="M14" s="65">
        <f>IF(SER_hh_tesh_in!M14=0,0,SER_hh_tesh_in!M14/SER_summary!M$27)</f>
        <v>0</v>
      </c>
      <c r="N14" s="65">
        <f>IF(SER_hh_tesh_in!N14=0,0,SER_hh_tesh_in!N14/SER_summary!N$27)</f>
        <v>0</v>
      </c>
      <c r="O14" s="65">
        <f>IF(SER_hh_tesh_in!O14=0,0,SER_hh_tesh_in!O14/SER_summary!O$27)</f>
        <v>0</v>
      </c>
      <c r="P14" s="65">
        <f>IF(SER_hh_tesh_in!P14=0,0,SER_hh_tesh_in!P14/SER_summary!P$27)</f>
        <v>0</v>
      </c>
      <c r="Q14" s="65">
        <f>IF(SER_hh_tesh_in!Q14=0,0,SER_hh_tesh_in!Q14/SER_summary!Q$27)</f>
        <v>26.932411951286962</v>
      </c>
      <c r="R14" s="65">
        <f>IF(SER_hh_tesh_in!R14=0,0,SER_hh_tesh_in!R14/SER_summary!R$27)</f>
        <v>41.302618802469055</v>
      </c>
      <c r="S14" s="65">
        <f>IF(SER_hh_tesh_in!S14=0,0,SER_hh_tesh_in!S14/SER_summary!S$27)</f>
        <v>49.732549206286819</v>
      </c>
      <c r="T14" s="65">
        <f>IF(SER_hh_tesh_in!T14=0,0,SER_hh_tesh_in!T14/SER_summary!T$27)</f>
        <v>48.835728132624162</v>
      </c>
      <c r="U14" s="65">
        <f>IF(SER_hh_tesh_in!U14=0,0,SER_hh_tesh_in!U14/SER_summary!U$27)</f>
        <v>59.144624687864308</v>
      </c>
      <c r="V14" s="65">
        <f>IF(SER_hh_tesh_in!V14=0,0,SER_hh_tesh_in!V14/SER_summary!V$27)</f>
        <v>22.987501723328666</v>
      </c>
      <c r="W14" s="65">
        <f>IF(SER_hh_tesh_in!W14=0,0,SER_hh_tesh_in!W14/SER_summary!W$27)</f>
        <v>33.728368337885463</v>
      </c>
      <c r="X14" s="65">
        <f>IF(SER_hh_tesh_in!X14=0,0,SER_hh_tesh_in!X14/SER_summary!X$27)</f>
        <v>38.445106355186709</v>
      </c>
      <c r="Y14" s="65">
        <f>IF(SER_hh_tesh_in!Y14=0,0,SER_hh_tesh_in!Y14/SER_summary!Y$27)</f>
        <v>36.73922445220559</v>
      </c>
      <c r="DA14" s="109" t="s">
        <v>859</v>
      </c>
    </row>
    <row r="15" spans="1:105" ht="12" customHeight="1" x14ac:dyDescent="0.25">
      <c r="A15" s="133" t="s">
        <v>80</v>
      </c>
      <c r="B15" s="134"/>
      <c r="C15" s="134">
        <f>IF(SER_hh_tesh_in!C15=0,0,SER_hh_tesh_in!C15/SER_summary!C$27)</f>
        <v>0</v>
      </c>
      <c r="D15" s="134">
        <f>IF(SER_hh_tesh_in!D15=0,0,SER_hh_tesh_in!D15/SER_summary!D$27)</f>
        <v>0</v>
      </c>
      <c r="E15" s="134">
        <f>IF(SER_hh_tesh_in!E15=0,0,SER_hh_tesh_in!E15/SER_summary!E$27)</f>
        <v>0</v>
      </c>
      <c r="F15" s="134">
        <f>IF(SER_hh_tesh_in!F15=0,0,SER_hh_tesh_in!F15/SER_summary!F$27)</f>
        <v>0</v>
      </c>
      <c r="G15" s="134">
        <f>IF(SER_hh_tesh_in!G15=0,0,SER_hh_tesh_in!G15/SER_summary!G$27)</f>
        <v>0</v>
      </c>
      <c r="H15" s="134">
        <f>IF(SER_hh_tesh_in!H15=0,0,SER_hh_tesh_in!H15/SER_summary!H$27)</f>
        <v>0</v>
      </c>
      <c r="I15" s="134">
        <f>IF(SER_hh_tesh_in!I15=0,0,SER_hh_tesh_in!I15/SER_summary!I$27)</f>
        <v>0.17507492939406968</v>
      </c>
      <c r="J15" s="134">
        <f>IF(SER_hh_tesh_in!J15=0,0,SER_hh_tesh_in!J15/SER_summary!J$27)</f>
        <v>0.61885734403895465</v>
      </c>
      <c r="K15" s="134">
        <f>IF(SER_hh_tesh_in!K15=0,0,SER_hh_tesh_in!K15/SER_summary!K$27)</f>
        <v>0.53963672946028407</v>
      </c>
      <c r="L15" s="134">
        <f>IF(SER_hh_tesh_in!L15=0,0,SER_hh_tesh_in!L15/SER_summary!L$27)</f>
        <v>0.59444455570966837</v>
      </c>
      <c r="M15" s="134">
        <f>IF(SER_hh_tesh_in!M15=0,0,SER_hh_tesh_in!M15/SER_summary!M$27)</f>
        <v>0.56641246308381588</v>
      </c>
      <c r="N15" s="134">
        <f>IF(SER_hh_tesh_in!N15=0,0,SER_hh_tesh_in!N15/SER_summary!N$27)</f>
        <v>0.47451219712462617</v>
      </c>
      <c r="O15" s="134">
        <f>IF(SER_hh_tesh_in!O15=0,0,SER_hh_tesh_in!O15/SER_summary!O$27)</f>
        <v>0.51989590212055758</v>
      </c>
      <c r="P15" s="134">
        <f>IF(SER_hh_tesh_in!P15=0,0,SER_hh_tesh_in!P15/SER_summary!P$27)</f>
        <v>0.18051067699537426</v>
      </c>
      <c r="Q15" s="134">
        <f>IF(SER_hh_tesh_in!Q15=0,0,SER_hh_tesh_in!Q15/SER_summary!Q$27)</f>
        <v>0.36648711946137391</v>
      </c>
      <c r="R15" s="134">
        <f>IF(SER_hh_tesh_in!R15=0,0,SER_hh_tesh_in!R15/SER_summary!R$27)</f>
        <v>0.45436035616605969</v>
      </c>
      <c r="S15" s="134">
        <f>IF(SER_hh_tesh_in!S15=0,0,SER_hh_tesh_in!S15/SER_summary!S$27)</f>
        <v>0.38787610297365721</v>
      </c>
      <c r="T15" s="134">
        <f>IF(SER_hh_tesh_in!T15=0,0,SER_hh_tesh_in!T15/SER_summary!T$27)</f>
        <v>0.64270533116523709</v>
      </c>
      <c r="U15" s="134">
        <f>IF(SER_hh_tesh_in!U15=0,0,SER_hh_tesh_in!U15/SER_summary!U$27)</f>
        <v>0.58207361563061977</v>
      </c>
      <c r="V15" s="134">
        <f>IF(SER_hh_tesh_in!V15=0,0,SER_hh_tesh_in!V15/SER_summary!V$27)</f>
        <v>0.39118069362942925</v>
      </c>
      <c r="W15" s="134">
        <f>IF(SER_hh_tesh_in!W15=0,0,SER_hh_tesh_in!W15/SER_summary!W$27)</f>
        <v>0.36860202031687361</v>
      </c>
      <c r="X15" s="134">
        <f>IF(SER_hh_tesh_in!X15=0,0,SER_hh_tesh_in!X15/SER_summary!X$27)</f>
        <v>0.35054228759616768</v>
      </c>
      <c r="Y15" s="134">
        <f>IF(SER_hh_tesh_in!Y15=0,0,SER_hh_tesh_in!Y15/SER_summary!Y$27)</f>
        <v>0.39388996372954366</v>
      </c>
      <c r="DA15" s="157" t="s">
        <v>860</v>
      </c>
    </row>
    <row r="16" spans="1:105" ht="12.95" customHeight="1" x14ac:dyDescent="0.25">
      <c r="A16" s="129" t="s">
        <v>74</v>
      </c>
      <c r="B16" s="130"/>
      <c r="C16" s="130">
        <f>IF(SER_hh_tesh_in!C16=0,0,SER_hh_tesh_in!C16/SER_summary!C$27)</f>
        <v>81.045790923913501</v>
      </c>
      <c r="D16" s="130">
        <f>IF(SER_hh_tesh_in!D16=0,0,SER_hh_tesh_in!D16/SER_summary!D$27)</f>
        <v>78.309087569870357</v>
      </c>
      <c r="E16" s="130">
        <f>IF(SER_hh_tesh_in!E16=0,0,SER_hh_tesh_in!E16/SER_summary!E$27)</f>
        <v>84.633680417786792</v>
      </c>
      <c r="F16" s="130">
        <f>IF(SER_hh_tesh_in!F16=0,0,SER_hh_tesh_in!F16/SER_summary!F$27)</f>
        <v>70.16843328173178</v>
      </c>
      <c r="G16" s="130">
        <f>IF(SER_hh_tesh_in!G16=0,0,SER_hh_tesh_in!G16/SER_summary!G$27)</f>
        <v>64.181637720913159</v>
      </c>
      <c r="H16" s="130">
        <f>IF(SER_hh_tesh_in!H16=0,0,SER_hh_tesh_in!H16/SER_summary!H$27)</f>
        <v>73.841254488710064</v>
      </c>
      <c r="I16" s="130">
        <f>IF(SER_hh_tesh_in!I16=0,0,SER_hh_tesh_in!I16/SER_summary!I$27)</f>
        <v>82.694111867452037</v>
      </c>
      <c r="J16" s="130">
        <f>IF(SER_hh_tesh_in!J16=0,0,SER_hh_tesh_in!J16/SER_summary!J$27)</f>
        <v>84.179212342544261</v>
      </c>
      <c r="K16" s="130">
        <f>IF(SER_hh_tesh_in!K16=0,0,SER_hh_tesh_in!K16/SER_summary!K$27)</f>
        <v>80.603235725301559</v>
      </c>
      <c r="L16" s="130">
        <f>IF(SER_hh_tesh_in!L16=0,0,SER_hh_tesh_in!L16/SER_summary!L$27)</f>
        <v>83.913844478090311</v>
      </c>
      <c r="M16" s="130">
        <f>IF(SER_hh_tesh_in!M16=0,0,SER_hh_tesh_in!M16/SER_summary!M$27)</f>
        <v>71.598042823144823</v>
      </c>
      <c r="N16" s="130">
        <f>IF(SER_hh_tesh_in!N16=0,0,SER_hh_tesh_in!N16/SER_summary!N$27)</f>
        <v>85.918841840159686</v>
      </c>
      <c r="O16" s="130">
        <f>IF(SER_hh_tesh_in!O16=0,0,SER_hh_tesh_in!O16/SER_summary!O$27)</f>
        <v>70.956426038776812</v>
      </c>
      <c r="P16" s="130">
        <f>IF(SER_hh_tesh_in!P16=0,0,SER_hh_tesh_in!P16/SER_summary!P$27)</f>
        <v>62.262950960027673</v>
      </c>
      <c r="Q16" s="130">
        <f>IF(SER_hh_tesh_in!Q16=0,0,SER_hh_tesh_in!Q16/SER_summary!Q$27)</f>
        <v>66.095077819736346</v>
      </c>
      <c r="R16" s="130">
        <f>IF(SER_hh_tesh_in!R16=0,0,SER_hh_tesh_in!R16/SER_summary!R$27)</f>
        <v>73.627744298590926</v>
      </c>
      <c r="S16" s="130">
        <f>IF(SER_hh_tesh_in!S16=0,0,SER_hh_tesh_in!S16/SER_summary!S$27)</f>
        <v>68.183928450910145</v>
      </c>
      <c r="T16" s="130">
        <f>IF(SER_hh_tesh_in!T16=0,0,SER_hh_tesh_in!T16/SER_summary!T$27)</f>
        <v>83.917379328188375</v>
      </c>
      <c r="U16" s="130">
        <f>IF(SER_hh_tesh_in!U16=0,0,SER_hh_tesh_in!U16/SER_summary!U$27)</f>
        <v>68.650654753053828</v>
      </c>
      <c r="V16" s="130">
        <f>IF(SER_hh_tesh_in!V16=0,0,SER_hh_tesh_in!V16/SER_summary!V$27)</f>
        <v>68.673199183241209</v>
      </c>
      <c r="W16" s="130">
        <f>IF(SER_hh_tesh_in!W16=0,0,SER_hh_tesh_in!W16/SER_summary!W$27)</f>
        <v>58.300608258623946</v>
      </c>
      <c r="X16" s="130">
        <f>IF(SER_hh_tesh_in!X16=0,0,SER_hh_tesh_in!X16/SER_summary!X$27)</f>
        <v>50.364244978886006</v>
      </c>
      <c r="Y16" s="130">
        <f>IF(SER_hh_tesh_in!Y16=0,0,SER_hh_tesh_in!Y16/SER_summary!Y$27)</f>
        <v>56.816752509547399</v>
      </c>
      <c r="DA16" s="155" t="s">
        <v>861</v>
      </c>
    </row>
    <row r="17" spans="1:105" ht="12.95" customHeight="1" x14ac:dyDescent="0.25">
      <c r="A17" s="131" t="s">
        <v>73</v>
      </c>
      <c r="B17" s="132"/>
      <c r="C17" s="132">
        <f>IF(SER_hh_tesh_in!C17=0,0,SER_hh_tesh_in!C17/SER_summary!C$27)</f>
        <v>0</v>
      </c>
      <c r="D17" s="132">
        <f>IF(SER_hh_tesh_in!D17=0,0,SER_hh_tesh_in!D17/SER_summary!D$27)</f>
        <v>0</v>
      </c>
      <c r="E17" s="132">
        <f>IF(SER_hh_tesh_in!E17=0,0,SER_hh_tesh_in!E17/SER_summary!E$27)</f>
        <v>0</v>
      </c>
      <c r="F17" s="132">
        <f>IF(SER_hh_tesh_in!F17=0,0,SER_hh_tesh_in!F17/SER_summary!F$27)</f>
        <v>0</v>
      </c>
      <c r="G17" s="132">
        <f>IF(SER_hh_tesh_in!G17=0,0,SER_hh_tesh_in!G17/SER_summary!G$27)</f>
        <v>0</v>
      </c>
      <c r="H17" s="132">
        <f>IF(SER_hh_tesh_in!H17=0,0,SER_hh_tesh_in!H17/SER_summary!H$27)</f>
        <v>0</v>
      </c>
      <c r="I17" s="132">
        <f>IF(SER_hh_tesh_in!I17=0,0,SER_hh_tesh_in!I17/SER_summary!I$27)</f>
        <v>0</v>
      </c>
      <c r="J17" s="132">
        <f>IF(SER_hh_tesh_in!J17=0,0,SER_hh_tesh_in!J17/SER_summary!J$27)</f>
        <v>0</v>
      </c>
      <c r="K17" s="132">
        <f>IF(SER_hh_tesh_in!K17=0,0,SER_hh_tesh_in!K17/SER_summary!K$27)</f>
        <v>0</v>
      </c>
      <c r="L17" s="132">
        <f>IF(SER_hh_tesh_in!L17=0,0,SER_hh_tesh_in!L17/SER_summary!L$27)</f>
        <v>0</v>
      </c>
      <c r="M17" s="132">
        <f>IF(SER_hh_tesh_in!M17=0,0,SER_hh_tesh_in!M17/SER_summary!M$27)</f>
        <v>0</v>
      </c>
      <c r="N17" s="132">
        <f>IF(SER_hh_tesh_in!N17=0,0,SER_hh_tesh_in!N17/SER_summary!N$27)</f>
        <v>0</v>
      </c>
      <c r="O17" s="132">
        <f>IF(SER_hh_tesh_in!O17=0,0,SER_hh_tesh_in!O17/SER_summary!O$27)</f>
        <v>0</v>
      </c>
      <c r="P17" s="132">
        <f>IF(SER_hh_tesh_in!P17=0,0,SER_hh_tesh_in!P17/SER_summary!P$27)</f>
        <v>0</v>
      </c>
      <c r="Q17" s="132">
        <f>IF(SER_hh_tesh_in!Q17=0,0,SER_hh_tesh_in!Q17/SER_summary!Q$27)</f>
        <v>0</v>
      </c>
      <c r="R17" s="132">
        <f>IF(SER_hh_tesh_in!R17=0,0,SER_hh_tesh_in!R17/SER_summary!R$27)</f>
        <v>0</v>
      </c>
      <c r="S17" s="132">
        <f>IF(SER_hh_tesh_in!S17=0,0,SER_hh_tesh_in!S17/SER_summary!S$27)</f>
        <v>0</v>
      </c>
      <c r="T17" s="132">
        <f>IF(SER_hh_tesh_in!T17=0,0,SER_hh_tesh_in!T17/SER_summary!T$27)</f>
        <v>0</v>
      </c>
      <c r="U17" s="132">
        <f>IF(SER_hh_tesh_in!U17=0,0,SER_hh_tesh_in!U17/SER_summary!U$27)</f>
        <v>0</v>
      </c>
      <c r="V17" s="132">
        <f>IF(SER_hh_tesh_in!V17=0,0,SER_hh_tesh_in!V17/SER_summary!V$27)</f>
        <v>0</v>
      </c>
      <c r="W17" s="132">
        <f>IF(SER_hh_tesh_in!W17=0,0,SER_hh_tesh_in!W17/SER_summary!W$27)</f>
        <v>0</v>
      </c>
      <c r="X17" s="132">
        <f>IF(SER_hh_tesh_in!X17=0,0,SER_hh_tesh_in!X17/SER_summary!X$27)</f>
        <v>0</v>
      </c>
      <c r="Y17" s="132">
        <f>IF(SER_hh_tesh_in!Y17=0,0,SER_hh_tesh_in!Y17/SER_summary!Y$27)</f>
        <v>0</v>
      </c>
      <c r="DA17" s="156" t="s">
        <v>862</v>
      </c>
    </row>
    <row r="18" spans="1:105" ht="12" customHeight="1" x14ac:dyDescent="0.25">
      <c r="A18" s="131" t="s">
        <v>72</v>
      </c>
      <c r="B18" s="132"/>
      <c r="C18" s="132">
        <f>IF(SER_hh_tesh_in!C18=0,0,SER_hh_tesh_in!C18/SER_summary!C$27)</f>
        <v>81.045790923913501</v>
      </c>
      <c r="D18" s="132">
        <f>IF(SER_hh_tesh_in!D18=0,0,SER_hh_tesh_in!D18/SER_summary!D$27)</f>
        <v>78.309087569870357</v>
      </c>
      <c r="E18" s="132">
        <f>IF(SER_hh_tesh_in!E18=0,0,SER_hh_tesh_in!E18/SER_summary!E$27)</f>
        <v>84.633680417786792</v>
      </c>
      <c r="F18" s="132">
        <f>IF(SER_hh_tesh_in!F18=0,0,SER_hh_tesh_in!F18/SER_summary!F$27)</f>
        <v>70.16843328173178</v>
      </c>
      <c r="G18" s="132">
        <f>IF(SER_hh_tesh_in!G18=0,0,SER_hh_tesh_in!G18/SER_summary!G$27)</f>
        <v>64.181637720913159</v>
      </c>
      <c r="H18" s="132">
        <f>IF(SER_hh_tesh_in!H18=0,0,SER_hh_tesh_in!H18/SER_summary!H$27)</f>
        <v>73.841254488710064</v>
      </c>
      <c r="I18" s="132">
        <f>IF(SER_hh_tesh_in!I18=0,0,SER_hh_tesh_in!I18/SER_summary!I$27)</f>
        <v>82.694111867452037</v>
      </c>
      <c r="J18" s="132">
        <f>IF(SER_hh_tesh_in!J18=0,0,SER_hh_tesh_in!J18/SER_summary!J$27)</f>
        <v>84.179212342544261</v>
      </c>
      <c r="K18" s="132">
        <f>IF(SER_hh_tesh_in!K18=0,0,SER_hh_tesh_in!K18/SER_summary!K$27)</f>
        <v>80.603235725301559</v>
      </c>
      <c r="L18" s="132">
        <f>IF(SER_hh_tesh_in!L18=0,0,SER_hh_tesh_in!L18/SER_summary!L$27)</f>
        <v>83.913844478090311</v>
      </c>
      <c r="M18" s="132">
        <f>IF(SER_hh_tesh_in!M18=0,0,SER_hh_tesh_in!M18/SER_summary!M$27)</f>
        <v>71.598042823144823</v>
      </c>
      <c r="N18" s="132">
        <f>IF(SER_hh_tesh_in!N18=0,0,SER_hh_tesh_in!N18/SER_summary!N$27)</f>
        <v>85.918841840159686</v>
      </c>
      <c r="O18" s="132">
        <f>IF(SER_hh_tesh_in!O18=0,0,SER_hh_tesh_in!O18/SER_summary!O$27)</f>
        <v>70.956426038776812</v>
      </c>
      <c r="P18" s="132">
        <f>IF(SER_hh_tesh_in!P18=0,0,SER_hh_tesh_in!P18/SER_summary!P$27)</f>
        <v>62.262950960027673</v>
      </c>
      <c r="Q18" s="132">
        <f>IF(SER_hh_tesh_in!Q18=0,0,SER_hh_tesh_in!Q18/SER_summary!Q$27)</f>
        <v>66.095077819736346</v>
      </c>
      <c r="R18" s="132">
        <f>IF(SER_hh_tesh_in!R18=0,0,SER_hh_tesh_in!R18/SER_summary!R$27)</f>
        <v>73.627744298590926</v>
      </c>
      <c r="S18" s="132">
        <f>IF(SER_hh_tesh_in!S18=0,0,SER_hh_tesh_in!S18/SER_summary!S$27)</f>
        <v>68.183928450910145</v>
      </c>
      <c r="T18" s="132">
        <f>IF(SER_hh_tesh_in!T18=0,0,SER_hh_tesh_in!T18/SER_summary!T$27)</f>
        <v>83.917379328188375</v>
      </c>
      <c r="U18" s="132">
        <f>IF(SER_hh_tesh_in!U18=0,0,SER_hh_tesh_in!U18/SER_summary!U$27)</f>
        <v>68.650654753053828</v>
      </c>
      <c r="V18" s="132">
        <f>IF(SER_hh_tesh_in!V18=0,0,SER_hh_tesh_in!V18/SER_summary!V$27)</f>
        <v>68.673199183241209</v>
      </c>
      <c r="W18" s="132">
        <f>IF(SER_hh_tesh_in!W18=0,0,SER_hh_tesh_in!W18/SER_summary!W$27)</f>
        <v>58.300608258623946</v>
      </c>
      <c r="X18" s="132">
        <f>IF(SER_hh_tesh_in!X18=0,0,SER_hh_tesh_in!X18/SER_summary!X$27)</f>
        <v>50.364244978886006</v>
      </c>
      <c r="Y18" s="132">
        <f>IF(SER_hh_tesh_in!Y18=0,0,SER_hh_tesh_in!Y18/SER_summary!Y$27)</f>
        <v>56.816752509547399</v>
      </c>
      <c r="DA18" s="156" t="s">
        <v>863</v>
      </c>
    </row>
    <row r="19" spans="1:105" ht="12.95" customHeight="1" x14ac:dyDescent="0.25">
      <c r="A19" s="129" t="s">
        <v>35</v>
      </c>
      <c r="B19" s="130"/>
      <c r="C19" s="130">
        <f>IF(SER_hh_tesh_in!C19=0,0,SER_hh_tesh_in!C19/SER_summary!C$27)</f>
        <v>12.870242510133046</v>
      </c>
      <c r="D19" s="130">
        <f>IF(SER_hh_tesh_in!D19=0,0,SER_hh_tesh_in!D19/SER_summary!D$27)</f>
        <v>12.825598519640668</v>
      </c>
      <c r="E19" s="130">
        <f>IF(SER_hh_tesh_in!E19=0,0,SER_hh_tesh_in!E19/SER_summary!E$27)</f>
        <v>12.767773717092144</v>
      </c>
      <c r="F19" s="130">
        <f>IF(SER_hh_tesh_in!F19=0,0,SER_hh_tesh_in!F19/SER_summary!F$27)</f>
        <v>12.719175405849802</v>
      </c>
      <c r="G19" s="130">
        <f>IF(SER_hh_tesh_in!G19=0,0,SER_hh_tesh_in!G19/SER_summary!G$27)</f>
        <v>12.73189601313117</v>
      </c>
      <c r="H19" s="130">
        <f>IF(SER_hh_tesh_in!H19=0,0,SER_hh_tesh_in!H19/SER_summary!H$27)</f>
        <v>18.910106929548498</v>
      </c>
      <c r="I19" s="130">
        <f>IF(SER_hh_tesh_in!I19=0,0,SER_hh_tesh_in!I19/SER_summary!I$27)</f>
        <v>15.747175604534661</v>
      </c>
      <c r="J19" s="130">
        <f>IF(SER_hh_tesh_in!J19=0,0,SER_hh_tesh_in!J19/SER_summary!J$27)</f>
        <v>14.364331551520786</v>
      </c>
      <c r="K19" s="130">
        <f>IF(SER_hh_tesh_in!K19=0,0,SER_hh_tesh_in!K19/SER_summary!K$27)</f>
        <v>12.376974988564436</v>
      </c>
      <c r="L19" s="130">
        <f>IF(SER_hh_tesh_in!L19=0,0,SER_hh_tesh_in!L19/SER_summary!L$27)</f>
        <v>12.288751090853712</v>
      </c>
      <c r="M19" s="130">
        <f>IF(SER_hh_tesh_in!M19=0,0,SER_hh_tesh_in!M19/SER_summary!M$27)</f>
        <v>12.071288549343887</v>
      </c>
      <c r="N19" s="130">
        <f>IF(SER_hh_tesh_in!N19=0,0,SER_hh_tesh_in!N19/SER_summary!N$27)</f>
        <v>12.152299658160526</v>
      </c>
      <c r="O19" s="130">
        <f>IF(SER_hh_tesh_in!O19=0,0,SER_hh_tesh_in!O19/SER_summary!O$27)</f>
        <v>12.291412135787306</v>
      </c>
      <c r="P19" s="130">
        <f>IF(SER_hh_tesh_in!P19=0,0,SER_hh_tesh_in!P19/SER_summary!P$27)</f>
        <v>14.808426710474995</v>
      </c>
      <c r="Q19" s="130">
        <f>IF(SER_hh_tesh_in!Q19=0,0,SER_hh_tesh_in!Q19/SER_summary!Q$27)</f>
        <v>14.331803053131692</v>
      </c>
      <c r="R19" s="130">
        <f>IF(SER_hh_tesh_in!R19=0,0,SER_hh_tesh_in!R19/SER_summary!R$27)</f>
        <v>13.675801732593484</v>
      </c>
      <c r="S19" s="130">
        <f>IF(SER_hh_tesh_in!S19=0,0,SER_hh_tesh_in!S19/SER_summary!S$27)</f>
        <v>12.767416305746668</v>
      </c>
      <c r="T19" s="130">
        <f>IF(SER_hh_tesh_in!T19=0,0,SER_hh_tesh_in!T19/SER_summary!T$27)</f>
        <v>12.833704590194438</v>
      </c>
      <c r="U19" s="130">
        <f>IF(SER_hh_tesh_in!U19=0,0,SER_hh_tesh_in!U19/SER_summary!U$27)</f>
        <v>12.83125810599503</v>
      </c>
      <c r="V19" s="130">
        <f>IF(SER_hh_tesh_in!V19=0,0,SER_hh_tesh_in!V19/SER_summary!V$27)</f>
        <v>11.546262317512879</v>
      </c>
      <c r="W19" s="130">
        <f>IF(SER_hh_tesh_in!W19=0,0,SER_hh_tesh_in!W19/SER_summary!W$27)</f>
        <v>11.712852196740254</v>
      </c>
      <c r="X19" s="130">
        <f>IF(SER_hh_tesh_in!X19=0,0,SER_hh_tesh_in!X19/SER_summary!X$27)</f>
        <v>11.078348285599498</v>
      </c>
      <c r="Y19" s="130">
        <f>IF(SER_hh_tesh_in!Y19=0,0,SER_hh_tesh_in!Y19/SER_summary!Y$27)</f>
        <v>11.458978561097325</v>
      </c>
      <c r="DA19" s="155" t="s">
        <v>864</v>
      </c>
    </row>
    <row r="20" spans="1:105" ht="12" customHeight="1" x14ac:dyDescent="0.25">
      <c r="A20" s="131" t="s">
        <v>29</v>
      </c>
      <c r="B20" s="132"/>
      <c r="C20" s="132">
        <f>IF(SER_hh_tesh_in!C20=0,0,SER_hh_tesh_in!C20/SER_summary!C$27)</f>
        <v>0</v>
      </c>
      <c r="D20" s="132">
        <f>IF(SER_hh_tesh_in!D20=0,0,SER_hh_tesh_in!D20/SER_summary!D$27)</f>
        <v>0</v>
      </c>
      <c r="E20" s="132">
        <f>IF(SER_hh_tesh_in!E20=0,0,SER_hh_tesh_in!E20/SER_summary!E$27)</f>
        <v>0</v>
      </c>
      <c r="F20" s="132">
        <f>IF(SER_hh_tesh_in!F20=0,0,SER_hh_tesh_in!F20/SER_summary!F$27)</f>
        <v>0</v>
      </c>
      <c r="G20" s="132">
        <f>IF(SER_hh_tesh_in!G20=0,0,SER_hh_tesh_in!G20/SER_summary!G$27)</f>
        <v>0</v>
      </c>
      <c r="H20" s="132">
        <f>IF(SER_hh_tesh_in!H20=0,0,SER_hh_tesh_in!H20/SER_summary!H$27)</f>
        <v>0</v>
      </c>
      <c r="I20" s="132">
        <f>IF(SER_hh_tesh_in!I20=0,0,SER_hh_tesh_in!I20/SER_summary!I$27)</f>
        <v>0</v>
      </c>
      <c r="J20" s="132">
        <f>IF(SER_hh_tesh_in!J20=0,0,SER_hh_tesh_in!J20/SER_summary!J$27)</f>
        <v>0</v>
      </c>
      <c r="K20" s="132">
        <f>IF(SER_hh_tesh_in!K20=0,0,SER_hh_tesh_in!K20/SER_summary!K$27)</f>
        <v>0</v>
      </c>
      <c r="L20" s="132">
        <f>IF(SER_hh_tesh_in!L20=0,0,SER_hh_tesh_in!L20/SER_summary!L$27)</f>
        <v>0</v>
      </c>
      <c r="M20" s="132">
        <f>IF(SER_hh_tesh_in!M20=0,0,SER_hh_tesh_in!M20/SER_summary!M$27)</f>
        <v>0</v>
      </c>
      <c r="N20" s="132">
        <f>IF(SER_hh_tesh_in!N20=0,0,SER_hh_tesh_in!N20/SER_summary!N$27)</f>
        <v>0</v>
      </c>
      <c r="O20" s="132">
        <f>IF(SER_hh_tesh_in!O20=0,0,SER_hh_tesh_in!O20/SER_summary!O$27)</f>
        <v>0</v>
      </c>
      <c r="P20" s="132">
        <f>IF(SER_hh_tesh_in!P20=0,0,SER_hh_tesh_in!P20/SER_summary!P$27)</f>
        <v>0</v>
      </c>
      <c r="Q20" s="132">
        <f>IF(SER_hh_tesh_in!Q20=0,0,SER_hh_tesh_in!Q20/SER_summary!Q$27)</f>
        <v>0</v>
      </c>
      <c r="R20" s="132">
        <f>IF(SER_hh_tesh_in!R20=0,0,SER_hh_tesh_in!R20/SER_summary!R$27)</f>
        <v>0</v>
      </c>
      <c r="S20" s="132">
        <f>IF(SER_hh_tesh_in!S20=0,0,SER_hh_tesh_in!S20/SER_summary!S$27)</f>
        <v>0</v>
      </c>
      <c r="T20" s="132">
        <f>IF(SER_hh_tesh_in!T20=0,0,SER_hh_tesh_in!T20/SER_summary!T$27)</f>
        <v>0</v>
      </c>
      <c r="U20" s="132">
        <f>IF(SER_hh_tesh_in!U20=0,0,SER_hh_tesh_in!U20/SER_summary!U$27)</f>
        <v>0</v>
      </c>
      <c r="V20" s="132">
        <f>IF(SER_hh_tesh_in!V20=0,0,SER_hh_tesh_in!V20/SER_summary!V$27)</f>
        <v>0</v>
      </c>
      <c r="W20" s="132">
        <f>IF(SER_hh_tesh_in!W20=0,0,SER_hh_tesh_in!W20/SER_summary!W$27)</f>
        <v>0</v>
      </c>
      <c r="X20" s="132">
        <f>IF(SER_hh_tesh_in!X20=0,0,SER_hh_tesh_in!X20/SER_summary!X$27)</f>
        <v>0</v>
      </c>
      <c r="Y20" s="132">
        <f>IF(SER_hh_tesh_in!Y20=0,0,SER_hh_tesh_in!Y20/SER_summary!Y$27)</f>
        <v>0</v>
      </c>
      <c r="DA20" s="156" t="s">
        <v>865</v>
      </c>
    </row>
    <row r="21" spans="1:105" s="2" customFormat="1" ht="12" customHeight="1" x14ac:dyDescent="0.25">
      <c r="A21" s="131" t="s">
        <v>52</v>
      </c>
      <c r="B21" s="132"/>
      <c r="C21" s="132">
        <f>IF(SER_hh_tesh_in!C21=0,0,SER_hh_tesh_in!C21/SER_summary!C$27)</f>
        <v>0</v>
      </c>
      <c r="D21" s="132">
        <f>IF(SER_hh_tesh_in!D21=0,0,SER_hh_tesh_in!D21/SER_summary!D$27)</f>
        <v>0</v>
      </c>
      <c r="E21" s="132">
        <f>IF(SER_hh_tesh_in!E21=0,0,SER_hh_tesh_in!E21/SER_summary!E$27)</f>
        <v>0</v>
      </c>
      <c r="F21" s="132">
        <f>IF(SER_hh_tesh_in!F21=0,0,SER_hh_tesh_in!F21/SER_summary!F$27)</f>
        <v>0</v>
      </c>
      <c r="G21" s="132">
        <f>IF(SER_hh_tesh_in!G21=0,0,SER_hh_tesh_in!G21/SER_summary!G$27)</f>
        <v>0</v>
      </c>
      <c r="H21" s="132">
        <f>IF(SER_hh_tesh_in!H21=0,0,SER_hh_tesh_in!H21/SER_summary!H$27)</f>
        <v>8.6425998338825707</v>
      </c>
      <c r="I21" s="132">
        <f>IF(SER_hh_tesh_in!I21=0,0,SER_hh_tesh_in!I21/SER_summary!I$27)</f>
        <v>8.1445271551127565</v>
      </c>
      <c r="J21" s="132">
        <f>IF(SER_hh_tesh_in!J21=0,0,SER_hh_tesh_in!J21/SER_summary!J$27)</f>
        <v>7.8533358069779444</v>
      </c>
      <c r="K21" s="132">
        <f>IF(SER_hh_tesh_in!K21=0,0,SER_hh_tesh_in!K21/SER_summary!K$27)</f>
        <v>10.77895998441665</v>
      </c>
      <c r="L21" s="132">
        <f>IF(SER_hh_tesh_in!L21=0,0,SER_hh_tesh_in!L21/SER_summary!L$27)</f>
        <v>14.19423191960386</v>
      </c>
      <c r="M21" s="132">
        <f>IF(SER_hh_tesh_in!M21=0,0,SER_hh_tesh_in!M21/SER_summary!M$27)</f>
        <v>0</v>
      </c>
      <c r="N21" s="132">
        <f>IF(SER_hh_tesh_in!N21=0,0,SER_hh_tesh_in!N21/SER_summary!N$27)</f>
        <v>0</v>
      </c>
      <c r="O21" s="132">
        <f>IF(SER_hh_tesh_in!O21=0,0,SER_hh_tesh_in!O21/SER_summary!O$27)</f>
        <v>0</v>
      </c>
      <c r="P21" s="132">
        <f>IF(SER_hh_tesh_in!P21=0,0,SER_hh_tesh_in!P21/SER_summary!P$27)</f>
        <v>0</v>
      </c>
      <c r="Q21" s="132">
        <f>IF(SER_hh_tesh_in!Q21=0,0,SER_hh_tesh_in!Q21/SER_summary!Q$27)</f>
        <v>0</v>
      </c>
      <c r="R21" s="132">
        <f>IF(SER_hh_tesh_in!R21=0,0,SER_hh_tesh_in!R21/SER_summary!R$27)</f>
        <v>9.1370685086373733</v>
      </c>
      <c r="S21" s="132">
        <f>IF(SER_hh_tesh_in!S21=0,0,SER_hh_tesh_in!S21/SER_summary!S$27)</f>
        <v>7.7290522360334792</v>
      </c>
      <c r="T21" s="132">
        <f>IF(SER_hh_tesh_in!T21=0,0,SER_hh_tesh_in!T21/SER_summary!T$27)</f>
        <v>10.863474737509542</v>
      </c>
      <c r="U21" s="132">
        <f>IF(SER_hh_tesh_in!U21=0,0,SER_hh_tesh_in!U21/SER_summary!U$27)</f>
        <v>11.058047977709222</v>
      </c>
      <c r="V21" s="132">
        <f>IF(SER_hh_tesh_in!V21=0,0,SER_hh_tesh_in!V21/SER_summary!V$27)</f>
        <v>6.7864335320575204</v>
      </c>
      <c r="W21" s="132">
        <f>IF(SER_hh_tesh_in!W21=0,0,SER_hh_tesh_in!W21/SER_summary!W$27)</f>
        <v>10.46589443540817</v>
      </c>
      <c r="X21" s="132">
        <f>IF(SER_hh_tesh_in!X21=0,0,SER_hh_tesh_in!X21/SER_summary!X$27)</f>
        <v>12.734870816627248</v>
      </c>
      <c r="Y21" s="132">
        <f>IF(SER_hh_tesh_in!Y21=0,0,SER_hh_tesh_in!Y21/SER_summary!Y$27)</f>
        <v>12.83187001698013</v>
      </c>
      <c r="DA21" s="156" t="s">
        <v>866</v>
      </c>
    </row>
    <row r="22" spans="1:105" ht="12" customHeight="1" x14ac:dyDescent="0.25">
      <c r="A22" s="131" t="s">
        <v>161</v>
      </c>
      <c r="B22" s="132"/>
      <c r="C22" s="132">
        <f>IF(SER_hh_tesh_in!C22=0,0,SER_hh_tesh_in!C22/SER_summary!C$27)</f>
        <v>12.228698632123526</v>
      </c>
      <c r="D22" s="132">
        <f>IF(SER_hh_tesh_in!D22=0,0,SER_hh_tesh_in!D22/SER_summary!D$27)</f>
        <v>4.0702435928991525</v>
      </c>
      <c r="E22" s="132">
        <f>IF(SER_hh_tesh_in!E22=0,0,SER_hh_tesh_in!E22/SER_summary!E$27)</f>
        <v>8.7541035940689351</v>
      </c>
      <c r="F22" s="132">
        <f>IF(SER_hh_tesh_in!F22=0,0,SER_hh_tesh_in!F22/SER_summary!F$27)</f>
        <v>9.9063008211930601</v>
      </c>
      <c r="G22" s="132">
        <f>IF(SER_hh_tesh_in!G22=0,0,SER_hh_tesh_in!G22/SER_summary!G$27)</f>
        <v>9.1743953030915648</v>
      </c>
      <c r="H22" s="132">
        <f>IF(SER_hh_tesh_in!H22=0,0,SER_hh_tesh_in!H22/SER_summary!H$27)</f>
        <v>12.163972052713637</v>
      </c>
      <c r="I22" s="132">
        <f>IF(SER_hh_tesh_in!I22=0,0,SER_hh_tesh_in!I22/SER_summary!I$27)</f>
        <v>5.8833309552960351</v>
      </c>
      <c r="J22" s="132">
        <f>IF(SER_hh_tesh_in!J22=0,0,SER_hh_tesh_in!J22/SER_summary!J$27)</f>
        <v>6.6583890620751314</v>
      </c>
      <c r="K22" s="132">
        <f>IF(SER_hh_tesh_in!K22=0,0,SER_hh_tesh_in!K22/SER_summary!K$27)</f>
        <v>10.217790537805941</v>
      </c>
      <c r="L22" s="132">
        <f>IF(SER_hh_tesh_in!L22=0,0,SER_hh_tesh_in!L22/SER_summary!L$27)</f>
        <v>13.358792092962466</v>
      </c>
      <c r="M22" s="132">
        <f>IF(SER_hh_tesh_in!M22=0,0,SER_hh_tesh_in!M22/SER_summary!M$27)</f>
        <v>11.803521305069474</v>
      </c>
      <c r="N22" s="132">
        <f>IF(SER_hh_tesh_in!N22=0,0,SER_hh_tesh_in!N22/SER_summary!N$27)</f>
        <v>13.72403808613241</v>
      </c>
      <c r="O22" s="132">
        <f>IF(SER_hh_tesh_in!O22=0,0,SER_hh_tesh_in!O22/SER_summary!O$27)</f>
        <v>13.426431085520667</v>
      </c>
      <c r="P22" s="132">
        <f>IF(SER_hh_tesh_in!P22=0,0,SER_hh_tesh_in!P22/SER_summary!P$27)</f>
        <v>10.828577058985145</v>
      </c>
      <c r="Q22" s="132">
        <f>IF(SER_hh_tesh_in!Q22=0,0,SER_hh_tesh_in!Q22/SER_summary!Q$27)</f>
        <v>6.3902698041684269</v>
      </c>
      <c r="R22" s="132">
        <f>IF(SER_hh_tesh_in!R22=0,0,SER_hh_tesh_in!R22/SER_summary!R$27)</f>
        <v>8.2303352818328754</v>
      </c>
      <c r="S22" s="132">
        <f>IF(SER_hh_tesh_in!S22=0,0,SER_hh_tesh_in!S22/SER_summary!S$27)</f>
        <v>6.9543200701596586</v>
      </c>
      <c r="T22" s="132">
        <f>IF(SER_hh_tesh_in!T22=0,0,SER_hh_tesh_in!T22/SER_summary!T$27)</f>
        <v>10.523920671135995</v>
      </c>
      <c r="U22" s="132">
        <f>IF(SER_hh_tesh_in!U22=0,0,SER_hh_tesh_in!U22/SER_summary!U$27)</f>
        <v>10.21118604430745</v>
      </c>
      <c r="V22" s="132">
        <f>IF(SER_hh_tesh_in!V22=0,0,SER_hh_tesh_in!V22/SER_summary!V$27)</f>
        <v>6.209505981691775</v>
      </c>
      <c r="W22" s="132">
        <f>IF(SER_hh_tesh_in!W22=0,0,SER_hh_tesh_in!W22/SER_summary!W$27)</f>
        <v>11.223309349785467</v>
      </c>
      <c r="X22" s="132">
        <f>IF(SER_hh_tesh_in!X22=0,0,SER_hh_tesh_in!X22/SER_summary!X$27)</f>
        <v>13.63353516960483</v>
      </c>
      <c r="Y22" s="132">
        <f>IF(SER_hh_tesh_in!Y22=0,0,SER_hh_tesh_in!Y22/SER_summary!Y$27)</f>
        <v>13.877692788882458</v>
      </c>
      <c r="DA22" s="156" t="s">
        <v>867</v>
      </c>
    </row>
    <row r="23" spans="1:105" ht="12" customHeight="1" x14ac:dyDescent="0.25">
      <c r="A23" s="131" t="s">
        <v>149</v>
      </c>
      <c r="B23" s="132"/>
      <c r="C23" s="132">
        <f>IF(SER_hh_tesh_in!C23=0,0,SER_hh_tesh_in!C23/SER_summary!C$27)</f>
        <v>0</v>
      </c>
      <c r="D23" s="132">
        <f>IF(SER_hh_tesh_in!D23=0,0,SER_hh_tesh_in!D23/SER_summary!D$27)</f>
        <v>0</v>
      </c>
      <c r="E23" s="132">
        <f>IF(SER_hh_tesh_in!E23=0,0,SER_hh_tesh_in!E23/SER_summary!E$27)</f>
        <v>0</v>
      </c>
      <c r="F23" s="132">
        <f>IF(SER_hh_tesh_in!F23=0,0,SER_hh_tesh_in!F23/SER_summary!F$27)</f>
        <v>0</v>
      </c>
      <c r="G23" s="132">
        <f>IF(SER_hh_tesh_in!G23=0,0,SER_hh_tesh_in!G23/SER_summary!G$27)</f>
        <v>0</v>
      </c>
      <c r="H23" s="132">
        <f>IF(SER_hh_tesh_in!H23=0,0,SER_hh_tesh_in!H23/SER_summary!H$27)</f>
        <v>0</v>
      </c>
      <c r="I23" s="132">
        <f>IF(SER_hh_tesh_in!I23=0,0,SER_hh_tesh_in!I23/SER_summary!I$27)</f>
        <v>0</v>
      </c>
      <c r="J23" s="132">
        <f>IF(SER_hh_tesh_in!J23=0,0,SER_hh_tesh_in!J23/SER_summary!J$27)</f>
        <v>0</v>
      </c>
      <c r="K23" s="132">
        <f>IF(SER_hh_tesh_in!K23=0,0,SER_hh_tesh_in!K23/SER_summary!K$27)</f>
        <v>0</v>
      </c>
      <c r="L23" s="132">
        <f>IF(SER_hh_tesh_in!L23=0,0,SER_hh_tesh_in!L23/SER_summary!L$27)</f>
        <v>0</v>
      </c>
      <c r="M23" s="132">
        <f>IF(SER_hh_tesh_in!M23=0,0,SER_hh_tesh_in!M23/SER_summary!M$27)</f>
        <v>0</v>
      </c>
      <c r="N23" s="132">
        <f>IF(SER_hh_tesh_in!N23=0,0,SER_hh_tesh_in!N23/SER_summary!N$27)</f>
        <v>0</v>
      </c>
      <c r="O23" s="132">
        <f>IF(SER_hh_tesh_in!O23=0,0,SER_hh_tesh_in!O23/SER_summary!O$27)</f>
        <v>0</v>
      </c>
      <c r="P23" s="132">
        <f>IF(SER_hh_tesh_in!P23=0,0,SER_hh_tesh_in!P23/SER_summary!P$27)</f>
        <v>0</v>
      </c>
      <c r="Q23" s="132">
        <f>IF(SER_hh_tesh_in!Q23=0,0,SER_hh_tesh_in!Q23/SER_summary!Q$27)</f>
        <v>0</v>
      </c>
      <c r="R23" s="132">
        <f>IF(SER_hh_tesh_in!R23=0,0,SER_hh_tesh_in!R23/SER_summary!R$27)</f>
        <v>0</v>
      </c>
      <c r="S23" s="132">
        <f>IF(SER_hh_tesh_in!S23=0,0,SER_hh_tesh_in!S23/SER_summary!S$27)</f>
        <v>0</v>
      </c>
      <c r="T23" s="132">
        <f>IF(SER_hh_tesh_in!T23=0,0,SER_hh_tesh_in!T23/SER_summary!T$27)</f>
        <v>0</v>
      </c>
      <c r="U23" s="132">
        <f>IF(SER_hh_tesh_in!U23=0,0,SER_hh_tesh_in!U23/SER_summary!U$27)</f>
        <v>0</v>
      </c>
      <c r="V23" s="132">
        <f>IF(SER_hh_tesh_in!V23=0,0,SER_hh_tesh_in!V23/SER_summary!V$27)</f>
        <v>0</v>
      </c>
      <c r="W23" s="132">
        <f>IF(SER_hh_tesh_in!W23=0,0,SER_hh_tesh_in!W23/SER_summary!W$27)</f>
        <v>0</v>
      </c>
      <c r="X23" s="132">
        <f>IF(SER_hh_tesh_in!X23=0,0,SER_hh_tesh_in!X23/SER_summary!X$27)</f>
        <v>0</v>
      </c>
      <c r="Y23" s="132">
        <f>IF(SER_hh_tesh_in!Y23=0,0,SER_hh_tesh_in!Y23/SER_summary!Y$27)</f>
        <v>0</v>
      </c>
      <c r="DA23" s="156" t="s">
        <v>868</v>
      </c>
    </row>
    <row r="24" spans="1:105" ht="12" customHeight="1" x14ac:dyDescent="0.25">
      <c r="A24" s="131" t="s">
        <v>128</v>
      </c>
      <c r="B24" s="132"/>
      <c r="C24" s="132">
        <f>IF(SER_hh_tesh_in!C24=0,0,SER_hh_tesh_in!C24/SER_summary!C$27)</f>
        <v>0</v>
      </c>
      <c r="D24" s="132">
        <f>IF(SER_hh_tesh_in!D24=0,0,SER_hh_tesh_in!D24/SER_summary!D$27)</f>
        <v>0</v>
      </c>
      <c r="E24" s="132">
        <f>IF(SER_hh_tesh_in!E24=0,0,SER_hh_tesh_in!E24/SER_summary!E$27)</f>
        <v>0</v>
      </c>
      <c r="F24" s="132">
        <f>IF(SER_hh_tesh_in!F24=0,0,SER_hh_tesh_in!F24/SER_summary!F$27)</f>
        <v>0</v>
      </c>
      <c r="G24" s="132">
        <f>IF(SER_hh_tesh_in!G24=0,0,SER_hh_tesh_in!G24/SER_summary!G$27)</f>
        <v>0</v>
      </c>
      <c r="H24" s="132">
        <f>IF(SER_hh_tesh_in!H24=0,0,SER_hh_tesh_in!H24/SER_summary!H$27)</f>
        <v>0</v>
      </c>
      <c r="I24" s="132">
        <f>IF(SER_hh_tesh_in!I24=0,0,SER_hh_tesh_in!I24/SER_summary!I$27)</f>
        <v>0</v>
      </c>
      <c r="J24" s="132">
        <f>IF(SER_hh_tesh_in!J24=0,0,SER_hh_tesh_in!J24/SER_summary!J$27)</f>
        <v>0</v>
      </c>
      <c r="K24" s="132">
        <f>IF(SER_hh_tesh_in!K24=0,0,SER_hh_tesh_in!K24/SER_summary!K$27)</f>
        <v>0</v>
      </c>
      <c r="L24" s="132">
        <f>IF(SER_hh_tesh_in!L24=0,0,SER_hh_tesh_in!L24/SER_summary!L$27)</f>
        <v>0</v>
      </c>
      <c r="M24" s="132">
        <f>IF(SER_hh_tesh_in!M24=0,0,SER_hh_tesh_in!M24/SER_summary!M$27)</f>
        <v>0</v>
      </c>
      <c r="N24" s="132">
        <f>IF(SER_hh_tesh_in!N24=0,0,SER_hh_tesh_in!N24/SER_summary!N$27)</f>
        <v>0</v>
      </c>
      <c r="O24" s="132">
        <f>IF(SER_hh_tesh_in!O24=0,0,SER_hh_tesh_in!O24/SER_summary!O$27)</f>
        <v>0</v>
      </c>
      <c r="P24" s="132">
        <f>IF(SER_hh_tesh_in!P24=0,0,SER_hh_tesh_in!P24/SER_summary!P$27)</f>
        <v>0</v>
      </c>
      <c r="Q24" s="132">
        <f>IF(SER_hh_tesh_in!Q24=0,0,SER_hh_tesh_in!Q24/SER_summary!Q$27)</f>
        <v>0</v>
      </c>
      <c r="R24" s="132">
        <f>IF(SER_hh_tesh_in!R24=0,0,SER_hh_tesh_in!R24/SER_summary!R$27)</f>
        <v>0</v>
      </c>
      <c r="S24" s="132">
        <f>IF(SER_hh_tesh_in!S24=0,0,SER_hh_tesh_in!S24/SER_summary!S$27)</f>
        <v>0</v>
      </c>
      <c r="T24" s="132">
        <f>IF(SER_hh_tesh_in!T24=0,0,SER_hh_tesh_in!T24/SER_summary!T$27)</f>
        <v>0</v>
      </c>
      <c r="U24" s="132">
        <f>IF(SER_hh_tesh_in!U24=0,0,SER_hh_tesh_in!U24/SER_summary!U$27)</f>
        <v>0</v>
      </c>
      <c r="V24" s="132">
        <f>IF(SER_hh_tesh_in!V24=0,0,SER_hh_tesh_in!V24/SER_summary!V$27)</f>
        <v>0</v>
      </c>
      <c r="W24" s="132">
        <f>IF(SER_hh_tesh_in!W24=0,0,SER_hh_tesh_in!W24/SER_summary!W$27)</f>
        <v>0</v>
      </c>
      <c r="X24" s="132">
        <f>IF(SER_hh_tesh_in!X24=0,0,SER_hh_tesh_in!X24/SER_summary!X$27)</f>
        <v>0</v>
      </c>
      <c r="Y24" s="132">
        <f>IF(SER_hh_tesh_in!Y24=0,0,SER_hh_tesh_in!Y24/SER_summary!Y$27)</f>
        <v>0</v>
      </c>
      <c r="DA24" s="156" t="s">
        <v>869</v>
      </c>
    </row>
    <row r="25" spans="1:105" ht="12" customHeight="1" x14ac:dyDescent="0.25">
      <c r="A25" s="131" t="s">
        <v>162</v>
      </c>
      <c r="B25" s="132"/>
      <c r="C25" s="132">
        <f>IF(SER_hh_tesh_in!C25=0,0,SER_hh_tesh_in!C25/SER_summary!C$27)</f>
        <v>0</v>
      </c>
      <c r="D25" s="132">
        <f>IF(SER_hh_tesh_in!D25=0,0,SER_hh_tesh_in!D25/SER_summary!D$27)</f>
        <v>0</v>
      </c>
      <c r="E25" s="132">
        <f>IF(SER_hh_tesh_in!E25=0,0,SER_hh_tesh_in!E25/SER_summary!E$27)</f>
        <v>0</v>
      </c>
      <c r="F25" s="132">
        <f>IF(SER_hh_tesh_in!F25=0,0,SER_hh_tesh_in!F25/SER_summary!F$27)</f>
        <v>0</v>
      </c>
      <c r="G25" s="132">
        <f>IF(SER_hh_tesh_in!G25=0,0,SER_hh_tesh_in!G25/SER_summary!G$27)</f>
        <v>0</v>
      </c>
      <c r="H25" s="132">
        <f>IF(SER_hh_tesh_in!H25=0,0,SER_hh_tesh_in!H25/SER_summary!H$27)</f>
        <v>0</v>
      </c>
      <c r="I25" s="132">
        <f>IF(SER_hh_tesh_in!I25=0,0,SER_hh_tesh_in!I25/SER_summary!I$27)</f>
        <v>0</v>
      </c>
      <c r="J25" s="132">
        <f>IF(SER_hh_tesh_in!J25=0,0,SER_hh_tesh_in!J25/SER_summary!J$27)</f>
        <v>0</v>
      </c>
      <c r="K25" s="132">
        <f>IF(SER_hh_tesh_in!K25=0,0,SER_hh_tesh_in!K25/SER_summary!K$27)</f>
        <v>0</v>
      </c>
      <c r="L25" s="132">
        <f>IF(SER_hh_tesh_in!L25=0,0,SER_hh_tesh_in!L25/SER_summary!L$27)</f>
        <v>0</v>
      </c>
      <c r="M25" s="132">
        <f>IF(SER_hh_tesh_in!M25=0,0,SER_hh_tesh_in!M25/SER_summary!M$27)</f>
        <v>0</v>
      </c>
      <c r="N25" s="132">
        <f>IF(SER_hh_tesh_in!N25=0,0,SER_hh_tesh_in!N25/SER_summary!N$27)</f>
        <v>0</v>
      </c>
      <c r="O25" s="132">
        <f>IF(SER_hh_tesh_in!O25=0,0,SER_hh_tesh_in!O25/SER_summary!O$27)</f>
        <v>0</v>
      </c>
      <c r="P25" s="132">
        <f>IF(SER_hh_tesh_in!P25=0,0,SER_hh_tesh_in!P25/SER_summary!P$27)</f>
        <v>0</v>
      </c>
      <c r="Q25" s="132">
        <f>IF(SER_hh_tesh_in!Q25=0,0,SER_hh_tesh_in!Q25/SER_summary!Q$27)</f>
        <v>0</v>
      </c>
      <c r="R25" s="132">
        <f>IF(SER_hh_tesh_in!R25=0,0,SER_hh_tesh_in!R25/SER_summary!R$27)</f>
        <v>0</v>
      </c>
      <c r="S25" s="132">
        <f>IF(SER_hh_tesh_in!S25=0,0,SER_hh_tesh_in!S25/SER_summary!S$27)</f>
        <v>0</v>
      </c>
      <c r="T25" s="132">
        <f>IF(SER_hh_tesh_in!T25=0,0,SER_hh_tesh_in!T25/SER_summary!T$27)</f>
        <v>0</v>
      </c>
      <c r="U25" s="132">
        <f>IF(SER_hh_tesh_in!U25=0,0,SER_hh_tesh_in!U25/SER_summary!U$27)</f>
        <v>0</v>
      </c>
      <c r="V25" s="132">
        <f>IF(SER_hh_tesh_in!V25=0,0,SER_hh_tesh_in!V25/SER_summary!V$27)</f>
        <v>0</v>
      </c>
      <c r="W25" s="132">
        <f>IF(SER_hh_tesh_in!W25=0,0,SER_hh_tesh_in!W25/SER_summary!W$27)</f>
        <v>0</v>
      </c>
      <c r="X25" s="132">
        <f>IF(SER_hh_tesh_in!X25=0,0,SER_hh_tesh_in!X25/SER_summary!X$27)</f>
        <v>0</v>
      </c>
      <c r="Y25" s="132">
        <f>IF(SER_hh_tesh_in!Y25=0,0,SER_hh_tesh_in!Y25/SER_summary!Y$27)</f>
        <v>0</v>
      </c>
      <c r="DA25" s="156" t="s">
        <v>870</v>
      </c>
    </row>
    <row r="26" spans="1:105" ht="12" customHeight="1" x14ac:dyDescent="0.25">
      <c r="A26" s="131" t="s">
        <v>24</v>
      </c>
      <c r="B26" s="65"/>
      <c r="C26" s="65">
        <f>IF(SER_hh_tesh_in!C26=0,0,SER_hh_tesh_in!C26/SER_summary!C$27)</f>
        <v>5.647665856320617</v>
      </c>
      <c r="D26" s="65">
        <f>IF(SER_hh_tesh_in!D26=0,0,SER_hh_tesh_in!D26/SER_summary!D$27)</f>
        <v>2.4719101404291144</v>
      </c>
      <c r="E26" s="65">
        <f>IF(SER_hh_tesh_in!E26=0,0,SER_hh_tesh_in!E26/SER_summary!E$27)</f>
        <v>3.0977185456783412</v>
      </c>
      <c r="F26" s="65">
        <f>IF(SER_hh_tesh_in!F26=0,0,SER_hh_tesh_in!F26/SER_summary!F$27)</f>
        <v>2.9361554433959012</v>
      </c>
      <c r="G26" s="65">
        <f>IF(SER_hh_tesh_in!G26=0,0,SER_hh_tesh_in!G26/SER_summary!G$27)</f>
        <v>3.5454262620655426</v>
      </c>
      <c r="H26" s="65">
        <f>IF(SER_hh_tesh_in!H26=0,0,SER_hh_tesh_in!H26/SER_summary!H$27)</f>
        <v>0</v>
      </c>
      <c r="I26" s="65">
        <f>IF(SER_hh_tesh_in!I26=0,0,SER_hh_tesh_in!I26/SER_summary!I$27)</f>
        <v>0</v>
      </c>
      <c r="J26" s="65">
        <f>IF(SER_hh_tesh_in!J26=0,0,SER_hh_tesh_in!J26/SER_summary!J$27)</f>
        <v>0.10663380269289506</v>
      </c>
      <c r="K26" s="65">
        <f>IF(SER_hh_tesh_in!K26=0,0,SER_hh_tesh_in!K26/SER_summary!K$27)</f>
        <v>0.1126094352120649</v>
      </c>
      <c r="L26" s="65">
        <f>IF(SER_hh_tesh_in!L26=0,0,SER_hh_tesh_in!L26/SER_summary!L$27)</f>
        <v>0.10404185515159135</v>
      </c>
      <c r="M26" s="65">
        <f>IF(SER_hh_tesh_in!M26=0,0,SER_hh_tesh_in!M26/SER_summary!M$27)</f>
        <v>0.10946049280410987</v>
      </c>
      <c r="N26" s="65">
        <f>IF(SER_hh_tesh_in!N26=0,0,SER_hh_tesh_in!N26/SER_summary!N$27)</f>
        <v>2.6757341831510644</v>
      </c>
      <c r="O26" s="65">
        <f>IF(SER_hh_tesh_in!O26=0,0,SER_hh_tesh_in!O26/SER_summary!O$27)</f>
        <v>3.6780830566896192</v>
      </c>
      <c r="P26" s="65">
        <f>IF(SER_hh_tesh_in!P26=0,0,SER_hh_tesh_in!P26/SER_summary!P$27)</f>
        <v>8.9216906339938271E-2</v>
      </c>
      <c r="Q26" s="65">
        <f>IF(SER_hh_tesh_in!Q26=0,0,SER_hh_tesh_in!Q26/SER_summary!Q$27)</f>
        <v>9.0791806996127336E-2</v>
      </c>
      <c r="R26" s="65">
        <f>IF(SER_hh_tesh_in!R26=0,0,SER_hh_tesh_in!R26/SER_summary!R$27)</f>
        <v>9.4392779457580955E-2</v>
      </c>
      <c r="S26" s="65">
        <f>IF(SER_hh_tesh_in!S26=0,0,SER_hh_tesh_in!S26/SER_summary!S$27)</f>
        <v>9.5607103320195952E-2</v>
      </c>
      <c r="T26" s="65">
        <f>IF(SER_hh_tesh_in!T26=0,0,SER_hh_tesh_in!T26/SER_summary!T$27)</f>
        <v>9.4889004923146961E-2</v>
      </c>
      <c r="U26" s="65">
        <f>IF(SER_hh_tesh_in!U26=0,0,SER_hh_tesh_in!U26/SER_summary!U$27)</f>
        <v>8.8504484962459398E-2</v>
      </c>
      <c r="V26" s="65">
        <f>IF(SER_hh_tesh_in!V26=0,0,SER_hh_tesh_in!V26/SER_summary!V$27)</f>
        <v>8.8058298174615302E-2</v>
      </c>
      <c r="W26" s="65">
        <f>IF(SER_hh_tesh_in!W26=0,0,SER_hh_tesh_in!W26/SER_summary!W$27)</f>
        <v>8.7698383301612629E-2</v>
      </c>
      <c r="X26" s="65">
        <f>IF(SER_hh_tesh_in!X26=0,0,SER_hh_tesh_in!X26/SER_summary!X$27)</f>
        <v>9.9003225979482927</v>
      </c>
      <c r="Y26" s="65">
        <f>IF(SER_hh_tesh_in!Y26=0,0,SER_hh_tesh_in!Y26/SER_summary!Y$27)</f>
        <v>10.855073923759221</v>
      </c>
      <c r="DA26" s="109" t="s">
        <v>871</v>
      </c>
    </row>
    <row r="27" spans="1:105" ht="12" customHeight="1" x14ac:dyDescent="0.25">
      <c r="A27" s="144" t="s">
        <v>86</v>
      </c>
      <c r="B27" s="147"/>
      <c r="C27" s="145">
        <f>IF(SER_hh_tesh_in!C27=0,0,SER_hh_tesh_in!C27/SER_summary!C$27)</f>
        <v>7.0315912661788351</v>
      </c>
      <c r="D27" s="145">
        <f>IF(SER_hh_tesh_in!D27=0,0,SER_hh_tesh_in!D27/SER_summary!D$27)</f>
        <v>10.305715385945817</v>
      </c>
      <c r="E27" s="145">
        <f>IF(SER_hh_tesh_in!E27=0,0,SER_hh_tesh_in!E27/SER_summary!E$27)</f>
        <v>9.5064895658629336</v>
      </c>
      <c r="F27" s="145">
        <f>IF(SER_hh_tesh_in!F27=0,0,SER_hh_tesh_in!F27/SER_summary!F$27)</f>
        <v>9.5833251039706564</v>
      </c>
      <c r="G27" s="145">
        <f>IF(SER_hh_tesh_in!G27=0,0,SER_hh_tesh_in!G27/SER_summary!G$27)</f>
        <v>9.02039755248048</v>
      </c>
      <c r="H27" s="145">
        <f>IF(SER_hh_tesh_in!H27=0,0,SER_hh_tesh_in!H27/SER_summary!H$27)</f>
        <v>10.226750047969302</v>
      </c>
      <c r="I27" s="145">
        <f>IF(SER_hh_tesh_in!I27=0,0,SER_hh_tesh_in!I27/SER_summary!I$27)</f>
        <v>7.6840789323167957</v>
      </c>
      <c r="J27" s="145">
        <f>IF(SER_hh_tesh_in!J27=0,0,SER_hh_tesh_in!J27/SER_summary!J$27)</f>
        <v>6.9539774113203237</v>
      </c>
      <c r="K27" s="145">
        <f>IF(SER_hh_tesh_in!K27=0,0,SER_hh_tesh_in!K27/SER_summary!K$27)</f>
        <v>11.017534061159882</v>
      </c>
      <c r="L27" s="145">
        <f>IF(SER_hh_tesh_in!L27=0,0,SER_hh_tesh_in!L27/SER_summary!L$27)</f>
        <v>11.072939735990944</v>
      </c>
      <c r="M27" s="145">
        <f>IF(SER_hh_tesh_in!M27=0,0,SER_hh_tesh_in!M27/SER_summary!M$27)</f>
        <v>11.599935346897407</v>
      </c>
      <c r="N27" s="145">
        <f>IF(SER_hh_tesh_in!N27=0,0,SER_hh_tesh_in!N27/SER_summary!N$27)</f>
        <v>9.1581124748584184</v>
      </c>
      <c r="O27" s="145">
        <f>IF(SER_hh_tesh_in!O27=0,0,SER_hh_tesh_in!O27/SER_summary!O$27)</f>
        <v>8.3073202939604194</v>
      </c>
      <c r="P27" s="145">
        <f>IF(SER_hh_tesh_in!P27=0,0,SER_hh_tesh_in!P27/SER_summary!P$27)</f>
        <v>14.399059004543588</v>
      </c>
      <c r="Q27" s="145">
        <f>IF(SER_hh_tesh_in!Q27=0,0,SER_hh_tesh_in!Q27/SER_summary!Q$27)</f>
        <v>13.935286631066136</v>
      </c>
      <c r="R27" s="145">
        <f>IF(SER_hh_tesh_in!R27=0,0,SER_hh_tesh_in!R27/SER_summary!R$27)</f>
        <v>12.976104022424142</v>
      </c>
      <c r="S27" s="145">
        <f>IF(SER_hh_tesh_in!S27=0,0,SER_hh_tesh_in!S27/SER_summary!S$27)</f>
        <v>11.297779118978518</v>
      </c>
      <c r="T27" s="145">
        <f>IF(SER_hh_tesh_in!T27=0,0,SER_hh_tesh_in!T27/SER_summary!T$27)</f>
        <v>10.348307092347417</v>
      </c>
      <c r="U27" s="145">
        <f>IF(SER_hh_tesh_in!U27=0,0,SER_hh_tesh_in!U27/SER_summary!U$27)</f>
        <v>9.4668248958254537</v>
      </c>
      <c r="V27" s="145">
        <f>IF(SER_hh_tesh_in!V27=0,0,SER_hh_tesh_in!V27/SER_summary!V$27)</f>
        <v>10.171485312058858</v>
      </c>
      <c r="W27" s="145">
        <f>IF(SER_hh_tesh_in!W27=0,0,SER_hh_tesh_in!W27/SER_summary!W$27)</f>
        <v>7.6012789386180817</v>
      </c>
      <c r="X27" s="145">
        <f>IF(SER_hh_tesh_in!X27=0,0,SER_hh_tesh_in!X27/SER_summary!X$27)</f>
        <v>0</v>
      </c>
      <c r="Y27" s="145">
        <f>IF(SER_hh_tesh_in!Y27=0,0,SER_hh_tesh_in!Y27/SER_summary!Y$27)</f>
        <v>1.2234952218475484E-13</v>
      </c>
      <c r="DA27" s="158" t="s">
        <v>872</v>
      </c>
    </row>
    <row r="28" spans="1:105" ht="12" customHeight="1" x14ac:dyDescent="0.25">
      <c r="A28" s="78" t="s">
        <v>85</v>
      </c>
      <c r="B28" s="68"/>
      <c r="C28" s="146">
        <f>IF(SER_hh_tesh_in!C28=0,0,SER_hh_tesh_in!C28/SER_summary!C$27)</f>
        <v>11.187816881091857</v>
      </c>
      <c r="D28" s="146">
        <f>IF(SER_hh_tesh_in!D28=0,0,SER_hh_tesh_in!D28/SER_summary!D$27)</f>
        <v>10.305715385945817</v>
      </c>
      <c r="E28" s="146">
        <f>IF(SER_hh_tesh_in!E28=0,0,SER_hh_tesh_in!E28/SER_summary!E$27)</f>
        <v>9.6252155597557429</v>
      </c>
      <c r="F28" s="146">
        <f>IF(SER_hh_tesh_in!F28=0,0,SER_hh_tesh_in!F28/SER_summary!F$27)</f>
        <v>9.7321139103219334</v>
      </c>
      <c r="G28" s="146">
        <f>IF(SER_hh_tesh_in!G28=0,0,SER_hh_tesh_in!G28/SER_summary!G$27)</f>
        <v>9.1138608510898074</v>
      </c>
      <c r="H28" s="146">
        <f>IF(SER_hh_tesh_in!H28=0,0,SER_hh_tesh_in!H28/SER_summary!H$27)</f>
        <v>10.326656146880973</v>
      </c>
      <c r="I28" s="146">
        <f>IF(SER_hh_tesh_in!I28=0,0,SER_hh_tesh_in!I28/SER_summary!I$27)</f>
        <v>7.684078932316794</v>
      </c>
      <c r="J28" s="146">
        <f>IF(SER_hh_tesh_in!J28=0,0,SER_hh_tesh_in!J28/SER_summary!J$27)</f>
        <v>6.9539774113203228</v>
      </c>
      <c r="K28" s="146">
        <f>IF(SER_hh_tesh_in!K28=0,0,SER_hh_tesh_in!K28/SER_summary!K$27)</f>
        <v>11.664525198277881</v>
      </c>
      <c r="L28" s="146">
        <f>IF(SER_hh_tesh_in!L28=0,0,SER_hh_tesh_in!L28/SER_summary!L$27)</f>
        <v>11.977290073368117</v>
      </c>
      <c r="M28" s="146">
        <f>IF(SER_hh_tesh_in!M28=0,0,SER_hh_tesh_in!M28/SER_summary!M$27)</f>
        <v>11.863338551469573</v>
      </c>
      <c r="N28" s="146">
        <f>IF(SER_hh_tesh_in!N28=0,0,SER_hh_tesh_in!N28/SER_summary!N$27)</f>
        <v>12.741847210334214</v>
      </c>
      <c r="O28" s="146">
        <f>IF(SER_hh_tesh_in!O28=0,0,SER_hh_tesh_in!O28/SER_summary!O$27)</f>
        <v>14.618765474263013</v>
      </c>
      <c r="P28" s="146">
        <f>IF(SER_hh_tesh_in!P28=0,0,SER_hh_tesh_in!P28/SER_summary!P$27)</f>
        <v>14.684297131120424</v>
      </c>
      <c r="Q28" s="146">
        <f>IF(SER_hh_tesh_in!Q28=0,0,SER_hh_tesh_in!Q28/SER_summary!Q$27)</f>
        <v>13.935286631066136</v>
      </c>
      <c r="R28" s="146">
        <f>IF(SER_hh_tesh_in!R28=0,0,SER_hh_tesh_in!R28/SER_summary!R$27)</f>
        <v>13.19249407757674</v>
      </c>
      <c r="S28" s="146">
        <f>IF(SER_hh_tesh_in!S28=0,0,SER_hh_tesh_in!S28/SER_summary!S$27)</f>
        <v>11.297779118978518</v>
      </c>
      <c r="T28" s="146">
        <f>IF(SER_hh_tesh_in!T28=0,0,SER_hh_tesh_in!T28/SER_summary!T$27)</f>
        <v>11.876290669629375</v>
      </c>
      <c r="U28" s="146">
        <f>IF(SER_hh_tesh_in!U28=0,0,SER_hh_tesh_in!U28/SER_summary!U$27)</f>
        <v>11.417679887891051</v>
      </c>
      <c r="V28" s="146">
        <f>IF(SER_hh_tesh_in!V28=0,0,SER_hh_tesh_in!V28/SER_summary!V$27)</f>
        <v>10.171485312058859</v>
      </c>
      <c r="W28" s="146">
        <f>IF(SER_hh_tesh_in!W28=0,0,SER_hh_tesh_in!W28/SER_summary!W$27)</f>
        <v>10.422279595835443</v>
      </c>
      <c r="X28" s="146">
        <f>IF(SER_hh_tesh_in!X28=0,0,SER_hh_tesh_in!X28/SER_summary!X$27)</f>
        <v>0</v>
      </c>
      <c r="Y28" s="146">
        <f>IF(SER_hh_tesh_in!Y28=0,0,SER_hh_tesh_in!Y28/SER_summary!Y$27)</f>
        <v>12.655496372438572</v>
      </c>
      <c r="DA28" s="159"/>
    </row>
    <row r="29" spans="1:105" ht="12.95" customHeight="1" x14ac:dyDescent="0.25">
      <c r="A29" s="129" t="s">
        <v>34</v>
      </c>
      <c r="B29" s="130"/>
      <c r="C29" s="130">
        <f>IF(SER_hh_tesh_in!C29=0,0,SER_hh_tesh_in!C29/SER_summary!C$27)</f>
        <v>12.482163216744606</v>
      </c>
      <c r="D29" s="130">
        <f>IF(SER_hh_tesh_in!D29=0,0,SER_hh_tesh_in!D29/SER_summary!D$27)</f>
        <v>12.670796530597016</v>
      </c>
      <c r="E29" s="130">
        <f>IF(SER_hh_tesh_in!E29=0,0,SER_hh_tesh_in!E29/SER_summary!E$27)</f>
        <v>12.638737526562791</v>
      </c>
      <c r="F29" s="130">
        <f>IF(SER_hh_tesh_in!F29=0,0,SER_hh_tesh_in!F29/SER_summary!F$27)</f>
        <v>12.890069294498938</v>
      </c>
      <c r="G29" s="130">
        <f>IF(SER_hh_tesh_in!G29=0,0,SER_hh_tesh_in!G29/SER_summary!G$27)</f>
        <v>13.113178879612438</v>
      </c>
      <c r="H29" s="130">
        <f>IF(SER_hh_tesh_in!H29=0,0,SER_hh_tesh_in!H29/SER_summary!H$27)</f>
        <v>17.709378398100142</v>
      </c>
      <c r="I29" s="130">
        <f>IF(SER_hh_tesh_in!I29=0,0,SER_hh_tesh_in!I29/SER_summary!I$27)</f>
        <v>13.738939223168211</v>
      </c>
      <c r="J29" s="130">
        <f>IF(SER_hh_tesh_in!J29=0,0,SER_hh_tesh_in!J29/SER_summary!J$27)</f>
        <v>13.373317331772027</v>
      </c>
      <c r="K29" s="130">
        <f>IF(SER_hh_tesh_in!K29=0,0,SER_hh_tesh_in!K29/SER_summary!K$27)</f>
        <v>13.53973444978894</v>
      </c>
      <c r="L29" s="130">
        <f>IF(SER_hh_tesh_in!L29=0,0,SER_hh_tesh_in!L29/SER_summary!L$27)</f>
        <v>13.432504001877479</v>
      </c>
      <c r="M29" s="130">
        <f>IF(SER_hh_tesh_in!M29=0,0,SER_hh_tesh_in!M29/SER_summary!M$27)</f>
        <v>13.172169099988983</v>
      </c>
      <c r="N29" s="130">
        <f>IF(SER_hh_tesh_in!N29=0,0,SER_hh_tesh_in!N29/SER_summary!N$27)</f>
        <v>13.041522966436595</v>
      </c>
      <c r="O29" s="130">
        <f>IF(SER_hh_tesh_in!O29=0,0,SER_hh_tesh_in!O29/SER_summary!O$27)</f>
        <v>12.842258954202157</v>
      </c>
      <c r="P29" s="130">
        <f>IF(SER_hh_tesh_in!P29=0,0,SER_hh_tesh_in!P29/SER_summary!P$27)</f>
        <v>13.22677002403417</v>
      </c>
      <c r="Q29" s="130">
        <f>IF(SER_hh_tesh_in!Q29=0,0,SER_hh_tesh_in!Q29/SER_summary!Q$27)</f>
        <v>13.043211367880017</v>
      </c>
      <c r="R29" s="130">
        <f>IF(SER_hh_tesh_in!R29=0,0,SER_hh_tesh_in!R29/SER_summary!R$27)</f>
        <v>12.739039864486994</v>
      </c>
      <c r="S29" s="130">
        <f>IF(SER_hh_tesh_in!S29=0,0,SER_hh_tesh_in!S29/SER_summary!S$27)</f>
        <v>13.296132842405132</v>
      </c>
      <c r="T29" s="130">
        <f>IF(SER_hh_tesh_in!T29=0,0,SER_hh_tesh_in!T29/SER_summary!T$27)</f>
        <v>13.216238033388024</v>
      </c>
      <c r="U29" s="130">
        <f>IF(SER_hh_tesh_in!U29=0,0,SER_hh_tesh_in!U29/SER_summary!U$27)</f>
        <v>12.143870293528323</v>
      </c>
      <c r="V29" s="130">
        <f>IF(SER_hh_tesh_in!V29=0,0,SER_hh_tesh_in!V29/SER_summary!V$27)</f>
        <v>11.356980928139896</v>
      </c>
      <c r="W29" s="130">
        <f>IF(SER_hh_tesh_in!W29=0,0,SER_hh_tesh_in!W29/SER_summary!W$27)</f>
        <v>12.770966127810409</v>
      </c>
      <c r="X29" s="130">
        <f>IF(SER_hh_tesh_in!X29=0,0,SER_hh_tesh_in!X29/SER_summary!X$27)</f>
        <v>12.52348864378868</v>
      </c>
      <c r="Y29" s="130">
        <f>IF(SER_hh_tesh_in!Y29=0,0,SER_hh_tesh_in!Y29/SER_summary!Y$27)</f>
        <v>14.004837013899154</v>
      </c>
      <c r="DA29" s="155" t="s">
        <v>873</v>
      </c>
    </row>
    <row r="30" spans="1:105" s="2" customFormat="1" ht="12" customHeight="1" x14ac:dyDescent="0.25">
      <c r="A30" s="131" t="s">
        <v>52</v>
      </c>
      <c r="B30" s="132"/>
      <c r="C30" s="132">
        <f>IF(SER_hh_tesh_in!C30=0,0,SER_hh_tesh_in!C30/SER_summary!C$27)</f>
        <v>0</v>
      </c>
      <c r="D30" s="132">
        <f>IF(SER_hh_tesh_in!D30=0,0,SER_hh_tesh_in!D30/SER_summary!D$27)</f>
        <v>0</v>
      </c>
      <c r="E30" s="132">
        <f>IF(SER_hh_tesh_in!E30=0,0,SER_hh_tesh_in!E30/SER_summary!E$27)</f>
        <v>0</v>
      </c>
      <c r="F30" s="132">
        <f>IF(SER_hh_tesh_in!F30=0,0,SER_hh_tesh_in!F30/SER_summary!F$27)</f>
        <v>0</v>
      </c>
      <c r="G30" s="132">
        <f>IF(SER_hh_tesh_in!G30=0,0,SER_hh_tesh_in!G30/SER_summary!G$27)</f>
        <v>0</v>
      </c>
      <c r="H30" s="132">
        <f>IF(SER_hh_tesh_in!H30=0,0,SER_hh_tesh_in!H30/SER_summary!H$27)</f>
        <v>18.595443917024326</v>
      </c>
      <c r="I30" s="132">
        <f>IF(SER_hh_tesh_in!I30=0,0,SER_hh_tesh_in!I30/SER_summary!I$27)</f>
        <v>14.217630439218905</v>
      </c>
      <c r="J30" s="132">
        <f>IF(SER_hh_tesh_in!J30=0,0,SER_hh_tesh_in!J30/SER_summary!J$27)</f>
        <v>14.836144076797938</v>
      </c>
      <c r="K30" s="132">
        <f>IF(SER_hh_tesh_in!K30=0,0,SER_hh_tesh_in!K30/SER_summary!K$27)</f>
        <v>0</v>
      </c>
      <c r="L30" s="132">
        <f>IF(SER_hh_tesh_in!L30=0,0,SER_hh_tesh_in!L30/SER_summary!L$27)</f>
        <v>11.569516340863435</v>
      </c>
      <c r="M30" s="132">
        <f>IF(SER_hh_tesh_in!M30=0,0,SER_hh_tesh_in!M30/SER_summary!M$27)</f>
        <v>13.81836754237391</v>
      </c>
      <c r="N30" s="132">
        <f>IF(SER_hh_tesh_in!N30=0,0,SER_hh_tesh_in!N30/SER_summary!N$27)</f>
        <v>14.188920800435005</v>
      </c>
      <c r="O30" s="132">
        <f>IF(SER_hh_tesh_in!O30=0,0,SER_hh_tesh_in!O30/SER_summary!O$27)</f>
        <v>13.10898143510868</v>
      </c>
      <c r="P30" s="132">
        <f>IF(SER_hh_tesh_in!P30=0,0,SER_hh_tesh_in!P30/SER_summary!P$27)</f>
        <v>11.456609989032643</v>
      </c>
      <c r="Q30" s="132">
        <f>IF(SER_hh_tesh_in!Q30=0,0,SER_hh_tesh_in!Q30/SER_summary!Q$27)</f>
        <v>13.113902712456785</v>
      </c>
      <c r="R30" s="132">
        <f>IF(SER_hh_tesh_in!R30=0,0,SER_hh_tesh_in!R30/SER_summary!R$27)</f>
        <v>11.742554753427832</v>
      </c>
      <c r="S30" s="132">
        <f>IF(SER_hh_tesh_in!S30=0,0,SER_hh_tesh_in!S30/SER_summary!S$27)</f>
        <v>13.611042184756384</v>
      </c>
      <c r="T30" s="132">
        <f>IF(SER_hh_tesh_in!T30=0,0,SER_hh_tesh_in!T30/SER_summary!T$27)</f>
        <v>14.147010510614587</v>
      </c>
      <c r="U30" s="132">
        <f>IF(SER_hh_tesh_in!U30=0,0,SER_hh_tesh_in!U30/SER_summary!U$27)</f>
        <v>17.916478016091826</v>
      </c>
      <c r="V30" s="132">
        <f>IF(SER_hh_tesh_in!V30=0,0,SER_hh_tesh_in!V30/SER_summary!V$27)</f>
        <v>12.668832655936438</v>
      </c>
      <c r="W30" s="132">
        <f>IF(SER_hh_tesh_in!W30=0,0,SER_hh_tesh_in!W30/SER_summary!W$27)</f>
        <v>10.987875992904408</v>
      </c>
      <c r="X30" s="132">
        <f>IF(SER_hh_tesh_in!X30=0,0,SER_hh_tesh_in!X30/SER_summary!X$27)</f>
        <v>13.915208395758246</v>
      </c>
      <c r="Y30" s="132">
        <f>IF(SER_hh_tesh_in!Y30=0,0,SER_hh_tesh_in!Y30/SER_summary!Y$27)</f>
        <v>12.889682807858723</v>
      </c>
      <c r="DA30" s="156" t="s">
        <v>874</v>
      </c>
    </row>
    <row r="31" spans="1:105" ht="12" customHeight="1" x14ac:dyDescent="0.25">
      <c r="A31" s="131" t="s">
        <v>149</v>
      </c>
      <c r="B31" s="132"/>
      <c r="C31" s="132">
        <f>IF(SER_hh_tesh_in!C31=0,0,SER_hh_tesh_in!C31/SER_summary!C$27)</f>
        <v>0</v>
      </c>
      <c r="D31" s="132">
        <f>IF(SER_hh_tesh_in!D31=0,0,SER_hh_tesh_in!D31/SER_summary!D$27)</f>
        <v>0</v>
      </c>
      <c r="E31" s="132">
        <f>IF(SER_hh_tesh_in!E31=0,0,SER_hh_tesh_in!E31/SER_summary!E$27)</f>
        <v>0</v>
      </c>
      <c r="F31" s="132">
        <f>IF(SER_hh_tesh_in!F31=0,0,SER_hh_tesh_in!F31/SER_summary!F$27)</f>
        <v>0</v>
      </c>
      <c r="G31" s="132">
        <f>IF(SER_hh_tesh_in!G31=0,0,SER_hh_tesh_in!G31/SER_summary!G$27)</f>
        <v>0</v>
      </c>
      <c r="H31" s="132">
        <f>IF(SER_hh_tesh_in!H31=0,0,SER_hh_tesh_in!H31/SER_summary!H$27)</f>
        <v>0</v>
      </c>
      <c r="I31" s="132">
        <f>IF(SER_hh_tesh_in!I31=0,0,SER_hh_tesh_in!I31/SER_summary!I$27)</f>
        <v>0</v>
      </c>
      <c r="J31" s="132">
        <f>IF(SER_hh_tesh_in!J31=0,0,SER_hh_tesh_in!J31/SER_summary!J$27)</f>
        <v>0</v>
      </c>
      <c r="K31" s="132">
        <f>IF(SER_hh_tesh_in!K31=0,0,SER_hh_tesh_in!K31/SER_summary!K$27)</f>
        <v>0</v>
      </c>
      <c r="L31" s="132">
        <f>IF(SER_hh_tesh_in!L31=0,0,SER_hh_tesh_in!L31/SER_summary!L$27)</f>
        <v>0</v>
      </c>
      <c r="M31" s="132">
        <f>IF(SER_hh_tesh_in!M31=0,0,SER_hh_tesh_in!M31/SER_summary!M$27)</f>
        <v>0</v>
      </c>
      <c r="N31" s="132">
        <f>IF(SER_hh_tesh_in!N31=0,0,SER_hh_tesh_in!N31/SER_summary!N$27)</f>
        <v>0</v>
      </c>
      <c r="O31" s="132">
        <f>IF(SER_hh_tesh_in!O31=0,0,SER_hh_tesh_in!O31/SER_summary!O$27)</f>
        <v>0</v>
      </c>
      <c r="P31" s="132">
        <f>IF(SER_hh_tesh_in!P31=0,0,SER_hh_tesh_in!P31/SER_summary!P$27)</f>
        <v>0</v>
      </c>
      <c r="Q31" s="132">
        <f>IF(SER_hh_tesh_in!Q31=0,0,SER_hh_tesh_in!Q31/SER_summary!Q$27)</f>
        <v>0</v>
      </c>
      <c r="R31" s="132">
        <f>IF(SER_hh_tesh_in!R31=0,0,SER_hh_tesh_in!R31/SER_summary!R$27)</f>
        <v>0</v>
      </c>
      <c r="S31" s="132">
        <f>IF(SER_hh_tesh_in!S31=0,0,SER_hh_tesh_in!S31/SER_summary!S$27)</f>
        <v>0</v>
      </c>
      <c r="T31" s="132">
        <f>IF(SER_hh_tesh_in!T31=0,0,SER_hh_tesh_in!T31/SER_summary!T$27)</f>
        <v>0</v>
      </c>
      <c r="U31" s="132">
        <f>IF(SER_hh_tesh_in!U31=0,0,SER_hh_tesh_in!U31/SER_summary!U$27)</f>
        <v>0</v>
      </c>
      <c r="V31" s="132">
        <f>IF(SER_hh_tesh_in!V31=0,0,SER_hh_tesh_in!V31/SER_summary!V$27)</f>
        <v>0</v>
      </c>
      <c r="W31" s="132">
        <f>IF(SER_hh_tesh_in!W31=0,0,SER_hh_tesh_in!W31/SER_summary!W$27)</f>
        <v>0</v>
      </c>
      <c r="X31" s="132">
        <f>IF(SER_hh_tesh_in!X31=0,0,SER_hh_tesh_in!X31/SER_summary!X$27)</f>
        <v>0</v>
      </c>
      <c r="Y31" s="132">
        <f>IF(SER_hh_tesh_in!Y31=0,0,SER_hh_tesh_in!Y31/SER_summary!Y$27)</f>
        <v>0</v>
      </c>
      <c r="DA31" s="156" t="s">
        <v>875</v>
      </c>
    </row>
    <row r="32" spans="1:105" ht="12" customHeight="1" x14ac:dyDescent="0.25">
      <c r="A32" s="131" t="s">
        <v>128</v>
      </c>
      <c r="B32" s="132"/>
      <c r="C32" s="132">
        <f>IF(SER_hh_tesh_in!C32=0,0,SER_hh_tesh_in!C32/SER_summary!C$27)</f>
        <v>11.416472780764385</v>
      </c>
      <c r="D32" s="132">
        <f>IF(SER_hh_tesh_in!D32=0,0,SER_hh_tesh_in!D32/SER_summary!D$27)</f>
        <v>13.534586450427616</v>
      </c>
      <c r="E32" s="132">
        <f>IF(SER_hh_tesh_in!E32=0,0,SER_hh_tesh_in!E32/SER_summary!E$27)</f>
        <v>12.039834555907998</v>
      </c>
      <c r="F32" s="132">
        <f>IF(SER_hh_tesh_in!F32=0,0,SER_hh_tesh_in!F32/SER_summary!F$27)</f>
        <v>12.583668725677912</v>
      </c>
      <c r="G32" s="132">
        <f>IF(SER_hh_tesh_in!G32=0,0,SER_hh_tesh_in!G32/SER_summary!G$27)</f>
        <v>13.514065897384278</v>
      </c>
      <c r="H32" s="132">
        <f>IF(SER_hh_tesh_in!H32=0,0,SER_hh_tesh_in!H32/SER_summary!H$27)</f>
        <v>11.994898546317657</v>
      </c>
      <c r="I32" s="132">
        <f>IF(SER_hh_tesh_in!I32=0,0,SER_hh_tesh_in!I32/SER_summary!I$27)</f>
        <v>14.546072325505463</v>
      </c>
      <c r="J32" s="132">
        <f>IF(SER_hh_tesh_in!J32=0,0,SER_hh_tesh_in!J32/SER_summary!J$27)</f>
        <v>13.780496154889878</v>
      </c>
      <c r="K32" s="132">
        <f>IF(SER_hh_tesh_in!K32=0,0,SER_hh_tesh_in!K32/SER_summary!K$27)</f>
        <v>13.227692981717135</v>
      </c>
      <c r="L32" s="132">
        <f>IF(SER_hh_tesh_in!L32=0,0,SER_hh_tesh_in!L32/SER_summary!L$27)</f>
        <v>13.180038516041382</v>
      </c>
      <c r="M32" s="132">
        <f>IF(SER_hh_tesh_in!M32=0,0,SER_hh_tesh_in!M32/SER_summary!M$27)</f>
        <v>13.112037232159462</v>
      </c>
      <c r="N32" s="132">
        <f>IF(SER_hh_tesh_in!N32=0,0,SER_hh_tesh_in!N32/SER_summary!N$27)</f>
        <v>13.048659782498405</v>
      </c>
      <c r="O32" s="132">
        <f>IF(SER_hh_tesh_in!O32=0,0,SER_hh_tesh_in!O32/SER_summary!O$27)</f>
        <v>13.023695335214793</v>
      </c>
      <c r="P32" s="132">
        <f>IF(SER_hh_tesh_in!P32=0,0,SER_hh_tesh_in!P32/SER_summary!P$27)</f>
        <v>13.121014988940081</v>
      </c>
      <c r="Q32" s="132">
        <f>IF(SER_hh_tesh_in!Q32=0,0,SER_hh_tesh_in!Q32/SER_summary!Q$27)</f>
        <v>12.894019508499383</v>
      </c>
      <c r="R32" s="132">
        <f>IF(SER_hh_tesh_in!R32=0,0,SER_hh_tesh_in!R32/SER_summary!R$27)</f>
        <v>12.947826462937179</v>
      </c>
      <c r="S32" s="132">
        <f>IF(SER_hh_tesh_in!S32=0,0,SER_hh_tesh_in!S32/SER_summary!S$27)</f>
        <v>12.760627264347617</v>
      </c>
      <c r="T32" s="132">
        <f>IF(SER_hh_tesh_in!T32=0,0,SER_hh_tesh_in!T32/SER_summary!T$27)</f>
        <v>12.214000053324297</v>
      </c>
      <c r="U32" s="132">
        <f>IF(SER_hh_tesh_in!U32=0,0,SER_hh_tesh_in!U32/SER_summary!U$27)</f>
        <v>14.910658304562366</v>
      </c>
      <c r="V32" s="132">
        <f>IF(SER_hh_tesh_in!V32=0,0,SER_hh_tesh_in!V32/SER_summary!V$27)</f>
        <v>14.613396556604902</v>
      </c>
      <c r="W32" s="132">
        <f>IF(SER_hh_tesh_in!W32=0,0,SER_hh_tesh_in!W32/SER_summary!W$27)</f>
        <v>10.622218387869076</v>
      </c>
      <c r="X32" s="132">
        <f>IF(SER_hh_tesh_in!X32=0,0,SER_hh_tesh_in!X32/SER_summary!X$27)</f>
        <v>0</v>
      </c>
      <c r="Y32" s="132">
        <f>IF(SER_hh_tesh_in!Y32=0,0,SER_hh_tesh_in!Y32/SER_summary!Y$27)</f>
        <v>13.050784415995249</v>
      </c>
      <c r="DA32" s="156" t="s">
        <v>876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12.607663209466617</v>
      </c>
      <c r="D33" s="68">
        <f>IF(SER_hh_tesh_in!D33=0,0,SER_hh_tesh_in!D33/SER_summary!D$27)</f>
        <v>12.502339291195952</v>
      </c>
      <c r="E33" s="68">
        <f>IF(SER_hh_tesh_in!E33=0,0,SER_hh_tesh_in!E33/SER_summary!E$27)</f>
        <v>12.735870118329657</v>
      </c>
      <c r="F33" s="68">
        <f>IF(SER_hh_tesh_in!F33=0,0,SER_hh_tesh_in!F33/SER_summary!F$27)</f>
        <v>12.946514848082122</v>
      </c>
      <c r="G33" s="68">
        <f>IF(SER_hh_tesh_in!G33=0,0,SER_hh_tesh_in!G33/SER_summary!G$27)</f>
        <v>13.021534601767744</v>
      </c>
      <c r="H33" s="68">
        <f>IF(SER_hh_tesh_in!H33=0,0,SER_hh_tesh_in!H33/SER_summary!H$27)</f>
        <v>0</v>
      </c>
      <c r="I33" s="68">
        <f>IF(SER_hh_tesh_in!I33=0,0,SER_hh_tesh_in!I33/SER_summary!I$27)</f>
        <v>12.758724897473245</v>
      </c>
      <c r="J33" s="68">
        <f>IF(SER_hh_tesh_in!J33=0,0,SER_hh_tesh_in!J33/SER_summary!J$27)</f>
        <v>12.949544458089223</v>
      </c>
      <c r="K33" s="68">
        <f>IF(SER_hh_tesh_in!K33=0,0,SER_hh_tesh_in!K33/SER_summary!K$27)</f>
        <v>13.570978459034672</v>
      </c>
      <c r="L33" s="68">
        <f>IF(SER_hh_tesh_in!L33=0,0,SER_hh_tesh_in!L33/SER_summary!L$27)</f>
        <v>13.532767152185466</v>
      </c>
      <c r="M33" s="68">
        <f>IF(SER_hh_tesh_in!M33=0,0,SER_hh_tesh_in!M33/SER_summary!M$27)</f>
        <v>12.926817318214756</v>
      </c>
      <c r="N33" s="68">
        <f>IF(SER_hh_tesh_in!N33=0,0,SER_hh_tesh_in!N33/SER_summary!N$27)</f>
        <v>12.781753599823602</v>
      </c>
      <c r="O33" s="68">
        <f>IF(SER_hh_tesh_in!O33=0,0,SER_hh_tesh_in!O33/SER_summary!O$27)</f>
        <v>12.768365449496647</v>
      </c>
      <c r="P33" s="68">
        <f>IF(SER_hh_tesh_in!P33=0,0,SER_hh_tesh_in!P33/SER_summary!P$27)</f>
        <v>13.46596265410799</v>
      </c>
      <c r="Q33" s="68">
        <f>IF(SER_hh_tesh_in!Q33=0,0,SER_hh_tesh_in!Q33/SER_summary!Q$27)</f>
        <v>13.037073163978745</v>
      </c>
      <c r="R33" s="68">
        <f>IF(SER_hh_tesh_in!R33=0,0,SER_hh_tesh_in!R33/SER_summary!R$27)</f>
        <v>13.516926774618646</v>
      </c>
      <c r="S33" s="68">
        <f>IF(SER_hh_tesh_in!S33=0,0,SER_hh_tesh_in!S33/SER_summary!S$27)</f>
        <v>12.815185540412676</v>
      </c>
      <c r="T33" s="68">
        <f>IF(SER_hh_tesh_in!T33=0,0,SER_hh_tesh_in!T33/SER_summary!T$27)</f>
        <v>12.914676982666178</v>
      </c>
      <c r="U33" s="68">
        <f>IF(SER_hh_tesh_in!U33=0,0,SER_hh_tesh_in!U33/SER_summary!U$27)</f>
        <v>10.765309544482593</v>
      </c>
      <c r="V33" s="68">
        <f>IF(SER_hh_tesh_in!V33=0,0,SER_hh_tesh_in!V33/SER_summary!V$27)</f>
        <v>10.608671526805216</v>
      </c>
      <c r="W33" s="68">
        <f>IF(SER_hh_tesh_in!W33=0,0,SER_hh_tesh_in!W33/SER_summary!W$27)</f>
        <v>12.985798497193077</v>
      </c>
      <c r="X33" s="68">
        <f>IF(SER_hh_tesh_in!X33=0,0,SER_hh_tesh_in!X33/SER_summary!X$27)</f>
        <v>12.500216650446321</v>
      </c>
      <c r="Y33" s="68">
        <f>IF(SER_hh_tesh_in!Y33=0,0,SER_hh_tesh_in!Y33/SER_summary!Y$27)</f>
        <v>14.178854399257302</v>
      </c>
      <c r="DA33" s="111" t="s">
        <v>877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/>
      <c r="C3" s="125">
        <f>IF(SER_hh_emih_in!C3=0,0,SER_hh_emih_in!C3/SER_summary!C$27)</f>
        <v>0.21426483322282863</v>
      </c>
      <c r="D3" s="125">
        <f>IF(SER_hh_emih_in!D3=0,0,SER_hh_emih_in!D3/SER_summary!D$27)</f>
        <v>7.3388721421600855E-2</v>
      </c>
      <c r="E3" s="125">
        <f>IF(SER_hh_emih_in!E3=0,0,SER_hh_emih_in!E3/SER_summary!E$27)</f>
        <v>0.15120588768080112</v>
      </c>
      <c r="F3" s="125">
        <f>IF(SER_hh_emih_in!F3=0,0,SER_hh_emih_in!F3/SER_summary!F$27)</f>
        <v>0.16855368513228786</v>
      </c>
      <c r="G3" s="125">
        <f>IF(SER_hh_emih_in!G3=0,0,SER_hh_emih_in!G3/SER_summary!G$27)</f>
        <v>0.1600358983307329</v>
      </c>
      <c r="H3" s="125">
        <f>IF(SER_hh_emih_in!H3=0,0,SER_hh_emih_in!H3/SER_summary!H$27)</f>
        <v>9.0120992049390818</v>
      </c>
      <c r="I3" s="125">
        <f>IF(SER_hh_emih_in!I3=0,0,SER_hh_emih_in!I3/SER_summary!I$27)</f>
        <v>4.7598671225251099</v>
      </c>
      <c r="J3" s="125">
        <f>IF(SER_hh_emih_in!J3=0,0,SER_hh_emih_in!J3/SER_summary!J$27)</f>
        <v>9.1209373221700627</v>
      </c>
      <c r="K3" s="125">
        <f>IF(SER_hh_emih_in!K3=0,0,SER_hh_emih_in!K3/SER_summary!K$27)</f>
        <v>5.3903121773838389</v>
      </c>
      <c r="L3" s="125">
        <f>IF(SER_hh_emih_in!L3=0,0,SER_hh_emih_in!L3/SER_summary!L$27)</f>
        <v>8.4153151444837135</v>
      </c>
      <c r="M3" s="125">
        <f>IF(SER_hh_emih_in!M3=0,0,SER_hh_emih_in!M3/SER_summary!M$27)</f>
        <v>6.7950018453930232</v>
      </c>
      <c r="N3" s="125">
        <f>IF(SER_hh_emih_in!N3=0,0,SER_hh_emih_in!N3/SER_summary!N$27)</f>
        <v>4.2894854254045267</v>
      </c>
      <c r="O3" s="125">
        <f>IF(SER_hh_emih_in!O3=0,0,SER_hh_emih_in!O3/SER_summary!O$27)</f>
        <v>2.8487222543102972</v>
      </c>
      <c r="P3" s="125">
        <f>IF(SER_hh_emih_in!P3=0,0,SER_hh_emih_in!P3/SER_summary!P$27)</f>
        <v>0.5388698880700612</v>
      </c>
      <c r="Q3" s="125">
        <f>IF(SER_hh_emih_in!Q3=0,0,SER_hh_emih_in!Q3/SER_summary!Q$27)</f>
        <v>1.8510484061631496</v>
      </c>
      <c r="R3" s="125">
        <f>IF(SER_hh_emih_in!R3=0,0,SER_hh_emih_in!R3/SER_summary!R$27)</f>
        <v>1.9353337398425241</v>
      </c>
      <c r="S3" s="125">
        <f>IF(SER_hh_emih_in!S3=0,0,SER_hh_emih_in!S3/SER_summary!S$27)</f>
        <v>3.5118949826126706</v>
      </c>
      <c r="T3" s="125">
        <f>IF(SER_hh_emih_in!T3=0,0,SER_hh_emih_in!T3/SER_summary!T$27)</f>
        <v>2.9107068780712995</v>
      </c>
      <c r="U3" s="125">
        <f>IF(SER_hh_emih_in!U3=0,0,SER_hh_emih_in!U3/SER_summary!U$27)</f>
        <v>3.9586065441625053</v>
      </c>
      <c r="V3" s="125">
        <f>IF(SER_hh_emih_in!V3=0,0,SER_hh_emih_in!V3/SER_summary!V$27)</f>
        <v>2.3157576389420984</v>
      </c>
      <c r="W3" s="125">
        <f>IF(SER_hh_emih_in!W3=0,0,SER_hh_emih_in!W3/SER_summary!W$27)</f>
        <v>2.4293467947203258</v>
      </c>
      <c r="X3" s="125">
        <f>IF(SER_hh_emih_in!X3=0,0,SER_hh_emih_in!X3/SER_summary!X$27)</f>
        <v>2.4099092179723693</v>
      </c>
      <c r="Y3" s="125">
        <f>IF(SER_hh_emih_in!Y3=0,0,SER_hh_emih_in!Y3/SER_summary!Y$27)</f>
        <v>3.6038732115813072</v>
      </c>
      <c r="DA3" s="154" t="s">
        <v>879</v>
      </c>
    </row>
    <row r="4" spans="1:105" ht="12.95" customHeight="1" x14ac:dyDescent="0.25">
      <c r="A4" s="129" t="s">
        <v>32</v>
      </c>
      <c r="B4" s="130"/>
      <c r="C4" s="130">
        <f>IF(SER_hh_emih_in!C4=0,0,SER_hh_emih_in!C4/SER_summary!C$27)</f>
        <v>0</v>
      </c>
      <c r="D4" s="130">
        <f>IF(SER_hh_emih_in!D4=0,0,SER_hh_emih_in!D4/SER_summary!D$27)</f>
        <v>0</v>
      </c>
      <c r="E4" s="130">
        <f>IF(SER_hh_emih_in!E4=0,0,SER_hh_emih_in!E4/SER_summary!E$27)</f>
        <v>0</v>
      </c>
      <c r="F4" s="130">
        <f>IF(SER_hh_emih_in!F4=0,0,SER_hh_emih_in!F4/SER_summary!F$27)</f>
        <v>0</v>
      </c>
      <c r="G4" s="130">
        <f>IF(SER_hh_emih_in!G4=0,0,SER_hh_emih_in!G4/SER_summary!G$27)</f>
        <v>0</v>
      </c>
      <c r="H4" s="130">
        <f>IF(SER_hh_emih_in!H4=0,0,SER_hh_emih_in!H4/SER_summary!H$27)</f>
        <v>0</v>
      </c>
      <c r="I4" s="130">
        <f>IF(SER_hh_emih_in!I4=0,0,SER_hh_emih_in!I4/SER_summary!I$27)</f>
        <v>0</v>
      </c>
      <c r="J4" s="130">
        <f>IF(SER_hh_emih_in!J4=0,0,SER_hh_emih_in!J4/SER_summary!J$27)</f>
        <v>5.5443165227435829</v>
      </c>
      <c r="K4" s="130">
        <f>IF(SER_hh_emih_in!K4=0,0,SER_hh_emih_in!K4/SER_summary!K$27)</f>
        <v>4.8830645337434007</v>
      </c>
      <c r="L4" s="130">
        <f>IF(SER_hh_emih_in!L4=0,0,SER_hh_emih_in!L4/SER_summary!L$27)</f>
        <v>7.7887057058554836</v>
      </c>
      <c r="M4" s="130">
        <f>IF(SER_hh_emih_in!M4=0,0,SER_hh_emih_in!M4/SER_summary!M$27)</f>
        <v>5.3111652667262161</v>
      </c>
      <c r="N4" s="130">
        <f>IF(SER_hh_emih_in!N4=0,0,SER_hh_emih_in!N4/SER_summary!N$27)</f>
        <v>3.2300317256619753</v>
      </c>
      <c r="O4" s="130">
        <f>IF(SER_hh_emih_in!O4=0,0,SER_hh_emih_in!O4/SER_summary!O$27)</f>
        <v>2.1218364356565593</v>
      </c>
      <c r="P4" s="130">
        <f>IF(SER_hh_emih_in!P4=0,0,SER_hh_emih_in!P4/SER_summary!P$27)</f>
        <v>0</v>
      </c>
      <c r="Q4" s="130">
        <f>IF(SER_hh_emih_in!Q4=0,0,SER_hh_emih_in!Q4/SER_summary!Q$27)</f>
        <v>0</v>
      </c>
      <c r="R4" s="130">
        <f>IF(SER_hh_emih_in!R4=0,0,SER_hh_emih_in!R4/SER_summary!R$27)</f>
        <v>0</v>
      </c>
      <c r="S4" s="130">
        <f>IF(SER_hh_emih_in!S4=0,0,SER_hh_emih_in!S4/SER_summary!S$27)</f>
        <v>0</v>
      </c>
      <c r="T4" s="130">
        <f>IF(SER_hh_emih_in!T4=0,0,SER_hh_emih_in!T4/SER_summary!T$27)</f>
        <v>0.34285668534903796</v>
      </c>
      <c r="U4" s="130">
        <f>IF(SER_hh_emih_in!U4=0,0,SER_hh_emih_in!U4/SER_summary!U$27)</f>
        <v>2.196455028200706</v>
      </c>
      <c r="V4" s="130">
        <f>IF(SER_hh_emih_in!V4=0,0,SER_hh_emih_in!V4/SER_summary!V$27)</f>
        <v>1.2592666244222295</v>
      </c>
      <c r="W4" s="130">
        <f>IF(SER_hh_emih_in!W4=0,0,SER_hh_emih_in!W4/SER_summary!W$27)</f>
        <v>0.92109822345721737</v>
      </c>
      <c r="X4" s="130">
        <f>IF(SER_hh_emih_in!X4=0,0,SER_hh_emih_in!X4/SER_summary!X$27)</f>
        <v>0.8550117091372601</v>
      </c>
      <c r="Y4" s="130">
        <f>IF(SER_hh_emih_in!Y4=0,0,SER_hh_emih_in!Y4/SER_summary!Y$27)</f>
        <v>2.0269837261952048</v>
      </c>
      <c r="DA4" s="155" t="s">
        <v>880</v>
      </c>
    </row>
    <row r="5" spans="1:105" ht="12" customHeight="1" x14ac:dyDescent="0.25">
      <c r="A5" s="131" t="s">
        <v>29</v>
      </c>
      <c r="B5" s="132"/>
      <c r="C5" s="132">
        <f>IF(SER_hh_emih_in!C5=0,0,SER_hh_emih_in!C5/SER_summary!C$27)</f>
        <v>0</v>
      </c>
      <c r="D5" s="132">
        <f>IF(SER_hh_emih_in!D5=0,0,SER_hh_emih_in!D5/SER_summary!D$27)</f>
        <v>0</v>
      </c>
      <c r="E5" s="132">
        <f>IF(SER_hh_emih_in!E5=0,0,SER_hh_emih_in!E5/SER_summary!E$27)</f>
        <v>0</v>
      </c>
      <c r="F5" s="132">
        <f>IF(SER_hh_emih_in!F5=0,0,SER_hh_emih_in!F5/SER_summary!F$27)</f>
        <v>0</v>
      </c>
      <c r="G5" s="132">
        <f>IF(SER_hh_emih_in!G5=0,0,SER_hh_emih_in!G5/SER_summary!G$27)</f>
        <v>0</v>
      </c>
      <c r="H5" s="132">
        <f>IF(SER_hh_emih_in!H5=0,0,SER_hh_emih_in!H5/SER_summary!H$27)</f>
        <v>0</v>
      </c>
      <c r="I5" s="132">
        <f>IF(SER_hh_emih_in!I5=0,0,SER_hh_emih_in!I5/SER_summary!I$27)</f>
        <v>0</v>
      </c>
      <c r="J5" s="132">
        <f>IF(SER_hh_emih_in!J5=0,0,SER_hh_emih_in!J5/SER_summary!J$27)</f>
        <v>0</v>
      </c>
      <c r="K5" s="132">
        <f>IF(SER_hh_emih_in!K5=0,0,SER_hh_emih_in!K5/SER_summary!K$27)</f>
        <v>0</v>
      </c>
      <c r="L5" s="132">
        <f>IF(SER_hh_emih_in!L5=0,0,SER_hh_emih_in!L5/SER_summary!L$27)</f>
        <v>0</v>
      </c>
      <c r="M5" s="132">
        <f>IF(SER_hh_emih_in!M5=0,0,SER_hh_emih_in!M5/SER_summary!M$27)</f>
        <v>0</v>
      </c>
      <c r="N5" s="132">
        <f>IF(SER_hh_emih_in!N5=0,0,SER_hh_emih_in!N5/SER_summary!N$27)</f>
        <v>0</v>
      </c>
      <c r="O5" s="132">
        <f>IF(SER_hh_emih_in!O5=0,0,SER_hh_emih_in!O5/SER_summary!O$27)</f>
        <v>0</v>
      </c>
      <c r="P5" s="132">
        <f>IF(SER_hh_emih_in!P5=0,0,SER_hh_emih_in!P5/SER_summary!P$27)</f>
        <v>0</v>
      </c>
      <c r="Q5" s="132">
        <f>IF(SER_hh_emih_in!Q5=0,0,SER_hh_emih_in!Q5/SER_summary!Q$27)</f>
        <v>0</v>
      </c>
      <c r="R5" s="132">
        <f>IF(SER_hh_emih_in!R5=0,0,SER_hh_emih_in!R5/SER_summary!R$27)</f>
        <v>0</v>
      </c>
      <c r="S5" s="132">
        <f>IF(SER_hh_emih_in!S5=0,0,SER_hh_emih_in!S5/SER_summary!S$27)</f>
        <v>0</v>
      </c>
      <c r="T5" s="132">
        <f>IF(SER_hh_emih_in!T5=0,0,SER_hh_emih_in!T5/SER_summary!T$27)</f>
        <v>0</v>
      </c>
      <c r="U5" s="132">
        <f>IF(SER_hh_emih_in!U5=0,0,SER_hh_emih_in!U5/SER_summary!U$27)</f>
        <v>0</v>
      </c>
      <c r="V5" s="132">
        <f>IF(SER_hh_emih_in!V5=0,0,SER_hh_emih_in!V5/SER_summary!V$27)</f>
        <v>0</v>
      </c>
      <c r="W5" s="132">
        <f>IF(SER_hh_emih_in!W5=0,0,SER_hh_emih_in!W5/SER_summary!W$27)</f>
        <v>0</v>
      </c>
      <c r="X5" s="132">
        <f>IF(SER_hh_emih_in!X5=0,0,SER_hh_emih_in!X5/SER_summary!X$27)</f>
        <v>0</v>
      </c>
      <c r="Y5" s="132">
        <f>IF(SER_hh_emih_in!Y5=0,0,SER_hh_emih_in!Y5/SER_summary!Y$27)</f>
        <v>0</v>
      </c>
      <c r="DA5" s="156" t="s">
        <v>881</v>
      </c>
    </row>
    <row r="6" spans="1:105" ht="12" customHeight="1" x14ac:dyDescent="0.25">
      <c r="A6" s="131" t="s">
        <v>52</v>
      </c>
      <c r="B6" s="132"/>
      <c r="C6" s="132">
        <f>IF(SER_hh_emih_in!C6=0,0,SER_hh_emih_in!C6/SER_summary!C$27)</f>
        <v>0</v>
      </c>
      <c r="D6" s="132">
        <f>IF(SER_hh_emih_in!D6=0,0,SER_hh_emih_in!D6/SER_summary!D$27)</f>
        <v>0</v>
      </c>
      <c r="E6" s="132">
        <f>IF(SER_hh_emih_in!E6=0,0,SER_hh_emih_in!E6/SER_summary!E$27)</f>
        <v>0</v>
      </c>
      <c r="F6" s="132">
        <f>IF(SER_hh_emih_in!F6=0,0,SER_hh_emih_in!F6/SER_summary!F$27)</f>
        <v>0</v>
      </c>
      <c r="G6" s="132">
        <f>IF(SER_hh_emih_in!G6=0,0,SER_hh_emih_in!G6/SER_summary!G$27)</f>
        <v>0</v>
      </c>
      <c r="H6" s="132">
        <f>IF(SER_hh_emih_in!H6=0,0,SER_hh_emih_in!H6/SER_summary!H$27)</f>
        <v>0</v>
      </c>
      <c r="I6" s="132">
        <f>IF(SER_hh_emih_in!I6=0,0,SER_hh_emih_in!I6/SER_summary!I$27)</f>
        <v>0</v>
      </c>
      <c r="J6" s="132">
        <f>IF(SER_hh_emih_in!J6=0,0,SER_hh_emih_in!J6/SER_summary!J$27)</f>
        <v>0</v>
      </c>
      <c r="K6" s="132">
        <f>IF(SER_hh_emih_in!K6=0,0,SER_hh_emih_in!K6/SER_summary!K$27)</f>
        <v>0</v>
      </c>
      <c r="L6" s="132">
        <f>IF(SER_hh_emih_in!L6=0,0,SER_hh_emih_in!L6/SER_summary!L$27)</f>
        <v>0</v>
      </c>
      <c r="M6" s="132">
        <f>IF(SER_hh_emih_in!M6=0,0,SER_hh_emih_in!M6/SER_summary!M$27)</f>
        <v>0</v>
      </c>
      <c r="N6" s="132">
        <f>IF(SER_hh_emih_in!N6=0,0,SER_hh_emih_in!N6/SER_summary!N$27)</f>
        <v>0</v>
      </c>
      <c r="O6" s="132">
        <f>IF(SER_hh_emih_in!O6=0,0,SER_hh_emih_in!O6/SER_summary!O$27)</f>
        <v>0</v>
      </c>
      <c r="P6" s="132">
        <f>IF(SER_hh_emih_in!P6=0,0,SER_hh_emih_in!P6/SER_summary!P$27)</f>
        <v>0</v>
      </c>
      <c r="Q6" s="132">
        <f>IF(SER_hh_emih_in!Q6=0,0,SER_hh_emih_in!Q6/SER_summary!Q$27)</f>
        <v>0</v>
      </c>
      <c r="R6" s="132">
        <f>IF(SER_hh_emih_in!R6=0,0,SER_hh_emih_in!R6/SER_summary!R$27)</f>
        <v>0</v>
      </c>
      <c r="S6" s="132">
        <f>IF(SER_hh_emih_in!S6=0,0,SER_hh_emih_in!S6/SER_summary!S$27)</f>
        <v>0</v>
      </c>
      <c r="T6" s="132">
        <f>IF(SER_hh_emih_in!T6=0,0,SER_hh_emih_in!T6/SER_summary!T$27)</f>
        <v>0</v>
      </c>
      <c r="U6" s="132">
        <f>IF(SER_hh_emih_in!U6=0,0,SER_hh_emih_in!U6/SER_summary!U$27)</f>
        <v>0</v>
      </c>
      <c r="V6" s="132">
        <f>IF(SER_hh_emih_in!V6=0,0,SER_hh_emih_in!V6/SER_summary!V$27)</f>
        <v>0</v>
      </c>
      <c r="W6" s="132">
        <f>IF(SER_hh_emih_in!W6=0,0,SER_hh_emih_in!W6/SER_summary!W$27)</f>
        <v>0</v>
      </c>
      <c r="X6" s="132">
        <f>IF(SER_hh_emih_in!X6=0,0,SER_hh_emih_in!X6/SER_summary!X$27)</f>
        <v>0</v>
      </c>
      <c r="Y6" s="132">
        <f>IF(SER_hh_emih_in!Y6=0,0,SER_hh_emih_in!Y6/SER_summary!Y$27)</f>
        <v>0</v>
      </c>
      <c r="DA6" s="156" t="s">
        <v>882</v>
      </c>
    </row>
    <row r="7" spans="1:105" ht="12" customHeight="1" x14ac:dyDescent="0.25">
      <c r="A7" s="131" t="s">
        <v>161</v>
      </c>
      <c r="B7" s="132"/>
      <c r="C7" s="132">
        <f>IF(SER_hh_emih_in!C7=0,0,SER_hh_emih_in!C7/SER_summary!C$27)</f>
        <v>0</v>
      </c>
      <c r="D7" s="132">
        <f>IF(SER_hh_emih_in!D7=0,0,SER_hh_emih_in!D7/SER_summary!D$27)</f>
        <v>0</v>
      </c>
      <c r="E7" s="132">
        <f>IF(SER_hh_emih_in!E7=0,0,SER_hh_emih_in!E7/SER_summary!E$27)</f>
        <v>0</v>
      </c>
      <c r="F7" s="132">
        <f>IF(SER_hh_emih_in!F7=0,0,SER_hh_emih_in!F7/SER_summary!F$27)</f>
        <v>0</v>
      </c>
      <c r="G7" s="132">
        <f>IF(SER_hh_emih_in!G7=0,0,SER_hh_emih_in!G7/SER_summary!G$27)</f>
        <v>0</v>
      </c>
      <c r="H7" s="132">
        <f>IF(SER_hh_emih_in!H7=0,0,SER_hh_emih_in!H7/SER_summary!H$27)</f>
        <v>0</v>
      </c>
      <c r="I7" s="132">
        <f>IF(SER_hh_emih_in!I7=0,0,SER_hh_emih_in!I7/SER_summary!I$27)</f>
        <v>0</v>
      </c>
      <c r="J7" s="132">
        <f>IF(SER_hh_emih_in!J7=0,0,SER_hh_emih_in!J7/SER_summary!J$27)</f>
        <v>20.848207104674668</v>
      </c>
      <c r="K7" s="132">
        <f>IF(SER_hh_emih_in!K7=0,0,SER_hh_emih_in!K7/SER_summary!K$27)</f>
        <v>16.581473506150758</v>
      </c>
      <c r="L7" s="132">
        <f>IF(SER_hh_emih_in!L7=0,0,SER_hh_emih_in!L7/SER_summary!L$27)</f>
        <v>18.820220795171188</v>
      </c>
      <c r="M7" s="132">
        <f>IF(SER_hh_emih_in!M7=0,0,SER_hh_emih_in!M7/SER_summary!M$27)</f>
        <v>17.597304445403797</v>
      </c>
      <c r="N7" s="132">
        <f>IF(SER_hh_emih_in!N7=0,0,SER_hh_emih_in!N7/SER_summary!N$27)</f>
        <v>14.309076351317367</v>
      </c>
      <c r="O7" s="132">
        <f>IF(SER_hh_emih_in!O7=0,0,SER_hh_emih_in!O7/SER_summary!O$27)</f>
        <v>15.225442599462156</v>
      </c>
      <c r="P7" s="132">
        <f>IF(SER_hh_emih_in!P7=0,0,SER_hh_emih_in!P7/SER_summary!P$27)</f>
        <v>0</v>
      </c>
      <c r="Q7" s="132">
        <f>IF(SER_hh_emih_in!Q7=0,0,SER_hh_emih_in!Q7/SER_summary!Q$27)</f>
        <v>0</v>
      </c>
      <c r="R7" s="132">
        <f>IF(SER_hh_emih_in!R7=0,0,SER_hh_emih_in!R7/SER_summary!R$27)</f>
        <v>0</v>
      </c>
      <c r="S7" s="132">
        <f>IF(SER_hh_emih_in!S7=0,0,SER_hh_emih_in!S7/SER_summary!S$27)</f>
        <v>0</v>
      </c>
      <c r="T7" s="132">
        <f>IF(SER_hh_emih_in!T7=0,0,SER_hh_emih_in!T7/SER_summary!T$27)</f>
        <v>12.633188062756508</v>
      </c>
      <c r="U7" s="132">
        <f>IF(SER_hh_emih_in!U7=0,0,SER_hh_emih_in!U7/SER_summary!U$27)</f>
        <v>14.287789178412387</v>
      </c>
      <c r="V7" s="132">
        <f>IF(SER_hh_emih_in!V7=0,0,SER_hh_emih_in!V7/SER_summary!V$27)</f>
        <v>10.330483730389272</v>
      </c>
      <c r="W7" s="132">
        <f>IF(SER_hh_emih_in!W7=0,0,SER_hh_emih_in!W7/SER_summary!W$27)</f>
        <v>10.188851617814734</v>
      </c>
      <c r="X7" s="132">
        <f>IF(SER_hh_emih_in!X7=0,0,SER_hh_emih_in!X7/SER_summary!X$27)</f>
        <v>9.8443254750365057</v>
      </c>
      <c r="Y7" s="132">
        <f>IF(SER_hh_emih_in!Y7=0,0,SER_hh_emih_in!Y7/SER_summary!Y$27)</f>
        <v>10.364846937849997</v>
      </c>
      <c r="DA7" s="156" t="s">
        <v>883</v>
      </c>
    </row>
    <row r="8" spans="1:105" ht="12" customHeight="1" x14ac:dyDescent="0.25">
      <c r="A8" s="131" t="s">
        <v>73</v>
      </c>
      <c r="B8" s="132"/>
      <c r="C8" s="132">
        <f>IF(SER_hh_emih_in!C8=0,0,SER_hh_emih_in!C8/SER_summary!C$27)</f>
        <v>0</v>
      </c>
      <c r="D8" s="132">
        <f>IF(SER_hh_emih_in!D8=0,0,SER_hh_emih_in!D8/SER_summary!D$27)</f>
        <v>0</v>
      </c>
      <c r="E8" s="132">
        <f>IF(SER_hh_emih_in!E8=0,0,SER_hh_emih_in!E8/SER_summary!E$27)</f>
        <v>0</v>
      </c>
      <c r="F8" s="132">
        <f>IF(SER_hh_emih_in!F8=0,0,SER_hh_emih_in!F8/SER_summary!F$27)</f>
        <v>0</v>
      </c>
      <c r="G8" s="132">
        <f>IF(SER_hh_emih_in!G8=0,0,SER_hh_emih_in!G8/SER_summary!G$27)</f>
        <v>0</v>
      </c>
      <c r="H8" s="132">
        <f>IF(SER_hh_emih_in!H8=0,0,SER_hh_emih_in!H8/SER_summary!H$27)</f>
        <v>0</v>
      </c>
      <c r="I8" s="132">
        <f>IF(SER_hh_emih_in!I8=0,0,SER_hh_emih_in!I8/SER_summary!I$27)</f>
        <v>0</v>
      </c>
      <c r="J8" s="132">
        <f>IF(SER_hh_emih_in!J8=0,0,SER_hh_emih_in!J8/SER_summary!J$27)</f>
        <v>0</v>
      </c>
      <c r="K8" s="132">
        <f>IF(SER_hh_emih_in!K8=0,0,SER_hh_emih_in!K8/SER_summary!K$27)</f>
        <v>0</v>
      </c>
      <c r="L8" s="132">
        <f>IF(SER_hh_emih_in!L8=0,0,SER_hh_emih_in!L8/SER_summary!L$27)</f>
        <v>0</v>
      </c>
      <c r="M8" s="132">
        <f>IF(SER_hh_emih_in!M8=0,0,SER_hh_emih_in!M8/SER_summary!M$27)</f>
        <v>0</v>
      </c>
      <c r="N8" s="132">
        <f>IF(SER_hh_emih_in!N8=0,0,SER_hh_emih_in!N8/SER_summary!N$27)</f>
        <v>0</v>
      </c>
      <c r="O8" s="132">
        <f>IF(SER_hh_emih_in!O8=0,0,SER_hh_emih_in!O8/SER_summary!O$27)</f>
        <v>0</v>
      </c>
      <c r="P8" s="132">
        <f>IF(SER_hh_emih_in!P8=0,0,SER_hh_emih_in!P8/SER_summary!P$27)</f>
        <v>0</v>
      </c>
      <c r="Q8" s="132">
        <f>IF(SER_hh_emih_in!Q8=0,0,SER_hh_emih_in!Q8/SER_summary!Q$27)</f>
        <v>0</v>
      </c>
      <c r="R8" s="132">
        <f>IF(SER_hh_emih_in!R8=0,0,SER_hh_emih_in!R8/SER_summary!R$27)</f>
        <v>0</v>
      </c>
      <c r="S8" s="132">
        <f>IF(SER_hh_emih_in!S8=0,0,SER_hh_emih_in!S8/SER_summary!S$27)</f>
        <v>0</v>
      </c>
      <c r="T8" s="132">
        <f>IF(SER_hh_emih_in!T8=0,0,SER_hh_emih_in!T8/SER_summary!T$27)</f>
        <v>0</v>
      </c>
      <c r="U8" s="132">
        <f>IF(SER_hh_emih_in!U8=0,0,SER_hh_emih_in!U8/SER_summary!U$27)</f>
        <v>0</v>
      </c>
      <c r="V8" s="132">
        <f>IF(SER_hh_emih_in!V8=0,0,SER_hh_emih_in!V8/SER_summary!V$27)</f>
        <v>0</v>
      </c>
      <c r="W8" s="132">
        <f>IF(SER_hh_emih_in!W8=0,0,SER_hh_emih_in!W8/SER_summary!W$27)</f>
        <v>0</v>
      </c>
      <c r="X8" s="132">
        <f>IF(SER_hh_emih_in!X8=0,0,SER_hh_emih_in!X8/SER_summary!X$27)</f>
        <v>0</v>
      </c>
      <c r="Y8" s="132">
        <f>IF(SER_hh_emih_in!Y8=0,0,SER_hh_emih_in!Y8/SER_summary!Y$27)</f>
        <v>0</v>
      </c>
      <c r="DA8" s="156" t="s">
        <v>884</v>
      </c>
    </row>
    <row r="9" spans="1:105" ht="12" customHeight="1" x14ac:dyDescent="0.25">
      <c r="A9" s="131" t="s">
        <v>78</v>
      </c>
      <c r="B9" s="132"/>
      <c r="C9" s="132">
        <f>IF(SER_hh_emih_in!C9=0,0,SER_hh_emih_in!C9/SER_summary!C$27)</f>
        <v>0</v>
      </c>
      <c r="D9" s="132">
        <f>IF(SER_hh_emih_in!D9=0,0,SER_hh_emih_in!D9/SER_summary!D$27)</f>
        <v>0</v>
      </c>
      <c r="E9" s="132">
        <f>IF(SER_hh_emih_in!E9=0,0,SER_hh_emih_in!E9/SER_summary!E$27)</f>
        <v>0</v>
      </c>
      <c r="F9" s="132">
        <f>IF(SER_hh_emih_in!F9=0,0,SER_hh_emih_in!F9/SER_summary!F$27)</f>
        <v>0</v>
      </c>
      <c r="G9" s="132">
        <f>IF(SER_hh_emih_in!G9=0,0,SER_hh_emih_in!G9/SER_summary!G$27)</f>
        <v>0</v>
      </c>
      <c r="H9" s="132">
        <f>IF(SER_hh_emih_in!H9=0,0,SER_hh_emih_in!H9/SER_summary!H$27)</f>
        <v>0</v>
      </c>
      <c r="I9" s="132">
        <f>IF(SER_hh_emih_in!I9=0,0,SER_hh_emih_in!I9/SER_summary!I$27)</f>
        <v>0</v>
      </c>
      <c r="J9" s="132">
        <f>IF(SER_hh_emih_in!J9=0,0,SER_hh_emih_in!J9/SER_summary!J$27)</f>
        <v>0</v>
      </c>
      <c r="K9" s="132">
        <f>IF(SER_hh_emih_in!K9=0,0,SER_hh_emih_in!K9/SER_summary!K$27)</f>
        <v>0</v>
      </c>
      <c r="L9" s="132">
        <f>IF(SER_hh_emih_in!L9=0,0,SER_hh_emih_in!L9/SER_summary!L$27)</f>
        <v>0</v>
      </c>
      <c r="M9" s="132">
        <f>IF(SER_hh_emih_in!M9=0,0,SER_hh_emih_in!M9/SER_summary!M$27)</f>
        <v>0</v>
      </c>
      <c r="N9" s="132">
        <f>IF(SER_hh_emih_in!N9=0,0,SER_hh_emih_in!N9/SER_summary!N$27)</f>
        <v>0</v>
      </c>
      <c r="O9" s="132">
        <f>IF(SER_hh_emih_in!O9=0,0,SER_hh_emih_in!O9/SER_summary!O$27)</f>
        <v>0</v>
      </c>
      <c r="P9" s="132">
        <f>IF(SER_hh_emih_in!P9=0,0,SER_hh_emih_in!P9/SER_summary!P$27)</f>
        <v>0</v>
      </c>
      <c r="Q9" s="132">
        <f>IF(SER_hh_emih_in!Q9=0,0,SER_hh_emih_in!Q9/SER_summary!Q$27)</f>
        <v>0</v>
      </c>
      <c r="R9" s="132">
        <f>IF(SER_hh_emih_in!R9=0,0,SER_hh_emih_in!R9/SER_summary!R$27)</f>
        <v>0</v>
      </c>
      <c r="S9" s="132">
        <f>IF(SER_hh_emih_in!S9=0,0,SER_hh_emih_in!S9/SER_summary!S$27)</f>
        <v>0</v>
      </c>
      <c r="T9" s="132">
        <f>IF(SER_hh_emih_in!T9=0,0,SER_hh_emih_in!T9/SER_summary!T$27)</f>
        <v>0</v>
      </c>
      <c r="U9" s="132">
        <f>IF(SER_hh_emih_in!U9=0,0,SER_hh_emih_in!U9/SER_summary!U$27)</f>
        <v>0</v>
      </c>
      <c r="V9" s="132">
        <f>IF(SER_hh_emih_in!V9=0,0,SER_hh_emih_in!V9/SER_summary!V$27)</f>
        <v>0</v>
      </c>
      <c r="W9" s="132">
        <f>IF(SER_hh_emih_in!W9=0,0,SER_hh_emih_in!W9/SER_summary!W$27)</f>
        <v>0</v>
      </c>
      <c r="X9" s="132">
        <f>IF(SER_hh_emih_in!X9=0,0,SER_hh_emih_in!X9/SER_summary!X$27)</f>
        <v>0</v>
      </c>
      <c r="Y9" s="132">
        <f>IF(SER_hh_emih_in!Y9=0,0,SER_hh_emih_in!Y9/SER_summary!Y$27)</f>
        <v>0</v>
      </c>
      <c r="DA9" s="156" t="s">
        <v>885</v>
      </c>
    </row>
    <row r="10" spans="1:105" ht="12" customHeight="1" x14ac:dyDescent="0.25">
      <c r="A10" s="131" t="s">
        <v>128</v>
      </c>
      <c r="B10" s="132"/>
      <c r="C10" s="132">
        <f>IF(SER_hh_emih_in!C10=0,0,SER_hh_emih_in!C10/SER_summary!C$27)</f>
        <v>0</v>
      </c>
      <c r="D10" s="132">
        <f>IF(SER_hh_emih_in!D10=0,0,SER_hh_emih_in!D10/SER_summary!D$27)</f>
        <v>0</v>
      </c>
      <c r="E10" s="132">
        <f>IF(SER_hh_emih_in!E10=0,0,SER_hh_emih_in!E10/SER_summary!E$27)</f>
        <v>0</v>
      </c>
      <c r="F10" s="132">
        <f>IF(SER_hh_emih_in!F10=0,0,SER_hh_emih_in!F10/SER_summary!F$27)</f>
        <v>0</v>
      </c>
      <c r="G10" s="132">
        <f>IF(SER_hh_emih_in!G10=0,0,SER_hh_emih_in!G10/SER_summary!G$27)</f>
        <v>0</v>
      </c>
      <c r="H10" s="132">
        <f>IF(SER_hh_emih_in!H10=0,0,SER_hh_emih_in!H10/SER_summary!H$27)</f>
        <v>0</v>
      </c>
      <c r="I10" s="132">
        <f>IF(SER_hh_emih_in!I10=0,0,SER_hh_emih_in!I10/SER_summary!I$27)</f>
        <v>0</v>
      </c>
      <c r="J10" s="132">
        <f>IF(SER_hh_emih_in!J10=0,0,SER_hh_emih_in!J10/SER_summary!J$27)</f>
        <v>0</v>
      </c>
      <c r="K10" s="132">
        <f>IF(SER_hh_emih_in!K10=0,0,SER_hh_emih_in!K10/SER_summary!K$27)</f>
        <v>0</v>
      </c>
      <c r="L10" s="132">
        <f>IF(SER_hh_emih_in!L10=0,0,SER_hh_emih_in!L10/SER_summary!L$27)</f>
        <v>0</v>
      </c>
      <c r="M10" s="132">
        <f>IF(SER_hh_emih_in!M10=0,0,SER_hh_emih_in!M10/SER_summary!M$27)</f>
        <v>0</v>
      </c>
      <c r="N10" s="132">
        <f>IF(SER_hh_emih_in!N10=0,0,SER_hh_emih_in!N10/SER_summary!N$27)</f>
        <v>0</v>
      </c>
      <c r="O10" s="132">
        <f>IF(SER_hh_emih_in!O10=0,0,SER_hh_emih_in!O10/SER_summary!O$27)</f>
        <v>0</v>
      </c>
      <c r="P10" s="132">
        <f>IF(SER_hh_emih_in!P10=0,0,SER_hh_emih_in!P10/SER_summary!P$27)</f>
        <v>0</v>
      </c>
      <c r="Q10" s="132">
        <f>IF(SER_hh_emih_in!Q10=0,0,SER_hh_emih_in!Q10/SER_summary!Q$27)</f>
        <v>0</v>
      </c>
      <c r="R10" s="132">
        <f>IF(SER_hh_emih_in!R10=0,0,SER_hh_emih_in!R10/SER_summary!R$27)</f>
        <v>0</v>
      </c>
      <c r="S10" s="132">
        <f>IF(SER_hh_emih_in!S10=0,0,SER_hh_emih_in!S10/SER_summary!S$27)</f>
        <v>0</v>
      </c>
      <c r="T10" s="132">
        <f>IF(SER_hh_emih_in!T10=0,0,SER_hh_emih_in!T10/SER_summary!T$27)</f>
        <v>0</v>
      </c>
      <c r="U10" s="132">
        <f>IF(SER_hh_emih_in!U10=0,0,SER_hh_emih_in!U10/SER_summary!U$27)</f>
        <v>0</v>
      </c>
      <c r="V10" s="132">
        <f>IF(SER_hh_emih_in!V10=0,0,SER_hh_emih_in!V10/SER_summary!V$27)</f>
        <v>0</v>
      </c>
      <c r="W10" s="132">
        <f>IF(SER_hh_emih_in!W10=0,0,SER_hh_emih_in!W10/SER_summary!W$27)</f>
        <v>0</v>
      </c>
      <c r="X10" s="132">
        <f>IF(SER_hh_emih_in!X10=0,0,SER_hh_emih_in!X10/SER_summary!X$27)</f>
        <v>0</v>
      </c>
      <c r="Y10" s="132">
        <f>IF(SER_hh_emih_in!Y10=0,0,SER_hh_emih_in!Y10/SER_summary!Y$27)</f>
        <v>0</v>
      </c>
      <c r="DA10" s="156" t="s">
        <v>886</v>
      </c>
    </row>
    <row r="11" spans="1:105" ht="12" customHeight="1" x14ac:dyDescent="0.25">
      <c r="A11" s="131" t="s">
        <v>25</v>
      </c>
      <c r="B11" s="132"/>
      <c r="C11" s="132">
        <f>IF(SER_hh_emih_in!C11=0,0,SER_hh_emih_in!C11/SER_summary!C$27)</f>
        <v>0</v>
      </c>
      <c r="D11" s="132">
        <f>IF(SER_hh_emih_in!D11=0,0,SER_hh_emih_in!D11/SER_summary!D$27)</f>
        <v>0</v>
      </c>
      <c r="E11" s="132">
        <f>IF(SER_hh_emih_in!E11=0,0,SER_hh_emih_in!E11/SER_summary!E$27)</f>
        <v>0</v>
      </c>
      <c r="F11" s="132">
        <f>IF(SER_hh_emih_in!F11=0,0,SER_hh_emih_in!F11/SER_summary!F$27)</f>
        <v>0</v>
      </c>
      <c r="G11" s="132">
        <f>IF(SER_hh_emih_in!G11=0,0,SER_hh_emih_in!G11/SER_summary!G$27)</f>
        <v>0</v>
      </c>
      <c r="H11" s="132">
        <f>IF(SER_hh_emih_in!H11=0,0,SER_hh_emih_in!H11/SER_summary!H$27)</f>
        <v>0</v>
      </c>
      <c r="I11" s="132">
        <f>IF(SER_hh_emih_in!I11=0,0,SER_hh_emih_in!I11/SER_summary!I$27)</f>
        <v>0</v>
      </c>
      <c r="J11" s="132">
        <f>IF(SER_hh_emih_in!J11=0,0,SER_hh_emih_in!J11/SER_summary!J$27)</f>
        <v>0</v>
      </c>
      <c r="K11" s="132">
        <f>IF(SER_hh_emih_in!K11=0,0,SER_hh_emih_in!K11/SER_summary!K$27)</f>
        <v>0</v>
      </c>
      <c r="L11" s="132">
        <f>IF(SER_hh_emih_in!L11=0,0,SER_hh_emih_in!L11/SER_summary!L$27)</f>
        <v>0</v>
      </c>
      <c r="M11" s="132">
        <f>IF(SER_hh_emih_in!M11=0,0,SER_hh_emih_in!M11/SER_summary!M$27)</f>
        <v>0</v>
      </c>
      <c r="N11" s="132">
        <f>IF(SER_hh_emih_in!N11=0,0,SER_hh_emih_in!N11/SER_summary!N$27)</f>
        <v>0</v>
      </c>
      <c r="O11" s="132">
        <f>IF(SER_hh_emih_in!O11=0,0,SER_hh_emih_in!O11/SER_summary!O$27)</f>
        <v>0</v>
      </c>
      <c r="P11" s="132">
        <f>IF(SER_hh_emih_in!P11=0,0,SER_hh_emih_in!P11/SER_summary!P$27)</f>
        <v>0</v>
      </c>
      <c r="Q11" s="132">
        <f>IF(SER_hh_emih_in!Q11=0,0,SER_hh_emih_in!Q11/SER_summary!Q$27)</f>
        <v>0</v>
      </c>
      <c r="R11" s="132">
        <f>IF(SER_hh_emih_in!R11=0,0,SER_hh_emih_in!R11/SER_summary!R$27)</f>
        <v>0</v>
      </c>
      <c r="S11" s="132">
        <f>IF(SER_hh_emih_in!S11=0,0,SER_hh_emih_in!S11/SER_summary!S$27)</f>
        <v>0</v>
      </c>
      <c r="T11" s="132">
        <f>IF(SER_hh_emih_in!T11=0,0,SER_hh_emih_in!T11/SER_summary!T$27)</f>
        <v>0</v>
      </c>
      <c r="U11" s="132">
        <f>IF(SER_hh_emih_in!U11=0,0,SER_hh_emih_in!U11/SER_summary!U$27)</f>
        <v>0</v>
      </c>
      <c r="V11" s="132">
        <f>IF(SER_hh_emih_in!V11=0,0,SER_hh_emih_in!V11/SER_summary!V$27)</f>
        <v>0</v>
      </c>
      <c r="W11" s="132">
        <f>IF(SER_hh_emih_in!W11=0,0,SER_hh_emih_in!W11/SER_summary!W$27)</f>
        <v>0</v>
      </c>
      <c r="X11" s="132">
        <f>IF(SER_hh_emih_in!X11=0,0,SER_hh_emih_in!X11/SER_summary!X$27)</f>
        <v>0</v>
      </c>
      <c r="Y11" s="132">
        <f>IF(SER_hh_emih_in!Y11=0,0,SER_hh_emih_in!Y11/SER_summary!Y$27)</f>
        <v>0</v>
      </c>
      <c r="DA11" s="156" t="s">
        <v>887</v>
      </c>
    </row>
    <row r="12" spans="1:105" ht="12" customHeight="1" x14ac:dyDescent="0.25">
      <c r="A12" s="131" t="s">
        <v>162</v>
      </c>
      <c r="B12" s="132"/>
      <c r="C12" s="132">
        <f>IF(SER_hh_emih_in!C12=0,0,SER_hh_emih_in!C12/SER_summary!C$27)</f>
        <v>0</v>
      </c>
      <c r="D12" s="132">
        <f>IF(SER_hh_emih_in!D12=0,0,SER_hh_emih_in!D12/SER_summary!D$27)</f>
        <v>0</v>
      </c>
      <c r="E12" s="132">
        <f>IF(SER_hh_emih_in!E12=0,0,SER_hh_emih_in!E12/SER_summary!E$27)</f>
        <v>0</v>
      </c>
      <c r="F12" s="132">
        <f>IF(SER_hh_emih_in!F12=0,0,SER_hh_emih_in!F12/SER_summary!F$27)</f>
        <v>0</v>
      </c>
      <c r="G12" s="132">
        <f>IF(SER_hh_emih_in!G12=0,0,SER_hh_emih_in!G12/SER_summary!G$27)</f>
        <v>0</v>
      </c>
      <c r="H12" s="132">
        <f>IF(SER_hh_emih_in!H12=0,0,SER_hh_emih_in!H12/SER_summary!H$27)</f>
        <v>0</v>
      </c>
      <c r="I12" s="132">
        <f>IF(SER_hh_emih_in!I12=0,0,SER_hh_emih_in!I12/SER_summary!I$27)</f>
        <v>0</v>
      </c>
      <c r="J12" s="132">
        <f>IF(SER_hh_emih_in!J12=0,0,SER_hh_emih_in!J12/SER_summary!J$27)</f>
        <v>0</v>
      </c>
      <c r="K12" s="132">
        <f>IF(SER_hh_emih_in!K12=0,0,SER_hh_emih_in!K12/SER_summary!K$27)</f>
        <v>0</v>
      </c>
      <c r="L12" s="132">
        <f>IF(SER_hh_emih_in!L12=0,0,SER_hh_emih_in!L12/SER_summary!L$27)</f>
        <v>0</v>
      </c>
      <c r="M12" s="132">
        <f>IF(SER_hh_emih_in!M12=0,0,SER_hh_emih_in!M12/SER_summary!M$27)</f>
        <v>0</v>
      </c>
      <c r="N12" s="132">
        <f>IF(SER_hh_emih_in!N12=0,0,SER_hh_emih_in!N12/SER_summary!N$27)</f>
        <v>0</v>
      </c>
      <c r="O12" s="132">
        <f>IF(SER_hh_emih_in!O12=0,0,SER_hh_emih_in!O12/SER_summary!O$27)</f>
        <v>0</v>
      </c>
      <c r="P12" s="132">
        <f>IF(SER_hh_emih_in!P12=0,0,SER_hh_emih_in!P12/SER_summary!P$27)</f>
        <v>0</v>
      </c>
      <c r="Q12" s="132">
        <f>IF(SER_hh_emih_in!Q12=0,0,SER_hh_emih_in!Q12/SER_summary!Q$27)</f>
        <v>0</v>
      </c>
      <c r="R12" s="132">
        <f>IF(SER_hh_emih_in!R12=0,0,SER_hh_emih_in!R12/SER_summary!R$27)</f>
        <v>0</v>
      </c>
      <c r="S12" s="132">
        <f>IF(SER_hh_emih_in!S12=0,0,SER_hh_emih_in!S12/SER_summary!S$27)</f>
        <v>0</v>
      </c>
      <c r="T12" s="132">
        <f>IF(SER_hh_emih_in!T12=0,0,SER_hh_emih_in!T12/SER_summary!T$27)</f>
        <v>0</v>
      </c>
      <c r="U12" s="132">
        <f>IF(SER_hh_emih_in!U12=0,0,SER_hh_emih_in!U12/SER_summary!U$27)</f>
        <v>0</v>
      </c>
      <c r="V12" s="132">
        <f>IF(SER_hh_emih_in!V12=0,0,SER_hh_emih_in!V12/SER_summary!V$27)</f>
        <v>0</v>
      </c>
      <c r="W12" s="132">
        <f>IF(SER_hh_emih_in!W12=0,0,SER_hh_emih_in!W12/SER_summary!W$27)</f>
        <v>0</v>
      </c>
      <c r="X12" s="132">
        <f>IF(SER_hh_emih_in!X12=0,0,SER_hh_emih_in!X12/SER_summary!X$27)</f>
        <v>0</v>
      </c>
      <c r="Y12" s="132">
        <f>IF(SER_hh_emih_in!Y12=0,0,SER_hh_emih_in!Y12/SER_summary!Y$27)</f>
        <v>0</v>
      </c>
      <c r="DA12" s="156" t="s">
        <v>888</v>
      </c>
    </row>
    <row r="13" spans="1:105" ht="12" customHeight="1" x14ac:dyDescent="0.25">
      <c r="A13" s="131" t="s">
        <v>77</v>
      </c>
      <c r="B13" s="132"/>
      <c r="C13" s="132">
        <f>IF(SER_hh_emih_in!C13=0,0,SER_hh_emih_in!C13/SER_summary!C$27)</f>
        <v>0</v>
      </c>
      <c r="D13" s="132">
        <f>IF(SER_hh_emih_in!D13=0,0,SER_hh_emih_in!D13/SER_summary!D$27)</f>
        <v>0</v>
      </c>
      <c r="E13" s="132">
        <f>IF(SER_hh_emih_in!E13=0,0,SER_hh_emih_in!E13/SER_summary!E$27)</f>
        <v>0</v>
      </c>
      <c r="F13" s="132">
        <f>IF(SER_hh_emih_in!F13=0,0,SER_hh_emih_in!F13/SER_summary!F$27)</f>
        <v>0</v>
      </c>
      <c r="G13" s="132">
        <f>IF(SER_hh_emih_in!G13=0,0,SER_hh_emih_in!G13/SER_summary!G$27)</f>
        <v>0</v>
      </c>
      <c r="H13" s="132">
        <f>IF(SER_hh_emih_in!H13=0,0,SER_hh_emih_in!H13/SER_summary!H$27)</f>
        <v>0</v>
      </c>
      <c r="I13" s="132">
        <f>IF(SER_hh_emih_in!I13=0,0,SER_hh_emih_in!I13/SER_summary!I$27)</f>
        <v>0</v>
      </c>
      <c r="J13" s="132">
        <f>IF(SER_hh_emih_in!J13=0,0,SER_hh_emih_in!J13/SER_summary!J$27)</f>
        <v>0</v>
      </c>
      <c r="K13" s="132">
        <f>IF(SER_hh_emih_in!K13=0,0,SER_hh_emih_in!K13/SER_summary!K$27)</f>
        <v>0</v>
      </c>
      <c r="L13" s="132">
        <f>IF(SER_hh_emih_in!L13=0,0,SER_hh_emih_in!L13/SER_summary!L$27)</f>
        <v>0</v>
      </c>
      <c r="M13" s="132">
        <f>IF(SER_hh_emih_in!M13=0,0,SER_hh_emih_in!M13/SER_summary!M$27)</f>
        <v>0</v>
      </c>
      <c r="N13" s="132">
        <f>IF(SER_hh_emih_in!N13=0,0,SER_hh_emih_in!N13/SER_summary!N$27)</f>
        <v>0</v>
      </c>
      <c r="O13" s="132">
        <f>IF(SER_hh_emih_in!O13=0,0,SER_hh_emih_in!O13/SER_summary!O$27)</f>
        <v>0</v>
      </c>
      <c r="P13" s="132">
        <f>IF(SER_hh_emih_in!P13=0,0,SER_hh_emih_in!P13/SER_summary!P$27)</f>
        <v>0</v>
      </c>
      <c r="Q13" s="132">
        <f>IF(SER_hh_emih_in!Q13=0,0,SER_hh_emih_in!Q13/SER_summary!Q$27)</f>
        <v>0</v>
      </c>
      <c r="R13" s="132">
        <f>IF(SER_hh_emih_in!R13=0,0,SER_hh_emih_in!R13/SER_summary!R$27)</f>
        <v>0</v>
      </c>
      <c r="S13" s="132">
        <f>IF(SER_hh_emih_in!S13=0,0,SER_hh_emih_in!S13/SER_summary!S$27)</f>
        <v>0</v>
      </c>
      <c r="T13" s="132">
        <f>IF(SER_hh_emih_in!T13=0,0,SER_hh_emih_in!T13/SER_summary!T$27)</f>
        <v>0</v>
      </c>
      <c r="U13" s="132">
        <f>IF(SER_hh_emih_in!U13=0,0,SER_hh_emih_in!U13/SER_summary!U$27)</f>
        <v>0</v>
      </c>
      <c r="V13" s="132">
        <f>IF(SER_hh_emih_in!V13=0,0,SER_hh_emih_in!V13/SER_summary!V$27)</f>
        <v>0</v>
      </c>
      <c r="W13" s="132">
        <f>IF(SER_hh_emih_in!W13=0,0,SER_hh_emih_in!W13/SER_summary!W$27)</f>
        <v>0</v>
      </c>
      <c r="X13" s="132">
        <f>IF(SER_hh_emih_in!X13=0,0,SER_hh_emih_in!X13/SER_summary!X$27)</f>
        <v>0</v>
      </c>
      <c r="Y13" s="132">
        <f>IF(SER_hh_emih_in!Y13=0,0,SER_hh_emih_in!Y13/SER_summary!Y$27)</f>
        <v>0</v>
      </c>
      <c r="DA13" s="156" t="s">
        <v>889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X14" s="65">
        <f>IF(SER_hh_emih_in!X14=0,0,SER_hh_emih_in!X14/SER_summary!X$27)</f>
        <v>0</v>
      </c>
      <c r="Y14" s="65">
        <f>IF(SER_hh_emih_in!Y14=0,0,SER_hh_emih_in!Y14/SER_summary!Y$27)</f>
        <v>0</v>
      </c>
      <c r="DA14" s="109" t="s">
        <v>890</v>
      </c>
    </row>
    <row r="15" spans="1:105" ht="12" customHeight="1" x14ac:dyDescent="0.25">
      <c r="A15" s="133" t="s">
        <v>80</v>
      </c>
      <c r="B15" s="134"/>
      <c r="C15" s="134">
        <f>IF(SER_hh_emih_in!C15=0,0,SER_hh_emih_in!C15/SER_summary!C$27)</f>
        <v>0</v>
      </c>
      <c r="D15" s="134">
        <f>IF(SER_hh_emih_in!D15=0,0,SER_hh_emih_in!D15/SER_summary!D$27)</f>
        <v>0</v>
      </c>
      <c r="E15" s="134">
        <f>IF(SER_hh_emih_in!E15=0,0,SER_hh_emih_in!E15/SER_summary!E$27)</f>
        <v>0</v>
      </c>
      <c r="F15" s="134">
        <f>IF(SER_hh_emih_in!F15=0,0,SER_hh_emih_in!F15/SER_summary!F$27)</f>
        <v>0</v>
      </c>
      <c r="G15" s="134">
        <f>IF(SER_hh_emih_in!G15=0,0,SER_hh_emih_in!G15/SER_summary!G$27)</f>
        <v>0</v>
      </c>
      <c r="H15" s="134">
        <f>IF(SER_hh_emih_in!H15=0,0,SER_hh_emih_in!H15/SER_summary!H$27)</f>
        <v>0</v>
      </c>
      <c r="I15" s="134">
        <f>IF(SER_hh_emih_in!I15=0,0,SER_hh_emih_in!I15/SER_summary!I$27)</f>
        <v>0</v>
      </c>
      <c r="J15" s="134">
        <f>IF(SER_hh_emih_in!J15=0,0,SER_hh_emih_in!J15/SER_summary!J$27)</f>
        <v>0</v>
      </c>
      <c r="K15" s="134">
        <f>IF(SER_hh_emih_in!K15=0,0,SER_hh_emih_in!K15/SER_summary!K$27)</f>
        <v>0</v>
      </c>
      <c r="L15" s="134">
        <f>IF(SER_hh_emih_in!L15=0,0,SER_hh_emih_in!L15/SER_summary!L$27)</f>
        <v>0</v>
      </c>
      <c r="M15" s="134">
        <f>IF(SER_hh_emih_in!M15=0,0,SER_hh_emih_in!M15/SER_summary!M$27)</f>
        <v>0</v>
      </c>
      <c r="N15" s="134">
        <f>IF(SER_hh_emih_in!N15=0,0,SER_hh_emih_in!N15/SER_summary!N$27)</f>
        <v>0</v>
      </c>
      <c r="O15" s="134">
        <f>IF(SER_hh_emih_in!O15=0,0,SER_hh_emih_in!O15/SER_summary!O$27)</f>
        <v>0</v>
      </c>
      <c r="P15" s="134">
        <f>IF(SER_hh_emih_in!P15=0,0,SER_hh_emih_in!P15/SER_summary!P$27)</f>
        <v>0</v>
      </c>
      <c r="Q15" s="134">
        <f>IF(SER_hh_emih_in!Q15=0,0,SER_hh_emih_in!Q15/SER_summary!Q$27)</f>
        <v>0</v>
      </c>
      <c r="R15" s="134">
        <f>IF(SER_hh_emih_in!R15=0,0,SER_hh_emih_in!R15/SER_summary!R$27)</f>
        <v>0</v>
      </c>
      <c r="S15" s="134">
        <f>IF(SER_hh_emih_in!S15=0,0,SER_hh_emih_in!S15/SER_summary!S$27)</f>
        <v>0</v>
      </c>
      <c r="T15" s="134">
        <f>IF(SER_hh_emih_in!T15=0,0,SER_hh_emih_in!T15/SER_summary!T$27)</f>
        <v>0</v>
      </c>
      <c r="U15" s="134">
        <f>IF(SER_hh_emih_in!U15=0,0,SER_hh_emih_in!U15/SER_summary!U$27)</f>
        <v>0</v>
      </c>
      <c r="V15" s="134">
        <f>IF(SER_hh_emih_in!V15=0,0,SER_hh_emih_in!V15/SER_summary!V$27)</f>
        <v>0</v>
      </c>
      <c r="W15" s="134">
        <f>IF(SER_hh_emih_in!W15=0,0,SER_hh_emih_in!W15/SER_summary!W$27)</f>
        <v>0</v>
      </c>
      <c r="X15" s="134">
        <f>IF(SER_hh_emih_in!X15=0,0,SER_hh_emih_in!X15/SER_summary!X$27)</f>
        <v>0</v>
      </c>
      <c r="Y15" s="134">
        <f>IF(SER_hh_emih_in!Y15=0,0,SER_hh_emih_in!Y15/SER_summary!Y$27)</f>
        <v>0</v>
      </c>
      <c r="DA15" s="157" t="s">
        <v>891</v>
      </c>
    </row>
    <row r="16" spans="1:105" ht="12.95" customHeight="1" x14ac:dyDescent="0.25">
      <c r="A16" s="129" t="s">
        <v>74</v>
      </c>
      <c r="B16" s="130"/>
      <c r="C16" s="130">
        <f>IF(SER_hh_emih_in!C16=0,0,SER_hh_emih_in!C16/SER_summary!C$27)</f>
        <v>0</v>
      </c>
      <c r="D16" s="130">
        <f>IF(SER_hh_emih_in!D16=0,0,SER_hh_emih_in!D16/SER_summary!D$27)</f>
        <v>0</v>
      </c>
      <c r="E16" s="130">
        <f>IF(SER_hh_emih_in!E16=0,0,SER_hh_emih_in!E16/SER_summary!E$27)</f>
        <v>0</v>
      </c>
      <c r="F16" s="130">
        <f>IF(SER_hh_emih_in!F16=0,0,SER_hh_emih_in!F16/SER_summary!F$27)</f>
        <v>0</v>
      </c>
      <c r="G16" s="130">
        <f>IF(SER_hh_emih_in!G16=0,0,SER_hh_emih_in!G16/SER_summary!G$27)</f>
        <v>0</v>
      </c>
      <c r="H16" s="130">
        <f>IF(SER_hh_emih_in!H16=0,0,SER_hh_emih_in!H16/SER_summary!H$27)</f>
        <v>0</v>
      </c>
      <c r="I16" s="130">
        <f>IF(SER_hh_emih_in!I16=0,0,SER_hh_emih_in!I16/SER_summary!I$27)</f>
        <v>0</v>
      </c>
      <c r="J16" s="130">
        <f>IF(SER_hh_emih_in!J16=0,0,SER_hh_emih_in!J16/SER_summary!J$27)</f>
        <v>0</v>
      </c>
      <c r="K16" s="130">
        <f>IF(SER_hh_emih_in!K16=0,0,SER_hh_emih_in!K16/SER_summary!K$27)</f>
        <v>0</v>
      </c>
      <c r="L16" s="130">
        <f>IF(SER_hh_emih_in!L16=0,0,SER_hh_emih_in!L16/SER_summary!L$27)</f>
        <v>0</v>
      </c>
      <c r="M16" s="130">
        <f>IF(SER_hh_emih_in!M16=0,0,SER_hh_emih_in!M16/SER_summary!M$27)</f>
        <v>0</v>
      </c>
      <c r="N16" s="130">
        <f>IF(SER_hh_emih_in!N16=0,0,SER_hh_emih_in!N16/SER_summary!N$27)</f>
        <v>0</v>
      </c>
      <c r="O16" s="130">
        <f>IF(SER_hh_emih_in!O16=0,0,SER_hh_emih_in!O16/SER_summary!O$27)</f>
        <v>0</v>
      </c>
      <c r="P16" s="130">
        <f>IF(SER_hh_emih_in!P16=0,0,SER_hh_emih_in!P16/SER_summary!P$27)</f>
        <v>0</v>
      </c>
      <c r="Q16" s="130">
        <f>IF(SER_hh_emih_in!Q16=0,0,SER_hh_emih_in!Q16/SER_summary!Q$27)</f>
        <v>0</v>
      </c>
      <c r="R16" s="130">
        <f>IF(SER_hh_emih_in!R16=0,0,SER_hh_emih_in!R16/SER_summary!R$27)</f>
        <v>0</v>
      </c>
      <c r="S16" s="130">
        <f>IF(SER_hh_emih_in!S16=0,0,SER_hh_emih_in!S16/SER_summary!S$27)</f>
        <v>0</v>
      </c>
      <c r="T16" s="130">
        <f>IF(SER_hh_emih_in!T16=0,0,SER_hh_emih_in!T16/SER_summary!T$27)</f>
        <v>0</v>
      </c>
      <c r="U16" s="130">
        <f>IF(SER_hh_emih_in!U16=0,0,SER_hh_emih_in!U16/SER_summary!U$27)</f>
        <v>0</v>
      </c>
      <c r="V16" s="130">
        <f>IF(SER_hh_emih_in!V16=0,0,SER_hh_emih_in!V16/SER_summary!V$27)</f>
        <v>0</v>
      </c>
      <c r="W16" s="130">
        <f>IF(SER_hh_emih_in!W16=0,0,SER_hh_emih_in!W16/SER_summary!W$27)</f>
        <v>0</v>
      </c>
      <c r="X16" s="130">
        <f>IF(SER_hh_emih_in!X16=0,0,SER_hh_emih_in!X16/SER_summary!X$27)</f>
        <v>0</v>
      </c>
      <c r="Y16" s="130">
        <f>IF(SER_hh_emih_in!Y16=0,0,SER_hh_emih_in!Y16/SER_summary!Y$27)</f>
        <v>0</v>
      </c>
      <c r="DA16" s="155" t="s">
        <v>892</v>
      </c>
    </row>
    <row r="17" spans="1:105" ht="12.95" customHeight="1" x14ac:dyDescent="0.25">
      <c r="A17" s="131" t="s">
        <v>73</v>
      </c>
      <c r="B17" s="132"/>
      <c r="C17" s="132">
        <f>IF(SER_hh_emih_in!C17=0,0,SER_hh_emih_in!C17/SER_summary!C$27)</f>
        <v>0</v>
      </c>
      <c r="D17" s="132">
        <f>IF(SER_hh_emih_in!D17=0,0,SER_hh_emih_in!D17/SER_summary!D$27)</f>
        <v>0</v>
      </c>
      <c r="E17" s="132">
        <f>IF(SER_hh_emih_in!E17=0,0,SER_hh_emih_in!E17/SER_summary!E$27)</f>
        <v>0</v>
      </c>
      <c r="F17" s="132">
        <f>IF(SER_hh_emih_in!F17=0,0,SER_hh_emih_in!F17/SER_summary!F$27)</f>
        <v>0</v>
      </c>
      <c r="G17" s="132">
        <f>IF(SER_hh_emih_in!G17=0,0,SER_hh_emih_in!G17/SER_summary!G$27)</f>
        <v>0</v>
      </c>
      <c r="H17" s="132">
        <f>IF(SER_hh_emih_in!H17=0,0,SER_hh_emih_in!H17/SER_summary!H$27)</f>
        <v>0</v>
      </c>
      <c r="I17" s="132">
        <f>IF(SER_hh_emih_in!I17=0,0,SER_hh_emih_in!I17/SER_summary!I$27)</f>
        <v>0</v>
      </c>
      <c r="J17" s="132">
        <f>IF(SER_hh_emih_in!J17=0,0,SER_hh_emih_in!J17/SER_summary!J$27)</f>
        <v>0</v>
      </c>
      <c r="K17" s="132">
        <f>IF(SER_hh_emih_in!K17=0,0,SER_hh_emih_in!K17/SER_summary!K$27)</f>
        <v>0</v>
      </c>
      <c r="L17" s="132">
        <f>IF(SER_hh_emih_in!L17=0,0,SER_hh_emih_in!L17/SER_summary!L$27)</f>
        <v>0</v>
      </c>
      <c r="M17" s="132">
        <f>IF(SER_hh_emih_in!M17=0,0,SER_hh_emih_in!M17/SER_summary!M$27)</f>
        <v>0</v>
      </c>
      <c r="N17" s="132">
        <f>IF(SER_hh_emih_in!N17=0,0,SER_hh_emih_in!N17/SER_summary!N$27)</f>
        <v>0</v>
      </c>
      <c r="O17" s="132">
        <f>IF(SER_hh_emih_in!O17=0,0,SER_hh_emih_in!O17/SER_summary!O$27)</f>
        <v>0</v>
      </c>
      <c r="P17" s="132">
        <f>IF(SER_hh_emih_in!P17=0,0,SER_hh_emih_in!P17/SER_summary!P$27)</f>
        <v>0</v>
      </c>
      <c r="Q17" s="132">
        <f>IF(SER_hh_emih_in!Q17=0,0,SER_hh_emih_in!Q17/SER_summary!Q$27)</f>
        <v>0</v>
      </c>
      <c r="R17" s="132">
        <f>IF(SER_hh_emih_in!R17=0,0,SER_hh_emih_in!R17/SER_summary!R$27)</f>
        <v>0</v>
      </c>
      <c r="S17" s="132">
        <f>IF(SER_hh_emih_in!S17=0,0,SER_hh_emih_in!S17/SER_summary!S$27)</f>
        <v>0</v>
      </c>
      <c r="T17" s="132">
        <f>IF(SER_hh_emih_in!T17=0,0,SER_hh_emih_in!T17/SER_summary!T$27)</f>
        <v>0</v>
      </c>
      <c r="U17" s="132">
        <f>IF(SER_hh_emih_in!U17=0,0,SER_hh_emih_in!U17/SER_summary!U$27)</f>
        <v>0</v>
      </c>
      <c r="V17" s="132">
        <f>IF(SER_hh_emih_in!V17=0,0,SER_hh_emih_in!V17/SER_summary!V$27)</f>
        <v>0</v>
      </c>
      <c r="W17" s="132">
        <f>IF(SER_hh_emih_in!W17=0,0,SER_hh_emih_in!W17/SER_summary!W$27)</f>
        <v>0</v>
      </c>
      <c r="X17" s="132">
        <f>IF(SER_hh_emih_in!X17=0,0,SER_hh_emih_in!X17/SER_summary!X$27)</f>
        <v>0</v>
      </c>
      <c r="Y17" s="132">
        <f>IF(SER_hh_emih_in!Y17=0,0,SER_hh_emih_in!Y17/SER_summary!Y$27)</f>
        <v>0</v>
      </c>
      <c r="DA17" s="156" t="s">
        <v>893</v>
      </c>
    </row>
    <row r="18" spans="1:105" ht="12" customHeight="1" x14ac:dyDescent="0.25">
      <c r="A18" s="131" t="s">
        <v>72</v>
      </c>
      <c r="B18" s="132"/>
      <c r="C18" s="132">
        <f>IF(SER_hh_emih_in!C18=0,0,SER_hh_emih_in!C18/SER_summary!C$27)</f>
        <v>0</v>
      </c>
      <c r="D18" s="132">
        <f>IF(SER_hh_emih_in!D18=0,0,SER_hh_emih_in!D18/SER_summary!D$27)</f>
        <v>0</v>
      </c>
      <c r="E18" s="132">
        <f>IF(SER_hh_emih_in!E18=0,0,SER_hh_emih_in!E18/SER_summary!E$27)</f>
        <v>0</v>
      </c>
      <c r="F18" s="132">
        <f>IF(SER_hh_emih_in!F18=0,0,SER_hh_emih_in!F18/SER_summary!F$27)</f>
        <v>0</v>
      </c>
      <c r="G18" s="132">
        <f>IF(SER_hh_emih_in!G18=0,0,SER_hh_emih_in!G18/SER_summary!G$27)</f>
        <v>0</v>
      </c>
      <c r="H18" s="132">
        <f>IF(SER_hh_emih_in!H18=0,0,SER_hh_emih_in!H18/SER_summary!H$27)</f>
        <v>0</v>
      </c>
      <c r="I18" s="132">
        <f>IF(SER_hh_emih_in!I18=0,0,SER_hh_emih_in!I18/SER_summary!I$27)</f>
        <v>0</v>
      </c>
      <c r="J18" s="132">
        <f>IF(SER_hh_emih_in!J18=0,0,SER_hh_emih_in!J18/SER_summary!J$27)</f>
        <v>0</v>
      </c>
      <c r="K18" s="132">
        <f>IF(SER_hh_emih_in!K18=0,0,SER_hh_emih_in!K18/SER_summary!K$27)</f>
        <v>0</v>
      </c>
      <c r="L18" s="132">
        <f>IF(SER_hh_emih_in!L18=0,0,SER_hh_emih_in!L18/SER_summary!L$27)</f>
        <v>0</v>
      </c>
      <c r="M18" s="132">
        <f>IF(SER_hh_emih_in!M18=0,0,SER_hh_emih_in!M18/SER_summary!M$27)</f>
        <v>0</v>
      </c>
      <c r="N18" s="132">
        <f>IF(SER_hh_emih_in!N18=0,0,SER_hh_emih_in!N18/SER_summary!N$27)</f>
        <v>0</v>
      </c>
      <c r="O18" s="132">
        <f>IF(SER_hh_emih_in!O18=0,0,SER_hh_emih_in!O18/SER_summary!O$27)</f>
        <v>0</v>
      </c>
      <c r="P18" s="132">
        <f>IF(SER_hh_emih_in!P18=0,0,SER_hh_emih_in!P18/SER_summary!P$27)</f>
        <v>0</v>
      </c>
      <c r="Q18" s="132">
        <f>IF(SER_hh_emih_in!Q18=0,0,SER_hh_emih_in!Q18/SER_summary!Q$27)</f>
        <v>0</v>
      </c>
      <c r="R18" s="132">
        <f>IF(SER_hh_emih_in!R18=0,0,SER_hh_emih_in!R18/SER_summary!R$27)</f>
        <v>0</v>
      </c>
      <c r="S18" s="132">
        <f>IF(SER_hh_emih_in!S18=0,0,SER_hh_emih_in!S18/SER_summary!S$27)</f>
        <v>0</v>
      </c>
      <c r="T18" s="132">
        <f>IF(SER_hh_emih_in!T18=0,0,SER_hh_emih_in!T18/SER_summary!T$27)</f>
        <v>0</v>
      </c>
      <c r="U18" s="132">
        <f>IF(SER_hh_emih_in!U18=0,0,SER_hh_emih_in!U18/SER_summary!U$27)</f>
        <v>0</v>
      </c>
      <c r="V18" s="132">
        <f>IF(SER_hh_emih_in!V18=0,0,SER_hh_emih_in!V18/SER_summary!V$27)</f>
        <v>0</v>
      </c>
      <c r="W18" s="132">
        <f>IF(SER_hh_emih_in!W18=0,0,SER_hh_emih_in!W18/SER_summary!W$27)</f>
        <v>0</v>
      </c>
      <c r="X18" s="132">
        <f>IF(SER_hh_emih_in!X18=0,0,SER_hh_emih_in!X18/SER_summary!X$27)</f>
        <v>0</v>
      </c>
      <c r="Y18" s="132">
        <f>IF(SER_hh_emih_in!Y18=0,0,SER_hh_emih_in!Y18/SER_summary!Y$27)</f>
        <v>0</v>
      </c>
      <c r="DA18" s="156" t="s">
        <v>894</v>
      </c>
    </row>
    <row r="19" spans="1:105" ht="12.95" customHeight="1" x14ac:dyDescent="0.25">
      <c r="A19" s="129" t="s">
        <v>35</v>
      </c>
      <c r="B19" s="130"/>
      <c r="C19" s="130">
        <f>IF(SER_hh_emih_in!C19=0,0,SER_hh_emih_in!C19/SER_summary!C$27)</f>
        <v>0.21426483322282866</v>
      </c>
      <c r="D19" s="130">
        <f>IF(SER_hh_emih_in!D19=0,0,SER_hh_emih_in!D19/SER_summary!D$27)</f>
        <v>7.3388721421600855E-2</v>
      </c>
      <c r="E19" s="130">
        <f>IF(SER_hh_emih_in!E19=0,0,SER_hh_emih_in!E19/SER_summary!E$27)</f>
        <v>0.15120588768080115</v>
      </c>
      <c r="F19" s="130">
        <f>IF(SER_hh_emih_in!F19=0,0,SER_hh_emih_in!F19/SER_summary!F$27)</f>
        <v>0.16855368513228783</v>
      </c>
      <c r="G19" s="130">
        <f>IF(SER_hh_emih_in!G19=0,0,SER_hh_emih_in!G19/SER_summary!G$27)</f>
        <v>0.16003589833073287</v>
      </c>
      <c r="H19" s="130">
        <f>IF(SER_hh_emih_in!H19=0,0,SER_hh_emih_in!H19/SER_summary!H$27)</f>
        <v>3.0685730330957166</v>
      </c>
      <c r="I19" s="130">
        <f>IF(SER_hh_emih_in!I19=0,0,SER_hh_emih_in!I19/SER_summary!I$27)</f>
        <v>2.8564536895611234</v>
      </c>
      <c r="J19" s="130">
        <f>IF(SER_hh_emih_in!J19=0,0,SER_hh_emih_in!J19/SER_summary!J$27)</f>
        <v>2.652189931680065</v>
      </c>
      <c r="K19" s="130">
        <f>IF(SER_hh_emih_in!K19=0,0,SER_hh_emih_in!K19/SER_summary!K$27)</f>
        <v>0.50724764364043828</v>
      </c>
      <c r="L19" s="130">
        <f>IF(SER_hh_emih_in!L19=0,0,SER_hh_emih_in!L19/SER_summary!L$27)</f>
        <v>0.47030169483911766</v>
      </c>
      <c r="M19" s="130">
        <f>IF(SER_hh_emih_in!M19=0,0,SER_hh_emih_in!M19/SER_summary!M$27)</f>
        <v>0.2013348966271046</v>
      </c>
      <c r="N19" s="130">
        <f>IF(SER_hh_emih_in!N19=0,0,SER_hh_emih_in!N19/SER_summary!N$27)</f>
        <v>0.21085451402051128</v>
      </c>
      <c r="O19" s="130">
        <f>IF(SER_hh_emih_in!O19=0,0,SER_hh_emih_in!O19/SER_summary!O$27)</f>
        <v>0.21270500457114527</v>
      </c>
      <c r="P19" s="130">
        <f>IF(SER_hh_emih_in!P19=0,0,SER_hh_emih_in!P19/SER_summary!P$27)</f>
        <v>0.15307273670613311</v>
      </c>
      <c r="Q19" s="130">
        <f>IF(SER_hh_emih_in!Q19=0,0,SER_hh_emih_in!Q19/SER_summary!Q$27)</f>
        <v>0.1398813951878482</v>
      </c>
      <c r="R19" s="130">
        <f>IF(SER_hh_emih_in!R19=0,0,SER_hh_emih_in!R19/SER_summary!R$27)</f>
        <v>0.23049495736694051</v>
      </c>
      <c r="S19" s="130">
        <f>IF(SER_hh_emih_in!S19=0,0,SER_hh_emih_in!S19/SER_summary!S$27)</f>
        <v>0.43236370276542768</v>
      </c>
      <c r="T19" s="130">
        <f>IF(SER_hh_emih_in!T19=0,0,SER_hh_emih_in!T19/SER_summary!T$27)</f>
        <v>0.73418261852385114</v>
      </c>
      <c r="U19" s="130">
        <f>IF(SER_hh_emih_in!U19=0,0,SER_hh_emih_in!U19/SER_summary!U$27)</f>
        <v>0.97054718734160117</v>
      </c>
      <c r="V19" s="130">
        <f>IF(SER_hh_emih_in!V19=0,0,SER_hh_emih_in!V19/SER_summary!V$27)</f>
        <v>0.38028186111417206</v>
      </c>
      <c r="W19" s="130">
        <f>IF(SER_hh_emih_in!W19=0,0,SER_hh_emih_in!W19/SER_summary!W$27)</f>
        <v>1.1515387497453333</v>
      </c>
      <c r="X19" s="130">
        <f>IF(SER_hh_emih_in!X19=0,0,SER_hh_emih_in!X19/SER_summary!X$27)</f>
        <v>1.4712283370052863</v>
      </c>
      <c r="Y19" s="130">
        <f>IF(SER_hh_emih_in!Y19=0,0,SER_hh_emih_in!Y19/SER_summary!Y$27)</f>
        <v>1.0714789300015846</v>
      </c>
      <c r="DA19" s="155" t="s">
        <v>895</v>
      </c>
    </row>
    <row r="20" spans="1:105" ht="12" customHeight="1" x14ac:dyDescent="0.25">
      <c r="A20" s="131" t="s">
        <v>29</v>
      </c>
      <c r="B20" s="132"/>
      <c r="C20" s="132">
        <f>IF(SER_hh_emih_in!C20=0,0,SER_hh_emih_in!C20/SER_summary!C$27)</f>
        <v>0</v>
      </c>
      <c r="D20" s="132">
        <f>IF(SER_hh_emih_in!D20=0,0,SER_hh_emih_in!D20/SER_summary!D$27)</f>
        <v>0</v>
      </c>
      <c r="E20" s="132">
        <f>IF(SER_hh_emih_in!E20=0,0,SER_hh_emih_in!E20/SER_summary!E$27)</f>
        <v>0</v>
      </c>
      <c r="F20" s="132">
        <f>IF(SER_hh_emih_in!F20=0,0,SER_hh_emih_in!F20/SER_summary!F$27)</f>
        <v>0</v>
      </c>
      <c r="G20" s="132">
        <f>IF(SER_hh_emih_in!G20=0,0,SER_hh_emih_in!G20/SER_summary!G$27)</f>
        <v>0</v>
      </c>
      <c r="H20" s="132">
        <f>IF(SER_hh_emih_in!H20=0,0,SER_hh_emih_in!H20/SER_summary!H$27)</f>
        <v>0</v>
      </c>
      <c r="I20" s="132">
        <f>IF(SER_hh_emih_in!I20=0,0,SER_hh_emih_in!I20/SER_summary!I$27)</f>
        <v>0</v>
      </c>
      <c r="J20" s="132">
        <f>IF(SER_hh_emih_in!J20=0,0,SER_hh_emih_in!J20/SER_summary!J$27)</f>
        <v>0</v>
      </c>
      <c r="K20" s="132">
        <f>IF(SER_hh_emih_in!K20=0,0,SER_hh_emih_in!K20/SER_summary!K$27)</f>
        <v>0</v>
      </c>
      <c r="L20" s="132">
        <f>IF(SER_hh_emih_in!L20=0,0,SER_hh_emih_in!L20/SER_summary!L$27)</f>
        <v>0</v>
      </c>
      <c r="M20" s="132">
        <f>IF(SER_hh_emih_in!M20=0,0,SER_hh_emih_in!M20/SER_summary!M$27)</f>
        <v>0</v>
      </c>
      <c r="N20" s="132">
        <f>IF(SER_hh_emih_in!N20=0,0,SER_hh_emih_in!N20/SER_summary!N$27)</f>
        <v>0</v>
      </c>
      <c r="O20" s="132">
        <f>IF(SER_hh_emih_in!O20=0,0,SER_hh_emih_in!O20/SER_summary!O$27)</f>
        <v>0</v>
      </c>
      <c r="P20" s="132">
        <f>IF(SER_hh_emih_in!P20=0,0,SER_hh_emih_in!P20/SER_summary!P$27)</f>
        <v>0</v>
      </c>
      <c r="Q20" s="132">
        <f>IF(SER_hh_emih_in!Q20=0,0,SER_hh_emih_in!Q20/SER_summary!Q$27)</f>
        <v>0</v>
      </c>
      <c r="R20" s="132">
        <f>IF(SER_hh_emih_in!R20=0,0,SER_hh_emih_in!R20/SER_summary!R$27)</f>
        <v>0</v>
      </c>
      <c r="S20" s="132">
        <f>IF(SER_hh_emih_in!S20=0,0,SER_hh_emih_in!S20/SER_summary!S$27)</f>
        <v>0</v>
      </c>
      <c r="T20" s="132">
        <f>IF(SER_hh_emih_in!T20=0,0,SER_hh_emih_in!T20/SER_summary!T$27)</f>
        <v>0</v>
      </c>
      <c r="U20" s="132">
        <f>IF(SER_hh_emih_in!U20=0,0,SER_hh_emih_in!U20/SER_summary!U$27)</f>
        <v>0</v>
      </c>
      <c r="V20" s="132">
        <f>IF(SER_hh_emih_in!V20=0,0,SER_hh_emih_in!V20/SER_summary!V$27)</f>
        <v>0</v>
      </c>
      <c r="W20" s="132">
        <f>IF(SER_hh_emih_in!W20=0,0,SER_hh_emih_in!W20/SER_summary!W$27)</f>
        <v>0</v>
      </c>
      <c r="X20" s="132">
        <f>IF(SER_hh_emih_in!X20=0,0,SER_hh_emih_in!X20/SER_summary!X$27)</f>
        <v>0</v>
      </c>
      <c r="Y20" s="132">
        <f>IF(SER_hh_emih_in!Y20=0,0,SER_hh_emih_in!Y20/SER_summary!Y$27)</f>
        <v>0</v>
      </c>
      <c r="DA20" s="156" t="s">
        <v>896</v>
      </c>
    </row>
    <row r="21" spans="1:105" s="2" customFormat="1" ht="12" customHeight="1" x14ac:dyDescent="0.25">
      <c r="A21" s="131" t="s">
        <v>52</v>
      </c>
      <c r="B21" s="132"/>
      <c r="C21" s="132">
        <f>IF(SER_hh_emih_in!C21=0,0,SER_hh_emih_in!C21/SER_summary!C$27)</f>
        <v>0</v>
      </c>
      <c r="D21" s="132">
        <f>IF(SER_hh_emih_in!D21=0,0,SER_hh_emih_in!D21/SER_summary!D$27)</f>
        <v>0</v>
      </c>
      <c r="E21" s="132">
        <f>IF(SER_hh_emih_in!E21=0,0,SER_hh_emih_in!E21/SER_summary!E$27)</f>
        <v>0</v>
      </c>
      <c r="F21" s="132">
        <f>IF(SER_hh_emih_in!F21=0,0,SER_hh_emih_in!F21/SER_summary!F$27)</f>
        <v>0</v>
      </c>
      <c r="G21" s="132">
        <f>IF(SER_hh_emih_in!G21=0,0,SER_hh_emih_in!G21/SER_summary!G$27)</f>
        <v>0</v>
      </c>
      <c r="H21" s="132">
        <f>IF(SER_hh_emih_in!H21=0,0,SER_hh_emih_in!H21/SER_summary!H$27)</f>
        <v>3.0207461866432483</v>
      </c>
      <c r="I21" s="132">
        <f>IF(SER_hh_emih_in!I21=0,0,SER_hh_emih_in!I21/SER_summary!I$27)</f>
        <v>2.8349046343911888</v>
      </c>
      <c r="J21" s="132">
        <f>IF(SER_hh_emih_in!J21=0,0,SER_hh_emih_in!J21/SER_summary!J$27)</f>
        <v>2.7204801646932646</v>
      </c>
      <c r="K21" s="132">
        <f>IF(SER_hh_emih_in!K21=0,0,SER_hh_emih_in!K21/SER_summary!K$27)</f>
        <v>3.7127824625301056</v>
      </c>
      <c r="L21" s="132">
        <f>IF(SER_hh_emih_in!L21=0,0,SER_hh_emih_in!L21/SER_summary!L$27)</f>
        <v>4.8568670992392953</v>
      </c>
      <c r="M21" s="132">
        <f>IF(SER_hh_emih_in!M21=0,0,SER_hh_emih_in!M21/SER_summary!M$27)</f>
        <v>0</v>
      </c>
      <c r="N21" s="132">
        <f>IF(SER_hh_emih_in!N21=0,0,SER_hh_emih_in!N21/SER_summary!N$27)</f>
        <v>0</v>
      </c>
      <c r="O21" s="132">
        <f>IF(SER_hh_emih_in!O21=0,0,SER_hh_emih_in!O21/SER_summary!O$27)</f>
        <v>0</v>
      </c>
      <c r="P21" s="132">
        <f>IF(SER_hh_emih_in!P21=0,0,SER_hh_emih_in!P21/SER_summary!P$27)</f>
        <v>0</v>
      </c>
      <c r="Q21" s="132">
        <f>IF(SER_hh_emih_in!Q21=0,0,SER_hh_emih_in!Q21/SER_summary!Q$27)</f>
        <v>0</v>
      </c>
      <c r="R21" s="132">
        <f>IF(SER_hh_emih_in!R21=0,0,SER_hh_emih_in!R21/SER_summary!R$27)</f>
        <v>2.681619051720785</v>
      </c>
      <c r="S21" s="132">
        <f>IF(SER_hh_emih_in!S21=0,0,SER_hh_emih_in!S21/SER_summary!S$27)</f>
        <v>2.2274930580279757</v>
      </c>
      <c r="T21" s="132">
        <f>IF(SER_hh_emih_in!T21=0,0,SER_hh_emih_in!T21/SER_summary!T$27)</f>
        <v>3.0810341000190351</v>
      </c>
      <c r="U21" s="132">
        <f>IF(SER_hh_emih_in!U21=0,0,SER_hh_emih_in!U21/SER_summary!U$27)</f>
        <v>3.0943063084156637</v>
      </c>
      <c r="V21" s="132">
        <f>IF(SER_hh_emih_in!V21=0,0,SER_hh_emih_in!V21/SER_summary!V$27)</f>
        <v>1.8792363955629159</v>
      </c>
      <c r="W21" s="132">
        <f>IF(SER_hh_emih_in!W21=0,0,SER_hh_emih_in!W21/SER_summary!W$27)</f>
        <v>2.879691583096001</v>
      </c>
      <c r="X21" s="132">
        <f>IF(SER_hh_emih_in!X21=0,0,SER_hh_emih_in!X21/SER_summary!X$27)</f>
        <v>3.4899138417314139</v>
      </c>
      <c r="Y21" s="132">
        <f>IF(SER_hh_emih_in!Y21=0,0,SER_hh_emih_in!Y21/SER_summary!Y$27)</f>
        <v>3.5093518028472888</v>
      </c>
      <c r="DA21" s="156" t="s">
        <v>897</v>
      </c>
    </row>
    <row r="22" spans="1:105" ht="12" customHeight="1" x14ac:dyDescent="0.25">
      <c r="A22" s="131" t="s">
        <v>161</v>
      </c>
      <c r="B22" s="132"/>
      <c r="C22" s="132">
        <f>IF(SER_hh_emih_in!C22=0,0,SER_hh_emih_in!C22/SER_summary!C$27)</f>
        <v>7.3832030168016569</v>
      </c>
      <c r="D22" s="132">
        <f>IF(SER_hh_emih_in!D22=0,0,SER_hh_emih_in!D22/SER_summary!D$27)</f>
        <v>2.4451183988540608</v>
      </c>
      <c r="E22" s="132">
        <f>IF(SER_hh_emih_in!E22=0,0,SER_hh_emih_in!E22/SER_summary!E$27)</f>
        <v>5.2289643621948168</v>
      </c>
      <c r="F22" s="132">
        <f>IF(SER_hh_emih_in!F22=0,0,SER_hh_emih_in!F22/SER_summary!F$27)</f>
        <v>5.8831944811142129</v>
      </c>
      <c r="G22" s="132">
        <f>IF(SER_hh_emih_in!G22=0,0,SER_hh_emih_in!G22/SER_summary!G$27)</f>
        <v>5.4243703933058267</v>
      </c>
      <c r="H22" s="132">
        <f>IF(SER_hh_emih_in!H22=0,0,SER_hh_emih_in!H22/SER_summary!H$27)</f>
        <v>7.1529426515498509</v>
      </c>
      <c r="I22" s="132">
        <f>IF(SER_hh_emih_in!I22=0,0,SER_hh_emih_in!I22/SER_summary!I$27)</f>
        <v>3.4332879415710127</v>
      </c>
      <c r="J22" s="132">
        <f>IF(SER_hh_emih_in!J22=0,0,SER_hh_emih_in!J22/SER_summary!J$27)</f>
        <v>3.8488518835965078</v>
      </c>
      <c r="K22" s="132">
        <f>IF(SER_hh_emih_in!K22=0,0,SER_hh_emih_in!K22/SER_summary!K$27)</f>
        <v>5.8437357627526989</v>
      </c>
      <c r="L22" s="132">
        <f>IF(SER_hh_emih_in!L22=0,0,SER_hh_emih_in!L22/SER_summary!L$27)</f>
        <v>7.5477548342417258</v>
      </c>
      <c r="M22" s="132">
        <f>IF(SER_hh_emih_in!M22=0,0,SER_hh_emih_in!M22/SER_summary!M$27)</f>
        <v>6.5058578469712485</v>
      </c>
      <c r="N22" s="132">
        <f>IF(SER_hh_emih_in!N22=0,0,SER_hh_emih_in!N22/SER_summary!N$27)</f>
        <v>7.3153173281743715</v>
      </c>
      <c r="O22" s="132">
        <f>IF(SER_hh_emih_in!O22=0,0,SER_hh_emih_in!O22/SER_summary!O$27)</f>
        <v>6.776022495901449</v>
      </c>
      <c r="P22" s="132">
        <f>IF(SER_hh_emih_in!P22=0,0,SER_hh_emih_in!P22/SER_summary!P$27)</f>
        <v>5.1347778957163248</v>
      </c>
      <c r="Q22" s="132">
        <f>IF(SER_hh_emih_in!Q22=0,0,SER_hh_emih_in!Q22/SER_summary!Q$27)</f>
        <v>2.8822663526765511</v>
      </c>
      <c r="R22" s="132">
        <f>IF(SER_hh_emih_in!R22=0,0,SER_hh_emih_in!R22/SER_summary!R$27)</f>
        <v>3.5938921530692487</v>
      </c>
      <c r="S22" s="132">
        <f>IF(SER_hh_emih_in!S22=0,0,SER_hh_emih_in!S22/SER_summary!S$27)</f>
        <v>2.8042641997519215</v>
      </c>
      <c r="T22" s="132">
        <f>IF(SER_hh_emih_in!T22=0,0,SER_hh_emih_in!T22/SER_summary!T$27)</f>
        <v>4.3316761978970719</v>
      </c>
      <c r="U22" s="132">
        <f>IF(SER_hh_emih_in!U22=0,0,SER_hh_emih_in!U22/SER_summary!U$27)</f>
        <v>4.1180055200057151</v>
      </c>
      <c r="V22" s="132">
        <f>IF(SER_hh_emih_in!V22=0,0,SER_hh_emih_in!V22/SER_summary!V$27)</f>
        <v>2.430569064688004</v>
      </c>
      <c r="W22" s="132">
        <f>IF(SER_hh_emih_in!W22=0,0,SER_hh_emih_in!W22/SER_summary!W$27)</f>
        <v>4.364112612153912</v>
      </c>
      <c r="X22" s="132">
        <f>IF(SER_hh_emih_in!X22=0,0,SER_hh_emih_in!X22/SER_summary!X$27)</f>
        <v>5.2717446277932618</v>
      </c>
      <c r="Y22" s="132">
        <f>IF(SER_hh_emih_in!Y22=0,0,SER_hh_emih_in!Y22/SER_summary!Y$27)</f>
        <v>5.3484452696203757</v>
      </c>
      <c r="DA22" s="156" t="s">
        <v>898</v>
      </c>
    </row>
    <row r="23" spans="1:105" ht="12" customHeight="1" x14ac:dyDescent="0.25">
      <c r="A23" s="131" t="s">
        <v>149</v>
      </c>
      <c r="B23" s="132"/>
      <c r="C23" s="132">
        <f>IF(SER_hh_emih_in!C23=0,0,SER_hh_emih_in!C23/SER_summary!C$27)</f>
        <v>0</v>
      </c>
      <c r="D23" s="132">
        <f>IF(SER_hh_emih_in!D23=0,0,SER_hh_emih_in!D23/SER_summary!D$27)</f>
        <v>0</v>
      </c>
      <c r="E23" s="132">
        <f>IF(SER_hh_emih_in!E23=0,0,SER_hh_emih_in!E23/SER_summary!E$27)</f>
        <v>0</v>
      </c>
      <c r="F23" s="132">
        <f>IF(SER_hh_emih_in!F23=0,0,SER_hh_emih_in!F23/SER_summary!F$27)</f>
        <v>0</v>
      </c>
      <c r="G23" s="132">
        <f>IF(SER_hh_emih_in!G23=0,0,SER_hh_emih_in!G23/SER_summary!G$27)</f>
        <v>0</v>
      </c>
      <c r="H23" s="132">
        <f>IF(SER_hh_emih_in!H23=0,0,SER_hh_emih_in!H23/SER_summary!H$27)</f>
        <v>0</v>
      </c>
      <c r="I23" s="132">
        <f>IF(SER_hh_emih_in!I23=0,0,SER_hh_emih_in!I23/SER_summary!I$27)</f>
        <v>0</v>
      </c>
      <c r="J23" s="132">
        <f>IF(SER_hh_emih_in!J23=0,0,SER_hh_emih_in!J23/SER_summary!J$27)</f>
        <v>0</v>
      </c>
      <c r="K23" s="132">
        <f>IF(SER_hh_emih_in!K23=0,0,SER_hh_emih_in!K23/SER_summary!K$27)</f>
        <v>0</v>
      </c>
      <c r="L23" s="132">
        <f>IF(SER_hh_emih_in!L23=0,0,SER_hh_emih_in!L23/SER_summary!L$27)</f>
        <v>0</v>
      </c>
      <c r="M23" s="132">
        <f>IF(SER_hh_emih_in!M23=0,0,SER_hh_emih_in!M23/SER_summary!M$27)</f>
        <v>0</v>
      </c>
      <c r="N23" s="132">
        <f>IF(SER_hh_emih_in!N23=0,0,SER_hh_emih_in!N23/SER_summary!N$27)</f>
        <v>0</v>
      </c>
      <c r="O23" s="132">
        <f>IF(SER_hh_emih_in!O23=0,0,SER_hh_emih_in!O23/SER_summary!O$27)</f>
        <v>0</v>
      </c>
      <c r="P23" s="132">
        <f>IF(SER_hh_emih_in!P23=0,0,SER_hh_emih_in!P23/SER_summary!P$27)</f>
        <v>0</v>
      </c>
      <c r="Q23" s="132">
        <f>IF(SER_hh_emih_in!Q23=0,0,SER_hh_emih_in!Q23/SER_summary!Q$27)</f>
        <v>0</v>
      </c>
      <c r="R23" s="132">
        <f>IF(SER_hh_emih_in!R23=0,0,SER_hh_emih_in!R23/SER_summary!R$27)</f>
        <v>0</v>
      </c>
      <c r="S23" s="132">
        <f>IF(SER_hh_emih_in!S23=0,0,SER_hh_emih_in!S23/SER_summary!S$27)</f>
        <v>0</v>
      </c>
      <c r="T23" s="132">
        <f>IF(SER_hh_emih_in!T23=0,0,SER_hh_emih_in!T23/SER_summary!T$27)</f>
        <v>0</v>
      </c>
      <c r="U23" s="132">
        <f>IF(SER_hh_emih_in!U23=0,0,SER_hh_emih_in!U23/SER_summary!U$27)</f>
        <v>0</v>
      </c>
      <c r="V23" s="132">
        <f>IF(SER_hh_emih_in!V23=0,0,SER_hh_emih_in!V23/SER_summary!V$27)</f>
        <v>0</v>
      </c>
      <c r="W23" s="132">
        <f>IF(SER_hh_emih_in!W23=0,0,SER_hh_emih_in!W23/SER_summary!W$27)</f>
        <v>0</v>
      </c>
      <c r="X23" s="132">
        <f>IF(SER_hh_emih_in!X23=0,0,SER_hh_emih_in!X23/SER_summary!X$27)</f>
        <v>0</v>
      </c>
      <c r="Y23" s="132">
        <f>IF(SER_hh_emih_in!Y23=0,0,SER_hh_emih_in!Y23/SER_summary!Y$27)</f>
        <v>0</v>
      </c>
      <c r="DA23" s="156" t="s">
        <v>899</v>
      </c>
    </row>
    <row r="24" spans="1:105" ht="12" customHeight="1" x14ac:dyDescent="0.25">
      <c r="A24" s="131" t="s">
        <v>128</v>
      </c>
      <c r="B24" s="132"/>
      <c r="C24" s="132">
        <f>IF(SER_hh_emih_in!C24=0,0,SER_hh_emih_in!C24/SER_summary!C$27)</f>
        <v>0</v>
      </c>
      <c r="D24" s="132">
        <f>IF(SER_hh_emih_in!D24=0,0,SER_hh_emih_in!D24/SER_summary!D$27)</f>
        <v>0</v>
      </c>
      <c r="E24" s="132">
        <f>IF(SER_hh_emih_in!E24=0,0,SER_hh_emih_in!E24/SER_summary!E$27)</f>
        <v>0</v>
      </c>
      <c r="F24" s="132">
        <f>IF(SER_hh_emih_in!F24=0,0,SER_hh_emih_in!F24/SER_summary!F$27)</f>
        <v>0</v>
      </c>
      <c r="G24" s="132">
        <f>IF(SER_hh_emih_in!G24=0,0,SER_hh_emih_in!G24/SER_summary!G$27)</f>
        <v>0</v>
      </c>
      <c r="H24" s="132">
        <f>IF(SER_hh_emih_in!H24=0,0,SER_hh_emih_in!H24/SER_summary!H$27)</f>
        <v>0</v>
      </c>
      <c r="I24" s="132">
        <f>IF(SER_hh_emih_in!I24=0,0,SER_hh_emih_in!I24/SER_summary!I$27)</f>
        <v>0</v>
      </c>
      <c r="J24" s="132">
        <f>IF(SER_hh_emih_in!J24=0,0,SER_hh_emih_in!J24/SER_summary!J$27)</f>
        <v>0</v>
      </c>
      <c r="K24" s="132">
        <f>IF(SER_hh_emih_in!K24=0,0,SER_hh_emih_in!K24/SER_summary!K$27)</f>
        <v>0</v>
      </c>
      <c r="L24" s="132">
        <f>IF(SER_hh_emih_in!L24=0,0,SER_hh_emih_in!L24/SER_summary!L$27)</f>
        <v>0</v>
      </c>
      <c r="M24" s="132">
        <f>IF(SER_hh_emih_in!M24=0,0,SER_hh_emih_in!M24/SER_summary!M$27)</f>
        <v>0</v>
      </c>
      <c r="N24" s="132">
        <f>IF(SER_hh_emih_in!N24=0,0,SER_hh_emih_in!N24/SER_summary!N$27)</f>
        <v>0</v>
      </c>
      <c r="O24" s="132">
        <f>IF(SER_hh_emih_in!O24=0,0,SER_hh_emih_in!O24/SER_summary!O$27)</f>
        <v>0</v>
      </c>
      <c r="P24" s="132">
        <f>IF(SER_hh_emih_in!P24=0,0,SER_hh_emih_in!P24/SER_summary!P$27)</f>
        <v>0</v>
      </c>
      <c r="Q24" s="132">
        <f>IF(SER_hh_emih_in!Q24=0,0,SER_hh_emih_in!Q24/SER_summary!Q$27)</f>
        <v>0</v>
      </c>
      <c r="R24" s="132">
        <f>IF(SER_hh_emih_in!R24=0,0,SER_hh_emih_in!R24/SER_summary!R$27)</f>
        <v>0</v>
      </c>
      <c r="S24" s="132">
        <f>IF(SER_hh_emih_in!S24=0,0,SER_hh_emih_in!S24/SER_summary!S$27)</f>
        <v>0</v>
      </c>
      <c r="T24" s="132">
        <f>IF(SER_hh_emih_in!T24=0,0,SER_hh_emih_in!T24/SER_summary!T$27)</f>
        <v>0</v>
      </c>
      <c r="U24" s="132">
        <f>IF(SER_hh_emih_in!U24=0,0,SER_hh_emih_in!U24/SER_summary!U$27)</f>
        <v>0</v>
      </c>
      <c r="V24" s="132">
        <f>IF(SER_hh_emih_in!V24=0,0,SER_hh_emih_in!V24/SER_summary!V$27)</f>
        <v>0</v>
      </c>
      <c r="W24" s="132">
        <f>IF(SER_hh_emih_in!W24=0,0,SER_hh_emih_in!W24/SER_summary!W$27)</f>
        <v>0</v>
      </c>
      <c r="X24" s="132">
        <f>IF(SER_hh_emih_in!X24=0,0,SER_hh_emih_in!X24/SER_summary!X$27)</f>
        <v>0</v>
      </c>
      <c r="Y24" s="132">
        <f>IF(SER_hh_emih_in!Y24=0,0,SER_hh_emih_in!Y24/SER_summary!Y$27)</f>
        <v>0</v>
      </c>
      <c r="DA24" s="156" t="s">
        <v>900</v>
      </c>
    </row>
    <row r="25" spans="1:105" ht="12" customHeight="1" x14ac:dyDescent="0.25">
      <c r="A25" s="131" t="s">
        <v>162</v>
      </c>
      <c r="B25" s="132"/>
      <c r="C25" s="132">
        <f>IF(SER_hh_emih_in!C25=0,0,SER_hh_emih_in!C25/SER_summary!C$27)</f>
        <v>0</v>
      </c>
      <c r="D25" s="132">
        <f>IF(SER_hh_emih_in!D25=0,0,SER_hh_emih_in!D25/SER_summary!D$27)</f>
        <v>0</v>
      </c>
      <c r="E25" s="132">
        <f>IF(SER_hh_emih_in!E25=0,0,SER_hh_emih_in!E25/SER_summary!E$27)</f>
        <v>0</v>
      </c>
      <c r="F25" s="132">
        <f>IF(SER_hh_emih_in!F25=0,0,SER_hh_emih_in!F25/SER_summary!F$27)</f>
        <v>0</v>
      </c>
      <c r="G25" s="132">
        <f>IF(SER_hh_emih_in!G25=0,0,SER_hh_emih_in!G25/SER_summary!G$27)</f>
        <v>0</v>
      </c>
      <c r="H25" s="132">
        <f>IF(SER_hh_emih_in!H25=0,0,SER_hh_emih_in!H25/SER_summary!H$27)</f>
        <v>0</v>
      </c>
      <c r="I25" s="132">
        <f>IF(SER_hh_emih_in!I25=0,0,SER_hh_emih_in!I25/SER_summary!I$27)</f>
        <v>0</v>
      </c>
      <c r="J25" s="132">
        <f>IF(SER_hh_emih_in!J25=0,0,SER_hh_emih_in!J25/SER_summary!J$27)</f>
        <v>0</v>
      </c>
      <c r="K25" s="132">
        <f>IF(SER_hh_emih_in!K25=0,0,SER_hh_emih_in!K25/SER_summary!K$27)</f>
        <v>0</v>
      </c>
      <c r="L25" s="132">
        <f>IF(SER_hh_emih_in!L25=0,0,SER_hh_emih_in!L25/SER_summary!L$27)</f>
        <v>0</v>
      </c>
      <c r="M25" s="132">
        <f>IF(SER_hh_emih_in!M25=0,0,SER_hh_emih_in!M25/SER_summary!M$27)</f>
        <v>0</v>
      </c>
      <c r="N25" s="132">
        <f>IF(SER_hh_emih_in!N25=0,0,SER_hh_emih_in!N25/SER_summary!N$27)</f>
        <v>0</v>
      </c>
      <c r="O25" s="132">
        <f>IF(SER_hh_emih_in!O25=0,0,SER_hh_emih_in!O25/SER_summary!O$27)</f>
        <v>0</v>
      </c>
      <c r="P25" s="132">
        <f>IF(SER_hh_emih_in!P25=0,0,SER_hh_emih_in!P25/SER_summary!P$27)</f>
        <v>0</v>
      </c>
      <c r="Q25" s="132">
        <f>IF(SER_hh_emih_in!Q25=0,0,SER_hh_emih_in!Q25/SER_summary!Q$27)</f>
        <v>0</v>
      </c>
      <c r="R25" s="132">
        <f>IF(SER_hh_emih_in!R25=0,0,SER_hh_emih_in!R25/SER_summary!R$27)</f>
        <v>0</v>
      </c>
      <c r="S25" s="132">
        <f>IF(SER_hh_emih_in!S25=0,0,SER_hh_emih_in!S25/SER_summary!S$27)</f>
        <v>0</v>
      </c>
      <c r="T25" s="132">
        <f>IF(SER_hh_emih_in!T25=0,0,SER_hh_emih_in!T25/SER_summary!T$27)</f>
        <v>0</v>
      </c>
      <c r="U25" s="132">
        <f>IF(SER_hh_emih_in!U25=0,0,SER_hh_emih_in!U25/SER_summary!U$27)</f>
        <v>0</v>
      </c>
      <c r="V25" s="132">
        <f>IF(SER_hh_emih_in!V25=0,0,SER_hh_emih_in!V25/SER_summary!V$27)</f>
        <v>0</v>
      </c>
      <c r="W25" s="132">
        <f>IF(SER_hh_emih_in!W25=0,0,SER_hh_emih_in!W25/SER_summary!W$27)</f>
        <v>0</v>
      </c>
      <c r="X25" s="132">
        <f>IF(SER_hh_emih_in!X25=0,0,SER_hh_emih_in!X25/SER_summary!X$27)</f>
        <v>0</v>
      </c>
      <c r="Y25" s="132">
        <f>IF(SER_hh_emih_in!Y25=0,0,SER_hh_emih_in!Y25/SER_summary!Y$27)</f>
        <v>0</v>
      </c>
      <c r="DA25" s="156" t="s">
        <v>901</v>
      </c>
    </row>
    <row r="26" spans="1:105" ht="12" customHeight="1" x14ac:dyDescent="0.25">
      <c r="A26" s="131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X26" s="65">
        <f>IF(SER_hh_emih_in!X26=0,0,SER_hh_emih_in!X26/SER_summary!X$27)</f>
        <v>0</v>
      </c>
      <c r="Y26" s="65">
        <f>IF(SER_hh_emih_in!Y26=0,0,SER_hh_emih_in!Y26/SER_summary!Y$27)</f>
        <v>0</v>
      </c>
      <c r="DA26" s="109" t="s">
        <v>902</v>
      </c>
    </row>
    <row r="27" spans="1:105" ht="12" customHeight="1" x14ac:dyDescent="0.25">
      <c r="A27" s="144" t="s">
        <v>86</v>
      </c>
      <c r="B27" s="147"/>
      <c r="C27" s="145">
        <f>IF(SER_hh_emih_in!C27=0,0,SER_hh_emih_in!C27/SER_summary!C$27)</f>
        <v>0</v>
      </c>
      <c r="D27" s="145">
        <f>IF(SER_hh_emih_in!D27=0,0,SER_hh_emih_in!D27/SER_summary!D$27)</f>
        <v>0</v>
      </c>
      <c r="E27" s="145">
        <f>IF(SER_hh_emih_in!E27=0,0,SER_hh_emih_in!E27/SER_summary!E$27)</f>
        <v>0</v>
      </c>
      <c r="F27" s="145">
        <f>IF(SER_hh_emih_in!F27=0,0,SER_hh_emih_in!F27/SER_summary!F$27)</f>
        <v>0</v>
      </c>
      <c r="G27" s="145">
        <f>IF(SER_hh_emih_in!G27=0,0,SER_hh_emih_in!G27/SER_summary!G$27)</f>
        <v>0</v>
      </c>
      <c r="H27" s="145">
        <f>IF(SER_hh_emih_in!H27=0,0,SER_hh_emih_in!H27/SER_summary!H$27)</f>
        <v>0</v>
      </c>
      <c r="I27" s="145">
        <f>IF(SER_hh_emih_in!I27=0,0,SER_hh_emih_in!I27/SER_summary!I$27)</f>
        <v>0</v>
      </c>
      <c r="J27" s="145">
        <f>IF(SER_hh_emih_in!J27=0,0,SER_hh_emih_in!J27/SER_summary!J$27)</f>
        <v>0</v>
      </c>
      <c r="K27" s="145">
        <f>IF(SER_hh_emih_in!K27=0,0,SER_hh_emih_in!K27/SER_summary!K$27)</f>
        <v>0</v>
      </c>
      <c r="L27" s="145">
        <f>IF(SER_hh_emih_in!L27=0,0,SER_hh_emih_in!L27/SER_summary!L$27)</f>
        <v>0</v>
      </c>
      <c r="M27" s="145">
        <f>IF(SER_hh_emih_in!M27=0,0,SER_hh_emih_in!M27/SER_summary!M$27)</f>
        <v>0</v>
      </c>
      <c r="N27" s="145">
        <f>IF(SER_hh_emih_in!N27=0,0,SER_hh_emih_in!N27/SER_summary!N$27)</f>
        <v>0</v>
      </c>
      <c r="O27" s="145">
        <f>IF(SER_hh_emih_in!O27=0,0,SER_hh_emih_in!O27/SER_summary!O$27)</f>
        <v>0</v>
      </c>
      <c r="P27" s="145">
        <f>IF(SER_hh_emih_in!P27=0,0,SER_hh_emih_in!P27/SER_summary!P$27)</f>
        <v>0</v>
      </c>
      <c r="Q27" s="145">
        <f>IF(SER_hh_emih_in!Q27=0,0,SER_hh_emih_in!Q27/SER_summary!Q$27)</f>
        <v>0</v>
      </c>
      <c r="R27" s="145">
        <f>IF(SER_hh_emih_in!R27=0,0,SER_hh_emih_in!R27/SER_summary!R$27)</f>
        <v>0</v>
      </c>
      <c r="S27" s="145">
        <f>IF(SER_hh_emih_in!S27=0,0,SER_hh_emih_in!S27/SER_summary!S$27)</f>
        <v>0</v>
      </c>
      <c r="T27" s="145">
        <f>IF(SER_hh_emih_in!T27=0,0,SER_hh_emih_in!T27/SER_summary!T$27)</f>
        <v>0</v>
      </c>
      <c r="U27" s="145">
        <f>IF(SER_hh_emih_in!U27=0,0,SER_hh_emih_in!U27/SER_summary!U$27)</f>
        <v>0</v>
      </c>
      <c r="V27" s="145">
        <f>IF(SER_hh_emih_in!V27=0,0,SER_hh_emih_in!V27/SER_summary!V$27)</f>
        <v>0</v>
      </c>
      <c r="W27" s="145">
        <f>IF(SER_hh_emih_in!W27=0,0,SER_hh_emih_in!W27/SER_summary!W$27)</f>
        <v>0</v>
      </c>
      <c r="X27" s="145">
        <f>IF(SER_hh_emih_in!X27=0,0,SER_hh_emih_in!X27/SER_summary!X$27)</f>
        <v>0</v>
      </c>
      <c r="Y27" s="145">
        <f>IF(SER_hh_emih_in!Y27=0,0,SER_hh_emih_in!Y27/SER_summary!Y$27)</f>
        <v>0</v>
      </c>
      <c r="DA27" s="158" t="s">
        <v>903</v>
      </c>
    </row>
    <row r="28" spans="1:105" ht="12" customHeight="1" x14ac:dyDescent="0.25">
      <c r="A28" s="78" t="s">
        <v>85</v>
      </c>
      <c r="B28" s="68"/>
      <c r="C28" s="146">
        <f>IF(SER_hh_emih_in!C28=0,0,SER_hh_emih_in!C28/SER_summary!C$27)</f>
        <v>0</v>
      </c>
      <c r="D28" s="146">
        <f>IF(SER_hh_emih_in!D28=0,0,SER_hh_emih_in!D28/SER_summary!D$27)</f>
        <v>0</v>
      </c>
      <c r="E28" s="146">
        <f>IF(SER_hh_emih_in!E28=0,0,SER_hh_emih_in!E28/SER_summary!E$27)</f>
        <v>0</v>
      </c>
      <c r="F28" s="146">
        <f>IF(SER_hh_emih_in!F28=0,0,SER_hh_emih_in!F28/SER_summary!F$27)</f>
        <v>0</v>
      </c>
      <c r="G28" s="146">
        <f>IF(SER_hh_emih_in!G28=0,0,SER_hh_emih_in!G28/SER_summary!G$27)</f>
        <v>0</v>
      </c>
      <c r="H28" s="146">
        <f>IF(SER_hh_emih_in!H28=0,0,SER_hh_emih_in!H28/SER_summary!H$27)</f>
        <v>0</v>
      </c>
      <c r="I28" s="146">
        <f>IF(SER_hh_emih_in!I28=0,0,SER_hh_emih_in!I28/SER_summary!I$27)</f>
        <v>0</v>
      </c>
      <c r="J28" s="146">
        <f>IF(SER_hh_emih_in!J28=0,0,SER_hh_emih_in!J28/SER_summary!J$27)</f>
        <v>0</v>
      </c>
      <c r="K28" s="146">
        <f>IF(SER_hh_emih_in!K28=0,0,SER_hh_emih_in!K28/SER_summary!K$27)</f>
        <v>0</v>
      </c>
      <c r="L28" s="146">
        <f>IF(SER_hh_emih_in!L28=0,0,SER_hh_emih_in!L28/SER_summary!L$27)</f>
        <v>0</v>
      </c>
      <c r="M28" s="146">
        <f>IF(SER_hh_emih_in!M28=0,0,SER_hh_emih_in!M28/SER_summary!M$27)</f>
        <v>0</v>
      </c>
      <c r="N28" s="146">
        <f>IF(SER_hh_emih_in!N28=0,0,SER_hh_emih_in!N28/SER_summary!N$27)</f>
        <v>0</v>
      </c>
      <c r="O28" s="146">
        <f>IF(SER_hh_emih_in!O28=0,0,SER_hh_emih_in!O28/SER_summary!O$27)</f>
        <v>0</v>
      </c>
      <c r="P28" s="146">
        <f>IF(SER_hh_emih_in!P28=0,0,SER_hh_emih_in!P28/SER_summary!P$27)</f>
        <v>0</v>
      </c>
      <c r="Q28" s="146">
        <f>IF(SER_hh_emih_in!Q28=0,0,SER_hh_emih_in!Q28/SER_summary!Q$27)</f>
        <v>0</v>
      </c>
      <c r="R28" s="146">
        <f>IF(SER_hh_emih_in!R28=0,0,SER_hh_emih_in!R28/SER_summary!R$27)</f>
        <v>0</v>
      </c>
      <c r="S28" s="146">
        <f>IF(SER_hh_emih_in!S28=0,0,SER_hh_emih_in!S28/SER_summary!S$27)</f>
        <v>0</v>
      </c>
      <c r="T28" s="146">
        <f>IF(SER_hh_emih_in!T28=0,0,SER_hh_emih_in!T28/SER_summary!T$27)</f>
        <v>0</v>
      </c>
      <c r="U28" s="146">
        <f>IF(SER_hh_emih_in!U28=0,0,SER_hh_emih_in!U28/SER_summary!U$27)</f>
        <v>0</v>
      </c>
      <c r="V28" s="146">
        <f>IF(SER_hh_emih_in!V28=0,0,SER_hh_emih_in!V28/SER_summary!V$27)</f>
        <v>0</v>
      </c>
      <c r="W28" s="146">
        <f>IF(SER_hh_emih_in!W28=0,0,SER_hh_emih_in!W28/SER_summary!W$27)</f>
        <v>0</v>
      </c>
      <c r="X28" s="146">
        <f>IF(SER_hh_emih_in!X28=0,0,SER_hh_emih_in!X28/SER_summary!X$27)</f>
        <v>0</v>
      </c>
      <c r="Y28" s="146">
        <f>IF(SER_hh_emih_in!Y28=0,0,SER_hh_emih_in!Y28/SER_summary!Y$27)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IF(SER_hh_emih_in!C29=0,0,SER_hh_emih_in!C29/SER_summary!C$27)</f>
        <v>0</v>
      </c>
      <c r="D29" s="130">
        <f>IF(SER_hh_emih_in!D29=0,0,SER_hh_emih_in!D29/SER_summary!D$27)</f>
        <v>0</v>
      </c>
      <c r="E29" s="130">
        <f>IF(SER_hh_emih_in!E29=0,0,SER_hh_emih_in!E29/SER_summary!E$27)</f>
        <v>0</v>
      </c>
      <c r="F29" s="130">
        <f>IF(SER_hh_emih_in!F29=0,0,SER_hh_emih_in!F29/SER_summary!F$27)</f>
        <v>0</v>
      </c>
      <c r="G29" s="130">
        <f>IF(SER_hh_emih_in!G29=0,0,SER_hh_emih_in!G29/SER_summary!G$27)</f>
        <v>0</v>
      </c>
      <c r="H29" s="130">
        <f>IF(SER_hh_emih_in!H29=0,0,SER_hh_emih_in!H29/SER_summary!H$27)</f>
        <v>5.9435261718433656</v>
      </c>
      <c r="I29" s="130">
        <f>IF(SER_hh_emih_in!I29=0,0,SER_hh_emih_in!I29/SER_summary!I$27)</f>
        <v>1.9034134329639851</v>
      </c>
      <c r="J29" s="130">
        <f>IF(SER_hh_emih_in!J29=0,0,SER_hh_emih_in!J29/SER_summary!J$27)</f>
        <v>0.92443086774641614</v>
      </c>
      <c r="K29" s="130">
        <f>IF(SER_hh_emih_in!K29=0,0,SER_hh_emih_in!K29/SER_summary!K$27)</f>
        <v>0</v>
      </c>
      <c r="L29" s="130">
        <f>IF(SER_hh_emih_in!L29=0,0,SER_hh_emih_in!L29/SER_summary!L$27)</f>
        <v>0.15630774378911225</v>
      </c>
      <c r="M29" s="130">
        <f>IF(SER_hh_emih_in!M29=0,0,SER_hh_emih_in!M29/SER_summary!M$27)</f>
        <v>1.2825016820397013</v>
      </c>
      <c r="N29" s="130">
        <f>IF(SER_hh_emih_in!N29=0,0,SER_hh_emih_in!N29/SER_summary!N$27)</f>
        <v>0.84859918572204063</v>
      </c>
      <c r="O29" s="130">
        <f>IF(SER_hh_emih_in!O29=0,0,SER_hh_emih_in!O29/SER_summary!O$27)</f>
        <v>0.51418081408259264</v>
      </c>
      <c r="P29" s="130">
        <f>IF(SER_hh_emih_in!P29=0,0,SER_hh_emih_in!P29/SER_summary!P$27)</f>
        <v>0.38579715136392811</v>
      </c>
      <c r="Q29" s="130">
        <f>IF(SER_hh_emih_in!Q29=0,0,SER_hh_emih_in!Q29/SER_summary!Q$27)</f>
        <v>1.7111670109753014</v>
      </c>
      <c r="R29" s="130">
        <f>IF(SER_hh_emih_in!R29=0,0,SER_hh_emih_in!R29/SER_summary!R$27)</f>
        <v>1.7048387824755837</v>
      </c>
      <c r="S29" s="130">
        <f>IF(SER_hh_emih_in!S29=0,0,SER_hh_emih_in!S29/SER_summary!S$27)</f>
        <v>3.079531279847243</v>
      </c>
      <c r="T29" s="130">
        <f>IF(SER_hh_emih_in!T29=0,0,SER_hh_emih_in!T29/SER_summary!T$27)</f>
        <v>1.8336675741984105</v>
      </c>
      <c r="U29" s="130">
        <f>IF(SER_hh_emih_in!U29=0,0,SER_hh_emih_in!U29/SER_summary!U$27)</f>
        <v>0.79160432862019825</v>
      </c>
      <c r="V29" s="130">
        <f>IF(SER_hh_emih_in!V29=0,0,SER_hh_emih_in!V29/SER_summary!V$27)</f>
        <v>0.67620915340569721</v>
      </c>
      <c r="W29" s="130">
        <f>IF(SER_hh_emih_in!W29=0,0,SER_hh_emih_in!W29/SER_summary!W$27)</f>
        <v>0.35670982151777514</v>
      </c>
      <c r="X29" s="130">
        <f>IF(SER_hh_emih_in!X29=0,0,SER_hh_emih_in!X29/SER_summary!X$27)</f>
        <v>8.3669171829822531E-2</v>
      </c>
      <c r="Y29" s="130">
        <f>IF(SER_hh_emih_in!Y29=0,0,SER_hh_emih_in!Y29/SER_summary!Y$27)</f>
        <v>0.50541055538451851</v>
      </c>
      <c r="DA29" s="155" t="s">
        <v>904</v>
      </c>
    </row>
    <row r="30" spans="1:105" s="2" customFormat="1" ht="12" customHeight="1" x14ac:dyDescent="0.25">
      <c r="A30" s="131" t="s">
        <v>52</v>
      </c>
      <c r="B30" s="132"/>
      <c r="C30" s="132">
        <f>IF(SER_hh_emih_in!C30=0,0,SER_hh_emih_in!C30/SER_summary!C$27)</f>
        <v>0</v>
      </c>
      <c r="D30" s="132">
        <f>IF(SER_hh_emih_in!D30=0,0,SER_hh_emih_in!D30/SER_summary!D$27)</f>
        <v>0</v>
      </c>
      <c r="E30" s="132">
        <f>IF(SER_hh_emih_in!E30=0,0,SER_hh_emih_in!E30/SER_summary!E$27)</f>
        <v>0</v>
      </c>
      <c r="F30" s="132">
        <f>IF(SER_hh_emih_in!F30=0,0,SER_hh_emih_in!F30/SER_summary!F$27)</f>
        <v>0</v>
      </c>
      <c r="G30" s="132">
        <f>IF(SER_hh_emih_in!G30=0,0,SER_hh_emih_in!G30/SER_summary!G$27)</f>
        <v>0</v>
      </c>
      <c r="H30" s="132">
        <f>IF(SER_hh_emih_in!H30=0,0,SER_hh_emih_in!H30/SER_summary!H$27)</f>
        <v>6.8651067423044152</v>
      </c>
      <c r="I30" s="132">
        <f>IF(SER_hh_emih_in!I30=0,0,SER_hh_emih_in!I30/SER_summary!I$27)</f>
        <v>5.2481046054258558</v>
      </c>
      <c r="J30" s="132">
        <f>IF(SER_hh_emih_in!J30=0,0,SER_hh_emih_in!J30/SER_summary!J$27)</f>
        <v>5.4755887245566903</v>
      </c>
      <c r="K30" s="132">
        <f>IF(SER_hh_emih_in!K30=0,0,SER_hh_emih_in!K30/SER_summary!K$27)</f>
        <v>0</v>
      </c>
      <c r="L30" s="132">
        <f>IF(SER_hh_emih_in!L30=0,0,SER_hh_emih_in!L30/SER_summary!L$27)</f>
        <v>4.2686839431477805</v>
      </c>
      <c r="M30" s="132">
        <f>IF(SER_hh_emih_in!M30=0,0,SER_hh_emih_in!M30/SER_summary!M$27)</f>
        <v>5.0978353488236809</v>
      </c>
      <c r="N30" s="132">
        <f>IF(SER_hh_emih_in!N30=0,0,SER_hh_emih_in!N30/SER_summary!N$27)</f>
        <v>5.2342038626990934</v>
      </c>
      <c r="O30" s="132">
        <f>IF(SER_hh_emih_in!O30=0,0,SER_hh_emih_in!O30/SER_summary!O$27)</f>
        <v>4.8356360396821065</v>
      </c>
      <c r="P30" s="132">
        <f>IF(SER_hh_emih_in!P30=0,0,SER_hh_emih_in!P30/SER_summary!P$27)</f>
        <v>4.2256588976762925</v>
      </c>
      <c r="Q30" s="132">
        <f>IF(SER_hh_emih_in!Q30=0,0,SER_hh_emih_in!Q30/SER_summary!Q$27)</f>
        <v>4.834835089140995</v>
      </c>
      <c r="R30" s="132">
        <f>IF(SER_hh_emih_in!R30=0,0,SER_hh_emih_in!R30/SER_summary!R$27)</f>
        <v>4.3243146347146615</v>
      </c>
      <c r="S30" s="132">
        <f>IF(SER_hh_emih_in!S30=0,0,SER_hh_emih_in!S30/SER_summary!S$27)</f>
        <v>5.0043623996108346</v>
      </c>
      <c r="T30" s="132">
        <f>IF(SER_hh_emih_in!T30=0,0,SER_hh_emih_in!T30/SER_summary!T$27)</f>
        <v>5.1922816061244932</v>
      </c>
      <c r="U30" s="132">
        <f>IF(SER_hh_emih_in!U30=0,0,SER_hh_emih_in!U30/SER_summary!U$27)</f>
        <v>6.565244095619545</v>
      </c>
      <c r="V30" s="132">
        <f>IF(SER_hh_emih_in!V30=0,0,SER_hh_emih_in!V30/SER_summary!V$27)</f>
        <v>4.6370538423857059</v>
      </c>
      <c r="W30" s="132">
        <f>IF(SER_hh_emih_in!W30=0,0,SER_hh_emih_in!W30/SER_summary!W$27)</f>
        <v>4.0195986624151665</v>
      </c>
      <c r="X30" s="132">
        <f>IF(SER_hh_emih_in!X30=0,0,SER_hh_emih_in!X30/SER_summary!X$27)</f>
        <v>5.0872817697482207</v>
      </c>
      <c r="Y30" s="132">
        <f>IF(SER_hh_emih_in!Y30=0,0,SER_hh_emih_in!Y30/SER_summary!Y$27)</f>
        <v>4.7120623778041795</v>
      </c>
      <c r="DA30" s="156" t="s">
        <v>905</v>
      </c>
    </row>
    <row r="31" spans="1:105" ht="12" customHeight="1" x14ac:dyDescent="0.25">
      <c r="A31" s="131" t="s">
        <v>149</v>
      </c>
      <c r="B31" s="132"/>
      <c r="C31" s="132">
        <f>IF(SER_hh_emih_in!C31=0,0,SER_hh_emih_in!C31/SER_summary!C$27)</f>
        <v>0</v>
      </c>
      <c r="D31" s="132">
        <f>IF(SER_hh_emih_in!D31=0,0,SER_hh_emih_in!D31/SER_summary!D$27)</f>
        <v>0</v>
      </c>
      <c r="E31" s="132">
        <f>IF(SER_hh_emih_in!E31=0,0,SER_hh_emih_in!E31/SER_summary!E$27)</f>
        <v>0</v>
      </c>
      <c r="F31" s="132">
        <f>IF(SER_hh_emih_in!F31=0,0,SER_hh_emih_in!F31/SER_summary!F$27)</f>
        <v>0</v>
      </c>
      <c r="G31" s="132">
        <f>IF(SER_hh_emih_in!G31=0,0,SER_hh_emih_in!G31/SER_summary!G$27)</f>
        <v>0</v>
      </c>
      <c r="H31" s="132">
        <f>IF(SER_hh_emih_in!H31=0,0,SER_hh_emih_in!H31/SER_summary!H$27)</f>
        <v>0</v>
      </c>
      <c r="I31" s="132">
        <f>IF(SER_hh_emih_in!I31=0,0,SER_hh_emih_in!I31/SER_summary!I$27)</f>
        <v>0</v>
      </c>
      <c r="J31" s="132">
        <f>IF(SER_hh_emih_in!J31=0,0,SER_hh_emih_in!J31/SER_summary!J$27)</f>
        <v>0</v>
      </c>
      <c r="K31" s="132">
        <f>IF(SER_hh_emih_in!K31=0,0,SER_hh_emih_in!K31/SER_summary!K$27)</f>
        <v>0</v>
      </c>
      <c r="L31" s="132">
        <f>IF(SER_hh_emih_in!L31=0,0,SER_hh_emih_in!L31/SER_summary!L$27)</f>
        <v>0</v>
      </c>
      <c r="M31" s="132">
        <f>IF(SER_hh_emih_in!M31=0,0,SER_hh_emih_in!M31/SER_summary!M$27)</f>
        <v>0</v>
      </c>
      <c r="N31" s="132">
        <f>IF(SER_hh_emih_in!N31=0,0,SER_hh_emih_in!N31/SER_summary!N$27)</f>
        <v>0</v>
      </c>
      <c r="O31" s="132">
        <f>IF(SER_hh_emih_in!O31=0,0,SER_hh_emih_in!O31/SER_summary!O$27)</f>
        <v>0</v>
      </c>
      <c r="P31" s="132">
        <f>IF(SER_hh_emih_in!P31=0,0,SER_hh_emih_in!P31/SER_summary!P$27)</f>
        <v>0</v>
      </c>
      <c r="Q31" s="132">
        <f>IF(SER_hh_emih_in!Q31=0,0,SER_hh_emih_in!Q31/SER_summary!Q$27)</f>
        <v>0</v>
      </c>
      <c r="R31" s="132">
        <f>IF(SER_hh_emih_in!R31=0,0,SER_hh_emih_in!R31/SER_summary!R$27)</f>
        <v>0</v>
      </c>
      <c r="S31" s="132">
        <f>IF(SER_hh_emih_in!S31=0,0,SER_hh_emih_in!S31/SER_summary!S$27)</f>
        <v>0</v>
      </c>
      <c r="T31" s="132">
        <f>IF(SER_hh_emih_in!T31=0,0,SER_hh_emih_in!T31/SER_summary!T$27)</f>
        <v>0</v>
      </c>
      <c r="U31" s="132">
        <f>IF(SER_hh_emih_in!U31=0,0,SER_hh_emih_in!U31/SER_summary!U$27)</f>
        <v>0</v>
      </c>
      <c r="V31" s="132">
        <f>IF(SER_hh_emih_in!V31=0,0,SER_hh_emih_in!V31/SER_summary!V$27)</f>
        <v>0</v>
      </c>
      <c r="W31" s="132">
        <f>IF(SER_hh_emih_in!W31=0,0,SER_hh_emih_in!W31/SER_summary!W$27)</f>
        <v>0</v>
      </c>
      <c r="X31" s="132">
        <f>IF(SER_hh_emih_in!X31=0,0,SER_hh_emih_in!X31/SER_summary!X$27)</f>
        <v>0</v>
      </c>
      <c r="Y31" s="132">
        <f>IF(SER_hh_emih_in!Y31=0,0,SER_hh_emih_in!Y31/SER_summary!Y$27)</f>
        <v>0</v>
      </c>
      <c r="DA31" s="156" t="s">
        <v>906</v>
      </c>
    </row>
    <row r="32" spans="1:105" ht="12" customHeight="1" x14ac:dyDescent="0.25">
      <c r="A32" s="131" t="s">
        <v>128</v>
      </c>
      <c r="B32" s="132"/>
      <c r="C32" s="132">
        <f>IF(SER_hh_emih_in!C32=0,0,SER_hh_emih_in!C32/SER_summary!C$27)</f>
        <v>0</v>
      </c>
      <c r="D32" s="132">
        <f>IF(SER_hh_emih_in!D32=0,0,SER_hh_emih_in!D32/SER_summary!D$27)</f>
        <v>0</v>
      </c>
      <c r="E32" s="132">
        <f>IF(SER_hh_emih_in!E32=0,0,SER_hh_emih_in!E32/SER_summary!E$27)</f>
        <v>0</v>
      </c>
      <c r="F32" s="132">
        <f>IF(SER_hh_emih_in!F32=0,0,SER_hh_emih_in!F32/SER_summary!F$27)</f>
        <v>0</v>
      </c>
      <c r="G32" s="132">
        <f>IF(SER_hh_emih_in!G32=0,0,SER_hh_emih_in!G32/SER_summary!G$27)</f>
        <v>0</v>
      </c>
      <c r="H32" s="132">
        <f>IF(SER_hh_emih_in!H32=0,0,SER_hh_emih_in!H32/SER_summary!H$27)</f>
        <v>0</v>
      </c>
      <c r="I32" s="132">
        <f>IF(SER_hh_emih_in!I32=0,0,SER_hh_emih_in!I32/SER_summary!I$27)</f>
        <v>0</v>
      </c>
      <c r="J32" s="132">
        <f>IF(SER_hh_emih_in!J32=0,0,SER_hh_emih_in!J32/SER_summary!J$27)</f>
        <v>0</v>
      </c>
      <c r="K32" s="132">
        <f>IF(SER_hh_emih_in!K32=0,0,SER_hh_emih_in!K32/SER_summary!K$27)</f>
        <v>0</v>
      </c>
      <c r="L32" s="132">
        <f>IF(SER_hh_emih_in!L32=0,0,SER_hh_emih_in!L32/SER_summary!L$27)</f>
        <v>0</v>
      </c>
      <c r="M32" s="132">
        <f>IF(SER_hh_emih_in!M32=0,0,SER_hh_emih_in!M32/SER_summary!M$27)</f>
        <v>0</v>
      </c>
      <c r="N32" s="132">
        <f>IF(SER_hh_emih_in!N32=0,0,SER_hh_emih_in!N32/SER_summary!N$27)</f>
        <v>0</v>
      </c>
      <c r="O32" s="132">
        <f>IF(SER_hh_emih_in!O32=0,0,SER_hh_emih_in!O32/SER_summary!O$27)</f>
        <v>0</v>
      </c>
      <c r="P32" s="132">
        <f>IF(SER_hh_emih_in!P32=0,0,SER_hh_emih_in!P32/SER_summary!P$27)</f>
        <v>0</v>
      </c>
      <c r="Q32" s="132">
        <f>IF(SER_hh_emih_in!Q32=0,0,SER_hh_emih_in!Q32/SER_summary!Q$27)</f>
        <v>0</v>
      </c>
      <c r="R32" s="132">
        <f>IF(SER_hh_emih_in!R32=0,0,SER_hh_emih_in!R32/SER_summary!R$27)</f>
        <v>0</v>
      </c>
      <c r="S32" s="132">
        <f>IF(SER_hh_emih_in!S32=0,0,SER_hh_emih_in!S32/SER_summary!S$27)</f>
        <v>0</v>
      </c>
      <c r="T32" s="132">
        <f>IF(SER_hh_emih_in!T32=0,0,SER_hh_emih_in!T32/SER_summary!T$27)</f>
        <v>0</v>
      </c>
      <c r="U32" s="132">
        <f>IF(SER_hh_emih_in!U32=0,0,SER_hh_emih_in!U32/SER_summary!U$27)</f>
        <v>0</v>
      </c>
      <c r="V32" s="132">
        <f>IF(SER_hh_emih_in!V32=0,0,SER_hh_emih_in!V32/SER_summary!V$27)</f>
        <v>0</v>
      </c>
      <c r="W32" s="132">
        <f>IF(SER_hh_emih_in!W32=0,0,SER_hh_emih_in!W32/SER_summary!W$27)</f>
        <v>0</v>
      </c>
      <c r="X32" s="132">
        <f>IF(SER_hh_emih_in!X32=0,0,SER_hh_emih_in!X32/SER_summary!X$27)</f>
        <v>0</v>
      </c>
      <c r="Y32" s="132">
        <f>IF(SER_hh_emih_in!Y32=0,0,SER_hh_emih_in!Y32/SER_summary!Y$27)</f>
        <v>0</v>
      </c>
      <c r="DA32" s="156" t="s">
        <v>907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X33" s="68">
        <f>IF(SER_hh_emih_in!X33=0,0,SER_hh_emih_in!X33/SER_summary!X$27)</f>
        <v>0</v>
      </c>
      <c r="Y33" s="68">
        <f>IF(SER_hh_emih_in!Y33=0,0,SER_hh_emih_in!Y33/SER_summary!Y$27)</f>
        <v>0</v>
      </c>
      <c r="DA33" s="111" t="s">
        <v>908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78" t="s">
        <v>81</v>
      </c>
      <c r="B3" s="179">
        <f t="shared" ref="B3" si="0">SUM(B4:B9)</f>
        <v>56.391378568205823</v>
      </c>
      <c r="C3" s="179">
        <f t="shared" ref="C3:W3" si="1">SUM(C4:C9)</f>
        <v>58.542632819920463</v>
      </c>
      <c r="D3" s="179">
        <f t="shared" si="1"/>
        <v>60.747526533834389</v>
      </c>
      <c r="E3" s="179">
        <f t="shared" si="1"/>
        <v>62.765926823288552</v>
      </c>
      <c r="F3" s="179">
        <f t="shared" si="1"/>
        <v>65.182643971289622</v>
      </c>
      <c r="G3" s="179">
        <f t="shared" si="1"/>
        <v>67.257436450804931</v>
      </c>
      <c r="H3" s="179">
        <f t="shared" si="1"/>
        <v>69.067029024788312</v>
      </c>
      <c r="I3" s="179">
        <f t="shared" si="1"/>
        <v>71.209165849891676</v>
      </c>
      <c r="J3" s="179">
        <f t="shared" si="1"/>
        <v>73.50659132236629</v>
      </c>
      <c r="K3" s="179">
        <f t="shared" si="1"/>
        <v>75.872305661893193</v>
      </c>
      <c r="L3" s="179">
        <f t="shared" si="1"/>
        <v>78.238246560399091</v>
      </c>
      <c r="M3" s="179">
        <f t="shared" si="1"/>
        <v>80.064424334868036</v>
      </c>
      <c r="N3" s="179">
        <f t="shared" si="1"/>
        <v>81.983863596502715</v>
      </c>
      <c r="O3" s="179">
        <f t="shared" si="1"/>
        <v>82.533331619471483</v>
      </c>
      <c r="P3" s="179">
        <f t="shared" si="1"/>
        <v>82.656300049153458</v>
      </c>
      <c r="Q3" s="179">
        <f t="shared" si="1"/>
        <v>83.11197414712781</v>
      </c>
      <c r="R3" s="179">
        <f t="shared" si="1"/>
        <v>83.958765445319955</v>
      </c>
      <c r="S3" s="179">
        <f t="shared" si="1"/>
        <v>84.082106574327923</v>
      </c>
      <c r="T3" s="179">
        <f t="shared" si="1"/>
        <v>82.720940801127952</v>
      </c>
      <c r="U3" s="179">
        <f t="shared" si="1"/>
        <v>81.208009280961008</v>
      </c>
      <c r="V3" s="179">
        <f t="shared" si="1"/>
        <v>72.310551427304802</v>
      </c>
      <c r="W3" s="179">
        <f t="shared" si="1"/>
        <v>75.115853348676623</v>
      </c>
      <c r="X3" s="179">
        <f t="shared" ref="X3:Y3" si="2">SUM(X4:X9)</f>
        <v>75.136135235126815</v>
      </c>
      <c r="Y3" s="179">
        <f t="shared" si="2"/>
        <v>74.242636917158379</v>
      </c>
      <c r="DA3" s="188" t="s">
        <v>218</v>
      </c>
    </row>
    <row r="4" spans="1:105" ht="12" customHeight="1" x14ac:dyDescent="0.25">
      <c r="A4" s="131" t="s">
        <v>7</v>
      </c>
      <c r="B4" s="180">
        <f t="shared" ref="B4:B9" si="3">B12*B44/11630</f>
        <v>3.2487974911147277</v>
      </c>
      <c r="C4" s="180">
        <f t="shared" ref="C4:R9" si="4">C12*C44/11630</f>
        <v>3.3726122710078057</v>
      </c>
      <c r="D4" s="180">
        <f t="shared" si="4"/>
        <v>3.4776566277452439</v>
      </c>
      <c r="E4" s="180">
        <f t="shared" si="4"/>
        <v>3.5887139191253072</v>
      </c>
      <c r="F4" s="180">
        <f t="shared" si="4"/>
        <v>3.7170904845577972</v>
      </c>
      <c r="G4" s="180">
        <f t="shared" si="4"/>
        <v>3.8473462590642424</v>
      </c>
      <c r="H4" s="180">
        <f t="shared" si="4"/>
        <v>3.9706881278930748</v>
      </c>
      <c r="I4" s="180">
        <f t="shared" si="4"/>
        <v>4.1108863078586317</v>
      </c>
      <c r="J4" s="180">
        <f t="shared" si="4"/>
        <v>4.2445974910889799</v>
      </c>
      <c r="K4" s="180">
        <f t="shared" si="4"/>
        <v>4.4067219760632534</v>
      </c>
      <c r="L4" s="180">
        <f t="shared" si="4"/>
        <v>4.5786079659324299</v>
      </c>
      <c r="M4" s="180">
        <f t="shared" si="4"/>
        <v>4.7080010523458666</v>
      </c>
      <c r="N4" s="180">
        <f t="shared" si="4"/>
        <v>4.8383430883806362</v>
      </c>
      <c r="O4" s="180">
        <f t="shared" si="4"/>
        <v>4.872018164382955</v>
      </c>
      <c r="P4" s="180">
        <f t="shared" si="4"/>
        <v>4.858306796795838</v>
      </c>
      <c r="Q4" s="180">
        <f t="shared" si="4"/>
        <v>4.8545040126950632</v>
      </c>
      <c r="R4" s="180">
        <f t="shared" si="4"/>
        <v>4.9368880187903299</v>
      </c>
      <c r="S4" s="180">
        <f t="shared" ref="D4:W9" si="5">S12*S44/11630</f>
        <v>5.0409654445190206</v>
      </c>
      <c r="T4" s="180">
        <f t="shared" si="5"/>
        <v>5.1405444799637712</v>
      </c>
      <c r="U4" s="180">
        <f t="shared" si="5"/>
        <v>5.2430328432244107</v>
      </c>
      <c r="V4" s="180">
        <f t="shared" si="5"/>
        <v>5.3359919106991898</v>
      </c>
      <c r="W4" s="180">
        <f t="shared" si="5"/>
        <v>5.4168270420454618</v>
      </c>
      <c r="X4" s="180">
        <f t="shared" ref="X4:Y4" si="6">X12*X44/11630</f>
        <v>5.445463217623236</v>
      </c>
      <c r="Y4" s="180">
        <f t="shared" si="6"/>
        <v>5.4483768936479473</v>
      </c>
      <c r="DA4" s="189" t="s">
        <v>909</v>
      </c>
    </row>
    <row r="5" spans="1:105" ht="12" customHeight="1" x14ac:dyDescent="0.25">
      <c r="A5" s="131" t="s">
        <v>6</v>
      </c>
      <c r="B5" s="180">
        <f t="shared" si="3"/>
        <v>9.9661645600961659</v>
      </c>
      <c r="C5" s="180">
        <f t="shared" si="4"/>
        <v>10.160463778087424</v>
      </c>
      <c r="D5" s="180">
        <f t="shared" si="5"/>
        <v>10.357082080075285</v>
      </c>
      <c r="E5" s="180">
        <f t="shared" si="5"/>
        <v>10.582729099751408</v>
      </c>
      <c r="F5" s="180">
        <f t="shared" si="5"/>
        <v>10.866542255327866</v>
      </c>
      <c r="G5" s="180">
        <f t="shared" si="5"/>
        <v>11.061140158113581</v>
      </c>
      <c r="H5" s="180">
        <f t="shared" si="5"/>
        <v>11.274672265687345</v>
      </c>
      <c r="I5" s="180">
        <f t="shared" si="5"/>
        <v>11.454110338190763</v>
      </c>
      <c r="J5" s="180">
        <f t="shared" si="5"/>
        <v>11.73764943738475</v>
      </c>
      <c r="K5" s="180">
        <f t="shared" si="5"/>
        <v>12.038921179053368</v>
      </c>
      <c r="L5" s="180">
        <f t="shared" si="5"/>
        <v>12.360859085334942</v>
      </c>
      <c r="M5" s="180">
        <f t="shared" si="5"/>
        <v>12.555841957678957</v>
      </c>
      <c r="N5" s="180">
        <f t="shared" si="5"/>
        <v>12.735006608428447</v>
      </c>
      <c r="O5" s="180">
        <f t="shared" si="5"/>
        <v>12.845898486055191</v>
      </c>
      <c r="P5" s="180">
        <f t="shared" si="5"/>
        <v>12.94510952852627</v>
      </c>
      <c r="Q5" s="180">
        <f t="shared" si="5"/>
        <v>13.000234278582885</v>
      </c>
      <c r="R5" s="180">
        <f t="shared" si="5"/>
        <v>13.070071994390837</v>
      </c>
      <c r="S5" s="180">
        <f t="shared" si="5"/>
        <v>12.929791693514634</v>
      </c>
      <c r="T5" s="180">
        <f t="shared" si="5"/>
        <v>12.510984564234461</v>
      </c>
      <c r="U5" s="180">
        <f t="shared" si="5"/>
        <v>12.04504447751961</v>
      </c>
      <c r="V5" s="180">
        <f t="shared" si="5"/>
        <v>11.568912176136976</v>
      </c>
      <c r="W5" s="180">
        <f t="shared" si="5"/>
        <v>11.169737711984057</v>
      </c>
      <c r="X5" s="180">
        <f t="shared" ref="X5:Y5" si="7">X13*X45/11630</f>
        <v>10.84831316682881</v>
      </c>
      <c r="Y5" s="180">
        <f t="shared" si="7"/>
        <v>10.466688234967716</v>
      </c>
      <c r="DA5" s="189" t="s">
        <v>910</v>
      </c>
    </row>
    <row r="6" spans="1:105" ht="12" customHeight="1" x14ac:dyDescent="0.25">
      <c r="A6" s="131" t="s">
        <v>5</v>
      </c>
      <c r="B6" s="180">
        <f t="shared" si="3"/>
        <v>23.167198402442637</v>
      </c>
      <c r="C6" s="180">
        <f t="shared" si="4"/>
        <v>23.705097546239166</v>
      </c>
      <c r="D6" s="180">
        <f t="shared" si="5"/>
        <v>24.100392902245471</v>
      </c>
      <c r="E6" s="180">
        <f t="shared" si="5"/>
        <v>24.419802594216936</v>
      </c>
      <c r="F6" s="180">
        <f t="shared" si="5"/>
        <v>24.994638112961898</v>
      </c>
      <c r="G6" s="180">
        <f t="shared" si="5"/>
        <v>25.426518376413043</v>
      </c>
      <c r="H6" s="180">
        <f t="shared" si="5"/>
        <v>25.694026004880804</v>
      </c>
      <c r="I6" s="180">
        <f t="shared" si="5"/>
        <v>26.335679223806803</v>
      </c>
      <c r="J6" s="180">
        <f t="shared" si="5"/>
        <v>27.008761078795349</v>
      </c>
      <c r="K6" s="180">
        <f t="shared" si="5"/>
        <v>27.727485936496493</v>
      </c>
      <c r="L6" s="180">
        <f t="shared" si="5"/>
        <v>28.529779621867512</v>
      </c>
      <c r="M6" s="180">
        <f t="shared" si="5"/>
        <v>29.12063800781597</v>
      </c>
      <c r="N6" s="180">
        <f t="shared" si="5"/>
        <v>29.69135437319024</v>
      </c>
      <c r="O6" s="180">
        <f t="shared" si="5"/>
        <v>29.645312174626394</v>
      </c>
      <c r="P6" s="180">
        <f t="shared" si="5"/>
        <v>29.370827811979723</v>
      </c>
      <c r="Q6" s="180">
        <f t="shared" si="5"/>
        <v>29.193995176067606</v>
      </c>
      <c r="R6" s="180">
        <f t="shared" si="5"/>
        <v>28.924937429147544</v>
      </c>
      <c r="S6" s="180">
        <f t="shared" si="5"/>
        <v>28.230216335266331</v>
      </c>
      <c r="T6" s="180">
        <f t="shared" si="5"/>
        <v>26.661503202552471</v>
      </c>
      <c r="U6" s="180">
        <f t="shared" si="5"/>
        <v>25.078552199296759</v>
      </c>
      <c r="V6" s="180">
        <f t="shared" si="5"/>
        <v>19.623021110381462</v>
      </c>
      <c r="W6" s="180">
        <f t="shared" si="5"/>
        <v>20.440367972657267</v>
      </c>
      <c r="X6" s="180">
        <f t="shared" ref="X6:Y6" si="8">X14*X46/11630</f>
        <v>19.841367936039831</v>
      </c>
      <c r="Y6" s="180">
        <f t="shared" si="8"/>
        <v>18.926901723382471</v>
      </c>
      <c r="DA6" s="189" t="s">
        <v>911</v>
      </c>
    </row>
    <row r="7" spans="1:105" ht="12" customHeight="1" x14ac:dyDescent="0.25">
      <c r="A7" s="131" t="s">
        <v>171</v>
      </c>
      <c r="B7" s="180">
        <f t="shared" si="3"/>
        <v>9.9434627316909712</v>
      </c>
      <c r="C7" s="180">
        <f t="shared" si="4"/>
        <v>10.110623384494989</v>
      </c>
      <c r="D7" s="180">
        <f t="shared" si="5"/>
        <v>10.279252029766852</v>
      </c>
      <c r="E7" s="180">
        <f t="shared" si="5"/>
        <v>10.412851439983793</v>
      </c>
      <c r="F7" s="180">
        <f t="shared" si="5"/>
        <v>10.507397758621893</v>
      </c>
      <c r="G7" s="180">
        <f t="shared" si="5"/>
        <v>10.70190438220904</v>
      </c>
      <c r="H7" s="180">
        <f t="shared" si="5"/>
        <v>10.961726615439391</v>
      </c>
      <c r="I7" s="180">
        <f t="shared" si="5"/>
        <v>11.268265058157851</v>
      </c>
      <c r="J7" s="180">
        <f t="shared" si="5"/>
        <v>11.586507727647106</v>
      </c>
      <c r="K7" s="180">
        <f t="shared" si="5"/>
        <v>11.923368117380184</v>
      </c>
      <c r="L7" s="180">
        <f t="shared" si="5"/>
        <v>12.182898344128548</v>
      </c>
      <c r="M7" s="180">
        <f t="shared" si="5"/>
        <v>12.426994099322581</v>
      </c>
      <c r="N7" s="180">
        <f t="shared" si="5"/>
        <v>12.729176685180555</v>
      </c>
      <c r="O7" s="180">
        <f t="shared" si="5"/>
        <v>12.781923632204114</v>
      </c>
      <c r="P7" s="180">
        <f t="shared" si="5"/>
        <v>12.678564244045937</v>
      </c>
      <c r="Q7" s="180">
        <f t="shared" si="5"/>
        <v>12.586016648876708</v>
      </c>
      <c r="R7" s="180">
        <f t="shared" si="5"/>
        <v>12.532210361461781</v>
      </c>
      <c r="S7" s="180">
        <f t="shared" si="5"/>
        <v>12.512936289114522</v>
      </c>
      <c r="T7" s="180">
        <f t="shared" si="5"/>
        <v>12.487753125635829</v>
      </c>
      <c r="U7" s="180">
        <f t="shared" si="5"/>
        <v>12.452315101333937</v>
      </c>
      <c r="V7" s="180">
        <f t="shared" si="5"/>
        <v>12.421459634344732</v>
      </c>
      <c r="W7" s="180">
        <f t="shared" si="5"/>
        <v>12.373735389777758</v>
      </c>
      <c r="X7" s="180">
        <f t="shared" ref="X7:Y7" si="9">X15*X47/11630</f>
        <v>12.32549992763103</v>
      </c>
      <c r="Y7" s="180">
        <f t="shared" si="9"/>
        <v>12.12112993231213</v>
      </c>
      <c r="DA7" s="189" t="s">
        <v>912</v>
      </c>
    </row>
    <row r="8" spans="1:105" ht="12" customHeight="1" x14ac:dyDescent="0.25">
      <c r="A8" s="60" t="s">
        <v>4</v>
      </c>
      <c r="B8" s="55">
        <f t="shared" si="3"/>
        <v>6.4230542133531339</v>
      </c>
      <c r="C8" s="55">
        <f t="shared" si="4"/>
        <v>6.889981962036396</v>
      </c>
      <c r="D8" s="55">
        <f t="shared" si="5"/>
        <v>7.4364719358983713</v>
      </c>
      <c r="E8" s="55">
        <f t="shared" si="5"/>
        <v>7.9439869887149417</v>
      </c>
      <c r="F8" s="55">
        <f t="shared" si="5"/>
        <v>8.5157837025230876</v>
      </c>
      <c r="G8" s="55">
        <f t="shared" si="5"/>
        <v>9.0285540251334009</v>
      </c>
      <c r="H8" s="55">
        <f t="shared" si="5"/>
        <v>9.5077016410940907</v>
      </c>
      <c r="I8" s="55">
        <f t="shared" si="5"/>
        <v>10.079856352747338</v>
      </c>
      <c r="J8" s="55">
        <f t="shared" si="5"/>
        <v>10.642083318241564</v>
      </c>
      <c r="K8" s="55">
        <f t="shared" si="5"/>
        <v>11.230791085948365</v>
      </c>
      <c r="L8" s="55">
        <f t="shared" si="5"/>
        <v>11.794870150418086</v>
      </c>
      <c r="M8" s="55">
        <f t="shared" si="5"/>
        <v>12.286239269556045</v>
      </c>
      <c r="N8" s="55">
        <f t="shared" si="5"/>
        <v>12.683171045042004</v>
      </c>
      <c r="O8" s="55">
        <f t="shared" si="5"/>
        <v>12.71337549483451</v>
      </c>
      <c r="P8" s="55">
        <f t="shared" si="5"/>
        <v>12.589121305700839</v>
      </c>
      <c r="Q8" s="55">
        <f t="shared" si="5"/>
        <v>12.409446744433652</v>
      </c>
      <c r="R8" s="55">
        <f t="shared" si="5"/>
        <v>13.02686473157357</v>
      </c>
      <c r="S8" s="55">
        <f t="shared" si="5"/>
        <v>13.578399386076835</v>
      </c>
      <c r="T8" s="55">
        <f t="shared" si="5"/>
        <v>13.931834150447266</v>
      </c>
      <c r="U8" s="55">
        <f t="shared" si="5"/>
        <v>14.183742042481921</v>
      </c>
      <c r="V8" s="55">
        <f t="shared" si="5"/>
        <v>12.015903478308546</v>
      </c>
      <c r="W8" s="55">
        <f t="shared" si="5"/>
        <v>13.640422490666337</v>
      </c>
      <c r="X8" s="55">
        <f t="shared" ref="X8:Y8" si="10">X16*X48/11630</f>
        <v>14.265235178780483</v>
      </c>
      <c r="Y8" s="55">
        <f t="shared" si="10"/>
        <v>14.607007846462832</v>
      </c>
      <c r="DA8" s="101" t="s">
        <v>913</v>
      </c>
    </row>
    <row r="9" spans="1:105" ht="12" customHeight="1" x14ac:dyDescent="0.25">
      <c r="A9" s="62" t="s">
        <v>3</v>
      </c>
      <c r="B9" s="63">
        <f t="shared" si="3"/>
        <v>3.6427011695081899</v>
      </c>
      <c r="C9" s="63">
        <f t="shared" si="4"/>
        <v>4.3038538780546816</v>
      </c>
      <c r="D9" s="63">
        <f t="shared" si="5"/>
        <v>5.0966709581031635</v>
      </c>
      <c r="E9" s="63">
        <f t="shared" si="5"/>
        <v>5.8178427814961671</v>
      </c>
      <c r="F9" s="63">
        <f t="shared" si="5"/>
        <v>6.5811916572970866</v>
      </c>
      <c r="G9" s="63">
        <f t="shared" si="5"/>
        <v>7.1919732498716273</v>
      </c>
      <c r="H9" s="63">
        <f t="shared" si="5"/>
        <v>7.6582143697936145</v>
      </c>
      <c r="I9" s="63">
        <f t="shared" si="5"/>
        <v>7.960368569130285</v>
      </c>
      <c r="J9" s="63">
        <f t="shared" si="5"/>
        <v>8.2869922692085467</v>
      </c>
      <c r="K9" s="63">
        <f t="shared" si="5"/>
        <v>8.5450173669515337</v>
      </c>
      <c r="L9" s="63">
        <f t="shared" si="5"/>
        <v>8.7912313927175738</v>
      </c>
      <c r="M9" s="63">
        <f t="shared" si="5"/>
        <v>8.966709948148603</v>
      </c>
      <c r="N9" s="63">
        <f t="shared" si="5"/>
        <v>9.3068117962808312</v>
      </c>
      <c r="O9" s="63">
        <f t="shared" si="5"/>
        <v>9.6748036673683195</v>
      </c>
      <c r="P9" s="63">
        <f t="shared" si="5"/>
        <v>10.214370362104859</v>
      </c>
      <c r="Q9" s="63">
        <f t="shared" si="5"/>
        <v>11.067777286471898</v>
      </c>
      <c r="R9" s="63">
        <f t="shared" si="5"/>
        <v>11.467792909955882</v>
      </c>
      <c r="S9" s="63">
        <f t="shared" si="5"/>
        <v>11.789797425836582</v>
      </c>
      <c r="T9" s="63">
        <f t="shared" si="5"/>
        <v>11.988321278294151</v>
      </c>
      <c r="U9" s="63">
        <f t="shared" si="5"/>
        <v>12.205322617104374</v>
      </c>
      <c r="V9" s="63">
        <f t="shared" si="5"/>
        <v>11.345263117433909</v>
      </c>
      <c r="W9" s="63">
        <f t="shared" si="5"/>
        <v>12.074762741545744</v>
      </c>
      <c r="X9" s="63">
        <f t="shared" ref="X9:Y9" si="11">X17*X49/11630</f>
        <v>12.410255808223431</v>
      </c>
      <c r="Y9" s="63">
        <f t="shared" si="11"/>
        <v>12.672532286385277</v>
      </c>
      <c r="DA9" s="105" t="s">
        <v>914</v>
      </c>
    </row>
    <row r="10" spans="1:105" s="2" customFormat="1" ht="12" customHeight="1" x14ac:dyDescent="0.25">
      <c r="DA10" s="7"/>
    </row>
    <row r="11" spans="1:105" ht="12.95" customHeight="1" x14ac:dyDescent="0.25">
      <c r="A11" s="178" t="s">
        <v>108</v>
      </c>
      <c r="B11" s="179">
        <f t="shared" ref="B11" si="12">SUM(B12:B17)</f>
        <v>278.24422047174812</v>
      </c>
      <c r="C11" s="179">
        <f t="shared" ref="C11:W11" si="13">SUM(C12:C17)</f>
        <v>290.1553869866583</v>
      </c>
      <c r="D11" s="179">
        <f t="shared" si="13"/>
        <v>302.88600793992316</v>
      </c>
      <c r="E11" s="179">
        <f t="shared" si="13"/>
        <v>314.36696416173481</v>
      </c>
      <c r="F11" s="179">
        <f t="shared" si="13"/>
        <v>327.99560021609284</v>
      </c>
      <c r="G11" s="179">
        <f t="shared" si="13"/>
        <v>339.14336765697738</v>
      </c>
      <c r="H11" s="179">
        <f t="shared" si="13"/>
        <v>348.11458583800612</v>
      </c>
      <c r="I11" s="179">
        <f t="shared" si="13"/>
        <v>359.20966003120213</v>
      </c>
      <c r="J11" s="179">
        <f t="shared" si="13"/>
        <v>371.2450735642567</v>
      </c>
      <c r="K11" s="179">
        <f t="shared" si="13"/>
        <v>383.73191517082387</v>
      </c>
      <c r="L11" s="179">
        <f t="shared" si="13"/>
        <v>396.19329519632566</v>
      </c>
      <c r="M11" s="179">
        <f t="shared" si="13"/>
        <v>406.00330346394628</v>
      </c>
      <c r="N11" s="179">
        <f t="shared" si="13"/>
        <v>416.16922441512372</v>
      </c>
      <c r="O11" s="179">
        <f t="shared" si="13"/>
        <v>418.11475959533664</v>
      </c>
      <c r="P11" s="179">
        <f t="shared" si="13"/>
        <v>417.3707795564016</v>
      </c>
      <c r="Q11" s="179">
        <f t="shared" si="13"/>
        <v>418.2935378094142</v>
      </c>
      <c r="R11" s="179">
        <f t="shared" si="13"/>
        <v>417.0108878832412</v>
      </c>
      <c r="S11" s="179">
        <f t="shared" si="13"/>
        <v>417.01921013274534</v>
      </c>
      <c r="T11" s="179">
        <f t="shared" si="13"/>
        <v>415.70676949899934</v>
      </c>
      <c r="U11" s="179">
        <f t="shared" si="13"/>
        <v>413.82153431371398</v>
      </c>
      <c r="V11" s="179">
        <f t="shared" si="13"/>
        <v>410.1153463744825</v>
      </c>
      <c r="W11" s="179">
        <f t="shared" si="13"/>
        <v>404.74159011136373</v>
      </c>
      <c r="X11" s="179">
        <f t="shared" ref="X11:Y11" si="14">SUM(X12:X17)</f>
        <v>400.09905365454176</v>
      </c>
      <c r="Y11" s="179">
        <f t="shared" si="14"/>
        <v>394.49532210397155</v>
      </c>
      <c r="DA11" s="188" t="s">
        <v>915</v>
      </c>
    </row>
    <row r="12" spans="1:105" ht="12" customHeight="1" x14ac:dyDescent="0.25">
      <c r="A12" s="131" t="s">
        <v>7</v>
      </c>
      <c r="B12" s="180">
        <f>B20*B52</f>
        <v>4.3131866234776588</v>
      </c>
      <c r="C12" s="180">
        <f t="shared" ref="C12:W12" si="15">C20*C52</f>
        <v>4.4775662913037433</v>
      </c>
      <c r="D12" s="180">
        <f t="shared" si="15"/>
        <v>4.6170258653741083</v>
      </c>
      <c r="E12" s="180">
        <f t="shared" si="15"/>
        <v>4.7644683652314308</v>
      </c>
      <c r="F12" s="180">
        <f t="shared" si="15"/>
        <v>4.9349043761880358</v>
      </c>
      <c r="G12" s="180">
        <f t="shared" si="15"/>
        <v>5.1078352731640564</v>
      </c>
      <c r="H12" s="180">
        <f t="shared" si="15"/>
        <v>5.2715870921685477</v>
      </c>
      <c r="I12" s="180">
        <f t="shared" si="15"/>
        <v>5.4577177808671093</v>
      </c>
      <c r="J12" s="180">
        <f t="shared" si="15"/>
        <v>5.6352361668224722</v>
      </c>
      <c r="K12" s="180">
        <f t="shared" si="15"/>
        <v>5.8504767787232455</v>
      </c>
      <c r="L12" s="180">
        <f t="shared" si="15"/>
        <v>6.0786770141317543</v>
      </c>
      <c r="M12" s="180">
        <f t="shared" si="15"/>
        <v>6.2504625843358941</v>
      </c>
      <c r="N12" s="180">
        <f t="shared" si="15"/>
        <v>6.423508004322696</v>
      </c>
      <c r="O12" s="180">
        <f t="shared" si="15"/>
        <v>6.4682158963212082</v>
      </c>
      <c r="P12" s="180">
        <f t="shared" si="15"/>
        <v>6.4500123341022411</v>
      </c>
      <c r="Q12" s="180">
        <f t="shared" si="15"/>
        <v>6.4449636606899094</v>
      </c>
      <c r="R12" s="180">
        <f t="shared" si="15"/>
        <v>6.5543387738049725</v>
      </c>
      <c r="S12" s="180">
        <f t="shared" si="15"/>
        <v>6.6925146255429491</v>
      </c>
      <c r="T12" s="180">
        <f t="shared" si="15"/>
        <v>6.824718299312635</v>
      </c>
      <c r="U12" s="180">
        <f t="shared" si="15"/>
        <v>6.9607844710844624</v>
      </c>
      <c r="V12" s="180">
        <f t="shared" si="15"/>
        <v>7.084199306099495</v>
      </c>
      <c r="W12" s="180">
        <f t="shared" si="15"/>
        <v>7.1915180934918617</v>
      </c>
      <c r="X12" s="180">
        <f t="shared" ref="X12:Y12" si="16">X20*X52</f>
        <v>7.2295362124381528</v>
      </c>
      <c r="Y12" s="180">
        <f t="shared" si="16"/>
        <v>7.2334044832335174</v>
      </c>
      <c r="DA12" s="189" t="s">
        <v>916</v>
      </c>
    </row>
    <row r="13" spans="1:105" ht="12" customHeight="1" x14ac:dyDescent="0.25">
      <c r="A13" s="131" t="s">
        <v>6</v>
      </c>
      <c r="B13" s="180">
        <f>B21*B53/1000</f>
        <v>31.893148102213953</v>
      </c>
      <c r="C13" s="180">
        <f t="shared" ref="C13:W13" si="17">C21*C53/1000</f>
        <v>32.46400743675418</v>
      </c>
      <c r="D13" s="180">
        <f t="shared" si="17"/>
        <v>33.048087831291113</v>
      </c>
      <c r="E13" s="180">
        <f t="shared" si="17"/>
        <v>33.751493330466886</v>
      </c>
      <c r="F13" s="180">
        <f t="shared" si="17"/>
        <v>34.571805004799252</v>
      </c>
      <c r="G13" s="180">
        <f t="shared" si="17"/>
        <v>35.16459382979631</v>
      </c>
      <c r="H13" s="180">
        <f t="shared" si="17"/>
        <v>35.829961441123508</v>
      </c>
      <c r="I13" s="180">
        <f t="shared" si="17"/>
        <v>36.397570220912414</v>
      </c>
      <c r="J13" s="180">
        <f t="shared" si="17"/>
        <v>37.288228371019592</v>
      </c>
      <c r="K13" s="180">
        <f t="shared" si="17"/>
        <v>38.278459986185553</v>
      </c>
      <c r="L13" s="180">
        <f t="shared" si="17"/>
        <v>39.325116870897297</v>
      </c>
      <c r="M13" s="180">
        <f t="shared" si="17"/>
        <v>40.064555762693054</v>
      </c>
      <c r="N13" s="180">
        <f t="shared" si="17"/>
        <v>40.84896422287899</v>
      </c>
      <c r="O13" s="180">
        <f t="shared" si="17"/>
        <v>41.392218866192842</v>
      </c>
      <c r="P13" s="180">
        <f t="shared" si="17"/>
        <v>41.825522404860891</v>
      </c>
      <c r="Q13" s="180">
        <f t="shared" si="17"/>
        <v>42.259867731243126</v>
      </c>
      <c r="R13" s="180">
        <f t="shared" si="17"/>
        <v>41.57585278221881</v>
      </c>
      <c r="S13" s="180">
        <f t="shared" si="17"/>
        <v>40.799435961727227</v>
      </c>
      <c r="T13" s="180">
        <f t="shared" si="17"/>
        <v>39.84838077288186</v>
      </c>
      <c r="U13" s="180">
        <f t="shared" si="17"/>
        <v>38.726229531100415</v>
      </c>
      <c r="V13" s="180">
        <f t="shared" si="17"/>
        <v>37.414878712625345</v>
      </c>
      <c r="W13" s="180">
        <f t="shared" si="17"/>
        <v>36.081513195591377</v>
      </c>
      <c r="X13" s="180">
        <f t="shared" ref="X13:Y13" si="18">X21*X53/1000</f>
        <v>35.043504099332665</v>
      </c>
      <c r="Y13" s="180">
        <f t="shared" si="18"/>
        <v>33.811010063909592</v>
      </c>
      <c r="DA13" s="189" t="s">
        <v>917</v>
      </c>
    </row>
    <row r="14" spans="1:105" ht="12" customHeight="1" x14ac:dyDescent="0.25">
      <c r="A14" s="131" t="s">
        <v>5</v>
      </c>
      <c r="B14" s="180">
        <f>B22*B54</f>
        <v>126.14825871353641</v>
      </c>
      <c r="C14" s="180">
        <f t="shared" ref="C14:W14" si="19">C22*C54</f>
        <v>128.00991531600999</v>
      </c>
      <c r="D14" s="180">
        <f t="shared" si="19"/>
        <v>129.14722898850022</v>
      </c>
      <c r="E14" s="180">
        <f t="shared" si="19"/>
        <v>130.01788533364092</v>
      </c>
      <c r="F14" s="180">
        <f t="shared" si="19"/>
        <v>131.99492568259822</v>
      </c>
      <c r="G14" s="180">
        <f t="shared" si="19"/>
        <v>133.32490436941663</v>
      </c>
      <c r="H14" s="180">
        <f t="shared" si="19"/>
        <v>133.70252256963178</v>
      </c>
      <c r="I14" s="180">
        <f t="shared" si="19"/>
        <v>135.98481678356063</v>
      </c>
      <c r="J14" s="180">
        <f t="shared" si="19"/>
        <v>138.84223800588151</v>
      </c>
      <c r="K14" s="180">
        <f t="shared" si="19"/>
        <v>141.96756037891652</v>
      </c>
      <c r="L14" s="180">
        <f t="shared" si="19"/>
        <v>145.63877320821754</v>
      </c>
      <c r="M14" s="180">
        <f t="shared" si="19"/>
        <v>148.20502745557565</v>
      </c>
      <c r="N14" s="180">
        <f t="shared" si="19"/>
        <v>151.0716415748316</v>
      </c>
      <c r="O14" s="180">
        <f t="shared" si="19"/>
        <v>150.72933953221354</v>
      </c>
      <c r="P14" s="180">
        <f t="shared" si="19"/>
        <v>149.01647095250507</v>
      </c>
      <c r="Q14" s="180">
        <f t="shared" si="19"/>
        <v>147.86294502190594</v>
      </c>
      <c r="R14" s="180">
        <f t="shared" si="19"/>
        <v>142.03692872738108</v>
      </c>
      <c r="S14" s="180">
        <f t="shared" si="19"/>
        <v>136.76228831680589</v>
      </c>
      <c r="T14" s="180">
        <f t="shared" si="19"/>
        <v>130.43932407959983</v>
      </c>
      <c r="U14" s="180">
        <f t="shared" si="19"/>
        <v>124.13734044630536</v>
      </c>
      <c r="V14" s="180">
        <f t="shared" si="19"/>
        <v>117.22555790431218</v>
      </c>
      <c r="W14" s="180">
        <f t="shared" si="19"/>
        <v>109.44731917485898</v>
      </c>
      <c r="X14" s="180">
        <f t="shared" ref="X14:Y14" si="20">X22*X54</f>
        <v>103.34936209458418</v>
      </c>
      <c r="Y14" s="180">
        <f t="shared" si="20"/>
        <v>97.262918233255888</v>
      </c>
      <c r="DA14" s="189" t="s">
        <v>918</v>
      </c>
    </row>
    <row r="15" spans="1:105" ht="12" customHeight="1" x14ac:dyDescent="0.25">
      <c r="A15" s="131" t="s">
        <v>171</v>
      </c>
      <c r="B15" s="180">
        <f>B23*B55/1000</f>
        <v>13.201195384653655</v>
      </c>
      <c r="C15" s="180">
        <f t="shared" ref="C15:W15" si="21">C23*C55/1000</f>
        <v>13.423122141743917</v>
      </c>
      <c r="D15" s="180">
        <f t="shared" si="21"/>
        <v>13.646997843172207</v>
      </c>
      <c r="E15" s="180">
        <f t="shared" si="21"/>
        <v>13.824367836416837</v>
      </c>
      <c r="F15" s="180">
        <f t="shared" si="21"/>
        <v>13.949889946663546</v>
      </c>
      <c r="G15" s="180">
        <f t="shared" si="21"/>
        <v>14.208121913823186</v>
      </c>
      <c r="H15" s="180">
        <f t="shared" si="21"/>
        <v>14.553068554516003</v>
      </c>
      <c r="I15" s="180">
        <f t="shared" si="21"/>
        <v>14.960036829494959</v>
      </c>
      <c r="J15" s="180">
        <f t="shared" si="21"/>
        <v>15.382543935220983</v>
      </c>
      <c r="K15" s="180">
        <f t="shared" si="21"/>
        <v>15.82976840241227</v>
      </c>
      <c r="L15" s="180">
        <f t="shared" si="21"/>
        <v>16.17432736783277</v>
      </c>
      <c r="M15" s="180">
        <f t="shared" si="21"/>
        <v>16.49839513414631</v>
      </c>
      <c r="N15" s="180">
        <f t="shared" si="21"/>
        <v>16.89958046217464</v>
      </c>
      <c r="O15" s="180">
        <f t="shared" si="21"/>
        <v>16.969608657823485</v>
      </c>
      <c r="P15" s="180">
        <f t="shared" si="21"/>
        <v>16.832386091124913</v>
      </c>
      <c r="Q15" s="180">
        <f t="shared" si="21"/>
        <v>16.7095175372644</v>
      </c>
      <c r="R15" s="180">
        <f t="shared" si="21"/>
        <v>16.638082934223803</v>
      </c>
      <c r="S15" s="180">
        <f t="shared" si="21"/>
        <v>16.612494182922589</v>
      </c>
      <c r="T15" s="180">
        <f t="shared" si="21"/>
        <v>16.579060371135238</v>
      </c>
      <c r="U15" s="180">
        <f t="shared" si="21"/>
        <v>16.532011943894258</v>
      </c>
      <c r="V15" s="180">
        <f t="shared" si="21"/>
        <v>16.491047436921146</v>
      </c>
      <c r="W15" s="180">
        <f t="shared" si="21"/>
        <v>16.427687509488049</v>
      </c>
      <c r="X15" s="180">
        <f t="shared" ref="X15:Y15" si="22">X23*X55/1000</f>
        <v>16.363648876523843</v>
      </c>
      <c r="Y15" s="180">
        <f t="shared" si="22"/>
        <v>16.092322044839047</v>
      </c>
      <c r="DA15" s="189" t="s">
        <v>919</v>
      </c>
    </row>
    <row r="16" spans="1:105" ht="12" customHeight="1" x14ac:dyDescent="0.25">
      <c r="A16" s="60" t="s">
        <v>4</v>
      </c>
      <c r="B16" s="55">
        <f>B24*B56</f>
        <v>80.902066908936504</v>
      </c>
      <c r="C16" s="55">
        <f t="shared" ref="C16:W16" si="23">C24*C56</f>
        <v>86.370708122787704</v>
      </c>
      <c r="D16" s="55">
        <f t="shared" si="23"/>
        <v>92.816654501649538</v>
      </c>
      <c r="E16" s="55">
        <f t="shared" si="23"/>
        <v>98.755066576932393</v>
      </c>
      <c r="F16" s="55">
        <f t="shared" si="23"/>
        <v>105.47177376378497</v>
      </c>
      <c r="G16" s="55">
        <f t="shared" si="23"/>
        <v>111.43757883110912</v>
      </c>
      <c r="H16" s="55">
        <f t="shared" si="23"/>
        <v>116.97352436340417</v>
      </c>
      <c r="I16" s="55">
        <f t="shared" si="23"/>
        <v>123.63741792128864</v>
      </c>
      <c r="J16" s="55">
        <f t="shared" si="23"/>
        <v>130.16105470489364</v>
      </c>
      <c r="K16" s="55">
        <f t="shared" si="23"/>
        <v>136.99057801859792</v>
      </c>
      <c r="L16" s="55">
        <f t="shared" si="23"/>
        <v>143.50257493480828</v>
      </c>
      <c r="M16" s="55">
        <f t="shared" si="23"/>
        <v>149.23792039574559</v>
      </c>
      <c r="N16" s="55">
        <f t="shared" si="23"/>
        <v>153.82064319055519</v>
      </c>
      <c r="O16" s="55">
        <f t="shared" si="23"/>
        <v>153.95866715788432</v>
      </c>
      <c r="P16" s="55">
        <f t="shared" si="23"/>
        <v>152.23782591795188</v>
      </c>
      <c r="Q16" s="55">
        <f t="shared" si="23"/>
        <v>149.86099632963857</v>
      </c>
      <c r="R16" s="55">
        <f t="shared" si="23"/>
        <v>154.61691507299537</v>
      </c>
      <c r="S16" s="55">
        <f t="shared" si="23"/>
        <v>159.85421077223077</v>
      </c>
      <c r="T16" s="55">
        <f t="shared" si="23"/>
        <v>164.95325164820844</v>
      </c>
      <c r="U16" s="55">
        <f t="shared" si="23"/>
        <v>169.45557371292153</v>
      </c>
      <c r="V16" s="55">
        <f t="shared" si="23"/>
        <v>173.2518681973734</v>
      </c>
      <c r="W16" s="55">
        <f t="shared" si="23"/>
        <v>176.28253966951723</v>
      </c>
      <c r="X16" s="55">
        <f t="shared" ref="X16:Y16" si="24">X24*X56</f>
        <v>178.24127363204968</v>
      </c>
      <c r="Y16" s="55">
        <f t="shared" si="24"/>
        <v>179.53363933795242</v>
      </c>
      <c r="DA16" s="101" t="s">
        <v>920</v>
      </c>
    </row>
    <row r="17" spans="1:105" ht="12" customHeight="1" x14ac:dyDescent="0.25">
      <c r="A17" s="62" t="s">
        <v>3</v>
      </c>
      <c r="B17" s="63">
        <f>B25*B57/1000</f>
        <v>21.786364738929915</v>
      </c>
      <c r="C17" s="63">
        <f t="shared" ref="C17:W17" si="25">C25*C57/1000</f>
        <v>25.410067678058805</v>
      </c>
      <c r="D17" s="63">
        <f t="shared" si="25"/>
        <v>29.610012909935953</v>
      </c>
      <c r="E17" s="63">
        <f t="shared" si="25"/>
        <v>33.253682719046374</v>
      </c>
      <c r="F17" s="63">
        <f t="shared" si="25"/>
        <v>37.072301442058816</v>
      </c>
      <c r="G17" s="63">
        <f t="shared" si="25"/>
        <v>39.90033343966806</v>
      </c>
      <c r="H17" s="63">
        <f t="shared" si="25"/>
        <v>41.783921817162103</v>
      </c>
      <c r="I17" s="63">
        <f t="shared" si="25"/>
        <v>42.772100495078391</v>
      </c>
      <c r="J17" s="63">
        <f t="shared" si="25"/>
        <v>43.935772380418513</v>
      </c>
      <c r="K17" s="63">
        <f t="shared" si="25"/>
        <v>44.815071605988358</v>
      </c>
      <c r="L17" s="63">
        <f t="shared" si="25"/>
        <v>45.473825800438021</v>
      </c>
      <c r="M17" s="63">
        <f t="shared" si="25"/>
        <v>45.746942131449849</v>
      </c>
      <c r="N17" s="63">
        <f t="shared" si="25"/>
        <v>47.104886960360602</v>
      </c>
      <c r="O17" s="63">
        <f t="shared" si="25"/>
        <v>48.596709484901247</v>
      </c>
      <c r="P17" s="63">
        <f t="shared" si="25"/>
        <v>51.008561855856627</v>
      </c>
      <c r="Q17" s="63">
        <f t="shared" si="25"/>
        <v>55.155247528672298</v>
      </c>
      <c r="R17" s="63">
        <f t="shared" si="25"/>
        <v>55.588769592617147</v>
      </c>
      <c r="S17" s="63">
        <f t="shared" si="25"/>
        <v>56.298266273515949</v>
      </c>
      <c r="T17" s="63">
        <f t="shared" si="25"/>
        <v>57.062034327861333</v>
      </c>
      <c r="U17" s="63">
        <f t="shared" si="25"/>
        <v>58.009594208407961</v>
      </c>
      <c r="V17" s="63">
        <f t="shared" si="25"/>
        <v>58.647794817150903</v>
      </c>
      <c r="W17" s="63">
        <f t="shared" si="25"/>
        <v>59.311012468416287</v>
      </c>
      <c r="X17" s="63">
        <f t="shared" ref="X17:Y17" si="26">X25*X57/1000</f>
        <v>59.871728739613218</v>
      </c>
      <c r="Y17" s="63">
        <f t="shared" si="26"/>
        <v>60.5620279407811</v>
      </c>
      <c r="DA17" s="105" t="s">
        <v>921</v>
      </c>
    </row>
    <row r="18" spans="1:105" s="2" customFormat="1" ht="12" customHeight="1" x14ac:dyDescent="0.25">
      <c r="DA18" s="7"/>
    </row>
    <row r="19" spans="1:105" ht="12.95" customHeight="1" x14ac:dyDescent="0.25">
      <c r="A19" s="178" t="s">
        <v>107</v>
      </c>
      <c r="B19" s="179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DA19" s="188"/>
    </row>
    <row r="20" spans="1:105" ht="12" customHeight="1" x14ac:dyDescent="0.25">
      <c r="A20" s="131" t="s">
        <v>158</v>
      </c>
      <c r="B20" s="181">
        <v>5.4548884916715261</v>
      </c>
      <c r="C20" s="181">
        <v>5.7167338402517514</v>
      </c>
      <c r="D20" s="181">
        <v>5.9500912416338991</v>
      </c>
      <c r="E20" s="181">
        <v>6.2020763321838279</v>
      </c>
      <c r="F20" s="181">
        <v>6.49592189164205</v>
      </c>
      <c r="G20" s="181">
        <v>6.8024671486914547</v>
      </c>
      <c r="H20" s="181">
        <v>7.10435257986647</v>
      </c>
      <c r="I20" s="181">
        <v>7.4509218923364751</v>
      </c>
      <c r="J20" s="181">
        <v>7.7980881629467058</v>
      </c>
      <c r="K20" s="181">
        <v>8.2182338888537618</v>
      </c>
      <c r="L20" s="181">
        <v>8.6778008703712661</v>
      </c>
      <c r="M20" s="181">
        <v>9.0620181814341247</v>
      </c>
      <c r="N20" s="181">
        <v>9.4672236839454982</v>
      </c>
      <c r="O20" s="181">
        <v>9.6710575933598903</v>
      </c>
      <c r="P20" s="181">
        <v>9.780743866211159</v>
      </c>
      <c r="Q20" s="181">
        <v>9.9328317572154177</v>
      </c>
      <c r="R20" s="181">
        <v>10.305866615675946</v>
      </c>
      <c r="S20" s="181">
        <v>10.745448295790933</v>
      </c>
      <c r="T20" s="181">
        <v>11.186760590826797</v>
      </c>
      <c r="U20" s="181">
        <v>11.621807004664129</v>
      </c>
      <c r="V20" s="181">
        <v>12.02450200048983</v>
      </c>
      <c r="W20" s="181">
        <v>12.401803561662049</v>
      </c>
      <c r="X20" s="181">
        <v>12.655915461928144</v>
      </c>
      <c r="Y20" s="181">
        <v>12.844022994339548</v>
      </c>
      <c r="DA20" s="190" t="s">
        <v>922</v>
      </c>
    </row>
    <row r="21" spans="1:105" ht="12" customHeight="1" x14ac:dyDescent="0.25">
      <c r="A21" s="131" t="s">
        <v>156</v>
      </c>
      <c r="B21" s="181">
        <v>162.53817504020944</v>
      </c>
      <c r="C21" s="181">
        <v>167.12451351560296</v>
      </c>
      <c r="D21" s="181">
        <v>172.17641421313348</v>
      </c>
      <c r="E21" s="181">
        <v>178.44341422919234</v>
      </c>
      <c r="F21" s="181">
        <v>185.9504753563495</v>
      </c>
      <c r="G21" s="181">
        <v>192.92353639687943</v>
      </c>
      <c r="H21" s="181">
        <v>200.942873659432</v>
      </c>
      <c r="I21" s="181">
        <v>209.14568431572715</v>
      </c>
      <c r="J21" s="181">
        <v>217.62745028150147</v>
      </c>
      <c r="K21" s="181">
        <v>227.15884157504041</v>
      </c>
      <c r="L21" s="181">
        <v>237.51392439416136</v>
      </c>
      <c r="M21" s="181">
        <v>246.52233932190714</v>
      </c>
      <c r="N21" s="181">
        <v>256.45789169422687</v>
      </c>
      <c r="O21" s="181">
        <v>266.24145031353942</v>
      </c>
      <c r="P21" s="181">
        <v>276.97102703793814</v>
      </c>
      <c r="Q21" s="181">
        <v>289.40779790596338</v>
      </c>
      <c r="R21" s="181">
        <v>295.33725524589948</v>
      </c>
      <c r="S21" s="181">
        <v>302.61947395824808</v>
      </c>
      <c r="T21" s="181">
        <v>309.79002604707085</v>
      </c>
      <c r="U21" s="181">
        <v>316.57685190509721</v>
      </c>
      <c r="V21" s="181">
        <v>322.59921245808778</v>
      </c>
      <c r="W21" s="181">
        <v>327.46653574923386</v>
      </c>
      <c r="X21" s="181">
        <v>333.34073401717262</v>
      </c>
      <c r="Y21" s="181">
        <v>333.46202913844286</v>
      </c>
      <c r="DA21" s="190" t="s">
        <v>923</v>
      </c>
    </row>
    <row r="22" spans="1:105" ht="12" customHeight="1" x14ac:dyDescent="0.25">
      <c r="A22" s="131" t="s">
        <v>160</v>
      </c>
      <c r="B22" s="181">
        <v>2.3577983384403418</v>
      </c>
      <c r="C22" s="181">
        <v>2.4176082487133788</v>
      </c>
      <c r="D22" s="181">
        <v>2.4766927299056771</v>
      </c>
      <c r="E22" s="181">
        <v>2.5413985270265043</v>
      </c>
      <c r="F22" s="181">
        <v>2.6416933696577511</v>
      </c>
      <c r="G22" s="181">
        <v>2.7450127201381469</v>
      </c>
      <c r="H22" s="181">
        <v>2.8408791146298613</v>
      </c>
      <c r="I22" s="181">
        <v>2.9657665682312713</v>
      </c>
      <c r="J22" s="181">
        <v>3.1077087361865323</v>
      </c>
      <c r="K22" s="181">
        <v>3.2705795015193919</v>
      </c>
      <c r="L22" s="181">
        <v>3.4746904846627475</v>
      </c>
      <c r="M22" s="181">
        <v>3.6638985287977812</v>
      </c>
      <c r="N22" s="181">
        <v>3.8911290899863866</v>
      </c>
      <c r="O22" s="181">
        <v>4.0623260315288574</v>
      </c>
      <c r="P22" s="181">
        <v>4.220247673027103</v>
      </c>
      <c r="Q22" s="181">
        <v>4.4437521133680349</v>
      </c>
      <c r="R22" s="181">
        <v>4.612417367976601</v>
      </c>
      <c r="S22" s="181">
        <v>4.81232808204678</v>
      </c>
      <c r="T22" s="181">
        <v>5.0089959403969271</v>
      </c>
      <c r="U22" s="181">
        <v>5.1952217011650559</v>
      </c>
      <c r="V22" s="181">
        <v>5.3525580440676972</v>
      </c>
      <c r="W22" s="181">
        <v>5.4682426811694294</v>
      </c>
      <c r="X22" s="181">
        <v>5.5538074705660039</v>
      </c>
      <c r="Y22" s="181">
        <v>5.622966433249033</v>
      </c>
      <c r="DA22" s="190" t="s">
        <v>924</v>
      </c>
    </row>
    <row r="23" spans="1:105" ht="12" customHeight="1" x14ac:dyDescent="0.25">
      <c r="A23" s="131" t="s">
        <v>172</v>
      </c>
      <c r="B23" s="181">
        <v>18.248809160370325</v>
      </c>
      <c r="C23" s="181">
        <v>18.74627500124609</v>
      </c>
      <c r="D23" s="181">
        <v>19.309239761282967</v>
      </c>
      <c r="E23" s="181">
        <v>19.835836122244377</v>
      </c>
      <c r="F23" s="181">
        <v>20.315404171508682</v>
      </c>
      <c r="G23" s="181">
        <v>21.046894517261144</v>
      </c>
      <c r="H23" s="181">
        <v>21.977802673316287</v>
      </c>
      <c r="I23" s="181">
        <v>23.083300388433191</v>
      </c>
      <c r="J23" s="181">
        <v>24.300946087489162</v>
      </c>
      <c r="K23" s="181">
        <v>25.660905618761369</v>
      </c>
      <c r="L23" s="181">
        <v>26.952843987056806</v>
      </c>
      <c r="M23" s="181">
        <v>28.088154305552308</v>
      </c>
      <c r="N23" s="181">
        <v>29.354778803596865</v>
      </c>
      <c r="O23" s="181">
        <v>30.022162284132438</v>
      </c>
      <c r="P23" s="181">
        <v>30.326238406752474</v>
      </c>
      <c r="Q23" s="181">
        <v>30.754462443509095</v>
      </c>
      <c r="R23" s="181">
        <v>31.336109747808532</v>
      </c>
      <c r="S23" s="181">
        <v>32.058661497808011</v>
      </c>
      <c r="T23" s="181">
        <v>32.778591712275002</v>
      </c>
      <c r="U23" s="181">
        <v>33.474599079179988</v>
      </c>
      <c r="V23" s="181">
        <v>34.120450553384529</v>
      </c>
      <c r="W23" s="181">
        <v>34.690763950212727</v>
      </c>
      <c r="X23" s="181">
        <v>35.352665541895909</v>
      </c>
      <c r="Y23" s="181">
        <v>35.365529573850395</v>
      </c>
      <c r="DA23" s="190" t="s">
        <v>925</v>
      </c>
    </row>
    <row r="24" spans="1:105" ht="12" customHeight="1" x14ac:dyDescent="0.25">
      <c r="A24" s="60" t="s">
        <v>159</v>
      </c>
      <c r="B24" s="36">
        <v>1.6365886640326885</v>
      </c>
      <c r="C24" s="36">
        <v>1.7575187853381415</v>
      </c>
      <c r="D24" s="36">
        <v>1.9011179377414882</v>
      </c>
      <c r="E24" s="36">
        <v>2.0354417212664573</v>
      </c>
      <c r="F24" s="36">
        <v>2.1891217979544391</v>
      </c>
      <c r="G24" s="36">
        <v>2.3287563188686158</v>
      </c>
      <c r="H24" s="36">
        <v>2.4619003168446074</v>
      </c>
      <c r="I24" s="36">
        <v>2.6241028937663646</v>
      </c>
      <c r="J24" s="36">
        <v>2.787576869690839</v>
      </c>
      <c r="K24" s="36">
        <v>2.9632170860673668</v>
      </c>
      <c r="L24" s="36">
        <v>3.1388522442115496</v>
      </c>
      <c r="M24" s="36">
        <v>3.3062576244820803</v>
      </c>
      <c r="N24" s="36">
        <v>3.4566390589382854</v>
      </c>
      <c r="O24" s="36">
        <v>3.5049500097598396</v>
      </c>
      <c r="P24" s="36">
        <v>3.5156585525169612</v>
      </c>
      <c r="Q24" s="36">
        <v>3.5218984704155316</v>
      </c>
      <c r="R24" s="36">
        <v>3.6985268173873176</v>
      </c>
      <c r="S24" s="36">
        <v>3.9005916338471507</v>
      </c>
      <c r="T24" s="36">
        <v>4.1019125139512509</v>
      </c>
      <c r="U24" s="36">
        <v>4.2975148241342973</v>
      </c>
      <c r="V24" s="36">
        <v>4.4739059063352542</v>
      </c>
      <c r="W24" s="36">
        <v>4.6291632575114123</v>
      </c>
      <c r="X24" s="36">
        <v>4.7649858735020816</v>
      </c>
      <c r="Y24" s="36">
        <v>4.8841105953524435</v>
      </c>
      <c r="DA24" s="89" t="s">
        <v>926</v>
      </c>
    </row>
    <row r="25" spans="1:105" ht="12" customHeight="1" x14ac:dyDescent="0.25">
      <c r="A25" s="62" t="s">
        <v>157</v>
      </c>
      <c r="B25" s="38">
        <v>55.584402674689841</v>
      </c>
      <c r="C25" s="38">
        <v>66.453682438581254</v>
      </c>
      <c r="D25" s="38">
        <v>79.848524738042414</v>
      </c>
      <c r="E25" s="38">
        <v>92.661118485059944</v>
      </c>
      <c r="F25" s="38">
        <v>107.16025215105002</v>
      </c>
      <c r="G25" s="38">
        <v>119.58179266067742</v>
      </c>
      <c r="H25" s="38">
        <v>131.7916836795481</v>
      </c>
      <c r="I25" s="38">
        <v>142.21382029997653</v>
      </c>
      <c r="J25" s="38">
        <v>154.25102619768165</v>
      </c>
      <c r="K25" s="38">
        <v>166.93715426829172</v>
      </c>
      <c r="L25" s="38">
        <v>180.39723972674744</v>
      </c>
      <c r="M25" s="38">
        <v>196.76783501884552</v>
      </c>
      <c r="N25" s="38">
        <v>219.40549223998718</v>
      </c>
      <c r="O25" s="38">
        <v>241.86372720683272</v>
      </c>
      <c r="P25" s="38">
        <v>271.21282330165218</v>
      </c>
      <c r="Q25" s="38">
        <v>306.46536230982525</v>
      </c>
      <c r="R25" s="38">
        <v>321.04683926187118</v>
      </c>
      <c r="S25" s="38">
        <v>336.99612987298241</v>
      </c>
      <c r="T25" s="38">
        <v>352.85195216975103</v>
      </c>
      <c r="U25" s="38">
        <v>368.10431839707115</v>
      </c>
      <c r="V25" s="38">
        <v>382.47809084174941</v>
      </c>
      <c r="W25" s="38">
        <v>395.80191438616822</v>
      </c>
      <c r="X25" s="38">
        <v>408.90059742950484</v>
      </c>
      <c r="Y25" s="38">
        <v>422.4303386965492</v>
      </c>
      <c r="DA25" s="90" t="s">
        <v>927</v>
      </c>
    </row>
    <row r="26" spans="1:105" s="2" customFormat="1" ht="12" customHeight="1" x14ac:dyDescent="0.25">
      <c r="DA26" s="7"/>
    </row>
    <row r="27" spans="1:105" ht="12.95" customHeight="1" x14ac:dyDescent="0.25">
      <c r="A27" s="178" t="s">
        <v>106</v>
      </c>
      <c r="B27" s="179"/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DA27" s="188"/>
    </row>
    <row r="28" spans="1:105" ht="12" customHeight="1" x14ac:dyDescent="0.25">
      <c r="A28" s="131" t="s">
        <v>158</v>
      </c>
      <c r="B28" s="182"/>
      <c r="C28" s="182">
        <v>0.49844201167578372</v>
      </c>
      <c r="D28" s="182">
        <v>0.47664634170226172</v>
      </c>
      <c r="E28" s="182">
        <v>0.50215560313310093</v>
      </c>
      <c r="F28" s="182">
        <v>0.55109229366561685</v>
      </c>
      <c r="G28" s="182">
        <v>0.57106836801504723</v>
      </c>
      <c r="H28" s="182">
        <v>0.57389073553984726</v>
      </c>
      <c r="I28" s="182">
        <v>0.62626844852097463</v>
      </c>
      <c r="J28" s="182">
        <v>0.6347768629490087</v>
      </c>
      <c r="K28" s="182">
        <v>0.7158915547765039</v>
      </c>
      <c r="L28" s="182">
        <v>0.76367815691764651</v>
      </c>
      <c r="M28" s="182">
        <v>0.69693045179182356</v>
      </c>
      <c r="N28" s="182">
        <v>0.72676392027061709</v>
      </c>
      <c r="O28" s="182">
        <v>0.53448779812144487</v>
      </c>
      <c r="P28" s="182">
        <v>0.44969290330730871</v>
      </c>
      <c r="Q28" s="182">
        <v>0.50171181106797036</v>
      </c>
      <c r="R28" s="182">
        <v>0.73254809888400096</v>
      </c>
      <c r="S28" s="182">
        <v>0.8092639662017973</v>
      </c>
      <c r="T28" s="182">
        <v>0.82145126428604165</v>
      </c>
      <c r="U28" s="182">
        <v>0.93348842551311684</v>
      </c>
      <c r="V28" s="182">
        <v>0.87934133752796306</v>
      </c>
      <c r="W28" s="182">
        <v>0.87945716430531995</v>
      </c>
      <c r="X28" s="182">
        <v>0.80520419393171139</v>
      </c>
      <c r="Y28" s="182">
        <v>0.75917590042645067</v>
      </c>
      <c r="DA28" s="191" t="s">
        <v>928</v>
      </c>
    </row>
    <row r="29" spans="1:105" ht="12" customHeight="1" x14ac:dyDescent="0.25">
      <c r="A29" s="131" t="s">
        <v>156</v>
      </c>
      <c r="B29" s="182"/>
      <c r="C29" s="182">
        <v>24.975847124717859</v>
      </c>
      <c r="D29" s="182">
        <v>26.319073330725047</v>
      </c>
      <c r="E29" s="182">
        <v>28.449615575315391</v>
      </c>
      <c r="F29" s="182">
        <v>30.644524744757803</v>
      </c>
      <c r="G29" s="182">
        <v>31.10647403800678</v>
      </c>
      <c r="H29" s="182">
        <v>33.191570162952956</v>
      </c>
      <c r="I29" s="182">
        <v>34.458579339251315</v>
      </c>
      <c r="J29" s="182">
        <v>33.457613090492174</v>
      </c>
      <c r="K29" s="182">
        <v>35.850464624263992</v>
      </c>
      <c r="L29" s="182">
        <v>38.804698394436343</v>
      </c>
      <c r="M29" s="182">
        <v>39.652939672503578</v>
      </c>
      <c r="N29" s="182">
        <v>41.042026410326514</v>
      </c>
      <c r="O29" s="182">
        <v>42.9751287822655</v>
      </c>
      <c r="P29" s="182">
        <v>45.188156063650041</v>
      </c>
      <c r="Q29" s="182">
        <v>45.894383958517409</v>
      </c>
      <c r="R29" s="182">
        <v>41.779921964200099</v>
      </c>
      <c r="S29" s="182">
        <v>46.086917106784938</v>
      </c>
      <c r="T29" s="182">
        <v>46.823491761326352</v>
      </c>
      <c r="U29" s="182">
        <v>47.828852268352875</v>
      </c>
      <c r="V29" s="182">
        <v>48.997489335256091</v>
      </c>
      <c r="W29" s="182">
        <v>50.055479354796091</v>
      </c>
      <c r="X29" s="182">
        <v>51.768582226456147</v>
      </c>
      <c r="Y29" s="182">
        <v>41.901217085470307</v>
      </c>
      <c r="DA29" s="191" t="s">
        <v>929</v>
      </c>
    </row>
    <row r="30" spans="1:105" ht="12" customHeight="1" x14ac:dyDescent="0.25">
      <c r="A30" s="131" t="s">
        <v>160</v>
      </c>
      <c r="B30" s="182"/>
      <c r="C30" s="182">
        <v>0.42801807486876742</v>
      </c>
      <c r="D30" s="182">
        <v>0.43685808712852525</v>
      </c>
      <c r="E30" s="182">
        <v>0.45229333880054323</v>
      </c>
      <c r="F30" s="182">
        <v>0.49795126993253813</v>
      </c>
      <c r="G30" s="182">
        <v>0.51130623645904461</v>
      </c>
      <c r="H30" s="182">
        <v>0.51445210744044223</v>
      </c>
      <c r="I30" s="182">
        <v>0.55290552847017738</v>
      </c>
      <c r="J30" s="182">
        <v>0.5788002550837863</v>
      </c>
      <c r="K30" s="182">
        <v>0.61516410413340283</v>
      </c>
      <c r="L30" s="182">
        <v>0.70206225307589376</v>
      </c>
      <c r="M30" s="182">
        <v>0.70051428059407828</v>
      </c>
      <c r="N30" s="182">
        <v>0.74168266862904764</v>
      </c>
      <c r="O30" s="182">
        <v>0.72410247001264816</v>
      </c>
      <c r="P30" s="182">
        <v>0.73672189658203191</v>
      </c>
      <c r="Q30" s="182">
        <v>0.8386685444743347</v>
      </c>
      <c r="R30" s="182">
        <v>0.87072750768445983</v>
      </c>
      <c r="S30" s="182">
        <v>0.90042499466425729</v>
      </c>
      <c r="T30" s="182">
        <v>0.9383505269791943</v>
      </c>
      <c r="U30" s="182">
        <v>0.91032823078077652</v>
      </c>
      <c r="V30" s="182">
        <v>0.89405823948467322</v>
      </c>
      <c r="W30" s="182">
        <v>0.95435318157606641</v>
      </c>
      <c r="X30" s="182">
        <v>0.95629229708103392</v>
      </c>
      <c r="Y30" s="182">
        <v>0.96958395734728597</v>
      </c>
      <c r="DA30" s="191" t="s">
        <v>930</v>
      </c>
    </row>
    <row r="31" spans="1:105" ht="12" customHeight="1" x14ac:dyDescent="0.25">
      <c r="A31" s="131" t="s">
        <v>172</v>
      </c>
      <c r="B31" s="182"/>
      <c r="C31" s="182">
        <v>2.1559742321244286</v>
      </c>
      <c r="D31" s="182">
        <v>2.2564082791841855</v>
      </c>
      <c r="E31" s="182">
        <v>2.2557108880111905</v>
      </c>
      <c r="F31" s="182">
        <v>2.2451049649330628</v>
      </c>
      <c r="G31" s="182">
        <v>2.534216857979267</v>
      </c>
      <c r="H31" s="182">
        <v>2.7716076333891735</v>
      </c>
      <c r="I31" s="182">
        <v>2.9849700271275346</v>
      </c>
      <c r="J31" s="182">
        <v>3.1367075639133191</v>
      </c>
      <c r="K31" s="182">
        <v>3.3194448706491677</v>
      </c>
      <c r="L31" s="182">
        <v>3.2926986697454694</v>
      </c>
      <c r="M31" s="182">
        <v>3.2912845506199311</v>
      </c>
      <c r="N31" s="182">
        <v>3.5230327772287424</v>
      </c>
      <c r="O31" s="182">
        <v>2.9230943685467636</v>
      </c>
      <c r="P31" s="182">
        <v>2.549181087553098</v>
      </c>
      <c r="Q31" s="182">
        <v>2.962440894735888</v>
      </c>
      <c r="R31" s="182">
        <v>3.3532549376886109</v>
      </c>
      <c r="S31" s="182">
        <v>3.7075217771270133</v>
      </c>
      <c r="T31" s="182">
        <v>3.8566377783803105</v>
      </c>
      <c r="U31" s="182">
        <v>4.0154522375541539</v>
      </c>
      <c r="V31" s="182">
        <v>3.9385501439500104</v>
      </c>
      <c r="W31" s="182">
        <v>3.8615979474481286</v>
      </c>
      <c r="X31" s="182">
        <v>4.1849343689119252</v>
      </c>
      <c r="Y31" s="182">
        <v>2.9359584005012493</v>
      </c>
      <c r="DA31" s="191" t="s">
        <v>931</v>
      </c>
    </row>
    <row r="32" spans="1:105" ht="12" customHeight="1" x14ac:dyDescent="0.25">
      <c r="A32" s="60" t="s">
        <v>159</v>
      </c>
      <c r="B32" s="41"/>
      <c r="C32" s="41">
        <v>0.16754418353763989</v>
      </c>
      <c r="D32" s="41">
        <v>0.19545876386537508</v>
      </c>
      <c r="E32" s="41">
        <v>0.19201923361460982</v>
      </c>
      <c r="F32" s="41">
        <v>0.21786808094026089</v>
      </c>
      <c r="G32" s="41">
        <v>0.21104569603265233</v>
      </c>
      <c r="H32" s="41">
        <v>0.21259117804033423</v>
      </c>
      <c r="I32" s="41">
        <v>0.2505900654304436</v>
      </c>
      <c r="J32" s="41">
        <v>0.26180783898350457</v>
      </c>
      <c r="K32" s="41">
        <v>0.28503973419586037</v>
      </c>
      <c r="L32" s="41">
        <v>0.29734556518796884</v>
      </c>
      <c r="M32" s="41">
        <v>0.302812039075258</v>
      </c>
      <c r="N32" s="41">
        <v>0.30102560444952209</v>
      </c>
      <c r="O32" s="41">
        <v>0.21590733162954923</v>
      </c>
      <c r="P32" s="41">
        <v>0.1971647916858692</v>
      </c>
      <c r="Q32" s="41">
        <v>0.2136783637466837</v>
      </c>
      <c r="R32" s="41">
        <v>0.34417253050942564</v>
      </c>
      <c r="S32" s="41">
        <v>0.3975235803252084</v>
      </c>
      <c r="T32" s="41">
        <v>0.39334011371871025</v>
      </c>
      <c r="U32" s="41">
        <v>0.4134703911233073</v>
      </c>
      <c r="V32" s="41">
        <v>0.38743677823360922</v>
      </c>
      <c r="W32" s="41">
        <v>0.36784852921649236</v>
      </c>
      <c r="X32" s="41">
        <v>0.3864126814211124</v>
      </c>
      <c r="Y32" s="41">
        <v>0.38093256083386695</v>
      </c>
      <c r="DA32" s="92" t="s">
        <v>932</v>
      </c>
    </row>
    <row r="33" spans="1:105" ht="12" customHeight="1" x14ac:dyDescent="0.25">
      <c r="A33" s="62" t="s">
        <v>157</v>
      </c>
      <c r="B33" s="42"/>
      <c r="C33" s="42">
        <v>21.986160298829382</v>
      </c>
      <c r="D33" s="42">
        <v>24.51172283439913</v>
      </c>
      <c r="E33" s="42">
        <v>23.929474281955493</v>
      </c>
      <c r="F33" s="42">
        <v>25.616014200928035</v>
      </c>
      <c r="G33" s="42">
        <v>23.538421044565382</v>
      </c>
      <c r="H33" s="42">
        <v>34.196051317700068</v>
      </c>
      <c r="I33" s="42">
        <v>34.933859454827569</v>
      </c>
      <c r="J33" s="42">
        <v>35.966680179660614</v>
      </c>
      <c r="K33" s="42">
        <v>38.302142271538088</v>
      </c>
      <c r="L33" s="42">
        <v>36.998506503021105</v>
      </c>
      <c r="M33" s="42">
        <v>50.566646609798141</v>
      </c>
      <c r="N33" s="42">
        <v>57.571516675969235</v>
      </c>
      <c r="O33" s="42">
        <v>58.424915146506152</v>
      </c>
      <c r="P33" s="42">
        <v>67.651238366357546</v>
      </c>
      <c r="Q33" s="42">
        <v>72.251045511194178</v>
      </c>
      <c r="R33" s="42">
        <v>65.148123561844073</v>
      </c>
      <c r="S33" s="42">
        <v>73.520807287080459</v>
      </c>
      <c r="T33" s="42">
        <v>74.280737443274802</v>
      </c>
      <c r="U33" s="42">
        <v>82.903604593677699</v>
      </c>
      <c r="V33" s="42">
        <v>86.624817955872402</v>
      </c>
      <c r="W33" s="42">
        <v>78.471947106262917</v>
      </c>
      <c r="X33" s="42">
        <v>86.619490330417079</v>
      </c>
      <c r="Y33" s="42">
        <v>87.81047871031916</v>
      </c>
      <c r="DA33" s="93" t="s">
        <v>933</v>
      </c>
    </row>
    <row r="34" spans="1:105" s="2" customFormat="1" ht="12" customHeight="1" x14ac:dyDescent="0.25">
      <c r="DA34" s="7"/>
    </row>
    <row r="35" spans="1:105" ht="12.95" customHeight="1" x14ac:dyDescent="0.25">
      <c r="A35" s="178" t="s">
        <v>105</v>
      </c>
      <c r="B35" s="179"/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DA35" s="188"/>
    </row>
    <row r="36" spans="1:105" ht="12" customHeight="1" x14ac:dyDescent="0.25">
      <c r="A36" s="131" t="s">
        <v>158</v>
      </c>
      <c r="B36" s="182"/>
      <c r="C36" s="182">
        <v>0.23659666309555849</v>
      </c>
      <c r="D36" s="182">
        <v>0.24328894032011394</v>
      </c>
      <c r="E36" s="182">
        <v>0.25017051258317213</v>
      </c>
      <c r="F36" s="182">
        <v>0.25724673420739474</v>
      </c>
      <c r="G36" s="182">
        <v>0.26452311096564252</v>
      </c>
      <c r="H36" s="182">
        <v>0.27200530436483206</v>
      </c>
      <c r="I36" s="182">
        <v>0.27969913605096952</v>
      </c>
      <c r="J36" s="182">
        <v>0.28761059233877884</v>
      </c>
      <c r="K36" s="182">
        <v>0.29574582886944789</v>
      </c>
      <c r="L36" s="182">
        <v>0.3041111754001431</v>
      </c>
      <c r="M36" s="182">
        <v>0.31271314072896494</v>
      </c>
      <c r="N36" s="182">
        <v>0.32155841775924365</v>
      </c>
      <c r="O36" s="182">
        <v>0.3306538887070527</v>
      </c>
      <c r="P36" s="182">
        <v>0.34000663045604007</v>
      </c>
      <c r="Q36" s="182">
        <v>0.34962392006371168</v>
      </c>
      <c r="R36" s="182">
        <v>0.35951324042347288</v>
      </c>
      <c r="S36" s="182">
        <v>0.36968228608681031</v>
      </c>
      <c r="T36" s="182">
        <v>0.38013896925017754</v>
      </c>
      <c r="U36" s="182">
        <v>0.49844201167578461</v>
      </c>
      <c r="V36" s="182">
        <v>0.47664634170226172</v>
      </c>
      <c r="W36" s="182">
        <v>0.50215560313310093</v>
      </c>
      <c r="X36" s="182">
        <v>0.55109229366561685</v>
      </c>
      <c r="Y36" s="182">
        <v>0.57106836801504635</v>
      </c>
      <c r="DA36" s="191" t="s">
        <v>934</v>
      </c>
    </row>
    <row r="37" spans="1:105" ht="12" customHeight="1" x14ac:dyDescent="0.25">
      <c r="A37" s="131" t="s">
        <v>156</v>
      </c>
      <c r="B37" s="182"/>
      <c r="C37" s="182">
        <v>20.389508649324341</v>
      </c>
      <c r="D37" s="182">
        <v>21.267172633194519</v>
      </c>
      <c r="E37" s="182">
        <v>22.182615559256533</v>
      </c>
      <c r="F37" s="182">
        <v>23.137463617600645</v>
      </c>
      <c r="G37" s="182">
        <v>24.133412997476853</v>
      </c>
      <c r="H37" s="182">
        <v>25.172232900400388</v>
      </c>
      <c r="I37" s="182">
        <v>26.255768682956159</v>
      </c>
      <c r="J37" s="182">
        <v>24.975847124717859</v>
      </c>
      <c r="K37" s="182">
        <v>26.319073330725047</v>
      </c>
      <c r="L37" s="182">
        <v>28.449615575315391</v>
      </c>
      <c r="M37" s="182">
        <v>30.644524744757831</v>
      </c>
      <c r="N37" s="182">
        <v>31.106474038006809</v>
      </c>
      <c r="O37" s="182">
        <v>33.191570162952985</v>
      </c>
      <c r="P37" s="182">
        <v>34.458579339251287</v>
      </c>
      <c r="Q37" s="182">
        <v>33.457613090492202</v>
      </c>
      <c r="R37" s="182">
        <v>35.850464624264021</v>
      </c>
      <c r="S37" s="182">
        <v>38.804698394436343</v>
      </c>
      <c r="T37" s="182">
        <v>39.652939672503578</v>
      </c>
      <c r="U37" s="182">
        <v>41.042026410326514</v>
      </c>
      <c r="V37" s="182">
        <v>42.975128782265529</v>
      </c>
      <c r="W37" s="182">
        <v>45.188156063650013</v>
      </c>
      <c r="X37" s="182">
        <v>45.894383958517381</v>
      </c>
      <c r="Y37" s="182">
        <v>41.779921964200071</v>
      </c>
      <c r="DA37" s="191" t="s">
        <v>935</v>
      </c>
    </row>
    <row r="38" spans="1:105" ht="12" customHeight="1" x14ac:dyDescent="0.25">
      <c r="A38" s="131" t="s">
        <v>160</v>
      </c>
      <c r="B38" s="182"/>
      <c r="C38" s="182">
        <v>0.36820816459573047</v>
      </c>
      <c r="D38" s="182">
        <v>0.37777360593622689</v>
      </c>
      <c r="E38" s="182">
        <v>0.3875875416797161</v>
      </c>
      <c r="F38" s="182">
        <v>0.39765642730129125</v>
      </c>
      <c r="G38" s="182">
        <v>0.40798688597864885</v>
      </c>
      <c r="H38" s="182">
        <v>0.41858571294872782</v>
      </c>
      <c r="I38" s="182">
        <v>0.42801807486876742</v>
      </c>
      <c r="J38" s="182">
        <v>0.43685808712852525</v>
      </c>
      <c r="K38" s="182">
        <v>0.45229333880054323</v>
      </c>
      <c r="L38" s="182">
        <v>0.49795126993253813</v>
      </c>
      <c r="M38" s="182">
        <v>0.51130623645904461</v>
      </c>
      <c r="N38" s="182">
        <v>0.51445210744044179</v>
      </c>
      <c r="O38" s="182">
        <v>0.55290552847017782</v>
      </c>
      <c r="P38" s="182">
        <v>0.5788002550837863</v>
      </c>
      <c r="Q38" s="182">
        <v>0.61516410413340239</v>
      </c>
      <c r="R38" s="182">
        <v>0.7020622530758942</v>
      </c>
      <c r="S38" s="182">
        <v>0.70051428059407872</v>
      </c>
      <c r="T38" s="182">
        <v>0.74168266862904719</v>
      </c>
      <c r="U38" s="182">
        <v>0.72410247001264771</v>
      </c>
      <c r="V38" s="182">
        <v>0.73672189658203191</v>
      </c>
      <c r="W38" s="182">
        <v>0.83866854447433425</v>
      </c>
      <c r="X38" s="182">
        <v>0.87072750768445939</v>
      </c>
      <c r="Y38" s="182">
        <v>0.90042499466425685</v>
      </c>
      <c r="DA38" s="191" t="s">
        <v>936</v>
      </c>
    </row>
    <row r="39" spans="1:105" ht="12" customHeight="1" x14ac:dyDescent="0.25">
      <c r="A39" s="131" t="s">
        <v>172</v>
      </c>
      <c r="B39" s="182"/>
      <c r="C39" s="182">
        <v>1.6585083912486631</v>
      </c>
      <c r="D39" s="182">
        <v>1.6934435191473085</v>
      </c>
      <c r="E39" s="182">
        <v>1.7291145270497807</v>
      </c>
      <c r="F39" s="182">
        <v>1.7655369156687577</v>
      </c>
      <c r="G39" s="182">
        <v>1.8027265122268048</v>
      </c>
      <c r="H39" s="182">
        <v>1.8406994773340308</v>
      </c>
      <c r="I39" s="182">
        <v>1.8794723120106305</v>
      </c>
      <c r="J39" s="182">
        <v>1.9190618648573476</v>
      </c>
      <c r="K39" s="182">
        <v>1.9594853393769611</v>
      </c>
      <c r="L39" s="182">
        <v>2.0007603014500326</v>
      </c>
      <c r="M39" s="182">
        <v>2.1559742321244286</v>
      </c>
      <c r="N39" s="182">
        <v>2.2564082791841855</v>
      </c>
      <c r="O39" s="182">
        <v>2.2557108880111905</v>
      </c>
      <c r="P39" s="182">
        <v>2.2451049649330628</v>
      </c>
      <c r="Q39" s="182">
        <v>2.5342168579792634</v>
      </c>
      <c r="R39" s="182">
        <v>2.7716076333891699</v>
      </c>
      <c r="S39" s="182">
        <v>2.9849700271275381</v>
      </c>
      <c r="T39" s="182">
        <v>3.1367075639133191</v>
      </c>
      <c r="U39" s="182">
        <v>3.3194448706491713</v>
      </c>
      <c r="V39" s="182">
        <v>3.2926986697454694</v>
      </c>
      <c r="W39" s="182">
        <v>3.2912845506199346</v>
      </c>
      <c r="X39" s="182">
        <v>3.5230327772287424</v>
      </c>
      <c r="Y39" s="182">
        <v>2.9230943685467636</v>
      </c>
      <c r="DA39" s="191" t="s">
        <v>937</v>
      </c>
    </row>
    <row r="40" spans="1:105" ht="12" customHeight="1" x14ac:dyDescent="0.25">
      <c r="A40" s="60" t="s">
        <v>159</v>
      </c>
      <c r="B40" s="41"/>
      <c r="C40" s="41">
        <v>4.6614062232186892E-2</v>
      </c>
      <c r="D40" s="41">
        <v>5.1859611462028443E-2</v>
      </c>
      <c r="E40" s="41">
        <v>5.7695450089640499E-2</v>
      </c>
      <c r="F40" s="41">
        <v>6.4188004252279107E-2</v>
      </c>
      <c r="G40" s="41">
        <v>7.1411175118475612E-2</v>
      </c>
      <c r="H40" s="41">
        <v>7.9447180064342593E-2</v>
      </c>
      <c r="I40" s="41">
        <v>8.8387488508686385E-2</v>
      </c>
      <c r="J40" s="41">
        <v>9.8333863059030246E-2</v>
      </c>
      <c r="K40" s="41">
        <v>0.10939951781933255</v>
      </c>
      <c r="L40" s="41">
        <v>0.121710407043786</v>
      </c>
      <c r="M40" s="41">
        <v>0.13540665880472735</v>
      </c>
      <c r="N40" s="41">
        <v>0.15064416999331698</v>
      </c>
      <c r="O40" s="41">
        <v>0.16759638080799499</v>
      </c>
      <c r="P40" s="41">
        <v>0.18645624892874757</v>
      </c>
      <c r="Q40" s="41">
        <v>0.20743844584811333</v>
      </c>
      <c r="R40" s="41">
        <v>0.16754418353763967</v>
      </c>
      <c r="S40" s="41">
        <v>0.19545876386537531</v>
      </c>
      <c r="T40" s="41">
        <v>0.1920192336146096</v>
      </c>
      <c r="U40" s="41">
        <v>0.21786808094026089</v>
      </c>
      <c r="V40" s="41">
        <v>0.21104569603265233</v>
      </c>
      <c r="W40" s="41">
        <v>0.21259117804033423</v>
      </c>
      <c r="X40" s="41">
        <v>0.25059006543044315</v>
      </c>
      <c r="Y40" s="41">
        <v>0.26180783898350501</v>
      </c>
      <c r="DA40" s="92" t="s">
        <v>938</v>
      </c>
    </row>
    <row r="41" spans="1:105" ht="12" customHeight="1" x14ac:dyDescent="0.25">
      <c r="A41" s="62" t="s">
        <v>157</v>
      </c>
      <c r="B41" s="42"/>
      <c r="C41" s="42">
        <v>11.116880534937977</v>
      </c>
      <c r="D41" s="42">
        <v>11.116880534937962</v>
      </c>
      <c r="E41" s="42">
        <v>11.116880534937962</v>
      </c>
      <c r="F41" s="42">
        <v>11.116880534937962</v>
      </c>
      <c r="G41" s="42">
        <v>11.116880534937991</v>
      </c>
      <c r="H41" s="42">
        <v>21.98616029882939</v>
      </c>
      <c r="I41" s="42">
        <v>24.511722834399137</v>
      </c>
      <c r="J41" s="42">
        <v>23.929474281955493</v>
      </c>
      <c r="K41" s="42">
        <v>25.616014200928021</v>
      </c>
      <c r="L41" s="42">
        <v>23.538421044565382</v>
      </c>
      <c r="M41" s="42">
        <v>34.196051317700068</v>
      </c>
      <c r="N41" s="42">
        <v>34.933859454827569</v>
      </c>
      <c r="O41" s="42">
        <v>35.966680179660614</v>
      </c>
      <c r="P41" s="42">
        <v>38.30214227153806</v>
      </c>
      <c r="Q41" s="42">
        <v>36.998506503021133</v>
      </c>
      <c r="R41" s="42">
        <v>50.56664660979817</v>
      </c>
      <c r="S41" s="42">
        <v>57.571516675969235</v>
      </c>
      <c r="T41" s="42">
        <v>58.42491514650618</v>
      </c>
      <c r="U41" s="42">
        <v>67.651238366357575</v>
      </c>
      <c r="V41" s="42">
        <v>72.25104551119415</v>
      </c>
      <c r="W41" s="42">
        <v>65.148123561844102</v>
      </c>
      <c r="X41" s="42">
        <v>73.520807287080459</v>
      </c>
      <c r="Y41" s="42">
        <v>74.280737443274802</v>
      </c>
      <c r="DA41" s="93" t="s">
        <v>939</v>
      </c>
    </row>
    <row r="42" spans="1:105" s="2" customFormat="1" ht="12" customHeight="1" x14ac:dyDescent="0.25">
      <c r="DA42" s="7"/>
    </row>
    <row r="43" spans="1:105" ht="12.95" customHeight="1" x14ac:dyDescent="0.25">
      <c r="A43" s="178" t="s">
        <v>104</v>
      </c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DA43" s="192"/>
    </row>
    <row r="44" spans="1:105" ht="12" customHeight="1" x14ac:dyDescent="0.25">
      <c r="A44" s="131" t="s">
        <v>7</v>
      </c>
      <c r="B44" s="184">
        <v>8759.9999999999982</v>
      </c>
      <c r="C44" s="184">
        <v>8759.9999999999982</v>
      </c>
      <c r="D44" s="184">
        <v>8760</v>
      </c>
      <c r="E44" s="184">
        <v>8759.9999999999982</v>
      </c>
      <c r="F44" s="184">
        <v>8759.9999999999982</v>
      </c>
      <c r="G44" s="184">
        <v>8760.0000000000018</v>
      </c>
      <c r="H44" s="184">
        <v>8759.9999999999964</v>
      </c>
      <c r="I44" s="184">
        <v>8760.0000000000018</v>
      </c>
      <c r="J44" s="184">
        <v>8759.9999999999964</v>
      </c>
      <c r="K44" s="184">
        <v>8760.0000000000018</v>
      </c>
      <c r="L44" s="184">
        <v>8759.9999999999982</v>
      </c>
      <c r="M44" s="184">
        <v>8759.9999999999982</v>
      </c>
      <c r="N44" s="184">
        <v>8759.9999999999964</v>
      </c>
      <c r="O44" s="184">
        <v>8759.9999999999964</v>
      </c>
      <c r="P44" s="184">
        <v>8759.9999999999945</v>
      </c>
      <c r="Q44" s="184">
        <v>8759.9999999999964</v>
      </c>
      <c r="R44" s="184">
        <v>8759.9999999999964</v>
      </c>
      <c r="S44" s="184">
        <v>8759.9999999999964</v>
      </c>
      <c r="T44" s="184">
        <v>8759.9999999999964</v>
      </c>
      <c r="U44" s="184">
        <v>8760.0000000000018</v>
      </c>
      <c r="V44" s="184">
        <v>8760</v>
      </c>
      <c r="W44" s="184">
        <v>8760.0000000000018</v>
      </c>
      <c r="X44" s="184">
        <v>8760.0000000000018</v>
      </c>
      <c r="Y44" s="184">
        <v>8760.0000000000018</v>
      </c>
      <c r="DA44" s="193" t="s">
        <v>940</v>
      </c>
    </row>
    <row r="45" spans="1:105" ht="12" customHeight="1" x14ac:dyDescent="0.25">
      <c r="A45" s="131" t="s">
        <v>6</v>
      </c>
      <c r="B45" s="184">
        <v>3634.2130122260469</v>
      </c>
      <c r="C45" s="184">
        <v>3639.9139560747722</v>
      </c>
      <c r="D45" s="184">
        <v>3644.7756132270529</v>
      </c>
      <c r="E45" s="184">
        <v>3646.5687080876296</v>
      </c>
      <c r="F45" s="184">
        <v>3655.5188950047395</v>
      </c>
      <c r="G45" s="184">
        <v>3658.2552513334717</v>
      </c>
      <c r="H45" s="184">
        <v>3659.6310231985613</v>
      </c>
      <c r="I45" s="184">
        <v>3659.8954937003277</v>
      </c>
      <c r="J45" s="184">
        <v>3660.9103977404116</v>
      </c>
      <c r="K45" s="184">
        <v>3657.739976031437</v>
      </c>
      <c r="L45" s="184">
        <v>3655.5973027211303</v>
      </c>
      <c r="M45" s="184">
        <v>3644.7288429385253</v>
      </c>
      <c r="N45" s="184">
        <v>3625.7498733118268</v>
      </c>
      <c r="O45" s="184">
        <v>3609.3208696005122</v>
      </c>
      <c r="P45" s="184">
        <v>3599.5156823017628</v>
      </c>
      <c r="Q45" s="184">
        <v>3577.6904372121526</v>
      </c>
      <c r="R45" s="184">
        <v>3656.0870582978159</v>
      </c>
      <c r="S45" s="184">
        <v>3685.6753984696315</v>
      </c>
      <c r="T45" s="184">
        <v>3651.4093586725157</v>
      </c>
      <c r="U45" s="184">
        <v>3617.2864998657815</v>
      </c>
      <c r="V45" s="184">
        <v>3596.0680145963279</v>
      </c>
      <c r="W45" s="184">
        <v>3600.2938370735219</v>
      </c>
      <c r="X45" s="184">
        <v>3600.2644533661696</v>
      </c>
      <c r="Y45" s="184">
        <v>3600.2350696588173</v>
      </c>
      <c r="DA45" s="193" t="s">
        <v>941</v>
      </c>
    </row>
    <row r="46" spans="1:105" ht="12" customHeight="1" x14ac:dyDescent="0.25">
      <c r="A46" s="131" t="s">
        <v>5</v>
      </c>
      <c r="B46" s="184">
        <v>2135.8560171032786</v>
      </c>
      <c r="C46" s="184">
        <v>2153.6635172531933</v>
      </c>
      <c r="D46" s="184">
        <v>2170.2948770048542</v>
      </c>
      <c r="E46" s="184">
        <v>2184.3325896430347</v>
      </c>
      <c r="F46" s="184">
        <v>2202.2637593868517</v>
      </c>
      <c r="G46" s="184">
        <v>2217.9682791920804</v>
      </c>
      <c r="H46" s="184">
        <v>2234.9729585777905</v>
      </c>
      <c r="I46" s="184">
        <v>2252.3393171192633</v>
      </c>
      <c r="J46" s="184">
        <v>2262.3655154066573</v>
      </c>
      <c r="K46" s="184">
        <v>2271.4390567871169</v>
      </c>
      <c r="L46" s="184">
        <v>2278.2486400647431</v>
      </c>
      <c r="M46" s="184">
        <v>2285.1655294380398</v>
      </c>
      <c r="N46" s="184">
        <v>2285.7397176634036</v>
      </c>
      <c r="O46" s="184">
        <v>2287.3780357620449</v>
      </c>
      <c r="P46" s="184">
        <v>2292.2481338468574</v>
      </c>
      <c r="Q46" s="184">
        <v>2296.222111952155</v>
      </c>
      <c r="R46" s="184">
        <v>2368.3771911644917</v>
      </c>
      <c r="S46" s="184">
        <v>2400.6428966632207</v>
      </c>
      <c r="T46" s="184">
        <v>2377.1457298909709</v>
      </c>
      <c r="U46" s="184">
        <v>2349.5232057430626</v>
      </c>
      <c r="V46" s="184">
        <v>1946.8086959332049</v>
      </c>
      <c r="W46" s="184">
        <v>2172.0173807291458</v>
      </c>
      <c r="X46" s="184">
        <v>2232.767618681175</v>
      </c>
      <c r="Y46" s="184">
        <v>2263.1427376571896</v>
      </c>
      <c r="DA46" s="193" t="s">
        <v>942</v>
      </c>
    </row>
    <row r="47" spans="1:105" ht="12" customHeight="1" x14ac:dyDescent="0.25">
      <c r="A47" s="131" t="s">
        <v>171</v>
      </c>
      <c r="B47" s="184">
        <v>8759.9999999999982</v>
      </c>
      <c r="C47" s="184">
        <v>8760</v>
      </c>
      <c r="D47" s="184">
        <v>8759.9999999999964</v>
      </c>
      <c r="E47" s="184">
        <v>8760.0000000000018</v>
      </c>
      <c r="F47" s="184">
        <v>8759.9999999999964</v>
      </c>
      <c r="G47" s="184">
        <v>8760.0000000000018</v>
      </c>
      <c r="H47" s="184">
        <v>8759.9999999999964</v>
      </c>
      <c r="I47" s="184">
        <v>8759.9999999999982</v>
      </c>
      <c r="J47" s="184">
        <v>8760.0000000000018</v>
      </c>
      <c r="K47" s="184">
        <v>8760.0000000000036</v>
      </c>
      <c r="L47" s="184">
        <v>8759.9999999999964</v>
      </c>
      <c r="M47" s="184">
        <v>8759.9999999999964</v>
      </c>
      <c r="N47" s="184">
        <v>8760</v>
      </c>
      <c r="O47" s="184">
        <v>8760.0000000000055</v>
      </c>
      <c r="P47" s="184">
        <v>8760</v>
      </c>
      <c r="Q47" s="184">
        <v>8759.9999999999982</v>
      </c>
      <c r="R47" s="184">
        <v>8760</v>
      </c>
      <c r="S47" s="184">
        <v>8760</v>
      </c>
      <c r="T47" s="184">
        <v>8760</v>
      </c>
      <c r="U47" s="184">
        <v>8760</v>
      </c>
      <c r="V47" s="184">
        <v>8760</v>
      </c>
      <c r="W47" s="184">
        <v>8760.0000000000018</v>
      </c>
      <c r="X47" s="184">
        <v>8760.0000000000018</v>
      </c>
      <c r="Y47" s="184">
        <v>8760.0000000000018</v>
      </c>
      <c r="DA47" s="193" t="s">
        <v>943</v>
      </c>
    </row>
    <row r="48" spans="1:105" ht="12" customHeight="1" x14ac:dyDescent="0.25">
      <c r="A48" s="60" t="s">
        <v>4</v>
      </c>
      <c r="B48" s="44">
        <v>923.34007467793776</v>
      </c>
      <c r="C48" s="44">
        <v>927.7507613410661</v>
      </c>
      <c r="D48" s="44">
        <v>931.79579762768799</v>
      </c>
      <c r="E48" s="44">
        <v>935.53244285225639</v>
      </c>
      <c r="F48" s="44">
        <v>939.00539382366594</v>
      </c>
      <c r="G48" s="44">
        <v>942.25022127803879</v>
      </c>
      <c r="H48" s="44">
        <v>945.29570420054938</v>
      </c>
      <c r="I48" s="44">
        <v>948.16546118006863</v>
      </c>
      <c r="J48" s="44">
        <v>950.87911873301778</v>
      </c>
      <c r="K48" s="44">
        <v>953.45316604071297</v>
      </c>
      <c r="L48" s="44">
        <v>955.90159209114688</v>
      </c>
      <c r="M48" s="44">
        <v>957.45747679964472</v>
      </c>
      <c r="N48" s="44">
        <v>958.94332642405402</v>
      </c>
      <c r="O48" s="44">
        <v>960.36527033128152</v>
      </c>
      <c r="P48" s="44">
        <v>961.72866304730849</v>
      </c>
      <c r="Q48" s="44">
        <v>963.03820989091003</v>
      </c>
      <c r="R48" s="44">
        <v>979.85680775402625</v>
      </c>
      <c r="S48" s="44">
        <v>987.88004455561247</v>
      </c>
      <c r="T48" s="44">
        <v>982.26151682813145</v>
      </c>
      <c r="U48" s="44">
        <v>973.45231165734288</v>
      </c>
      <c r="V48" s="44">
        <v>806.60000325957242</v>
      </c>
      <c r="W48" s="44">
        <v>899.90826013656067</v>
      </c>
      <c r="X48" s="44">
        <v>930.78713896367481</v>
      </c>
      <c r="Y48" s="44">
        <v>946.22657837723193</v>
      </c>
      <c r="DA48" s="95" t="s">
        <v>944</v>
      </c>
    </row>
    <row r="49" spans="1:105" ht="12" customHeight="1" x14ac:dyDescent="0.25">
      <c r="A49" s="62" t="s">
        <v>3</v>
      </c>
      <c r="B49" s="185">
        <v>1944.5472023003081</v>
      </c>
      <c r="C49" s="185">
        <v>1969.8420813336377</v>
      </c>
      <c r="D49" s="185">
        <v>2001.832401189183</v>
      </c>
      <c r="E49" s="185">
        <v>2034.7073170950366</v>
      </c>
      <c r="F49" s="185">
        <v>2064.5942117726399</v>
      </c>
      <c r="G49" s="185">
        <v>2096.2894714271056</v>
      </c>
      <c r="H49" s="185">
        <v>2131.5623150557794</v>
      </c>
      <c r="I49" s="185">
        <v>2164.4736963441369</v>
      </c>
      <c r="J49" s="185">
        <v>2193.6047750886801</v>
      </c>
      <c r="K49" s="185">
        <v>2217.5252301586638</v>
      </c>
      <c r="L49" s="185">
        <v>2248.3707780822028</v>
      </c>
      <c r="M49" s="185">
        <v>2279.5586292373514</v>
      </c>
      <c r="N49" s="185">
        <v>2297.8129908650453</v>
      </c>
      <c r="O49" s="185">
        <v>2315.3412616640703</v>
      </c>
      <c r="P49" s="185">
        <v>2328.8860338186555</v>
      </c>
      <c r="Q49" s="185">
        <v>2333.7443962109746</v>
      </c>
      <c r="R49" s="185">
        <v>2399.2333796950975</v>
      </c>
      <c r="S49" s="185">
        <v>2435.5162803118465</v>
      </c>
      <c r="T49" s="185">
        <v>2443.3790016225407</v>
      </c>
      <c r="U49" s="185">
        <v>2446.9728494730584</v>
      </c>
      <c r="V49" s="185">
        <v>2249.7932013834284</v>
      </c>
      <c r="W49" s="185">
        <v>2367.6798766326424</v>
      </c>
      <c r="X49" s="185">
        <v>2410.6749226725419</v>
      </c>
      <c r="Y49" s="185">
        <v>2433.5636619495922</v>
      </c>
      <c r="DA49" s="194" t="s">
        <v>945</v>
      </c>
    </row>
    <row r="50" spans="1:105" s="2" customFormat="1" ht="12" customHeight="1" x14ac:dyDescent="0.25">
      <c r="DA50" s="7"/>
    </row>
    <row r="51" spans="1:105" ht="12.95" customHeight="1" x14ac:dyDescent="0.25">
      <c r="A51" s="178" t="s">
        <v>103</v>
      </c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DA51" s="188"/>
    </row>
    <row r="52" spans="1:105" ht="12" customHeight="1" x14ac:dyDescent="0.25">
      <c r="A52" s="131" t="s">
        <v>101</v>
      </c>
      <c r="B52" s="180">
        <v>0.79070115366482607</v>
      </c>
      <c r="C52" s="180">
        <v>0.78323854432001372</v>
      </c>
      <c r="D52" s="180">
        <v>0.77595883455835379</v>
      </c>
      <c r="E52" s="180">
        <v>0.76820537349849127</v>
      </c>
      <c r="F52" s="180">
        <v>0.75969269004565909</v>
      </c>
      <c r="G52" s="180">
        <v>0.75087981485461741</v>
      </c>
      <c r="H52" s="180">
        <v>0.74202216639811391</v>
      </c>
      <c r="I52" s="180">
        <v>0.73248892683743694</v>
      </c>
      <c r="J52" s="180">
        <v>0.7226433003923689</v>
      </c>
      <c r="K52" s="180">
        <v>0.71188978773871825</v>
      </c>
      <c r="L52" s="180">
        <v>0.7004858840315481</v>
      </c>
      <c r="M52" s="180">
        <v>0.68974288720161414</v>
      </c>
      <c r="N52" s="180">
        <v>0.67849965510117505</v>
      </c>
      <c r="O52" s="180">
        <v>0.66882198083095479</v>
      </c>
      <c r="P52" s="180">
        <v>0.65946030509853559</v>
      </c>
      <c r="Q52" s="180">
        <v>0.64885460845625942</v>
      </c>
      <c r="R52" s="180">
        <v>0.63598133162672255</v>
      </c>
      <c r="S52" s="180">
        <v>0.62282321233302607</v>
      </c>
      <c r="T52" s="180">
        <v>0.61007100705354689</v>
      </c>
      <c r="U52" s="180">
        <v>0.59894166787410263</v>
      </c>
      <c r="V52" s="180">
        <v>0.58914700216365823</v>
      </c>
      <c r="W52" s="180">
        <v>0.57987679434974682</v>
      </c>
      <c r="X52" s="180">
        <v>0.57123771363566966</v>
      </c>
      <c r="Y52" s="180">
        <v>0.56317280702637562</v>
      </c>
      <c r="DA52" s="189" t="s">
        <v>946</v>
      </c>
    </row>
    <row r="53" spans="1:105" ht="12" customHeight="1" x14ac:dyDescent="0.25">
      <c r="A53" s="131" t="s">
        <v>100</v>
      </c>
      <c r="B53" s="180">
        <v>196.21943026199278</v>
      </c>
      <c r="C53" s="180">
        <v>194.25042295619485</v>
      </c>
      <c r="D53" s="180">
        <v>191.94317631903749</v>
      </c>
      <c r="E53" s="180">
        <v>189.14395622982502</v>
      </c>
      <c r="F53" s="180">
        <v>185.91942256962216</v>
      </c>
      <c r="G53" s="180">
        <v>182.2721814380192</v>
      </c>
      <c r="H53" s="180">
        <v>178.30919200374288</v>
      </c>
      <c r="I53" s="180">
        <v>174.02974553357981</v>
      </c>
      <c r="J53" s="180">
        <v>171.33972907731632</v>
      </c>
      <c r="K53" s="180">
        <v>168.50966363790212</v>
      </c>
      <c r="L53" s="180">
        <v>165.56973226393291</v>
      </c>
      <c r="M53" s="180">
        <v>162.5189663253075</v>
      </c>
      <c r="N53" s="180">
        <v>159.28136955747476</v>
      </c>
      <c r="O53" s="180">
        <v>155.46872516449739</v>
      </c>
      <c r="P53" s="180">
        <v>151.01046074083351</v>
      </c>
      <c r="Q53" s="180">
        <v>146.02186961449647</v>
      </c>
      <c r="R53" s="180">
        <v>140.77415579555827</v>
      </c>
      <c r="S53" s="180">
        <v>134.82092024043456</v>
      </c>
      <c r="T53" s="180">
        <v>128.63028962342099</v>
      </c>
      <c r="U53" s="180">
        <v>122.32805177653889</v>
      </c>
      <c r="V53" s="180">
        <v>115.9794483921324</v>
      </c>
      <c r="W53" s="180">
        <v>110.18381805957036</v>
      </c>
      <c r="X53" s="180">
        <v>105.12817823676879</v>
      </c>
      <c r="Y53" s="180">
        <v>101.39388328939944</v>
      </c>
      <c r="DA53" s="189" t="s">
        <v>947</v>
      </c>
    </row>
    <row r="54" spans="1:105" ht="12" customHeight="1" x14ac:dyDescent="0.25">
      <c r="A54" s="131" t="s">
        <v>140</v>
      </c>
      <c r="B54" s="180">
        <v>53.502564938179624</v>
      </c>
      <c r="C54" s="180">
        <v>52.94899013689885</v>
      </c>
      <c r="D54" s="180">
        <v>52.14503496096534</v>
      </c>
      <c r="E54" s="180">
        <v>51.159975088899138</v>
      </c>
      <c r="F54" s="180">
        <v>49.966028305434641</v>
      </c>
      <c r="G54" s="180">
        <v>48.569867597082336</v>
      </c>
      <c r="H54" s="180">
        <v>47.063784545106174</v>
      </c>
      <c r="I54" s="180">
        <v>45.851490215111397</v>
      </c>
      <c r="J54" s="180">
        <v>44.676721595298133</v>
      </c>
      <c r="K54" s="180">
        <v>43.407463513106336</v>
      </c>
      <c r="L54" s="180">
        <v>41.914171593431348</v>
      </c>
      <c r="M54" s="180">
        <v>40.450090604503039</v>
      </c>
      <c r="N54" s="180">
        <v>38.824628554114646</v>
      </c>
      <c r="O54" s="180">
        <v>37.104195567357387</v>
      </c>
      <c r="P54" s="180">
        <v>35.309887593781532</v>
      </c>
      <c r="Q54" s="180">
        <v>33.274345924268218</v>
      </c>
      <c r="R54" s="180">
        <v>30.794465763988434</v>
      </c>
      <c r="S54" s="180">
        <v>28.419153055466271</v>
      </c>
      <c r="T54" s="180">
        <v>26.041012137307391</v>
      </c>
      <c r="U54" s="180">
        <v>23.894522233472134</v>
      </c>
      <c r="V54" s="180">
        <v>21.900847583378315</v>
      </c>
      <c r="W54" s="180">
        <v>20.015080814125966</v>
      </c>
      <c r="X54" s="180">
        <v>18.608740515819783</v>
      </c>
      <c r="Y54" s="180">
        <v>17.297438885306654</v>
      </c>
      <c r="DA54" s="189" t="s">
        <v>948</v>
      </c>
    </row>
    <row r="55" spans="1:105" ht="12" customHeight="1" x14ac:dyDescent="0.25">
      <c r="A55" s="131" t="s">
        <v>173</v>
      </c>
      <c r="B55" s="180">
        <v>723.40037471167034</v>
      </c>
      <c r="C55" s="180">
        <v>716.04210120952905</v>
      </c>
      <c r="D55" s="180">
        <v>706.75997666857165</v>
      </c>
      <c r="E55" s="180">
        <v>696.93900227950883</v>
      </c>
      <c r="F55" s="180">
        <v>686.66563701585403</v>
      </c>
      <c r="G55" s="180">
        <v>675.06975445573266</v>
      </c>
      <c r="H55" s="180">
        <v>662.17122661607982</v>
      </c>
      <c r="I55" s="180">
        <v>648.0891630640167</v>
      </c>
      <c r="J55" s="180">
        <v>633.00185432452633</v>
      </c>
      <c r="K55" s="180">
        <v>616.88268674503468</v>
      </c>
      <c r="L55" s="180">
        <v>600.09724300708103</v>
      </c>
      <c r="M55" s="180">
        <v>587.37911201538088</v>
      </c>
      <c r="N55" s="180">
        <v>575.70116863234273</v>
      </c>
      <c r="O55" s="180">
        <v>565.23605785691211</v>
      </c>
      <c r="P55" s="180">
        <v>555.04365115645192</v>
      </c>
      <c r="Q55" s="180">
        <v>543.32009762671169</v>
      </c>
      <c r="R55" s="180">
        <v>530.95559940676344</v>
      </c>
      <c r="S55" s="180">
        <v>518.19051098120417</v>
      </c>
      <c r="T55" s="180">
        <v>505.78928212241266</v>
      </c>
      <c r="U55" s="180">
        <v>493.86736207922445</v>
      </c>
      <c r="V55" s="180">
        <v>483.31857198425365</v>
      </c>
      <c r="W55" s="180">
        <v>473.54643250476215</v>
      </c>
      <c r="X55" s="180">
        <v>462.86888486899329</v>
      </c>
      <c r="Y55" s="180">
        <v>455.02844828705355</v>
      </c>
      <c r="DA55" s="189" t="s">
        <v>949</v>
      </c>
    </row>
    <row r="56" spans="1:105" ht="12" customHeight="1" x14ac:dyDescent="0.25">
      <c r="A56" s="60" t="s">
        <v>99</v>
      </c>
      <c r="B56" s="55">
        <v>49.433354077858013</v>
      </c>
      <c r="C56" s="55">
        <v>49.14354762141005</v>
      </c>
      <c r="D56" s="55">
        <v>48.822144412521261</v>
      </c>
      <c r="E56" s="55">
        <v>48.517756880549115</v>
      </c>
      <c r="F56" s="55">
        <v>48.179947713434672</v>
      </c>
      <c r="G56" s="55">
        <v>47.85282939575621</v>
      </c>
      <c r="H56" s="55">
        <v>47.513509610059252</v>
      </c>
      <c r="I56" s="55">
        <v>47.116070873208919</v>
      </c>
      <c r="J56" s="55">
        <v>46.693261133038952</v>
      </c>
      <c r="K56" s="55">
        <v>46.230355063322392</v>
      </c>
      <c r="L56" s="55">
        <v>45.718168225167538</v>
      </c>
      <c r="M56" s="55">
        <v>45.138019279161121</v>
      </c>
      <c r="N56" s="55">
        <v>44.500059325778018</v>
      </c>
      <c r="O56" s="55">
        <v>43.926066485733877</v>
      </c>
      <c r="P56" s="55">
        <v>43.302790542318292</v>
      </c>
      <c r="Q56" s="55">
        <v>42.551197199037141</v>
      </c>
      <c r="R56" s="55">
        <v>41.805000398028355</v>
      </c>
      <c r="S56" s="55">
        <v>40.982042156145084</v>
      </c>
      <c r="T56" s="55">
        <v>40.213742025744438</v>
      </c>
      <c r="U56" s="55">
        <v>39.431062055046453</v>
      </c>
      <c r="V56" s="55">
        <v>38.724969148779117</v>
      </c>
      <c r="W56" s="55">
        <v>38.080864696978693</v>
      </c>
      <c r="X56" s="55">
        <v>37.406464229672352</v>
      </c>
      <c r="Y56" s="55">
        <v>36.758717034129127</v>
      </c>
      <c r="DA56" s="101" t="s">
        <v>950</v>
      </c>
    </row>
    <row r="57" spans="1:105" ht="12" customHeight="1" x14ac:dyDescent="0.25">
      <c r="A57" s="62" t="s">
        <v>98</v>
      </c>
      <c r="B57" s="63">
        <v>391.95104544768742</v>
      </c>
      <c r="C57" s="63">
        <v>382.37260518322142</v>
      </c>
      <c r="D57" s="63">
        <v>370.82730090602149</v>
      </c>
      <c r="E57" s="63">
        <v>358.87417789380527</v>
      </c>
      <c r="F57" s="63">
        <v>345.95198030891868</v>
      </c>
      <c r="G57" s="63">
        <v>333.66562377006954</v>
      </c>
      <c r="H57" s="63">
        <v>317.04520839691099</v>
      </c>
      <c r="I57" s="63">
        <v>300.75909925531653</v>
      </c>
      <c r="J57" s="63">
        <v>284.83293410386955</v>
      </c>
      <c r="K57" s="63">
        <v>268.45474755107045</v>
      </c>
      <c r="L57" s="63">
        <v>252.07606208009861</v>
      </c>
      <c r="M57" s="63">
        <v>232.49197272038094</v>
      </c>
      <c r="N57" s="63">
        <v>214.6932899420629</v>
      </c>
      <c r="O57" s="63">
        <v>200.92599269068231</v>
      </c>
      <c r="P57" s="63">
        <v>188.07577471778745</v>
      </c>
      <c r="Q57" s="63">
        <v>179.97220668909515</v>
      </c>
      <c r="R57" s="63">
        <v>173.14847179440554</v>
      </c>
      <c r="S57" s="63">
        <v>167.05908846708533</v>
      </c>
      <c r="T57" s="63">
        <v>161.71664625057755</v>
      </c>
      <c r="U57" s="63">
        <v>157.59009419127074</v>
      </c>
      <c r="V57" s="63">
        <v>153.33635107851569</v>
      </c>
      <c r="W57" s="63">
        <v>149.85024152902122</v>
      </c>
      <c r="X57" s="63">
        <v>146.42123077341603</v>
      </c>
      <c r="Y57" s="63">
        <v>143.36571593709689</v>
      </c>
      <c r="DA57" s="105" t="s">
        <v>951</v>
      </c>
    </row>
    <row r="58" spans="1:105" s="2" customFormat="1" ht="12" customHeight="1" x14ac:dyDescent="0.25">
      <c r="DA58" s="7"/>
    </row>
    <row r="59" spans="1:105" ht="12.95" customHeight="1" x14ac:dyDescent="0.25">
      <c r="A59" s="178" t="s">
        <v>102</v>
      </c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DA59" s="188"/>
    </row>
    <row r="60" spans="1:105" ht="12" customHeight="1" x14ac:dyDescent="0.25">
      <c r="A60" s="131" t="s">
        <v>101</v>
      </c>
      <c r="B60" s="180"/>
      <c r="C60" s="180">
        <v>0.705110953844715</v>
      </c>
      <c r="D60" s="180">
        <v>0.69617322283499139</v>
      </c>
      <c r="E60" s="180">
        <v>0.68754109406650132</v>
      </c>
      <c r="F60" s="180">
        <v>0.67836423184994599</v>
      </c>
      <c r="G60" s="180">
        <v>0.66907860317259971</v>
      </c>
      <c r="H60" s="180">
        <v>0.66010253086305837</v>
      </c>
      <c r="I60" s="180">
        <v>0.65034270721284426</v>
      </c>
      <c r="J60" s="180">
        <v>0.63791300023546538</v>
      </c>
      <c r="K60" s="180">
        <v>0.62731174433201342</v>
      </c>
      <c r="L60" s="180">
        <v>0.61368953451723085</v>
      </c>
      <c r="M60" s="180">
        <v>0.60127694272405796</v>
      </c>
      <c r="N60" s="180">
        <v>0.58795163045595511</v>
      </c>
      <c r="O60" s="180">
        <v>0.57280316658113239</v>
      </c>
      <c r="P60" s="180">
        <v>0.5573583013940373</v>
      </c>
      <c r="Q60" s="180">
        <v>0.54094672986300385</v>
      </c>
      <c r="R60" s="180">
        <v>0.53736081995895646</v>
      </c>
      <c r="S60" s="180">
        <v>0.53194517464641822</v>
      </c>
      <c r="T60" s="180">
        <v>0.52684804823437292</v>
      </c>
      <c r="U60" s="180">
        <v>0.52225938826487117</v>
      </c>
      <c r="V60" s="180">
        <v>0.51770937569044662</v>
      </c>
      <c r="W60" s="180">
        <v>0.51460311943630388</v>
      </c>
      <c r="X60" s="180">
        <v>0.51149686318216125</v>
      </c>
      <c r="Y60" s="180">
        <v>0.50839060692801852</v>
      </c>
      <c r="DA60" s="189" t="s">
        <v>952</v>
      </c>
    </row>
    <row r="61" spans="1:105" ht="12" customHeight="1" x14ac:dyDescent="0.25">
      <c r="A61" s="131" t="s">
        <v>100</v>
      </c>
      <c r="B61" s="180"/>
      <c r="C61" s="180">
        <v>183.04392568563421</v>
      </c>
      <c r="D61" s="180">
        <v>180.74773500297678</v>
      </c>
      <c r="E61" s="180">
        <v>177.72000020699264</v>
      </c>
      <c r="F61" s="180">
        <v>174.91971723276654</v>
      </c>
      <c r="G61" s="180">
        <v>171.29017474398228</v>
      </c>
      <c r="H61" s="180">
        <v>168.85759793676857</v>
      </c>
      <c r="I61" s="180">
        <v>165.98190817850207</v>
      </c>
      <c r="J61" s="180">
        <v>163.26135520683778</v>
      </c>
      <c r="K61" s="180">
        <v>160.31436600076611</v>
      </c>
      <c r="L61" s="180">
        <v>157.26762024055915</v>
      </c>
      <c r="M61" s="180">
        <v>153.82896060821079</v>
      </c>
      <c r="N61" s="180">
        <v>148.9361605275727</v>
      </c>
      <c r="O61" s="180">
        <v>143.05724327036478</v>
      </c>
      <c r="P61" s="180">
        <v>136.15966718913532</v>
      </c>
      <c r="Q61" s="180">
        <v>128.48370700109768</v>
      </c>
      <c r="R61" s="180">
        <v>121.19049821074505</v>
      </c>
      <c r="S61" s="180">
        <v>115.57088398455534</v>
      </c>
      <c r="T61" s="180">
        <v>109.96008867259442</v>
      </c>
      <c r="U61" s="180">
        <v>104.34058848085523</v>
      </c>
      <c r="V61" s="180">
        <v>98.710213521585587</v>
      </c>
      <c r="W61" s="180">
        <v>96.28194226895458</v>
      </c>
      <c r="X61" s="180">
        <v>93.853671016323588</v>
      </c>
      <c r="Y61" s="180">
        <v>91.425399763692582</v>
      </c>
      <c r="DA61" s="189" t="s">
        <v>953</v>
      </c>
    </row>
    <row r="62" spans="1:105" ht="12" customHeight="1" x14ac:dyDescent="0.25">
      <c r="A62" s="131" t="s">
        <v>140</v>
      </c>
      <c r="B62" s="180"/>
      <c r="C62" s="180">
        <v>50.375764729411337</v>
      </c>
      <c r="D62" s="180">
        <v>48.869807347168312</v>
      </c>
      <c r="E62" s="180">
        <v>47.773385344102607</v>
      </c>
      <c r="F62" s="180">
        <v>46.696696198564574</v>
      </c>
      <c r="G62" s="180">
        <v>45.292472292525481</v>
      </c>
      <c r="H62" s="180">
        <v>44.266564681310207</v>
      </c>
      <c r="I62" s="180">
        <v>43.124965885993227</v>
      </c>
      <c r="J62" s="180">
        <v>41.822012975513061</v>
      </c>
      <c r="K62" s="180">
        <v>40.205379621371101</v>
      </c>
      <c r="L62" s="180">
        <v>38.34972167364144</v>
      </c>
      <c r="M62" s="180">
        <v>36.722417383638259</v>
      </c>
      <c r="N62" s="180">
        <v>34.569557430939966</v>
      </c>
      <c r="O62" s="180">
        <v>32.456359402316188</v>
      </c>
      <c r="P62" s="180">
        <v>30.53217679967694</v>
      </c>
      <c r="Q62" s="180">
        <v>28.115255497395815</v>
      </c>
      <c r="R62" s="180">
        <v>24.230170199413148</v>
      </c>
      <c r="S62" s="180">
        <v>22.711427943229026</v>
      </c>
      <c r="T62" s="180">
        <v>20.585779851037383</v>
      </c>
      <c r="U62" s="180">
        <v>18.894005256531379</v>
      </c>
      <c r="V62" s="180">
        <v>17.428328456123861</v>
      </c>
      <c r="W62" s="180">
        <v>16.556912033317666</v>
      </c>
      <c r="X62" s="180">
        <v>15.685495610511474</v>
      </c>
      <c r="Y62" s="180">
        <v>14.81407918770528</v>
      </c>
      <c r="DA62" s="189" t="s">
        <v>954</v>
      </c>
    </row>
    <row r="63" spans="1:105" ht="12" customHeight="1" x14ac:dyDescent="0.25">
      <c r="A63" s="131" t="s">
        <v>173</v>
      </c>
      <c r="B63" s="180"/>
      <c r="C63" s="180">
        <v>659.4199168053625</v>
      </c>
      <c r="D63" s="180">
        <v>642.13262781342291</v>
      </c>
      <c r="E63" s="180">
        <v>633.15387518081161</v>
      </c>
      <c r="F63" s="180">
        <v>624.7869024024003</v>
      </c>
      <c r="G63" s="180">
        <v>616.49222981372577</v>
      </c>
      <c r="H63" s="180">
        <v>604.88696600888102</v>
      </c>
      <c r="I63" s="180">
        <v>591.82478674590004</v>
      </c>
      <c r="J63" s="180">
        <v>577.2795649459988</v>
      </c>
      <c r="K63" s="180">
        <v>561.75564547753197</v>
      </c>
      <c r="L63" s="180">
        <v>544.20701586282871</v>
      </c>
      <c r="M63" s="180">
        <v>530.41907748958272</v>
      </c>
      <c r="N63" s="180">
        <v>525.14376752865212</v>
      </c>
      <c r="O63" s="180">
        <v>512.55282819539752</v>
      </c>
      <c r="P63" s="180">
        <v>496.4298598044756</v>
      </c>
      <c r="Q63" s="180">
        <v>485.90216611730608</v>
      </c>
      <c r="R63" s="180">
        <v>478.66170604779825</v>
      </c>
      <c r="S63" s="180">
        <v>469.58335057860387</v>
      </c>
      <c r="T63" s="180">
        <v>460.84788569845568</v>
      </c>
      <c r="U63" s="180">
        <v>452.66843213774109</v>
      </c>
      <c r="V63" s="180">
        <v>444.56593066720217</v>
      </c>
      <c r="W63" s="180">
        <v>435.67461205385814</v>
      </c>
      <c r="X63" s="180">
        <v>426.78329344051406</v>
      </c>
      <c r="Y63" s="180">
        <v>417.89197482717003</v>
      </c>
      <c r="DA63" s="189" t="s">
        <v>955</v>
      </c>
    </row>
    <row r="64" spans="1:105" ht="12" customHeight="1" x14ac:dyDescent="0.25">
      <c r="A64" s="60" t="s">
        <v>99</v>
      </c>
      <c r="B64" s="55"/>
      <c r="C64" s="55">
        <v>46.393318425381004</v>
      </c>
      <c r="D64" s="55">
        <v>46.094330775620101</v>
      </c>
      <c r="E64" s="55">
        <v>45.779224938936721</v>
      </c>
      <c r="F64" s="55">
        <v>45.393228259619626</v>
      </c>
      <c r="G64" s="55">
        <v>44.994516119402334</v>
      </c>
      <c r="H64" s="55">
        <v>44.514011362727523</v>
      </c>
      <c r="I64" s="55">
        <v>44.0288147673973</v>
      </c>
      <c r="J64" s="55">
        <v>43.484601141996045</v>
      </c>
      <c r="K64" s="55">
        <v>42.932640421301727</v>
      </c>
      <c r="L64" s="55">
        <v>42.134647458575884</v>
      </c>
      <c r="M64" s="55">
        <v>41.045101139595459</v>
      </c>
      <c r="N64" s="55">
        <v>39.961947462417562</v>
      </c>
      <c r="O64" s="55">
        <v>39.011529337179333</v>
      </c>
      <c r="P64" s="55">
        <v>38.020563759350217</v>
      </c>
      <c r="Q64" s="55">
        <v>36.866383739234848</v>
      </c>
      <c r="R64" s="55">
        <v>36.402816290987687</v>
      </c>
      <c r="S64" s="55">
        <v>35.838972375386369</v>
      </c>
      <c r="T64" s="55">
        <v>35.311762212373843</v>
      </c>
      <c r="U64" s="55">
        <v>34.807952158846518</v>
      </c>
      <c r="V64" s="55">
        <v>34.308032183018057</v>
      </c>
      <c r="W64" s="55">
        <v>33.964951861187878</v>
      </c>
      <c r="X64" s="55">
        <v>33.621871539357691</v>
      </c>
      <c r="Y64" s="55">
        <v>33.278791217527512</v>
      </c>
      <c r="DA64" s="101" t="s">
        <v>956</v>
      </c>
    </row>
    <row r="65" spans="1:105" ht="12" customHeight="1" x14ac:dyDescent="0.25">
      <c r="A65" s="62" t="s">
        <v>98</v>
      </c>
      <c r="B65" s="63"/>
      <c r="C65" s="63">
        <v>362.99998628409003</v>
      </c>
      <c r="D65" s="63">
        <v>349.10716955619915</v>
      </c>
      <c r="E65" s="63">
        <v>334.35514138852903</v>
      </c>
      <c r="F65" s="63">
        <v>319.17110939539657</v>
      </c>
      <c r="G65" s="63">
        <v>305.25857838090582</v>
      </c>
      <c r="H65" s="63">
        <v>288.47085801695937</v>
      </c>
      <c r="I65" s="63">
        <v>273.24197802771948</v>
      </c>
      <c r="J65" s="63">
        <v>254.80846707167495</v>
      </c>
      <c r="K65" s="63">
        <v>236.41473712286589</v>
      </c>
      <c r="L65" s="63">
        <v>212.01015611817678</v>
      </c>
      <c r="M65" s="63">
        <v>200.4815678929439</v>
      </c>
      <c r="N65" s="63">
        <v>189.38777916617443</v>
      </c>
      <c r="O65" s="63">
        <v>182.39542393951473</v>
      </c>
      <c r="P65" s="63">
        <v>169.50234089175439</v>
      </c>
      <c r="Q65" s="63">
        <v>165.95946436239143</v>
      </c>
      <c r="R65" s="63">
        <v>162.26411570136059</v>
      </c>
      <c r="S65" s="63">
        <v>157.95308560804745</v>
      </c>
      <c r="T65" s="63">
        <v>153.74383203779732</v>
      </c>
      <c r="U65" s="63">
        <v>149.74744715523556</v>
      </c>
      <c r="V65" s="63">
        <v>145.78899811179767</v>
      </c>
      <c r="W65" s="63">
        <v>143.16479614578532</v>
      </c>
      <c r="X65" s="63">
        <v>140.54059417977294</v>
      </c>
      <c r="Y65" s="63">
        <v>137.91639221376059</v>
      </c>
      <c r="DA65" s="105" t="s">
        <v>957</v>
      </c>
    </row>
    <row r="66" spans="1:105" s="2" customFormat="1" ht="12" customHeight="1" x14ac:dyDescent="0.25">
      <c r="DA66" s="7"/>
    </row>
    <row r="67" spans="1:105" ht="12.95" customHeight="1" x14ac:dyDescent="0.25">
      <c r="A67" s="178" t="s">
        <v>97</v>
      </c>
      <c r="B67" s="186"/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DA67" s="195"/>
    </row>
    <row r="68" spans="1:105" ht="12" customHeight="1" x14ac:dyDescent="0.25">
      <c r="A68" s="131" t="s">
        <v>96</v>
      </c>
      <c r="B68" s="187">
        <f>1000000*B20/SER_summary!B$8</f>
        <v>335.1555704709134</v>
      </c>
      <c r="C68" s="187">
        <f>1000000*C20/SER_summary!C$8</f>
        <v>344.33346552118974</v>
      </c>
      <c r="D68" s="187">
        <f>1000000*D20/SER_summary!D$8</f>
        <v>353.34940548161535</v>
      </c>
      <c r="E68" s="187">
        <f>1000000*E20/SER_summary!E$8</f>
        <v>362.23683228127987</v>
      </c>
      <c r="F68" s="187">
        <f>1000000*F20/SER_summary!F$8</f>
        <v>371.16826482987591</v>
      </c>
      <c r="G68" s="187">
        <f>1000000*G20/SER_summary!G$8</f>
        <v>380.10541240311187</v>
      </c>
      <c r="H68" s="187">
        <f>1000000*H20/SER_summary!H$8</f>
        <v>388.76734539838816</v>
      </c>
      <c r="I68" s="187">
        <f>1000000*I20/SER_summary!I$8</f>
        <v>397.53757404986209</v>
      </c>
      <c r="J68" s="187">
        <f>1000000*J20/SER_summary!J$8</f>
        <v>406.01620959007477</v>
      </c>
      <c r="K68" s="187">
        <f>1000000*K20/SER_summary!K$8</f>
        <v>414.42585031687145</v>
      </c>
      <c r="L68" s="187">
        <f>1000000*L20/SER_summary!L$8</f>
        <v>423.0963121826847</v>
      </c>
      <c r="M68" s="187">
        <f>1000000*M20/SER_summary!M$8</f>
        <v>431.85503424575739</v>
      </c>
      <c r="N68" s="187">
        <f>1000000*N20/SER_summary!N$8</f>
        <v>440.87865489330608</v>
      </c>
      <c r="O68" s="187">
        <f>1000000*O20/SER_summary!O$8</f>
        <v>450.19503946529812</v>
      </c>
      <c r="P68" s="187">
        <f>1000000*P20/SER_summary!P$8</f>
        <v>459.97732600315982</v>
      </c>
      <c r="Q68" s="187">
        <f>1000000*Q20/SER_summary!Q$8</f>
        <v>470.23413423452843</v>
      </c>
      <c r="R68" s="187">
        <f>1000000*R20/SER_summary!R$8</f>
        <v>483.85066520196114</v>
      </c>
      <c r="S68" s="187">
        <f>1000000*S20/SER_summary!S$8</f>
        <v>497.52973651808378</v>
      </c>
      <c r="T68" s="187">
        <f>1000000*T20/SER_summary!T$8</f>
        <v>510.94058938714596</v>
      </c>
      <c r="U68" s="187">
        <f>1000000*U20/SER_summary!U$8</f>
        <v>523.88261402145736</v>
      </c>
      <c r="V68" s="187">
        <f>1000000*V20/SER_summary!V$8</f>
        <v>535.98240371756879</v>
      </c>
      <c r="W68" s="187">
        <f>1000000*W20/SER_summary!W$8</f>
        <v>546.92041606786586</v>
      </c>
      <c r="X68" s="187">
        <f>1000000*X20/SER_summary!X$8</f>
        <v>552.47284588149193</v>
      </c>
      <c r="Y68" s="187">
        <f>1000000*Y20/SER_summary!Y$8</f>
        <v>555.27016361412268</v>
      </c>
      <c r="DA68" s="196" t="s">
        <v>958</v>
      </c>
    </row>
    <row r="69" spans="1:105" ht="12" customHeight="1" x14ac:dyDescent="0.25">
      <c r="A69" s="131" t="s">
        <v>95</v>
      </c>
      <c r="B69" s="187">
        <f>1000*B21/SER_summary!B$3</f>
        <v>0.23539302131683329</v>
      </c>
      <c r="C69" s="187">
        <f>1000*C21/SER_summary!C$3</f>
        <v>0.23958820601219835</v>
      </c>
      <c r="D69" s="187">
        <f>1000*D21/SER_summary!D$3</f>
        <v>0.24403528963407195</v>
      </c>
      <c r="E69" s="187">
        <f>1000*E21/SER_summary!E$3</f>
        <v>0.25001879480635592</v>
      </c>
      <c r="F69" s="187">
        <f>1000*F21/SER_summary!F$3</f>
        <v>0.25723098073483835</v>
      </c>
      <c r="G69" s="187">
        <f>1000*G21/SER_summary!G$3</f>
        <v>0.26317312932771414</v>
      </c>
      <c r="H69" s="187">
        <f>1000*H21/SER_summary!H$3</f>
        <v>0.27007978847067454</v>
      </c>
      <c r="I69" s="187">
        <f>1000*I21/SER_summary!I$3</f>
        <v>0.27594836936511058</v>
      </c>
      <c r="J69" s="187">
        <f>1000*J21/SER_summary!J$3</f>
        <v>0.28032745005236342</v>
      </c>
      <c r="K69" s="187">
        <f>1000*K21/SER_summary!K$3</f>
        <v>0.2850424021871939</v>
      </c>
      <c r="L69" s="187">
        <f>1000*L21/SER_summary!L$3</f>
        <v>0.28995522669404661</v>
      </c>
      <c r="M69" s="187">
        <f>1000*M21/SER_summary!M$3</f>
        <v>0.29356599673225414</v>
      </c>
      <c r="N69" s="187">
        <f>1000*N21/SER_summary!N$3</f>
        <v>0.29751115901563541</v>
      </c>
      <c r="O69" s="187">
        <f>1000*O21/SER_summary!O$3</f>
        <v>0.30855909610842552</v>
      </c>
      <c r="P69" s="187">
        <f>1000*P21/SER_summary!P$3</f>
        <v>0.32204735060781242</v>
      </c>
      <c r="Q69" s="187">
        <f>1000*Q21/SER_summary!Q$3</f>
        <v>0.33618997812147977</v>
      </c>
      <c r="R69" s="187">
        <f>1000*R21/SER_summary!R$3</f>
        <v>0.34191892142518038</v>
      </c>
      <c r="S69" s="187">
        <f>1000*S21/SER_summary!S$3</f>
        <v>0.34788726000456166</v>
      </c>
      <c r="T69" s="187">
        <f>1000*T21/SER_summary!T$3</f>
        <v>0.35259466589165145</v>
      </c>
      <c r="U69" s="187">
        <f>1000*U21/SER_summary!U$3</f>
        <v>0.35562680933043495</v>
      </c>
      <c r="V69" s="187">
        <f>1000*V21/SER_summary!V$3</f>
        <v>0.3574787739069642</v>
      </c>
      <c r="W69" s="187">
        <f>1000*W21/SER_summary!W$3</f>
        <v>0.35809199557914462</v>
      </c>
      <c r="X69" s="187">
        <f>1000*X21/SER_summary!X$3</f>
        <v>0.35852187653767259</v>
      </c>
      <c r="Y69" s="187">
        <f>1000*Y21/SER_summary!Y$3</f>
        <v>0.35135143900691918</v>
      </c>
      <c r="DA69" s="196" t="s">
        <v>959</v>
      </c>
    </row>
    <row r="70" spans="1:105" ht="12" customHeight="1" x14ac:dyDescent="0.25">
      <c r="A70" s="131" t="s">
        <v>141</v>
      </c>
      <c r="B70" s="187">
        <f>1000000*B22/SER_summary!B$8</f>
        <v>144.86625132335141</v>
      </c>
      <c r="C70" s="187">
        <f>1000000*C22/SER_summary!C$8</f>
        <v>145.61871337977709</v>
      </c>
      <c r="D70" s="187">
        <f>1000000*D22/SER_summary!D$8</f>
        <v>147.07974518933534</v>
      </c>
      <c r="E70" s="187">
        <f>1000000*E22/SER_summary!E$8</f>
        <v>148.43225118292619</v>
      </c>
      <c r="F70" s="187">
        <f>1000000*F22/SER_summary!F$8</f>
        <v>150.94281621366599</v>
      </c>
      <c r="G70" s="187">
        <f>1000000*G22/SER_summary!G$8</f>
        <v>153.38467194811943</v>
      </c>
      <c r="H70" s="187">
        <f>1000000*H22/SER_summary!H$8</f>
        <v>155.45977196040755</v>
      </c>
      <c r="I70" s="187">
        <f>1000000*I22/SER_summary!I$8</f>
        <v>158.2359423127881</v>
      </c>
      <c r="J70" s="187">
        <f>1000000*J22/SER_summary!J$8</f>
        <v>161.80634217138959</v>
      </c>
      <c r="K70" s="187">
        <f>1000000*K22/SER_summary!K$8</f>
        <v>164.92749041669703</v>
      </c>
      <c r="L70" s="187">
        <f>1000000*L22/SER_summary!L$8</f>
        <v>169.41259104671951</v>
      </c>
      <c r="M70" s="187">
        <f>1000000*M22/SER_summary!M$8</f>
        <v>174.60492717490229</v>
      </c>
      <c r="N70" s="187">
        <f>1000000*N22/SER_summary!N$8</f>
        <v>181.20579131541817</v>
      </c>
      <c r="O70" s="187">
        <f>1000000*O22/SER_summary!O$8</f>
        <v>189.10434669944635</v>
      </c>
      <c r="P70" s="187">
        <f>1000000*P22/SER_summary!P$8</f>
        <v>198.47347668680428</v>
      </c>
      <c r="Q70" s="187">
        <f>1000000*Q22/SER_summary!Q$8</f>
        <v>210.37343416841244</v>
      </c>
      <c r="R70" s="187">
        <f>1000000*R22/SER_summary!R$8</f>
        <v>216.54862176170153</v>
      </c>
      <c r="S70" s="187">
        <f>1000000*S22/SER_summary!S$8</f>
        <v>222.81772307602694</v>
      </c>
      <c r="T70" s="187">
        <f>1000000*T22/SER_summary!T$8</f>
        <v>228.77930722168725</v>
      </c>
      <c r="U70" s="187">
        <f>1000000*U22/SER_summary!U$8</f>
        <v>234.18787836823219</v>
      </c>
      <c r="V70" s="187">
        <f>1000000*V22/SER_summary!V$8</f>
        <v>238.58592450484406</v>
      </c>
      <c r="W70" s="187">
        <f>1000000*W22/SER_summary!W$8</f>
        <v>241.14988981041751</v>
      </c>
      <c r="X70" s="187">
        <f>1000000*X22/SER_summary!X$8</f>
        <v>242.44218665743415</v>
      </c>
      <c r="Y70" s="187">
        <f>1000000*Y22/SER_summary!Y$8</f>
        <v>243.09092974708273</v>
      </c>
      <c r="DA70" s="196" t="s">
        <v>960</v>
      </c>
    </row>
    <row r="71" spans="1:105" ht="12" customHeight="1" x14ac:dyDescent="0.25">
      <c r="A71" s="131" t="s">
        <v>174</v>
      </c>
      <c r="B71" s="187">
        <f>1000*B23/SER_summary!B$3</f>
        <v>2.6428513317755652E-2</v>
      </c>
      <c r="C71" s="187">
        <f>1000*C23/SER_summary!C$3</f>
        <v>2.6874491972959734E-2</v>
      </c>
      <c r="D71" s="187">
        <f>1000*D23/SER_summary!D$3</f>
        <v>2.7368068613192135E-2</v>
      </c>
      <c r="E71" s="187">
        <f>1000*E23/SER_summary!E$3</f>
        <v>2.779218197926971E-2</v>
      </c>
      <c r="F71" s="187">
        <f>1000*F23/SER_summary!F$3</f>
        <v>2.8102920033128944E-2</v>
      </c>
      <c r="G71" s="187">
        <f>1000*G23/SER_summary!G$3</f>
        <v>2.8710737923356454E-2</v>
      </c>
      <c r="H71" s="187">
        <f>1000*H23/SER_summary!H$3</f>
        <v>2.9539541208710451E-2</v>
      </c>
      <c r="I71" s="187">
        <f>1000*I23/SER_summary!I$3</f>
        <v>3.0456277989161323E-2</v>
      </c>
      <c r="J71" s="187">
        <f>1000*J23/SER_summary!J$3</f>
        <v>3.1302219649930074E-2</v>
      </c>
      <c r="K71" s="187">
        <f>1000*K23/SER_summary!K$3</f>
        <v>3.2199698365930972E-2</v>
      </c>
      <c r="L71" s="187">
        <f>1000*L23/SER_summary!L$3</f>
        <v>3.2903830831184908E-2</v>
      </c>
      <c r="M71" s="187">
        <f>1000*M23/SER_summary!M$3</f>
        <v>3.3448193935526491E-2</v>
      </c>
      <c r="N71" s="187">
        <f>1000*N23/SER_summary!N$3</f>
        <v>3.405383319191619E-2</v>
      </c>
      <c r="O71" s="187">
        <f>1000*O23/SER_summary!O$3</f>
        <v>3.4794023420106346E-2</v>
      </c>
      <c r="P71" s="187">
        <f>1000*P23/SER_summary!P$3</f>
        <v>3.5261755849494522E-2</v>
      </c>
      <c r="Q71" s="187">
        <f>1000*Q23/SER_summary!Q$3</f>
        <v>3.5725858566467282E-2</v>
      </c>
      <c r="R71" s="187">
        <f>1000*R23/SER_summary!R$3</f>
        <v>3.6278554961550295E-2</v>
      </c>
      <c r="S71" s="187">
        <f>1000*S23/SER_summary!S$3</f>
        <v>3.6854204265205019E-2</v>
      </c>
      <c r="T71" s="187">
        <f>1000*T23/SER_summary!T$3</f>
        <v>3.7307710453635956E-2</v>
      </c>
      <c r="U71" s="187">
        <f>1000*U23/SER_summary!U$3</f>
        <v>3.7603712313473224E-2</v>
      </c>
      <c r="V71" s="187">
        <f>1000*V23/SER_summary!V$3</f>
        <v>3.7809567903274971E-2</v>
      </c>
      <c r="W71" s="187">
        <f>1000*W23/SER_summary!W$3</f>
        <v>3.7935127822067205E-2</v>
      </c>
      <c r="X71" s="187">
        <f>1000*X23/SER_summary!X$3</f>
        <v>3.802326777751764E-2</v>
      </c>
      <c r="Y71" s="187">
        <f>1000*Y23/SER_summary!Y$3</f>
        <v>3.7262802421967278E-2</v>
      </c>
      <c r="DA71" s="196" t="s">
        <v>961</v>
      </c>
    </row>
    <row r="72" spans="1:105" ht="12" customHeight="1" x14ac:dyDescent="0.25">
      <c r="A72" s="60" t="s">
        <v>94</v>
      </c>
      <c r="B72" s="187">
        <f>1000000*B24/SER_summary!B$8</f>
        <v>100.55417414261881</v>
      </c>
      <c r="C72" s="187">
        <f>1000000*C24/SER_summary!C$8</f>
        <v>105.85984077359528</v>
      </c>
      <c r="D72" s="187">
        <f>1000000*D24/SER_summary!D$8</f>
        <v>112.89892302003153</v>
      </c>
      <c r="E72" s="187">
        <f>1000000*E24/SER_summary!E$8</f>
        <v>118.88147160954091</v>
      </c>
      <c r="F72" s="187">
        <f>1000000*F24/SER_summary!F$8</f>
        <v>125.08348357658808</v>
      </c>
      <c r="G72" s="187">
        <f>1000000*G24/SER_summary!G$8</f>
        <v>130.12527096734053</v>
      </c>
      <c r="H72" s="187">
        <f>1000000*H24/SER_summary!H$8</f>
        <v>134.72113610007767</v>
      </c>
      <c r="I72" s="187">
        <f>1000000*I24/SER_summary!I$8</f>
        <v>140.00676876213785</v>
      </c>
      <c r="J72" s="187">
        <f>1000000*J24/SER_summary!J$8</f>
        <v>145.13831735715596</v>
      </c>
      <c r="K72" s="187">
        <f>1000000*K24/SER_summary!K$8</f>
        <v>149.42794001427851</v>
      </c>
      <c r="L72" s="187">
        <f>1000000*L24/SER_summary!L$8</f>
        <v>153.0384055650072</v>
      </c>
      <c r="M72" s="187">
        <f>1000000*M24/SER_summary!M$8</f>
        <v>157.56137000158199</v>
      </c>
      <c r="N72" s="187">
        <f>1000000*N24/SER_summary!N$8</f>
        <v>160.97204731105072</v>
      </c>
      <c r="O72" s="187">
        <f>1000000*O24/SER_summary!O$8</f>
        <v>163.15807167264887</v>
      </c>
      <c r="P72" s="187">
        <f>1000000*P24/SER_summary!P$8</f>
        <v>165.33744695160172</v>
      </c>
      <c r="Q72" s="187">
        <f>1000000*Q24/SER_summary!Q$8</f>
        <v>166.73159463258997</v>
      </c>
      <c r="R72" s="187">
        <f>1000000*R24/SER_summary!R$8</f>
        <v>173.64232699636713</v>
      </c>
      <c r="S72" s="187">
        <f>1000000*S24/SER_summary!S$8</f>
        <v>180.60301203187444</v>
      </c>
      <c r="T72" s="187">
        <f>1000000*T24/SER_summary!T$8</f>
        <v>187.34946372333707</v>
      </c>
      <c r="U72" s="187">
        <f>1000000*U24/SER_summary!U$8</f>
        <v>193.72144959556613</v>
      </c>
      <c r="V72" s="187">
        <f>1000000*V24/SER_summary!V$8</f>
        <v>199.42071959288754</v>
      </c>
      <c r="W72" s="187">
        <f>1000000*W24/SER_summary!W$8</f>
        <v>204.14642775594143</v>
      </c>
      <c r="X72" s="187">
        <f>1000000*X24/SER_summary!X$8</f>
        <v>208.00749768264754</v>
      </c>
      <c r="Y72" s="187">
        <f>1000000*Y24/SER_summary!Y$8</f>
        <v>211.14886594223785</v>
      </c>
      <c r="DA72" s="196" t="s">
        <v>962</v>
      </c>
    </row>
    <row r="73" spans="1:105" ht="12" customHeight="1" x14ac:dyDescent="0.25">
      <c r="A73" s="62" t="s">
        <v>93</v>
      </c>
      <c r="B73" s="52">
        <f>1000*B25/SER_summary!B$3</f>
        <v>8.0499122624268948E-2</v>
      </c>
      <c r="C73" s="52">
        <f>1000*C25/SER_summary!C$3</f>
        <v>9.5267404065637329E-2</v>
      </c>
      <c r="D73" s="52">
        <f>1000*D25/SER_summary!D$3</f>
        <v>0.11317379299803755</v>
      </c>
      <c r="E73" s="52">
        <f>1000*E25/SER_summary!E$3</f>
        <v>0.12982838996393534</v>
      </c>
      <c r="F73" s="52">
        <f>1000*F25/SER_summary!F$3</f>
        <v>0.14823805480347718</v>
      </c>
      <c r="G73" s="52">
        <f>1000*G25/SER_summary!G$3</f>
        <v>0.16312532505306804</v>
      </c>
      <c r="H73" s="52">
        <f>1000*H25/SER_summary!H$3</f>
        <v>0.17713626466143481</v>
      </c>
      <c r="I73" s="52">
        <f>1000*I25/SER_summary!I$3</f>
        <v>0.18763797083050962</v>
      </c>
      <c r="J73" s="52">
        <f>1000*J25/SER_summary!J$3</f>
        <v>0.19869183223910569</v>
      </c>
      <c r="K73" s="52">
        <f>1000*K25/SER_summary!K$3</f>
        <v>0.20947530431567607</v>
      </c>
      <c r="L73" s="52">
        <f>1000*L25/SER_summary!L$3</f>
        <v>0.22022760422729623</v>
      </c>
      <c r="M73" s="52">
        <f>1000*M25/SER_summary!M$3</f>
        <v>0.23431688085973759</v>
      </c>
      <c r="N73" s="52">
        <f>1000*N25/SER_summary!N$3</f>
        <v>0.25452748542650522</v>
      </c>
      <c r="O73" s="52">
        <f>1000*O25/SER_summary!O$3</f>
        <v>0.28030666509842073</v>
      </c>
      <c r="P73" s="52">
        <f>1000*P25/SER_summary!P$3</f>
        <v>0.31535201399674911</v>
      </c>
      <c r="Q73" s="52">
        <f>1000*Q25/SER_summary!Q$3</f>
        <v>0.35600486301826956</v>
      </c>
      <c r="R73" s="52">
        <f>1000*R25/SER_summary!R$3</f>
        <v>0.37168351455012155</v>
      </c>
      <c r="S73" s="52">
        <f>1000*S25/SER_summary!S$3</f>
        <v>0.3874061993440257</v>
      </c>
      <c r="T73" s="52">
        <f>1000*T25/SER_summary!T$3</f>
        <v>0.40160659067056725</v>
      </c>
      <c r="U73" s="52">
        <f>1000*U25/SER_summary!U$3</f>
        <v>0.41351022181352731</v>
      </c>
      <c r="V73" s="52">
        <f>1000*V25/SER_summary!V$3</f>
        <v>0.42383178160470175</v>
      </c>
      <c r="W73" s="52">
        <f>1000*W25/SER_summary!W$3</f>
        <v>0.43281826355876835</v>
      </c>
      <c r="X73" s="52">
        <f>1000*X25/SER_summary!X$3</f>
        <v>0.43978966429062089</v>
      </c>
      <c r="Y73" s="52">
        <f>1000*Y25/SER_summary!Y$3</f>
        <v>0.44509267746221531</v>
      </c>
      <c r="DA73" s="98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V15 B69:V71 B16:V16 B72:Q72 R72:V72 W13:Y17 W69:Y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'SER_se-appl'!B4</f>
        <v>3.2487974911147277</v>
      </c>
      <c r="C3" s="198">
        <f>'SER_se-appl'!C4</f>
        <v>3.3726122710078057</v>
      </c>
      <c r="D3" s="198">
        <f>'SER_se-appl'!D4</f>
        <v>3.4776566277452439</v>
      </c>
      <c r="E3" s="198">
        <f>'SER_se-appl'!E4</f>
        <v>3.5887139191253072</v>
      </c>
      <c r="F3" s="198">
        <f>'SER_se-appl'!F4</f>
        <v>3.7170904845577972</v>
      </c>
      <c r="G3" s="198">
        <f>'SER_se-appl'!G4</f>
        <v>3.8473462590642424</v>
      </c>
      <c r="H3" s="198">
        <f>'SER_se-appl'!H4</f>
        <v>3.9706881278930748</v>
      </c>
      <c r="I3" s="198">
        <f>'SER_se-appl'!I4</f>
        <v>4.1108863078586317</v>
      </c>
      <c r="J3" s="198">
        <f>'SER_se-appl'!J4</f>
        <v>4.2445974910889799</v>
      </c>
      <c r="K3" s="198">
        <f>'SER_se-appl'!K4</f>
        <v>4.4067219760632534</v>
      </c>
      <c r="L3" s="198">
        <f>'SER_se-appl'!L4</f>
        <v>4.5786079659324299</v>
      </c>
      <c r="M3" s="198">
        <f>'SER_se-appl'!M4</f>
        <v>4.7080010523458666</v>
      </c>
      <c r="N3" s="198">
        <f>'SER_se-appl'!N4</f>
        <v>4.8383430883806362</v>
      </c>
      <c r="O3" s="198">
        <f>'SER_se-appl'!O4</f>
        <v>4.872018164382955</v>
      </c>
      <c r="P3" s="198">
        <f>'SER_se-appl'!P4</f>
        <v>4.858306796795838</v>
      </c>
      <c r="Q3" s="198">
        <f>'SER_se-appl'!Q4</f>
        <v>4.8545040126950632</v>
      </c>
      <c r="R3" s="198">
        <f>'SER_se-appl'!R4</f>
        <v>4.9368880187903299</v>
      </c>
      <c r="S3" s="198">
        <f>'SER_se-appl'!S4</f>
        <v>5.0409654445190206</v>
      </c>
      <c r="T3" s="198">
        <f>'SER_se-appl'!T4</f>
        <v>5.1405444799637712</v>
      </c>
      <c r="U3" s="198">
        <f>'SER_se-appl'!U4</f>
        <v>5.2430328432244107</v>
      </c>
      <c r="V3" s="198">
        <f>'SER_se-appl'!V4</f>
        <v>5.3359919106991898</v>
      </c>
      <c r="W3" s="198">
        <f>'SER_se-appl'!W4</f>
        <v>5.4168270420454618</v>
      </c>
      <c r="X3" s="198">
        <f>'SER_se-appl'!X4</f>
        <v>5.445463217623236</v>
      </c>
      <c r="Y3" s="198">
        <f>'SER_se-appl'!Y4</f>
        <v>5.4483768936479473</v>
      </c>
      <c r="DA3" s="205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'SER_se-appl'!B12</f>
        <v>4.3131866234776588</v>
      </c>
      <c r="C5" s="59">
        <f>'SER_se-appl'!C12</f>
        <v>4.4775662913037433</v>
      </c>
      <c r="D5" s="59">
        <f>'SER_se-appl'!D12</f>
        <v>4.6170258653741083</v>
      </c>
      <c r="E5" s="59">
        <f>'SER_se-appl'!E12</f>
        <v>4.7644683652314308</v>
      </c>
      <c r="F5" s="59">
        <f>'SER_se-appl'!F12</f>
        <v>4.9349043761880358</v>
      </c>
      <c r="G5" s="59">
        <f>'SER_se-appl'!G12</f>
        <v>5.1078352731640564</v>
      </c>
      <c r="H5" s="59">
        <f>'SER_se-appl'!H12</f>
        <v>5.2715870921685477</v>
      </c>
      <c r="I5" s="59">
        <f>'SER_se-appl'!I12</f>
        <v>5.4577177808671093</v>
      </c>
      <c r="J5" s="59">
        <f>'SER_se-appl'!J12</f>
        <v>5.6352361668224722</v>
      </c>
      <c r="K5" s="59">
        <f>'SER_se-appl'!K12</f>
        <v>5.8504767787232455</v>
      </c>
      <c r="L5" s="59">
        <f>'SER_se-appl'!L12</f>
        <v>6.0786770141317543</v>
      </c>
      <c r="M5" s="59">
        <f>'SER_se-appl'!M12</f>
        <v>6.2504625843358941</v>
      </c>
      <c r="N5" s="59">
        <f>'SER_se-appl'!N12</f>
        <v>6.423508004322696</v>
      </c>
      <c r="O5" s="59">
        <f>'SER_se-appl'!O12</f>
        <v>6.4682158963212082</v>
      </c>
      <c r="P5" s="59">
        <f>'SER_se-appl'!P12</f>
        <v>6.4500123341022411</v>
      </c>
      <c r="Q5" s="59">
        <f>'SER_se-appl'!Q12</f>
        <v>6.4449636606899094</v>
      </c>
      <c r="R5" s="59">
        <f>'SER_se-appl'!R12</f>
        <v>6.5543387738049725</v>
      </c>
      <c r="S5" s="59">
        <f>'SER_se-appl'!S12</f>
        <v>6.6925146255429491</v>
      </c>
      <c r="T5" s="59">
        <f>'SER_se-appl'!T12</f>
        <v>6.824718299312635</v>
      </c>
      <c r="U5" s="59">
        <f>'SER_se-appl'!U12</f>
        <v>6.9607844710844624</v>
      </c>
      <c r="V5" s="59">
        <f>'SER_se-appl'!V12</f>
        <v>7.084199306099495</v>
      </c>
      <c r="W5" s="59">
        <f>'SER_se-appl'!W12</f>
        <v>7.1915180934918617</v>
      </c>
      <c r="X5" s="59">
        <f>'SER_se-appl'!X12</f>
        <v>7.2295362124381528</v>
      </c>
      <c r="Y5" s="59">
        <f>'SER_se-appl'!Y12</f>
        <v>7.2334044832335174</v>
      </c>
      <c r="DA5" s="104" t="s">
        <v>916</v>
      </c>
    </row>
    <row r="6" spans="1:105" ht="12" customHeight="1" x14ac:dyDescent="0.25">
      <c r="A6" s="200" t="str">
        <f>"Penetration factor "&amp;MID('SER_se-appl'!A68,FIND("(",'SER_se-appl'!A68),100)</f>
        <v>Penetration factor (sqm per building cell)</v>
      </c>
      <c r="B6" s="201">
        <f>'SER_se-appl'!B68</f>
        <v>335.1555704709134</v>
      </c>
      <c r="C6" s="201">
        <f>'SER_se-appl'!C68</f>
        <v>344.33346552118974</v>
      </c>
      <c r="D6" s="201">
        <f>'SER_se-appl'!D68</f>
        <v>353.34940548161535</v>
      </c>
      <c r="E6" s="201">
        <f>'SER_se-appl'!E68</f>
        <v>362.23683228127987</v>
      </c>
      <c r="F6" s="201">
        <f>'SER_se-appl'!F68</f>
        <v>371.16826482987591</v>
      </c>
      <c r="G6" s="201">
        <f>'SER_se-appl'!G68</f>
        <v>380.10541240311187</v>
      </c>
      <c r="H6" s="201">
        <f>'SER_se-appl'!H68</f>
        <v>388.76734539838816</v>
      </c>
      <c r="I6" s="201">
        <f>'SER_se-appl'!I68</f>
        <v>397.53757404986209</v>
      </c>
      <c r="J6" s="201">
        <f>'SER_se-appl'!J68</f>
        <v>406.01620959007477</v>
      </c>
      <c r="K6" s="201">
        <f>'SER_se-appl'!K68</f>
        <v>414.42585031687145</v>
      </c>
      <c r="L6" s="201">
        <f>'SER_se-appl'!L68</f>
        <v>423.0963121826847</v>
      </c>
      <c r="M6" s="201">
        <f>'SER_se-appl'!M68</f>
        <v>431.85503424575739</v>
      </c>
      <c r="N6" s="201">
        <f>'SER_se-appl'!N68</f>
        <v>440.87865489330608</v>
      </c>
      <c r="O6" s="201">
        <f>'SER_se-appl'!O68</f>
        <v>450.19503946529812</v>
      </c>
      <c r="P6" s="201">
        <f>'SER_se-appl'!P68</f>
        <v>459.97732600315982</v>
      </c>
      <c r="Q6" s="201">
        <f>'SER_se-appl'!Q68</f>
        <v>470.23413423452843</v>
      </c>
      <c r="R6" s="201">
        <f>'SER_se-appl'!R68</f>
        <v>483.85066520196114</v>
      </c>
      <c r="S6" s="201">
        <f>'SER_se-appl'!S68</f>
        <v>497.52973651808378</v>
      </c>
      <c r="T6" s="201">
        <f>'SER_se-appl'!T68</f>
        <v>510.94058938714596</v>
      </c>
      <c r="U6" s="201">
        <f>'SER_se-appl'!U68</f>
        <v>523.88261402145736</v>
      </c>
      <c r="V6" s="201">
        <f>'SER_se-appl'!V68</f>
        <v>535.98240371756879</v>
      </c>
      <c r="W6" s="201">
        <f>'SER_se-appl'!W68</f>
        <v>546.92041606786586</v>
      </c>
      <c r="X6" s="201">
        <f>'SER_se-appl'!X68</f>
        <v>552.47284588149193</v>
      </c>
      <c r="Y6" s="201">
        <f>'SER_se-appl'!Y68</f>
        <v>555.27016361412268</v>
      </c>
      <c r="DA6" s="206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"&amp;MID('SER_se-appl'!A20,FIND("(",'SER_se-appl'!A20),100)</f>
        <v>Stock of appliances (serviced million m2)</v>
      </c>
      <c r="B8" s="34">
        <f>'SER_se-appl'!B20</f>
        <v>5.4548884916715261</v>
      </c>
      <c r="C8" s="34">
        <f>'SER_se-appl'!C20</f>
        <v>5.7167338402517514</v>
      </c>
      <c r="D8" s="34">
        <f>'SER_se-appl'!D20</f>
        <v>5.9500912416338991</v>
      </c>
      <c r="E8" s="34">
        <f>'SER_se-appl'!E20</f>
        <v>6.2020763321838279</v>
      </c>
      <c r="F8" s="34">
        <f>'SER_se-appl'!F20</f>
        <v>6.49592189164205</v>
      </c>
      <c r="G8" s="34">
        <f>'SER_se-appl'!G20</f>
        <v>6.8024671486914547</v>
      </c>
      <c r="H8" s="34">
        <f>'SER_se-appl'!H20</f>
        <v>7.10435257986647</v>
      </c>
      <c r="I8" s="34">
        <f>'SER_se-appl'!I20</f>
        <v>7.4509218923364751</v>
      </c>
      <c r="J8" s="34">
        <f>'SER_se-appl'!J20</f>
        <v>7.7980881629467058</v>
      </c>
      <c r="K8" s="34">
        <f>'SER_se-appl'!K20</f>
        <v>8.2182338888537618</v>
      </c>
      <c r="L8" s="34">
        <f>'SER_se-appl'!L20</f>
        <v>8.6778008703712661</v>
      </c>
      <c r="M8" s="34">
        <f>'SER_se-appl'!M20</f>
        <v>9.0620181814341247</v>
      </c>
      <c r="N8" s="34">
        <f>'SER_se-appl'!N20</f>
        <v>9.4672236839454982</v>
      </c>
      <c r="O8" s="34">
        <f>'SER_se-appl'!O20</f>
        <v>9.6710575933598903</v>
      </c>
      <c r="P8" s="34">
        <f>'SER_se-appl'!P20</f>
        <v>9.780743866211159</v>
      </c>
      <c r="Q8" s="34">
        <f>'SER_se-appl'!Q20</f>
        <v>9.9328317572154177</v>
      </c>
      <c r="R8" s="34">
        <f>'SER_se-appl'!R20</f>
        <v>10.305866615675946</v>
      </c>
      <c r="S8" s="34">
        <f>'SER_se-appl'!S20</f>
        <v>10.745448295790933</v>
      </c>
      <c r="T8" s="34">
        <f>'SER_se-appl'!T20</f>
        <v>11.186760590826797</v>
      </c>
      <c r="U8" s="34">
        <f>'SER_se-appl'!U20</f>
        <v>11.621807004664129</v>
      </c>
      <c r="V8" s="34">
        <f>'SER_se-appl'!V20</f>
        <v>12.02450200048983</v>
      </c>
      <c r="W8" s="34">
        <f>'SER_se-appl'!W20</f>
        <v>12.401803561662049</v>
      </c>
      <c r="X8" s="34">
        <f>'SER_se-appl'!X20</f>
        <v>12.655915461928144</v>
      </c>
      <c r="Y8" s="34">
        <f>'SER_se-appl'!Y20</f>
        <v>12.844022994339548</v>
      </c>
      <c r="DA8" s="88" t="s">
        <v>922</v>
      </c>
    </row>
    <row r="9" spans="1:105" ht="12.95" customHeight="1" x14ac:dyDescent="0.25">
      <c r="A9" s="202" t="str">
        <f>"Number of new appliances "&amp;MID('SER_se-appl'!A28,FIND("(",'SER_se-appl'!A28),100)</f>
        <v>Number of new appliances (serviced million m2)</v>
      </c>
      <c r="B9" s="36"/>
      <c r="C9" s="36">
        <f>'SER_se-appl'!C28</f>
        <v>0.49844201167578372</v>
      </c>
      <c r="D9" s="36">
        <f>'SER_se-appl'!D28</f>
        <v>0.47664634170226172</v>
      </c>
      <c r="E9" s="36">
        <f>'SER_se-appl'!E28</f>
        <v>0.50215560313310093</v>
      </c>
      <c r="F9" s="36">
        <f>'SER_se-appl'!F28</f>
        <v>0.55109229366561685</v>
      </c>
      <c r="G9" s="36">
        <f>'SER_se-appl'!G28</f>
        <v>0.57106836801504723</v>
      </c>
      <c r="H9" s="36">
        <f>'SER_se-appl'!H28</f>
        <v>0.57389073553984726</v>
      </c>
      <c r="I9" s="36">
        <f>'SER_se-appl'!I28</f>
        <v>0.62626844852097463</v>
      </c>
      <c r="J9" s="36">
        <f>'SER_se-appl'!J28</f>
        <v>0.6347768629490087</v>
      </c>
      <c r="K9" s="36">
        <f>'SER_se-appl'!K28</f>
        <v>0.7158915547765039</v>
      </c>
      <c r="L9" s="36">
        <f>'SER_se-appl'!L28</f>
        <v>0.76367815691764651</v>
      </c>
      <c r="M9" s="36">
        <f>'SER_se-appl'!M28</f>
        <v>0.69693045179182356</v>
      </c>
      <c r="N9" s="36">
        <f>'SER_se-appl'!N28</f>
        <v>0.72676392027061709</v>
      </c>
      <c r="O9" s="36">
        <f>'SER_se-appl'!O28</f>
        <v>0.53448779812144487</v>
      </c>
      <c r="P9" s="36">
        <f>'SER_se-appl'!P28</f>
        <v>0.44969290330730871</v>
      </c>
      <c r="Q9" s="36">
        <f>'SER_se-appl'!Q28</f>
        <v>0.50171181106797036</v>
      </c>
      <c r="R9" s="36">
        <f>'SER_se-appl'!R28</f>
        <v>0.73254809888400096</v>
      </c>
      <c r="S9" s="36">
        <f>'SER_se-appl'!S28</f>
        <v>0.8092639662017973</v>
      </c>
      <c r="T9" s="36">
        <f>'SER_se-appl'!T28</f>
        <v>0.82145126428604165</v>
      </c>
      <c r="U9" s="36">
        <f>'SER_se-appl'!U28</f>
        <v>0.93348842551311684</v>
      </c>
      <c r="V9" s="36">
        <f>'SER_se-appl'!V28</f>
        <v>0.87934133752796306</v>
      </c>
      <c r="W9" s="36">
        <f>'SER_se-appl'!W28</f>
        <v>0.87945716430531995</v>
      </c>
      <c r="X9" s="36">
        <f>'SER_se-appl'!X28</f>
        <v>0.80520419393171139</v>
      </c>
      <c r="Y9" s="36">
        <f>'SER_se-appl'!Y28</f>
        <v>0.75917590042645067</v>
      </c>
      <c r="DA9" s="89" t="s">
        <v>928</v>
      </c>
    </row>
    <row r="10" spans="1:105" ht="12" customHeight="1" x14ac:dyDescent="0.25">
      <c r="A10" s="203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0.23659666309555849</v>
      </c>
      <c r="D10" s="38">
        <f>'SER_se-appl'!D36</f>
        <v>0.24328894032011394</v>
      </c>
      <c r="E10" s="38">
        <f>'SER_se-appl'!E36</f>
        <v>0.25017051258317213</v>
      </c>
      <c r="F10" s="38">
        <f>'SER_se-appl'!F36</f>
        <v>0.25724673420739474</v>
      </c>
      <c r="G10" s="38">
        <f>'SER_se-appl'!G36</f>
        <v>0.26452311096564252</v>
      </c>
      <c r="H10" s="38">
        <f>'SER_se-appl'!H36</f>
        <v>0.27200530436483206</v>
      </c>
      <c r="I10" s="38">
        <f>'SER_se-appl'!I36</f>
        <v>0.27969913605096952</v>
      </c>
      <c r="J10" s="38">
        <f>'SER_se-appl'!J36</f>
        <v>0.28761059233877884</v>
      </c>
      <c r="K10" s="38">
        <f>'SER_se-appl'!K36</f>
        <v>0.29574582886944789</v>
      </c>
      <c r="L10" s="38">
        <f>'SER_se-appl'!L36</f>
        <v>0.3041111754001431</v>
      </c>
      <c r="M10" s="38">
        <f>'SER_se-appl'!M36</f>
        <v>0.31271314072896494</v>
      </c>
      <c r="N10" s="38">
        <f>'SER_se-appl'!N36</f>
        <v>0.32155841775924365</v>
      </c>
      <c r="O10" s="38">
        <f>'SER_se-appl'!O36</f>
        <v>0.3306538887070527</v>
      </c>
      <c r="P10" s="38">
        <f>'SER_se-appl'!P36</f>
        <v>0.34000663045604007</v>
      </c>
      <c r="Q10" s="38">
        <f>'SER_se-appl'!Q36</f>
        <v>0.34962392006371168</v>
      </c>
      <c r="R10" s="38">
        <f>'SER_se-appl'!R36</f>
        <v>0.35951324042347288</v>
      </c>
      <c r="S10" s="38">
        <f>'SER_se-appl'!S36</f>
        <v>0.36968228608681031</v>
      </c>
      <c r="T10" s="38">
        <f>'SER_se-appl'!T36</f>
        <v>0.38013896925017754</v>
      </c>
      <c r="U10" s="38">
        <f>'SER_se-appl'!U36</f>
        <v>0.49844201167578461</v>
      </c>
      <c r="V10" s="38">
        <f>'SER_se-appl'!V36</f>
        <v>0.47664634170226172</v>
      </c>
      <c r="W10" s="38">
        <f>'SER_se-appl'!W36</f>
        <v>0.50215560313310093</v>
      </c>
      <c r="X10" s="38">
        <f>'SER_se-appl'!X36</f>
        <v>0.55109229366561685</v>
      </c>
      <c r="Y10" s="38">
        <f>'SER_se-appl'!Y36</f>
        <v>0.57106836801504635</v>
      </c>
      <c r="DA10" s="90" t="s">
        <v>934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'SER_se-appl'!B44</f>
        <v>8759.9999999999982</v>
      </c>
      <c r="C12" s="204">
        <f>'SER_se-appl'!C44</f>
        <v>8759.9999999999982</v>
      </c>
      <c r="D12" s="204">
        <f>'SER_se-appl'!D44</f>
        <v>8760</v>
      </c>
      <c r="E12" s="204">
        <f>'SER_se-appl'!E44</f>
        <v>8759.9999999999982</v>
      </c>
      <c r="F12" s="204">
        <f>'SER_se-appl'!F44</f>
        <v>8759.9999999999982</v>
      </c>
      <c r="G12" s="204">
        <f>'SER_se-appl'!G44</f>
        <v>8760.0000000000018</v>
      </c>
      <c r="H12" s="204">
        <f>'SER_se-appl'!H44</f>
        <v>8759.9999999999964</v>
      </c>
      <c r="I12" s="204">
        <f>'SER_se-appl'!I44</f>
        <v>8760.0000000000018</v>
      </c>
      <c r="J12" s="204">
        <f>'SER_se-appl'!J44</f>
        <v>8759.9999999999964</v>
      </c>
      <c r="K12" s="204">
        <f>'SER_se-appl'!K44</f>
        <v>8760.0000000000018</v>
      </c>
      <c r="L12" s="204">
        <f>'SER_se-appl'!L44</f>
        <v>8759.9999999999982</v>
      </c>
      <c r="M12" s="204">
        <f>'SER_se-appl'!M44</f>
        <v>8759.9999999999982</v>
      </c>
      <c r="N12" s="204">
        <f>'SER_se-appl'!N44</f>
        <v>8759.9999999999964</v>
      </c>
      <c r="O12" s="204">
        <f>'SER_se-appl'!O44</f>
        <v>8759.9999999999964</v>
      </c>
      <c r="P12" s="204">
        <f>'SER_se-appl'!P44</f>
        <v>8759.9999999999945</v>
      </c>
      <c r="Q12" s="204">
        <f>'SER_se-appl'!Q44</f>
        <v>8759.9999999999964</v>
      </c>
      <c r="R12" s="204">
        <f>'SER_se-appl'!R44</f>
        <v>8759.9999999999964</v>
      </c>
      <c r="S12" s="204">
        <f>'SER_se-appl'!S44</f>
        <v>8759.9999999999964</v>
      </c>
      <c r="T12" s="204">
        <f>'SER_se-appl'!T44</f>
        <v>8759.9999999999964</v>
      </c>
      <c r="U12" s="204">
        <f>'SER_se-appl'!U44</f>
        <v>8760.0000000000018</v>
      </c>
      <c r="V12" s="204">
        <f>'SER_se-appl'!V44</f>
        <v>8760</v>
      </c>
      <c r="W12" s="204">
        <f>'SER_se-appl'!W44</f>
        <v>8760.0000000000018</v>
      </c>
      <c r="X12" s="204">
        <f>'SER_se-appl'!X44</f>
        <v>8760.0000000000018</v>
      </c>
      <c r="Y12" s="204">
        <f>'SER_se-appl'!Y44</f>
        <v>8760.0000000000018</v>
      </c>
      <c r="DA12" s="208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0.79070115366482607</v>
      </c>
      <c r="C14" s="59">
        <f>'SER_se-appl'!C52</f>
        <v>0.78323854432001372</v>
      </c>
      <c r="D14" s="59">
        <f>'SER_se-appl'!D52</f>
        <v>0.77595883455835379</v>
      </c>
      <c r="E14" s="59">
        <f>'SER_se-appl'!E52</f>
        <v>0.76820537349849127</v>
      </c>
      <c r="F14" s="59">
        <f>'SER_se-appl'!F52</f>
        <v>0.75969269004565909</v>
      </c>
      <c r="G14" s="59">
        <f>'SER_se-appl'!G52</f>
        <v>0.75087981485461741</v>
      </c>
      <c r="H14" s="59">
        <f>'SER_se-appl'!H52</f>
        <v>0.74202216639811391</v>
      </c>
      <c r="I14" s="59">
        <f>'SER_se-appl'!I52</f>
        <v>0.73248892683743694</v>
      </c>
      <c r="J14" s="59">
        <f>'SER_se-appl'!J52</f>
        <v>0.7226433003923689</v>
      </c>
      <c r="K14" s="59">
        <f>'SER_se-appl'!K52</f>
        <v>0.71188978773871825</v>
      </c>
      <c r="L14" s="59">
        <f>'SER_se-appl'!L52</f>
        <v>0.7004858840315481</v>
      </c>
      <c r="M14" s="59">
        <f>'SER_se-appl'!M52</f>
        <v>0.68974288720161414</v>
      </c>
      <c r="N14" s="59">
        <f>'SER_se-appl'!N52</f>
        <v>0.67849965510117505</v>
      </c>
      <c r="O14" s="59">
        <f>'SER_se-appl'!O52</f>
        <v>0.66882198083095479</v>
      </c>
      <c r="P14" s="59">
        <f>'SER_se-appl'!P52</f>
        <v>0.65946030509853559</v>
      </c>
      <c r="Q14" s="59">
        <f>'SER_se-appl'!Q52</f>
        <v>0.64885460845625942</v>
      </c>
      <c r="R14" s="59">
        <f>'SER_se-appl'!R52</f>
        <v>0.63598133162672255</v>
      </c>
      <c r="S14" s="59">
        <f>'SER_se-appl'!S52</f>
        <v>0.62282321233302607</v>
      </c>
      <c r="T14" s="59">
        <f>'SER_se-appl'!T52</f>
        <v>0.61007100705354689</v>
      </c>
      <c r="U14" s="59">
        <f>'SER_se-appl'!U52</f>
        <v>0.59894166787410263</v>
      </c>
      <c r="V14" s="59">
        <f>'SER_se-appl'!V52</f>
        <v>0.58914700216365823</v>
      </c>
      <c r="W14" s="59">
        <f>'SER_se-appl'!W52</f>
        <v>0.57987679434974682</v>
      </c>
      <c r="X14" s="59">
        <f>'SER_se-appl'!X52</f>
        <v>0.57123771363566966</v>
      </c>
      <c r="Y14" s="59">
        <f>'SER_se-appl'!Y52</f>
        <v>0.56317280702637562</v>
      </c>
      <c r="DA14" s="104" t="s">
        <v>946</v>
      </c>
    </row>
    <row r="15" spans="1:105" ht="12" customHeight="1" x14ac:dyDescent="0.25">
      <c r="A15" s="203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0.705110953844715</v>
      </c>
      <c r="D15" s="63">
        <f>'SER_se-appl'!D60</f>
        <v>0.69617322283499139</v>
      </c>
      <c r="E15" s="63">
        <f>'SER_se-appl'!E60</f>
        <v>0.68754109406650132</v>
      </c>
      <c r="F15" s="63">
        <f>'SER_se-appl'!F60</f>
        <v>0.67836423184994599</v>
      </c>
      <c r="G15" s="63">
        <f>'SER_se-appl'!G60</f>
        <v>0.66907860317259971</v>
      </c>
      <c r="H15" s="63">
        <f>'SER_se-appl'!H60</f>
        <v>0.66010253086305837</v>
      </c>
      <c r="I15" s="63">
        <f>'SER_se-appl'!I60</f>
        <v>0.65034270721284426</v>
      </c>
      <c r="J15" s="63">
        <f>'SER_se-appl'!J60</f>
        <v>0.63791300023546538</v>
      </c>
      <c r="K15" s="63">
        <f>'SER_se-appl'!K60</f>
        <v>0.62731174433201342</v>
      </c>
      <c r="L15" s="63">
        <f>'SER_se-appl'!L60</f>
        <v>0.61368953451723085</v>
      </c>
      <c r="M15" s="63">
        <f>'SER_se-appl'!M60</f>
        <v>0.60127694272405796</v>
      </c>
      <c r="N15" s="63">
        <f>'SER_se-appl'!N60</f>
        <v>0.58795163045595511</v>
      </c>
      <c r="O15" s="63">
        <f>'SER_se-appl'!O60</f>
        <v>0.57280316658113239</v>
      </c>
      <c r="P15" s="63">
        <f>'SER_se-appl'!P60</f>
        <v>0.5573583013940373</v>
      </c>
      <c r="Q15" s="63">
        <f>'SER_se-appl'!Q60</f>
        <v>0.54094672986300385</v>
      </c>
      <c r="R15" s="63">
        <f>'SER_se-appl'!R60</f>
        <v>0.53736081995895646</v>
      </c>
      <c r="S15" s="63">
        <f>'SER_se-appl'!S60</f>
        <v>0.53194517464641822</v>
      </c>
      <c r="T15" s="63">
        <f>'SER_se-appl'!T60</f>
        <v>0.52684804823437292</v>
      </c>
      <c r="U15" s="63">
        <f>'SER_se-appl'!U60</f>
        <v>0.52225938826487117</v>
      </c>
      <c r="V15" s="63">
        <f>'SER_se-appl'!V60</f>
        <v>0.51770937569044662</v>
      </c>
      <c r="W15" s="63">
        <f>'SER_se-appl'!W60</f>
        <v>0.51460311943630388</v>
      </c>
      <c r="X15" s="63">
        <f>'SER_se-appl'!X60</f>
        <v>0.51149686318216125</v>
      </c>
      <c r="Y15" s="63">
        <f>'SER_se-appl'!Y60</f>
        <v>0.50839060692801852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'SER_se-appl'!B5</f>
        <v>9.9661645600961659</v>
      </c>
      <c r="C3" s="198">
        <f>'SER_se-appl'!C5</f>
        <v>10.160463778087424</v>
      </c>
      <c r="D3" s="198">
        <f>'SER_se-appl'!D5</f>
        <v>10.357082080075285</v>
      </c>
      <c r="E3" s="198">
        <f>'SER_se-appl'!E5</f>
        <v>10.582729099751408</v>
      </c>
      <c r="F3" s="198">
        <f>'SER_se-appl'!F5</f>
        <v>10.866542255327866</v>
      </c>
      <c r="G3" s="198">
        <f>'SER_se-appl'!G5</f>
        <v>11.061140158113581</v>
      </c>
      <c r="H3" s="198">
        <f>'SER_se-appl'!H5</f>
        <v>11.274672265687345</v>
      </c>
      <c r="I3" s="198">
        <f>'SER_se-appl'!I5</f>
        <v>11.454110338190763</v>
      </c>
      <c r="J3" s="198">
        <f>'SER_se-appl'!J5</f>
        <v>11.73764943738475</v>
      </c>
      <c r="K3" s="198">
        <f>'SER_se-appl'!K5</f>
        <v>12.038921179053368</v>
      </c>
      <c r="L3" s="198">
        <f>'SER_se-appl'!L5</f>
        <v>12.360859085334942</v>
      </c>
      <c r="M3" s="198">
        <f>'SER_se-appl'!M5</f>
        <v>12.555841957678957</v>
      </c>
      <c r="N3" s="198">
        <f>'SER_se-appl'!N5</f>
        <v>12.735006608428447</v>
      </c>
      <c r="O3" s="198">
        <f>'SER_se-appl'!O5</f>
        <v>12.845898486055191</v>
      </c>
      <c r="P3" s="198">
        <f>'SER_se-appl'!P5</f>
        <v>12.94510952852627</v>
      </c>
      <c r="Q3" s="198">
        <f>'SER_se-appl'!Q5</f>
        <v>13.000234278582885</v>
      </c>
      <c r="R3" s="198">
        <f>'SER_se-appl'!R5</f>
        <v>13.070071994390837</v>
      </c>
      <c r="S3" s="198">
        <f>'SER_se-appl'!S5</f>
        <v>12.929791693514634</v>
      </c>
      <c r="T3" s="198">
        <f>'SER_se-appl'!T5</f>
        <v>12.510984564234461</v>
      </c>
      <c r="U3" s="198">
        <f>'SER_se-appl'!U5</f>
        <v>12.04504447751961</v>
      </c>
      <c r="V3" s="198">
        <f>'SER_se-appl'!V5</f>
        <v>11.568912176136976</v>
      </c>
      <c r="W3" s="198">
        <f>'SER_se-appl'!W5</f>
        <v>11.169737711984057</v>
      </c>
      <c r="X3" s="198">
        <f>'SER_se-appl'!X5</f>
        <v>10.84831316682881</v>
      </c>
      <c r="Y3" s="198">
        <f>'SER_se-appl'!Y5</f>
        <v>10.466688234967716</v>
      </c>
      <c r="DA3" s="205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'SER_se-appl'!B13</f>
        <v>31.893148102213953</v>
      </c>
      <c r="C5" s="59">
        <f>'SER_se-appl'!C13</f>
        <v>32.46400743675418</v>
      </c>
      <c r="D5" s="59">
        <f>'SER_se-appl'!D13</f>
        <v>33.048087831291113</v>
      </c>
      <c r="E5" s="59">
        <f>'SER_se-appl'!E13</f>
        <v>33.751493330466886</v>
      </c>
      <c r="F5" s="59">
        <f>'SER_se-appl'!F13</f>
        <v>34.571805004799252</v>
      </c>
      <c r="G5" s="59">
        <f>'SER_se-appl'!G13</f>
        <v>35.16459382979631</v>
      </c>
      <c r="H5" s="59">
        <f>'SER_se-appl'!H13</f>
        <v>35.829961441123508</v>
      </c>
      <c r="I5" s="59">
        <f>'SER_se-appl'!I13</f>
        <v>36.397570220912414</v>
      </c>
      <c r="J5" s="59">
        <f>'SER_se-appl'!J13</f>
        <v>37.288228371019592</v>
      </c>
      <c r="K5" s="59">
        <f>'SER_se-appl'!K13</f>
        <v>38.278459986185553</v>
      </c>
      <c r="L5" s="59">
        <f>'SER_se-appl'!L13</f>
        <v>39.325116870897297</v>
      </c>
      <c r="M5" s="59">
        <f>'SER_se-appl'!M13</f>
        <v>40.064555762693054</v>
      </c>
      <c r="N5" s="59">
        <f>'SER_se-appl'!N13</f>
        <v>40.84896422287899</v>
      </c>
      <c r="O5" s="59">
        <f>'SER_se-appl'!O13</f>
        <v>41.392218866192842</v>
      </c>
      <c r="P5" s="59">
        <f>'SER_se-appl'!P13</f>
        <v>41.825522404860891</v>
      </c>
      <c r="Q5" s="59">
        <f>'SER_se-appl'!Q13</f>
        <v>42.259867731243126</v>
      </c>
      <c r="R5" s="59">
        <f>'SER_se-appl'!R13</f>
        <v>41.57585278221881</v>
      </c>
      <c r="S5" s="59">
        <f>'SER_se-appl'!S13</f>
        <v>40.799435961727227</v>
      </c>
      <c r="T5" s="59">
        <f>'SER_se-appl'!T13</f>
        <v>39.84838077288186</v>
      </c>
      <c r="U5" s="59">
        <f>'SER_se-appl'!U13</f>
        <v>38.726229531100415</v>
      </c>
      <c r="V5" s="59">
        <f>'SER_se-appl'!V13</f>
        <v>37.414878712625345</v>
      </c>
      <c r="W5" s="59">
        <f>'SER_se-appl'!W13</f>
        <v>36.081513195591377</v>
      </c>
      <c r="X5" s="59">
        <f>'SER_se-appl'!X13</f>
        <v>35.043504099332665</v>
      </c>
      <c r="Y5" s="59">
        <f>'SER_se-appl'!Y13</f>
        <v>33.811010063909592</v>
      </c>
      <c r="DA5" s="104" t="s">
        <v>917</v>
      </c>
    </row>
    <row r="6" spans="1:105" ht="12" customHeight="1" x14ac:dyDescent="0.25">
      <c r="A6" s="200" t="str">
        <f>"Penetration factor "&amp;MID('SER_se-appl'!A69,FIND("(",'SER_se-appl'!A69),100)</f>
        <v>Penetration factor (unit per capita)</v>
      </c>
      <c r="B6" s="201">
        <f>'SER_se-appl'!B69</f>
        <v>0.23539302131683329</v>
      </c>
      <c r="C6" s="201">
        <f>'SER_se-appl'!C69</f>
        <v>0.23958820601219835</v>
      </c>
      <c r="D6" s="201">
        <f>'SER_se-appl'!D69</f>
        <v>0.24403528963407195</v>
      </c>
      <c r="E6" s="201">
        <f>'SER_se-appl'!E69</f>
        <v>0.25001879480635592</v>
      </c>
      <c r="F6" s="201">
        <f>'SER_se-appl'!F69</f>
        <v>0.25723098073483835</v>
      </c>
      <c r="G6" s="201">
        <f>'SER_se-appl'!G69</f>
        <v>0.26317312932771414</v>
      </c>
      <c r="H6" s="201">
        <f>'SER_se-appl'!H69</f>
        <v>0.27007978847067454</v>
      </c>
      <c r="I6" s="201">
        <f>'SER_se-appl'!I69</f>
        <v>0.27594836936511058</v>
      </c>
      <c r="J6" s="201">
        <f>'SER_se-appl'!J69</f>
        <v>0.28032745005236342</v>
      </c>
      <c r="K6" s="201">
        <f>'SER_se-appl'!K69</f>
        <v>0.2850424021871939</v>
      </c>
      <c r="L6" s="201">
        <f>'SER_se-appl'!L69</f>
        <v>0.28995522669404661</v>
      </c>
      <c r="M6" s="201">
        <f>'SER_se-appl'!M69</f>
        <v>0.29356599673225414</v>
      </c>
      <c r="N6" s="201">
        <f>'SER_se-appl'!N69</f>
        <v>0.29751115901563541</v>
      </c>
      <c r="O6" s="201">
        <f>'SER_se-appl'!O69</f>
        <v>0.30855909610842552</v>
      </c>
      <c r="P6" s="201">
        <f>'SER_se-appl'!P69</f>
        <v>0.32204735060781242</v>
      </c>
      <c r="Q6" s="201">
        <f>'SER_se-appl'!Q69</f>
        <v>0.33618997812147977</v>
      </c>
      <c r="R6" s="201">
        <f>'SER_se-appl'!R69</f>
        <v>0.34191892142518038</v>
      </c>
      <c r="S6" s="201">
        <f>'SER_se-appl'!S69</f>
        <v>0.34788726000456166</v>
      </c>
      <c r="T6" s="201">
        <f>'SER_se-appl'!T69</f>
        <v>0.35259466589165145</v>
      </c>
      <c r="U6" s="201">
        <f>'SER_se-appl'!U69</f>
        <v>0.35562680933043495</v>
      </c>
      <c r="V6" s="201">
        <f>'SER_se-appl'!V69</f>
        <v>0.3574787739069642</v>
      </c>
      <c r="W6" s="201">
        <f>'SER_se-appl'!W69</f>
        <v>0.35809199557914462</v>
      </c>
      <c r="X6" s="201">
        <f>'SER_se-appl'!X69</f>
        <v>0.35852187653767259</v>
      </c>
      <c r="Y6" s="201">
        <f>'SER_se-appl'!Y69</f>
        <v>0.35135143900691918</v>
      </c>
      <c r="DA6" s="206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"&amp;MID('SER_se-appl'!A21,FIND("(",'SER_se-appl'!A21),100)</f>
        <v>Stock of appliances (thousand units)</v>
      </c>
      <c r="B8" s="34">
        <f>'SER_se-appl'!B21</f>
        <v>162.53817504020944</v>
      </c>
      <c r="C8" s="34">
        <f>'SER_se-appl'!C21</f>
        <v>167.12451351560296</v>
      </c>
      <c r="D8" s="34">
        <f>'SER_se-appl'!D21</f>
        <v>172.17641421313348</v>
      </c>
      <c r="E8" s="34">
        <f>'SER_se-appl'!E21</f>
        <v>178.44341422919234</v>
      </c>
      <c r="F8" s="34">
        <f>'SER_se-appl'!F21</f>
        <v>185.9504753563495</v>
      </c>
      <c r="G8" s="34">
        <f>'SER_se-appl'!G21</f>
        <v>192.92353639687943</v>
      </c>
      <c r="H8" s="34">
        <f>'SER_se-appl'!H21</f>
        <v>200.942873659432</v>
      </c>
      <c r="I8" s="34">
        <f>'SER_se-appl'!I21</f>
        <v>209.14568431572715</v>
      </c>
      <c r="J8" s="34">
        <f>'SER_se-appl'!J21</f>
        <v>217.62745028150147</v>
      </c>
      <c r="K8" s="34">
        <f>'SER_se-appl'!K21</f>
        <v>227.15884157504041</v>
      </c>
      <c r="L8" s="34">
        <f>'SER_se-appl'!L21</f>
        <v>237.51392439416136</v>
      </c>
      <c r="M8" s="34">
        <f>'SER_se-appl'!M21</f>
        <v>246.52233932190714</v>
      </c>
      <c r="N8" s="34">
        <f>'SER_se-appl'!N21</f>
        <v>256.45789169422687</v>
      </c>
      <c r="O8" s="34">
        <f>'SER_se-appl'!O21</f>
        <v>266.24145031353942</v>
      </c>
      <c r="P8" s="34">
        <f>'SER_se-appl'!P21</f>
        <v>276.97102703793814</v>
      </c>
      <c r="Q8" s="34">
        <f>'SER_se-appl'!Q21</f>
        <v>289.40779790596338</v>
      </c>
      <c r="R8" s="34">
        <f>'SER_se-appl'!R21</f>
        <v>295.33725524589948</v>
      </c>
      <c r="S8" s="34">
        <f>'SER_se-appl'!S21</f>
        <v>302.61947395824808</v>
      </c>
      <c r="T8" s="34">
        <f>'SER_se-appl'!T21</f>
        <v>309.79002604707085</v>
      </c>
      <c r="U8" s="34">
        <f>'SER_se-appl'!U21</f>
        <v>316.57685190509721</v>
      </c>
      <c r="V8" s="34">
        <f>'SER_se-appl'!V21</f>
        <v>322.59921245808778</v>
      </c>
      <c r="W8" s="34">
        <f>'SER_se-appl'!W21</f>
        <v>327.46653574923386</v>
      </c>
      <c r="X8" s="34">
        <f>'SER_se-appl'!X21</f>
        <v>333.34073401717262</v>
      </c>
      <c r="Y8" s="34">
        <f>'SER_se-appl'!Y21</f>
        <v>333.46202913844286</v>
      </c>
      <c r="DA8" s="88" t="s">
        <v>923</v>
      </c>
    </row>
    <row r="9" spans="1:105" ht="12.95" customHeight="1" x14ac:dyDescent="0.25">
      <c r="A9" s="202" t="str">
        <f>"Number of new appliances "&amp;MID('SER_se-appl'!A29,FIND("(",'SER_se-appl'!A29),100)</f>
        <v>Number of new appliances (thousand units)</v>
      </c>
      <c r="B9" s="36"/>
      <c r="C9" s="36">
        <f>'SER_se-appl'!C29</f>
        <v>24.975847124717859</v>
      </c>
      <c r="D9" s="36">
        <f>'SER_se-appl'!D29</f>
        <v>26.319073330725047</v>
      </c>
      <c r="E9" s="36">
        <f>'SER_se-appl'!E29</f>
        <v>28.449615575315391</v>
      </c>
      <c r="F9" s="36">
        <f>'SER_se-appl'!F29</f>
        <v>30.644524744757803</v>
      </c>
      <c r="G9" s="36">
        <f>'SER_se-appl'!G29</f>
        <v>31.10647403800678</v>
      </c>
      <c r="H9" s="36">
        <f>'SER_se-appl'!H29</f>
        <v>33.191570162952956</v>
      </c>
      <c r="I9" s="36">
        <f>'SER_se-appl'!I29</f>
        <v>34.458579339251315</v>
      </c>
      <c r="J9" s="36">
        <f>'SER_se-appl'!J29</f>
        <v>33.457613090492174</v>
      </c>
      <c r="K9" s="36">
        <f>'SER_se-appl'!K29</f>
        <v>35.850464624263992</v>
      </c>
      <c r="L9" s="36">
        <f>'SER_se-appl'!L29</f>
        <v>38.804698394436343</v>
      </c>
      <c r="M9" s="36">
        <f>'SER_se-appl'!M29</f>
        <v>39.652939672503578</v>
      </c>
      <c r="N9" s="36">
        <f>'SER_se-appl'!N29</f>
        <v>41.042026410326514</v>
      </c>
      <c r="O9" s="36">
        <f>'SER_se-appl'!O29</f>
        <v>42.9751287822655</v>
      </c>
      <c r="P9" s="36">
        <f>'SER_se-appl'!P29</f>
        <v>45.188156063650041</v>
      </c>
      <c r="Q9" s="36">
        <f>'SER_se-appl'!Q29</f>
        <v>45.894383958517409</v>
      </c>
      <c r="R9" s="36">
        <f>'SER_se-appl'!R29</f>
        <v>41.779921964200099</v>
      </c>
      <c r="S9" s="36">
        <f>'SER_se-appl'!S29</f>
        <v>46.086917106784938</v>
      </c>
      <c r="T9" s="36">
        <f>'SER_se-appl'!T29</f>
        <v>46.823491761326352</v>
      </c>
      <c r="U9" s="36">
        <f>'SER_se-appl'!U29</f>
        <v>47.828852268352875</v>
      </c>
      <c r="V9" s="36">
        <f>'SER_se-appl'!V29</f>
        <v>48.997489335256091</v>
      </c>
      <c r="W9" s="36">
        <f>'SER_se-appl'!W29</f>
        <v>50.055479354796091</v>
      </c>
      <c r="X9" s="36">
        <f>'SER_se-appl'!X29</f>
        <v>51.768582226456147</v>
      </c>
      <c r="Y9" s="36">
        <f>'SER_se-appl'!Y29</f>
        <v>41.901217085470307</v>
      </c>
      <c r="DA9" s="89" t="s">
        <v>929</v>
      </c>
    </row>
    <row r="10" spans="1:105" ht="12" customHeight="1" x14ac:dyDescent="0.25">
      <c r="A10" s="203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20.389508649324341</v>
      </c>
      <c r="D10" s="38">
        <f>'SER_se-appl'!D37</f>
        <v>21.267172633194519</v>
      </c>
      <c r="E10" s="38">
        <f>'SER_se-appl'!E37</f>
        <v>22.182615559256533</v>
      </c>
      <c r="F10" s="38">
        <f>'SER_se-appl'!F37</f>
        <v>23.137463617600645</v>
      </c>
      <c r="G10" s="38">
        <f>'SER_se-appl'!G37</f>
        <v>24.133412997476853</v>
      </c>
      <c r="H10" s="38">
        <f>'SER_se-appl'!H37</f>
        <v>25.172232900400388</v>
      </c>
      <c r="I10" s="38">
        <f>'SER_se-appl'!I37</f>
        <v>26.255768682956159</v>
      </c>
      <c r="J10" s="38">
        <f>'SER_se-appl'!J37</f>
        <v>24.975847124717859</v>
      </c>
      <c r="K10" s="38">
        <f>'SER_se-appl'!K37</f>
        <v>26.319073330725047</v>
      </c>
      <c r="L10" s="38">
        <f>'SER_se-appl'!L37</f>
        <v>28.449615575315391</v>
      </c>
      <c r="M10" s="38">
        <f>'SER_se-appl'!M37</f>
        <v>30.644524744757831</v>
      </c>
      <c r="N10" s="38">
        <f>'SER_se-appl'!N37</f>
        <v>31.106474038006809</v>
      </c>
      <c r="O10" s="38">
        <f>'SER_se-appl'!O37</f>
        <v>33.191570162952985</v>
      </c>
      <c r="P10" s="38">
        <f>'SER_se-appl'!P37</f>
        <v>34.458579339251287</v>
      </c>
      <c r="Q10" s="38">
        <f>'SER_se-appl'!Q37</f>
        <v>33.457613090492202</v>
      </c>
      <c r="R10" s="38">
        <f>'SER_se-appl'!R37</f>
        <v>35.850464624264021</v>
      </c>
      <c r="S10" s="38">
        <f>'SER_se-appl'!S37</f>
        <v>38.804698394436343</v>
      </c>
      <c r="T10" s="38">
        <f>'SER_se-appl'!T37</f>
        <v>39.652939672503578</v>
      </c>
      <c r="U10" s="38">
        <f>'SER_se-appl'!U37</f>
        <v>41.042026410326514</v>
      </c>
      <c r="V10" s="38">
        <f>'SER_se-appl'!V37</f>
        <v>42.975128782265529</v>
      </c>
      <c r="W10" s="38">
        <f>'SER_se-appl'!W37</f>
        <v>45.188156063650013</v>
      </c>
      <c r="X10" s="38">
        <f>'SER_se-appl'!X37</f>
        <v>45.894383958517381</v>
      </c>
      <c r="Y10" s="38">
        <f>'SER_se-appl'!Y37</f>
        <v>41.779921964200071</v>
      </c>
      <c r="DA10" s="90" t="s">
        <v>935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'SER_se-appl'!B45</f>
        <v>3634.2130122260469</v>
      </c>
      <c r="C12" s="204">
        <f>'SER_se-appl'!C45</f>
        <v>3639.9139560747722</v>
      </c>
      <c r="D12" s="204">
        <f>'SER_se-appl'!D45</f>
        <v>3644.7756132270529</v>
      </c>
      <c r="E12" s="204">
        <f>'SER_se-appl'!E45</f>
        <v>3646.5687080876296</v>
      </c>
      <c r="F12" s="204">
        <f>'SER_se-appl'!F45</f>
        <v>3655.5188950047395</v>
      </c>
      <c r="G12" s="204">
        <f>'SER_se-appl'!G45</f>
        <v>3658.2552513334717</v>
      </c>
      <c r="H12" s="204">
        <f>'SER_se-appl'!H45</f>
        <v>3659.6310231985613</v>
      </c>
      <c r="I12" s="204">
        <f>'SER_se-appl'!I45</f>
        <v>3659.8954937003277</v>
      </c>
      <c r="J12" s="204">
        <f>'SER_se-appl'!J45</f>
        <v>3660.9103977404116</v>
      </c>
      <c r="K12" s="204">
        <f>'SER_se-appl'!K45</f>
        <v>3657.739976031437</v>
      </c>
      <c r="L12" s="204">
        <f>'SER_se-appl'!L45</f>
        <v>3655.5973027211303</v>
      </c>
      <c r="M12" s="204">
        <f>'SER_se-appl'!M45</f>
        <v>3644.7288429385253</v>
      </c>
      <c r="N12" s="204">
        <f>'SER_se-appl'!N45</f>
        <v>3625.7498733118268</v>
      </c>
      <c r="O12" s="204">
        <f>'SER_se-appl'!O45</f>
        <v>3609.3208696005122</v>
      </c>
      <c r="P12" s="204">
        <f>'SER_se-appl'!P45</f>
        <v>3599.5156823017628</v>
      </c>
      <c r="Q12" s="204">
        <f>'SER_se-appl'!Q45</f>
        <v>3577.6904372121526</v>
      </c>
      <c r="R12" s="204">
        <f>'SER_se-appl'!R45</f>
        <v>3656.0870582978159</v>
      </c>
      <c r="S12" s="204">
        <f>'SER_se-appl'!S45</f>
        <v>3685.6753984696315</v>
      </c>
      <c r="T12" s="204">
        <f>'SER_se-appl'!T45</f>
        <v>3651.4093586725157</v>
      </c>
      <c r="U12" s="204">
        <f>'SER_se-appl'!U45</f>
        <v>3617.2864998657815</v>
      </c>
      <c r="V12" s="204">
        <f>'SER_se-appl'!V45</f>
        <v>3596.0680145963279</v>
      </c>
      <c r="W12" s="204">
        <f>'SER_se-appl'!W45</f>
        <v>3600.2938370735219</v>
      </c>
      <c r="X12" s="204">
        <f>'SER_se-appl'!X45</f>
        <v>3600.2644533661696</v>
      </c>
      <c r="Y12" s="204">
        <f>'SER_se-appl'!Y45</f>
        <v>3600.2350696588173</v>
      </c>
      <c r="DA12" s="208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196.21943026199278</v>
      </c>
      <c r="C14" s="59">
        <f>'SER_se-appl'!C53</f>
        <v>194.25042295619485</v>
      </c>
      <c r="D14" s="59">
        <f>'SER_se-appl'!D53</f>
        <v>191.94317631903749</v>
      </c>
      <c r="E14" s="59">
        <f>'SER_se-appl'!E53</f>
        <v>189.14395622982502</v>
      </c>
      <c r="F14" s="59">
        <f>'SER_se-appl'!F53</f>
        <v>185.91942256962216</v>
      </c>
      <c r="G14" s="59">
        <f>'SER_se-appl'!G53</f>
        <v>182.2721814380192</v>
      </c>
      <c r="H14" s="59">
        <f>'SER_se-appl'!H53</f>
        <v>178.30919200374288</v>
      </c>
      <c r="I14" s="59">
        <f>'SER_se-appl'!I53</f>
        <v>174.02974553357981</v>
      </c>
      <c r="J14" s="59">
        <f>'SER_se-appl'!J53</f>
        <v>171.33972907731632</v>
      </c>
      <c r="K14" s="59">
        <f>'SER_se-appl'!K53</f>
        <v>168.50966363790212</v>
      </c>
      <c r="L14" s="59">
        <f>'SER_se-appl'!L53</f>
        <v>165.56973226393291</v>
      </c>
      <c r="M14" s="59">
        <f>'SER_se-appl'!M53</f>
        <v>162.5189663253075</v>
      </c>
      <c r="N14" s="59">
        <f>'SER_se-appl'!N53</f>
        <v>159.28136955747476</v>
      </c>
      <c r="O14" s="59">
        <f>'SER_se-appl'!O53</f>
        <v>155.46872516449739</v>
      </c>
      <c r="P14" s="59">
        <f>'SER_se-appl'!P53</f>
        <v>151.01046074083351</v>
      </c>
      <c r="Q14" s="59">
        <f>'SER_se-appl'!Q53</f>
        <v>146.02186961449647</v>
      </c>
      <c r="R14" s="59">
        <f>'SER_se-appl'!R53</f>
        <v>140.77415579555827</v>
      </c>
      <c r="S14" s="59">
        <f>'SER_se-appl'!S53</f>
        <v>134.82092024043456</v>
      </c>
      <c r="T14" s="59">
        <f>'SER_se-appl'!T53</f>
        <v>128.63028962342099</v>
      </c>
      <c r="U14" s="59">
        <f>'SER_se-appl'!U53</f>
        <v>122.32805177653889</v>
      </c>
      <c r="V14" s="59">
        <f>'SER_se-appl'!V53</f>
        <v>115.9794483921324</v>
      </c>
      <c r="W14" s="59">
        <f>'SER_se-appl'!W53</f>
        <v>110.18381805957036</v>
      </c>
      <c r="X14" s="59">
        <f>'SER_se-appl'!X53</f>
        <v>105.12817823676879</v>
      </c>
      <c r="Y14" s="59">
        <f>'SER_se-appl'!Y53</f>
        <v>101.39388328939944</v>
      </c>
      <c r="DA14" s="104" t="s">
        <v>947</v>
      </c>
    </row>
    <row r="15" spans="1:105" ht="12" customHeight="1" x14ac:dyDescent="0.25">
      <c r="A15" s="203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183.04392568563421</v>
      </c>
      <c r="D15" s="63">
        <f>'SER_se-appl'!D61</f>
        <v>180.74773500297678</v>
      </c>
      <c r="E15" s="63">
        <f>'SER_se-appl'!E61</f>
        <v>177.72000020699264</v>
      </c>
      <c r="F15" s="63">
        <f>'SER_se-appl'!F61</f>
        <v>174.91971723276654</v>
      </c>
      <c r="G15" s="63">
        <f>'SER_se-appl'!G61</f>
        <v>171.29017474398228</v>
      </c>
      <c r="H15" s="63">
        <f>'SER_se-appl'!H61</f>
        <v>168.85759793676857</v>
      </c>
      <c r="I15" s="63">
        <f>'SER_se-appl'!I61</f>
        <v>165.98190817850207</v>
      </c>
      <c r="J15" s="63">
        <f>'SER_se-appl'!J61</f>
        <v>163.26135520683778</v>
      </c>
      <c r="K15" s="63">
        <f>'SER_se-appl'!K61</f>
        <v>160.31436600076611</v>
      </c>
      <c r="L15" s="63">
        <f>'SER_se-appl'!L61</f>
        <v>157.26762024055915</v>
      </c>
      <c r="M15" s="63">
        <f>'SER_se-appl'!M61</f>
        <v>153.82896060821079</v>
      </c>
      <c r="N15" s="63">
        <f>'SER_se-appl'!N61</f>
        <v>148.9361605275727</v>
      </c>
      <c r="O15" s="63">
        <f>'SER_se-appl'!O61</f>
        <v>143.05724327036478</v>
      </c>
      <c r="P15" s="63">
        <f>'SER_se-appl'!P61</f>
        <v>136.15966718913532</v>
      </c>
      <c r="Q15" s="63">
        <f>'SER_se-appl'!Q61</f>
        <v>128.48370700109768</v>
      </c>
      <c r="R15" s="63">
        <f>'SER_se-appl'!R61</f>
        <v>121.19049821074505</v>
      </c>
      <c r="S15" s="63">
        <f>'SER_se-appl'!S61</f>
        <v>115.57088398455534</v>
      </c>
      <c r="T15" s="63">
        <f>'SER_se-appl'!T61</f>
        <v>109.96008867259442</v>
      </c>
      <c r="U15" s="63">
        <f>'SER_se-appl'!U61</f>
        <v>104.34058848085523</v>
      </c>
      <c r="V15" s="63">
        <f>'SER_se-appl'!V61</f>
        <v>98.710213521585587</v>
      </c>
      <c r="W15" s="63">
        <f>'SER_se-appl'!W61</f>
        <v>96.28194226895458</v>
      </c>
      <c r="X15" s="63">
        <f>'SER_se-appl'!X61</f>
        <v>93.853671016323588</v>
      </c>
      <c r="Y15" s="63">
        <f>'SER_se-appl'!Y61</f>
        <v>91.425399763692582</v>
      </c>
      <c r="DA15" s="105" t="s">
        <v>953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'SER_se-appl'!B6</f>
        <v>23.167198402442637</v>
      </c>
      <c r="C3" s="198">
        <f>'SER_se-appl'!C6</f>
        <v>23.705097546239166</v>
      </c>
      <c r="D3" s="198">
        <f>'SER_se-appl'!D6</f>
        <v>24.100392902245471</v>
      </c>
      <c r="E3" s="198">
        <f>'SER_se-appl'!E6</f>
        <v>24.419802594216936</v>
      </c>
      <c r="F3" s="198">
        <f>'SER_se-appl'!F6</f>
        <v>24.994638112961898</v>
      </c>
      <c r="G3" s="198">
        <f>'SER_se-appl'!G6</f>
        <v>25.426518376413043</v>
      </c>
      <c r="H3" s="198">
        <f>'SER_se-appl'!H6</f>
        <v>25.694026004880804</v>
      </c>
      <c r="I3" s="198">
        <f>'SER_se-appl'!I6</f>
        <v>26.335679223806803</v>
      </c>
      <c r="J3" s="198">
        <f>'SER_se-appl'!J6</f>
        <v>27.008761078795349</v>
      </c>
      <c r="K3" s="198">
        <f>'SER_se-appl'!K6</f>
        <v>27.727485936496493</v>
      </c>
      <c r="L3" s="198">
        <f>'SER_se-appl'!L6</f>
        <v>28.529779621867512</v>
      </c>
      <c r="M3" s="198">
        <f>'SER_se-appl'!M6</f>
        <v>29.12063800781597</v>
      </c>
      <c r="N3" s="198">
        <f>'SER_se-appl'!N6</f>
        <v>29.69135437319024</v>
      </c>
      <c r="O3" s="198">
        <f>'SER_se-appl'!O6</f>
        <v>29.645312174626394</v>
      </c>
      <c r="P3" s="198">
        <f>'SER_se-appl'!P6</f>
        <v>29.370827811979723</v>
      </c>
      <c r="Q3" s="198">
        <f>'SER_se-appl'!Q6</f>
        <v>29.193995176067606</v>
      </c>
      <c r="R3" s="198">
        <f>'SER_se-appl'!R6</f>
        <v>28.924937429147544</v>
      </c>
      <c r="S3" s="198">
        <f>'SER_se-appl'!S6</f>
        <v>28.230216335266331</v>
      </c>
      <c r="T3" s="198">
        <f>'SER_se-appl'!T6</f>
        <v>26.661503202552471</v>
      </c>
      <c r="U3" s="198">
        <f>'SER_se-appl'!U6</f>
        <v>25.078552199296759</v>
      </c>
      <c r="V3" s="198">
        <f>'SER_se-appl'!V6</f>
        <v>19.623021110381462</v>
      </c>
      <c r="W3" s="198">
        <f>'SER_se-appl'!W6</f>
        <v>20.440367972657267</v>
      </c>
      <c r="X3" s="198">
        <f>'SER_se-appl'!X6</f>
        <v>19.841367936039831</v>
      </c>
      <c r="Y3" s="198">
        <f>'SER_se-appl'!Y6</f>
        <v>18.926901723382471</v>
      </c>
      <c r="DA3" s="205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'SER_se-appl'!B14</f>
        <v>126.14825871353641</v>
      </c>
      <c r="C5" s="59">
        <f>'SER_se-appl'!C14</f>
        <v>128.00991531600999</v>
      </c>
      <c r="D5" s="59">
        <f>'SER_se-appl'!D14</f>
        <v>129.14722898850022</v>
      </c>
      <c r="E5" s="59">
        <f>'SER_se-appl'!E14</f>
        <v>130.01788533364092</v>
      </c>
      <c r="F5" s="59">
        <f>'SER_se-appl'!F14</f>
        <v>131.99492568259822</v>
      </c>
      <c r="G5" s="59">
        <f>'SER_se-appl'!G14</f>
        <v>133.32490436941663</v>
      </c>
      <c r="H5" s="59">
        <f>'SER_se-appl'!H14</f>
        <v>133.70252256963178</v>
      </c>
      <c r="I5" s="59">
        <f>'SER_se-appl'!I14</f>
        <v>135.98481678356063</v>
      </c>
      <c r="J5" s="59">
        <f>'SER_se-appl'!J14</f>
        <v>138.84223800588151</v>
      </c>
      <c r="K5" s="59">
        <f>'SER_se-appl'!K14</f>
        <v>141.96756037891652</v>
      </c>
      <c r="L5" s="59">
        <f>'SER_se-appl'!L14</f>
        <v>145.63877320821754</v>
      </c>
      <c r="M5" s="59">
        <f>'SER_se-appl'!M14</f>
        <v>148.20502745557565</v>
      </c>
      <c r="N5" s="59">
        <f>'SER_se-appl'!N14</f>
        <v>151.0716415748316</v>
      </c>
      <c r="O5" s="59">
        <f>'SER_se-appl'!O14</f>
        <v>150.72933953221354</v>
      </c>
      <c r="P5" s="59">
        <f>'SER_se-appl'!P14</f>
        <v>149.01647095250507</v>
      </c>
      <c r="Q5" s="59">
        <f>'SER_se-appl'!Q14</f>
        <v>147.86294502190594</v>
      </c>
      <c r="R5" s="59">
        <f>'SER_se-appl'!R14</f>
        <v>142.03692872738108</v>
      </c>
      <c r="S5" s="59">
        <f>'SER_se-appl'!S14</f>
        <v>136.76228831680589</v>
      </c>
      <c r="T5" s="59">
        <f>'SER_se-appl'!T14</f>
        <v>130.43932407959983</v>
      </c>
      <c r="U5" s="59">
        <f>'SER_se-appl'!U14</f>
        <v>124.13734044630536</v>
      </c>
      <c r="V5" s="59">
        <f>'SER_se-appl'!V14</f>
        <v>117.22555790431218</v>
      </c>
      <c r="W5" s="59">
        <f>'SER_se-appl'!W14</f>
        <v>109.44731917485898</v>
      </c>
      <c r="X5" s="59">
        <f>'SER_se-appl'!X14</f>
        <v>103.34936209458418</v>
      </c>
      <c r="Y5" s="59">
        <f>'SER_se-appl'!Y14</f>
        <v>97.262918233255888</v>
      </c>
      <c r="DA5" s="104" t="s">
        <v>918</v>
      </c>
    </row>
    <row r="6" spans="1:105" ht="12" customHeight="1" x14ac:dyDescent="0.25">
      <c r="A6" s="200" t="str">
        <f>"Penetration factor "&amp;MID('SER_se-appl'!A70,FIND("(",'SER_se-appl'!A70),100)</f>
        <v>Penetration factor (unit per building cell)</v>
      </c>
      <c r="B6" s="201">
        <f>'SER_se-appl'!B70</f>
        <v>144.86625132335141</v>
      </c>
      <c r="C6" s="201">
        <f>'SER_se-appl'!C70</f>
        <v>145.61871337977709</v>
      </c>
      <c r="D6" s="201">
        <f>'SER_se-appl'!D70</f>
        <v>147.07974518933534</v>
      </c>
      <c r="E6" s="201">
        <f>'SER_se-appl'!E70</f>
        <v>148.43225118292619</v>
      </c>
      <c r="F6" s="201">
        <f>'SER_se-appl'!F70</f>
        <v>150.94281621366599</v>
      </c>
      <c r="G6" s="201">
        <f>'SER_se-appl'!G70</f>
        <v>153.38467194811943</v>
      </c>
      <c r="H6" s="201">
        <f>'SER_se-appl'!H70</f>
        <v>155.45977196040755</v>
      </c>
      <c r="I6" s="201">
        <f>'SER_se-appl'!I70</f>
        <v>158.2359423127881</v>
      </c>
      <c r="J6" s="201">
        <f>'SER_se-appl'!J70</f>
        <v>161.80634217138959</v>
      </c>
      <c r="K6" s="201">
        <f>'SER_se-appl'!K70</f>
        <v>164.92749041669703</v>
      </c>
      <c r="L6" s="201">
        <f>'SER_se-appl'!L70</f>
        <v>169.41259104671951</v>
      </c>
      <c r="M6" s="201">
        <f>'SER_se-appl'!M70</f>
        <v>174.60492717490229</v>
      </c>
      <c r="N6" s="201">
        <f>'SER_se-appl'!N70</f>
        <v>181.20579131541817</v>
      </c>
      <c r="O6" s="201">
        <f>'SER_se-appl'!O70</f>
        <v>189.10434669944635</v>
      </c>
      <c r="P6" s="201">
        <f>'SER_se-appl'!P70</f>
        <v>198.47347668680428</v>
      </c>
      <c r="Q6" s="201">
        <f>'SER_se-appl'!Q70</f>
        <v>210.37343416841244</v>
      </c>
      <c r="R6" s="201">
        <f>'SER_se-appl'!R70</f>
        <v>216.54862176170153</v>
      </c>
      <c r="S6" s="201">
        <f>'SER_se-appl'!S70</f>
        <v>222.81772307602694</v>
      </c>
      <c r="T6" s="201">
        <f>'SER_se-appl'!T70</f>
        <v>228.77930722168725</v>
      </c>
      <c r="U6" s="201">
        <f>'SER_se-appl'!U70</f>
        <v>234.18787836823219</v>
      </c>
      <c r="V6" s="201">
        <f>'SER_se-appl'!V70</f>
        <v>238.58592450484406</v>
      </c>
      <c r="W6" s="201">
        <f>'SER_se-appl'!W70</f>
        <v>241.14988981041751</v>
      </c>
      <c r="X6" s="201">
        <f>'SER_se-appl'!X70</f>
        <v>242.44218665743415</v>
      </c>
      <c r="Y6" s="201">
        <f>'SER_se-appl'!Y70</f>
        <v>243.09092974708273</v>
      </c>
      <c r="DA6" s="206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"&amp;MID('SER_se-appl'!A22,FIND("(",'SER_se-appl'!A22),1000)</f>
        <v>Stock of appliances (million units)</v>
      </c>
      <c r="B8" s="34">
        <f>'SER_se-appl'!B22</f>
        <v>2.3577983384403418</v>
      </c>
      <c r="C8" s="34">
        <f>'SER_se-appl'!C22</f>
        <v>2.4176082487133788</v>
      </c>
      <c r="D8" s="34">
        <f>'SER_se-appl'!D22</f>
        <v>2.4766927299056771</v>
      </c>
      <c r="E8" s="34">
        <f>'SER_se-appl'!E22</f>
        <v>2.5413985270265043</v>
      </c>
      <c r="F8" s="34">
        <f>'SER_se-appl'!F22</f>
        <v>2.6416933696577511</v>
      </c>
      <c r="G8" s="34">
        <f>'SER_se-appl'!G22</f>
        <v>2.7450127201381469</v>
      </c>
      <c r="H8" s="34">
        <f>'SER_se-appl'!H22</f>
        <v>2.8408791146298613</v>
      </c>
      <c r="I8" s="34">
        <f>'SER_se-appl'!I22</f>
        <v>2.9657665682312713</v>
      </c>
      <c r="J8" s="34">
        <f>'SER_se-appl'!J22</f>
        <v>3.1077087361865323</v>
      </c>
      <c r="K8" s="34">
        <f>'SER_se-appl'!K22</f>
        <v>3.2705795015193919</v>
      </c>
      <c r="L8" s="34">
        <f>'SER_se-appl'!L22</f>
        <v>3.4746904846627475</v>
      </c>
      <c r="M8" s="34">
        <f>'SER_se-appl'!M22</f>
        <v>3.6638985287977812</v>
      </c>
      <c r="N8" s="34">
        <f>'SER_se-appl'!N22</f>
        <v>3.8911290899863866</v>
      </c>
      <c r="O8" s="34">
        <f>'SER_se-appl'!O22</f>
        <v>4.0623260315288574</v>
      </c>
      <c r="P8" s="34">
        <f>'SER_se-appl'!P22</f>
        <v>4.220247673027103</v>
      </c>
      <c r="Q8" s="34">
        <f>'SER_se-appl'!Q22</f>
        <v>4.4437521133680349</v>
      </c>
      <c r="R8" s="34">
        <f>'SER_se-appl'!R22</f>
        <v>4.612417367976601</v>
      </c>
      <c r="S8" s="34">
        <f>'SER_se-appl'!S22</f>
        <v>4.81232808204678</v>
      </c>
      <c r="T8" s="34">
        <f>'SER_se-appl'!T22</f>
        <v>5.0089959403969271</v>
      </c>
      <c r="U8" s="34">
        <f>'SER_se-appl'!U22</f>
        <v>5.1952217011650559</v>
      </c>
      <c r="V8" s="34">
        <f>'SER_se-appl'!V22</f>
        <v>5.3525580440676972</v>
      </c>
      <c r="W8" s="34">
        <f>'SER_se-appl'!W22</f>
        <v>5.4682426811694294</v>
      </c>
      <c r="X8" s="34">
        <f>'SER_se-appl'!X22</f>
        <v>5.5538074705660039</v>
      </c>
      <c r="Y8" s="34">
        <f>'SER_se-appl'!Y22</f>
        <v>5.622966433249033</v>
      </c>
      <c r="DA8" s="88" t="s">
        <v>924</v>
      </c>
    </row>
    <row r="9" spans="1:105" ht="12.95" customHeight="1" x14ac:dyDescent="0.25">
      <c r="A9" s="202" t="str">
        <f>"Number of new appliances "&amp;MID('SER_se-appl'!A30,FIND("(",'SER_se-appl'!A30),100)</f>
        <v>Number of new appliances (million units)</v>
      </c>
      <c r="B9" s="36"/>
      <c r="C9" s="36">
        <f>'SER_se-appl'!C30</f>
        <v>0.42801807486876742</v>
      </c>
      <c r="D9" s="36">
        <f>'SER_se-appl'!D30</f>
        <v>0.43685808712852525</v>
      </c>
      <c r="E9" s="36">
        <f>'SER_se-appl'!E30</f>
        <v>0.45229333880054323</v>
      </c>
      <c r="F9" s="36">
        <f>'SER_se-appl'!F30</f>
        <v>0.49795126993253813</v>
      </c>
      <c r="G9" s="36">
        <f>'SER_se-appl'!G30</f>
        <v>0.51130623645904461</v>
      </c>
      <c r="H9" s="36">
        <f>'SER_se-appl'!H30</f>
        <v>0.51445210744044223</v>
      </c>
      <c r="I9" s="36">
        <f>'SER_se-appl'!I30</f>
        <v>0.55290552847017738</v>
      </c>
      <c r="J9" s="36">
        <f>'SER_se-appl'!J30</f>
        <v>0.5788002550837863</v>
      </c>
      <c r="K9" s="36">
        <f>'SER_se-appl'!K30</f>
        <v>0.61516410413340283</v>
      </c>
      <c r="L9" s="36">
        <f>'SER_se-appl'!L30</f>
        <v>0.70206225307589376</v>
      </c>
      <c r="M9" s="36">
        <f>'SER_se-appl'!M30</f>
        <v>0.70051428059407828</v>
      </c>
      <c r="N9" s="36">
        <f>'SER_se-appl'!N30</f>
        <v>0.74168266862904764</v>
      </c>
      <c r="O9" s="36">
        <f>'SER_se-appl'!O30</f>
        <v>0.72410247001264816</v>
      </c>
      <c r="P9" s="36">
        <f>'SER_se-appl'!P30</f>
        <v>0.73672189658203191</v>
      </c>
      <c r="Q9" s="36">
        <f>'SER_se-appl'!Q30</f>
        <v>0.8386685444743347</v>
      </c>
      <c r="R9" s="36">
        <f>'SER_se-appl'!R30</f>
        <v>0.87072750768445983</v>
      </c>
      <c r="S9" s="36">
        <f>'SER_se-appl'!S30</f>
        <v>0.90042499466425729</v>
      </c>
      <c r="T9" s="36">
        <f>'SER_se-appl'!T30</f>
        <v>0.9383505269791943</v>
      </c>
      <c r="U9" s="36">
        <f>'SER_se-appl'!U30</f>
        <v>0.91032823078077652</v>
      </c>
      <c r="V9" s="36">
        <f>'SER_se-appl'!V30</f>
        <v>0.89405823948467322</v>
      </c>
      <c r="W9" s="36">
        <f>'SER_se-appl'!W30</f>
        <v>0.95435318157606641</v>
      </c>
      <c r="X9" s="36">
        <f>'SER_se-appl'!X30</f>
        <v>0.95629229708103392</v>
      </c>
      <c r="Y9" s="36">
        <f>'SER_se-appl'!Y30</f>
        <v>0.96958395734728597</v>
      </c>
      <c r="DA9" s="89" t="s">
        <v>930</v>
      </c>
    </row>
    <row r="10" spans="1:105" ht="12" customHeight="1" x14ac:dyDescent="0.25">
      <c r="A10" s="203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0.36820816459573047</v>
      </c>
      <c r="D10" s="38">
        <f>'SER_se-appl'!D38</f>
        <v>0.37777360593622689</v>
      </c>
      <c r="E10" s="38">
        <f>'SER_se-appl'!E38</f>
        <v>0.3875875416797161</v>
      </c>
      <c r="F10" s="38">
        <f>'SER_se-appl'!F38</f>
        <v>0.39765642730129125</v>
      </c>
      <c r="G10" s="38">
        <f>'SER_se-appl'!G38</f>
        <v>0.40798688597864885</v>
      </c>
      <c r="H10" s="38">
        <f>'SER_se-appl'!H38</f>
        <v>0.41858571294872782</v>
      </c>
      <c r="I10" s="38">
        <f>'SER_se-appl'!I38</f>
        <v>0.42801807486876742</v>
      </c>
      <c r="J10" s="38">
        <f>'SER_se-appl'!J38</f>
        <v>0.43685808712852525</v>
      </c>
      <c r="K10" s="38">
        <f>'SER_se-appl'!K38</f>
        <v>0.45229333880054323</v>
      </c>
      <c r="L10" s="38">
        <f>'SER_se-appl'!L38</f>
        <v>0.49795126993253813</v>
      </c>
      <c r="M10" s="38">
        <f>'SER_se-appl'!M38</f>
        <v>0.51130623645904461</v>
      </c>
      <c r="N10" s="38">
        <f>'SER_se-appl'!N38</f>
        <v>0.51445210744044179</v>
      </c>
      <c r="O10" s="38">
        <f>'SER_se-appl'!O38</f>
        <v>0.55290552847017782</v>
      </c>
      <c r="P10" s="38">
        <f>'SER_se-appl'!P38</f>
        <v>0.5788002550837863</v>
      </c>
      <c r="Q10" s="38">
        <f>'SER_se-appl'!Q38</f>
        <v>0.61516410413340239</v>
      </c>
      <c r="R10" s="38">
        <f>'SER_se-appl'!R38</f>
        <v>0.7020622530758942</v>
      </c>
      <c r="S10" s="38">
        <f>'SER_se-appl'!S38</f>
        <v>0.70051428059407872</v>
      </c>
      <c r="T10" s="38">
        <f>'SER_se-appl'!T38</f>
        <v>0.74168266862904719</v>
      </c>
      <c r="U10" s="38">
        <f>'SER_se-appl'!U38</f>
        <v>0.72410247001264771</v>
      </c>
      <c r="V10" s="38">
        <f>'SER_se-appl'!V38</f>
        <v>0.73672189658203191</v>
      </c>
      <c r="W10" s="38">
        <f>'SER_se-appl'!W38</f>
        <v>0.83866854447433425</v>
      </c>
      <c r="X10" s="38">
        <f>'SER_se-appl'!X38</f>
        <v>0.87072750768445939</v>
      </c>
      <c r="Y10" s="38">
        <f>'SER_se-appl'!Y38</f>
        <v>0.90042499466425685</v>
      </c>
      <c r="DA10" s="90" t="s">
        <v>936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'SER_se-appl'!B46</f>
        <v>2135.8560171032786</v>
      </c>
      <c r="C12" s="204">
        <f>'SER_se-appl'!C46</f>
        <v>2153.6635172531933</v>
      </c>
      <c r="D12" s="204">
        <f>'SER_se-appl'!D46</f>
        <v>2170.2948770048542</v>
      </c>
      <c r="E12" s="204">
        <f>'SER_se-appl'!E46</f>
        <v>2184.3325896430347</v>
      </c>
      <c r="F12" s="204">
        <f>'SER_se-appl'!F46</f>
        <v>2202.2637593868517</v>
      </c>
      <c r="G12" s="204">
        <f>'SER_se-appl'!G46</f>
        <v>2217.9682791920804</v>
      </c>
      <c r="H12" s="204">
        <f>'SER_se-appl'!H46</f>
        <v>2234.9729585777905</v>
      </c>
      <c r="I12" s="204">
        <f>'SER_se-appl'!I46</f>
        <v>2252.3393171192633</v>
      </c>
      <c r="J12" s="204">
        <f>'SER_se-appl'!J46</f>
        <v>2262.3655154066573</v>
      </c>
      <c r="K12" s="204">
        <f>'SER_se-appl'!K46</f>
        <v>2271.4390567871169</v>
      </c>
      <c r="L12" s="204">
        <f>'SER_se-appl'!L46</f>
        <v>2278.2486400647431</v>
      </c>
      <c r="M12" s="204">
        <f>'SER_se-appl'!M46</f>
        <v>2285.1655294380398</v>
      </c>
      <c r="N12" s="204">
        <f>'SER_se-appl'!N46</f>
        <v>2285.7397176634036</v>
      </c>
      <c r="O12" s="204">
        <f>'SER_se-appl'!O46</f>
        <v>2287.3780357620449</v>
      </c>
      <c r="P12" s="204">
        <f>'SER_se-appl'!P46</f>
        <v>2292.2481338468574</v>
      </c>
      <c r="Q12" s="204">
        <f>'SER_se-appl'!Q46</f>
        <v>2296.222111952155</v>
      </c>
      <c r="R12" s="204">
        <f>'SER_se-appl'!R46</f>
        <v>2368.3771911644917</v>
      </c>
      <c r="S12" s="204">
        <f>'SER_se-appl'!S46</f>
        <v>2400.6428966632207</v>
      </c>
      <c r="T12" s="204">
        <f>'SER_se-appl'!T46</f>
        <v>2377.1457298909709</v>
      </c>
      <c r="U12" s="204">
        <f>'SER_se-appl'!U46</f>
        <v>2349.5232057430626</v>
      </c>
      <c r="V12" s="204">
        <f>'SER_se-appl'!V46</f>
        <v>1946.8086959332049</v>
      </c>
      <c r="W12" s="204">
        <f>'SER_se-appl'!W46</f>
        <v>2172.0173807291458</v>
      </c>
      <c r="X12" s="204">
        <f>'SER_se-appl'!X46</f>
        <v>2232.767618681175</v>
      </c>
      <c r="Y12" s="204">
        <f>'SER_se-appl'!Y46</f>
        <v>2263.1427376571896</v>
      </c>
      <c r="DA12" s="208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53.502564938179624</v>
      </c>
      <c r="C14" s="59">
        <f>'SER_se-appl'!C54</f>
        <v>52.94899013689885</v>
      </c>
      <c r="D14" s="59">
        <f>'SER_se-appl'!D54</f>
        <v>52.14503496096534</v>
      </c>
      <c r="E14" s="59">
        <f>'SER_se-appl'!E54</f>
        <v>51.159975088899138</v>
      </c>
      <c r="F14" s="59">
        <f>'SER_se-appl'!F54</f>
        <v>49.966028305434641</v>
      </c>
      <c r="G14" s="59">
        <f>'SER_se-appl'!G54</f>
        <v>48.569867597082336</v>
      </c>
      <c r="H14" s="59">
        <f>'SER_se-appl'!H54</f>
        <v>47.063784545106174</v>
      </c>
      <c r="I14" s="59">
        <f>'SER_se-appl'!I54</f>
        <v>45.851490215111397</v>
      </c>
      <c r="J14" s="59">
        <f>'SER_se-appl'!J54</f>
        <v>44.676721595298133</v>
      </c>
      <c r="K14" s="59">
        <f>'SER_se-appl'!K54</f>
        <v>43.407463513106336</v>
      </c>
      <c r="L14" s="59">
        <f>'SER_se-appl'!L54</f>
        <v>41.914171593431348</v>
      </c>
      <c r="M14" s="59">
        <f>'SER_se-appl'!M54</f>
        <v>40.450090604503039</v>
      </c>
      <c r="N14" s="59">
        <f>'SER_se-appl'!N54</f>
        <v>38.824628554114646</v>
      </c>
      <c r="O14" s="59">
        <f>'SER_se-appl'!O54</f>
        <v>37.104195567357387</v>
      </c>
      <c r="P14" s="59">
        <f>'SER_se-appl'!P54</f>
        <v>35.309887593781532</v>
      </c>
      <c r="Q14" s="59">
        <f>'SER_se-appl'!Q54</f>
        <v>33.274345924268218</v>
      </c>
      <c r="R14" s="59">
        <f>'SER_se-appl'!R54</f>
        <v>30.794465763988434</v>
      </c>
      <c r="S14" s="59">
        <f>'SER_se-appl'!S54</f>
        <v>28.419153055466271</v>
      </c>
      <c r="T14" s="59">
        <f>'SER_se-appl'!T54</f>
        <v>26.041012137307391</v>
      </c>
      <c r="U14" s="59">
        <f>'SER_se-appl'!U54</f>
        <v>23.894522233472134</v>
      </c>
      <c r="V14" s="59">
        <f>'SER_se-appl'!V54</f>
        <v>21.900847583378315</v>
      </c>
      <c r="W14" s="59">
        <f>'SER_se-appl'!W54</f>
        <v>20.015080814125966</v>
      </c>
      <c r="X14" s="59">
        <f>'SER_se-appl'!X54</f>
        <v>18.608740515819783</v>
      </c>
      <c r="Y14" s="59">
        <f>'SER_se-appl'!Y54</f>
        <v>17.297438885306654</v>
      </c>
      <c r="DA14" s="104" t="s">
        <v>948</v>
      </c>
    </row>
    <row r="15" spans="1:105" ht="12" customHeight="1" x14ac:dyDescent="0.25">
      <c r="A15" s="203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50.375764729411337</v>
      </c>
      <c r="D15" s="63">
        <f>'SER_se-appl'!D62</f>
        <v>48.869807347168312</v>
      </c>
      <c r="E15" s="63">
        <f>'SER_se-appl'!E62</f>
        <v>47.773385344102607</v>
      </c>
      <c r="F15" s="63">
        <f>'SER_se-appl'!F62</f>
        <v>46.696696198564574</v>
      </c>
      <c r="G15" s="63">
        <f>'SER_se-appl'!G62</f>
        <v>45.292472292525481</v>
      </c>
      <c r="H15" s="63">
        <f>'SER_se-appl'!H62</f>
        <v>44.266564681310207</v>
      </c>
      <c r="I15" s="63">
        <f>'SER_se-appl'!I62</f>
        <v>43.124965885993227</v>
      </c>
      <c r="J15" s="63">
        <f>'SER_se-appl'!J62</f>
        <v>41.822012975513061</v>
      </c>
      <c r="K15" s="63">
        <f>'SER_se-appl'!K62</f>
        <v>40.205379621371101</v>
      </c>
      <c r="L15" s="63">
        <f>'SER_se-appl'!L62</f>
        <v>38.34972167364144</v>
      </c>
      <c r="M15" s="63">
        <f>'SER_se-appl'!M62</f>
        <v>36.722417383638259</v>
      </c>
      <c r="N15" s="63">
        <f>'SER_se-appl'!N62</f>
        <v>34.569557430939966</v>
      </c>
      <c r="O15" s="63">
        <f>'SER_se-appl'!O62</f>
        <v>32.456359402316188</v>
      </c>
      <c r="P15" s="63">
        <f>'SER_se-appl'!P62</f>
        <v>30.53217679967694</v>
      </c>
      <c r="Q15" s="63">
        <f>'SER_se-appl'!Q62</f>
        <v>28.115255497395815</v>
      </c>
      <c r="R15" s="63">
        <f>'SER_se-appl'!R62</f>
        <v>24.230170199413148</v>
      </c>
      <c r="S15" s="63">
        <f>'SER_se-appl'!S62</f>
        <v>22.711427943229026</v>
      </c>
      <c r="T15" s="63">
        <f>'SER_se-appl'!T62</f>
        <v>20.585779851037383</v>
      </c>
      <c r="U15" s="63">
        <f>'SER_se-appl'!U62</f>
        <v>18.894005256531379</v>
      </c>
      <c r="V15" s="63">
        <f>'SER_se-appl'!V62</f>
        <v>17.428328456123861</v>
      </c>
      <c r="W15" s="63">
        <f>'SER_se-appl'!W62</f>
        <v>16.556912033317666</v>
      </c>
      <c r="X15" s="63">
        <f>'SER_se-appl'!X62</f>
        <v>15.685495610511474</v>
      </c>
      <c r="Y15" s="63">
        <f>'SER_se-appl'!Y62</f>
        <v>14.81407918770528</v>
      </c>
      <c r="DA15" s="105" t="s">
        <v>954</v>
      </c>
    </row>
    <row r="16" spans="1:105" ht="12.95" customHeight="1" x14ac:dyDescent="0.25">
      <c r="A16" s="203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X16" s="63">
        <v>0</v>
      </c>
      <c r="Y16" s="63">
        <v>0</v>
      </c>
      <c r="DA16" s="105" t="s">
        <v>964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'SER_se-appl'!B7</f>
        <v>9.9434627316909712</v>
      </c>
      <c r="C3" s="198">
        <f>'SER_se-appl'!C7</f>
        <v>10.110623384494989</v>
      </c>
      <c r="D3" s="198">
        <f>'SER_se-appl'!D7</f>
        <v>10.279252029766852</v>
      </c>
      <c r="E3" s="198">
        <f>'SER_se-appl'!E7</f>
        <v>10.412851439983793</v>
      </c>
      <c r="F3" s="198">
        <f>'SER_se-appl'!F7</f>
        <v>10.507397758621893</v>
      </c>
      <c r="G3" s="198">
        <f>'SER_se-appl'!G7</f>
        <v>10.70190438220904</v>
      </c>
      <c r="H3" s="198">
        <f>'SER_se-appl'!H7</f>
        <v>10.961726615439391</v>
      </c>
      <c r="I3" s="198">
        <f>'SER_se-appl'!I7</f>
        <v>11.268265058157851</v>
      </c>
      <c r="J3" s="198">
        <f>'SER_se-appl'!J7</f>
        <v>11.586507727647106</v>
      </c>
      <c r="K3" s="198">
        <f>'SER_se-appl'!K7</f>
        <v>11.923368117380184</v>
      </c>
      <c r="L3" s="198">
        <f>'SER_se-appl'!L7</f>
        <v>12.182898344128548</v>
      </c>
      <c r="M3" s="198">
        <f>'SER_se-appl'!M7</f>
        <v>12.426994099322581</v>
      </c>
      <c r="N3" s="198">
        <f>'SER_se-appl'!N7</f>
        <v>12.729176685180555</v>
      </c>
      <c r="O3" s="198">
        <f>'SER_se-appl'!O7</f>
        <v>12.781923632204114</v>
      </c>
      <c r="P3" s="198">
        <f>'SER_se-appl'!P7</f>
        <v>12.678564244045937</v>
      </c>
      <c r="Q3" s="198">
        <f>'SER_se-appl'!Q7</f>
        <v>12.586016648876708</v>
      </c>
      <c r="R3" s="198">
        <f>'SER_se-appl'!R7</f>
        <v>12.532210361461781</v>
      </c>
      <c r="S3" s="198">
        <f>'SER_se-appl'!S7</f>
        <v>12.512936289114522</v>
      </c>
      <c r="T3" s="198">
        <f>'SER_se-appl'!T7</f>
        <v>12.487753125635829</v>
      </c>
      <c r="U3" s="198">
        <f>'SER_se-appl'!U7</f>
        <v>12.452315101333937</v>
      </c>
      <c r="V3" s="198">
        <f>'SER_se-appl'!V7</f>
        <v>12.421459634344732</v>
      </c>
      <c r="W3" s="198">
        <f>'SER_se-appl'!W7</f>
        <v>12.373735389777758</v>
      </c>
      <c r="X3" s="198">
        <f>'SER_se-appl'!X7</f>
        <v>12.32549992763103</v>
      </c>
      <c r="Y3" s="198">
        <f>'SER_se-appl'!Y7</f>
        <v>12.12112993231213</v>
      </c>
      <c r="DA3" s="205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'SER_se-appl'!B15</f>
        <v>13.201195384653655</v>
      </c>
      <c r="C5" s="59">
        <f>'SER_se-appl'!C15</f>
        <v>13.423122141743917</v>
      </c>
      <c r="D5" s="59">
        <f>'SER_se-appl'!D15</f>
        <v>13.646997843172207</v>
      </c>
      <c r="E5" s="59">
        <f>'SER_se-appl'!E15</f>
        <v>13.824367836416837</v>
      </c>
      <c r="F5" s="59">
        <f>'SER_se-appl'!F15</f>
        <v>13.949889946663546</v>
      </c>
      <c r="G5" s="59">
        <f>'SER_se-appl'!G15</f>
        <v>14.208121913823186</v>
      </c>
      <c r="H5" s="59">
        <f>'SER_se-appl'!H15</f>
        <v>14.553068554516003</v>
      </c>
      <c r="I5" s="59">
        <f>'SER_se-appl'!I15</f>
        <v>14.960036829494959</v>
      </c>
      <c r="J5" s="59">
        <f>'SER_se-appl'!J15</f>
        <v>15.382543935220983</v>
      </c>
      <c r="K5" s="59">
        <f>'SER_se-appl'!K15</f>
        <v>15.82976840241227</v>
      </c>
      <c r="L5" s="59">
        <f>'SER_se-appl'!L15</f>
        <v>16.17432736783277</v>
      </c>
      <c r="M5" s="59">
        <f>'SER_se-appl'!M15</f>
        <v>16.49839513414631</v>
      </c>
      <c r="N5" s="59">
        <f>'SER_se-appl'!N15</f>
        <v>16.89958046217464</v>
      </c>
      <c r="O5" s="59">
        <f>'SER_se-appl'!O15</f>
        <v>16.969608657823485</v>
      </c>
      <c r="P5" s="59">
        <f>'SER_se-appl'!P15</f>
        <v>16.832386091124913</v>
      </c>
      <c r="Q5" s="59">
        <f>'SER_se-appl'!Q15</f>
        <v>16.7095175372644</v>
      </c>
      <c r="R5" s="59">
        <f>'SER_se-appl'!R15</f>
        <v>16.638082934223803</v>
      </c>
      <c r="S5" s="59">
        <f>'SER_se-appl'!S15</f>
        <v>16.612494182922589</v>
      </c>
      <c r="T5" s="59">
        <f>'SER_se-appl'!T15</f>
        <v>16.579060371135238</v>
      </c>
      <c r="U5" s="59">
        <f>'SER_se-appl'!U15</f>
        <v>16.532011943894258</v>
      </c>
      <c r="V5" s="59">
        <f>'SER_se-appl'!V15</f>
        <v>16.491047436921146</v>
      </c>
      <c r="W5" s="59">
        <f>'SER_se-appl'!W15</f>
        <v>16.427687509488049</v>
      </c>
      <c r="X5" s="59">
        <f>'SER_se-appl'!X15</f>
        <v>16.363648876523843</v>
      </c>
      <c r="Y5" s="59">
        <f>'SER_se-appl'!Y15</f>
        <v>16.092322044839047</v>
      </c>
      <c r="DA5" s="104" t="s">
        <v>919</v>
      </c>
    </row>
    <row r="6" spans="1:105" ht="12" customHeight="1" x14ac:dyDescent="0.25">
      <c r="A6" s="200" t="str">
        <f>"Penetration factor "&amp;MID('SER_se-appl'!A71,FIND("(",'SER_se-appl'!A71),100)</f>
        <v>Penetration factor (unit per capita)</v>
      </c>
      <c r="B6" s="201">
        <f>'SER_se-appl'!B71</f>
        <v>2.6428513317755652E-2</v>
      </c>
      <c r="C6" s="201">
        <f>'SER_se-appl'!C71</f>
        <v>2.6874491972959734E-2</v>
      </c>
      <c r="D6" s="201">
        <f>'SER_se-appl'!D71</f>
        <v>2.7368068613192135E-2</v>
      </c>
      <c r="E6" s="201">
        <f>'SER_se-appl'!E71</f>
        <v>2.779218197926971E-2</v>
      </c>
      <c r="F6" s="201">
        <f>'SER_se-appl'!F71</f>
        <v>2.8102920033128944E-2</v>
      </c>
      <c r="G6" s="201">
        <f>'SER_se-appl'!G71</f>
        <v>2.8710737923356454E-2</v>
      </c>
      <c r="H6" s="201">
        <f>'SER_se-appl'!H71</f>
        <v>2.9539541208710451E-2</v>
      </c>
      <c r="I6" s="201">
        <f>'SER_se-appl'!I71</f>
        <v>3.0456277989161323E-2</v>
      </c>
      <c r="J6" s="201">
        <f>'SER_se-appl'!J71</f>
        <v>3.1302219649930074E-2</v>
      </c>
      <c r="K6" s="201">
        <f>'SER_se-appl'!K71</f>
        <v>3.2199698365930972E-2</v>
      </c>
      <c r="L6" s="201">
        <f>'SER_se-appl'!L71</f>
        <v>3.2903830831184908E-2</v>
      </c>
      <c r="M6" s="201">
        <f>'SER_se-appl'!M71</f>
        <v>3.3448193935526491E-2</v>
      </c>
      <c r="N6" s="201">
        <f>'SER_se-appl'!N71</f>
        <v>3.405383319191619E-2</v>
      </c>
      <c r="O6" s="201">
        <f>'SER_se-appl'!O71</f>
        <v>3.4794023420106346E-2</v>
      </c>
      <c r="P6" s="201">
        <f>'SER_se-appl'!P71</f>
        <v>3.5261755849494522E-2</v>
      </c>
      <c r="Q6" s="201">
        <f>'SER_se-appl'!Q71</f>
        <v>3.5725858566467282E-2</v>
      </c>
      <c r="R6" s="201">
        <f>'SER_se-appl'!R71</f>
        <v>3.6278554961550295E-2</v>
      </c>
      <c r="S6" s="201">
        <f>'SER_se-appl'!S71</f>
        <v>3.6854204265205019E-2</v>
      </c>
      <c r="T6" s="201">
        <f>'SER_se-appl'!T71</f>
        <v>3.7307710453635956E-2</v>
      </c>
      <c r="U6" s="201">
        <f>'SER_se-appl'!U71</f>
        <v>3.7603712313473224E-2</v>
      </c>
      <c r="V6" s="201">
        <f>'SER_se-appl'!V71</f>
        <v>3.7809567903274971E-2</v>
      </c>
      <c r="W6" s="201">
        <f>'SER_se-appl'!W71</f>
        <v>3.7935127822067205E-2</v>
      </c>
      <c r="X6" s="201">
        <f>'SER_se-appl'!X71</f>
        <v>3.802326777751764E-2</v>
      </c>
      <c r="Y6" s="201">
        <f>'SER_se-appl'!Y71</f>
        <v>3.7262802421967278E-2</v>
      </c>
      <c r="DA6" s="206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"&amp;MID('SER_se-appl'!A23,FIND("(",'SER_se-appl'!A23),100)</f>
        <v>Stock of appliances (thousand units)</v>
      </c>
      <c r="B8" s="34">
        <f>'SER_se-appl'!B23</f>
        <v>18.248809160370325</v>
      </c>
      <c r="C8" s="34">
        <f>'SER_se-appl'!C23</f>
        <v>18.74627500124609</v>
      </c>
      <c r="D8" s="34">
        <f>'SER_se-appl'!D23</f>
        <v>19.309239761282967</v>
      </c>
      <c r="E8" s="34">
        <f>'SER_se-appl'!E23</f>
        <v>19.835836122244377</v>
      </c>
      <c r="F8" s="34">
        <f>'SER_se-appl'!F23</f>
        <v>20.315404171508682</v>
      </c>
      <c r="G8" s="34">
        <f>'SER_se-appl'!G23</f>
        <v>21.046894517261144</v>
      </c>
      <c r="H8" s="34">
        <f>'SER_se-appl'!H23</f>
        <v>21.977802673316287</v>
      </c>
      <c r="I8" s="34">
        <f>'SER_se-appl'!I23</f>
        <v>23.083300388433191</v>
      </c>
      <c r="J8" s="34">
        <f>'SER_se-appl'!J23</f>
        <v>24.300946087489162</v>
      </c>
      <c r="K8" s="34">
        <f>'SER_se-appl'!K23</f>
        <v>25.660905618761369</v>
      </c>
      <c r="L8" s="34">
        <f>'SER_se-appl'!L23</f>
        <v>26.952843987056806</v>
      </c>
      <c r="M8" s="34">
        <f>'SER_se-appl'!M23</f>
        <v>28.088154305552308</v>
      </c>
      <c r="N8" s="34">
        <f>'SER_se-appl'!N23</f>
        <v>29.354778803596865</v>
      </c>
      <c r="O8" s="34">
        <f>'SER_se-appl'!O23</f>
        <v>30.022162284132438</v>
      </c>
      <c r="P8" s="34">
        <f>'SER_se-appl'!P23</f>
        <v>30.326238406752474</v>
      </c>
      <c r="Q8" s="34">
        <f>'SER_se-appl'!Q23</f>
        <v>30.754462443509095</v>
      </c>
      <c r="R8" s="34">
        <f>'SER_se-appl'!R23</f>
        <v>31.336109747808532</v>
      </c>
      <c r="S8" s="34">
        <f>'SER_se-appl'!S23</f>
        <v>32.058661497808011</v>
      </c>
      <c r="T8" s="34">
        <f>'SER_se-appl'!T23</f>
        <v>32.778591712275002</v>
      </c>
      <c r="U8" s="34">
        <f>'SER_se-appl'!U23</f>
        <v>33.474599079179988</v>
      </c>
      <c r="V8" s="34">
        <f>'SER_se-appl'!V23</f>
        <v>34.120450553384529</v>
      </c>
      <c r="W8" s="34">
        <f>'SER_se-appl'!W23</f>
        <v>34.690763950212727</v>
      </c>
      <c r="X8" s="34">
        <f>'SER_se-appl'!X23</f>
        <v>35.352665541895909</v>
      </c>
      <c r="Y8" s="34">
        <f>'SER_se-appl'!Y23</f>
        <v>35.365529573850395</v>
      </c>
      <c r="DA8" s="88" t="s">
        <v>925</v>
      </c>
    </row>
    <row r="9" spans="1:105" ht="12.95" customHeight="1" x14ac:dyDescent="0.25">
      <c r="A9" s="202" t="str">
        <f>"Number of new appliances "&amp;MID('SER_se-appl'!A31,FIND("(",'SER_se-appl'!A31),100)</f>
        <v>Number of new appliances (thousand units)</v>
      </c>
      <c r="B9" s="36"/>
      <c r="C9" s="36">
        <f>'SER_se-appl'!C31</f>
        <v>2.1559742321244286</v>
      </c>
      <c r="D9" s="36">
        <f>'SER_se-appl'!D31</f>
        <v>2.2564082791841855</v>
      </c>
      <c r="E9" s="36">
        <f>'SER_se-appl'!E31</f>
        <v>2.2557108880111905</v>
      </c>
      <c r="F9" s="36">
        <f>'SER_se-appl'!F31</f>
        <v>2.2451049649330628</v>
      </c>
      <c r="G9" s="36">
        <f>'SER_se-appl'!G31</f>
        <v>2.534216857979267</v>
      </c>
      <c r="H9" s="36">
        <f>'SER_se-appl'!H31</f>
        <v>2.7716076333891735</v>
      </c>
      <c r="I9" s="36">
        <f>'SER_se-appl'!I31</f>
        <v>2.9849700271275346</v>
      </c>
      <c r="J9" s="36">
        <f>'SER_se-appl'!J31</f>
        <v>3.1367075639133191</v>
      </c>
      <c r="K9" s="36">
        <f>'SER_se-appl'!K31</f>
        <v>3.3194448706491677</v>
      </c>
      <c r="L9" s="36">
        <f>'SER_se-appl'!L31</f>
        <v>3.2926986697454694</v>
      </c>
      <c r="M9" s="36">
        <f>'SER_se-appl'!M31</f>
        <v>3.2912845506199311</v>
      </c>
      <c r="N9" s="36">
        <f>'SER_se-appl'!N31</f>
        <v>3.5230327772287424</v>
      </c>
      <c r="O9" s="36">
        <f>'SER_se-appl'!O31</f>
        <v>2.9230943685467636</v>
      </c>
      <c r="P9" s="36">
        <f>'SER_se-appl'!P31</f>
        <v>2.549181087553098</v>
      </c>
      <c r="Q9" s="36">
        <f>'SER_se-appl'!Q31</f>
        <v>2.962440894735888</v>
      </c>
      <c r="R9" s="36">
        <f>'SER_se-appl'!R31</f>
        <v>3.3532549376886109</v>
      </c>
      <c r="S9" s="36">
        <f>'SER_se-appl'!S31</f>
        <v>3.7075217771270133</v>
      </c>
      <c r="T9" s="36">
        <f>'SER_se-appl'!T31</f>
        <v>3.8566377783803105</v>
      </c>
      <c r="U9" s="36">
        <f>'SER_se-appl'!U31</f>
        <v>4.0154522375541539</v>
      </c>
      <c r="V9" s="36">
        <f>'SER_se-appl'!V31</f>
        <v>3.9385501439500104</v>
      </c>
      <c r="W9" s="36">
        <f>'SER_se-appl'!W31</f>
        <v>3.8615979474481286</v>
      </c>
      <c r="X9" s="36">
        <f>'SER_se-appl'!X31</f>
        <v>4.1849343689119252</v>
      </c>
      <c r="Y9" s="36">
        <f>'SER_se-appl'!Y31</f>
        <v>2.9359584005012493</v>
      </c>
      <c r="DA9" s="89" t="s">
        <v>931</v>
      </c>
    </row>
    <row r="10" spans="1:105" ht="12" customHeight="1" x14ac:dyDescent="0.25">
      <c r="A10" s="203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1.6585083912486631</v>
      </c>
      <c r="D10" s="38">
        <f>'SER_se-appl'!D39</f>
        <v>1.6934435191473085</v>
      </c>
      <c r="E10" s="38">
        <f>'SER_se-appl'!E39</f>
        <v>1.7291145270497807</v>
      </c>
      <c r="F10" s="38">
        <f>'SER_se-appl'!F39</f>
        <v>1.7655369156687577</v>
      </c>
      <c r="G10" s="38">
        <f>'SER_se-appl'!G39</f>
        <v>1.8027265122268048</v>
      </c>
      <c r="H10" s="38">
        <f>'SER_se-appl'!H39</f>
        <v>1.8406994773340308</v>
      </c>
      <c r="I10" s="38">
        <f>'SER_se-appl'!I39</f>
        <v>1.8794723120106305</v>
      </c>
      <c r="J10" s="38">
        <f>'SER_se-appl'!J39</f>
        <v>1.9190618648573476</v>
      </c>
      <c r="K10" s="38">
        <f>'SER_se-appl'!K39</f>
        <v>1.9594853393769611</v>
      </c>
      <c r="L10" s="38">
        <f>'SER_se-appl'!L39</f>
        <v>2.0007603014500326</v>
      </c>
      <c r="M10" s="38">
        <f>'SER_se-appl'!M39</f>
        <v>2.1559742321244286</v>
      </c>
      <c r="N10" s="38">
        <f>'SER_se-appl'!N39</f>
        <v>2.2564082791841855</v>
      </c>
      <c r="O10" s="38">
        <f>'SER_se-appl'!O39</f>
        <v>2.2557108880111905</v>
      </c>
      <c r="P10" s="38">
        <f>'SER_se-appl'!P39</f>
        <v>2.2451049649330628</v>
      </c>
      <c r="Q10" s="38">
        <f>'SER_se-appl'!Q39</f>
        <v>2.5342168579792634</v>
      </c>
      <c r="R10" s="38">
        <f>'SER_se-appl'!R39</f>
        <v>2.7716076333891699</v>
      </c>
      <c r="S10" s="38">
        <f>'SER_se-appl'!S39</f>
        <v>2.9849700271275381</v>
      </c>
      <c r="T10" s="38">
        <f>'SER_se-appl'!T39</f>
        <v>3.1367075639133191</v>
      </c>
      <c r="U10" s="38">
        <f>'SER_se-appl'!U39</f>
        <v>3.3194448706491713</v>
      </c>
      <c r="V10" s="38">
        <f>'SER_se-appl'!V39</f>
        <v>3.2926986697454694</v>
      </c>
      <c r="W10" s="38">
        <f>'SER_se-appl'!W39</f>
        <v>3.2912845506199346</v>
      </c>
      <c r="X10" s="38">
        <f>'SER_se-appl'!X39</f>
        <v>3.5230327772287424</v>
      </c>
      <c r="Y10" s="38">
        <f>'SER_se-appl'!Y39</f>
        <v>2.9230943685467636</v>
      </c>
      <c r="DA10" s="90" t="s">
        <v>937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'SER_se-appl'!B47</f>
        <v>8759.9999999999982</v>
      </c>
      <c r="C12" s="204">
        <f>'SER_se-appl'!C47</f>
        <v>8760</v>
      </c>
      <c r="D12" s="204">
        <f>'SER_se-appl'!D47</f>
        <v>8759.9999999999964</v>
      </c>
      <c r="E12" s="204">
        <f>'SER_se-appl'!E47</f>
        <v>8760.0000000000018</v>
      </c>
      <c r="F12" s="204">
        <f>'SER_se-appl'!F47</f>
        <v>8759.9999999999964</v>
      </c>
      <c r="G12" s="204">
        <f>'SER_se-appl'!G47</f>
        <v>8760.0000000000018</v>
      </c>
      <c r="H12" s="204">
        <f>'SER_se-appl'!H47</f>
        <v>8759.9999999999964</v>
      </c>
      <c r="I12" s="204">
        <f>'SER_se-appl'!I47</f>
        <v>8759.9999999999982</v>
      </c>
      <c r="J12" s="204">
        <f>'SER_se-appl'!J47</f>
        <v>8760.0000000000018</v>
      </c>
      <c r="K12" s="204">
        <f>'SER_se-appl'!K47</f>
        <v>8760.0000000000036</v>
      </c>
      <c r="L12" s="204">
        <f>'SER_se-appl'!L47</f>
        <v>8759.9999999999964</v>
      </c>
      <c r="M12" s="204">
        <f>'SER_se-appl'!M47</f>
        <v>8759.9999999999964</v>
      </c>
      <c r="N12" s="204">
        <f>'SER_se-appl'!N47</f>
        <v>8760</v>
      </c>
      <c r="O12" s="204">
        <f>'SER_se-appl'!O47</f>
        <v>8760.0000000000055</v>
      </c>
      <c r="P12" s="204">
        <f>'SER_se-appl'!P47</f>
        <v>8760</v>
      </c>
      <c r="Q12" s="204">
        <f>'SER_se-appl'!Q47</f>
        <v>8759.9999999999982</v>
      </c>
      <c r="R12" s="204">
        <f>'SER_se-appl'!R47</f>
        <v>8760</v>
      </c>
      <c r="S12" s="204">
        <f>'SER_se-appl'!S47</f>
        <v>8760</v>
      </c>
      <c r="T12" s="204">
        <f>'SER_se-appl'!T47</f>
        <v>8760</v>
      </c>
      <c r="U12" s="204">
        <f>'SER_se-appl'!U47</f>
        <v>8760</v>
      </c>
      <c r="V12" s="204">
        <f>'SER_se-appl'!V47</f>
        <v>8760</v>
      </c>
      <c r="W12" s="204">
        <f>'SER_se-appl'!W47</f>
        <v>8760.0000000000018</v>
      </c>
      <c r="X12" s="204">
        <f>'SER_se-appl'!X47</f>
        <v>8760.0000000000018</v>
      </c>
      <c r="Y12" s="204">
        <f>'SER_se-appl'!Y47</f>
        <v>8760.0000000000018</v>
      </c>
      <c r="DA12" s="208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723.40037471167034</v>
      </c>
      <c r="C14" s="59">
        <f>'SER_se-appl'!C55</f>
        <v>716.04210120952905</v>
      </c>
      <c r="D14" s="59">
        <f>'SER_se-appl'!D55</f>
        <v>706.75997666857165</v>
      </c>
      <c r="E14" s="59">
        <f>'SER_se-appl'!E55</f>
        <v>696.93900227950883</v>
      </c>
      <c r="F14" s="59">
        <f>'SER_se-appl'!F55</f>
        <v>686.66563701585403</v>
      </c>
      <c r="G14" s="59">
        <f>'SER_se-appl'!G55</f>
        <v>675.06975445573266</v>
      </c>
      <c r="H14" s="59">
        <f>'SER_se-appl'!H55</f>
        <v>662.17122661607982</v>
      </c>
      <c r="I14" s="59">
        <f>'SER_se-appl'!I55</f>
        <v>648.0891630640167</v>
      </c>
      <c r="J14" s="59">
        <f>'SER_se-appl'!J55</f>
        <v>633.00185432452633</v>
      </c>
      <c r="K14" s="59">
        <f>'SER_se-appl'!K55</f>
        <v>616.88268674503468</v>
      </c>
      <c r="L14" s="59">
        <f>'SER_se-appl'!L55</f>
        <v>600.09724300708103</v>
      </c>
      <c r="M14" s="59">
        <f>'SER_se-appl'!M55</f>
        <v>587.37911201538088</v>
      </c>
      <c r="N14" s="59">
        <f>'SER_se-appl'!N55</f>
        <v>575.70116863234273</v>
      </c>
      <c r="O14" s="59">
        <f>'SER_se-appl'!O55</f>
        <v>565.23605785691211</v>
      </c>
      <c r="P14" s="59">
        <f>'SER_se-appl'!P55</f>
        <v>555.04365115645192</v>
      </c>
      <c r="Q14" s="59">
        <f>'SER_se-appl'!Q55</f>
        <v>543.32009762671169</v>
      </c>
      <c r="R14" s="59">
        <f>'SER_se-appl'!R55</f>
        <v>530.95559940676344</v>
      </c>
      <c r="S14" s="59">
        <f>'SER_se-appl'!S55</f>
        <v>518.19051098120417</v>
      </c>
      <c r="T14" s="59">
        <f>'SER_se-appl'!T55</f>
        <v>505.78928212241266</v>
      </c>
      <c r="U14" s="59">
        <f>'SER_se-appl'!U55</f>
        <v>493.86736207922445</v>
      </c>
      <c r="V14" s="59">
        <f>'SER_se-appl'!V55</f>
        <v>483.31857198425365</v>
      </c>
      <c r="W14" s="59">
        <f>'SER_se-appl'!W55</f>
        <v>473.54643250476215</v>
      </c>
      <c r="X14" s="59">
        <f>'SER_se-appl'!X55</f>
        <v>462.86888486899329</v>
      </c>
      <c r="Y14" s="59">
        <f>'SER_se-appl'!Y55</f>
        <v>455.02844828705355</v>
      </c>
      <c r="DA14" s="104" t="s">
        <v>949</v>
      </c>
    </row>
    <row r="15" spans="1:105" ht="12" customHeight="1" x14ac:dyDescent="0.25">
      <c r="A15" s="203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659.4199168053625</v>
      </c>
      <c r="D15" s="63">
        <f>'SER_se-appl'!D63</f>
        <v>642.13262781342291</v>
      </c>
      <c r="E15" s="63">
        <f>'SER_se-appl'!E63</f>
        <v>633.15387518081161</v>
      </c>
      <c r="F15" s="63">
        <f>'SER_se-appl'!F63</f>
        <v>624.7869024024003</v>
      </c>
      <c r="G15" s="63">
        <f>'SER_se-appl'!G63</f>
        <v>616.49222981372577</v>
      </c>
      <c r="H15" s="63">
        <f>'SER_se-appl'!H63</f>
        <v>604.88696600888102</v>
      </c>
      <c r="I15" s="63">
        <f>'SER_se-appl'!I63</f>
        <v>591.82478674590004</v>
      </c>
      <c r="J15" s="63">
        <f>'SER_se-appl'!J63</f>
        <v>577.2795649459988</v>
      </c>
      <c r="K15" s="63">
        <f>'SER_se-appl'!K63</f>
        <v>561.75564547753197</v>
      </c>
      <c r="L15" s="63">
        <f>'SER_se-appl'!L63</f>
        <v>544.20701586282871</v>
      </c>
      <c r="M15" s="63">
        <f>'SER_se-appl'!M63</f>
        <v>530.41907748958272</v>
      </c>
      <c r="N15" s="63">
        <f>'SER_se-appl'!N63</f>
        <v>525.14376752865212</v>
      </c>
      <c r="O15" s="63">
        <f>'SER_se-appl'!O63</f>
        <v>512.55282819539752</v>
      </c>
      <c r="P15" s="63">
        <f>'SER_se-appl'!P63</f>
        <v>496.4298598044756</v>
      </c>
      <c r="Q15" s="63">
        <f>'SER_se-appl'!Q63</f>
        <v>485.90216611730608</v>
      </c>
      <c r="R15" s="63">
        <f>'SER_se-appl'!R63</f>
        <v>478.66170604779825</v>
      </c>
      <c r="S15" s="63">
        <f>'SER_se-appl'!S63</f>
        <v>469.58335057860387</v>
      </c>
      <c r="T15" s="63">
        <f>'SER_se-appl'!T63</f>
        <v>460.84788569845568</v>
      </c>
      <c r="U15" s="63">
        <f>'SER_se-appl'!U63</f>
        <v>452.66843213774109</v>
      </c>
      <c r="V15" s="63">
        <f>'SER_se-appl'!V63</f>
        <v>444.56593066720217</v>
      </c>
      <c r="W15" s="63">
        <f>'SER_se-appl'!W63</f>
        <v>435.67461205385814</v>
      </c>
      <c r="X15" s="63">
        <f>'SER_se-appl'!X63</f>
        <v>426.78329344051406</v>
      </c>
      <c r="Y15" s="63">
        <f>'SER_se-appl'!Y63</f>
        <v>417.89197482717003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'SER_se-appl'!B8</f>
        <v>6.4230542133531339</v>
      </c>
      <c r="C3" s="198">
        <f>'SER_se-appl'!C8</f>
        <v>6.889981962036396</v>
      </c>
      <c r="D3" s="198">
        <f>'SER_se-appl'!D8</f>
        <v>7.4364719358983713</v>
      </c>
      <c r="E3" s="198">
        <f>'SER_se-appl'!E8</f>
        <v>7.9439869887149417</v>
      </c>
      <c r="F3" s="198">
        <f>'SER_se-appl'!F8</f>
        <v>8.5157837025230876</v>
      </c>
      <c r="G3" s="198">
        <f>'SER_se-appl'!G8</f>
        <v>9.0285540251334009</v>
      </c>
      <c r="H3" s="198">
        <f>'SER_se-appl'!H8</f>
        <v>9.5077016410940907</v>
      </c>
      <c r="I3" s="198">
        <f>'SER_se-appl'!I8</f>
        <v>10.079856352747338</v>
      </c>
      <c r="J3" s="198">
        <f>'SER_se-appl'!J8</f>
        <v>10.642083318241564</v>
      </c>
      <c r="K3" s="198">
        <f>'SER_se-appl'!K8</f>
        <v>11.230791085948365</v>
      </c>
      <c r="L3" s="198">
        <f>'SER_se-appl'!L8</f>
        <v>11.794870150418086</v>
      </c>
      <c r="M3" s="198">
        <f>'SER_se-appl'!M8</f>
        <v>12.286239269556045</v>
      </c>
      <c r="N3" s="198">
        <f>'SER_se-appl'!N8</f>
        <v>12.683171045042004</v>
      </c>
      <c r="O3" s="198">
        <f>'SER_se-appl'!O8</f>
        <v>12.71337549483451</v>
      </c>
      <c r="P3" s="198">
        <f>'SER_se-appl'!P8</f>
        <v>12.589121305700839</v>
      </c>
      <c r="Q3" s="198">
        <f>'SER_se-appl'!Q8</f>
        <v>12.409446744433652</v>
      </c>
      <c r="R3" s="198">
        <f>'SER_se-appl'!R8</f>
        <v>13.02686473157357</v>
      </c>
      <c r="S3" s="198">
        <f>'SER_se-appl'!S8</f>
        <v>13.578399386076835</v>
      </c>
      <c r="T3" s="198">
        <f>'SER_se-appl'!T8</f>
        <v>13.931834150447266</v>
      </c>
      <c r="U3" s="198">
        <f>'SER_se-appl'!U8</f>
        <v>14.183742042481921</v>
      </c>
      <c r="V3" s="198">
        <f>'SER_se-appl'!V8</f>
        <v>12.015903478308546</v>
      </c>
      <c r="W3" s="198">
        <f>'SER_se-appl'!W8</f>
        <v>13.640422490666337</v>
      </c>
      <c r="X3" s="198">
        <f>'SER_se-appl'!X8</f>
        <v>14.265235178780483</v>
      </c>
      <c r="Y3" s="198">
        <f>'SER_se-appl'!Y8</f>
        <v>14.607007846462832</v>
      </c>
      <c r="DA3" s="205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'SER_se-appl'!B16</f>
        <v>80.902066908936504</v>
      </c>
      <c r="C5" s="59">
        <f>'SER_se-appl'!C16</f>
        <v>86.370708122787704</v>
      </c>
      <c r="D5" s="59">
        <f>'SER_se-appl'!D16</f>
        <v>92.816654501649538</v>
      </c>
      <c r="E5" s="59">
        <f>'SER_se-appl'!E16</f>
        <v>98.755066576932393</v>
      </c>
      <c r="F5" s="59">
        <f>'SER_se-appl'!F16</f>
        <v>105.47177376378497</v>
      </c>
      <c r="G5" s="59">
        <f>'SER_se-appl'!G16</f>
        <v>111.43757883110912</v>
      </c>
      <c r="H5" s="59">
        <f>'SER_se-appl'!H16</f>
        <v>116.97352436340417</v>
      </c>
      <c r="I5" s="59">
        <f>'SER_se-appl'!I16</f>
        <v>123.63741792128864</v>
      </c>
      <c r="J5" s="59">
        <f>'SER_se-appl'!J16</f>
        <v>130.16105470489364</v>
      </c>
      <c r="K5" s="59">
        <f>'SER_se-appl'!K16</f>
        <v>136.99057801859792</v>
      </c>
      <c r="L5" s="59">
        <f>'SER_se-appl'!L16</f>
        <v>143.50257493480828</v>
      </c>
      <c r="M5" s="59">
        <f>'SER_se-appl'!M16</f>
        <v>149.23792039574559</v>
      </c>
      <c r="N5" s="59">
        <f>'SER_se-appl'!N16</f>
        <v>153.82064319055519</v>
      </c>
      <c r="O5" s="59">
        <f>'SER_se-appl'!O16</f>
        <v>153.95866715788432</v>
      </c>
      <c r="P5" s="59">
        <f>'SER_se-appl'!P16</f>
        <v>152.23782591795188</v>
      </c>
      <c r="Q5" s="59">
        <f>'SER_se-appl'!Q16</f>
        <v>149.86099632963857</v>
      </c>
      <c r="R5" s="59">
        <f>'SER_se-appl'!R16</f>
        <v>154.61691507299537</v>
      </c>
      <c r="S5" s="59">
        <f>'SER_se-appl'!S16</f>
        <v>159.85421077223077</v>
      </c>
      <c r="T5" s="59">
        <f>'SER_se-appl'!T16</f>
        <v>164.95325164820844</v>
      </c>
      <c r="U5" s="59">
        <f>'SER_se-appl'!U16</f>
        <v>169.45557371292153</v>
      </c>
      <c r="V5" s="59">
        <f>'SER_se-appl'!V16</f>
        <v>173.2518681973734</v>
      </c>
      <c r="W5" s="59">
        <f>'SER_se-appl'!W16</f>
        <v>176.28253966951723</v>
      </c>
      <c r="X5" s="59">
        <f>'SER_se-appl'!X16</f>
        <v>178.24127363204968</v>
      </c>
      <c r="Y5" s="59">
        <f>'SER_se-appl'!Y16</f>
        <v>179.53363933795242</v>
      </c>
      <c r="DA5" s="104" t="s">
        <v>920</v>
      </c>
    </row>
    <row r="6" spans="1:105" ht="12" customHeight="1" x14ac:dyDescent="0.25">
      <c r="A6" s="200" t="str">
        <f>"Penetration factor "&amp;MID('SER_se-appl'!A72,FIND("(",'SER_se-appl'!A72),100)</f>
        <v>Penetration factor (sqm per building cell)</v>
      </c>
      <c r="B6" s="201">
        <f>'SER_se-appl'!B72</f>
        <v>100.55417414261881</v>
      </c>
      <c r="C6" s="201">
        <f>'SER_se-appl'!C72</f>
        <v>105.85984077359528</v>
      </c>
      <c r="D6" s="201">
        <f>'SER_se-appl'!D72</f>
        <v>112.89892302003153</v>
      </c>
      <c r="E6" s="201">
        <f>'SER_se-appl'!E72</f>
        <v>118.88147160954091</v>
      </c>
      <c r="F6" s="201">
        <f>'SER_se-appl'!F72</f>
        <v>125.08348357658808</v>
      </c>
      <c r="G6" s="201">
        <f>'SER_se-appl'!G72</f>
        <v>130.12527096734053</v>
      </c>
      <c r="H6" s="201">
        <f>'SER_se-appl'!H72</f>
        <v>134.72113610007767</v>
      </c>
      <c r="I6" s="201">
        <f>'SER_se-appl'!I72</f>
        <v>140.00676876213785</v>
      </c>
      <c r="J6" s="201">
        <f>'SER_se-appl'!J72</f>
        <v>145.13831735715596</v>
      </c>
      <c r="K6" s="201">
        <f>'SER_se-appl'!K72</f>
        <v>149.42794001427851</v>
      </c>
      <c r="L6" s="201">
        <f>'SER_se-appl'!L72</f>
        <v>153.0384055650072</v>
      </c>
      <c r="M6" s="201">
        <f>'SER_se-appl'!M72</f>
        <v>157.56137000158199</v>
      </c>
      <c r="N6" s="201">
        <f>'SER_se-appl'!N72</f>
        <v>160.97204731105072</v>
      </c>
      <c r="O6" s="201">
        <f>'SER_se-appl'!O72</f>
        <v>163.15807167264887</v>
      </c>
      <c r="P6" s="201">
        <f>'SER_se-appl'!P72</f>
        <v>165.33744695160172</v>
      </c>
      <c r="Q6" s="201">
        <f>'SER_se-appl'!Q72</f>
        <v>166.73159463258997</v>
      </c>
      <c r="R6" s="201">
        <f>'SER_se-appl'!R72</f>
        <v>173.64232699636713</v>
      </c>
      <c r="S6" s="201">
        <f>'SER_se-appl'!S72</f>
        <v>180.60301203187444</v>
      </c>
      <c r="T6" s="201">
        <f>'SER_se-appl'!T72</f>
        <v>187.34946372333707</v>
      </c>
      <c r="U6" s="201">
        <f>'SER_se-appl'!U72</f>
        <v>193.72144959556613</v>
      </c>
      <c r="V6" s="201">
        <f>'SER_se-appl'!V72</f>
        <v>199.42071959288754</v>
      </c>
      <c r="W6" s="201">
        <f>'SER_se-appl'!W72</f>
        <v>204.14642775594143</v>
      </c>
      <c r="X6" s="201">
        <f>'SER_se-appl'!X72</f>
        <v>208.00749768264754</v>
      </c>
      <c r="Y6" s="201">
        <f>'SER_se-appl'!Y72</f>
        <v>211.14886594223785</v>
      </c>
      <c r="DA6" s="206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"&amp;MID('SER_se-appl'!A24,FIND("(",'SER_se-appl'!A24),100)</f>
        <v>Stock of appliances (serviced million m2)</v>
      </c>
      <c r="B8" s="34">
        <f>'SER_se-appl'!B24</f>
        <v>1.6365886640326885</v>
      </c>
      <c r="C8" s="34">
        <f>'SER_se-appl'!C24</f>
        <v>1.7575187853381415</v>
      </c>
      <c r="D8" s="34">
        <f>'SER_se-appl'!D24</f>
        <v>1.9011179377414882</v>
      </c>
      <c r="E8" s="34">
        <f>'SER_se-appl'!E24</f>
        <v>2.0354417212664573</v>
      </c>
      <c r="F8" s="34">
        <f>'SER_se-appl'!F24</f>
        <v>2.1891217979544391</v>
      </c>
      <c r="G8" s="34">
        <f>'SER_se-appl'!G24</f>
        <v>2.3287563188686158</v>
      </c>
      <c r="H8" s="34">
        <f>'SER_se-appl'!H24</f>
        <v>2.4619003168446074</v>
      </c>
      <c r="I8" s="34">
        <f>'SER_se-appl'!I24</f>
        <v>2.6241028937663646</v>
      </c>
      <c r="J8" s="34">
        <f>'SER_se-appl'!J24</f>
        <v>2.787576869690839</v>
      </c>
      <c r="K8" s="34">
        <f>'SER_se-appl'!K24</f>
        <v>2.9632170860673668</v>
      </c>
      <c r="L8" s="34">
        <f>'SER_se-appl'!L24</f>
        <v>3.1388522442115496</v>
      </c>
      <c r="M8" s="34">
        <f>'SER_se-appl'!M24</f>
        <v>3.3062576244820803</v>
      </c>
      <c r="N8" s="34">
        <f>'SER_se-appl'!N24</f>
        <v>3.4566390589382854</v>
      </c>
      <c r="O8" s="34">
        <f>'SER_se-appl'!O24</f>
        <v>3.5049500097598396</v>
      </c>
      <c r="P8" s="34">
        <f>'SER_se-appl'!P24</f>
        <v>3.5156585525169612</v>
      </c>
      <c r="Q8" s="34">
        <f>'SER_se-appl'!Q24</f>
        <v>3.5218984704155316</v>
      </c>
      <c r="R8" s="34">
        <f>'SER_se-appl'!R24</f>
        <v>3.6985268173873176</v>
      </c>
      <c r="S8" s="34">
        <f>'SER_se-appl'!S24</f>
        <v>3.9005916338471507</v>
      </c>
      <c r="T8" s="34">
        <f>'SER_se-appl'!T24</f>
        <v>4.1019125139512509</v>
      </c>
      <c r="U8" s="34">
        <f>'SER_se-appl'!U24</f>
        <v>4.2975148241342973</v>
      </c>
      <c r="V8" s="34">
        <f>'SER_se-appl'!V24</f>
        <v>4.4739059063352542</v>
      </c>
      <c r="W8" s="34">
        <f>'SER_se-appl'!W24</f>
        <v>4.6291632575114123</v>
      </c>
      <c r="X8" s="34">
        <f>'SER_se-appl'!X24</f>
        <v>4.7649858735020816</v>
      </c>
      <c r="Y8" s="34">
        <f>'SER_se-appl'!Y24</f>
        <v>4.8841105953524435</v>
      </c>
      <c r="DA8" s="88" t="s">
        <v>926</v>
      </c>
    </row>
    <row r="9" spans="1:105" ht="12.95" customHeight="1" x14ac:dyDescent="0.25">
      <c r="A9" s="202" t="str">
        <f>"Number of new appliances "&amp;MID('SER_se-appl'!A32,FIND("(",'SER_se-appl'!A32),100)</f>
        <v>Number of new appliances (serviced million m2)</v>
      </c>
      <c r="B9" s="36"/>
      <c r="C9" s="36">
        <f>'SER_se-appl'!C32</f>
        <v>0.16754418353763989</v>
      </c>
      <c r="D9" s="36">
        <f>'SER_se-appl'!D32</f>
        <v>0.19545876386537508</v>
      </c>
      <c r="E9" s="36">
        <f>'SER_se-appl'!E32</f>
        <v>0.19201923361460982</v>
      </c>
      <c r="F9" s="36">
        <f>'SER_se-appl'!F32</f>
        <v>0.21786808094026089</v>
      </c>
      <c r="G9" s="36">
        <f>'SER_se-appl'!G32</f>
        <v>0.21104569603265233</v>
      </c>
      <c r="H9" s="36">
        <f>'SER_se-appl'!H32</f>
        <v>0.21259117804033423</v>
      </c>
      <c r="I9" s="36">
        <f>'SER_se-appl'!I32</f>
        <v>0.2505900654304436</v>
      </c>
      <c r="J9" s="36">
        <f>'SER_se-appl'!J32</f>
        <v>0.26180783898350457</v>
      </c>
      <c r="K9" s="36">
        <f>'SER_se-appl'!K32</f>
        <v>0.28503973419586037</v>
      </c>
      <c r="L9" s="36">
        <f>'SER_se-appl'!L32</f>
        <v>0.29734556518796884</v>
      </c>
      <c r="M9" s="36">
        <f>'SER_se-appl'!M32</f>
        <v>0.302812039075258</v>
      </c>
      <c r="N9" s="36">
        <f>'SER_se-appl'!N32</f>
        <v>0.30102560444952209</v>
      </c>
      <c r="O9" s="36">
        <f>'SER_se-appl'!O32</f>
        <v>0.21590733162954923</v>
      </c>
      <c r="P9" s="36">
        <f>'SER_se-appl'!P32</f>
        <v>0.1971647916858692</v>
      </c>
      <c r="Q9" s="36">
        <f>'SER_se-appl'!Q32</f>
        <v>0.2136783637466837</v>
      </c>
      <c r="R9" s="36">
        <f>'SER_se-appl'!R32</f>
        <v>0.34417253050942564</v>
      </c>
      <c r="S9" s="36">
        <f>'SER_se-appl'!S32</f>
        <v>0.3975235803252084</v>
      </c>
      <c r="T9" s="36">
        <f>'SER_se-appl'!T32</f>
        <v>0.39334011371871025</v>
      </c>
      <c r="U9" s="36">
        <f>'SER_se-appl'!U32</f>
        <v>0.4134703911233073</v>
      </c>
      <c r="V9" s="36">
        <f>'SER_se-appl'!V32</f>
        <v>0.38743677823360922</v>
      </c>
      <c r="W9" s="36">
        <f>'SER_se-appl'!W32</f>
        <v>0.36784852921649236</v>
      </c>
      <c r="X9" s="36">
        <f>'SER_se-appl'!X32</f>
        <v>0.3864126814211124</v>
      </c>
      <c r="Y9" s="36">
        <f>'SER_se-appl'!Y32</f>
        <v>0.38093256083386695</v>
      </c>
      <c r="DA9" s="89" t="s">
        <v>932</v>
      </c>
    </row>
    <row r="10" spans="1:105" ht="12" customHeight="1" x14ac:dyDescent="0.25">
      <c r="A10" s="203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4.6614062232186892E-2</v>
      </c>
      <c r="D10" s="38">
        <f>'SER_se-appl'!D40</f>
        <v>5.1859611462028443E-2</v>
      </c>
      <c r="E10" s="38">
        <f>'SER_se-appl'!E40</f>
        <v>5.7695450089640499E-2</v>
      </c>
      <c r="F10" s="38">
        <f>'SER_se-appl'!F40</f>
        <v>6.4188004252279107E-2</v>
      </c>
      <c r="G10" s="38">
        <f>'SER_se-appl'!G40</f>
        <v>7.1411175118475612E-2</v>
      </c>
      <c r="H10" s="38">
        <f>'SER_se-appl'!H40</f>
        <v>7.9447180064342593E-2</v>
      </c>
      <c r="I10" s="38">
        <f>'SER_se-appl'!I40</f>
        <v>8.8387488508686385E-2</v>
      </c>
      <c r="J10" s="38">
        <f>'SER_se-appl'!J40</f>
        <v>9.8333863059030246E-2</v>
      </c>
      <c r="K10" s="38">
        <f>'SER_se-appl'!K40</f>
        <v>0.10939951781933255</v>
      </c>
      <c r="L10" s="38">
        <f>'SER_se-appl'!L40</f>
        <v>0.121710407043786</v>
      </c>
      <c r="M10" s="38">
        <f>'SER_se-appl'!M40</f>
        <v>0.13540665880472735</v>
      </c>
      <c r="N10" s="38">
        <f>'SER_se-appl'!N40</f>
        <v>0.15064416999331698</v>
      </c>
      <c r="O10" s="38">
        <f>'SER_se-appl'!O40</f>
        <v>0.16759638080799499</v>
      </c>
      <c r="P10" s="38">
        <f>'SER_se-appl'!P40</f>
        <v>0.18645624892874757</v>
      </c>
      <c r="Q10" s="38">
        <f>'SER_se-appl'!Q40</f>
        <v>0.20743844584811333</v>
      </c>
      <c r="R10" s="38">
        <f>'SER_se-appl'!R40</f>
        <v>0.16754418353763967</v>
      </c>
      <c r="S10" s="38">
        <f>'SER_se-appl'!S40</f>
        <v>0.19545876386537531</v>
      </c>
      <c r="T10" s="38">
        <f>'SER_se-appl'!T40</f>
        <v>0.1920192336146096</v>
      </c>
      <c r="U10" s="38">
        <f>'SER_se-appl'!U40</f>
        <v>0.21786808094026089</v>
      </c>
      <c r="V10" s="38">
        <f>'SER_se-appl'!V40</f>
        <v>0.21104569603265233</v>
      </c>
      <c r="W10" s="38">
        <f>'SER_se-appl'!W40</f>
        <v>0.21259117804033423</v>
      </c>
      <c r="X10" s="38">
        <f>'SER_se-appl'!X40</f>
        <v>0.25059006543044315</v>
      </c>
      <c r="Y10" s="38">
        <f>'SER_se-appl'!Y40</f>
        <v>0.26180783898350501</v>
      </c>
      <c r="DA10" s="90" t="s">
        <v>938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'SER_se-appl'!B48</f>
        <v>923.34007467793776</v>
      </c>
      <c r="C12" s="204">
        <f>'SER_se-appl'!C48</f>
        <v>927.7507613410661</v>
      </c>
      <c r="D12" s="204">
        <f>'SER_se-appl'!D48</f>
        <v>931.79579762768799</v>
      </c>
      <c r="E12" s="204">
        <f>'SER_se-appl'!E48</f>
        <v>935.53244285225639</v>
      </c>
      <c r="F12" s="204">
        <f>'SER_se-appl'!F48</f>
        <v>939.00539382366594</v>
      </c>
      <c r="G12" s="204">
        <f>'SER_se-appl'!G48</f>
        <v>942.25022127803879</v>
      </c>
      <c r="H12" s="204">
        <f>'SER_se-appl'!H48</f>
        <v>945.29570420054938</v>
      </c>
      <c r="I12" s="204">
        <f>'SER_se-appl'!I48</f>
        <v>948.16546118006863</v>
      </c>
      <c r="J12" s="204">
        <f>'SER_se-appl'!J48</f>
        <v>950.87911873301778</v>
      </c>
      <c r="K12" s="204">
        <f>'SER_se-appl'!K48</f>
        <v>953.45316604071297</v>
      </c>
      <c r="L12" s="204">
        <f>'SER_se-appl'!L48</f>
        <v>955.90159209114688</v>
      </c>
      <c r="M12" s="204">
        <f>'SER_se-appl'!M48</f>
        <v>957.45747679964472</v>
      </c>
      <c r="N12" s="204">
        <f>'SER_se-appl'!N48</f>
        <v>958.94332642405402</v>
      </c>
      <c r="O12" s="204">
        <f>'SER_se-appl'!O48</f>
        <v>960.36527033128152</v>
      </c>
      <c r="P12" s="204">
        <f>'SER_se-appl'!P48</f>
        <v>961.72866304730849</v>
      </c>
      <c r="Q12" s="204">
        <f>'SER_se-appl'!Q48</f>
        <v>963.03820989091003</v>
      </c>
      <c r="R12" s="204">
        <f>'SER_se-appl'!R48</f>
        <v>979.85680775402625</v>
      </c>
      <c r="S12" s="204">
        <f>'SER_se-appl'!S48</f>
        <v>987.88004455561247</v>
      </c>
      <c r="T12" s="204">
        <f>'SER_se-appl'!T48</f>
        <v>982.26151682813145</v>
      </c>
      <c r="U12" s="204">
        <f>'SER_se-appl'!U48</f>
        <v>973.45231165734288</v>
      </c>
      <c r="V12" s="204">
        <f>'SER_se-appl'!V48</f>
        <v>806.60000325957242</v>
      </c>
      <c r="W12" s="204">
        <f>'SER_se-appl'!W48</f>
        <v>899.90826013656067</v>
      </c>
      <c r="X12" s="204">
        <f>'SER_se-appl'!X48</f>
        <v>930.78713896367481</v>
      </c>
      <c r="Y12" s="204">
        <f>'SER_se-appl'!Y48</f>
        <v>946.22657837723193</v>
      </c>
      <c r="DA12" s="208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49.433354077858013</v>
      </c>
      <c r="C14" s="59">
        <f>'SER_se-appl'!C56</f>
        <v>49.14354762141005</v>
      </c>
      <c r="D14" s="59">
        <f>'SER_se-appl'!D56</f>
        <v>48.822144412521261</v>
      </c>
      <c r="E14" s="59">
        <f>'SER_se-appl'!E56</f>
        <v>48.517756880549115</v>
      </c>
      <c r="F14" s="59">
        <f>'SER_se-appl'!F56</f>
        <v>48.179947713434672</v>
      </c>
      <c r="G14" s="59">
        <f>'SER_se-appl'!G56</f>
        <v>47.85282939575621</v>
      </c>
      <c r="H14" s="59">
        <f>'SER_se-appl'!H56</f>
        <v>47.513509610059252</v>
      </c>
      <c r="I14" s="59">
        <f>'SER_se-appl'!I56</f>
        <v>47.116070873208919</v>
      </c>
      <c r="J14" s="59">
        <f>'SER_se-appl'!J56</f>
        <v>46.693261133038952</v>
      </c>
      <c r="K14" s="59">
        <f>'SER_se-appl'!K56</f>
        <v>46.230355063322392</v>
      </c>
      <c r="L14" s="59">
        <f>'SER_se-appl'!L56</f>
        <v>45.718168225167538</v>
      </c>
      <c r="M14" s="59">
        <f>'SER_se-appl'!M56</f>
        <v>45.138019279161121</v>
      </c>
      <c r="N14" s="59">
        <f>'SER_se-appl'!N56</f>
        <v>44.500059325778018</v>
      </c>
      <c r="O14" s="59">
        <f>'SER_se-appl'!O56</f>
        <v>43.926066485733877</v>
      </c>
      <c r="P14" s="59">
        <f>'SER_se-appl'!P56</f>
        <v>43.302790542318292</v>
      </c>
      <c r="Q14" s="59">
        <f>'SER_se-appl'!Q56</f>
        <v>42.551197199037141</v>
      </c>
      <c r="R14" s="59">
        <f>'SER_se-appl'!R56</f>
        <v>41.805000398028355</v>
      </c>
      <c r="S14" s="59">
        <f>'SER_se-appl'!S56</f>
        <v>40.982042156145084</v>
      </c>
      <c r="T14" s="59">
        <f>'SER_se-appl'!T56</f>
        <v>40.213742025744438</v>
      </c>
      <c r="U14" s="59">
        <f>'SER_se-appl'!U56</f>
        <v>39.431062055046453</v>
      </c>
      <c r="V14" s="59">
        <f>'SER_se-appl'!V56</f>
        <v>38.724969148779117</v>
      </c>
      <c r="W14" s="59">
        <f>'SER_se-appl'!W56</f>
        <v>38.080864696978693</v>
      </c>
      <c r="X14" s="59">
        <f>'SER_se-appl'!X56</f>
        <v>37.406464229672352</v>
      </c>
      <c r="Y14" s="59">
        <f>'SER_se-appl'!Y56</f>
        <v>36.758717034129127</v>
      </c>
      <c r="DA14" s="104" t="s">
        <v>950</v>
      </c>
    </row>
    <row r="15" spans="1:105" ht="12" customHeight="1" x14ac:dyDescent="0.25">
      <c r="A15" s="203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46.393318425381004</v>
      </c>
      <c r="D15" s="63">
        <f>'SER_se-appl'!D64</f>
        <v>46.094330775620101</v>
      </c>
      <c r="E15" s="63">
        <f>'SER_se-appl'!E64</f>
        <v>45.779224938936721</v>
      </c>
      <c r="F15" s="63">
        <f>'SER_se-appl'!F64</f>
        <v>45.393228259619626</v>
      </c>
      <c r="G15" s="63">
        <f>'SER_se-appl'!G64</f>
        <v>44.994516119402334</v>
      </c>
      <c r="H15" s="63">
        <f>'SER_se-appl'!H64</f>
        <v>44.514011362727523</v>
      </c>
      <c r="I15" s="63">
        <f>'SER_se-appl'!I64</f>
        <v>44.0288147673973</v>
      </c>
      <c r="J15" s="63">
        <f>'SER_se-appl'!J64</f>
        <v>43.484601141996045</v>
      </c>
      <c r="K15" s="63">
        <f>'SER_se-appl'!K64</f>
        <v>42.932640421301727</v>
      </c>
      <c r="L15" s="63">
        <f>'SER_se-appl'!L64</f>
        <v>42.134647458575884</v>
      </c>
      <c r="M15" s="63">
        <f>'SER_se-appl'!M64</f>
        <v>41.045101139595459</v>
      </c>
      <c r="N15" s="63">
        <f>'SER_se-appl'!N64</f>
        <v>39.961947462417562</v>
      </c>
      <c r="O15" s="63">
        <f>'SER_se-appl'!O64</f>
        <v>39.011529337179333</v>
      </c>
      <c r="P15" s="63">
        <f>'SER_se-appl'!P64</f>
        <v>38.020563759350217</v>
      </c>
      <c r="Q15" s="63">
        <f>'SER_se-appl'!Q64</f>
        <v>36.866383739234848</v>
      </c>
      <c r="R15" s="63">
        <f>'SER_se-appl'!R64</f>
        <v>36.402816290987687</v>
      </c>
      <c r="S15" s="63">
        <f>'SER_se-appl'!S64</f>
        <v>35.838972375386369</v>
      </c>
      <c r="T15" s="63">
        <f>'SER_se-appl'!T64</f>
        <v>35.311762212373843</v>
      </c>
      <c r="U15" s="63">
        <f>'SER_se-appl'!U64</f>
        <v>34.807952158846518</v>
      </c>
      <c r="V15" s="63">
        <f>'SER_se-appl'!V64</f>
        <v>34.308032183018057</v>
      </c>
      <c r="W15" s="63">
        <f>'SER_se-appl'!W64</f>
        <v>33.964951861187878</v>
      </c>
      <c r="X15" s="63">
        <f>'SER_se-appl'!X64</f>
        <v>33.621871539357691</v>
      </c>
      <c r="Y15" s="63">
        <f>'SER_se-appl'!Y64</f>
        <v>33.278791217527512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7"/>
  <sheetViews>
    <sheetView showGridLines="0" zoomScaleNormal="100" workbookViewId="0">
      <pane xSplit="1" ySplit="1" topLeftCell="I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'SER_se-appl'!B9</f>
        <v>3.6427011695081899</v>
      </c>
      <c r="C3" s="198">
        <f>'SER_se-appl'!C9</f>
        <v>4.3038538780546816</v>
      </c>
      <c r="D3" s="198">
        <f>'SER_se-appl'!D9</f>
        <v>5.0966709581031635</v>
      </c>
      <c r="E3" s="198">
        <f>'SER_se-appl'!E9</f>
        <v>5.8178427814961671</v>
      </c>
      <c r="F3" s="198">
        <f>'SER_se-appl'!F9</f>
        <v>6.5811916572970866</v>
      </c>
      <c r="G3" s="198">
        <f>'SER_se-appl'!G9</f>
        <v>7.1919732498716273</v>
      </c>
      <c r="H3" s="198">
        <f>'SER_se-appl'!H9</f>
        <v>7.6582143697936145</v>
      </c>
      <c r="I3" s="198">
        <f>'SER_se-appl'!I9</f>
        <v>7.960368569130285</v>
      </c>
      <c r="J3" s="198">
        <f>'SER_se-appl'!J9</f>
        <v>8.2869922692085467</v>
      </c>
      <c r="K3" s="198">
        <f>'SER_se-appl'!K9</f>
        <v>8.5450173669515337</v>
      </c>
      <c r="L3" s="198">
        <f>'SER_se-appl'!L9</f>
        <v>8.7912313927175738</v>
      </c>
      <c r="M3" s="198">
        <f>'SER_se-appl'!M9</f>
        <v>8.966709948148603</v>
      </c>
      <c r="N3" s="198">
        <f>'SER_se-appl'!N9</f>
        <v>9.3068117962808312</v>
      </c>
      <c r="O3" s="198">
        <f>'SER_se-appl'!O9</f>
        <v>9.6748036673683195</v>
      </c>
      <c r="P3" s="198">
        <f>'SER_se-appl'!P9</f>
        <v>10.214370362104859</v>
      </c>
      <c r="Q3" s="198">
        <f>'SER_se-appl'!Q9</f>
        <v>11.067777286471898</v>
      </c>
      <c r="R3" s="198">
        <f>'SER_se-appl'!R9</f>
        <v>11.467792909955882</v>
      </c>
      <c r="S3" s="198">
        <f>'SER_se-appl'!S9</f>
        <v>11.789797425836582</v>
      </c>
      <c r="T3" s="198">
        <f>'SER_se-appl'!T9</f>
        <v>11.988321278294151</v>
      </c>
      <c r="U3" s="198">
        <f>'SER_se-appl'!U9</f>
        <v>12.205322617104374</v>
      </c>
      <c r="V3" s="198">
        <f>'SER_se-appl'!V9</f>
        <v>11.345263117433909</v>
      </c>
      <c r="W3" s="198">
        <f>'SER_se-appl'!W9</f>
        <v>12.074762741545744</v>
      </c>
      <c r="X3" s="198">
        <f>'SER_se-appl'!X9</f>
        <v>12.410255808223431</v>
      </c>
      <c r="Y3" s="198">
        <f>'SER_se-appl'!Y9</f>
        <v>12.672532286385277</v>
      </c>
      <c r="DA3" s="205" t="s">
        <v>914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'SER_se-appl'!B17</f>
        <v>21.786364738929915</v>
      </c>
      <c r="C5" s="59">
        <f>'SER_se-appl'!C17</f>
        <v>25.410067678058805</v>
      </c>
      <c r="D5" s="59">
        <f>'SER_se-appl'!D17</f>
        <v>29.610012909935953</v>
      </c>
      <c r="E5" s="59">
        <f>'SER_se-appl'!E17</f>
        <v>33.253682719046374</v>
      </c>
      <c r="F5" s="59">
        <f>'SER_se-appl'!F17</f>
        <v>37.072301442058816</v>
      </c>
      <c r="G5" s="59">
        <f>'SER_se-appl'!G17</f>
        <v>39.90033343966806</v>
      </c>
      <c r="H5" s="59">
        <f>'SER_se-appl'!H17</f>
        <v>41.783921817162103</v>
      </c>
      <c r="I5" s="59">
        <f>'SER_se-appl'!I17</f>
        <v>42.772100495078391</v>
      </c>
      <c r="J5" s="59">
        <f>'SER_se-appl'!J17</f>
        <v>43.935772380418513</v>
      </c>
      <c r="K5" s="59">
        <f>'SER_se-appl'!K17</f>
        <v>44.815071605988358</v>
      </c>
      <c r="L5" s="59">
        <f>'SER_se-appl'!L17</f>
        <v>45.473825800438021</v>
      </c>
      <c r="M5" s="59">
        <f>'SER_se-appl'!M17</f>
        <v>45.746942131449849</v>
      </c>
      <c r="N5" s="59">
        <f>'SER_se-appl'!N17</f>
        <v>47.104886960360602</v>
      </c>
      <c r="O5" s="59">
        <f>'SER_se-appl'!O17</f>
        <v>48.596709484901247</v>
      </c>
      <c r="P5" s="59">
        <f>'SER_se-appl'!P17</f>
        <v>51.008561855856627</v>
      </c>
      <c r="Q5" s="59">
        <f>'SER_se-appl'!Q17</f>
        <v>55.155247528672298</v>
      </c>
      <c r="R5" s="59">
        <f>'SER_se-appl'!R17</f>
        <v>55.588769592617147</v>
      </c>
      <c r="S5" s="59">
        <f>'SER_se-appl'!S17</f>
        <v>56.298266273515949</v>
      </c>
      <c r="T5" s="59">
        <f>'SER_se-appl'!T17</f>
        <v>57.062034327861333</v>
      </c>
      <c r="U5" s="59">
        <f>'SER_se-appl'!U17</f>
        <v>58.009594208407961</v>
      </c>
      <c r="V5" s="59">
        <f>'SER_se-appl'!V17</f>
        <v>58.647794817150903</v>
      </c>
      <c r="W5" s="59">
        <f>'SER_se-appl'!W17</f>
        <v>59.311012468416287</v>
      </c>
      <c r="X5" s="59">
        <f>'SER_se-appl'!X17</f>
        <v>59.871728739613218</v>
      </c>
      <c r="Y5" s="59">
        <f>'SER_se-appl'!Y17</f>
        <v>60.5620279407811</v>
      </c>
      <c r="DA5" s="104" t="s">
        <v>921</v>
      </c>
    </row>
    <row r="6" spans="1:105" ht="12" customHeight="1" x14ac:dyDescent="0.25">
      <c r="A6" s="200" t="str">
        <f>"Penetration factor "&amp;MID('SER_se-appl'!A73,FIND("(",'SER_se-appl'!A73),100)</f>
        <v>Penetration factor (unit per capita)</v>
      </c>
      <c r="B6" s="201">
        <f>'SER_se-appl'!B73</f>
        <v>8.0499122624268948E-2</v>
      </c>
      <c r="C6" s="201">
        <f>'SER_se-appl'!C73</f>
        <v>9.5267404065637329E-2</v>
      </c>
      <c r="D6" s="201">
        <f>'SER_se-appl'!D73</f>
        <v>0.11317379299803755</v>
      </c>
      <c r="E6" s="201">
        <f>'SER_se-appl'!E73</f>
        <v>0.12982838996393534</v>
      </c>
      <c r="F6" s="201">
        <f>'SER_se-appl'!F73</f>
        <v>0.14823805480347718</v>
      </c>
      <c r="G6" s="201">
        <f>'SER_se-appl'!G73</f>
        <v>0.16312532505306804</v>
      </c>
      <c r="H6" s="201">
        <f>'SER_se-appl'!H73</f>
        <v>0.17713626466143481</v>
      </c>
      <c r="I6" s="201">
        <f>'SER_se-appl'!I73</f>
        <v>0.18763797083050962</v>
      </c>
      <c r="J6" s="201">
        <f>'SER_se-appl'!J73</f>
        <v>0.19869183223910569</v>
      </c>
      <c r="K6" s="201">
        <f>'SER_se-appl'!K73</f>
        <v>0.20947530431567607</v>
      </c>
      <c r="L6" s="201">
        <f>'SER_se-appl'!L73</f>
        <v>0.22022760422729623</v>
      </c>
      <c r="M6" s="201">
        <f>'SER_se-appl'!M73</f>
        <v>0.23431688085973759</v>
      </c>
      <c r="N6" s="201">
        <f>'SER_se-appl'!N73</f>
        <v>0.25452748542650522</v>
      </c>
      <c r="O6" s="201">
        <f>'SER_se-appl'!O73</f>
        <v>0.28030666509842073</v>
      </c>
      <c r="P6" s="201">
        <f>'SER_se-appl'!P73</f>
        <v>0.31535201399674911</v>
      </c>
      <c r="Q6" s="201">
        <f>'SER_se-appl'!Q73</f>
        <v>0.35600486301826956</v>
      </c>
      <c r="R6" s="201">
        <f>'SER_se-appl'!R73</f>
        <v>0.37168351455012155</v>
      </c>
      <c r="S6" s="201">
        <f>'SER_se-appl'!S73</f>
        <v>0.3874061993440257</v>
      </c>
      <c r="T6" s="201">
        <f>'SER_se-appl'!T73</f>
        <v>0.40160659067056725</v>
      </c>
      <c r="U6" s="201">
        <f>'SER_se-appl'!U73</f>
        <v>0.41351022181352731</v>
      </c>
      <c r="V6" s="201">
        <f>'SER_se-appl'!V73</f>
        <v>0.42383178160470175</v>
      </c>
      <c r="W6" s="201">
        <f>'SER_se-appl'!W73</f>
        <v>0.43281826355876835</v>
      </c>
      <c r="X6" s="201">
        <f>'SER_se-appl'!X73</f>
        <v>0.43978966429062089</v>
      </c>
      <c r="Y6" s="201">
        <f>'SER_se-appl'!Y73</f>
        <v>0.44509267746221531</v>
      </c>
      <c r="DA6" s="206" t="s">
        <v>963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"&amp;MID('SER_se-appl'!A25,FIND("(",'SER_se-appl'!A25),100)</f>
        <v>Stock of appliances (thousand units)</v>
      </c>
      <c r="B8" s="34">
        <f>'SER_se-appl'!B25</f>
        <v>55.584402674689841</v>
      </c>
      <c r="C8" s="34">
        <f>'SER_se-appl'!C25</f>
        <v>66.453682438581254</v>
      </c>
      <c r="D8" s="34">
        <f>'SER_se-appl'!D25</f>
        <v>79.848524738042414</v>
      </c>
      <c r="E8" s="34">
        <f>'SER_se-appl'!E25</f>
        <v>92.661118485059944</v>
      </c>
      <c r="F8" s="34">
        <f>'SER_se-appl'!F25</f>
        <v>107.16025215105002</v>
      </c>
      <c r="G8" s="34">
        <f>'SER_se-appl'!G25</f>
        <v>119.58179266067742</v>
      </c>
      <c r="H8" s="34">
        <f>'SER_se-appl'!H25</f>
        <v>131.7916836795481</v>
      </c>
      <c r="I8" s="34">
        <f>'SER_se-appl'!I25</f>
        <v>142.21382029997653</v>
      </c>
      <c r="J8" s="34">
        <f>'SER_se-appl'!J25</f>
        <v>154.25102619768165</v>
      </c>
      <c r="K8" s="34">
        <f>'SER_se-appl'!K25</f>
        <v>166.93715426829172</v>
      </c>
      <c r="L8" s="34">
        <f>'SER_se-appl'!L25</f>
        <v>180.39723972674744</v>
      </c>
      <c r="M8" s="34">
        <f>'SER_se-appl'!M25</f>
        <v>196.76783501884552</v>
      </c>
      <c r="N8" s="34">
        <f>'SER_se-appl'!N25</f>
        <v>219.40549223998718</v>
      </c>
      <c r="O8" s="34">
        <f>'SER_se-appl'!O25</f>
        <v>241.86372720683272</v>
      </c>
      <c r="P8" s="34">
        <f>'SER_se-appl'!P25</f>
        <v>271.21282330165218</v>
      </c>
      <c r="Q8" s="34">
        <f>'SER_se-appl'!Q25</f>
        <v>306.46536230982525</v>
      </c>
      <c r="R8" s="34">
        <f>'SER_se-appl'!R25</f>
        <v>321.04683926187118</v>
      </c>
      <c r="S8" s="34">
        <f>'SER_se-appl'!S25</f>
        <v>336.99612987298241</v>
      </c>
      <c r="T8" s="34">
        <f>'SER_se-appl'!T25</f>
        <v>352.85195216975103</v>
      </c>
      <c r="U8" s="34">
        <f>'SER_se-appl'!U25</f>
        <v>368.10431839707115</v>
      </c>
      <c r="V8" s="34">
        <f>'SER_se-appl'!V25</f>
        <v>382.47809084174941</v>
      </c>
      <c r="W8" s="34">
        <f>'SER_se-appl'!W25</f>
        <v>395.80191438616822</v>
      </c>
      <c r="X8" s="34">
        <f>'SER_se-appl'!X25</f>
        <v>408.90059742950484</v>
      </c>
      <c r="Y8" s="34">
        <f>'SER_se-appl'!Y25</f>
        <v>422.4303386965492</v>
      </c>
      <c r="DA8" s="88" t="s">
        <v>927</v>
      </c>
    </row>
    <row r="9" spans="1:105" ht="12.95" customHeight="1" x14ac:dyDescent="0.25">
      <c r="A9" s="202" t="str">
        <f>"Number of new appliances "&amp;MID('SER_se-appl'!A33,FIND("(",'SER_se-appl'!A33),100)</f>
        <v>Number of new appliances (thousand units)</v>
      </c>
      <c r="B9" s="36"/>
      <c r="C9" s="36">
        <f>'SER_se-appl'!C33</f>
        <v>21.986160298829382</v>
      </c>
      <c r="D9" s="36">
        <f>'SER_se-appl'!D33</f>
        <v>24.51172283439913</v>
      </c>
      <c r="E9" s="36">
        <f>'SER_se-appl'!E33</f>
        <v>23.929474281955493</v>
      </c>
      <c r="F9" s="36">
        <f>'SER_se-appl'!F33</f>
        <v>25.616014200928035</v>
      </c>
      <c r="G9" s="36">
        <f>'SER_se-appl'!G33</f>
        <v>23.538421044565382</v>
      </c>
      <c r="H9" s="36">
        <f>'SER_se-appl'!H33</f>
        <v>34.196051317700068</v>
      </c>
      <c r="I9" s="36">
        <f>'SER_se-appl'!I33</f>
        <v>34.933859454827569</v>
      </c>
      <c r="J9" s="36">
        <f>'SER_se-appl'!J33</f>
        <v>35.966680179660614</v>
      </c>
      <c r="K9" s="36">
        <f>'SER_se-appl'!K33</f>
        <v>38.302142271538088</v>
      </c>
      <c r="L9" s="36">
        <f>'SER_se-appl'!L33</f>
        <v>36.998506503021105</v>
      </c>
      <c r="M9" s="36">
        <f>'SER_se-appl'!M33</f>
        <v>50.566646609798141</v>
      </c>
      <c r="N9" s="36">
        <f>'SER_se-appl'!N33</f>
        <v>57.571516675969235</v>
      </c>
      <c r="O9" s="36">
        <f>'SER_se-appl'!O33</f>
        <v>58.424915146506152</v>
      </c>
      <c r="P9" s="36">
        <f>'SER_se-appl'!P33</f>
        <v>67.651238366357546</v>
      </c>
      <c r="Q9" s="36">
        <f>'SER_se-appl'!Q33</f>
        <v>72.251045511194178</v>
      </c>
      <c r="R9" s="36">
        <f>'SER_se-appl'!R33</f>
        <v>65.148123561844073</v>
      </c>
      <c r="S9" s="36">
        <f>'SER_se-appl'!S33</f>
        <v>73.520807287080459</v>
      </c>
      <c r="T9" s="36">
        <f>'SER_se-appl'!T33</f>
        <v>74.280737443274802</v>
      </c>
      <c r="U9" s="36">
        <f>'SER_se-appl'!U33</f>
        <v>82.903604593677699</v>
      </c>
      <c r="V9" s="36">
        <f>'SER_se-appl'!V33</f>
        <v>86.624817955872402</v>
      </c>
      <c r="W9" s="36">
        <f>'SER_se-appl'!W33</f>
        <v>78.471947106262917</v>
      </c>
      <c r="X9" s="36">
        <f>'SER_se-appl'!X33</f>
        <v>86.619490330417079</v>
      </c>
      <c r="Y9" s="36">
        <f>'SER_se-appl'!Y33</f>
        <v>87.81047871031916</v>
      </c>
      <c r="DA9" s="89" t="s">
        <v>933</v>
      </c>
    </row>
    <row r="10" spans="1:105" ht="12" customHeight="1" x14ac:dyDescent="0.25">
      <c r="A10" s="203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11.116880534937977</v>
      </c>
      <c r="D10" s="38">
        <f>'SER_se-appl'!D41</f>
        <v>11.116880534937962</v>
      </c>
      <c r="E10" s="38">
        <f>'SER_se-appl'!E41</f>
        <v>11.116880534937962</v>
      </c>
      <c r="F10" s="38">
        <f>'SER_se-appl'!F41</f>
        <v>11.116880534937962</v>
      </c>
      <c r="G10" s="38">
        <f>'SER_se-appl'!G41</f>
        <v>11.116880534937991</v>
      </c>
      <c r="H10" s="38">
        <f>'SER_se-appl'!H41</f>
        <v>21.98616029882939</v>
      </c>
      <c r="I10" s="38">
        <f>'SER_se-appl'!I41</f>
        <v>24.511722834399137</v>
      </c>
      <c r="J10" s="38">
        <f>'SER_se-appl'!J41</f>
        <v>23.929474281955493</v>
      </c>
      <c r="K10" s="38">
        <f>'SER_se-appl'!K41</f>
        <v>25.616014200928021</v>
      </c>
      <c r="L10" s="38">
        <f>'SER_se-appl'!L41</f>
        <v>23.538421044565382</v>
      </c>
      <c r="M10" s="38">
        <f>'SER_se-appl'!M41</f>
        <v>34.196051317700068</v>
      </c>
      <c r="N10" s="38">
        <f>'SER_se-appl'!N41</f>
        <v>34.933859454827569</v>
      </c>
      <c r="O10" s="38">
        <f>'SER_se-appl'!O41</f>
        <v>35.966680179660614</v>
      </c>
      <c r="P10" s="38">
        <f>'SER_se-appl'!P41</f>
        <v>38.30214227153806</v>
      </c>
      <c r="Q10" s="38">
        <f>'SER_se-appl'!Q41</f>
        <v>36.998506503021133</v>
      </c>
      <c r="R10" s="38">
        <f>'SER_se-appl'!R41</f>
        <v>50.56664660979817</v>
      </c>
      <c r="S10" s="38">
        <f>'SER_se-appl'!S41</f>
        <v>57.571516675969235</v>
      </c>
      <c r="T10" s="38">
        <f>'SER_se-appl'!T41</f>
        <v>58.42491514650618</v>
      </c>
      <c r="U10" s="38">
        <f>'SER_se-appl'!U41</f>
        <v>67.651238366357575</v>
      </c>
      <c r="V10" s="38">
        <f>'SER_se-appl'!V41</f>
        <v>72.25104551119415</v>
      </c>
      <c r="W10" s="38">
        <f>'SER_se-appl'!W41</f>
        <v>65.148123561844102</v>
      </c>
      <c r="X10" s="38">
        <f>'SER_se-appl'!X41</f>
        <v>73.520807287080459</v>
      </c>
      <c r="Y10" s="38">
        <f>'SER_se-appl'!Y41</f>
        <v>74.280737443274802</v>
      </c>
      <c r="DA10" s="90" t="s">
        <v>939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'SER_se-appl'!B49</f>
        <v>1944.5472023003081</v>
      </c>
      <c r="C12" s="204">
        <f>'SER_se-appl'!C49</f>
        <v>1969.8420813336377</v>
      </c>
      <c r="D12" s="204">
        <f>'SER_se-appl'!D49</f>
        <v>2001.832401189183</v>
      </c>
      <c r="E12" s="204">
        <f>'SER_se-appl'!E49</f>
        <v>2034.7073170950366</v>
      </c>
      <c r="F12" s="204">
        <f>'SER_se-appl'!F49</f>
        <v>2064.5942117726399</v>
      </c>
      <c r="G12" s="204">
        <f>'SER_se-appl'!G49</f>
        <v>2096.2894714271056</v>
      </c>
      <c r="H12" s="204">
        <f>'SER_se-appl'!H49</f>
        <v>2131.5623150557794</v>
      </c>
      <c r="I12" s="204">
        <f>'SER_se-appl'!I49</f>
        <v>2164.4736963441369</v>
      </c>
      <c r="J12" s="204">
        <f>'SER_se-appl'!J49</f>
        <v>2193.6047750886801</v>
      </c>
      <c r="K12" s="204">
        <f>'SER_se-appl'!K49</f>
        <v>2217.5252301586638</v>
      </c>
      <c r="L12" s="204">
        <f>'SER_se-appl'!L49</f>
        <v>2248.3707780822028</v>
      </c>
      <c r="M12" s="204">
        <f>'SER_se-appl'!M49</f>
        <v>2279.5586292373514</v>
      </c>
      <c r="N12" s="204">
        <f>'SER_se-appl'!N49</f>
        <v>2297.8129908650453</v>
      </c>
      <c r="O12" s="204">
        <f>'SER_se-appl'!O49</f>
        <v>2315.3412616640703</v>
      </c>
      <c r="P12" s="204">
        <f>'SER_se-appl'!P49</f>
        <v>2328.8860338186555</v>
      </c>
      <c r="Q12" s="204">
        <f>'SER_se-appl'!Q49</f>
        <v>2333.7443962109746</v>
      </c>
      <c r="R12" s="204">
        <f>'SER_se-appl'!R49</f>
        <v>2399.2333796950975</v>
      </c>
      <c r="S12" s="204">
        <f>'SER_se-appl'!S49</f>
        <v>2435.5162803118465</v>
      </c>
      <c r="T12" s="204">
        <f>'SER_se-appl'!T49</f>
        <v>2443.3790016225407</v>
      </c>
      <c r="U12" s="204">
        <f>'SER_se-appl'!U49</f>
        <v>2446.9728494730584</v>
      </c>
      <c r="V12" s="204">
        <f>'SER_se-appl'!V49</f>
        <v>2249.7932013834284</v>
      </c>
      <c r="W12" s="204">
        <f>'SER_se-appl'!W49</f>
        <v>2367.6798766326424</v>
      </c>
      <c r="X12" s="204">
        <f>'SER_se-appl'!X49</f>
        <v>2410.6749226725419</v>
      </c>
      <c r="Y12" s="204">
        <f>'SER_se-appl'!Y49</f>
        <v>2433.5636619495922</v>
      </c>
      <c r="DA12" s="208" t="s">
        <v>945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391.95104544768742</v>
      </c>
      <c r="C14" s="59">
        <f>'SER_se-appl'!C57</f>
        <v>382.37260518322142</v>
      </c>
      <c r="D14" s="59">
        <f>'SER_se-appl'!D57</f>
        <v>370.82730090602149</v>
      </c>
      <c r="E14" s="59">
        <f>'SER_se-appl'!E57</f>
        <v>358.87417789380527</v>
      </c>
      <c r="F14" s="59">
        <f>'SER_se-appl'!F57</f>
        <v>345.95198030891868</v>
      </c>
      <c r="G14" s="59">
        <f>'SER_se-appl'!G57</f>
        <v>333.66562377006954</v>
      </c>
      <c r="H14" s="59">
        <f>'SER_se-appl'!H57</f>
        <v>317.04520839691099</v>
      </c>
      <c r="I14" s="59">
        <f>'SER_se-appl'!I57</f>
        <v>300.75909925531653</v>
      </c>
      <c r="J14" s="59">
        <f>'SER_se-appl'!J57</f>
        <v>284.83293410386955</v>
      </c>
      <c r="K14" s="59">
        <f>'SER_se-appl'!K57</f>
        <v>268.45474755107045</v>
      </c>
      <c r="L14" s="59">
        <f>'SER_se-appl'!L57</f>
        <v>252.07606208009861</v>
      </c>
      <c r="M14" s="59">
        <f>'SER_se-appl'!M57</f>
        <v>232.49197272038094</v>
      </c>
      <c r="N14" s="59">
        <f>'SER_se-appl'!N57</f>
        <v>214.6932899420629</v>
      </c>
      <c r="O14" s="59">
        <f>'SER_se-appl'!O57</f>
        <v>200.92599269068231</v>
      </c>
      <c r="P14" s="59">
        <f>'SER_se-appl'!P57</f>
        <v>188.07577471778745</v>
      </c>
      <c r="Q14" s="59">
        <f>'SER_se-appl'!Q57</f>
        <v>179.97220668909515</v>
      </c>
      <c r="R14" s="59">
        <f>'SER_se-appl'!R57</f>
        <v>173.14847179440554</v>
      </c>
      <c r="S14" s="59">
        <f>'SER_se-appl'!S57</f>
        <v>167.05908846708533</v>
      </c>
      <c r="T14" s="59">
        <f>'SER_se-appl'!T57</f>
        <v>161.71664625057755</v>
      </c>
      <c r="U14" s="59">
        <f>'SER_se-appl'!U57</f>
        <v>157.59009419127074</v>
      </c>
      <c r="V14" s="59">
        <f>'SER_se-appl'!V57</f>
        <v>153.33635107851569</v>
      </c>
      <c r="W14" s="59">
        <f>'SER_se-appl'!W57</f>
        <v>149.85024152902122</v>
      </c>
      <c r="X14" s="59">
        <f>'SER_se-appl'!X57</f>
        <v>146.42123077341603</v>
      </c>
      <c r="Y14" s="59">
        <f>'SER_se-appl'!Y57</f>
        <v>143.36571593709689</v>
      </c>
      <c r="DA14" s="104" t="s">
        <v>951</v>
      </c>
    </row>
    <row r="15" spans="1:105" ht="12" customHeight="1" x14ac:dyDescent="0.25">
      <c r="A15" s="203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362.99998628409003</v>
      </c>
      <c r="D15" s="63">
        <f>'SER_se-appl'!D65</f>
        <v>349.10716955619915</v>
      </c>
      <c r="E15" s="63">
        <f>'SER_se-appl'!E65</f>
        <v>334.35514138852903</v>
      </c>
      <c r="F15" s="63">
        <f>'SER_se-appl'!F65</f>
        <v>319.17110939539657</v>
      </c>
      <c r="G15" s="63">
        <f>'SER_se-appl'!G65</f>
        <v>305.25857838090582</v>
      </c>
      <c r="H15" s="63">
        <f>'SER_se-appl'!H65</f>
        <v>288.47085801695937</v>
      </c>
      <c r="I15" s="63">
        <f>'SER_se-appl'!I65</f>
        <v>273.24197802771948</v>
      </c>
      <c r="J15" s="63">
        <f>'SER_se-appl'!J65</f>
        <v>254.80846707167495</v>
      </c>
      <c r="K15" s="63">
        <f>'SER_se-appl'!K65</f>
        <v>236.41473712286589</v>
      </c>
      <c r="L15" s="63">
        <f>'SER_se-appl'!L65</f>
        <v>212.01015611817678</v>
      </c>
      <c r="M15" s="63">
        <f>'SER_se-appl'!M65</f>
        <v>200.4815678929439</v>
      </c>
      <c r="N15" s="63">
        <f>'SER_se-appl'!N65</f>
        <v>189.38777916617443</v>
      </c>
      <c r="O15" s="63">
        <f>'SER_se-appl'!O65</f>
        <v>182.39542393951473</v>
      </c>
      <c r="P15" s="63">
        <f>'SER_se-appl'!P65</f>
        <v>169.50234089175439</v>
      </c>
      <c r="Q15" s="63">
        <f>'SER_se-appl'!Q65</f>
        <v>165.95946436239143</v>
      </c>
      <c r="R15" s="63">
        <f>'SER_se-appl'!R65</f>
        <v>162.26411570136059</v>
      </c>
      <c r="S15" s="63">
        <f>'SER_se-appl'!S65</f>
        <v>157.95308560804745</v>
      </c>
      <c r="T15" s="63">
        <f>'SER_se-appl'!T65</f>
        <v>153.74383203779732</v>
      </c>
      <c r="U15" s="63">
        <f>'SER_se-appl'!U65</f>
        <v>149.74744715523556</v>
      </c>
      <c r="V15" s="63">
        <f>'SER_se-appl'!V65</f>
        <v>145.78899811179767</v>
      </c>
      <c r="W15" s="63">
        <f>'SER_se-appl'!W65</f>
        <v>143.16479614578532</v>
      </c>
      <c r="X15" s="63">
        <f>'SER_se-appl'!X65</f>
        <v>140.54059417977294</v>
      </c>
      <c r="Y15" s="63">
        <f>'SER_se-appl'!Y65</f>
        <v>137.91639221376059</v>
      </c>
      <c r="DA15" s="105" t="s">
        <v>957</v>
      </c>
    </row>
    <row r="17" spans="1:105" ht="12" customHeight="1" x14ac:dyDescent="0.25">
      <c r="A17" s="197" t="s">
        <v>184</v>
      </c>
      <c r="B17" s="198">
        <v>0.66712129747679916</v>
      </c>
      <c r="C17" s="198">
        <v>0.80654104855907605</v>
      </c>
      <c r="D17" s="198">
        <v>0.94676392354242223</v>
      </c>
      <c r="E17" s="198">
        <v>1.0835424198159624</v>
      </c>
      <c r="F17" s="198">
        <v>1.2143003682562685</v>
      </c>
      <c r="G17" s="198">
        <v>1.3342425949535976</v>
      </c>
      <c r="H17" s="198">
        <v>1.4384185990539813</v>
      </c>
      <c r="I17" s="198">
        <v>1.5332360380496621</v>
      </c>
      <c r="J17" s="198">
        <v>1.621229434480058</v>
      </c>
      <c r="K17" s="198">
        <v>1.7026791209341143</v>
      </c>
      <c r="L17" s="198">
        <v>1.7789901266047978</v>
      </c>
      <c r="M17" s="198">
        <v>1.8505278022133573</v>
      </c>
      <c r="N17" s="198">
        <v>1.9199919781445667</v>
      </c>
      <c r="O17" s="198">
        <v>1.9882177283609732</v>
      </c>
      <c r="P17" s="198">
        <v>2.0557099594189987</v>
      </c>
      <c r="Q17" s="198">
        <v>2.1226561269177511</v>
      </c>
      <c r="R17" s="198">
        <v>2.1890830069958942</v>
      </c>
      <c r="S17" s="198">
        <v>2.255014279912269</v>
      </c>
      <c r="T17" s="198">
        <v>2.3206417000773869</v>
      </c>
      <c r="U17" s="198">
        <v>2.3859558693594827</v>
      </c>
      <c r="V17" s="198">
        <v>2.4509064643211107</v>
      </c>
      <c r="W17" s="198">
        <v>2.515452864624796</v>
      </c>
      <c r="X17" s="198">
        <v>2.5795356835769572</v>
      </c>
      <c r="Y17" s="198">
        <v>2.6409902132735188</v>
      </c>
      <c r="DA17" s="205" t="s">
        <v>965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E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27" t="s">
        <v>150</v>
      </c>
    </row>
    <row r="2" spans="1:105" x14ac:dyDescent="0.25">
      <c r="A2" s="6"/>
    </row>
    <row r="3" spans="1:105" x14ac:dyDescent="0.25">
      <c r="A3" s="218" t="s">
        <v>179</v>
      </c>
      <c r="B3" s="219">
        <v>572.51661034280664</v>
      </c>
      <c r="C3" s="219">
        <v>633.64771016463499</v>
      </c>
      <c r="D3" s="219">
        <v>648.1463745213639</v>
      </c>
      <c r="E3" s="219">
        <v>598.09247496015041</v>
      </c>
      <c r="F3" s="219">
        <v>582.56988108812516</v>
      </c>
      <c r="G3" s="219">
        <v>546.30656124052189</v>
      </c>
      <c r="H3" s="219">
        <v>476.89367701698518</v>
      </c>
      <c r="I3" s="219">
        <v>449.64134700869528</v>
      </c>
      <c r="J3" s="219">
        <v>481.80359741393647</v>
      </c>
      <c r="K3" s="219">
        <v>440.57067359095771</v>
      </c>
      <c r="L3" s="219">
        <v>465.00446615491973</v>
      </c>
      <c r="M3" s="219">
        <v>483.04298312211648</v>
      </c>
      <c r="N3" s="219">
        <v>435.97357668994101</v>
      </c>
      <c r="O3" s="219">
        <v>413.48916046758762</v>
      </c>
      <c r="P3" s="219">
        <v>373.144069564181</v>
      </c>
      <c r="Q3" s="219">
        <v>390.49124000000012</v>
      </c>
      <c r="R3" s="219">
        <v>477.72865565325873</v>
      </c>
      <c r="S3" s="219">
        <v>437.72285517434199</v>
      </c>
      <c r="T3" s="219">
        <v>432.39040831286161</v>
      </c>
      <c r="U3" s="219">
        <v>463.54612788390472</v>
      </c>
      <c r="V3" s="219">
        <v>461.54536723547488</v>
      </c>
      <c r="W3" s="219">
        <v>425.1972166772311</v>
      </c>
      <c r="X3" s="219">
        <v>357.37328584624129</v>
      </c>
      <c r="Y3" s="219">
        <v>369.5</v>
      </c>
      <c r="DA3" s="210" t="s">
        <v>974</v>
      </c>
    </row>
    <row r="5" spans="1:105" x14ac:dyDescent="0.25">
      <c r="A5" s="218" t="s">
        <v>120</v>
      </c>
      <c r="B5" s="219">
        <v>406.32839757328873</v>
      </c>
      <c r="C5" s="219">
        <v>418.15451104225059</v>
      </c>
      <c r="D5" s="219">
        <v>395.72716423961822</v>
      </c>
      <c r="E5" s="219">
        <v>393.61300415395749</v>
      </c>
      <c r="F5" s="219">
        <v>372.20606390733252</v>
      </c>
      <c r="G5" s="219">
        <v>307.19886862192868</v>
      </c>
      <c r="H5" s="219">
        <v>342.44218190356833</v>
      </c>
      <c r="I5" s="219">
        <v>382.77322511900019</v>
      </c>
      <c r="J5" s="219">
        <v>334.78740930685672</v>
      </c>
      <c r="K5" s="219">
        <v>284.52316294251261</v>
      </c>
      <c r="L5" s="219">
        <v>307.88168186069811</v>
      </c>
      <c r="M5" s="219">
        <v>359.20402593922182</v>
      </c>
      <c r="N5" s="219">
        <v>340.23694077164032</v>
      </c>
      <c r="O5" s="219">
        <v>340.87612849114441</v>
      </c>
      <c r="P5" s="219">
        <v>331.03309894131809</v>
      </c>
      <c r="Q5" s="219">
        <v>354.56912280755211</v>
      </c>
      <c r="R5" s="219">
        <v>372.88800441324543</v>
      </c>
      <c r="S5" s="219">
        <v>419.30532841113018</v>
      </c>
      <c r="T5" s="219">
        <v>387.75114240634542</v>
      </c>
      <c r="U5" s="219">
        <v>397.20886836089352</v>
      </c>
      <c r="V5" s="219">
        <v>389.31507118132402</v>
      </c>
      <c r="W5" s="219">
        <v>412.65871807992738</v>
      </c>
      <c r="X5" s="219">
        <v>446.98056698591557</v>
      </c>
      <c r="Y5" s="219">
        <v>411.69623122888243</v>
      </c>
      <c r="DA5" s="210" t="s">
        <v>975</v>
      </c>
    </row>
    <row r="6" spans="1:105" x14ac:dyDescent="0.25">
      <c r="A6" s="220" t="s">
        <v>119</v>
      </c>
      <c r="B6" s="221">
        <v>507.91049696661082</v>
      </c>
      <c r="C6" s="221">
        <v>482.5149721182803</v>
      </c>
      <c r="D6" s="221">
        <v>457.11944726994977</v>
      </c>
      <c r="E6" s="221">
        <v>457.11944726994977</v>
      </c>
      <c r="F6" s="221">
        <v>431.72392242161919</v>
      </c>
      <c r="G6" s="221">
        <v>431.72392242161919</v>
      </c>
      <c r="H6" s="221">
        <v>406.32839757328873</v>
      </c>
      <c r="I6" s="221">
        <v>406.32839757328873</v>
      </c>
      <c r="J6" s="221">
        <v>406.32839757328873</v>
      </c>
      <c r="K6" s="221">
        <v>380.9328727249582</v>
      </c>
      <c r="L6" s="221">
        <v>355.53734787662768</v>
      </c>
      <c r="M6" s="221">
        <v>380.9328727249582</v>
      </c>
      <c r="N6" s="221">
        <v>380.9328727249582</v>
      </c>
      <c r="O6" s="221">
        <v>380.9328727249582</v>
      </c>
      <c r="P6" s="221">
        <v>355.53734787662768</v>
      </c>
      <c r="Q6" s="221">
        <v>380.9328727249582</v>
      </c>
      <c r="R6" s="221">
        <v>406.32839757328873</v>
      </c>
      <c r="S6" s="221">
        <v>457.11944726994977</v>
      </c>
      <c r="T6" s="221">
        <v>431.72392242161931</v>
      </c>
      <c r="U6" s="221">
        <v>431.72392242161931</v>
      </c>
      <c r="V6" s="221">
        <v>431.72392242161931</v>
      </c>
      <c r="W6" s="221">
        <v>457.11944726994977</v>
      </c>
      <c r="X6" s="221">
        <v>482.51497211828041</v>
      </c>
      <c r="Y6" s="221">
        <v>457.11944726994977</v>
      </c>
      <c r="DA6" s="211" t="s">
        <v>976</v>
      </c>
    </row>
    <row r="7" spans="1:105" x14ac:dyDescent="0.25">
      <c r="A7" s="224" t="s">
        <v>118</v>
      </c>
      <c r="B7" s="225"/>
      <c r="C7" s="225">
        <v>0</v>
      </c>
      <c r="D7" s="225">
        <v>0</v>
      </c>
      <c r="E7" s="225">
        <v>0</v>
      </c>
      <c r="F7" s="225">
        <v>0</v>
      </c>
      <c r="G7" s="225">
        <v>0</v>
      </c>
      <c r="H7" s="225">
        <v>0</v>
      </c>
      <c r="I7" s="225">
        <v>25.395524848330538</v>
      </c>
      <c r="J7" s="225">
        <v>0</v>
      </c>
      <c r="K7" s="225">
        <v>0</v>
      </c>
      <c r="L7" s="225">
        <v>0</v>
      </c>
      <c r="M7" s="225">
        <v>50.791049696661076</v>
      </c>
      <c r="N7" s="225">
        <v>0</v>
      </c>
      <c r="O7" s="225">
        <v>25.395524848330538</v>
      </c>
      <c r="P7" s="225">
        <v>0</v>
      </c>
      <c r="Q7" s="225">
        <v>25.395524848330538</v>
      </c>
      <c r="R7" s="225">
        <v>50.791049696661076</v>
      </c>
      <c r="S7" s="225">
        <v>50.791049696661076</v>
      </c>
      <c r="T7" s="225">
        <v>0</v>
      </c>
      <c r="U7" s="225">
        <v>25.395524848330538</v>
      </c>
      <c r="V7" s="225">
        <v>0</v>
      </c>
      <c r="W7" s="225">
        <v>50.791049696661076</v>
      </c>
      <c r="X7" s="225">
        <v>50.791049696661076</v>
      </c>
      <c r="Y7" s="225">
        <v>0</v>
      </c>
      <c r="DA7" s="212" t="s">
        <v>977</v>
      </c>
    </row>
    <row r="8" spans="1:105" x14ac:dyDescent="0.25">
      <c r="A8" s="226" t="s">
        <v>117</v>
      </c>
      <c r="B8" s="227"/>
      <c r="C8" s="227">
        <f t="shared" ref="C8" si="0">IF(B6=0,0,B6+C7-C6)</f>
        <v>25.395524848330524</v>
      </c>
      <c r="D8" s="227">
        <f t="shared" ref="D8" si="1">IF(C6=0,0,C6+D7-D6)</f>
        <v>25.395524848330524</v>
      </c>
      <c r="E8" s="227">
        <f t="shared" ref="E8" si="2">IF(D6=0,0,D6+E7-E6)</f>
        <v>0</v>
      </c>
      <c r="F8" s="227">
        <f t="shared" ref="F8" si="3">IF(E6=0,0,E6+F7-F6)</f>
        <v>25.395524848330581</v>
      </c>
      <c r="G8" s="227">
        <f t="shared" ref="G8" si="4">IF(F6=0,0,F6+G7-G6)</f>
        <v>0</v>
      </c>
      <c r="H8" s="227">
        <f t="shared" ref="H8" si="5">IF(G6=0,0,G6+H7-H6)</f>
        <v>25.395524848330467</v>
      </c>
      <c r="I8" s="227">
        <f t="shared" ref="I8" si="6">IF(H6=0,0,H6+I7-I6)</f>
        <v>25.395524848330524</v>
      </c>
      <c r="J8" s="227">
        <f t="shared" ref="J8" si="7">IF(I6=0,0,I6+J7-J6)</f>
        <v>0</v>
      </c>
      <c r="K8" s="227">
        <f t="shared" ref="K8" si="8">IF(J6=0,0,J6+K7-K6)</f>
        <v>25.395524848330524</v>
      </c>
      <c r="L8" s="227">
        <f t="shared" ref="L8" si="9">IF(K6=0,0,K6+L7-L6)</f>
        <v>25.395524848330524</v>
      </c>
      <c r="M8" s="227">
        <f t="shared" ref="M8" si="10">IF(L6=0,0,L6+M7-M6)</f>
        <v>25.395524848330524</v>
      </c>
      <c r="N8" s="227">
        <f t="shared" ref="N8" si="11">IF(M6=0,0,M6+N7-N6)</f>
        <v>0</v>
      </c>
      <c r="O8" s="227">
        <f t="shared" ref="O8" si="12">IF(N6=0,0,N6+O7-O6)</f>
        <v>25.395524848330524</v>
      </c>
      <c r="P8" s="227">
        <f t="shared" ref="P8" si="13">IF(O6=0,0,O6+P7-P6)</f>
        <v>25.395524848330524</v>
      </c>
      <c r="Q8" s="227">
        <f t="shared" ref="Q8" si="14">IF(P6=0,0,P6+Q7-Q6)</f>
        <v>0</v>
      </c>
      <c r="R8" s="227">
        <f t="shared" ref="R8" si="15">IF(Q6=0,0,Q6+R7-R6)</f>
        <v>25.395524848330524</v>
      </c>
      <c r="S8" s="227">
        <f t="shared" ref="S8" si="16">IF(R6=0,0,R6+S7-S6)</f>
        <v>0</v>
      </c>
      <c r="T8" s="227">
        <f t="shared" ref="T8" si="17">IF(S6=0,0,S6+T7-T6)</f>
        <v>25.395524848330467</v>
      </c>
      <c r="U8" s="227">
        <f t="shared" ref="U8" si="18">IF(T6=0,0,T6+U7-U6)</f>
        <v>25.395524848330524</v>
      </c>
      <c r="V8" s="227">
        <f t="shared" ref="V8" si="19">IF(U6=0,0,U6+V7-V6)</f>
        <v>0</v>
      </c>
      <c r="W8" s="227">
        <f t="shared" ref="W8" si="20">IF(V6=0,0,V6+W7-W6)</f>
        <v>25.395524848330638</v>
      </c>
      <c r="X8" s="227">
        <f t="shared" ref="X8" si="21">IF(W6=0,0,W6+X7-X6)</f>
        <v>25.39552484833041</v>
      </c>
      <c r="Y8" s="227">
        <f t="shared" ref="Y8" si="22">IF(X6=0,0,X6+Y7-Y6)</f>
        <v>25.395524848330638</v>
      </c>
      <c r="DA8" s="213" t="s">
        <v>978</v>
      </c>
    </row>
    <row r="9" spans="1:105" x14ac:dyDescent="0.25">
      <c r="A9" s="222" t="s">
        <v>116</v>
      </c>
      <c r="B9" s="223">
        <f>B6-B5</f>
        <v>101.5820993933221</v>
      </c>
      <c r="C9" s="223">
        <f t="shared" ref="C9:W9" si="23">C6-C5</f>
        <v>64.360461076029708</v>
      </c>
      <c r="D9" s="223">
        <f t="shared" si="23"/>
        <v>61.392283030331555</v>
      </c>
      <c r="E9" s="223">
        <f t="shared" si="23"/>
        <v>63.506443115992283</v>
      </c>
      <c r="F9" s="223">
        <f t="shared" si="23"/>
        <v>59.517858514286672</v>
      </c>
      <c r="G9" s="223">
        <f t="shared" si="23"/>
        <v>124.52505379969051</v>
      </c>
      <c r="H9" s="223">
        <f t="shared" si="23"/>
        <v>63.8862156697204</v>
      </c>
      <c r="I9" s="223">
        <f t="shared" si="23"/>
        <v>23.555172454288538</v>
      </c>
      <c r="J9" s="223">
        <f t="shared" si="23"/>
        <v>71.540988266432009</v>
      </c>
      <c r="K9" s="223">
        <f t="shared" si="23"/>
        <v>96.409709782445589</v>
      </c>
      <c r="L9" s="223">
        <f t="shared" si="23"/>
        <v>47.655666015929569</v>
      </c>
      <c r="M9" s="223">
        <f t="shared" si="23"/>
        <v>21.72884678573638</v>
      </c>
      <c r="N9" s="223">
        <f t="shared" si="23"/>
        <v>40.695931953317881</v>
      </c>
      <c r="O9" s="223">
        <f t="shared" si="23"/>
        <v>40.056744233813788</v>
      </c>
      <c r="P9" s="223">
        <f t="shared" si="23"/>
        <v>24.50424893530959</v>
      </c>
      <c r="Q9" s="223">
        <f t="shared" si="23"/>
        <v>26.363749917406096</v>
      </c>
      <c r="R9" s="223">
        <f t="shared" si="23"/>
        <v>33.4403931600433</v>
      </c>
      <c r="S9" s="223">
        <f t="shared" si="23"/>
        <v>37.814118858819597</v>
      </c>
      <c r="T9" s="223">
        <f t="shared" si="23"/>
        <v>43.972780015273884</v>
      </c>
      <c r="U9" s="223">
        <f t="shared" si="23"/>
        <v>34.515054060725788</v>
      </c>
      <c r="V9" s="223">
        <f t="shared" si="23"/>
        <v>42.408851240295292</v>
      </c>
      <c r="W9" s="223">
        <f t="shared" si="23"/>
        <v>44.460729190022391</v>
      </c>
      <c r="X9" s="223">
        <f t="shared" ref="X9:Y9" si="24">X6-X5</f>
        <v>35.534405132364839</v>
      </c>
      <c r="Y9" s="223">
        <f t="shared" si="24"/>
        <v>45.423216041067349</v>
      </c>
      <c r="DA9" s="214" t="s">
        <v>979</v>
      </c>
    </row>
    <row r="10" spans="1:105" x14ac:dyDescent="0.25">
      <c r="B10" s="215"/>
      <c r="C10" s="215"/>
      <c r="D10" s="215"/>
      <c r="E10" s="215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  <c r="X10" s="215"/>
      <c r="Y10" s="215"/>
    </row>
    <row r="11" spans="1:105" x14ac:dyDescent="0.25">
      <c r="A11" s="218" t="s">
        <v>115</v>
      </c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0"/>
      <c r="S11" s="230"/>
      <c r="T11" s="230"/>
      <c r="U11" s="230"/>
      <c r="V11" s="230"/>
      <c r="W11" s="230"/>
      <c r="X11" s="230"/>
      <c r="Y11" s="230"/>
      <c r="DA11" s="210"/>
    </row>
    <row r="12" spans="1:105" x14ac:dyDescent="0.25">
      <c r="A12" s="228" t="s">
        <v>114</v>
      </c>
      <c r="B12" s="229">
        <f>SUM(B13,B14,B18,B19,B26,B27)</f>
        <v>45.700450515902155</v>
      </c>
      <c r="C12" s="229">
        <f t="shared" ref="C12:W12" si="25">SUM(C13,C14,C18,C19,C26,C27)</f>
        <v>45.921487685936413</v>
      </c>
      <c r="D12" s="229">
        <f t="shared" si="25"/>
        <v>45.037339005799339</v>
      </c>
      <c r="E12" s="229">
        <f t="shared" si="25"/>
        <v>47.051660592572055</v>
      </c>
      <c r="F12" s="229">
        <f t="shared" si="25"/>
        <v>43.662064312477682</v>
      </c>
      <c r="G12" s="229">
        <f t="shared" si="25"/>
        <v>41.254975345725256</v>
      </c>
      <c r="H12" s="229">
        <f t="shared" si="25"/>
        <v>44.537080929179389</v>
      </c>
      <c r="I12" s="229">
        <f t="shared" si="25"/>
        <v>45.096310412153215</v>
      </c>
      <c r="J12" s="229">
        <f t="shared" si="25"/>
        <v>41.344969905417017</v>
      </c>
      <c r="K12" s="229">
        <f t="shared" si="25"/>
        <v>39.216852966466028</v>
      </c>
      <c r="L12" s="229">
        <f t="shared" si="25"/>
        <v>39.5554600171969</v>
      </c>
      <c r="M12" s="229">
        <f t="shared" si="25"/>
        <v>41.675322441960432</v>
      </c>
      <c r="N12" s="229">
        <f t="shared" si="25"/>
        <v>40.254170249355106</v>
      </c>
      <c r="O12" s="229">
        <f t="shared" si="25"/>
        <v>40.187532244196049</v>
      </c>
      <c r="P12" s="229">
        <f t="shared" si="25"/>
        <v>37.808168529664663</v>
      </c>
      <c r="Q12" s="229">
        <f t="shared" si="25"/>
        <v>41.370163370593289</v>
      </c>
      <c r="R12" s="229">
        <f t="shared" si="25"/>
        <v>44.154600171969037</v>
      </c>
      <c r="S12" s="229">
        <f t="shared" si="25"/>
        <v>45.813241616509025</v>
      </c>
      <c r="T12" s="229">
        <f t="shared" si="25"/>
        <v>44.606706792777295</v>
      </c>
      <c r="U12" s="229">
        <f t="shared" si="25"/>
        <v>45.405159071367159</v>
      </c>
      <c r="V12" s="229">
        <f t="shared" si="25"/>
        <v>47.115993121238169</v>
      </c>
      <c r="W12" s="229">
        <f t="shared" si="25"/>
        <v>47.70868443680137</v>
      </c>
      <c r="X12" s="229">
        <f t="shared" ref="X12:Y12" si="26">SUM(X13,X14,X18,X19,X26,X27)</f>
        <v>44.218228718830616</v>
      </c>
      <c r="Y12" s="229">
        <f t="shared" si="26"/>
        <v>41.737317282889073</v>
      </c>
      <c r="DA12" s="210" t="s">
        <v>980</v>
      </c>
    </row>
    <row r="13" spans="1:105" x14ac:dyDescent="0.25">
      <c r="A13" s="58" t="s">
        <v>29</v>
      </c>
      <c r="B13" s="59">
        <v>0</v>
      </c>
      <c r="C13" s="59">
        <v>0</v>
      </c>
      <c r="D13" s="59">
        <v>0</v>
      </c>
      <c r="E13" s="59">
        <v>0</v>
      </c>
      <c r="F13" s="59">
        <v>0</v>
      </c>
      <c r="G13" s="59">
        <v>0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DA13" s="9" t="s">
        <v>981</v>
      </c>
    </row>
    <row r="14" spans="1:105" x14ac:dyDescent="0.25">
      <c r="A14" s="60" t="s">
        <v>28</v>
      </c>
      <c r="B14" s="55">
        <f>SUM(B15:B17)</f>
        <v>37.531920851241793</v>
      </c>
      <c r="C14" s="55">
        <f t="shared" ref="C14:W14" si="27">SUM(C15:C17)</f>
        <v>37.92492706684785</v>
      </c>
      <c r="D14" s="55">
        <f t="shared" si="27"/>
        <v>36.352902204423586</v>
      </c>
      <c r="E14" s="55">
        <f t="shared" si="27"/>
        <v>37.33540951776552</v>
      </c>
      <c r="F14" s="55">
        <f t="shared" si="27"/>
        <v>33.601875146527554</v>
      </c>
      <c r="G14" s="55">
        <f t="shared" si="27"/>
        <v>30.850848088631533</v>
      </c>
      <c r="H14" s="55">
        <f t="shared" si="27"/>
        <v>33.325644987648872</v>
      </c>
      <c r="I14" s="55">
        <f t="shared" si="27"/>
        <v>33.087110068215132</v>
      </c>
      <c r="J14" s="55">
        <f t="shared" si="27"/>
        <v>27.821496130696474</v>
      </c>
      <c r="K14" s="55">
        <f t="shared" si="27"/>
        <v>25.746603611349954</v>
      </c>
      <c r="L14" s="55">
        <f t="shared" si="27"/>
        <v>24.742820292347371</v>
      </c>
      <c r="M14" s="55">
        <f t="shared" si="27"/>
        <v>26.772312983662932</v>
      </c>
      <c r="N14" s="55">
        <f t="shared" si="27"/>
        <v>25.696646603611349</v>
      </c>
      <c r="O14" s="55">
        <f t="shared" si="27"/>
        <v>24.591745485812556</v>
      </c>
      <c r="P14" s="55">
        <f t="shared" si="27"/>
        <v>21.469991401547723</v>
      </c>
      <c r="Q14" s="55">
        <f t="shared" si="27"/>
        <v>25.745915735167664</v>
      </c>
      <c r="R14" s="55">
        <f t="shared" si="27"/>
        <v>25.838521066208074</v>
      </c>
      <c r="S14" s="55">
        <f t="shared" si="27"/>
        <v>27.427429062768699</v>
      </c>
      <c r="T14" s="55">
        <f t="shared" si="27"/>
        <v>25.75030094582975</v>
      </c>
      <c r="U14" s="55">
        <f t="shared" si="27"/>
        <v>27.673516766981948</v>
      </c>
      <c r="V14" s="55">
        <f t="shared" si="27"/>
        <v>28.746087704213242</v>
      </c>
      <c r="W14" s="55">
        <f t="shared" si="27"/>
        <v>27.610404127257084</v>
      </c>
      <c r="X14" s="55">
        <f t="shared" ref="X14:Y14" si="28">SUM(X15:X17)</f>
        <v>26.453310404127258</v>
      </c>
      <c r="Y14" s="55">
        <f t="shared" si="28"/>
        <v>23.63370593293207</v>
      </c>
      <c r="DA14" s="10"/>
    </row>
    <row r="15" spans="1:105" x14ac:dyDescent="0.25">
      <c r="A15" s="61" t="s">
        <v>52</v>
      </c>
      <c r="B15" s="55">
        <v>0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1.129750644883921</v>
      </c>
      <c r="I15" s="55">
        <v>1.129750644883921</v>
      </c>
      <c r="J15" s="55">
        <v>1.129750644883921</v>
      </c>
      <c r="K15" s="55">
        <v>1.129750644883921</v>
      </c>
      <c r="L15" s="55">
        <v>1.129750644883921</v>
      </c>
      <c r="M15" s="55">
        <v>1.129750644883921</v>
      </c>
      <c r="N15" s="55">
        <v>1.129750644883921</v>
      </c>
      <c r="O15" s="55">
        <v>1.129750644883921</v>
      </c>
      <c r="P15" s="55">
        <v>0</v>
      </c>
      <c r="Q15" s="55">
        <v>1.129750644883921</v>
      </c>
      <c r="R15" s="55">
        <v>2.259501289767841</v>
      </c>
      <c r="S15" s="55">
        <v>2.738521066208083</v>
      </c>
      <c r="T15" s="55">
        <v>2.8582115219260529</v>
      </c>
      <c r="U15" s="55">
        <v>3.2299226139294919</v>
      </c>
      <c r="V15" s="55">
        <v>2.9124677558039549</v>
      </c>
      <c r="W15" s="55">
        <v>2.723817712811694</v>
      </c>
      <c r="X15" s="55">
        <v>3.1587274290627678</v>
      </c>
      <c r="Y15" s="55">
        <v>2.9237317282889079</v>
      </c>
      <c r="DA15" s="10" t="s">
        <v>982</v>
      </c>
    </row>
    <row r="16" spans="1:105" x14ac:dyDescent="0.25">
      <c r="A16" s="61" t="s">
        <v>165</v>
      </c>
      <c r="B16" s="55">
        <v>37.531920851241793</v>
      </c>
      <c r="C16" s="55">
        <v>37.92492706684785</v>
      </c>
      <c r="D16" s="55">
        <v>36.352902204423586</v>
      </c>
      <c r="E16" s="55">
        <v>37.33540951776552</v>
      </c>
      <c r="F16" s="55">
        <v>33.601875146527554</v>
      </c>
      <c r="G16" s="55">
        <v>30.850848088631533</v>
      </c>
      <c r="H16" s="55">
        <v>32.195894342764952</v>
      </c>
      <c r="I16" s="55">
        <v>31.957359423331212</v>
      </c>
      <c r="J16" s="55">
        <v>26.691745485812554</v>
      </c>
      <c r="K16" s="55">
        <v>24.616852966466034</v>
      </c>
      <c r="L16" s="55">
        <v>23.613069647463451</v>
      </c>
      <c r="M16" s="55">
        <v>25.642562338779012</v>
      </c>
      <c r="N16" s="55">
        <v>24.566895958727429</v>
      </c>
      <c r="O16" s="55">
        <v>23.461994840928636</v>
      </c>
      <c r="P16" s="55">
        <v>21.469991401547723</v>
      </c>
      <c r="Q16" s="55">
        <v>24.616165090283744</v>
      </c>
      <c r="R16" s="55">
        <v>23.579019776440234</v>
      </c>
      <c r="S16" s="55">
        <v>24.688907996560616</v>
      </c>
      <c r="T16" s="55">
        <v>22.892089423903698</v>
      </c>
      <c r="U16" s="55">
        <v>24.443594153052455</v>
      </c>
      <c r="V16" s="55">
        <v>25.833619948409286</v>
      </c>
      <c r="W16" s="55">
        <v>24.886586414445389</v>
      </c>
      <c r="X16" s="55">
        <v>23.29458297506449</v>
      </c>
      <c r="Y16" s="55">
        <v>20.709974204643164</v>
      </c>
      <c r="DA16" s="10" t="s">
        <v>983</v>
      </c>
    </row>
    <row r="17" spans="1:105" x14ac:dyDescent="0.25">
      <c r="A17" s="61" t="s">
        <v>113</v>
      </c>
      <c r="B17" s="55">
        <v>0</v>
      </c>
      <c r="C17" s="55">
        <v>0</v>
      </c>
      <c r="D17" s="55">
        <v>0</v>
      </c>
      <c r="E17" s="55">
        <v>0</v>
      </c>
      <c r="F17" s="55">
        <v>0</v>
      </c>
      <c r="G17" s="55">
        <v>0</v>
      </c>
      <c r="H17" s="55">
        <v>0</v>
      </c>
      <c r="I17" s="55">
        <v>0</v>
      </c>
      <c r="J17" s="55">
        <v>0</v>
      </c>
      <c r="K17" s="55">
        <v>0</v>
      </c>
      <c r="L17" s="55">
        <v>0</v>
      </c>
      <c r="M17" s="55">
        <v>0</v>
      </c>
      <c r="N17" s="55">
        <v>0</v>
      </c>
      <c r="O17" s="55">
        <v>0</v>
      </c>
      <c r="P17" s="55">
        <v>0</v>
      </c>
      <c r="Q17" s="55">
        <v>0</v>
      </c>
      <c r="R17" s="55">
        <v>0</v>
      </c>
      <c r="S17" s="55">
        <v>0</v>
      </c>
      <c r="T17" s="55">
        <v>0</v>
      </c>
      <c r="U17" s="55">
        <v>0</v>
      </c>
      <c r="V17" s="55">
        <v>0</v>
      </c>
      <c r="W17" s="55">
        <v>0</v>
      </c>
      <c r="X17" s="55">
        <v>0</v>
      </c>
      <c r="Y17" s="55">
        <v>0</v>
      </c>
      <c r="DA17" s="10" t="s">
        <v>984</v>
      </c>
    </row>
    <row r="18" spans="1:105" x14ac:dyDescent="0.25">
      <c r="A18" s="60" t="s">
        <v>149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X18" s="55">
        <v>0</v>
      </c>
      <c r="Y18" s="55">
        <v>0</v>
      </c>
      <c r="DA18" s="10" t="s">
        <v>985</v>
      </c>
    </row>
    <row r="19" spans="1:105" x14ac:dyDescent="0.25">
      <c r="A19" s="60" t="s">
        <v>51</v>
      </c>
      <c r="B19" s="55">
        <f>SUM(B20:B25)</f>
        <v>0</v>
      </c>
      <c r="C19" s="55">
        <f t="shared" ref="C19:W19" si="29">SUM(C20:C25)</f>
        <v>0</v>
      </c>
      <c r="D19" s="55">
        <f t="shared" si="29"/>
        <v>0</v>
      </c>
      <c r="E19" s="55">
        <f t="shared" si="29"/>
        <v>0</v>
      </c>
      <c r="F19" s="55">
        <f t="shared" si="29"/>
        <v>0</v>
      </c>
      <c r="G19" s="55">
        <f t="shared" si="29"/>
        <v>0</v>
      </c>
      <c r="H19" s="55">
        <f t="shared" si="29"/>
        <v>0.1194325021496131</v>
      </c>
      <c r="I19" s="55">
        <f t="shared" si="29"/>
        <v>0.14333619948409279</v>
      </c>
      <c r="J19" s="55">
        <f t="shared" si="29"/>
        <v>2.3903697334479789E-2</v>
      </c>
      <c r="K19" s="55">
        <f t="shared" si="29"/>
        <v>0.99294926913155634</v>
      </c>
      <c r="L19" s="55">
        <f t="shared" si="29"/>
        <v>1.5375752364574371</v>
      </c>
      <c r="M19" s="55">
        <f t="shared" si="29"/>
        <v>2.3827171109200345</v>
      </c>
      <c r="N19" s="55">
        <f t="shared" si="29"/>
        <v>2.7251074806534819</v>
      </c>
      <c r="O19" s="55">
        <f t="shared" si="29"/>
        <v>2.3828030954428203</v>
      </c>
      <c r="P19" s="55">
        <f t="shared" si="29"/>
        <v>2.5376612209802238</v>
      </c>
      <c r="Q19" s="55">
        <f t="shared" si="29"/>
        <v>2.0243336199484094</v>
      </c>
      <c r="R19" s="55">
        <f t="shared" si="29"/>
        <v>2.3325021496130693</v>
      </c>
      <c r="S19" s="55">
        <f t="shared" si="29"/>
        <v>2.3782459157351674</v>
      </c>
      <c r="T19" s="55">
        <f t="shared" si="29"/>
        <v>2.3680137575236451</v>
      </c>
      <c r="U19" s="55">
        <f t="shared" si="29"/>
        <v>2.9281169389509887</v>
      </c>
      <c r="V19" s="55">
        <f t="shared" si="29"/>
        <v>3.2804815133276004</v>
      </c>
      <c r="W19" s="55">
        <f t="shared" si="29"/>
        <v>3.2110060189165943</v>
      </c>
      <c r="X19" s="55">
        <f t="shared" ref="X19:Y19" si="30">SUM(X20:X25)</f>
        <v>2.9361994840928638</v>
      </c>
      <c r="Y19" s="55">
        <f t="shared" si="30"/>
        <v>2.8652622527944973</v>
      </c>
      <c r="DA19" s="10"/>
    </row>
    <row r="20" spans="1:105" x14ac:dyDescent="0.25">
      <c r="A20" s="61" t="s">
        <v>164</v>
      </c>
      <c r="B20" s="55">
        <v>0</v>
      </c>
      <c r="C20" s="55">
        <v>0</v>
      </c>
      <c r="D20" s="55">
        <v>0</v>
      </c>
      <c r="E20" s="55">
        <v>0</v>
      </c>
      <c r="F20" s="55">
        <v>0</v>
      </c>
      <c r="G20" s="55">
        <v>0</v>
      </c>
      <c r="H20" s="55">
        <v>0.1194325021496131</v>
      </c>
      <c r="I20" s="55">
        <v>0</v>
      </c>
      <c r="J20" s="55">
        <v>2.3903697334479789E-2</v>
      </c>
      <c r="K20" s="55">
        <v>6.1478933791917448E-2</v>
      </c>
      <c r="L20" s="55">
        <v>3.2846087704213239E-2</v>
      </c>
      <c r="M20" s="55">
        <v>4.2046431642304379E-2</v>
      </c>
      <c r="N20" s="55">
        <v>5.0042992261392943E-2</v>
      </c>
      <c r="O20" s="55">
        <v>4.2132416165090281E-2</v>
      </c>
      <c r="P20" s="55">
        <v>2.9750644883920891E-2</v>
      </c>
      <c r="Q20" s="55">
        <v>6.5778159931212374E-2</v>
      </c>
      <c r="R20" s="55">
        <v>6.345657781599312E-2</v>
      </c>
      <c r="S20" s="55">
        <v>8.2545141874462588E-2</v>
      </c>
      <c r="T20" s="55">
        <v>8.4694754944110051E-2</v>
      </c>
      <c r="U20" s="55">
        <v>9.1831470335339643E-2</v>
      </c>
      <c r="V20" s="55">
        <v>9.1831470335339643E-2</v>
      </c>
      <c r="W20" s="55">
        <v>3.3447979363714533E-2</v>
      </c>
      <c r="X20" s="55">
        <v>0.29019776440240752</v>
      </c>
      <c r="Y20" s="55">
        <v>0.25313843508168532</v>
      </c>
      <c r="DA20" s="10" t="s">
        <v>986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0.14333619948409279</v>
      </c>
      <c r="J21" s="55">
        <v>0</v>
      </c>
      <c r="K21" s="55">
        <v>0.93147033533963886</v>
      </c>
      <c r="L21" s="55">
        <v>1.5047291487532239</v>
      </c>
      <c r="M21" s="55">
        <v>2.3406706792777299</v>
      </c>
      <c r="N21" s="55">
        <v>2.6750644883920889</v>
      </c>
      <c r="O21" s="55">
        <v>2.3406706792777299</v>
      </c>
      <c r="P21" s="55">
        <v>2.507910576096303</v>
      </c>
      <c r="Q21" s="55">
        <v>1.958555460017197</v>
      </c>
      <c r="R21" s="55">
        <v>2.2690455717970761</v>
      </c>
      <c r="S21" s="55">
        <v>2.2957007738607049</v>
      </c>
      <c r="T21" s="55">
        <v>2.2833190025795349</v>
      </c>
      <c r="U21" s="55">
        <v>2.8362854686156491</v>
      </c>
      <c r="V21" s="55">
        <v>3.1886500429922608</v>
      </c>
      <c r="W21" s="55">
        <v>3.17755803955288</v>
      </c>
      <c r="X21" s="55">
        <v>2.6460017196904562</v>
      </c>
      <c r="Y21" s="55">
        <v>2.6121238177128121</v>
      </c>
      <c r="DA21" s="10" t="s">
        <v>987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X22" s="55">
        <v>0</v>
      </c>
      <c r="Y22" s="55">
        <v>0</v>
      </c>
      <c r="DA22" s="10" t="s">
        <v>988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" t="s">
        <v>989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" t="s">
        <v>990</v>
      </c>
    </row>
    <row r="25" spans="1:105" x14ac:dyDescent="0.25">
      <c r="A25" s="61" t="s">
        <v>151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55">
        <v>0</v>
      </c>
      <c r="DA25" s="10" t="s">
        <v>991</v>
      </c>
    </row>
    <row r="26" spans="1:105" x14ac:dyDescent="0.25">
      <c r="A26" s="60" t="s">
        <v>162</v>
      </c>
      <c r="B26" s="55">
        <v>0</v>
      </c>
      <c r="C26" s="55">
        <v>0</v>
      </c>
      <c r="D26" s="55">
        <v>0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55">
        <v>0</v>
      </c>
      <c r="K26" s="55">
        <v>9.5528804815133275E-2</v>
      </c>
      <c r="L26" s="55">
        <v>0.1194325021496131</v>
      </c>
      <c r="M26" s="55">
        <v>0.74041272570937233</v>
      </c>
      <c r="N26" s="55">
        <v>0.74041272570937233</v>
      </c>
      <c r="O26" s="55">
        <v>1.0031814273430779</v>
      </c>
      <c r="P26" s="55">
        <v>1.0748065348237319</v>
      </c>
      <c r="Q26" s="55">
        <v>1.218142734307825</v>
      </c>
      <c r="R26" s="55">
        <v>1.1942390369733451</v>
      </c>
      <c r="S26" s="55">
        <v>1.2871023215821149</v>
      </c>
      <c r="T26" s="55">
        <v>1.2861564918314701</v>
      </c>
      <c r="U26" s="55">
        <v>1.229406706792777</v>
      </c>
      <c r="V26" s="55">
        <v>0.88650042992261391</v>
      </c>
      <c r="W26" s="55">
        <v>0.88804815133275994</v>
      </c>
      <c r="X26" s="55">
        <v>0.95898538263112643</v>
      </c>
      <c r="Y26" s="55">
        <v>0.86319862424763538</v>
      </c>
      <c r="DA26" s="10" t="s">
        <v>992</v>
      </c>
    </row>
    <row r="27" spans="1:105" x14ac:dyDescent="0.25">
      <c r="A27" s="62" t="s">
        <v>24</v>
      </c>
      <c r="B27" s="63">
        <v>8.16852966466036</v>
      </c>
      <c r="C27" s="63">
        <v>7.9965606190885632</v>
      </c>
      <c r="D27" s="63">
        <v>8.6844368013757514</v>
      </c>
      <c r="E27" s="63">
        <v>9.716251074806534</v>
      </c>
      <c r="F27" s="63">
        <v>10.060189165950128</v>
      </c>
      <c r="G27" s="63">
        <v>10.404127257093725</v>
      </c>
      <c r="H27" s="63">
        <v>11.092003439380905</v>
      </c>
      <c r="I27" s="63">
        <v>11.865864144453996</v>
      </c>
      <c r="J27" s="63">
        <v>13.499570077386066</v>
      </c>
      <c r="K27" s="63">
        <v>12.381771281169385</v>
      </c>
      <c r="L27" s="63">
        <v>13.155631986242476</v>
      </c>
      <c r="M27" s="63">
        <v>11.779879621668096</v>
      </c>
      <c r="N27" s="63">
        <v>11.092003439380905</v>
      </c>
      <c r="O27" s="63">
        <v>12.209802235597596</v>
      </c>
      <c r="P27" s="63">
        <v>12.725709372312986</v>
      </c>
      <c r="Q27" s="63">
        <v>12.381771281169394</v>
      </c>
      <c r="R27" s="63">
        <v>14.789337919174544</v>
      </c>
      <c r="S27" s="63">
        <v>14.720464316423044</v>
      </c>
      <c r="T27" s="63">
        <v>15.202235597592432</v>
      </c>
      <c r="U27" s="63">
        <v>13.574118658641446</v>
      </c>
      <c r="V27" s="63">
        <v>14.202923473774719</v>
      </c>
      <c r="W27" s="63">
        <v>15.99922613929493</v>
      </c>
      <c r="X27" s="63">
        <v>13.869733447979364</v>
      </c>
      <c r="Y27" s="63">
        <v>14.37515047291487</v>
      </c>
      <c r="DA27" s="11" t="s">
        <v>993</v>
      </c>
    </row>
    <row r="29" spans="1:105" x14ac:dyDescent="0.25">
      <c r="A29" s="218" t="s">
        <v>84</v>
      </c>
      <c r="B29" s="219">
        <v>116.43973684900456</v>
      </c>
      <c r="C29" s="219">
        <v>117.65900672081763</v>
      </c>
      <c r="D29" s="219">
        <v>112.78192723356518</v>
      </c>
      <c r="E29" s="219">
        <v>115.8300763936147</v>
      </c>
      <c r="F29" s="219">
        <v>104.24708916983985</v>
      </c>
      <c r="G29" s="219">
        <v>95.712251106114536</v>
      </c>
      <c r="H29" s="219">
        <v>102.86980313180761</v>
      </c>
      <c r="I29" s="219">
        <v>102.1297679132999</v>
      </c>
      <c r="J29" s="219">
        <v>85.793628240000004</v>
      </c>
      <c r="K29" s="219">
        <v>79.356442680000001</v>
      </c>
      <c r="L29" s="219">
        <v>76.242286439999987</v>
      </c>
      <c r="M29" s="219">
        <v>82.538622719999978</v>
      </c>
      <c r="N29" s="219">
        <v>79.201455120000006</v>
      </c>
      <c r="O29" s="219">
        <v>75.773589120000011</v>
      </c>
      <c r="P29" s="219">
        <v>66.608904960000004</v>
      </c>
      <c r="Q29" s="219">
        <v>79.354308599999968</v>
      </c>
      <c r="R29" s="219">
        <v>79.121304719999983</v>
      </c>
      <c r="S29" s="219">
        <v>83.83015116</v>
      </c>
      <c r="T29" s="219">
        <v>78.571874160000007</v>
      </c>
      <c r="U29" s="219">
        <v>84.367304280000013</v>
      </c>
      <c r="V29" s="219">
        <v>87.841071720000002</v>
      </c>
      <c r="W29" s="219">
        <v>84.404588039999979</v>
      </c>
      <c r="X29" s="219">
        <v>80.614501920000009</v>
      </c>
      <c r="Y29" s="219">
        <v>71.975134800000006</v>
      </c>
      <c r="DA29" s="8"/>
    </row>
    <row r="31" spans="1:105" x14ac:dyDescent="0.25">
      <c r="A31" s="33" t="s">
        <v>183</v>
      </c>
      <c r="B31" s="59">
        <f t="shared" ref="B31:Y31" si="31">IF(B$12=0,"",B$12/B$3*1000)</f>
        <v>79.823798454577641</v>
      </c>
      <c r="C31" s="59">
        <f t="shared" si="31"/>
        <v>72.471638339867184</v>
      </c>
      <c r="D31" s="59">
        <f t="shared" si="31"/>
        <v>69.486370326545497</v>
      </c>
      <c r="E31" s="59">
        <f t="shared" si="31"/>
        <v>78.669541187099867</v>
      </c>
      <c r="F31" s="59">
        <f t="shared" si="31"/>
        <v>74.9473423358681</v>
      </c>
      <c r="G31" s="59">
        <f t="shared" si="31"/>
        <v>75.516163034992303</v>
      </c>
      <c r="H31" s="59">
        <f t="shared" si="31"/>
        <v>93.389958968974014</v>
      </c>
      <c r="I31" s="59">
        <f t="shared" si="31"/>
        <v>100.29395808940393</v>
      </c>
      <c r="J31" s="59">
        <f t="shared" si="31"/>
        <v>85.812912413553278</v>
      </c>
      <c r="K31" s="59">
        <f t="shared" si="31"/>
        <v>89.013761735027387</v>
      </c>
      <c r="L31" s="59">
        <f t="shared" si="31"/>
        <v>85.064688398108217</v>
      </c>
      <c r="M31" s="59">
        <f t="shared" si="31"/>
        <v>86.276633546345565</v>
      </c>
      <c r="N31" s="59">
        <f t="shared" si="31"/>
        <v>92.331674215163204</v>
      </c>
      <c r="O31" s="59">
        <f t="shared" si="31"/>
        <v>97.191259376063499</v>
      </c>
      <c r="P31" s="59">
        <f t="shared" si="31"/>
        <v>101.32324647105676</v>
      </c>
      <c r="Q31" s="59">
        <f t="shared" si="31"/>
        <v>105.94389613091776</v>
      </c>
      <c r="R31" s="59">
        <f t="shared" si="31"/>
        <v>92.426107685734024</v>
      </c>
      <c r="S31" s="59">
        <f t="shared" si="31"/>
        <v>104.66266742745688</v>
      </c>
      <c r="T31" s="59">
        <f t="shared" si="31"/>
        <v>103.16303492213811</v>
      </c>
      <c r="U31" s="59">
        <f t="shared" si="31"/>
        <v>97.951760008529064</v>
      </c>
      <c r="V31" s="59">
        <f t="shared" si="31"/>
        <v>102.08312435990752</v>
      </c>
      <c r="W31" s="59">
        <f t="shared" si="31"/>
        <v>112.20366118486901</v>
      </c>
      <c r="X31" s="59">
        <f t="shared" si="31"/>
        <v>123.73120899096909</v>
      </c>
      <c r="Y31" s="59">
        <f t="shared" si="31"/>
        <v>112.9562037425956</v>
      </c>
      <c r="DA31" s="211"/>
    </row>
    <row r="32" spans="1:105" x14ac:dyDescent="0.25">
      <c r="A32" s="35" t="s">
        <v>112</v>
      </c>
      <c r="B32" s="55">
        <f t="shared" ref="B32:Y32" si="32">IF(B$12=0,"",B$12/B$5*1000)</f>
        <v>112.47171201628665</v>
      </c>
      <c r="C32" s="55">
        <f t="shared" si="32"/>
        <v>109.81942433546168</v>
      </c>
      <c r="D32" s="55">
        <f t="shared" si="32"/>
        <v>113.80906613357635</v>
      </c>
      <c r="E32" s="55">
        <f t="shared" si="32"/>
        <v>119.53787119840254</v>
      </c>
      <c r="F32" s="55">
        <f t="shared" si="32"/>
        <v>117.30616060932351</v>
      </c>
      <c r="G32" s="55">
        <f t="shared" si="32"/>
        <v>134.29403412451359</v>
      </c>
      <c r="H32" s="55">
        <f t="shared" si="32"/>
        <v>130.05722800154635</v>
      </c>
      <c r="I32" s="55">
        <f t="shared" si="32"/>
        <v>117.81469406104162</v>
      </c>
      <c r="J32" s="55">
        <f t="shared" si="32"/>
        <v>123.49619118298854</v>
      </c>
      <c r="K32" s="55">
        <f t="shared" si="32"/>
        <v>137.83360398812141</v>
      </c>
      <c r="L32" s="55">
        <f t="shared" si="32"/>
        <v>128.47617233393532</v>
      </c>
      <c r="M32" s="55">
        <f t="shared" si="32"/>
        <v>116.02131221383358</v>
      </c>
      <c r="N32" s="55">
        <f t="shared" si="32"/>
        <v>118.3121684496124</v>
      </c>
      <c r="O32" s="55">
        <f t="shared" si="32"/>
        <v>117.89482713876832</v>
      </c>
      <c r="P32" s="55">
        <f t="shared" si="32"/>
        <v>114.21265320772918</v>
      </c>
      <c r="Q32" s="55">
        <f t="shared" si="32"/>
        <v>116.67728719019784</v>
      </c>
      <c r="R32" s="55">
        <f t="shared" si="32"/>
        <v>118.41249825520161</v>
      </c>
      <c r="S32" s="55">
        <f t="shared" si="32"/>
        <v>109.25986032686185</v>
      </c>
      <c r="T32" s="55">
        <f t="shared" si="32"/>
        <v>115.03952384499105</v>
      </c>
      <c r="U32" s="55">
        <f t="shared" si="32"/>
        <v>114.31053707016738</v>
      </c>
      <c r="V32" s="55">
        <f t="shared" si="32"/>
        <v>121.02278233994654</v>
      </c>
      <c r="W32" s="55">
        <f t="shared" si="32"/>
        <v>115.61293230102248</v>
      </c>
      <c r="X32" s="55">
        <f t="shared" si="32"/>
        <v>98.926512660278448</v>
      </c>
      <c r="Y32" s="55">
        <f t="shared" si="32"/>
        <v>101.37891512464495</v>
      </c>
      <c r="DA32" s="216"/>
    </row>
    <row r="33" spans="1:105" x14ac:dyDescent="0.25">
      <c r="A33" s="35" t="s">
        <v>111</v>
      </c>
      <c r="B33" s="55">
        <f>IF(AGR_ued!B$5=0,"",AGR_ued!B$5/B$5*1000)</f>
        <v>40.146618535523373</v>
      </c>
      <c r="C33" s="55">
        <f>IF(AGR_ued!C$5=0,"",AGR_ued!C$5/C$5*1000)</f>
        <v>39.09979176363661</v>
      </c>
      <c r="D33" s="55">
        <f>IF(AGR_ued!D$5=0,"",AGR_ued!D$5/D$5*1000)</f>
        <v>40.94970927786234</v>
      </c>
      <c r="E33" s="55">
        <f>IF(AGR_ued!E$5=0,"",AGR_ued!E$5/E$5*1000)</f>
        <v>43.355297831558033</v>
      </c>
      <c r="F33" s="55">
        <f>IF(AGR_ued!F$5=0,"",AGR_ued!F$5/F$5*1000)</f>
        <v>43.163107605579178</v>
      </c>
      <c r="G33" s="55">
        <f>IF(AGR_ued!G$5=0,"",AGR_ued!G$5/G$5*1000)</f>
        <v>50.088770263916068</v>
      </c>
      <c r="H33" s="55">
        <f>IF(AGR_ued!H$5=0,"",AGR_ued!H$5/H$5*1000)</f>
        <v>48.373400285529016</v>
      </c>
      <c r="I33" s="55">
        <f>IF(AGR_ued!I$5=0,"",AGR_ued!I$5/I$5*1000)</f>
        <v>44.244922437734346</v>
      </c>
      <c r="J33" s="55">
        <f>IF(AGR_ued!J$5=0,"",AGR_ued!J$5/J$5*1000)</f>
        <v>48.352773560446813</v>
      </c>
      <c r="K33" s="55">
        <f>IF(AGR_ued!K$5=0,"",AGR_ued!K$5/K$5*1000)</f>
        <v>53.7381549001488</v>
      </c>
      <c r="L33" s="55">
        <f>IF(AGR_ued!L$5=0,"",AGR_ued!L$5/L$5*1000)</f>
        <v>50.745085654174062</v>
      </c>
      <c r="M33" s="55">
        <f>IF(AGR_ued!M$5=0,"",AGR_ued!M$5/M$5*1000)</f>
        <v>44.708994280357516</v>
      </c>
      <c r="N33" s="55">
        <f>IF(AGR_ued!N$5=0,"",AGR_ued!N$5/N$5*1000)</f>
        <v>45.435810159503511</v>
      </c>
      <c r="O33" s="55">
        <f>IF(AGR_ued!O$5=0,"",AGR_ued!O$5/O$5*1000)</f>
        <v>46.238044116894486</v>
      </c>
      <c r="P33" s="55">
        <f>IF(AGR_ued!P$5=0,"",AGR_ued!P$5/P$5*1000)</f>
        <v>45.902798512439411</v>
      </c>
      <c r="Q33" s="55">
        <f>IF(AGR_ued!Q$5=0,"",AGR_ued!Q$5/Q$5*1000)</f>
        <v>45.677452235260183</v>
      </c>
      <c r="R33" s="55">
        <f>IF(AGR_ued!R$5=0,"",AGR_ued!R$5/R$5*1000)</f>
        <v>47.446780796372508</v>
      </c>
      <c r="S33" s="55">
        <f>IF(AGR_ued!S$5=0,"",AGR_ued!S$5/S$5*1000)</f>
        <v>43.386463442017622</v>
      </c>
      <c r="T33" s="55">
        <f>IF(AGR_ued!T$5=0,"",AGR_ued!T$5/T$5*1000)</f>
        <v>46.319368724295998</v>
      </c>
      <c r="U33" s="55">
        <f>IF(AGR_ued!U$5=0,"",AGR_ued!U$5/U$5*1000)</f>
        <v>44.729698435379767</v>
      </c>
      <c r="V33" s="55">
        <f>IF(AGR_ued!V$5=0,"",AGR_ued!V$5/V$5*1000)</f>
        <v>47.271502179517171</v>
      </c>
      <c r="W33" s="55">
        <f>IF(AGR_ued!W$5=0,"",AGR_ued!W$5/W$5*1000)</f>
        <v>46.206586144567801</v>
      </c>
      <c r="X33" s="55">
        <f>IF(AGR_ued!X$5=0,"",AGR_ued!X$5/X$5*1000)</f>
        <v>38.96317073567937</v>
      </c>
      <c r="Y33" s="55">
        <f>IF(AGR_ued!Y$5=0,"",AGR_ued!Y$5/Y$5*1000)</f>
        <v>40.774442804065394</v>
      </c>
      <c r="DA33" s="216"/>
    </row>
    <row r="34" spans="1:105" x14ac:dyDescent="0.25">
      <c r="A34" s="37" t="s">
        <v>110</v>
      </c>
      <c r="B34" s="217">
        <f t="shared" ref="B34:Y34" si="33">IF(B$12=0,"",B$29/B$12)</f>
        <v>2.5478903497567846</v>
      </c>
      <c r="C34" s="217">
        <f t="shared" si="33"/>
        <v>2.5621775915777012</v>
      </c>
      <c r="D34" s="217">
        <f t="shared" si="33"/>
        <v>2.504187186082254</v>
      </c>
      <c r="E34" s="217">
        <f t="shared" si="33"/>
        <v>2.4617638343650841</v>
      </c>
      <c r="F34" s="217">
        <f t="shared" si="33"/>
        <v>2.38758956571021</v>
      </c>
      <c r="G34" s="217">
        <f t="shared" si="33"/>
        <v>2.3200171689360132</v>
      </c>
      <c r="H34" s="217">
        <f t="shared" si="33"/>
        <v>2.3097562971265666</v>
      </c>
      <c r="I34" s="217">
        <f t="shared" si="33"/>
        <v>2.2647034087688129</v>
      </c>
      <c r="J34" s="217">
        <f t="shared" si="33"/>
        <v>2.0750681022689372</v>
      </c>
      <c r="K34" s="217">
        <f t="shared" si="33"/>
        <v>2.0235290870447193</v>
      </c>
      <c r="L34" s="217">
        <f t="shared" si="33"/>
        <v>1.9274781890250634</v>
      </c>
      <c r="M34" s="217">
        <f t="shared" si="33"/>
        <v>1.9805155157455168</v>
      </c>
      <c r="N34" s="217">
        <f t="shared" si="33"/>
        <v>1.9675341617870972</v>
      </c>
      <c r="O34" s="217">
        <f t="shared" si="33"/>
        <v>1.8854999271806085</v>
      </c>
      <c r="P34" s="217">
        <f t="shared" si="33"/>
        <v>1.7617596289473265</v>
      </c>
      <c r="Q34" s="217">
        <f t="shared" si="33"/>
        <v>1.9181531358516835</v>
      </c>
      <c r="R34" s="217">
        <f t="shared" si="33"/>
        <v>1.7919153250589073</v>
      </c>
      <c r="S34" s="217">
        <f t="shared" si="33"/>
        <v>1.829823609988589</v>
      </c>
      <c r="T34" s="217">
        <f t="shared" si="33"/>
        <v>1.761436335683995</v>
      </c>
      <c r="U34" s="217">
        <f t="shared" si="33"/>
        <v>1.858099520087414</v>
      </c>
      <c r="V34" s="217">
        <f t="shared" si="33"/>
        <v>1.8643578517801518</v>
      </c>
      <c r="W34" s="217">
        <f t="shared" si="33"/>
        <v>1.7691661180011964</v>
      </c>
      <c r="X34" s="217">
        <f t="shared" si="33"/>
        <v>1.8231056343889642</v>
      </c>
      <c r="Y34" s="217">
        <f t="shared" si="33"/>
        <v>1.72447918279375</v>
      </c>
      <c r="DA34" s="214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Y14 B19:Y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994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130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45.700450515902169</v>
      </c>
      <c r="C5" s="80">
        <f t="shared" ref="C5:W5" si="1">SUM(C6:C9,C16:C17,C25:C27)</f>
        <v>45.921487685936413</v>
      </c>
      <c r="D5" s="80">
        <f t="shared" si="1"/>
        <v>45.037339005799325</v>
      </c>
      <c r="E5" s="80">
        <f t="shared" si="1"/>
        <v>47.051660592572048</v>
      </c>
      <c r="F5" s="80">
        <f t="shared" si="1"/>
        <v>43.662064312477668</v>
      </c>
      <c r="G5" s="80">
        <f t="shared" si="1"/>
        <v>41.254975345725242</v>
      </c>
      <c r="H5" s="80">
        <f t="shared" si="1"/>
        <v>44.537080929179368</v>
      </c>
      <c r="I5" s="80">
        <f t="shared" si="1"/>
        <v>45.096310412153201</v>
      </c>
      <c r="J5" s="80">
        <f t="shared" si="1"/>
        <v>41.344969905416995</v>
      </c>
      <c r="K5" s="80">
        <f t="shared" si="1"/>
        <v>39.216852966466014</v>
      </c>
      <c r="L5" s="80">
        <f t="shared" si="1"/>
        <v>39.555460017196914</v>
      </c>
      <c r="M5" s="80">
        <f t="shared" si="1"/>
        <v>41.675322441960425</v>
      </c>
      <c r="N5" s="80">
        <f t="shared" si="1"/>
        <v>40.254170249355091</v>
      </c>
      <c r="O5" s="80">
        <f t="shared" si="1"/>
        <v>40.187532244196049</v>
      </c>
      <c r="P5" s="80">
        <f t="shared" si="1"/>
        <v>37.808168529664648</v>
      </c>
      <c r="Q5" s="80">
        <f t="shared" si="1"/>
        <v>41.370163370593303</v>
      </c>
      <c r="R5" s="80">
        <f t="shared" si="1"/>
        <v>44.154600171969022</v>
      </c>
      <c r="S5" s="80">
        <f t="shared" si="1"/>
        <v>45.813241616509018</v>
      </c>
      <c r="T5" s="80">
        <f t="shared" si="1"/>
        <v>44.606706792777288</v>
      </c>
      <c r="U5" s="80">
        <f t="shared" si="1"/>
        <v>45.405159071367144</v>
      </c>
      <c r="V5" s="80">
        <f t="shared" si="1"/>
        <v>47.115993121238169</v>
      </c>
      <c r="W5" s="80">
        <f t="shared" si="1"/>
        <v>47.708684436801363</v>
      </c>
      <c r="X5" s="80">
        <f t="shared" ref="X5:Y5" si="2">SUM(X6:X9,X16:X17,X25:X27)</f>
        <v>44.218228718830609</v>
      </c>
      <c r="Y5" s="80">
        <f t="shared" si="2"/>
        <v>41.737317282889059</v>
      </c>
      <c r="DA5" s="103"/>
    </row>
    <row r="6" spans="1:105" x14ac:dyDescent="0.25">
      <c r="A6" s="238" t="s">
        <v>125</v>
      </c>
      <c r="B6" s="239">
        <v>1.3213987663201781</v>
      </c>
      <c r="C6" s="239">
        <v>1.3043525501310711</v>
      </c>
      <c r="D6" s="239">
        <v>1.369726207015411</v>
      </c>
      <c r="E6" s="239">
        <v>1.4955642217368941</v>
      </c>
      <c r="F6" s="239">
        <v>1.4852652764292991</v>
      </c>
      <c r="G6" s="239">
        <v>1.4808842714132779</v>
      </c>
      <c r="H6" s="239">
        <v>1.5746605443914941</v>
      </c>
      <c r="I6" s="239">
        <v>1.647539839905386</v>
      </c>
      <c r="J6" s="239">
        <v>1.7035855384797669</v>
      </c>
      <c r="K6" s="239">
        <v>1.587917151907855</v>
      </c>
      <c r="L6" s="239">
        <v>1.6504265211195099</v>
      </c>
      <c r="M6" s="239">
        <v>1.599972640552914</v>
      </c>
      <c r="N6" s="239">
        <v>1.5234071283395749</v>
      </c>
      <c r="O6" s="239">
        <v>1.6128338029550899</v>
      </c>
      <c r="P6" s="239">
        <v>1.6249044140045079</v>
      </c>
      <c r="Q6" s="239">
        <v>1.649315262821144</v>
      </c>
      <c r="R6" s="239">
        <v>1.860881729861549</v>
      </c>
      <c r="S6" s="239">
        <v>1.8816275182181721</v>
      </c>
      <c r="T6" s="239">
        <v>1.8922669917523429</v>
      </c>
      <c r="U6" s="239">
        <v>1.78367242132457</v>
      </c>
      <c r="V6" s="239">
        <v>1.8577256937917099</v>
      </c>
      <c r="W6" s="239">
        <v>2.0006604231619569</v>
      </c>
      <c r="X6" s="239">
        <v>1.7768458837075241</v>
      </c>
      <c r="Y6" s="239">
        <v>1.76790610561398</v>
      </c>
      <c r="DA6" s="267" t="s">
        <v>995</v>
      </c>
    </row>
    <row r="7" spans="1:105" x14ac:dyDescent="0.25">
      <c r="A7" s="240" t="s">
        <v>124</v>
      </c>
      <c r="B7" s="241">
        <v>0.85890919810811561</v>
      </c>
      <c r="C7" s="241">
        <v>0.84782915758519628</v>
      </c>
      <c r="D7" s="241">
        <v>0.8903220345600168</v>
      </c>
      <c r="E7" s="241">
        <v>0.97211674412898053</v>
      </c>
      <c r="F7" s="241">
        <v>0.96542242967904435</v>
      </c>
      <c r="G7" s="241">
        <v>0.96257477641863054</v>
      </c>
      <c r="H7" s="241">
        <v>1.023529353854471</v>
      </c>
      <c r="I7" s="241">
        <v>1.0709008959385009</v>
      </c>
      <c r="J7" s="241">
        <v>1.1073306000118479</v>
      </c>
      <c r="K7" s="241">
        <v>1.0321461487401049</v>
      </c>
      <c r="L7" s="241">
        <v>1.072777238727681</v>
      </c>
      <c r="M7" s="241">
        <v>1.039982216359393</v>
      </c>
      <c r="N7" s="241">
        <v>0.99021463342072358</v>
      </c>
      <c r="O7" s="241">
        <v>1.048341971920808</v>
      </c>
      <c r="P7" s="241">
        <v>1.0561878691029301</v>
      </c>
      <c r="Q7" s="241">
        <v>1.0720549208337431</v>
      </c>
      <c r="R7" s="241">
        <v>1.209573124410007</v>
      </c>
      <c r="S7" s="241">
        <v>1.2230578868418109</v>
      </c>
      <c r="T7" s="241">
        <v>1.229973544639023</v>
      </c>
      <c r="U7" s="241">
        <v>1.15938707386097</v>
      </c>
      <c r="V7" s="241">
        <v>1.2075217009646111</v>
      </c>
      <c r="W7" s="241">
        <v>1.3004292750552719</v>
      </c>
      <c r="X7" s="241">
        <v>1.1549498244098899</v>
      </c>
      <c r="Y7" s="241">
        <v>1.1491389686490869</v>
      </c>
      <c r="DA7" s="268" t="s">
        <v>996</v>
      </c>
    </row>
    <row r="8" spans="1:105" x14ac:dyDescent="0.25">
      <c r="A8" s="240" t="s">
        <v>123</v>
      </c>
      <c r="B8" s="241">
        <v>1.18925888968816</v>
      </c>
      <c r="C8" s="241">
        <v>1.1739172951179639</v>
      </c>
      <c r="D8" s="241">
        <v>1.232753586313869</v>
      </c>
      <c r="E8" s="241">
        <v>1.346007799563204</v>
      </c>
      <c r="F8" s="241">
        <v>1.3367387487863689</v>
      </c>
      <c r="G8" s="241">
        <v>1.3327958442719501</v>
      </c>
      <c r="H8" s="241">
        <v>1.417194489952345</v>
      </c>
      <c r="I8" s="241">
        <v>1.4827858559148479</v>
      </c>
      <c r="J8" s="241">
        <v>1.5332269846317901</v>
      </c>
      <c r="K8" s="241">
        <v>1.4291254367170689</v>
      </c>
      <c r="L8" s="241">
        <v>1.4853838690075589</v>
      </c>
      <c r="M8" s="241">
        <v>1.439975376497622</v>
      </c>
      <c r="N8" s="241">
        <v>1.3710664155056169</v>
      </c>
      <c r="O8" s="241">
        <v>1.451550422659581</v>
      </c>
      <c r="P8" s="241">
        <v>1.462413972604057</v>
      </c>
      <c r="Q8" s="241">
        <v>1.4843837365390291</v>
      </c>
      <c r="R8" s="241">
        <v>1.674793556875394</v>
      </c>
      <c r="S8" s="241">
        <v>1.6934647663963549</v>
      </c>
      <c r="T8" s="241">
        <v>1.7030402925771091</v>
      </c>
      <c r="U8" s="241">
        <v>1.6053051791921129</v>
      </c>
      <c r="V8" s="241">
        <v>1.671953124412539</v>
      </c>
      <c r="W8" s="241">
        <v>1.800594380845761</v>
      </c>
      <c r="X8" s="241">
        <v>1.5991612953367711</v>
      </c>
      <c r="Y8" s="241">
        <v>1.5911154950525821</v>
      </c>
      <c r="DA8" s="268" t="s">
        <v>997</v>
      </c>
    </row>
    <row r="9" spans="1:105" x14ac:dyDescent="0.25">
      <c r="A9" s="242" t="s">
        <v>122</v>
      </c>
      <c r="B9" s="243">
        <f t="shared" ref="B9" si="3">SUM(B10:B15)</f>
        <v>8.9562720277389882</v>
      </c>
      <c r="C9" s="243">
        <f t="shared" ref="C9:W9" si="4">SUM(C10:C15)</f>
        <v>9.0018711832252087</v>
      </c>
      <c r="D9" s="243">
        <f t="shared" si="4"/>
        <v>8.8307535512383666</v>
      </c>
      <c r="E9" s="243">
        <f t="shared" si="4"/>
        <v>9.2465223467674313</v>
      </c>
      <c r="F9" s="243">
        <f t="shared" si="4"/>
        <v>8.6477837232214618</v>
      </c>
      <c r="G9" s="243">
        <f t="shared" si="4"/>
        <v>8.261918657527195</v>
      </c>
      <c r="H9" s="243">
        <f t="shared" si="4"/>
        <v>8.8455496032083989</v>
      </c>
      <c r="I9" s="243">
        <f t="shared" si="4"/>
        <v>9.04794062401775</v>
      </c>
      <c r="J9" s="243">
        <f t="shared" si="4"/>
        <v>8.7686166705742377</v>
      </c>
      <c r="K9" s="243">
        <f t="shared" si="4"/>
        <v>8.282347526823898</v>
      </c>
      <c r="L9" s="243">
        <f t="shared" si="4"/>
        <v>8.5297343166205444</v>
      </c>
      <c r="M9" s="243">
        <f t="shared" si="4"/>
        <v>8.8260723071270171</v>
      </c>
      <c r="N9" s="243">
        <f t="shared" si="4"/>
        <v>8.4954648518846145</v>
      </c>
      <c r="O9" s="243">
        <f t="shared" si="4"/>
        <v>8.7992605588736499</v>
      </c>
      <c r="P9" s="243">
        <f t="shared" si="4"/>
        <v>8.6618764761908871</v>
      </c>
      <c r="Q9" s="243">
        <f t="shared" si="4"/>
        <v>9.0851109437499424</v>
      </c>
      <c r="R9" s="243">
        <f t="shared" si="4"/>
        <v>10.002265005947239</v>
      </c>
      <c r="S9" s="243">
        <f t="shared" si="4"/>
        <v>10.22592608633577</v>
      </c>
      <c r="T9" s="243">
        <f t="shared" si="4"/>
        <v>10.198150106785299</v>
      </c>
      <c r="U9" s="243">
        <f t="shared" si="4"/>
        <v>9.8770835823525154</v>
      </c>
      <c r="V9" s="243">
        <f t="shared" si="4"/>
        <v>10.132438848178683</v>
      </c>
      <c r="W9" s="243">
        <f t="shared" si="4"/>
        <v>10.647171315216889</v>
      </c>
      <c r="X9" s="243">
        <f t="shared" ref="X9:Y9" si="5">SUM(X10:X15)</f>
        <v>9.6541334834399493</v>
      </c>
      <c r="Y9" s="243">
        <f t="shared" si="5"/>
        <v>9.4321455050189442</v>
      </c>
      <c r="DA9" s="269"/>
    </row>
    <row r="10" spans="1:105" x14ac:dyDescent="0.25">
      <c r="A10" s="253" t="s">
        <v>166</v>
      </c>
      <c r="B10" s="254">
        <v>7.3947361942017098</v>
      </c>
      <c r="C10" s="254">
        <v>7.5270733142579598</v>
      </c>
      <c r="D10" s="254">
        <v>6.9949477853551842</v>
      </c>
      <c r="E10" s="254">
        <v>7.0080923813477156</v>
      </c>
      <c r="F10" s="254">
        <v>6.0139209402353613</v>
      </c>
      <c r="G10" s="254">
        <v>5.2622127583676166</v>
      </c>
      <c r="H10" s="254">
        <v>5.626848886647223</v>
      </c>
      <c r="I10" s="254">
        <v>5.3792041917401328</v>
      </c>
      <c r="J10" s="254">
        <v>3.786974286442748</v>
      </c>
      <c r="K10" s="254">
        <v>3.5111506290856931</v>
      </c>
      <c r="L10" s="254">
        <v>3.1468713981815828</v>
      </c>
      <c r="M10" s="254">
        <v>3.6991096025975878</v>
      </c>
      <c r="N10" s="254">
        <v>3.5750683769165859</v>
      </c>
      <c r="O10" s="254">
        <v>3.086973403548479</v>
      </c>
      <c r="P10" s="254">
        <v>2.461570862011734</v>
      </c>
      <c r="Q10" s="254">
        <v>3.262222528593099</v>
      </c>
      <c r="R10" s="254">
        <v>2.8091748407135269</v>
      </c>
      <c r="S10" s="254">
        <v>3.0809312234288559</v>
      </c>
      <c r="T10" s="254">
        <v>2.6561511220261731</v>
      </c>
      <c r="U10" s="254">
        <v>3.2610850151824229</v>
      </c>
      <c r="V10" s="254">
        <v>3.5044049844198089</v>
      </c>
      <c r="W10" s="254">
        <v>3.0162234210777821</v>
      </c>
      <c r="X10" s="254">
        <v>3.0373698974413341</v>
      </c>
      <c r="Y10" s="254">
        <v>2.4235985930978869</v>
      </c>
      <c r="DA10" s="270" t="s">
        <v>998</v>
      </c>
    </row>
    <row r="11" spans="1:105" x14ac:dyDescent="0.25">
      <c r="A11" s="253" t="s">
        <v>169</v>
      </c>
      <c r="B11" s="255">
        <v>0</v>
      </c>
      <c r="C11" s="255">
        <v>0</v>
      </c>
      <c r="D11" s="255">
        <v>0</v>
      </c>
      <c r="E11" s="255">
        <v>0</v>
      </c>
      <c r="F11" s="255">
        <v>0</v>
      </c>
      <c r="G11" s="255">
        <v>0</v>
      </c>
      <c r="H11" s="255">
        <v>0</v>
      </c>
      <c r="I11" s="255">
        <v>4.0571488337853713E-2</v>
      </c>
      <c r="J11" s="255">
        <v>0</v>
      </c>
      <c r="K11" s="255">
        <v>0.2334825719980938</v>
      </c>
      <c r="L11" s="255">
        <v>0.35993103663697068</v>
      </c>
      <c r="M11" s="255">
        <v>0.60653356056057117</v>
      </c>
      <c r="N11" s="255">
        <v>0.70501595215275126</v>
      </c>
      <c r="O11" s="255">
        <v>0.56347250818746586</v>
      </c>
      <c r="P11" s="255">
        <v>0.52431177778084881</v>
      </c>
      <c r="Q11" s="255">
        <v>0.46955071421022582</v>
      </c>
      <c r="R11" s="255">
        <v>0.5139218593342153</v>
      </c>
      <c r="S11" s="255">
        <v>0.5455658167598213</v>
      </c>
      <c r="T11" s="255">
        <v>0.51494185458039077</v>
      </c>
      <c r="U11" s="255">
        <v>0.73083530883672443</v>
      </c>
      <c r="V11" s="255">
        <v>0.82723842942725456</v>
      </c>
      <c r="W11" s="255">
        <v>0.74697572013805347</v>
      </c>
      <c r="X11" s="255">
        <v>0.67227417447714688</v>
      </c>
      <c r="Y11" s="255">
        <v>0.60972834384012775</v>
      </c>
      <c r="DA11" s="271" t="s">
        <v>999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1000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1001</v>
      </c>
    </row>
    <row r="14" spans="1:105" x14ac:dyDescent="0.25">
      <c r="A14" s="253" t="s">
        <v>162</v>
      </c>
      <c r="B14" s="254">
        <v>0</v>
      </c>
      <c r="C14" s="254">
        <v>0</v>
      </c>
      <c r="D14" s="254">
        <v>0</v>
      </c>
      <c r="E14" s="254">
        <v>0</v>
      </c>
      <c r="F14" s="254">
        <v>0</v>
      </c>
      <c r="G14" s="254">
        <v>0</v>
      </c>
      <c r="H14" s="254">
        <v>0</v>
      </c>
      <c r="I14" s="254">
        <v>0</v>
      </c>
      <c r="J14" s="254">
        <v>0</v>
      </c>
      <c r="K14" s="254">
        <v>9.5528804812742618E-2</v>
      </c>
      <c r="L14" s="254">
        <v>0.1194325021451785</v>
      </c>
      <c r="M14" s="254">
        <v>0.74041272569580652</v>
      </c>
      <c r="N14" s="254">
        <v>0.74041272569739736</v>
      </c>
      <c r="O14" s="254">
        <v>1.003181427308129</v>
      </c>
      <c r="P14" s="254">
        <v>1.07480653479366</v>
      </c>
      <c r="Q14" s="254">
        <v>1.218142734290951</v>
      </c>
      <c r="R14" s="254">
        <v>1.1942390369329829</v>
      </c>
      <c r="S14" s="254">
        <v>1.2871023215486579</v>
      </c>
      <c r="T14" s="254">
        <v>1.2861564918086059</v>
      </c>
      <c r="U14" s="254">
        <v>1.2294067067739449</v>
      </c>
      <c r="V14" s="254">
        <v>0.88650042991173106</v>
      </c>
      <c r="W14" s="254">
        <v>0.8880481513087366</v>
      </c>
      <c r="X14" s="254">
        <v>0.95898538261270783</v>
      </c>
      <c r="Y14" s="254">
        <v>0.86319862421291227</v>
      </c>
      <c r="DA14" s="270" t="s">
        <v>1002</v>
      </c>
    </row>
    <row r="15" spans="1:105" x14ac:dyDescent="0.25">
      <c r="A15" s="253" t="s">
        <v>24</v>
      </c>
      <c r="B15" s="255">
        <v>1.561535833537278</v>
      </c>
      <c r="C15" s="255">
        <v>1.4747978689672481</v>
      </c>
      <c r="D15" s="255">
        <v>1.8358057658831819</v>
      </c>
      <c r="E15" s="255">
        <v>2.2384299654197148</v>
      </c>
      <c r="F15" s="255">
        <v>2.633862782986101</v>
      </c>
      <c r="G15" s="255">
        <v>2.9997058991595789</v>
      </c>
      <c r="H15" s="255">
        <v>3.2187007165611758</v>
      </c>
      <c r="I15" s="255">
        <v>3.6281649439397641</v>
      </c>
      <c r="J15" s="255">
        <v>4.9816423841314901</v>
      </c>
      <c r="K15" s="255">
        <v>4.4421855209273691</v>
      </c>
      <c r="L15" s="255">
        <v>4.9034993796568118</v>
      </c>
      <c r="M15" s="255">
        <v>3.7800164182730511</v>
      </c>
      <c r="N15" s="255">
        <v>3.4749677971178792</v>
      </c>
      <c r="O15" s="255">
        <v>4.145633219829576</v>
      </c>
      <c r="P15" s="255">
        <v>4.6011873016046456</v>
      </c>
      <c r="Q15" s="255">
        <v>4.1351949666556669</v>
      </c>
      <c r="R15" s="255">
        <v>5.4849292689665141</v>
      </c>
      <c r="S15" s="255">
        <v>5.3123267245984351</v>
      </c>
      <c r="T15" s="255">
        <v>5.7409006383701291</v>
      </c>
      <c r="U15" s="255">
        <v>4.6557565515594224</v>
      </c>
      <c r="V15" s="255">
        <v>4.9142950044198894</v>
      </c>
      <c r="W15" s="255">
        <v>5.9959240226923169</v>
      </c>
      <c r="X15" s="255">
        <v>4.9855040289087613</v>
      </c>
      <c r="Y15" s="255">
        <v>5.535619943868018</v>
      </c>
      <c r="DA15" s="271" t="s">
        <v>1003</v>
      </c>
    </row>
    <row r="16" spans="1:105" x14ac:dyDescent="0.25">
      <c r="A16" s="256" t="s">
        <v>168</v>
      </c>
      <c r="B16" s="257">
        <v>11.92372492301042</v>
      </c>
      <c r="C16" s="257">
        <v>12.02685819926084</v>
      </c>
      <c r="D16" s="257">
        <v>11.615423829046369</v>
      </c>
      <c r="E16" s="257">
        <v>11.998950509704629</v>
      </c>
      <c r="F16" s="257">
        <v>10.91512631000043</v>
      </c>
      <c r="G16" s="257">
        <v>10.124099258793979</v>
      </c>
      <c r="H16" s="257">
        <v>10.86188401837004</v>
      </c>
      <c r="I16" s="257">
        <v>10.86517705911622</v>
      </c>
      <c r="J16" s="257">
        <v>9.388937911260431</v>
      </c>
      <c r="K16" s="257">
        <v>8.8991900964398738</v>
      </c>
      <c r="L16" s="257">
        <v>8.7716925231176237</v>
      </c>
      <c r="M16" s="257">
        <v>9.5350981078642061</v>
      </c>
      <c r="N16" s="257">
        <v>9.22855614641934</v>
      </c>
      <c r="O16" s="257">
        <v>8.923877648821346</v>
      </c>
      <c r="P16" s="257">
        <v>8.1328963084064636</v>
      </c>
      <c r="Q16" s="257">
        <v>9.2345301062047191</v>
      </c>
      <c r="R16" s="257">
        <v>9.3746544987453984</v>
      </c>
      <c r="S16" s="257">
        <v>9.8347476167843144</v>
      </c>
      <c r="T16" s="257">
        <v>9.3228981166621274</v>
      </c>
      <c r="U16" s="257">
        <v>9.8877038795965362</v>
      </c>
      <c r="V16" s="257">
        <v>10.33892768973975</v>
      </c>
      <c r="W16" s="257">
        <v>10.112651351064629</v>
      </c>
      <c r="X16" s="257">
        <v>9.5119988942187064</v>
      </c>
      <c r="Y16" s="257">
        <v>8.6625143361867387</v>
      </c>
      <c r="DA16" s="272" t="s">
        <v>1004</v>
      </c>
    </row>
    <row r="17" spans="1:105" x14ac:dyDescent="0.25">
      <c r="A17" s="256" t="s">
        <v>121</v>
      </c>
      <c r="B17" s="257">
        <f t="shared" ref="B17" si="6">SUM(B18:B24)</f>
        <v>15.922216620548451</v>
      </c>
      <c r="C17" s="257">
        <f t="shared" ref="C17:W17" si="7">SUM(C18:C24)</f>
        <v>16.059934521275689</v>
      </c>
      <c r="D17" s="257">
        <f t="shared" si="7"/>
        <v>15.51053010193591</v>
      </c>
      <c r="E17" s="257">
        <f t="shared" si="7"/>
        <v>16.022668291019439</v>
      </c>
      <c r="F17" s="257">
        <f t="shared" si="7"/>
        <v>14.57539541297942</v>
      </c>
      <c r="G17" s="257">
        <f t="shared" si="7"/>
        <v>13.519106028299211</v>
      </c>
      <c r="H17" s="257">
        <f t="shared" si="7"/>
        <v>14.869143051557005</v>
      </c>
      <c r="I17" s="257">
        <f t="shared" si="7"/>
        <v>14.857659210183172</v>
      </c>
      <c r="J17" s="257">
        <f t="shared" si="7"/>
        <v>12.865324966706257</v>
      </c>
      <c r="K17" s="257">
        <f t="shared" si="7"/>
        <v>12.385676043227216</v>
      </c>
      <c r="L17" s="257">
        <f t="shared" si="7"/>
        <v>12.316346752669039</v>
      </c>
      <c r="M17" s="257">
        <f t="shared" si="7"/>
        <v>13.482040259891059</v>
      </c>
      <c r="N17" s="257">
        <f t="shared" si="7"/>
        <v>13.139769637567788</v>
      </c>
      <c r="O17" s="257">
        <f t="shared" si="7"/>
        <v>12.685427562360472</v>
      </c>
      <c r="P17" s="257">
        <f t="shared" si="7"/>
        <v>11.326069872061478</v>
      </c>
      <c r="Q17" s="257">
        <f t="shared" si="7"/>
        <v>13.029454088589347</v>
      </c>
      <c r="R17" s="257">
        <f t="shared" si="7"/>
        <v>13.671854030240199</v>
      </c>
      <c r="S17" s="257">
        <f t="shared" si="7"/>
        <v>14.454601607648838</v>
      </c>
      <c r="T17" s="257">
        <f t="shared" si="7"/>
        <v>13.832851042980467</v>
      </c>
      <c r="U17" s="257">
        <f t="shared" si="7"/>
        <v>14.822004800923706</v>
      </c>
      <c r="V17" s="257">
        <f t="shared" si="7"/>
        <v>15.369286996995385</v>
      </c>
      <c r="W17" s="257">
        <f t="shared" si="7"/>
        <v>15.002329421545504</v>
      </c>
      <c r="X17" s="257">
        <f t="shared" ref="X17:Y17" si="8">SUM(X18:X24)</f>
        <v>14.340057064725247</v>
      </c>
      <c r="Y17" s="257">
        <f t="shared" si="8"/>
        <v>13.138552592901107</v>
      </c>
      <c r="DA17" s="272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X18" s="55">
        <v>0</v>
      </c>
      <c r="Y18" s="55">
        <v>0</v>
      </c>
      <c r="DA18" s="101" t="s">
        <v>1005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1.129750644923146</v>
      </c>
      <c r="I19" s="55">
        <v>1.1297506449291881</v>
      </c>
      <c r="J19" s="55">
        <v>1.1297506449300909</v>
      </c>
      <c r="K19" s="55">
        <v>1.1297506449235111</v>
      </c>
      <c r="L19" s="55">
        <v>1.129750644939798</v>
      </c>
      <c r="M19" s="55">
        <v>1.129750644916705</v>
      </c>
      <c r="N19" s="55">
        <v>1.1297506449140109</v>
      </c>
      <c r="O19" s="55">
        <v>1.1297506449396471</v>
      </c>
      <c r="P19" s="55">
        <v>0</v>
      </c>
      <c r="Q19" s="55">
        <v>1.1297506449063159</v>
      </c>
      <c r="R19" s="55">
        <v>2.2595012898643621</v>
      </c>
      <c r="S19" s="55">
        <v>2.7385210662994202</v>
      </c>
      <c r="T19" s="55">
        <v>2.8582115219887521</v>
      </c>
      <c r="U19" s="55">
        <v>3.2299226139959809</v>
      </c>
      <c r="V19" s="55">
        <v>2.9124677558528318</v>
      </c>
      <c r="W19" s="55">
        <v>2.7238177129046299</v>
      </c>
      <c r="X19" s="55">
        <v>3.158727429140828</v>
      </c>
      <c r="Y19" s="55">
        <v>2.9237317284321809</v>
      </c>
      <c r="DA19" s="101" t="s">
        <v>1006</v>
      </c>
    </row>
    <row r="20" spans="1:105" x14ac:dyDescent="0.25">
      <c r="A20" s="61" t="s">
        <v>166</v>
      </c>
      <c r="B20" s="55">
        <v>15.922216620548451</v>
      </c>
      <c r="C20" s="55">
        <v>16.059934521275689</v>
      </c>
      <c r="D20" s="55">
        <v>15.51053010193591</v>
      </c>
      <c r="E20" s="55">
        <v>16.022668291019439</v>
      </c>
      <c r="F20" s="55">
        <v>14.57539541297942</v>
      </c>
      <c r="G20" s="55">
        <v>13.519106028299211</v>
      </c>
      <c r="H20" s="55">
        <v>13.619959904480099</v>
      </c>
      <c r="I20" s="55">
        <v>13.625143854104479</v>
      </c>
      <c r="J20" s="55">
        <v>11.71167062444071</v>
      </c>
      <c r="K20" s="55">
        <v>10.49645870114947</v>
      </c>
      <c r="L20" s="55">
        <v>10.00895190786389</v>
      </c>
      <c r="M20" s="55">
        <v>10.576106064574461</v>
      </c>
      <c r="N20" s="55">
        <v>9.9899274641106448</v>
      </c>
      <c r="O20" s="55">
        <v>9.7363463300953601</v>
      </c>
      <c r="P20" s="55">
        <v>9.3127204288016046</v>
      </c>
      <c r="Q20" s="55">
        <v>10.34492053792053</v>
      </c>
      <c r="R20" s="55">
        <v>9.5937724500366688</v>
      </c>
      <c r="S20" s="55">
        <v>9.8834004423271296</v>
      </c>
      <c r="T20" s="55">
        <v>9.1215676180169663</v>
      </c>
      <c r="U20" s="55">
        <v>9.3948005567794244</v>
      </c>
      <c r="V20" s="55">
        <v>10.003576157211191</v>
      </c>
      <c r="W20" s="55">
        <v>9.8144814097984678</v>
      </c>
      <c r="X20" s="55">
        <v>8.9174043259256681</v>
      </c>
      <c r="Y20" s="55">
        <v>7.9592869554285519</v>
      </c>
      <c r="DA20" s="101" t="s">
        <v>1007</v>
      </c>
    </row>
    <row r="21" spans="1:105" x14ac:dyDescent="0.25">
      <c r="A21" s="61" t="s">
        <v>129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X21" s="55">
        <v>0</v>
      </c>
      <c r="Y21" s="55">
        <v>0</v>
      </c>
      <c r="DA21" s="101" t="s">
        <v>1008</v>
      </c>
    </row>
    <row r="22" spans="1:105" x14ac:dyDescent="0.25">
      <c r="A22" s="61" t="s">
        <v>169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0.10276471114950469</v>
      </c>
      <c r="J22" s="55">
        <v>0</v>
      </c>
      <c r="K22" s="55">
        <v>0.69798776336016211</v>
      </c>
      <c r="L22" s="55">
        <v>1.144798112159511</v>
      </c>
      <c r="M22" s="55">
        <v>1.734137118756369</v>
      </c>
      <c r="N22" s="55">
        <v>1.970048536280405</v>
      </c>
      <c r="O22" s="55">
        <v>1.777198171158296</v>
      </c>
      <c r="P22" s="55">
        <v>1.9835987983748411</v>
      </c>
      <c r="Q22" s="55">
        <v>1.489004745829984</v>
      </c>
      <c r="R22" s="55">
        <v>1.755123712520466</v>
      </c>
      <c r="S22" s="55">
        <v>1.7501349571450739</v>
      </c>
      <c r="T22" s="55">
        <v>1.768377148028782</v>
      </c>
      <c r="U22" s="55">
        <v>2.1054501598110709</v>
      </c>
      <c r="V22" s="55">
        <v>2.36141161359448</v>
      </c>
      <c r="W22" s="55">
        <v>2.43058231947755</v>
      </c>
      <c r="X22" s="55">
        <v>1.9737275452491729</v>
      </c>
      <c r="Y22" s="55">
        <v>2.0023954739462821</v>
      </c>
      <c r="DA22" s="101" t="s">
        <v>1009</v>
      </c>
    </row>
    <row r="23" spans="1:105" x14ac:dyDescent="0.25">
      <c r="A23" s="61" t="s">
        <v>164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0.11943250215375981</v>
      </c>
      <c r="I23" s="55">
        <v>0</v>
      </c>
      <c r="J23" s="55">
        <v>2.3903697335456671E-2</v>
      </c>
      <c r="K23" s="55">
        <v>6.1478933794071877E-2</v>
      </c>
      <c r="L23" s="55">
        <v>3.2846087705837801E-2</v>
      </c>
      <c r="M23" s="55">
        <v>4.2046431643524541E-2</v>
      </c>
      <c r="N23" s="55">
        <v>5.0042992262725787E-2</v>
      </c>
      <c r="O23" s="55">
        <v>4.2132416167168521E-2</v>
      </c>
      <c r="P23" s="55">
        <v>2.9750644885031621E-2</v>
      </c>
      <c r="Q23" s="55">
        <v>6.5778159932516303E-2</v>
      </c>
      <c r="R23" s="55">
        <v>6.3456577818703827E-2</v>
      </c>
      <c r="S23" s="55">
        <v>8.2545141877215691E-2</v>
      </c>
      <c r="T23" s="55">
        <v>8.4694754945967954E-2</v>
      </c>
      <c r="U23" s="55">
        <v>9.1831470337230034E-2</v>
      </c>
      <c r="V23" s="55">
        <v>9.1831470336880772E-2</v>
      </c>
      <c r="W23" s="55">
        <v>3.3447979364855773E-2</v>
      </c>
      <c r="X23" s="55">
        <v>0.29019776440957901</v>
      </c>
      <c r="Y23" s="55">
        <v>0.25313843509409001</v>
      </c>
      <c r="DA23" s="101" t="s">
        <v>1010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1011</v>
      </c>
    </row>
    <row r="25" spans="1:105" x14ac:dyDescent="0.25">
      <c r="A25" s="256" t="s">
        <v>167</v>
      </c>
      <c r="B25" s="257">
        <v>2.2912431130034192</v>
      </c>
      <c r="C25" s="257">
        <v>2.311061031519321</v>
      </c>
      <c r="D25" s="257">
        <v>2.2320004885016291</v>
      </c>
      <c r="E25" s="257">
        <v>2.3056983363960799</v>
      </c>
      <c r="F25" s="257">
        <v>2.0974324841298642</v>
      </c>
      <c r="G25" s="257">
        <v>1.945430044038468</v>
      </c>
      <c r="H25" s="257">
        <v>2.0872015340864558</v>
      </c>
      <c r="I25" s="257">
        <v>2.087834319309132</v>
      </c>
      <c r="J25" s="257">
        <v>1.8041626644772411</v>
      </c>
      <c r="K25" s="257">
        <v>1.7100535404357611</v>
      </c>
      <c r="L25" s="257">
        <v>1.68555381919215</v>
      </c>
      <c r="M25" s="257">
        <v>1.8322485643135711</v>
      </c>
      <c r="N25" s="257">
        <v>1.7733439717854691</v>
      </c>
      <c r="O25" s="257">
        <v>1.7147974593651381</v>
      </c>
      <c r="P25" s="257">
        <v>1.5628038029832829</v>
      </c>
      <c r="Q25" s="257">
        <v>1.7744919179435681</v>
      </c>
      <c r="R25" s="257">
        <v>1.8014179877284431</v>
      </c>
      <c r="S25" s="257">
        <v>1.8898287146492361</v>
      </c>
      <c r="T25" s="257">
        <v>1.7914725675876759</v>
      </c>
      <c r="U25" s="257">
        <v>1.9000047018715469</v>
      </c>
      <c r="V25" s="257">
        <v>1.9867111173658061</v>
      </c>
      <c r="W25" s="257">
        <v>1.9432302331645559</v>
      </c>
      <c r="X25" s="257">
        <v>1.827809857909088</v>
      </c>
      <c r="Y25" s="257">
        <v>1.664574320712372</v>
      </c>
      <c r="DA25" s="272" t="s">
        <v>1012</v>
      </c>
    </row>
    <row r="26" spans="1:105" x14ac:dyDescent="0.25">
      <c r="A26" s="256" t="s">
        <v>170</v>
      </c>
      <c r="B26" s="257">
        <v>1.3213987663201781</v>
      </c>
      <c r="C26" s="257">
        <v>1.3043525501310711</v>
      </c>
      <c r="D26" s="257">
        <v>1.369726207015411</v>
      </c>
      <c r="E26" s="257">
        <v>1.4955642217368941</v>
      </c>
      <c r="F26" s="257">
        <v>1.4852652764292991</v>
      </c>
      <c r="G26" s="257">
        <v>1.4808842714132779</v>
      </c>
      <c r="H26" s="257">
        <v>1.5746605443914941</v>
      </c>
      <c r="I26" s="257">
        <v>1.647539839905386</v>
      </c>
      <c r="J26" s="257">
        <v>1.7035855384797669</v>
      </c>
      <c r="K26" s="257">
        <v>1.587917151907855</v>
      </c>
      <c r="L26" s="257">
        <v>1.6504265211195099</v>
      </c>
      <c r="M26" s="257">
        <v>1.599972640552914</v>
      </c>
      <c r="N26" s="257">
        <v>1.5234071283395749</v>
      </c>
      <c r="O26" s="257">
        <v>1.6128338029550899</v>
      </c>
      <c r="P26" s="257">
        <v>1.6249044140045079</v>
      </c>
      <c r="Q26" s="257">
        <v>1.649315262821144</v>
      </c>
      <c r="R26" s="257">
        <v>1.860881729861549</v>
      </c>
      <c r="S26" s="257">
        <v>1.8816275182181721</v>
      </c>
      <c r="T26" s="257">
        <v>1.8922669917523429</v>
      </c>
      <c r="U26" s="257">
        <v>1.78367242132457</v>
      </c>
      <c r="V26" s="257">
        <v>1.8577256937917099</v>
      </c>
      <c r="W26" s="257">
        <v>2.0006604231619569</v>
      </c>
      <c r="X26" s="257">
        <v>1.7768458837075241</v>
      </c>
      <c r="Y26" s="257">
        <v>1.76790610561398</v>
      </c>
      <c r="DA26" s="272" t="s">
        <v>1013</v>
      </c>
    </row>
    <row r="27" spans="1:105" x14ac:dyDescent="0.25">
      <c r="A27" s="128" t="s">
        <v>33</v>
      </c>
      <c r="B27" s="258">
        <v>1.9160282111642579</v>
      </c>
      <c r="C27" s="258">
        <v>1.8913111976900541</v>
      </c>
      <c r="D27" s="258">
        <v>1.986103000172345</v>
      </c>
      <c r="E27" s="258">
        <v>2.1685681215184962</v>
      </c>
      <c r="F27" s="258">
        <v>2.1536346508224842</v>
      </c>
      <c r="G27" s="258">
        <v>2.1472821935492541</v>
      </c>
      <c r="H27" s="258">
        <v>2.2832577893676671</v>
      </c>
      <c r="I27" s="258">
        <v>2.3889327678628098</v>
      </c>
      <c r="J27" s="258">
        <v>2.4701990307956621</v>
      </c>
      <c r="K27" s="258">
        <v>2.30247987026639</v>
      </c>
      <c r="L27" s="258">
        <v>2.3931184556232901</v>
      </c>
      <c r="M27" s="258">
        <v>2.319960328801725</v>
      </c>
      <c r="N27" s="258">
        <v>2.2089403360923838</v>
      </c>
      <c r="O27" s="258">
        <v>2.3386090142848799</v>
      </c>
      <c r="P27" s="258">
        <v>2.3561114003065371</v>
      </c>
      <c r="Q27" s="258">
        <v>2.391507131090659</v>
      </c>
      <c r="R27" s="258">
        <v>2.698278508299246</v>
      </c>
      <c r="S27" s="258">
        <v>2.728359901416348</v>
      </c>
      <c r="T27" s="258">
        <v>2.743787138040898</v>
      </c>
      <c r="U27" s="258">
        <v>2.5863250109206271</v>
      </c>
      <c r="V27" s="258">
        <v>2.6937022559979789</v>
      </c>
      <c r="W27" s="258">
        <v>2.9009576135848372</v>
      </c>
      <c r="X27" s="258">
        <v>2.57642653137591</v>
      </c>
      <c r="Y27" s="258">
        <v>2.5634638531402709</v>
      </c>
      <c r="DA27" s="273" t="s">
        <v>1014</v>
      </c>
    </row>
    <row r="29" spans="1:105" ht="12.75" x14ac:dyDescent="0.25">
      <c r="A29" s="178" t="s">
        <v>127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0.99999999999999978</v>
      </c>
      <c r="C31" s="235">
        <f t="shared" si="9"/>
        <v>1</v>
      </c>
      <c r="D31" s="235">
        <f t="shared" si="9"/>
        <v>1</v>
      </c>
      <c r="E31" s="235">
        <f t="shared" si="9"/>
        <v>1</v>
      </c>
      <c r="F31" s="235">
        <f t="shared" si="9"/>
        <v>1</v>
      </c>
      <c r="G31" s="235">
        <f t="shared" si="9"/>
        <v>1</v>
      </c>
      <c r="H31" s="235">
        <f t="shared" si="9"/>
        <v>1</v>
      </c>
      <c r="I31" s="235">
        <f t="shared" si="9"/>
        <v>1.0000000000000002</v>
      </c>
      <c r="J31" s="235">
        <f t="shared" si="9"/>
        <v>1</v>
      </c>
      <c r="K31" s="235">
        <f t="shared" si="9"/>
        <v>1.0000000000000002</v>
      </c>
      <c r="L31" s="235">
        <f t="shared" si="9"/>
        <v>0.99999999999999978</v>
      </c>
      <c r="M31" s="235">
        <f t="shared" si="9"/>
        <v>0.99999999999999989</v>
      </c>
      <c r="N31" s="235">
        <f t="shared" si="9"/>
        <v>1</v>
      </c>
      <c r="O31" s="235">
        <f t="shared" si="9"/>
        <v>1.0000000000000002</v>
      </c>
      <c r="P31" s="235">
        <f t="shared" si="9"/>
        <v>1</v>
      </c>
      <c r="Q31" s="235">
        <f t="shared" si="9"/>
        <v>0.99999999999999978</v>
      </c>
      <c r="R31" s="235">
        <f t="shared" ref="R31:W31" si="10">SUM(R32:R40)</f>
        <v>1</v>
      </c>
      <c r="S31" s="235">
        <f t="shared" si="10"/>
        <v>0.99999999999999989</v>
      </c>
      <c r="T31" s="235">
        <f t="shared" si="10"/>
        <v>0.99999999999999989</v>
      </c>
      <c r="U31" s="235">
        <f t="shared" si="10"/>
        <v>1.0000000000000002</v>
      </c>
      <c r="V31" s="235">
        <f t="shared" si="10"/>
        <v>1.0000000000000002</v>
      </c>
      <c r="W31" s="235">
        <f t="shared" si="10"/>
        <v>1</v>
      </c>
      <c r="X31" s="235">
        <f t="shared" ref="X31:Y31" si="11">SUM(X32:X40)</f>
        <v>1</v>
      </c>
      <c r="Y31" s="235">
        <f t="shared" si="11"/>
        <v>1</v>
      </c>
      <c r="DA31" s="274"/>
    </row>
    <row r="32" spans="1:105" x14ac:dyDescent="0.25">
      <c r="A32" s="238" t="s">
        <v>125</v>
      </c>
      <c r="B32" s="244">
        <f t="shared" ref="B32:Y32" si="12">IF(B$6=0,0,B$6/B$5)</f>
        <v>2.8914348795322644E-2</v>
      </c>
      <c r="C32" s="244">
        <f t="shared" si="12"/>
        <v>2.8403969815867548E-2</v>
      </c>
      <c r="D32" s="244">
        <f t="shared" si="12"/>
        <v>3.0413124692802909E-2</v>
      </c>
      <c r="E32" s="244">
        <f t="shared" si="12"/>
        <v>3.1785577871251497E-2</v>
      </c>
      <c r="F32" s="244">
        <f t="shared" si="12"/>
        <v>3.4017293955678651E-2</v>
      </c>
      <c r="G32" s="244">
        <f t="shared" si="12"/>
        <v>3.5895895198170907E-2</v>
      </c>
      <c r="H32" s="244">
        <f t="shared" si="12"/>
        <v>3.5356168647321995E-2</v>
      </c>
      <c r="I32" s="244">
        <f t="shared" si="12"/>
        <v>3.653380564502641E-2</v>
      </c>
      <c r="J32" s="244">
        <f t="shared" si="12"/>
        <v>4.1204178945515792E-2</v>
      </c>
      <c r="K32" s="244">
        <f t="shared" si="12"/>
        <v>4.0490682749726732E-2</v>
      </c>
      <c r="L32" s="244">
        <f t="shared" si="12"/>
        <v>4.1724366760037164E-2</v>
      </c>
      <c r="M32" s="244">
        <f t="shared" si="12"/>
        <v>3.8391368003958044E-2</v>
      </c>
      <c r="N32" s="244">
        <f t="shared" si="12"/>
        <v>3.7844703266836838E-2</v>
      </c>
      <c r="O32" s="244">
        <f t="shared" si="12"/>
        <v>4.013269073489871E-2</v>
      </c>
      <c r="P32" s="244">
        <f t="shared" si="12"/>
        <v>4.2977601856847215E-2</v>
      </c>
      <c r="Q32" s="244">
        <f t="shared" si="12"/>
        <v>3.9867264918598523E-2</v>
      </c>
      <c r="R32" s="244">
        <f t="shared" si="12"/>
        <v>4.214468532415578E-2</v>
      </c>
      <c r="S32" s="244">
        <f t="shared" si="12"/>
        <v>4.1071695689399085E-2</v>
      </c>
      <c r="T32" s="244">
        <f t="shared" si="12"/>
        <v>4.242113188366415E-2</v>
      </c>
      <c r="U32" s="244">
        <f t="shared" si="12"/>
        <v>3.928347478137937E-2</v>
      </c>
      <c r="V32" s="244">
        <f t="shared" si="12"/>
        <v>3.9428770800000713E-2</v>
      </c>
      <c r="W32" s="244">
        <f t="shared" si="12"/>
        <v>4.1934931695972198E-2</v>
      </c>
      <c r="X32" s="244">
        <f t="shared" si="12"/>
        <v>4.0183560834286494E-2</v>
      </c>
      <c r="Y32" s="244">
        <f t="shared" si="12"/>
        <v>4.2357923812673122E-2</v>
      </c>
      <c r="DA32" s="275"/>
    </row>
    <row r="33" spans="1:105" x14ac:dyDescent="0.25">
      <c r="A33" s="240" t="s">
        <v>124</v>
      </c>
      <c r="B33" s="245">
        <f t="shared" ref="B33:Y33" si="13">IF(B$7=0,0,B$7/B$5)</f>
        <v>1.8794326716959717E-2</v>
      </c>
      <c r="C33" s="245">
        <f t="shared" si="13"/>
        <v>1.8462580380313908E-2</v>
      </c>
      <c r="D33" s="245">
        <f t="shared" si="13"/>
        <v>1.9768531050321881E-2</v>
      </c>
      <c r="E33" s="245">
        <f t="shared" si="13"/>
        <v>2.0660625616313457E-2</v>
      </c>
      <c r="F33" s="245">
        <f t="shared" si="13"/>
        <v>2.2111241071191123E-2</v>
      </c>
      <c r="G33" s="245">
        <f t="shared" si="13"/>
        <v>2.3332331878811088E-2</v>
      </c>
      <c r="H33" s="245">
        <f t="shared" si="13"/>
        <v>2.2981509620759295E-2</v>
      </c>
      <c r="I33" s="245">
        <f t="shared" si="13"/>
        <v>2.3746973669267167E-2</v>
      </c>
      <c r="J33" s="245">
        <f t="shared" si="13"/>
        <v>2.6782716314585248E-2</v>
      </c>
      <c r="K33" s="245">
        <f t="shared" si="13"/>
        <v>2.6318943787322354E-2</v>
      </c>
      <c r="L33" s="245">
        <f t="shared" si="13"/>
        <v>2.7120838394024144E-2</v>
      </c>
      <c r="M33" s="245">
        <f t="shared" si="13"/>
        <v>2.4954389202572702E-2</v>
      </c>
      <c r="N33" s="245">
        <f t="shared" si="13"/>
        <v>2.4599057123443943E-2</v>
      </c>
      <c r="O33" s="245">
        <f t="shared" si="13"/>
        <v>2.6086248977684152E-2</v>
      </c>
      <c r="P33" s="245">
        <f t="shared" si="13"/>
        <v>2.7935441206950688E-2</v>
      </c>
      <c r="Q33" s="245">
        <f t="shared" si="13"/>
        <v>2.5913722197089026E-2</v>
      </c>
      <c r="R33" s="245">
        <f t="shared" si="13"/>
        <v>2.7394045460701257E-2</v>
      </c>
      <c r="S33" s="245">
        <f t="shared" si="13"/>
        <v>2.6696602198109383E-2</v>
      </c>
      <c r="T33" s="245">
        <f t="shared" si="13"/>
        <v>2.7573735724381699E-2</v>
      </c>
      <c r="U33" s="245">
        <f t="shared" si="13"/>
        <v>2.5534258607896577E-2</v>
      </c>
      <c r="V33" s="245">
        <f t="shared" si="13"/>
        <v>2.5628701020000456E-2</v>
      </c>
      <c r="W33" s="245">
        <f t="shared" si="13"/>
        <v>2.7257705602381926E-2</v>
      </c>
      <c r="X33" s="245">
        <f t="shared" si="13"/>
        <v>2.6119314542286207E-2</v>
      </c>
      <c r="Y33" s="245">
        <f t="shared" si="13"/>
        <v>2.7532650478237528E-2</v>
      </c>
      <c r="DA33" s="276"/>
    </row>
    <row r="34" spans="1:105" x14ac:dyDescent="0.25">
      <c r="A34" s="240" t="s">
        <v>123</v>
      </c>
      <c r="B34" s="245">
        <f t="shared" ref="B34:Y34" si="14">IF(B$8=0,0,B$8/B$5)</f>
        <v>2.6022913915790376E-2</v>
      </c>
      <c r="C34" s="245">
        <f t="shared" si="14"/>
        <v>2.556357283428079E-2</v>
      </c>
      <c r="D34" s="245">
        <f t="shared" si="14"/>
        <v>2.7371812223522599E-2</v>
      </c>
      <c r="E34" s="245">
        <f t="shared" si="14"/>
        <v>2.8607020084126331E-2</v>
      </c>
      <c r="F34" s="245">
        <f t="shared" si="14"/>
        <v>3.0615564560110779E-2</v>
      </c>
      <c r="G34" s="245">
        <f t="shared" si="14"/>
        <v>3.2306305678353818E-2</v>
      </c>
      <c r="H34" s="245">
        <f t="shared" si="14"/>
        <v>3.1820551782589808E-2</v>
      </c>
      <c r="I34" s="245">
        <f t="shared" si="14"/>
        <v>3.288042508052378E-2</v>
      </c>
      <c r="J34" s="245">
        <f t="shared" si="14"/>
        <v>3.7083761050964205E-2</v>
      </c>
      <c r="K34" s="245">
        <f t="shared" si="14"/>
        <v>3.6441614474754046E-2</v>
      </c>
      <c r="L34" s="245">
        <f t="shared" si="14"/>
        <v>3.7551930084033444E-2</v>
      </c>
      <c r="M34" s="245">
        <f t="shared" si="14"/>
        <v>3.4552231203562225E-2</v>
      </c>
      <c r="N34" s="245">
        <f t="shared" si="14"/>
        <v>3.4060232940153146E-2</v>
      </c>
      <c r="O34" s="245">
        <f t="shared" si="14"/>
        <v>3.6119421661408843E-2</v>
      </c>
      <c r="P34" s="245">
        <f t="shared" si="14"/>
        <v>3.8679841671162493E-2</v>
      </c>
      <c r="Q34" s="245">
        <f t="shared" si="14"/>
        <v>3.5880538426738655E-2</v>
      </c>
      <c r="R34" s="245">
        <f t="shared" si="14"/>
        <v>3.7930216791740197E-2</v>
      </c>
      <c r="S34" s="245">
        <f t="shared" si="14"/>
        <v>3.6964526120459175E-2</v>
      </c>
      <c r="T34" s="245">
        <f t="shared" si="14"/>
        <v>3.8179018695297745E-2</v>
      </c>
      <c r="U34" s="245">
        <f t="shared" si="14"/>
        <v>3.5355127303241432E-2</v>
      </c>
      <c r="V34" s="245">
        <f t="shared" si="14"/>
        <v>3.548589372000064E-2</v>
      </c>
      <c r="W34" s="245">
        <f t="shared" si="14"/>
        <v>3.7741438526374974E-2</v>
      </c>
      <c r="X34" s="245">
        <f t="shared" si="14"/>
        <v>3.6165204750857834E-2</v>
      </c>
      <c r="Y34" s="245">
        <f t="shared" si="14"/>
        <v>3.8122131431405817E-2</v>
      </c>
      <c r="DA34" s="276"/>
    </row>
    <row r="35" spans="1:105" x14ac:dyDescent="0.25">
      <c r="A35" s="242" t="s">
        <v>122</v>
      </c>
      <c r="B35" s="246">
        <f t="shared" ref="B35:Y35" si="15">IF(B$9=0,0,B$9/B$5)</f>
        <v>0.19597776228972877</v>
      </c>
      <c r="C35" s="246">
        <f t="shared" si="15"/>
        <v>0.19602742935486511</v>
      </c>
      <c r="D35" s="246">
        <f t="shared" si="15"/>
        <v>0.19607627240368833</v>
      </c>
      <c r="E35" s="246">
        <f t="shared" si="15"/>
        <v>0.19651851242477</v>
      </c>
      <c r="F35" s="246">
        <f t="shared" si="15"/>
        <v>0.19806172381891055</v>
      </c>
      <c r="G35" s="246">
        <f t="shared" si="15"/>
        <v>0.20026478232723702</v>
      </c>
      <c r="H35" s="246">
        <f t="shared" si="15"/>
        <v>0.19861089722683326</v>
      </c>
      <c r="I35" s="246">
        <f t="shared" si="15"/>
        <v>0.20063593986570089</v>
      </c>
      <c r="J35" s="246">
        <f t="shared" si="15"/>
        <v>0.21208424363674233</v>
      </c>
      <c r="K35" s="246">
        <f t="shared" si="15"/>
        <v>0.2111935787888452</v>
      </c>
      <c r="L35" s="246">
        <f t="shared" si="15"/>
        <v>0.21563987153511055</v>
      </c>
      <c r="M35" s="246">
        <f t="shared" si="15"/>
        <v>0.21178174012735568</v>
      </c>
      <c r="N35" s="246">
        <f t="shared" si="15"/>
        <v>0.21104558358200712</v>
      </c>
      <c r="O35" s="246">
        <f t="shared" si="15"/>
        <v>0.21895498597439891</v>
      </c>
      <c r="P35" s="246">
        <f t="shared" si="15"/>
        <v>0.22910066297960707</v>
      </c>
      <c r="Q35" s="246">
        <f t="shared" si="15"/>
        <v>0.21960539199146145</v>
      </c>
      <c r="R35" s="246">
        <f t="shared" si="15"/>
        <v>0.22652826584300151</v>
      </c>
      <c r="S35" s="246">
        <f t="shared" si="15"/>
        <v>0.22320896154728351</v>
      </c>
      <c r="T35" s="246">
        <f t="shared" si="15"/>
        <v>0.22862369450767395</v>
      </c>
      <c r="U35" s="246">
        <f t="shared" si="15"/>
        <v>0.21753218762713428</v>
      </c>
      <c r="V35" s="246">
        <f t="shared" si="15"/>
        <v>0.2150530674819067</v>
      </c>
      <c r="W35" s="246">
        <f t="shared" si="15"/>
        <v>0.22317050744337671</v>
      </c>
      <c r="X35" s="246">
        <f t="shared" si="15"/>
        <v>0.21832926743464684</v>
      </c>
      <c r="Y35" s="246">
        <f t="shared" si="15"/>
        <v>0.22598830301165085</v>
      </c>
      <c r="DA35" s="277"/>
    </row>
    <row r="36" spans="1:105" x14ac:dyDescent="0.25">
      <c r="A36" s="127" t="s">
        <v>168</v>
      </c>
      <c r="B36" s="259">
        <f t="shared" ref="B36:Y36" si="16">IF(B$16=0,0,B$16/B$5)</f>
        <v>0.26091044592353368</v>
      </c>
      <c r="C36" s="259">
        <f t="shared" si="16"/>
        <v>0.26190044803239465</v>
      </c>
      <c r="D36" s="259">
        <f t="shared" si="16"/>
        <v>0.25790653012494114</v>
      </c>
      <c r="E36" s="259">
        <f t="shared" si="16"/>
        <v>0.2550165150090129</v>
      </c>
      <c r="F36" s="259">
        <f t="shared" si="16"/>
        <v>0.24999107307166701</v>
      </c>
      <c r="G36" s="259">
        <f t="shared" si="16"/>
        <v>0.24540311014494445</v>
      </c>
      <c r="H36" s="259">
        <f t="shared" si="16"/>
        <v>0.24388405777293898</v>
      </c>
      <c r="I36" s="259">
        <f t="shared" si="16"/>
        <v>0.24093272730773374</v>
      </c>
      <c r="J36" s="259">
        <f t="shared" si="16"/>
        <v>0.22708779164041179</v>
      </c>
      <c r="K36" s="259">
        <f t="shared" si="16"/>
        <v>0.2269225963656363</v>
      </c>
      <c r="L36" s="259">
        <f t="shared" si="16"/>
        <v>0.22175680726008726</v>
      </c>
      <c r="M36" s="259">
        <f t="shared" si="16"/>
        <v>0.22879482507048052</v>
      </c>
      <c r="N36" s="259">
        <f t="shared" si="16"/>
        <v>0.22925714501759453</v>
      </c>
      <c r="O36" s="259">
        <f t="shared" si="16"/>
        <v>0.22205587530471338</v>
      </c>
      <c r="P36" s="259">
        <f t="shared" si="16"/>
        <v>0.21510950211791707</v>
      </c>
      <c r="Q36" s="259">
        <f t="shared" si="16"/>
        <v>0.223217153470774</v>
      </c>
      <c r="R36" s="259">
        <f t="shared" si="16"/>
        <v>0.21231433332504224</v>
      </c>
      <c r="S36" s="259">
        <f t="shared" si="16"/>
        <v>0.21467041557784719</v>
      </c>
      <c r="T36" s="259">
        <f t="shared" si="16"/>
        <v>0.20900216104210789</v>
      </c>
      <c r="U36" s="259">
        <f t="shared" si="16"/>
        <v>0.21776608829968402</v>
      </c>
      <c r="V36" s="259">
        <f t="shared" si="16"/>
        <v>0.21943563119078857</v>
      </c>
      <c r="W36" s="259">
        <f t="shared" si="16"/>
        <v>0.21196667798418617</v>
      </c>
      <c r="X36" s="259">
        <f t="shared" si="16"/>
        <v>0.21511487840687663</v>
      </c>
      <c r="Y36" s="259">
        <f t="shared" si="16"/>
        <v>0.20754842189481323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0.348403931269957</v>
      </c>
      <c r="C37" s="259">
        <f t="shared" si="17"/>
        <v>0.34972591983761209</v>
      </c>
      <c r="D37" s="259">
        <f t="shared" si="17"/>
        <v>0.34439268492169717</v>
      </c>
      <c r="E37" s="259">
        <f t="shared" si="17"/>
        <v>0.34053353461341823</v>
      </c>
      <c r="F37" s="259">
        <f t="shared" si="17"/>
        <v>0.33382286528340094</v>
      </c>
      <c r="G37" s="259">
        <f t="shared" si="17"/>
        <v>0.32769637880052771</v>
      </c>
      <c r="H37" s="259">
        <f t="shared" si="17"/>
        <v>0.33385984759982745</v>
      </c>
      <c r="I37" s="259">
        <f t="shared" si="17"/>
        <v>0.32946507318210932</v>
      </c>
      <c r="J37" s="259">
        <f t="shared" si="17"/>
        <v>0.31117025834430828</v>
      </c>
      <c r="K37" s="259">
        <f t="shared" si="17"/>
        <v>0.31582534309466642</v>
      </c>
      <c r="L37" s="259">
        <f t="shared" si="17"/>
        <v>0.31136906882929566</v>
      </c>
      <c r="M37" s="259">
        <f t="shared" si="17"/>
        <v>0.32350176243187956</v>
      </c>
      <c r="N37" s="259">
        <f t="shared" si="17"/>
        <v>0.32642008408503465</v>
      </c>
      <c r="O37" s="259">
        <f t="shared" si="17"/>
        <v>0.315655798053948</v>
      </c>
      <c r="P37" s="259">
        <f t="shared" si="17"/>
        <v>0.29956674212280171</v>
      </c>
      <c r="Q37" s="259">
        <f t="shared" si="17"/>
        <v>0.31494809367494375</v>
      </c>
      <c r="R37" s="259">
        <f t="shared" si="17"/>
        <v>0.30963600569345884</v>
      </c>
      <c r="S37" s="259">
        <f t="shared" si="17"/>
        <v>0.31551143507033685</v>
      </c>
      <c r="T37" s="259">
        <f t="shared" si="17"/>
        <v>0.31010697802107823</v>
      </c>
      <c r="U37" s="259">
        <f t="shared" si="17"/>
        <v>0.32643878149676125</v>
      </c>
      <c r="V37" s="259">
        <f t="shared" si="17"/>
        <v>0.32620106207774002</v>
      </c>
      <c r="W37" s="259">
        <f t="shared" si="17"/>
        <v>0.31445699244586711</v>
      </c>
      <c r="X37" s="259">
        <f t="shared" si="17"/>
        <v>0.32430193339287794</v>
      </c>
      <c r="Y37" s="259">
        <f t="shared" si="17"/>
        <v>0.31479149711156651</v>
      </c>
      <c r="DA37" s="278"/>
    </row>
    <row r="38" spans="1:105" x14ac:dyDescent="0.25">
      <c r="A38" s="127" t="s">
        <v>167</v>
      </c>
      <c r="B38" s="259">
        <f t="shared" ref="B38:Y38" si="18">IF(B$25=0,0,B$25/B$5)</f>
        <v>5.013611654016728E-2</v>
      </c>
      <c r="C38" s="259">
        <f t="shared" si="18"/>
        <v>5.0326353695790436E-2</v>
      </c>
      <c r="D38" s="259">
        <f t="shared" si="18"/>
        <v>4.9558889085658926E-2</v>
      </c>
      <c r="E38" s="259">
        <f t="shared" si="18"/>
        <v>4.9003548596541477E-2</v>
      </c>
      <c r="F38" s="259">
        <f t="shared" si="18"/>
        <v>4.8037868047628329E-2</v>
      </c>
      <c r="G38" s="259">
        <f t="shared" si="18"/>
        <v>4.7156252736436297E-2</v>
      </c>
      <c r="H38" s="259">
        <f t="shared" si="18"/>
        <v>4.6864354163790374E-2</v>
      </c>
      <c r="I38" s="259">
        <f t="shared" si="18"/>
        <v>4.6297231419324104E-2</v>
      </c>
      <c r="J38" s="259">
        <f t="shared" si="18"/>
        <v>4.3636811650958791E-2</v>
      </c>
      <c r="K38" s="259">
        <f t="shared" si="18"/>
        <v>4.360506800221866E-2</v>
      </c>
      <c r="L38" s="259">
        <f t="shared" si="18"/>
        <v>4.261241857532052E-2</v>
      </c>
      <c r="M38" s="259">
        <f t="shared" si="18"/>
        <v>4.3964832350494018E-2</v>
      </c>
      <c r="N38" s="259">
        <f t="shared" si="18"/>
        <v>4.4053670981179391E-2</v>
      </c>
      <c r="O38" s="259">
        <f t="shared" si="18"/>
        <v>4.2669886992446317E-2</v>
      </c>
      <c r="P38" s="259">
        <f t="shared" si="18"/>
        <v>4.1335083495438088E-2</v>
      </c>
      <c r="Q38" s="259">
        <f t="shared" si="18"/>
        <v>4.2893036269827996E-2</v>
      </c>
      <c r="R38" s="259">
        <f t="shared" si="18"/>
        <v>4.0797968517718566E-2</v>
      </c>
      <c r="S38" s="259">
        <f t="shared" si="18"/>
        <v>4.1250709357537087E-2</v>
      </c>
      <c r="T38" s="259">
        <f t="shared" si="18"/>
        <v>4.0161507010819074E-2</v>
      </c>
      <c r="U38" s="259">
        <f t="shared" si="18"/>
        <v>4.1845568669523832E-2</v>
      </c>
      <c r="V38" s="259">
        <f t="shared" si="18"/>
        <v>4.216638524956124E-2</v>
      </c>
      <c r="W38" s="259">
        <f t="shared" si="18"/>
        <v>4.0731163646709014E-2</v>
      </c>
      <c r="X38" s="259">
        <f t="shared" si="18"/>
        <v>4.1336116594166146E-2</v>
      </c>
      <c r="Y38" s="259">
        <f t="shared" si="18"/>
        <v>3.988215891860384E-2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2.8914348795322644E-2</v>
      </c>
      <c r="C39" s="259">
        <f t="shared" si="19"/>
        <v>2.8403969815867548E-2</v>
      </c>
      <c r="D39" s="259">
        <f t="shared" si="19"/>
        <v>3.0413124692802909E-2</v>
      </c>
      <c r="E39" s="259">
        <f t="shared" si="19"/>
        <v>3.1785577871251497E-2</v>
      </c>
      <c r="F39" s="259">
        <f t="shared" si="19"/>
        <v>3.4017293955678651E-2</v>
      </c>
      <c r="G39" s="259">
        <f t="shared" si="19"/>
        <v>3.5895895198170907E-2</v>
      </c>
      <c r="H39" s="259">
        <f t="shared" si="19"/>
        <v>3.5356168647321995E-2</v>
      </c>
      <c r="I39" s="259">
        <f t="shared" si="19"/>
        <v>3.653380564502641E-2</v>
      </c>
      <c r="J39" s="259">
        <f t="shared" si="19"/>
        <v>4.1204178945515792E-2</v>
      </c>
      <c r="K39" s="259">
        <f t="shared" si="19"/>
        <v>4.0490682749726732E-2</v>
      </c>
      <c r="L39" s="259">
        <f t="shared" si="19"/>
        <v>4.1724366760037164E-2</v>
      </c>
      <c r="M39" s="259">
        <f t="shared" si="19"/>
        <v>3.8391368003958044E-2</v>
      </c>
      <c r="N39" s="259">
        <f t="shared" si="19"/>
        <v>3.7844703266836838E-2</v>
      </c>
      <c r="O39" s="259">
        <f t="shared" si="19"/>
        <v>4.013269073489871E-2</v>
      </c>
      <c r="P39" s="259">
        <f t="shared" si="19"/>
        <v>4.2977601856847215E-2</v>
      </c>
      <c r="Q39" s="259">
        <f t="shared" si="19"/>
        <v>3.9867264918598523E-2</v>
      </c>
      <c r="R39" s="259">
        <f t="shared" si="19"/>
        <v>4.214468532415578E-2</v>
      </c>
      <c r="S39" s="259">
        <f t="shared" si="19"/>
        <v>4.1071695689399085E-2</v>
      </c>
      <c r="T39" s="259">
        <f t="shared" si="19"/>
        <v>4.242113188366415E-2</v>
      </c>
      <c r="U39" s="259">
        <f t="shared" si="19"/>
        <v>3.928347478137937E-2</v>
      </c>
      <c r="V39" s="259">
        <f t="shared" si="19"/>
        <v>3.9428770800000713E-2</v>
      </c>
      <c r="W39" s="259">
        <f t="shared" si="19"/>
        <v>4.1934931695972198E-2</v>
      </c>
      <c r="X39" s="259">
        <f t="shared" si="19"/>
        <v>4.0183560834286494E-2</v>
      </c>
      <c r="Y39" s="259">
        <f t="shared" si="19"/>
        <v>4.2357923812673122E-2</v>
      </c>
      <c r="DA39" s="278"/>
    </row>
    <row r="40" spans="1:105" x14ac:dyDescent="0.25">
      <c r="A40" s="260" t="s">
        <v>33</v>
      </c>
      <c r="B40" s="261">
        <f t="shared" ref="B40:Y40" si="20">IF(B$27=0,0,B$27/B$5)</f>
        <v>4.1925805753217832E-2</v>
      </c>
      <c r="C40" s="261">
        <f t="shared" si="20"/>
        <v>4.1185756233007964E-2</v>
      </c>
      <c r="D40" s="261">
        <f t="shared" si="20"/>
        <v>4.4099030804564197E-2</v>
      </c>
      <c r="E40" s="261">
        <f t="shared" si="20"/>
        <v>4.6089087913314661E-2</v>
      </c>
      <c r="F40" s="261">
        <f t="shared" si="20"/>
        <v>4.9325076235734053E-2</v>
      </c>
      <c r="G40" s="261">
        <f t="shared" si="20"/>
        <v>5.2049048037347841E-2</v>
      </c>
      <c r="H40" s="261">
        <f t="shared" si="20"/>
        <v>5.1266444538616916E-2</v>
      </c>
      <c r="I40" s="261">
        <f t="shared" si="20"/>
        <v>5.2974018185288303E-2</v>
      </c>
      <c r="J40" s="261">
        <f t="shared" si="20"/>
        <v>5.9746059470997898E-2</v>
      </c>
      <c r="K40" s="261">
        <f t="shared" si="20"/>
        <v>5.8711489987103765E-2</v>
      </c>
      <c r="L40" s="261">
        <f t="shared" si="20"/>
        <v>6.05003318020539E-2</v>
      </c>
      <c r="M40" s="261">
        <f t="shared" si="20"/>
        <v>5.566748360573915E-2</v>
      </c>
      <c r="N40" s="261">
        <f t="shared" si="20"/>
        <v>5.4874819736913424E-2</v>
      </c>
      <c r="O40" s="261">
        <f t="shared" si="20"/>
        <v>5.8192401565603118E-2</v>
      </c>
      <c r="P40" s="261">
        <f t="shared" si="20"/>
        <v>6.2317522692428483E-2</v>
      </c>
      <c r="Q40" s="261">
        <f t="shared" si="20"/>
        <v>5.7807534131967861E-2</v>
      </c>
      <c r="R40" s="261">
        <f t="shared" si="20"/>
        <v>6.1109793720025875E-2</v>
      </c>
      <c r="S40" s="261">
        <f t="shared" si="20"/>
        <v>5.9553958749628634E-2</v>
      </c>
      <c r="T40" s="261">
        <f t="shared" si="20"/>
        <v>6.1510641231313036E-2</v>
      </c>
      <c r="U40" s="261">
        <f t="shared" si="20"/>
        <v>5.69610384330001E-2</v>
      </c>
      <c r="V40" s="261">
        <f t="shared" si="20"/>
        <v>5.7171717660001023E-2</v>
      </c>
      <c r="W40" s="261">
        <f t="shared" si="20"/>
        <v>6.0805650959159678E-2</v>
      </c>
      <c r="X40" s="261">
        <f t="shared" si="20"/>
        <v>5.8266163209715421E-2</v>
      </c>
      <c r="Y40" s="261">
        <f t="shared" si="20"/>
        <v>6.1418989528376031E-2</v>
      </c>
      <c r="DA40" s="279"/>
    </row>
    <row r="42" spans="1:105" ht="12.75" x14ac:dyDescent="0.25">
      <c r="A42" s="178" t="s">
        <v>23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6">
        <f t="shared" ref="B44:Y44" si="21">SUM(B$45:B$53)</f>
        <v>112.47171201628669</v>
      </c>
      <c r="C44" s="236">
        <f t="shared" si="21"/>
        <v>109.81942433546168</v>
      </c>
      <c r="D44" s="236">
        <f t="shared" si="21"/>
        <v>113.80906613357632</v>
      </c>
      <c r="E44" s="236">
        <f t="shared" si="21"/>
        <v>119.53787119840253</v>
      </c>
      <c r="F44" s="236">
        <f t="shared" si="21"/>
        <v>117.30616060932351</v>
      </c>
      <c r="G44" s="236">
        <f t="shared" si="21"/>
        <v>134.29403412451353</v>
      </c>
      <c r="H44" s="236">
        <f t="shared" si="21"/>
        <v>130.05722800154632</v>
      </c>
      <c r="I44" s="236">
        <f t="shared" si="21"/>
        <v>117.81469406104158</v>
      </c>
      <c r="J44" s="236">
        <f t="shared" si="21"/>
        <v>123.49619118298851</v>
      </c>
      <c r="K44" s="236">
        <f t="shared" si="21"/>
        <v>137.83360398812138</v>
      </c>
      <c r="L44" s="236">
        <f t="shared" si="21"/>
        <v>128.47617233393535</v>
      </c>
      <c r="M44" s="236">
        <f t="shared" si="21"/>
        <v>116.02131221383355</v>
      </c>
      <c r="N44" s="236">
        <f t="shared" si="21"/>
        <v>118.31216844961233</v>
      </c>
      <c r="O44" s="236">
        <f t="shared" si="21"/>
        <v>117.89482713876832</v>
      </c>
      <c r="P44" s="236">
        <f t="shared" si="21"/>
        <v>114.21265320772913</v>
      </c>
      <c r="Q44" s="236">
        <f t="shared" si="21"/>
        <v>116.67728719019786</v>
      </c>
      <c r="R44" s="236">
        <f t="shared" si="21"/>
        <v>118.41249825520158</v>
      </c>
      <c r="S44" s="236">
        <f t="shared" si="21"/>
        <v>109.25986032686184</v>
      </c>
      <c r="T44" s="236">
        <f t="shared" si="21"/>
        <v>115.03952384499105</v>
      </c>
      <c r="U44" s="236">
        <f t="shared" si="21"/>
        <v>114.31053707016737</v>
      </c>
      <c r="V44" s="236">
        <f t="shared" si="21"/>
        <v>121.02278233994654</v>
      </c>
      <c r="W44" s="236">
        <f t="shared" si="21"/>
        <v>115.61293230102248</v>
      </c>
      <c r="X44" s="236">
        <f t="shared" si="21"/>
        <v>98.926512660278448</v>
      </c>
      <c r="Y44" s="236">
        <f t="shared" si="21"/>
        <v>101.37891512464492</v>
      </c>
      <c r="DA44" s="280"/>
    </row>
    <row r="45" spans="1:105" x14ac:dyDescent="0.25">
      <c r="A45" s="238" t="s">
        <v>125</v>
      </c>
      <c r="B45" s="247">
        <f>IF(B$6=0,0,B$6/AGR!B$5*1000)</f>
        <v>3.2520463108459943</v>
      </c>
      <c r="C45" s="247">
        <f>IF(C$6=0,0,C$6/AGR!C$5*1000)</f>
        <v>3.1193076140204035</v>
      </c>
      <c r="D45" s="247">
        <f>IF(D$6=0,0,D$6/AGR!D$5*1000)</f>
        <v>3.4612893194919088</v>
      </c>
      <c r="E45" s="247">
        <f>IF(E$6=0,0,E$6/AGR!E$5*1000)</f>
        <v>3.7995803135404547</v>
      </c>
      <c r="F45" s="247">
        <f>IF(F$6=0,0,F$6/AGR!F$5*1000)</f>
        <v>3.9904381482594089</v>
      </c>
      <c r="G45" s="247">
        <f>IF(G$6=0,0,G$6/AGR!G$5*1000)</f>
        <v>4.8206045746731263</v>
      </c>
      <c r="H45" s="247">
        <f>IF(H$6=0,0,H$6/AGR!H$5*1000)</f>
        <v>4.5983252870258795</v>
      </c>
      <c r="I45" s="247">
        <f>IF(I$6=0,0,I$6/AGR!I$5*1000)</f>
        <v>4.3042191349543399</v>
      </c>
      <c r="J45" s="247">
        <f>IF(J$6=0,0,J$6/AGR!J$5*1000)</f>
        <v>5.088559160593487</v>
      </c>
      <c r="K45" s="247">
        <f>IF(K$6=0,0,K$6/AGR!K$5*1000)</f>
        <v>5.5809767313344913</v>
      </c>
      <c r="L45" s="247">
        <f>IF(L$6=0,0,L$6/AGR!L$5*1000)</f>
        <v>5.3605869343868591</v>
      </c>
      <c r="M45" s="247">
        <f>IF(M$6=0,0,M$6/AGR!M$5*1000)</f>
        <v>4.4542168935033963</v>
      </c>
      <c r="N45" s="247">
        <f>IF(N$6=0,0,N$6/AGR!N$5*1000)</f>
        <v>4.4774889078315958</v>
      </c>
      <c r="O45" s="247">
        <f>IF(O$6=0,0,O$6/AGR!O$5*1000)</f>
        <v>4.7314366368045322</v>
      </c>
      <c r="P45" s="247">
        <f>IF(P$6=0,0,P$6/AGR!P$5*1000)</f>
        <v>4.908585936575947</v>
      </c>
      <c r="Q45" s="247">
        <f>IF(Q$6=0,0,Q$6/AGR!Q$5*1000)</f>
        <v>4.6516043183950213</v>
      </c>
      <c r="R45" s="247">
        <f>IF(R$6=0,0,R$6/AGR!R$5*1000)</f>
        <v>4.9904574774126154</v>
      </c>
      <c r="S45" s="247">
        <f>IF(S$6=0,0,S$6/AGR!S$5*1000)</f>
        <v>4.4874877344111175</v>
      </c>
      <c r="T45" s="247">
        <f>IF(T$6=0,0,T$6/AGR!T$5*1000)</f>
        <v>4.8801068128622918</v>
      </c>
      <c r="U45" s="247">
        <f>IF(U$6=0,0,U$6/AGR!U$5*1000)</f>
        <v>4.4905151002418506</v>
      </c>
      <c r="V45" s="247">
        <f>IF(V$6=0,0,V$6/AGR!V$5*1000)</f>
        <v>4.7717795464601256</v>
      </c>
      <c r="W45" s="247">
        <f>IF(W$6=0,0,W$6/AGR!W$5*1000)</f>
        <v>4.8482204192144351</v>
      </c>
      <c r="X45" s="247">
        <f>IF(X$6=0,0,X$6/AGR!X$5*1000)</f>
        <v>3.975219539608112</v>
      </c>
      <c r="Y45" s="247">
        <f>IF(Y$6=0,0,Y$6/AGR!Y$5*1000)</f>
        <v>4.2942003630611643</v>
      </c>
      <c r="DA45" s="281"/>
    </row>
    <row r="46" spans="1:105" x14ac:dyDescent="0.25">
      <c r="A46" s="240" t="s">
        <v>124</v>
      </c>
      <c r="B46" s="248">
        <f>IF(B$7=0,0,B$7/AGR!B$5*1000)</f>
        <v>2.1138301020498962</v>
      </c>
      <c r="C46" s="248">
        <f>IF(C$7=0,0,C$7/AGR!C$5*1000)</f>
        <v>2.0275499491132623</v>
      </c>
      <c r="D46" s="248">
        <f>IF(D$7=0,0,D$7/AGR!D$5*1000)</f>
        <v>2.2498380576697397</v>
      </c>
      <c r="E46" s="248">
        <f>IF(E$7=0,0,E$7/AGR!E$5*1000)</f>
        <v>2.4697272038012943</v>
      </c>
      <c r="F46" s="248">
        <f>IF(F$7=0,0,F$7/AGR!F$5*1000)</f>
        <v>2.5937847963686158</v>
      </c>
      <c r="G46" s="248">
        <f>IF(G$7=0,0,G$7/AGR!G$5*1000)</f>
        <v>3.1333929735375317</v>
      </c>
      <c r="H46" s="248">
        <f>IF(H$7=0,0,H$7/AGR!H$5*1000)</f>
        <v>2.9889114365668208</v>
      </c>
      <c r="I46" s="248">
        <f>IF(I$7=0,0,I$7/AGR!I$5*1000)</f>
        <v>2.7977424377203213</v>
      </c>
      <c r="J46" s="248">
        <f>IF(J$7=0,0,J$7/AGR!J$5*1000)</f>
        <v>3.3075634543857646</v>
      </c>
      <c r="K46" s="248">
        <f>IF(K$7=0,0,K$7/AGR!K$5*1000)</f>
        <v>3.6276348753674168</v>
      </c>
      <c r="L46" s="248">
        <f>IF(L$7=0,0,L$7/AGR!L$5*1000)</f>
        <v>3.4843815073514572</v>
      </c>
      <c r="M46" s="248">
        <f>IF(M$7=0,0,M$7/AGR!M$5*1000)</f>
        <v>2.8952409807772046</v>
      </c>
      <c r="N46" s="248">
        <f>IF(N$7=0,0,N$7/AGR!N$5*1000)</f>
        <v>2.9103677900905365</v>
      </c>
      <c r="O46" s="248">
        <f>IF(O$7=0,0,O$7/AGR!O$5*1000)</f>
        <v>3.0754338139229449</v>
      </c>
      <c r="P46" s="248">
        <f>IF(P$7=0,0,P$7/AGR!P$5*1000)</f>
        <v>3.1905808587743651</v>
      </c>
      <c r="Q46" s="248">
        <f>IF(Q$7=0,0,Q$7/AGR!Q$5*1000)</f>
        <v>3.0235428069567623</v>
      </c>
      <c r="R46" s="248">
        <f>IF(R$7=0,0,R$7/AGR!R$5*1000)</f>
        <v>3.2437973603182004</v>
      </c>
      <c r="S46" s="248">
        <f>IF(S$7=0,0,S$7/AGR!S$5*1000)</f>
        <v>2.9168670273672239</v>
      </c>
      <c r="T46" s="248">
        <f>IF(T$7=0,0,T$7/AGR!T$5*1000)</f>
        <v>3.1720694283604898</v>
      </c>
      <c r="U46" s="248">
        <f>IF(U$7=0,0,U$7/AGR!U$5*1000)</f>
        <v>2.9188348151572017</v>
      </c>
      <c r="V46" s="248">
        <f>IF(V$7=0,0,V$7/AGR!V$5*1000)</f>
        <v>3.1016567051990811</v>
      </c>
      <c r="W46" s="248">
        <f>IF(W$7=0,0,W$7/AGR!W$5*1000)</f>
        <v>3.1513432724893828</v>
      </c>
      <c r="X46" s="248">
        <f>IF(X$7=0,0,X$7/AGR!X$5*1000)</f>
        <v>2.5838927007452712</v>
      </c>
      <c r="Y46" s="248">
        <f>IF(Y$7=0,0,Y$7/AGR!Y$5*1000)</f>
        <v>2.7912302359897567</v>
      </c>
      <c r="DA46" s="282"/>
    </row>
    <row r="47" spans="1:105" x14ac:dyDescent="0.25">
      <c r="A47" s="240" t="s">
        <v>123</v>
      </c>
      <c r="B47" s="248">
        <f>IF(B$8=0,0,B$8/AGR!B$5*1000)</f>
        <v>2.9268416797613943</v>
      </c>
      <c r="C47" s="248">
        <f>IF(C$8=0,0,C$8/AGR!C$5*1000)</f>
        <v>2.8073768526183631</v>
      </c>
      <c r="D47" s="248">
        <f>IF(D$8=0,0,D$8/AGR!D$5*1000)</f>
        <v>3.1151603875427161</v>
      </c>
      <c r="E47" s="248">
        <f>IF(E$8=0,0,E$8/AGR!E$5*1000)</f>
        <v>3.4196222821864075</v>
      </c>
      <c r="F47" s="248">
        <f>IF(F$8=0,0,F$8/AGR!F$5*1000)</f>
        <v>3.5913943334334668</v>
      </c>
      <c r="G47" s="248">
        <f>IF(G$8=0,0,G$8/AGR!G$5*1000)</f>
        <v>4.3385441172058137</v>
      </c>
      <c r="H47" s="248">
        <f>IF(H$8=0,0,H$8/AGR!H$5*1000)</f>
        <v>4.1384927583232916</v>
      </c>
      <c r="I47" s="248">
        <f>IF(I$8=0,0,I$8/AGR!I$5*1000)</f>
        <v>3.8737972214589078</v>
      </c>
      <c r="J47" s="248">
        <f>IF(J$8=0,0,J$8/AGR!J$5*1000)</f>
        <v>4.5797032445341381</v>
      </c>
      <c r="K47" s="248">
        <f>IF(K$8=0,0,K$8/AGR!K$5*1000)</f>
        <v>5.0228790582010401</v>
      </c>
      <c r="L47" s="248">
        <f>IF(L$8=0,0,L$8/AGR!L$5*1000)</f>
        <v>4.8245282409481733</v>
      </c>
      <c r="M47" s="248">
        <f>IF(M$8=0,0,M$8/AGR!M$5*1000)</f>
        <v>4.0087952041530546</v>
      </c>
      <c r="N47" s="248">
        <f>IF(N$8=0,0,N$8/AGR!N$5*1000)</f>
        <v>4.0297400170484341</v>
      </c>
      <c r="O47" s="248">
        <f>IF(O$8=0,0,O$8/AGR!O$5*1000)</f>
        <v>4.2582929731240791</v>
      </c>
      <c r="P47" s="248">
        <f>IF(P$8=0,0,P$8/AGR!P$5*1000)</f>
        <v>4.4177273429183517</v>
      </c>
      <c r="Q47" s="248">
        <f>IF(Q$8=0,0,Q$8/AGR!Q$5*1000)</f>
        <v>4.1864438865555176</v>
      </c>
      <c r="R47" s="248">
        <f>IF(R$8=0,0,R$8/AGR!R$5*1000)</f>
        <v>4.4914117296713538</v>
      </c>
      <c r="S47" s="248">
        <f>IF(S$8=0,0,S$8/AGR!S$5*1000)</f>
        <v>4.0387389609700062</v>
      </c>
      <c r="T47" s="248">
        <f>IF(T$8=0,0,T$8/AGR!T$5*1000)</f>
        <v>4.3920961315760634</v>
      </c>
      <c r="U47" s="248">
        <f>IF(U$8=0,0,U$8/AGR!U$5*1000)</f>
        <v>4.0414635902176661</v>
      </c>
      <c r="V47" s="248">
        <f>IF(V$8=0,0,V$8/AGR!V$5*1000)</f>
        <v>4.2946015918141134</v>
      </c>
      <c r="W47" s="248">
        <f>IF(W$8=0,0,W$8/AGR!W$5*1000)</f>
        <v>4.3633983772929916</v>
      </c>
      <c r="X47" s="248">
        <f>IF(X$8=0,0,X$8/AGR!X$5*1000)</f>
        <v>3.5776975856472992</v>
      </c>
      <c r="Y47" s="248">
        <f>IF(Y$8=0,0,Y$8/AGR!Y$5*1000)</f>
        <v>3.8647803267550485</v>
      </c>
      <c r="DA47" s="282"/>
    </row>
    <row r="48" spans="1:105" x14ac:dyDescent="0.25">
      <c r="A48" s="242" t="s">
        <v>122</v>
      </c>
      <c r="B48" s="249">
        <f>IF(B$9=0,0,B$9/AGR!B$5*1000)</f>
        <v>22.041954441846663</v>
      </c>
      <c r="C48" s="249">
        <f>IF(C$9=0,0,C$9/AGR!C$5*1000)</f>
        <v>21.527619445711672</v>
      </c>
      <c r="D48" s="249">
        <f>IF(D$9=0,0,D$9/AGR!D$5*1000)</f>
        <v>22.315257453216489</v>
      </c>
      <c r="E48" s="249">
        <f>IF(E$9=0,0,E$9/AGR!E$5*1000)</f>
        <v>23.491404626333821</v>
      </c>
      <c r="F48" s="249">
        <f>IF(F$9=0,0,F$9/AGR!F$5*1000)</f>
        <v>23.233860384860591</v>
      </c>
      <c r="G48" s="249">
        <f>IF(G$9=0,0,G$9/AGR!G$5*1000)</f>
        <v>26.894365511792245</v>
      </c>
      <c r="H48" s="249">
        <f>IF(H$9=0,0,H$9/AGR!H$5*1000)</f>
        <v>25.830782744221928</v>
      </c>
      <c r="I48" s="249">
        <f>IF(I$9=0,0,I$9/AGR!I$5*1000)</f>
        <v>23.637861872927083</v>
      </c>
      <c r="J48" s="249">
        <f>IF(J$9=0,0,J$9/AGR!J$5*1000)</f>
        <v>26.191596299062642</v>
      </c>
      <c r="K48" s="249">
        <f>IF(K$9=0,0,K$9/AGR!K$5*1000)</f>
        <v>29.1095721036158</v>
      </c>
      <c r="L48" s="249">
        <f>IF(L$9=0,0,L$9/AGR!L$5*1000)</f>
        <v>27.704585297412546</v>
      </c>
      <c r="M48" s="249">
        <f>IF(M$9=0,0,M$9/AGR!M$5*1000)</f>
        <v>24.571195392504897</v>
      </c>
      <c r="N48" s="249">
        <f>IF(N$9=0,0,N$9/AGR!N$5*1000)</f>
        <v>24.969260635301168</v>
      </c>
      <c r="O48" s="249">
        <f>IF(O$9=0,0,O$9/AGR!O$5*1000)</f>
        <v>25.813660222623199</v>
      </c>
      <c r="P48" s="249">
        <f>IF(P$9=0,0,P$9/AGR!P$5*1000)</f>
        <v>26.16619457055069</v>
      </c>
      <c r="Q48" s="249">
        <f>IF(Q$9=0,0,Q$9/AGR!Q$5*1000)</f>
        <v>25.622961389903733</v>
      </c>
      <c r="R48" s="249">
        <f>IF(R$9=0,0,R$9/AGR!R$5*1000)</f>
        <v>26.823777883888255</v>
      </c>
      <c r="S48" s="249">
        <f>IF(S$9=0,0,S$9/AGR!S$5*1000)</f>
        <v>24.387779962360071</v>
      </c>
      <c r="T48" s="249">
        <f>IF(T$9=0,0,T$9/AGR!T$5*1000)</f>
        <v>26.300760955845504</v>
      </c>
      <c r="U48" s="249">
        <f>IF(U$9=0,0,U$9/AGR!U$5*1000)</f>
        <v>24.866221197706132</v>
      </c>
      <c r="V48" s="249">
        <f>IF(V$9=0,0,V$9/AGR!V$5*1000)</f>
        <v>26.026320577400629</v>
      </c>
      <c r="W48" s="249">
        <f>IF(W$9=0,0,W$9/AGR!W$5*1000)</f>
        <v>25.801396768635943</v>
      </c>
      <c r="X48" s="249">
        <f>IF(X$9=0,0,X$9/AGR!X$5*1000)</f>
        <v>21.598553038982907</v>
      </c>
      <c r="Y48" s="249">
        <f>IF(Y$9=0,0,Y$9/AGR!Y$5*1000)</f>
        <v>22.910448990180686</v>
      </c>
      <c r="DA48" s="283"/>
    </row>
    <row r="49" spans="1:105" x14ac:dyDescent="0.25">
      <c r="A49" s="127" t="s">
        <v>168</v>
      </c>
      <c r="B49" s="262">
        <f>IF(B$16=0,0,B$16/AGR!B$5*1000)</f>
        <v>29.345044535952621</v>
      </c>
      <c r="C49" s="262">
        <f>IF(C$16=0,0,C$16/AGR!C$5*1000)</f>
        <v>28.761756436117075</v>
      </c>
      <c r="D49" s="262">
        <f>IF(D$16=0,0,D$16/AGR!D$5*1000)</f>
        <v>29.352101343270615</v>
      </c>
      <c r="E49" s="262">
        <f>IF(E$16=0,0,E$16/AGR!E$5*1000)</f>
        <v>30.484131324612864</v>
      </c>
      <c r="F49" s="262">
        <f>IF(F$16=0,0,F$16/AGR!F$5*1000)</f>
        <v>29.325492968642095</v>
      </c>
      <c r="G49" s="262">
        <f>IF(G$16=0,0,G$16/AGR!G$5*1000)</f>
        <v>32.956173648066923</v>
      </c>
      <c r="H49" s="262">
        <f>IF(H$16=0,0,H$16/AGR!H$5*1000)</f>
        <v>31.718884507717405</v>
      </c>
      <c r="I49" s="262">
        <f>IF(I$16=0,0,I$16/AGR!I$5*1000)</f>
        <v>28.385415557053005</v>
      </c>
      <c r="J49" s="262">
        <f>IF(J$16=0,0,J$16/AGR!J$5*1000)</f>
        <v>28.04447733174695</v>
      </c>
      <c r="K49" s="262">
        <f>IF(K$16=0,0,K$16/AGR!K$5*1000)</f>
        <v>31.277559283417425</v>
      </c>
      <c r="L49" s="262">
        <f>IF(L$16=0,0,L$16/AGR!L$5*1000)</f>
        <v>28.490465785770262</v>
      </c>
      <c r="M49" s="262">
        <f>IF(M$16=0,0,M$16/AGR!M$5*1000)</f>
        <v>26.545075832411655</v>
      </c>
      <c r="N49" s="262">
        <f>IF(N$16=0,0,N$16/AGR!N$5*1000)</f>
        <v>27.123909959598855</v>
      </c>
      <c r="O49" s="262">
        <f>IF(O$16=0,0,O$16/AGR!O$5*1000)</f>
        <v>26.179239034197074</v>
      </c>
      <c r="P49" s="262">
        <f>IF(P$16=0,0,P$16/AGR!P$5*1000)</f>
        <v>24.568226967080939</v>
      </c>
      <c r="Q49" s="262">
        <f>IF(Q$16=0,0,Q$16/AGR!Q$5*1000)</f>
        <v>26.044371921287979</v>
      </c>
      <c r="R49" s="262">
        <f>IF(R$16=0,0,R$16/AGR!R$5*1000)</f>
        <v>25.14067062440585</v>
      </c>
      <c r="S49" s="262">
        <f>IF(S$16=0,0,S$16/AGR!S$5*1000)</f>
        <v>23.454859622344969</v>
      </c>
      <c r="T49" s="262">
        <f>IF(T$16=0,0,T$16/AGR!T$5*1000)</f>
        <v>24.043509088858226</v>
      </c>
      <c r="U49" s="262">
        <f>IF(U$16=0,0,U$16/AGR!U$5*1000)</f>
        <v>24.892958509206366</v>
      </c>
      <c r="V49" s="262">
        <f>IF(V$16=0,0,V$16/AGR!V$5*1000)</f>
        <v>26.556710631231589</v>
      </c>
      <c r="W49" s="262">
        <f>IF(W$16=0,0,W$16/AGR!W$5*1000)</f>
        <v>24.506089191858347</v>
      </c>
      <c r="X49" s="262">
        <f>IF(X$16=0,0,X$16/AGR!X$5*1000)</f>
        <v>21.280564742132135</v>
      </c>
      <c r="Y49" s="262">
        <f>IF(Y$16=0,0,Y$16/AGR!Y$5*1000)</f>
        <v>21.041033847528269</v>
      </c>
      <c r="DA49" s="284"/>
    </row>
    <row r="50" spans="1:105" x14ac:dyDescent="0.25">
      <c r="A50" s="127" t="s">
        <v>121</v>
      </c>
      <c r="B50" s="262">
        <f>IF(B$17=0,0,B$17/AGR!B$5*1000)</f>
        <v>39.185586623136743</v>
      </c>
      <c r="C50" s="262">
        <f>IF(C$17=0,0,C$17/AGR!C$5*1000)</f>
        <v>38.406699191756374</v>
      </c>
      <c r="D50" s="262">
        <f>IF(D$17=0,0,D$17/AGR!D$5*1000)</f>
        <v>39.19500985417335</v>
      </c>
      <c r="E50" s="262">
        <f>IF(E$17=0,0,E$17/AGR!E$5*1000)</f>
        <v>40.706653799355536</v>
      </c>
      <c r="F50" s="262">
        <f>IF(F$17=0,0,F$17/AGR!F$5*1000)</f>
        <v>39.159478649999187</v>
      </c>
      <c r="G50" s="262">
        <f>IF(G$17=0,0,G$17/AGR!G$5*1000)</f>
        <v>44.007668677117586</v>
      </c>
      <c r="H50" s="262">
        <f>IF(H$17=0,0,H$17/AGR!H$5*1000)</f>
        <v>43.420886319852251</v>
      </c>
      <c r="I50" s="262">
        <f>IF(I$17=0,0,I$17/AGR!I$5*1000)</f>
        <v>38.81582680074888</v>
      </c>
      <c r="J50" s="262">
        <f>IF(J$17=0,0,J$17/AGR!J$5*1000)</f>
        <v>38.428341714948616</v>
      </c>
      <c r="K50" s="262">
        <f>IF(K$17=0,0,K$17/AGR!K$5*1000)</f>
        <v>43.531345269522809</v>
      </c>
      <c r="L50" s="262">
        <f>IF(L$17=0,0,L$17/AGR!L$5*1000)</f>
        <v>40.003506146369574</v>
      </c>
      <c r="M50" s="262">
        <f>IF(M$17=0,0,M$17/AGR!M$5*1000)</f>
        <v>37.533098980834509</v>
      </c>
      <c r="N50" s="262">
        <f>IF(N$17=0,0,N$17/AGR!N$5*1000)</f>
        <v>38.619467973605239</v>
      </c>
      <c r="O50" s="262">
        <f>IF(O$17=0,0,O$17/AGR!O$5*1000)</f>
        <v>37.214185746920158</v>
      </c>
      <c r="P50" s="262">
        <f>IF(P$17=0,0,P$17/AGR!P$5*1000)</f>
        <v>34.214312430640774</v>
      </c>
      <c r="Q50" s="262">
        <f>IF(Q$17=0,0,Q$17/AGR!Q$5*1000)</f>
        <v>36.747289175716766</v>
      </c>
      <c r="R50" s="262">
        <f>IF(R$17=0,0,R$17/AGR!R$5*1000)</f>
        <v>36.66477298392428</v>
      </c>
      <c r="S50" s="262">
        <f>IF(S$17=0,0,S$17/AGR!S$5*1000)</f>
        <v>34.472735327312741</v>
      </c>
      <c r="T50" s="262">
        <f>IF(T$17=0,0,T$17/AGR!T$5*1000)</f>
        <v>35.674559092553942</v>
      </c>
      <c r="U50" s="262">
        <f>IF(U$17=0,0,U$17/AGR!U$5*1000)</f>
        <v>37.315392433425792</v>
      </c>
      <c r="V50" s="262">
        <f>IF(V$17=0,0,V$17/AGR!V$5*1000)</f>
        <v>39.477760134893721</v>
      </c>
      <c r="W50" s="262">
        <f>IF(W$17=0,0,W$17/AGR!W$5*1000)</f>
        <v>36.355294979227168</v>
      </c>
      <c r="X50" s="262">
        <f>IF(X$17=0,0,X$17/AGR!X$5*1000)</f>
        <v>32.082059319543312</v>
      </c>
      <c r="Y50" s="262">
        <f>IF(Y$17=0,0,Y$17/AGR!Y$5*1000)</f>
        <v>31.913220467633412</v>
      </c>
      <c r="DA50" s="284"/>
    </row>
    <row r="51" spans="1:105" x14ac:dyDescent="0.25">
      <c r="A51" s="127" t="s">
        <v>167</v>
      </c>
      <c r="B51" s="262">
        <f>IF(B$25=0,0,B$25/AGR!B$5*1000)</f>
        <v>5.6388948611206819</v>
      </c>
      <c r="C51" s="262">
        <f>IF(C$25=0,0,C$25/AGR!C$5*1000)</f>
        <v>5.5268111917745406</v>
      </c>
      <c r="D51" s="262">
        <f>IF(D$25=0,0,D$25/AGR!D$5*1000)</f>
        <v>5.6402508854563305</v>
      </c>
      <c r="E51" s="262">
        <f>IF(E$25=0,0,E$25/AGR!E$5*1000)</f>
        <v>5.8577798803980334</v>
      </c>
      <c r="F51" s="262">
        <f>IF(F$25=0,0,F$25/AGR!F$5*1000)</f>
        <v>5.6351378645245767</v>
      </c>
      <c r="G51" s="262">
        <f>IF(G$25=0,0,G$25/AGR!G$5*1000)</f>
        <v>6.3328034141711615</v>
      </c>
      <c r="H51" s="262">
        <f>IF(H$25=0,0,H$25/AGR!H$5*1000)</f>
        <v>6.0950479946252987</v>
      </c>
      <c r="I51" s="262">
        <f>IF(I$25=0,0,I$25/AGR!I$5*1000)</f>
        <v>5.4544941555409103</v>
      </c>
      <c r="J51" s="262">
        <f>IF(J$25=0,0,J$25/AGR!J$5*1000)</f>
        <v>5.3889800342628664</v>
      </c>
      <c r="K51" s="262">
        <f>IF(K$25=0,0,K$25/AGR!K$5*1000)</f>
        <v>6.0102436748929087</v>
      </c>
      <c r="L51" s="262">
        <f>IF(L$25=0,0,L$25/AGR!L$5*1000)</f>
        <v>5.4746804324486682</v>
      </c>
      <c r="M51" s="262">
        <f>IF(M$25=0,0,M$25/AGR!M$5*1000)</f>
        <v>5.1008575405655163</v>
      </c>
      <c r="N51" s="262">
        <f>IF(N$25=0,0,N$25/AGR!N$5*1000)</f>
        <v>5.2120853419490958</v>
      </c>
      <c r="O51" s="262">
        <f>IF(O$25=0,0,O$25/AGR!O$5*1000)</f>
        <v>5.0305589510052373</v>
      </c>
      <c r="P51" s="262">
        <f>IF(P$25=0,0,P$25/AGR!P$5*1000)</f>
        <v>4.7209895565769981</v>
      </c>
      <c r="Q51" s="262">
        <f>IF(Q$25=0,0,Q$25/AGR!Q$5*1000)</f>
        <v>5.0046431113142953</v>
      </c>
      <c r="R51" s="262">
        <f>IF(R$25=0,0,R$25/AGR!R$5*1000)</f>
        <v>4.8309893759201188</v>
      </c>
      <c r="S51" s="262">
        <f>IF(S$25=0,0,S$25/AGR!S$5*1000)</f>
        <v>4.5070467427884751</v>
      </c>
      <c r="T51" s="262">
        <f>IF(T$25=0,0,T$25/AGR!T$5*1000)</f>
        <v>4.6201606434218956</v>
      </c>
      <c r="U51" s="262">
        <f>IF(U$25=0,0,U$25/AGR!U$5*1000)</f>
        <v>4.783389428619838</v>
      </c>
      <c r="V51" s="262">
        <f>IF(V$25=0,0,V$25/AGR!V$5*1000)</f>
        <v>5.1030932641199822</v>
      </c>
      <c r="W51" s="262">
        <f>IF(W$25=0,0,W$25/AGR!W$5*1000)</f>
        <v>4.7090492652288374</v>
      </c>
      <c r="X51" s="262">
        <f>IF(X$25=0,0,X$25/AGR!X$5*1000)</f>
        <v>4.0892378615795231</v>
      </c>
      <c r="Y51" s="262">
        <f>IF(Y$25=0,0,Y$25/AGR!Y$5*1000)</f>
        <v>4.0432100039967391</v>
      </c>
      <c r="DA51" s="284"/>
    </row>
    <row r="52" spans="1:105" x14ac:dyDescent="0.25">
      <c r="A52" s="127" t="s">
        <v>170</v>
      </c>
      <c r="B52" s="262">
        <f>IF(B$26=0,0,B$26/AGR!B$5*1000)</f>
        <v>3.2520463108459943</v>
      </c>
      <c r="C52" s="262">
        <f>IF(C$26=0,0,C$26/AGR!C$5*1000)</f>
        <v>3.1193076140204035</v>
      </c>
      <c r="D52" s="262">
        <f>IF(D$26=0,0,D$26/AGR!D$5*1000)</f>
        <v>3.4612893194919088</v>
      </c>
      <c r="E52" s="262">
        <f>IF(E$26=0,0,E$26/AGR!E$5*1000)</f>
        <v>3.7995803135404547</v>
      </c>
      <c r="F52" s="262">
        <f>IF(F$26=0,0,F$26/AGR!F$5*1000)</f>
        <v>3.9904381482594089</v>
      </c>
      <c r="G52" s="262">
        <f>IF(G$26=0,0,G$26/AGR!G$5*1000)</f>
        <v>4.8206045746731263</v>
      </c>
      <c r="H52" s="262">
        <f>IF(H$26=0,0,H$26/AGR!H$5*1000)</f>
        <v>4.5983252870258795</v>
      </c>
      <c r="I52" s="262">
        <f>IF(I$26=0,0,I$26/AGR!I$5*1000)</f>
        <v>4.3042191349543399</v>
      </c>
      <c r="J52" s="262">
        <f>IF(J$26=0,0,J$26/AGR!J$5*1000)</f>
        <v>5.088559160593487</v>
      </c>
      <c r="K52" s="262">
        <f>IF(K$26=0,0,K$26/AGR!K$5*1000)</f>
        <v>5.5809767313344913</v>
      </c>
      <c r="L52" s="262">
        <f>IF(L$26=0,0,L$26/AGR!L$5*1000)</f>
        <v>5.3605869343868591</v>
      </c>
      <c r="M52" s="262">
        <f>IF(M$26=0,0,M$26/AGR!M$5*1000)</f>
        <v>4.4542168935033963</v>
      </c>
      <c r="N52" s="262">
        <f>IF(N$26=0,0,N$26/AGR!N$5*1000)</f>
        <v>4.4774889078315958</v>
      </c>
      <c r="O52" s="262">
        <f>IF(O$26=0,0,O$26/AGR!O$5*1000)</f>
        <v>4.7314366368045322</v>
      </c>
      <c r="P52" s="262">
        <f>IF(P$26=0,0,P$26/AGR!P$5*1000)</f>
        <v>4.908585936575947</v>
      </c>
      <c r="Q52" s="262">
        <f>IF(Q$26=0,0,Q$26/AGR!Q$5*1000)</f>
        <v>4.6516043183950213</v>
      </c>
      <c r="R52" s="262">
        <f>IF(R$26=0,0,R$26/AGR!R$5*1000)</f>
        <v>4.9904574774126154</v>
      </c>
      <c r="S52" s="262">
        <f>IF(S$26=0,0,S$26/AGR!S$5*1000)</f>
        <v>4.4874877344111175</v>
      </c>
      <c r="T52" s="262">
        <f>IF(T$26=0,0,T$26/AGR!T$5*1000)</f>
        <v>4.8801068128622918</v>
      </c>
      <c r="U52" s="262">
        <f>IF(U$26=0,0,U$26/AGR!U$5*1000)</f>
        <v>4.4905151002418506</v>
      </c>
      <c r="V52" s="262">
        <f>IF(V$26=0,0,V$26/AGR!V$5*1000)</f>
        <v>4.7717795464601256</v>
      </c>
      <c r="W52" s="262">
        <f>IF(W$26=0,0,W$26/AGR!W$5*1000)</f>
        <v>4.8482204192144351</v>
      </c>
      <c r="X52" s="262">
        <f>IF(X$26=0,0,X$26/AGR!X$5*1000)</f>
        <v>3.975219539608112</v>
      </c>
      <c r="Y52" s="262">
        <f>IF(Y$26=0,0,Y$26/AGR!Y$5*1000)</f>
        <v>4.2942003630611643</v>
      </c>
      <c r="DA52" s="284"/>
    </row>
    <row r="53" spans="1:105" x14ac:dyDescent="0.25">
      <c r="A53" s="260" t="s">
        <v>33</v>
      </c>
      <c r="B53" s="263">
        <f>IF(B$27=0,0,B$27/AGR!B$5*1000)</f>
        <v>4.715467150726691</v>
      </c>
      <c r="C53" s="263">
        <f>IF(C$27=0,0,C$27/AGR!C$5*1000)</f>
        <v>4.5229960403295877</v>
      </c>
      <c r="D53" s="263">
        <f>IF(D$27=0,0,D$27/AGR!D$5*1000)</f>
        <v>5.0188695132632652</v>
      </c>
      <c r="E53" s="263">
        <f>IF(E$27=0,0,E$27/AGR!E$5*1000)</f>
        <v>5.5093914546336586</v>
      </c>
      <c r="F53" s="263">
        <f>IF(F$27=0,0,F$27/AGR!F$5*1000)</f>
        <v>5.7861353149761436</v>
      </c>
      <c r="G53" s="263">
        <f>IF(G$27=0,0,G$27/AGR!G$5*1000)</f>
        <v>6.9898766332760358</v>
      </c>
      <c r="H53" s="263">
        <f>IF(H$27=0,0,H$27/AGR!H$5*1000)</f>
        <v>6.6675716661875271</v>
      </c>
      <c r="I53" s="263">
        <f>IF(I$27=0,0,I$27/AGR!I$5*1000)</f>
        <v>6.2411177456837938</v>
      </c>
      <c r="J53" s="263">
        <f>IF(J$27=0,0,J$27/AGR!J$5*1000)</f>
        <v>7.3784107828605556</v>
      </c>
      <c r="K53" s="263">
        <f>IF(K$27=0,0,K$27/AGR!K$5*1000)</f>
        <v>8.0924162604350141</v>
      </c>
      <c r="L53" s="263">
        <f>IF(L$27=0,0,L$27/AGR!L$5*1000)</f>
        <v>7.772851054860948</v>
      </c>
      <c r="M53" s="263">
        <f>IF(M$27=0,0,M$27/AGR!M$5*1000)</f>
        <v>6.4586144955799236</v>
      </c>
      <c r="N53" s="263">
        <f>IF(N$27=0,0,N$27/AGR!N$5*1000)</f>
        <v>6.4923589163558137</v>
      </c>
      <c r="O53" s="263">
        <f>IF(O$27=0,0,O$27/AGR!O$5*1000)</f>
        <v>6.8605831233665704</v>
      </c>
      <c r="P53" s="263">
        <f>IF(P$27=0,0,P$27/AGR!P$5*1000)</f>
        <v>7.1174496080351242</v>
      </c>
      <c r="Q53" s="263">
        <f>IF(Q$27=0,0,Q$27/AGR!Q$5*1000)</f>
        <v>6.744826261672781</v>
      </c>
      <c r="R53" s="263">
        <f>IF(R$27=0,0,R$27/AGR!R$5*1000)</f>
        <v>7.2361633422482923</v>
      </c>
      <c r="S53" s="263">
        <f>IF(S$27=0,0,S$27/AGR!S$5*1000)</f>
        <v>6.506857214896117</v>
      </c>
      <c r="T53" s="263">
        <f>IF(T$27=0,0,T$27/AGR!T$5*1000)</f>
        <v>7.0761548786503248</v>
      </c>
      <c r="U53" s="263">
        <f>IF(U$27=0,0,U$27/AGR!U$5*1000)</f>
        <v>6.511246895350685</v>
      </c>
      <c r="V53" s="263">
        <f>IF(V$27=0,0,V$27/AGR!V$5*1000)</f>
        <v>6.9190803423671809</v>
      </c>
      <c r="W53" s="263">
        <f>IF(W$27=0,0,W$27/AGR!W$5*1000)</f>
        <v>7.0299196078609301</v>
      </c>
      <c r="X53" s="263">
        <f>IF(X$27=0,0,X$27/AGR!X$5*1000)</f>
        <v>5.7640683324317621</v>
      </c>
      <c r="Y53" s="263">
        <f>IF(Y$27=0,0,Y$27/AGR!Y$5*1000)</f>
        <v>6.226590526438688</v>
      </c>
      <c r="DA53" s="285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1015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133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16.312711177525301</v>
      </c>
      <c r="C5" s="80">
        <f t="shared" ref="C5:W5" si="1">SUM(C6:C9,C16:C17,C25:C27)</f>
        <v>16.349754306777282</v>
      </c>
      <c r="D5" s="80">
        <f t="shared" si="1"/>
        <v>16.204912328965246</v>
      </c>
      <c r="E5" s="80">
        <f t="shared" si="1"/>
        <v>17.065209025469116</v>
      </c>
      <c r="F5" s="80">
        <f t="shared" si="1"/>
        <v>16.065570387881273</v>
      </c>
      <c r="G5" s="80">
        <f t="shared" si="1"/>
        <v>15.38721355573872</v>
      </c>
      <c r="H5" s="80">
        <f t="shared" si="1"/>
        <v>16.56509273987125</v>
      </c>
      <c r="I5" s="80">
        <f t="shared" si="1"/>
        <v>16.935771656631591</v>
      </c>
      <c r="J5" s="80">
        <f t="shared" si="1"/>
        <v>16.187899793103067</v>
      </c>
      <c r="K5" s="80">
        <f t="shared" si="1"/>
        <v>15.289749802885019</v>
      </c>
      <c r="L5" s="80">
        <f t="shared" si="1"/>
        <v>15.623482317372295</v>
      </c>
      <c r="M5" s="80">
        <f t="shared" si="1"/>
        <v>16.059650741198062</v>
      </c>
      <c r="N5" s="80">
        <f t="shared" si="1"/>
        <v>15.458941050150489</v>
      </c>
      <c r="O5" s="80">
        <f t="shared" si="1"/>
        <v>15.761445467569729</v>
      </c>
      <c r="P5" s="80">
        <f t="shared" si="1"/>
        <v>15.195345641651745</v>
      </c>
      <c r="Q5" s="80">
        <f t="shared" si="1"/>
        <v>16.195814171140064</v>
      </c>
      <c r="R5" s="80">
        <f t="shared" si="1"/>
        <v>17.69233540699204</v>
      </c>
      <c r="S5" s="80">
        <f t="shared" si="1"/>
        <v>18.192175302152695</v>
      </c>
      <c r="T5" s="80">
        <f t="shared" si="1"/>
        <v>17.96038813838652</v>
      </c>
      <c r="U5" s="80">
        <f t="shared" si="1"/>
        <v>17.767032897641226</v>
      </c>
      <c r="V5" s="80">
        <f t="shared" si="1"/>
        <v>18.403508235866841</v>
      </c>
      <c r="W5" s="80">
        <f t="shared" si="1"/>
        <v>19.067550605267083</v>
      </c>
      <c r="X5" s="80">
        <f t="shared" ref="X5:Y5" si="2">SUM(X6:X9,X16:X17,X25:X27)</f>
        <v>17.415780147002998</v>
      </c>
      <c r="Y5" s="80">
        <f t="shared" si="2"/>
        <v>16.786684432891345</v>
      </c>
      <c r="DA5" s="103"/>
    </row>
    <row r="6" spans="1:105" x14ac:dyDescent="0.25">
      <c r="A6" s="238" t="s">
        <v>125</v>
      </c>
      <c r="B6" s="239">
        <v>0.56224750230932696</v>
      </c>
      <c r="C6" s="239">
        <v>0.55499443630046419</v>
      </c>
      <c r="D6" s="239">
        <v>0.58281054770974383</v>
      </c>
      <c r="E6" s="239">
        <v>0.63635389228978168</v>
      </c>
      <c r="F6" s="239">
        <v>0.63197175086267787</v>
      </c>
      <c r="G6" s="239">
        <v>0.63010765866685881</v>
      </c>
      <c r="H6" s="239">
        <v>0.67000891830304654</v>
      </c>
      <c r="I6" s="239">
        <v>0.70101863536738096</v>
      </c>
      <c r="J6" s="239">
        <v>0.72486575467897219</v>
      </c>
      <c r="K6" s="239">
        <v>0.67564952782618493</v>
      </c>
      <c r="L6" s="239">
        <v>0.70224690146234969</v>
      </c>
      <c r="M6" s="239">
        <v>0.68077906824393386</v>
      </c>
      <c r="N6" s="239">
        <v>0.64820088737816395</v>
      </c>
      <c r="O6" s="239">
        <v>0.68625141816715607</v>
      </c>
      <c r="P6" s="239">
        <v>0.69138739308015085</v>
      </c>
      <c r="Q6" s="239">
        <v>0.70177406750896465</v>
      </c>
      <c r="R6" s="239">
        <v>0.7917943707646844</v>
      </c>
      <c r="S6" s="239">
        <v>0.80062158324909705</v>
      </c>
      <c r="T6" s="239">
        <v>0.80514861745931732</v>
      </c>
      <c r="U6" s="239">
        <v>0.75894225830143736</v>
      </c>
      <c r="V6" s="239">
        <v>0.79045149574262974</v>
      </c>
      <c r="W6" s="239">
        <v>0.85126939313289296</v>
      </c>
      <c r="X6" s="239">
        <v>0.7560376061839742</v>
      </c>
      <c r="Y6" s="239">
        <v>0.75223378251438522</v>
      </c>
      <c r="DA6" s="267" t="s">
        <v>1016</v>
      </c>
    </row>
    <row r="7" spans="1:105" x14ac:dyDescent="0.25">
      <c r="A7" s="240" t="s">
        <v>124</v>
      </c>
      <c r="B7" s="241">
        <v>0.36240120652857483</v>
      </c>
      <c r="C7" s="241">
        <v>0.3577261837639612</v>
      </c>
      <c r="D7" s="241">
        <v>0.37565528490581068</v>
      </c>
      <c r="E7" s="241">
        <v>0.41016708370915239</v>
      </c>
      <c r="F7" s="241">
        <v>0.40734253876437559</v>
      </c>
      <c r="G7" s="241">
        <v>0.4061410229584882</v>
      </c>
      <c r="H7" s="241">
        <v>0.43185970481082459</v>
      </c>
      <c r="I7" s="241">
        <v>0.45184727048620188</v>
      </c>
      <c r="J7" s="241">
        <v>0.46721812544821639</v>
      </c>
      <c r="K7" s="241">
        <v>0.4354954056158008</v>
      </c>
      <c r="L7" s="241">
        <v>0.45263895940065052</v>
      </c>
      <c r="M7" s="241">
        <v>0.43880169266677738</v>
      </c>
      <c r="N7" s="241">
        <v>0.41780316087469538</v>
      </c>
      <c r="O7" s="241">
        <v>0.44232894037633019</v>
      </c>
      <c r="P7" s="241">
        <v>0.44563937483361987</v>
      </c>
      <c r="Q7" s="241">
        <v>0.45233419042526057</v>
      </c>
      <c r="R7" s="241">
        <v>0.51035751000951168</v>
      </c>
      <c r="S7" s="241">
        <v>0.51604716170470999</v>
      </c>
      <c r="T7" s="241">
        <v>0.51896509847284411</v>
      </c>
      <c r="U7" s="241">
        <v>0.48918241337539081</v>
      </c>
      <c r="V7" s="241">
        <v>0.50949194897774042</v>
      </c>
      <c r="W7" s="241">
        <v>0.5486926200385015</v>
      </c>
      <c r="X7" s="241">
        <v>0.48731019619774052</v>
      </c>
      <c r="Y7" s="241">
        <v>0.48485841067336027</v>
      </c>
      <c r="DA7" s="268" t="s">
        <v>1017</v>
      </c>
    </row>
    <row r="8" spans="1:105" x14ac:dyDescent="0.25">
      <c r="A8" s="240" t="s">
        <v>123</v>
      </c>
      <c r="B8" s="241">
        <v>0.72017535868686233</v>
      </c>
      <c r="C8" s="241">
        <v>0.71088500276165589</v>
      </c>
      <c r="D8" s="241">
        <v>0.74651429044932338</v>
      </c>
      <c r="E8" s="241">
        <v>0.81509724943063067</v>
      </c>
      <c r="F8" s="241">
        <v>0.80948422267440912</v>
      </c>
      <c r="G8" s="241">
        <v>0.80709653173716989</v>
      </c>
      <c r="H8" s="241">
        <v>0.85820552528987004</v>
      </c>
      <c r="I8" s="241">
        <v>0.89792546004788809</v>
      </c>
      <c r="J8" s="241">
        <v>0.92847091846848462</v>
      </c>
      <c r="K8" s="241">
        <v>0.86543050711700831</v>
      </c>
      <c r="L8" s="241">
        <v>0.89949872977674206</v>
      </c>
      <c r="M8" s="241">
        <v>0.87200086731439053</v>
      </c>
      <c r="N8" s="241">
        <v>0.83027190810335727</v>
      </c>
      <c r="O8" s="241">
        <v>0.87901032765459564</v>
      </c>
      <c r="P8" s="241">
        <v>0.88558892971148506</v>
      </c>
      <c r="Q8" s="241">
        <v>0.89889308304540105</v>
      </c>
      <c r="R8" s="241">
        <v>1.0141988939560931</v>
      </c>
      <c r="S8" s="241">
        <v>1.025505553196119</v>
      </c>
      <c r="T8" s="241">
        <v>1.031304171193961</v>
      </c>
      <c r="U8" s="241">
        <v>0.97211905939984511</v>
      </c>
      <c r="V8" s="241">
        <v>1.0124788231746169</v>
      </c>
      <c r="W8" s="241">
        <v>1.0903796602396381</v>
      </c>
      <c r="X8" s="241">
        <v>0.96839852907830004</v>
      </c>
      <c r="Y8" s="241">
        <v>0.96352626185723456</v>
      </c>
      <c r="DA8" s="268" t="s">
        <v>1018</v>
      </c>
    </row>
    <row r="9" spans="1:105" x14ac:dyDescent="0.25">
      <c r="A9" s="242" t="s">
        <v>122</v>
      </c>
      <c r="B9" s="243">
        <f t="shared" ref="B9" si="3">SUM(B10:B15)</f>
        <v>5.2098969862365028</v>
      </c>
      <c r="C9" s="243">
        <f t="shared" ref="C9:W9" si="4">SUM(C10:C15)</f>
        <v>5.2166784400390487</v>
      </c>
      <c r="D9" s="243">
        <f t="shared" si="4"/>
        <v>5.1986344830983429</v>
      </c>
      <c r="E9" s="243">
        <f t="shared" si="4"/>
        <v>5.5093261420912771</v>
      </c>
      <c r="F9" s="243">
        <f t="shared" si="4"/>
        <v>5.2652574528765479</v>
      </c>
      <c r="G9" s="243">
        <f t="shared" si="4"/>
        <v>5.1311093532070249</v>
      </c>
      <c r="H9" s="243">
        <f t="shared" si="4"/>
        <v>5.4950553572211955</v>
      </c>
      <c r="I9" s="243">
        <f t="shared" si="4"/>
        <v>5.6932287841685607</v>
      </c>
      <c r="J9" s="243">
        <f t="shared" si="4"/>
        <v>5.8206966583026389</v>
      </c>
      <c r="K9" s="243">
        <f t="shared" si="4"/>
        <v>5.4642362728184635</v>
      </c>
      <c r="L9" s="243">
        <f t="shared" si="4"/>
        <v>5.704704908174179</v>
      </c>
      <c r="M9" s="243">
        <f t="shared" si="4"/>
        <v>5.6940760479576618</v>
      </c>
      <c r="N9" s="243">
        <f t="shared" si="4"/>
        <v>5.4560493953349294</v>
      </c>
      <c r="O9" s="243">
        <f t="shared" si="4"/>
        <v>5.7731397905758453</v>
      </c>
      <c r="P9" s="243">
        <f t="shared" si="4"/>
        <v>5.7963265385250713</v>
      </c>
      <c r="Q9" s="243">
        <f t="shared" si="4"/>
        <v>5.9376240232323649</v>
      </c>
      <c r="R9" s="243">
        <f t="shared" si="4"/>
        <v>6.7200572810745953</v>
      </c>
      <c r="S9" s="243">
        <f t="shared" si="4"/>
        <v>6.8150037993599506</v>
      </c>
      <c r="T9" s="243">
        <f t="shared" si="4"/>
        <v>6.8873200913811177</v>
      </c>
      <c r="U9" s="243">
        <f t="shared" si="4"/>
        <v>6.4945189109910979</v>
      </c>
      <c r="V9" s="243">
        <f t="shared" si="4"/>
        <v>6.6673134934528253</v>
      </c>
      <c r="W9" s="243">
        <f t="shared" si="4"/>
        <v>7.1688849480140835</v>
      </c>
      <c r="X9" s="243">
        <f t="shared" ref="X9:Y9" si="5">SUM(X10:X15)</f>
        <v>6.4175934609979883</v>
      </c>
      <c r="Y9" s="243">
        <f t="shared" si="5"/>
        <v>6.4002092211376862</v>
      </c>
      <c r="DA9" s="269"/>
    </row>
    <row r="10" spans="1:105" x14ac:dyDescent="0.25">
      <c r="A10" s="253" t="s">
        <v>166</v>
      </c>
      <c r="B10" s="254">
        <v>4.0327137645094666</v>
      </c>
      <c r="C10" s="254">
        <v>4.1048837123738462</v>
      </c>
      <c r="D10" s="254">
        <v>3.814689459530082</v>
      </c>
      <c r="E10" s="254">
        <v>3.8218578549664972</v>
      </c>
      <c r="F10" s="254">
        <v>3.279687214991581</v>
      </c>
      <c r="G10" s="254">
        <v>2.869743729206462</v>
      </c>
      <c r="H10" s="254">
        <v>3.0685977646896512</v>
      </c>
      <c r="I10" s="254">
        <v>2.9335449184985118</v>
      </c>
      <c r="J10" s="254">
        <v>2.0652235495237612</v>
      </c>
      <c r="K10" s="254">
        <v>1.914803327572731</v>
      </c>
      <c r="L10" s="254">
        <v>1.716143925802075</v>
      </c>
      <c r="M10" s="254">
        <v>2.0173066109540678</v>
      </c>
      <c r="N10" s="254">
        <v>1.9496608227834731</v>
      </c>
      <c r="O10" s="254">
        <v>1.6834785999432791</v>
      </c>
      <c r="P10" s="254">
        <v>1.3424157991374821</v>
      </c>
      <c r="Q10" s="254">
        <v>1.7790505771207521</v>
      </c>
      <c r="R10" s="254">
        <v>1.5319813647905389</v>
      </c>
      <c r="S10" s="254">
        <v>1.6801835016062809</v>
      </c>
      <c r="T10" s="254">
        <v>1.4485299960817011</v>
      </c>
      <c r="U10" s="254">
        <v>1.778430235046597</v>
      </c>
      <c r="V10" s="254">
        <v>1.911124595379968</v>
      </c>
      <c r="W10" s="254">
        <v>1.6448951507632941</v>
      </c>
      <c r="X10" s="254">
        <v>1.6564273655796971</v>
      </c>
      <c r="Y10" s="254">
        <v>1.3217076511390999</v>
      </c>
      <c r="DA10" s="270" t="s">
        <v>1019</v>
      </c>
    </row>
    <row r="11" spans="1:105" x14ac:dyDescent="0.25">
      <c r="A11" s="253" t="s">
        <v>169</v>
      </c>
      <c r="B11" s="255">
        <v>0</v>
      </c>
      <c r="C11" s="255">
        <v>0</v>
      </c>
      <c r="D11" s="255">
        <v>0</v>
      </c>
      <c r="E11" s="255">
        <v>0</v>
      </c>
      <c r="F11" s="255">
        <v>0</v>
      </c>
      <c r="G11" s="255">
        <v>0</v>
      </c>
      <c r="H11" s="255">
        <v>0</v>
      </c>
      <c r="I11" s="255">
        <v>2.4546569467785339E-2</v>
      </c>
      <c r="J11" s="255">
        <v>0</v>
      </c>
      <c r="K11" s="255">
        <v>0.14126166941036569</v>
      </c>
      <c r="L11" s="255">
        <v>0.2177655431530757</v>
      </c>
      <c r="M11" s="255">
        <v>0.3669650483330249</v>
      </c>
      <c r="N11" s="255">
        <v>0.42654888332671481</v>
      </c>
      <c r="O11" s="255">
        <v>0.34091224236666912</v>
      </c>
      <c r="P11" s="255">
        <v>0.31721920992648689</v>
      </c>
      <c r="Q11" s="255">
        <v>0.28408766099556071</v>
      </c>
      <c r="R11" s="255">
        <v>0.3109330995232617</v>
      </c>
      <c r="S11" s="255">
        <v>0.33007833256758562</v>
      </c>
      <c r="T11" s="255">
        <v>0.31155021723801157</v>
      </c>
      <c r="U11" s="255">
        <v>0.44217011534016681</v>
      </c>
      <c r="V11" s="255">
        <v>0.50049594940326891</v>
      </c>
      <c r="W11" s="255">
        <v>0.45193539000663868</v>
      </c>
      <c r="X11" s="255">
        <v>0.40673944686926178</v>
      </c>
      <c r="Y11" s="255">
        <v>0.36889795671077819</v>
      </c>
      <c r="DA11" s="271" t="s">
        <v>1020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1021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1022</v>
      </c>
    </row>
    <row r="14" spans="1:105" x14ac:dyDescent="0.25">
      <c r="A14" s="253" t="s">
        <v>162</v>
      </c>
      <c r="B14" s="254">
        <v>0</v>
      </c>
      <c r="C14" s="254">
        <v>0</v>
      </c>
      <c r="D14" s="254">
        <v>0</v>
      </c>
      <c r="E14" s="254">
        <v>0</v>
      </c>
      <c r="F14" s="254">
        <v>0</v>
      </c>
      <c r="G14" s="254">
        <v>0</v>
      </c>
      <c r="H14" s="254">
        <v>0</v>
      </c>
      <c r="I14" s="254">
        <v>0</v>
      </c>
      <c r="J14" s="254">
        <v>0</v>
      </c>
      <c r="K14" s="254">
        <v>5.9374437027739889E-2</v>
      </c>
      <c r="L14" s="254">
        <v>7.4231406868165997E-2</v>
      </c>
      <c r="M14" s="254">
        <v>0.46019196872123808</v>
      </c>
      <c r="N14" s="254">
        <v>0.46019196872222679</v>
      </c>
      <c r="O14" s="254">
        <v>0.62351175229148825</v>
      </c>
      <c r="P14" s="254">
        <v>0.66802921948204963</v>
      </c>
      <c r="Q14" s="254">
        <v>0.75711759620287133</v>
      </c>
      <c r="R14" s="254">
        <v>0.74226062634657586</v>
      </c>
      <c r="S14" s="254">
        <v>0.79997835091573122</v>
      </c>
      <c r="T14" s="254">
        <v>0.79939048520915423</v>
      </c>
      <c r="U14" s="254">
        <v>0.7641185424220216</v>
      </c>
      <c r="V14" s="254">
        <v>0.55099050023744611</v>
      </c>
      <c r="W14" s="254">
        <v>0.55195246230535988</v>
      </c>
      <c r="X14" s="254">
        <v>0.59604239079589239</v>
      </c>
      <c r="Y14" s="254">
        <v>0.53650762674385266</v>
      </c>
      <c r="DA14" s="270" t="s">
        <v>1023</v>
      </c>
    </row>
    <row r="15" spans="1:105" x14ac:dyDescent="0.25">
      <c r="A15" s="253" t="s">
        <v>24</v>
      </c>
      <c r="B15" s="255">
        <v>1.1771832217270359</v>
      </c>
      <c r="C15" s="255">
        <v>1.111794727665202</v>
      </c>
      <c r="D15" s="255">
        <v>1.3839450235682611</v>
      </c>
      <c r="E15" s="255">
        <v>1.6874682871247799</v>
      </c>
      <c r="F15" s="255">
        <v>1.9855702378849669</v>
      </c>
      <c r="G15" s="255">
        <v>2.2613656240005628</v>
      </c>
      <c r="H15" s="255">
        <v>2.4264575925315448</v>
      </c>
      <c r="I15" s="255">
        <v>2.735137296202264</v>
      </c>
      <c r="J15" s="255">
        <v>3.7554731087788782</v>
      </c>
      <c r="K15" s="255">
        <v>3.348796838807627</v>
      </c>
      <c r="L15" s="255">
        <v>3.696564032350862</v>
      </c>
      <c r="M15" s="255">
        <v>2.8496124199493309</v>
      </c>
      <c r="N15" s="255">
        <v>2.6196477205025142</v>
      </c>
      <c r="O15" s="255">
        <v>3.1252371959744081</v>
      </c>
      <c r="P15" s="255">
        <v>3.4686623099790528</v>
      </c>
      <c r="Q15" s="255">
        <v>3.117368188913181</v>
      </c>
      <c r="R15" s="255">
        <v>4.1348821904142188</v>
      </c>
      <c r="S15" s="255">
        <v>4.0047636142703524</v>
      </c>
      <c r="T15" s="255">
        <v>4.3278493928522508</v>
      </c>
      <c r="U15" s="255">
        <v>3.5098000181823128</v>
      </c>
      <c r="V15" s="255">
        <v>3.7047024484321418</v>
      </c>
      <c r="W15" s="255">
        <v>4.5201019449387916</v>
      </c>
      <c r="X15" s="255">
        <v>3.7583842577531379</v>
      </c>
      <c r="Y15" s="255">
        <v>4.173095986543955</v>
      </c>
      <c r="DA15" s="271" t="s">
        <v>1024</v>
      </c>
    </row>
    <row r="16" spans="1:105" x14ac:dyDescent="0.25">
      <c r="A16" s="256" t="s">
        <v>168</v>
      </c>
      <c r="B16" s="257">
        <v>3.6304762845073841</v>
      </c>
      <c r="C16" s="257">
        <v>3.6618777899923129</v>
      </c>
      <c r="D16" s="257">
        <v>3.5366063053397032</v>
      </c>
      <c r="E16" s="257">
        <v>3.653380595890352</v>
      </c>
      <c r="F16" s="257">
        <v>3.3233832100895522</v>
      </c>
      <c r="G16" s="257">
        <v>3.0825352394804</v>
      </c>
      <c r="H16" s="257">
        <v>3.307172262726624</v>
      </c>
      <c r="I16" s="257">
        <v>3.3081749113460872</v>
      </c>
      <c r="J16" s="257">
        <v>2.8586969796463069</v>
      </c>
      <c r="K16" s="257">
        <v>2.709581008037123</v>
      </c>
      <c r="L16" s="257">
        <v>2.6707611829180942</v>
      </c>
      <c r="M16" s="257">
        <v>2.9031991072058698</v>
      </c>
      <c r="N16" s="257">
        <v>2.8098647399324088</v>
      </c>
      <c r="O16" s="257">
        <v>2.7170977508353831</v>
      </c>
      <c r="P16" s="257">
        <v>2.4762636980200239</v>
      </c>
      <c r="Q16" s="257">
        <v>2.81168366140749</v>
      </c>
      <c r="R16" s="257">
        <v>2.854348037454796</v>
      </c>
      <c r="S16" s="257">
        <v>2.9944348949167519</v>
      </c>
      <c r="T16" s="257">
        <v>2.838589512418495</v>
      </c>
      <c r="U16" s="257">
        <v>3.010558753651944</v>
      </c>
      <c r="V16" s="257">
        <v>3.147945128489281</v>
      </c>
      <c r="W16" s="257">
        <v>3.0790496376414618</v>
      </c>
      <c r="X16" s="257">
        <v>2.8961659738627041</v>
      </c>
      <c r="Y16" s="257">
        <v>2.637519153183479</v>
      </c>
      <c r="DA16" s="272" t="s">
        <v>1025</v>
      </c>
    </row>
    <row r="17" spans="1:105" x14ac:dyDescent="0.25">
      <c r="A17" s="256" t="s">
        <v>121</v>
      </c>
      <c r="B17" s="257">
        <f t="shared" ref="B17" si="6">SUM(B18:B24)</f>
        <v>3.9319075859374508</v>
      </c>
      <c r="C17" s="257">
        <f t="shared" ref="C17:W17" si="7">SUM(C18:C24)</f>
        <v>3.9659162966272681</v>
      </c>
      <c r="D17" s="257">
        <f t="shared" si="7"/>
        <v>3.8302437671277159</v>
      </c>
      <c r="E17" s="257">
        <f t="shared" si="7"/>
        <v>3.9567135972207841</v>
      </c>
      <c r="F17" s="257">
        <f t="shared" si="7"/>
        <v>3.5993171778840991</v>
      </c>
      <c r="G17" s="257">
        <f t="shared" si="7"/>
        <v>3.3384720742438589</v>
      </c>
      <c r="H17" s="257">
        <f t="shared" si="7"/>
        <v>3.6809530009067304</v>
      </c>
      <c r="I17" s="257">
        <f t="shared" si="7"/>
        <v>3.6839885114536846</v>
      </c>
      <c r="J17" s="257">
        <f t="shared" si="7"/>
        <v>3.1891351807473756</v>
      </c>
      <c r="K17" s="257">
        <f t="shared" si="7"/>
        <v>3.0837835406237253</v>
      </c>
      <c r="L17" s="257">
        <f t="shared" si="7"/>
        <v>3.0767083360257121</v>
      </c>
      <c r="M17" s="257">
        <f t="shared" si="7"/>
        <v>3.376337788743569</v>
      </c>
      <c r="N17" s="257">
        <f t="shared" si="7"/>
        <v>3.2963902789578019</v>
      </c>
      <c r="O17" s="257">
        <f t="shared" si="7"/>
        <v>3.1804967939322193</v>
      </c>
      <c r="P17" s="257">
        <f t="shared" si="7"/>
        <v>2.836559049249185</v>
      </c>
      <c r="Q17" s="257">
        <f t="shared" si="7"/>
        <v>3.2588097175845561</v>
      </c>
      <c r="R17" s="257">
        <f t="shared" si="7"/>
        <v>3.4358302718444653</v>
      </c>
      <c r="S17" s="257">
        <f t="shared" si="7"/>
        <v>3.6338761459013074</v>
      </c>
      <c r="T17" s="257">
        <f t="shared" si="7"/>
        <v>3.4820065123575161</v>
      </c>
      <c r="U17" s="257">
        <f t="shared" si="7"/>
        <v>3.7371770647817493</v>
      </c>
      <c r="V17" s="257">
        <f t="shared" si="7"/>
        <v>3.8739474409712837</v>
      </c>
      <c r="W17" s="257">
        <f t="shared" si="7"/>
        <v>3.7844385049797218</v>
      </c>
      <c r="X17" s="257">
        <f t="shared" ref="X17:Y17" si="8">SUM(X18:X24)</f>
        <v>3.6083971615256738</v>
      </c>
      <c r="Y17" s="257">
        <f t="shared" si="8"/>
        <v>3.310771899848286</v>
      </c>
      <c r="DA17" s="272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X18" s="55">
        <v>0</v>
      </c>
      <c r="Y18" s="55">
        <v>0</v>
      </c>
      <c r="DA18" s="101" t="s">
        <v>1026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0.2918511790647581</v>
      </c>
      <c r="I19" s="55">
        <v>0.29185117906631902</v>
      </c>
      <c r="J19" s="55">
        <v>0.29185117906655222</v>
      </c>
      <c r="K19" s="55">
        <v>0.29185117906485242</v>
      </c>
      <c r="L19" s="55">
        <v>0.29185117906905977</v>
      </c>
      <c r="M19" s="55">
        <v>0.29185117906309432</v>
      </c>
      <c r="N19" s="55">
        <v>0.29185117906239821</v>
      </c>
      <c r="O19" s="55">
        <v>0.29185117906902092</v>
      </c>
      <c r="P19" s="55">
        <v>0</v>
      </c>
      <c r="Q19" s="55">
        <v>0.29185117906041042</v>
      </c>
      <c r="R19" s="55">
        <v>0.58370235813418414</v>
      </c>
      <c r="S19" s="55">
        <v>0.70744867965756686</v>
      </c>
      <c r="T19" s="55">
        <v>0.73836860059118659</v>
      </c>
      <c r="U19" s="55">
        <v>0.83439361368700871</v>
      </c>
      <c r="V19" s="55">
        <v>0.75238474291073587</v>
      </c>
      <c r="W19" s="55">
        <v>0.7036503273010013</v>
      </c>
      <c r="X19" s="55">
        <v>0.81600159175094389</v>
      </c>
      <c r="Y19" s="55">
        <v>0.75529459181678327</v>
      </c>
      <c r="DA19" s="101" t="s">
        <v>1027</v>
      </c>
    </row>
    <row r="20" spans="1:105" x14ac:dyDescent="0.25">
      <c r="A20" s="61" t="s">
        <v>166</v>
      </c>
      <c r="B20" s="55">
        <v>3.9319075859374508</v>
      </c>
      <c r="C20" s="55">
        <v>3.9659162966272681</v>
      </c>
      <c r="D20" s="55">
        <v>3.8302437671277159</v>
      </c>
      <c r="E20" s="55">
        <v>3.9567135972207841</v>
      </c>
      <c r="F20" s="55">
        <v>3.5993171778840991</v>
      </c>
      <c r="G20" s="55">
        <v>3.3384720742438589</v>
      </c>
      <c r="H20" s="55">
        <v>3.3633774081101921</v>
      </c>
      <c r="I20" s="55">
        <v>3.3646575571835888</v>
      </c>
      <c r="J20" s="55">
        <v>2.8921354149151801</v>
      </c>
      <c r="K20" s="55">
        <v>2.5920452268728891</v>
      </c>
      <c r="L20" s="55">
        <v>2.4716579903218019</v>
      </c>
      <c r="M20" s="55">
        <v>2.6117137240371888</v>
      </c>
      <c r="N20" s="55">
        <v>2.4669600040743909</v>
      </c>
      <c r="O20" s="55">
        <v>2.4043394777841911</v>
      </c>
      <c r="P20" s="55">
        <v>2.2997272912657079</v>
      </c>
      <c r="Q20" s="55">
        <v>2.5546236751028948</v>
      </c>
      <c r="R20" s="55">
        <v>2.3691316085585061</v>
      </c>
      <c r="S20" s="55">
        <v>2.440653716762776</v>
      </c>
      <c r="T20" s="55">
        <v>2.2525231107983088</v>
      </c>
      <c r="U20" s="55">
        <v>2.3199965468311801</v>
      </c>
      <c r="V20" s="55">
        <v>2.4703304769940302</v>
      </c>
      <c r="W20" s="55">
        <v>2.4236345244434609</v>
      </c>
      <c r="X20" s="55">
        <v>2.2021060604544669</v>
      </c>
      <c r="Y20" s="55">
        <v>1.9655040189765081</v>
      </c>
      <c r="DA20" s="101" t="s">
        <v>1028</v>
      </c>
    </row>
    <row r="21" spans="1:105" x14ac:dyDescent="0.25">
      <c r="A21" s="61" t="s">
        <v>129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X21" s="55">
        <v>0</v>
      </c>
      <c r="Y21" s="55">
        <v>0</v>
      </c>
      <c r="DA21" s="101" t="s">
        <v>1029</v>
      </c>
    </row>
    <row r="22" spans="1:105" x14ac:dyDescent="0.25">
      <c r="A22" s="61" t="s">
        <v>169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2.7479775203776941E-2</v>
      </c>
      <c r="J22" s="55">
        <v>0</v>
      </c>
      <c r="K22" s="55">
        <v>0.18664526584636601</v>
      </c>
      <c r="L22" s="55">
        <v>0.30612448985609991</v>
      </c>
      <c r="M22" s="55">
        <v>0.4637165585628189</v>
      </c>
      <c r="N22" s="55">
        <v>0.52680039978661763</v>
      </c>
      <c r="O22" s="55">
        <v>0.47523128990207719</v>
      </c>
      <c r="P22" s="55">
        <v>0.5304238046708647</v>
      </c>
      <c r="Q22" s="55">
        <v>0.39816698976788989</v>
      </c>
      <c r="R22" s="55">
        <v>0.46932847409763112</v>
      </c>
      <c r="S22" s="55">
        <v>0.46799445705297671</v>
      </c>
      <c r="T22" s="55">
        <v>0.47287250613326259</v>
      </c>
      <c r="U22" s="55">
        <v>0.56300744143767634</v>
      </c>
      <c r="V22" s="55">
        <v>0.63145275824070901</v>
      </c>
      <c r="W22" s="55">
        <v>0.64994933578266334</v>
      </c>
      <c r="X22" s="55">
        <v>0.52778418437865859</v>
      </c>
      <c r="Y22" s="55">
        <v>0.53545012560831229</v>
      </c>
      <c r="DA22" s="101" t="s">
        <v>1030</v>
      </c>
    </row>
    <row r="23" spans="1:105" x14ac:dyDescent="0.25">
      <c r="A23" s="61" t="s">
        <v>164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2.5724413731780041E-2</v>
      </c>
      <c r="I23" s="55">
        <v>0</v>
      </c>
      <c r="J23" s="55">
        <v>5.1485867656434897E-3</v>
      </c>
      <c r="K23" s="55">
        <v>1.324186883961747E-2</v>
      </c>
      <c r="L23" s="55">
        <v>7.0746767787507672E-3</v>
      </c>
      <c r="M23" s="55">
        <v>9.0563270804670422E-3</v>
      </c>
      <c r="N23" s="55">
        <v>1.0778696034395191E-2</v>
      </c>
      <c r="O23" s="55">
        <v>9.0748471769303996E-3</v>
      </c>
      <c r="P23" s="55">
        <v>6.4079533126127856E-3</v>
      </c>
      <c r="Q23" s="55">
        <v>1.4167873653361101E-2</v>
      </c>
      <c r="R23" s="55">
        <v>1.366783105414362E-2</v>
      </c>
      <c r="S23" s="55">
        <v>1.777929242798781E-2</v>
      </c>
      <c r="T23" s="55">
        <v>1.824229483475839E-2</v>
      </c>
      <c r="U23" s="55">
        <v>1.9779462825883901E-2</v>
      </c>
      <c r="V23" s="55">
        <v>1.977946282580868E-2</v>
      </c>
      <c r="W23" s="55">
        <v>7.204317452596417E-3</v>
      </c>
      <c r="X23" s="55">
        <v>6.2505324941604545E-2</v>
      </c>
      <c r="Y23" s="55">
        <v>5.4523163446682593E-2</v>
      </c>
      <c r="DA23" s="101" t="s">
        <v>1031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1032</v>
      </c>
    </row>
    <row r="25" spans="1:105" x14ac:dyDescent="0.25">
      <c r="A25" s="256" t="s">
        <v>167</v>
      </c>
      <c r="B25" s="257">
        <v>0.48833839142187663</v>
      </c>
      <c r="C25" s="257">
        <v>0.49256223410118949</v>
      </c>
      <c r="D25" s="257">
        <v>0.47571186227329948</v>
      </c>
      <c r="E25" s="257">
        <v>0.49141926943920877</v>
      </c>
      <c r="F25" s="257">
        <v>0.44703104598679932</v>
      </c>
      <c r="G25" s="257">
        <v>0.41463438468745262</v>
      </c>
      <c r="H25" s="257">
        <v>0.44485049794344222</v>
      </c>
      <c r="I25" s="257">
        <v>0.44498536504506181</v>
      </c>
      <c r="J25" s="257">
        <v>0.38452571376388389</v>
      </c>
      <c r="K25" s="257">
        <v>0.36446800011851849</v>
      </c>
      <c r="L25" s="257">
        <v>0.35924631308125482</v>
      </c>
      <c r="M25" s="257">
        <v>0.39051173203923428</v>
      </c>
      <c r="N25" s="257">
        <v>0.37795724849303908</v>
      </c>
      <c r="O25" s="257">
        <v>0.36547908345832653</v>
      </c>
      <c r="P25" s="257">
        <v>0.33308429425302499</v>
      </c>
      <c r="Q25" s="257">
        <v>0.37820191313691898</v>
      </c>
      <c r="R25" s="257">
        <v>0.38394073392439221</v>
      </c>
      <c r="S25" s="257">
        <v>0.4027839338990753</v>
      </c>
      <c r="T25" s="257">
        <v>0.38182104158533242</v>
      </c>
      <c r="U25" s="257">
        <v>0.40495276757851789</v>
      </c>
      <c r="V25" s="257">
        <v>0.42343272338422061</v>
      </c>
      <c r="W25" s="257">
        <v>0.41416553347847268</v>
      </c>
      <c r="X25" s="257">
        <v>0.38956569941037122</v>
      </c>
      <c r="Y25" s="257">
        <v>0.3547748999508416</v>
      </c>
      <c r="DA25" s="272" t="s">
        <v>1033</v>
      </c>
    </row>
    <row r="26" spans="1:105" x14ac:dyDescent="0.25">
      <c r="A26" s="256" t="s">
        <v>170</v>
      </c>
      <c r="B26" s="257">
        <v>0.557540317736269</v>
      </c>
      <c r="C26" s="257">
        <v>0.55034797502147881</v>
      </c>
      <c r="D26" s="257">
        <v>0.57793120754740113</v>
      </c>
      <c r="E26" s="257">
        <v>0.63102628262946547</v>
      </c>
      <c r="F26" s="257">
        <v>0.62668082886827015</v>
      </c>
      <c r="G26" s="257">
        <v>0.6248323430130589</v>
      </c>
      <c r="H26" s="257">
        <v>0.66439954586280725</v>
      </c>
      <c r="I26" s="257">
        <v>0.69514964690184922</v>
      </c>
      <c r="J26" s="257">
        <v>0.71879711607417918</v>
      </c>
      <c r="K26" s="257">
        <v>0.66999293171661689</v>
      </c>
      <c r="L26" s="257">
        <v>0.69636762984715495</v>
      </c>
      <c r="M26" s="257">
        <v>0.67507952717965791</v>
      </c>
      <c r="N26" s="257">
        <v>0.64277409365337779</v>
      </c>
      <c r="O26" s="257">
        <v>0.68050606211743103</v>
      </c>
      <c r="P26" s="257">
        <v>0.68559903820556911</v>
      </c>
      <c r="Q26" s="257">
        <v>0.69589875450040117</v>
      </c>
      <c r="R26" s="257">
        <v>0.78516540001463364</v>
      </c>
      <c r="S26" s="257">
        <v>0.79391871031493866</v>
      </c>
      <c r="T26" s="257">
        <v>0.79840784380437568</v>
      </c>
      <c r="U26" s="257">
        <v>0.75258832826983202</v>
      </c>
      <c r="V26" s="257">
        <v>0.78383376765806234</v>
      </c>
      <c r="W26" s="257">
        <v>0.84414249236692562</v>
      </c>
      <c r="X26" s="257">
        <v>0.74970799415037037</v>
      </c>
      <c r="Y26" s="257">
        <v>0.7459360164205544</v>
      </c>
      <c r="DA26" s="272" t="s">
        <v>1034</v>
      </c>
    </row>
    <row r="27" spans="1:105" x14ac:dyDescent="0.25">
      <c r="A27" s="128" t="s">
        <v>33</v>
      </c>
      <c r="B27" s="258">
        <v>0.84972754416105367</v>
      </c>
      <c r="C27" s="258">
        <v>0.83876594816990202</v>
      </c>
      <c r="D27" s="258">
        <v>0.88080458051390764</v>
      </c>
      <c r="E27" s="258">
        <v>0.96172491276846328</v>
      </c>
      <c r="F27" s="258">
        <v>0.95510215987454183</v>
      </c>
      <c r="G27" s="258">
        <v>0.95228494774440842</v>
      </c>
      <c r="H27" s="258">
        <v>1.0125879268067091</v>
      </c>
      <c r="I27" s="258">
        <v>1.0594530718148749</v>
      </c>
      <c r="J27" s="258">
        <v>1.095493345973009</v>
      </c>
      <c r="K27" s="258">
        <v>1.021112609011577</v>
      </c>
      <c r="L27" s="258">
        <v>1.0613093566861589</v>
      </c>
      <c r="M27" s="258">
        <v>1.028864909846968</v>
      </c>
      <c r="N27" s="258">
        <v>0.97962933742271596</v>
      </c>
      <c r="O27" s="258">
        <v>1.03713530045244</v>
      </c>
      <c r="P27" s="258">
        <v>1.044897325773614</v>
      </c>
      <c r="Q27" s="258">
        <v>1.0605947602987049</v>
      </c>
      <c r="R27" s="258">
        <v>1.1966429079488701</v>
      </c>
      <c r="S27" s="258">
        <v>1.2099835196107449</v>
      </c>
      <c r="T27" s="258">
        <v>1.2168252497135621</v>
      </c>
      <c r="U27" s="258">
        <v>1.1469933412914091</v>
      </c>
      <c r="V27" s="258">
        <v>1.1946134140161819</v>
      </c>
      <c r="W27" s="258">
        <v>1.2865278153753821</v>
      </c>
      <c r="X27" s="258">
        <v>1.142603525595872</v>
      </c>
      <c r="Y27" s="258">
        <v>1.1368547873055179</v>
      </c>
      <c r="DA27" s="273" t="s">
        <v>1035</v>
      </c>
    </row>
    <row r="29" spans="1:105" ht="12.75" x14ac:dyDescent="0.25">
      <c r="A29" s="178" t="s">
        <v>132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0.99999999999999989</v>
      </c>
      <c r="C31" s="235">
        <f t="shared" si="9"/>
        <v>1</v>
      </c>
      <c r="D31" s="235">
        <f t="shared" si="9"/>
        <v>1</v>
      </c>
      <c r="E31" s="235">
        <f t="shared" si="9"/>
        <v>1</v>
      </c>
      <c r="F31" s="235">
        <f t="shared" si="9"/>
        <v>1</v>
      </c>
      <c r="G31" s="235">
        <f t="shared" si="9"/>
        <v>1</v>
      </c>
      <c r="H31" s="235">
        <f t="shared" si="9"/>
        <v>0.99999999999999989</v>
      </c>
      <c r="I31" s="235">
        <f t="shared" si="9"/>
        <v>0.99999999999999989</v>
      </c>
      <c r="J31" s="235">
        <f t="shared" si="9"/>
        <v>1</v>
      </c>
      <c r="K31" s="235">
        <f t="shared" si="9"/>
        <v>0.99999999999999989</v>
      </c>
      <c r="L31" s="235">
        <f t="shared" si="9"/>
        <v>1</v>
      </c>
      <c r="M31" s="235">
        <f t="shared" si="9"/>
        <v>1</v>
      </c>
      <c r="N31" s="235">
        <f t="shared" si="9"/>
        <v>0.99999999999999978</v>
      </c>
      <c r="O31" s="235">
        <f t="shared" si="9"/>
        <v>0.99999999999999978</v>
      </c>
      <c r="P31" s="235">
        <f t="shared" si="9"/>
        <v>1</v>
      </c>
      <c r="Q31" s="235">
        <f t="shared" si="9"/>
        <v>0.99999999999999989</v>
      </c>
      <c r="R31" s="235">
        <f t="shared" ref="R31:W31" si="10">SUM(R32:R40)</f>
        <v>1.0000000000000002</v>
      </c>
      <c r="S31" s="235">
        <f t="shared" si="10"/>
        <v>1</v>
      </c>
      <c r="T31" s="235">
        <f t="shared" si="10"/>
        <v>1.0000000000000002</v>
      </c>
      <c r="U31" s="235">
        <f t="shared" si="10"/>
        <v>0.99999999999999989</v>
      </c>
      <c r="V31" s="235">
        <f t="shared" si="10"/>
        <v>1</v>
      </c>
      <c r="W31" s="235">
        <f t="shared" si="10"/>
        <v>0.99999999999999989</v>
      </c>
      <c r="X31" s="235">
        <f t="shared" ref="X31:Y31" si="11">SUM(X32:X40)</f>
        <v>0.99999999999999978</v>
      </c>
      <c r="Y31" s="235">
        <f t="shared" si="11"/>
        <v>0.99999999999999989</v>
      </c>
      <c r="DA31" s="274"/>
    </row>
    <row r="32" spans="1:105" x14ac:dyDescent="0.25">
      <c r="A32" s="238" t="s">
        <v>125</v>
      </c>
      <c r="B32" s="244">
        <f t="shared" ref="B32:Y32" si="12">IF(B$6=0,0,B$6/B$5)</f>
        <v>3.4466833636088566E-2</v>
      </c>
      <c r="C32" s="244">
        <f t="shared" si="12"/>
        <v>3.3945123938064835E-2</v>
      </c>
      <c r="D32" s="244">
        <f t="shared" si="12"/>
        <v>3.596505404524819E-2</v>
      </c>
      <c r="E32" s="244">
        <f t="shared" si="12"/>
        <v>3.7289545726633053E-2</v>
      </c>
      <c r="F32" s="244">
        <f t="shared" si="12"/>
        <v>3.9337025427954461E-2</v>
      </c>
      <c r="G32" s="244">
        <f t="shared" si="12"/>
        <v>4.095008211749019E-2</v>
      </c>
      <c r="H32" s="244">
        <f t="shared" si="12"/>
        <v>4.0447036960461598E-2</v>
      </c>
      <c r="I32" s="244">
        <f t="shared" si="12"/>
        <v>4.1392777936568426E-2</v>
      </c>
      <c r="J32" s="244">
        <f t="shared" si="12"/>
        <v>4.477824572325341E-2</v>
      </c>
      <c r="K32" s="244">
        <f t="shared" si="12"/>
        <v>4.4189704641124788E-2</v>
      </c>
      <c r="L32" s="244">
        <f t="shared" si="12"/>
        <v>4.4948167584988201E-2</v>
      </c>
      <c r="M32" s="244">
        <f t="shared" si="12"/>
        <v>4.2390652151451907E-2</v>
      </c>
      <c r="N32" s="244">
        <f t="shared" si="12"/>
        <v>4.1930484453969366E-2</v>
      </c>
      <c r="O32" s="244">
        <f t="shared" si="12"/>
        <v>4.3539878342958208E-2</v>
      </c>
      <c r="P32" s="244">
        <f t="shared" si="12"/>
        <v>4.549994514010914E-2</v>
      </c>
      <c r="Q32" s="244">
        <f t="shared" si="12"/>
        <v>4.3330582834142567E-2</v>
      </c>
      <c r="R32" s="244">
        <f t="shared" si="12"/>
        <v>4.475352476371016E-2</v>
      </c>
      <c r="S32" s="244">
        <f t="shared" si="12"/>
        <v>4.4009117653695806E-2</v>
      </c>
      <c r="T32" s="244">
        <f t="shared" si="12"/>
        <v>4.4829132380412369E-2</v>
      </c>
      <c r="U32" s="244">
        <f t="shared" si="12"/>
        <v>4.271631975208396E-2</v>
      </c>
      <c r="V32" s="244">
        <f t="shared" si="12"/>
        <v>4.2951131143686413E-2</v>
      </c>
      <c r="W32" s="244">
        <f t="shared" si="12"/>
        <v>4.4644926385969279E-2</v>
      </c>
      <c r="X32" s="244">
        <f t="shared" si="12"/>
        <v>4.3411067422901364E-2</v>
      </c>
      <c r="Y32" s="244">
        <f t="shared" si="12"/>
        <v>4.4811337552785588E-2</v>
      </c>
      <c r="DA32" s="275"/>
    </row>
    <row r="33" spans="1:105" x14ac:dyDescent="0.25">
      <c r="A33" s="240" t="s">
        <v>124</v>
      </c>
      <c r="B33" s="245">
        <f t="shared" ref="B33:Y33" si="13">IF(B$7=0,0,B$7/B$5)</f>
        <v>2.2215878316283195E-2</v>
      </c>
      <c r="C33" s="245">
        <f t="shared" si="13"/>
        <v>2.1879606081644722E-2</v>
      </c>
      <c r="D33" s="245">
        <f t="shared" si="13"/>
        <v>2.3181568482437936E-2</v>
      </c>
      <c r="E33" s="245">
        <f t="shared" si="13"/>
        <v>2.4035280382267515E-2</v>
      </c>
      <c r="F33" s="245">
        <f t="shared" si="13"/>
        <v>2.535500009832492E-2</v>
      </c>
      <c r="G33" s="245">
        <f t="shared" si="13"/>
        <v>2.6394708924216911E-2</v>
      </c>
      <c r="H33" s="245">
        <f t="shared" si="13"/>
        <v>2.6070467071479923E-2</v>
      </c>
      <c r="I33" s="245">
        <f t="shared" si="13"/>
        <v>2.6680052119696044E-2</v>
      </c>
      <c r="J33" s="245">
        <f t="shared" si="13"/>
        <v>2.8862182952681541E-2</v>
      </c>
      <c r="K33" s="245">
        <f t="shared" si="13"/>
        <v>2.848283400514685E-2</v>
      </c>
      <c r="L33" s="245">
        <f t="shared" si="13"/>
        <v>2.8971707472497697E-2</v>
      </c>
      <c r="M33" s="245">
        <f t="shared" si="13"/>
        <v>2.7323240071536102E-2</v>
      </c>
      <c r="N33" s="245">
        <f t="shared" si="13"/>
        <v>2.7026635234541383E-2</v>
      </c>
      <c r="O33" s="245">
        <f t="shared" si="13"/>
        <v>2.8063983172511225E-2</v>
      </c>
      <c r="P33" s="245">
        <f t="shared" si="13"/>
        <v>2.9327360189299292E-2</v>
      </c>
      <c r="Q33" s="245">
        <f t="shared" si="13"/>
        <v>2.792908004781211E-2</v>
      </c>
      <c r="R33" s="245">
        <f t="shared" si="13"/>
        <v>2.8846248856881695E-2</v>
      </c>
      <c r="S33" s="245">
        <f t="shared" si="13"/>
        <v>2.8366435191708256E-2</v>
      </c>
      <c r="T33" s="245">
        <f t="shared" si="13"/>
        <v>2.8894982361971692E-2</v>
      </c>
      <c r="U33" s="245">
        <f t="shared" si="13"/>
        <v>2.7533151775743902E-2</v>
      </c>
      <c r="V33" s="245">
        <f t="shared" si="13"/>
        <v>2.7684501370493306E-2</v>
      </c>
      <c r="W33" s="245">
        <f t="shared" si="13"/>
        <v>2.877625088808914E-2</v>
      </c>
      <c r="X33" s="245">
        <f t="shared" si="13"/>
        <v>2.7980957044958992E-2</v>
      </c>
      <c r="Y33" s="245">
        <f t="shared" si="13"/>
        <v>2.8883512560904684E-2</v>
      </c>
      <c r="DA33" s="276"/>
    </row>
    <row r="34" spans="1:105" x14ac:dyDescent="0.25">
      <c r="A34" s="240" t="s">
        <v>123</v>
      </c>
      <c r="B34" s="245">
        <f t="shared" ref="B34:Y34" si="14">IF(B$8=0,0,B$8/B$5)</f>
        <v>4.4148109461968392E-2</v>
      </c>
      <c r="C34" s="245">
        <f t="shared" si="14"/>
        <v>4.3479858438421955E-2</v>
      </c>
      <c r="D34" s="245">
        <f t="shared" si="14"/>
        <v>4.6067160086696472E-2</v>
      </c>
      <c r="E34" s="245">
        <f t="shared" si="14"/>
        <v>4.7763683891251019E-2</v>
      </c>
      <c r="F34" s="245">
        <f t="shared" si="14"/>
        <v>5.0386273448780043E-2</v>
      </c>
      <c r="G34" s="245">
        <f t="shared" si="14"/>
        <v>5.2452416339939606E-2</v>
      </c>
      <c r="H34" s="245">
        <f t="shared" si="14"/>
        <v>5.1808072479076282E-2</v>
      </c>
      <c r="I34" s="245">
        <f t="shared" si="14"/>
        <v>5.3019459535301704E-2</v>
      </c>
      <c r="J34" s="245">
        <f t="shared" si="14"/>
        <v>5.7355860262000395E-2</v>
      </c>
      <c r="K34" s="245">
        <f t="shared" si="14"/>
        <v>5.6602005806119238E-2</v>
      </c>
      <c r="L34" s="245">
        <f t="shared" si="14"/>
        <v>5.7573510918021015E-2</v>
      </c>
      <c r="M34" s="245">
        <f t="shared" si="14"/>
        <v>5.4297623364712014E-2</v>
      </c>
      <c r="N34" s="245">
        <f t="shared" si="14"/>
        <v>5.3708200672340022E-2</v>
      </c>
      <c r="O34" s="245">
        <f t="shared" si="14"/>
        <v>5.5769651930923501E-2</v>
      </c>
      <c r="P34" s="245">
        <f t="shared" si="14"/>
        <v>5.828027546040216E-2</v>
      </c>
      <c r="Q34" s="245">
        <f t="shared" si="14"/>
        <v>5.5501568093265279E-2</v>
      </c>
      <c r="R34" s="245">
        <f t="shared" si="14"/>
        <v>5.7324195513232243E-2</v>
      </c>
      <c r="S34" s="245">
        <f t="shared" si="14"/>
        <v>5.6370694332236904E-2</v>
      </c>
      <c r="T34" s="245">
        <f t="shared" si="14"/>
        <v>5.7421040305346581E-2</v>
      </c>
      <c r="U34" s="245">
        <f t="shared" si="14"/>
        <v>5.4714766669279082E-2</v>
      </c>
      <c r="V34" s="245">
        <f t="shared" si="14"/>
        <v>5.5015533462331033E-2</v>
      </c>
      <c r="W34" s="245">
        <f t="shared" si="14"/>
        <v>5.7185093293442707E-2</v>
      </c>
      <c r="X34" s="245">
        <f t="shared" si="14"/>
        <v>5.5604659734117469E-2</v>
      </c>
      <c r="Y34" s="245">
        <f t="shared" si="14"/>
        <v>5.7398247146966619E-2</v>
      </c>
      <c r="DA34" s="276"/>
    </row>
    <row r="35" spans="1:105" x14ac:dyDescent="0.25">
      <c r="A35" s="242" t="s">
        <v>122</v>
      </c>
      <c r="B35" s="246">
        <f t="shared" ref="B35:Y35" si="15">IF(B$9=0,0,B$9/B$5)</f>
        <v>0.31937652359188423</v>
      </c>
      <c r="C35" s="246">
        <f t="shared" si="15"/>
        <v>0.31906769619630537</v>
      </c>
      <c r="D35" s="246">
        <f t="shared" si="15"/>
        <v>0.32080608506632374</v>
      </c>
      <c r="E35" s="246">
        <f t="shared" si="15"/>
        <v>0.32283965194149317</v>
      </c>
      <c r="F35" s="246">
        <f t="shared" si="15"/>
        <v>0.32773548188791884</v>
      </c>
      <c r="G35" s="246">
        <f t="shared" si="15"/>
        <v>0.33346579188103609</v>
      </c>
      <c r="H35" s="246">
        <f t="shared" si="15"/>
        <v>0.33172499807350336</v>
      </c>
      <c r="I35" s="246">
        <f t="shared" si="15"/>
        <v>0.33616589191194285</v>
      </c>
      <c r="J35" s="246">
        <f t="shared" si="15"/>
        <v>0.35957083579072902</v>
      </c>
      <c r="K35" s="246">
        <f t="shared" si="15"/>
        <v>0.35737905088462718</v>
      </c>
      <c r="L35" s="246">
        <f t="shared" si="15"/>
        <v>0.36513658045562086</v>
      </c>
      <c r="M35" s="246">
        <f t="shared" si="15"/>
        <v>0.35455790040007301</v>
      </c>
      <c r="N35" s="246">
        <f t="shared" si="15"/>
        <v>0.35293810731504249</v>
      </c>
      <c r="O35" s="246">
        <f t="shared" si="15"/>
        <v>0.36628238206035624</v>
      </c>
      <c r="P35" s="246">
        <f t="shared" si="15"/>
        <v>0.38145407647963225</v>
      </c>
      <c r="Q35" s="246">
        <f t="shared" si="15"/>
        <v>0.36661472899663433</v>
      </c>
      <c r="R35" s="246">
        <f t="shared" si="15"/>
        <v>0.37982872958754882</v>
      </c>
      <c r="S35" s="246">
        <f t="shared" si="15"/>
        <v>0.37461181448452324</v>
      </c>
      <c r="T35" s="246">
        <f t="shared" si="15"/>
        <v>0.38347278679690289</v>
      </c>
      <c r="U35" s="246">
        <f t="shared" si="15"/>
        <v>0.36553761950051428</v>
      </c>
      <c r="V35" s="246">
        <f t="shared" si="15"/>
        <v>0.36228491915790323</v>
      </c>
      <c r="W35" s="246">
        <f t="shared" si="15"/>
        <v>0.37597303903490376</v>
      </c>
      <c r="X35" s="246">
        <f t="shared" si="15"/>
        <v>0.36849302223778718</v>
      </c>
      <c r="Y35" s="246">
        <f t="shared" si="15"/>
        <v>0.38126702427295894</v>
      </c>
      <c r="DA35" s="277"/>
    </row>
    <row r="36" spans="1:105" x14ac:dyDescent="0.25">
      <c r="A36" s="127" t="s">
        <v>168</v>
      </c>
      <c r="B36" s="259">
        <f t="shared" ref="B36:Y36" si="16">IF(B$16=0,0,B$16/B$5)</f>
        <v>0.22255505200810777</v>
      </c>
      <c r="C36" s="259">
        <f t="shared" si="16"/>
        <v>0.22397142619289365</v>
      </c>
      <c r="D36" s="259">
        <f t="shared" si="16"/>
        <v>0.21824285337343327</v>
      </c>
      <c r="E36" s="259">
        <f t="shared" si="16"/>
        <v>0.21408355388075428</v>
      </c>
      <c r="F36" s="259">
        <f t="shared" si="16"/>
        <v>0.20686369234649002</v>
      </c>
      <c r="G36" s="259">
        <f t="shared" si="16"/>
        <v>0.2003309584489881</v>
      </c>
      <c r="H36" s="259">
        <f t="shared" si="16"/>
        <v>0.19964707198809975</v>
      </c>
      <c r="I36" s="259">
        <f t="shared" si="16"/>
        <v>0.19533653254297953</v>
      </c>
      <c r="J36" s="259">
        <f t="shared" si="16"/>
        <v>0.1765946797412391</v>
      </c>
      <c r="K36" s="259">
        <f t="shared" si="16"/>
        <v>0.17721552301175345</v>
      </c>
      <c r="L36" s="259">
        <f t="shared" si="16"/>
        <v>0.17094531991426659</v>
      </c>
      <c r="M36" s="259">
        <f t="shared" si="16"/>
        <v>0.18077598037410925</v>
      </c>
      <c r="N36" s="259">
        <f t="shared" si="16"/>
        <v>0.18176308007236081</v>
      </c>
      <c r="O36" s="259">
        <f t="shared" si="16"/>
        <v>0.1723888685480022</v>
      </c>
      <c r="P36" s="259">
        <f t="shared" si="16"/>
        <v>0.16296198562488587</v>
      </c>
      <c r="Q36" s="259">
        <f t="shared" si="16"/>
        <v>0.17360557682970554</v>
      </c>
      <c r="R36" s="259">
        <f t="shared" si="16"/>
        <v>0.16133246243606444</v>
      </c>
      <c r="S36" s="259">
        <f t="shared" si="16"/>
        <v>0.16460015612109993</v>
      </c>
      <c r="T36" s="259">
        <f t="shared" si="16"/>
        <v>0.15804722540219562</v>
      </c>
      <c r="U36" s="259">
        <f t="shared" si="16"/>
        <v>0.16944634317931778</v>
      </c>
      <c r="V36" s="259">
        <f t="shared" si="16"/>
        <v>0.17105136086793543</v>
      </c>
      <c r="W36" s="259">
        <f t="shared" si="16"/>
        <v>0.16148113102639031</v>
      </c>
      <c r="X36" s="259">
        <f t="shared" si="16"/>
        <v>0.16629550611093882</v>
      </c>
      <c r="Y36" s="259">
        <f t="shared" si="16"/>
        <v>0.15711971972354469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0.24103336000668013</v>
      </c>
      <c r="C37" s="259">
        <f t="shared" si="17"/>
        <v>0.2425673329527234</v>
      </c>
      <c r="D37" s="259">
        <f t="shared" si="17"/>
        <v>0.23636312800541351</v>
      </c>
      <c r="E37" s="259">
        <f t="shared" si="17"/>
        <v>0.2318584900610097</v>
      </c>
      <c r="F37" s="259">
        <f t="shared" si="17"/>
        <v>0.22403917763163694</v>
      </c>
      <c r="G37" s="259">
        <f t="shared" si="17"/>
        <v>0.21696404369449743</v>
      </c>
      <c r="H37" s="259">
        <f t="shared" si="17"/>
        <v>0.22221143332611007</v>
      </c>
      <c r="I37" s="259">
        <f t="shared" si="17"/>
        <v>0.21752705375022779</v>
      </c>
      <c r="J37" s="259">
        <f t="shared" si="17"/>
        <v>0.19700734632086875</v>
      </c>
      <c r="K37" s="259">
        <f t="shared" si="17"/>
        <v>0.2016896012282586</v>
      </c>
      <c r="L37" s="259">
        <f t="shared" si="17"/>
        <v>0.19692846149956036</v>
      </c>
      <c r="M37" s="259">
        <f t="shared" si="17"/>
        <v>0.21023731108187796</v>
      </c>
      <c r="N37" s="259">
        <f t="shared" si="17"/>
        <v>0.21323519303579413</v>
      </c>
      <c r="O37" s="259">
        <f t="shared" si="17"/>
        <v>0.20178966456320982</v>
      </c>
      <c r="P37" s="259">
        <f t="shared" si="17"/>
        <v>0.18667288761592454</v>
      </c>
      <c r="Q37" s="259">
        <f t="shared" si="17"/>
        <v>0.20121308401966928</v>
      </c>
      <c r="R37" s="259">
        <f t="shared" si="17"/>
        <v>0.1941987981126912</v>
      </c>
      <c r="S37" s="259">
        <f t="shared" si="17"/>
        <v>0.19974940245168527</v>
      </c>
      <c r="T37" s="259">
        <f t="shared" si="17"/>
        <v>0.19387145119182952</v>
      </c>
      <c r="U37" s="259">
        <f t="shared" si="17"/>
        <v>0.21034334130590268</v>
      </c>
      <c r="V37" s="259">
        <f t="shared" si="17"/>
        <v>0.21050048671814084</v>
      </c>
      <c r="W37" s="259">
        <f t="shared" si="17"/>
        <v>0.19847533557531694</v>
      </c>
      <c r="X37" s="259">
        <f t="shared" si="17"/>
        <v>0.20719124443854595</v>
      </c>
      <c r="Y37" s="259">
        <f t="shared" si="17"/>
        <v>0.19722607600588804</v>
      </c>
      <c r="DA37" s="278"/>
    </row>
    <row r="38" spans="1:105" x14ac:dyDescent="0.25">
      <c r="A38" s="127" t="s">
        <v>167</v>
      </c>
      <c r="B38" s="259">
        <f t="shared" ref="B38:Y38" si="18">IF(B$25=0,0,B$25/B$5)</f>
        <v>2.9936065569203522E-2</v>
      </c>
      <c r="C38" s="259">
        <f t="shared" si="18"/>
        <v>3.0126583241499423E-2</v>
      </c>
      <c r="D38" s="259">
        <f t="shared" si="18"/>
        <v>2.9356028136171702E-2</v>
      </c>
      <c r="E38" s="259">
        <f t="shared" si="18"/>
        <v>2.8796557294187602E-2</v>
      </c>
      <c r="F38" s="259">
        <f t="shared" si="18"/>
        <v>2.7825407700681939E-2</v>
      </c>
      <c r="G38" s="259">
        <f t="shared" si="18"/>
        <v>2.6946684218392039E-2</v>
      </c>
      <c r="H38" s="259">
        <f t="shared" si="18"/>
        <v>2.6854694080444958E-2</v>
      </c>
      <c r="I38" s="259">
        <f t="shared" si="18"/>
        <v>2.6274879826383202E-2</v>
      </c>
      <c r="J38" s="259">
        <f t="shared" si="18"/>
        <v>2.3753897582669305E-2</v>
      </c>
      <c r="K38" s="259">
        <f t="shared" si="18"/>
        <v>2.3837407728525883E-2</v>
      </c>
      <c r="L38" s="259">
        <f t="shared" si="18"/>
        <v>2.2993997482993682E-2</v>
      </c>
      <c r="M38" s="259">
        <f t="shared" si="18"/>
        <v>2.4316327816360832E-2</v>
      </c>
      <c r="N38" s="259">
        <f t="shared" si="18"/>
        <v>2.4449103419626517E-2</v>
      </c>
      <c r="O38" s="259">
        <f t="shared" si="18"/>
        <v>2.3188170413070627E-2</v>
      </c>
      <c r="P38" s="259">
        <f t="shared" si="18"/>
        <v>2.1920152532760584E-2</v>
      </c>
      <c r="Q38" s="259">
        <f t="shared" si="18"/>
        <v>2.3351830858299876E-2</v>
      </c>
      <c r="R38" s="259">
        <f t="shared" si="18"/>
        <v>2.1700964010249218E-2</v>
      </c>
      <c r="S38" s="259">
        <f t="shared" si="18"/>
        <v>2.2140504211797779E-2</v>
      </c>
      <c r="T38" s="259">
        <f t="shared" si="18"/>
        <v>2.1259064038224817E-2</v>
      </c>
      <c r="U38" s="259">
        <f t="shared" si="18"/>
        <v>2.2792368872817246E-2</v>
      </c>
      <c r="V38" s="259">
        <f t="shared" si="18"/>
        <v>2.3008261140068226E-2</v>
      </c>
      <c r="W38" s="259">
        <f t="shared" si="18"/>
        <v>2.1720961546265231E-2</v>
      </c>
      <c r="X38" s="259">
        <f t="shared" si="18"/>
        <v>2.2368547152187713E-2</v>
      </c>
      <c r="Y38" s="259">
        <f t="shared" si="18"/>
        <v>2.1134304476213651E-2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3.4178274332743376E-2</v>
      </c>
      <c r="C39" s="259">
        <f t="shared" si="19"/>
        <v>3.3660932433299574E-2</v>
      </c>
      <c r="D39" s="259">
        <f t="shared" si="19"/>
        <v>3.5663951511442984E-2</v>
      </c>
      <c r="E39" s="259">
        <f t="shared" si="19"/>
        <v>3.6977354434257731E-2</v>
      </c>
      <c r="F39" s="259">
        <f t="shared" si="19"/>
        <v>3.9007692458961414E-2</v>
      </c>
      <c r="G39" s="259">
        <f t="shared" si="19"/>
        <v>4.0607244498795256E-2</v>
      </c>
      <c r="H39" s="259">
        <f t="shared" si="19"/>
        <v>4.0108410879199898E-2</v>
      </c>
      <c r="I39" s="259">
        <f t="shared" si="19"/>
        <v>4.1046234030301616E-2</v>
      </c>
      <c r="J39" s="259">
        <f t="shared" si="19"/>
        <v>4.4403358388740842E-2</v>
      </c>
      <c r="K39" s="259">
        <f t="shared" si="19"/>
        <v>4.3819744623302868E-2</v>
      </c>
      <c r="L39" s="259">
        <f t="shared" si="19"/>
        <v>4.4571857649996473E-2</v>
      </c>
      <c r="M39" s="259">
        <f t="shared" si="19"/>
        <v>4.2035753956209412E-2</v>
      </c>
      <c r="N39" s="259">
        <f t="shared" si="19"/>
        <v>4.1579438822371376E-2</v>
      </c>
      <c r="O39" s="259">
        <f t="shared" si="19"/>
        <v>4.3175358726940345E-2</v>
      </c>
      <c r="P39" s="259">
        <f t="shared" si="19"/>
        <v>4.5119015675845066E-2</v>
      </c>
      <c r="Q39" s="259">
        <f t="shared" si="19"/>
        <v>4.2967815458172492E-2</v>
      </c>
      <c r="R39" s="259">
        <f t="shared" si="19"/>
        <v>4.4378844395202621E-2</v>
      </c>
      <c r="S39" s="259">
        <f t="shared" si="19"/>
        <v>4.3640669525705021E-2</v>
      </c>
      <c r="T39" s="259">
        <f t="shared" si="19"/>
        <v>4.4453819018417995E-2</v>
      </c>
      <c r="U39" s="259">
        <f t="shared" si="19"/>
        <v>4.2358695039606001E-2</v>
      </c>
      <c r="V39" s="259">
        <f t="shared" si="19"/>
        <v>4.2591540569989712E-2</v>
      </c>
      <c r="W39" s="259">
        <f t="shared" si="19"/>
        <v>4.4271155212444839E-2</v>
      </c>
      <c r="X39" s="259">
        <f t="shared" si="19"/>
        <v>4.3047626223013856E-2</v>
      </c>
      <c r="Y39" s="259">
        <f t="shared" si="19"/>
        <v>4.4436173170622595E-2</v>
      </c>
      <c r="DA39" s="278"/>
    </row>
    <row r="40" spans="1:105" x14ac:dyDescent="0.25">
      <c r="A40" s="260" t="s">
        <v>33</v>
      </c>
      <c r="B40" s="261">
        <f t="shared" ref="B40:Y40" si="20">IF(B$27=0,0,B$27/B$5)</f>
        <v>5.2089903077040839E-2</v>
      </c>
      <c r="C40" s="261">
        <f t="shared" si="20"/>
        <v>5.1301440525147075E-2</v>
      </c>
      <c r="D40" s="261">
        <f t="shared" si="20"/>
        <v>5.4354171292832341E-2</v>
      </c>
      <c r="E40" s="261">
        <f t="shared" si="20"/>
        <v>5.6355882388145893E-2</v>
      </c>
      <c r="F40" s="261">
        <f t="shared" si="20"/>
        <v>5.9450248999251415E-2</v>
      </c>
      <c r="G40" s="261">
        <f t="shared" si="20"/>
        <v>6.1888069876644435E-2</v>
      </c>
      <c r="H40" s="261">
        <f t="shared" si="20"/>
        <v>6.1127815141624089E-2</v>
      </c>
      <c r="I40" s="261">
        <f t="shared" si="20"/>
        <v>6.2557118346598731E-2</v>
      </c>
      <c r="J40" s="261">
        <f t="shared" si="20"/>
        <v>6.7673593237817617E-2</v>
      </c>
      <c r="K40" s="261">
        <f t="shared" si="20"/>
        <v>6.6784128071141063E-2</v>
      </c>
      <c r="L40" s="261">
        <f t="shared" si="20"/>
        <v>6.7930397022055194E-2</v>
      </c>
      <c r="M40" s="261">
        <f t="shared" si="20"/>
        <v>6.4065210783669502E-2</v>
      </c>
      <c r="N40" s="261">
        <f t="shared" si="20"/>
        <v>6.3369756973953889E-2</v>
      </c>
      <c r="O40" s="261">
        <f t="shared" si="20"/>
        <v>6.5802042242027736E-2</v>
      </c>
      <c r="P40" s="261">
        <f t="shared" si="20"/>
        <v>6.8764301281141041E-2</v>
      </c>
      <c r="Q40" s="261">
        <f t="shared" si="20"/>
        <v>6.548573286229839E-2</v>
      </c>
      <c r="R40" s="261">
        <f t="shared" si="20"/>
        <v>6.763623232441969E-2</v>
      </c>
      <c r="S40" s="261">
        <f t="shared" si="20"/>
        <v>6.6511206027547815E-2</v>
      </c>
      <c r="T40" s="261">
        <f t="shared" si="20"/>
        <v>6.7750498504698581E-2</v>
      </c>
      <c r="U40" s="261">
        <f t="shared" si="20"/>
        <v>6.4557393904734958E-2</v>
      </c>
      <c r="V40" s="261">
        <f t="shared" si="20"/>
        <v>6.4912265569451802E-2</v>
      </c>
      <c r="W40" s="261">
        <f t="shared" si="20"/>
        <v>6.7472107037177653E-2</v>
      </c>
      <c r="X40" s="261">
        <f t="shared" si="20"/>
        <v>6.5607369635548446E-2</v>
      </c>
      <c r="Y40" s="261">
        <f t="shared" si="20"/>
        <v>6.7723605090115199E-2</v>
      </c>
      <c r="DA40" s="279"/>
    </row>
    <row r="42" spans="1:105" ht="12.75" x14ac:dyDescent="0.25">
      <c r="A42" s="178" t="s">
        <v>131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0.35694858570046362</v>
      </c>
      <c r="C44" s="237">
        <f>IF(C$5=0,0,C$5/AGR_fec!C$5)</f>
        <v>0.35603712185013642</v>
      </c>
      <c r="D44" s="237">
        <f>IF(D$5=0,0,D$5/AGR_fec!D$5)</f>
        <v>0.35981060796861442</v>
      </c>
      <c r="E44" s="237">
        <f>IF(E$5=0,0,E$5/AGR_fec!E$5)</f>
        <v>0.36269089784608294</v>
      </c>
      <c r="F44" s="237">
        <f>IF(F$5=0,0,F$5/AGR_fec!F$5)</f>
        <v>0.36795260693365989</v>
      </c>
      <c r="G44" s="237">
        <f>IF(G$5=0,0,G$5/AGR_fec!G$5)</f>
        <v>0.37297837234880599</v>
      </c>
      <c r="H44" s="237">
        <f>IF(H$5=0,0,H$5/AGR_fec!H$5)</f>
        <v>0.37193934569291215</v>
      </c>
      <c r="I44" s="237">
        <f>IF(I$5=0,0,I$5/AGR_fec!I$5)</f>
        <v>0.37554672437387465</v>
      </c>
      <c r="J44" s="237">
        <f>IF(J$5=0,0,J$5/AGR_fec!J$5)</f>
        <v>0.39153250879454959</v>
      </c>
      <c r="K44" s="237">
        <f>IF(K$5=0,0,K$5/AGR_fec!K$5)</f>
        <v>0.38987702088077159</v>
      </c>
      <c r="L44" s="237">
        <f>IF(L$5=0,0,L$5/AGR_fec!L$5)</f>
        <v>0.39497663054809412</v>
      </c>
      <c r="M44" s="237">
        <f>IF(M$5=0,0,M$5/AGR_fec!M$5)</f>
        <v>0.38535156539133447</v>
      </c>
      <c r="N44" s="237">
        <f>IF(N$5=0,0,N$5/AGR_fec!N$5)</f>
        <v>0.38403328038784146</v>
      </c>
      <c r="O44" s="237">
        <f>IF(O$5=0,0,O$5/AGR_fec!O$5)</f>
        <v>0.39219739524678138</v>
      </c>
      <c r="P44" s="237">
        <f>IF(P$5=0,0,P$5/AGR_fec!P$5)</f>
        <v>0.40190641950110151</v>
      </c>
      <c r="Q44" s="237">
        <f>IF(Q$5=0,0,Q$5/AGR_fec!Q$5)</f>
        <v>0.39148538104764546</v>
      </c>
      <c r="R44" s="237">
        <f>IF(R$5=0,0,R$5/AGR_fec!R$5)</f>
        <v>0.40069064917552555</v>
      </c>
      <c r="S44" s="237">
        <f>IF(S$5=0,0,S$5/AGR_fec!S$5)</f>
        <v>0.39709426052918856</v>
      </c>
      <c r="T44" s="237">
        <f>IF(T$5=0,0,T$5/AGR_fec!T$5)</f>
        <v>0.40263873820191237</v>
      </c>
      <c r="U44" s="237">
        <f>IF(U$5=0,0,U$5/AGR_fec!U$5)</f>
        <v>0.39129987122642323</v>
      </c>
      <c r="V44" s="237">
        <f>IF(V$5=0,0,V$5/AGR_fec!V$5)</f>
        <v>0.39060002807350808</v>
      </c>
      <c r="W44" s="237">
        <f>IF(W$5=0,0,W$5/AGR_fec!W$5)</f>
        <v>0.39966624169914905</v>
      </c>
      <c r="X44" s="237">
        <f>IF(X$5=0,0,X$5/AGR_fec!X$5)</f>
        <v>0.39385974182150763</v>
      </c>
      <c r="Y44" s="237">
        <f>IF(Y$5=0,0,Y$5/AGR_fec!Y$5)</f>
        <v>0.40219845274466981</v>
      </c>
      <c r="DA44" s="286"/>
    </row>
    <row r="45" spans="1:105" x14ac:dyDescent="0.25">
      <c r="A45" s="238" t="s">
        <v>125</v>
      </c>
      <c r="B45" s="250">
        <f>IF(B$6=0,0,B$6/AGR_fec!B$6)</f>
        <v>0.42549419345612821</v>
      </c>
      <c r="C45" s="250">
        <f>IF(C$6=0,0,C$6/AGR_fec!C$6)</f>
        <v>0.42549419345612827</v>
      </c>
      <c r="D45" s="250">
        <f>IF(D$6=0,0,D$6/AGR_fec!D$6)</f>
        <v>0.42549419345612804</v>
      </c>
      <c r="E45" s="250">
        <f>IF(E$6=0,0,E$6/AGR_fec!E$6)</f>
        <v>0.4254941934561281</v>
      </c>
      <c r="F45" s="250">
        <f>IF(F$6=0,0,F$6/AGR_fec!F$6)</f>
        <v>0.42549419345612816</v>
      </c>
      <c r="G45" s="250">
        <f>IF(G$6=0,0,G$6/AGR_fec!G$6)</f>
        <v>0.42549419345612827</v>
      </c>
      <c r="H45" s="250">
        <f>IF(H$6=0,0,H$6/AGR_fec!H$6)</f>
        <v>0.42549419345612821</v>
      </c>
      <c r="I45" s="250">
        <f>IF(I$6=0,0,I$6/AGR_fec!I$6)</f>
        <v>0.42549419345612832</v>
      </c>
      <c r="J45" s="250">
        <f>IF(J$6=0,0,J$6/AGR_fec!J$6)</f>
        <v>0.42549419345612816</v>
      </c>
      <c r="K45" s="250">
        <f>IF(K$6=0,0,K$6/AGR_fec!K$6)</f>
        <v>0.42549419345612816</v>
      </c>
      <c r="L45" s="250">
        <f>IF(L$6=0,0,L$6/AGR_fec!L$6)</f>
        <v>0.42549419345612838</v>
      </c>
      <c r="M45" s="250">
        <f>IF(M$6=0,0,M$6/AGR_fec!M$6)</f>
        <v>0.42549419345612821</v>
      </c>
      <c r="N45" s="250">
        <f>IF(N$6=0,0,N$6/AGR_fec!N$6)</f>
        <v>0.42549419345612827</v>
      </c>
      <c r="O45" s="250">
        <f>IF(O$6=0,0,O$6/AGR_fec!O$6)</f>
        <v>0.42549419345612827</v>
      </c>
      <c r="P45" s="250">
        <f>IF(P$6=0,0,P$6/AGR_fec!P$6)</f>
        <v>0.42549419345612827</v>
      </c>
      <c r="Q45" s="250">
        <f>IF(Q$6=0,0,Q$6/AGR_fec!Q$6)</f>
        <v>0.4254941934561281</v>
      </c>
      <c r="R45" s="250">
        <f>IF(R$6=0,0,R$6/AGR_fec!R$6)</f>
        <v>0.42549419345612821</v>
      </c>
      <c r="S45" s="250">
        <f>IF(S$6=0,0,S$6/AGR_fec!S$6)</f>
        <v>0.42549419345612804</v>
      </c>
      <c r="T45" s="250">
        <f>IF(T$6=0,0,T$6/AGR_fec!T$6)</f>
        <v>0.42549419345612827</v>
      </c>
      <c r="U45" s="250">
        <f>IF(U$6=0,0,U$6/AGR_fec!U$6)</f>
        <v>0.42549419345612827</v>
      </c>
      <c r="V45" s="250">
        <f>IF(V$6=0,0,V$6/AGR_fec!V$6)</f>
        <v>0.42549419345612816</v>
      </c>
      <c r="W45" s="250">
        <f>IF(W$6=0,0,W$6/AGR_fec!W$6)</f>
        <v>0.42549419345612816</v>
      </c>
      <c r="X45" s="250">
        <f>IF(X$6=0,0,X$6/AGR_fec!X$6)</f>
        <v>0.42549419345612816</v>
      </c>
      <c r="Y45" s="250">
        <f>IF(Y$6=0,0,Y$6/AGR_fec!Y$6)</f>
        <v>0.42549419345612832</v>
      </c>
      <c r="DA45" s="287"/>
    </row>
    <row r="46" spans="1:105" x14ac:dyDescent="0.25">
      <c r="A46" s="240" t="s">
        <v>124</v>
      </c>
      <c r="B46" s="251">
        <f>IF(B$7=0,0,B$7/AGR_fec!B$7)</f>
        <v>0.42193191937730001</v>
      </c>
      <c r="C46" s="251">
        <f>IF(C$7=0,0,C$7/AGR_fec!C$7)</f>
        <v>0.42193191937730001</v>
      </c>
      <c r="D46" s="251">
        <f>IF(D$7=0,0,D$7/AGR_fec!D$7)</f>
        <v>0.42193191937729996</v>
      </c>
      <c r="E46" s="251">
        <f>IF(E$7=0,0,E$7/AGR_fec!E$7)</f>
        <v>0.42193191937730001</v>
      </c>
      <c r="F46" s="251">
        <f>IF(F$7=0,0,F$7/AGR_fec!F$7)</f>
        <v>0.42193191937729996</v>
      </c>
      <c r="G46" s="251">
        <f>IF(G$7=0,0,G$7/AGR_fec!G$7)</f>
        <v>0.42193191937730001</v>
      </c>
      <c r="H46" s="251">
        <f>IF(H$7=0,0,H$7/AGR_fec!H$7)</f>
        <v>0.42193191937729996</v>
      </c>
      <c r="I46" s="251">
        <f>IF(I$7=0,0,I$7/AGR_fec!I$7)</f>
        <v>0.42193191937729996</v>
      </c>
      <c r="J46" s="251">
        <f>IF(J$7=0,0,J$7/AGR_fec!J$7)</f>
        <v>0.42193191937730012</v>
      </c>
      <c r="K46" s="251">
        <f>IF(K$7=0,0,K$7/AGR_fec!K$7)</f>
        <v>0.42193191937730018</v>
      </c>
      <c r="L46" s="251">
        <f>IF(L$7=0,0,L$7/AGR_fec!L$7)</f>
        <v>0.42193191937730007</v>
      </c>
      <c r="M46" s="251">
        <f>IF(M$7=0,0,M$7/AGR_fec!M$7)</f>
        <v>0.42193191937730018</v>
      </c>
      <c r="N46" s="251">
        <f>IF(N$7=0,0,N$7/AGR_fec!N$7)</f>
        <v>0.42193191937729996</v>
      </c>
      <c r="O46" s="251">
        <f>IF(O$7=0,0,O$7/AGR_fec!O$7)</f>
        <v>0.42193191937730012</v>
      </c>
      <c r="P46" s="251">
        <f>IF(P$7=0,0,P$7/AGR_fec!P$7)</f>
        <v>0.42193191937730012</v>
      </c>
      <c r="Q46" s="251">
        <f>IF(Q$7=0,0,Q$7/AGR_fec!Q$7)</f>
        <v>0.42193191937729996</v>
      </c>
      <c r="R46" s="251">
        <f>IF(R$7=0,0,R$7/AGR_fec!R$7)</f>
        <v>0.42193191937729979</v>
      </c>
      <c r="S46" s="251">
        <f>IF(S$7=0,0,S$7/AGR_fec!S$7)</f>
        <v>0.42193191937730007</v>
      </c>
      <c r="T46" s="251">
        <f>IF(T$7=0,0,T$7/AGR_fec!T$7)</f>
        <v>0.42193191937729996</v>
      </c>
      <c r="U46" s="251">
        <f>IF(U$7=0,0,U$7/AGR_fec!U$7)</f>
        <v>0.42193191937730024</v>
      </c>
      <c r="V46" s="251">
        <f>IF(V$7=0,0,V$7/AGR_fec!V$7)</f>
        <v>0.42193191937729996</v>
      </c>
      <c r="W46" s="251">
        <f>IF(W$7=0,0,W$7/AGR_fec!W$7)</f>
        <v>0.42193191937729985</v>
      </c>
      <c r="X46" s="251">
        <f>IF(X$7=0,0,X$7/AGR_fec!X$7)</f>
        <v>0.42193191937730007</v>
      </c>
      <c r="Y46" s="251">
        <f>IF(Y$7=0,0,Y$7/AGR_fec!Y$7)</f>
        <v>0.42193191937730007</v>
      </c>
      <c r="DA46" s="288"/>
    </row>
    <row r="47" spans="1:105" x14ac:dyDescent="0.25">
      <c r="A47" s="240" t="s">
        <v>123</v>
      </c>
      <c r="B47" s="251">
        <f>IF(B$8=0,0,B$8/AGR_fec!B$8)</f>
        <v>0.60556651283531904</v>
      </c>
      <c r="C47" s="251">
        <f>IF(C$8=0,0,C$8/AGR_fec!C$8)</f>
        <v>0.60556651283531937</v>
      </c>
      <c r="D47" s="251">
        <f>IF(D$8=0,0,D$8/AGR_fec!D$8)</f>
        <v>0.60556651283531926</v>
      </c>
      <c r="E47" s="251">
        <f>IF(E$8=0,0,E$8/AGR_fec!E$8)</f>
        <v>0.60556651283531915</v>
      </c>
      <c r="F47" s="251">
        <f>IF(F$8=0,0,F$8/AGR_fec!F$8)</f>
        <v>0.60556651283531915</v>
      </c>
      <c r="G47" s="251">
        <f>IF(G$8=0,0,G$8/AGR_fec!G$8)</f>
        <v>0.60556651283531915</v>
      </c>
      <c r="H47" s="251">
        <f>IF(H$8=0,0,H$8/AGR_fec!H$8)</f>
        <v>0.60556651283531893</v>
      </c>
      <c r="I47" s="251">
        <f>IF(I$8=0,0,I$8/AGR_fec!I$8)</f>
        <v>0.60556651283531893</v>
      </c>
      <c r="J47" s="251">
        <f>IF(J$8=0,0,J$8/AGR_fec!J$8)</f>
        <v>0.60556651283531915</v>
      </c>
      <c r="K47" s="251">
        <f>IF(K$8=0,0,K$8/AGR_fec!K$8)</f>
        <v>0.60556651283531937</v>
      </c>
      <c r="L47" s="251">
        <f>IF(L$8=0,0,L$8/AGR_fec!L$8)</f>
        <v>0.60556651283531926</v>
      </c>
      <c r="M47" s="251">
        <f>IF(M$8=0,0,M$8/AGR_fec!M$8)</f>
        <v>0.60556651283531904</v>
      </c>
      <c r="N47" s="251">
        <f>IF(N$8=0,0,N$8/AGR_fec!N$8)</f>
        <v>0.60556651283531926</v>
      </c>
      <c r="O47" s="251">
        <f>IF(O$8=0,0,O$8/AGR_fec!O$8)</f>
        <v>0.60556651283531882</v>
      </c>
      <c r="P47" s="251">
        <f>IF(P$8=0,0,P$8/AGR_fec!P$8)</f>
        <v>0.60556651283531937</v>
      </c>
      <c r="Q47" s="251">
        <f>IF(Q$8=0,0,Q$8/AGR_fec!Q$8)</f>
        <v>0.60556651283531926</v>
      </c>
      <c r="R47" s="251">
        <f>IF(R$8=0,0,R$8/AGR_fec!R$8)</f>
        <v>0.60556651283531915</v>
      </c>
      <c r="S47" s="251">
        <f>IF(S$8=0,0,S$8/AGR_fec!S$8)</f>
        <v>0.60556651283531915</v>
      </c>
      <c r="T47" s="251">
        <f>IF(T$8=0,0,T$8/AGR_fec!T$8)</f>
        <v>0.60556651283531882</v>
      </c>
      <c r="U47" s="251">
        <f>IF(U$8=0,0,U$8/AGR_fec!U$8)</f>
        <v>0.60556651283531926</v>
      </c>
      <c r="V47" s="251">
        <f>IF(V$8=0,0,V$8/AGR_fec!V$8)</f>
        <v>0.6055665128353187</v>
      </c>
      <c r="W47" s="251">
        <f>IF(W$8=0,0,W$8/AGR_fec!W$8)</f>
        <v>0.60556651283531915</v>
      </c>
      <c r="X47" s="251">
        <f>IF(X$8=0,0,X$8/AGR_fec!X$8)</f>
        <v>0.60556651283531893</v>
      </c>
      <c r="Y47" s="251">
        <f>IF(Y$8=0,0,Y$8/AGR_fec!Y$8)</f>
        <v>0.60556651283531915</v>
      </c>
      <c r="DA47" s="288"/>
    </row>
    <row r="48" spans="1:105" x14ac:dyDescent="0.25">
      <c r="A48" s="242" t="s">
        <v>122</v>
      </c>
      <c r="B48" s="252">
        <f>IF(B$9=0,0,B$9/AGR_fec!B$9)</f>
        <v>0.58170374572150441</v>
      </c>
      <c r="C48" s="252">
        <f>IF(C$9=0,0,C$9/AGR_fec!C$9)</f>
        <v>0.57951045220022868</v>
      </c>
      <c r="D48" s="252">
        <f>IF(D$9=0,0,D$9/AGR_fec!D$9)</f>
        <v>0.58869658777526646</v>
      </c>
      <c r="E48" s="252">
        <f>IF(E$9=0,0,E$9/AGR_fec!E$9)</f>
        <v>0.59582683472530928</v>
      </c>
      <c r="F48" s="252">
        <f>IF(F$9=0,0,F$9/AGR_fec!F$9)</f>
        <v>0.60885628288066629</v>
      </c>
      <c r="G48" s="252">
        <f>IF(G$9=0,0,G$9/AGR_fec!G$9)</f>
        <v>0.62105541895310479</v>
      </c>
      <c r="H48" s="252">
        <f>IF(H$9=0,0,H$9/AGR_fec!H$9)</f>
        <v>0.62122260387619843</v>
      </c>
      <c r="I48" s="252">
        <f>IF(I$9=0,0,I$9/AGR_fec!I$9)</f>
        <v>0.62922923798326991</v>
      </c>
      <c r="J48" s="252">
        <f>IF(J$9=0,0,J$9/AGR_fec!J$9)</f>
        <v>0.66381013984061576</v>
      </c>
      <c r="K48" s="252">
        <f>IF(K$9=0,0,K$9/AGR_fec!K$9)</f>
        <v>0.65974486763825524</v>
      </c>
      <c r="L48" s="252">
        <f>IF(L$9=0,0,L$9/AGR_fec!L$9)</f>
        <v>0.66880218028108129</v>
      </c>
      <c r="M48" s="252">
        <f>IF(M$9=0,0,M$9/AGR_fec!M$9)</f>
        <v>0.64514269199445817</v>
      </c>
      <c r="N48" s="252">
        <f>IF(N$9=0,0,N$9/AGR_fec!N$9)</f>
        <v>0.64223082438209034</v>
      </c>
      <c r="O48" s="252">
        <f>IF(O$9=0,0,O$9/AGR_fec!O$9)</f>
        <v>0.65609374241724194</v>
      </c>
      <c r="P48" s="252">
        <f>IF(P$9=0,0,P$9/AGR_fec!P$9)</f>
        <v>0.66917677185279389</v>
      </c>
      <c r="Q48" s="252">
        <f>IF(Q$9=0,0,Q$9/AGR_fec!Q$9)</f>
        <v>0.65355547774759148</v>
      </c>
      <c r="R48" s="252">
        <f>IF(R$9=0,0,R$9/AGR_fec!R$9)</f>
        <v>0.67185355287816528</v>
      </c>
      <c r="S48" s="252">
        <f>IF(S$9=0,0,S$9/AGR_fec!S$9)</f>
        <v>0.66644367872621246</v>
      </c>
      <c r="T48" s="252">
        <f>IF(T$9=0,0,T$9/AGR_fec!T$9)</f>
        <v>0.67534994280959504</v>
      </c>
      <c r="U48" s="252">
        <f>IF(U$9=0,0,U$9/AGR_fec!U$9)</f>
        <v>0.65753406426517647</v>
      </c>
      <c r="V48" s="252">
        <f>IF(V$9=0,0,V$9/AGR_fec!V$9)</f>
        <v>0.65801665259013942</v>
      </c>
      <c r="W48" s="252">
        <f>IF(W$9=0,0,W$9/AGR_fec!W$9)</f>
        <v>0.67331357181868068</v>
      </c>
      <c r="X48" s="252">
        <f>IF(X$9=0,0,X$9/AGR_fec!X$9)</f>
        <v>0.6647508522651252</v>
      </c>
      <c r="Y48" s="252">
        <f>IF(Y$9=0,0,Y$9/AGR_fec!Y$9)</f>
        <v>0.67855285075193839</v>
      </c>
      <c r="DA48" s="289"/>
    </row>
    <row r="49" spans="1:105" x14ac:dyDescent="0.25">
      <c r="A49" s="127" t="s">
        <v>168</v>
      </c>
      <c r="B49" s="264">
        <f>IF(B$16=0,0,B$16/AGR_fec!B$16)</f>
        <v>0.30447501162168594</v>
      </c>
      <c r="C49" s="264">
        <f>IF(C$16=0,0,C$16/AGR_fec!C$16)</f>
        <v>0.30447501162168594</v>
      </c>
      <c r="D49" s="264">
        <f>IF(D$16=0,0,D$16/AGR_fec!D$16)</f>
        <v>0.30447501162168611</v>
      </c>
      <c r="E49" s="264">
        <f>IF(E$16=0,0,E$16/AGR_fec!E$16)</f>
        <v>0.304475011621686</v>
      </c>
      <c r="F49" s="264">
        <f>IF(F$16=0,0,F$16/AGR_fec!F$16)</f>
        <v>0.30447501162168605</v>
      </c>
      <c r="G49" s="264">
        <f>IF(G$16=0,0,G$16/AGR_fec!G$16)</f>
        <v>0.30447501162168605</v>
      </c>
      <c r="H49" s="264">
        <f>IF(H$16=0,0,H$16/AGR_fec!H$16)</f>
        <v>0.30447501162168605</v>
      </c>
      <c r="I49" s="264">
        <f>IF(I$16=0,0,I$16/AGR_fec!I$16)</f>
        <v>0.304475011621686</v>
      </c>
      <c r="J49" s="264">
        <f>IF(J$16=0,0,J$16/AGR_fec!J$16)</f>
        <v>0.30447501162168589</v>
      </c>
      <c r="K49" s="264">
        <f>IF(K$16=0,0,K$16/AGR_fec!K$16)</f>
        <v>0.30447501162168594</v>
      </c>
      <c r="L49" s="264">
        <f>IF(L$16=0,0,L$16/AGR_fec!L$16)</f>
        <v>0.30447501162168594</v>
      </c>
      <c r="M49" s="264">
        <f>IF(M$16=0,0,M$16/AGR_fec!M$16)</f>
        <v>0.30447501162168594</v>
      </c>
      <c r="N49" s="264">
        <f>IF(N$16=0,0,N$16/AGR_fec!N$16)</f>
        <v>0.30447501162168583</v>
      </c>
      <c r="O49" s="264">
        <f>IF(O$16=0,0,O$16/AGR_fec!O$16)</f>
        <v>0.304475011621686</v>
      </c>
      <c r="P49" s="264">
        <f>IF(P$16=0,0,P$16/AGR_fec!P$16)</f>
        <v>0.30447501162168583</v>
      </c>
      <c r="Q49" s="264">
        <f>IF(Q$16=0,0,Q$16/AGR_fec!Q$16)</f>
        <v>0.30447501162168589</v>
      </c>
      <c r="R49" s="264">
        <f>IF(R$16=0,0,R$16/AGR_fec!R$16)</f>
        <v>0.304475011621686</v>
      </c>
      <c r="S49" s="264">
        <f>IF(S$16=0,0,S$16/AGR_fec!S$16)</f>
        <v>0.30447501162168589</v>
      </c>
      <c r="T49" s="264">
        <f>IF(T$16=0,0,T$16/AGR_fec!T$16)</f>
        <v>0.30447501162168594</v>
      </c>
      <c r="U49" s="264">
        <f>IF(U$16=0,0,U$16/AGR_fec!U$16)</f>
        <v>0.30447501162168589</v>
      </c>
      <c r="V49" s="264">
        <f>IF(V$16=0,0,V$16/AGR_fec!V$16)</f>
        <v>0.30447501162168594</v>
      </c>
      <c r="W49" s="264">
        <f>IF(W$16=0,0,W$16/AGR_fec!W$16)</f>
        <v>0.304475011621686</v>
      </c>
      <c r="X49" s="264">
        <f>IF(X$16=0,0,X$16/AGR_fec!X$16)</f>
        <v>0.30447501162168589</v>
      </c>
      <c r="Y49" s="264">
        <f>IF(Y$16=0,0,Y$16/AGR_fec!Y$16)</f>
        <v>0.304475011621686</v>
      </c>
      <c r="DA49" s="290"/>
    </row>
    <row r="50" spans="1:105" x14ac:dyDescent="0.25">
      <c r="A50" s="127" t="s">
        <v>121</v>
      </c>
      <c r="B50" s="264">
        <f>IF(B$17=0,0,B$17/AGR_fec!B$17)</f>
        <v>0.24694473637942591</v>
      </c>
      <c r="C50" s="264">
        <f>IF(C$17=0,0,C$17/AGR_fec!C$17)</f>
        <v>0.24694473637942599</v>
      </c>
      <c r="D50" s="264">
        <f>IF(D$17=0,0,D$17/AGR_fec!D$17)</f>
        <v>0.24694473637942607</v>
      </c>
      <c r="E50" s="264">
        <f>IF(E$17=0,0,E$17/AGR_fec!E$17)</f>
        <v>0.24694473637942604</v>
      </c>
      <c r="F50" s="264">
        <f>IF(F$17=0,0,F$17/AGR_fec!F$17)</f>
        <v>0.2469447363794261</v>
      </c>
      <c r="G50" s="264">
        <f>IF(G$17=0,0,G$17/AGR_fec!G$17)</f>
        <v>0.2469447363794261</v>
      </c>
      <c r="H50" s="264">
        <f>IF(H$17=0,0,H$17/AGR_fec!H$17)</f>
        <v>0.24755649926451434</v>
      </c>
      <c r="I50" s="264">
        <f>IF(I$17=0,0,I$17/AGR_fec!I$17)</f>
        <v>0.24795214773325433</v>
      </c>
      <c r="J50" s="264">
        <f>IF(J$17=0,0,J$17/AGR_fec!J$17)</f>
        <v>0.247886096076114</v>
      </c>
      <c r="K50" s="264">
        <f>IF(K$17=0,0,K$17/AGR_fec!K$17)</f>
        <v>0.24897983201409599</v>
      </c>
      <c r="L50" s="264">
        <f>IF(L$17=0,0,L$17/AGR_fec!L$17)</f>
        <v>0.24980689467507625</v>
      </c>
      <c r="M50" s="264">
        <f>IF(M$17=0,0,M$17/AGR_fec!M$17)</f>
        <v>0.25043225829759175</v>
      </c>
      <c r="N50" s="264">
        <f>IF(N$17=0,0,N$17/AGR_fec!N$17)</f>
        <v>0.25087123822423218</v>
      </c>
      <c r="O50" s="264">
        <f>IF(O$17=0,0,O$17/AGR_fec!O$17)</f>
        <v>0.25072050416094926</v>
      </c>
      <c r="P50" s="264">
        <f>IF(P$17=0,0,P$17/AGR_fec!P$17)</f>
        <v>0.25044513068440905</v>
      </c>
      <c r="Q50" s="264">
        <f>IF(Q$17=0,0,Q$17/AGR_fec!Q$17)</f>
        <v>0.25011099432312256</v>
      </c>
      <c r="R50" s="264">
        <f>IF(R$17=0,0,R$17/AGR_fec!R$17)</f>
        <v>0.25130682819205769</v>
      </c>
      <c r="S50" s="264">
        <f>IF(S$17=0,0,S$17/AGR_fec!S$17)</f>
        <v>0.25139925987156886</v>
      </c>
      <c r="T50" s="264">
        <f>IF(T$17=0,0,T$17/AGR_fec!T$17)</f>
        <v>0.25172009020689007</v>
      </c>
      <c r="U50" s="264">
        <f>IF(U$17=0,0,U$17/AGR_fec!U$17)</f>
        <v>0.25213708367904786</v>
      </c>
      <c r="V50" s="264">
        <f>IF(V$17=0,0,V$17/AGR_fec!V$17)</f>
        <v>0.2520577201615547</v>
      </c>
      <c r="W50" s="264">
        <f>IF(W$17=0,0,W$17/AGR_fec!W$17)</f>
        <v>0.25225672618178369</v>
      </c>
      <c r="X50" s="264">
        <f>IF(X$17=0,0,X$17/AGR_fec!X$17)</f>
        <v>0.25163059988107583</v>
      </c>
      <c r="Y50" s="264">
        <f>IF(Y$17=0,0,Y$17/AGR_fec!Y$17)</f>
        <v>0.25198908909015821</v>
      </c>
      <c r="DA50" s="290"/>
    </row>
    <row r="51" spans="1:105" x14ac:dyDescent="0.25">
      <c r="A51" s="127" t="s">
        <v>167</v>
      </c>
      <c r="B51" s="264">
        <f>IF(B$25=0,0,B$25/AGR_fec!B$25)</f>
        <v>0.21313250813518012</v>
      </c>
      <c r="C51" s="264">
        <f>IF(C$25=0,0,C$25/AGR_fec!C$25)</f>
        <v>0.21313250813518014</v>
      </c>
      <c r="D51" s="264">
        <f>IF(D$25=0,0,D$25/AGR_fec!D$25)</f>
        <v>0.21313250813518012</v>
      </c>
      <c r="E51" s="264">
        <f>IF(E$25=0,0,E$25/AGR_fec!E$25)</f>
        <v>0.21313250813518012</v>
      </c>
      <c r="F51" s="264">
        <f>IF(F$25=0,0,F$25/AGR_fec!F$25)</f>
        <v>0.21313250813518012</v>
      </c>
      <c r="G51" s="264">
        <f>IF(G$25=0,0,G$25/AGR_fec!G$25)</f>
        <v>0.21313250813518014</v>
      </c>
      <c r="H51" s="264">
        <f>IF(H$25=0,0,H$25/AGR_fec!H$25)</f>
        <v>0.21313250813518025</v>
      </c>
      <c r="I51" s="264">
        <f>IF(I$25=0,0,I$25/AGR_fec!I$25)</f>
        <v>0.21313250813518012</v>
      </c>
      <c r="J51" s="264">
        <f>IF(J$25=0,0,J$25/AGR_fec!J$25)</f>
        <v>0.21313250813518017</v>
      </c>
      <c r="K51" s="264">
        <f>IF(K$25=0,0,K$25/AGR_fec!K$25)</f>
        <v>0.21313250813518017</v>
      </c>
      <c r="L51" s="264">
        <f>IF(L$25=0,0,L$25/AGR_fec!L$25)</f>
        <v>0.21313250813518012</v>
      </c>
      <c r="M51" s="264">
        <f>IF(M$25=0,0,M$25/AGR_fec!M$25)</f>
        <v>0.21313250813518012</v>
      </c>
      <c r="N51" s="264">
        <f>IF(N$25=0,0,N$25/AGR_fec!N$25)</f>
        <v>0.21313250813518009</v>
      </c>
      <c r="O51" s="264">
        <f>IF(O$25=0,0,O$25/AGR_fec!O$25)</f>
        <v>0.21313250813518014</v>
      </c>
      <c r="P51" s="264">
        <f>IF(P$25=0,0,P$25/AGR_fec!P$25)</f>
        <v>0.21313250813518014</v>
      </c>
      <c r="Q51" s="264">
        <f>IF(Q$25=0,0,Q$25/AGR_fec!Q$25)</f>
        <v>0.21313250813518017</v>
      </c>
      <c r="R51" s="264">
        <f>IF(R$25=0,0,R$25/AGR_fec!R$25)</f>
        <v>0.21313250813518012</v>
      </c>
      <c r="S51" s="264">
        <f>IF(S$25=0,0,S$25/AGR_fec!S$25)</f>
        <v>0.21313250813518012</v>
      </c>
      <c r="T51" s="264">
        <f>IF(T$25=0,0,T$25/AGR_fec!T$25)</f>
        <v>0.21313250813518014</v>
      </c>
      <c r="U51" s="264">
        <f>IF(U$25=0,0,U$25/AGR_fec!U$25)</f>
        <v>0.21313250813518009</v>
      </c>
      <c r="V51" s="264">
        <f>IF(V$25=0,0,V$25/AGR_fec!V$25)</f>
        <v>0.2131325081351802</v>
      </c>
      <c r="W51" s="264">
        <f>IF(W$25=0,0,W$25/AGR_fec!W$25)</f>
        <v>0.21313250813518012</v>
      </c>
      <c r="X51" s="264">
        <f>IF(X$25=0,0,X$25/AGR_fec!X$25)</f>
        <v>0.21313250813518017</v>
      </c>
      <c r="Y51" s="264">
        <f>IF(Y$25=0,0,Y$25/AGR_fec!Y$25)</f>
        <v>0.21313250813518014</v>
      </c>
      <c r="DA51" s="290"/>
    </row>
    <row r="52" spans="1:105" x14ac:dyDescent="0.25">
      <c r="A52" s="127" t="s">
        <v>170</v>
      </c>
      <c r="B52" s="264">
        <f>IF(B$26=0,0,B$26/AGR_fec!B$26)</f>
        <v>0.42193191937729996</v>
      </c>
      <c r="C52" s="264">
        <f>IF(C$26=0,0,C$26/AGR_fec!C$26)</f>
        <v>0.42193191937730007</v>
      </c>
      <c r="D52" s="264">
        <f>IF(D$26=0,0,D$26/AGR_fec!D$26)</f>
        <v>0.42193191937729985</v>
      </c>
      <c r="E52" s="264">
        <f>IF(E$26=0,0,E$26/AGR_fec!E$26)</f>
        <v>0.4219319193772999</v>
      </c>
      <c r="F52" s="264">
        <f>IF(F$26=0,0,F$26/AGR_fec!F$26)</f>
        <v>0.42193191937729996</v>
      </c>
      <c r="G52" s="264">
        <f>IF(G$26=0,0,G$26/AGR_fec!G$26)</f>
        <v>0.42193191937730001</v>
      </c>
      <c r="H52" s="264">
        <f>IF(H$26=0,0,H$26/AGR_fec!H$26)</f>
        <v>0.42193191937730001</v>
      </c>
      <c r="I52" s="264">
        <f>IF(I$26=0,0,I$26/AGR_fec!I$26)</f>
        <v>0.42193191937730007</v>
      </c>
      <c r="J52" s="264">
        <f>IF(J$26=0,0,J$26/AGR_fec!J$26)</f>
        <v>0.42193191937729996</v>
      </c>
      <c r="K52" s="264">
        <f>IF(K$26=0,0,K$26/AGR_fec!K$26)</f>
        <v>0.42193191937730001</v>
      </c>
      <c r="L52" s="264">
        <f>IF(L$26=0,0,L$26/AGR_fec!L$26)</f>
        <v>0.42193191937730012</v>
      </c>
      <c r="M52" s="264">
        <f>IF(M$26=0,0,M$26/AGR_fec!M$26)</f>
        <v>0.42193191937730001</v>
      </c>
      <c r="N52" s="264">
        <f>IF(N$26=0,0,N$26/AGR_fec!N$26)</f>
        <v>0.42193191937730007</v>
      </c>
      <c r="O52" s="264">
        <f>IF(O$26=0,0,O$26/AGR_fec!O$26)</f>
        <v>0.4219319193772999</v>
      </c>
      <c r="P52" s="264">
        <f>IF(P$26=0,0,P$26/AGR_fec!P$26)</f>
        <v>0.42193191937730012</v>
      </c>
      <c r="Q52" s="264">
        <f>IF(Q$26=0,0,Q$26/AGR_fec!Q$26)</f>
        <v>0.4219319193772999</v>
      </c>
      <c r="R52" s="264">
        <f>IF(R$26=0,0,R$26/AGR_fec!R$26)</f>
        <v>0.42193191937730001</v>
      </c>
      <c r="S52" s="264">
        <f>IF(S$26=0,0,S$26/AGR_fec!S$26)</f>
        <v>0.4219319193772999</v>
      </c>
      <c r="T52" s="264">
        <f>IF(T$26=0,0,T$26/AGR_fec!T$26)</f>
        <v>0.42193191937730007</v>
      </c>
      <c r="U52" s="264">
        <f>IF(U$26=0,0,U$26/AGR_fec!U$26)</f>
        <v>0.42193191937730001</v>
      </c>
      <c r="V52" s="264">
        <f>IF(V$26=0,0,V$26/AGR_fec!V$26)</f>
        <v>0.42193191937729996</v>
      </c>
      <c r="W52" s="264">
        <f>IF(W$26=0,0,W$26/AGR_fec!W$26)</f>
        <v>0.42193191937729996</v>
      </c>
      <c r="X52" s="264">
        <f>IF(X$26=0,0,X$26/AGR_fec!X$26)</f>
        <v>0.42193191937729996</v>
      </c>
      <c r="Y52" s="264">
        <f>IF(Y$26=0,0,Y$26/AGR_fec!Y$26)</f>
        <v>0.42193191937730012</v>
      </c>
      <c r="DA52" s="290"/>
    </row>
    <row r="53" spans="1:105" x14ac:dyDescent="0.25">
      <c r="A53" s="260" t="s">
        <v>33</v>
      </c>
      <c r="B53" s="265">
        <f>IF(B$27=0,0,B$27/AGR_fec!B$27)</f>
        <v>0.44348383766475136</v>
      </c>
      <c r="C53" s="265">
        <f>IF(C$27=0,0,C$27/AGR_fec!C$27)</f>
        <v>0.44348383766475113</v>
      </c>
      <c r="D53" s="265">
        <f>IF(D$27=0,0,D$27/AGR_fec!D$27)</f>
        <v>0.44348383766475125</v>
      </c>
      <c r="E53" s="265">
        <f>IF(E$27=0,0,E$27/AGR_fec!E$27)</f>
        <v>0.44348383766475125</v>
      </c>
      <c r="F53" s="265">
        <f>IF(F$27=0,0,F$27/AGR_fec!F$27)</f>
        <v>0.44348383766475125</v>
      </c>
      <c r="G53" s="265">
        <f>IF(G$27=0,0,G$27/AGR_fec!G$27)</f>
        <v>0.44348383766475125</v>
      </c>
      <c r="H53" s="265">
        <f>IF(H$27=0,0,H$27/AGR_fec!H$27)</f>
        <v>0.44348383766475113</v>
      </c>
      <c r="I53" s="265">
        <f>IF(I$27=0,0,I$27/AGR_fec!I$27)</f>
        <v>0.44348383766475113</v>
      </c>
      <c r="J53" s="265">
        <f>IF(J$27=0,0,J$27/AGR_fec!J$27)</f>
        <v>0.44348383766475113</v>
      </c>
      <c r="K53" s="265">
        <f>IF(K$27=0,0,K$27/AGR_fec!K$27)</f>
        <v>0.44348383766475113</v>
      </c>
      <c r="L53" s="265">
        <f>IF(L$27=0,0,L$27/AGR_fec!L$27)</f>
        <v>0.44348383766475102</v>
      </c>
      <c r="M53" s="265">
        <f>IF(M$27=0,0,M$27/AGR_fec!M$27)</f>
        <v>0.44348383766475163</v>
      </c>
      <c r="N53" s="265">
        <f>IF(N$27=0,0,N$27/AGR_fec!N$27)</f>
        <v>0.4434838376647513</v>
      </c>
      <c r="O53" s="265">
        <f>IF(O$27=0,0,O$27/AGR_fec!O$27)</f>
        <v>0.44348383766475141</v>
      </c>
      <c r="P53" s="265">
        <f>IF(P$27=0,0,P$27/AGR_fec!P$27)</f>
        <v>0.44348383766475125</v>
      </c>
      <c r="Q53" s="265">
        <f>IF(Q$27=0,0,Q$27/AGR_fec!Q$27)</f>
        <v>0.4434838376647513</v>
      </c>
      <c r="R53" s="265">
        <f>IF(R$27=0,0,R$27/AGR_fec!R$27)</f>
        <v>0.4434838376647513</v>
      </c>
      <c r="S53" s="265">
        <f>IF(S$27=0,0,S$27/AGR_fec!S$27)</f>
        <v>0.44348383766475141</v>
      </c>
      <c r="T53" s="265">
        <f>IF(T$27=0,0,T$27/AGR_fec!T$27)</f>
        <v>0.44348383766475125</v>
      </c>
      <c r="U53" s="265">
        <f>IF(U$27=0,0,U$27/AGR_fec!U$27)</f>
        <v>0.44348383766475113</v>
      </c>
      <c r="V53" s="265">
        <f>IF(V$27=0,0,V$27/AGR_fec!V$27)</f>
        <v>0.44348383766475125</v>
      </c>
      <c r="W53" s="265">
        <f>IF(W$27=0,0,W$27/AGR_fec!W$27)</f>
        <v>0.44348383766475125</v>
      </c>
      <c r="X53" s="265">
        <f>IF(X$27=0,0,X$27/AGR_fec!X$27)</f>
        <v>0.44348383766475113</v>
      </c>
      <c r="Y53" s="265">
        <f>IF(Y$27=0,0,Y$27/AGR_fec!Y$27)</f>
        <v>0.44348383766475136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232" t="s">
        <v>136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>SUM(B6:B9,B16:B17,B25:B27)</f>
        <v>116.43973684752224</v>
      </c>
      <c r="C5" s="80">
        <f t="shared" ref="C5:W5" si="0">SUM(C6:C9,C16:C17,C25:C27)</f>
        <v>117.65900671916081</v>
      </c>
      <c r="D5" s="80">
        <f t="shared" si="0"/>
        <v>112.78192723485428</v>
      </c>
      <c r="E5" s="80">
        <f t="shared" si="0"/>
        <v>115.83007639579368</v>
      </c>
      <c r="F5" s="80">
        <f t="shared" si="0"/>
        <v>104.24708917237618</v>
      </c>
      <c r="G5" s="80">
        <f t="shared" si="0"/>
        <v>95.712251108806669</v>
      </c>
      <c r="H5" s="80">
        <f t="shared" si="0"/>
        <v>102.86980313445173</v>
      </c>
      <c r="I5" s="80">
        <f t="shared" si="0"/>
        <v>102.12976791633193</v>
      </c>
      <c r="J5" s="80">
        <f t="shared" si="0"/>
        <v>85.793628242630518</v>
      </c>
      <c r="K5" s="80">
        <f t="shared" si="0"/>
        <v>79.356442682104927</v>
      </c>
      <c r="L5" s="80">
        <f t="shared" si="0"/>
        <v>76.242286442914335</v>
      </c>
      <c r="M5" s="80">
        <f t="shared" si="0"/>
        <v>82.538622721857493</v>
      </c>
      <c r="N5" s="80">
        <f t="shared" si="0"/>
        <v>79.201455121645026</v>
      </c>
      <c r="O5" s="80">
        <f t="shared" si="0"/>
        <v>75.773589122944642</v>
      </c>
      <c r="P5" s="80">
        <f t="shared" si="0"/>
        <v>66.608904962033208</v>
      </c>
      <c r="Q5" s="80">
        <f t="shared" si="0"/>
        <v>79.354308601232376</v>
      </c>
      <c r="R5" s="80">
        <f t="shared" si="0"/>
        <v>79.121304722686659</v>
      </c>
      <c r="S5" s="80">
        <f t="shared" si="0"/>
        <v>83.830151162192465</v>
      </c>
      <c r="T5" s="80">
        <f t="shared" si="0"/>
        <v>78.571874161373245</v>
      </c>
      <c r="U5" s="80">
        <f t="shared" si="0"/>
        <v>84.367304281346762</v>
      </c>
      <c r="V5" s="80">
        <f t="shared" si="0"/>
        <v>87.841071721144459</v>
      </c>
      <c r="W5" s="80">
        <f t="shared" si="0"/>
        <v>84.404588042293256</v>
      </c>
      <c r="X5" s="80">
        <f t="shared" ref="X5:Y5" si="1">SUM(X6:X9,X16:X17,X25:X27)</f>
        <v>80.614501921541233</v>
      </c>
      <c r="Y5" s="80">
        <f t="shared" si="1"/>
        <v>71.975134802805798</v>
      </c>
      <c r="DA5" s="103"/>
    </row>
    <row r="6" spans="1:105" x14ac:dyDescent="0.25">
      <c r="A6" s="238" t="s">
        <v>125</v>
      </c>
      <c r="B6" s="239">
        <v>0</v>
      </c>
      <c r="C6" s="239">
        <v>0</v>
      </c>
      <c r="D6" s="239">
        <v>0</v>
      </c>
      <c r="E6" s="239">
        <v>0</v>
      </c>
      <c r="F6" s="239">
        <v>0</v>
      </c>
      <c r="G6" s="239">
        <v>0</v>
      </c>
      <c r="H6" s="239">
        <v>0</v>
      </c>
      <c r="I6" s="239">
        <v>0</v>
      </c>
      <c r="J6" s="239">
        <v>0</v>
      </c>
      <c r="K6" s="239">
        <v>0</v>
      </c>
      <c r="L6" s="239">
        <v>0</v>
      </c>
      <c r="M6" s="239">
        <v>0</v>
      </c>
      <c r="N6" s="239">
        <v>0</v>
      </c>
      <c r="O6" s="239">
        <v>0</v>
      </c>
      <c r="P6" s="239">
        <v>0</v>
      </c>
      <c r="Q6" s="239">
        <v>0</v>
      </c>
      <c r="R6" s="239">
        <v>0</v>
      </c>
      <c r="S6" s="239">
        <v>0</v>
      </c>
      <c r="T6" s="239">
        <v>0</v>
      </c>
      <c r="U6" s="239">
        <v>0</v>
      </c>
      <c r="V6" s="239">
        <v>0</v>
      </c>
      <c r="W6" s="239">
        <v>0</v>
      </c>
      <c r="X6" s="239">
        <v>0</v>
      </c>
      <c r="Y6" s="239">
        <v>0</v>
      </c>
      <c r="DA6" s="267" t="s">
        <v>1037</v>
      </c>
    </row>
    <row r="7" spans="1:105" x14ac:dyDescent="0.25">
      <c r="A7" s="240" t="s">
        <v>124</v>
      </c>
      <c r="B7" s="241">
        <v>0</v>
      </c>
      <c r="C7" s="241">
        <v>0</v>
      </c>
      <c r="D7" s="241">
        <v>0</v>
      </c>
      <c r="E7" s="241">
        <v>0</v>
      </c>
      <c r="F7" s="241">
        <v>0</v>
      </c>
      <c r="G7" s="241">
        <v>0</v>
      </c>
      <c r="H7" s="241">
        <v>0</v>
      </c>
      <c r="I7" s="241">
        <v>0</v>
      </c>
      <c r="J7" s="241">
        <v>0</v>
      </c>
      <c r="K7" s="241">
        <v>0</v>
      </c>
      <c r="L7" s="241">
        <v>0</v>
      </c>
      <c r="M7" s="241">
        <v>0</v>
      </c>
      <c r="N7" s="241">
        <v>0</v>
      </c>
      <c r="O7" s="241">
        <v>0</v>
      </c>
      <c r="P7" s="241">
        <v>0</v>
      </c>
      <c r="Q7" s="241">
        <v>0</v>
      </c>
      <c r="R7" s="241">
        <v>0</v>
      </c>
      <c r="S7" s="241">
        <v>0</v>
      </c>
      <c r="T7" s="241">
        <v>0</v>
      </c>
      <c r="U7" s="241">
        <v>0</v>
      </c>
      <c r="V7" s="241">
        <v>0</v>
      </c>
      <c r="W7" s="241">
        <v>0</v>
      </c>
      <c r="X7" s="241">
        <v>0</v>
      </c>
      <c r="Y7" s="241">
        <v>0</v>
      </c>
      <c r="DA7" s="268" t="s">
        <v>1038</v>
      </c>
    </row>
    <row r="8" spans="1:105" x14ac:dyDescent="0.25">
      <c r="A8" s="240" t="s">
        <v>123</v>
      </c>
      <c r="B8" s="241">
        <v>0</v>
      </c>
      <c r="C8" s="241">
        <v>0</v>
      </c>
      <c r="D8" s="241">
        <v>0</v>
      </c>
      <c r="E8" s="241">
        <v>0</v>
      </c>
      <c r="F8" s="241">
        <v>0</v>
      </c>
      <c r="G8" s="241">
        <v>0</v>
      </c>
      <c r="H8" s="241">
        <v>0</v>
      </c>
      <c r="I8" s="241">
        <v>0</v>
      </c>
      <c r="J8" s="241">
        <v>0</v>
      </c>
      <c r="K8" s="241">
        <v>0</v>
      </c>
      <c r="L8" s="241">
        <v>0</v>
      </c>
      <c r="M8" s="241">
        <v>0</v>
      </c>
      <c r="N8" s="241">
        <v>0</v>
      </c>
      <c r="O8" s="241">
        <v>0</v>
      </c>
      <c r="P8" s="241">
        <v>0</v>
      </c>
      <c r="Q8" s="241">
        <v>0</v>
      </c>
      <c r="R8" s="241">
        <v>0</v>
      </c>
      <c r="S8" s="241">
        <v>0</v>
      </c>
      <c r="T8" s="241">
        <v>0</v>
      </c>
      <c r="U8" s="241">
        <v>0</v>
      </c>
      <c r="V8" s="241">
        <v>0</v>
      </c>
      <c r="W8" s="241">
        <v>0</v>
      </c>
      <c r="X8" s="241">
        <v>0</v>
      </c>
      <c r="Y8" s="241">
        <v>0</v>
      </c>
      <c r="DA8" s="268" t="s">
        <v>1039</v>
      </c>
    </row>
    <row r="9" spans="1:105" x14ac:dyDescent="0.25">
      <c r="A9" s="242" t="s">
        <v>122</v>
      </c>
      <c r="B9" s="243">
        <f>SUM(B10:B15)</f>
        <v>22.94156858993184</v>
      </c>
      <c r="C9" s="243">
        <f t="shared" ref="C9:W9" si="2">SUM(C10:C15)</f>
        <v>23.352133759132201</v>
      </c>
      <c r="D9" s="243">
        <f t="shared" si="2"/>
        <v>21.701257514304292</v>
      </c>
      <c r="E9" s="243">
        <f t="shared" si="2"/>
        <v>21.742037556029931</v>
      </c>
      <c r="F9" s="243">
        <f t="shared" si="2"/>
        <v>18.65770138669987</v>
      </c>
      <c r="G9" s="243">
        <f t="shared" si="2"/>
        <v>16.325587791159549</v>
      </c>
      <c r="H9" s="243">
        <f t="shared" si="2"/>
        <v>17.456841770693408</v>
      </c>
      <c r="I9" s="243">
        <f t="shared" si="2"/>
        <v>16.68854421349339</v>
      </c>
      <c r="J9" s="243">
        <f t="shared" si="2"/>
        <v>11.74878022137657</v>
      </c>
      <c r="K9" s="243">
        <f t="shared" si="2"/>
        <v>10.89305972130728</v>
      </c>
      <c r="L9" s="243">
        <f t="shared" si="2"/>
        <v>9.7629129869008295</v>
      </c>
      <c r="M9" s="243">
        <f t="shared" si="2"/>
        <v>11.476187174359289</v>
      </c>
      <c r="N9" s="243">
        <f t="shared" si="2"/>
        <v>11.091359343831501</v>
      </c>
      <c r="O9" s="243">
        <f t="shared" si="2"/>
        <v>9.5770843222687905</v>
      </c>
      <c r="P9" s="243">
        <f t="shared" si="2"/>
        <v>7.6368237198374089</v>
      </c>
      <c r="Q9" s="243">
        <f t="shared" si="2"/>
        <v>10.120780502490771</v>
      </c>
      <c r="R9" s="243">
        <f t="shared" si="2"/>
        <v>8.7152368383166525</v>
      </c>
      <c r="S9" s="243">
        <f t="shared" si="2"/>
        <v>9.5583389490726827</v>
      </c>
      <c r="T9" s="243">
        <f t="shared" si="2"/>
        <v>8.2404931766150931</v>
      </c>
      <c r="U9" s="243">
        <f t="shared" si="2"/>
        <v>10.11725145950024</v>
      </c>
      <c r="V9" s="243">
        <f t="shared" si="2"/>
        <v>10.872131906477721</v>
      </c>
      <c r="W9" s="243">
        <f t="shared" si="2"/>
        <v>9.3575882465520284</v>
      </c>
      <c r="X9" s="243">
        <f t="shared" ref="X9:Y9" si="3">SUM(X10:X15)</f>
        <v>9.4231934723760666</v>
      </c>
      <c r="Y9" s="243">
        <f t="shared" si="3"/>
        <v>7.5190178388804361</v>
      </c>
      <c r="DA9" s="269"/>
    </row>
    <row r="10" spans="1:105" x14ac:dyDescent="0.25">
      <c r="A10" s="253" t="s">
        <v>166</v>
      </c>
      <c r="B10" s="254">
        <v>22.94156858993184</v>
      </c>
      <c r="C10" s="254">
        <v>23.352133759132201</v>
      </c>
      <c r="D10" s="254">
        <v>21.701257514304292</v>
      </c>
      <c r="E10" s="254">
        <v>21.742037556029931</v>
      </c>
      <c r="F10" s="254">
        <v>18.65770138669987</v>
      </c>
      <c r="G10" s="254">
        <v>16.325587791159549</v>
      </c>
      <c r="H10" s="254">
        <v>17.456841770693408</v>
      </c>
      <c r="I10" s="254">
        <v>16.68854421349339</v>
      </c>
      <c r="J10" s="254">
        <v>11.74878022137657</v>
      </c>
      <c r="K10" s="254">
        <v>10.89305972130728</v>
      </c>
      <c r="L10" s="254">
        <v>9.7629129869008295</v>
      </c>
      <c r="M10" s="254">
        <v>11.476187174359289</v>
      </c>
      <c r="N10" s="254">
        <v>11.091359343831501</v>
      </c>
      <c r="O10" s="254">
        <v>9.5770843222687905</v>
      </c>
      <c r="P10" s="254">
        <v>7.6368237198374089</v>
      </c>
      <c r="Q10" s="254">
        <v>10.120780502490771</v>
      </c>
      <c r="R10" s="254">
        <v>8.7152368383166525</v>
      </c>
      <c r="S10" s="254">
        <v>9.5583389490726827</v>
      </c>
      <c r="T10" s="254">
        <v>8.2404931766150931</v>
      </c>
      <c r="U10" s="254">
        <v>10.11725145950024</v>
      </c>
      <c r="V10" s="254">
        <v>10.872131906477721</v>
      </c>
      <c r="W10" s="254">
        <v>9.3575882465520284</v>
      </c>
      <c r="X10" s="254">
        <v>9.4231934723760666</v>
      </c>
      <c r="Y10" s="254">
        <v>7.5190178388804361</v>
      </c>
      <c r="DA10" s="270" t="s">
        <v>1040</v>
      </c>
    </row>
    <row r="11" spans="1:105" x14ac:dyDescent="0.25">
      <c r="A11" s="253" t="s">
        <v>169</v>
      </c>
      <c r="B11" s="255">
        <v>0</v>
      </c>
      <c r="C11" s="255">
        <v>0</v>
      </c>
      <c r="D11" s="255">
        <v>0</v>
      </c>
      <c r="E11" s="255">
        <v>0</v>
      </c>
      <c r="F11" s="255">
        <v>0</v>
      </c>
      <c r="G11" s="255">
        <v>0</v>
      </c>
      <c r="H11" s="255">
        <v>0</v>
      </c>
      <c r="I11" s="255">
        <v>0</v>
      </c>
      <c r="J11" s="255">
        <v>0</v>
      </c>
      <c r="K11" s="255">
        <v>0</v>
      </c>
      <c r="L11" s="255">
        <v>0</v>
      </c>
      <c r="M11" s="255">
        <v>0</v>
      </c>
      <c r="N11" s="255">
        <v>0</v>
      </c>
      <c r="O11" s="255">
        <v>0</v>
      </c>
      <c r="P11" s="255">
        <v>0</v>
      </c>
      <c r="Q11" s="255">
        <v>0</v>
      </c>
      <c r="R11" s="255">
        <v>0</v>
      </c>
      <c r="S11" s="255">
        <v>0</v>
      </c>
      <c r="T11" s="255">
        <v>0</v>
      </c>
      <c r="U11" s="255">
        <v>0</v>
      </c>
      <c r="V11" s="255">
        <v>0</v>
      </c>
      <c r="W11" s="255">
        <v>0</v>
      </c>
      <c r="X11" s="255">
        <v>0</v>
      </c>
      <c r="Y11" s="255">
        <v>0</v>
      </c>
      <c r="DA11" s="271" t="s">
        <v>1041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1042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1043</v>
      </c>
    </row>
    <row r="14" spans="1:105" x14ac:dyDescent="0.25">
      <c r="A14" s="253" t="s">
        <v>162</v>
      </c>
      <c r="B14" s="254">
        <v>0</v>
      </c>
      <c r="C14" s="254">
        <v>0</v>
      </c>
      <c r="D14" s="254">
        <v>0</v>
      </c>
      <c r="E14" s="254">
        <v>0</v>
      </c>
      <c r="F14" s="254">
        <v>0</v>
      </c>
      <c r="G14" s="254">
        <v>0</v>
      </c>
      <c r="H14" s="254">
        <v>0</v>
      </c>
      <c r="I14" s="254">
        <v>0</v>
      </c>
      <c r="J14" s="254">
        <v>0</v>
      </c>
      <c r="K14" s="254">
        <v>0</v>
      </c>
      <c r="L14" s="254">
        <v>0</v>
      </c>
      <c r="M14" s="254">
        <v>0</v>
      </c>
      <c r="N14" s="254">
        <v>0</v>
      </c>
      <c r="O14" s="254">
        <v>0</v>
      </c>
      <c r="P14" s="254">
        <v>0</v>
      </c>
      <c r="Q14" s="254">
        <v>0</v>
      </c>
      <c r="R14" s="254">
        <v>0</v>
      </c>
      <c r="S14" s="254">
        <v>0</v>
      </c>
      <c r="T14" s="254">
        <v>0</v>
      </c>
      <c r="U14" s="254">
        <v>0</v>
      </c>
      <c r="V14" s="254">
        <v>0</v>
      </c>
      <c r="W14" s="254">
        <v>0</v>
      </c>
      <c r="X14" s="254">
        <v>0</v>
      </c>
      <c r="Y14" s="254">
        <v>0</v>
      </c>
      <c r="DA14" s="270" t="s">
        <v>1044</v>
      </c>
    </row>
    <row r="15" spans="1:105" x14ac:dyDescent="0.25">
      <c r="A15" s="253" t="s">
        <v>24</v>
      </c>
      <c r="B15" s="255">
        <v>0</v>
      </c>
      <c r="C15" s="255">
        <v>0</v>
      </c>
      <c r="D15" s="255">
        <v>0</v>
      </c>
      <c r="E15" s="255">
        <v>0</v>
      </c>
      <c r="F15" s="255">
        <v>0</v>
      </c>
      <c r="G15" s="255">
        <v>0</v>
      </c>
      <c r="H15" s="255">
        <v>0</v>
      </c>
      <c r="I15" s="255">
        <v>0</v>
      </c>
      <c r="J15" s="255">
        <v>0</v>
      </c>
      <c r="K15" s="255">
        <v>0</v>
      </c>
      <c r="L15" s="255">
        <v>0</v>
      </c>
      <c r="M15" s="255">
        <v>0</v>
      </c>
      <c r="N15" s="255">
        <v>0</v>
      </c>
      <c r="O15" s="255">
        <v>0</v>
      </c>
      <c r="P15" s="255">
        <v>0</v>
      </c>
      <c r="Q15" s="255">
        <v>0</v>
      </c>
      <c r="R15" s="255">
        <v>0</v>
      </c>
      <c r="S15" s="255">
        <v>0</v>
      </c>
      <c r="T15" s="255">
        <v>0</v>
      </c>
      <c r="U15" s="255">
        <v>0</v>
      </c>
      <c r="V15" s="255">
        <v>0</v>
      </c>
      <c r="W15" s="255">
        <v>0</v>
      </c>
      <c r="X15" s="255">
        <v>0</v>
      </c>
      <c r="Y15" s="255">
        <v>0</v>
      </c>
      <c r="DA15" s="271" t="s">
        <v>1045</v>
      </c>
    </row>
    <row r="16" spans="1:105" x14ac:dyDescent="0.25">
      <c r="A16" s="256" t="s">
        <v>168</v>
      </c>
      <c r="B16" s="257">
        <v>36.992388367176083</v>
      </c>
      <c r="C16" s="257">
        <v>37.312350982320993</v>
      </c>
      <c r="D16" s="257">
        <v>36.03590925720146</v>
      </c>
      <c r="E16" s="257">
        <v>37.225769641577237</v>
      </c>
      <c r="F16" s="257">
        <v>33.86329306851998</v>
      </c>
      <c r="G16" s="257">
        <v>31.409195873548519</v>
      </c>
      <c r="H16" s="257">
        <v>33.698113182010758</v>
      </c>
      <c r="I16" s="257">
        <v>33.708329573530882</v>
      </c>
      <c r="J16" s="257">
        <v>29.128417487927091</v>
      </c>
      <c r="K16" s="257">
        <v>27.609014659968881</v>
      </c>
      <c r="L16" s="257">
        <v>27.213463791539549</v>
      </c>
      <c r="M16" s="257">
        <v>29.581867629682339</v>
      </c>
      <c r="N16" s="257">
        <v>28.630846085506921</v>
      </c>
      <c r="O16" s="257">
        <v>27.685605786603141</v>
      </c>
      <c r="P16" s="257">
        <v>25.231650405650811</v>
      </c>
      <c r="Q16" s="257">
        <v>28.64937981065551</v>
      </c>
      <c r="R16" s="257">
        <v>29.084104360412301</v>
      </c>
      <c r="S16" s="257">
        <v>30.511505899566849</v>
      </c>
      <c r="T16" s="257">
        <v>28.923534387617181</v>
      </c>
      <c r="U16" s="257">
        <v>30.675798404893229</v>
      </c>
      <c r="V16" s="257">
        <v>32.075683636489167</v>
      </c>
      <c r="W16" s="257">
        <v>31.37367966938832</v>
      </c>
      <c r="X16" s="257">
        <v>29.510204195003329</v>
      </c>
      <c r="Y16" s="257">
        <v>26.874747331855261</v>
      </c>
      <c r="DA16" s="272" t="s">
        <v>1046</v>
      </c>
    </row>
    <row r="17" spans="1:105" x14ac:dyDescent="0.25">
      <c r="A17" s="256" t="s">
        <v>121</v>
      </c>
      <c r="B17" s="257">
        <f>SUM(B18:B24)</f>
        <v>49.397384181261977</v>
      </c>
      <c r="C17" s="257">
        <f t="shared" ref="C17:W17" si="4">SUM(C18:C24)</f>
        <v>49.824642785574689</v>
      </c>
      <c r="D17" s="257">
        <f t="shared" si="4"/>
        <v>48.120160186211891</v>
      </c>
      <c r="E17" s="257">
        <f t="shared" si="4"/>
        <v>49.70902733222259</v>
      </c>
      <c r="F17" s="257">
        <f t="shared" si="4"/>
        <v>45.218980746661138</v>
      </c>
      <c r="G17" s="257">
        <f t="shared" si="4"/>
        <v>41.941928701388818</v>
      </c>
      <c r="H17" s="257">
        <f t="shared" si="4"/>
        <v>45.239474903008897</v>
      </c>
      <c r="I17" s="257">
        <f t="shared" si="4"/>
        <v>45.255557685797797</v>
      </c>
      <c r="J17" s="257">
        <f t="shared" si="4"/>
        <v>39.319162364794586</v>
      </c>
      <c r="K17" s="257">
        <f t="shared" si="4"/>
        <v>35.549066047974307</v>
      </c>
      <c r="L17" s="257">
        <f t="shared" si="4"/>
        <v>34.03661580740043</v>
      </c>
      <c r="M17" s="257">
        <f t="shared" si="4"/>
        <v>35.796165525616424</v>
      </c>
      <c r="N17" s="257">
        <f t="shared" si="4"/>
        <v>33.977594015372695</v>
      </c>
      <c r="O17" s="257">
        <f t="shared" si="4"/>
        <v>33.190879137946069</v>
      </c>
      <c r="P17" s="257">
        <f t="shared" si="4"/>
        <v>28.89195893745816</v>
      </c>
      <c r="Q17" s="257">
        <f t="shared" si="4"/>
        <v>35.078931201409922</v>
      </c>
      <c r="R17" s="257">
        <f t="shared" si="4"/>
        <v>35.733210492170812</v>
      </c>
      <c r="S17" s="257">
        <f t="shared" si="4"/>
        <v>37.8972661804453</v>
      </c>
      <c r="T17" s="257">
        <f t="shared" si="4"/>
        <v>35.849948423772702</v>
      </c>
      <c r="U17" s="257">
        <f t="shared" si="4"/>
        <v>37.679644109778607</v>
      </c>
      <c r="V17" s="257">
        <f t="shared" si="4"/>
        <v>38.729646257492895</v>
      </c>
      <c r="W17" s="257">
        <f t="shared" si="4"/>
        <v>37.644606118254799</v>
      </c>
      <c r="X17" s="257">
        <f t="shared" ref="X17:Y17" si="5">SUM(X18:X24)</f>
        <v>36.010472588159345</v>
      </c>
      <c r="Y17" s="257">
        <f t="shared" si="5"/>
        <v>32.417162965494811</v>
      </c>
      <c r="DA17" s="272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X18" s="55">
        <v>0</v>
      </c>
      <c r="Y18" s="55">
        <v>0</v>
      </c>
      <c r="DA18" s="101" t="s">
        <v>1047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2.984655240103629</v>
      </c>
      <c r="I19" s="55">
        <v>2.98465524011959</v>
      </c>
      <c r="J19" s="55">
        <v>2.9846552401219761</v>
      </c>
      <c r="K19" s="55">
        <v>2.9846552401045932</v>
      </c>
      <c r="L19" s="55">
        <v>2.984655240147621</v>
      </c>
      <c r="M19" s="55">
        <v>2.9846552400866129</v>
      </c>
      <c r="N19" s="55">
        <v>2.984655240079495</v>
      </c>
      <c r="O19" s="55">
        <v>2.9846552401472222</v>
      </c>
      <c r="P19" s="55">
        <v>0</v>
      </c>
      <c r="Q19" s="55">
        <v>2.9846552400591659</v>
      </c>
      <c r="R19" s="55">
        <v>5.9693104802549941</v>
      </c>
      <c r="S19" s="55">
        <v>7.234818840241303</v>
      </c>
      <c r="T19" s="55">
        <v>7.551025560165642</v>
      </c>
      <c r="U19" s="55">
        <v>8.5330382401756548</v>
      </c>
      <c r="V19" s="55">
        <v>7.6943635201291274</v>
      </c>
      <c r="W19" s="55">
        <v>7.1959744802455257</v>
      </c>
      <c r="X19" s="55">
        <v>8.344949760206223</v>
      </c>
      <c r="Y19" s="55">
        <v>7.7241214803785114</v>
      </c>
      <c r="DA19" s="101" t="s">
        <v>1048</v>
      </c>
    </row>
    <row r="20" spans="1:105" x14ac:dyDescent="0.25">
      <c r="A20" s="61" t="s">
        <v>166</v>
      </c>
      <c r="B20" s="55">
        <v>49.397384181261977</v>
      </c>
      <c r="C20" s="55">
        <v>49.824642785574689</v>
      </c>
      <c r="D20" s="55">
        <v>48.120160186211891</v>
      </c>
      <c r="E20" s="55">
        <v>49.70902733222259</v>
      </c>
      <c r="F20" s="55">
        <v>45.218980746661138</v>
      </c>
      <c r="G20" s="55">
        <v>41.941928701388818</v>
      </c>
      <c r="H20" s="55">
        <v>42.25481966290527</v>
      </c>
      <c r="I20" s="55">
        <v>42.270902445678203</v>
      </c>
      <c r="J20" s="55">
        <v>36.334507124672612</v>
      </c>
      <c r="K20" s="55">
        <v>32.564410807869713</v>
      </c>
      <c r="L20" s="55">
        <v>31.051960567252809</v>
      </c>
      <c r="M20" s="55">
        <v>32.811510285529813</v>
      </c>
      <c r="N20" s="55">
        <v>30.992938775293201</v>
      </c>
      <c r="O20" s="55">
        <v>30.20622389779885</v>
      </c>
      <c r="P20" s="55">
        <v>28.89195893745816</v>
      </c>
      <c r="Q20" s="55">
        <v>32.094275961350753</v>
      </c>
      <c r="R20" s="55">
        <v>29.763900011915819</v>
      </c>
      <c r="S20" s="55">
        <v>30.662447340204</v>
      </c>
      <c r="T20" s="55">
        <v>28.298922863607061</v>
      </c>
      <c r="U20" s="55">
        <v>29.146605869602951</v>
      </c>
      <c r="V20" s="55">
        <v>31.035282737363769</v>
      </c>
      <c r="W20" s="55">
        <v>30.448631638009271</v>
      </c>
      <c r="X20" s="55">
        <v>27.665522827953119</v>
      </c>
      <c r="Y20" s="55">
        <v>24.6930414851163</v>
      </c>
      <c r="DA20" s="101" t="s">
        <v>1049</v>
      </c>
    </row>
    <row r="21" spans="1:105" x14ac:dyDescent="0.25">
      <c r="A21" s="61" t="s">
        <v>129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X21" s="55">
        <v>0</v>
      </c>
      <c r="Y21" s="55">
        <v>0</v>
      </c>
      <c r="DA21" s="101" t="s">
        <v>1050</v>
      </c>
    </row>
    <row r="22" spans="1:105" x14ac:dyDescent="0.25">
      <c r="A22" s="61" t="s">
        <v>169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X22" s="55">
        <v>0</v>
      </c>
      <c r="Y22" s="55">
        <v>0</v>
      </c>
      <c r="DA22" s="101" t="s">
        <v>1051</v>
      </c>
    </row>
    <row r="23" spans="1:105" x14ac:dyDescent="0.25">
      <c r="A23" s="61" t="s">
        <v>164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1" t="s">
        <v>1052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1053</v>
      </c>
    </row>
    <row r="25" spans="1:105" x14ac:dyDescent="0.25">
      <c r="A25" s="256" t="s">
        <v>167</v>
      </c>
      <c r="B25" s="257">
        <v>7.1083957091523322</v>
      </c>
      <c r="C25" s="257">
        <v>7.1698791921329343</v>
      </c>
      <c r="D25" s="257">
        <v>6.9246002771366371</v>
      </c>
      <c r="E25" s="257">
        <v>7.1532418659639241</v>
      </c>
      <c r="F25" s="257">
        <v>6.5071139704951921</v>
      </c>
      <c r="G25" s="257">
        <v>6.03553874270977</v>
      </c>
      <c r="H25" s="257">
        <v>6.4753732787386618</v>
      </c>
      <c r="I25" s="257">
        <v>6.4773364435098522</v>
      </c>
      <c r="J25" s="257">
        <v>5.5972681685322856</v>
      </c>
      <c r="K25" s="257">
        <v>5.3053022528544664</v>
      </c>
      <c r="L25" s="257">
        <v>5.2292938570735261</v>
      </c>
      <c r="M25" s="257">
        <v>5.6844023921994333</v>
      </c>
      <c r="N25" s="257">
        <v>5.5016556769339093</v>
      </c>
      <c r="O25" s="257">
        <v>5.3200198761266391</v>
      </c>
      <c r="P25" s="257">
        <v>4.8484718990868334</v>
      </c>
      <c r="Q25" s="257">
        <v>5.5052170866761827</v>
      </c>
      <c r="R25" s="257">
        <v>5.588753031786891</v>
      </c>
      <c r="S25" s="257">
        <v>5.8630401331076243</v>
      </c>
      <c r="T25" s="257">
        <v>5.5578981733682769</v>
      </c>
      <c r="U25" s="257">
        <v>5.8946103071746823</v>
      </c>
      <c r="V25" s="257">
        <v>6.1636099206846842</v>
      </c>
      <c r="W25" s="257">
        <v>6.0287140080981017</v>
      </c>
      <c r="X25" s="257">
        <v>5.6706316660024854</v>
      </c>
      <c r="Y25" s="257">
        <v>5.1642066665752919</v>
      </c>
      <c r="DA25" s="272" t="s">
        <v>1054</v>
      </c>
    </row>
    <row r="26" spans="1:105" x14ac:dyDescent="0.25">
      <c r="A26" s="256" t="s">
        <v>170</v>
      </c>
      <c r="B26" s="257">
        <v>0</v>
      </c>
      <c r="C26" s="257">
        <v>0</v>
      </c>
      <c r="D26" s="257">
        <v>0</v>
      </c>
      <c r="E26" s="257">
        <v>0</v>
      </c>
      <c r="F26" s="257">
        <v>0</v>
      </c>
      <c r="G26" s="257">
        <v>0</v>
      </c>
      <c r="H26" s="257">
        <v>0</v>
      </c>
      <c r="I26" s="257">
        <v>0</v>
      </c>
      <c r="J26" s="257">
        <v>0</v>
      </c>
      <c r="K26" s="257">
        <v>0</v>
      </c>
      <c r="L26" s="257">
        <v>0</v>
      </c>
      <c r="M26" s="257">
        <v>0</v>
      </c>
      <c r="N26" s="257">
        <v>0</v>
      </c>
      <c r="O26" s="257">
        <v>0</v>
      </c>
      <c r="P26" s="257">
        <v>0</v>
      </c>
      <c r="Q26" s="257">
        <v>0</v>
      </c>
      <c r="R26" s="257">
        <v>0</v>
      </c>
      <c r="S26" s="257">
        <v>0</v>
      </c>
      <c r="T26" s="257">
        <v>0</v>
      </c>
      <c r="U26" s="257">
        <v>0</v>
      </c>
      <c r="V26" s="257">
        <v>0</v>
      </c>
      <c r="W26" s="257">
        <v>0</v>
      </c>
      <c r="X26" s="257">
        <v>0</v>
      </c>
      <c r="Y26" s="257">
        <v>0</v>
      </c>
      <c r="DA26" s="272" t="s">
        <v>1055</v>
      </c>
    </row>
    <row r="27" spans="1:105" x14ac:dyDescent="0.25">
      <c r="A27" s="128" t="s">
        <v>33</v>
      </c>
      <c r="B27" s="258">
        <v>0</v>
      </c>
      <c r="C27" s="258">
        <v>0</v>
      </c>
      <c r="D27" s="258">
        <v>0</v>
      </c>
      <c r="E27" s="258">
        <v>0</v>
      </c>
      <c r="F27" s="258">
        <v>0</v>
      </c>
      <c r="G27" s="258">
        <v>0</v>
      </c>
      <c r="H27" s="258">
        <v>0</v>
      </c>
      <c r="I27" s="258">
        <v>0</v>
      </c>
      <c r="J27" s="258">
        <v>0</v>
      </c>
      <c r="K27" s="258">
        <v>0</v>
      </c>
      <c r="L27" s="258">
        <v>0</v>
      </c>
      <c r="M27" s="258">
        <v>0</v>
      </c>
      <c r="N27" s="258">
        <v>0</v>
      </c>
      <c r="O27" s="258">
        <v>0</v>
      </c>
      <c r="P27" s="258">
        <v>0</v>
      </c>
      <c r="Q27" s="258">
        <v>0</v>
      </c>
      <c r="R27" s="258">
        <v>0</v>
      </c>
      <c r="S27" s="258">
        <v>0</v>
      </c>
      <c r="T27" s="258">
        <v>0</v>
      </c>
      <c r="U27" s="258">
        <v>0</v>
      </c>
      <c r="V27" s="258">
        <v>0</v>
      </c>
      <c r="W27" s="258">
        <v>0</v>
      </c>
      <c r="X27" s="258">
        <v>0</v>
      </c>
      <c r="Y27" s="258">
        <v>0</v>
      </c>
      <c r="DA27" s="273" t="s">
        <v>1056</v>
      </c>
    </row>
    <row r="29" spans="1:105" ht="12.75" x14ac:dyDescent="0.25">
      <c r="A29" s="232" t="s">
        <v>135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6">SUM(B32:B40)</f>
        <v>0.99999999999999989</v>
      </c>
      <c r="C31" s="235">
        <f t="shared" si="6"/>
        <v>1</v>
      </c>
      <c r="D31" s="235">
        <f t="shared" si="6"/>
        <v>1</v>
      </c>
      <c r="E31" s="235">
        <f t="shared" si="6"/>
        <v>1</v>
      </c>
      <c r="F31" s="235">
        <f t="shared" si="6"/>
        <v>1</v>
      </c>
      <c r="G31" s="235">
        <f t="shared" si="6"/>
        <v>0.99999999999999989</v>
      </c>
      <c r="H31" s="235">
        <f t="shared" si="6"/>
        <v>0.99999999999999989</v>
      </c>
      <c r="I31" s="235">
        <f t="shared" si="6"/>
        <v>1</v>
      </c>
      <c r="J31" s="235">
        <f t="shared" si="6"/>
        <v>1.0000000000000002</v>
      </c>
      <c r="K31" s="235">
        <f t="shared" si="6"/>
        <v>1</v>
      </c>
      <c r="L31" s="235">
        <f t="shared" si="6"/>
        <v>1</v>
      </c>
      <c r="M31" s="235">
        <f t="shared" si="6"/>
        <v>0.99999999999999989</v>
      </c>
      <c r="N31" s="235">
        <f t="shared" si="6"/>
        <v>1</v>
      </c>
      <c r="O31" s="235">
        <f t="shared" si="6"/>
        <v>0.99999999999999989</v>
      </c>
      <c r="P31" s="235">
        <f t="shared" si="6"/>
        <v>1</v>
      </c>
      <c r="Q31" s="235">
        <f t="shared" si="6"/>
        <v>1</v>
      </c>
      <c r="R31" s="235">
        <f t="shared" ref="R31:W31" si="7">SUM(R32:R40)</f>
        <v>0.99999999999999989</v>
      </c>
      <c r="S31" s="235">
        <f t="shared" si="7"/>
        <v>0.99999999999999989</v>
      </c>
      <c r="T31" s="235">
        <f t="shared" si="7"/>
        <v>1</v>
      </c>
      <c r="U31" s="235">
        <f t="shared" si="7"/>
        <v>0.99999999999999989</v>
      </c>
      <c r="V31" s="235">
        <f t="shared" si="7"/>
        <v>1</v>
      </c>
      <c r="W31" s="235">
        <f t="shared" si="7"/>
        <v>0.99999999999999989</v>
      </c>
      <c r="X31" s="235">
        <f t="shared" ref="X31:Y31" si="8">SUM(X32:X40)</f>
        <v>0.99999999999999989</v>
      </c>
      <c r="Y31" s="235">
        <f t="shared" si="8"/>
        <v>1</v>
      </c>
      <c r="DA31" s="274"/>
    </row>
    <row r="32" spans="1:105" x14ac:dyDescent="0.25">
      <c r="A32" s="238" t="s">
        <v>125</v>
      </c>
      <c r="B32" s="244">
        <f t="shared" ref="B32:Y32" si="9">IF(B$6=0,0,B$6/B$5)</f>
        <v>0</v>
      </c>
      <c r="C32" s="244">
        <f t="shared" si="9"/>
        <v>0</v>
      </c>
      <c r="D32" s="244">
        <f t="shared" si="9"/>
        <v>0</v>
      </c>
      <c r="E32" s="244">
        <f t="shared" si="9"/>
        <v>0</v>
      </c>
      <c r="F32" s="244">
        <f t="shared" si="9"/>
        <v>0</v>
      </c>
      <c r="G32" s="244">
        <f t="shared" si="9"/>
        <v>0</v>
      </c>
      <c r="H32" s="244">
        <f t="shared" si="9"/>
        <v>0</v>
      </c>
      <c r="I32" s="244">
        <f t="shared" si="9"/>
        <v>0</v>
      </c>
      <c r="J32" s="244">
        <f t="shared" si="9"/>
        <v>0</v>
      </c>
      <c r="K32" s="244">
        <f t="shared" si="9"/>
        <v>0</v>
      </c>
      <c r="L32" s="244">
        <f t="shared" si="9"/>
        <v>0</v>
      </c>
      <c r="M32" s="244">
        <f t="shared" si="9"/>
        <v>0</v>
      </c>
      <c r="N32" s="244">
        <f t="shared" si="9"/>
        <v>0</v>
      </c>
      <c r="O32" s="244">
        <f t="shared" si="9"/>
        <v>0</v>
      </c>
      <c r="P32" s="244">
        <f t="shared" si="9"/>
        <v>0</v>
      </c>
      <c r="Q32" s="244">
        <f t="shared" si="9"/>
        <v>0</v>
      </c>
      <c r="R32" s="244">
        <f t="shared" si="9"/>
        <v>0</v>
      </c>
      <c r="S32" s="244">
        <f t="shared" si="9"/>
        <v>0</v>
      </c>
      <c r="T32" s="244">
        <f t="shared" si="9"/>
        <v>0</v>
      </c>
      <c r="U32" s="244">
        <f t="shared" si="9"/>
        <v>0</v>
      </c>
      <c r="V32" s="244">
        <f t="shared" si="9"/>
        <v>0</v>
      </c>
      <c r="W32" s="244">
        <f t="shared" si="9"/>
        <v>0</v>
      </c>
      <c r="X32" s="244">
        <f t="shared" si="9"/>
        <v>0</v>
      </c>
      <c r="Y32" s="244">
        <f t="shared" si="9"/>
        <v>0</v>
      </c>
      <c r="DA32" s="275"/>
    </row>
    <row r="33" spans="1:105" x14ac:dyDescent="0.25">
      <c r="A33" s="240" t="s">
        <v>124</v>
      </c>
      <c r="B33" s="245">
        <f t="shared" ref="B33:Y33" si="10">IF(B$7=0,0,B$7/B$5)</f>
        <v>0</v>
      </c>
      <c r="C33" s="245">
        <f t="shared" si="10"/>
        <v>0</v>
      </c>
      <c r="D33" s="245">
        <f t="shared" si="10"/>
        <v>0</v>
      </c>
      <c r="E33" s="245">
        <f t="shared" si="10"/>
        <v>0</v>
      </c>
      <c r="F33" s="245">
        <f t="shared" si="10"/>
        <v>0</v>
      </c>
      <c r="G33" s="245">
        <f t="shared" si="10"/>
        <v>0</v>
      </c>
      <c r="H33" s="245">
        <f t="shared" si="10"/>
        <v>0</v>
      </c>
      <c r="I33" s="245">
        <f t="shared" si="10"/>
        <v>0</v>
      </c>
      <c r="J33" s="245">
        <f t="shared" si="10"/>
        <v>0</v>
      </c>
      <c r="K33" s="245">
        <f t="shared" si="10"/>
        <v>0</v>
      </c>
      <c r="L33" s="245">
        <f t="shared" si="10"/>
        <v>0</v>
      </c>
      <c r="M33" s="245">
        <f t="shared" si="10"/>
        <v>0</v>
      </c>
      <c r="N33" s="245">
        <f t="shared" si="10"/>
        <v>0</v>
      </c>
      <c r="O33" s="245">
        <f t="shared" si="10"/>
        <v>0</v>
      </c>
      <c r="P33" s="245">
        <f t="shared" si="10"/>
        <v>0</v>
      </c>
      <c r="Q33" s="245">
        <f t="shared" si="10"/>
        <v>0</v>
      </c>
      <c r="R33" s="245">
        <f t="shared" si="10"/>
        <v>0</v>
      </c>
      <c r="S33" s="245">
        <f t="shared" si="10"/>
        <v>0</v>
      </c>
      <c r="T33" s="245">
        <f t="shared" si="10"/>
        <v>0</v>
      </c>
      <c r="U33" s="245">
        <f t="shared" si="10"/>
        <v>0</v>
      </c>
      <c r="V33" s="245">
        <f t="shared" si="10"/>
        <v>0</v>
      </c>
      <c r="W33" s="245">
        <f t="shared" si="10"/>
        <v>0</v>
      </c>
      <c r="X33" s="245">
        <f t="shared" si="10"/>
        <v>0</v>
      </c>
      <c r="Y33" s="245">
        <f t="shared" si="10"/>
        <v>0</v>
      </c>
      <c r="DA33" s="276"/>
    </row>
    <row r="34" spans="1:105" x14ac:dyDescent="0.25">
      <c r="A34" s="240" t="s">
        <v>123</v>
      </c>
      <c r="B34" s="245">
        <f t="shared" ref="B34:Y34" si="11">IF(B$8=0,0,B$8/B$5)</f>
        <v>0</v>
      </c>
      <c r="C34" s="245">
        <f t="shared" si="11"/>
        <v>0</v>
      </c>
      <c r="D34" s="245">
        <f t="shared" si="11"/>
        <v>0</v>
      </c>
      <c r="E34" s="245">
        <f t="shared" si="11"/>
        <v>0</v>
      </c>
      <c r="F34" s="245">
        <f t="shared" si="11"/>
        <v>0</v>
      </c>
      <c r="G34" s="245">
        <f t="shared" si="11"/>
        <v>0</v>
      </c>
      <c r="H34" s="245">
        <f t="shared" si="11"/>
        <v>0</v>
      </c>
      <c r="I34" s="245">
        <f t="shared" si="11"/>
        <v>0</v>
      </c>
      <c r="J34" s="245">
        <f t="shared" si="11"/>
        <v>0</v>
      </c>
      <c r="K34" s="245">
        <f t="shared" si="11"/>
        <v>0</v>
      </c>
      <c r="L34" s="245">
        <f t="shared" si="11"/>
        <v>0</v>
      </c>
      <c r="M34" s="245">
        <f t="shared" si="11"/>
        <v>0</v>
      </c>
      <c r="N34" s="245">
        <f t="shared" si="11"/>
        <v>0</v>
      </c>
      <c r="O34" s="245">
        <f t="shared" si="11"/>
        <v>0</v>
      </c>
      <c r="P34" s="245">
        <f t="shared" si="11"/>
        <v>0</v>
      </c>
      <c r="Q34" s="245">
        <f t="shared" si="11"/>
        <v>0</v>
      </c>
      <c r="R34" s="245">
        <f t="shared" si="11"/>
        <v>0</v>
      </c>
      <c r="S34" s="245">
        <f t="shared" si="11"/>
        <v>0</v>
      </c>
      <c r="T34" s="245">
        <f t="shared" si="11"/>
        <v>0</v>
      </c>
      <c r="U34" s="245">
        <f t="shared" si="11"/>
        <v>0</v>
      </c>
      <c r="V34" s="245">
        <f t="shared" si="11"/>
        <v>0</v>
      </c>
      <c r="W34" s="245">
        <f t="shared" si="11"/>
        <v>0</v>
      </c>
      <c r="X34" s="245">
        <f t="shared" si="11"/>
        <v>0</v>
      </c>
      <c r="Y34" s="245">
        <f t="shared" si="11"/>
        <v>0</v>
      </c>
      <c r="DA34" s="276"/>
    </row>
    <row r="35" spans="1:105" x14ac:dyDescent="0.25">
      <c r="A35" s="242" t="s">
        <v>122</v>
      </c>
      <c r="B35" s="246">
        <f t="shared" ref="B35:Y35" si="12">IF(B$9=0,0,B$9/B$5)</f>
        <v>0.19702525281359756</v>
      </c>
      <c r="C35" s="246">
        <f t="shared" si="12"/>
        <v>0.1984729806097309</v>
      </c>
      <c r="D35" s="246">
        <f t="shared" si="12"/>
        <v>0.1924178638046691</v>
      </c>
      <c r="E35" s="246">
        <f t="shared" si="12"/>
        <v>0.18770632147160946</v>
      </c>
      <c r="F35" s="246">
        <f t="shared" si="12"/>
        <v>0.17897575399778035</v>
      </c>
      <c r="G35" s="246">
        <f t="shared" si="12"/>
        <v>0.17056946840170392</v>
      </c>
      <c r="H35" s="246">
        <f t="shared" si="12"/>
        <v>0.16969840748968057</v>
      </c>
      <c r="I35" s="246">
        <f t="shared" si="12"/>
        <v>0.16340528872214022</v>
      </c>
      <c r="J35" s="246">
        <f t="shared" si="12"/>
        <v>0.13694234014850357</v>
      </c>
      <c r="K35" s="246">
        <f t="shared" si="12"/>
        <v>0.1372674902395</v>
      </c>
      <c r="L35" s="246">
        <f t="shared" si="12"/>
        <v>0.12805115694176766</v>
      </c>
      <c r="M35" s="246">
        <f t="shared" si="12"/>
        <v>0.13904020682574605</v>
      </c>
      <c r="N35" s="246">
        <f t="shared" si="12"/>
        <v>0.14003984304071623</v>
      </c>
      <c r="O35" s="246">
        <f t="shared" si="12"/>
        <v>0.12639079701939049</v>
      </c>
      <c r="P35" s="246">
        <f t="shared" si="12"/>
        <v>0.11465169295592482</v>
      </c>
      <c r="Q35" s="246">
        <f t="shared" si="12"/>
        <v>0.12753914287564713</v>
      </c>
      <c r="R35" s="246">
        <f t="shared" si="12"/>
        <v>0.11015031752652216</v>
      </c>
      <c r="S35" s="246">
        <f t="shared" si="12"/>
        <v>0.11402029957669346</v>
      </c>
      <c r="T35" s="246">
        <f t="shared" si="12"/>
        <v>0.10487840928537003</v>
      </c>
      <c r="U35" s="246">
        <f t="shared" si="12"/>
        <v>0.11991910308952611</v>
      </c>
      <c r="V35" s="246">
        <f t="shared" si="12"/>
        <v>0.12377048336786926</v>
      </c>
      <c r="W35" s="246">
        <f t="shared" si="12"/>
        <v>0.11086587191046</v>
      </c>
      <c r="X35" s="246">
        <f t="shared" si="12"/>
        <v>0.11689203862534897</v>
      </c>
      <c r="Y35" s="246">
        <f t="shared" si="12"/>
        <v>0.10446688095104927</v>
      </c>
      <c r="DA35" s="277"/>
    </row>
    <row r="36" spans="1:105" x14ac:dyDescent="0.25">
      <c r="A36" s="127" t="s">
        <v>168</v>
      </c>
      <c r="B36" s="259">
        <f t="shared" ref="B36:Y36" si="13">IF(B$16=0,0,B$16/B$5)</f>
        <v>0.31769556827165962</v>
      </c>
      <c r="C36" s="259">
        <f t="shared" si="13"/>
        <v>0.31712277727604393</v>
      </c>
      <c r="D36" s="259">
        <f t="shared" si="13"/>
        <v>0.31951847375476372</v>
      </c>
      <c r="E36" s="259">
        <f t="shared" si="13"/>
        <v>0.32138258732020553</v>
      </c>
      <c r="F36" s="259">
        <f t="shared" si="13"/>
        <v>0.32483682122314084</v>
      </c>
      <c r="G36" s="259">
        <f t="shared" si="13"/>
        <v>0.32816275356267843</v>
      </c>
      <c r="H36" s="259">
        <f t="shared" si="13"/>
        <v>0.32758022427599121</v>
      </c>
      <c r="I36" s="259">
        <f t="shared" si="13"/>
        <v>0.33005391338151141</v>
      </c>
      <c r="J36" s="259">
        <f t="shared" si="13"/>
        <v>0.33951725885225231</v>
      </c>
      <c r="K36" s="259">
        <f t="shared" si="13"/>
        <v>0.34791144520638628</v>
      </c>
      <c r="L36" s="259">
        <f t="shared" si="13"/>
        <v>0.3569339937347677</v>
      </c>
      <c r="M36" s="259">
        <f t="shared" si="13"/>
        <v>0.35840030587097021</v>
      </c>
      <c r="N36" s="259">
        <f t="shared" si="13"/>
        <v>0.36149394025063025</v>
      </c>
      <c r="O36" s="259">
        <f t="shared" si="13"/>
        <v>0.36537276519504069</v>
      </c>
      <c r="P36" s="259">
        <f t="shared" si="13"/>
        <v>0.37880296065567726</v>
      </c>
      <c r="Q36" s="259">
        <f t="shared" si="13"/>
        <v>0.36103118174241877</v>
      </c>
      <c r="R36" s="259">
        <f t="shared" si="13"/>
        <v>0.36758878613477841</v>
      </c>
      <c r="S36" s="259">
        <f t="shared" si="13"/>
        <v>0.36396816034047175</v>
      </c>
      <c r="T36" s="259">
        <f t="shared" si="13"/>
        <v>0.36811562275087351</v>
      </c>
      <c r="U36" s="259">
        <f t="shared" si="13"/>
        <v>0.3635981813831109</v>
      </c>
      <c r="V36" s="259">
        <f t="shared" si="13"/>
        <v>0.36515587763221863</v>
      </c>
      <c r="W36" s="259">
        <f t="shared" si="13"/>
        <v>0.37170585624643615</v>
      </c>
      <c r="X36" s="259">
        <f t="shared" si="13"/>
        <v>0.36606570147545403</v>
      </c>
      <c r="Y36" s="259">
        <f t="shared" si="13"/>
        <v>0.37338932959952725</v>
      </c>
      <c r="DA36" s="278"/>
    </row>
    <row r="37" spans="1:105" x14ac:dyDescent="0.25">
      <c r="A37" s="127" t="s">
        <v>121</v>
      </c>
      <c r="B37" s="259">
        <f t="shared" ref="B37:Y37" si="14">IF(B$17=0,0,B$17/B$5)</f>
        <v>0.42423132788377749</v>
      </c>
      <c r="C37" s="259">
        <f t="shared" si="14"/>
        <v>0.42346645764655028</v>
      </c>
      <c r="D37" s="259">
        <f t="shared" si="14"/>
        <v>0.42666552492943011</v>
      </c>
      <c r="E37" s="259">
        <f t="shared" si="14"/>
        <v>0.42915474874043813</v>
      </c>
      <c r="F37" s="259">
        <f t="shared" si="14"/>
        <v>0.43376732248024674</v>
      </c>
      <c r="G37" s="259">
        <f t="shared" si="14"/>
        <v>0.43820857012033709</v>
      </c>
      <c r="H37" s="259">
        <f t="shared" si="14"/>
        <v>0.43977409817612373</v>
      </c>
      <c r="I37" s="259">
        <f t="shared" si="14"/>
        <v>0.44311818786147289</v>
      </c>
      <c r="J37" s="259">
        <f t="shared" si="14"/>
        <v>0.45829933026724529</v>
      </c>
      <c r="K37" s="259">
        <f t="shared" si="14"/>
        <v>0.44796698095932552</v>
      </c>
      <c r="L37" s="259">
        <f t="shared" si="14"/>
        <v>0.44642700783750777</v>
      </c>
      <c r="M37" s="259">
        <f t="shared" si="14"/>
        <v>0.43368988172051298</v>
      </c>
      <c r="N37" s="259">
        <f t="shared" si="14"/>
        <v>0.42900214349833243</v>
      </c>
      <c r="O37" s="259">
        <f t="shared" si="14"/>
        <v>0.43802701603711808</v>
      </c>
      <c r="P37" s="259">
        <f t="shared" si="14"/>
        <v>0.43375520065862744</v>
      </c>
      <c r="Q37" s="259">
        <f t="shared" si="14"/>
        <v>0.44205452507546822</v>
      </c>
      <c r="R37" s="259">
        <f t="shared" si="14"/>
        <v>0.45162564769896846</v>
      </c>
      <c r="S37" s="259">
        <f t="shared" si="14"/>
        <v>0.45207202486278025</v>
      </c>
      <c r="T37" s="259">
        <f t="shared" si="14"/>
        <v>0.45626948327773137</v>
      </c>
      <c r="U37" s="259">
        <f t="shared" si="14"/>
        <v>0.44661429484726833</v>
      </c>
      <c r="V37" s="259">
        <f t="shared" si="14"/>
        <v>0.44090589400413904</v>
      </c>
      <c r="W37" s="259">
        <f t="shared" si="14"/>
        <v>0.44600189387088685</v>
      </c>
      <c r="X37" s="259">
        <f t="shared" si="14"/>
        <v>0.44669968466972421</v>
      </c>
      <c r="Y37" s="259">
        <f t="shared" si="14"/>
        <v>0.45039391804280576</v>
      </c>
      <c r="DA37" s="278"/>
    </row>
    <row r="38" spans="1:105" x14ac:dyDescent="0.25">
      <c r="A38" s="127" t="s">
        <v>167</v>
      </c>
      <c r="B38" s="259">
        <f t="shared" ref="B38:Y38" si="15">IF(B$25=0,0,B$25/B$5)</f>
        <v>6.1047851030965244E-2</v>
      </c>
      <c r="C38" s="259">
        <f t="shared" si="15"/>
        <v>6.0937784467674901E-2</v>
      </c>
      <c r="D38" s="259">
        <f t="shared" si="15"/>
        <v>6.1398137511137062E-2</v>
      </c>
      <c r="E38" s="259">
        <f t="shared" si="15"/>
        <v>6.1756342467746923E-2</v>
      </c>
      <c r="F38" s="259">
        <f t="shared" si="15"/>
        <v>6.2420102298832089E-2</v>
      </c>
      <c r="G38" s="259">
        <f t="shared" si="15"/>
        <v>6.3059207915280441E-2</v>
      </c>
      <c r="H38" s="259">
        <f t="shared" si="15"/>
        <v>6.2947270058204469E-2</v>
      </c>
      <c r="I38" s="259">
        <f t="shared" si="15"/>
        <v>6.3422610034875426E-2</v>
      </c>
      <c r="J38" s="259">
        <f t="shared" si="15"/>
        <v>6.5241070731999015E-2</v>
      </c>
      <c r="K38" s="259">
        <f t="shared" si="15"/>
        <v>6.6854083594788269E-2</v>
      </c>
      <c r="L38" s="259">
        <f t="shared" si="15"/>
        <v>6.8587841485956855E-2</v>
      </c>
      <c r="M38" s="259">
        <f t="shared" si="15"/>
        <v>6.8869605582770596E-2</v>
      </c>
      <c r="N38" s="259">
        <f t="shared" si="15"/>
        <v>6.9464073210321081E-2</v>
      </c>
      <c r="O38" s="259">
        <f t="shared" si="15"/>
        <v>7.0209421748450726E-2</v>
      </c>
      <c r="P38" s="259">
        <f t="shared" si="15"/>
        <v>7.2790145729770536E-2</v>
      </c>
      <c r="Q38" s="259">
        <f t="shared" si="15"/>
        <v>6.9375150306465988E-2</v>
      </c>
      <c r="R38" s="259">
        <f t="shared" si="15"/>
        <v>7.0635248639730946E-2</v>
      </c>
      <c r="S38" s="259">
        <f t="shared" si="15"/>
        <v>6.9939515220054441E-2</v>
      </c>
      <c r="T38" s="259">
        <f t="shared" si="15"/>
        <v>7.0736484686025183E-2</v>
      </c>
      <c r="U38" s="259">
        <f t="shared" si="15"/>
        <v>6.9868420680094606E-2</v>
      </c>
      <c r="V38" s="259">
        <f t="shared" si="15"/>
        <v>7.0167744995773149E-2</v>
      </c>
      <c r="W38" s="259">
        <f t="shared" si="15"/>
        <v>7.1426377972216959E-2</v>
      </c>
      <c r="X38" s="259">
        <f t="shared" si="15"/>
        <v>7.0342575229472695E-2</v>
      </c>
      <c r="Y38" s="259">
        <f t="shared" si="15"/>
        <v>7.1749871406617718E-2</v>
      </c>
      <c r="DA38" s="278"/>
    </row>
    <row r="39" spans="1:105" x14ac:dyDescent="0.25">
      <c r="A39" s="127" t="s">
        <v>170</v>
      </c>
      <c r="B39" s="259">
        <f t="shared" ref="B39:Y39" si="16">IF(B$26=0,0,B$26/B$5)</f>
        <v>0</v>
      </c>
      <c r="C39" s="259">
        <f t="shared" si="16"/>
        <v>0</v>
      </c>
      <c r="D39" s="259">
        <f t="shared" si="16"/>
        <v>0</v>
      </c>
      <c r="E39" s="259">
        <f t="shared" si="16"/>
        <v>0</v>
      </c>
      <c r="F39" s="259">
        <f t="shared" si="16"/>
        <v>0</v>
      </c>
      <c r="G39" s="259">
        <f t="shared" si="16"/>
        <v>0</v>
      </c>
      <c r="H39" s="259">
        <f t="shared" si="16"/>
        <v>0</v>
      </c>
      <c r="I39" s="259">
        <f t="shared" si="16"/>
        <v>0</v>
      </c>
      <c r="J39" s="259">
        <f t="shared" si="16"/>
        <v>0</v>
      </c>
      <c r="K39" s="259">
        <f t="shared" si="16"/>
        <v>0</v>
      </c>
      <c r="L39" s="259">
        <f t="shared" si="16"/>
        <v>0</v>
      </c>
      <c r="M39" s="259">
        <f t="shared" si="16"/>
        <v>0</v>
      </c>
      <c r="N39" s="259">
        <f t="shared" si="16"/>
        <v>0</v>
      </c>
      <c r="O39" s="259">
        <f t="shared" si="16"/>
        <v>0</v>
      </c>
      <c r="P39" s="259">
        <f t="shared" si="16"/>
        <v>0</v>
      </c>
      <c r="Q39" s="259">
        <f t="shared" si="16"/>
        <v>0</v>
      </c>
      <c r="R39" s="259">
        <f t="shared" si="16"/>
        <v>0</v>
      </c>
      <c r="S39" s="259">
        <f t="shared" si="16"/>
        <v>0</v>
      </c>
      <c r="T39" s="259">
        <f t="shared" si="16"/>
        <v>0</v>
      </c>
      <c r="U39" s="259">
        <f t="shared" si="16"/>
        <v>0</v>
      </c>
      <c r="V39" s="259">
        <f t="shared" si="16"/>
        <v>0</v>
      </c>
      <c r="W39" s="259">
        <f t="shared" si="16"/>
        <v>0</v>
      </c>
      <c r="X39" s="259">
        <f t="shared" si="16"/>
        <v>0</v>
      </c>
      <c r="Y39" s="259">
        <f t="shared" si="16"/>
        <v>0</v>
      </c>
      <c r="DA39" s="278"/>
    </row>
    <row r="40" spans="1:105" x14ac:dyDescent="0.25">
      <c r="A40" s="260" t="s">
        <v>33</v>
      </c>
      <c r="B40" s="261">
        <f t="shared" ref="B40:Y40" si="17">IF(B$27=0,0,B$27/B$5)</f>
        <v>0</v>
      </c>
      <c r="C40" s="261">
        <f t="shared" si="17"/>
        <v>0</v>
      </c>
      <c r="D40" s="261">
        <f t="shared" si="17"/>
        <v>0</v>
      </c>
      <c r="E40" s="261">
        <f t="shared" si="17"/>
        <v>0</v>
      </c>
      <c r="F40" s="261">
        <f t="shared" si="17"/>
        <v>0</v>
      </c>
      <c r="G40" s="261">
        <f t="shared" si="17"/>
        <v>0</v>
      </c>
      <c r="H40" s="261">
        <f t="shared" si="17"/>
        <v>0</v>
      </c>
      <c r="I40" s="261">
        <f t="shared" si="17"/>
        <v>0</v>
      </c>
      <c r="J40" s="261">
        <f t="shared" si="17"/>
        <v>0</v>
      </c>
      <c r="K40" s="261">
        <f t="shared" si="17"/>
        <v>0</v>
      </c>
      <c r="L40" s="261">
        <f t="shared" si="17"/>
        <v>0</v>
      </c>
      <c r="M40" s="261">
        <f t="shared" si="17"/>
        <v>0</v>
      </c>
      <c r="N40" s="261">
        <f t="shared" si="17"/>
        <v>0</v>
      </c>
      <c r="O40" s="261">
        <f t="shared" si="17"/>
        <v>0</v>
      </c>
      <c r="P40" s="261">
        <f t="shared" si="17"/>
        <v>0</v>
      </c>
      <c r="Q40" s="261">
        <f t="shared" si="17"/>
        <v>0</v>
      </c>
      <c r="R40" s="261">
        <f t="shared" si="17"/>
        <v>0</v>
      </c>
      <c r="S40" s="261">
        <f t="shared" si="17"/>
        <v>0</v>
      </c>
      <c r="T40" s="261">
        <f t="shared" si="17"/>
        <v>0</v>
      </c>
      <c r="U40" s="261">
        <f t="shared" si="17"/>
        <v>0</v>
      </c>
      <c r="V40" s="261">
        <f t="shared" si="17"/>
        <v>0</v>
      </c>
      <c r="W40" s="261">
        <f t="shared" si="17"/>
        <v>0</v>
      </c>
      <c r="X40" s="261">
        <f t="shared" si="17"/>
        <v>0</v>
      </c>
      <c r="Y40" s="261">
        <f t="shared" si="17"/>
        <v>0</v>
      </c>
      <c r="DA40" s="279"/>
    </row>
    <row r="42" spans="1:105" ht="12.75" x14ac:dyDescent="0.25">
      <c r="A42" s="232" t="s">
        <v>134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2.5478903497243479</v>
      </c>
      <c r="C44" s="237">
        <f>IF(C$5=0,0,C$5/AGR_fec!C$5)</f>
        <v>2.5621775915416221</v>
      </c>
      <c r="D44" s="237">
        <f>IF(D$5=0,0,D$5/AGR_fec!D$5)</f>
        <v>2.5041871861108778</v>
      </c>
      <c r="E44" s="237">
        <f>IF(E$5=0,0,E$5/AGR_fec!E$5)</f>
        <v>2.4617638344113946</v>
      </c>
      <c r="F44" s="237">
        <f>IF(F$5=0,0,F$5/AGR_fec!F$5)</f>
        <v>2.3875895657683008</v>
      </c>
      <c r="G44" s="237">
        <f>IF(G$5=0,0,G$5/AGR_fec!G$5)</f>
        <v>2.3200171690012699</v>
      </c>
      <c r="H44" s="237">
        <f>IF(H$5=0,0,H$5/AGR_fec!H$5)</f>
        <v>2.3097562971859364</v>
      </c>
      <c r="I44" s="237">
        <f>IF(I$5=0,0,I$5/AGR_fec!I$5)</f>
        <v>2.264703408836048</v>
      </c>
      <c r="J44" s="237">
        <f>IF(J$5=0,0,J$5/AGR_fec!J$5)</f>
        <v>2.0750681023325619</v>
      </c>
      <c r="K44" s="237">
        <f>IF(K$5=0,0,K$5/AGR_fec!K$5)</f>
        <v>2.0235290870983942</v>
      </c>
      <c r="L44" s="237">
        <f>IF(L$5=0,0,L$5/AGR_fec!L$5)</f>
        <v>1.9274781890987402</v>
      </c>
      <c r="M44" s="237">
        <f>IF(M$5=0,0,M$5/AGR_fec!M$5)</f>
        <v>1.9805155157900882</v>
      </c>
      <c r="N44" s="237">
        <f>IF(N$5=0,0,N$5/AGR_fec!N$5)</f>
        <v>1.9675341618279638</v>
      </c>
      <c r="O44" s="237">
        <f>IF(O$5=0,0,O$5/AGR_fec!O$5)</f>
        <v>1.8854999272538808</v>
      </c>
      <c r="P44" s="237">
        <f>IF(P$5=0,0,P$5/AGR_fec!P$5)</f>
        <v>1.7617596290011039</v>
      </c>
      <c r="Q44" s="237">
        <f>IF(Q$5=0,0,Q$5/AGR_fec!Q$5)</f>
        <v>1.9181531358814725</v>
      </c>
      <c r="R44" s="237">
        <f>IF(R$5=0,0,R$5/AGR_fec!R$5)</f>
        <v>1.791915325119755</v>
      </c>
      <c r="S44" s="237">
        <f>IF(S$5=0,0,S$5/AGR_fec!S$5)</f>
        <v>1.8298236100364458</v>
      </c>
      <c r="T44" s="237">
        <f>IF(T$5=0,0,T$5/AGR_fec!T$5)</f>
        <v>1.7614363357147806</v>
      </c>
      <c r="U44" s="237">
        <f>IF(U$5=0,0,U$5/AGR_fec!U$5)</f>
        <v>1.8580995201170754</v>
      </c>
      <c r="V44" s="237">
        <f>IF(V$5=0,0,V$5/AGR_fec!V$5)</f>
        <v>1.8643578518044419</v>
      </c>
      <c r="W44" s="237">
        <f>IF(W$5=0,0,W$5/AGR_fec!W$5)</f>
        <v>1.769166118049265</v>
      </c>
      <c r="X44" s="237">
        <f>IF(X$5=0,0,X$5/AGR_fec!X$5)</f>
        <v>1.8231056344238195</v>
      </c>
      <c r="Y44" s="237">
        <f>IF(Y$5=0,0,Y$5/AGR_fec!Y$5)</f>
        <v>1.7244791828609756</v>
      </c>
      <c r="DA44" s="286"/>
    </row>
    <row r="45" spans="1:105" x14ac:dyDescent="0.25">
      <c r="A45" s="238" t="s">
        <v>125</v>
      </c>
      <c r="B45" s="250">
        <f>IF(B$6=0,0,B$6/AGR_fec!B$6)</f>
        <v>0</v>
      </c>
      <c r="C45" s="250">
        <f>IF(C$6=0,0,C$6/AGR_fec!C$6)</f>
        <v>0</v>
      </c>
      <c r="D45" s="250">
        <f>IF(D$6=0,0,D$6/AGR_fec!D$6)</f>
        <v>0</v>
      </c>
      <c r="E45" s="250">
        <f>IF(E$6=0,0,E$6/AGR_fec!E$6)</f>
        <v>0</v>
      </c>
      <c r="F45" s="250">
        <f>IF(F$6=0,0,F$6/AGR_fec!F$6)</f>
        <v>0</v>
      </c>
      <c r="G45" s="250">
        <f>IF(G$6=0,0,G$6/AGR_fec!G$6)</f>
        <v>0</v>
      </c>
      <c r="H45" s="250">
        <f>IF(H$6=0,0,H$6/AGR_fec!H$6)</f>
        <v>0</v>
      </c>
      <c r="I45" s="250">
        <f>IF(I$6=0,0,I$6/AGR_fec!I$6)</f>
        <v>0</v>
      </c>
      <c r="J45" s="250">
        <f>IF(J$6=0,0,J$6/AGR_fec!J$6)</f>
        <v>0</v>
      </c>
      <c r="K45" s="250">
        <f>IF(K$6=0,0,K$6/AGR_fec!K$6)</f>
        <v>0</v>
      </c>
      <c r="L45" s="250">
        <f>IF(L$6=0,0,L$6/AGR_fec!L$6)</f>
        <v>0</v>
      </c>
      <c r="M45" s="250">
        <f>IF(M$6=0,0,M$6/AGR_fec!M$6)</f>
        <v>0</v>
      </c>
      <c r="N45" s="250">
        <f>IF(N$6=0,0,N$6/AGR_fec!N$6)</f>
        <v>0</v>
      </c>
      <c r="O45" s="250">
        <f>IF(O$6=0,0,O$6/AGR_fec!O$6)</f>
        <v>0</v>
      </c>
      <c r="P45" s="250">
        <f>IF(P$6=0,0,P$6/AGR_fec!P$6)</f>
        <v>0</v>
      </c>
      <c r="Q45" s="250">
        <f>IF(Q$6=0,0,Q$6/AGR_fec!Q$6)</f>
        <v>0</v>
      </c>
      <c r="R45" s="250">
        <f>IF(R$6=0,0,R$6/AGR_fec!R$6)</f>
        <v>0</v>
      </c>
      <c r="S45" s="250">
        <f>IF(S$6=0,0,S$6/AGR_fec!S$6)</f>
        <v>0</v>
      </c>
      <c r="T45" s="250">
        <f>IF(T$6=0,0,T$6/AGR_fec!T$6)</f>
        <v>0</v>
      </c>
      <c r="U45" s="250">
        <f>IF(U$6=0,0,U$6/AGR_fec!U$6)</f>
        <v>0</v>
      </c>
      <c r="V45" s="250">
        <f>IF(V$6=0,0,V$6/AGR_fec!V$6)</f>
        <v>0</v>
      </c>
      <c r="W45" s="250">
        <f>IF(W$6=0,0,W$6/AGR_fec!W$6)</f>
        <v>0</v>
      </c>
      <c r="X45" s="250">
        <f>IF(X$6=0,0,X$6/AGR_fec!X$6)</f>
        <v>0</v>
      </c>
      <c r="Y45" s="250">
        <f>IF(Y$6=0,0,Y$6/AGR_fec!Y$6)</f>
        <v>0</v>
      </c>
      <c r="DA45" s="287"/>
    </row>
    <row r="46" spans="1:105" x14ac:dyDescent="0.25">
      <c r="A46" s="240" t="s">
        <v>124</v>
      </c>
      <c r="B46" s="251">
        <f>IF(B$7=0,0,B$7/AGR_fec!B$7)</f>
        <v>0</v>
      </c>
      <c r="C46" s="251">
        <f>IF(C$7=0,0,C$7/AGR_fec!C$7)</f>
        <v>0</v>
      </c>
      <c r="D46" s="251">
        <f>IF(D$7=0,0,D$7/AGR_fec!D$7)</f>
        <v>0</v>
      </c>
      <c r="E46" s="251">
        <f>IF(E$7=0,0,E$7/AGR_fec!E$7)</f>
        <v>0</v>
      </c>
      <c r="F46" s="251">
        <f>IF(F$7=0,0,F$7/AGR_fec!F$7)</f>
        <v>0</v>
      </c>
      <c r="G46" s="251">
        <f>IF(G$7=0,0,G$7/AGR_fec!G$7)</f>
        <v>0</v>
      </c>
      <c r="H46" s="251">
        <f>IF(H$7=0,0,H$7/AGR_fec!H$7)</f>
        <v>0</v>
      </c>
      <c r="I46" s="251">
        <f>IF(I$7=0,0,I$7/AGR_fec!I$7)</f>
        <v>0</v>
      </c>
      <c r="J46" s="251">
        <f>IF(J$7=0,0,J$7/AGR_fec!J$7)</f>
        <v>0</v>
      </c>
      <c r="K46" s="251">
        <f>IF(K$7=0,0,K$7/AGR_fec!K$7)</f>
        <v>0</v>
      </c>
      <c r="L46" s="251">
        <f>IF(L$7=0,0,L$7/AGR_fec!L$7)</f>
        <v>0</v>
      </c>
      <c r="M46" s="251">
        <f>IF(M$7=0,0,M$7/AGR_fec!M$7)</f>
        <v>0</v>
      </c>
      <c r="N46" s="251">
        <f>IF(N$7=0,0,N$7/AGR_fec!N$7)</f>
        <v>0</v>
      </c>
      <c r="O46" s="251">
        <f>IF(O$7=0,0,O$7/AGR_fec!O$7)</f>
        <v>0</v>
      </c>
      <c r="P46" s="251">
        <f>IF(P$7=0,0,P$7/AGR_fec!P$7)</f>
        <v>0</v>
      </c>
      <c r="Q46" s="251">
        <f>IF(Q$7=0,0,Q$7/AGR_fec!Q$7)</f>
        <v>0</v>
      </c>
      <c r="R46" s="251">
        <f>IF(R$7=0,0,R$7/AGR_fec!R$7)</f>
        <v>0</v>
      </c>
      <c r="S46" s="251">
        <f>IF(S$7=0,0,S$7/AGR_fec!S$7)</f>
        <v>0</v>
      </c>
      <c r="T46" s="251">
        <f>IF(T$7=0,0,T$7/AGR_fec!T$7)</f>
        <v>0</v>
      </c>
      <c r="U46" s="251">
        <f>IF(U$7=0,0,U$7/AGR_fec!U$7)</f>
        <v>0</v>
      </c>
      <c r="V46" s="251">
        <f>IF(V$7=0,0,V$7/AGR_fec!V$7)</f>
        <v>0</v>
      </c>
      <c r="W46" s="251">
        <f>IF(W$7=0,0,W$7/AGR_fec!W$7)</f>
        <v>0</v>
      </c>
      <c r="X46" s="251">
        <f>IF(X$7=0,0,X$7/AGR_fec!X$7)</f>
        <v>0</v>
      </c>
      <c r="Y46" s="251">
        <f>IF(Y$7=0,0,Y$7/AGR_fec!Y$7)</f>
        <v>0</v>
      </c>
      <c r="DA46" s="288"/>
    </row>
    <row r="47" spans="1:105" x14ac:dyDescent="0.25">
      <c r="A47" s="240" t="s">
        <v>123</v>
      </c>
      <c r="B47" s="251">
        <f>IF(B$8=0,0,B$8/AGR_fec!B$8)</f>
        <v>0</v>
      </c>
      <c r="C47" s="251">
        <f>IF(C$8=0,0,C$8/AGR_fec!C$8)</f>
        <v>0</v>
      </c>
      <c r="D47" s="251">
        <f>IF(D$8=0,0,D$8/AGR_fec!D$8)</f>
        <v>0</v>
      </c>
      <c r="E47" s="251">
        <f>IF(E$8=0,0,E$8/AGR_fec!E$8)</f>
        <v>0</v>
      </c>
      <c r="F47" s="251">
        <f>IF(F$8=0,0,F$8/AGR_fec!F$8)</f>
        <v>0</v>
      </c>
      <c r="G47" s="251">
        <f>IF(G$8=0,0,G$8/AGR_fec!G$8)</f>
        <v>0</v>
      </c>
      <c r="H47" s="251">
        <f>IF(H$8=0,0,H$8/AGR_fec!H$8)</f>
        <v>0</v>
      </c>
      <c r="I47" s="251">
        <f>IF(I$8=0,0,I$8/AGR_fec!I$8)</f>
        <v>0</v>
      </c>
      <c r="J47" s="251">
        <f>IF(J$8=0,0,J$8/AGR_fec!J$8)</f>
        <v>0</v>
      </c>
      <c r="K47" s="251">
        <f>IF(K$8=0,0,K$8/AGR_fec!K$8)</f>
        <v>0</v>
      </c>
      <c r="L47" s="251">
        <f>IF(L$8=0,0,L$8/AGR_fec!L$8)</f>
        <v>0</v>
      </c>
      <c r="M47" s="251">
        <f>IF(M$8=0,0,M$8/AGR_fec!M$8)</f>
        <v>0</v>
      </c>
      <c r="N47" s="251">
        <f>IF(N$8=0,0,N$8/AGR_fec!N$8)</f>
        <v>0</v>
      </c>
      <c r="O47" s="251">
        <f>IF(O$8=0,0,O$8/AGR_fec!O$8)</f>
        <v>0</v>
      </c>
      <c r="P47" s="251">
        <f>IF(P$8=0,0,P$8/AGR_fec!P$8)</f>
        <v>0</v>
      </c>
      <c r="Q47" s="251">
        <f>IF(Q$8=0,0,Q$8/AGR_fec!Q$8)</f>
        <v>0</v>
      </c>
      <c r="R47" s="251">
        <f>IF(R$8=0,0,R$8/AGR_fec!R$8)</f>
        <v>0</v>
      </c>
      <c r="S47" s="251">
        <f>IF(S$8=0,0,S$8/AGR_fec!S$8)</f>
        <v>0</v>
      </c>
      <c r="T47" s="251">
        <f>IF(T$8=0,0,T$8/AGR_fec!T$8)</f>
        <v>0</v>
      </c>
      <c r="U47" s="251">
        <f>IF(U$8=0,0,U$8/AGR_fec!U$8)</f>
        <v>0</v>
      </c>
      <c r="V47" s="251">
        <f>IF(V$8=0,0,V$8/AGR_fec!V$8)</f>
        <v>0</v>
      </c>
      <c r="W47" s="251">
        <f>IF(W$8=0,0,W$8/AGR_fec!W$8)</f>
        <v>0</v>
      </c>
      <c r="X47" s="251">
        <f>IF(X$8=0,0,X$8/AGR_fec!X$8)</f>
        <v>0</v>
      </c>
      <c r="Y47" s="251">
        <f>IF(Y$8=0,0,Y$8/AGR_fec!Y$8)</f>
        <v>0</v>
      </c>
      <c r="DA47" s="288"/>
    </row>
    <row r="48" spans="1:105" x14ac:dyDescent="0.25">
      <c r="A48" s="242" t="s">
        <v>122</v>
      </c>
      <c r="B48" s="252">
        <f>IF(B$9=0,0,B$9/AGR_fec!B$9)</f>
        <v>2.5615086856314973</v>
      </c>
      <c r="C48" s="252">
        <f>IF(C$9=0,0,C$9/AGR_fec!C$9)</f>
        <v>2.5941421826440259</v>
      </c>
      <c r="D48" s="252">
        <f>IF(D$9=0,0,D$9/AGR_fec!D$9)</f>
        <v>2.4574638379825524</v>
      </c>
      <c r="E48" s="252">
        <f>IF(E$9=0,0,E$9/AGR_fec!E$9)</f>
        <v>2.3513745752889368</v>
      </c>
      <c r="F48" s="252">
        <f>IF(F$9=0,0,F$9/AGR_fec!F$9)</f>
        <v>2.1575124891941129</v>
      </c>
      <c r="G48" s="252">
        <f>IF(G$9=0,0,G$9/AGR_fec!G$9)</f>
        <v>1.9760044207510781</v>
      </c>
      <c r="H48" s="252">
        <f>IF(H$9=0,0,H$9/AGR_fec!H$9)</f>
        <v>1.9735169157111028</v>
      </c>
      <c r="I48" s="252">
        <f>IF(I$9=0,0,I$9/AGR_fec!I$9)</f>
        <v>1.8444577508824125</v>
      </c>
      <c r="J48" s="252">
        <f>IF(J$9=0,0,J$9/AGR_fec!J$9)</f>
        <v>1.3398670124106553</v>
      </c>
      <c r="K48" s="252">
        <f>IF(K$9=0,0,K$9/AGR_fec!K$9)</f>
        <v>1.3152140363620475</v>
      </c>
      <c r="L48" s="252">
        <f>IF(L$9=0,0,L$9/AGR_fec!L$9)</f>
        <v>1.14457410096319</v>
      </c>
      <c r="M48" s="252">
        <f>IF(M$9=0,0,M$9/AGR_fec!M$9)</f>
        <v>1.3002598182990541</v>
      </c>
      <c r="N48" s="252">
        <f>IF(N$9=0,0,N$9/AGR_fec!N$9)</f>
        <v>1.3055623838371857</v>
      </c>
      <c r="O48" s="252">
        <f>IF(O$9=0,0,O$9/AGR_fec!O$9)</f>
        <v>1.0883964917496096</v>
      </c>
      <c r="P48" s="252">
        <f>IF(P$9=0,0,P$9/AGR_fec!P$9)</f>
        <v>0.88165927334901784</v>
      </c>
      <c r="Q48" s="252">
        <f>IF(Q$9=0,0,Q$9/AGR_fec!Q$9)</f>
        <v>1.1139963579039518</v>
      </c>
      <c r="R48" s="252">
        <f>IF(R$9=0,0,R$9/AGR_fec!R$9)</f>
        <v>0.87132632790019726</v>
      </c>
      <c r="S48" s="252">
        <f>IF(S$9=0,0,S$9/AGR_fec!S$9)</f>
        <v>0.93471621722797904</v>
      </c>
      <c r="T48" s="252">
        <f>IF(T$9=0,0,T$9/AGR_fec!T$9)</f>
        <v>0.80803803536215002</v>
      </c>
      <c r="U48" s="252">
        <f>IF(U$9=0,0,U$9/AGR_fec!U$9)</f>
        <v>1.0243156671850824</v>
      </c>
      <c r="V48" s="252">
        <f>IF(V$9=0,0,V$9/AGR_fec!V$9)</f>
        <v>1.073002469532002</v>
      </c>
      <c r="W48" s="252">
        <f>IF(W$9=0,0,W$9/AGR_fec!W$9)</f>
        <v>0.87888021799538485</v>
      </c>
      <c r="X48" s="252">
        <f>IF(X$9=0,0,X$9/AGR_fec!X$9)</f>
        <v>0.97607863911763582</v>
      </c>
      <c r="Y48" s="252">
        <f>IF(Y$9=0,0,Y$9/AGR_fec!Y$9)</f>
        <v>0.79716940699011563</v>
      </c>
      <c r="DA48" s="289"/>
    </row>
    <row r="49" spans="1:105" x14ac:dyDescent="0.25">
      <c r="A49" s="127" t="s">
        <v>168</v>
      </c>
      <c r="B49" s="264">
        <f>IF(B$16=0,0,B$16/AGR_fec!B$16)</f>
        <v>3.1024188000000001</v>
      </c>
      <c r="C49" s="264">
        <f>IF(C$16=0,0,C$16/AGR_fec!C$16)</f>
        <v>3.1024188000000015</v>
      </c>
      <c r="D49" s="264">
        <f>IF(D$16=0,0,D$16/AGR_fec!D$16)</f>
        <v>3.1024188000000015</v>
      </c>
      <c r="E49" s="264">
        <f>IF(E$16=0,0,E$16/AGR_fec!E$16)</f>
        <v>3.102418800000001</v>
      </c>
      <c r="F49" s="264">
        <f>IF(F$16=0,0,F$16/AGR_fec!F$16)</f>
        <v>3.1024188000000019</v>
      </c>
      <c r="G49" s="264">
        <f>IF(G$16=0,0,G$16/AGR_fec!G$16)</f>
        <v>3.102418800000001</v>
      </c>
      <c r="H49" s="264">
        <f>IF(H$16=0,0,H$16/AGR_fec!H$16)</f>
        <v>3.1024188000000001</v>
      </c>
      <c r="I49" s="264">
        <f>IF(I$16=0,0,I$16/AGR_fec!I$16)</f>
        <v>3.1024188000000006</v>
      </c>
      <c r="J49" s="264">
        <f>IF(J$16=0,0,J$16/AGR_fec!J$16)</f>
        <v>3.1024187999999997</v>
      </c>
      <c r="K49" s="264">
        <f>IF(K$16=0,0,K$16/AGR_fec!K$16)</f>
        <v>3.1024188000000006</v>
      </c>
      <c r="L49" s="264">
        <f>IF(L$16=0,0,L$16/AGR_fec!L$16)</f>
        <v>3.1024187999999997</v>
      </c>
      <c r="M49" s="264">
        <f>IF(M$16=0,0,M$16/AGR_fec!M$16)</f>
        <v>3.1024187999999997</v>
      </c>
      <c r="N49" s="264">
        <f>IF(N$16=0,0,N$16/AGR_fec!N$16)</f>
        <v>3.102418800000001</v>
      </c>
      <c r="O49" s="264">
        <f>IF(O$16=0,0,O$16/AGR_fec!O$16)</f>
        <v>3.1024187999999997</v>
      </c>
      <c r="P49" s="264">
        <f>IF(P$16=0,0,P$16/AGR_fec!P$16)</f>
        <v>3.1024188000000001</v>
      </c>
      <c r="Q49" s="264">
        <f>IF(Q$16=0,0,Q$16/AGR_fec!Q$16)</f>
        <v>3.1024187999999993</v>
      </c>
      <c r="R49" s="264">
        <f>IF(R$16=0,0,R$16/AGR_fec!R$16)</f>
        <v>3.1024188000000001</v>
      </c>
      <c r="S49" s="264">
        <f>IF(S$16=0,0,S$16/AGR_fec!S$16)</f>
        <v>3.1024187999999997</v>
      </c>
      <c r="T49" s="264">
        <f>IF(T$16=0,0,T$16/AGR_fec!T$16)</f>
        <v>3.1024188000000006</v>
      </c>
      <c r="U49" s="264">
        <f>IF(U$16=0,0,U$16/AGR_fec!U$16)</f>
        <v>3.1024187999999997</v>
      </c>
      <c r="V49" s="264">
        <f>IF(V$16=0,0,V$16/AGR_fec!V$16)</f>
        <v>3.1024188000000001</v>
      </c>
      <c r="W49" s="264">
        <f>IF(W$16=0,0,W$16/AGR_fec!W$16)</f>
        <v>3.1024188000000015</v>
      </c>
      <c r="X49" s="264">
        <f>IF(X$16=0,0,X$16/AGR_fec!X$16)</f>
        <v>3.1024188000000001</v>
      </c>
      <c r="Y49" s="264">
        <f>IF(Y$16=0,0,Y$16/AGR_fec!Y$16)</f>
        <v>3.1024188000000001</v>
      </c>
      <c r="DA49" s="290"/>
    </row>
    <row r="50" spans="1:105" x14ac:dyDescent="0.25">
      <c r="A50" s="127" t="s">
        <v>121</v>
      </c>
      <c r="B50" s="264">
        <f>IF(B$17=0,0,B$17/AGR_fec!B$17)</f>
        <v>3.1024187999999997</v>
      </c>
      <c r="C50" s="264">
        <f>IF(C$17=0,0,C$17/AGR_fec!C$17)</f>
        <v>3.1024187999999993</v>
      </c>
      <c r="D50" s="264">
        <f>IF(D$17=0,0,D$17/AGR_fec!D$17)</f>
        <v>3.1024188000000006</v>
      </c>
      <c r="E50" s="264">
        <f>IF(E$17=0,0,E$17/AGR_fec!E$17)</f>
        <v>3.1024188000000006</v>
      </c>
      <c r="F50" s="264">
        <f>IF(F$17=0,0,F$17/AGR_fec!F$17)</f>
        <v>3.1024188000000015</v>
      </c>
      <c r="G50" s="264">
        <f>IF(G$17=0,0,G$17/AGR_fec!G$17)</f>
        <v>3.102418800000001</v>
      </c>
      <c r="H50" s="264">
        <f>IF(H$17=0,0,H$17/AGR_fec!H$17)</f>
        <v>3.0425072074527995</v>
      </c>
      <c r="I50" s="264">
        <f>IF(I$17=0,0,I$17/AGR_fec!I$17)</f>
        <v>3.0459412916659478</v>
      </c>
      <c r="J50" s="264">
        <f>IF(J$17=0,0,J$17/AGR_fec!J$17)</f>
        <v>3.0562121412826593</v>
      </c>
      <c r="K50" s="264">
        <f>IF(K$17=0,0,K$17/AGR_fec!K$17)</f>
        <v>2.8701756709851449</v>
      </c>
      <c r="L50" s="264">
        <f>IF(L$17=0,0,L$17/AGR_fec!L$17)</f>
        <v>2.7635317916024453</v>
      </c>
      <c r="M50" s="264">
        <f>IF(M$17=0,0,M$17/AGR_fec!M$17)</f>
        <v>2.6551000320114508</v>
      </c>
      <c r="N50" s="264">
        <f>IF(N$17=0,0,N$17/AGR_fec!N$17)</f>
        <v>2.5858591857065503</v>
      </c>
      <c r="O50" s="264">
        <f>IF(O$17=0,0,O$17/AGR_fec!O$17)</f>
        <v>2.6164572675838129</v>
      </c>
      <c r="P50" s="264">
        <f>IF(P$17=0,0,P$17/AGR_fec!P$17)</f>
        <v>2.5509253663291664</v>
      </c>
      <c r="Q50" s="264">
        <f>IF(Q$17=0,0,Q$17/AGR_fec!Q$17)</f>
        <v>2.6922794280483777</v>
      </c>
      <c r="R50" s="264">
        <f>IF(R$17=0,0,R$17/AGR_fec!R$17)</f>
        <v>2.6136331190439881</v>
      </c>
      <c r="S50" s="264">
        <f>IF(S$17=0,0,S$17/AGR_fec!S$17)</f>
        <v>2.6218132612102898</v>
      </c>
      <c r="T50" s="264">
        <f>IF(T$17=0,0,T$17/AGR_fec!T$17)</f>
        <v>2.5916528929851301</v>
      </c>
      <c r="U50" s="264">
        <f>IF(U$17=0,0,U$17/AGR_fec!U$17)</f>
        <v>2.5421422146233832</v>
      </c>
      <c r="V50" s="264">
        <f>IF(V$17=0,0,V$17/AGR_fec!V$17)</f>
        <v>2.5199377345913536</v>
      </c>
      <c r="W50" s="264">
        <f>IF(W$17=0,0,W$17/AGR_fec!W$17)</f>
        <v>2.5092507343687394</v>
      </c>
      <c r="X50" s="264">
        <f>IF(X$17=0,0,X$17/AGR_fec!X$17)</f>
        <v>2.5111805640397775</v>
      </c>
      <c r="Y50" s="264">
        <f>IF(Y$17=0,0,Y$17/AGR_fec!Y$17)</f>
        <v>2.467331369743889</v>
      </c>
      <c r="DA50" s="290"/>
    </row>
    <row r="51" spans="1:105" x14ac:dyDescent="0.25">
      <c r="A51" s="127" t="s">
        <v>167</v>
      </c>
      <c r="B51" s="264">
        <f>IF(B$25=0,0,B$25/AGR_fec!B$25)</f>
        <v>3.1024188000000001</v>
      </c>
      <c r="C51" s="264">
        <f>IF(C$25=0,0,C$25/AGR_fec!C$25)</f>
        <v>3.1024188000000001</v>
      </c>
      <c r="D51" s="264">
        <f>IF(D$25=0,0,D$25/AGR_fec!D$25)</f>
        <v>3.1024187999999997</v>
      </c>
      <c r="E51" s="264">
        <f>IF(E$25=0,0,E$25/AGR_fec!E$25)</f>
        <v>3.1024188000000006</v>
      </c>
      <c r="F51" s="264">
        <f>IF(F$25=0,0,F$25/AGR_fec!F$25)</f>
        <v>3.1024188000000001</v>
      </c>
      <c r="G51" s="264">
        <f>IF(G$25=0,0,G$25/AGR_fec!G$25)</f>
        <v>3.1024187999999997</v>
      </c>
      <c r="H51" s="264">
        <f>IF(H$25=0,0,H$25/AGR_fec!H$25)</f>
        <v>3.1024188000000001</v>
      </c>
      <c r="I51" s="264">
        <f>IF(I$25=0,0,I$25/AGR_fec!I$25)</f>
        <v>3.1024187999999993</v>
      </c>
      <c r="J51" s="264">
        <f>IF(J$25=0,0,J$25/AGR_fec!J$25)</f>
        <v>3.1024188000000006</v>
      </c>
      <c r="K51" s="264">
        <f>IF(K$25=0,0,K$25/AGR_fec!K$25)</f>
        <v>3.1024188000000006</v>
      </c>
      <c r="L51" s="264">
        <f>IF(L$25=0,0,L$25/AGR_fec!L$25)</f>
        <v>3.1024187999999997</v>
      </c>
      <c r="M51" s="264">
        <f>IF(M$25=0,0,M$25/AGR_fec!M$25)</f>
        <v>3.1024188000000006</v>
      </c>
      <c r="N51" s="264">
        <f>IF(N$25=0,0,N$25/AGR_fec!N$25)</f>
        <v>3.1024188000000001</v>
      </c>
      <c r="O51" s="264">
        <f>IF(O$25=0,0,O$25/AGR_fec!O$25)</f>
        <v>3.1024187999999993</v>
      </c>
      <c r="P51" s="264">
        <f>IF(P$25=0,0,P$25/AGR_fec!P$25)</f>
        <v>3.1024188000000001</v>
      </c>
      <c r="Q51" s="264">
        <f>IF(Q$25=0,0,Q$25/AGR_fec!Q$25)</f>
        <v>3.1024187999999997</v>
      </c>
      <c r="R51" s="264">
        <f>IF(R$25=0,0,R$25/AGR_fec!R$25)</f>
        <v>3.1024188000000001</v>
      </c>
      <c r="S51" s="264">
        <f>IF(S$25=0,0,S$25/AGR_fec!S$25)</f>
        <v>3.1024187999999993</v>
      </c>
      <c r="T51" s="264">
        <f>IF(T$25=0,0,T$25/AGR_fec!T$25)</f>
        <v>3.1024188000000001</v>
      </c>
      <c r="U51" s="264">
        <f>IF(U$25=0,0,U$25/AGR_fec!U$25)</f>
        <v>3.1024188000000001</v>
      </c>
      <c r="V51" s="264">
        <f>IF(V$25=0,0,V$25/AGR_fec!V$25)</f>
        <v>3.1024188000000006</v>
      </c>
      <c r="W51" s="264">
        <f>IF(W$25=0,0,W$25/AGR_fec!W$25)</f>
        <v>3.1024188000000001</v>
      </c>
      <c r="X51" s="264">
        <f>IF(X$25=0,0,X$25/AGR_fec!X$25)</f>
        <v>3.102418800000001</v>
      </c>
      <c r="Y51" s="264">
        <f>IF(Y$25=0,0,Y$25/AGR_fec!Y$25)</f>
        <v>3.1024187999999997</v>
      </c>
      <c r="DA51" s="290"/>
    </row>
    <row r="52" spans="1:105" x14ac:dyDescent="0.25">
      <c r="A52" s="127" t="s">
        <v>170</v>
      </c>
      <c r="B52" s="264">
        <f>IF(B$26=0,0,B$26/AGR_fec!B$26)</f>
        <v>0</v>
      </c>
      <c r="C52" s="264">
        <f>IF(C$26=0,0,C$26/AGR_fec!C$26)</f>
        <v>0</v>
      </c>
      <c r="D52" s="264">
        <f>IF(D$26=0,0,D$26/AGR_fec!D$26)</f>
        <v>0</v>
      </c>
      <c r="E52" s="264">
        <f>IF(E$26=0,0,E$26/AGR_fec!E$26)</f>
        <v>0</v>
      </c>
      <c r="F52" s="264">
        <f>IF(F$26=0,0,F$26/AGR_fec!F$26)</f>
        <v>0</v>
      </c>
      <c r="G52" s="264">
        <f>IF(G$26=0,0,G$26/AGR_fec!G$26)</f>
        <v>0</v>
      </c>
      <c r="H52" s="264">
        <f>IF(H$26=0,0,H$26/AGR_fec!H$26)</f>
        <v>0</v>
      </c>
      <c r="I52" s="264">
        <f>IF(I$26=0,0,I$26/AGR_fec!I$26)</f>
        <v>0</v>
      </c>
      <c r="J52" s="264">
        <f>IF(J$26=0,0,J$26/AGR_fec!J$26)</f>
        <v>0</v>
      </c>
      <c r="K52" s="264">
        <f>IF(K$26=0,0,K$26/AGR_fec!K$26)</f>
        <v>0</v>
      </c>
      <c r="L52" s="264">
        <f>IF(L$26=0,0,L$26/AGR_fec!L$26)</f>
        <v>0</v>
      </c>
      <c r="M52" s="264">
        <f>IF(M$26=0,0,M$26/AGR_fec!M$26)</f>
        <v>0</v>
      </c>
      <c r="N52" s="264">
        <f>IF(N$26=0,0,N$26/AGR_fec!N$26)</f>
        <v>0</v>
      </c>
      <c r="O52" s="264">
        <f>IF(O$26=0,0,O$26/AGR_fec!O$26)</f>
        <v>0</v>
      </c>
      <c r="P52" s="264">
        <f>IF(P$26=0,0,P$26/AGR_fec!P$26)</f>
        <v>0</v>
      </c>
      <c r="Q52" s="264">
        <f>IF(Q$26=0,0,Q$26/AGR_fec!Q$26)</f>
        <v>0</v>
      </c>
      <c r="R52" s="264">
        <f>IF(R$26=0,0,R$26/AGR_fec!R$26)</f>
        <v>0</v>
      </c>
      <c r="S52" s="264">
        <f>IF(S$26=0,0,S$26/AGR_fec!S$26)</f>
        <v>0</v>
      </c>
      <c r="T52" s="264">
        <f>IF(T$26=0,0,T$26/AGR_fec!T$26)</f>
        <v>0</v>
      </c>
      <c r="U52" s="264">
        <f>IF(U$26=0,0,U$26/AGR_fec!U$26)</f>
        <v>0</v>
      </c>
      <c r="V52" s="264">
        <f>IF(V$26=0,0,V$26/AGR_fec!V$26)</f>
        <v>0</v>
      </c>
      <c r="W52" s="264">
        <f>IF(W$26=0,0,W$26/AGR_fec!W$26)</f>
        <v>0</v>
      </c>
      <c r="X52" s="264">
        <f>IF(X$26=0,0,X$26/AGR_fec!X$26)</f>
        <v>0</v>
      </c>
      <c r="Y52" s="264">
        <f>IF(Y$26=0,0,Y$26/AGR_fec!Y$26)</f>
        <v>0</v>
      </c>
      <c r="DA52" s="290"/>
    </row>
    <row r="53" spans="1:105" x14ac:dyDescent="0.25">
      <c r="A53" s="260" t="s">
        <v>33</v>
      </c>
      <c r="B53" s="265">
        <f>IF(B$27=0,0,B$27/AGR_fec!B$27)</f>
        <v>0</v>
      </c>
      <c r="C53" s="265">
        <f>IF(C$27=0,0,C$27/AGR_fec!C$27)</f>
        <v>0</v>
      </c>
      <c r="D53" s="265">
        <f>IF(D$27=0,0,D$27/AGR_fec!D$27)</f>
        <v>0</v>
      </c>
      <c r="E53" s="265">
        <f>IF(E$27=0,0,E$27/AGR_fec!E$27)</f>
        <v>0</v>
      </c>
      <c r="F53" s="265">
        <f>IF(F$27=0,0,F$27/AGR_fec!F$27)</f>
        <v>0</v>
      </c>
      <c r="G53" s="265">
        <f>IF(G$27=0,0,G$27/AGR_fec!G$27)</f>
        <v>0</v>
      </c>
      <c r="H53" s="265">
        <f>IF(H$27=0,0,H$27/AGR_fec!H$27)</f>
        <v>0</v>
      </c>
      <c r="I53" s="265">
        <f>IF(I$27=0,0,I$27/AGR_fec!I$27)</f>
        <v>0</v>
      </c>
      <c r="J53" s="265">
        <f>IF(J$27=0,0,J$27/AGR_fec!J$27)</f>
        <v>0</v>
      </c>
      <c r="K53" s="265">
        <f>IF(K$27=0,0,K$27/AGR_fec!K$27)</f>
        <v>0</v>
      </c>
      <c r="L53" s="265">
        <f>IF(L$27=0,0,L$27/AGR_fec!L$27)</f>
        <v>0</v>
      </c>
      <c r="M53" s="265">
        <f>IF(M$27=0,0,M$27/AGR_fec!M$27)</f>
        <v>0</v>
      </c>
      <c r="N53" s="265">
        <f>IF(N$27=0,0,N$27/AGR_fec!N$27)</f>
        <v>0</v>
      </c>
      <c r="O53" s="265">
        <f>IF(O$27=0,0,O$27/AGR_fec!O$27)</f>
        <v>0</v>
      </c>
      <c r="P53" s="265">
        <f>IF(P$27=0,0,P$27/AGR_fec!P$27)</f>
        <v>0</v>
      </c>
      <c r="Q53" s="265">
        <f>IF(Q$27=0,0,Q$27/AGR_fec!Q$27)</f>
        <v>0</v>
      </c>
      <c r="R53" s="265">
        <f>IF(R$27=0,0,R$27/AGR_fec!R$27)</f>
        <v>0</v>
      </c>
      <c r="S53" s="265">
        <f>IF(S$27=0,0,S$27/AGR_fec!S$27)</f>
        <v>0</v>
      </c>
      <c r="T53" s="265">
        <f>IF(T$27=0,0,T$27/AGR_fec!T$27)</f>
        <v>0</v>
      </c>
      <c r="U53" s="265">
        <f>IF(U$27=0,0,U$27/AGR_fec!U$27)</f>
        <v>0</v>
      </c>
      <c r="V53" s="265">
        <f>IF(V$27=0,0,V$27/AGR_fec!V$27)</f>
        <v>0</v>
      </c>
      <c r="W53" s="265">
        <f>IF(W$27=0,0,W$27/AGR_fec!W$27)</f>
        <v>0</v>
      </c>
      <c r="X53" s="265">
        <f>IF(X$27=0,0,X$27/AGR_fec!X$27)</f>
        <v>0</v>
      </c>
      <c r="Y53" s="265">
        <f>IF(Y$27=0,0,Y$27/AGR_fec!Y$27)</f>
        <v>0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2025-11-06T10:20:25Z</dcterms:created>
  <dcterms:modified xsi:type="dcterms:W3CDTF">2025-11-06T10:20:25Z</dcterms:modified>
</cp:coreProperties>
</file>