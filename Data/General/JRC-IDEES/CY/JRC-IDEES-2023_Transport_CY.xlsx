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Y45" i="3"/>
  <c r="X45" i="3"/>
  <c r="Y39" i="12"/>
  <c r="X48" i="13"/>
  <c r="X83" i="3"/>
  <c r="Y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X3" i="20"/>
  <c r="Y90" i="3"/>
  <c r="X90" i="3"/>
  <c r="Y85" i="3"/>
  <c r="X85" i="3"/>
  <c r="X76" i="3"/>
  <c r="Y44" i="3"/>
  <c r="X44" i="3"/>
  <c r="Y42" i="3"/>
  <c r="Y31" i="3"/>
  <c r="Y30" i="3"/>
  <c r="Y25" i="3"/>
  <c r="Y10" i="3"/>
  <c r="Y41" i="12" l="1"/>
  <c r="Y44" i="12"/>
  <c r="X55" i="3"/>
  <c r="X207" i="3" s="1"/>
  <c r="X75" i="3"/>
  <c r="X227" i="3" s="1"/>
  <c r="X29" i="9"/>
  <c r="Y57" i="8"/>
  <c r="Y79" i="8" s="1"/>
  <c r="Y75" i="3"/>
  <c r="Y29" i="9"/>
  <c r="X91" i="8"/>
  <c r="X41" i="12"/>
  <c r="Y91" i="8"/>
  <c r="X31" i="9"/>
  <c r="X90" i="8"/>
  <c r="Y53" i="9"/>
  <c r="X53" i="3"/>
  <c r="X84" i="3"/>
  <c r="X236" i="3" s="1"/>
  <c r="X25" i="9"/>
  <c r="Y43" i="9"/>
  <c r="X46" i="3"/>
  <c r="X43" i="3" s="1"/>
  <c r="Y69" i="11"/>
  <c r="Y15" i="14"/>
  <c r="Y21" i="14" s="1"/>
  <c r="X27" i="9"/>
  <c r="X19" i="12"/>
  <c r="X69" i="12" s="1"/>
  <c r="Y54" i="3"/>
  <c r="Y55" i="3"/>
  <c r="Y207" i="3" s="1"/>
  <c r="Y7" i="18"/>
  <c r="Y23" i="18" s="1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89" i="3" s="1"/>
  <c r="X181" i="3" s="1"/>
  <c r="Y39" i="13"/>
  <c r="Y79" i="11"/>
  <c r="X4" i="9"/>
  <c r="X57" i="8"/>
  <c r="X79" i="8" s="1"/>
  <c r="X7" i="15"/>
  <c r="X21" i="15" s="1"/>
  <c r="X13" i="14"/>
  <c r="X19" i="14" s="1"/>
  <c r="Y15" i="3"/>
  <c r="Y197" i="3" s="1"/>
  <c r="X23" i="3"/>
  <c r="X22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61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Y25" i="14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21" i="20"/>
  <c r="X14" i="14"/>
  <c r="X20" i="14" s="1"/>
  <c r="X4" i="14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3" i="20" s="1"/>
  <c r="X110" i="11"/>
  <c r="X111" i="11"/>
  <c r="Y120" i="11"/>
  <c r="Y123" i="11"/>
  <c r="Y121" i="11"/>
  <c r="Y28" i="3"/>
  <c r="Y84" i="3"/>
  <c r="Y192" i="3"/>
  <c r="Y237" i="3"/>
  <c r="Y242" i="3"/>
  <c r="X23" i="20"/>
  <c r="Y19" i="18"/>
  <c r="X19" i="17"/>
  <c r="X11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7" i="11"/>
  <c r="X11" i="10"/>
  <c r="X9" i="10" s="1"/>
  <c r="X34" i="10"/>
  <c r="X45" i="10"/>
  <c r="X56" i="10"/>
  <c r="Y28" i="9"/>
  <c r="Y39" i="9"/>
  <c r="Y13" i="9"/>
  <c r="Y50" i="9"/>
  <c r="X22" i="20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08" i="8"/>
  <c r="X17" i="8"/>
  <c r="X21" i="8"/>
  <c r="X123" i="8" s="1"/>
  <c r="X97" i="8"/>
  <c r="X101" i="8"/>
  <c r="X243" i="3" l="1"/>
  <c r="Y13" i="15"/>
  <c r="Y18" i="15"/>
  <c r="Y17" i="15"/>
  <c r="X3" i="16"/>
  <c r="X28" i="16" s="1"/>
  <c r="Y10" i="17"/>
  <c r="Y227" i="3"/>
  <c r="X235" i="3"/>
  <c r="Y73" i="3"/>
  <c r="Y20" i="14"/>
  <c r="Y3" i="12"/>
  <c r="Y47" i="12" s="1"/>
  <c r="X4" i="8"/>
  <c r="X94" i="8" s="1"/>
  <c r="Y11" i="20"/>
  <c r="Y52" i="3"/>
  <c r="Y204" i="3" s="1"/>
  <c r="Y3" i="16"/>
  <c r="Y9" i="17" s="1"/>
  <c r="X80" i="11"/>
  <c r="X36" i="8"/>
  <c r="X52" i="3"/>
  <c r="X204" i="3" s="1"/>
  <c r="Y206" i="3"/>
  <c r="X86" i="3"/>
  <c r="X238" i="3" s="1"/>
  <c r="X96" i="8"/>
  <c r="X24" i="19"/>
  <c r="X10" i="20"/>
  <c r="Y3" i="19"/>
  <c r="Y28" i="19" s="1"/>
  <c r="X20" i="19"/>
  <c r="Y57" i="3"/>
  <c r="Y209" i="3" s="1"/>
  <c r="Y20" i="16"/>
  <c r="X22" i="15"/>
  <c r="X82" i="3"/>
  <c r="X234" i="3" s="1"/>
  <c r="X198" i="3"/>
  <c r="X43" i="11"/>
  <c r="Y27" i="14"/>
  <c r="X116" i="11"/>
  <c r="X22" i="10"/>
  <c r="X192" i="3"/>
  <c r="Y36" i="8"/>
  <c r="X41" i="9"/>
  <c r="X29" i="19"/>
  <c r="X9" i="20"/>
  <c r="Y13" i="18"/>
  <c r="Y22" i="13"/>
  <c r="X233" i="3"/>
  <c r="X25" i="8"/>
  <c r="X22" i="17"/>
  <c r="X122" i="11"/>
  <c r="Y22" i="18"/>
  <c r="X112" i="8"/>
  <c r="X44" i="10"/>
  <c r="X205" i="3"/>
  <c r="Y13" i="3"/>
  <c r="X100" i="8"/>
  <c r="Y198" i="3"/>
  <c r="X118" i="11"/>
  <c r="X111" i="8"/>
  <c r="X76" i="11"/>
  <c r="X41" i="3"/>
  <c r="X39" i="3" s="1"/>
  <c r="X60" i="3"/>
  <c r="X212" i="3" s="1"/>
  <c r="X11" i="9"/>
  <c r="X35" i="9" s="1"/>
  <c r="X113" i="8"/>
  <c r="Y21" i="18"/>
  <c r="X13" i="11"/>
  <c r="X224" i="3"/>
  <c r="Y111" i="11"/>
  <c r="Y42" i="13"/>
  <c r="Y12" i="14"/>
  <c r="Y24" i="14" s="1"/>
  <c r="X183" i="3"/>
  <c r="X182" i="3"/>
  <c r="X13" i="3"/>
  <c r="X195" i="3" s="1"/>
  <c r="X37" i="9"/>
  <c r="X3" i="12"/>
  <c r="X51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38" i="10"/>
  <c r="X8" i="10"/>
  <c r="X60" i="10" s="1"/>
  <c r="Y44" i="10"/>
  <c r="Y55" i="10"/>
  <c r="Y33" i="10"/>
  <c r="Y81" i="3"/>
  <c r="X106" i="8"/>
  <c r="X110" i="8"/>
  <c r="X9" i="17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X49" i="12"/>
  <c r="Y240" i="3"/>
  <c r="Y122" i="3"/>
  <c r="Y32" i="12"/>
  <c r="Y22" i="12"/>
  <c r="Y72" i="12" s="1"/>
  <c r="Y42" i="12"/>
  <c r="Y41" i="9"/>
  <c r="Y30" i="9"/>
  <c r="Y52" i="9"/>
  <c r="Y51" i="3"/>
  <c r="X18" i="15"/>
  <c r="X107" i="8"/>
  <c r="Y70" i="11"/>
  <c r="X12" i="14"/>
  <c r="X18" i="14" s="1"/>
  <c r="X18" i="13"/>
  <c r="X3" i="13"/>
  <c r="X52" i="13" s="1"/>
  <c r="X26" i="14"/>
  <c r="X23" i="16"/>
  <c r="X27" i="16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19" i="19"/>
  <c r="X109" i="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62" i="10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Y23" i="19" l="1"/>
  <c r="Y27" i="19"/>
  <c r="Y17" i="12"/>
  <c r="Y67" i="12" s="1"/>
  <c r="X105" i="8"/>
  <c r="Y19" i="16"/>
  <c r="Y48" i="12"/>
  <c r="Y225" i="3"/>
  <c r="Y29" i="19"/>
  <c r="Y54" i="12"/>
  <c r="Y56" i="3"/>
  <c r="Y208" i="3" s="1"/>
  <c r="Y50" i="12"/>
  <c r="Y9" i="20"/>
  <c r="Y55" i="12"/>
  <c r="Y52" i="12"/>
  <c r="Y51" i="12"/>
  <c r="X95" i="11"/>
  <c r="X19" i="16"/>
  <c r="Y23" i="16"/>
  <c r="Y27" i="16"/>
  <c r="Y28" i="16"/>
  <c r="Y195" i="3"/>
  <c r="X225" i="3"/>
  <c r="X24" i="9"/>
  <c r="X46" i="9"/>
  <c r="Y18" i="14"/>
  <c r="X56" i="3"/>
  <c r="X208" i="3" s="1"/>
  <c r="X59" i="3"/>
  <c r="X153" i="3" s="1"/>
  <c r="X193" i="3"/>
  <c r="Y37" i="12"/>
  <c r="X10" i="9"/>
  <c r="X57" i="9" s="1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191" i="3"/>
  <c r="X60" i="9"/>
  <c r="X64" i="9"/>
  <c r="X62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2" i="3" l="1"/>
  <c r="X56" i="9"/>
  <c r="X151" i="3"/>
  <c r="X45" i="9"/>
  <c r="X211" i="3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U18" i="18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M22" i="20" l="1"/>
  <c r="R25" i="19"/>
  <c r="F24" i="19"/>
  <c r="W23" i="20"/>
  <c r="N29" i="3"/>
  <c r="I21" i="18"/>
  <c r="F20" i="19"/>
  <c r="I22" i="18"/>
  <c r="Q21" i="19"/>
  <c r="E22" i="18"/>
  <c r="E13" i="20"/>
  <c r="Q25" i="19"/>
  <c r="E23" i="18"/>
  <c r="E13" i="18"/>
  <c r="J11" i="20"/>
  <c r="M23" i="20"/>
  <c r="P10" i="20"/>
  <c r="R21" i="19"/>
  <c r="W24" i="19"/>
  <c r="N13" i="20"/>
  <c r="U19" i="18"/>
  <c r="G18" i="18"/>
  <c r="F22" i="20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3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Q9" i="20"/>
  <c r="N27" i="19"/>
  <c r="N19" i="19"/>
  <c r="U122" i="3"/>
  <c r="F182" i="3"/>
  <c r="E27" i="19"/>
  <c r="F183" i="3"/>
  <c r="N9" i="20"/>
  <c r="W9" i="20"/>
  <c r="M29" i="19"/>
  <c r="M28" i="19"/>
  <c r="N29" i="19"/>
  <c r="M9" i="20"/>
  <c r="Q23" i="19"/>
  <c r="M27" i="19"/>
  <c r="M19" i="19"/>
  <c r="W29" i="19"/>
  <c r="H27" i="19"/>
  <c r="H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56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45" i="9" l="1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l="1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K79" i="8"/>
  <c r="V77" i="8"/>
  <c r="S76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21" i="1"/>
  <c r="B15" i="1"/>
  <c r="B9" i="1"/>
  <c r="B17" i="1"/>
  <c r="B7" i="1"/>
  <c r="B18" i="1"/>
  <c r="B4" i="1"/>
  <c r="B12" i="1"/>
  <c r="B16" i="1"/>
  <c r="B13" i="1"/>
  <c r="B8" i="1"/>
  <c r="B6" i="1"/>
  <c r="B22" i="1"/>
  <c r="B11" i="1"/>
  <c r="B20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U43" i="11" s="1"/>
  <c r="U95" i="11" s="1"/>
  <c r="V102" i="11"/>
  <c r="U58" i="11"/>
  <c r="U53" i="11" s="1"/>
  <c r="V103" i="11"/>
  <c r="U100" i="11" l="1"/>
  <c r="V58" i="1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40" i="7"/>
  <c r="Y14" i="7"/>
  <c r="Y67" i="4"/>
  <c r="Y15" i="7"/>
  <c r="Y44" i="7"/>
  <c r="W35" i="7"/>
  <c r="V112" i="4" l="1"/>
  <c r="V31" i="7" s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F211" i="4" l="1"/>
  <c r="M4" i="4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26" i="4" l="1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 s="1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/>
  <c r="X184" i="4"/>
  <c r="X265" i="4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D131" i="5" l="1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 s="1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Y265" i="4" l="1"/>
  <c r="Y267" i="4"/>
  <c r="Y184" i="4"/>
  <c r="F70" i="6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 s="1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<sst xmlns="http://schemas.openxmlformats.org/spreadsheetml/2006/main" count="2657" uniqueCount="1169">
  <si>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</si>
  <si>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</si>
  <si>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</si>
  <si>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</si>
  <si>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</si>
  <si>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</si>
  <si>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</si>
  <si>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</si>
  <si>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</si>
  <si>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</si>
  <si>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</si>
  <si>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</si>
  <si>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</si>
  <si>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</si>
  <si>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</si>
  <si>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</si>
  <si>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</si>
  <si>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</si>
  <si>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</si>
  <si>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</si>
  <si>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</si>
  <si>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</si>
  <si>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</si>
  <si>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</si>
  <si>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</si>
  <si>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</si>
  <si>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</si>
  <si>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</si>
  <si>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</si>
  <si>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</si>
  <si>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</si>
  <si>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</si>
  <si>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</si>
  <si>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</si>
  <si>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</si>
  <si>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</si>
  <si>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</si>
  <si>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</si>
  <si>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</si>
  <si>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</si>
  <si>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</si>
  <si>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</si>
  <si>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</si>
  <si>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</si>
  <si>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</si>
  <si>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</si>
  <si>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</si>
  <si>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</si>
  <si>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</si>
  <si>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</si>
  <si>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</si>
  <si>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</si>
  <si>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</si>
  <si>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</si>
  <si>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</si>
  <si>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</si>
  <si>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</si>
  <si>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</si>
  <si>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</si>
  <si>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</si>
  <si>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</si>
  <si>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</si>
  <si>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</si>
  <si>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</si>
  <si>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</si>
  <si>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</si>
  <si>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</si>
  <si>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</si>
  <si>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</si>
  <si>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</si>
  <si>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</si>
  <si>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</si>
  <si>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</si>
  <si>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</si>
  <si>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</si>
  <si>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</si>
  <si>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</si>
  <si>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</si>
  <si>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</si>
  <si>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</si>
  <si>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</si>
  <si>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</si>
  <si>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</si>
  <si>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</si>
  <si>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</si>
  <si>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</si>
  <si>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</si>
  <si>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</si>
  <si>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</si>
  <si>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</si>
  <si>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</si>
  <si>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</si>
  <si>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</si>
  <si>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</si>
  <si>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</si>
  <si>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</si>
  <si>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</si>
  <si>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</si>
  <si>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</si>
  <si>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</si>
  <si>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</si>
  <si>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</si>
  <si>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</si>
  <si>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</si>
  <si>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</si>
  <si>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</si>
  <si>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</si>
  <si>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</si>
  <si>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</si>
  <si>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</si>
  <si>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</si>
  <si>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</si>
  <si>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</si>
  <si>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</si>
  <si>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</si>
  <si>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</si>
  <si>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</si>
  <si>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</si>
  <si>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</si>
  <si>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</si>
  <si>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</si>
  <si>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</si>
  <si>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</si>
  <si>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</si>
  <si>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</si>
  <si>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</si>
  <si>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</si>
  <si>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</si>
  <si>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</si>
  <si>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</si>
  <si>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</si>
  <si>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</si>
  <si>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</si>
  <si>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</si>
  <si>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</si>
  <si>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</si>
  <si>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</si>
  <si>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</si>
  <si>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</si>
  <si>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</si>
  <si>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</si>
  <si>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</si>
  <si>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</si>
  <si>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</si>
  <si>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</si>
  <si>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</si>
  <si>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</si>
  <si>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</si>
  <si>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</si>
  <si>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</si>
  <si>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</si>
  <si>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</si>
  <si>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</si>
  <si>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</si>
  <si>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</si>
  <si>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</si>
  <si>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</si>
  <si>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</si>
  <si>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</si>
  <si>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</si>
  <si>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</si>
  <si>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</si>
  <si>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</si>
  <si>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</si>
  <si>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</si>
  <si>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</si>
  <si>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</si>
  <si>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</si>
  <si>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</si>
  <si>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</si>
  <si>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</si>
  <si>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</si>
  <si>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</si>
  <si>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</si>
  <si>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</si>
  <si>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</si>
  <si>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</si>
  <si>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</si>
  <si>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</si>
  <si>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</si>
  <si>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</si>
  <si>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</si>
  <si>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</si>
  <si>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</si>
  <si>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</si>
  <si>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</si>
  <si>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</si>
  <si>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CY</t>
  </si>
  <si>
    <t>Cyprus</t>
  </si>
  <si>
    <t>Aviation - CY - Cyprus</t>
  </si>
  <si>
    <t>Activity.Mpkm.CY.Tr.Avia.Passenger</t>
  </si>
  <si>
    <t>Activity.Mpkm.CY.Tr.Avia.Passenger.Domestic</t>
  </si>
  <si>
    <t>Activity.Mpkm.CY.Tr.Avia.Passenger.IntraEEAwCHUK</t>
  </si>
  <si>
    <t>Activity.Mpkm.CY.Tr.Avia.Passenger.ExtraEEAwCHUK</t>
  </si>
  <si>
    <t>Activity.Mtkm.CY.Tr.Avia.Freight</t>
  </si>
  <si>
    <t>Activity.Mtkm.CY.Tr.Avia.Freight.Domestic</t>
  </si>
  <si>
    <t>Activity.Mtkm.CY.Tr.Avia.Freight.IntraEEAwCHUK</t>
  </si>
  <si>
    <t>Activity.Mtkm.CY.Tr.Avia.Freight.ExtraEEAwCHUK</t>
  </si>
  <si>
    <t>VehicleKm.Mkm.CY.Tr.Avia</t>
  </si>
  <si>
    <t>VehicleKm.Mkm.CY.Tr.Avia.Passenger</t>
  </si>
  <si>
    <t>VehicleKm.Mkm.CY.Tr.Avia.Passenger.Domestic</t>
  </si>
  <si>
    <t>VehicleKm.Mkm.CY.Tr.Avia.Passenger.IntraEEAwCHUK</t>
  </si>
  <si>
    <t>VehicleKm.Mkm.CY.Tr.Avia.Passenger.ExtraEEAwCHUK</t>
  </si>
  <si>
    <t>VehicleKm.Mkm.CY.Tr.Avia.Freight</t>
  </si>
  <si>
    <t>VehicleKm.Mkm.CY.Tr.Avia.Freight.Domestic</t>
  </si>
  <si>
    <t>VehicleKm.Mkm.CY.Tr.Avia.Freight.IntraEEAwCHUK</t>
  </si>
  <si>
    <t>VehicleKm.Mkm.CY.Tr.Avia.Freight.ExtraEEAwCHUK</t>
  </si>
  <si>
    <t>Flights.number.CY.Tr.Avia</t>
  </si>
  <si>
    <t>Flights.number.CY.Tr.Avia.Passenger</t>
  </si>
  <si>
    <t>Flights.number.CY.Tr.Avia.Passenger.Domestic</t>
  </si>
  <si>
    <t>Flights.number.CY.Tr.Avia.Passenger.IntraEEAwCHUK</t>
  </si>
  <si>
    <t>Flights.number.CY.Tr.Avia.Passenger.ExtraEEAwCHUK</t>
  </si>
  <si>
    <t>Flights.number.CY.Tr.Avia.Freight</t>
  </si>
  <si>
    <t>Flights.number.CY.Tr.Avia.Freight.Domestic</t>
  </si>
  <si>
    <t>Flights.number.CY.Tr.Avia.Freight.IntraEEAwCHUK</t>
  </si>
  <si>
    <t>Flights.number.CY.Tr.Avia.Freight.ExtraEEAwCHUK</t>
  </si>
  <si>
    <t>VolCarried.passenger.CY.Tr.Avia.Passenger</t>
  </si>
  <si>
    <t>VolCarried.passenger.CY.Tr.Avia.Passenger.Domestic</t>
  </si>
  <si>
    <t>VolCarried.passenger.CY.Tr.Avia.Passenger.IntraEEAwCHUK</t>
  </si>
  <si>
    <t>VolCarried.passenger.CY.Tr.Avia.Passenger.ExtraEEAwCHUK</t>
  </si>
  <si>
    <t>VolCarried.t.CY.Tr.Avia.Freight</t>
  </si>
  <si>
    <t>VolCarried.t.CY.Tr.Avia.Freight.Domestic</t>
  </si>
  <si>
    <t>VolCarried.t.CY.Tr.Avia.Freight.IntraEEAwCHUK</t>
  </si>
  <si>
    <t>VolCarried.t.CY.Tr.Avia.Freight.ExtraEEAwCHUK</t>
  </si>
  <si>
    <t>Stock.number.CY.Tr.Avia</t>
  </si>
  <si>
    <t>Stock.number.CY.Tr.Avia.Passenger</t>
  </si>
  <si>
    <t>Stock.number.CY.Tr.Avia.Passenger.Domestic</t>
  </si>
  <si>
    <t>Stock.number.CY.Tr.Avia.Passenger.IntraEEAwCHUK</t>
  </si>
  <si>
    <t>Stock.number.CY.Tr.Avia.Passenger.ExtraEEAwCHUK</t>
  </si>
  <si>
    <t>Stock.number.CY.Tr.Avia.Freight</t>
  </si>
  <si>
    <t>Stock.number.CY.Tr.Avia.Freight.Domestic</t>
  </si>
  <si>
    <t>Stock.number.CY.Tr.Avia.Freight.IntraEEAwCHUK</t>
  </si>
  <si>
    <t>Stock.number.CY.Tr.Avia.Freight.ExtraEEAwCHUK</t>
  </si>
  <si>
    <t>StockNew.number.CY.Tr.Avia</t>
  </si>
  <si>
    <t>StockNew.number.CY.Tr.Avia.Passenger</t>
  </si>
  <si>
    <t>StockNew.number.CY.Tr.Avia.Passenger.Domestic</t>
  </si>
  <si>
    <t>StockNew.number.CY.Tr.Avia.Passenger.IntraEEAwCHUK</t>
  </si>
  <si>
    <t>StockNew.number.CY.Tr.Avia.Passenger.ExtraEEAwCHUK</t>
  </si>
  <si>
    <t>StockNew.number.CY.Tr.Avia.Freight</t>
  </si>
  <si>
    <t>StockNew.number.CY.Tr.Avia.Freight.Domestic</t>
  </si>
  <si>
    <t>StockNew.number.CY.Tr.Avia.Freight.IntraEEAwCHUK</t>
  </si>
  <si>
    <t>StockNew.number.CY.Tr.Avia.Freight.ExtraEEAwCHUK</t>
  </si>
  <si>
    <t>Load.passenger_per_movement.CY.Tr.Avia.Passenger</t>
  </si>
  <si>
    <t>Load.passenger_per_movement.CY.Tr.Avia.Passenger.Domestic</t>
  </si>
  <si>
    <t>Load.passenger_per_movement.CY.Tr.Avia.Passenger.IntraEEAwCHUK</t>
  </si>
  <si>
    <t>Load.passenger_per_movement.CY.Tr.Avia.Passenger.ExtraEEAwCHUK</t>
  </si>
  <si>
    <t>Load.t_per_movement.CY.Tr.Avia.Freight</t>
  </si>
  <si>
    <t>Load.t_per_movement.CY.Tr.Avia.Freight.Domestic</t>
  </si>
  <si>
    <t>Load.t_per_movement.CY.Tr.Avia.Freight.IntraEEAwCHUK</t>
  </si>
  <si>
    <t>Load.t_per_movement.CY.Tr.Avia.Freight.ExtraEEAwCHUK</t>
  </si>
  <si>
    <t>VehicleKm_per_flight.km.CY.Tr.Avia</t>
  </si>
  <si>
    <t>VehicleKm_per_flight.km.CY.Tr.Avia.Passenger</t>
  </si>
  <si>
    <t>VehicleKm_per_flight.km.CY.Tr.Avia.Passenger.Domestic</t>
  </si>
  <si>
    <t>VehicleKm_per_flight.km.CY.Tr.Avia.Passenger.IntraEEAwCHUK</t>
  </si>
  <si>
    <t>VehicleKm_per_flight.km.CY.Tr.Avia.Passenger.ExtraEEAwCHUK</t>
  </si>
  <si>
    <t>VehicleKm_per_flight.km.CY.Tr.Avia.Freight</t>
  </si>
  <si>
    <t>VehicleKm_per_flight.km.CY.Tr.Avia.Freight.Domestic</t>
  </si>
  <si>
    <t>VehicleKm_per_flight.km.CY.Tr.Avia.Freight.IntraEEAwCHUK</t>
  </si>
  <si>
    <t>VehicleKm_per_flight.km.CY.Tr.Avia.Freight.ExtraEEAwCHUK</t>
  </si>
  <si>
    <t>Activity_per_flight.pkm.CY.Tr.Avia.Passenger</t>
  </si>
  <si>
    <t>Activity_per_flight.pkm.CY.Tr.Avia.Passenger.Domestic</t>
  </si>
  <si>
    <t>Activity_per_flight.pkm.CY.Tr.Avia.Passenger.IntraEEAwCHUK</t>
  </si>
  <si>
    <t>Activity_per_flight.pkm.CY.Tr.Avia.Passenger.ExtraEEAwCHUK</t>
  </si>
  <si>
    <t>Activity_per_flight.tkm.CY.Tr.Avia.Freight</t>
  </si>
  <si>
    <t>Activity_per_flight.tkm.CY.Tr.Avia.Freight.Domestic</t>
  </si>
  <si>
    <t>Activity_per_flight.tkm.CY.Tr.Avia.Freight.IntraEEAwCHUK</t>
  </si>
  <si>
    <t>Activity_per_flight.tkm.CY.Tr.Avia.Freight.ExtraEEAwCHUK</t>
  </si>
  <si>
    <t>Flights_per_vehicle.number.CY.Tr.Avia</t>
  </si>
  <si>
    <t>Flights_per_vehicle.number.CY.Tr.Avia.Passenger</t>
  </si>
  <si>
    <t>Flights_per_vehicle.number.CY.Tr.Avia.Passenger.Domestic</t>
  </si>
  <si>
    <t>Flights_per_vehicle.number.CY.Tr.Avia.Passenger.IntraEEAwCHUK</t>
  </si>
  <si>
    <t>Flights_per_vehicle.number.CY.Tr.Avia.Passenger.ExtraEEAwCHUK</t>
  </si>
  <si>
    <t>Flights_per_vehicle.number.CY.Tr.Avia.Freight</t>
  </si>
  <si>
    <t>Flights_per_vehicle.number.CY.Tr.Avia.Freight.Domestic</t>
  </si>
  <si>
    <t>Flights_per_vehicle.number.CY.Tr.Avia.Freight.IntraEEAwCHUK</t>
  </si>
  <si>
    <t>Flights_per_vehicle.number.CY.Tr.Avia.Freight.ExtraEEAwCHUK</t>
  </si>
  <si>
    <t>Aviation / energy consumption - CY - Cyprus</t>
  </si>
  <si>
    <t>FEC.ktoe.CY.Tr.Avia</t>
  </si>
  <si>
    <t>FEC.ktoe.CY.Tr.Avia.Domestic</t>
  </si>
  <si>
    <t>FEC.ktoe.CY.Tr.Avia.International</t>
  </si>
  <si>
    <t>FEC.ktoe.CY.Tr.Avia.Passenger</t>
  </si>
  <si>
    <t>FEC.ktoe.CY.Tr.Avia.Passenger.Domestic</t>
  </si>
  <si>
    <t>FEC.ktoe.CY.Tr.Avia.Passenger.IntraEEAwCHUK</t>
  </si>
  <si>
    <t>FEC.ktoe.CY.Tr.Avia.Passenger.ExtraEEAwCHUK</t>
  </si>
  <si>
    <t>FEC.ktoe.CY.Tr.Avia.Freight</t>
  </si>
  <si>
    <t>FEC.ktoe.CY.Tr.Avia.Freight.Domestic</t>
  </si>
  <si>
    <t>FEC.ktoe.CY.Tr.Avia.Freight.IntraEEAwCHUK</t>
  </si>
  <si>
    <t>FEC.ktoe.CY.Tr.Avia.Freight.ExtraEEAwCHUK</t>
  </si>
  <si>
    <t>Eff.kgoe_per_100km.CY.Tr.Avia</t>
  </si>
  <si>
    <t>Eff.kgoe_per_100km.CY.Tr.Avia.Passenger</t>
  </si>
  <si>
    <t>Eff.kgoe_per_100km.CY.Tr.Avia.Passenger.Domestic</t>
  </si>
  <si>
    <t>Eff.kgoe_per_100km.CY.Tr.Avia.Passenger.IntraEEAwCHUK</t>
  </si>
  <si>
    <t>Eff.kgoe_per_100km.CY.Tr.Avia.Passenger.ExtraEEAwCHUK</t>
  </si>
  <si>
    <t>Eff.kgoe_per_100km.CY.Tr.Avia.Freight</t>
  </si>
  <si>
    <t>Eff.kgoe_per_100km.CY.Tr.Avia.Freight.Domestic</t>
  </si>
  <si>
    <t>Eff.kgoe_per_100km.CY.Tr.Avia.Freight.IntraEEAwCHUK</t>
  </si>
  <si>
    <t>Eff.kgoe_per_100km.CY.Tr.Avia.Freight.ExtraEEAwCHUK</t>
  </si>
  <si>
    <t>Eff.kgoe_per_kpkm.CY.Tr.Avia.Passenger</t>
  </si>
  <si>
    <t>Eff.kgoe_per_kpkm.CY.Tr.Avia.Passenger.Domestic</t>
  </si>
  <si>
    <t>Eff.kgoe_per_kpkm.CY.Tr.Avia.Passenger.IntraEEAwCHUK</t>
  </si>
  <si>
    <t>Eff.kgoe_per_kpkm.CY.Tr.Avia.Passenger.ExtraEEAwCHUK</t>
  </si>
  <si>
    <t>Eff.kgoe_per_ktkm.CY.Tr.Avia.Freight</t>
  </si>
  <si>
    <t>Eff.kgoe_per_ktkm.CY.Tr.Avia.Freight.Domestic</t>
  </si>
  <si>
    <t>Eff.kgoe_per_ktkm.CY.Tr.Avia.Freight.IntraEEAwCHUK</t>
  </si>
  <si>
    <t>Eff.kgoe_per_ktkm.CY.Tr.Avia.Freight.ExtraEEAwCHUK</t>
  </si>
  <si>
    <t>FEC_per_flight.kgoe.CY.Tr.Avia</t>
  </si>
  <si>
    <t>FEC_per_flight.kgoe.CY.Tr.Avia.Passenger</t>
  </si>
  <si>
    <t>FEC_per_flight.kgoe.CY.Tr.Avia.Passenger.Domestic</t>
  </si>
  <si>
    <t>FEC_per_flight.kgoe.CY.Tr.Avia.Passenger.IntraEEAwCHUK</t>
  </si>
  <si>
    <t>FEC_per_flight.kgoe.CY.Tr.Avia.Passenger.ExtraEEAwCHUK</t>
  </si>
  <si>
    <t>FEC_per_flight.kgoe.CY.Tr.Avia.Freight</t>
  </si>
  <si>
    <t>FEC_per_flight.kgoe.CY.Tr.Avia.Freight.Domestic</t>
  </si>
  <si>
    <t>FEC_per_flight.kgoe.CY.Tr.Avia.Freight.IntraEEAwCHUK</t>
  </si>
  <si>
    <t>FEC_per_flight.kgoe.CY.Tr.Avia.Freight.ExtraEEAwCHUK</t>
  </si>
  <si>
    <t>Eff_theor.kgoe_per_100km.CY.Tr.Avia</t>
  </si>
  <si>
    <t>Eff_theor.kgoe_per_100km.CY.Tr.Avia.Passenger</t>
  </si>
  <si>
    <t>Eff_theor.kgoe_per_100km.CY.Tr.Avia.Passenger.Domestic</t>
  </si>
  <si>
    <t>Eff_theor.kgoe_per_100km.CY.Tr.Avia.Passenger.IntraEEAwCHUK</t>
  </si>
  <si>
    <t>Eff_theor.kgoe_per_100km.CY.Tr.Avia.Passenger.ExtraEEAwCHUK</t>
  </si>
  <si>
    <t>Eff_theor.kgoe_per_100km.CY.Tr.Avia.Freight</t>
  </si>
  <si>
    <t>Eff_theor.kgoe_per_100km.CY.Tr.Avia.Freight.Domestic</t>
  </si>
  <si>
    <t>Eff_theor.kgoe_per_100km.CY.Tr.Avia.Freight.IntraEEAwCHUK</t>
  </si>
  <si>
    <t>Eff_theor.kgoe_per_100km.CY.Tr.Avia.Freight.ExtraEEAwCHUK</t>
  </si>
  <si>
    <t>Aviation / CO2 emissions - CY - Cyprus</t>
  </si>
  <si>
    <t>EMI.ktCO2.CY.Tr.Avia</t>
  </si>
  <si>
    <t>EMI.ktCO2.CY.Tr.Avia.Domestic</t>
  </si>
  <si>
    <t>EMI.ktCO2.CY.Tr.Avia.International</t>
  </si>
  <si>
    <t>EMI.ktCO2.CY.Tr.Avia.Passenger</t>
  </si>
  <si>
    <t>EMI.ktCO2.CY.Tr.Avia.Passenger.Domestic</t>
  </si>
  <si>
    <t>EMI.ktCO2.CY.Tr.Avia.Passenger.IntraEEAwCHUK</t>
  </si>
  <si>
    <t>EMI.ktCO2.CY.Tr.Avia.Passenger.ExtraEEAwCHUK</t>
  </si>
  <si>
    <t>EMI.ktCO2.CY.Tr.Avia.Freight</t>
  </si>
  <si>
    <t>EMI.ktCO2.CY.Tr.Avia.Freight.Domestic</t>
  </si>
  <si>
    <t>EMI.ktCO2.CY.Tr.Avia.Freight.IntraEEAwCHUK</t>
  </si>
  <si>
    <t>EMI.ktCO2.CY.Tr.Avia.Freight.ExtraEEAwCHUK</t>
  </si>
  <si>
    <t>EMIint.gCO2_per_km.CY.Tr.Avia</t>
  </si>
  <si>
    <t>EMIint.gCO2_per_km.CY.Tr.Avia.Passenger</t>
  </si>
  <si>
    <t>EMIint.gCO2_per_km.CY.Tr.Avia.Passenger.Domestic</t>
  </si>
  <si>
    <t>EMIint.gCO2_per_km.CY.Tr.Avia.Passenger.IntraEEAwCHUK</t>
  </si>
  <si>
    <t>EMIint.gCO2_per_km.CY.Tr.Avia.Passenger.ExtraEEAwCHUK</t>
  </si>
  <si>
    <t>EMIint.gCO2_per_km.CY.Tr.Avia.Freight</t>
  </si>
  <si>
    <t>EMIint.gCO2_per_km.CY.Tr.Avia.Freight.Domestic</t>
  </si>
  <si>
    <t>EMIint.gCO2_per_km.CY.Tr.Avia.Freight.IntraEEAwCHUK</t>
  </si>
  <si>
    <t>EMIint.gCO2_per_km.CY.Tr.Avia.Freight.ExtraEEAwCHUK</t>
  </si>
  <si>
    <t>EMIint.gCO2_per_pkm.CY.Tr.Avia.Passenger</t>
  </si>
  <si>
    <t>EMIint.gCO2_per_pkm.CY.Tr.Avia.Passenger.Domestic</t>
  </si>
  <si>
    <t>EMIint.gCO2_per_pkm.CY.Tr.Avia.Passenger.IntraEEAwCHUK</t>
  </si>
  <si>
    <t>EMIint.gCO2_per_pkm.CY.Tr.Avia.Passenger.ExtraEEAwCHUK</t>
  </si>
  <si>
    <t>EMIint.gCO2_per_tkm.CY.Tr.Avia.Freight</t>
  </si>
  <si>
    <t>EMIint.gCO2_per_tkm.CY.Tr.Avia.Freight.Domestic</t>
  </si>
  <si>
    <t>EMIint.gCO2_per_tkm.CY.Tr.Avia.Freight.IntraEEAwCHUK</t>
  </si>
  <si>
    <t>EMIint.gCO2_per_tkm.CY.Tr.Avia.Freight.ExtraEEAwCHUK</t>
  </si>
  <si>
    <t>EMI_per_flight.kgCO2.CY.Tr.Avia</t>
  </si>
  <si>
    <t>EMI_per_flight.kgCO2.CY.Tr.Avia.Passenger</t>
  </si>
  <si>
    <t>EMI_per_flight.kgCO2.CY.Tr.Avia.Passenger.Domestic</t>
  </si>
  <si>
    <t>EMI_per_flight.kgCO2.CY.Tr.Avia.Passenger.IntraEEAwCHUK</t>
  </si>
  <si>
    <t>EMI_per_flight.kgCO2.CY.Tr.Avia.Passenger.ExtraEEAwCHUK</t>
  </si>
  <si>
    <t>EMI_per_flight.kgCO2.CY.Tr.Avia.Freight</t>
  </si>
  <si>
    <t>EMI_per_flight.kgCO2.CY.Tr.Avia.Freight.Domestic</t>
  </si>
  <si>
    <t>EMI_per_flight.kgCO2.CY.Tr.Avia.Freight.IntraEEAwCHUK</t>
  </si>
  <si>
    <t>EMI_per_flight.kgCO2.CY.Tr.Avia.Freight.ExtraEEAwCHUK</t>
  </si>
  <si>
    <t>Aviation / passenger transport specific data - CY - Cyprus</t>
  </si>
  <si>
    <t>TrCap.seats.CY.Tr.Avia.Passenger</t>
  </si>
  <si>
    <t>TrCap.seats.CY.Tr.Avia.Passenger.Domestic</t>
  </si>
  <si>
    <t>TrCap.seats.CY.Tr.Avia.Passenger.IntraEEAwCHUK</t>
  </si>
  <si>
    <t>TrCap.seats.CY.Tr.Avia.Passenger.ExtraEEAwCHUK</t>
  </si>
  <si>
    <t>TrCap_per_flight.seats.CY.Tr.Avia.Passenger</t>
  </si>
  <si>
    <t>TrCap_per_flight.seats.CY.Tr.Avia.Passenger.Domestic</t>
  </si>
  <si>
    <t>TrCap_per_flight.seats.CY.Tr.Avia.Passenger.IntraEEAwCHUK</t>
  </si>
  <si>
    <t>TrCap_per_flight.seats.CY.Tr.Avia.Passenger.ExtraEEAwCHUK</t>
  </si>
  <si>
    <t>Transport overview - CY - Cyprus</t>
  </si>
  <si>
    <t>Activity.Mpkm.CY.Tr</t>
  </si>
  <si>
    <t>Activity.Mpkm.CY.Tr.Road.Passenger</t>
  </si>
  <si>
    <t>Activity.Mpkm.CY.Tr.Road.Passenger.P2W</t>
  </si>
  <si>
    <t>Activity.Mpkm.CY.Tr.Road.Passenger.Car</t>
  </si>
  <si>
    <t>Activity.Mpkm.CY.Tr.Road.Passenger.Bus</t>
  </si>
  <si>
    <t>Activity.Mpkm.CY.Tr.Rail.Passenger</t>
  </si>
  <si>
    <t>Activity.Mpkm.CY.Tr.Rail.Passenger.MTU</t>
  </si>
  <si>
    <t>Activity.Mpkm.CY.Tr.Rail.Passenger.CPT</t>
  </si>
  <si>
    <t>Activity.Mpkm.CY.Tr.Rail.Passenger.HST</t>
  </si>
  <si>
    <t>Activity.Mtkm.CY.Tr</t>
  </si>
  <si>
    <t>Activity.Mtkm.CY.Tr.Road.Freight</t>
  </si>
  <si>
    <t>Activity.Mtkm.CY.Tr.Road.Freight.LCV</t>
  </si>
  <si>
    <t>Activity.Mtkm.CY.Tr.Road.Freight.HGV_All</t>
  </si>
  <si>
    <t>Activity.Mtkm.CY.Tr.Rail.Freight</t>
  </si>
  <si>
    <t>Activity.Mtkm.CY.Tr.DNavi.Freight</t>
  </si>
  <si>
    <t>Activity.Mtkm.CY.Tr.DNavi.Freight.DCS</t>
  </si>
  <si>
    <t>Activity.Mtkm.CY.Tr.DNavi.Freight.IWW</t>
  </si>
  <si>
    <t>Activity.Mtkm.CY.MBunk.Freight</t>
  </si>
  <si>
    <t>Activity.Mtkm.CY.MBunk.Freight.IntraEEA</t>
  </si>
  <si>
    <t>Activity.Mtkm.CY.MBunk.Freight.ExtraEEA</t>
  </si>
  <si>
    <t>FEC.ktoe.CY.Tr.Road.Passenger</t>
  </si>
  <si>
    <t>FEC.ktoe.CY.Tr.Road.Passenger.P2W</t>
  </si>
  <si>
    <t>FEC.ktoe.CY.Tr.Road.Passenger.Car</t>
  </si>
  <si>
    <t>FEC.ktoe.CY.Tr.Road.Passenger.Bus</t>
  </si>
  <si>
    <t>FEC.ktoe.CY.Tr.Rail.Passenger</t>
  </si>
  <si>
    <t>FEC.ktoe.CY.Tr.Rail.Passenger.MTU</t>
  </si>
  <si>
    <t>FEC.ktoe.CY.Tr.Rail.Passenger.CPT</t>
  </si>
  <si>
    <t>FEC.ktoe.CY.Tr.Rail.Passenger.HST</t>
  </si>
  <si>
    <t>FEC.ktoe.CY.Tr.Road.Freight</t>
  </si>
  <si>
    <t>FEC.ktoe.CY.Tr.Road.Freight.LCV</t>
  </si>
  <si>
    <t>FEC.ktoe.CY.Tr.Road.Freight.HGV_All</t>
  </si>
  <si>
    <t>FEC.ktoe.CY.Tr.Rail.Freight</t>
  </si>
  <si>
    <t>EMI.ktCO2.CY.Tr.Road.Passenger</t>
  </si>
  <si>
    <t>EMI.ktCO2.CY.Tr.Road.Passenger.P2W</t>
  </si>
  <si>
    <t>EMI.ktCO2.CY.Tr.Road.Passenger.Car</t>
  </si>
  <si>
    <t>EMI.ktCO2.CY.Tr.Road.Passenger.Bus</t>
  </si>
  <si>
    <t>EMI.ktCO2.CY.Tr.Rail.Passenger</t>
  </si>
  <si>
    <t>EMI.ktCO2.CY.Tr.Rail.Passenger.MTU</t>
  </si>
  <si>
    <t>EMI.ktCO2.CY.Tr.Rail.Passenger.CPT</t>
  </si>
  <si>
    <t>EMI.ktCO2.CY.Tr.Rail.Passenger.HST</t>
  </si>
  <si>
    <t>EMI.ktCO2.CY.Tr.Road.Freight</t>
  </si>
  <si>
    <t>EMI.ktCO2.CY.Tr.Road.Freight.LCV</t>
  </si>
  <si>
    <t>EMI.ktCO2.CY.Tr.Road.Freight.HGV_All</t>
  </si>
  <si>
    <t>EMI.ktCO2.CY.Tr.Rail.Freight</t>
  </si>
  <si>
    <t>Eff.kgoe_per_kpkm.CY.Tr</t>
  </si>
  <si>
    <t>Eff.kgoe_per_kpkm.CY.Tr.Road.Passenger</t>
  </si>
  <si>
    <t>Eff.kgoe_per_kpkm.CY.Tr.Road.Passenger.P2W</t>
  </si>
  <si>
    <t>Eff.kgoe_per_kpkm.CY.Tr.Road.Passenger.Car</t>
  </si>
  <si>
    <t>Eff.kgoe_per_kpkm.CY.Tr.Road.Passenger.Bus</t>
  </si>
  <si>
    <t>Eff.kgoe_per_kpkm.CY.Tr.Rail.Passenger</t>
  </si>
  <si>
    <t>Eff.kgoe_per_kpkm.CY.Tr.Rail.Passenger.MTU</t>
  </si>
  <si>
    <t>Eff.kgoe_per_kpkm.CY.Tr.Rail.Passenger.CPT</t>
  </si>
  <si>
    <t>Eff.kgoe_per_kpkm.CY.Tr.Rail.Passenger.HST</t>
  </si>
  <si>
    <t>Eff.kgoe_per_ktkm.CY.Tr</t>
  </si>
  <si>
    <t>Eff.kgoe_per_ktkm.CY.Tr.Road.Freight</t>
  </si>
  <si>
    <t>Eff.kgoe_per_ktkm.CY.Tr.Road.Freight.LCV</t>
  </si>
  <si>
    <t>Eff.kgoe_per_ktkm.CY.Tr.Road.Freight.HGV_All</t>
  </si>
  <si>
    <t>Eff.kgoe_per_ktkm.CY.Tr.Rail.Freight</t>
  </si>
  <si>
    <t>Eff.kgoe_per_ktkm.CY.Tr.DNavi.Freight</t>
  </si>
  <si>
    <t>Eff.kgoe_per_ktkm.CY.Tr.DNavi.Freight.DCS</t>
  </si>
  <si>
    <t>Eff.kgoe_per_ktkm.CY.Tr.DNavi.Freight.IWW</t>
  </si>
  <si>
    <t>Eff.kgoe_per_ktkm.CY.MBunk.Freight</t>
  </si>
  <si>
    <t>Eff.kgoe_per_ktkm.CY.MBunk.Freight.IntraEEA</t>
  </si>
  <si>
    <t>Eff.kgoe_per_ktkm.CY.MBunk.Freight.ExtraEEA</t>
  </si>
  <si>
    <t>EMIint.gCO2_per_pkm.CY.Tr</t>
  </si>
  <si>
    <t>EMIint.gCO2_per_pkm.CY.Tr.Road.Passenger</t>
  </si>
  <si>
    <t>EMIint.gCO2_per_pkm.CY.Tr.Road.Passenger.P2W</t>
  </si>
  <si>
    <t>EMIint.gCO2_per_pkm.CY.Tr.Road.Passenger.Car</t>
  </si>
  <si>
    <t>EMIint.gCO2_per_pkm.CY.Tr.Road.Passenger.Bus</t>
  </si>
  <si>
    <t>EMIint.gCO2_per_pkm.CY.Tr.Rail.Passenger</t>
  </si>
  <si>
    <t>EMIint.gCO2_per_pkm.CY.Tr.Rail.Passenger.MTU</t>
  </si>
  <si>
    <t>EMIint.gCO2_per_pkm.CY.Tr.Rail.Passenger.CPT</t>
  </si>
  <si>
    <t>EMIint.gCO2_per_pkm.CY.Tr.Rail.Passenger.HST</t>
  </si>
  <si>
    <t>EMIint.gCO2_per_tkm.CY.Tr</t>
  </si>
  <si>
    <t>EMIint.gCO2_per_tkm.CY.Tr.Road.Freight</t>
  </si>
  <si>
    <t>EMIint.gCO2_per_tkm.CY.Tr.Road.Freight.LCV</t>
  </si>
  <si>
    <t>EMIint.gCO2_per_tkm.CY.Tr.Road.Freight.HGV_All</t>
  </si>
  <si>
    <t>EMIint.gCO2_per_tkm.CY.Tr.Rail.Freight</t>
  </si>
  <si>
    <t>EMIint.gCO2_per_tkm.CY.Tr.DNavi.Freight</t>
  </si>
  <si>
    <t>EMIint.gCO2_per_tkm.CY.Tr.DNavi.Freight.DCS</t>
  </si>
  <si>
    <t>EMIint.gCO2_per_tkm.CY.Tr.DNavi.Freight.IWW</t>
  </si>
  <si>
    <t>EMIint.gCO2_per_tkm.CY.MBunk.Freight</t>
  </si>
  <si>
    <t>EMIint.gCO2_per_tkm.CY.MBunk.Freight.IntraEEA</t>
  </si>
  <si>
    <t>EMIint.gCO2_per_tkm.CY.MBunk.Freight.ExtraEEA</t>
  </si>
  <si>
    <t>Road transport - CY - Cyprus</t>
  </si>
  <si>
    <t>Activity.Mpkm.CY.Tr.Road.Passenger.Car.ICE.Gasoline</t>
  </si>
  <si>
    <t>Activity.Mpkm.CY.Tr.Road.Passenger.Car.ICE.Diesel</t>
  </si>
  <si>
    <t>Activity.Mpkm.CY.Tr.Road.Passenger.Car.ICE.LPG</t>
  </si>
  <si>
    <t>Activity.Mpkm.CY.Tr.Road.Passenger.Car.ICE.NGas</t>
  </si>
  <si>
    <t>Activity.Mpkm.CY.Tr.Road.Passenger.Car.PHEV.Gasoline</t>
  </si>
  <si>
    <t>Activity.Mpkm.CY.Tr.Road.Passenger.Car.BEV</t>
  </si>
  <si>
    <t>Activity.Mpkm.CY.Tr.Road.Passenger.Bus.ICE.Gasoline</t>
  </si>
  <si>
    <t>Activity.Mpkm.CY.Tr.Road.Passenger.Bus.ICE.Diesel</t>
  </si>
  <si>
    <t>Activity.Mpkm.CY.Tr.Road.Passenger.Bus.ICE.LPG</t>
  </si>
  <si>
    <t>Activity.Mpkm.CY.Tr.Road.Passenger.Bus.ICE.NGas</t>
  </si>
  <si>
    <t>Activity.Mpkm.CY.Tr.Road.Passenger.Bus.BEV</t>
  </si>
  <si>
    <t>Activity.Mtkm.CY.Tr.Road.Freight.LCV.ICE.Gasoline</t>
  </si>
  <si>
    <t>Activity.Mtkm.CY.Tr.Road.Freight.LCV.ICE.Diesel</t>
  </si>
  <si>
    <t>Activity.Mtkm.CY.Tr.Road.Freight.LCV.ICE.LPG</t>
  </si>
  <si>
    <t>Activity.Mtkm.CY.Tr.Road.Freight.LCV.ICE.NGas</t>
  </si>
  <si>
    <t>Activity.Mtkm.CY.Tr.Road.Freight.LCV.BEV</t>
  </si>
  <si>
    <t>Activity.Mtkm.CY.Tr.Road.Freight.HGV_Domestic</t>
  </si>
  <si>
    <t>Activity.Mtkm.CY.Tr.Road.Freight.HGV_International</t>
  </si>
  <si>
    <t>VehicleKm.Mkm.CY.Tr.Road</t>
  </si>
  <si>
    <t>VehicleKm.Mkm.CY.Tr.Road.Passenger</t>
  </si>
  <si>
    <t>VehicleKm.Mkm.CY.Tr.Road.Passenger.P2W</t>
  </si>
  <si>
    <t>VehicleKm.Mkm.CY.Tr.Road.Passenger.Car</t>
  </si>
  <si>
    <t>VehicleKm.Mkm.CY.Tr.Road.Passenger.Car.ICE.Gasoline</t>
  </si>
  <si>
    <t>VehicleKm.Mkm.CY.Tr.Road.Passenger.Car.ICE.Diesel</t>
  </si>
  <si>
    <t>VehicleKm.Mkm.CY.Tr.Road.Passenger.Car.ICE.LPG</t>
  </si>
  <si>
    <t>VehicleKm.Mkm.CY.Tr.Road.Passenger.Car.ICE.NGas</t>
  </si>
  <si>
    <t>VehicleKm.Mkm.CY.Tr.Road.Passenger.Car.PHEV.Gasoline</t>
  </si>
  <si>
    <t>VehicleKm.Mkm.CY.Tr.Road.Passenger.Car.BEV</t>
  </si>
  <si>
    <t>VehicleKm.Mkm.CY.Tr.Road.Passenger.Bus</t>
  </si>
  <si>
    <t>VehicleKm.Mkm.CY.Tr.Road.Passenger.Bus.ICE.Gasoline</t>
  </si>
  <si>
    <t>VehicleKm.Mkm.CY.Tr.Road.Passenger.Bus.ICE.Diesel</t>
  </si>
  <si>
    <t>VehicleKm.Mkm.CY.Tr.Road.Passenger.Bus.ICE.LPG</t>
  </si>
  <si>
    <t>VehicleKm.Mkm.CY.Tr.Road.Passenger.Bus.ICE.NGas</t>
  </si>
  <si>
    <t>VehicleKm.Mkm.CY.Tr.Road.Passenger.Bus.BEV</t>
  </si>
  <si>
    <t>VehicleKm.Mkm.CY.Tr.Road.Freight</t>
  </si>
  <si>
    <t>VehicleKm.Mkm.CY.Tr.Road.Freight.LCV</t>
  </si>
  <si>
    <t>VehicleKm.Mkm.CY.Tr.Road.Freight.LCV.ICE.Gasoline</t>
  </si>
  <si>
    <t>VehicleKm.Mkm.CY.Tr.Road.Freight.LCV.ICE.Diesel</t>
  </si>
  <si>
    <t>VehicleKm.Mkm.CY.Tr.Road.Freight.LCV.ICE.LPG</t>
  </si>
  <si>
    <t>VehicleKm.Mkm.CY.Tr.Road.Freight.LCV.ICE.NGas</t>
  </si>
  <si>
    <t>VehicleKm.Mkm.CY.Tr.Road.Freight.LCV.BEV</t>
  </si>
  <si>
    <t>VehicleKm.Mkm.CY.Tr.Road.Freight.HGV_All</t>
  </si>
  <si>
    <t>VehicleKm.Mkm.CY.Tr.Road.Freight.HGV_Domestic</t>
  </si>
  <si>
    <t>VehicleKm.Mkm.CY.Tr.Road.Freight.HGV_International</t>
  </si>
  <si>
    <t>Stock.number.CY.Tr.Road</t>
  </si>
  <si>
    <t>Stock.number.CY.Tr.Road.Passenger</t>
  </si>
  <si>
    <t>Stock.number.CY.Tr.Road.Passenger.P2W</t>
  </si>
  <si>
    <t>Stock.number.CY.Tr.Road.Passenger.Car</t>
  </si>
  <si>
    <t>Stock.number.CY.Tr.Road.Passenger.Car.ICE.Gasoline</t>
  </si>
  <si>
    <t>Stock.number.CY.Tr.Road.Passenger.Car.ICE.Diesel</t>
  </si>
  <si>
    <t>Stock.number.CY.Tr.Road.Passenger.Car.ICE.LPG</t>
  </si>
  <si>
    <t>Stock.number.CY.Tr.Road.Passenger.Car.ICE.NGas</t>
  </si>
  <si>
    <t>Stock.number.CY.Tr.Road.Passenger.Car.PHEV.Gasoline</t>
  </si>
  <si>
    <t>Stock.number.CY.Tr.Road.Passenger.Car.BEV</t>
  </si>
  <si>
    <t>Stock.number.CY.Tr.Road.Passenger.Bus</t>
  </si>
  <si>
    <t>Stock.number.CY.Tr.Road.Passenger.Bus.ICE.Gasoline</t>
  </si>
  <si>
    <t>Stock.number.CY.Tr.Road.Passenger.Bus.ICE.Diesel</t>
  </si>
  <si>
    <t>Stock.number.CY.Tr.Road.Passenger.Bus.ICE.LPG</t>
  </si>
  <si>
    <t>Stock.number.CY.Tr.Road.Passenger.Bus.ICE.NGas</t>
  </si>
  <si>
    <t>Stock.number.CY.Tr.Road.Passenger.Bus.BEV</t>
  </si>
  <si>
    <t>Stock.number.CY.Tr.Road.Freight</t>
  </si>
  <si>
    <t>Stock.number.CY.Tr.Road.Freight.LCV</t>
  </si>
  <si>
    <t>Stock.number.CY.Tr.Road.Freight.LCV.ICE.Gasoline</t>
  </si>
  <si>
    <t>Stock.number.CY.Tr.Road.Freight.LCV.ICE.Diesel</t>
  </si>
  <si>
    <t>Stock.number.CY.Tr.Road.Freight.LCV.ICE.LPG</t>
  </si>
  <si>
    <t>Stock.number.CY.Tr.Road.Freight.LCV.ICE.NGas</t>
  </si>
  <si>
    <t>Stock.number.CY.Tr.Road.Freight.LCV.BEV</t>
  </si>
  <si>
    <t>Stock.number.CY.Tr.Road.Freight.HGV_All</t>
  </si>
  <si>
    <t>Stock.number.CY.Tr.Road.Freight.HGV_Domestic</t>
  </si>
  <si>
    <t>Stock.number.CY.Tr.Road.Freight.HGV_International</t>
  </si>
  <si>
    <t>StockNew.number.CY.Tr.Road</t>
  </si>
  <si>
    <t>StockNew.number.CY.Tr.Road.Passenger</t>
  </si>
  <si>
    <t>StockNew.number.CY.Tr.Road.Passenger.P2W</t>
  </si>
  <si>
    <t>StockNew.number.CY.Tr.Road.Passenger.Car</t>
  </si>
  <si>
    <t>StockNew.number.CY.Tr.Road.Passenger.Car.ICE.Gasoline</t>
  </si>
  <si>
    <t>StockNew.number.CY.Tr.Road.Passenger.Car.ICE.Diesel</t>
  </si>
  <si>
    <t>StockNew.number.CY.Tr.Road.Passenger.Car.ICE.LPG</t>
  </si>
  <si>
    <t>StockNew.number.CY.Tr.Road.Passenger.Car.ICE.NGas</t>
  </si>
  <si>
    <t>StockNew.number.CY.Tr.Road.Passenger.Car.PHEV.Gasoline</t>
  </si>
  <si>
    <t>StockNew.number.CY.Tr.Road.Passenger.Car.BEV</t>
  </si>
  <si>
    <t>StockNew.number.CY.Tr.Road.Passenger.Bus</t>
  </si>
  <si>
    <t>StockNew.number.CY.Tr.Road.Passenger.Bus.ICE.Gasoline</t>
  </si>
  <si>
    <t>StockNew.number.CY.Tr.Road.Passenger.Bus.ICE.Diesel</t>
  </si>
  <si>
    <t>StockNew.number.CY.Tr.Road.Passenger.Bus.ICE.LPG</t>
  </si>
  <si>
    <t>StockNew.number.CY.Tr.Road.Passenger.Bus.ICE.NGas</t>
  </si>
  <si>
    <t>StockNew.number.CY.Tr.Road.Passenger.Bus.BEV</t>
  </si>
  <si>
    <t>StockNew.number.CY.Tr.Road.Freight</t>
  </si>
  <si>
    <t>StockNew.number.CY.Tr.Road.Freight.LCV</t>
  </si>
  <si>
    <t>StockNew.number.CY.Tr.Road.Freight.LCV.ICE.Gasoline</t>
  </si>
  <si>
    <t>StockNew.number.CY.Tr.Road.Freight.LCV.ICE.Diesel</t>
  </si>
  <si>
    <t>StockNew.number.CY.Tr.Road.Freight.LCV.ICE.LPG</t>
  </si>
  <si>
    <t>StockNew.number.CY.Tr.Road.Freight.LCV.ICE.NGas</t>
  </si>
  <si>
    <t>StockNew.number.CY.Tr.Road.Freight.LCV.BEV</t>
  </si>
  <si>
    <t>StockNew.number.CY.Tr.Road.Freight.HGV_All</t>
  </si>
  <si>
    <t>StockNew.number.CY.Tr.Road.Freight.HGV_Domestic</t>
  </si>
  <si>
    <t>StockNew.number.CY.Tr.Road.Freight.HGV_International</t>
  </si>
  <si>
    <t>Load.passenger_per_movement.CY.Tr.Road.Passenger</t>
  </si>
  <si>
    <t>Load.passenger_per_movement.CY.Tr.Road.Passenger.P2W</t>
  </si>
  <si>
    <t>Load.passenger_per_movement.CY.Tr.Road.Passenger.Car</t>
  </si>
  <si>
    <t>Load.passenger_per_movement.CY.Tr.Road.Passenger.Car.ICE.Gasoline</t>
  </si>
  <si>
    <t>Load.passenger_per_movement.CY.Tr.Road.Passenger.Car.ICE.Diesel</t>
  </si>
  <si>
    <t>Load.passenger_per_movement.CY.Tr.Road.Passenger.Car.ICE.LPG</t>
  </si>
  <si>
    <t>Load.passenger_per_movement.CY.Tr.Road.Passenger.Car.ICE.NGas</t>
  </si>
  <si>
    <t>Load.passenger_per_movement.CY.Tr.Road.Passenger.Car.PHEV.Gasoline</t>
  </si>
  <si>
    <t>Load.passenger_per_movement.CY.Tr.Road.Passenger.Car.BEV</t>
  </si>
  <si>
    <t>Load.passenger_per_movement.CY.Tr.Road.Passenger.Bus</t>
  </si>
  <si>
    <t>Load.passenger_per_movement.CY.Tr.Road.Passenger.Bus.ICE.Gasoline</t>
  </si>
  <si>
    <t>Load.passenger_per_movement.CY.Tr.Road.Passenger.Bus.ICE.Diesel</t>
  </si>
  <si>
    <t>Load.passenger_per_movement.CY.Tr.Road.Passenger.Bus.ICE.LPG</t>
  </si>
  <si>
    <t>Load.passenger_per_movement.CY.Tr.Road.Passenger.Bus.ICE.NGas</t>
  </si>
  <si>
    <t>Load.passenger_per_movement.CY.Tr.Road.Passenger.Bus.BEV</t>
  </si>
  <si>
    <t>Load.t_per_movement.CY.Tr.Road.Freight</t>
  </si>
  <si>
    <t>Load.t_per_movement.CY.Tr.Road.Freight.LCV</t>
  </si>
  <si>
    <t>Load.t_per_movement.CY.Tr.Road.Freight.LCV.ICE.Gasoline</t>
  </si>
  <si>
    <t>Load.t_per_movement.CY.Tr.Road.Freight.LCV.ICE.Diesel</t>
  </si>
  <si>
    <t>Load.t_per_movement.CY.Tr.Road.Freight.LCV.ICE.LPG</t>
  </si>
  <si>
    <t>Load.t_per_movement.CY.Tr.Road.Freight.LCV.ICE.NGas</t>
  </si>
  <si>
    <t>Load.t_per_movement.CY.Tr.Road.Freight.LCV.BEV</t>
  </si>
  <si>
    <t>Load.t_per_movement.CY.Tr.Road.Freight.HGV_All</t>
  </si>
  <si>
    <t>Load.t_per_movement.CY.Tr.Road.Freight.HGV_Domestic</t>
  </si>
  <si>
    <t>Load.t_per_movement.CY.Tr.Road.Freight.HGV_International</t>
  </si>
  <si>
    <t>VehicleKm_per_vehicle.km.CY.Tr.Road</t>
  </si>
  <si>
    <t>VehicleKm_per_vehicle.km.CY.Tr.Road.Passenger</t>
  </si>
  <si>
    <t>VehicleKm_per_vehicle.km.CY.Tr.Road.Passenger.P2W</t>
  </si>
  <si>
    <t>VehicleKm_per_vehicle.km.CY.Tr.Road.Passenger.Car</t>
  </si>
  <si>
    <t>VehicleKm_per_vehicle.km.CY.Tr.Road.Passenger.Car.ICE.Gasoline</t>
  </si>
  <si>
    <t>VehicleKm_per_vehicle.km.CY.Tr.Road.Passenger.Car.ICE.Diesel</t>
  </si>
  <si>
    <t>VehicleKm_per_vehicle.km.CY.Tr.Road.Passenger.Car.ICE.LPG</t>
  </si>
  <si>
    <t>VehicleKm_per_vehicle.km.CY.Tr.Road.Passenger.Car.ICE.NGas</t>
  </si>
  <si>
    <t>VehicleKm_per_vehicle.km.CY.Tr.Road.Passenger.Car.PHEV.Gasoline</t>
  </si>
  <si>
    <t>VehicleKm_per_vehicle.km.CY.Tr.Road.Passenger.Car.BEV</t>
  </si>
  <si>
    <t>VehicleKm_per_vehicle.km.CY.Tr.Road.Passenger.Bus</t>
  </si>
  <si>
    <t>VehicleKm_per_vehicle.km.CY.Tr.Road.Passenger.Bus.ICE.Gasoline</t>
  </si>
  <si>
    <t>VehicleKm_per_vehicle.km.CY.Tr.Road.Passenger.Bus.ICE.Diesel</t>
  </si>
  <si>
    <t>VehicleKm_per_vehicle.km.CY.Tr.Road.Passenger.Bus.ICE.LPG</t>
  </si>
  <si>
    <t>VehicleKm_per_vehicle.km.CY.Tr.Road.Passenger.Bus.ICE.NGas</t>
  </si>
  <si>
    <t>VehicleKm_per_vehicle.km.CY.Tr.Road.Passenger.Bus.BEV</t>
  </si>
  <si>
    <t>VehicleKm_per_vehicle.km.CY.Tr.Road.Freight</t>
  </si>
  <si>
    <t>VehicleKm_per_vehicle.km.CY.Tr.Road.Freight.LCV</t>
  </si>
  <si>
    <t>VehicleKm_per_vehicle.km.CY.Tr.Road.Freight.LCV.ICE.Gasoline</t>
  </si>
  <si>
    <t>VehicleKm_per_vehicle.km.CY.Tr.Road.Freight.LCV.ICE.Diesel</t>
  </si>
  <si>
    <t>VehicleKm_per_vehicle.km.CY.Tr.Road.Freight.LCV.ICE.LPG</t>
  </si>
  <si>
    <t>VehicleKm_per_vehicle.km.CY.Tr.Road.Freight.LCV.ICE.NGas</t>
  </si>
  <si>
    <t>VehicleKm_per_vehicle.km.CY.Tr.Road.Freight.LCV.BEV</t>
  </si>
  <si>
    <t>VehicleKm_per_vehicle.km.CY.Tr.Road.Freight.HGV_All</t>
  </si>
  <si>
    <t>VehicleKm_per_vehicle.km.CY.Tr.Road.Freight.HGV_Domestic</t>
  </si>
  <si>
    <t>VehicleKm_per_vehicle.km.CY.Tr.Road.Freight.HGV_International</t>
  </si>
  <si>
    <t>Activity_per_vehicle.pkm.CY.Tr.Road.Passenger</t>
  </si>
  <si>
    <t>Activity_per_vehicle.pkm.CY.Tr.Road.Passenger.P2W</t>
  </si>
  <si>
    <t>Activity_per_vehicle.pkm.CY.Tr.Road.Passenger.Car</t>
  </si>
  <si>
    <t>Activity_per_vehicle.pkm.CY.Tr.Road.Passenger.Car.ICE.Gasoline</t>
  </si>
  <si>
    <t>Activity_per_vehicle.pkm.CY.Tr.Road.Passenger.Car.ICE.Diesel</t>
  </si>
  <si>
    <t>Activity_per_vehicle.pkm.CY.Tr.Road.Passenger.Car.ICE.LPG</t>
  </si>
  <si>
    <t>Activity_per_vehicle.pkm.CY.Tr.Road.Passenger.Car.ICE.NGas</t>
  </si>
  <si>
    <t>Activity_per_vehicle.pkm.CY.Tr.Road.Passenger.Car.PHEV.Gasoline</t>
  </si>
  <si>
    <t>Activity_per_vehicle.pkm.CY.Tr.Road.Passenger.Car.BEV</t>
  </si>
  <si>
    <t>Activity_per_vehicle.pkm.CY.Tr.Road.Passenger.Bus</t>
  </si>
  <si>
    <t>Activity_per_vehicle.pkm.CY.Tr.Road.Passenger.Bus.ICE.Gasoline</t>
  </si>
  <si>
    <t>Activity_per_vehicle.pkm.CY.Tr.Road.Passenger.Bus.ICE.Diesel</t>
  </si>
  <si>
    <t>Activity_per_vehicle.pkm.CY.Tr.Road.Passenger.Bus.ICE.LPG</t>
  </si>
  <si>
    <t>Activity_per_vehicle.pkm.CY.Tr.Road.Passenger.Bus.ICE.NGas</t>
  </si>
  <si>
    <t>Activity_per_vehicle.pkm.CY.Tr.Road.Passenger.Bus.BEV</t>
  </si>
  <si>
    <t>Activity_per_vehicle.tkm.CY.Tr.Road.Freight</t>
  </si>
  <si>
    <t>Activity_per_vehicle.tkm.CY.Tr.Road.Freight.LCV</t>
  </si>
  <si>
    <t>Activity_per_vehicle.tkm.CY.Tr.Road.Freight.LCV.ICE.Gasoline</t>
  </si>
  <si>
    <t>Activity_per_vehicle.tkm.CY.Tr.Road.Freight.LCV.ICE.Diesel</t>
  </si>
  <si>
    <t>Activity_per_vehicle.tkm.CY.Tr.Road.Freight.LCV.ICE.LPG</t>
  </si>
  <si>
    <t>Activity_per_vehicle.tkm.CY.Tr.Road.Freight.LCV.ICE.NGas</t>
  </si>
  <si>
    <t>Activity_per_vehicle.tkm.CY.Tr.Road.Freight.LCV.BEV</t>
  </si>
  <si>
    <t>Activity_per_vehicle.tkm.CY.Tr.Road.Freight.HGV_All</t>
  </si>
  <si>
    <t>Activity_per_vehicle.tkm.CY.Tr.Road.Freight.HGV_Domestic</t>
  </si>
  <si>
    <t>Activity_per_vehicle.tkm.CY.Tr.Road.Freight.HGV_International</t>
  </si>
  <si>
    <t>Road transport / energy consumption - CY - Cyprus</t>
  </si>
  <si>
    <t>FEC.ktoe.CY.ES.Tr.Road</t>
  </si>
  <si>
    <t>FEC.ktoe.CY.ES.Tr.Road.LPG</t>
  </si>
  <si>
    <t>FEC.ktoe.CY.ES.Tr.Road.Gasoline</t>
  </si>
  <si>
    <t>FEC.ktoe.CY.ES.Tr.Road.Diesel</t>
  </si>
  <si>
    <t>FEC.ktoe.CY.ES.Tr.Road.NG</t>
  </si>
  <si>
    <t>FEC.ktoe.CY.ES.Tr.Road.Biogas</t>
  </si>
  <si>
    <t>FEC.ktoe.CY.ES.Tr.Road.Biogasoline</t>
  </si>
  <si>
    <t>FEC.ktoe.CY.ES.Tr.Road.Biodiesel</t>
  </si>
  <si>
    <t>FEC.ktoe.CY.ES.Tr.Road.OthLiqBio</t>
  </si>
  <si>
    <t>FEC.ktoe.CY.ES.Tr.Road.Elec</t>
  </si>
  <si>
    <t>FEC.ktoe.CY.Tr.Road</t>
  </si>
  <si>
    <t>FEC.ktoe.CY.Tr.Road.Passenger.P2W.Total.Total.Biogasoline</t>
  </si>
  <si>
    <t>FEC.ktoe.CY.Tr.Road.Passenger.Car.ICE.Gasoline</t>
  </si>
  <si>
    <t>FEC.ktoe.CY.Tr.Road.Passenger.Car.ICE.Gasoline.Biogasoline</t>
  </si>
  <si>
    <t>FEC.ktoe.CY.Tr.Road.Passenger.Car.ICE.Diesel</t>
  </si>
  <si>
    <t>FEC.ktoe.CY.Tr.Road.Passenger.Car.ICE.Diesel.BioDiesel_OthLiqBio</t>
  </si>
  <si>
    <t>FEC.ktoe.CY.Tr.Road.Passenger.Car.ICE.LPG</t>
  </si>
  <si>
    <t>FEC.ktoe.CY.Tr.Road.Passenger.Car.ICE.NGas</t>
  </si>
  <si>
    <t>FEC.ktoe.CY.Tr.Road.Passenger.Car.ICE.NGas.Biogas</t>
  </si>
  <si>
    <t>FEC.ktoe.CY.Tr.Road.Passenger.Car.PHEV.Gasoline</t>
  </si>
  <si>
    <t>FEC.ktoe.CY.Tr.Road.Passenger.Car.PHEV.Gasoline.Biogasoline</t>
  </si>
  <si>
    <t>FEC.ktoe.CY.Tr.Road.Passenger.Car.PHEV.Gasoline.Elec</t>
  </si>
  <si>
    <t>FEC.ktoe.CY.Tr.Road.Passenger.Car.BEV</t>
  </si>
  <si>
    <t>FEC.ktoe.CY.Tr.Road.Passenger.Bus.ICE.Gasoline</t>
  </si>
  <si>
    <t>FEC.ktoe.CY.Tr.Road.Passenger.Bus.ICE.Gasoline.Biogasoline</t>
  </si>
  <si>
    <t>FEC.ktoe.CY.Tr.Road.Passenger.Bus.ICE.Diesel</t>
  </si>
  <si>
    <t>FEC.ktoe.CY.Tr.Road.Passenger.Bus.ICE.Diesel.BioDiesel_OthLiqBio</t>
  </si>
  <si>
    <t>FEC.ktoe.CY.Tr.Road.Passenger.Bus.ICE.LPG</t>
  </si>
  <si>
    <t>FEC.ktoe.CY.Tr.Road.Passenger.Bus.ICE.NGas</t>
  </si>
  <si>
    <t>FEC.ktoe.CY.Tr.Road.Passenger.Bus.ICE.NGas.Biogas</t>
  </si>
  <si>
    <t>FEC.ktoe.CY.Tr.Road.Passenger.Bus.BEV</t>
  </si>
  <si>
    <t>FEC.ktoe.CY.Tr.Road.Freight.LCV.ICE.Gasoline</t>
  </si>
  <si>
    <t>FEC.ktoe.CY.Tr.Road.Freight.LCV.ICE.Gasoline.Biogasoline</t>
  </si>
  <si>
    <t>FEC.ktoe.CY.Tr.Road.Freight.LCV.ICE.Diesel</t>
  </si>
  <si>
    <t>FEC.ktoe.CY.Tr.Road.Freight.LCV.ICE.Diesel.BioDiesel_OthLiqBio</t>
  </si>
  <si>
    <t>FEC.ktoe.CY.Tr.Road.Freight.LCV.ICE.LPG</t>
  </si>
  <si>
    <t>FEC.ktoe.CY.Tr.Road.Freight.LCV.ICE.NGas</t>
  </si>
  <si>
    <t>FEC.ktoe.CY.Tr.Road.Freight.LCV.ICE.NGas.Biogas</t>
  </si>
  <si>
    <t>FEC.ktoe.CY.Tr.Road.Freight.LCV.BEV</t>
  </si>
  <si>
    <t>FEC.ktoe.CY.Tr.Road.Freight.HGV_Domestic</t>
  </si>
  <si>
    <t>FEC.ktoe.CY.Tr.Road.Freight.HGV_Domestic.Total.Total.BioDiesel_OthLiqBio</t>
  </si>
  <si>
    <t>FEC.ktoe.CY.Tr.Road.Freight.HGV_International</t>
  </si>
  <si>
    <t>FEC.ktoe.CY.Tr.Road.Freight.HGV_International.Total.Total.BioDiesel_OthLiqBio</t>
  </si>
  <si>
    <t>Eff.kgoe_per_100km.CY.Tr.Road</t>
  </si>
  <si>
    <t>Eff.kgoe_per_100km.CY.Tr.Road.Passenger</t>
  </si>
  <si>
    <t>Eff.kgoe_per_100km.CY.Tr.Road.Passenger.P2W</t>
  </si>
  <si>
    <t>Eff.kgoe_per_100km.CY.Tr.Road.Passenger.Car</t>
  </si>
  <si>
    <t>Eff.kgoe_per_100km.CY.Tr.Road.Passenger.Car.ICE.Gasoline</t>
  </si>
  <si>
    <t>Eff.kgoe_per_100km.CY.Tr.Road.Passenger.Car.ICE.Diesel</t>
  </si>
  <si>
    <t>Eff.kgoe_per_100km.CY.Tr.Road.Passenger.Car.ICE.LPG</t>
  </si>
  <si>
    <t>Eff.kgoe_per_100km.CY.Tr.Road.Passenger.Car.ICE.NGas</t>
  </si>
  <si>
    <t>Eff.kgoe_per_100km.CY.Tr.Road.Passenger.Car.PHEV.Gasoline</t>
  </si>
  <si>
    <t>Eff.kgoe_per_100km.CY.Tr.Road.Passenger.Car.BEV</t>
  </si>
  <si>
    <t>Eff.kgoe_per_100km.CY.Tr.Road.Passenger.Bus</t>
  </si>
  <si>
    <t>Eff.kgoe_per_100km.CY.Tr.Road.Passenger.Bus.ICE.Gasoline</t>
  </si>
  <si>
    <t>Eff.kgoe_per_100km.CY.Tr.Road.Passenger.Bus.ICE.Diesel</t>
  </si>
  <si>
    <t>Eff.kgoe_per_100km.CY.Tr.Road.Passenger.Bus.ICE.LPG</t>
  </si>
  <si>
    <t>Eff.kgoe_per_100km.CY.Tr.Road.Passenger.Bus.ICE.NGas</t>
  </si>
  <si>
    <t>Eff.kgoe_per_100km.CY.Tr.Road.Passenger.Bus.BEV</t>
  </si>
  <si>
    <t>Eff.kgoe_per_100km.CY.Tr.Road.Freight</t>
  </si>
  <si>
    <t>Eff.kgoe_per_100km.CY.Tr.Road.Freight.LCV</t>
  </si>
  <si>
    <t>Eff.kgoe_per_100km.CY.Tr.Road.Freight.LCV.ICE.Gasoline</t>
  </si>
  <si>
    <t>Eff.kgoe_per_100km.CY.Tr.Road.Freight.LCV.ICE.Diesel</t>
  </si>
  <si>
    <t>Eff.kgoe_per_100km.CY.Tr.Road.Freight.LCV.ICE.LPG</t>
  </si>
  <si>
    <t>Eff.kgoe_per_100km.CY.Tr.Road.Freight.LCV.ICE.NGas</t>
  </si>
  <si>
    <t>Eff.kgoe_per_100km.CY.Tr.Road.Freight.LCV.BEV</t>
  </si>
  <si>
    <t>Eff.kgoe_per_100km.CY.Tr.Road.Freight.HGV_All</t>
  </si>
  <si>
    <t>Eff.kgoe_per_100km.CY.Tr.Road.Freight.HGV_Domestic</t>
  </si>
  <si>
    <t>Eff.kgoe_per_100km.CY.Tr.Road.Freight.HGV_International</t>
  </si>
  <si>
    <t>Eff.kgoe_per_kpkm.CY.Tr.Road.Passenger.Car.ICE.Gasoline</t>
  </si>
  <si>
    <t>Eff.kgoe_per_kpkm.CY.Tr.Road.Passenger.Car.ICE.Diesel</t>
  </si>
  <si>
    <t>Eff.kgoe_per_kpkm.CY.Tr.Road.Passenger.Car.ICE.LPG</t>
  </si>
  <si>
    <t>Eff.kgoe_per_kpkm.CY.Tr.Road.Passenger.Car.ICE.NGas</t>
  </si>
  <si>
    <t>Eff.kgoe_per_kpkm.CY.Tr.Road.Passenger.Car.PHEV.Gasoline</t>
  </si>
  <si>
    <t>Eff.kgoe_per_kpkm.CY.Tr.Road.Passenger.Car.BEV</t>
  </si>
  <si>
    <t>Eff.kgoe_per_kpkm.CY.Tr.Road.Passenger.Bus.ICE.Gasoline</t>
  </si>
  <si>
    <t>Eff.kgoe_per_kpkm.CY.Tr.Road.Passenger.Bus.ICE.Diesel</t>
  </si>
  <si>
    <t>Eff.kgoe_per_kpkm.CY.Tr.Road.Passenger.Bus.ICE.LPG</t>
  </si>
  <si>
    <t>Eff.kgoe_per_kpkm.CY.Tr.Road.Passenger.Bus.ICE.NGas</t>
  </si>
  <si>
    <t>Eff.kgoe_per_kpkm.CY.Tr.Road.Passenger.Bus.BEV</t>
  </si>
  <si>
    <t>Eff.kgoe_per_ktkm.CY.Tr.Road.Freight.LCV.ICE.Gasoline</t>
  </si>
  <si>
    <t>Eff.kgoe_per_ktkm.CY.Tr.Road.Freight.LCV.ICE.Diesel</t>
  </si>
  <si>
    <t>Eff.kgoe_per_ktkm.CY.Tr.Road.Freight.LCV.ICE.LPG</t>
  </si>
  <si>
    <t>Eff.kgoe_per_ktkm.CY.Tr.Road.Freight.LCV.ICE.NGas</t>
  </si>
  <si>
    <t>Eff.kgoe_per_ktkm.CY.Tr.Road.Freight.LCV.BEV</t>
  </si>
  <si>
    <t>Eff.kgoe_per_ktkm.CY.Tr.Road.Freight.HGV_Domestic</t>
  </si>
  <si>
    <t>Eff.kgoe_per_ktkm.CY.Tr.Road.Freight.HGV_International</t>
  </si>
  <si>
    <t>FEC_per_vehicle.kgoe.CY.Tr.Road.Passenger.P2W</t>
  </si>
  <si>
    <t>FEC_per_vehicle.kgoe.CY.Tr.Road.Passenger.Car</t>
  </si>
  <si>
    <t>FEC_per_vehicle.kgoe.CY.Tr.Road.Passenger.Car.ICE.Gasoline</t>
  </si>
  <si>
    <t>FEC_per_vehicle.kgoe.CY.Tr.Road.Passenger.Car.ICE.Diesel</t>
  </si>
  <si>
    <t>FEC_per_vehicle.kgoe.CY.Tr.Road.Passenger.Car.ICE.LPG</t>
  </si>
  <si>
    <t>FEC_per_vehicle.kgoe.CY.Tr.Road.Passenger.Car.ICE.NGas</t>
  </si>
  <si>
    <t>FEC_per_vehicle.kgoe.CY.Tr.Road.Passenger.Car.PHEV.Gasoline</t>
  </si>
  <si>
    <t>FEC_per_vehicle.kgoe.CY.Tr.Road.Passenger.Car.BEV</t>
  </si>
  <si>
    <t>FEC_per_vehicle.kgoe.CY.Tr.Road.Passenger.Bus</t>
  </si>
  <si>
    <t>FEC_per_vehicle.kgoe.CY.Tr.Road.Passenger.Bus.ICE.Gasoline</t>
  </si>
  <si>
    <t>FEC_per_vehicle.kgoe.CY.Tr.Road.Passenger.Bus.ICE.Diesel</t>
  </si>
  <si>
    <t>FEC_per_vehicle.kgoe.CY.Tr.Road.Passenger.Bus.ICE.LPG</t>
  </si>
  <si>
    <t>FEC_per_vehicle.kgoe.CY.Tr.Road.Passenger.Bus.ICE.NGas</t>
  </si>
  <si>
    <t>FEC_per_vehicle.kgoe.CY.Tr.Road.Passenger.Bus.BEV</t>
  </si>
  <si>
    <t>FEC_per_vehicle.kgoe.CY.Tr.Road.Freight.LCV</t>
  </si>
  <si>
    <t>FEC_per_vehicle.kgoe.CY.Tr.Road.Freight.LCV.ICE.Gasoline</t>
  </si>
  <si>
    <t>FEC_per_vehicle.kgoe.CY.Tr.Road.Freight.LCV.ICE.Diesel</t>
  </si>
  <si>
    <t>FEC_per_vehicle.kgoe.CY.Tr.Road.Freight.LCV.ICE.LPG</t>
  </si>
  <si>
    <t>FEC_per_vehicle.kgoe.CY.Tr.Road.Freight.LCV.ICE.NGas</t>
  </si>
  <si>
    <t>FEC_per_vehicle.kgoe.CY.Tr.Road.Freight.LCV.BEV</t>
  </si>
  <si>
    <t>FEC_per_vehicle.kgoe.CY.Tr.Road.Freight.HGV_All</t>
  </si>
  <si>
    <t>FEC_per_vehicle.kgoe.CY.Tr.Road.Freight.HGV_Domestic</t>
  </si>
  <si>
    <t>FEC_per_vehicle.kgoe.CY.Tr.Road.Freight.HGV_International</t>
  </si>
  <si>
    <t>Road transport / CO2 emissions - CY - Cyprus</t>
  </si>
  <si>
    <t>EMI.ktCO2.CY.ES.Tr.Road</t>
  </si>
  <si>
    <t>EMI.ktCO2.CY.ES.Tr.Road.LPG</t>
  </si>
  <si>
    <t>EMI.ktCO2.CY.ES.Tr.Road.Gasoline</t>
  </si>
  <si>
    <t>EMI.ktCO2.CY.ES.Tr.Road.Diesel</t>
  </si>
  <si>
    <t>EMI.ktCO2.CY.ES.Tr.Road.NG</t>
  </si>
  <si>
    <t>EMI.ktCO2.CY.ES.Tr.Road.Biogas</t>
  </si>
  <si>
    <t>EMI.ktCO2.CY.ES.Tr.Road.Biogasoline</t>
  </si>
  <si>
    <t>EMI.ktCO2.CY.ES.Tr.Road.Biodiesel</t>
  </si>
  <si>
    <t>EMI.ktCO2.CY.ES.Tr.Road.OthLiqBio</t>
  </si>
  <si>
    <t>EMI.ktCO2.CY.ES.Tr.Road.Elec</t>
  </si>
  <si>
    <t>EMI.ktCO2.CY.Tr.Road</t>
  </si>
  <si>
    <t>EMI.ktCO2.CY.Tr.Road.Passenger.Car.ICE.Gasoline</t>
  </si>
  <si>
    <t>EMI.ktCO2.CY.Tr.Road.Passenger.Car.ICE.Diesel</t>
  </si>
  <si>
    <t>EMI.ktCO2.CY.Tr.Road.Passenger.Car.ICE.LPG</t>
  </si>
  <si>
    <t>EMI.ktCO2.CY.Tr.Road.Passenger.Car.ICE.NGas</t>
  </si>
  <si>
    <t>EMI.ktCO2.CY.Tr.Road.Passenger.Car.PHEV.Gasoline</t>
  </si>
  <si>
    <t>EMI.ktCO2.CY.Tr.Road.Passenger.Car.BEV</t>
  </si>
  <si>
    <t>EMI.ktCO2.CY.Tr.Road.Passenger.Bus.ICE.Gasoline</t>
  </si>
  <si>
    <t>EMI.ktCO2.CY.Tr.Road.Passenger.Bus.ICE.Diesel</t>
  </si>
  <si>
    <t>EMI.ktCO2.CY.Tr.Road.Passenger.Bus.ICE.LPG</t>
  </si>
  <si>
    <t>EMI.ktCO2.CY.Tr.Road.Passenger.Bus.ICE.NGas</t>
  </si>
  <si>
    <t>EMI.ktCO2.CY.Tr.Road.Passenger.Bus.BEV</t>
  </si>
  <si>
    <t>EMI.ktCO2.CY.Tr.Road.Freight.LCV.ICE.Gasoline</t>
  </si>
  <si>
    <t>EMI.ktCO2.CY.Tr.Road.Freight.LCV.ICE.Diesel</t>
  </si>
  <si>
    <t>EMI.ktCO2.CY.Tr.Road.Freight.LCV.ICE.LPG</t>
  </si>
  <si>
    <t>EMI.ktCO2.CY.Tr.Road.Freight.LCV.ICE.NGas</t>
  </si>
  <si>
    <t>EMI.ktCO2.CY.Tr.Road.Freight.LCV.BEV</t>
  </si>
  <si>
    <t>EMI.ktCO2.CY.Tr.Road.Freight.HGV_Domestic</t>
  </si>
  <si>
    <t>EMI.ktCO2.CY.Tr.Road.Freight.HGV_International</t>
  </si>
  <si>
    <t>EMIint.gCO2_per_km.CY.Tr.Road</t>
  </si>
  <si>
    <t>EMIint.gCO2_per_km.CY.Tr.Road.Passenger</t>
  </si>
  <si>
    <t>EMIint.gCO2_per_km.CY.Tr.Road.Passenger.P2W</t>
  </si>
  <si>
    <t>EMIint.gCO2_per_km.CY.Tr.Road.Passenger.Car</t>
  </si>
  <si>
    <t>EMIint.gCO2_per_km.CY.Tr.Road.Passenger.Car.ICE.Gasoline</t>
  </si>
  <si>
    <t>EMIint.gCO2_per_km.CY.Tr.Road.Passenger.Car.ICE.Diesel</t>
  </si>
  <si>
    <t>EMIint.gCO2_per_km.CY.Tr.Road.Passenger.Car.ICE.LPG</t>
  </si>
  <si>
    <t>EMIint.gCO2_per_km.CY.Tr.Road.Passenger.Car.ICE.NGas</t>
  </si>
  <si>
    <t>EMIint.gCO2_per_km.CY.Tr.Road.Passenger.Car.PHEV.Gasoline</t>
  </si>
  <si>
    <t>EMIint.gCO2_per_km.CY.Tr.Road.Passenger.Car.BEV</t>
  </si>
  <si>
    <t>EMIint.gCO2_per_km.CY.Tr.Road.Passenger.Bus</t>
  </si>
  <si>
    <t>EMIint.gCO2_per_km.CY.Tr.Road.Passenger.Bus.ICE.Gasoline</t>
  </si>
  <si>
    <t>EMIint.gCO2_per_km.CY.Tr.Road.Passenger.Bus.ICE.Diesel</t>
  </si>
  <si>
    <t>EMIint.gCO2_per_km.CY.Tr.Road.Passenger.Bus.ICE.LPG</t>
  </si>
  <si>
    <t>EMIint.gCO2_per_km.CY.Tr.Road.Passenger.Bus.ICE.NGas</t>
  </si>
  <si>
    <t>EMIint.gCO2_per_km.CY.Tr.Road.Passenger.Bus.BEV</t>
  </si>
  <si>
    <t>EMIint.gCO2_per_km.CY.Tr.Road.Freight</t>
  </si>
  <si>
    <t>EMIint.gCO2_per_km.CY.Tr.Road.Freight.LCV</t>
  </si>
  <si>
    <t>EMIint.gCO2_per_km.CY.Tr.Road.Freight.LCV.ICE.Gasoline</t>
  </si>
  <si>
    <t>EMIint.gCO2_per_km.CY.Tr.Road.Freight.LCV.ICE.Diesel</t>
  </si>
  <si>
    <t>EMIint.gCO2_per_km.CY.Tr.Road.Freight.LCV.ICE.LPG</t>
  </si>
  <si>
    <t>EMIint.gCO2_per_km.CY.Tr.Road.Freight.LCV.ICE.NGas</t>
  </si>
  <si>
    <t>EMIint.gCO2_per_km.CY.Tr.Road.Freight.LCV.BEV</t>
  </si>
  <si>
    <t>EMIint.gCO2_per_km.CY.Tr.Road.Freight.HGV_All</t>
  </si>
  <si>
    <t>EMIint.gCO2_per_km.CY.Tr.Road.Freight.HGV_Domestic</t>
  </si>
  <si>
    <t>EMIint.gCO2_per_km.CY.Tr.Road.Freight.HGV_International</t>
  </si>
  <si>
    <t>EMIint.gCO2_per_pkm.CY.Tr.Road.Passenger.Car.ICE.Gasoline</t>
  </si>
  <si>
    <t>EMIint.gCO2_per_pkm.CY.Tr.Road.Passenger.Car.ICE.Diesel</t>
  </si>
  <si>
    <t>EMIint.gCO2_per_pkm.CY.Tr.Road.Passenger.Car.ICE.LPG</t>
  </si>
  <si>
    <t>EMIint.gCO2_per_pkm.CY.Tr.Road.Passenger.Car.ICE.NGas</t>
  </si>
  <si>
    <t>EMIint.gCO2_per_pkm.CY.Tr.Road.Passenger.Car.PHEV.Gasoline</t>
  </si>
  <si>
    <t>EMIint.gCO2_per_pkm.CY.Tr.Road.Passenger.Car.BEV</t>
  </si>
  <si>
    <t>EMIint.gCO2_per_pkm.CY.Tr.Road.Passenger.Bus.ICE.Gasoline</t>
  </si>
  <si>
    <t>EMIint.gCO2_per_pkm.CY.Tr.Road.Passenger.Bus.ICE.Diesel</t>
  </si>
  <si>
    <t>EMIint.gCO2_per_pkm.CY.Tr.Road.Passenger.Bus.ICE.LPG</t>
  </si>
  <si>
    <t>EMIint.gCO2_per_pkm.CY.Tr.Road.Passenger.Bus.ICE.NGas</t>
  </si>
  <si>
    <t>EMIint.gCO2_per_pkm.CY.Tr.Road.Passenger.Bus.BEV</t>
  </si>
  <si>
    <t>EMIint.gCO2_per_tkm.CY.Tr.Road.Freight.LCV.ICE.Gasoline</t>
  </si>
  <si>
    <t>EMIint.gCO2_per_tkm.CY.Tr.Road.Freight.LCV.ICE.Diesel</t>
  </si>
  <si>
    <t>EMIint.gCO2_per_tkm.CY.Tr.Road.Freight.LCV.ICE.LPG</t>
  </si>
  <si>
    <t>EMIint.gCO2_per_tkm.CY.Tr.Road.Freight.LCV.ICE.NGas</t>
  </si>
  <si>
    <t>EMIint.gCO2_per_tkm.CY.Tr.Road.Freight.LCV.BEV</t>
  </si>
  <si>
    <t>EMIint.gCO2_per_tkm.CY.Tr.Road.Freight.HGV_Domestic</t>
  </si>
  <si>
    <t>EMIint.gCO2_per_tkm.CY.Tr.Road.Freight.HGV_International</t>
  </si>
  <si>
    <t>EMI_per_vehicle.kgCO2.CY.Tr.Road.Passenger.P2W</t>
  </si>
  <si>
    <t>EMI_per_vehicle.kgCO2.CY.Tr.Road.Passenger.Car</t>
  </si>
  <si>
    <t>EMI_per_vehicle.kgCO2.CY.Tr.Road.Passenger.Car.ICE.Gasoline</t>
  </si>
  <si>
    <t>EMI_per_vehicle.kgCO2.CY.Tr.Road.Passenger.Car.ICE.Diesel</t>
  </si>
  <si>
    <t>EMI_per_vehicle.kgCO2.CY.Tr.Road.Passenger.Car.ICE.LPG</t>
  </si>
  <si>
    <t>EMI_per_vehicle.kgCO2.CY.Tr.Road.Passenger.Car.ICE.NGas</t>
  </si>
  <si>
    <t>EMI_per_vehicle.kgCO2.CY.Tr.Road.Passenger.Car.PHEV.Gasoline</t>
  </si>
  <si>
    <t>EMI_per_vehicle.kgCO2.CY.Tr.Road.Passenger.Car.BEV</t>
  </si>
  <si>
    <t>EMI_per_vehicle.kgCO2.CY.Tr.Road.Passenger.Bus</t>
  </si>
  <si>
    <t>EMI_per_vehicle.kgCO2.CY.Tr.Road.Passenger.Bus.ICE.Gasoline</t>
  </si>
  <si>
    <t>EMI_per_vehicle.kgCO2.CY.Tr.Road.Passenger.Bus.ICE.Diesel</t>
  </si>
  <si>
    <t>EMI_per_vehicle.kgCO2.CY.Tr.Road.Passenger.Bus.ICE.LPG</t>
  </si>
  <si>
    <t>EMI_per_vehicle.kgCO2.CY.Tr.Road.Passenger.Bus.ICE.NGas</t>
  </si>
  <si>
    <t>EMI_per_vehicle.kgCO2.CY.Tr.Road.Passenger.Bus.BEV</t>
  </si>
  <si>
    <t>EMI_per_vehicle.kgCO2.CY.Tr.Road.Freight.LCV</t>
  </si>
  <si>
    <t>EMI_per_vehicle.kgCO2.CY.Tr.Road.Freight.LCV.ICE.Gasoline</t>
  </si>
  <si>
    <t>EMI_per_vehicle.kgCO2.CY.Tr.Road.Freight.LCV.ICE.Diesel</t>
  </si>
  <si>
    <t>EMI_per_vehicle.kgCO2.CY.Tr.Road.Freight.LCV.ICE.LPG</t>
  </si>
  <si>
    <t>EMI_per_vehicle.kgCO2.CY.Tr.Road.Freight.LCV.ICE.NGas</t>
  </si>
  <si>
    <t>EMI_per_vehicle.kgCO2.CY.Tr.Road.Freight.LCV.BEV</t>
  </si>
  <si>
    <t>EMI_per_vehicle.kgCO2.CY.Tr.Road.Freight.HGV_All</t>
  </si>
  <si>
    <t>EMI_per_vehicle.kgCO2.CY.Tr.Road.Freight.HGV_Domestic</t>
  </si>
  <si>
    <t>EMI_per_vehicle.kgCO2.CY.Tr.Road.Freight.HGV_International</t>
  </si>
  <si>
    <t>Road transport / technologies - CY - Cyprus</t>
  </si>
  <si>
    <t>Stock.number.CY.Tr.Road.Freight.HGV_all</t>
  </si>
  <si>
    <t>StockVin.number.CY.Tr.Road</t>
  </si>
  <si>
    <t>StockVin.number.CY.Tr.Road.Passenger</t>
  </si>
  <si>
    <t>StockVin.number.CY.Tr.Road.Passenger.P2W</t>
  </si>
  <si>
    <t>StockVin.number.CY.Tr.Road.Passenger.Car</t>
  </si>
  <si>
    <t>StockVin.number.CY.Tr.Road.Passenger.Car.ICE.Gasoline</t>
  </si>
  <si>
    <t>StockVin.number.CY.Tr.Road.Passenger.Car.ICE.Diesel</t>
  </si>
  <si>
    <t>StockVin.number.CY.Tr.Road.Passenger.Car.ICE.LPG</t>
  </si>
  <si>
    <t>StockVin.number.CY.Tr.Road.Passenger.Car.ICE.NGas</t>
  </si>
  <si>
    <t>StockVin.number.CY.Tr.Road.Passenger.Car.PHEV.Gasoline</t>
  </si>
  <si>
    <t>StockVin.number.CY.Tr.Road.Passenger.Car.BEV</t>
  </si>
  <si>
    <t>StockVin.number.CY.Tr.Road.Passenger.Bus</t>
  </si>
  <si>
    <t>StockVin.number.CY.Tr.Road.Passenger.Bus.ICE.Gasoline</t>
  </si>
  <si>
    <t>StockVin.number.CY.Tr.Road.Passenger.Bus.ICE.Diesel</t>
  </si>
  <si>
    <t>StockVin.number.CY.Tr.Road.Passenger.Bus.ICE.LPG</t>
  </si>
  <si>
    <t>StockVin.number.CY.Tr.Road.Passenger.Bus.ICE.NGas</t>
  </si>
  <si>
    <t>StockVin.number.CY.Tr.Road.Passenger.Bus.BEV</t>
  </si>
  <si>
    <t>StockVin.number.CY.Tr.Road.Freight</t>
  </si>
  <si>
    <t>StockVin.number.CY.Tr.Road.Freight.LCV</t>
  </si>
  <si>
    <t>StockVin.number.CY.Tr.Road.Freight.LCV.ICE.Gasoline</t>
  </si>
  <si>
    <t>StockVin.number.CY.Tr.Road.Freight.LCV.ICE.Diesel</t>
  </si>
  <si>
    <t>StockVin.number.CY.Tr.Road.Freight.LCV.ICE.LPG</t>
  </si>
  <si>
    <t>StockVin.number.CY.Tr.Road.Freight.LCV.ICE.NGas</t>
  </si>
  <si>
    <t>StockVin.number.CY.Tr.Road.Freight.LCV.BEV</t>
  </si>
  <si>
    <t>StockVin.number.CY.Tr.Road.Freight.HGV_All</t>
  </si>
  <si>
    <t>StockVin.number.CY.Tr.Road.Freight.HGV_Domestic</t>
  </si>
  <si>
    <t>StockVin.number.CY.Tr.Road.Freight.HGV_International</t>
  </si>
  <si>
    <t>Eff_test_stock.kgoe_per_100km.CY.Tr.Road.Passenger.P2W</t>
  </si>
  <si>
    <t>Eff_test_stock.kgoe_per_100km.CY.Tr.Road.Passenger.Car</t>
  </si>
  <si>
    <t>Eff_test_stock.kgoe_per_100km.CY.Tr.Road.Passenger.Car.ICE.Gasoline</t>
  </si>
  <si>
    <t>Eff_test_stock.kgoe_per_100km.CY.Tr.Road.Passenger.Car.ICE.Diesel</t>
  </si>
  <si>
    <t>Eff_test_stock.kgoe_per_100km.CY.Tr.Road.Passenger.Car.ICE.LPG</t>
  </si>
  <si>
    <t>Eff_test_stock.kgoe_per_100km.CY.Tr.Road.Passenger.Car.ICE.NGas</t>
  </si>
  <si>
    <t>Eff_test_stock.kgoe_per_100km.CY.Tr.Road.Passenger.Car.PHEV.Gasoline</t>
  </si>
  <si>
    <t>Eff_test_stock.kgoe_per_100km.CY.Tr.Road.Passenger.Car.BEV</t>
  </si>
  <si>
    <t>Eff_test_stock.kgoe_per_100km.CY.Tr.Road.Passenger.Bus</t>
  </si>
  <si>
    <t>Eff_test_stock.kgoe_per_100km.CY.Tr.Road.Passenger.Bus.ICE.Gasoline</t>
  </si>
  <si>
    <t>Eff_test_stock.kgoe_per_100km.CY.Tr.Road.Passenger.Bus.ICE.Diesel</t>
  </si>
  <si>
    <t>Eff_test_stock.kgoe_per_100km.CY.Tr.Road.Passenger.Bus.ICE.LPG</t>
  </si>
  <si>
    <t>Eff_test_stock.kgoe_per_100km.CY.Tr.Road.Passenger.Bus.ICE.NGas</t>
  </si>
  <si>
    <t>Eff_test_stock.kgoe_per_100km.CY.Tr.Road.Passenger.Bus.BEV</t>
  </si>
  <si>
    <t>Eff_test_stock.kgoe_per_100km.CY.Tr.Road.Freight.LCV</t>
  </si>
  <si>
    <t>Eff_test_stock.kgoe_per_100km.CY.Tr.Road.Freight.LCV.ICE.Gasoline</t>
  </si>
  <si>
    <t>Eff_test_stock.kgoe_per_100km.CY.Tr.Road.Freight.LCV.ICE.Diesel</t>
  </si>
  <si>
    <t>Eff_test_stock.kgoe_per_100km.CY.Tr.Road.Freight.LCV.ICE.LPG</t>
  </si>
  <si>
    <t>Eff_test_stock.kgoe_per_100km.CY.Tr.Road.Freight.LCV.ICE.NGas</t>
  </si>
  <si>
    <t>Eff_test_stock.kgoe_per_100km.CY.Tr.Road.Freight.LCV.BEV</t>
  </si>
  <si>
    <t>Eff_test_stock.kgoe_per_100km.CY.Tr.Road.Freight.HGV_All</t>
  </si>
  <si>
    <t>Eff_test_stock.kgoe_per_100km.CY.Tr.Road.Freight.HGV_Domestic</t>
  </si>
  <si>
    <t>Eff_test_stock.kgoe_per_100km.CY.Tr.Road.Freight.HGV_International</t>
  </si>
  <si>
    <t>Eff_test_new.kgoe_per_100km.CY.Tr.Road.Passenger.P2W</t>
  </si>
  <si>
    <t>Eff_test_new.kgoe_per_100km.CY.Tr.Road.Passenger.Car</t>
  </si>
  <si>
    <t>Eff_test_new.kgoe_per_100km.CY.Tr.Road.Passenger.Car.ICE.Gasoline</t>
  </si>
  <si>
    <t>Eff_test_new.kgoe_per_100km.CY.Tr.Road.Passenger.Car.ICE.Diesel</t>
  </si>
  <si>
    <t>Eff_test_new.kgoe_per_100km.CY.Tr.Road.Passenger.Car.ICE.LPG</t>
  </si>
  <si>
    <t>Eff_test_new.kgoe_per_100km.CY.Tr.Road.Passenger.Car.ICE.NGas</t>
  </si>
  <si>
    <t>Eff_test_new.kgoe_per_100km.CY.Tr.Road.Passenger.Car.PHEV.Gasoline</t>
  </si>
  <si>
    <t>Eff_test_new.kgoe_per_100km.CY.Tr.Road.Passenger.Car.BEV</t>
  </si>
  <si>
    <t>Eff_test_new.kgoe_per_100km.CY.Tr.Road.Passenger.Bus</t>
  </si>
  <si>
    <t>Eff_test_new.kgoe_per_100km.CY.Tr.Road.Passenger.Bus.ICE.Gasoline</t>
  </si>
  <si>
    <t>Eff_test_new.kgoe_per_100km.CY.Tr.Road.Passenger.Bus.ICE.Diesel</t>
  </si>
  <si>
    <t>Eff_test_new.kgoe_per_100km.CY.Tr.Road.Passenger.Bus.ICE.LPG</t>
  </si>
  <si>
    <t>Eff_test_new.kgoe_per_100km.CY.Tr.Road.Passenger.Bus.ICE.NGas</t>
  </si>
  <si>
    <t>Eff_test_new.kgoe_per_100km.CY.Tr.Road.Passenger.Bus.BEV</t>
  </si>
  <si>
    <t>Eff_test_new.kgoe_per_100km.CY.Tr.Road.Freight.LCV</t>
  </si>
  <si>
    <t>Eff_test_new.kgoe_per_100km.CY.Tr.Road.Freight.LCV.ICE.Gasoline</t>
  </si>
  <si>
    <t>Eff_test_new.kgoe_per_100km.CY.Tr.Road.Freight.LCV.ICE.Diesel</t>
  </si>
  <si>
    <t>Eff_test_new.kgoe_per_100km.CY.Tr.Road.Freight.LCV.ICE.LPG</t>
  </si>
  <si>
    <t>Eff_test_new.kgoe_per_100km.CY.Tr.Road.Freight.LCV.ICE.NGas</t>
  </si>
  <si>
    <t>Eff_test_new.kgoe_per_100km.CY.Tr.Road.Freight.LCV.BEV</t>
  </si>
  <si>
    <t>Eff_test_new.kgoe_per_100km.CY.Tr.Road.Freight.HGV_All</t>
  </si>
  <si>
    <t>Eff_test_new.kgoe_per_100km.CY.Tr.Road.Freight.HGV_Domestic</t>
  </si>
  <si>
    <t>Eff_test_new.kgoe_per_100km.CY.Tr.Road.Freight.HGV_International</t>
  </si>
  <si>
    <t>EMIint_test_stock.gCO2_per_km.CY.Tr.Road.Passenger.P2W</t>
  </si>
  <si>
    <t>EMIint_test_stock.gCO2_per_km.CY.Tr.Road.Passenger.Car</t>
  </si>
  <si>
    <t>EMIint_test_stock.gCO2_per_km.CY.Tr.Road.Passenger.Car.ICE.Gasoline</t>
  </si>
  <si>
    <t>EMIint_test_stock.gCO2_per_km.CY.Tr.Road.Passenger.Car.ICE.Diesel</t>
  </si>
  <si>
    <t>EMIint_test_stock.gCO2_per_km.CY.Tr.Road.Passenger.Car.ICE.LPG</t>
  </si>
  <si>
    <t>EMIint_test_stock.gCO2_per_km.CY.Tr.Road.Passenger.Car.ICE.NGas</t>
  </si>
  <si>
    <t>EMIint_test_stock.gCO2_per_km.CY.Tr.Road.Passenger.Car.PHEV.Gasoline</t>
  </si>
  <si>
    <t>EMIint_test_stock.gCO2_per_km.CY.Tr.Road.Passenger.Car.BEV</t>
  </si>
  <si>
    <t>EMIint_test_stock.gCO2_per_km.CY.Tr.Road.Passenger.Bus</t>
  </si>
  <si>
    <t>EMIint_test_stock.gCO2_per_km.CY.Tr.Road.Passenger.Bus.ICE.Gasoline</t>
  </si>
  <si>
    <t>EMIint_test_stock.gCO2_per_km.CY.Tr.Road.Passenger.Bus.ICE.Diesel</t>
  </si>
  <si>
    <t>EMIint_test_stock.gCO2_per_km.CY.Tr.Road.Passenger.Bus.ICE.LPG</t>
  </si>
  <si>
    <t>EMIint_test_stock.gCO2_per_km.CY.Tr.Road.Passenger.Bus.ICE.NGas</t>
  </si>
  <si>
    <t>EMIint_test_stock.gCO2_per_km.CY.Tr.Road.Passenger.Bus.BEV</t>
  </si>
  <si>
    <t>EMIint_test_stock.gCO2_per_km.CY.Tr.Road.Freight.LCV</t>
  </si>
  <si>
    <t>EMIint_test_stock.gCO2_per_km.CY.Tr.Road.Freight.LCV.ICE.Gasoline</t>
  </si>
  <si>
    <t>EMIint_test_stock.gCO2_per_km.CY.Tr.Road.Freight.LCV.ICE.Diesel</t>
  </si>
  <si>
    <t>EMIint_test_stock.gCO2_per_km.CY.Tr.Road.Freight.LCV.ICE.LPG</t>
  </si>
  <si>
    <t>EMIint_test_stock.gCO2_per_km.CY.Tr.Road.Freight.LCV.ICE.NGas</t>
  </si>
  <si>
    <t>EMIint_test_stock.gCO2_per_km.CY.Tr.Road.Freight.LCV.BEV</t>
  </si>
  <si>
    <t>EMIint_test_stock.gCO2_per_km.CY.Tr.Road.Freight.HGV_All</t>
  </si>
  <si>
    <t>EMIint_test_stock.gCO2_per_km.CY.Tr.Road.Freight.HGV_Domestic</t>
  </si>
  <si>
    <t>EMIint_test_stock.gCO2_per_km.CY.Tr.Road.Freight.HGV_International</t>
  </si>
  <si>
    <t>EMIint_test_new.gCO2_per_km.CY.Tr.Road.Passenger.P2W</t>
  </si>
  <si>
    <t>EMIint_test_new.gCO2_per_km.CY.Tr.Road.Passenger.Car</t>
  </si>
  <si>
    <t>EMIint_test_new.gCO2_per_km.CY.Tr.Road.Passenger.Car.ICE.Gasoline</t>
  </si>
  <si>
    <t>EMIint_test_new.gCO2_per_km.CY.Tr.Road.Passenger.Car.ICE.Diesel</t>
  </si>
  <si>
    <t>EMIint_test_new.gCO2_per_km.CY.Tr.Road.Passenger.Car.ICE.LPG</t>
  </si>
  <si>
    <t>EMIint_test_new.gCO2_per_km.CY.Tr.Road.Passenger.Car.ICE.NGas</t>
  </si>
  <si>
    <t>EMIint_test_new.gCO2_per_km.CY.Tr.Road.Passenger.Car.PHEV.Gasoline</t>
  </si>
  <si>
    <t>EMIint_test_new.gCO2_per_km.CY.Tr.Road.Passenger.Car.BEV</t>
  </si>
  <si>
    <t>EMIint_test_new.gCO2_per_km.CY.Tr.Road.Passenger.Bus</t>
  </si>
  <si>
    <t>EMIint_test_new.gCO2_per_km.CY.Tr.Road.Passenger.Bus.ICE.Gasoline</t>
  </si>
  <si>
    <t>EMIint_test_new.gCO2_per_km.CY.Tr.Road.Passenger.Bus.ICE.Diesel</t>
  </si>
  <si>
    <t>EMIint_test_new.gCO2_per_km.CY.Tr.Road.Passenger.Bus.ICE.LPG</t>
  </si>
  <si>
    <t>EMIint_test_new.gCO2_per_km.CY.Tr.Road.Passenger.Bus.ICE.NGas</t>
  </si>
  <si>
    <t>EMIint_test_new.gCO2_per_km.CY.Tr.Road.Passenger.Bus.BEV</t>
  </si>
  <si>
    <t>EMIint_test_new.gCO2_per_km.CY.Tr.Road.Freight.LCV</t>
  </si>
  <si>
    <t>EMIint_test_new.gCO2_per_km.CY.Tr.Road.Freight.LCV.ICE.Gasoline</t>
  </si>
  <si>
    <t>EMIint_test_new.gCO2_per_km.CY.Tr.Road.Freight.LCV.ICE.Diesel</t>
  </si>
  <si>
    <t>EMIint_test_new.gCO2_per_km.CY.Tr.Road.Freight.LCV.ICE.LPG</t>
  </si>
  <si>
    <t>EMIint_test_new.gCO2_per_km.CY.Tr.Road.Freight.LCV.ICE.NGas</t>
  </si>
  <si>
    <t>EMIint_test_new.gCO2_per_km.CY.Tr.Road.Freight.LCV.BEV</t>
  </si>
  <si>
    <t>EMIint_test_new.gCO2_per_km.CY.Tr.Road.Freight.HGV_All</t>
  </si>
  <si>
    <t>EMIint_test_new.gCO2_per_km.CY.Tr.Road.Freight.HGV_Domestic</t>
  </si>
  <si>
    <t>EMIint_test_new.gCO2_per_km.CY.Tr.Road.Freight.HGV_International</t>
  </si>
  <si>
    <t>FEC.ktoe.CY.MBunk</t>
  </si>
  <si>
    <t>FEC.ktoe.CY.MBunk.IntraEEA</t>
  </si>
  <si>
    <t>FEC.ktoe.CY.MBunk.ExtraEEA</t>
  </si>
  <si>
    <t>EMI.ktCO2.CY.MBunk</t>
  </si>
  <si>
    <t>EMI.ktCO2.CY.MBunk.IntraEEA</t>
  </si>
  <si>
    <t>EMI.ktCO2.CY.MBunk.ExtraEEA</t>
  </si>
  <si>
    <t>International maritime bunkers - CY - Cyprus</t>
  </si>
  <si>
    <t>VehicleKm.Mkm.CY.MBunk.Freight</t>
  </si>
  <si>
    <t>VehicleKm.Mkm.CY.MBunk.Freight.IntraEEA</t>
  </si>
  <si>
    <t>VehicleKm.Mkm.CY.MBunk.Freight.ExtraEEA</t>
  </si>
  <si>
    <t>Load.t_per_movement.CY.MBunk.Freight</t>
  </si>
  <si>
    <t>Load.t_per_movement.CY.MBunk.Freight.IntraEEA</t>
  </si>
  <si>
    <t>Load.t_per_movement.CY.MBunk.Freight.ExtraEEA</t>
  </si>
  <si>
    <t>International maritime bunkers / energy consumption - CY - Cyprus</t>
  </si>
  <si>
    <t>FEC.ktoe.CY.ES.MBunk</t>
  </si>
  <si>
    <t>FEC.ktoe.CY.ES.MBunk.IntraEEA</t>
  </si>
  <si>
    <t>FEC.ktoe.CY.ES.MBunk.IntraEEA.Diesel</t>
  </si>
  <si>
    <t>FEC.ktoe.CY.ES.MBunk.IntraEEA.RFO_Other</t>
  </si>
  <si>
    <t>FEC.ktoe.CY.ES.MBunk.IntraEEA.LiqBio</t>
  </si>
  <si>
    <t>FEC.ktoe.CY.ES.MBunk.IntraEEA.NG</t>
  </si>
  <si>
    <t>FEC.ktoe.CY.ES.MBunk.IntraEEA.Biogas</t>
  </si>
  <si>
    <t>FEC.ktoe.CY.ES.MBunk.ExtraEEA</t>
  </si>
  <si>
    <t>FEC.ktoe.CY.ES.MBunk.ExtraEEA.Diesel</t>
  </si>
  <si>
    <t>FEC.ktoe.CY.ES.MBunk.ExtraEEA.RFO_Other</t>
  </si>
  <si>
    <t>FEC.ktoe.CY.ES.MBunk.ExtraEEA.LiqBio</t>
  </si>
  <si>
    <t>FEC.ktoe.CY.ES.MBunk.ExtraEEA.NG</t>
  </si>
  <si>
    <t>FEC.ktoe.CY.ES.MBunk.ExtraEEA.Biogas</t>
  </si>
  <si>
    <t>Eff.kgoe_per_100km.CY.MBunk.Freight</t>
  </si>
  <si>
    <t>Eff.kgoe_per_100km.CY.MBunk.Freight.IntraEEA</t>
  </si>
  <si>
    <t>Eff.kgoe_per_100km.CY.MBunk.Freight.ExtraEEA</t>
  </si>
  <si>
    <t>International maritime bunkers / CO2 emissions - CY - Cyprus</t>
  </si>
  <si>
    <t>EMI.ktCO2.CY.ES.MBunk</t>
  </si>
  <si>
    <t>EMI.ktCO2.CY.ES.MBunk.IntraEEA</t>
  </si>
  <si>
    <t>EMI.ktCO2.CY.ES.MBunk.ExtraEEA</t>
  </si>
  <si>
    <t>EMIint.gCO2_per_km.CY.MBunk.Freight</t>
  </si>
  <si>
    <t>EMIint.gCO2_per_km.CY.MBunk.Freight.IntraEEA</t>
  </si>
  <si>
    <t>EMIint.gCO2_per_km.CY.MBunk.Freight.ExtraEEA</t>
  </si>
  <si>
    <t>FEC.ktoe.CY.Tr.DNavi</t>
  </si>
  <si>
    <t>FEC.ktoe.CY.Tr.Dnavi.DCS</t>
  </si>
  <si>
    <t>FEC.ktoe.CY.Tr.Dnavi.IWW</t>
  </si>
  <si>
    <t>EMI.ktCO2.CY.Tr.DNavi</t>
  </si>
  <si>
    <t>EMI.ktCO2.CY.Tr.Dnavi.DCS</t>
  </si>
  <si>
    <t>EMI.ktCO2.CY.Tr.Dnavi.IWW</t>
  </si>
  <si>
    <t>Domestic navigation - CY - Cyprus</t>
  </si>
  <si>
    <t>VehicleKm.Mkm.CY.Tr.DNavi.Freight</t>
  </si>
  <si>
    <t>VehicleKm.Mkm.CY.Tr.DNavi.Freight.DCS</t>
  </si>
  <si>
    <t>VehicleKm.Mkm.CY.Tr.DNavi.Freight.IWW</t>
  </si>
  <si>
    <t>Load.t_per_movement.CY.Tr.DNavi.Freight</t>
  </si>
  <si>
    <t>Load.t_per_movement.CY.Tr.DNavi.Freight.DCS</t>
  </si>
  <si>
    <t>Load.t_per_movement.CY.Tr.DNavi.Freight.IWW</t>
  </si>
  <si>
    <t>Domestic navigation / energy consumption - CY - Cyprus</t>
  </si>
  <si>
    <t>FEC.ktoe.CY.ES.Tr.DNavi</t>
  </si>
  <si>
    <t>FEC.ktoe.CY.ES.Tr.DNavi.DCS</t>
  </si>
  <si>
    <t>FEC.ktoe.CY.ES.Tr.DNavi.DCS.Diesel</t>
  </si>
  <si>
    <t>FEC.ktoe.CY.ES.Tr.DNavi.DCS.RFO_Other</t>
  </si>
  <si>
    <t>FEC.ktoe.CY.ES.Tr.DNavi.DCS.LiqBio</t>
  </si>
  <si>
    <t>FEC.ktoe.CY.ES.Tr.DNavi.DCS.NG</t>
  </si>
  <si>
    <t>FEC.ktoe.CY.ES.Tr.DNavi.DCS.Biogas</t>
  </si>
  <si>
    <t>FEC.ktoe.CY.ES.Tr.DNavi.IWW</t>
  </si>
  <si>
    <t>FEC.ktoe.CY.ES.Tr.DNavi.IWW.Diesel</t>
  </si>
  <si>
    <t>FEC.ktoe.CY.ES.Tr.DNavi.IWW.RFO_Other</t>
  </si>
  <si>
    <t>FEC.ktoe.CY.ES.Tr.DNavi.IWW.LiqBio</t>
  </si>
  <si>
    <t>FEC.ktoe.CY.ES.Tr.DNavi.IWW.NG</t>
  </si>
  <si>
    <t>FEC.ktoe.CY.ES.Tr.DNavi.IWW.Biogas</t>
  </si>
  <si>
    <t>Eff.kgoe_per_100km.CY.Tr.DNavi.Freight</t>
  </si>
  <si>
    <t>Eff.kgoe_per_100km.CY.Tr.DNavi.Freight.DCS</t>
  </si>
  <si>
    <t>Eff.kgoe_per_100km.CY.Tr.DNavi.Freight.IWW</t>
  </si>
  <si>
    <t>Domestic navigation / CO2 emissions - CY - Cyprus</t>
  </si>
  <si>
    <t>EMI.ktCO2.CY.ES.Tr.DNavi</t>
  </si>
  <si>
    <t>EMI.ktCO2.CY.ES.Tr.DNavi.DCS</t>
  </si>
  <si>
    <t>EMI.ktCO2.CY.ES.Tr.DNavi.IWW</t>
  </si>
  <si>
    <t>EMIint.gCO2_per_km.CY.Tr.DNavi.Freight</t>
  </si>
  <si>
    <t>EMIint.gCO2_per_km.CY.Tr.DNavi.Freight.DCS</t>
  </si>
  <si>
    <t>EMIint.gCO2_per_km.CY.Tr.DNavi.Freight.IWW</t>
  </si>
  <si>
    <t>Rail, metro and tram - CY - Cyprus</t>
  </si>
  <si>
    <t>Activity.Mpkm.CY.Tr.Rail.Passenger.CPT.Diesel</t>
  </si>
  <si>
    <t>Activity.Mpkm.CY.Tr.Rail.Passenger.CPT.Elc</t>
  </si>
  <si>
    <t>Activity.Mtkm.CY.Tr.Rail.Freight.Diesel</t>
  </si>
  <si>
    <t>Activity.Mtkm.CY.Tr.Rail.Freight.Elc</t>
  </si>
  <si>
    <t>VehicleKm.Mkm.CY.Tr.Rail</t>
  </si>
  <si>
    <t>VehicleKm.Mkm.CY.Tr.Rail.Passenger</t>
  </si>
  <si>
    <t>VehicleKm.Mkm.CY.Tr.Rail.Passenger.MTU</t>
  </si>
  <si>
    <t>VehicleKm.Mkm.CY.Tr.Rail.Passenger.CPT</t>
  </si>
  <si>
    <t>VehicleKm.Mkm.CY.Tr.Rail.Passenger.CPT.Diesel</t>
  </si>
  <si>
    <t>VehicleKm.Mkm.CY.Tr.Rail.Passenger.CPT.Elc</t>
  </si>
  <si>
    <t>VehicleKm.Mkm.CY.Tr.Rail.Passenger.HST</t>
  </si>
  <si>
    <t>VehicleKm.Mkm.CY.Tr.Rail.Freight</t>
  </si>
  <si>
    <t>VehicleKm.Mkm.CY.Tr.Rail.Freight.Diesel</t>
  </si>
  <si>
    <t>VehicleKm.Mkm.CY.Tr.Rail.Freight.Elc</t>
  </si>
  <si>
    <t>Stock.number.CY.Tr.Rail</t>
  </si>
  <si>
    <t>Stock.number.CY.Tr.Rail.Passenger</t>
  </si>
  <si>
    <t>Stock.number.CY.Tr.Rail.Passenger.MTU</t>
  </si>
  <si>
    <t>Stock.number.CY.Tr.Rail.Passenger.CPT</t>
  </si>
  <si>
    <t>Stock.number.CY.Tr.Rail.Passenger.CPT.Diesel</t>
  </si>
  <si>
    <t>Stock.number.CY.Tr.Rail.Passenger.CPT.Elc</t>
  </si>
  <si>
    <t>Stock.number.CY.Tr.Rail.Passenger.HST</t>
  </si>
  <si>
    <t>Stock.number.CY.Tr.Rail.Freight</t>
  </si>
  <si>
    <t>Stock.number.CY.Tr.Rail.Freight.Diesel</t>
  </si>
  <si>
    <t>Stock.number.CY.Tr.Rail.Freight.Elc</t>
  </si>
  <si>
    <t>StockNew.number.CY.Tr.Rail</t>
  </si>
  <si>
    <t>StockNew.number.CY.Tr.Rail.Passenger</t>
  </si>
  <si>
    <t>StockNew.number.CY.Tr.Rail.Passenger.MTU</t>
  </si>
  <si>
    <t>StockNew.number.CY.Tr.Rail.Passenger.CPT</t>
  </si>
  <si>
    <t>StockNew.number.CY.Tr.Rail.Passenger.CPT.Diesel</t>
  </si>
  <si>
    <t>StockNew.number.CY.Tr.Rail.Passenger.CPT.Elc</t>
  </si>
  <si>
    <t>StockNew.number.CY.Tr.Rail.Passenger.HST</t>
  </si>
  <si>
    <t>StockNew.number.CY.Tr.Rail.Freight</t>
  </si>
  <si>
    <t>StockNew.number.CY.Tr.Rail.Freight.Diesel</t>
  </si>
  <si>
    <t>StockNew.number.CY.Tr.Rail.Freight.Elc</t>
  </si>
  <si>
    <t>Load.passenger_per_movement.CY.Tr.Rail.Passenger</t>
  </si>
  <si>
    <t>Load.passenger_per_movement.CY.Tr.Rail.Passenger.MTU</t>
  </si>
  <si>
    <t>Load.passenger_per_movement.CY.Tr.Rail.Passenger.CPT</t>
  </si>
  <si>
    <t>Load.passenger_per_movement.CY.Tr.Rail.Passenger.CPT.Diesel</t>
  </si>
  <si>
    <t>Load.passenger_per_movement.CY.Tr.Rail.Passenger.CPT.Elc</t>
  </si>
  <si>
    <t>Load.passenger_per_movement.CY.Tr.Rail.Passenger.HST</t>
  </si>
  <si>
    <t>Load.t_per_movement.CY.Tr.Rail.Freight</t>
  </si>
  <si>
    <t>Load.t_per_movement.CY.Tr.Rail.Freight.Diesel</t>
  </si>
  <si>
    <t>Load.t_per_movement.CY.Tr.Rail.Freight.Elc</t>
  </si>
  <si>
    <t>TrCap.seats.CY.Tr.Rail.Passenger</t>
  </si>
  <si>
    <t>TrCap.seats.CY.Tr.Rail.Passenger.MTU</t>
  </si>
  <si>
    <t>TrCap.seats.CY.Tr.Rail.Passenger.CPT</t>
  </si>
  <si>
    <t>TrCap.seats.CY.Tr.Rail.Passenger.CPT.Diesel</t>
  </si>
  <si>
    <t>TrCap.seats.CY.Tr.Rail.Passenger.CPT.Elc</t>
  </si>
  <si>
    <t>TrCap.seats.CY.Tr.Rail.Passenger.HST</t>
  </si>
  <si>
    <t>TrCap.t.CY.Tr.Rail.Freight</t>
  </si>
  <si>
    <t>TrCap.t.CY.Tr.Rail.Freight.Diesel</t>
  </si>
  <si>
    <t>TrCap.t.CY.Tr.Rail.Freight.Elc</t>
  </si>
  <si>
    <t>VehicleKm_per_vehicle.km.CY.Tr.Rail</t>
  </si>
  <si>
    <t>VehicleKm_per_vehicle.km.CY.Tr.Rail.Passenger</t>
  </si>
  <si>
    <t>VehicleKm_per_vehicle.km.CY.Tr.Rail.Passenger.MTU</t>
  </si>
  <si>
    <t>VehicleKm_per_vehicle.km.CY.Tr.Rail.Passenger.CPT</t>
  </si>
  <si>
    <t>VehicleKm_per_vehicle.km.CY.Tr.Rail.Passenger.CPT.Diesel</t>
  </si>
  <si>
    <t>VehicleKm_per_vehicle.km.CY.Tr.Rail.Passenger.CPT.Elc</t>
  </si>
  <si>
    <t>VehicleKm_per_vehicle.km.CY.Tr.Rail.Passenger.HST</t>
  </si>
  <si>
    <t>VehicleKm_per_vehicle.km.CY.Tr.Rail.Freight</t>
  </si>
  <si>
    <t>VehicleKm_per_vehicle.km.CY.Tr.Rail.Freight.Diesel</t>
  </si>
  <si>
    <t>VehicleKm_per_vehicle.km.CY.Tr.Rail.Freight.Elc</t>
  </si>
  <si>
    <t>Activity_per_vehicle.pkm.CY.Tr.Rail.Passenger</t>
  </si>
  <si>
    <t>Activity_per_vehicle.pkm.CY.Tr.Rail.Passenger.MTU</t>
  </si>
  <si>
    <t>Activity_per_vehicle.pkm.CY.Tr.Rail.Passenger.CPT</t>
  </si>
  <si>
    <t>Activity_per_vehicle.pkm.CY.Tr.Rail.Passenger.CPT.Diesel</t>
  </si>
  <si>
    <t>Activity_per_vehicle.pkm.CY.Tr.Rail.Passenger.CPT.Elc</t>
  </si>
  <si>
    <t>Activity_per_vehicle.pkm.CY.Tr.Rail.Passenger.HST</t>
  </si>
  <si>
    <t>Activity_per_vehicle.tkm.CY.Tr.Rail.Freight</t>
  </si>
  <si>
    <t>Activity_per_vehicle.tkm.CY.Tr.Rail.Freight.Diesel</t>
  </si>
  <si>
    <t>Activity_per_vehicle.tkm.CY.Tr.Rail.Freight.Elc</t>
  </si>
  <si>
    <t>Rail, metro and tram / energy consumption - CY - Cyprus</t>
  </si>
  <si>
    <t>FEC.ktoe.CY.ES.Tr.Rail</t>
  </si>
  <si>
    <t>FEC.ktoe.CY.ES.Tr.Rail.Diesel</t>
  </si>
  <si>
    <t>FEC.ktoe.CY.ES.Tr.Rail.LiqBio</t>
  </si>
  <si>
    <t>FEC.ktoe.CY.ES.Tr.Rail.Elec</t>
  </si>
  <si>
    <t>FEC.ktoe.CY.Tr.Rail</t>
  </si>
  <si>
    <t>FEC.ktoe.CY.Tr.Rail.Passenger.CPT.Diesel</t>
  </si>
  <si>
    <t>FEC.ktoe.CY.Tr.Rail.Passenger.CPT.Elc</t>
  </si>
  <si>
    <t>FEC.ktoe.CY.Tr.Rail.Freight.Diesel</t>
  </si>
  <si>
    <t>FEC.ktoe.CY.Tr.Rail.Freight.Elc</t>
  </si>
  <si>
    <t>Eff.kgoe_per_100km.CY.Tr.Rail</t>
  </si>
  <si>
    <t>Eff.kgoe_per_100km.CY.Tr.Rail.Passenger</t>
  </si>
  <si>
    <t>Eff.kgoe_per_100km.CY.Tr.Rail.Passenger.MTU</t>
  </si>
  <si>
    <t>Eff.kgoe_per_100km.CY.Tr.Rail.Passenger.CPT</t>
  </si>
  <si>
    <t>Eff.kgoe_per_100km.CY.Tr.Rail.Passenger.CPT.Diesel</t>
  </si>
  <si>
    <t>Eff.kgoe_per_100km.CY.Tr.Rail.Passenger.CPT.Elc</t>
  </si>
  <si>
    <t>Eff.kgoe_per_100km.CY.Tr.Rail.Passenger.HST</t>
  </si>
  <si>
    <t>Eff.kgoe_per_100km.CY.Tr.Rail.Freight</t>
  </si>
  <si>
    <t>Eff.kgoe_per_100km.CY.Tr.Rail.Freight.Diesel</t>
  </si>
  <si>
    <t>Eff.kgoe_per_100km.CY.Tr.Rail.Freight.Elc</t>
  </si>
  <si>
    <t>Eff.kgoe_per_kpkm.CY.Tr.Rail.Passenger.CPT.Diesel</t>
  </si>
  <si>
    <t>Eff.kgoe_per_kpkm.CY.Tr.Rail.Passenger.CPT.Elc</t>
  </si>
  <si>
    <t>Eff.kgoe_per_ktkm.CY.Tr.Rail.Freight.Diesel</t>
  </si>
  <si>
    <t>Eff.kgoe_per_ktkm.CY.Tr.Rail.Freight.Elc</t>
  </si>
  <si>
    <t>FEC_per_vehicle.kgoe.CY.Tr.Rail</t>
  </si>
  <si>
    <t>FEC_per_vehicle.kgoe.CY.Tr.Rail.Passenger</t>
  </si>
  <si>
    <t>FEC_per_vehicle.kgoe.CY.Tr.Rail.Passenger.MTU</t>
  </si>
  <si>
    <t>FEC_per_vehicle.kgoe.CY.Tr.Rail.Passenger.CPT</t>
  </si>
  <si>
    <t>FEC_per_vehicle.kgoe.CY.Tr.Rail.Passenger.CPT.Diesel</t>
  </si>
  <si>
    <t>FEC_per_vehicle.kgoe.CY.Tr.Rail.Passenger.CPT.Elc</t>
  </si>
  <si>
    <t>FEC_per_vehicle.kgoe.CY.Tr.Rail.Passenger.HST</t>
  </si>
  <si>
    <t>FEC_per_vehicle.kgoe.CY.Tr.Rail.Freight</t>
  </si>
  <si>
    <t>FEC_per_vehicle.kgoe.CY.Tr.Rail.Freight.Diesel</t>
  </si>
  <si>
    <t>FEC_per_vehicle.kgoe.CY.Tr.Rail.Freight.Elc</t>
  </si>
  <si>
    <t>Rail, metro and tram / CO2 emissions - CY - Cyprus</t>
  </si>
  <si>
    <t>EMI.ktCO2.CY.ES.Tr.Rail</t>
  </si>
  <si>
    <t>EMI.ktCO2.CY.ES.Tr.Rail.Diesel</t>
  </si>
  <si>
    <t>EMI.ktCO2.CY.ES.Tr.Rail.Elec</t>
  </si>
  <si>
    <t>EMI.ktCO2.CY.Tr.Rail</t>
  </si>
  <si>
    <t>EMI.ktCO2.CY.Tr.Rail.Passenger.CPT.Diesel</t>
  </si>
  <si>
    <t>EMI.ktCO2.CY.Tr.Rail.Passenger.CPT.Elc</t>
  </si>
  <si>
    <t>EMI.ktCO2.CY.Tr.Rail.Freight.Diesel</t>
  </si>
  <si>
    <t>EMI.ktCO2.CY.Tr.Rail.Freight.Elc</t>
  </si>
  <si>
    <t>EMIint.gCO2_per_km.CY.Tr.Rail</t>
  </si>
  <si>
    <t>EMIint.gCO2_per_km.CY.Tr.Rail.Passenger</t>
  </si>
  <si>
    <t>EMIint.gCO2_per_km.CY.Tr.Rail.Passenger.MTU</t>
  </si>
  <si>
    <t>EMIint.gCO2_per_km.CY.Tr.Rail.Passenger.CPT</t>
  </si>
  <si>
    <t>EMIint.gCO2_per_km.CY.Tr.Rail.Passenger.CPT.Diesel</t>
  </si>
  <si>
    <t>EMIint.gCO2_per_km.CY.Tr.Rail.Passenger.CPT.Elc</t>
  </si>
  <si>
    <t>EMIint.gCO2_per_km.CY.Tr.Rail.Passenger.HST</t>
  </si>
  <si>
    <t>EMIint.gCO2_per_km.CY.Tr.Rail.Freight</t>
  </si>
  <si>
    <t>EMIint.gCO2_per_km.CY.Tr.Rail.Freight.Diesel</t>
  </si>
  <si>
    <t>EMIint.gCO2_per_km.CY.Tr.Rail.Freight.Elc</t>
  </si>
  <si>
    <t>EMIint.gCO2_per_pkm.CY.Tr.Rail.Passenger.CPT.Diesel</t>
  </si>
  <si>
    <t>EMIint.gCO2_per_pkm.CY.Tr.Rail.Passenger.CPT.Elc</t>
  </si>
  <si>
    <t>EMIint.gCO2_per_tkm.CY.Tr.Rail.Freight.Diesel</t>
  </si>
  <si>
    <t>EMIint.gCO2_per_tkm.CY.Tr.Rail.Freight.Elc</t>
  </si>
  <si>
    <t>EMI_per_vehicle.tCO2.CY.Tr.Rail</t>
  </si>
  <si>
    <t>EMI_per_vehicle.tCO2.CY.Tr.Rail.Passenger</t>
  </si>
  <si>
    <t>EMI_per_vehicle.tCO2.CY.Tr.Rail.Passenger.MTU</t>
  </si>
  <si>
    <t>EMI_per_vehicle.tCO2.CY.Tr.Rail.Passenger.CPT</t>
  </si>
  <si>
    <t>EMI_per_vehicle.tCO2.CY.Tr.Rail.Passenger.CPT.Diesel</t>
  </si>
  <si>
    <t>EMI_per_vehicle.tCO2.CY.Tr.Rail.Passenger.CPT.Elc</t>
  </si>
  <si>
    <t>EMI_per_vehicle.tCO2.CY.Tr.Rail.Passenger.HST</t>
  </si>
  <si>
    <t>EMI_per_vehicle.tCO2.CY.Tr.Rail.Freight</t>
  </si>
  <si>
    <t>EMI_per_vehicle.tCO2.CY.Tr.Rail.Freight.Diesel</t>
  </si>
  <si>
    <t>EMI_per_vehicle.tCO2.CY.Tr.Rail.Freight.Elc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</si>
</sst>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45967.472534722219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14201.978407099008</v>
      </c>
      <c r="C4" s="28">
        <f t="shared" si="0"/>
        <v>15718.885838785758</v>
      </c>
      <c r="D4" s="28">
        <f t="shared" si="0"/>
        <v>13698.101914220304</v>
      </c>
      <c r="E4" s="28">
        <f t="shared" si="0"/>
        <v>14233.16551234178</v>
      </c>
      <c r="F4" s="28">
        <f t="shared" si="0"/>
        <v>14661.682378689884</v>
      </c>
      <c r="G4" s="28">
        <f t="shared" si="0"/>
        <v>15325.841172796623</v>
      </c>
      <c r="H4" s="28">
        <f t="shared" si="0"/>
        <v>15550.923491832407</v>
      </c>
      <c r="I4" s="28">
        <f t="shared" si="0"/>
        <v>15839.061395407036</v>
      </c>
      <c r="J4" s="28">
        <f t="shared" si="0"/>
        <v>16661.670321590311</v>
      </c>
      <c r="K4" s="28">
        <f t="shared" si="0"/>
        <v>16182.658093546837</v>
      </c>
      <c r="L4" s="28">
        <f t="shared" si="0"/>
        <v>16318.561047225459</v>
      </c>
      <c r="M4" s="28">
        <f t="shared" si="0"/>
        <v>16707.477297191392</v>
      </c>
      <c r="N4" s="28">
        <f t="shared" si="0"/>
        <v>16789.878045312569</v>
      </c>
      <c r="O4" s="28">
        <f t="shared" si="0"/>
        <v>16705.850436754692</v>
      </c>
      <c r="P4" s="28">
        <f t="shared" si="0"/>
        <v>16981.634812205808</v>
      </c>
      <c r="Q4" s="28">
        <f t="shared" si="0"/>
        <v>17167.821130375425</v>
      </c>
      <c r="R4" s="28">
        <f t="shared" ref="R4:V4" si="1">R5+R9+R13</f>
        <v>19371.121646065407</v>
      </c>
      <c r="S4" s="28">
        <f t="shared" si="1"/>
        <v>20786.414540614966</v>
      </c>
      <c r="T4" s="28">
        <f t="shared" si="1"/>
        <v>21919.671901577738</v>
      </c>
      <c r="U4" s="28">
        <f t="shared" si="1"/>
        <v>22519.625523457646</v>
      </c>
      <c r="V4" s="28">
        <f t="shared" si="1"/>
        <v>9708.835787014752</v>
      </c>
      <c r="W4" s="28">
        <f t="shared" ref="W4:Y4" si="2">W5+W9+W13</f>
        <v>13387.226052066804</v>
      </c>
      <c r="X4" s="28">
        <f t="shared" si="2"/>
        <v>18804.911538588549</v>
      </c>
      <c r="Y4" s="28">
        <f t="shared" si="2"/>
        <v>22189.011405314475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5167.6166069807168</v>
      </c>
      <c r="C5" s="137">
        <f t="shared" si="3"/>
        <v>5305.3298442576943</v>
      </c>
      <c r="D5" s="137">
        <f t="shared" si="3"/>
        <v>5439.8197740195628</v>
      </c>
      <c r="E5" s="137">
        <f t="shared" si="3"/>
        <v>5572.2974948176707</v>
      </c>
      <c r="F5" s="137">
        <f t="shared" si="3"/>
        <v>5981.8290281892059</v>
      </c>
      <c r="G5" s="137">
        <f t="shared" si="3"/>
        <v>6199.9526188102363</v>
      </c>
      <c r="H5" s="137">
        <f t="shared" si="3"/>
        <v>6419.9535182044119</v>
      </c>
      <c r="I5" s="137">
        <f t="shared" si="3"/>
        <v>6741.650043358969</v>
      </c>
      <c r="J5" s="137">
        <f t="shared" si="3"/>
        <v>7225.1362811497611</v>
      </c>
      <c r="K5" s="137">
        <f t="shared" si="3"/>
        <v>7427.5226574631124</v>
      </c>
      <c r="L5" s="137">
        <f t="shared" si="3"/>
        <v>7332.9410838089998</v>
      </c>
      <c r="M5" s="137">
        <f t="shared" si="3"/>
        <v>7397.4590702398764</v>
      </c>
      <c r="N5" s="137">
        <f t="shared" si="3"/>
        <v>7459.0645626360365</v>
      </c>
      <c r="O5" s="137">
        <f t="shared" si="3"/>
        <v>7407.3976044576411</v>
      </c>
      <c r="P5" s="137">
        <f t="shared" si="3"/>
        <v>7544.0639704586001</v>
      </c>
      <c r="Q5" s="137">
        <f t="shared" si="3"/>
        <v>7764.0471137662034</v>
      </c>
      <c r="R5" s="137">
        <f t="shared" ref="R5:V5" si="4">R6+R7+R8</f>
        <v>8093.1062396763782</v>
      </c>
      <c r="S5" s="137">
        <f t="shared" si="4"/>
        <v>8224.1054746096816</v>
      </c>
      <c r="T5" s="137">
        <f t="shared" si="4"/>
        <v>8509.0329595421335</v>
      </c>
      <c r="U5" s="137">
        <f t="shared" si="4"/>
        <v>8763.0760268296453</v>
      </c>
      <c r="V5" s="137">
        <f t="shared" si="4"/>
        <v>7042.8566876789546</v>
      </c>
      <c r="W5" s="137">
        <f t="shared" ref="W5:Y5" si="5">W6+W7+W8</f>
        <v>7579.1361570033205</v>
      </c>
      <c r="X5" s="137">
        <f t="shared" si="5"/>
        <v>8260.141002325412</v>
      </c>
      <c r="Y5" s="137">
        <f t="shared" si="5"/>
        <v>8931.7312453328086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147.61660698071668</v>
      </c>
      <c r="C6" s="102">
        <f>TrRoad_act!C$5</f>
        <v>145.32984425769456</v>
      </c>
      <c r="D6" s="102">
        <f>TrRoad_act!D$5</f>
        <v>139.81977401956246</v>
      </c>
      <c r="E6" s="102">
        <f>TrRoad_act!E$5</f>
        <v>142.29749481767104</v>
      </c>
      <c r="F6" s="102">
        <f>TrRoad_act!F$5</f>
        <v>141.82902818920607</v>
      </c>
      <c r="G6" s="102">
        <f>TrRoad_act!G$5</f>
        <v>139.95261881023609</v>
      </c>
      <c r="H6" s="102">
        <f>TrRoad_act!H$5</f>
        <v>139.95351820441203</v>
      </c>
      <c r="I6" s="102">
        <f>TrRoad_act!I$5</f>
        <v>141.65004335896859</v>
      </c>
      <c r="J6" s="102">
        <f>TrRoad_act!J$5</f>
        <v>145.13628114976143</v>
      </c>
      <c r="K6" s="102">
        <f>TrRoad_act!K$5</f>
        <v>144.3145352914776</v>
      </c>
      <c r="L6" s="102">
        <f>TrRoad_act!L$5</f>
        <v>142.94108380900022</v>
      </c>
      <c r="M6" s="102">
        <f>TrRoad_act!M$5</f>
        <v>140.51057161183468</v>
      </c>
      <c r="N6" s="102">
        <f>TrRoad_act!N$5</f>
        <v>141.90893486347068</v>
      </c>
      <c r="O6" s="102">
        <f>TrRoad_act!O$5</f>
        <v>139.86227248788171</v>
      </c>
      <c r="P6" s="102">
        <f>TrRoad_act!P$5</f>
        <v>141.9102851466557</v>
      </c>
      <c r="Q6" s="102">
        <f>TrRoad_act!Q$5</f>
        <v>139.19628367650418</v>
      </c>
      <c r="R6" s="102">
        <f>TrRoad_act!R$5</f>
        <v>139.11426465097406</v>
      </c>
      <c r="S6" s="102">
        <f>TrRoad_act!S$5</f>
        <v>130.68155871139288</v>
      </c>
      <c r="T6" s="102">
        <f>TrRoad_act!T$5</f>
        <v>124.18731992039095</v>
      </c>
      <c r="U6" s="102">
        <f>TrRoad_act!U$5</f>
        <v>131.15163693728482</v>
      </c>
      <c r="V6" s="102">
        <f>TrRoad_act!V$5</f>
        <v>117.20304237711107</v>
      </c>
      <c r="W6" s="102">
        <f>TrRoad_act!W$5</f>
        <v>121.6845070665983</v>
      </c>
      <c r="X6" s="102">
        <f>TrRoad_act!X$5</f>
        <v>122.9753636766477</v>
      </c>
      <c r="Y6" s="102">
        <f>TrRoad_act!Y$5</f>
        <v>133.30082541386571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3900</v>
      </c>
      <c r="C7" s="102">
        <f>TrRoad_act!C$6</f>
        <v>4000</v>
      </c>
      <c r="D7" s="102">
        <f>TrRoad_act!D$6</f>
        <v>4100</v>
      </c>
      <c r="E7" s="102">
        <f>TrRoad_act!E$6</f>
        <v>4150</v>
      </c>
      <c r="F7" s="102">
        <f>TrRoad_act!F$6</f>
        <v>4600</v>
      </c>
      <c r="G7" s="102">
        <f>TrRoad_act!G$6</f>
        <v>4800</v>
      </c>
      <c r="H7" s="102">
        <f>TrRoad_act!H$6</f>
        <v>5000</v>
      </c>
      <c r="I7" s="102">
        <f>TrRoad_act!I$6</f>
        <v>5300</v>
      </c>
      <c r="J7" s="102">
        <f>TrRoad_act!J$6</f>
        <v>5750</v>
      </c>
      <c r="K7" s="102">
        <f>TrRoad_act!K$6</f>
        <v>6000</v>
      </c>
      <c r="L7" s="102">
        <f>TrRoad_act!L$6</f>
        <v>5900</v>
      </c>
      <c r="M7" s="102">
        <f>TrRoad_act!M$6</f>
        <v>5931.90592556501</v>
      </c>
      <c r="N7" s="102">
        <f>TrRoad_act!N$6</f>
        <v>5951.5765516010242</v>
      </c>
      <c r="O7" s="102">
        <f>TrRoad_act!O$6</f>
        <v>5921.1434324198744</v>
      </c>
      <c r="P7" s="102">
        <f>TrRoad_act!P$6</f>
        <v>6055.7617857620589</v>
      </c>
      <c r="Q7" s="102">
        <f>TrRoad_act!Q$6</f>
        <v>6198.1335730052551</v>
      </c>
      <c r="R7" s="102">
        <f>TrRoad_act!R$6</f>
        <v>6472.8965180617506</v>
      </c>
      <c r="S7" s="102">
        <f>TrRoad_act!S$6</f>
        <v>6557.3941867523126</v>
      </c>
      <c r="T7" s="102">
        <f>TrRoad_act!T$6</f>
        <v>6799.9745805257671</v>
      </c>
      <c r="U7" s="102">
        <f>TrRoad_act!U$6</f>
        <v>7034.8733638037793</v>
      </c>
      <c r="V7" s="102">
        <f>TrRoad_act!V$6</f>
        <v>6046.6964976588488</v>
      </c>
      <c r="W7" s="102">
        <f>TrRoad_act!W$6</f>
        <v>6509.2190059238583</v>
      </c>
      <c r="X7" s="102">
        <f>TrRoad_act!X$6</f>
        <v>6863.8990122444357</v>
      </c>
      <c r="Y7" s="102">
        <f>TrRoad_act!Y$6</f>
        <v>7346.7748164210216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1120</v>
      </c>
      <c r="C8" s="102">
        <f>TrRoad_act!C$13</f>
        <v>1160</v>
      </c>
      <c r="D8" s="102">
        <f>TrRoad_act!D$13</f>
        <v>1200</v>
      </c>
      <c r="E8" s="102">
        <f>TrRoad_act!E$13</f>
        <v>1280</v>
      </c>
      <c r="F8" s="102">
        <f>TrRoad_act!F$13</f>
        <v>1240</v>
      </c>
      <c r="G8" s="102">
        <f>TrRoad_act!G$13</f>
        <v>1260</v>
      </c>
      <c r="H8" s="102">
        <f>TrRoad_act!H$13</f>
        <v>1279.9999999999998</v>
      </c>
      <c r="I8" s="102">
        <f>TrRoad_act!I$13</f>
        <v>1300</v>
      </c>
      <c r="J8" s="102">
        <f>TrRoad_act!J$13</f>
        <v>1330</v>
      </c>
      <c r="K8" s="102">
        <f>TrRoad_act!K$13</f>
        <v>1283.2081221716342</v>
      </c>
      <c r="L8" s="102">
        <f>TrRoad_act!L$13</f>
        <v>1290</v>
      </c>
      <c r="M8" s="102">
        <f>TrRoad_act!M$13</f>
        <v>1325.0425730630311</v>
      </c>
      <c r="N8" s="102">
        <f>TrRoad_act!N$13</f>
        <v>1365.5790761715421</v>
      </c>
      <c r="O8" s="102">
        <f>TrRoad_act!O$13</f>
        <v>1346.3918995498855</v>
      </c>
      <c r="P8" s="102">
        <f>TrRoad_act!P$13</f>
        <v>1346.3918995498855</v>
      </c>
      <c r="Q8" s="102">
        <f>TrRoad_act!Q$13</f>
        <v>1426.7172570844441</v>
      </c>
      <c r="R8" s="102">
        <f>TrRoad_act!R$13</f>
        <v>1481.0954569636533</v>
      </c>
      <c r="S8" s="102">
        <f>TrRoad_act!S$13</f>
        <v>1536.0297291459747</v>
      </c>
      <c r="T8" s="102">
        <f>TrRoad_act!T$13</f>
        <v>1584.8710590959747</v>
      </c>
      <c r="U8" s="102">
        <f>TrRoad_act!U$13</f>
        <v>1597.0510260885806</v>
      </c>
      <c r="V8" s="102">
        <f>TrRoad_act!V$13</f>
        <v>878.95714764299453</v>
      </c>
      <c r="W8" s="102">
        <f>TrRoad_act!W$13</f>
        <v>948.23264401286337</v>
      </c>
      <c r="X8" s="102">
        <f>TrRoad_act!X$13</f>
        <v>1273.2666264043285</v>
      </c>
      <c r="Y8" s="102">
        <f>TrRoad_act!Y$13</f>
        <v>1451.6556034979221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0</v>
      </c>
      <c r="C9" s="110">
        <f t="shared" si="6"/>
        <v>0</v>
      </c>
      <c r="D9" s="110">
        <f t="shared" si="6"/>
        <v>0</v>
      </c>
      <c r="E9" s="110">
        <f t="shared" si="6"/>
        <v>0</v>
      </c>
      <c r="F9" s="110">
        <f t="shared" si="6"/>
        <v>0</v>
      </c>
      <c r="G9" s="110">
        <f t="shared" si="6"/>
        <v>0</v>
      </c>
      <c r="H9" s="110">
        <f t="shared" si="6"/>
        <v>0</v>
      </c>
      <c r="I9" s="110">
        <f t="shared" si="6"/>
        <v>0</v>
      </c>
      <c r="J9" s="110">
        <f t="shared" si="6"/>
        <v>0</v>
      </c>
      <c r="K9" s="110">
        <f t="shared" si="6"/>
        <v>0</v>
      </c>
      <c r="L9" s="110">
        <f t="shared" si="6"/>
        <v>0</v>
      </c>
      <c r="M9" s="110">
        <f t="shared" si="6"/>
        <v>0</v>
      </c>
      <c r="N9" s="110">
        <f t="shared" si="6"/>
        <v>0</v>
      </c>
      <c r="O9" s="110">
        <f t="shared" si="6"/>
        <v>0</v>
      </c>
      <c r="P9" s="110">
        <f t="shared" si="6"/>
        <v>0</v>
      </c>
      <c r="Q9" s="110">
        <f t="shared" si="6"/>
        <v>0</v>
      </c>
      <c r="R9" s="110">
        <f t="shared" ref="R9:V9" si="7">R10+R11+R12</f>
        <v>0</v>
      </c>
      <c r="S9" s="110">
        <f t="shared" si="7"/>
        <v>0</v>
      </c>
      <c r="T9" s="110">
        <f t="shared" si="7"/>
        <v>0</v>
      </c>
      <c r="U9" s="110">
        <f t="shared" si="7"/>
        <v>0</v>
      </c>
      <c r="V9" s="110">
        <f t="shared" si="7"/>
        <v>0</v>
      </c>
      <c r="W9" s="110">
        <f t="shared" ref="W9:Y9" si="8">W10+W11+W12</f>
        <v>0</v>
      </c>
      <c r="X9" s="110">
        <f t="shared" si="8"/>
        <v>0</v>
      </c>
      <c r="Y9" s="110">
        <f t="shared" si="8"/>
        <v>0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0</v>
      </c>
      <c r="G10" s="102">
        <f>TrRail_act!G$5</f>
        <v>0</v>
      </c>
      <c r="H10" s="102">
        <f>TrRail_act!H$5</f>
        <v>0</v>
      </c>
      <c r="I10" s="102">
        <f>TrRail_act!I$5</f>
        <v>0</v>
      </c>
      <c r="J10" s="102">
        <f>TrRail_act!J$5</f>
        <v>0</v>
      </c>
      <c r="K10" s="102">
        <f>TrRail_act!K$5</f>
        <v>0</v>
      </c>
      <c r="L10" s="102">
        <f>TrRail_act!L$5</f>
        <v>0</v>
      </c>
      <c r="M10" s="102">
        <f>TrRail_act!M$5</f>
        <v>0</v>
      </c>
      <c r="N10" s="102">
        <f>TrRail_act!N$5</f>
        <v>0</v>
      </c>
      <c r="O10" s="102">
        <f>TrRail_act!O$5</f>
        <v>0</v>
      </c>
      <c r="P10" s="102">
        <f>TrRail_act!P$5</f>
        <v>0</v>
      </c>
      <c r="Q10" s="102">
        <f>TrRail_act!Q$5</f>
        <v>0</v>
      </c>
      <c r="R10" s="102">
        <f>TrRail_act!R$5</f>
        <v>0</v>
      </c>
      <c r="S10" s="102">
        <f>TrRail_act!S$5</f>
        <v>0</v>
      </c>
      <c r="T10" s="102">
        <f>TrRail_act!T$5</f>
        <v>0</v>
      </c>
      <c r="U10" s="102">
        <f>TrRail_act!U$5</f>
        <v>0</v>
      </c>
      <c r="V10" s="102">
        <f>TrRail_act!V$5</f>
        <v>0</v>
      </c>
      <c r="W10" s="102">
        <f>TrRail_act!W$5</f>
        <v>0</v>
      </c>
      <c r="X10" s="102">
        <f>TrRail_act!X$5</f>
        <v>0</v>
      </c>
      <c r="Y10" s="102">
        <f>TrRail_act!Y$5</f>
        <v>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0</v>
      </c>
      <c r="C11" s="102">
        <f>TrRail_act!C$6</f>
        <v>0</v>
      </c>
      <c r="D11" s="102">
        <f>TrRail_act!D$6</f>
        <v>0</v>
      </c>
      <c r="E11" s="102">
        <f>TrRail_act!E$6</f>
        <v>0</v>
      </c>
      <c r="F11" s="102">
        <f>TrRail_act!F$6</f>
        <v>0</v>
      </c>
      <c r="G11" s="102">
        <f>TrRail_act!G$6</f>
        <v>0</v>
      </c>
      <c r="H11" s="102">
        <f>TrRail_act!H$6</f>
        <v>0</v>
      </c>
      <c r="I11" s="102">
        <f>TrRail_act!I$6</f>
        <v>0</v>
      </c>
      <c r="J11" s="102">
        <f>TrRail_act!J$6</f>
        <v>0</v>
      </c>
      <c r="K11" s="102">
        <f>TrRail_act!K$6</f>
        <v>0</v>
      </c>
      <c r="L11" s="102">
        <f>TrRail_act!L$6</f>
        <v>0</v>
      </c>
      <c r="M11" s="102">
        <f>TrRail_act!M$6</f>
        <v>0</v>
      </c>
      <c r="N11" s="102">
        <f>TrRail_act!N$6</f>
        <v>0</v>
      </c>
      <c r="O11" s="102">
        <f>TrRail_act!O$6</f>
        <v>0</v>
      </c>
      <c r="P11" s="102">
        <f>TrRail_act!P$6</f>
        <v>0</v>
      </c>
      <c r="Q11" s="102">
        <f>TrRail_act!Q$6</f>
        <v>0</v>
      </c>
      <c r="R11" s="102">
        <f>TrRail_act!R$6</f>
        <v>0</v>
      </c>
      <c r="S11" s="102">
        <f>TrRail_act!S$6</f>
        <v>0</v>
      </c>
      <c r="T11" s="102">
        <f>TrRail_act!T$6</f>
        <v>0</v>
      </c>
      <c r="U11" s="102">
        <f>TrRail_act!U$6</f>
        <v>0</v>
      </c>
      <c r="V11" s="102">
        <f>TrRail_act!V$6</f>
        <v>0</v>
      </c>
      <c r="W11" s="102">
        <f>TrRail_act!W$6</f>
        <v>0</v>
      </c>
      <c r="X11" s="102">
        <f>TrRail_act!X$6</f>
        <v>0</v>
      </c>
      <c r="Y11" s="102">
        <f>TrRail_act!Y$6</f>
        <v>0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9034.3618001182913</v>
      </c>
      <c r="C13" s="110">
        <f t="shared" ref="C13:V13" si="10">C14+C15+C16</f>
        <v>10413.555994528064</v>
      </c>
      <c r="D13" s="110">
        <f t="shared" si="10"/>
        <v>8258.2821402007412</v>
      </c>
      <c r="E13" s="110">
        <f t="shared" si="10"/>
        <v>8660.8680175241097</v>
      </c>
      <c r="F13" s="110">
        <f t="shared" si="10"/>
        <v>8679.8533505006781</v>
      </c>
      <c r="G13" s="110">
        <f t="shared" si="10"/>
        <v>9125.8885539863877</v>
      </c>
      <c r="H13" s="110">
        <f t="shared" si="10"/>
        <v>9130.9699736279963</v>
      </c>
      <c r="I13" s="110">
        <f t="shared" si="10"/>
        <v>9097.4113520480678</v>
      </c>
      <c r="J13" s="110">
        <f t="shared" si="10"/>
        <v>9436.5340404405506</v>
      </c>
      <c r="K13" s="110">
        <f t="shared" si="10"/>
        <v>8755.1354360837249</v>
      </c>
      <c r="L13" s="110">
        <f t="shared" si="10"/>
        <v>8985.6199634164586</v>
      </c>
      <c r="M13" s="110">
        <f t="shared" si="10"/>
        <v>9310.0182269515171</v>
      </c>
      <c r="N13" s="110">
        <f t="shared" si="10"/>
        <v>9330.8134826765327</v>
      </c>
      <c r="O13" s="110">
        <f t="shared" si="10"/>
        <v>9298.4528322970491</v>
      </c>
      <c r="P13" s="110">
        <f t="shared" si="10"/>
        <v>9437.5708417472088</v>
      </c>
      <c r="Q13" s="110">
        <f t="shared" si="10"/>
        <v>9403.7740166092226</v>
      </c>
      <c r="R13" s="110">
        <f t="shared" si="10"/>
        <v>11278.01540638903</v>
      </c>
      <c r="S13" s="110">
        <f t="shared" si="10"/>
        <v>12562.309066005284</v>
      </c>
      <c r="T13" s="110">
        <f t="shared" si="10"/>
        <v>13410.638942035604</v>
      </c>
      <c r="U13" s="110">
        <f t="shared" si="10"/>
        <v>13756.549496628002</v>
      </c>
      <c r="V13" s="110">
        <f t="shared" si="10"/>
        <v>2665.9790993357969</v>
      </c>
      <c r="W13" s="110">
        <f t="shared" ref="W13:Y13" si="11">W14+W15+W16</f>
        <v>5808.0898950634837</v>
      </c>
      <c r="X13" s="110">
        <f t="shared" si="11"/>
        <v>10544.770536263137</v>
      </c>
      <c r="Y13" s="110">
        <f t="shared" si="11"/>
        <v>13257.280159981667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8460.1104428330636</v>
      </c>
      <c r="C15" s="102">
        <f>TrAvia_act!C$6</f>
        <v>9725.4523987182038</v>
      </c>
      <c r="D15" s="102">
        <f>TrAvia_act!D$6</f>
        <v>7470.2587995972108</v>
      </c>
      <c r="E15" s="102">
        <f>TrAvia_act!E$6</f>
        <v>7792.6785657935479</v>
      </c>
      <c r="F15" s="102">
        <f>TrAvia_act!F$6</f>
        <v>7917.8820910960685</v>
      </c>
      <c r="G15" s="102">
        <f>TrAvia_act!G$6</f>
        <v>8402.4372964201648</v>
      </c>
      <c r="H15" s="102">
        <f>TrAvia_act!H$6</f>
        <v>8285.1607647210858</v>
      </c>
      <c r="I15" s="102">
        <f>TrAvia_act!I$6</f>
        <v>8173.7635297230563</v>
      </c>
      <c r="J15" s="102">
        <f>TrAvia_act!J$6</f>
        <v>8387.1407772064595</v>
      </c>
      <c r="K15" s="102">
        <f>TrAvia_act!K$6</f>
        <v>7805.1915526466873</v>
      </c>
      <c r="L15" s="102">
        <f>TrAvia_act!L$6</f>
        <v>7816.3287042524416</v>
      </c>
      <c r="M15" s="102">
        <f>TrAvia_act!M$6</f>
        <v>7893.1168216743381</v>
      </c>
      <c r="N15" s="102">
        <f>TrAvia_act!N$6</f>
        <v>7421.2945742348084</v>
      </c>
      <c r="O15" s="102">
        <f>TrAvia_act!O$6</f>
        <v>6693.5082307556495</v>
      </c>
      <c r="P15" s="102">
        <f>TrAvia_act!P$6</f>
        <v>6666.8000431961827</v>
      </c>
      <c r="Q15" s="102">
        <f>TrAvia_act!Q$6</f>
        <v>6792.6101201248521</v>
      </c>
      <c r="R15" s="102">
        <f>TrAvia_act!R$6</f>
        <v>7720.8945249554599</v>
      </c>
      <c r="S15" s="102">
        <f>TrAvia_act!S$6</f>
        <v>8850.5279881719762</v>
      </c>
      <c r="T15" s="102">
        <f>TrAvia_act!T$6</f>
        <v>9567.6194204803396</v>
      </c>
      <c r="U15" s="102">
        <f>TrAvia_act!U$6</f>
        <v>9870.0060149104156</v>
      </c>
      <c r="V15" s="102">
        <f>TrAvia_act!V$6</f>
        <v>2303.873193594769</v>
      </c>
      <c r="W15" s="102">
        <f>TrAvia_act!W$6</f>
        <v>3654.6700312209523</v>
      </c>
      <c r="X15" s="102">
        <f>TrAvia_act!X$6</f>
        <v>9625.5118211649005</v>
      </c>
      <c r="Y15" s="102">
        <f>TrAvia_act!Y$6</f>
        <v>11699.818845728585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574.25135728522855</v>
      </c>
      <c r="C16" s="102">
        <f>TrAvia_act!C$7</f>
        <v>688.10359580985937</v>
      </c>
      <c r="D16" s="102">
        <f>TrAvia_act!D$7</f>
        <v>788.02334060352996</v>
      </c>
      <c r="E16" s="102">
        <f>TrAvia_act!E$7</f>
        <v>868.18945173056227</v>
      </c>
      <c r="F16" s="102">
        <f>TrAvia_act!F$7</f>
        <v>761.97125940461046</v>
      </c>
      <c r="G16" s="102">
        <f>TrAvia_act!G$7</f>
        <v>723.45125756622213</v>
      </c>
      <c r="H16" s="102">
        <f>TrAvia_act!H$7</f>
        <v>845.80920890691061</v>
      </c>
      <c r="I16" s="102">
        <f>TrAvia_act!I$7</f>
        <v>923.64782232501227</v>
      </c>
      <c r="J16" s="102">
        <f>TrAvia_act!J$7</f>
        <v>1049.3932632340907</v>
      </c>
      <c r="K16" s="102">
        <f>TrAvia_act!K$7</f>
        <v>949.9438834370369</v>
      </c>
      <c r="L16" s="102">
        <f>TrAvia_act!L$7</f>
        <v>1169.2912591640168</v>
      </c>
      <c r="M16" s="102">
        <f>TrAvia_act!M$7</f>
        <v>1416.9014052771786</v>
      </c>
      <c r="N16" s="102">
        <f>TrAvia_act!N$7</f>
        <v>1909.5189084417243</v>
      </c>
      <c r="O16" s="102">
        <f>TrAvia_act!O$7</f>
        <v>2604.9446015414001</v>
      </c>
      <c r="P16" s="102">
        <f>TrAvia_act!P$7</f>
        <v>2770.7707985510251</v>
      </c>
      <c r="Q16" s="102">
        <f>TrAvia_act!Q$7</f>
        <v>2611.1638964843714</v>
      </c>
      <c r="R16" s="102">
        <f>TrAvia_act!R$7</f>
        <v>3557.1208814335705</v>
      </c>
      <c r="S16" s="102">
        <f>TrAvia_act!S$7</f>
        <v>3711.7810778333087</v>
      </c>
      <c r="T16" s="102">
        <f>TrAvia_act!T$7</f>
        <v>3843.0195215552644</v>
      </c>
      <c r="U16" s="102">
        <f>TrAvia_act!U$7</f>
        <v>3886.543481717586</v>
      </c>
      <c r="V16" s="102">
        <f>TrAvia_act!V$7</f>
        <v>362.10590574102793</v>
      </c>
      <c r="W16" s="102">
        <f>TrAvia_act!W$7</f>
        <v>2153.419863842531</v>
      </c>
      <c r="X16" s="102">
        <f>TrAvia_act!X$7</f>
        <v>919.25871509823594</v>
      </c>
      <c r="Y16" s="102">
        <f>TrAvia_act!Y$7</f>
        <v>1557.4613142530811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1486.3078688690143</v>
      </c>
      <c r="C17" s="28">
        <f t="shared" si="12"/>
        <v>1498.6964866748926</v>
      </c>
      <c r="D17" s="28">
        <f t="shared" si="12"/>
        <v>1497.1222203714781</v>
      </c>
      <c r="E17" s="28">
        <f t="shared" si="12"/>
        <v>1581.2289546788638</v>
      </c>
      <c r="F17" s="28">
        <f t="shared" si="12"/>
        <v>1306.8146724173657</v>
      </c>
      <c r="G17" s="28">
        <f t="shared" si="12"/>
        <v>1592.2100878982869</v>
      </c>
      <c r="H17" s="28">
        <f t="shared" si="12"/>
        <v>1356.579971460636</v>
      </c>
      <c r="I17" s="28">
        <f t="shared" si="12"/>
        <v>1391.2991427217225</v>
      </c>
      <c r="J17" s="28">
        <f t="shared" si="12"/>
        <v>1514.271836754591</v>
      </c>
      <c r="K17" s="28">
        <f t="shared" si="12"/>
        <v>1149.1171075417801</v>
      </c>
      <c r="L17" s="28">
        <f t="shared" si="12"/>
        <v>1272.0525204798109</v>
      </c>
      <c r="M17" s="28">
        <f t="shared" si="12"/>
        <v>1116.5412366219289</v>
      </c>
      <c r="N17" s="28">
        <f t="shared" si="12"/>
        <v>1067.2429077342224</v>
      </c>
      <c r="O17" s="28">
        <f t="shared" si="12"/>
        <v>799.14251000288493</v>
      </c>
      <c r="P17" s="28">
        <f t="shared" si="12"/>
        <v>698.72223730901862</v>
      </c>
      <c r="Q17" s="28">
        <f t="shared" si="12"/>
        <v>717.02671074867135</v>
      </c>
      <c r="R17" s="28">
        <f t="shared" ref="R17:V17" si="13">R18+R21+R22+R26</f>
        <v>860.11892420973061</v>
      </c>
      <c r="S17" s="28">
        <f t="shared" si="13"/>
        <v>993.18688273210307</v>
      </c>
      <c r="T17" s="28">
        <f t="shared" si="13"/>
        <v>1065.1986988488486</v>
      </c>
      <c r="U17" s="28">
        <f t="shared" si="13"/>
        <v>1037.0414726281472</v>
      </c>
      <c r="V17" s="28">
        <f t="shared" si="13"/>
        <v>859.25071869817191</v>
      </c>
      <c r="W17" s="28">
        <f t="shared" ref="W17:Y17" si="14">W18+W21+W22+W26</f>
        <v>893.42913230158001</v>
      </c>
      <c r="X17" s="28">
        <f t="shared" si="14"/>
        <v>1122.7768704555551</v>
      </c>
      <c r="Y17" s="28">
        <f t="shared" si="14"/>
        <v>1191.2849862670298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1444.3009444595652</v>
      </c>
      <c r="C18" s="137">
        <f t="shared" si="15"/>
        <v>1457.8896855726732</v>
      </c>
      <c r="D18" s="137">
        <f t="shared" si="15"/>
        <v>1459.7423414110895</v>
      </c>
      <c r="E18" s="137">
        <f t="shared" si="15"/>
        <v>1546.0982828978524</v>
      </c>
      <c r="F18" s="137">
        <f t="shared" si="15"/>
        <v>1267.100738176867</v>
      </c>
      <c r="G18" s="137">
        <f t="shared" si="15"/>
        <v>1546.9233641430305</v>
      </c>
      <c r="H18" s="137">
        <f t="shared" si="15"/>
        <v>1306.9220209272751</v>
      </c>
      <c r="I18" s="137">
        <f t="shared" si="15"/>
        <v>1344.381109992461</v>
      </c>
      <c r="J18" s="137">
        <f t="shared" si="15"/>
        <v>1465.724370521126</v>
      </c>
      <c r="K18" s="137">
        <f t="shared" si="15"/>
        <v>1103.0278236006616</v>
      </c>
      <c r="L18" s="137">
        <f t="shared" si="15"/>
        <v>1225.6085639930711</v>
      </c>
      <c r="M18" s="137">
        <f t="shared" si="15"/>
        <v>1084.1407309871938</v>
      </c>
      <c r="N18" s="137">
        <f t="shared" si="15"/>
        <v>1042.7449614550715</v>
      </c>
      <c r="O18" s="137">
        <f t="shared" si="15"/>
        <v>774.57986296564354</v>
      </c>
      <c r="P18" s="137">
        <f t="shared" si="15"/>
        <v>674.85816296218377</v>
      </c>
      <c r="Q18" s="137">
        <f t="shared" si="15"/>
        <v>695.14994143680588</v>
      </c>
      <c r="R18" s="137">
        <f t="shared" ref="R18:V18" si="16">R19+R20</f>
        <v>839.96530199965412</v>
      </c>
      <c r="S18" s="137">
        <f t="shared" si="16"/>
        <v>965.6288917721954</v>
      </c>
      <c r="T18" s="137">
        <f t="shared" si="16"/>
        <v>1037.3766711476314</v>
      </c>
      <c r="U18" s="137">
        <f t="shared" si="16"/>
        <v>1002.3889378474216</v>
      </c>
      <c r="V18" s="137">
        <f t="shared" si="16"/>
        <v>839.54320990166991</v>
      </c>
      <c r="W18" s="137">
        <f t="shared" ref="W18:Y18" si="17">W19+W20</f>
        <v>868.9777659890957</v>
      </c>
      <c r="X18" s="137">
        <f t="shared" si="17"/>
        <v>1089.6025866540213</v>
      </c>
      <c r="Y18" s="137">
        <f t="shared" si="17"/>
        <v>1150.6114856473414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164.30094445956533</v>
      </c>
      <c r="C19" s="102">
        <f>TrRoad_act!C$20</f>
        <v>167.88968557267324</v>
      </c>
      <c r="D19" s="102">
        <f>TrRoad_act!D$20</f>
        <v>173.74234141108954</v>
      </c>
      <c r="E19" s="102">
        <f>TrRoad_act!E$20</f>
        <v>176.09828289785222</v>
      </c>
      <c r="F19" s="102">
        <f>TrRoad_act!F$20</f>
        <v>165.10073817686694</v>
      </c>
      <c r="G19" s="102">
        <f>TrRoad_act!G$20</f>
        <v>172.92336414303051</v>
      </c>
      <c r="H19" s="102">
        <f>TrRoad_act!H$20</f>
        <v>161.92202092727476</v>
      </c>
      <c r="I19" s="102">
        <f>TrRoad_act!I$20</f>
        <v>160.38110999246112</v>
      </c>
      <c r="J19" s="102">
        <f>TrRoad_act!J$20</f>
        <v>169.72437052112599</v>
      </c>
      <c r="K19" s="102">
        <f>TrRoad_act!K$20</f>
        <v>159.02782360066155</v>
      </c>
      <c r="L19" s="102">
        <f>TrRoad_act!L$20</f>
        <v>159.60856399307116</v>
      </c>
      <c r="M19" s="102">
        <f>TrRoad_act!M$20</f>
        <v>161.14073098719382</v>
      </c>
      <c r="N19" s="102">
        <f>TrRoad_act!N$20</f>
        <v>162.74496145507146</v>
      </c>
      <c r="O19" s="102">
        <f>TrRoad_act!O$20</f>
        <v>156.57986296564349</v>
      </c>
      <c r="P19" s="102">
        <f>TrRoad_act!P$20</f>
        <v>148.85816296218383</v>
      </c>
      <c r="Q19" s="102">
        <f>TrRoad_act!Q$20</f>
        <v>147.1499414368059</v>
      </c>
      <c r="R19" s="102">
        <f>TrRoad_act!R$20</f>
        <v>155.96530199965412</v>
      </c>
      <c r="S19" s="102">
        <f>TrRoad_act!S$20</f>
        <v>163.62889177219537</v>
      </c>
      <c r="T19" s="102">
        <f>TrRoad_act!T$20</f>
        <v>172.37667114763136</v>
      </c>
      <c r="U19" s="102">
        <f>TrRoad_act!U$20</f>
        <v>171.38893784742169</v>
      </c>
      <c r="V19" s="102">
        <f>TrRoad_act!V$20</f>
        <v>167.54320990166994</v>
      </c>
      <c r="W19" s="102">
        <f>TrRoad_act!W$20</f>
        <v>165.97776598909573</v>
      </c>
      <c r="X19" s="102">
        <f>TrRoad_act!X$20</f>
        <v>166.60258665402122</v>
      </c>
      <c r="Y19" s="102">
        <f>TrRoad_act!Y$20</f>
        <v>164.61148564734128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1280</v>
      </c>
      <c r="C20" s="102">
        <f>TrRoad_act!C$26</f>
        <v>1290</v>
      </c>
      <c r="D20" s="102">
        <f>TrRoad_act!D$26</f>
        <v>1286</v>
      </c>
      <c r="E20" s="102">
        <f>TrRoad_act!E$26</f>
        <v>1370.0000000000002</v>
      </c>
      <c r="F20" s="102">
        <f>TrRoad_act!F$26</f>
        <v>1102</v>
      </c>
      <c r="G20" s="102">
        <f>TrRoad_act!G$26</f>
        <v>1374</v>
      </c>
      <c r="H20" s="102">
        <f>TrRoad_act!H$26</f>
        <v>1145.0000000000002</v>
      </c>
      <c r="I20" s="102">
        <f>TrRoad_act!I$26</f>
        <v>1184</v>
      </c>
      <c r="J20" s="102">
        <f>TrRoad_act!J$26</f>
        <v>1296</v>
      </c>
      <c r="K20" s="102">
        <f>TrRoad_act!K$26</f>
        <v>944</v>
      </c>
      <c r="L20" s="102">
        <f>TrRoad_act!L$26</f>
        <v>1066</v>
      </c>
      <c r="M20" s="102">
        <f>TrRoad_act!M$26</f>
        <v>923</v>
      </c>
      <c r="N20" s="102">
        <f>TrRoad_act!N$26</f>
        <v>880</v>
      </c>
      <c r="O20" s="102">
        <f>TrRoad_act!O$26</f>
        <v>618</v>
      </c>
      <c r="P20" s="102">
        <f>TrRoad_act!P$26</f>
        <v>526</v>
      </c>
      <c r="Q20" s="102">
        <f>TrRoad_act!Q$26</f>
        <v>548</v>
      </c>
      <c r="R20" s="102">
        <f>TrRoad_act!R$26</f>
        <v>684</v>
      </c>
      <c r="S20" s="102">
        <f>TrRoad_act!S$26</f>
        <v>802</v>
      </c>
      <c r="T20" s="102">
        <f>TrRoad_act!T$26</f>
        <v>865</v>
      </c>
      <c r="U20" s="102">
        <f>TrRoad_act!U$26</f>
        <v>831</v>
      </c>
      <c r="V20" s="102">
        <f>TrRoad_act!V$26</f>
        <v>672</v>
      </c>
      <c r="W20" s="102">
        <f>TrRoad_act!W$26</f>
        <v>703</v>
      </c>
      <c r="X20" s="102">
        <f>TrRoad_act!X$26</f>
        <v>923</v>
      </c>
      <c r="Y20" s="102">
        <f>TrRoad_act!Y$26</f>
        <v>986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0</v>
      </c>
      <c r="C21" s="110">
        <f>TrRail_act!C$10</f>
        <v>0</v>
      </c>
      <c r="D21" s="110">
        <f>TrRail_act!D$10</f>
        <v>0</v>
      </c>
      <c r="E21" s="110">
        <f>TrRail_act!E$10</f>
        <v>0</v>
      </c>
      <c r="F21" s="110">
        <f>TrRail_act!F$10</f>
        <v>0</v>
      </c>
      <c r="G21" s="110">
        <f>TrRail_act!G$10</f>
        <v>0</v>
      </c>
      <c r="H21" s="110">
        <f>TrRail_act!H$10</f>
        <v>0</v>
      </c>
      <c r="I21" s="110">
        <f>TrRail_act!I$10</f>
        <v>0</v>
      </c>
      <c r="J21" s="110">
        <f>TrRail_act!J$10</f>
        <v>0</v>
      </c>
      <c r="K21" s="110">
        <f>TrRail_act!K$10</f>
        <v>0</v>
      </c>
      <c r="L21" s="110">
        <f>TrRail_act!L$10</f>
        <v>0</v>
      </c>
      <c r="M21" s="110">
        <f>TrRail_act!M$10</f>
        <v>0</v>
      </c>
      <c r="N21" s="110">
        <f>TrRail_act!N$10</f>
        <v>0</v>
      </c>
      <c r="O21" s="110">
        <f>TrRail_act!O$10</f>
        <v>0</v>
      </c>
      <c r="P21" s="110">
        <f>TrRail_act!P$10</f>
        <v>0</v>
      </c>
      <c r="Q21" s="110">
        <f>TrRail_act!Q$10</f>
        <v>0</v>
      </c>
      <c r="R21" s="110">
        <f>TrRail_act!R$10</f>
        <v>0</v>
      </c>
      <c r="S21" s="110">
        <f>TrRail_act!S$10</f>
        <v>0</v>
      </c>
      <c r="T21" s="110">
        <f>TrRail_act!T$10</f>
        <v>0</v>
      </c>
      <c r="U21" s="110">
        <f>TrRail_act!U$10</f>
        <v>0</v>
      </c>
      <c r="V21" s="110">
        <f>TrRail_act!V$10</f>
        <v>0</v>
      </c>
      <c r="W21" s="110">
        <f>TrRail_act!W$10</f>
        <v>0</v>
      </c>
      <c r="X21" s="110">
        <f>TrRail_act!X$10</f>
        <v>0</v>
      </c>
      <c r="Y21" s="110">
        <f>TrRail_act!Y$10</f>
        <v>0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42.006924409449034</v>
      </c>
      <c r="C22" s="110">
        <f t="shared" ref="C22:V22" si="19">C23+C24+C25</f>
        <v>40.806801102219467</v>
      </c>
      <c r="D22" s="110">
        <f t="shared" si="19"/>
        <v>37.379878960388666</v>
      </c>
      <c r="E22" s="110">
        <f t="shared" si="19"/>
        <v>35.130671781011529</v>
      </c>
      <c r="F22" s="110">
        <f t="shared" si="19"/>
        <v>39.713934240498645</v>
      </c>
      <c r="G22" s="110">
        <f t="shared" si="19"/>
        <v>45.286723755256361</v>
      </c>
      <c r="H22" s="110">
        <f t="shared" si="19"/>
        <v>49.657950533360975</v>
      </c>
      <c r="I22" s="110">
        <f t="shared" si="19"/>
        <v>46.918032729261441</v>
      </c>
      <c r="J22" s="110">
        <f t="shared" si="19"/>
        <v>48.54746623346503</v>
      </c>
      <c r="K22" s="110">
        <f t="shared" si="19"/>
        <v>46.089283941118509</v>
      </c>
      <c r="L22" s="110">
        <f t="shared" si="19"/>
        <v>46.443956486739879</v>
      </c>
      <c r="M22" s="110">
        <f t="shared" si="19"/>
        <v>32.400505634735154</v>
      </c>
      <c r="N22" s="110">
        <f t="shared" si="19"/>
        <v>24.497946279150966</v>
      </c>
      <c r="O22" s="110">
        <f t="shared" si="19"/>
        <v>24.562647037241423</v>
      </c>
      <c r="P22" s="110">
        <f t="shared" si="19"/>
        <v>23.864074346834823</v>
      </c>
      <c r="Q22" s="110">
        <f t="shared" si="19"/>
        <v>21.876769311865431</v>
      </c>
      <c r="R22" s="110">
        <f t="shared" si="19"/>
        <v>20.153622210076474</v>
      </c>
      <c r="S22" s="110">
        <f t="shared" si="19"/>
        <v>18.35699095990762</v>
      </c>
      <c r="T22" s="110">
        <f t="shared" si="19"/>
        <v>18.137027701217121</v>
      </c>
      <c r="U22" s="110">
        <f t="shared" si="19"/>
        <v>22.356534780725536</v>
      </c>
      <c r="V22" s="110">
        <f t="shared" si="19"/>
        <v>13.809508796502023</v>
      </c>
      <c r="W22" s="110">
        <f t="shared" ref="W22:Y22" si="20">W23+W24+W25</f>
        <v>12.003366312484285</v>
      </c>
      <c r="X22" s="110">
        <f t="shared" si="20"/>
        <v>13.27928380153385</v>
      </c>
      <c r="Y22" s="110">
        <f t="shared" si="20"/>
        <v>15.803500619688601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33.221897336838161</v>
      </c>
      <c r="C24" s="102">
        <f>TrAvia_act!C$10</f>
        <v>31.984374277252879</v>
      </c>
      <c r="D24" s="102">
        <f>TrAvia_act!D$10</f>
        <v>29.593188336735928</v>
      </c>
      <c r="E24" s="102">
        <f>TrAvia_act!E$10</f>
        <v>28.137743719200088</v>
      </c>
      <c r="F24" s="102">
        <f>TrAvia_act!F$10</f>
        <v>31.888715057380615</v>
      </c>
      <c r="G24" s="102">
        <f>TrAvia_act!G$10</f>
        <v>38.107018763931194</v>
      </c>
      <c r="H24" s="102">
        <f>TrAvia_act!H$10</f>
        <v>40.266871027811561</v>
      </c>
      <c r="I24" s="102">
        <f>TrAvia_act!I$10</f>
        <v>37.125926365790939</v>
      </c>
      <c r="J24" s="102">
        <f>TrAvia_act!J$10</f>
        <v>36.98636486676898</v>
      </c>
      <c r="K24" s="102">
        <f>TrAvia_act!K$10</f>
        <v>34.305895356524694</v>
      </c>
      <c r="L24" s="102">
        <f>TrAvia_act!L$10</f>
        <v>33.958390650178863</v>
      </c>
      <c r="M24" s="102">
        <f>TrAvia_act!M$10</f>
        <v>24.536666111885978</v>
      </c>
      <c r="N24" s="102">
        <f>TrAvia_act!N$10</f>
        <v>20.829235315186008</v>
      </c>
      <c r="O24" s="102">
        <f>TrAvia_act!O$10</f>
        <v>19.083539299533154</v>
      </c>
      <c r="P24" s="102">
        <f>TrAvia_act!P$10</f>
        <v>18.136497557872776</v>
      </c>
      <c r="Q24" s="102">
        <f>TrAvia_act!Q$10</f>
        <v>16.278121976091761</v>
      </c>
      <c r="R24" s="102">
        <f>TrAvia_act!R$10</f>
        <v>15.133646565342966</v>
      </c>
      <c r="S24" s="102">
        <f>TrAvia_act!S$10</f>
        <v>14.676721303191917</v>
      </c>
      <c r="T24" s="102">
        <f>TrAvia_act!T$10</f>
        <v>13.494088605376504</v>
      </c>
      <c r="U24" s="102">
        <f>TrAvia_act!U$10</f>
        <v>11.785034078957649</v>
      </c>
      <c r="V24" s="102">
        <f>TrAvia_act!V$10</f>
        <v>9.3604702961211981</v>
      </c>
      <c r="W24" s="102">
        <f>TrAvia_act!W$10</f>
        <v>8.8588273491444358</v>
      </c>
      <c r="X24" s="102">
        <f>TrAvia_act!X$10</f>
        <v>10.450885783901082</v>
      </c>
      <c r="Y24" s="102">
        <f>TrAvia_act!Y$10</f>
        <v>11.881732101898754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8.7850270726108715</v>
      </c>
      <c r="C25" s="102">
        <f>TrAvia_act!C$11</f>
        <v>8.8224268249665858</v>
      </c>
      <c r="D25" s="102">
        <f>TrAvia_act!D$11</f>
        <v>7.7866906236527402</v>
      </c>
      <c r="E25" s="102">
        <f>TrAvia_act!E$11</f>
        <v>6.9929280618114387</v>
      </c>
      <c r="F25" s="102">
        <f>TrAvia_act!F$11</f>
        <v>7.8252191831180271</v>
      </c>
      <c r="G25" s="102">
        <f>TrAvia_act!G$11</f>
        <v>7.1797049913251652</v>
      </c>
      <c r="H25" s="102">
        <f>TrAvia_act!H$11</f>
        <v>9.3910795055494134</v>
      </c>
      <c r="I25" s="102">
        <f>TrAvia_act!I$11</f>
        <v>9.7921063634705003</v>
      </c>
      <c r="J25" s="102">
        <f>TrAvia_act!J$11</f>
        <v>11.561101366696048</v>
      </c>
      <c r="K25" s="102">
        <f>TrAvia_act!K$11</f>
        <v>11.783388584593812</v>
      </c>
      <c r="L25" s="102">
        <f>TrAvia_act!L$11</f>
        <v>12.485565836561015</v>
      </c>
      <c r="M25" s="102">
        <f>TrAvia_act!M$11</f>
        <v>7.8638395228491724</v>
      </c>
      <c r="N25" s="102">
        <f>TrAvia_act!N$11</f>
        <v>3.6687109639649584</v>
      </c>
      <c r="O25" s="102">
        <f>TrAvia_act!O$11</f>
        <v>5.4791077377082686</v>
      </c>
      <c r="P25" s="102">
        <f>TrAvia_act!P$11</f>
        <v>5.7275767889620459</v>
      </c>
      <c r="Q25" s="102">
        <f>TrAvia_act!Q$11</f>
        <v>5.5986473357736681</v>
      </c>
      <c r="R25" s="102">
        <f>TrAvia_act!R$11</f>
        <v>5.019975644733508</v>
      </c>
      <c r="S25" s="102">
        <f>TrAvia_act!S$11</f>
        <v>3.6802696567157036</v>
      </c>
      <c r="T25" s="102">
        <f>TrAvia_act!T$11</f>
        <v>4.6429390958406191</v>
      </c>
      <c r="U25" s="102">
        <f>TrAvia_act!U$11</f>
        <v>10.571500701767887</v>
      </c>
      <c r="V25" s="102">
        <f>TrAvia_act!V$11</f>
        <v>4.4490385003808237</v>
      </c>
      <c r="W25" s="102">
        <f>TrAvia_act!W$11</f>
        <v>3.1445389633398491</v>
      </c>
      <c r="X25" s="102">
        <f>TrAvia_act!X$11</f>
        <v>2.8283980176327672</v>
      </c>
      <c r="Y25" s="102">
        <f>TrAvia_act!Y$11</f>
        <v>3.9217685177898467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0</v>
      </c>
      <c r="C26" s="110">
        <f t="shared" si="21"/>
        <v>0</v>
      </c>
      <c r="D26" s="110">
        <f t="shared" si="21"/>
        <v>0</v>
      </c>
      <c r="E26" s="110">
        <f t="shared" si="21"/>
        <v>0</v>
      </c>
      <c r="F26" s="110">
        <f t="shared" si="21"/>
        <v>0</v>
      </c>
      <c r="G26" s="110">
        <f t="shared" si="21"/>
        <v>0</v>
      </c>
      <c r="H26" s="110">
        <f t="shared" si="21"/>
        <v>0</v>
      </c>
      <c r="I26" s="110">
        <f t="shared" si="21"/>
        <v>0</v>
      </c>
      <c r="J26" s="110">
        <f t="shared" si="21"/>
        <v>0</v>
      </c>
      <c r="K26" s="110">
        <f t="shared" si="21"/>
        <v>0</v>
      </c>
      <c r="L26" s="110">
        <f t="shared" si="21"/>
        <v>0</v>
      </c>
      <c r="M26" s="110">
        <f t="shared" si="21"/>
        <v>0</v>
      </c>
      <c r="N26" s="110">
        <f t="shared" si="21"/>
        <v>0</v>
      </c>
      <c r="O26" s="110">
        <f t="shared" si="21"/>
        <v>0</v>
      </c>
      <c r="P26" s="110">
        <f t="shared" si="21"/>
        <v>0</v>
      </c>
      <c r="Q26" s="110">
        <f t="shared" si="21"/>
        <v>0</v>
      </c>
      <c r="R26" s="110">
        <f t="shared" ref="R26:V26" si="22">R27+R28</f>
        <v>0</v>
      </c>
      <c r="S26" s="110">
        <f t="shared" si="22"/>
        <v>9.2010000000000005</v>
      </c>
      <c r="T26" s="110">
        <f t="shared" si="22"/>
        <v>9.6850000000000005</v>
      </c>
      <c r="U26" s="110">
        <f t="shared" si="22"/>
        <v>12.295999999999999</v>
      </c>
      <c r="V26" s="110">
        <f t="shared" si="22"/>
        <v>5.8979999999999997</v>
      </c>
      <c r="W26" s="110">
        <f t="shared" ref="W26:Y26" si="23">W27+W28</f>
        <v>12.448</v>
      </c>
      <c r="X26" s="110">
        <f t="shared" si="23"/>
        <v>19.895</v>
      </c>
      <c r="Y26" s="110">
        <f t="shared" si="23"/>
        <v>24.87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9.2010000000000005</v>
      </c>
      <c r="T27" s="102">
        <f>TrNavi_act!T4</f>
        <v>9.6850000000000005</v>
      </c>
      <c r="U27" s="102">
        <f>TrNavi_act!U4</f>
        <v>12.295999999999999</v>
      </c>
      <c r="V27" s="102">
        <f>TrNavi_act!V4</f>
        <v>5.8979999999999997</v>
      </c>
      <c r="W27" s="102">
        <f>TrNavi_act!W4</f>
        <v>12.448</v>
      </c>
      <c r="X27" s="102">
        <f>TrNavi_act!X4</f>
        <v>19.895</v>
      </c>
      <c r="Y27" s="102">
        <f>TrNavi_act!Y4</f>
        <v>24.87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4642.6260259999999</v>
      </c>
      <c r="C29" s="28">
        <f t="shared" si="24"/>
        <v>4482.4564840000003</v>
      </c>
      <c r="D29" s="28">
        <f t="shared" si="24"/>
        <v>3250.4747100000004</v>
      </c>
      <c r="E29" s="28">
        <f t="shared" si="24"/>
        <v>2529.8710769999998</v>
      </c>
      <c r="F29" s="28">
        <f t="shared" si="24"/>
        <v>3287.5057969999998</v>
      </c>
      <c r="G29" s="28">
        <f t="shared" si="24"/>
        <v>4280.4795960000001</v>
      </c>
      <c r="H29" s="28">
        <f t="shared" si="24"/>
        <v>4529.4411209999998</v>
      </c>
      <c r="I29" s="28">
        <f t="shared" si="24"/>
        <v>6994.2827719999987</v>
      </c>
      <c r="J29" s="28">
        <f t="shared" si="24"/>
        <v>6894.2891739999995</v>
      </c>
      <c r="K29" s="28">
        <f t="shared" si="24"/>
        <v>4637.2199079999991</v>
      </c>
      <c r="L29" s="28">
        <f t="shared" si="24"/>
        <v>4781.2907539999997</v>
      </c>
      <c r="M29" s="28">
        <f t="shared" si="24"/>
        <v>8192.423573</v>
      </c>
      <c r="N29" s="28">
        <f t="shared" si="24"/>
        <v>10105.108783</v>
      </c>
      <c r="O29" s="28">
        <f t="shared" si="24"/>
        <v>9480.6817100000007</v>
      </c>
      <c r="P29" s="28">
        <f t="shared" si="24"/>
        <v>10049.629362</v>
      </c>
      <c r="Q29" s="28">
        <f t="shared" si="24"/>
        <v>10432.390090999999</v>
      </c>
      <c r="R29" s="28">
        <f t="shared" si="24"/>
        <v>14189.408504999999</v>
      </c>
      <c r="S29" s="28">
        <f t="shared" si="24"/>
        <v>11620.333605</v>
      </c>
      <c r="T29" s="28">
        <f t="shared" si="24"/>
        <v>11171.937195</v>
      </c>
      <c r="U29" s="28">
        <f t="shared" si="24"/>
        <v>11372.364174</v>
      </c>
      <c r="V29" s="28">
        <f t="shared" si="24"/>
        <v>11213.616641999999</v>
      </c>
      <c r="W29" s="28">
        <f t="shared" si="24"/>
        <v>11048.166509999999</v>
      </c>
      <c r="X29" s="28">
        <f t="shared" ref="X29:Y29" si="25">X30+X31</f>
        <v>11424.744674</v>
      </c>
      <c r="Y29" s="28">
        <f t="shared" si="25"/>
        <v>13949.615757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3338.106131</v>
      </c>
      <c r="C30" s="102">
        <f>MBunk_act!C$4</f>
        <v>3224.0436759999998</v>
      </c>
      <c r="D30" s="102">
        <f>MBunk_act!D$4</f>
        <v>2328.7379110000002</v>
      </c>
      <c r="E30" s="102">
        <f>MBunk_act!E$4</f>
        <v>1914.9399249999999</v>
      </c>
      <c r="F30" s="102">
        <f>MBunk_act!F$4</f>
        <v>2625.6528779999999</v>
      </c>
      <c r="G30" s="102">
        <f>MBunk_act!G$4</f>
        <v>2236.5014610000003</v>
      </c>
      <c r="H30" s="102">
        <f>MBunk_act!H$4</f>
        <v>2536.3532989999999</v>
      </c>
      <c r="I30" s="102">
        <f>MBunk_act!I$4</f>
        <v>2114.1158879999998</v>
      </c>
      <c r="J30" s="102">
        <f>MBunk_act!J$4</f>
        <v>3241.7815500000002</v>
      </c>
      <c r="K30" s="102">
        <f>MBunk_act!K$4</f>
        <v>2457.9579089999997</v>
      </c>
      <c r="L30" s="102">
        <f>MBunk_act!L$4</f>
        <v>2292.6987429999999</v>
      </c>
      <c r="M30" s="102">
        <f>MBunk_act!M$4</f>
        <v>5243.4848320000001</v>
      </c>
      <c r="N30" s="102">
        <f>MBunk_act!N$4</f>
        <v>6530.9141319999999</v>
      </c>
      <c r="O30" s="102">
        <f>MBunk_act!O$4</f>
        <v>6052.1713589999999</v>
      </c>
      <c r="P30" s="102">
        <f>MBunk_act!P$4</f>
        <v>6137.8556769999996</v>
      </c>
      <c r="Q30" s="102">
        <f>MBunk_act!Q$4</f>
        <v>6298.9144209999995</v>
      </c>
      <c r="R30" s="102">
        <f>MBunk_act!R$4</f>
        <v>8450.1782910000002</v>
      </c>
      <c r="S30" s="102">
        <f>MBunk_act!S$4</f>
        <v>6326.2804939999996</v>
      </c>
      <c r="T30" s="102">
        <f>MBunk_act!T$4</f>
        <v>5478.8703750000004</v>
      </c>
      <c r="U30" s="102">
        <f>MBunk_act!U$4</f>
        <v>6668.7080880000003</v>
      </c>
      <c r="V30" s="102">
        <f>MBunk_act!V$4</f>
        <v>6760.9502909999992</v>
      </c>
      <c r="W30" s="102">
        <f>MBunk_act!W$4</f>
        <v>7048.0579600000001</v>
      </c>
      <c r="X30" s="102">
        <f>MBunk_act!X$4</f>
        <v>6341.3472279999996</v>
      </c>
      <c r="Y30" s="102">
        <f>MBunk_act!Y$4</f>
        <v>8102.4561050000002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1304.5198949999999</v>
      </c>
      <c r="C31" s="86">
        <f>MBunk_act!C$5</f>
        <v>1258.412808</v>
      </c>
      <c r="D31" s="86">
        <f>MBunk_act!D$5</f>
        <v>921.73679900000002</v>
      </c>
      <c r="E31" s="86">
        <f>MBunk_act!E$5</f>
        <v>614.931152</v>
      </c>
      <c r="F31" s="86">
        <f>MBunk_act!F$5</f>
        <v>661.85291899999993</v>
      </c>
      <c r="G31" s="86">
        <f>MBunk_act!G$5</f>
        <v>2043.9781349999998</v>
      </c>
      <c r="H31" s="86">
        <f>MBunk_act!H$5</f>
        <v>1993.087822</v>
      </c>
      <c r="I31" s="86">
        <f>MBunk_act!I$5</f>
        <v>4880.1668839999993</v>
      </c>
      <c r="J31" s="86">
        <f>MBunk_act!J$5</f>
        <v>3652.5076239999999</v>
      </c>
      <c r="K31" s="86">
        <f>MBunk_act!K$5</f>
        <v>2179.2619989999998</v>
      </c>
      <c r="L31" s="86">
        <f>MBunk_act!L$5</f>
        <v>2488.5920109999997</v>
      </c>
      <c r="M31" s="86">
        <f>MBunk_act!M$5</f>
        <v>2948.9387409999999</v>
      </c>
      <c r="N31" s="86">
        <f>MBunk_act!N$5</f>
        <v>3574.1946510000002</v>
      </c>
      <c r="O31" s="86">
        <f>MBunk_act!O$5</f>
        <v>3428.5103509999999</v>
      </c>
      <c r="P31" s="86">
        <f>MBunk_act!P$5</f>
        <v>3911.7736850000001</v>
      </c>
      <c r="Q31" s="86">
        <f>MBunk_act!Q$5</f>
        <v>4133.4756699999998</v>
      </c>
      <c r="R31" s="86">
        <f>MBunk_act!R$5</f>
        <v>5739.2302140000002</v>
      </c>
      <c r="S31" s="86">
        <f>MBunk_act!S$5</f>
        <v>5294.0531110000002</v>
      </c>
      <c r="T31" s="86">
        <f>MBunk_act!T$5</f>
        <v>5693.06682</v>
      </c>
      <c r="U31" s="86">
        <f>MBunk_act!U$5</f>
        <v>4703.656086</v>
      </c>
      <c r="V31" s="86">
        <f>MBunk_act!V$5</f>
        <v>4452.6663509999998</v>
      </c>
      <c r="W31" s="86">
        <f>MBunk_act!W$5</f>
        <v>4000.1085499999999</v>
      </c>
      <c r="X31" s="86">
        <f>MBunk_act!X$5</f>
        <v>5083.3974459999999</v>
      </c>
      <c r="Y31" s="86">
        <f>MBunk_act!Y$5</f>
        <v>5847.1596519999994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625.08291586448297</v>
      </c>
      <c r="C34" s="28">
        <f t="shared" si="26"/>
        <v>692.57618831467994</v>
      </c>
      <c r="D34" s="28">
        <f t="shared" si="26"/>
        <v>682.64830120136821</v>
      </c>
      <c r="E34" s="28">
        <f t="shared" si="26"/>
        <v>735.71695958437954</v>
      </c>
      <c r="F34" s="28">
        <f t="shared" si="26"/>
        <v>745.50358126127855</v>
      </c>
      <c r="G34" s="28">
        <f t="shared" si="26"/>
        <v>751.82223083560416</v>
      </c>
      <c r="H34" s="28">
        <f t="shared" si="26"/>
        <v>780.69859340271648</v>
      </c>
      <c r="I34" s="28">
        <f t="shared" si="26"/>
        <v>809.05754180156487</v>
      </c>
      <c r="J34" s="28">
        <f t="shared" si="26"/>
        <v>830.20359975706504</v>
      </c>
      <c r="K34" s="28">
        <f t="shared" si="26"/>
        <v>827.41880072265212</v>
      </c>
      <c r="L34" s="28">
        <f t="shared" si="26"/>
        <v>843.45740919739876</v>
      </c>
      <c r="M34" s="28">
        <f t="shared" si="26"/>
        <v>862.64773245705237</v>
      </c>
      <c r="N34" s="28">
        <f t="shared" si="26"/>
        <v>801.11869062367123</v>
      </c>
      <c r="O34" s="28">
        <f t="shared" si="26"/>
        <v>732.68495572350685</v>
      </c>
      <c r="P34" s="28">
        <f t="shared" si="26"/>
        <v>721.28467078711128</v>
      </c>
      <c r="Q34" s="28">
        <f t="shared" si="26"/>
        <v>743.03050133059696</v>
      </c>
      <c r="R34" s="28">
        <f t="shared" ref="R34:V34" si="27">R35+R39+R43</f>
        <v>797.93948558762099</v>
      </c>
      <c r="S34" s="28">
        <f t="shared" si="27"/>
        <v>845.06402842323007</v>
      </c>
      <c r="T34" s="28">
        <f t="shared" si="27"/>
        <v>857.00820242255236</v>
      </c>
      <c r="U34" s="28">
        <f t="shared" si="27"/>
        <v>852.95258190322431</v>
      </c>
      <c r="V34" s="28">
        <f t="shared" si="27"/>
        <v>568.60144213757803</v>
      </c>
      <c r="W34" s="28">
        <f t="shared" ref="W34:Y34" si="28">W35+W39+W43</f>
        <v>668.71507726773837</v>
      </c>
      <c r="X34" s="28">
        <f t="shared" si="28"/>
        <v>772.30466320651817</v>
      </c>
      <c r="Y34" s="28">
        <f t="shared" si="28"/>
        <v>840.46411604122682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352.03660735911592</v>
      </c>
      <c r="C35" s="137">
        <f t="shared" si="29"/>
        <v>369.81781455435788</v>
      </c>
      <c r="D35" s="137">
        <f t="shared" si="29"/>
        <v>373.51195918096136</v>
      </c>
      <c r="E35" s="137">
        <f t="shared" si="29"/>
        <v>404.13698044401355</v>
      </c>
      <c r="F35" s="137">
        <f t="shared" si="29"/>
        <v>445.48328214630772</v>
      </c>
      <c r="G35" s="137">
        <f t="shared" si="29"/>
        <v>457.34917516323907</v>
      </c>
      <c r="H35" s="137">
        <f t="shared" si="29"/>
        <v>478.57034117172321</v>
      </c>
      <c r="I35" s="137">
        <f t="shared" si="29"/>
        <v>518.79025735308244</v>
      </c>
      <c r="J35" s="137">
        <f t="shared" si="29"/>
        <v>540.94261126168362</v>
      </c>
      <c r="K35" s="137">
        <f t="shared" si="29"/>
        <v>558.82597360721411</v>
      </c>
      <c r="L35" s="137">
        <f t="shared" si="29"/>
        <v>568.88966853545571</v>
      </c>
      <c r="M35" s="137">
        <f t="shared" si="29"/>
        <v>560.45894347053058</v>
      </c>
      <c r="N35" s="137">
        <f t="shared" si="29"/>
        <v>528.52309344108198</v>
      </c>
      <c r="O35" s="137">
        <f t="shared" si="29"/>
        <v>490.09147506326337</v>
      </c>
      <c r="P35" s="137">
        <f t="shared" si="29"/>
        <v>482.10456567229352</v>
      </c>
      <c r="Q35" s="137">
        <f t="shared" si="29"/>
        <v>501.52202247370548</v>
      </c>
      <c r="R35" s="137">
        <f t="shared" ref="R35:V35" si="30">R36+R37+R38</f>
        <v>524.17652966412265</v>
      </c>
      <c r="S35" s="137">
        <f t="shared" si="30"/>
        <v>534.80772565830534</v>
      </c>
      <c r="T35" s="137">
        <f t="shared" si="30"/>
        <v>535.3461792509371</v>
      </c>
      <c r="U35" s="137">
        <f t="shared" si="30"/>
        <v>544.40895272053126</v>
      </c>
      <c r="V35" s="137">
        <f t="shared" si="30"/>
        <v>475.43204448600994</v>
      </c>
      <c r="W35" s="137">
        <f t="shared" ref="W35:Y35" si="31">W36+W37+W38</f>
        <v>512.96610022303616</v>
      </c>
      <c r="X35" s="137">
        <f t="shared" si="31"/>
        <v>509.73999240684634</v>
      </c>
      <c r="Y35" s="137">
        <f t="shared" si="31"/>
        <v>536.21677407244431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5.8366945270989286</v>
      </c>
      <c r="C36" s="102">
        <f>TrRoad_ene!C$19</f>
        <v>5.6997166361680698</v>
      </c>
      <c r="D36" s="102">
        <f>TrRoad_ene!D$19</f>
        <v>5.5442971468005862</v>
      </c>
      <c r="E36" s="102">
        <f>TrRoad_ene!E$19</f>
        <v>5.6033450738127515</v>
      </c>
      <c r="F36" s="102">
        <f>TrRoad_ene!F$19</f>
        <v>5.5603902002093202</v>
      </c>
      <c r="G36" s="102">
        <f>TrRoad_ene!G$19</f>
        <v>5.4501282950444212</v>
      </c>
      <c r="H36" s="102">
        <f>TrRoad_ene!H$19</f>
        <v>5.4040846981879742</v>
      </c>
      <c r="I36" s="102">
        <f>TrRoad_ene!I$19</f>
        <v>5.4121061413484775</v>
      </c>
      <c r="J36" s="102">
        <f>TrRoad_ene!J$19</f>
        <v>5.486504214648436</v>
      </c>
      <c r="K36" s="102">
        <f>TrRoad_ene!K$19</f>
        <v>5.3922760438905888</v>
      </c>
      <c r="L36" s="102">
        <f>TrRoad_ene!L$19</f>
        <v>5.2713977122854327</v>
      </c>
      <c r="M36" s="102">
        <f>TrRoad_ene!M$19</f>
        <v>5.121516574891662</v>
      </c>
      <c r="N36" s="102">
        <f>TrRoad_ene!N$19</f>
        <v>5.1854946316066846</v>
      </c>
      <c r="O36" s="102">
        <f>TrRoad_ene!O$19</f>
        <v>5.0547026566733084</v>
      </c>
      <c r="P36" s="102">
        <f>TrRoad_ene!P$19</f>
        <v>5.0873199559286562</v>
      </c>
      <c r="Q36" s="102">
        <f>TrRoad_ene!Q$19</f>
        <v>4.8975301355567034</v>
      </c>
      <c r="R36" s="102">
        <f>TrRoad_ene!R$19</f>
        <v>4.8519633983535133</v>
      </c>
      <c r="S36" s="102">
        <f>TrRoad_ene!S$19</f>
        <v>4.5190744180671292</v>
      </c>
      <c r="T36" s="102">
        <f>TrRoad_ene!T$19</f>
        <v>4.2423567521712391</v>
      </c>
      <c r="U36" s="102">
        <f>TrRoad_ene!U$19</f>
        <v>4.4360018528258447</v>
      </c>
      <c r="V36" s="102">
        <f>TrRoad_ene!V$19</f>
        <v>3.9262544139997404</v>
      </c>
      <c r="W36" s="102">
        <f>TrRoad_ene!W$19</f>
        <v>4.0259407321082099</v>
      </c>
      <c r="X36" s="102">
        <f>TrRoad_ene!X$19</f>
        <v>4.0408179406028291</v>
      </c>
      <c r="Y36" s="102">
        <f>TrRoad_ene!Y$19</f>
        <v>4.3273324291807844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255.62091542029643</v>
      </c>
      <c r="C37" s="102">
        <f>TrRoad_ene!C$21</f>
        <v>271.75650877360613</v>
      </c>
      <c r="D37" s="102">
        <f>TrRoad_ene!D$21</f>
        <v>277.97222223207405</v>
      </c>
      <c r="E37" s="102">
        <f>TrRoad_ene!E$21</f>
        <v>301.9863173893562</v>
      </c>
      <c r="F37" s="102">
        <f>TrRoad_ene!F$21</f>
        <v>338.2440293655427</v>
      </c>
      <c r="G37" s="102">
        <f>TrRoad_ene!G$21</f>
        <v>356.75186940404461</v>
      </c>
      <c r="H37" s="102">
        <f>TrRoad_ene!H$21</f>
        <v>376.6377708580352</v>
      </c>
      <c r="I37" s="102">
        <f>TrRoad_ene!I$21</f>
        <v>411.62140092408936</v>
      </c>
      <c r="J37" s="102">
        <f>TrRoad_ene!J$21</f>
        <v>435.15704536610087</v>
      </c>
      <c r="K37" s="102">
        <f>TrRoad_ene!K$21</f>
        <v>451.57529002531618</v>
      </c>
      <c r="L37" s="102">
        <f>TrRoad_ene!L$21</f>
        <v>461.28589750194158</v>
      </c>
      <c r="M37" s="102">
        <f>TrRoad_ene!M$21</f>
        <v>454.00525448286157</v>
      </c>
      <c r="N37" s="102">
        <f>TrRoad_ene!N$21</f>
        <v>431.01915699372222</v>
      </c>
      <c r="O37" s="102">
        <f>TrRoad_ene!O$21</f>
        <v>402.17276177764006</v>
      </c>
      <c r="P37" s="102">
        <f>TrRoad_ene!P$21</f>
        <v>394.98019420456438</v>
      </c>
      <c r="Q37" s="102">
        <f>TrRoad_ene!Q$21</f>
        <v>405.28578027236193</v>
      </c>
      <c r="R37" s="102">
        <f>TrRoad_ene!R$21</f>
        <v>423.53031738411522</v>
      </c>
      <c r="S37" s="102">
        <f>TrRoad_ene!S$21</f>
        <v>430.09925337266077</v>
      </c>
      <c r="T37" s="102">
        <f>TrRoad_ene!T$21</f>
        <v>430.77121951894094</v>
      </c>
      <c r="U37" s="102">
        <f>TrRoad_ene!U$21</f>
        <v>437.37314944656248</v>
      </c>
      <c r="V37" s="102">
        <f>TrRoad_ene!V$21</f>
        <v>387.16747413674352</v>
      </c>
      <c r="W37" s="102">
        <f>TrRoad_ene!W$21</f>
        <v>415.91527946428721</v>
      </c>
      <c r="X37" s="102">
        <f>TrRoad_ene!X$21</f>
        <v>413.49779473294114</v>
      </c>
      <c r="Y37" s="102">
        <f>TrRoad_ene!Y$21</f>
        <v>433.84005562061537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90.578997411720536</v>
      </c>
      <c r="C38" s="102">
        <f>TrRoad_ene!C$33</f>
        <v>92.361589144583647</v>
      </c>
      <c r="D38" s="102">
        <f>TrRoad_ene!D$33</f>
        <v>89.995439802086693</v>
      </c>
      <c r="E38" s="102">
        <f>TrRoad_ene!E$33</f>
        <v>96.547317980844582</v>
      </c>
      <c r="F38" s="102">
        <f>TrRoad_ene!F$33</f>
        <v>101.67886258055566</v>
      </c>
      <c r="G38" s="102">
        <f>TrRoad_ene!G$33</f>
        <v>95.147177464150047</v>
      </c>
      <c r="H38" s="102">
        <f>TrRoad_ene!H$33</f>
        <v>96.528485615500017</v>
      </c>
      <c r="I38" s="102">
        <f>TrRoad_ene!I$33</f>
        <v>101.75675028764461</v>
      </c>
      <c r="J38" s="102">
        <f>TrRoad_ene!J$33</f>
        <v>100.29906168093427</v>
      </c>
      <c r="K38" s="102">
        <f>TrRoad_ene!K$33</f>
        <v>101.85840753800731</v>
      </c>
      <c r="L38" s="102">
        <f>TrRoad_ene!L$33</f>
        <v>102.33237332122873</v>
      </c>
      <c r="M38" s="102">
        <f>TrRoad_ene!M$33</f>
        <v>101.33217241277737</v>
      </c>
      <c r="N38" s="102">
        <f>TrRoad_ene!N$33</f>
        <v>92.318441815753033</v>
      </c>
      <c r="O38" s="102">
        <f>TrRoad_ene!O$33</f>
        <v>82.864010628949998</v>
      </c>
      <c r="P38" s="102">
        <f>TrRoad_ene!P$33</f>
        <v>82.037051511800499</v>
      </c>
      <c r="Q38" s="102">
        <f>TrRoad_ene!Q$33</f>
        <v>91.338712065786865</v>
      </c>
      <c r="R38" s="102">
        <f>TrRoad_ene!R$33</f>
        <v>95.794248881653971</v>
      </c>
      <c r="S38" s="102">
        <f>TrRoad_ene!S$33</f>
        <v>100.18939786757741</v>
      </c>
      <c r="T38" s="102">
        <f>TrRoad_ene!T$33</f>
        <v>100.3326029798249</v>
      </c>
      <c r="U38" s="102">
        <f>TrRoad_ene!U$33</f>
        <v>102.59980142114301</v>
      </c>
      <c r="V38" s="102">
        <f>TrRoad_ene!V$33</f>
        <v>84.338315935266678</v>
      </c>
      <c r="W38" s="102">
        <f>TrRoad_ene!W$33</f>
        <v>93.024880026640716</v>
      </c>
      <c r="X38" s="102">
        <f>TrRoad_ene!X$33</f>
        <v>92.201379733302346</v>
      </c>
      <c r="Y38" s="102">
        <f>TrRoad_ene!Y$33</f>
        <v>98.049386022648193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0</v>
      </c>
      <c r="C39" s="110">
        <f t="shared" si="32"/>
        <v>0</v>
      </c>
      <c r="D39" s="110">
        <f t="shared" si="32"/>
        <v>0</v>
      </c>
      <c r="E39" s="110">
        <f t="shared" si="32"/>
        <v>0</v>
      </c>
      <c r="F39" s="110">
        <f t="shared" si="32"/>
        <v>0</v>
      </c>
      <c r="G39" s="110">
        <f t="shared" si="32"/>
        <v>0</v>
      </c>
      <c r="H39" s="110">
        <f t="shared" si="32"/>
        <v>0</v>
      </c>
      <c r="I39" s="110">
        <f t="shared" si="32"/>
        <v>0</v>
      </c>
      <c r="J39" s="110">
        <f t="shared" si="32"/>
        <v>0</v>
      </c>
      <c r="K39" s="110">
        <f t="shared" si="32"/>
        <v>0</v>
      </c>
      <c r="L39" s="110">
        <f t="shared" si="32"/>
        <v>0</v>
      </c>
      <c r="M39" s="110">
        <f t="shared" si="32"/>
        <v>0</v>
      </c>
      <c r="N39" s="110">
        <f t="shared" si="32"/>
        <v>0</v>
      </c>
      <c r="O39" s="110">
        <f t="shared" si="32"/>
        <v>0</v>
      </c>
      <c r="P39" s="110">
        <f t="shared" si="32"/>
        <v>0</v>
      </c>
      <c r="Q39" s="110">
        <f t="shared" si="32"/>
        <v>0</v>
      </c>
      <c r="R39" s="110">
        <f t="shared" ref="R39:V39" si="33">R40+R41+R42</f>
        <v>0</v>
      </c>
      <c r="S39" s="110">
        <f t="shared" si="33"/>
        <v>0</v>
      </c>
      <c r="T39" s="110">
        <f t="shared" si="33"/>
        <v>0</v>
      </c>
      <c r="U39" s="110">
        <f t="shared" si="33"/>
        <v>0</v>
      </c>
      <c r="V39" s="110">
        <f t="shared" si="33"/>
        <v>0</v>
      </c>
      <c r="W39" s="110">
        <f t="shared" ref="W39:Y39" si="34">W40+W41+W42</f>
        <v>0</v>
      </c>
      <c r="X39" s="110">
        <f t="shared" si="34"/>
        <v>0</v>
      </c>
      <c r="Y39" s="110">
        <f t="shared" si="34"/>
        <v>0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</v>
      </c>
      <c r="G40" s="102">
        <f>TrRail_ene!G$12</f>
        <v>0</v>
      </c>
      <c r="H40" s="102">
        <f>TrRail_ene!H$12</f>
        <v>0</v>
      </c>
      <c r="I40" s="102">
        <f>TrRail_ene!I$12</f>
        <v>0</v>
      </c>
      <c r="J40" s="102">
        <f>TrRail_ene!J$12</f>
        <v>0</v>
      </c>
      <c r="K40" s="102">
        <f>TrRail_ene!K$12</f>
        <v>0</v>
      </c>
      <c r="L40" s="102">
        <f>TrRail_ene!L$12</f>
        <v>0</v>
      </c>
      <c r="M40" s="102">
        <f>TrRail_ene!M$12</f>
        <v>0</v>
      </c>
      <c r="N40" s="102">
        <f>TrRail_ene!N$12</f>
        <v>0</v>
      </c>
      <c r="O40" s="102">
        <f>TrRail_ene!O$12</f>
        <v>0</v>
      </c>
      <c r="P40" s="102">
        <f>TrRail_ene!P$12</f>
        <v>0</v>
      </c>
      <c r="Q40" s="102">
        <f>TrRail_ene!Q$12</f>
        <v>0</v>
      </c>
      <c r="R40" s="102">
        <f>TrRail_ene!R$12</f>
        <v>0</v>
      </c>
      <c r="S40" s="102">
        <f>TrRail_ene!S$12</f>
        <v>0</v>
      </c>
      <c r="T40" s="102">
        <f>TrRail_ene!T$12</f>
        <v>0</v>
      </c>
      <c r="U40" s="102">
        <f>TrRail_ene!U$12</f>
        <v>0</v>
      </c>
      <c r="V40" s="102">
        <f>TrRail_ene!V$12</f>
        <v>0</v>
      </c>
      <c r="W40" s="102">
        <f>TrRail_ene!W$12</f>
        <v>0</v>
      </c>
      <c r="X40" s="102">
        <f>TrRail_ene!X$12</f>
        <v>0</v>
      </c>
      <c r="Y40" s="102">
        <f>TrRail_ene!Y$12</f>
        <v>0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0</v>
      </c>
      <c r="C41" s="102">
        <f>TrRail_ene!C$13</f>
        <v>0</v>
      </c>
      <c r="D41" s="102">
        <f>TrRail_ene!D$13</f>
        <v>0</v>
      </c>
      <c r="E41" s="102">
        <f>TrRail_ene!E$13</f>
        <v>0</v>
      </c>
      <c r="F41" s="102">
        <f>TrRail_ene!F$13</f>
        <v>0</v>
      </c>
      <c r="G41" s="102">
        <f>TrRail_ene!G$13</f>
        <v>0</v>
      </c>
      <c r="H41" s="102">
        <f>TrRail_ene!H$13</f>
        <v>0</v>
      </c>
      <c r="I41" s="102">
        <f>TrRail_ene!I$13</f>
        <v>0</v>
      </c>
      <c r="J41" s="102">
        <f>TrRail_ene!J$13</f>
        <v>0</v>
      </c>
      <c r="K41" s="102">
        <f>TrRail_ene!K$13</f>
        <v>0</v>
      </c>
      <c r="L41" s="102">
        <f>TrRail_ene!L$13</f>
        <v>0</v>
      </c>
      <c r="M41" s="102">
        <f>TrRail_ene!M$13</f>
        <v>0</v>
      </c>
      <c r="N41" s="102">
        <f>TrRail_ene!N$13</f>
        <v>0</v>
      </c>
      <c r="O41" s="102">
        <f>TrRail_ene!O$13</f>
        <v>0</v>
      </c>
      <c r="P41" s="102">
        <f>TrRail_ene!P$13</f>
        <v>0</v>
      </c>
      <c r="Q41" s="102">
        <f>TrRail_ene!Q$13</f>
        <v>0</v>
      </c>
      <c r="R41" s="102">
        <f>TrRail_ene!R$13</f>
        <v>0</v>
      </c>
      <c r="S41" s="102">
        <f>TrRail_ene!S$13</f>
        <v>0</v>
      </c>
      <c r="T41" s="102">
        <f>TrRail_ene!T$13</f>
        <v>0</v>
      </c>
      <c r="U41" s="102">
        <f>TrRail_ene!U$13</f>
        <v>0</v>
      </c>
      <c r="V41" s="102">
        <f>TrRail_ene!V$13</f>
        <v>0</v>
      </c>
      <c r="W41" s="102">
        <f>TrRail_ene!W$13</f>
        <v>0</v>
      </c>
      <c r="X41" s="102">
        <f>TrRail_ene!X$13</f>
        <v>0</v>
      </c>
      <c r="Y41" s="102">
        <f>TrRail_ene!Y$13</f>
        <v>0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273.04630850536705</v>
      </c>
      <c r="C43" s="110">
        <f t="shared" si="35"/>
        <v>322.75837376032206</v>
      </c>
      <c r="D43" s="110">
        <f t="shared" si="35"/>
        <v>309.13634202040686</v>
      </c>
      <c r="E43" s="110">
        <f t="shared" si="35"/>
        <v>331.57997914036599</v>
      </c>
      <c r="F43" s="110">
        <f t="shared" si="35"/>
        <v>300.02029911497084</v>
      </c>
      <c r="G43" s="110">
        <f t="shared" si="35"/>
        <v>294.47305567236504</v>
      </c>
      <c r="H43" s="110">
        <f t="shared" si="35"/>
        <v>302.12825223099327</v>
      </c>
      <c r="I43" s="110">
        <f t="shared" si="35"/>
        <v>290.26728444848243</v>
      </c>
      <c r="J43" s="110">
        <f t="shared" si="35"/>
        <v>289.26098849538141</v>
      </c>
      <c r="K43" s="110">
        <f t="shared" si="35"/>
        <v>268.59282711543807</v>
      </c>
      <c r="L43" s="110">
        <f t="shared" si="35"/>
        <v>274.56774066194305</v>
      </c>
      <c r="M43" s="110">
        <f t="shared" si="35"/>
        <v>302.18878898652179</v>
      </c>
      <c r="N43" s="110">
        <f t="shared" si="35"/>
        <v>272.59559718258924</v>
      </c>
      <c r="O43" s="110">
        <f t="shared" si="35"/>
        <v>242.59348066024344</v>
      </c>
      <c r="P43" s="110">
        <f t="shared" si="35"/>
        <v>239.18010511481771</v>
      </c>
      <c r="Q43" s="110">
        <f t="shared" si="35"/>
        <v>241.50847885689154</v>
      </c>
      <c r="R43" s="110">
        <f t="shared" ref="R43:V43" si="36">R44+R45+R46</f>
        <v>273.76295592349828</v>
      </c>
      <c r="S43" s="110">
        <f t="shared" si="36"/>
        <v>310.25630276492473</v>
      </c>
      <c r="T43" s="110">
        <f t="shared" si="36"/>
        <v>321.66202317161526</v>
      </c>
      <c r="U43" s="110">
        <f t="shared" si="36"/>
        <v>308.54362918269305</v>
      </c>
      <c r="V43" s="110">
        <f t="shared" si="36"/>
        <v>93.169397651568147</v>
      </c>
      <c r="W43" s="110">
        <f t="shared" ref="W43:Y43" si="37">W44+W45+W46</f>
        <v>155.74897704470217</v>
      </c>
      <c r="X43" s="110">
        <f t="shared" si="37"/>
        <v>262.56467079967177</v>
      </c>
      <c r="Y43" s="110">
        <f t="shared" si="37"/>
        <v>304.24734196878245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238.28285077483665</v>
      </c>
      <c r="C45" s="102">
        <f>TrAvia_ene!C$8</f>
        <v>281.6643083363337</v>
      </c>
      <c r="D45" s="102">
        <f>TrAvia_ene!D$8</f>
        <v>257.65535866998493</v>
      </c>
      <c r="E45" s="102">
        <f>TrAvia_ene!E$8</f>
        <v>276.3577531043656</v>
      </c>
      <c r="F45" s="102">
        <f>TrAvia_ene!F$8</f>
        <v>258.1540969698745</v>
      </c>
      <c r="G45" s="102">
        <f>TrAvia_ene!G$8</f>
        <v>255.18252009079097</v>
      </c>
      <c r="H45" s="102">
        <f>TrAvia_ene!H$8</f>
        <v>261.98682130862619</v>
      </c>
      <c r="I45" s="102">
        <f>TrAvia_ene!I$8</f>
        <v>251.83284539915397</v>
      </c>
      <c r="J45" s="102">
        <f>TrAvia_ene!J$8</f>
        <v>250.50067264248125</v>
      </c>
      <c r="K45" s="102">
        <f>TrAvia_ene!K$8</f>
        <v>230.73717765684918</v>
      </c>
      <c r="L45" s="102">
        <f>TrAvia_ene!L$8</f>
        <v>234.67768655883398</v>
      </c>
      <c r="M45" s="102">
        <f>TrAvia_ene!M$8</f>
        <v>258.99204113642469</v>
      </c>
      <c r="N45" s="102">
        <f>TrAvia_ene!N$8</f>
        <v>231.26524678164088</v>
      </c>
      <c r="O45" s="102">
        <f>TrAvia_ene!O$8</f>
        <v>204.11111156124656</v>
      </c>
      <c r="P45" s="102">
        <f>TrAvia_ene!P$8</f>
        <v>200.92632100209707</v>
      </c>
      <c r="Q45" s="102">
        <f>TrAvia_ene!Q$8</f>
        <v>203.13937256077875</v>
      </c>
      <c r="R45" s="102">
        <f>TrAvia_ene!R$8</f>
        <v>233.88905411330708</v>
      </c>
      <c r="S45" s="102">
        <f>TrAvia_ene!S$8</f>
        <v>267.51621367207167</v>
      </c>
      <c r="T45" s="102">
        <f>TrAvia_ene!T$8</f>
        <v>276.62858670879842</v>
      </c>
      <c r="U45" s="102">
        <f>TrAvia_ene!U$8</f>
        <v>263.70307309181482</v>
      </c>
      <c r="V45" s="102">
        <f>TrAvia_ene!V$8</f>
        <v>70.937726760585448</v>
      </c>
      <c r="W45" s="102">
        <f>TrAvia_ene!W$8</f>
        <v>123.72868284898821</v>
      </c>
      <c r="X45" s="102">
        <f>TrAvia_ene!X$8</f>
        <v>225.05668331263209</v>
      </c>
      <c r="Y45" s="102">
        <f>TrAvia_ene!Y$8</f>
        <v>260.98957587731627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34.763457730530433</v>
      </c>
      <c r="C46" s="102">
        <f>TrAvia_ene!C$9</f>
        <v>41.094065423988376</v>
      </c>
      <c r="D46" s="102">
        <f>TrAvia_ene!D$9</f>
        <v>51.480983350421923</v>
      </c>
      <c r="E46" s="102">
        <f>TrAvia_ene!E$9</f>
        <v>55.222226036000393</v>
      </c>
      <c r="F46" s="102">
        <f>TrAvia_ene!F$9</f>
        <v>41.866202145096352</v>
      </c>
      <c r="G46" s="102">
        <f>TrAvia_ene!G$9</f>
        <v>39.290535581574048</v>
      </c>
      <c r="H46" s="102">
        <f>TrAvia_ene!H$9</f>
        <v>40.141430922367064</v>
      </c>
      <c r="I46" s="102">
        <f>TrAvia_ene!I$9</f>
        <v>38.434439049328475</v>
      </c>
      <c r="J46" s="102">
        <f>TrAvia_ene!J$9</f>
        <v>38.760315852900149</v>
      </c>
      <c r="K46" s="102">
        <f>TrAvia_ene!K$9</f>
        <v>37.855649458588879</v>
      </c>
      <c r="L46" s="102">
        <f>TrAvia_ene!L$9</f>
        <v>39.890054103109094</v>
      </c>
      <c r="M46" s="102">
        <f>TrAvia_ene!M$9</f>
        <v>43.196747850097111</v>
      </c>
      <c r="N46" s="102">
        <f>TrAvia_ene!N$9</f>
        <v>41.330350400948355</v>
      </c>
      <c r="O46" s="102">
        <f>TrAvia_ene!O$9</f>
        <v>38.482369098996877</v>
      </c>
      <c r="P46" s="102">
        <f>TrAvia_ene!P$9</f>
        <v>38.253784112720638</v>
      </c>
      <c r="Q46" s="102">
        <f>TrAvia_ene!Q$9</f>
        <v>38.369106296112776</v>
      </c>
      <c r="R46" s="102">
        <f>TrAvia_ene!R$9</f>
        <v>39.873901810191207</v>
      </c>
      <c r="S46" s="102">
        <f>TrAvia_ene!S$9</f>
        <v>42.74008909285304</v>
      </c>
      <c r="T46" s="102">
        <f>TrAvia_ene!T$9</f>
        <v>45.033436462816809</v>
      </c>
      <c r="U46" s="102">
        <f>TrAvia_ene!U$9</f>
        <v>44.840556090878209</v>
      </c>
      <c r="V46" s="102">
        <f>TrAvia_ene!V$9</f>
        <v>22.231670890982691</v>
      </c>
      <c r="W46" s="102">
        <f>TrAvia_ene!W$9</f>
        <v>32.020294195713966</v>
      </c>
      <c r="X46" s="102">
        <f>TrAvia_ene!X$9</f>
        <v>37.507987487039699</v>
      </c>
      <c r="Y46" s="102">
        <f>TrAvia_ene!Y$9</f>
        <v>43.257766091466159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234.63333521032351</v>
      </c>
      <c r="C47" s="28">
        <f t="shared" si="38"/>
        <v>234.48271108342843</v>
      </c>
      <c r="D47" s="28">
        <f t="shared" si="38"/>
        <v>226.9151553764479</v>
      </c>
      <c r="E47" s="28">
        <f t="shared" si="38"/>
        <v>231.63041788767538</v>
      </c>
      <c r="F47" s="28">
        <f t="shared" si="38"/>
        <v>227.17483662350213</v>
      </c>
      <c r="G47" s="28">
        <f t="shared" si="38"/>
        <v>230.64647079810183</v>
      </c>
      <c r="H47" s="28">
        <f t="shared" si="38"/>
        <v>208.78979868670746</v>
      </c>
      <c r="I47" s="28">
        <f t="shared" si="38"/>
        <v>212.68491487775694</v>
      </c>
      <c r="J47" s="28">
        <f t="shared" si="38"/>
        <v>218.64274563955846</v>
      </c>
      <c r="K47" s="28">
        <f t="shared" si="38"/>
        <v>201.24179484382455</v>
      </c>
      <c r="L47" s="28">
        <f t="shared" si="38"/>
        <v>206.3965677999486</v>
      </c>
      <c r="M47" s="28">
        <f t="shared" si="38"/>
        <v>191.35358524030485</v>
      </c>
      <c r="N47" s="28">
        <f t="shared" si="38"/>
        <v>164.90928285627575</v>
      </c>
      <c r="O47" s="28">
        <f t="shared" si="38"/>
        <v>134.79313914489376</v>
      </c>
      <c r="P47" s="28">
        <f t="shared" si="38"/>
        <v>121.58768227229851</v>
      </c>
      <c r="Q47" s="28">
        <f t="shared" si="38"/>
        <v>124.35989562687145</v>
      </c>
      <c r="R47" s="28">
        <f t="shared" ref="R47:V47" si="39">R48+R51+R52+R56</f>
        <v>137.25354261729061</v>
      </c>
      <c r="S47" s="28">
        <f t="shared" si="39"/>
        <v>147.87699888045083</v>
      </c>
      <c r="T47" s="28">
        <f t="shared" si="39"/>
        <v>150.62289987426024</v>
      </c>
      <c r="U47" s="28">
        <f t="shared" si="39"/>
        <v>148.97998264451556</v>
      </c>
      <c r="V47" s="28">
        <f t="shared" si="39"/>
        <v>142.79359136815685</v>
      </c>
      <c r="W47" s="28">
        <f t="shared" ref="W47:Y47" si="40">W48+W51+W52+W56</f>
        <v>149.11535070240507</v>
      </c>
      <c r="X47" s="28">
        <f t="shared" si="40"/>
        <v>143.67768887264583</v>
      </c>
      <c r="Y47" s="28">
        <f t="shared" si="40"/>
        <v>146.96649862994593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225.39245540958566</v>
      </c>
      <c r="C48" s="137">
        <f t="shared" si="41"/>
        <v>226.5016179477918</v>
      </c>
      <c r="D48" s="137">
        <f t="shared" si="41"/>
        <v>217.9517553504231</v>
      </c>
      <c r="E48" s="137">
        <f t="shared" si="41"/>
        <v>222.99113649493739</v>
      </c>
      <c r="F48" s="137">
        <f t="shared" si="41"/>
        <v>216.46856652093214</v>
      </c>
      <c r="G48" s="137">
        <f t="shared" si="41"/>
        <v>218.60619886943508</v>
      </c>
      <c r="H48" s="137">
        <f t="shared" si="41"/>
        <v>194.92492967952361</v>
      </c>
      <c r="I48" s="137">
        <f t="shared" si="41"/>
        <v>200.65211334171659</v>
      </c>
      <c r="J48" s="137">
        <f t="shared" si="41"/>
        <v>206.65695855454433</v>
      </c>
      <c r="K48" s="137">
        <f t="shared" si="41"/>
        <v>190.70736486553955</v>
      </c>
      <c r="L48" s="137">
        <f t="shared" si="41"/>
        <v>196.57049934753229</v>
      </c>
      <c r="M48" s="137">
        <f t="shared" si="41"/>
        <v>183.869115413413</v>
      </c>
      <c r="N48" s="137">
        <f t="shared" si="41"/>
        <v>159.43093334926908</v>
      </c>
      <c r="O48" s="137">
        <f t="shared" si="41"/>
        <v>129.8586748352318</v>
      </c>
      <c r="P48" s="137">
        <f t="shared" si="41"/>
        <v>117.45308403371976</v>
      </c>
      <c r="Q48" s="137">
        <f t="shared" si="41"/>
        <v>120.44705032211209</v>
      </c>
      <c r="R48" s="137">
        <f t="shared" ref="R48:V48" si="42">R49+R50</f>
        <v>133.99586225532033</v>
      </c>
      <c r="S48" s="137">
        <f t="shared" si="42"/>
        <v>143.79056733755098</v>
      </c>
      <c r="T48" s="137">
        <f t="shared" si="42"/>
        <v>146.93075279652044</v>
      </c>
      <c r="U48" s="137">
        <f t="shared" si="42"/>
        <v>145.67735215394987</v>
      </c>
      <c r="V48" s="137">
        <f t="shared" si="42"/>
        <v>140.37390905411874</v>
      </c>
      <c r="W48" s="137">
        <f t="shared" ref="W48:Y48" si="43">W49+W50</f>
        <v>146.27395801365932</v>
      </c>
      <c r="X48" s="137">
        <f t="shared" si="43"/>
        <v>140.03496500335811</v>
      </c>
      <c r="Y48" s="137">
        <f t="shared" si="43"/>
        <v>142.74264541386168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177.99717184746902</v>
      </c>
      <c r="C49" s="102">
        <f>TrRoad_ene!C$43</f>
        <v>178.75539443496561</v>
      </c>
      <c r="D49" s="102">
        <f>TrRoad_ene!D$43</f>
        <v>173.05839567489753</v>
      </c>
      <c r="E49" s="102">
        <f>TrRoad_ene!E$43</f>
        <v>174.14328631187888</v>
      </c>
      <c r="F49" s="102">
        <f>TrRoad_ene!F$43</f>
        <v>173.44609526903446</v>
      </c>
      <c r="G49" s="102">
        <f>TrRoad_ene!G$43</f>
        <v>167.31148433697598</v>
      </c>
      <c r="H49" s="102">
        <f>TrRoad_ene!H$43</f>
        <v>153.10991414372782</v>
      </c>
      <c r="I49" s="102">
        <f>TrRoad_ene!I$43</f>
        <v>155.5842221379886</v>
      </c>
      <c r="J49" s="102">
        <f>TrRoad_ene!J$43</f>
        <v>158.0805484336511</v>
      </c>
      <c r="K49" s="102">
        <f>TrRoad_ene!K$43</f>
        <v>152.22316397668612</v>
      </c>
      <c r="L49" s="102">
        <f>TrRoad_ene!L$43</f>
        <v>152.74650098120367</v>
      </c>
      <c r="M49" s="102">
        <f>TrRoad_ene!M$43</f>
        <v>147.07950575637938</v>
      </c>
      <c r="N49" s="102">
        <f>TrRoad_ene!N$43</f>
        <v>128.92102152929544</v>
      </c>
      <c r="O49" s="102">
        <f>TrRoad_ene!O$43</f>
        <v>109.64899776521092</v>
      </c>
      <c r="P49" s="102">
        <f>TrRoad_ene!P$43</f>
        <v>100.21211483256116</v>
      </c>
      <c r="Q49" s="102">
        <f>TrRoad_ene!Q$43</f>
        <v>102.75780727168448</v>
      </c>
      <c r="R49" s="102">
        <f>TrRoad_ene!R$43</f>
        <v>109.9423909602144</v>
      </c>
      <c r="S49" s="102">
        <f>TrRoad_ene!S$43</f>
        <v>115.53653582770363</v>
      </c>
      <c r="T49" s="102">
        <f>TrRoad_ene!T$43</f>
        <v>117.36551025632534</v>
      </c>
      <c r="U49" s="102">
        <f>TrRoad_ene!U$43</f>
        <v>114.70902950155181</v>
      </c>
      <c r="V49" s="102">
        <f>TrRoad_ene!V$43</f>
        <v>116.87821875178224</v>
      </c>
      <c r="W49" s="102">
        <f>TrRoad_ene!W$43</f>
        <v>121.428563954615</v>
      </c>
      <c r="X49" s="102">
        <f>TrRoad_ene!X$43</f>
        <v>108.02866882655611</v>
      </c>
      <c r="Y49" s="102">
        <f>TrRoad_ene!Y$43</f>
        <v>110.27679488733524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47.395283562116639</v>
      </c>
      <c r="C50" s="102">
        <f>TrRoad_ene!C$52</f>
        <v>47.746223512826191</v>
      </c>
      <c r="D50" s="102">
        <f>TrRoad_ene!D$52</f>
        <v>44.893359675525566</v>
      </c>
      <c r="E50" s="102">
        <f>TrRoad_ene!E$52</f>
        <v>48.847850183058526</v>
      </c>
      <c r="F50" s="102">
        <f>TrRoad_ene!F$52</f>
        <v>43.022471251897677</v>
      </c>
      <c r="G50" s="102">
        <f>TrRoad_ene!G$52</f>
        <v>51.294714532459096</v>
      </c>
      <c r="H50" s="102">
        <f>TrRoad_ene!H$52</f>
        <v>41.815015535795801</v>
      </c>
      <c r="I50" s="102">
        <f>TrRoad_ene!I$52</f>
        <v>45.067891203727982</v>
      </c>
      <c r="J50" s="102">
        <f>TrRoad_ene!J$52</f>
        <v>48.576410120893236</v>
      </c>
      <c r="K50" s="102">
        <f>TrRoad_ene!K$52</f>
        <v>38.484200888853415</v>
      </c>
      <c r="L50" s="102">
        <f>TrRoad_ene!L$52</f>
        <v>43.82399836632861</v>
      </c>
      <c r="M50" s="102">
        <f>TrRoad_ene!M$52</f>
        <v>36.789609657033616</v>
      </c>
      <c r="N50" s="102">
        <f>TrRoad_ene!N$52</f>
        <v>30.509911819973624</v>
      </c>
      <c r="O50" s="102">
        <f>TrRoad_ene!O$52</f>
        <v>20.209677070020877</v>
      </c>
      <c r="P50" s="102">
        <f>TrRoad_ene!P$52</f>
        <v>17.24096920115861</v>
      </c>
      <c r="Q50" s="102">
        <f>TrRoad_ene!Q$52</f>
        <v>17.689243050427606</v>
      </c>
      <c r="R50" s="102">
        <f>TrRoad_ene!R$52</f>
        <v>24.053471295105933</v>
      </c>
      <c r="S50" s="102">
        <f>TrRoad_ene!S$52</f>
        <v>28.254031509847358</v>
      </c>
      <c r="T50" s="102">
        <f>TrRoad_ene!T$52</f>
        <v>29.565242540195094</v>
      </c>
      <c r="U50" s="102">
        <f>TrRoad_ene!U$52</f>
        <v>30.968322652398054</v>
      </c>
      <c r="V50" s="102">
        <f>TrRoad_ene!V$52</f>
        <v>23.495690302336509</v>
      </c>
      <c r="W50" s="102">
        <f>TrRoad_ene!W$52</f>
        <v>24.84539405904432</v>
      </c>
      <c r="X50" s="102">
        <f>TrRoad_ene!X$52</f>
        <v>32.006296176802003</v>
      </c>
      <c r="Y50" s="102">
        <f>TrRoad_ene!Y$52</f>
        <v>32.465850526526438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0</v>
      </c>
      <c r="C51" s="110">
        <f>TrRail_ene!C$17</f>
        <v>0</v>
      </c>
      <c r="D51" s="110">
        <f>TrRail_ene!D$17</f>
        <v>0</v>
      </c>
      <c r="E51" s="110">
        <f>TrRail_ene!E$17</f>
        <v>0</v>
      </c>
      <c r="F51" s="110">
        <f>TrRail_ene!F$17</f>
        <v>0</v>
      </c>
      <c r="G51" s="110">
        <f>TrRail_ene!G$17</f>
        <v>0</v>
      </c>
      <c r="H51" s="110">
        <f>TrRail_ene!H$17</f>
        <v>0</v>
      </c>
      <c r="I51" s="110">
        <f>TrRail_ene!I$17</f>
        <v>0</v>
      </c>
      <c r="J51" s="110">
        <f>TrRail_ene!J$17</f>
        <v>0</v>
      </c>
      <c r="K51" s="110">
        <f>TrRail_ene!K$17</f>
        <v>0</v>
      </c>
      <c r="L51" s="110">
        <f>TrRail_ene!L$17</f>
        <v>0</v>
      </c>
      <c r="M51" s="110">
        <f>TrRail_ene!M$17</f>
        <v>0</v>
      </c>
      <c r="N51" s="110">
        <f>TrRail_ene!N$17</f>
        <v>0</v>
      </c>
      <c r="O51" s="110">
        <f>TrRail_ene!O$17</f>
        <v>0</v>
      </c>
      <c r="P51" s="110">
        <f>TrRail_ene!P$17</f>
        <v>0</v>
      </c>
      <c r="Q51" s="110">
        <f>TrRail_ene!Q$17</f>
        <v>0</v>
      </c>
      <c r="R51" s="110">
        <f>TrRail_ene!R$17</f>
        <v>0</v>
      </c>
      <c r="S51" s="110">
        <f>TrRail_ene!S$17</f>
        <v>0</v>
      </c>
      <c r="T51" s="110">
        <f>TrRail_ene!T$17</f>
        <v>0</v>
      </c>
      <c r="U51" s="110">
        <f>TrRail_ene!U$17</f>
        <v>0</v>
      </c>
      <c r="V51" s="110">
        <f>TrRail_ene!V$17</f>
        <v>0</v>
      </c>
      <c r="W51" s="110">
        <f>TrRail_ene!W$17</f>
        <v>0</v>
      </c>
      <c r="X51" s="110">
        <f>TrRail_ene!X$17</f>
        <v>0</v>
      </c>
      <c r="Y51" s="110">
        <f>TrRail_ene!Y$17</f>
        <v>0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9.2408798007378525</v>
      </c>
      <c r="C52" s="110">
        <f t="shared" si="44"/>
        <v>7.9810931356366233</v>
      </c>
      <c r="D52" s="110">
        <f t="shared" si="44"/>
        <v>8.9634000260247859</v>
      </c>
      <c r="E52" s="110">
        <f t="shared" si="44"/>
        <v>8.6392813927379795</v>
      </c>
      <c r="F52" s="110">
        <f t="shared" si="44"/>
        <v>10.706270102569984</v>
      </c>
      <c r="G52" s="110">
        <f t="shared" si="44"/>
        <v>12.040271928666753</v>
      </c>
      <c r="H52" s="110">
        <f t="shared" si="44"/>
        <v>13.864869007183829</v>
      </c>
      <c r="I52" s="110">
        <f t="shared" si="44"/>
        <v>12.032801536040365</v>
      </c>
      <c r="J52" s="110">
        <f t="shared" si="44"/>
        <v>11.985787085014126</v>
      </c>
      <c r="K52" s="110">
        <f t="shared" si="44"/>
        <v>10.534429978285008</v>
      </c>
      <c r="L52" s="110">
        <f t="shared" si="44"/>
        <v>9.8260684524163029</v>
      </c>
      <c r="M52" s="110">
        <f t="shared" si="44"/>
        <v>7.4844698268918641</v>
      </c>
      <c r="N52" s="110">
        <f t="shared" si="44"/>
        <v>5.4783495070066612</v>
      </c>
      <c r="O52" s="110">
        <f t="shared" si="44"/>
        <v>4.9344643096619674</v>
      </c>
      <c r="P52" s="110">
        <f t="shared" si="44"/>
        <v>4.1345982385787421</v>
      </c>
      <c r="Q52" s="110">
        <f t="shared" si="44"/>
        <v>3.9128453047593563</v>
      </c>
      <c r="R52" s="110">
        <f t="shared" si="44"/>
        <v>3.2576803619702766</v>
      </c>
      <c r="S52" s="110">
        <f t="shared" si="44"/>
        <v>3.4258984388585891</v>
      </c>
      <c r="T52" s="110">
        <f t="shared" si="44"/>
        <v>3.0029811276108411</v>
      </c>
      <c r="U52" s="110">
        <f t="shared" si="44"/>
        <v>2.4041782119758506</v>
      </c>
      <c r="V52" s="110">
        <f t="shared" si="44"/>
        <v>2.0225198032900273</v>
      </c>
      <c r="W52" s="110">
        <f t="shared" ref="W52:Y52" si="45">W53+W54+W55</f>
        <v>1.9305586388747085</v>
      </c>
      <c r="X52" s="110">
        <f t="shared" si="45"/>
        <v>2.1091039208784306</v>
      </c>
      <c r="Y52" s="110">
        <f t="shared" si="45"/>
        <v>2.2585909632897363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8.8057766655306686</v>
      </c>
      <c r="C54" s="102">
        <f>TrAvia_ene!C$12</f>
        <v>7.560839381005291</v>
      </c>
      <c r="D54" s="102">
        <f>TrAvia_ene!D$12</f>
        <v>8.5108926012566357</v>
      </c>
      <c r="E54" s="102">
        <f>TrAvia_ene!E$12</f>
        <v>8.1911865671762563</v>
      </c>
      <c r="F54" s="102">
        <f>TrAvia_ene!F$12</f>
        <v>10.200380447465541</v>
      </c>
      <c r="G54" s="102">
        <f>TrAvia_ene!G$12</f>
        <v>11.570069379375436</v>
      </c>
      <c r="H54" s="102">
        <f>TrAvia_ene!H$12</f>
        <v>13.434798644166143</v>
      </c>
      <c r="I54" s="102">
        <f>TrAvia_ene!I$12</f>
        <v>11.644916649226756</v>
      </c>
      <c r="J54" s="102">
        <f>TrAvia_ene!J$12</f>
        <v>11.525728631306269</v>
      </c>
      <c r="K54" s="102">
        <f>TrAvia_ene!K$12</f>
        <v>9.9761606881603875</v>
      </c>
      <c r="L54" s="102">
        <f>TrAvia_ene!L$12</f>
        <v>9.1168959650674477</v>
      </c>
      <c r="M54" s="102">
        <f>TrAvia_ene!M$12</f>
        <v>7.162570815292745</v>
      </c>
      <c r="N54" s="102">
        <f>TrAvia_ene!N$12</f>
        <v>5.3195341780835754</v>
      </c>
      <c r="O54" s="102">
        <f>TrAvia_ene!O$12</f>
        <v>4.7655191421536198</v>
      </c>
      <c r="P54" s="102">
        <f>TrAvia_ene!P$12</f>
        <v>4.0094041515863044</v>
      </c>
      <c r="Q54" s="102">
        <f>TrAvia_ene!Q$12</f>
        <v>3.7713851670878231</v>
      </c>
      <c r="R54" s="102">
        <f>TrAvia_ene!R$12</f>
        <v>3.1708451281748853</v>
      </c>
      <c r="S54" s="102">
        <f>TrAvia_ene!S$12</f>
        <v>3.3323582582648834</v>
      </c>
      <c r="T54" s="102">
        <f>TrAvia_ene!T$12</f>
        <v>2.9032134578910607</v>
      </c>
      <c r="U54" s="102">
        <f>TrAvia_ene!U$12</f>
        <v>2.1021745277327311</v>
      </c>
      <c r="V54" s="102">
        <f>TrAvia_ene!V$12</f>
        <v>1.591802844287783</v>
      </c>
      <c r="W54" s="102">
        <f>TrAvia_ene!W$12</f>
        <v>1.821758254052277</v>
      </c>
      <c r="X54" s="102">
        <f>TrAvia_ene!X$12</f>
        <v>1.8760050738806806</v>
      </c>
      <c r="Y54" s="102">
        <f>TrAvia_ene!Y$12</f>
        <v>1.9915063102975119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0.43510313520718402</v>
      </c>
      <c r="C55" s="102">
        <f>TrAvia_ene!C$13</f>
        <v>0.42025375463133213</v>
      </c>
      <c r="D55" s="102">
        <f>TrAvia_ene!D$13</f>
        <v>0.4525074247681502</v>
      </c>
      <c r="E55" s="102">
        <f>TrAvia_ene!E$13</f>
        <v>0.44809482556172286</v>
      </c>
      <c r="F55" s="102">
        <f>TrAvia_ene!F$13</f>
        <v>0.50588965510444339</v>
      </c>
      <c r="G55" s="102">
        <f>TrAvia_ene!G$13</f>
        <v>0.47020254929131627</v>
      </c>
      <c r="H55" s="102">
        <f>TrAvia_ene!H$13</f>
        <v>0.43007036301768603</v>
      </c>
      <c r="I55" s="102">
        <f>TrAvia_ene!I$13</f>
        <v>0.38788488681360928</v>
      </c>
      <c r="J55" s="102">
        <f>TrAvia_ene!J$13</f>
        <v>0.46005845370785742</v>
      </c>
      <c r="K55" s="102">
        <f>TrAvia_ene!K$13</f>
        <v>0.55826929012462045</v>
      </c>
      <c r="L55" s="102">
        <f>TrAvia_ene!L$13</f>
        <v>0.70917248734885507</v>
      </c>
      <c r="M55" s="102">
        <f>TrAvia_ene!M$13</f>
        <v>0.32189901159911954</v>
      </c>
      <c r="N55" s="102">
        <f>TrAvia_ene!N$13</f>
        <v>0.15881532892308586</v>
      </c>
      <c r="O55" s="102">
        <f>TrAvia_ene!O$13</f>
        <v>0.16894516750834768</v>
      </c>
      <c r="P55" s="102">
        <f>TrAvia_ene!P$13</f>
        <v>0.12519408699243748</v>
      </c>
      <c r="Q55" s="102">
        <f>TrAvia_ene!Q$13</f>
        <v>0.14146013767153309</v>
      </c>
      <c r="R55" s="102">
        <f>TrAvia_ene!R$13</f>
        <v>8.6835233795391348E-2</v>
      </c>
      <c r="S55" s="102">
        <f>TrAvia_ene!S$13</f>
        <v>9.3540180593705863E-2</v>
      </c>
      <c r="T55" s="102">
        <f>TrAvia_ene!T$13</f>
        <v>9.9767669719780308E-2</v>
      </c>
      <c r="U55" s="102">
        <f>TrAvia_ene!U$13</f>
        <v>0.30200368424311952</v>
      </c>
      <c r="V55" s="102">
        <f>TrAvia_ene!V$13</f>
        <v>0.43071695900224416</v>
      </c>
      <c r="W55" s="102">
        <f>TrAvia_ene!W$13</f>
        <v>0.10880038482243157</v>
      </c>
      <c r="X55" s="102">
        <f>TrAvia_ene!X$13</f>
        <v>0.23309884699775002</v>
      </c>
      <c r="Y55" s="102">
        <f>TrAvia_ene!Y$13</f>
        <v>0.26708465299222445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0</v>
      </c>
      <c r="C56" s="110">
        <f t="shared" si="46"/>
        <v>0</v>
      </c>
      <c r="D56" s="110">
        <f t="shared" si="46"/>
        <v>0</v>
      </c>
      <c r="E56" s="110">
        <f t="shared" si="46"/>
        <v>0</v>
      </c>
      <c r="F56" s="110">
        <f t="shared" si="46"/>
        <v>0</v>
      </c>
      <c r="G56" s="110">
        <f t="shared" si="46"/>
        <v>0</v>
      </c>
      <c r="H56" s="110">
        <f t="shared" si="46"/>
        <v>0</v>
      </c>
      <c r="I56" s="110">
        <f t="shared" si="46"/>
        <v>0</v>
      </c>
      <c r="J56" s="110">
        <f t="shared" si="46"/>
        <v>0</v>
      </c>
      <c r="K56" s="110">
        <f t="shared" si="46"/>
        <v>0</v>
      </c>
      <c r="L56" s="110">
        <f t="shared" si="46"/>
        <v>0</v>
      </c>
      <c r="M56" s="110">
        <f t="shared" si="46"/>
        <v>0</v>
      </c>
      <c r="N56" s="110">
        <f t="shared" si="46"/>
        <v>0</v>
      </c>
      <c r="O56" s="110">
        <f t="shared" si="46"/>
        <v>0</v>
      </c>
      <c r="P56" s="110">
        <f t="shared" si="46"/>
        <v>0</v>
      </c>
      <c r="Q56" s="110">
        <f t="shared" si="46"/>
        <v>0</v>
      </c>
      <c r="R56" s="110">
        <f t="shared" ref="R56:V56" si="47">R57+R58</f>
        <v>0</v>
      </c>
      <c r="S56" s="110">
        <f t="shared" si="47"/>
        <v>0.66053310404127252</v>
      </c>
      <c r="T56" s="110">
        <f t="shared" si="47"/>
        <v>0.68916595012897675</v>
      </c>
      <c r="U56" s="110">
        <f t="shared" si="47"/>
        <v>0.89845227858985377</v>
      </c>
      <c r="V56" s="110">
        <f t="shared" si="47"/>
        <v>0.3971625107480653</v>
      </c>
      <c r="W56" s="110">
        <f t="shared" ref="W56:Y56" si="48">W57+W58</f>
        <v>0.91083404987102301</v>
      </c>
      <c r="X56" s="110">
        <f t="shared" si="48"/>
        <v>1.5336199484092865</v>
      </c>
      <c r="Y56" s="110">
        <f t="shared" si="48"/>
        <v>1.9652622527944972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0.66053310404127252</v>
      </c>
      <c r="T57" s="102">
        <f>TrNavi_ene!T4</f>
        <v>0.68916595012897675</v>
      </c>
      <c r="U57" s="102">
        <f>TrNavi_ene!U4</f>
        <v>0.89845227858985377</v>
      </c>
      <c r="V57" s="102">
        <f>TrNavi_ene!V4</f>
        <v>0.3971625107480653</v>
      </c>
      <c r="W57" s="102">
        <f>TrNavi_ene!W4</f>
        <v>0.91083404987102301</v>
      </c>
      <c r="X57" s="102">
        <f>TrNavi_ene!X4</f>
        <v>1.5336199484092865</v>
      </c>
      <c r="Y57" s="102">
        <f>TrNavi_ene!Y4</f>
        <v>1.9652622527944972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190.30490111779872</v>
      </c>
      <c r="C59" s="28">
        <f t="shared" ref="C59:W59" si="49">C60+C61</f>
        <v>189.15726569217543</v>
      </c>
      <c r="D59" s="28">
        <f t="shared" si="49"/>
        <v>136.17841788478069</v>
      </c>
      <c r="E59" s="28">
        <f t="shared" si="49"/>
        <v>122.85219260533103</v>
      </c>
      <c r="F59" s="28">
        <f t="shared" si="49"/>
        <v>54.745485812553738</v>
      </c>
      <c r="G59" s="28">
        <f t="shared" si="49"/>
        <v>286.88804815133273</v>
      </c>
      <c r="H59" s="28">
        <f t="shared" si="49"/>
        <v>293.16878761822869</v>
      </c>
      <c r="I59" s="28">
        <f t="shared" si="49"/>
        <v>272.89071367153912</v>
      </c>
      <c r="J59" s="28">
        <f t="shared" si="49"/>
        <v>251.53310404127254</v>
      </c>
      <c r="K59" s="28">
        <f t="shared" si="49"/>
        <v>217.0680997420464</v>
      </c>
      <c r="L59" s="28">
        <f t="shared" si="49"/>
        <v>184.45047291487532</v>
      </c>
      <c r="M59" s="28">
        <f t="shared" si="49"/>
        <v>196.64135855546002</v>
      </c>
      <c r="N59" s="28">
        <f t="shared" si="49"/>
        <v>195.30060189165951</v>
      </c>
      <c r="O59" s="28">
        <f t="shared" si="49"/>
        <v>236.93490971625107</v>
      </c>
      <c r="P59" s="28">
        <f t="shared" si="49"/>
        <v>230.46001719690457</v>
      </c>
      <c r="Q59" s="28">
        <f t="shared" si="49"/>
        <v>241.89724849527076</v>
      </c>
      <c r="R59" s="28">
        <f t="shared" si="49"/>
        <v>284.72622527944969</v>
      </c>
      <c r="S59" s="28">
        <f t="shared" si="49"/>
        <v>253.27824591573517</v>
      </c>
      <c r="T59" s="28">
        <f t="shared" si="49"/>
        <v>269.36887360275148</v>
      </c>
      <c r="U59" s="28">
        <f t="shared" si="49"/>
        <v>277.39097162510751</v>
      </c>
      <c r="V59" s="28">
        <f t="shared" si="49"/>
        <v>275.59157351676697</v>
      </c>
      <c r="W59" s="28">
        <f t="shared" si="49"/>
        <v>252.59294926913151</v>
      </c>
      <c r="X59" s="28">
        <f t="shared" ref="X59:Y59" si="50">X60+X61</f>
        <v>288.16337059329322</v>
      </c>
      <c r="Y59" s="28">
        <f t="shared" si="50"/>
        <v>231.91865864144449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114.78349630894564</v>
      </c>
      <c r="C60" s="102">
        <f>MBunk_ene!C$4</f>
        <v>114.34033346621621</v>
      </c>
      <c r="D60" s="102">
        <f>MBunk_ene!D$4</f>
        <v>81.949818892331677</v>
      </c>
      <c r="E60" s="102">
        <f>MBunk_ene!E$4</f>
        <v>78.194466150406726</v>
      </c>
      <c r="F60" s="102">
        <f>MBunk_ene!F$4</f>
        <v>35.763633819068602</v>
      </c>
      <c r="G60" s="102">
        <f>MBunk_ene!G$4</f>
        <v>176.56830459200827</v>
      </c>
      <c r="H60" s="102">
        <f>MBunk_ene!H$4</f>
        <v>183.2683542384967</v>
      </c>
      <c r="I60" s="102">
        <f>MBunk_ene!I$4</f>
        <v>144.77746739099462</v>
      </c>
      <c r="J60" s="102">
        <f>MBunk_ene!J$4</f>
        <v>154.46074043917622</v>
      </c>
      <c r="K60" s="102">
        <f>MBunk_ene!K$4</f>
        <v>123.13792635173061</v>
      </c>
      <c r="L60" s="102">
        <f>MBunk_ene!L$4</f>
        <v>109.8105925078921</v>
      </c>
      <c r="M60" s="102">
        <f>MBunk_ene!M$4</f>
        <v>123.10916422926749</v>
      </c>
      <c r="N60" s="102">
        <f>MBunk_ene!N$4</f>
        <v>128.31509921452704</v>
      </c>
      <c r="O60" s="102">
        <f>MBunk_ene!O$4</f>
        <v>156.63292242556008</v>
      </c>
      <c r="P60" s="102">
        <f>MBunk_ene!P$4</f>
        <v>148.25050861821762</v>
      </c>
      <c r="Q60" s="102">
        <f>MBunk_ene!Q$4</f>
        <v>158.01682141526544</v>
      </c>
      <c r="R60" s="102">
        <f>MBunk_ene!R$4</f>
        <v>183.36448353555465</v>
      </c>
      <c r="S60" s="102">
        <f>MBunk_ene!S$4</f>
        <v>157.92332180194626</v>
      </c>
      <c r="T60" s="102">
        <f>MBunk_ene!T$4</f>
        <v>159.99954181758048</v>
      </c>
      <c r="U60" s="102">
        <f>MBunk_ene!U$4</f>
        <v>175.752960772927</v>
      </c>
      <c r="V60" s="102">
        <f>MBunk_ene!V$4</f>
        <v>166.93655356186545</v>
      </c>
      <c r="W60" s="102">
        <f>MBunk_ene!W$4</f>
        <v>152.96098596082649</v>
      </c>
      <c r="X60" s="102">
        <f>MBunk_ene!X$4</f>
        <v>183.426044199496</v>
      </c>
      <c r="Y60" s="102">
        <f>MBunk_ene!Y$4</f>
        <v>152.23477874892262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75.521404808853077</v>
      </c>
      <c r="C61" s="86">
        <f>MBunk_ene!C$10</f>
        <v>74.816932225959235</v>
      </c>
      <c r="D61" s="86">
        <f>MBunk_ene!D$10</f>
        <v>54.228598992449022</v>
      </c>
      <c r="E61" s="86">
        <f>MBunk_ene!E$10</f>
        <v>44.657726454924301</v>
      </c>
      <c r="F61" s="86">
        <f>MBunk_ene!F$10</f>
        <v>18.981851993485133</v>
      </c>
      <c r="G61" s="86">
        <f>MBunk_ene!G$10</f>
        <v>110.31974355932445</v>
      </c>
      <c r="H61" s="86">
        <f>MBunk_ene!H$10</f>
        <v>109.90043337973199</v>
      </c>
      <c r="I61" s="86">
        <f>MBunk_ene!I$10</f>
        <v>128.1132462805445</v>
      </c>
      <c r="J61" s="86">
        <f>MBunk_ene!J$10</f>
        <v>97.072363602096317</v>
      </c>
      <c r="K61" s="86">
        <f>MBunk_ene!K$10</f>
        <v>93.930173390315773</v>
      </c>
      <c r="L61" s="86">
        <f>MBunk_ene!L$10</f>
        <v>74.639880406983238</v>
      </c>
      <c r="M61" s="86">
        <f>MBunk_ene!M$10</f>
        <v>73.532194326192524</v>
      </c>
      <c r="N61" s="86">
        <f>MBunk_ene!N$10</f>
        <v>66.985502677132473</v>
      </c>
      <c r="O61" s="86">
        <f>MBunk_ene!O$10</f>
        <v>80.301987290690988</v>
      </c>
      <c r="P61" s="86">
        <f>MBunk_ene!P$10</f>
        <v>82.209508578686965</v>
      </c>
      <c r="Q61" s="86">
        <f>MBunk_ene!Q$10</f>
        <v>83.880427080005319</v>
      </c>
      <c r="R61" s="86">
        <f>MBunk_ene!R$10</f>
        <v>101.36174174389504</v>
      </c>
      <c r="S61" s="86">
        <f>MBunk_ene!S$10</f>
        <v>95.354924113788925</v>
      </c>
      <c r="T61" s="86">
        <f>MBunk_ene!T$10</f>
        <v>109.369331785171</v>
      </c>
      <c r="U61" s="86">
        <f>MBunk_ene!U$10</f>
        <v>101.63801085218051</v>
      </c>
      <c r="V61" s="86">
        <f>MBunk_ene!V$10</f>
        <v>108.65501995490153</v>
      </c>
      <c r="W61" s="86">
        <f>MBunk_ene!W$10</f>
        <v>99.631963308305018</v>
      </c>
      <c r="X61" s="86">
        <f>MBunk_ene!X$10</f>
        <v>104.7373263937972</v>
      </c>
      <c r="Y61" s="86">
        <f>MBunk_ene!Y$10</f>
        <v>79.683879892521873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1871.791937090873</v>
      </c>
      <c r="C64" s="28">
        <f t="shared" si="51"/>
        <v>2073.9466509525678</v>
      </c>
      <c r="D64" s="28">
        <f t="shared" si="51"/>
        <v>2042.464087291924</v>
      </c>
      <c r="E64" s="28">
        <f t="shared" si="51"/>
        <v>2200.1589703322388</v>
      </c>
      <c r="F64" s="28">
        <f t="shared" si="51"/>
        <v>2226.7678925909886</v>
      </c>
      <c r="G64" s="28">
        <f t="shared" si="51"/>
        <v>2242.0991192767665</v>
      </c>
      <c r="H64" s="28">
        <f t="shared" si="51"/>
        <v>2326.6531248316733</v>
      </c>
      <c r="I64" s="28">
        <f t="shared" si="51"/>
        <v>2408.2550882530913</v>
      </c>
      <c r="J64" s="28">
        <f t="shared" si="51"/>
        <v>2451.8824012594569</v>
      </c>
      <c r="K64" s="28">
        <f t="shared" si="51"/>
        <v>2440.3202013337741</v>
      </c>
      <c r="L64" s="28">
        <f t="shared" si="51"/>
        <v>2488.193323383874</v>
      </c>
      <c r="M64" s="28">
        <f t="shared" si="51"/>
        <v>2544.3918413392175</v>
      </c>
      <c r="N64" s="28">
        <f t="shared" si="51"/>
        <v>2358.6920669860992</v>
      </c>
      <c r="O64" s="28">
        <f t="shared" si="51"/>
        <v>2154.0978670541417</v>
      </c>
      <c r="P64" s="28">
        <f t="shared" si="51"/>
        <v>2128.1264958373035</v>
      </c>
      <c r="Q64" s="28">
        <f t="shared" si="51"/>
        <v>2193.8503051988123</v>
      </c>
      <c r="R64" s="28">
        <f t="shared" ref="R64:V64" si="52">R65+R69+R73</f>
        <v>2360.9225983753513</v>
      </c>
      <c r="S64" s="28">
        <f t="shared" si="52"/>
        <v>2504.7392214768156</v>
      </c>
      <c r="T64" s="28">
        <f t="shared" si="52"/>
        <v>2541.55956283877</v>
      </c>
      <c r="U64" s="28">
        <f t="shared" si="52"/>
        <v>2527.3685380669267</v>
      </c>
      <c r="V64" s="28">
        <f t="shared" si="52"/>
        <v>1651.0862409347512</v>
      </c>
      <c r="W64" s="28">
        <f t="shared" ref="W64:Y64" si="53">W65+W69+W73</f>
        <v>1952.0567472522634</v>
      </c>
      <c r="X64" s="28">
        <f t="shared" si="53"/>
        <v>2264.3332814833975</v>
      </c>
      <c r="Y64" s="28">
        <f t="shared" si="53"/>
        <v>2469.5272590623063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1049.838122571128</v>
      </c>
      <c r="C65" s="137">
        <f t="shared" si="54"/>
        <v>1102.3441490448315</v>
      </c>
      <c r="D65" s="137">
        <f t="shared" si="54"/>
        <v>1111.8681128535466</v>
      </c>
      <c r="E65" s="137">
        <f t="shared" si="54"/>
        <v>1202.0007085901866</v>
      </c>
      <c r="F65" s="137">
        <f t="shared" si="54"/>
        <v>1323.6140259784399</v>
      </c>
      <c r="G65" s="137">
        <f t="shared" si="54"/>
        <v>1355.6441706341338</v>
      </c>
      <c r="H65" s="137">
        <f t="shared" si="54"/>
        <v>1417.1536675607938</v>
      </c>
      <c r="I65" s="137">
        <f t="shared" si="54"/>
        <v>1534.4608114188075</v>
      </c>
      <c r="J65" s="137">
        <f t="shared" si="54"/>
        <v>1581.1173863907161</v>
      </c>
      <c r="K65" s="137">
        <f t="shared" si="54"/>
        <v>1631.7727428141611</v>
      </c>
      <c r="L65" s="137">
        <f t="shared" si="54"/>
        <v>1661.6595276460123</v>
      </c>
      <c r="M65" s="137">
        <f t="shared" si="54"/>
        <v>1634.7101497162323</v>
      </c>
      <c r="N65" s="137">
        <f t="shared" si="54"/>
        <v>1538.0950329078569</v>
      </c>
      <c r="O65" s="137">
        <f t="shared" si="54"/>
        <v>1423.8164803625884</v>
      </c>
      <c r="P65" s="137">
        <f t="shared" si="54"/>
        <v>1408.1204249532009</v>
      </c>
      <c r="Q65" s="137">
        <f t="shared" si="54"/>
        <v>1466.8351094179061</v>
      </c>
      <c r="R65" s="137">
        <f t="shared" ref="R65:V65" si="55">R66+R67+R68</f>
        <v>1536.8114535396498</v>
      </c>
      <c r="S65" s="137">
        <f t="shared" si="55"/>
        <v>1570.7718189055772</v>
      </c>
      <c r="T65" s="137">
        <f t="shared" si="55"/>
        <v>1573.2574151946433</v>
      </c>
      <c r="U65" s="137">
        <f t="shared" si="55"/>
        <v>1598.556812536877</v>
      </c>
      <c r="V65" s="137">
        <f t="shared" si="55"/>
        <v>1370.6175460257773</v>
      </c>
      <c r="W65" s="137">
        <f t="shared" ref="W65:Y65" si="56">W66+W67+W68</f>
        <v>1483.2041687640076</v>
      </c>
      <c r="X65" s="137">
        <f t="shared" si="56"/>
        <v>1473.9324373801737</v>
      </c>
      <c r="Y65" s="137">
        <f t="shared" si="56"/>
        <v>1553.6486864581343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16.934891343718053</v>
      </c>
      <c r="C66" s="102">
        <f>TrRoad_emi!C$19</f>
        <v>16.537456513329772</v>
      </c>
      <c r="D66" s="102">
        <f>TrRoad_emi!D$19</f>
        <v>16.086514262897715</v>
      </c>
      <c r="E66" s="102">
        <f>TrRoad_emi!E$19</f>
        <v>16.257839012442187</v>
      </c>
      <c r="F66" s="102">
        <f>TrRoad_emi!F$19</f>
        <v>16.133207491333813</v>
      </c>
      <c r="G66" s="102">
        <f>TrRoad_emi!G$19</f>
        <v>15.813287821964545</v>
      </c>
      <c r="H66" s="102">
        <f>TrRoad_emi!H$19</f>
        <v>15.679694517360774</v>
      </c>
      <c r="I66" s="102">
        <f>TrRoad_emi!I$19</f>
        <v>15.702968352870281</v>
      </c>
      <c r="J66" s="102">
        <f>TrRoad_emi!J$19</f>
        <v>15.918830821201821</v>
      </c>
      <c r="K66" s="102">
        <f>TrRoad_emi!K$19</f>
        <v>15.645432269008852</v>
      </c>
      <c r="L66" s="102">
        <f>TrRoad_emi!L$19</f>
        <v>15.294709543665078</v>
      </c>
      <c r="M66" s="102">
        <f>TrRoad_emi!M$19</f>
        <v>14.859836557859193</v>
      </c>
      <c r="N66" s="102">
        <f>TrRoad_emi!N$19</f>
        <v>15.045465844062331</v>
      </c>
      <c r="O66" s="102">
        <f>TrRoad_emi!O$19</f>
        <v>14.665979154491145</v>
      </c>
      <c r="P66" s="102">
        <f>TrRoad_emi!P$19</f>
        <v>14.760616695697095</v>
      </c>
      <c r="Q66" s="102">
        <f>TrRoad_emi!Q$19</f>
        <v>14.209950565883325</v>
      </c>
      <c r="R66" s="102">
        <f>TrRoad_emi!R$19</f>
        <v>14.077740846864961</v>
      </c>
      <c r="S66" s="102">
        <f>TrRoad_emi!S$19</f>
        <v>13.111879316079476</v>
      </c>
      <c r="T66" s="102">
        <f>TrRoad_emi!T$19</f>
        <v>12.308996180243447</v>
      </c>
      <c r="U66" s="102">
        <f>TrRoad_emi!U$19</f>
        <v>12.870848222285995</v>
      </c>
      <c r="V66" s="102">
        <f>TrRoad_emi!V$19</f>
        <v>11.367217307760319</v>
      </c>
      <c r="W66" s="102">
        <f>TrRoad_emi!W$19</f>
        <v>11.681075399433123</v>
      </c>
      <c r="X66" s="102">
        <f>TrRoad_emi!X$19</f>
        <v>11.724240911725136</v>
      </c>
      <c r="Y66" s="102">
        <f>TrRoad_emi!Y$19</f>
        <v>12.555549062244417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752.06064574975426</v>
      </c>
      <c r="C67" s="102">
        <f>TrRoad_emi!C$20</f>
        <v>799.43749188296704</v>
      </c>
      <c r="D67" s="102">
        <f>TrRoad_emi!D$20</f>
        <v>816.75154586560222</v>
      </c>
      <c r="E67" s="102">
        <f>TrRoad_emi!E$20</f>
        <v>886.3955899001852</v>
      </c>
      <c r="F67" s="102">
        <f>TrRoad_emi!F$20</f>
        <v>992.21405483010187</v>
      </c>
      <c r="G67" s="102">
        <f>TrRoad_emi!G$20</f>
        <v>1044.8310785053079</v>
      </c>
      <c r="H67" s="102">
        <f>TrRoad_emi!H$20</f>
        <v>1102.1955984249084</v>
      </c>
      <c r="I67" s="102">
        <f>TrRoad_emi!I$20</f>
        <v>1204.0547894104529</v>
      </c>
      <c r="J67" s="102">
        <f>TrRoad_emi!J$20</f>
        <v>1266.6066396740566</v>
      </c>
      <c r="K67" s="102">
        <f>TrRoad_emi!K$20</f>
        <v>1314.0086601812088</v>
      </c>
      <c r="L67" s="102">
        <f>TrRoad_emi!L$20</f>
        <v>1342.5093763579785</v>
      </c>
      <c r="M67" s="102">
        <f>TrRoad_emi!M$20</f>
        <v>1320.4056413108842</v>
      </c>
      <c r="N67" s="102">
        <f>TrRoad_emi!N$20</f>
        <v>1252.1860766232473</v>
      </c>
      <c r="O67" s="102">
        <f>TrRoad_emi!O$20</f>
        <v>1167.5292870422591</v>
      </c>
      <c r="P67" s="102">
        <f>TrRoad_emi!P$20</f>
        <v>1149.2695267804284</v>
      </c>
      <c r="Q67" s="102">
        <f>TrRoad_emi!Q$20</f>
        <v>1180.0360217120947</v>
      </c>
      <c r="R67" s="102">
        <f>TrRoad_emi!R$20</f>
        <v>1234.8642139295537</v>
      </c>
      <c r="S67" s="102">
        <f>TrRoad_emi!S$20</f>
        <v>1255.5658767185439</v>
      </c>
      <c r="T67" s="102">
        <f>TrRoad_emi!T$20</f>
        <v>1258.4408489071075</v>
      </c>
      <c r="U67" s="102">
        <f>TrRoad_emi!U$20</f>
        <v>1277.6995319444277</v>
      </c>
      <c r="V67" s="102">
        <f>TrRoad_emi!V$20</f>
        <v>1117.7005426803462</v>
      </c>
      <c r="W67" s="102">
        <f>TrRoad_emi!W$20</f>
        <v>1203.8619834344715</v>
      </c>
      <c r="X67" s="102">
        <f>TrRoad_emi!X$20</f>
        <v>1196.8464198007471</v>
      </c>
      <c r="Y67" s="102">
        <f>TrRoad_emi!Y$20</f>
        <v>1257.7804396369768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280.84258547765575</v>
      </c>
      <c r="C68" s="102">
        <f>TrRoad_emi!C$27</f>
        <v>286.36920064853473</v>
      </c>
      <c r="D68" s="102">
        <f>TrRoad_emi!D$27</f>
        <v>279.03005272504657</v>
      </c>
      <c r="E68" s="102">
        <f>TrRoad_emi!E$27</f>
        <v>299.34727967755924</v>
      </c>
      <c r="F68" s="102">
        <f>TrRoad_emi!F$27</f>
        <v>315.26676365700428</v>
      </c>
      <c r="G68" s="102">
        <f>TrRoad_emi!G$27</f>
        <v>294.99980430686122</v>
      </c>
      <c r="H68" s="102">
        <f>TrRoad_emi!H$27</f>
        <v>299.27837461852459</v>
      </c>
      <c r="I68" s="102">
        <f>TrRoad_emi!I$27</f>
        <v>314.7030536554841</v>
      </c>
      <c r="J68" s="102">
        <f>TrRoad_emi!J$27</f>
        <v>298.59191589545787</v>
      </c>
      <c r="K68" s="102">
        <f>TrRoad_emi!K$27</f>
        <v>302.11865036394357</v>
      </c>
      <c r="L68" s="102">
        <f>TrRoad_emi!L$27</f>
        <v>303.85544174436876</v>
      </c>
      <c r="M68" s="102">
        <f>TrRoad_emi!M$27</f>
        <v>299.44467184748896</v>
      </c>
      <c r="N68" s="102">
        <f>TrRoad_emi!N$27</f>
        <v>270.86349044054725</v>
      </c>
      <c r="O68" s="102">
        <f>TrRoad_emi!O$27</f>
        <v>241.62121416583821</v>
      </c>
      <c r="P68" s="102">
        <f>TrRoad_emi!P$27</f>
        <v>244.09028147707548</v>
      </c>
      <c r="Q68" s="102">
        <f>TrRoad_emi!Q$27</f>
        <v>272.58913713992825</v>
      </c>
      <c r="R68" s="102">
        <f>TrRoad_emi!R$27</f>
        <v>287.86949876323104</v>
      </c>
      <c r="S68" s="102">
        <f>TrRoad_emi!S$27</f>
        <v>302.09406287095379</v>
      </c>
      <c r="T68" s="102">
        <f>TrRoad_emi!T$27</f>
        <v>302.50757010729228</v>
      </c>
      <c r="U68" s="102">
        <f>TrRoad_emi!U$27</f>
        <v>307.98643237016336</v>
      </c>
      <c r="V68" s="102">
        <f>TrRoad_emi!V$27</f>
        <v>241.54978603767088</v>
      </c>
      <c r="W68" s="102">
        <f>TrRoad_emi!W$27</f>
        <v>267.66110993010295</v>
      </c>
      <c r="X68" s="102">
        <f>TrRoad_emi!X$27</f>
        <v>265.36177666770141</v>
      </c>
      <c r="Y68" s="102">
        <f>TrRoad_emi!Y$27</f>
        <v>283.31269775891326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0</v>
      </c>
      <c r="C69" s="110">
        <f t="shared" si="57"/>
        <v>0</v>
      </c>
      <c r="D69" s="110">
        <f t="shared" si="57"/>
        <v>0</v>
      </c>
      <c r="E69" s="110">
        <f t="shared" si="57"/>
        <v>0</v>
      </c>
      <c r="F69" s="110">
        <f t="shared" si="57"/>
        <v>0</v>
      </c>
      <c r="G69" s="110">
        <f t="shared" si="57"/>
        <v>0</v>
      </c>
      <c r="H69" s="110">
        <f t="shared" si="57"/>
        <v>0</v>
      </c>
      <c r="I69" s="110">
        <f t="shared" si="57"/>
        <v>0</v>
      </c>
      <c r="J69" s="110">
        <f t="shared" si="57"/>
        <v>0</v>
      </c>
      <c r="K69" s="110">
        <f t="shared" si="57"/>
        <v>0</v>
      </c>
      <c r="L69" s="110">
        <f t="shared" si="57"/>
        <v>0</v>
      </c>
      <c r="M69" s="110">
        <f t="shared" si="57"/>
        <v>0</v>
      </c>
      <c r="N69" s="110">
        <f t="shared" si="57"/>
        <v>0</v>
      </c>
      <c r="O69" s="110">
        <f t="shared" si="57"/>
        <v>0</v>
      </c>
      <c r="P69" s="110">
        <f t="shared" si="57"/>
        <v>0</v>
      </c>
      <c r="Q69" s="110">
        <f t="shared" si="57"/>
        <v>0</v>
      </c>
      <c r="R69" s="110">
        <f t="shared" ref="R69:V69" si="58">R70+R71+R72</f>
        <v>0</v>
      </c>
      <c r="S69" s="110">
        <f t="shared" si="58"/>
        <v>0</v>
      </c>
      <c r="T69" s="110">
        <f t="shared" si="58"/>
        <v>0</v>
      </c>
      <c r="U69" s="110">
        <f t="shared" si="58"/>
        <v>0</v>
      </c>
      <c r="V69" s="110">
        <f t="shared" si="58"/>
        <v>0</v>
      </c>
      <c r="W69" s="110">
        <f t="shared" ref="W69:Y69" si="59">W70+W71+W72</f>
        <v>0</v>
      </c>
      <c r="X69" s="110">
        <f t="shared" si="59"/>
        <v>0</v>
      </c>
      <c r="Y69" s="110">
        <f t="shared" si="59"/>
        <v>0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0</v>
      </c>
      <c r="C71" s="102">
        <f>TrRail_emi!C$11</f>
        <v>0</v>
      </c>
      <c r="D71" s="102">
        <f>TrRail_emi!D$11</f>
        <v>0</v>
      </c>
      <c r="E71" s="102">
        <f>TrRail_emi!E$11</f>
        <v>0</v>
      </c>
      <c r="F71" s="102">
        <f>TrRail_emi!F$11</f>
        <v>0</v>
      </c>
      <c r="G71" s="102">
        <f>TrRail_emi!G$11</f>
        <v>0</v>
      </c>
      <c r="H71" s="102">
        <f>TrRail_emi!H$11</f>
        <v>0</v>
      </c>
      <c r="I71" s="102">
        <f>TrRail_emi!I$11</f>
        <v>0</v>
      </c>
      <c r="J71" s="102">
        <f>TrRail_emi!J$11</f>
        <v>0</v>
      </c>
      <c r="K71" s="102">
        <f>TrRail_emi!K$11</f>
        <v>0</v>
      </c>
      <c r="L71" s="102">
        <f>TrRail_emi!L$11</f>
        <v>0</v>
      </c>
      <c r="M71" s="102">
        <f>TrRail_emi!M$11</f>
        <v>0</v>
      </c>
      <c r="N71" s="102">
        <f>TrRail_emi!N$11</f>
        <v>0</v>
      </c>
      <c r="O71" s="102">
        <f>TrRail_emi!O$11</f>
        <v>0</v>
      </c>
      <c r="P71" s="102">
        <f>TrRail_emi!P$11</f>
        <v>0</v>
      </c>
      <c r="Q71" s="102">
        <f>TrRail_emi!Q$11</f>
        <v>0</v>
      </c>
      <c r="R71" s="102">
        <f>TrRail_emi!R$11</f>
        <v>0</v>
      </c>
      <c r="S71" s="102">
        <f>TrRail_emi!S$11</f>
        <v>0</v>
      </c>
      <c r="T71" s="102">
        <f>TrRail_emi!T$11</f>
        <v>0</v>
      </c>
      <c r="U71" s="102">
        <f>TrRail_emi!U$11</f>
        <v>0</v>
      </c>
      <c r="V71" s="102">
        <f>TrRail_emi!V$11</f>
        <v>0</v>
      </c>
      <c r="W71" s="102">
        <f>TrRail_emi!W$11</f>
        <v>0</v>
      </c>
      <c r="X71" s="102">
        <f>TrRail_emi!X$11</f>
        <v>0</v>
      </c>
      <c r="Y71" s="102">
        <f>TrRail_emi!Y$11</f>
        <v>0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821.95381451974504</v>
      </c>
      <c r="C73" s="110">
        <f t="shared" si="60"/>
        <v>971.60250190773615</v>
      </c>
      <c r="D73" s="110">
        <f t="shared" si="60"/>
        <v>930.59597443837754</v>
      </c>
      <c r="E73" s="110">
        <f t="shared" si="60"/>
        <v>998.1582617420521</v>
      </c>
      <c r="F73" s="110">
        <f t="shared" si="60"/>
        <v>903.15386661254865</v>
      </c>
      <c r="G73" s="110">
        <f t="shared" si="60"/>
        <v>886.45494864263253</v>
      </c>
      <c r="H73" s="110">
        <f t="shared" si="60"/>
        <v>909.49945727087936</v>
      </c>
      <c r="I73" s="110">
        <f t="shared" si="60"/>
        <v>873.79427683428366</v>
      </c>
      <c r="J73" s="110">
        <f t="shared" si="60"/>
        <v>870.76501486874076</v>
      </c>
      <c r="K73" s="110">
        <f t="shared" si="60"/>
        <v>808.54745851961286</v>
      </c>
      <c r="L73" s="110">
        <f t="shared" si="60"/>
        <v>826.53379573786162</v>
      </c>
      <c r="M73" s="110">
        <f t="shared" si="60"/>
        <v>909.68169162298523</v>
      </c>
      <c r="N73" s="110">
        <f t="shared" si="60"/>
        <v>820.59703407824259</v>
      </c>
      <c r="O73" s="110">
        <f t="shared" si="60"/>
        <v>730.28138669155305</v>
      </c>
      <c r="P73" s="110">
        <f t="shared" si="60"/>
        <v>720.00607088410266</v>
      </c>
      <c r="Q73" s="110">
        <f t="shared" si="60"/>
        <v>727.0151957809062</v>
      </c>
      <c r="R73" s="110">
        <f t="shared" ref="R73:V73" si="61">R74+R75+R76</f>
        <v>824.11114483570145</v>
      </c>
      <c r="S73" s="110">
        <f t="shared" si="61"/>
        <v>933.96740257123838</v>
      </c>
      <c r="T73" s="110">
        <f t="shared" si="61"/>
        <v>968.30214764412653</v>
      </c>
      <c r="U73" s="110">
        <f t="shared" si="61"/>
        <v>928.81172553004967</v>
      </c>
      <c r="V73" s="110">
        <f t="shared" si="61"/>
        <v>280.46869490897393</v>
      </c>
      <c r="W73" s="110">
        <f t="shared" ref="W73:Y73" si="62">W74+W75+W76</f>
        <v>468.8525784882558</v>
      </c>
      <c r="X73" s="110">
        <f t="shared" si="62"/>
        <v>790.40084410322379</v>
      </c>
      <c r="Y73" s="110">
        <f t="shared" si="62"/>
        <v>915.87857260417218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717.30505788971811</v>
      </c>
      <c r="C75" s="102">
        <f>TrAvia_emi!C$8</f>
        <v>847.89665869650207</v>
      </c>
      <c r="D75" s="102">
        <f>TrAvia_emi!D$8</f>
        <v>775.62229663355561</v>
      </c>
      <c r="E75" s="102">
        <f>TrAvia_emi!E$8</f>
        <v>831.92228666140056</v>
      </c>
      <c r="F75" s="102">
        <f>TrAvia_emi!F$8</f>
        <v>777.1236531261053</v>
      </c>
      <c r="G75" s="102">
        <f>TrAvia_emi!G$8</f>
        <v>768.17828790849285</v>
      </c>
      <c r="H75" s="102">
        <f>TrAvia_emi!H$8</f>
        <v>788.66133846411333</v>
      </c>
      <c r="I75" s="102">
        <f>TrAvia_emi!I$8</f>
        <v>758.09473136725092</v>
      </c>
      <c r="J75" s="102">
        <f>TrAvia_emi!J$8</f>
        <v>754.08447946184958</v>
      </c>
      <c r="K75" s="102">
        <f>TrAvia_emi!K$8</f>
        <v>694.59024868244774</v>
      </c>
      <c r="L75" s="102">
        <f>TrAvia_emi!L$8</f>
        <v>706.45239888277456</v>
      </c>
      <c r="M75" s="102">
        <f>TrAvia_emi!M$8</f>
        <v>779.64612415975773</v>
      </c>
      <c r="N75" s="102">
        <f>TrAvia_emi!N$8</f>
        <v>696.17990002704403</v>
      </c>
      <c r="O75" s="102">
        <f>TrAvia_emi!O$8</f>
        <v>614.43755695504706</v>
      </c>
      <c r="P75" s="102">
        <f>TrAvia_emi!P$8</f>
        <v>604.85035263476584</v>
      </c>
      <c r="Q75" s="102">
        <f>TrAvia_emi!Q$8</f>
        <v>611.51232210193996</v>
      </c>
      <c r="R75" s="102">
        <f>TrAvia_emi!R$8</f>
        <v>704.07837137658623</v>
      </c>
      <c r="S75" s="102">
        <f>TrAvia_emi!S$8</f>
        <v>805.3065191662032</v>
      </c>
      <c r="T75" s="102">
        <f>TrAvia_emi!T$8</f>
        <v>832.73757955249357</v>
      </c>
      <c r="U75" s="102">
        <f>TrAvia_emi!U$8</f>
        <v>793.82778699656285</v>
      </c>
      <c r="V75" s="102">
        <f>TrAvia_emi!V$8</f>
        <v>213.54449149447652</v>
      </c>
      <c r="W75" s="102">
        <f>TrAvia_emi!W$8</f>
        <v>372.46159228419145</v>
      </c>
      <c r="X75" s="102">
        <f>TrAvia_emi!X$8</f>
        <v>677.49020429750328</v>
      </c>
      <c r="Y75" s="102">
        <f>TrAvia_emi!Y$8</f>
        <v>785.65932136758352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104.64875663002691</v>
      </c>
      <c r="C76" s="102">
        <f>TrAvia_emi!C$9</f>
        <v>123.70584321123413</v>
      </c>
      <c r="D76" s="102">
        <f>TrAvia_emi!D$9</f>
        <v>154.97367780482193</v>
      </c>
      <c r="E76" s="102">
        <f>TrAvia_emi!E$9</f>
        <v>166.23597508065154</v>
      </c>
      <c r="F76" s="102">
        <f>TrAvia_emi!F$9</f>
        <v>126.0302134864433</v>
      </c>
      <c r="G76" s="102">
        <f>TrAvia_emi!G$9</f>
        <v>118.27666073413971</v>
      </c>
      <c r="H76" s="102">
        <f>TrAvia_emi!H$9</f>
        <v>120.83811880676606</v>
      </c>
      <c r="I76" s="102">
        <f>TrAvia_emi!I$9</f>
        <v>115.69954546703276</v>
      </c>
      <c r="J76" s="102">
        <f>TrAvia_emi!J$9</f>
        <v>116.68053540689114</v>
      </c>
      <c r="K76" s="102">
        <f>TrAvia_emi!K$9</f>
        <v>113.95720983716512</v>
      </c>
      <c r="L76" s="102">
        <f>TrAvia_emi!L$9</f>
        <v>120.08139685508711</v>
      </c>
      <c r="M76" s="102">
        <f>TrAvia_emi!M$9</f>
        <v>130.03556746322755</v>
      </c>
      <c r="N76" s="102">
        <f>TrAvia_emi!N$9</f>
        <v>124.41713405119854</v>
      </c>
      <c r="O76" s="102">
        <f>TrAvia_emi!O$9</f>
        <v>115.84382973650602</v>
      </c>
      <c r="P76" s="102">
        <f>TrAvia_emi!P$9</f>
        <v>115.15571824933676</v>
      </c>
      <c r="Q76" s="102">
        <f>TrAvia_emi!Q$9</f>
        <v>115.50287367896621</v>
      </c>
      <c r="R76" s="102">
        <f>TrAvia_emi!R$9</f>
        <v>120.03277345911526</v>
      </c>
      <c r="S76" s="102">
        <f>TrAvia_emi!S$9</f>
        <v>128.66088340503515</v>
      </c>
      <c r="T76" s="102">
        <f>TrAvia_emi!T$9</f>
        <v>135.56456809163291</v>
      </c>
      <c r="U76" s="102">
        <f>TrAvia_emi!U$9</f>
        <v>134.98393853348676</v>
      </c>
      <c r="V76" s="102">
        <f>TrAvia_emi!V$9</f>
        <v>66.924203414497384</v>
      </c>
      <c r="W76" s="102">
        <f>TrAvia_emi!W$9</f>
        <v>96.390986204064362</v>
      </c>
      <c r="X76" s="102">
        <f>TrAvia_emi!X$9</f>
        <v>112.91063980572055</v>
      </c>
      <c r="Y76" s="102">
        <f>TrAvia_emi!Y$9</f>
        <v>130.21925123658863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725.6027305891273</v>
      </c>
      <c r="C77" s="28">
        <f t="shared" si="63"/>
        <v>725.14586148743217</v>
      </c>
      <c r="D77" s="28">
        <f t="shared" si="63"/>
        <v>701.60071442807657</v>
      </c>
      <c r="E77" s="28">
        <f t="shared" si="63"/>
        <v>716.03497966776138</v>
      </c>
      <c r="F77" s="28">
        <f t="shared" si="63"/>
        <v>702.30253164901103</v>
      </c>
      <c r="G77" s="28">
        <f t="shared" si="63"/>
        <v>713.26751684323358</v>
      </c>
      <c r="H77" s="28">
        <f t="shared" si="63"/>
        <v>645.36555284832673</v>
      </c>
      <c r="I77" s="28">
        <f t="shared" si="63"/>
        <v>656.18139190690908</v>
      </c>
      <c r="J77" s="28">
        <f t="shared" si="63"/>
        <v>651.10868822054238</v>
      </c>
      <c r="K77" s="28">
        <f t="shared" si="63"/>
        <v>597.21556358622581</v>
      </c>
      <c r="L77" s="28">
        <f t="shared" si="63"/>
        <v>613.11879737612628</v>
      </c>
      <c r="M77" s="28">
        <f t="shared" si="63"/>
        <v>565.77961230078279</v>
      </c>
      <c r="N77" s="28">
        <f t="shared" si="63"/>
        <v>484.22414401390074</v>
      </c>
      <c r="O77" s="28">
        <f t="shared" si="63"/>
        <v>393.51850010585844</v>
      </c>
      <c r="P77" s="28">
        <f t="shared" si="63"/>
        <v>361.68692600269662</v>
      </c>
      <c r="Q77" s="28">
        <f t="shared" si="63"/>
        <v>370.97071216118786</v>
      </c>
      <c r="R77" s="28">
        <f t="shared" si="63"/>
        <v>412.15100982464901</v>
      </c>
      <c r="S77" s="28">
        <f t="shared" si="63"/>
        <v>445.55393932318441</v>
      </c>
      <c r="T77" s="28">
        <f t="shared" si="63"/>
        <v>453.8173962412298</v>
      </c>
      <c r="U77" s="28">
        <f t="shared" si="63"/>
        <v>447.00048529307361</v>
      </c>
      <c r="V77" s="28">
        <f t="shared" si="63"/>
        <v>409.42940894524907</v>
      </c>
      <c r="W77" s="28">
        <f t="shared" si="63"/>
        <v>429.44683338773643</v>
      </c>
      <c r="X77" s="28">
        <f t="shared" si="63"/>
        <v>413.91907963660293</v>
      </c>
      <c r="Y77" s="28">
        <f t="shared" si="63"/>
        <v>427.23110093769333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697.78482510887193</v>
      </c>
      <c r="C78" s="137">
        <f t="shared" si="64"/>
        <v>701.12030339516843</v>
      </c>
      <c r="D78" s="137">
        <f t="shared" si="64"/>
        <v>674.61810886645389</v>
      </c>
      <c r="E78" s="137">
        <f t="shared" si="64"/>
        <v>690.02807140981338</v>
      </c>
      <c r="F78" s="137">
        <f t="shared" si="64"/>
        <v>670.07334826155966</v>
      </c>
      <c r="G78" s="137">
        <f t="shared" si="64"/>
        <v>677.02257548586635</v>
      </c>
      <c r="H78" s="137">
        <f t="shared" si="64"/>
        <v>603.62801011920635</v>
      </c>
      <c r="I78" s="137">
        <f t="shared" si="64"/>
        <v>619.95893874119258</v>
      </c>
      <c r="J78" s="137">
        <f t="shared" si="64"/>
        <v>615.02776308928321</v>
      </c>
      <c r="K78" s="137">
        <f t="shared" si="64"/>
        <v>565.50367210583863</v>
      </c>
      <c r="L78" s="137">
        <f t="shared" si="64"/>
        <v>583.5392931139877</v>
      </c>
      <c r="M78" s="137">
        <f t="shared" si="64"/>
        <v>543.24904392376777</v>
      </c>
      <c r="N78" s="137">
        <f t="shared" si="64"/>
        <v>467.73261809214313</v>
      </c>
      <c r="O78" s="137">
        <f t="shared" si="64"/>
        <v>378.66423679741138</v>
      </c>
      <c r="P78" s="137">
        <f t="shared" si="64"/>
        <v>349.24050688679927</v>
      </c>
      <c r="Q78" s="137">
        <f t="shared" si="64"/>
        <v>359.19183794209397</v>
      </c>
      <c r="R78" s="137">
        <f t="shared" ref="R78:V78" si="65">R79+R80</f>
        <v>402.34438466035056</v>
      </c>
      <c r="S78" s="137">
        <f t="shared" si="65"/>
        <v>433.19167541442278</v>
      </c>
      <c r="T78" s="137">
        <f t="shared" si="65"/>
        <v>442.63941312535655</v>
      </c>
      <c r="U78" s="137">
        <f t="shared" si="65"/>
        <v>436.97579026312314</v>
      </c>
      <c r="V78" s="137">
        <f t="shared" si="65"/>
        <v>402.20193377422288</v>
      </c>
      <c r="W78" s="137">
        <f t="shared" ref="W78:Y78" si="66">W79+W80</f>
        <v>421.01513823599242</v>
      </c>
      <c r="X78" s="137">
        <f t="shared" si="66"/>
        <v>403.15487993982651</v>
      </c>
      <c r="Y78" s="137">
        <f t="shared" si="66"/>
        <v>414.6502875418654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550.74480635443024</v>
      </c>
      <c r="C79" s="102">
        <f>TrRoad_emi!C$34</f>
        <v>552.9915219399744</v>
      </c>
      <c r="D79" s="102">
        <f>TrRoad_emi!D$34</f>
        <v>535.34010581394148</v>
      </c>
      <c r="E79" s="102">
        <f>TrRoad_emi!E$34</f>
        <v>538.48158266230917</v>
      </c>
      <c r="F79" s="102">
        <f>TrRoad_emi!F$34</f>
        <v>536.59962462721285</v>
      </c>
      <c r="G79" s="102">
        <f>TrRoad_emi!G$34</f>
        <v>517.88488877973202</v>
      </c>
      <c r="H79" s="102">
        <f>TrRoad_emi!H$34</f>
        <v>473.90031979866137</v>
      </c>
      <c r="I79" s="102">
        <f>TrRoad_emi!I$34</f>
        <v>480.49556655050793</v>
      </c>
      <c r="J79" s="102">
        <f>TrRoad_emi!J$34</f>
        <v>470.3613204365696</v>
      </c>
      <c r="K79" s="102">
        <f>TrRoad_emi!K$34</f>
        <v>451.31968475933473</v>
      </c>
      <c r="L79" s="102">
        <f>TrRoad_emi!L$34</f>
        <v>453.36865457545838</v>
      </c>
      <c r="M79" s="102">
        <f>TrRoad_emi!M$34</f>
        <v>434.50055354019025</v>
      </c>
      <c r="N79" s="102">
        <f>TrRoad_emi!N$34</f>
        <v>378.19368193227672</v>
      </c>
      <c r="O79" s="102">
        <f>TrRoad_emi!O$34</f>
        <v>319.72318057454333</v>
      </c>
      <c r="P79" s="102">
        <f>TrRoad_emi!P$34</f>
        <v>297.92981797739424</v>
      </c>
      <c r="Q79" s="102">
        <f>TrRoad_emi!Q$34</f>
        <v>306.38895711492739</v>
      </c>
      <c r="R79" s="102">
        <f>TrRoad_emi!R$34</f>
        <v>330.04594607261805</v>
      </c>
      <c r="S79" s="102">
        <f>TrRoad_emi!S$34</f>
        <v>347.98045983988845</v>
      </c>
      <c r="T79" s="102">
        <f>TrRoad_emi!T$34</f>
        <v>353.47895473651607</v>
      </c>
      <c r="U79" s="102">
        <f>TrRoad_emi!U$34</f>
        <v>343.99535516077736</v>
      </c>
      <c r="V79" s="102">
        <f>TrRoad_emi!V$34</f>
        <v>334.90012453647768</v>
      </c>
      <c r="W79" s="102">
        <f>TrRoad_emi!W$34</f>
        <v>349.51834407862913</v>
      </c>
      <c r="X79" s="102">
        <f>TrRoad_emi!X$34</f>
        <v>311.02672211405928</v>
      </c>
      <c r="Y79" s="102">
        <f>TrRoad_emi!Y$34</f>
        <v>320.32881375486738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147.04001875444163</v>
      </c>
      <c r="C80" s="102">
        <f>TrRoad_emi!C$40</f>
        <v>148.12878145519403</v>
      </c>
      <c r="D80" s="102">
        <f>TrRoad_emi!D$40</f>
        <v>139.27800305251242</v>
      </c>
      <c r="E80" s="102">
        <f>TrRoad_emi!E$40</f>
        <v>151.54648874750421</v>
      </c>
      <c r="F80" s="102">
        <f>TrRoad_emi!F$40</f>
        <v>133.47372363434687</v>
      </c>
      <c r="G80" s="102">
        <f>TrRoad_emi!G$40</f>
        <v>159.1376867061343</v>
      </c>
      <c r="H80" s="102">
        <f>TrRoad_emi!H$40</f>
        <v>129.72769032054498</v>
      </c>
      <c r="I80" s="102">
        <f>TrRoad_emi!I$40</f>
        <v>139.46337219068462</v>
      </c>
      <c r="J80" s="102">
        <f>TrRoad_emi!J$40</f>
        <v>144.66644265271361</v>
      </c>
      <c r="K80" s="102">
        <f>TrRoad_emi!K$40</f>
        <v>114.18398734650388</v>
      </c>
      <c r="L80" s="102">
        <f>TrRoad_emi!L$40</f>
        <v>130.17063853852932</v>
      </c>
      <c r="M80" s="102">
        <f>TrRoad_emi!M$40</f>
        <v>108.7484903835775</v>
      </c>
      <c r="N80" s="102">
        <f>TrRoad_emi!N$40</f>
        <v>89.53893615986641</v>
      </c>
      <c r="O80" s="102">
        <f>TrRoad_emi!O$40</f>
        <v>58.941056222868042</v>
      </c>
      <c r="P80" s="102">
        <f>TrRoad_emi!P$40</f>
        <v>51.310688909405059</v>
      </c>
      <c r="Q80" s="102">
        <f>TrRoad_emi!Q$40</f>
        <v>52.802880827166554</v>
      </c>
      <c r="R80" s="102">
        <f>TrRoad_emi!R$40</f>
        <v>72.298438587732505</v>
      </c>
      <c r="S80" s="102">
        <f>TrRoad_emi!S$40</f>
        <v>85.211215574534322</v>
      </c>
      <c r="T80" s="102">
        <f>TrRoad_emi!T$40</f>
        <v>89.16045838884051</v>
      </c>
      <c r="U80" s="102">
        <f>TrRoad_emi!U$40</f>
        <v>92.98043510234578</v>
      </c>
      <c r="V80" s="102">
        <f>TrRoad_emi!V$40</f>
        <v>67.301809237745175</v>
      </c>
      <c r="W80" s="102">
        <f>TrRoad_emi!W$40</f>
        <v>71.496794157363297</v>
      </c>
      <c r="X80" s="102">
        <f>TrRoad_emi!X$40</f>
        <v>92.128157825767246</v>
      </c>
      <c r="Y80" s="102">
        <f>TrRoad_emi!Y$40</f>
        <v>94.321473786998041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0</v>
      </c>
      <c r="C81" s="110">
        <f>TrRail_emi!C$15</f>
        <v>0</v>
      </c>
      <c r="D81" s="110">
        <f>TrRail_emi!D$15</f>
        <v>0</v>
      </c>
      <c r="E81" s="110">
        <f>TrRail_emi!E$15</f>
        <v>0</v>
      </c>
      <c r="F81" s="110">
        <f>TrRail_emi!F$15</f>
        <v>0</v>
      </c>
      <c r="G81" s="110">
        <f>TrRail_emi!G$15</f>
        <v>0</v>
      </c>
      <c r="H81" s="110">
        <f>TrRail_emi!H$15</f>
        <v>0</v>
      </c>
      <c r="I81" s="110">
        <f>TrRail_emi!I$15</f>
        <v>0</v>
      </c>
      <c r="J81" s="110">
        <f>TrRail_emi!J$15</f>
        <v>0</v>
      </c>
      <c r="K81" s="110">
        <f>TrRail_emi!K$15</f>
        <v>0</v>
      </c>
      <c r="L81" s="110">
        <f>TrRail_emi!L$15</f>
        <v>0</v>
      </c>
      <c r="M81" s="110">
        <f>TrRail_emi!M$15</f>
        <v>0</v>
      </c>
      <c r="N81" s="110">
        <f>TrRail_emi!N$15</f>
        <v>0</v>
      </c>
      <c r="O81" s="110">
        <f>TrRail_emi!O$15</f>
        <v>0</v>
      </c>
      <c r="P81" s="110">
        <f>TrRail_emi!P$15</f>
        <v>0</v>
      </c>
      <c r="Q81" s="110">
        <f>TrRail_emi!Q$15</f>
        <v>0</v>
      </c>
      <c r="R81" s="110">
        <f>TrRail_emi!R$15</f>
        <v>0</v>
      </c>
      <c r="S81" s="110">
        <f>TrRail_emi!S$15</f>
        <v>0</v>
      </c>
      <c r="T81" s="110">
        <f>TrRail_emi!T$15</f>
        <v>0</v>
      </c>
      <c r="U81" s="110">
        <f>TrRail_emi!U$15</f>
        <v>0</v>
      </c>
      <c r="V81" s="110">
        <f>TrRail_emi!V$15</f>
        <v>0</v>
      </c>
      <c r="W81" s="110">
        <f>TrRail_emi!W$15</f>
        <v>0</v>
      </c>
      <c r="X81" s="110">
        <f>TrRail_emi!X$15</f>
        <v>0</v>
      </c>
      <c r="Y81" s="110">
        <f>TrRail_emi!Y$15</f>
        <v>0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27.817905480255337</v>
      </c>
      <c r="C82" s="110">
        <f t="shared" si="67"/>
        <v>24.025558092263779</v>
      </c>
      <c r="D82" s="110">
        <f t="shared" si="67"/>
        <v>26.982605561622659</v>
      </c>
      <c r="E82" s="110">
        <f t="shared" si="67"/>
        <v>26.006908257947952</v>
      </c>
      <c r="F82" s="110">
        <f t="shared" si="67"/>
        <v>32.229183387451371</v>
      </c>
      <c r="G82" s="110">
        <f t="shared" si="67"/>
        <v>36.244941357367267</v>
      </c>
      <c r="H82" s="110">
        <f t="shared" si="67"/>
        <v>41.737542729120342</v>
      </c>
      <c r="I82" s="110">
        <f t="shared" si="67"/>
        <v>36.222453165716445</v>
      </c>
      <c r="J82" s="110">
        <f t="shared" si="67"/>
        <v>36.080925131259207</v>
      </c>
      <c r="K82" s="110">
        <f t="shared" si="67"/>
        <v>31.711891480387163</v>
      </c>
      <c r="L82" s="110">
        <f t="shared" si="67"/>
        <v>29.579504262138574</v>
      </c>
      <c r="M82" s="110">
        <f t="shared" si="67"/>
        <v>22.530568377014987</v>
      </c>
      <c r="N82" s="110">
        <f t="shared" si="67"/>
        <v>16.491525921757621</v>
      </c>
      <c r="O82" s="110">
        <f t="shared" si="67"/>
        <v>14.854263308447072</v>
      </c>
      <c r="P82" s="110">
        <f t="shared" si="67"/>
        <v>12.446419115897379</v>
      </c>
      <c r="Q82" s="110">
        <f t="shared" si="67"/>
        <v>11.778874219093895</v>
      </c>
      <c r="R82" s="110">
        <f t="shared" si="67"/>
        <v>9.8066251642984543</v>
      </c>
      <c r="S82" s="110">
        <f t="shared" si="67"/>
        <v>10.313013588761649</v>
      </c>
      <c r="T82" s="110">
        <f t="shared" si="67"/>
        <v>9.0399017158732899</v>
      </c>
      <c r="U82" s="110">
        <f t="shared" si="67"/>
        <v>7.2373197899504547</v>
      </c>
      <c r="V82" s="110">
        <f t="shared" si="67"/>
        <v>6.0884099710261577</v>
      </c>
      <c r="W82" s="110">
        <f t="shared" ref="W82:Y82" si="68">W83+W84+W85</f>
        <v>5.8115784317440138</v>
      </c>
      <c r="X82" s="110">
        <f t="shared" si="68"/>
        <v>6.3490549367764153</v>
      </c>
      <c r="Y82" s="110">
        <f t="shared" si="68"/>
        <v>6.7990571558279571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26.508110509392306</v>
      </c>
      <c r="C84" s="102">
        <f>TrAvia_emi!C$12</f>
        <v>22.760464348362536</v>
      </c>
      <c r="D84" s="102">
        <f>TrAvia_emi!D$12</f>
        <v>25.620418297774787</v>
      </c>
      <c r="E84" s="102">
        <f>TrAvia_emi!E$12</f>
        <v>24.658004282087102</v>
      </c>
      <c r="F84" s="102">
        <f>TrAvia_emi!F$12</f>
        <v>30.706299104505636</v>
      </c>
      <c r="G84" s="102">
        <f>TrAvia_emi!G$12</f>
        <v>34.829486297372164</v>
      </c>
      <c r="H84" s="102">
        <f>TrAvia_emi!H$12</f>
        <v>40.442897958680859</v>
      </c>
      <c r="I84" s="102">
        <f>TrAvia_emi!I$12</f>
        <v>35.054799722400475</v>
      </c>
      <c r="J84" s="102">
        <f>TrAvia_emi!J$12</f>
        <v>34.696006935524672</v>
      </c>
      <c r="K84" s="102">
        <f>TrAvia_emi!K$12</f>
        <v>30.031328300247548</v>
      </c>
      <c r="L84" s="102">
        <f>TrAvia_emi!L$12</f>
        <v>27.444675799085431</v>
      </c>
      <c r="M84" s="102">
        <f>TrAvia_emi!M$12</f>
        <v>21.56155282092725</v>
      </c>
      <c r="N84" s="102">
        <f>TrAvia_emi!N$12</f>
        <v>16.013442675999428</v>
      </c>
      <c r="O84" s="102">
        <f>TrAvia_emi!O$12</f>
        <v>14.345686116401152</v>
      </c>
      <c r="P84" s="102">
        <f>TrAvia_emi!P$12</f>
        <v>12.069546204038444</v>
      </c>
      <c r="Q84" s="102">
        <f>TrAvia_emi!Q$12</f>
        <v>11.353035465228013</v>
      </c>
      <c r="R84" s="102">
        <f>TrAvia_emi!R$12</f>
        <v>9.5452242611200369</v>
      </c>
      <c r="S84" s="102">
        <f>TrAvia_emi!S$12</f>
        <v>10.031428722550755</v>
      </c>
      <c r="T84" s="102">
        <f>TrAvia_emi!T$12</f>
        <v>8.7395701818532743</v>
      </c>
      <c r="U84" s="102">
        <f>TrAvia_emi!U$12</f>
        <v>6.3281953208394963</v>
      </c>
      <c r="V84" s="102">
        <f>TrAvia_emi!V$12</f>
        <v>4.7918187467456796</v>
      </c>
      <c r="W84" s="102">
        <f>TrAvia_emi!W$12</f>
        <v>5.4840556323495075</v>
      </c>
      <c r="X84" s="102">
        <f>TrAvia_emi!X$12</f>
        <v>5.6473553331496955</v>
      </c>
      <c r="Y84" s="102">
        <f>TrAvia_emi!Y$12</f>
        <v>5.9950497677466563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1.3097949708630303</v>
      </c>
      <c r="C85" s="102">
        <f>TrAvia_emi!C$13</f>
        <v>1.2650937439012417</v>
      </c>
      <c r="D85" s="102">
        <f>TrAvia_emi!D$13</f>
        <v>1.3621872638478705</v>
      </c>
      <c r="E85" s="102">
        <f>TrAvia_emi!E$13</f>
        <v>1.3489039758608499</v>
      </c>
      <c r="F85" s="102">
        <f>TrAvia_emi!F$13</f>
        <v>1.5228842829457327</v>
      </c>
      <c r="G85" s="102">
        <f>TrAvia_emi!G$13</f>
        <v>1.4154550599951028</v>
      </c>
      <c r="H85" s="102">
        <f>TrAvia_emi!H$13</f>
        <v>1.2946447704394799</v>
      </c>
      <c r="I85" s="102">
        <f>TrAvia_emi!I$13</f>
        <v>1.1676534433159669</v>
      </c>
      <c r="J85" s="102">
        <f>TrAvia_emi!J$13</f>
        <v>1.3849181957345371</v>
      </c>
      <c r="K85" s="102">
        <f>TrAvia_emi!K$13</f>
        <v>1.6805631801396141</v>
      </c>
      <c r="L85" s="102">
        <f>TrAvia_emi!L$13</f>
        <v>2.1348284630531427</v>
      </c>
      <c r="M85" s="102">
        <f>TrAvia_emi!M$13</f>
        <v>0.96901555608773626</v>
      </c>
      <c r="N85" s="102">
        <f>TrAvia_emi!N$13</f>
        <v>0.4780832457581915</v>
      </c>
      <c r="O85" s="102">
        <f>TrAvia_emi!O$13</f>
        <v>0.50857719204592011</v>
      </c>
      <c r="P85" s="102">
        <f>TrAvia_emi!P$13</f>
        <v>0.37687291185893484</v>
      </c>
      <c r="Q85" s="102">
        <f>TrAvia_emi!Q$13</f>
        <v>0.42583875386588266</v>
      </c>
      <c r="R85" s="102">
        <f>TrAvia_emi!R$13</f>
        <v>0.26140090317841752</v>
      </c>
      <c r="S85" s="102">
        <f>TrAvia_emi!S$13</f>
        <v>0.28158486621089424</v>
      </c>
      <c r="T85" s="102">
        <f>TrAvia_emi!T$13</f>
        <v>0.30033153402001611</v>
      </c>
      <c r="U85" s="102">
        <f>TrAvia_emi!U$13</f>
        <v>0.90912446911095801</v>
      </c>
      <c r="V85" s="102">
        <f>TrAvia_emi!V$13</f>
        <v>1.2965912242804782</v>
      </c>
      <c r="W85" s="102">
        <f>TrAvia_emi!W$13</f>
        <v>0.32752279939450613</v>
      </c>
      <c r="X85" s="102">
        <f>TrAvia_emi!X$13</f>
        <v>0.70169960362671968</v>
      </c>
      <c r="Y85" s="102">
        <f>TrAvia_emi!Y$13</f>
        <v>0.8040073880813009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0</v>
      </c>
      <c r="C86" s="110">
        <f t="shared" si="69"/>
        <v>0</v>
      </c>
      <c r="D86" s="110">
        <f t="shared" si="69"/>
        <v>0</v>
      </c>
      <c r="E86" s="110">
        <f t="shared" si="69"/>
        <v>0</v>
      </c>
      <c r="F86" s="110">
        <f t="shared" si="69"/>
        <v>0</v>
      </c>
      <c r="G86" s="110">
        <f t="shared" si="69"/>
        <v>0</v>
      </c>
      <c r="H86" s="110">
        <f t="shared" si="69"/>
        <v>0</v>
      </c>
      <c r="I86" s="110">
        <f t="shared" si="69"/>
        <v>0</v>
      </c>
      <c r="J86" s="110">
        <f t="shared" si="69"/>
        <v>0</v>
      </c>
      <c r="K86" s="110">
        <f t="shared" si="69"/>
        <v>0</v>
      </c>
      <c r="L86" s="110">
        <f t="shared" si="69"/>
        <v>0</v>
      </c>
      <c r="M86" s="110">
        <f t="shared" si="69"/>
        <v>0</v>
      </c>
      <c r="N86" s="110">
        <f t="shared" si="69"/>
        <v>0</v>
      </c>
      <c r="O86" s="110">
        <f t="shared" si="69"/>
        <v>0</v>
      </c>
      <c r="P86" s="110">
        <f t="shared" si="69"/>
        <v>0</v>
      </c>
      <c r="Q86" s="110">
        <f t="shared" si="69"/>
        <v>0</v>
      </c>
      <c r="R86" s="110">
        <f t="shared" ref="R86:V86" si="70">R87+R88</f>
        <v>0</v>
      </c>
      <c r="S86" s="110">
        <f t="shared" si="70"/>
        <v>2.0492503200000001</v>
      </c>
      <c r="T86" s="110">
        <f t="shared" si="70"/>
        <v>2.1380813999999999</v>
      </c>
      <c r="U86" s="110">
        <f t="shared" si="70"/>
        <v>2.7873752399999998</v>
      </c>
      <c r="V86" s="110">
        <f t="shared" si="70"/>
        <v>1.1390651999999999</v>
      </c>
      <c r="W86" s="110">
        <f t="shared" ref="W86:Y86" si="71">W87+W88</f>
        <v>2.6201167199999995</v>
      </c>
      <c r="X86" s="110">
        <f t="shared" si="71"/>
        <v>4.4151447600000013</v>
      </c>
      <c r="Y86" s="110">
        <f t="shared" si="71"/>
        <v>5.7817562400000009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2.0492503200000001</v>
      </c>
      <c r="T87" s="102">
        <f>TrNavi_emi!T$4</f>
        <v>2.1380813999999999</v>
      </c>
      <c r="U87" s="102">
        <f>TrNavi_emi!U$4</f>
        <v>2.7873752399999998</v>
      </c>
      <c r="V87" s="102">
        <f>TrNavi_emi!V$4</f>
        <v>1.1390651999999999</v>
      </c>
      <c r="W87" s="102">
        <f>TrNavi_emi!W$4</f>
        <v>2.6201167199999995</v>
      </c>
      <c r="X87" s="102">
        <f>TrNavi_emi!X$4</f>
        <v>4.4151447600000013</v>
      </c>
      <c r="Y87" s="102">
        <f>TrNavi_emi!Y$4</f>
        <v>5.7817562400000009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609.43904315999976</v>
      </c>
      <c r="C89" s="28">
        <f t="shared" si="72"/>
        <v>606.14573112000016</v>
      </c>
      <c r="D89" s="28">
        <f t="shared" si="72"/>
        <v>436.44996431999982</v>
      </c>
      <c r="E89" s="28">
        <f t="shared" si="72"/>
        <v>392.83952651999999</v>
      </c>
      <c r="F89" s="28">
        <f t="shared" si="72"/>
        <v>173.41117668000001</v>
      </c>
      <c r="G89" s="28">
        <f t="shared" si="72"/>
        <v>920.01246156000002</v>
      </c>
      <c r="H89" s="28">
        <f t="shared" si="72"/>
        <v>934.83162432000017</v>
      </c>
      <c r="I89" s="28">
        <f t="shared" si="72"/>
        <v>869.40263988000015</v>
      </c>
      <c r="J89" s="28">
        <f t="shared" si="72"/>
        <v>802.4671548</v>
      </c>
      <c r="K89" s="28">
        <f t="shared" si="72"/>
        <v>693.0820263600001</v>
      </c>
      <c r="L89" s="28">
        <f t="shared" si="72"/>
        <v>590.2092021599999</v>
      </c>
      <c r="M89" s="28">
        <f t="shared" si="72"/>
        <v>629.01319608000017</v>
      </c>
      <c r="N89" s="28">
        <f t="shared" si="72"/>
        <v>623.12930856000003</v>
      </c>
      <c r="O89" s="28">
        <f t="shared" si="72"/>
        <v>756.10928952000017</v>
      </c>
      <c r="P89" s="28">
        <f t="shared" si="72"/>
        <v>735.52434264000021</v>
      </c>
      <c r="Q89" s="28">
        <f t="shared" si="72"/>
        <v>773.25976511999988</v>
      </c>
      <c r="R89" s="28">
        <f t="shared" si="72"/>
        <v>909.22297392000019</v>
      </c>
      <c r="S89" s="28">
        <f t="shared" si="72"/>
        <v>806.43725604000019</v>
      </c>
      <c r="T89" s="28">
        <f t="shared" si="72"/>
        <v>856.24929900000006</v>
      </c>
      <c r="U89" s="28">
        <f t="shared" si="72"/>
        <v>881.41074372000014</v>
      </c>
      <c r="V89" s="28">
        <f t="shared" si="72"/>
        <v>876.24840528000004</v>
      </c>
      <c r="W89" s="28">
        <f t="shared" si="72"/>
        <v>802.52022131999979</v>
      </c>
      <c r="X89" s="28">
        <f t="shared" ref="X89:Y89" si="73">X90+X91</f>
        <v>916.40243808000014</v>
      </c>
      <c r="Y89" s="28">
        <f t="shared" si="73"/>
        <v>739.22491403999993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365.60978208885035</v>
      </c>
      <c r="C90" s="102">
        <f>MBunk_emi!C$4</f>
        <v>364.54462239135086</v>
      </c>
      <c r="D90" s="102">
        <f>MBunk_emi!D$4</f>
        <v>261.34371725487114</v>
      </c>
      <c r="E90" s="102">
        <f>MBunk_emi!E$4</f>
        <v>248.7195994157936</v>
      </c>
      <c r="F90" s="102">
        <f>MBunk_emi!F$4</f>
        <v>112.36256530081826</v>
      </c>
      <c r="G90" s="102">
        <f>MBunk_emi!G$4</f>
        <v>563.6311864244409</v>
      </c>
      <c r="H90" s="102">
        <f>MBunk_emi!H$4</f>
        <v>580.37539609862586</v>
      </c>
      <c r="I90" s="102">
        <f>MBunk_emi!I$4</f>
        <v>456.41275485043235</v>
      </c>
      <c r="J90" s="102">
        <f>MBunk_emi!J$4</f>
        <v>489.27183301411742</v>
      </c>
      <c r="K90" s="102">
        <f>MBunk_emi!K$4</f>
        <v>390.06181932925125</v>
      </c>
      <c r="L90" s="102">
        <f>MBunk_emi!L$4</f>
        <v>349.23038593071101</v>
      </c>
      <c r="M90" s="102">
        <f>MBunk_emi!M$4</f>
        <v>391.58025616711393</v>
      </c>
      <c r="N90" s="102">
        <f>MBunk_emi!N$4</f>
        <v>406.94743396523353</v>
      </c>
      <c r="O90" s="102">
        <f>MBunk_emi!O$4</f>
        <v>496.93217255686704</v>
      </c>
      <c r="P90" s="102">
        <f>MBunk_emi!P$4</f>
        <v>470.24465733485181</v>
      </c>
      <c r="Q90" s="102">
        <f>MBunk_emi!Q$4</f>
        <v>502.31245022667963</v>
      </c>
      <c r="R90" s="102">
        <f>MBunk_emi!R$4</f>
        <v>582.0893166900596</v>
      </c>
      <c r="S90" s="102">
        <f>MBunk_emi!S$4</f>
        <v>498.97326280694438</v>
      </c>
      <c r="T90" s="102">
        <f>MBunk_emi!T$4</f>
        <v>503.82850899010299</v>
      </c>
      <c r="U90" s="102">
        <f>MBunk_emi!U$4</f>
        <v>553.85100317142815</v>
      </c>
      <c r="V90" s="102">
        <f>MBunk_emi!V$4</f>
        <v>526.07774009592231</v>
      </c>
      <c r="W90" s="102">
        <f>MBunk_emi!W$4</f>
        <v>481.49563050254335</v>
      </c>
      <c r="X90" s="102">
        <f>MBunk_emi!X$4</f>
        <v>578.77261495531081</v>
      </c>
      <c r="Y90" s="102">
        <f>MBunk_emi!Y$4</f>
        <v>482.1666003229393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243.8292610711494</v>
      </c>
      <c r="C91" s="86">
        <f>MBunk_emi!C$5</f>
        <v>241.60110872864931</v>
      </c>
      <c r="D91" s="86">
        <f>MBunk_emi!D$5</f>
        <v>175.10624706512868</v>
      </c>
      <c r="E91" s="86">
        <f>MBunk_emi!E$5</f>
        <v>144.1199271042064</v>
      </c>
      <c r="F91" s="86">
        <f>MBunk_emi!F$5</f>
        <v>61.04861137918175</v>
      </c>
      <c r="G91" s="86">
        <f>MBunk_emi!G$5</f>
        <v>356.38127513555912</v>
      </c>
      <c r="H91" s="86">
        <f>MBunk_emi!H$5</f>
        <v>354.45622822137432</v>
      </c>
      <c r="I91" s="86">
        <f>MBunk_emi!I$5</f>
        <v>412.9898850295678</v>
      </c>
      <c r="J91" s="86">
        <f>MBunk_emi!J$5</f>
        <v>313.19532178588258</v>
      </c>
      <c r="K91" s="86">
        <f>MBunk_emi!K$5</f>
        <v>303.02020703074891</v>
      </c>
      <c r="L91" s="86">
        <f>MBunk_emi!L$5</f>
        <v>240.97881622928895</v>
      </c>
      <c r="M91" s="86">
        <f>MBunk_emi!M$5</f>
        <v>237.43293991288624</v>
      </c>
      <c r="N91" s="86">
        <f>MBunk_emi!N$5</f>
        <v>216.18187459476653</v>
      </c>
      <c r="O91" s="86">
        <f>MBunk_emi!O$5</f>
        <v>259.17711696313313</v>
      </c>
      <c r="P91" s="86">
        <f>MBunk_emi!P$5</f>
        <v>265.2796853051484</v>
      </c>
      <c r="Q91" s="86">
        <f>MBunk_emi!Q$5</f>
        <v>270.94731489332031</v>
      </c>
      <c r="R91" s="86">
        <f>MBunk_emi!R$5</f>
        <v>327.13365722994052</v>
      </c>
      <c r="S91" s="86">
        <f>MBunk_emi!S$5</f>
        <v>307.46399323305587</v>
      </c>
      <c r="T91" s="86">
        <f>MBunk_emi!T$5</f>
        <v>352.42079000989702</v>
      </c>
      <c r="U91" s="86">
        <f>MBunk_emi!U$5</f>
        <v>327.55974054857199</v>
      </c>
      <c r="V91" s="86">
        <f>MBunk_emi!V$5</f>
        <v>350.17066518407779</v>
      </c>
      <c r="W91" s="86">
        <f>MBunk_emi!W$5</f>
        <v>321.0245908174565</v>
      </c>
      <c r="X91" s="86">
        <f>MBunk_emi!X$5</f>
        <v>337.62982312468932</v>
      </c>
      <c r="Y91" s="86">
        <f>MBunk_emi!Y$5</f>
        <v>257.05831371706063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0.36386596704003082</v>
      </c>
      <c r="C97" s="139">
        <f t="shared" si="75"/>
        <v>0.33751309721755168</v>
      </c>
      <c r="D97" s="139">
        <f t="shared" si="75"/>
        <v>0.39712215663780143</v>
      </c>
      <c r="E97" s="139">
        <f t="shared" si="75"/>
        <v>0.39150092718207008</v>
      </c>
      <c r="F97" s="139">
        <f t="shared" si="75"/>
        <v>0.40799062983955603</v>
      </c>
      <c r="G97" s="139">
        <f t="shared" si="75"/>
        <v>0.40454240318078954</v>
      </c>
      <c r="H97" s="139">
        <f t="shared" si="75"/>
        <v>0.41283422952831539</v>
      </c>
      <c r="I97" s="139">
        <f t="shared" si="75"/>
        <v>0.42563444102274223</v>
      </c>
      <c r="J97" s="139">
        <f t="shared" si="75"/>
        <v>0.43363817322608877</v>
      </c>
      <c r="K97" s="139">
        <f t="shared" si="75"/>
        <v>0.45898038594938784</v>
      </c>
      <c r="L97" s="139">
        <f t="shared" si="75"/>
        <v>0.44936199108412028</v>
      </c>
      <c r="M97" s="139">
        <f t="shared" si="75"/>
        <v>0.44276337705893071</v>
      </c>
      <c r="N97" s="139">
        <f t="shared" si="75"/>
        <v>0.444259603464986</v>
      </c>
      <c r="O97" s="139">
        <f t="shared" si="75"/>
        <v>0.44340140793793764</v>
      </c>
      <c r="P97" s="139">
        <f t="shared" si="75"/>
        <v>0.44424839268338223</v>
      </c>
      <c r="Q97" s="139">
        <f t="shared" si="75"/>
        <v>0.45224417558900903</v>
      </c>
      <c r="R97" s="139">
        <f t="shared" si="75"/>
        <v>0.4177923399350611</v>
      </c>
      <c r="S97" s="139">
        <f t="shared" si="75"/>
        <v>0.39564810268458983</v>
      </c>
      <c r="T97" s="139">
        <f t="shared" si="75"/>
        <v>0.38819162064782864</v>
      </c>
      <c r="U97" s="139">
        <f t="shared" si="75"/>
        <v>0.38913062820256744</v>
      </c>
      <c r="V97" s="139">
        <f t="shared" si="75"/>
        <v>0.72540692233136161</v>
      </c>
      <c r="W97" s="139">
        <f t="shared" si="75"/>
        <v>0.56614687221429305</v>
      </c>
      <c r="X97" s="139">
        <f t="shared" si="75"/>
        <v>0.43925444612569542</v>
      </c>
      <c r="Y97" s="139">
        <f t="shared" si="75"/>
        <v>0.40252948102021235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1.0394087552402486E-2</v>
      </c>
      <c r="C98" s="140">
        <f t="shared" si="76"/>
        <v>9.245556316663274E-3</v>
      </c>
      <c r="D98" s="140">
        <f t="shared" si="76"/>
        <v>1.0207237097163983E-2</v>
      </c>
      <c r="E98" s="140">
        <f t="shared" si="76"/>
        <v>9.9975999502206914E-3</v>
      </c>
      <c r="F98" s="140">
        <f t="shared" si="76"/>
        <v>9.6734484164892557E-3</v>
      </c>
      <c r="G98" s="140">
        <f t="shared" si="76"/>
        <v>9.1318066807746946E-3</v>
      </c>
      <c r="H98" s="140">
        <f t="shared" si="76"/>
        <v>8.9996917725122787E-3</v>
      </c>
      <c r="I98" s="140">
        <f t="shared" si="76"/>
        <v>8.9430831677970411E-3</v>
      </c>
      <c r="J98" s="140">
        <f t="shared" si="76"/>
        <v>8.7107881952083049E-3</v>
      </c>
      <c r="K98" s="140">
        <f t="shared" si="76"/>
        <v>8.9178511006807928E-3</v>
      </c>
      <c r="L98" s="140">
        <f t="shared" si="76"/>
        <v>8.7594171689116904E-3</v>
      </c>
      <c r="M98" s="140">
        <f t="shared" si="76"/>
        <v>8.4100411517814954E-3</v>
      </c>
      <c r="N98" s="140">
        <f t="shared" si="76"/>
        <v>8.4520527475236244E-3</v>
      </c>
      <c r="O98" s="140">
        <f t="shared" si="76"/>
        <v>8.3720534322616388E-3</v>
      </c>
      <c r="P98" s="140">
        <f t="shared" si="76"/>
        <v>8.3566916092586985E-3</v>
      </c>
      <c r="Q98" s="140">
        <f t="shared" si="76"/>
        <v>8.1079761152812197E-3</v>
      </c>
      <c r="R98" s="140">
        <f t="shared" si="76"/>
        <v>7.1815286276533429E-3</v>
      </c>
      <c r="S98" s="140">
        <f t="shared" si="76"/>
        <v>6.2868734988447252E-3</v>
      </c>
      <c r="T98" s="140">
        <f t="shared" si="76"/>
        <v>5.6655647255127103E-3</v>
      </c>
      <c r="U98" s="140">
        <f t="shared" si="76"/>
        <v>5.8238817870514886E-3</v>
      </c>
      <c r="V98" s="140">
        <f t="shared" si="76"/>
        <v>1.207179160799756E-2</v>
      </c>
      <c r="W98" s="140">
        <f t="shared" si="76"/>
        <v>9.0895982926807971E-3</v>
      </c>
      <c r="X98" s="140">
        <f t="shared" si="76"/>
        <v>6.5395342820037498E-3</v>
      </c>
      <c r="Y98" s="140">
        <f t="shared" si="76"/>
        <v>6.0075152956989746E-3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0.27460962749038853</v>
      </c>
      <c r="C99" s="140">
        <f t="shared" si="77"/>
        <v>0.25447096193867319</v>
      </c>
      <c r="D99" s="140">
        <f t="shared" si="77"/>
        <v>0.29931154153143646</v>
      </c>
      <c r="E99" s="140">
        <f t="shared" si="77"/>
        <v>0.29157252449579651</v>
      </c>
      <c r="F99" s="140">
        <f t="shared" si="77"/>
        <v>0.31374298536748413</v>
      </c>
      <c r="G99" s="140">
        <f t="shared" si="77"/>
        <v>0.31319651207921967</v>
      </c>
      <c r="H99" s="140">
        <f t="shared" si="77"/>
        <v>0.32152431349984323</v>
      </c>
      <c r="I99" s="140">
        <f t="shared" si="77"/>
        <v>0.33461578736836506</v>
      </c>
      <c r="J99" s="140">
        <f t="shared" si="77"/>
        <v>0.34510345535700038</v>
      </c>
      <c r="K99" s="140">
        <f t="shared" si="77"/>
        <v>0.37076727230569256</v>
      </c>
      <c r="L99" s="140">
        <f t="shared" si="77"/>
        <v>0.36155148624474703</v>
      </c>
      <c r="M99" s="140">
        <f t="shared" si="77"/>
        <v>0.35504497896652493</v>
      </c>
      <c r="N99" s="140">
        <f t="shared" si="77"/>
        <v>0.35447407870020814</v>
      </c>
      <c r="O99" s="140">
        <f t="shared" si="77"/>
        <v>0.35443531922162508</v>
      </c>
      <c r="P99" s="140">
        <f t="shared" si="77"/>
        <v>0.35660652538643617</v>
      </c>
      <c r="Q99" s="140">
        <f t="shared" si="77"/>
        <v>0.36103204512299775</v>
      </c>
      <c r="R99" s="140">
        <f t="shared" si="77"/>
        <v>0.33415186979513406</v>
      </c>
      <c r="S99" s="140">
        <f t="shared" si="77"/>
        <v>0.31546538119595841</v>
      </c>
      <c r="T99" s="140">
        <f t="shared" si="77"/>
        <v>0.31022246186250246</v>
      </c>
      <c r="U99" s="140">
        <f t="shared" si="77"/>
        <v>0.31238855888060302</v>
      </c>
      <c r="V99" s="140">
        <f t="shared" si="77"/>
        <v>0.62280345762425049</v>
      </c>
      <c r="W99" s="140">
        <f t="shared" si="77"/>
        <v>0.48622612187226971</v>
      </c>
      <c r="X99" s="140">
        <f t="shared" si="77"/>
        <v>0.36500565281359593</v>
      </c>
      <c r="Y99" s="140">
        <f t="shared" si="77"/>
        <v>0.33109969084343255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7.8862251997239785E-2</v>
      </c>
      <c r="C100" s="140">
        <f t="shared" si="78"/>
        <v>7.3796578962215226E-2</v>
      </c>
      <c r="D100" s="140">
        <f t="shared" si="78"/>
        <v>8.7603378009200913E-2</v>
      </c>
      <c r="E100" s="140">
        <f t="shared" si="78"/>
        <v>8.9930802736052903E-2</v>
      </c>
      <c r="F100" s="140">
        <f t="shared" si="78"/>
        <v>8.4574196055582682E-2</v>
      </c>
      <c r="G100" s="140">
        <f t="shared" si="78"/>
        <v>8.2214084420795169E-2</v>
      </c>
      <c r="H100" s="140">
        <f t="shared" si="78"/>
        <v>8.2310224255959852E-2</v>
      </c>
      <c r="I100" s="140">
        <f t="shared" si="78"/>
        <v>8.207557048658011E-2</v>
      </c>
      <c r="J100" s="140">
        <f t="shared" si="78"/>
        <v>7.9823929673880092E-2</v>
      </c>
      <c r="K100" s="140">
        <f t="shared" si="78"/>
        <v>7.9295262543014444E-2</v>
      </c>
      <c r="L100" s="140">
        <f t="shared" si="78"/>
        <v>7.9051087670461637E-2</v>
      </c>
      <c r="M100" s="140">
        <f t="shared" si="78"/>
        <v>7.9308356940624256E-2</v>
      </c>
      <c r="N100" s="140">
        <f t="shared" si="78"/>
        <v>8.1333472017254299E-2</v>
      </c>
      <c r="O100" s="140">
        <f t="shared" si="78"/>
        <v>8.0594035284050944E-2</v>
      </c>
      <c r="P100" s="140">
        <f t="shared" si="78"/>
        <v>7.9285175687687379E-2</v>
      </c>
      <c r="Q100" s="140">
        <f t="shared" si="78"/>
        <v>8.3104154350730042E-2</v>
      </c>
      <c r="R100" s="140">
        <f t="shared" si="78"/>
        <v>7.645894151227367E-2</v>
      </c>
      <c r="S100" s="140">
        <f t="shared" si="78"/>
        <v>7.389584798978667E-2</v>
      </c>
      <c r="T100" s="140">
        <f t="shared" si="78"/>
        <v>7.2303594059813389E-2</v>
      </c>
      <c r="U100" s="140">
        <f t="shared" si="78"/>
        <v>7.0918187534912913E-2</v>
      </c>
      <c r="V100" s="140">
        <f t="shared" si="78"/>
        <v>9.0531673099113572E-2</v>
      </c>
      <c r="W100" s="140">
        <f t="shared" si="78"/>
        <v>7.0831152049342538E-2</v>
      </c>
      <c r="X100" s="140">
        <f t="shared" si="78"/>
        <v>6.7709259030095753E-2</v>
      </c>
      <c r="Y100" s="140">
        <f t="shared" si="78"/>
        <v>6.5422274881080864E-2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0</v>
      </c>
      <c r="C101" s="124">
        <f t="shared" si="79"/>
        <v>0</v>
      </c>
      <c r="D101" s="124">
        <f t="shared" si="79"/>
        <v>0</v>
      </c>
      <c r="E101" s="124">
        <f t="shared" si="79"/>
        <v>0</v>
      </c>
      <c r="F101" s="124">
        <f t="shared" si="79"/>
        <v>0</v>
      </c>
      <c r="G101" s="124">
        <f t="shared" si="79"/>
        <v>0</v>
      </c>
      <c r="H101" s="124">
        <f t="shared" si="79"/>
        <v>0</v>
      </c>
      <c r="I101" s="124">
        <f t="shared" si="79"/>
        <v>0</v>
      </c>
      <c r="J101" s="124">
        <f t="shared" si="79"/>
        <v>0</v>
      </c>
      <c r="K101" s="124">
        <f t="shared" si="79"/>
        <v>0</v>
      </c>
      <c r="L101" s="124">
        <f t="shared" si="79"/>
        <v>0</v>
      </c>
      <c r="M101" s="124">
        <f t="shared" si="79"/>
        <v>0</v>
      </c>
      <c r="N101" s="124">
        <f t="shared" si="79"/>
        <v>0</v>
      </c>
      <c r="O101" s="124">
        <f t="shared" si="79"/>
        <v>0</v>
      </c>
      <c r="P101" s="124">
        <f t="shared" si="79"/>
        <v>0</v>
      </c>
      <c r="Q101" s="124">
        <f t="shared" si="79"/>
        <v>0</v>
      </c>
      <c r="R101" s="124">
        <f t="shared" si="79"/>
        <v>0</v>
      </c>
      <c r="S101" s="124">
        <f t="shared" si="79"/>
        <v>0</v>
      </c>
      <c r="T101" s="124">
        <f t="shared" si="79"/>
        <v>0</v>
      </c>
      <c r="U101" s="124">
        <f t="shared" si="79"/>
        <v>0</v>
      </c>
      <c r="V101" s="124">
        <f t="shared" si="79"/>
        <v>0</v>
      </c>
      <c r="W101" s="124">
        <f t="shared" si="79"/>
        <v>0</v>
      </c>
      <c r="X101" s="124">
        <f t="shared" si="79"/>
        <v>0</v>
      </c>
      <c r="Y101" s="124">
        <f t="shared" si="79"/>
        <v>0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0</v>
      </c>
      <c r="C102" s="140">
        <f t="shared" si="80"/>
        <v>0</v>
      </c>
      <c r="D102" s="140">
        <f t="shared" si="80"/>
        <v>0</v>
      </c>
      <c r="E102" s="140">
        <f t="shared" si="80"/>
        <v>0</v>
      </c>
      <c r="F102" s="140">
        <f t="shared" si="80"/>
        <v>0</v>
      </c>
      <c r="G102" s="140">
        <f t="shared" si="80"/>
        <v>0</v>
      </c>
      <c r="H102" s="140">
        <f t="shared" si="80"/>
        <v>0</v>
      </c>
      <c r="I102" s="140">
        <f t="shared" si="80"/>
        <v>0</v>
      </c>
      <c r="J102" s="140">
        <f t="shared" si="80"/>
        <v>0</v>
      </c>
      <c r="K102" s="140">
        <f t="shared" si="80"/>
        <v>0</v>
      </c>
      <c r="L102" s="140">
        <f t="shared" si="80"/>
        <v>0</v>
      </c>
      <c r="M102" s="140">
        <f t="shared" si="80"/>
        <v>0</v>
      </c>
      <c r="N102" s="140">
        <f t="shared" si="80"/>
        <v>0</v>
      </c>
      <c r="O102" s="140">
        <f t="shared" si="80"/>
        <v>0</v>
      </c>
      <c r="P102" s="140">
        <f t="shared" si="80"/>
        <v>0</v>
      </c>
      <c r="Q102" s="140">
        <f t="shared" si="80"/>
        <v>0</v>
      </c>
      <c r="R102" s="140">
        <f t="shared" si="80"/>
        <v>0</v>
      </c>
      <c r="S102" s="140">
        <f t="shared" si="80"/>
        <v>0</v>
      </c>
      <c r="T102" s="140">
        <f t="shared" si="80"/>
        <v>0</v>
      </c>
      <c r="U102" s="140">
        <f t="shared" si="80"/>
        <v>0</v>
      </c>
      <c r="V102" s="140">
        <f t="shared" si="80"/>
        <v>0</v>
      </c>
      <c r="W102" s="140">
        <f t="shared" si="80"/>
        <v>0</v>
      </c>
      <c r="X102" s="140">
        <f t="shared" si="80"/>
        <v>0</v>
      </c>
      <c r="Y102" s="140">
        <f t="shared" si="80"/>
        <v>0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0</v>
      </c>
      <c r="C103" s="140">
        <f t="shared" si="81"/>
        <v>0</v>
      </c>
      <c r="D103" s="140">
        <f t="shared" si="81"/>
        <v>0</v>
      </c>
      <c r="E103" s="140">
        <f t="shared" si="81"/>
        <v>0</v>
      </c>
      <c r="F103" s="140">
        <f t="shared" si="81"/>
        <v>0</v>
      </c>
      <c r="G103" s="140">
        <f t="shared" si="81"/>
        <v>0</v>
      </c>
      <c r="H103" s="140">
        <f t="shared" si="81"/>
        <v>0</v>
      </c>
      <c r="I103" s="140">
        <f t="shared" si="81"/>
        <v>0</v>
      </c>
      <c r="J103" s="140">
        <f t="shared" si="81"/>
        <v>0</v>
      </c>
      <c r="K103" s="140">
        <f t="shared" si="81"/>
        <v>0</v>
      </c>
      <c r="L103" s="140">
        <f t="shared" si="81"/>
        <v>0</v>
      </c>
      <c r="M103" s="140">
        <f t="shared" si="81"/>
        <v>0</v>
      </c>
      <c r="N103" s="140">
        <f t="shared" si="81"/>
        <v>0</v>
      </c>
      <c r="O103" s="140">
        <f t="shared" si="81"/>
        <v>0</v>
      </c>
      <c r="P103" s="140">
        <f t="shared" si="81"/>
        <v>0</v>
      </c>
      <c r="Q103" s="140">
        <f t="shared" si="81"/>
        <v>0</v>
      </c>
      <c r="R103" s="140">
        <f t="shared" si="81"/>
        <v>0</v>
      </c>
      <c r="S103" s="140">
        <f t="shared" si="81"/>
        <v>0</v>
      </c>
      <c r="T103" s="140">
        <f t="shared" si="81"/>
        <v>0</v>
      </c>
      <c r="U103" s="140">
        <f t="shared" si="81"/>
        <v>0</v>
      </c>
      <c r="V103" s="140">
        <f t="shared" si="81"/>
        <v>0</v>
      </c>
      <c r="W103" s="140">
        <f t="shared" si="81"/>
        <v>0</v>
      </c>
      <c r="X103" s="140">
        <f t="shared" si="81"/>
        <v>0</v>
      </c>
      <c r="Y103" s="140">
        <f t="shared" si="81"/>
        <v>0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0.63613403295996918</v>
      </c>
      <c r="C105" s="124">
        <f t="shared" si="83"/>
        <v>0.66248690278244826</v>
      </c>
      <c r="D105" s="124">
        <f t="shared" si="83"/>
        <v>0.60287784336219863</v>
      </c>
      <c r="E105" s="124">
        <f t="shared" si="83"/>
        <v>0.60849907281792992</v>
      </c>
      <c r="F105" s="124">
        <f t="shared" si="83"/>
        <v>0.59200937016044397</v>
      </c>
      <c r="G105" s="124">
        <f t="shared" si="83"/>
        <v>0.59545759681921051</v>
      </c>
      <c r="H105" s="124">
        <f t="shared" si="83"/>
        <v>0.58716577047168461</v>
      </c>
      <c r="I105" s="124">
        <f t="shared" si="83"/>
        <v>0.57436555897725783</v>
      </c>
      <c r="J105" s="124">
        <f t="shared" si="83"/>
        <v>0.56636182677391134</v>
      </c>
      <c r="K105" s="124">
        <f t="shared" si="83"/>
        <v>0.54101961405061216</v>
      </c>
      <c r="L105" s="124">
        <f t="shared" si="83"/>
        <v>0.55063800891587966</v>
      </c>
      <c r="M105" s="124">
        <f t="shared" si="83"/>
        <v>0.55723662294106946</v>
      </c>
      <c r="N105" s="124">
        <f t="shared" si="83"/>
        <v>0.55574039653501395</v>
      </c>
      <c r="O105" s="124">
        <f t="shared" si="83"/>
        <v>0.55659859206206219</v>
      </c>
      <c r="P105" s="124">
        <f t="shared" si="83"/>
        <v>0.55575160731661777</v>
      </c>
      <c r="Q105" s="124">
        <f t="shared" si="83"/>
        <v>0.54775582441099102</v>
      </c>
      <c r="R105" s="124">
        <f t="shared" si="83"/>
        <v>0.58220766006493896</v>
      </c>
      <c r="S105" s="124">
        <f t="shared" si="83"/>
        <v>0.60435189731541017</v>
      </c>
      <c r="T105" s="124">
        <f t="shared" si="83"/>
        <v>0.61180837935217136</v>
      </c>
      <c r="U105" s="124">
        <f t="shared" si="83"/>
        <v>0.61086937179743261</v>
      </c>
      <c r="V105" s="124">
        <f t="shared" si="83"/>
        <v>0.27459307766863833</v>
      </c>
      <c r="W105" s="124">
        <f t="shared" si="83"/>
        <v>0.43385312778570689</v>
      </c>
      <c r="X105" s="124">
        <f t="shared" si="83"/>
        <v>0.56074555387430458</v>
      </c>
      <c r="Y105" s="124">
        <f t="shared" si="83"/>
        <v>0.59747051897978765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0.59569943005998294</v>
      </c>
      <c r="C107" s="140">
        <f t="shared" si="85"/>
        <v>0.61871130679764952</v>
      </c>
      <c r="D107" s="140">
        <f t="shared" si="85"/>
        <v>0.54534992120639492</v>
      </c>
      <c r="E107" s="140">
        <f t="shared" si="85"/>
        <v>0.54750143662956818</v>
      </c>
      <c r="F107" s="140">
        <f t="shared" si="85"/>
        <v>0.54003912283656919</v>
      </c>
      <c r="G107" s="140">
        <f t="shared" si="85"/>
        <v>0.54825292795898839</v>
      </c>
      <c r="H107" s="140">
        <f t="shared" si="85"/>
        <v>0.5327761254225567</v>
      </c>
      <c r="I107" s="140">
        <f t="shared" si="85"/>
        <v>0.51605100363417111</v>
      </c>
      <c r="J107" s="140">
        <f t="shared" si="85"/>
        <v>0.50337935004861689</v>
      </c>
      <c r="K107" s="140">
        <f t="shared" si="85"/>
        <v>0.48231826363304092</v>
      </c>
      <c r="L107" s="140">
        <f t="shared" si="85"/>
        <v>0.47898394237287251</v>
      </c>
      <c r="M107" s="140">
        <f t="shared" si="85"/>
        <v>0.47243019884283843</v>
      </c>
      <c r="N107" s="140">
        <f t="shared" si="85"/>
        <v>0.44201003451044718</v>
      </c>
      <c r="O107" s="140">
        <f t="shared" si="85"/>
        <v>0.40066851167476047</v>
      </c>
      <c r="P107" s="140">
        <f t="shared" si="85"/>
        <v>0.39258882415751389</v>
      </c>
      <c r="Q107" s="140">
        <f t="shared" si="85"/>
        <v>0.39565941819527284</v>
      </c>
      <c r="R107" s="140">
        <f t="shared" si="85"/>
        <v>0.39857756644276199</v>
      </c>
      <c r="S107" s="140">
        <f t="shared" si="85"/>
        <v>0.42578425302154749</v>
      </c>
      <c r="T107" s="140">
        <f t="shared" si="85"/>
        <v>0.43648552147314212</v>
      </c>
      <c r="U107" s="140">
        <f t="shared" si="85"/>
        <v>0.43828464219483976</v>
      </c>
      <c r="V107" s="140">
        <f t="shared" si="85"/>
        <v>0.2372965455524671</v>
      </c>
      <c r="W107" s="140">
        <f t="shared" si="85"/>
        <v>0.27299681181201252</v>
      </c>
      <c r="X107" s="140">
        <f t="shared" si="85"/>
        <v>0.51186158474677768</v>
      </c>
      <c r="Y107" s="140">
        <f t="shared" si="85"/>
        <v>0.52727986082905742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4.0434602899986315E-2</v>
      </c>
      <c r="C108" s="140">
        <f t="shared" si="86"/>
        <v>4.3775595984798722E-2</v>
      </c>
      <c r="D108" s="140">
        <f t="shared" si="86"/>
        <v>5.7527922155803601E-2</v>
      </c>
      <c r="E108" s="140">
        <f t="shared" si="86"/>
        <v>6.0997636188361813E-2</v>
      </c>
      <c r="F108" s="140">
        <f t="shared" si="86"/>
        <v>5.1970247323874813E-2</v>
      </c>
      <c r="G108" s="140">
        <f t="shared" si="86"/>
        <v>4.7204668860222072E-2</v>
      </c>
      <c r="H108" s="140">
        <f t="shared" si="86"/>
        <v>5.4389645049127987E-2</v>
      </c>
      <c r="I108" s="140">
        <f t="shared" si="86"/>
        <v>5.8314555343086737E-2</v>
      </c>
      <c r="J108" s="140">
        <f t="shared" si="86"/>
        <v>6.2982476725294431E-2</v>
      </c>
      <c r="K108" s="140">
        <f t="shared" si="86"/>
        <v>5.8701350417571158E-2</v>
      </c>
      <c r="L108" s="140">
        <f t="shared" si="86"/>
        <v>7.16540665430071E-2</v>
      </c>
      <c r="M108" s="140">
        <f t="shared" si="86"/>
        <v>8.4806424098230956E-2</v>
      </c>
      <c r="N108" s="140">
        <f t="shared" si="86"/>
        <v>0.11373036202456679</v>
      </c>
      <c r="O108" s="140">
        <f t="shared" si="86"/>
        <v>0.1559300803873018</v>
      </c>
      <c r="P108" s="140">
        <f t="shared" si="86"/>
        <v>0.16316278315910382</v>
      </c>
      <c r="Q108" s="140">
        <f t="shared" si="86"/>
        <v>0.15209640621571821</v>
      </c>
      <c r="R108" s="140">
        <f t="shared" si="86"/>
        <v>0.18363009362217703</v>
      </c>
      <c r="S108" s="140">
        <f t="shared" si="86"/>
        <v>0.17856764429386271</v>
      </c>
      <c r="T108" s="140">
        <f t="shared" si="86"/>
        <v>0.17532285787902924</v>
      </c>
      <c r="U108" s="140">
        <f t="shared" si="86"/>
        <v>0.17258472960259283</v>
      </c>
      <c r="V108" s="140">
        <f t="shared" si="86"/>
        <v>3.7296532116171191E-2</v>
      </c>
      <c r="W108" s="140">
        <f t="shared" si="86"/>
        <v>0.16085631597369437</v>
      </c>
      <c r="X108" s="140">
        <f t="shared" si="86"/>
        <v>4.8883969127526843E-2</v>
      </c>
      <c r="Y108" s="140">
        <f t="shared" si="86"/>
        <v>7.0190658150730167E-2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0.97173740024574207</v>
      </c>
      <c r="C110" s="139">
        <f t="shared" si="88"/>
        <v>0.97277180438798783</v>
      </c>
      <c r="D110" s="139">
        <f t="shared" si="88"/>
        <v>0.97503217943614939</v>
      </c>
      <c r="E110" s="139">
        <f t="shared" si="88"/>
        <v>0.97778267867087842</v>
      </c>
      <c r="F110" s="139">
        <f t="shared" si="88"/>
        <v>0.96961012523142609</v>
      </c>
      <c r="G110" s="139">
        <f t="shared" si="88"/>
        <v>0.97155731891195674</v>
      </c>
      <c r="H110" s="139">
        <f t="shared" si="88"/>
        <v>0.96339474886991439</v>
      </c>
      <c r="I110" s="139">
        <f t="shared" si="88"/>
        <v>0.96627753781442116</v>
      </c>
      <c r="J110" s="139">
        <f t="shared" si="88"/>
        <v>0.96794005867697264</v>
      </c>
      <c r="K110" s="139">
        <f t="shared" si="88"/>
        <v>0.95989156924161201</v>
      </c>
      <c r="L110" s="139">
        <f t="shared" si="88"/>
        <v>0.96348896312141152</v>
      </c>
      <c r="M110" s="139">
        <f t="shared" si="88"/>
        <v>0.97098136228916898</v>
      </c>
      <c r="N110" s="139">
        <f t="shared" si="88"/>
        <v>0.9770455759400074</v>
      </c>
      <c r="O110" s="139">
        <f t="shared" si="88"/>
        <v>0.96926374616568367</v>
      </c>
      <c r="P110" s="139">
        <f t="shared" si="88"/>
        <v>0.96584612157365668</v>
      </c>
      <c r="Q110" s="139">
        <f t="shared" si="88"/>
        <v>0.96948960340818657</v>
      </c>
      <c r="R110" s="139">
        <f t="shared" si="88"/>
        <v>0.97656879572950517</v>
      </c>
      <c r="S110" s="139">
        <f t="shared" si="88"/>
        <v>0.9722529652384253</v>
      </c>
      <c r="T110" s="139">
        <f t="shared" si="88"/>
        <v>0.97388090341146283</v>
      </c>
      <c r="U110" s="139">
        <f t="shared" si="88"/>
        <v>0.96658519866818193</v>
      </c>
      <c r="V110" s="139">
        <f t="shared" si="88"/>
        <v>0.97706430920842247</v>
      </c>
      <c r="W110" s="139">
        <f t="shared" si="88"/>
        <v>0.97263200244042336</v>
      </c>
      <c r="X110" s="139">
        <f t="shared" si="88"/>
        <v>0.97045336016935069</v>
      </c>
      <c r="Y110" s="139">
        <f t="shared" si="88"/>
        <v>0.96585745553031643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0.11054300922499179</v>
      </c>
      <c r="C111" s="140">
        <f t="shared" si="89"/>
        <v>0.11202380673165147</v>
      </c>
      <c r="D111" s="140">
        <f t="shared" si="89"/>
        <v>0.11605087350048093</v>
      </c>
      <c r="E111" s="140">
        <f t="shared" si="89"/>
        <v>0.11136798524766232</v>
      </c>
      <c r="F111" s="140">
        <f t="shared" si="89"/>
        <v>0.12633829544587305</v>
      </c>
      <c r="G111" s="140">
        <f t="shared" si="89"/>
        <v>0.10860587145964443</v>
      </c>
      <c r="H111" s="140">
        <f t="shared" si="89"/>
        <v>0.11936046848232069</v>
      </c>
      <c r="I111" s="140">
        <f t="shared" si="89"/>
        <v>0.11527435406789392</v>
      </c>
      <c r="J111" s="140">
        <f t="shared" si="89"/>
        <v>0.11208315865193774</v>
      </c>
      <c r="K111" s="140">
        <f t="shared" si="89"/>
        <v>0.13839131151816009</v>
      </c>
      <c r="L111" s="140">
        <f t="shared" si="89"/>
        <v>0.12547325006114349</v>
      </c>
      <c r="M111" s="140">
        <f t="shared" si="89"/>
        <v>0.14432134318184395</v>
      </c>
      <c r="N111" s="140">
        <f t="shared" si="89"/>
        <v>0.15249102174928686</v>
      </c>
      <c r="O111" s="140">
        <f t="shared" si="89"/>
        <v>0.19593484391798682</v>
      </c>
      <c r="P111" s="140">
        <f t="shared" si="89"/>
        <v>0.21304340267669117</v>
      </c>
      <c r="Q111" s="140">
        <f t="shared" si="89"/>
        <v>0.20522239859539093</v>
      </c>
      <c r="R111" s="140">
        <f t="shared" si="89"/>
        <v>0.18132992730389419</v>
      </c>
      <c r="S111" s="140">
        <f t="shared" si="89"/>
        <v>0.1647513621223809</v>
      </c>
      <c r="T111" s="140">
        <f t="shared" si="89"/>
        <v>0.16182583712683596</v>
      </c>
      <c r="U111" s="140">
        <f t="shared" si="89"/>
        <v>0.16526719747579155</v>
      </c>
      <c r="V111" s="140">
        <f t="shared" si="89"/>
        <v>0.194987570281594</v>
      </c>
      <c r="W111" s="140">
        <f t="shared" si="89"/>
        <v>0.18577608451329231</v>
      </c>
      <c r="X111" s="140">
        <f t="shared" si="89"/>
        <v>0.14838441282320319</v>
      </c>
      <c r="Y111" s="140">
        <f t="shared" si="89"/>
        <v>0.13817977020189118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0.86119439102075035</v>
      </c>
      <c r="C112" s="140">
        <f t="shared" si="90"/>
        <v>0.86074799765633636</v>
      </c>
      <c r="D112" s="140">
        <f t="shared" si="90"/>
        <v>0.85898130593566857</v>
      </c>
      <c r="E112" s="140">
        <f t="shared" si="90"/>
        <v>0.86641469342321609</v>
      </c>
      <c r="F112" s="140">
        <f t="shared" si="90"/>
        <v>0.84327182978555293</v>
      </c>
      <c r="G112" s="140">
        <f t="shared" si="90"/>
        <v>0.86295144745231223</v>
      </c>
      <c r="H112" s="140">
        <f t="shared" si="90"/>
        <v>0.84403428038759365</v>
      </c>
      <c r="I112" s="140">
        <f t="shared" si="90"/>
        <v>0.85100318374652728</v>
      </c>
      <c r="J112" s="140">
        <f t="shared" si="90"/>
        <v>0.85585690002503489</v>
      </c>
      <c r="K112" s="140">
        <f t="shared" si="90"/>
        <v>0.82150025772345192</v>
      </c>
      <c r="L112" s="140">
        <f t="shared" si="90"/>
        <v>0.83801571306026801</v>
      </c>
      <c r="M112" s="140">
        <f t="shared" si="90"/>
        <v>0.82666001910732501</v>
      </c>
      <c r="N112" s="140">
        <f t="shared" si="90"/>
        <v>0.82455455419072055</v>
      </c>
      <c r="O112" s="140">
        <f t="shared" si="90"/>
        <v>0.77332890224769668</v>
      </c>
      <c r="P112" s="140">
        <f t="shared" si="90"/>
        <v>0.75280271889696559</v>
      </c>
      <c r="Q112" s="140">
        <f t="shared" si="90"/>
        <v>0.76426720481279564</v>
      </c>
      <c r="R112" s="140">
        <f t="shared" si="90"/>
        <v>0.79523886842561098</v>
      </c>
      <c r="S112" s="140">
        <f t="shared" si="90"/>
        <v>0.80750160311604435</v>
      </c>
      <c r="T112" s="140">
        <f t="shared" si="90"/>
        <v>0.81205506628462687</v>
      </c>
      <c r="U112" s="140">
        <f t="shared" si="90"/>
        <v>0.80131800119239049</v>
      </c>
      <c r="V112" s="140">
        <f t="shared" si="90"/>
        <v>0.78207673892682861</v>
      </c>
      <c r="W112" s="140">
        <f t="shared" si="90"/>
        <v>0.78685591792713105</v>
      </c>
      <c r="X112" s="140">
        <f t="shared" si="90"/>
        <v>0.82206894734614744</v>
      </c>
      <c r="Y112" s="140">
        <f t="shared" si="90"/>
        <v>0.82767768532842512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</v>
      </c>
      <c r="C113" s="124">
        <f t="shared" si="91"/>
        <v>0</v>
      </c>
      <c r="D113" s="124">
        <f t="shared" si="91"/>
        <v>0</v>
      </c>
      <c r="E113" s="124">
        <f t="shared" si="91"/>
        <v>0</v>
      </c>
      <c r="F113" s="124">
        <f t="shared" si="91"/>
        <v>0</v>
      </c>
      <c r="G113" s="124">
        <f t="shared" si="91"/>
        <v>0</v>
      </c>
      <c r="H113" s="124">
        <f t="shared" si="91"/>
        <v>0</v>
      </c>
      <c r="I113" s="124">
        <f t="shared" si="91"/>
        <v>0</v>
      </c>
      <c r="J113" s="124">
        <f t="shared" si="91"/>
        <v>0</v>
      </c>
      <c r="K113" s="124">
        <f t="shared" si="91"/>
        <v>0</v>
      </c>
      <c r="L113" s="124">
        <f t="shared" si="91"/>
        <v>0</v>
      </c>
      <c r="M113" s="124">
        <f t="shared" si="91"/>
        <v>0</v>
      </c>
      <c r="N113" s="124">
        <f t="shared" si="91"/>
        <v>0</v>
      </c>
      <c r="O113" s="124">
        <f t="shared" si="91"/>
        <v>0</v>
      </c>
      <c r="P113" s="124">
        <f t="shared" si="91"/>
        <v>0</v>
      </c>
      <c r="Q113" s="124">
        <f t="shared" si="91"/>
        <v>0</v>
      </c>
      <c r="R113" s="124">
        <f t="shared" si="91"/>
        <v>0</v>
      </c>
      <c r="S113" s="124">
        <f t="shared" si="91"/>
        <v>0</v>
      </c>
      <c r="T113" s="124">
        <f t="shared" si="91"/>
        <v>0</v>
      </c>
      <c r="U113" s="124">
        <f t="shared" si="91"/>
        <v>0</v>
      </c>
      <c r="V113" s="124">
        <f t="shared" si="91"/>
        <v>0</v>
      </c>
      <c r="W113" s="124">
        <f t="shared" si="91"/>
        <v>0</v>
      </c>
      <c r="X113" s="124">
        <f t="shared" si="91"/>
        <v>0</v>
      </c>
      <c r="Y113" s="124">
        <f t="shared" si="91"/>
        <v>0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2.8262599754257933E-2</v>
      </c>
      <c r="C114" s="124">
        <f t="shared" si="92"/>
        <v>2.7228195612012236E-2</v>
      </c>
      <c r="D114" s="124">
        <f t="shared" si="92"/>
        <v>2.4967820563850603E-2</v>
      </c>
      <c r="E114" s="124">
        <f t="shared" si="92"/>
        <v>2.2217321329121697E-2</v>
      </c>
      <c r="F114" s="124">
        <f t="shared" si="92"/>
        <v>3.0389874768573882E-2</v>
      </c>
      <c r="G114" s="124">
        <f t="shared" si="92"/>
        <v>2.8442681088043296E-2</v>
      </c>
      <c r="H114" s="124">
        <f t="shared" si="92"/>
        <v>3.6605251130085628E-2</v>
      </c>
      <c r="I114" s="124">
        <f t="shared" si="92"/>
        <v>3.3722462185578762E-2</v>
      </c>
      <c r="J114" s="124">
        <f t="shared" si="92"/>
        <v>3.2059941323027343E-2</v>
      </c>
      <c r="K114" s="124">
        <f t="shared" si="92"/>
        <v>4.0108430758387936E-2</v>
      </c>
      <c r="L114" s="124">
        <f t="shared" si="92"/>
        <v>3.6511036878588539E-2</v>
      </c>
      <c r="M114" s="124">
        <f t="shared" si="92"/>
        <v>2.9018637710831151E-2</v>
      </c>
      <c r="N114" s="124">
        <f t="shared" si="92"/>
        <v>2.2954424059992665E-2</v>
      </c>
      <c r="O114" s="124">
        <f t="shared" si="92"/>
        <v>3.0736253834316423E-2</v>
      </c>
      <c r="P114" s="124">
        <f t="shared" si="92"/>
        <v>3.4153878426343313E-2</v>
      </c>
      <c r="Q114" s="124">
        <f t="shared" si="92"/>
        <v>3.0510396591813396E-2</v>
      </c>
      <c r="R114" s="124">
        <f t="shared" si="92"/>
        <v>2.3431204270494846E-2</v>
      </c>
      <c r="S114" s="124">
        <f t="shared" si="92"/>
        <v>1.8482917242533838E-2</v>
      </c>
      <c r="T114" s="124">
        <f t="shared" si="92"/>
        <v>1.7026896222101715E-2</v>
      </c>
      <c r="U114" s="124">
        <f t="shared" si="92"/>
        <v>2.1557994902622314E-2</v>
      </c>
      <c r="V114" s="124">
        <f t="shared" si="92"/>
        <v>1.6071570841889368E-2</v>
      </c>
      <c r="W114" s="124">
        <f t="shared" si="92"/>
        <v>1.3435163325782967E-2</v>
      </c>
      <c r="X114" s="124">
        <f t="shared" si="92"/>
        <v>1.18271796925652E-2</v>
      </c>
      <c r="Y114" s="124">
        <f t="shared" si="92"/>
        <v>1.3265927802221291E-2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2.2351962223087676E-2</v>
      </c>
      <c r="C116" s="140">
        <f t="shared" si="96"/>
        <v>2.1341462104989339E-2</v>
      </c>
      <c r="D116" s="140">
        <f t="shared" si="96"/>
        <v>1.9766715057767979E-2</v>
      </c>
      <c r="E116" s="140">
        <f t="shared" si="96"/>
        <v>1.7794857370869901E-2</v>
      </c>
      <c r="F116" s="140">
        <f t="shared" si="96"/>
        <v>2.4401864878355231E-2</v>
      </c>
      <c r="G116" s="140">
        <f t="shared" si="96"/>
        <v>2.3933411208462041E-2</v>
      </c>
      <c r="H116" s="140">
        <f t="shared" si="96"/>
        <v>2.9682637127876828E-2</v>
      </c>
      <c r="I116" s="140">
        <f t="shared" si="96"/>
        <v>2.6684359406104079E-2</v>
      </c>
      <c r="J116" s="140">
        <f t="shared" si="96"/>
        <v>2.4425181773200435E-2</v>
      </c>
      <c r="K116" s="140">
        <f t="shared" si="96"/>
        <v>2.9854133344087722E-2</v>
      </c>
      <c r="L116" s="140">
        <f t="shared" si="96"/>
        <v>2.6695745736481032E-2</v>
      </c>
      <c r="M116" s="140">
        <f t="shared" si="96"/>
        <v>2.1975602250142705E-2</v>
      </c>
      <c r="N116" s="140">
        <f t="shared" si="96"/>
        <v>1.9516864590280465E-2</v>
      </c>
      <c r="O116" s="140">
        <f t="shared" si="96"/>
        <v>2.3880020222506074E-2</v>
      </c>
      <c r="P116" s="140">
        <f t="shared" si="96"/>
        <v>2.5956662876111789E-2</v>
      </c>
      <c r="Q116" s="140">
        <f t="shared" si="96"/>
        <v>2.2702253252316409E-2</v>
      </c>
      <c r="R116" s="140">
        <f t="shared" si="94"/>
        <v>1.7594830365170285E-2</v>
      </c>
      <c r="S116" s="140">
        <f t="shared" si="94"/>
        <v>1.4777401472337746E-2</v>
      </c>
      <c r="T116" s="140">
        <f t="shared" si="94"/>
        <v>1.2668142216057393E-2</v>
      </c>
      <c r="U116" s="140">
        <f t="shared" si="94"/>
        <v>1.1364091398477194E-2</v>
      </c>
      <c r="V116" s="140">
        <f t="shared" si="94"/>
        <v>1.0893759053589155E-2</v>
      </c>
      <c r="W116" s="140">
        <f t="shared" si="95"/>
        <v>9.9155344602688735E-3</v>
      </c>
      <c r="X116" s="140">
        <f t="shared" si="95"/>
        <v>9.3080700706461329E-3</v>
      </c>
      <c r="Y116" s="140">
        <f t="shared" si="95"/>
        <v>9.9738788273752588E-3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5.9106375311702535E-3</v>
      </c>
      <c r="C117" s="140">
        <f t="shared" si="97"/>
        <v>5.8867335070228975E-3</v>
      </c>
      <c r="D117" s="140">
        <f t="shared" si="97"/>
        <v>5.2011055060826256E-3</v>
      </c>
      <c r="E117" s="140">
        <f t="shared" si="97"/>
        <v>4.4224639582517962E-3</v>
      </c>
      <c r="F117" s="140">
        <f t="shared" si="97"/>
        <v>5.9880098902186469E-3</v>
      </c>
      <c r="G117" s="140">
        <f t="shared" si="97"/>
        <v>4.5092698795812531E-3</v>
      </c>
      <c r="H117" s="140">
        <f t="shared" si="97"/>
        <v>6.9226140022088005E-3</v>
      </c>
      <c r="I117" s="140">
        <f t="shared" si="97"/>
        <v>7.0381027794746837E-3</v>
      </c>
      <c r="J117" s="140">
        <f t="shared" si="97"/>
        <v>7.6347595498269093E-3</v>
      </c>
      <c r="K117" s="140">
        <f t="shared" si="97"/>
        <v>1.0254297414300209E-2</v>
      </c>
      <c r="L117" s="140">
        <f t="shared" si="97"/>
        <v>9.8152911421075066E-3</v>
      </c>
      <c r="M117" s="140">
        <f t="shared" si="97"/>
        <v>7.0430354606884444E-3</v>
      </c>
      <c r="N117" s="140">
        <f t="shared" si="97"/>
        <v>3.4375594697121986E-3</v>
      </c>
      <c r="O117" s="140">
        <f t="shared" si="97"/>
        <v>6.8562336118103504E-3</v>
      </c>
      <c r="P117" s="140">
        <f t="shared" si="97"/>
        <v>8.1972155502315208E-3</v>
      </c>
      <c r="Q117" s="140">
        <f t="shared" si="97"/>
        <v>7.8081433394969835E-3</v>
      </c>
      <c r="R117" s="140">
        <f t="shared" ref="R117:V120" si="98">IF(R25=0,0,R25/R$17)</f>
        <v>5.8363739053245642E-3</v>
      </c>
      <c r="S117" s="140">
        <f t="shared" si="98"/>
        <v>3.7055157701960909E-3</v>
      </c>
      <c r="T117" s="140">
        <f t="shared" si="98"/>
        <v>4.3587540060443233E-3</v>
      </c>
      <c r="U117" s="140">
        <f t="shared" si="98"/>
        <v>1.0193903504145122E-2</v>
      </c>
      <c r="V117" s="140">
        <f t="shared" si="98"/>
        <v>5.1778117883002116E-3</v>
      </c>
      <c r="W117" s="140">
        <f t="shared" si="95"/>
        <v>3.5196288655140913E-3</v>
      </c>
      <c r="X117" s="140">
        <f t="shared" si="95"/>
        <v>2.5191096219190673E-3</v>
      </c>
      <c r="Y117" s="140">
        <f t="shared" si="95"/>
        <v>3.2920489748460334E-3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</v>
      </c>
      <c r="C118" s="124">
        <f t="shared" si="99"/>
        <v>0</v>
      </c>
      <c r="D118" s="124">
        <f t="shared" si="99"/>
        <v>0</v>
      </c>
      <c r="E118" s="124">
        <f t="shared" si="99"/>
        <v>0</v>
      </c>
      <c r="F118" s="124">
        <f t="shared" si="99"/>
        <v>0</v>
      </c>
      <c r="G118" s="124">
        <f t="shared" si="99"/>
        <v>0</v>
      </c>
      <c r="H118" s="124">
        <f t="shared" si="99"/>
        <v>0</v>
      </c>
      <c r="I118" s="124">
        <f t="shared" si="99"/>
        <v>0</v>
      </c>
      <c r="J118" s="124">
        <f t="shared" si="99"/>
        <v>0</v>
      </c>
      <c r="K118" s="124">
        <f t="shared" si="99"/>
        <v>0</v>
      </c>
      <c r="L118" s="124">
        <f t="shared" si="99"/>
        <v>0</v>
      </c>
      <c r="M118" s="124">
        <f t="shared" si="99"/>
        <v>0</v>
      </c>
      <c r="N118" s="124">
        <f t="shared" si="99"/>
        <v>0</v>
      </c>
      <c r="O118" s="124">
        <f t="shared" si="99"/>
        <v>0</v>
      </c>
      <c r="P118" s="124">
        <f t="shared" si="99"/>
        <v>0</v>
      </c>
      <c r="Q118" s="124">
        <f t="shared" si="99"/>
        <v>0</v>
      </c>
      <c r="R118" s="124">
        <f t="shared" si="98"/>
        <v>0</v>
      </c>
      <c r="S118" s="124">
        <f t="shared" si="98"/>
        <v>9.2641175190408039E-3</v>
      </c>
      <c r="T118" s="124">
        <f t="shared" si="98"/>
        <v>9.0922003664353889E-3</v>
      </c>
      <c r="U118" s="124">
        <f t="shared" si="98"/>
        <v>1.1856806429195708E-2</v>
      </c>
      <c r="V118" s="124">
        <f t="shared" si="98"/>
        <v>6.8641199496881468E-3</v>
      </c>
      <c r="W118" s="124">
        <f t="shared" si="95"/>
        <v>1.3932834233793639E-2</v>
      </c>
      <c r="X118" s="124">
        <f t="shared" si="95"/>
        <v>1.7719460138084078E-2</v>
      </c>
      <c r="Y118" s="124">
        <f t="shared" si="95"/>
        <v>2.0876616667462409E-2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</v>
      </c>
      <c r="C119" s="140">
        <f t="shared" si="100"/>
        <v>0</v>
      </c>
      <c r="D119" s="140">
        <f t="shared" si="100"/>
        <v>0</v>
      </c>
      <c r="E119" s="140">
        <f t="shared" si="100"/>
        <v>0</v>
      </c>
      <c r="F119" s="140">
        <f t="shared" si="100"/>
        <v>0</v>
      </c>
      <c r="G119" s="140">
        <f t="shared" si="100"/>
        <v>0</v>
      </c>
      <c r="H119" s="140">
        <f t="shared" si="100"/>
        <v>0</v>
      </c>
      <c r="I119" s="140">
        <f t="shared" si="100"/>
        <v>0</v>
      </c>
      <c r="J119" s="140">
        <f t="shared" si="100"/>
        <v>0</v>
      </c>
      <c r="K119" s="140">
        <f t="shared" si="100"/>
        <v>0</v>
      </c>
      <c r="L119" s="140">
        <f t="shared" si="100"/>
        <v>0</v>
      </c>
      <c r="M119" s="140">
        <f t="shared" si="100"/>
        <v>0</v>
      </c>
      <c r="N119" s="140">
        <f t="shared" si="100"/>
        <v>0</v>
      </c>
      <c r="O119" s="140">
        <f t="shared" si="100"/>
        <v>0</v>
      </c>
      <c r="P119" s="140">
        <f t="shared" si="100"/>
        <v>0</v>
      </c>
      <c r="Q119" s="140">
        <f t="shared" si="100"/>
        <v>0</v>
      </c>
      <c r="R119" s="140">
        <f t="shared" si="98"/>
        <v>0</v>
      </c>
      <c r="S119" s="140">
        <f t="shared" si="98"/>
        <v>9.2641175190408039E-3</v>
      </c>
      <c r="T119" s="140">
        <f t="shared" si="98"/>
        <v>9.0922003664353889E-3</v>
      </c>
      <c r="U119" s="140">
        <f t="shared" si="98"/>
        <v>1.1856806429195708E-2</v>
      </c>
      <c r="V119" s="140">
        <f t="shared" si="98"/>
        <v>6.8641199496881468E-3</v>
      </c>
      <c r="W119" s="140">
        <f t="shared" si="95"/>
        <v>1.3932834233793639E-2</v>
      </c>
      <c r="X119" s="140">
        <f t="shared" si="95"/>
        <v>1.7719460138084078E-2</v>
      </c>
      <c r="Y119" s="140">
        <f t="shared" si="95"/>
        <v>2.0876616667462409E-2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0.71901249687260516</v>
      </c>
      <c r="C122" s="140">
        <f t="shared" si="103"/>
        <v>0.7192582209126025</v>
      </c>
      <c r="D122" s="140">
        <f t="shared" si="103"/>
        <v>0.71643009675962066</v>
      </c>
      <c r="E122" s="140">
        <f t="shared" si="103"/>
        <v>0.75693182249855817</v>
      </c>
      <c r="F122" s="140">
        <f t="shared" si="103"/>
        <v>0.79867627317829493</v>
      </c>
      <c r="G122" s="140">
        <f t="shared" si="103"/>
        <v>0.52248852280243419</v>
      </c>
      <c r="H122" s="140">
        <f t="shared" si="103"/>
        <v>0.5599704756599263</v>
      </c>
      <c r="I122" s="140">
        <f t="shared" si="103"/>
        <v>0.30226342813352874</v>
      </c>
      <c r="J122" s="140">
        <f t="shared" si="103"/>
        <v>0.47021258728536186</v>
      </c>
      <c r="K122" s="140">
        <f t="shared" si="103"/>
        <v>0.53004989147907366</v>
      </c>
      <c r="L122" s="140">
        <f t="shared" si="103"/>
        <v>0.47951460410181951</v>
      </c>
      <c r="M122" s="140">
        <f t="shared" si="103"/>
        <v>0.64004073828422403</v>
      </c>
      <c r="N122" s="140">
        <f t="shared" si="103"/>
        <v>0.6462982509388786</v>
      </c>
      <c r="O122" s="140">
        <f t="shared" si="103"/>
        <v>0.63836879500092403</v>
      </c>
      <c r="P122" s="140">
        <f t="shared" si="103"/>
        <v>0.61075443241804206</v>
      </c>
      <c r="Q122" s="140">
        <f t="shared" si="103"/>
        <v>0.60378440281235835</v>
      </c>
      <c r="R122" s="140">
        <f t="shared" si="103"/>
        <v>0.59552717000305999</v>
      </c>
      <c r="S122" s="140">
        <f t="shared" si="103"/>
        <v>0.54441470520931745</v>
      </c>
      <c r="T122" s="140">
        <f t="shared" si="103"/>
        <v>0.49041363904659868</v>
      </c>
      <c r="U122" s="140">
        <f t="shared" si="103"/>
        <v>0.58639593192471751</v>
      </c>
      <c r="V122" s="140">
        <f t="shared" si="103"/>
        <v>0.6029232590025615</v>
      </c>
      <c r="W122" s="140">
        <f t="shared" si="103"/>
        <v>0.63793915068356444</v>
      </c>
      <c r="X122" s="140">
        <f t="shared" si="103"/>
        <v>0.55505373721229823</v>
      </c>
      <c r="Y122" s="140">
        <f t="shared" si="103"/>
        <v>0.58083722492027356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0.2809875031273949</v>
      </c>
      <c r="C123" s="127">
        <f t="shared" si="104"/>
        <v>0.28074177908739739</v>
      </c>
      <c r="D123" s="127">
        <f t="shared" si="104"/>
        <v>0.28356990324037928</v>
      </c>
      <c r="E123" s="127">
        <f t="shared" si="104"/>
        <v>0.24306817750144191</v>
      </c>
      <c r="F123" s="127">
        <f t="shared" si="104"/>
        <v>0.20132372682170513</v>
      </c>
      <c r="G123" s="127">
        <f t="shared" si="104"/>
        <v>0.47751147719756581</v>
      </c>
      <c r="H123" s="127">
        <f t="shared" si="104"/>
        <v>0.44002952434007364</v>
      </c>
      <c r="I123" s="127">
        <f t="shared" si="104"/>
        <v>0.69773657186647131</v>
      </c>
      <c r="J123" s="127">
        <f t="shared" si="104"/>
        <v>0.52978741271463825</v>
      </c>
      <c r="K123" s="127">
        <f t="shared" si="104"/>
        <v>0.46995010852092639</v>
      </c>
      <c r="L123" s="127">
        <f t="shared" si="104"/>
        <v>0.52048539589818044</v>
      </c>
      <c r="M123" s="127">
        <f t="shared" si="104"/>
        <v>0.35995926171577602</v>
      </c>
      <c r="N123" s="127">
        <f t="shared" si="104"/>
        <v>0.35370174906112145</v>
      </c>
      <c r="O123" s="127">
        <f t="shared" si="104"/>
        <v>0.36163120499907592</v>
      </c>
      <c r="P123" s="127">
        <f t="shared" si="104"/>
        <v>0.389245567581958</v>
      </c>
      <c r="Q123" s="127">
        <f t="shared" si="104"/>
        <v>0.39621559718764165</v>
      </c>
      <c r="R123" s="127">
        <f t="shared" si="104"/>
        <v>0.40447282999694006</v>
      </c>
      <c r="S123" s="127">
        <f t="shared" si="104"/>
        <v>0.4555852947906826</v>
      </c>
      <c r="T123" s="127">
        <f t="shared" si="104"/>
        <v>0.50958636095340126</v>
      </c>
      <c r="U123" s="127">
        <f t="shared" si="104"/>
        <v>0.41360406807528249</v>
      </c>
      <c r="V123" s="127">
        <f t="shared" si="104"/>
        <v>0.3970767409974385</v>
      </c>
      <c r="W123" s="127">
        <f t="shared" si="104"/>
        <v>0.36206084931643562</v>
      </c>
      <c r="X123" s="127">
        <f t="shared" si="104"/>
        <v>0.44494626278770177</v>
      </c>
      <c r="Y123" s="127">
        <f t="shared" si="104"/>
        <v>0.41916277507972649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0.5631838567724301</v>
      </c>
      <c r="C127" s="139">
        <f t="shared" ref="C127:Y127" si="107">IF(C35=0,0,C35/C$34)</f>
        <v>0.53397419777638522</v>
      </c>
      <c r="D127" s="139">
        <f t="shared" si="107"/>
        <v>0.54715137871672881</v>
      </c>
      <c r="E127" s="139">
        <f t="shared" si="107"/>
        <v>0.5493104041971768</v>
      </c>
      <c r="F127" s="139">
        <f t="shared" si="107"/>
        <v>0.59756021747423105</v>
      </c>
      <c r="G127" s="139">
        <f t="shared" si="107"/>
        <v>0.60832089875145567</v>
      </c>
      <c r="H127" s="139">
        <f t="shared" si="107"/>
        <v>0.61300269427391796</v>
      </c>
      <c r="I127" s="139">
        <f t="shared" si="107"/>
        <v>0.64122788621173821</v>
      </c>
      <c r="J127" s="139">
        <f t="shared" si="107"/>
        <v>0.65157825311763862</v>
      </c>
      <c r="K127" s="139">
        <f t="shared" si="107"/>
        <v>0.67538466991461388</v>
      </c>
      <c r="L127" s="139">
        <f t="shared" si="107"/>
        <v>0.67447349721758798</v>
      </c>
      <c r="M127" s="139">
        <f t="shared" si="107"/>
        <v>0.64969618812327135</v>
      </c>
      <c r="N127" s="139">
        <f t="shared" si="107"/>
        <v>0.65973132274523083</v>
      </c>
      <c r="O127" s="139">
        <f t="shared" si="107"/>
        <v>0.66889796389951961</v>
      </c>
      <c r="P127" s="139">
        <f t="shared" si="107"/>
        <v>0.66839707704614137</v>
      </c>
      <c r="Q127" s="139">
        <f t="shared" si="107"/>
        <v>0.67496828404163045</v>
      </c>
      <c r="R127" s="139">
        <f t="shared" si="107"/>
        <v>0.6569126345190287</v>
      </c>
      <c r="S127" s="139">
        <f t="shared" si="107"/>
        <v>0.63286059715046783</v>
      </c>
      <c r="T127" s="139">
        <f t="shared" si="107"/>
        <v>0.62466867614294064</v>
      </c>
      <c r="U127" s="139">
        <f t="shared" si="107"/>
        <v>0.63826403046435665</v>
      </c>
      <c r="V127" s="139">
        <f t="shared" si="107"/>
        <v>0.83614287487328431</v>
      </c>
      <c r="W127" s="139">
        <f t="shared" si="107"/>
        <v>0.76709217073276215</v>
      </c>
      <c r="X127" s="139">
        <f t="shared" si="107"/>
        <v>0.66002449122923301</v>
      </c>
      <c r="Y127" s="139">
        <f t="shared" si="107"/>
        <v>0.63800079484433525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9.337472483993331E-3</v>
      </c>
      <c r="C128" s="140">
        <f t="shared" ref="C128:Y128" si="108">IF(C36=0,0,C36/C$34)</f>
        <v>8.2297323129716642E-3</v>
      </c>
      <c r="D128" s="140">
        <f t="shared" si="108"/>
        <v>8.1217475192472861E-3</v>
      </c>
      <c r="E128" s="140">
        <f t="shared" si="108"/>
        <v>7.6161695076027436E-3</v>
      </c>
      <c r="F128" s="140">
        <f t="shared" si="108"/>
        <v>7.4585694019094935E-3</v>
      </c>
      <c r="G128" s="140">
        <f t="shared" si="108"/>
        <v>7.2492247123192126E-3</v>
      </c>
      <c r="H128" s="140">
        <f t="shared" si="108"/>
        <v>6.922114044850501E-3</v>
      </c>
      <c r="I128" s="140">
        <f t="shared" si="108"/>
        <v>6.6893958238088934E-3</v>
      </c>
      <c r="J128" s="140">
        <f t="shared" si="108"/>
        <v>6.6086249400194143E-3</v>
      </c>
      <c r="K128" s="140">
        <f t="shared" si="108"/>
        <v>6.5169851581582091E-3</v>
      </c>
      <c r="L128" s="140">
        <f t="shared" si="108"/>
        <v>6.2497497263098202E-3</v>
      </c>
      <c r="M128" s="140">
        <f t="shared" si="108"/>
        <v>5.936973323171218E-3</v>
      </c>
      <c r="N128" s="140">
        <f t="shared" si="108"/>
        <v>6.4728169399839806E-3</v>
      </c>
      <c r="O128" s="140">
        <f t="shared" si="108"/>
        <v>6.8988760000973743E-3</v>
      </c>
      <c r="P128" s="140">
        <f t="shared" si="108"/>
        <v>7.0531374947661813E-3</v>
      </c>
      <c r="Q128" s="140">
        <f t="shared" si="108"/>
        <v>6.5912908377063284E-3</v>
      </c>
      <c r="R128" s="140">
        <f t="shared" si="108"/>
        <v>6.0806157434111887E-3</v>
      </c>
      <c r="S128" s="140">
        <f t="shared" si="108"/>
        <v>5.3476118567004714E-3</v>
      </c>
      <c r="T128" s="140">
        <f t="shared" si="108"/>
        <v>4.9501938723330013E-3</v>
      </c>
      <c r="U128" s="140">
        <f t="shared" si="108"/>
        <v>5.2007602145099693E-3</v>
      </c>
      <c r="V128" s="140">
        <f t="shared" si="108"/>
        <v>6.9051080828067078E-3</v>
      </c>
      <c r="W128" s="140">
        <f t="shared" si="108"/>
        <v>6.0204126824200711E-3</v>
      </c>
      <c r="X128" s="140">
        <f t="shared" si="108"/>
        <v>5.232155304910148E-3</v>
      </c>
      <c r="Y128" s="140">
        <f t="shared" si="108"/>
        <v>5.1487414472416553E-3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0.40893921259514099</v>
      </c>
      <c r="C129" s="140">
        <f t="shared" ref="C129:Y129" si="109">IF(C37=0,0,C37/C$34)</f>
        <v>0.39238500161967804</v>
      </c>
      <c r="D129" s="140">
        <f t="shared" si="109"/>
        <v>0.40719682703799415</v>
      </c>
      <c r="E129" s="140">
        <f t="shared" si="109"/>
        <v>0.41046534738026702</v>
      </c>
      <c r="F129" s="140">
        <f t="shared" si="109"/>
        <v>0.45371214554500905</v>
      </c>
      <c r="G129" s="140">
        <f t="shared" si="109"/>
        <v>0.47451625500291056</v>
      </c>
      <c r="H129" s="140">
        <f t="shared" si="109"/>
        <v>0.48243685084206361</v>
      </c>
      <c r="I129" s="140">
        <f t="shared" si="109"/>
        <v>0.50876653347487921</v>
      </c>
      <c r="J129" s="140">
        <f t="shared" si="109"/>
        <v>0.52415702063136915</v>
      </c>
      <c r="K129" s="140">
        <f t="shared" si="109"/>
        <v>0.5457638739063202</v>
      </c>
      <c r="L129" s="140">
        <f t="shared" si="109"/>
        <v>0.54689886231586171</v>
      </c>
      <c r="M129" s="140">
        <f t="shared" si="109"/>
        <v>0.52629275821514387</v>
      </c>
      <c r="N129" s="140">
        <f t="shared" si="109"/>
        <v>0.53802159659784443</v>
      </c>
      <c r="O129" s="140">
        <f t="shared" si="109"/>
        <v>0.54890271546589242</v>
      </c>
      <c r="P129" s="140">
        <f t="shared" si="109"/>
        <v>0.54760652791017606</v>
      </c>
      <c r="Q129" s="140">
        <f t="shared" si="109"/>
        <v>0.545449721843973</v>
      </c>
      <c r="R129" s="140">
        <f t="shared" si="109"/>
        <v>0.53077999652093633</v>
      </c>
      <c r="S129" s="140">
        <f t="shared" si="109"/>
        <v>0.50895463409460839</v>
      </c>
      <c r="T129" s="140">
        <f t="shared" si="109"/>
        <v>0.50264538694175409</v>
      </c>
      <c r="U129" s="140">
        <f t="shared" si="109"/>
        <v>0.51277545636902322</v>
      </c>
      <c r="V129" s="140">
        <f t="shared" si="109"/>
        <v>0.68091187507587259</v>
      </c>
      <c r="W129" s="140">
        <f t="shared" si="109"/>
        <v>0.62196186926672836</v>
      </c>
      <c r="X129" s="140">
        <f t="shared" si="109"/>
        <v>0.53540761105357948</v>
      </c>
      <c r="Y129" s="140">
        <f t="shared" si="109"/>
        <v>0.51619105127783282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0.1449071716932957</v>
      </c>
      <c r="C130" s="140">
        <f t="shared" ref="C130:Y130" si="110">IF(C38=0,0,C38/C$34)</f>
        <v>0.1333594638437354</v>
      </c>
      <c r="D130" s="140">
        <f t="shared" si="110"/>
        <v>0.13183280415948734</v>
      </c>
      <c r="E130" s="140">
        <f t="shared" si="110"/>
        <v>0.1312288873093071</v>
      </c>
      <c r="F130" s="140">
        <f t="shared" si="110"/>
        <v>0.1363895025273125</v>
      </c>
      <c r="G130" s="140">
        <f t="shared" si="110"/>
        <v>0.12655541903622591</v>
      </c>
      <c r="H130" s="140">
        <f t="shared" si="110"/>
        <v>0.12364372938700384</v>
      </c>
      <c r="I130" s="140">
        <f t="shared" si="110"/>
        <v>0.12577195691305004</v>
      </c>
      <c r="J130" s="140">
        <f t="shared" si="110"/>
        <v>0.12081260754624995</v>
      </c>
      <c r="K130" s="140">
        <f t="shared" si="110"/>
        <v>0.12310381085013548</v>
      </c>
      <c r="L130" s="140">
        <f t="shared" si="110"/>
        <v>0.12132488517541654</v>
      </c>
      <c r="M130" s="140">
        <f t="shared" si="110"/>
        <v>0.11746645658495633</v>
      </c>
      <c r="N130" s="140">
        <f t="shared" si="110"/>
        <v>0.11523690920740233</v>
      </c>
      <c r="O130" s="140">
        <f t="shared" si="110"/>
        <v>0.11309637243352977</v>
      </c>
      <c r="P130" s="140">
        <f t="shared" si="110"/>
        <v>0.11373741164119916</v>
      </c>
      <c r="Q130" s="140">
        <f t="shared" si="110"/>
        <v>0.12292727135995118</v>
      </c>
      <c r="R130" s="140">
        <f t="shared" si="110"/>
        <v>0.12005202225468123</v>
      </c>
      <c r="S130" s="140">
        <f t="shared" si="110"/>
        <v>0.11855835119915901</v>
      </c>
      <c r="T130" s="140">
        <f t="shared" si="110"/>
        <v>0.11707309532885356</v>
      </c>
      <c r="U130" s="140">
        <f t="shared" si="110"/>
        <v>0.12028781388082362</v>
      </c>
      <c r="V130" s="140">
        <f t="shared" si="110"/>
        <v>0.14832589171460506</v>
      </c>
      <c r="W130" s="140">
        <f t="shared" si="110"/>
        <v>0.13910988878361369</v>
      </c>
      <c r="X130" s="140">
        <f t="shared" si="110"/>
        <v>0.11938472487074343</v>
      </c>
      <c r="Y130" s="140">
        <f t="shared" si="110"/>
        <v>0.11666100211926077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0</v>
      </c>
      <c r="C131" s="124">
        <f t="shared" ref="C131:Y131" si="111">IF(C39=0,0,C39/C$34)</f>
        <v>0</v>
      </c>
      <c r="D131" s="124">
        <f t="shared" si="111"/>
        <v>0</v>
      </c>
      <c r="E131" s="124">
        <f t="shared" si="111"/>
        <v>0</v>
      </c>
      <c r="F131" s="124">
        <f t="shared" si="111"/>
        <v>0</v>
      </c>
      <c r="G131" s="124">
        <f t="shared" si="111"/>
        <v>0</v>
      </c>
      <c r="H131" s="124">
        <f t="shared" si="111"/>
        <v>0</v>
      </c>
      <c r="I131" s="124">
        <f t="shared" si="111"/>
        <v>0</v>
      </c>
      <c r="J131" s="124">
        <f t="shared" si="111"/>
        <v>0</v>
      </c>
      <c r="K131" s="124">
        <f t="shared" si="111"/>
        <v>0</v>
      </c>
      <c r="L131" s="124">
        <f t="shared" si="111"/>
        <v>0</v>
      </c>
      <c r="M131" s="124">
        <f t="shared" si="111"/>
        <v>0</v>
      </c>
      <c r="N131" s="124">
        <f t="shared" si="111"/>
        <v>0</v>
      </c>
      <c r="O131" s="124">
        <f t="shared" si="111"/>
        <v>0</v>
      </c>
      <c r="P131" s="124">
        <f t="shared" si="111"/>
        <v>0</v>
      </c>
      <c r="Q131" s="124">
        <f t="shared" si="111"/>
        <v>0</v>
      </c>
      <c r="R131" s="124">
        <f t="shared" si="111"/>
        <v>0</v>
      </c>
      <c r="S131" s="124">
        <f t="shared" si="111"/>
        <v>0</v>
      </c>
      <c r="T131" s="124">
        <f t="shared" si="111"/>
        <v>0</v>
      </c>
      <c r="U131" s="124">
        <f t="shared" si="111"/>
        <v>0</v>
      </c>
      <c r="V131" s="124">
        <f t="shared" si="111"/>
        <v>0</v>
      </c>
      <c r="W131" s="124">
        <f t="shared" si="111"/>
        <v>0</v>
      </c>
      <c r="X131" s="124">
        <f t="shared" si="111"/>
        <v>0</v>
      </c>
      <c r="Y131" s="124">
        <f t="shared" si="111"/>
        <v>0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0</v>
      </c>
      <c r="C132" s="140">
        <f t="shared" ref="C132:Y132" si="112">IF(C40=0,0,C40/C$34)</f>
        <v>0</v>
      </c>
      <c r="D132" s="140">
        <f t="shared" si="112"/>
        <v>0</v>
      </c>
      <c r="E132" s="140">
        <f t="shared" si="112"/>
        <v>0</v>
      </c>
      <c r="F132" s="140">
        <f t="shared" si="112"/>
        <v>0</v>
      </c>
      <c r="G132" s="140">
        <f t="shared" si="112"/>
        <v>0</v>
      </c>
      <c r="H132" s="140">
        <f t="shared" si="112"/>
        <v>0</v>
      </c>
      <c r="I132" s="140">
        <f t="shared" si="112"/>
        <v>0</v>
      </c>
      <c r="J132" s="140">
        <f t="shared" si="112"/>
        <v>0</v>
      </c>
      <c r="K132" s="140">
        <f t="shared" si="112"/>
        <v>0</v>
      </c>
      <c r="L132" s="140">
        <f t="shared" si="112"/>
        <v>0</v>
      </c>
      <c r="M132" s="140">
        <f t="shared" si="112"/>
        <v>0</v>
      </c>
      <c r="N132" s="140">
        <f t="shared" si="112"/>
        <v>0</v>
      </c>
      <c r="O132" s="140">
        <f t="shared" si="112"/>
        <v>0</v>
      </c>
      <c r="P132" s="140">
        <f t="shared" si="112"/>
        <v>0</v>
      </c>
      <c r="Q132" s="140">
        <f t="shared" si="112"/>
        <v>0</v>
      </c>
      <c r="R132" s="140">
        <f t="shared" si="112"/>
        <v>0</v>
      </c>
      <c r="S132" s="140">
        <f t="shared" si="112"/>
        <v>0</v>
      </c>
      <c r="T132" s="140">
        <f t="shared" si="112"/>
        <v>0</v>
      </c>
      <c r="U132" s="140">
        <f t="shared" si="112"/>
        <v>0</v>
      </c>
      <c r="V132" s="140">
        <f t="shared" si="112"/>
        <v>0</v>
      </c>
      <c r="W132" s="140">
        <f t="shared" si="112"/>
        <v>0</v>
      </c>
      <c r="X132" s="140">
        <f t="shared" si="112"/>
        <v>0</v>
      </c>
      <c r="Y132" s="140">
        <f t="shared" si="112"/>
        <v>0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0</v>
      </c>
      <c r="C133" s="140">
        <f t="shared" ref="C133:Y133" si="113">IF(C41=0,0,C41/C$34)</f>
        <v>0</v>
      </c>
      <c r="D133" s="140">
        <f t="shared" si="113"/>
        <v>0</v>
      </c>
      <c r="E133" s="140">
        <f t="shared" si="113"/>
        <v>0</v>
      </c>
      <c r="F133" s="140">
        <f t="shared" si="113"/>
        <v>0</v>
      </c>
      <c r="G133" s="140">
        <f t="shared" si="113"/>
        <v>0</v>
      </c>
      <c r="H133" s="140">
        <f t="shared" si="113"/>
        <v>0</v>
      </c>
      <c r="I133" s="140">
        <f t="shared" si="113"/>
        <v>0</v>
      </c>
      <c r="J133" s="140">
        <f t="shared" si="113"/>
        <v>0</v>
      </c>
      <c r="K133" s="140">
        <f t="shared" si="113"/>
        <v>0</v>
      </c>
      <c r="L133" s="140">
        <f t="shared" si="113"/>
        <v>0</v>
      </c>
      <c r="M133" s="140">
        <f t="shared" si="113"/>
        <v>0</v>
      </c>
      <c r="N133" s="140">
        <f t="shared" si="113"/>
        <v>0</v>
      </c>
      <c r="O133" s="140">
        <f t="shared" si="113"/>
        <v>0</v>
      </c>
      <c r="P133" s="140">
        <f t="shared" si="113"/>
        <v>0</v>
      </c>
      <c r="Q133" s="140">
        <f t="shared" si="113"/>
        <v>0</v>
      </c>
      <c r="R133" s="140">
        <f t="shared" si="113"/>
        <v>0</v>
      </c>
      <c r="S133" s="140">
        <f t="shared" si="113"/>
        <v>0</v>
      </c>
      <c r="T133" s="140">
        <f t="shared" si="113"/>
        <v>0</v>
      </c>
      <c r="U133" s="140">
        <f t="shared" si="113"/>
        <v>0</v>
      </c>
      <c r="V133" s="140">
        <f t="shared" si="113"/>
        <v>0</v>
      </c>
      <c r="W133" s="140">
        <f t="shared" si="113"/>
        <v>0</v>
      </c>
      <c r="X133" s="140">
        <f t="shared" si="113"/>
        <v>0</v>
      </c>
      <c r="Y133" s="140">
        <f t="shared" si="113"/>
        <v>0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0.43681614322756995</v>
      </c>
      <c r="C135" s="124">
        <f t="shared" ref="C135:Y135" si="115">IF(C43=0,0,C43/C$34)</f>
        <v>0.46602580222361484</v>
      </c>
      <c r="D135" s="124">
        <f t="shared" si="115"/>
        <v>0.45284862128327125</v>
      </c>
      <c r="E135" s="124">
        <f t="shared" si="115"/>
        <v>0.45068959580282314</v>
      </c>
      <c r="F135" s="124">
        <f t="shared" si="115"/>
        <v>0.4024397825257689</v>
      </c>
      <c r="G135" s="124">
        <f t="shared" si="115"/>
        <v>0.39167910124854427</v>
      </c>
      <c r="H135" s="124">
        <f t="shared" si="115"/>
        <v>0.38699730572608204</v>
      </c>
      <c r="I135" s="124">
        <f t="shared" si="115"/>
        <v>0.35877211378826185</v>
      </c>
      <c r="J135" s="124">
        <f t="shared" si="115"/>
        <v>0.34842174688236144</v>
      </c>
      <c r="K135" s="124">
        <f t="shared" si="115"/>
        <v>0.32461533008538618</v>
      </c>
      <c r="L135" s="124">
        <f t="shared" si="115"/>
        <v>0.32552650278241202</v>
      </c>
      <c r="M135" s="124">
        <f t="shared" si="115"/>
        <v>0.3503038118767286</v>
      </c>
      <c r="N135" s="124">
        <f t="shared" si="115"/>
        <v>0.34026867725476917</v>
      </c>
      <c r="O135" s="124">
        <f t="shared" si="115"/>
        <v>0.33110203610048039</v>
      </c>
      <c r="P135" s="124">
        <f t="shared" si="115"/>
        <v>0.33160292295385857</v>
      </c>
      <c r="Q135" s="124">
        <f t="shared" si="115"/>
        <v>0.3250317159583696</v>
      </c>
      <c r="R135" s="124">
        <f t="shared" si="115"/>
        <v>0.34308736548097118</v>
      </c>
      <c r="S135" s="124">
        <f t="shared" si="115"/>
        <v>0.36713940284953211</v>
      </c>
      <c r="T135" s="124">
        <f t="shared" si="115"/>
        <v>0.37533132385705931</v>
      </c>
      <c r="U135" s="124">
        <f t="shared" si="115"/>
        <v>0.3617359695356433</v>
      </c>
      <c r="V135" s="124">
        <f t="shared" si="115"/>
        <v>0.16385712512671574</v>
      </c>
      <c r="W135" s="124">
        <f t="shared" si="115"/>
        <v>0.23290782926723785</v>
      </c>
      <c r="X135" s="124">
        <f t="shared" si="115"/>
        <v>0.33997550877076688</v>
      </c>
      <c r="Y135" s="124">
        <f t="shared" si="115"/>
        <v>0.36199920515566469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0.38120198893181079</v>
      </c>
      <c r="C137" s="140">
        <f t="shared" ref="C137:Y137" si="117">IF(C45=0,0,C45/C$34)</f>
        <v>0.40669071950298746</v>
      </c>
      <c r="D137" s="140">
        <f t="shared" si="117"/>
        <v>0.37743499576069628</v>
      </c>
      <c r="E137" s="140">
        <f t="shared" si="117"/>
        <v>0.37563053223686094</v>
      </c>
      <c r="F137" s="140">
        <f t="shared" si="117"/>
        <v>0.34628149811583342</v>
      </c>
      <c r="G137" s="140">
        <f t="shared" si="117"/>
        <v>0.33941869450597556</v>
      </c>
      <c r="H137" s="140">
        <f t="shared" si="117"/>
        <v>0.33557998377676418</v>
      </c>
      <c r="I137" s="140">
        <f t="shared" si="117"/>
        <v>0.31126691537710216</v>
      </c>
      <c r="J137" s="140">
        <f t="shared" si="117"/>
        <v>0.30173402369705815</v>
      </c>
      <c r="K137" s="140">
        <f t="shared" si="117"/>
        <v>0.27886383226405737</v>
      </c>
      <c r="L137" s="140">
        <f t="shared" si="117"/>
        <v>0.27823300145308361</v>
      </c>
      <c r="M137" s="140">
        <f t="shared" si="117"/>
        <v>0.30022920294329858</v>
      </c>
      <c r="N137" s="140">
        <f t="shared" si="117"/>
        <v>0.2886778819273344</v>
      </c>
      <c r="O137" s="140">
        <f t="shared" si="117"/>
        <v>0.2785796404945865</v>
      </c>
      <c r="P137" s="140">
        <f t="shared" si="117"/>
        <v>0.27856729685220344</v>
      </c>
      <c r="Q137" s="140">
        <f t="shared" si="117"/>
        <v>0.27339304671477521</v>
      </c>
      <c r="R137" s="140">
        <f t="shared" si="117"/>
        <v>0.29311628054233435</v>
      </c>
      <c r="S137" s="140">
        <f t="shared" si="117"/>
        <v>0.31656324807863268</v>
      </c>
      <c r="T137" s="140">
        <f t="shared" si="117"/>
        <v>0.32278405962374357</v>
      </c>
      <c r="U137" s="140">
        <f t="shared" si="117"/>
        <v>0.30916498605749515</v>
      </c>
      <c r="V137" s="140">
        <f t="shared" si="117"/>
        <v>0.12475826036231095</v>
      </c>
      <c r="W137" s="140">
        <f t="shared" si="117"/>
        <v>0.18502451500648617</v>
      </c>
      <c r="X137" s="140">
        <f t="shared" si="117"/>
        <v>0.29140919903063023</v>
      </c>
      <c r="Y137" s="140">
        <f t="shared" si="117"/>
        <v>0.31053030212239791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5.5614154295759215E-2</v>
      </c>
      <c r="C138" s="140">
        <f t="shared" ref="C138:Y138" si="118">IF(C46=0,0,C46/C$34)</f>
        <v>5.933508272062743E-2</v>
      </c>
      <c r="D138" s="140">
        <f t="shared" si="118"/>
        <v>7.541362552257494E-2</v>
      </c>
      <c r="E138" s="140">
        <f t="shared" si="118"/>
        <v>7.5059063565962203E-2</v>
      </c>
      <c r="F138" s="140">
        <f t="shared" si="118"/>
        <v>5.6158284409935512E-2</v>
      </c>
      <c r="G138" s="140">
        <f t="shared" si="118"/>
        <v>5.2260406742568696E-2</v>
      </c>
      <c r="H138" s="140">
        <f t="shared" si="118"/>
        <v>5.1417321949317848E-2</v>
      </c>
      <c r="I138" s="140">
        <f t="shared" si="118"/>
        <v>4.7505198411159702E-2</v>
      </c>
      <c r="J138" s="140">
        <f t="shared" si="118"/>
        <v>4.6687723185303252E-2</v>
      </c>
      <c r="K138" s="140">
        <f t="shared" si="118"/>
        <v>4.5751497821328764E-2</v>
      </c>
      <c r="L138" s="140">
        <f t="shared" si="118"/>
        <v>4.7293501329328434E-2</v>
      </c>
      <c r="M138" s="140">
        <f t="shared" si="118"/>
        <v>5.0074608933430076E-2</v>
      </c>
      <c r="N138" s="140">
        <f t="shared" si="118"/>
        <v>5.1590795327434762E-2</v>
      </c>
      <c r="O138" s="140">
        <f t="shared" si="118"/>
        <v>5.252239560589389E-2</v>
      </c>
      <c r="P138" s="140">
        <f t="shared" si="118"/>
        <v>5.3035626101655117E-2</v>
      </c>
      <c r="Q138" s="140">
        <f t="shared" si="118"/>
        <v>5.163866924359433E-2</v>
      </c>
      <c r="R138" s="140">
        <f t="shared" si="118"/>
        <v>4.9971084938636855E-2</v>
      </c>
      <c r="S138" s="140">
        <f t="shared" si="118"/>
        <v>5.0576154770899433E-2</v>
      </c>
      <c r="T138" s="140">
        <f t="shared" si="118"/>
        <v>5.2547264233315752E-2</v>
      </c>
      <c r="U138" s="140">
        <f t="shared" si="118"/>
        <v>5.2570983478148148E-2</v>
      </c>
      <c r="V138" s="140">
        <f t="shared" si="118"/>
        <v>3.909886476440478E-2</v>
      </c>
      <c r="W138" s="140">
        <f t="shared" si="118"/>
        <v>4.7883314260751694E-2</v>
      </c>
      <c r="X138" s="140">
        <f t="shared" si="118"/>
        <v>4.8566309740136676E-2</v>
      </c>
      <c r="Y138" s="140">
        <f t="shared" si="118"/>
        <v>5.1468903033266754E-2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0.96061565679721339</v>
      </c>
      <c r="C140" s="139">
        <f t="shared" ref="C140:Y140" si="121">IF(C48=0,0,C48/C$47)</f>
        <v>0.9659629782564354</v>
      </c>
      <c r="D140" s="139">
        <f t="shared" si="121"/>
        <v>0.9604988921469142</v>
      </c>
      <c r="E140" s="139">
        <f t="shared" si="121"/>
        <v>0.96270230191905348</v>
      </c>
      <c r="F140" s="139">
        <f t="shared" si="121"/>
        <v>0.95287211267895155</v>
      </c>
      <c r="G140" s="139">
        <f t="shared" si="121"/>
        <v>0.9477977187901292</v>
      </c>
      <c r="H140" s="139">
        <f t="shared" si="121"/>
        <v>0.93359412627247984</v>
      </c>
      <c r="I140" s="139">
        <f t="shared" si="121"/>
        <v>0.94342428308582049</v>
      </c>
      <c r="J140" s="139">
        <f t="shared" si="121"/>
        <v>0.94518095237985533</v>
      </c>
      <c r="K140" s="139">
        <f t="shared" si="121"/>
        <v>0.94765287207629834</v>
      </c>
      <c r="L140" s="139">
        <f t="shared" si="121"/>
        <v>0.95239228754065186</v>
      </c>
      <c r="M140" s="139">
        <f t="shared" si="121"/>
        <v>0.96088670187447633</v>
      </c>
      <c r="N140" s="139">
        <f t="shared" si="121"/>
        <v>0.96677961718030603</v>
      </c>
      <c r="O140" s="139">
        <f t="shared" si="121"/>
        <v>0.96339231847432727</v>
      </c>
      <c r="P140" s="139">
        <f t="shared" si="121"/>
        <v>0.96599492513296525</v>
      </c>
      <c r="Q140" s="139">
        <f t="shared" si="121"/>
        <v>0.968536116205023</v>
      </c>
      <c r="R140" s="139">
        <f t="shared" si="121"/>
        <v>0.97626523658442976</v>
      </c>
      <c r="S140" s="139">
        <f t="shared" si="121"/>
        <v>0.97236600976597132</v>
      </c>
      <c r="T140" s="139">
        <f t="shared" si="121"/>
        <v>0.97548747845897266</v>
      </c>
      <c r="U140" s="139">
        <f t="shared" si="121"/>
        <v>0.97783171650351064</v>
      </c>
      <c r="V140" s="139">
        <f t="shared" si="121"/>
        <v>0.9830546855019594</v>
      </c>
      <c r="W140" s="139">
        <f t="shared" si="121"/>
        <v>0.9809450021385363</v>
      </c>
      <c r="X140" s="139">
        <f t="shared" si="121"/>
        <v>0.97464655857238502</v>
      </c>
      <c r="Y140" s="139">
        <f t="shared" si="121"/>
        <v>0.97125975473689619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0.75861842771792731</v>
      </c>
      <c r="C141" s="140">
        <f t="shared" ref="C141:Y141" si="122">IF(C49=0,0,C49/C$47)</f>
        <v>0.76233933670003007</v>
      </c>
      <c r="D141" s="140">
        <f t="shared" si="122"/>
        <v>0.76265684144277168</v>
      </c>
      <c r="E141" s="140">
        <f t="shared" si="122"/>
        <v>0.75181527495376821</v>
      </c>
      <c r="F141" s="140">
        <f t="shared" si="122"/>
        <v>0.76349166944263036</v>
      </c>
      <c r="G141" s="140">
        <f t="shared" si="122"/>
        <v>0.72540231705272173</v>
      </c>
      <c r="H141" s="140">
        <f t="shared" si="122"/>
        <v>0.73332085718168527</v>
      </c>
      <c r="I141" s="140">
        <f t="shared" si="122"/>
        <v>0.7315244817781853</v>
      </c>
      <c r="J141" s="140">
        <f t="shared" si="122"/>
        <v>0.72300843081367716</v>
      </c>
      <c r="K141" s="140">
        <f t="shared" si="122"/>
        <v>0.75641923237079178</v>
      </c>
      <c r="L141" s="140">
        <f t="shared" si="122"/>
        <v>0.74006318326598508</v>
      </c>
      <c r="M141" s="140">
        <f t="shared" si="122"/>
        <v>0.76862686200352404</v>
      </c>
      <c r="N141" s="140">
        <f t="shared" si="122"/>
        <v>0.78176934188510572</v>
      </c>
      <c r="O141" s="140">
        <f t="shared" si="122"/>
        <v>0.81346126710014122</v>
      </c>
      <c r="P141" s="140">
        <f t="shared" si="122"/>
        <v>0.82419627514680094</v>
      </c>
      <c r="Q141" s="140">
        <f t="shared" si="122"/>
        <v>0.82629377223022349</v>
      </c>
      <c r="R141" s="140">
        <f t="shared" si="122"/>
        <v>0.80101678152505718</v>
      </c>
      <c r="S141" s="140">
        <f t="shared" si="122"/>
        <v>0.78130159999465221</v>
      </c>
      <c r="T141" s="140">
        <f t="shared" si="122"/>
        <v>0.77920097378487518</v>
      </c>
      <c r="U141" s="140">
        <f t="shared" si="122"/>
        <v>0.76996269878257118</v>
      </c>
      <c r="V141" s="140">
        <f t="shared" si="122"/>
        <v>0.81851165470333731</v>
      </c>
      <c r="W141" s="140">
        <f t="shared" si="122"/>
        <v>0.81432638143979152</v>
      </c>
      <c r="X141" s="140">
        <f t="shared" si="122"/>
        <v>0.75188200530084681</v>
      </c>
      <c r="Y141" s="140">
        <f t="shared" si="122"/>
        <v>0.75035328401615209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0.20199722907928608</v>
      </c>
      <c r="C142" s="140">
        <f t="shared" ref="C142:Y142" si="123">IF(C50=0,0,C50/C$47)</f>
        <v>0.20362364155640536</v>
      </c>
      <c r="D142" s="140">
        <f t="shared" si="123"/>
        <v>0.19784205070414246</v>
      </c>
      <c r="E142" s="140">
        <f t="shared" si="123"/>
        <v>0.21088702696528541</v>
      </c>
      <c r="F142" s="140">
        <f t="shared" si="123"/>
        <v>0.18938044323632117</v>
      </c>
      <c r="G142" s="140">
        <f t="shared" si="123"/>
        <v>0.22239540173740754</v>
      </c>
      <c r="H142" s="140">
        <f t="shared" si="123"/>
        <v>0.20027326909079463</v>
      </c>
      <c r="I142" s="140">
        <f t="shared" si="123"/>
        <v>0.21189980130763511</v>
      </c>
      <c r="J142" s="140">
        <f t="shared" si="123"/>
        <v>0.22217252156617828</v>
      </c>
      <c r="K142" s="140">
        <f t="shared" si="123"/>
        <v>0.19123363970550658</v>
      </c>
      <c r="L142" s="140">
        <f t="shared" si="123"/>
        <v>0.21232910427466675</v>
      </c>
      <c r="M142" s="140">
        <f t="shared" si="123"/>
        <v>0.19225983987095221</v>
      </c>
      <c r="N142" s="140">
        <f t="shared" si="123"/>
        <v>0.18501027529520025</v>
      </c>
      <c r="O142" s="140">
        <f t="shared" si="123"/>
        <v>0.14993105137418608</v>
      </c>
      <c r="P142" s="140">
        <f t="shared" si="123"/>
        <v>0.14179864998616429</v>
      </c>
      <c r="Q142" s="140">
        <f t="shared" si="123"/>
        <v>0.14224234397479946</v>
      </c>
      <c r="R142" s="140">
        <f t="shared" si="123"/>
        <v>0.17524845505937259</v>
      </c>
      <c r="S142" s="140">
        <f t="shared" si="123"/>
        <v>0.19106440977131914</v>
      </c>
      <c r="T142" s="140">
        <f t="shared" si="123"/>
        <v>0.19628650467409745</v>
      </c>
      <c r="U142" s="140">
        <f t="shared" si="123"/>
        <v>0.20786901772093944</v>
      </c>
      <c r="V142" s="140">
        <f t="shared" si="123"/>
        <v>0.16454303079862223</v>
      </c>
      <c r="W142" s="140">
        <f t="shared" si="123"/>
        <v>0.16661862069874467</v>
      </c>
      <c r="X142" s="140">
        <f t="shared" si="123"/>
        <v>0.22276455327153818</v>
      </c>
      <c r="Y142" s="140">
        <f t="shared" si="123"/>
        <v>0.22090647072074415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0</v>
      </c>
      <c r="C143" s="124">
        <f t="shared" ref="C143:Y143" si="124">IF(C51=0,0,C51/C$47)</f>
        <v>0</v>
      </c>
      <c r="D143" s="124">
        <f t="shared" si="124"/>
        <v>0</v>
      </c>
      <c r="E143" s="124">
        <f t="shared" si="124"/>
        <v>0</v>
      </c>
      <c r="F143" s="124">
        <f t="shared" si="124"/>
        <v>0</v>
      </c>
      <c r="G143" s="124">
        <f t="shared" si="124"/>
        <v>0</v>
      </c>
      <c r="H143" s="124">
        <f t="shared" si="124"/>
        <v>0</v>
      </c>
      <c r="I143" s="124">
        <f t="shared" si="124"/>
        <v>0</v>
      </c>
      <c r="J143" s="124">
        <f t="shared" si="124"/>
        <v>0</v>
      </c>
      <c r="K143" s="124">
        <f t="shared" si="124"/>
        <v>0</v>
      </c>
      <c r="L143" s="124">
        <f t="shared" si="124"/>
        <v>0</v>
      </c>
      <c r="M143" s="124">
        <f t="shared" si="124"/>
        <v>0</v>
      </c>
      <c r="N143" s="124">
        <f t="shared" si="124"/>
        <v>0</v>
      </c>
      <c r="O143" s="124">
        <f t="shared" si="124"/>
        <v>0</v>
      </c>
      <c r="P143" s="124">
        <f t="shared" si="124"/>
        <v>0</v>
      </c>
      <c r="Q143" s="124">
        <f t="shared" si="124"/>
        <v>0</v>
      </c>
      <c r="R143" s="124">
        <f t="shared" si="124"/>
        <v>0</v>
      </c>
      <c r="S143" s="124">
        <f t="shared" si="124"/>
        <v>0</v>
      </c>
      <c r="T143" s="124">
        <f t="shared" si="124"/>
        <v>0</v>
      </c>
      <c r="U143" s="124">
        <f t="shared" si="124"/>
        <v>0</v>
      </c>
      <c r="V143" s="124">
        <f t="shared" si="124"/>
        <v>0</v>
      </c>
      <c r="W143" s="124">
        <f t="shared" si="124"/>
        <v>0</v>
      </c>
      <c r="X143" s="124">
        <f t="shared" si="124"/>
        <v>0</v>
      </c>
      <c r="Y143" s="124">
        <f t="shared" si="124"/>
        <v>0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3.9384343202786588E-2</v>
      </c>
      <c r="C144" s="124">
        <f t="shared" ref="C144:Y144" si="125">IF(C52=0,0,C52/C$47)</f>
        <v>3.4037021743564572E-2</v>
      </c>
      <c r="D144" s="124">
        <f t="shared" si="125"/>
        <v>3.9501107853085776E-2</v>
      </c>
      <c r="E144" s="124">
        <f t="shared" si="125"/>
        <v>3.7297698080946476E-2</v>
      </c>
      <c r="F144" s="124">
        <f t="shared" si="125"/>
        <v>4.7127887321048383E-2</v>
      </c>
      <c r="G144" s="124">
        <f t="shared" si="125"/>
        <v>5.2202281209870749E-2</v>
      </c>
      <c r="H144" s="124">
        <f t="shared" si="125"/>
        <v>6.6405873727520062E-2</v>
      </c>
      <c r="I144" s="124">
        <f t="shared" si="125"/>
        <v>5.6575716914179619E-2</v>
      </c>
      <c r="J144" s="124">
        <f t="shared" si="125"/>
        <v>5.4819047620144633E-2</v>
      </c>
      <c r="K144" s="124">
        <f t="shared" si="125"/>
        <v>5.2347127923701657E-2</v>
      </c>
      <c r="L144" s="124">
        <f t="shared" si="125"/>
        <v>4.7607712459348125E-2</v>
      </c>
      <c r="M144" s="124">
        <f t="shared" si="125"/>
        <v>3.9113298125523749E-2</v>
      </c>
      <c r="N144" s="124">
        <f t="shared" si="125"/>
        <v>3.3220382819693882E-2</v>
      </c>
      <c r="O144" s="124">
        <f t="shared" si="125"/>
        <v>3.6607681525672779E-2</v>
      </c>
      <c r="P144" s="124">
        <f t="shared" si="125"/>
        <v>3.4005074867034732E-2</v>
      </c>
      <c r="Q144" s="124">
        <f t="shared" si="125"/>
        <v>3.1463883794977041E-2</v>
      </c>
      <c r="R144" s="124">
        <f t="shared" si="125"/>
        <v>2.3734763415570216E-2</v>
      </c>
      <c r="S144" s="124">
        <f t="shared" si="125"/>
        <v>2.316721643524975E-2</v>
      </c>
      <c r="T144" s="124">
        <f t="shared" si="125"/>
        <v>1.9937082144333464E-2</v>
      </c>
      <c r="U144" s="124">
        <f t="shared" si="125"/>
        <v>1.6137592240915436E-2</v>
      </c>
      <c r="V144" s="124">
        <f t="shared" si="125"/>
        <v>1.4163939599190246E-2</v>
      </c>
      <c r="W144" s="124">
        <f t="shared" si="125"/>
        <v>1.2946746460246033E-2</v>
      </c>
      <c r="X144" s="124">
        <f t="shared" si="125"/>
        <v>1.4679411517733382E-2</v>
      </c>
      <c r="Y144" s="124">
        <f t="shared" si="125"/>
        <v>1.5368066765860375E-2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3.752994713064637E-2</v>
      </c>
      <c r="C146" s="140">
        <f t="shared" ref="C146:Y146" si="127">IF(C54=0,0,C54/C$47)</f>
        <v>3.224476272075838E-2</v>
      </c>
      <c r="D146" s="140">
        <f t="shared" si="127"/>
        <v>3.7506937723649297E-2</v>
      </c>
      <c r="E146" s="140">
        <f t="shared" si="127"/>
        <v>3.5363173118085081E-2</v>
      </c>
      <c r="F146" s="140">
        <f t="shared" si="127"/>
        <v>4.4901013682121307E-2</v>
      </c>
      <c r="G146" s="140">
        <f t="shared" si="127"/>
        <v>5.01636523608609E-2</v>
      </c>
      <c r="H146" s="140">
        <f t="shared" si="127"/>
        <v>6.4346049130136293E-2</v>
      </c>
      <c r="I146" s="140">
        <f t="shared" si="127"/>
        <v>5.4751963278259784E-2</v>
      </c>
      <c r="J146" s="140">
        <f t="shared" si="127"/>
        <v>5.2714891580747464E-2</v>
      </c>
      <c r="K146" s="140">
        <f t="shared" si="127"/>
        <v>4.9573005925048888E-2</v>
      </c>
      <c r="L146" s="140">
        <f t="shared" si="127"/>
        <v>4.4171742109122988E-2</v>
      </c>
      <c r="M146" s="140">
        <f t="shared" si="127"/>
        <v>3.7431077166899564E-2</v>
      </c>
      <c r="N146" s="140">
        <f t="shared" si="127"/>
        <v>3.2257336190830065E-2</v>
      </c>
      <c r="O146" s="140">
        <f t="shared" si="127"/>
        <v>3.5354315304067518E-2</v>
      </c>
      <c r="P146" s="140">
        <f t="shared" si="127"/>
        <v>3.2975413928913858E-2</v>
      </c>
      <c r="Q146" s="140">
        <f t="shared" si="127"/>
        <v>3.0326377712662774E-2</v>
      </c>
      <c r="R146" s="140">
        <f t="shared" si="127"/>
        <v>2.3102100446443674E-2</v>
      </c>
      <c r="S146" s="140">
        <f t="shared" si="127"/>
        <v>2.2534662479584695E-2</v>
      </c>
      <c r="T146" s="140">
        <f t="shared" si="127"/>
        <v>1.9274714935874019E-2</v>
      </c>
      <c r="U146" s="140">
        <f t="shared" si="127"/>
        <v>1.41104495410553E-2</v>
      </c>
      <c r="V146" s="140">
        <f t="shared" si="127"/>
        <v>1.1147579026734647E-2</v>
      </c>
      <c r="W146" s="140">
        <f t="shared" si="127"/>
        <v>1.2217107396863696E-2</v>
      </c>
      <c r="X146" s="140">
        <f t="shared" si="127"/>
        <v>1.3057038212408532E-2</v>
      </c>
      <c r="Y146" s="140">
        <f t="shared" si="127"/>
        <v>1.3550750197240679E-2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1.8543960721402223E-3</v>
      </c>
      <c r="C147" s="140">
        <f t="shared" ref="C147:Y147" si="128">IF(C55=0,0,C55/C$47)</f>
        <v>1.7922590228061923E-3</v>
      </c>
      <c r="D147" s="140">
        <f t="shared" si="128"/>
        <v>1.9941701294364806E-3</v>
      </c>
      <c r="E147" s="140">
        <f t="shared" si="128"/>
        <v>1.9345249628613874E-3</v>
      </c>
      <c r="F147" s="140">
        <f t="shared" si="128"/>
        <v>2.2268736389270813E-3</v>
      </c>
      <c r="G147" s="140">
        <f t="shared" si="128"/>
        <v>2.038628849009841E-3</v>
      </c>
      <c r="H147" s="140">
        <f t="shared" si="128"/>
        <v>2.0598245973837723E-3</v>
      </c>
      <c r="I147" s="140">
        <f t="shared" si="128"/>
        <v>1.8237536359198324E-3</v>
      </c>
      <c r="J147" s="140">
        <f t="shared" si="128"/>
        <v>2.1041560393971754E-3</v>
      </c>
      <c r="K147" s="140">
        <f t="shared" si="128"/>
        <v>2.774121998652766E-3</v>
      </c>
      <c r="L147" s="140">
        <f t="shared" si="128"/>
        <v>3.4359703502251345E-3</v>
      </c>
      <c r="M147" s="140">
        <f t="shared" si="128"/>
        <v>1.682220958624181E-3</v>
      </c>
      <c r="N147" s="140">
        <f t="shared" si="128"/>
        <v>9.6304662886381612E-4</v>
      </c>
      <c r="O147" s="140">
        <f t="shared" si="128"/>
        <v>1.2533662216052609E-3</v>
      </c>
      <c r="P147" s="140">
        <f t="shared" si="128"/>
        <v>1.0296609381208726E-3</v>
      </c>
      <c r="Q147" s="140">
        <f t="shared" si="128"/>
        <v>1.1375060823142623E-3</v>
      </c>
      <c r="R147" s="140">
        <f t="shared" si="128"/>
        <v>6.3266296912654126E-4</v>
      </c>
      <c r="S147" s="140">
        <f t="shared" si="128"/>
        <v>6.3255395566505349E-4</v>
      </c>
      <c r="T147" s="140">
        <f t="shared" si="128"/>
        <v>6.6236720845944542E-4</v>
      </c>
      <c r="U147" s="140">
        <f t="shared" si="128"/>
        <v>2.0271426998601364E-3</v>
      </c>
      <c r="V147" s="140">
        <f t="shared" si="128"/>
        <v>3.0163605724555969E-3</v>
      </c>
      <c r="W147" s="140">
        <f t="shared" si="128"/>
        <v>7.2963906338233716E-4</v>
      </c>
      <c r="X147" s="140">
        <f t="shared" si="128"/>
        <v>1.6223733053248512E-3</v>
      </c>
      <c r="Y147" s="140">
        <f t="shared" si="128"/>
        <v>1.817316568619695E-3</v>
      </c>
      <c r="DA147" s="175"/>
    </row>
    <row r="148" spans="1:105" ht="11.45" customHeight="1" x14ac:dyDescent="0.25">
      <c r="A148" s="109" t="s">
        <v>141</v>
      </c>
      <c r="B148" s="124">
        <f t="shared" si="119"/>
        <v>0</v>
      </c>
      <c r="C148" s="124">
        <f t="shared" ref="C148:Y148" si="129">IF(C56=0,0,C56/C$47)</f>
        <v>0</v>
      </c>
      <c r="D148" s="124">
        <f t="shared" si="129"/>
        <v>0</v>
      </c>
      <c r="E148" s="124">
        <f t="shared" si="129"/>
        <v>0</v>
      </c>
      <c r="F148" s="124">
        <f t="shared" si="129"/>
        <v>0</v>
      </c>
      <c r="G148" s="124">
        <f t="shared" si="129"/>
        <v>0</v>
      </c>
      <c r="H148" s="124">
        <f t="shared" si="129"/>
        <v>0</v>
      </c>
      <c r="I148" s="124">
        <f t="shared" si="129"/>
        <v>0</v>
      </c>
      <c r="J148" s="124">
        <f t="shared" si="129"/>
        <v>0</v>
      </c>
      <c r="K148" s="124">
        <f t="shared" si="129"/>
        <v>0</v>
      </c>
      <c r="L148" s="124">
        <f t="shared" si="129"/>
        <v>0</v>
      </c>
      <c r="M148" s="124">
        <f t="shared" si="129"/>
        <v>0</v>
      </c>
      <c r="N148" s="124">
        <f t="shared" si="129"/>
        <v>0</v>
      </c>
      <c r="O148" s="124">
        <f t="shared" si="129"/>
        <v>0</v>
      </c>
      <c r="P148" s="124">
        <f t="shared" si="129"/>
        <v>0</v>
      </c>
      <c r="Q148" s="124">
        <f t="shared" si="129"/>
        <v>0</v>
      </c>
      <c r="R148" s="124">
        <f t="shared" si="129"/>
        <v>0</v>
      </c>
      <c r="S148" s="124">
        <f t="shared" si="129"/>
        <v>4.4667737987790224E-3</v>
      </c>
      <c r="T148" s="124">
        <f t="shared" si="129"/>
        <v>4.5754393966939378E-3</v>
      </c>
      <c r="U148" s="124">
        <f t="shared" si="129"/>
        <v>6.0306912555740501E-3</v>
      </c>
      <c r="V148" s="124">
        <f t="shared" si="129"/>
        <v>2.7813748988502088E-3</v>
      </c>
      <c r="W148" s="124">
        <f t="shared" si="129"/>
        <v>6.1082514012176228E-3</v>
      </c>
      <c r="X148" s="124">
        <f t="shared" si="129"/>
        <v>1.0674029909881614E-2</v>
      </c>
      <c r="Y148" s="124">
        <f t="shared" si="129"/>
        <v>1.3372178497243281E-2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</v>
      </c>
      <c r="C149" s="140">
        <f t="shared" ref="C149:Y149" si="130">IF(C57=0,0,C57/C$47)</f>
        <v>0</v>
      </c>
      <c r="D149" s="140">
        <f t="shared" si="130"/>
        <v>0</v>
      </c>
      <c r="E149" s="140">
        <f t="shared" si="130"/>
        <v>0</v>
      </c>
      <c r="F149" s="140">
        <f t="shared" si="130"/>
        <v>0</v>
      </c>
      <c r="G149" s="140">
        <f t="shared" si="130"/>
        <v>0</v>
      </c>
      <c r="H149" s="140">
        <f t="shared" si="130"/>
        <v>0</v>
      </c>
      <c r="I149" s="140">
        <f t="shared" si="130"/>
        <v>0</v>
      </c>
      <c r="J149" s="140">
        <f t="shared" si="130"/>
        <v>0</v>
      </c>
      <c r="K149" s="140">
        <f t="shared" si="130"/>
        <v>0</v>
      </c>
      <c r="L149" s="140">
        <f t="shared" si="130"/>
        <v>0</v>
      </c>
      <c r="M149" s="140">
        <f t="shared" si="130"/>
        <v>0</v>
      </c>
      <c r="N149" s="140">
        <f t="shared" si="130"/>
        <v>0</v>
      </c>
      <c r="O149" s="140">
        <f t="shared" si="130"/>
        <v>0</v>
      </c>
      <c r="P149" s="140">
        <f t="shared" si="130"/>
        <v>0</v>
      </c>
      <c r="Q149" s="140">
        <f t="shared" si="130"/>
        <v>0</v>
      </c>
      <c r="R149" s="140">
        <f t="shared" si="130"/>
        <v>0</v>
      </c>
      <c r="S149" s="140">
        <f t="shared" si="130"/>
        <v>4.4667737987790224E-3</v>
      </c>
      <c r="T149" s="140">
        <f t="shared" si="130"/>
        <v>4.5754393966939378E-3</v>
      </c>
      <c r="U149" s="140">
        <f t="shared" si="130"/>
        <v>6.0306912555740501E-3</v>
      </c>
      <c r="V149" s="140">
        <f t="shared" si="130"/>
        <v>2.7813748988502088E-3</v>
      </c>
      <c r="W149" s="140">
        <f t="shared" si="130"/>
        <v>6.1082514012176228E-3</v>
      </c>
      <c r="X149" s="140">
        <f t="shared" si="130"/>
        <v>1.0674029909881614E-2</v>
      </c>
      <c r="Y149" s="140">
        <f t="shared" si="130"/>
        <v>1.3372178497243281E-2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0.60315575497393348</v>
      </c>
      <c r="C152" s="140">
        <f t="shared" si="133"/>
        <v>0.60447233178072923</v>
      </c>
      <c r="D152" s="140">
        <f t="shared" si="133"/>
        <v>0.60178272126548471</v>
      </c>
      <c r="E152" s="140">
        <f t="shared" si="133"/>
        <v>0.63649223096579532</v>
      </c>
      <c r="F152" s="140">
        <f t="shared" si="133"/>
        <v>0.65327091883925903</v>
      </c>
      <c r="G152" s="140">
        <f t="shared" si="133"/>
        <v>0.6154606499984584</v>
      </c>
      <c r="H152" s="140">
        <f t="shared" si="133"/>
        <v>0.6251291473673285</v>
      </c>
      <c r="I152" s="140">
        <f t="shared" si="133"/>
        <v>0.53053277424915923</v>
      </c>
      <c r="J152" s="140">
        <f t="shared" si="133"/>
        <v>0.61407718490140251</v>
      </c>
      <c r="K152" s="140">
        <f t="shared" si="133"/>
        <v>0.56727785657156427</v>
      </c>
      <c r="L152" s="140">
        <f t="shared" si="133"/>
        <v>0.59533917572859874</v>
      </c>
      <c r="M152" s="140">
        <f t="shared" si="133"/>
        <v>0.62605936581009858</v>
      </c>
      <c r="N152" s="140">
        <f t="shared" si="133"/>
        <v>0.65701333212330904</v>
      </c>
      <c r="O152" s="140">
        <f t="shared" si="133"/>
        <v>0.66107996754526721</v>
      </c>
      <c r="P152" s="140">
        <f t="shared" si="133"/>
        <v>0.64328081903922052</v>
      </c>
      <c r="Q152" s="140">
        <f t="shared" si="133"/>
        <v>0.65323943285098907</v>
      </c>
      <c r="R152" s="140">
        <f t="shared" si="133"/>
        <v>0.64400279024381502</v>
      </c>
      <c r="S152" s="140">
        <f t="shared" si="133"/>
        <v>0.62351711743331806</v>
      </c>
      <c r="T152" s="140">
        <f t="shared" si="133"/>
        <v>0.59397932536755482</v>
      </c>
      <c r="U152" s="140">
        <f t="shared" si="133"/>
        <v>0.63359293831111496</v>
      </c>
      <c r="V152" s="140">
        <f t="shared" si="133"/>
        <v>0.60573896157862406</v>
      </c>
      <c r="W152" s="140">
        <f t="shared" si="133"/>
        <v>0.60556316557296441</v>
      </c>
      <c r="X152" s="140">
        <f t="shared" si="133"/>
        <v>0.63653490664633805</v>
      </c>
      <c r="Y152" s="140">
        <f t="shared" si="133"/>
        <v>0.65641453620290069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0.39684424502606652</v>
      </c>
      <c r="C153" s="127">
        <f t="shared" si="134"/>
        <v>0.39552766821927088</v>
      </c>
      <c r="D153" s="127">
        <f t="shared" si="134"/>
        <v>0.39821727873451535</v>
      </c>
      <c r="E153" s="127">
        <f t="shared" si="134"/>
        <v>0.36350776903420468</v>
      </c>
      <c r="F153" s="127">
        <f t="shared" si="134"/>
        <v>0.34672908116074086</v>
      </c>
      <c r="G153" s="127">
        <f t="shared" si="134"/>
        <v>0.3845393500015416</v>
      </c>
      <c r="H153" s="127">
        <f t="shared" si="134"/>
        <v>0.37487085263267156</v>
      </c>
      <c r="I153" s="127">
        <f t="shared" si="134"/>
        <v>0.46946722575084077</v>
      </c>
      <c r="J153" s="127">
        <f t="shared" si="134"/>
        <v>0.38592281509859755</v>
      </c>
      <c r="K153" s="127">
        <f t="shared" si="134"/>
        <v>0.43272214342843562</v>
      </c>
      <c r="L153" s="127">
        <f t="shared" si="134"/>
        <v>0.40466082427140138</v>
      </c>
      <c r="M153" s="127">
        <f t="shared" si="134"/>
        <v>0.37394063418990148</v>
      </c>
      <c r="N153" s="127">
        <f t="shared" si="134"/>
        <v>0.34298666787669102</v>
      </c>
      <c r="O153" s="127">
        <f t="shared" si="134"/>
        <v>0.33892003245473273</v>
      </c>
      <c r="P153" s="127">
        <f t="shared" si="134"/>
        <v>0.35671918096077954</v>
      </c>
      <c r="Q153" s="127">
        <f t="shared" si="134"/>
        <v>0.34676056714901093</v>
      </c>
      <c r="R153" s="127">
        <f t="shared" si="134"/>
        <v>0.35599720975618498</v>
      </c>
      <c r="S153" s="127">
        <f t="shared" si="134"/>
        <v>0.376482882566682</v>
      </c>
      <c r="T153" s="127">
        <f t="shared" si="134"/>
        <v>0.40602067463244512</v>
      </c>
      <c r="U153" s="127">
        <f t="shared" si="134"/>
        <v>0.36640706168888498</v>
      </c>
      <c r="V153" s="127">
        <f t="shared" si="134"/>
        <v>0.394261038421376</v>
      </c>
      <c r="W153" s="127">
        <f t="shared" si="134"/>
        <v>0.39443683442703553</v>
      </c>
      <c r="X153" s="127">
        <f t="shared" si="134"/>
        <v>0.36346509335366195</v>
      </c>
      <c r="Y153" s="127">
        <f t="shared" si="134"/>
        <v>0.34358546379709937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0.56087330101591293</v>
      </c>
      <c r="C157" s="139">
        <f t="shared" ref="C157:W157" si="138">IF(C65=0,0,C65/C$64)</f>
        <v>0.53152001211724642</v>
      </c>
      <c r="D157" s="139">
        <f t="shared" si="138"/>
        <v>0.54437584473162404</v>
      </c>
      <c r="E157" s="139">
        <f t="shared" si="138"/>
        <v>0.54632448145720869</v>
      </c>
      <c r="F157" s="139">
        <f t="shared" si="138"/>
        <v>0.59441041447671017</v>
      </c>
      <c r="G157" s="139">
        <f t="shared" si="138"/>
        <v>0.60463168598515116</v>
      </c>
      <c r="H157" s="139">
        <f t="shared" si="138"/>
        <v>0.60909537929652524</v>
      </c>
      <c r="I157" s="139">
        <f t="shared" si="138"/>
        <v>0.6371670587985262</v>
      </c>
      <c r="J157" s="139">
        <f t="shared" si="138"/>
        <v>0.64485857297990501</v>
      </c>
      <c r="K157" s="139">
        <f t="shared" si="138"/>
        <v>0.6686715710185509</v>
      </c>
      <c r="L157" s="139">
        <f t="shared" si="138"/>
        <v>0.66781769407941394</v>
      </c>
      <c r="M157" s="139">
        <f t="shared" si="138"/>
        <v>0.64247578661304683</v>
      </c>
      <c r="N157" s="139">
        <f t="shared" si="138"/>
        <v>0.6520965811672107</v>
      </c>
      <c r="O157" s="139">
        <f t="shared" si="138"/>
        <v>0.66098040490135346</v>
      </c>
      <c r="P157" s="139">
        <f t="shared" si="138"/>
        <v>0.66167139392678864</v>
      </c>
      <c r="Q157" s="139">
        <f t="shared" si="138"/>
        <v>0.66861221385156344</v>
      </c>
      <c r="R157" s="139">
        <f t="shared" si="138"/>
        <v>0.65093682215469217</v>
      </c>
      <c r="S157" s="139">
        <f t="shared" si="138"/>
        <v>0.62711990351611802</v>
      </c>
      <c r="T157" s="139">
        <f t="shared" si="138"/>
        <v>0.61901260871392239</v>
      </c>
      <c r="U157" s="139">
        <f t="shared" si="138"/>
        <v>0.6324985012908102</v>
      </c>
      <c r="V157" s="139">
        <f t="shared" si="138"/>
        <v>0.83013080240424719</v>
      </c>
      <c r="W157" s="139">
        <f t="shared" si="138"/>
        <v>0.75981611233986002</v>
      </c>
      <c r="X157" s="139">
        <f t="shared" ref="X157:Y157" si="139">IF(X65=0,0,X65/X$64)</f>
        <v>0.65093440503359967</v>
      </c>
      <c r="Y157" s="139">
        <f t="shared" si="139"/>
        <v>0.62912797611639393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9.0474218892288589E-3</v>
      </c>
      <c r="C158" s="140">
        <f t="shared" ref="C158:W158" si="140">IF(C66=0,0,C66/C$64)</f>
        <v>7.9739064193064396E-3</v>
      </c>
      <c r="D158" s="140">
        <f t="shared" si="140"/>
        <v>7.8760328580497162E-3</v>
      </c>
      <c r="E158" s="140">
        <f t="shared" si="140"/>
        <v>7.3893928719101342E-3</v>
      </c>
      <c r="F158" s="140">
        <f t="shared" si="140"/>
        <v>7.2451230974781939E-3</v>
      </c>
      <c r="G158" s="140">
        <f t="shared" si="140"/>
        <v>7.0528941767148256E-3</v>
      </c>
      <c r="H158" s="140">
        <f t="shared" si="140"/>
        <v>6.7391629418309422E-3</v>
      </c>
      <c r="I158" s="140">
        <f t="shared" si="140"/>
        <v>6.520475521661186E-3</v>
      </c>
      <c r="J158" s="140">
        <f t="shared" si="140"/>
        <v>6.4924936094099802E-3</v>
      </c>
      <c r="K158" s="140">
        <f t="shared" si="140"/>
        <v>6.411221060440237E-3</v>
      </c>
      <c r="L158" s="140">
        <f t="shared" si="140"/>
        <v>6.1469136662036759E-3</v>
      </c>
      <c r="M158" s="140">
        <f t="shared" si="140"/>
        <v>5.8402311768292157E-3</v>
      </c>
      <c r="N158" s="140">
        <f t="shared" si="140"/>
        <v>6.3787325419240497E-3</v>
      </c>
      <c r="O158" s="140">
        <f t="shared" si="140"/>
        <v>6.8084089301605191E-3</v>
      </c>
      <c r="P158" s="140">
        <f t="shared" si="140"/>
        <v>6.9359677277499353E-3</v>
      </c>
      <c r="Q158" s="140">
        <f t="shared" si="140"/>
        <v>6.47717418650202E-3</v>
      </c>
      <c r="R158" s="140">
        <f t="shared" si="140"/>
        <v>5.9628133749714783E-3</v>
      </c>
      <c r="S158" s="140">
        <f t="shared" si="140"/>
        <v>5.2348281224855811E-3</v>
      </c>
      <c r="T158" s="140">
        <f t="shared" si="140"/>
        <v>4.8430878269463155E-3</v>
      </c>
      <c r="U158" s="140">
        <f t="shared" si="140"/>
        <v>5.0925886068560232E-3</v>
      </c>
      <c r="V158" s="140">
        <f t="shared" si="140"/>
        <v>6.8846902275224858E-3</v>
      </c>
      <c r="W158" s="140">
        <f t="shared" si="140"/>
        <v>5.9839835168088908E-3</v>
      </c>
      <c r="X158" s="140">
        <f t="shared" ref="X158:Y158" si="141">IF(X66=0,0,X66/X$64)</f>
        <v>5.1777894215485881E-3</v>
      </c>
      <c r="Y158" s="140">
        <f t="shared" si="141"/>
        <v>5.0841913229221977E-3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0.40178645438477639</v>
      </c>
      <c r="C159" s="140">
        <f t="shared" ref="C159:W159" si="142">IF(C67=0,0,C67/C$64)</f>
        <v>0.38546675803631875</v>
      </c>
      <c r="D159" s="140">
        <f t="shared" si="142"/>
        <v>0.39988538890224612</v>
      </c>
      <c r="E159" s="140">
        <f t="shared" si="142"/>
        <v>0.40287797466122799</v>
      </c>
      <c r="F159" s="140">
        <f t="shared" si="142"/>
        <v>0.44558485782530149</v>
      </c>
      <c r="G159" s="140">
        <f t="shared" si="142"/>
        <v>0.46600574859613653</v>
      </c>
      <c r="H159" s="140">
        <f t="shared" si="142"/>
        <v>0.47372579378571922</v>
      </c>
      <c r="I159" s="140">
        <f t="shared" si="142"/>
        <v>0.49996978944778414</v>
      </c>
      <c r="J159" s="140">
        <f t="shared" si="142"/>
        <v>0.51658539537762482</v>
      </c>
      <c r="K159" s="140">
        <f t="shared" si="142"/>
        <v>0.53845747761421969</v>
      </c>
      <c r="L159" s="140">
        <f t="shared" si="142"/>
        <v>0.53955187635187563</v>
      </c>
      <c r="M159" s="140">
        <f t="shared" si="142"/>
        <v>0.51894744349435606</v>
      </c>
      <c r="N159" s="140">
        <f t="shared" si="142"/>
        <v>0.53088153987954501</v>
      </c>
      <c r="O159" s="140">
        <f t="shared" si="142"/>
        <v>0.54200382670585223</v>
      </c>
      <c r="P159" s="140">
        <f t="shared" si="142"/>
        <v>0.54003816456796305</v>
      </c>
      <c r="Q159" s="140">
        <f t="shared" si="142"/>
        <v>0.53788356430506634</v>
      </c>
      <c r="R159" s="140">
        <f t="shared" si="142"/>
        <v>0.52304307425381713</v>
      </c>
      <c r="S159" s="140">
        <f t="shared" si="142"/>
        <v>0.50127608732786622</v>
      </c>
      <c r="T159" s="140">
        <f t="shared" si="142"/>
        <v>0.49514513344771049</v>
      </c>
      <c r="U159" s="140">
        <f t="shared" si="142"/>
        <v>0.50554539739648896</v>
      </c>
      <c r="V159" s="140">
        <f t="shared" si="142"/>
        <v>0.67694861417267194</v>
      </c>
      <c r="W159" s="140">
        <f t="shared" si="142"/>
        <v>0.61671464476073301</v>
      </c>
      <c r="X159" s="140">
        <f t="shared" ref="X159:Y159" si="143">IF(X67=0,0,X67/X$64)</f>
        <v>0.52856460203450073</v>
      </c>
      <c r="Y159" s="140">
        <f t="shared" si="143"/>
        <v>0.50932033044841274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0.15003942474190773</v>
      </c>
      <c r="C160" s="140">
        <f t="shared" ref="C160:W160" si="144">IF(C68=0,0,C68/C$64)</f>
        <v>0.13807934766162128</v>
      </c>
      <c r="D160" s="140">
        <f t="shared" si="144"/>
        <v>0.13661442297132814</v>
      </c>
      <c r="E160" s="140">
        <f t="shared" si="144"/>
        <v>0.13605711392407058</v>
      </c>
      <c r="F160" s="140">
        <f t="shared" si="144"/>
        <v>0.14158043355393049</v>
      </c>
      <c r="G160" s="140">
        <f t="shared" si="144"/>
        <v>0.13157304321229976</v>
      </c>
      <c r="H160" s="140">
        <f t="shared" si="144"/>
        <v>0.12863042256897514</v>
      </c>
      <c r="I160" s="140">
        <f t="shared" si="144"/>
        <v>0.13067679382908085</v>
      </c>
      <c r="J160" s="140">
        <f t="shared" si="144"/>
        <v>0.12178068399287027</v>
      </c>
      <c r="K160" s="140">
        <f t="shared" si="144"/>
        <v>0.12380287234389098</v>
      </c>
      <c r="L160" s="140">
        <f t="shared" si="144"/>
        <v>0.12211890406133466</v>
      </c>
      <c r="M160" s="140">
        <f t="shared" si="144"/>
        <v>0.1176881119418615</v>
      </c>
      <c r="N160" s="140">
        <f t="shared" si="144"/>
        <v>0.11483630874574166</v>
      </c>
      <c r="O160" s="140">
        <f t="shared" si="144"/>
        <v>0.11216816926534064</v>
      </c>
      <c r="P160" s="140">
        <f t="shared" si="144"/>
        <v>0.11469726163107567</v>
      </c>
      <c r="Q160" s="140">
        <f t="shared" si="144"/>
        <v>0.12425147535999524</v>
      </c>
      <c r="R160" s="140">
        <f t="shared" si="144"/>
        <v>0.12193093452590355</v>
      </c>
      <c r="S160" s="140">
        <f t="shared" si="144"/>
        <v>0.12060898806576621</v>
      </c>
      <c r="T160" s="140">
        <f t="shared" si="144"/>
        <v>0.11902438743926561</v>
      </c>
      <c r="U160" s="140">
        <f t="shared" si="144"/>
        <v>0.12186051528746522</v>
      </c>
      <c r="V160" s="140">
        <f t="shared" si="144"/>
        <v>0.14629749800405284</v>
      </c>
      <c r="W160" s="140">
        <f t="shared" si="144"/>
        <v>0.13711748406231822</v>
      </c>
      <c r="X160" s="140">
        <f t="shared" ref="X160:Y160" si="145">IF(X68=0,0,X68/X$64)</f>
        <v>0.11719201357755032</v>
      </c>
      <c r="Y160" s="140">
        <f t="shared" si="145"/>
        <v>0.11472345434505903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0</v>
      </c>
      <c r="C161" s="124">
        <f t="shared" ref="C161:W161" si="146">IF(C69=0,0,C69/C$64)</f>
        <v>0</v>
      </c>
      <c r="D161" s="124">
        <f t="shared" si="146"/>
        <v>0</v>
      </c>
      <c r="E161" s="124">
        <f t="shared" si="146"/>
        <v>0</v>
      </c>
      <c r="F161" s="124">
        <f t="shared" si="146"/>
        <v>0</v>
      </c>
      <c r="G161" s="124">
        <f t="shared" si="146"/>
        <v>0</v>
      </c>
      <c r="H161" s="124">
        <f t="shared" si="146"/>
        <v>0</v>
      </c>
      <c r="I161" s="124">
        <f t="shared" si="146"/>
        <v>0</v>
      </c>
      <c r="J161" s="124">
        <f t="shared" si="146"/>
        <v>0</v>
      </c>
      <c r="K161" s="124">
        <f t="shared" si="146"/>
        <v>0</v>
      </c>
      <c r="L161" s="124">
        <f t="shared" si="146"/>
        <v>0</v>
      </c>
      <c r="M161" s="124">
        <f t="shared" si="146"/>
        <v>0</v>
      </c>
      <c r="N161" s="124">
        <f t="shared" si="146"/>
        <v>0</v>
      </c>
      <c r="O161" s="124">
        <f t="shared" si="146"/>
        <v>0</v>
      </c>
      <c r="P161" s="124">
        <f t="shared" si="146"/>
        <v>0</v>
      </c>
      <c r="Q161" s="124">
        <f t="shared" si="146"/>
        <v>0</v>
      </c>
      <c r="R161" s="124">
        <f t="shared" si="146"/>
        <v>0</v>
      </c>
      <c r="S161" s="124">
        <f t="shared" si="146"/>
        <v>0</v>
      </c>
      <c r="T161" s="124">
        <f t="shared" si="146"/>
        <v>0</v>
      </c>
      <c r="U161" s="124">
        <f t="shared" si="146"/>
        <v>0</v>
      </c>
      <c r="V161" s="124">
        <f t="shared" si="146"/>
        <v>0</v>
      </c>
      <c r="W161" s="124">
        <f t="shared" si="146"/>
        <v>0</v>
      </c>
      <c r="X161" s="124">
        <f t="shared" ref="X161:Y161" si="147">IF(X69=0,0,X69/X$64)</f>
        <v>0</v>
      </c>
      <c r="Y161" s="124">
        <f t="shared" si="147"/>
        <v>0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0</v>
      </c>
      <c r="C163" s="140">
        <f t="shared" ref="C163:W163" si="150">IF(C71=0,0,C71/C$64)</f>
        <v>0</v>
      </c>
      <c r="D163" s="140">
        <f t="shared" si="150"/>
        <v>0</v>
      </c>
      <c r="E163" s="140">
        <f t="shared" si="150"/>
        <v>0</v>
      </c>
      <c r="F163" s="140">
        <f t="shared" si="150"/>
        <v>0</v>
      </c>
      <c r="G163" s="140">
        <f t="shared" si="150"/>
        <v>0</v>
      </c>
      <c r="H163" s="140">
        <f t="shared" si="150"/>
        <v>0</v>
      </c>
      <c r="I163" s="140">
        <f t="shared" si="150"/>
        <v>0</v>
      </c>
      <c r="J163" s="140">
        <f t="shared" si="150"/>
        <v>0</v>
      </c>
      <c r="K163" s="140">
        <f t="shared" si="150"/>
        <v>0</v>
      </c>
      <c r="L163" s="140">
        <f t="shared" si="150"/>
        <v>0</v>
      </c>
      <c r="M163" s="140">
        <f t="shared" si="150"/>
        <v>0</v>
      </c>
      <c r="N163" s="140">
        <f t="shared" si="150"/>
        <v>0</v>
      </c>
      <c r="O163" s="140">
        <f t="shared" si="150"/>
        <v>0</v>
      </c>
      <c r="P163" s="140">
        <f t="shared" si="150"/>
        <v>0</v>
      </c>
      <c r="Q163" s="140">
        <f t="shared" si="150"/>
        <v>0</v>
      </c>
      <c r="R163" s="140">
        <f t="shared" si="150"/>
        <v>0</v>
      </c>
      <c r="S163" s="140">
        <f t="shared" si="150"/>
        <v>0</v>
      </c>
      <c r="T163" s="140">
        <f t="shared" si="150"/>
        <v>0</v>
      </c>
      <c r="U163" s="140">
        <f t="shared" si="150"/>
        <v>0</v>
      </c>
      <c r="V163" s="140">
        <f t="shared" si="150"/>
        <v>0</v>
      </c>
      <c r="W163" s="140">
        <f t="shared" si="150"/>
        <v>0</v>
      </c>
      <c r="X163" s="140">
        <f t="shared" ref="X163:Y163" si="151">IF(X71=0,0,X71/X$64)</f>
        <v>0</v>
      </c>
      <c r="Y163" s="140">
        <f t="shared" si="151"/>
        <v>0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0.43912669898408707</v>
      </c>
      <c r="C165" s="124">
        <f t="shared" ref="C165:W165" si="154">IF(C73=0,0,C73/C$64)</f>
        <v>0.46847998788275352</v>
      </c>
      <c r="D165" s="124">
        <f t="shared" si="154"/>
        <v>0.45562415526837602</v>
      </c>
      <c r="E165" s="124">
        <f t="shared" si="154"/>
        <v>0.45367551854279126</v>
      </c>
      <c r="F165" s="124">
        <f t="shared" si="154"/>
        <v>0.40558958552328983</v>
      </c>
      <c r="G165" s="124">
        <f t="shared" si="154"/>
        <v>0.39536831401484879</v>
      </c>
      <c r="H165" s="124">
        <f t="shared" si="154"/>
        <v>0.3909046207034747</v>
      </c>
      <c r="I165" s="124">
        <f t="shared" si="154"/>
        <v>0.36283294120147369</v>
      </c>
      <c r="J165" s="124">
        <f t="shared" si="154"/>
        <v>0.35514142702009505</v>
      </c>
      <c r="K165" s="124">
        <f t="shared" si="154"/>
        <v>0.33132842898144904</v>
      </c>
      <c r="L165" s="124">
        <f t="shared" si="154"/>
        <v>0.33218230592058601</v>
      </c>
      <c r="M165" s="124">
        <f t="shared" si="154"/>
        <v>0.35752421338695323</v>
      </c>
      <c r="N165" s="124">
        <f t="shared" si="154"/>
        <v>0.34790341883278936</v>
      </c>
      <c r="O165" s="124">
        <f t="shared" si="154"/>
        <v>0.33901959509864643</v>
      </c>
      <c r="P165" s="124">
        <f t="shared" si="154"/>
        <v>0.3383286060732113</v>
      </c>
      <c r="Q165" s="124">
        <f t="shared" si="154"/>
        <v>0.3313877861484365</v>
      </c>
      <c r="R165" s="124">
        <f t="shared" si="154"/>
        <v>0.34906317784530783</v>
      </c>
      <c r="S165" s="124">
        <f t="shared" si="154"/>
        <v>0.37288009648388198</v>
      </c>
      <c r="T165" s="124">
        <f t="shared" si="154"/>
        <v>0.3809873912860775</v>
      </c>
      <c r="U165" s="124">
        <f t="shared" si="154"/>
        <v>0.36750149870918986</v>
      </c>
      <c r="V165" s="124">
        <f t="shared" si="154"/>
        <v>0.16986919759575278</v>
      </c>
      <c r="W165" s="124">
        <f t="shared" si="154"/>
        <v>0.24018388766013993</v>
      </c>
      <c r="X165" s="124">
        <f t="shared" ref="X165:Y165" si="155">IF(X73=0,0,X73/X$64)</f>
        <v>0.34906559496640033</v>
      </c>
      <c r="Y165" s="124">
        <f t="shared" si="155"/>
        <v>0.37087202388360618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0.38321837148446586</v>
      </c>
      <c r="C167" s="140">
        <f t="shared" ref="C167:W167" si="158">IF(C75=0,0,C75/C$64)</f>
        <v>0.40883243467572394</v>
      </c>
      <c r="D167" s="140">
        <f t="shared" si="158"/>
        <v>0.3797483155074432</v>
      </c>
      <c r="E167" s="140">
        <f t="shared" si="158"/>
        <v>0.37811917133232181</v>
      </c>
      <c r="F167" s="140">
        <f t="shared" si="158"/>
        <v>0.34899176322408332</v>
      </c>
      <c r="G167" s="140">
        <f t="shared" si="158"/>
        <v>0.34261566819413586</v>
      </c>
      <c r="H167" s="140">
        <f t="shared" si="158"/>
        <v>0.33896816420418097</v>
      </c>
      <c r="I167" s="140">
        <f t="shared" si="158"/>
        <v>0.31479004656319876</v>
      </c>
      <c r="J167" s="140">
        <f t="shared" si="158"/>
        <v>0.30755328194961534</v>
      </c>
      <c r="K167" s="140">
        <f t="shared" si="158"/>
        <v>0.28463078259271657</v>
      </c>
      <c r="L167" s="140">
        <f t="shared" si="158"/>
        <v>0.28392182884005929</v>
      </c>
      <c r="M167" s="140">
        <f t="shared" si="158"/>
        <v>0.30641747528533109</v>
      </c>
      <c r="N167" s="140">
        <f t="shared" si="158"/>
        <v>0.29515506062502345</v>
      </c>
      <c r="O167" s="140">
        <f t="shared" si="158"/>
        <v>0.28524124477005652</v>
      </c>
      <c r="P167" s="140">
        <f t="shared" si="158"/>
        <v>0.28421729338828128</v>
      </c>
      <c r="Q167" s="140">
        <f t="shared" si="158"/>
        <v>0.27873931081479286</v>
      </c>
      <c r="R167" s="140">
        <f t="shared" si="158"/>
        <v>0.29822170869180198</v>
      </c>
      <c r="S167" s="140">
        <f t="shared" si="158"/>
        <v>0.32151311891518497</v>
      </c>
      <c r="T167" s="140">
        <f t="shared" si="158"/>
        <v>0.32764826436818795</v>
      </c>
      <c r="U167" s="140">
        <f t="shared" si="158"/>
        <v>0.31409261254938581</v>
      </c>
      <c r="V167" s="140">
        <f t="shared" si="158"/>
        <v>0.12933575860554672</v>
      </c>
      <c r="W167" s="140">
        <f t="shared" si="158"/>
        <v>0.19080469500104055</v>
      </c>
      <c r="X167" s="140">
        <f t="shared" ref="X167:Y167" si="159">IF(X75=0,0,X75/X$64)</f>
        <v>0.29920074480099046</v>
      </c>
      <c r="Y167" s="140">
        <f t="shared" si="159"/>
        <v>0.31814158701204331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5.5908327499621206E-2</v>
      </c>
      <c r="C168" s="140">
        <f t="shared" ref="C168:W168" si="160">IF(C76=0,0,C76/C$64)</f>
        <v>5.9647553207029594E-2</v>
      </c>
      <c r="D168" s="140">
        <f t="shared" si="160"/>
        <v>7.5875839760932817E-2</v>
      </c>
      <c r="E168" s="140">
        <f t="shared" si="160"/>
        <v>7.5556347210469429E-2</v>
      </c>
      <c r="F168" s="140">
        <f t="shared" si="160"/>
        <v>5.6597822299206492E-2</v>
      </c>
      <c r="G168" s="140">
        <f t="shared" si="160"/>
        <v>5.2752645820712957E-2</v>
      </c>
      <c r="H168" s="140">
        <f t="shared" si="160"/>
        <v>5.1936456499293744E-2</v>
      </c>
      <c r="I168" s="140">
        <f t="shared" si="160"/>
        <v>4.8042894638274929E-2</v>
      </c>
      <c r="J168" s="140">
        <f t="shared" si="160"/>
        <v>4.7588145070479697E-2</v>
      </c>
      <c r="K168" s="140">
        <f t="shared" si="160"/>
        <v>4.6697646388732514E-2</v>
      </c>
      <c r="L168" s="140">
        <f t="shared" si="160"/>
        <v>4.8260477080526741E-2</v>
      </c>
      <c r="M168" s="140">
        <f t="shared" si="160"/>
        <v>5.1106738101622161E-2</v>
      </c>
      <c r="N168" s="140">
        <f t="shared" si="160"/>
        <v>5.2748358207765911E-2</v>
      </c>
      <c r="O168" s="140">
        <f t="shared" si="160"/>
        <v>5.3778350328589956E-2</v>
      </c>
      <c r="P168" s="140">
        <f t="shared" si="160"/>
        <v>5.4111312684930024E-2</v>
      </c>
      <c r="Q168" s="140">
        <f t="shared" si="160"/>
        <v>5.2648475333643627E-2</v>
      </c>
      <c r="R168" s="140">
        <f t="shared" si="160"/>
        <v>5.0841469153505833E-2</v>
      </c>
      <c r="S168" s="140">
        <f t="shared" si="160"/>
        <v>5.1366977568696993E-2</v>
      </c>
      <c r="T168" s="140">
        <f t="shared" si="160"/>
        <v>5.3339126917889501E-2</v>
      </c>
      <c r="U168" s="140">
        <f t="shared" si="160"/>
        <v>5.3408886159804006E-2</v>
      </c>
      <c r="V168" s="140">
        <f t="shared" si="160"/>
        <v>4.0533438990206047E-2</v>
      </c>
      <c r="W168" s="140">
        <f t="shared" si="160"/>
        <v>4.9379192659099368E-2</v>
      </c>
      <c r="X168" s="140">
        <f t="shared" ref="X168:Y168" si="161">IF(X76=0,0,X76/X$64)</f>
        <v>4.9864850165409903E-2</v>
      </c>
      <c r="Y168" s="140">
        <f t="shared" si="161"/>
        <v>5.2730436871562876E-2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0.96166234730446831</v>
      </c>
      <c r="C170" s="139">
        <f t="shared" ref="C170:W170" si="165">IF(C78=0,0,C78/C$77)</f>
        <v>0.96686796495951577</v>
      </c>
      <c r="D170" s="139">
        <f t="shared" si="165"/>
        <v>0.96154136532825785</v>
      </c>
      <c r="E170" s="139">
        <f t="shared" si="165"/>
        <v>0.96367927685597821</v>
      </c>
      <c r="F170" s="139">
        <f t="shared" si="165"/>
        <v>0.95410925927922108</v>
      </c>
      <c r="G170" s="139">
        <f t="shared" si="165"/>
        <v>0.94918464601082719</v>
      </c>
      <c r="H170" s="139">
        <f t="shared" si="165"/>
        <v>0.93532728459876524</v>
      </c>
      <c r="I170" s="139">
        <f t="shared" si="165"/>
        <v>0.94479810977197709</v>
      </c>
      <c r="J170" s="139">
        <f t="shared" si="165"/>
        <v>0.94458540365992183</v>
      </c>
      <c r="K170" s="139">
        <f t="shared" si="165"/>
        <v>0.9469004268911545</v>
      </c>
      <c r="L170" s="139">
        <f t="shared" si="165"/>
        <v>0.95175567216545043</v>
      </c>
      <c r="M170" s="139">
        <f t="shared" si="165"/>
        <v>0.96017783623309994</v>
      </c>
      <c r="N170" s="139">
        <f t="shared" si="165"/>
        <v>0.96594237167718722</v>
      </c>
      <c r="O170" s="139">
        <f t="shared" si="165"/>
        <v>0.96225269382646261</v>
      </c>
      <c r="P170" s="139">
        <f t="shared" si="165"/>
        <v>0.96558786557907106</v>
      </c>
      <c r="Q170" s="139">
        <f t="shared" si="165"/>
        <v>0.96824850632958881</v>
      </c>
      <c r="R170" s="139">
        <f t="shared" si="165"/>
        <v>0.97620623283570085</v>
      </c>
      <c r="S170" s="139">
        <f t="shared" si="165"/>
        <v>0.9722541698822359</v>
      </c>
      <c r="T170" s="139">
        <f t="shared" si="165"/>
        <v>0.97536898495197499</v>
      </c>
      <c r="U170" s="139">
        <f t="shared" si="165"/>
        <v>0.97757341354254279</v>
      </c>
      <c r="V170" s="139">
        <f t="shared" si="165"/>
        <v>0.98234744497312676</v>
      </c>
      <c r="W170" s="139">
        <f t="shared" si="165"/>
        <v>0.9803661489706893</v>
      </c>
      <c r="X170" s="139">
        <f t="shared" ref="X170:Y170" si="166">IF(X78=0,0,X78/X$77)</f>
        <v>0.97399443459763502</v>
      </c>
      <c r="Y170" s="139">
        <f t="shared" si="166"/>
        <v>0.97055267425939884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0.75901699805797673</v>
      </c>
      <c r="C171" s="140">
        <f t="shared" ref="C171:W171" si="167">IF(C79=0,0,C79/C$77)</f>
        <v>0.76259350195513531</v>
      </c>
      <c r="D171" s="140">
        <f t="shared" si="167"/>
        <v>0.76302673986062619</v>
      </c>
      <c r="E171" s="140">
        <f t="shared" si="167"/>
        <v>0.75203250951812917</v>
      </c>
      <c r="F171" s="140">
        <f t="shared" si="167"/>
        <v>0.76405765385363678</v>
      </c>
      <c r="G171" s="140">
        <f t="shared" si="167"/>
        <v>0.72607384543709153</v>
      </c>
      <c r="H171" s="140">
        <f t="shared" si="167"/>
        <v>0.73431300711216763</v>
      </c>
      <c r="I171" s="140">
        <f t="shared" si="167"/>
        <v>0.73226027509581482</v>
      </c>
      <c r="J171" s="140">
        <f t="shared" si="167"/>
        <v>0.72240062058156662</v>
      </c>
      <c r="K171" s="140">
        <f t="shared" si="167"/>
        <v>0.75570650243808213</v>
      </c>
      <c r="L171" s="140">
        <f t="shared" si="167"/>
        <v>0.739446672513831</v>
      </c>
      <c r="M171" s="140">
        <f t="shared" si="167"/>
        <v>0.76796785195787287</v>
      </c>
      <c r="N171" s="140">
        <f t="shared" si="167"/>
        <v>0.78103020389958044</v>
      </c>
      <c r="O171" s="140">
        <f t="shared" si="167"/>
        <v>0.81247306159313015</v>
      </c>
      <c r="P171" s="140">
        <f t="shared" si="167"/>
        <v>0.82372293980892464</v>
      </c>
      <c r="Q171" s="140">
        <f t="shared" si="167"/>
        <v>0.82591144548845274</v>
      </c>
      <c r="R171" s="140">
        <f t="shared" si="167"/>
        <v>0.80078888127202985</v>
      </c>
      <c r="S171" s="140">
        <f t="shared" si="167"/>
        <v>0.78100635888998249</v>
      </c>
      <c r="T171" s="140">
        <f t="shared" si="167"/>
        <v>0.77890128863332919</v>
      </c>
      <c r="U171" s="140">
        <f t="shared" si="167"/>
        <v>0.76956371744258523</v>
      </c>
      <c r="V171" s="140">
        <f t="shared" si="167"/>
        <v>0.81796792614196945</v>
      </c>
      <c r="W171" s="140">
        <f t="shared" si="167"/>
        <v>0.81388036167694378</v>
      </c>
      <c r="X171" s="140">
        <f t="shared" ref="X171:Y171" si="168">IF(X79=0,0,X79/X$77)</f>
        <v>0.75141914788543407</v>
      </c>
      <c r="Y171" s="140">
        <f t="shared" si="168"/>
        <v>0.74977878027092326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0.20264534924649158</v>
      </c>
      <c r="C172" s="140">
        <f t="shared" ref="C172:W172" si="169">IF(C80=0,0,C80/C$77)</f>
        <v>0.20427446300438043</v>
      </c>
      <c r="D172" s="140">
        <f t="shared" si="169"/>
        <v>0.19851462546763166</v>
      </c>
      <c r="E172" s="140">
        <f t="shared" si="169"/>
        <v>0.21164676733784912</v>
      </c>
      <c r="F172" s="140">
        <f t="shared" si="169"/>
        <v>0.19005160542558444</v>
      </c>
      <c r="G172" s="140">
        <f t="shared" si="169"/>
        <v>0.22311080057373561</v>
      </c>
      <c r="H172" s="140">
        <f t="shared" si="169"/>
        <v>0.20101427748659753</v>
      </c>
      <c r="I172" s="140">
        <f t="shared" si="169"/>
        <v>0.21253783467616216</v>
      </c>
      <c r="J172" s="140">
        <f t="shared" si="169"/>
        <v>0.22218478307835521</v>
      </c>
      <c r="K172" s="140">
        <f t="shared" si="169"/>
        <v>0.19119392445307234</v>
      </c>
      <c r="L172" s="140">
        <f t="shared" si="169"/>
        <v>0.21230899965161942</v>
      </c>
      <c r="M172" s="140">
        <f t="shared" si="169"/>
        <v>0.19220998427522704</v>
      </c>
      <c r="N172" s="140">
        <f t="shared" si="169"/>
        <v>0.18491216777760672</v>
      </c>
      <c r="O172" s="140">
        <f t="shared" si="169"/>
        <v>0.14977963223333238</v>
      </c>
      <c r="P172" s="140">
        <f t="shared" si="169"/>
        <v>0.14186492577014659</v>
      </c>
      <c r="Q172" s="140">
        <f t="shared" si="169"/>
        <v>0.14233706084113601</v>
      </c>
      <c r="R172" s="140">
        <f t="shared" si="169"/>
        <v>0.17541735156367108</v>
      </c>
      <c r="S172" s="140">
        <f t="shared" si="169"/>
        <v>0.19124781099225341</v>
      </c>
      <c r="T172" s="140">
        <f t="shared" si="169"/>
        <v>0.19646769631864586</v>
      </c>
      <c r="U172" s="140">
        <f t="shared" si="169"/>
        <v>0.20800969609995754</v>
      </c>
      <c r="V172" s="140">
        <f t="shared" si="169"/>
        <v>0.16437951883115731</v>
      </c>
      <c r="W172" s="140">
        <f t="shared" si="169"/>
        <v>0.16648578729374561</v>
      </c>
      <c r="X172" s="140">
        <f t="shared" ref="X172:Y172" si="170">IF(X80=0,0,X80/X$77)</f>
        <v>0.22257528671220098</v>
      </c>
      <c r="Y172" s="140">
        <f t="shared" si="170"/>
        <v>0.22077389398847563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0</v>
      </c>
      <c r="C173" s="124">
        <f t="shared" ref="C173:W173" si="171">IF(C81=0,0,C81/C$77)</f>
        <v>0</v>
      </c>
      <c r="D173" s="124">
        <f t="shared" si="171"/>
        <v>0</v>
      </c>
      <c r="E173" s="124">
        <f t="shared" si="171"/>
        <v>0</v>
      </c>
      <c r="F173" s="124">
        <f t="shared" si="171"/>
        <v>0</v>
      </c>
      <c r="G173" s="124">
        <f t="shared" si="171"/>
        <v>0</v>
      </c>
      <c r="H173" s="124">
        <f t="shared" si="171"/>
        <v>0</v>
      </c>
      <c r="I173" s="124">
        <f t="shared" si="171"/>
        <v>0</v>
      </c>
      <c r="J173" s="124">
        <f t="shared" si="171"/>
        <v>0</v>
      </c>
      <c r="K173" s="124">
        <f t="shared" si="171"/>
        <v>0</v>
      </c>
      <c r="L173" s="124">
        <f t="shared" si="171"/>
        <v>0</v>
      </c>
      <c r="M173" s="124">
        <f t="shared" si="171"/>
        <v>0</v>
      </c>
      <c r="N173" s="124">
        <f t="shared" si="171"/>
        <v>0</v>
      </c>
      <c r="O173" s="124">
        <f t="shared" si="171"/>
        <v>0</v>
      </c>
      <c r="P173" s="124">
        <f t="shared" si="171"/>
        <v>0</v>
      </c>
      <c r="Q173" s="124">
        <f t="shared" si="171"/>
        <v>0</v>
      </c>
      <c r="R173" s="124">
        <f t="shared" si="171"/>
        <v>0</v>
      </c>
      <c r="S173" s="124">
        <f t="shared" si="171"/>
        <v>0</v>
      </c>
      <c r="T173" s="124">
        <f t="shared" si="171"/>
        <v>0</v>
      </c>
      <c r="U173" s="124">
        <f t="shared" si="171"/>
        <v>0</v>
      </c>
      <c r="V173" s="124">
        <f t="shared" si="171"/>
        <v>0</v>
      </c>
      <c r="W173" s="124">
        <f t="shared" si="171"/>
        <v>0</v>
      </c>
      <c r="X173" s="124">
        <f t="shared" ref="X173:Y173" si="172">IF(X81=0,0,X81/X$77)</f>
        <v>0</v>
      </c>
      <c r="Y173" s="124">
        <f t="shared" si="172"/>
        <v>0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3.833765269553159E-2</v>
      </c>
      <c r="C174" s="124">
        <f t="shared" ref="C174:W174" si="173">IF(C82=0,0,C82/C$77)</f>
        <v>3.3132035040484301E-2</v>
      </c>
      <c r="D174" s="124">
        <f t="shared" si="173"/>
        <v>3.8458634671742105E-2</v>
      </c>
      <c r="E174" s="124">
        <f t="shared" si="173"/>
        <v>3.6320723144021676E-2</v>
      </c>
      <c r="F174" s="124">
        <f t="shared" si="173"/>
        <v>4.5890740720778887E-2</v>
      </c>
      <c r="G174" s="124">
        <f t="shared" si="173"/>
        <v>5.0815353989172911E-2</v>
      </c>
      <c r="H174" s="124">
        <f t="shared" si="173"/>
        <v>6.4672715401234718E-2</v>
      </c>
      <c r="I174" s="124">
        <f t="shared" si="173"/>
        <v>5.5201890228022861E-2</v>
      </c>
      <c r="J174" s="124">
        <f t="shared" si="173"/>
        <v>5.5414596340078233E-2</v>
      </c>
      <c r="K174" s="124">
        <f t="shared" si="173"/>
        <v>5.3099573108845492E-2</v>
      </c>
      <c r="L174" s="124">
        <f t="shared" si="173"/>
        <v>4.8244327834549516E-2</v>
      </c>
      <c r="M174" s="124">
        <f t="shared" si="173"/>
        <v>3.9822163766900044E-2</v>
      </c>
      <c r="N174" s="124">
        <f t="shared" si="173"/>
        <v>3.4057628322812825E-2</v>
      </c>
      <c r="O174" s="124">
        <f t="shared" si="173"/>
        <v>3.7747306173537463E-2</v>
      </c>
      <c r="P174" s="124">
        <f t="shared" si="173"/>
        <v>3.4412134420928955E-2</v>
      </c>
      <c r="Q174" s="124">
        <f t="shared" si="173"/>
        <v>3.1751493670411211E-2</v>
      </c>
      <c r="R174" s="124">
        <f t="shared" si="173"/>
        <v>2.3793767164299113E-2</v>
      </c>
      <c r="S174" s="124">
        <f t="shared" si="173"/>
        <v>2.3146498501230985E-2</v>
      </c>
      <c r="T174" s="124">
        <f t="shared" si="173"/>
        <v>1.991968970503737E-2</v>
      </c>
      <c r="U174" s="124">
        <f t="shared" si="173"/>
        <v>1.6190854435438346E-2</v>
      </c>
      <c r="V174" s="124">
        <f t="shared" si="173"/>
        <v>1.4870475442178923E-2</v>
      </c>
      <c r="W174" s="124">
        <f t="shared" si="173"/>
        <v>1.3532707613416933E-2</v>
      </c>
      <c r="X174" s="124">
        <f t="shared" ref="X174:Y174" si="174">IF(X82=0,0,X82/X$77)</f>
        <v>1.5338879624371313E-2</v>
      </c>
      <c r="Y174" s="124">
        <f t="shared" si="174"/>
        <v>1.5914237378564629E-2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3.6532539627944879E-2</v>
      </c>
      <c r="C176" s="140">
        <f t="shared" ref="C176:W176" si="177">IF(C84=0,0,C84/C$77)</f>
        <v>3.1387429146566267E-2</v>
      </c>
      <c r="D176" s="140">
        <f t="shared" si="177"/>
        <v>3.6517092658122176E-2</v>
      </c>
      <c r="E176" s="140">
        <f t="shared" si="177"/>
        <v>3.443687107790231E-2</v>
      </c>
      <c r="F176" s="140">
        <f t="shared" si="177"/>
        <v>4.3722324384061442E-2</v>
      </c>
      <c r="G176" s="140">
        <f t="shared" si="177"/>
        <v>4.8830888095843579E-2</v>
      </c>
      <c r="H176" s="140">
        <f t="shared" si="177"/>
        <v>6.2666651140870097E-2</v>
      </c>
      <c r="I176" s="140">
        <f t="shared" si="177"/>
        <v>5.3422422754977508E-2</v>
      </c>
      <c r="J176" s="140">
        <f t="shared" si="177"/>
        <v>5.3287580957255637E-2</v>
      </c>
      <c r="K176" s="140">
        <f t="shared" si="177"/>
        <v>5.0285575479500431E-2</v>
      </c>
      <c r="L176" s="140">
        <f t="shared" si="177"/>
        <v>4.4762411324748723E-2</v>
      </c>
      <c r="M176" s="140">
        <f t="shared" si="177"/>
        <v>3.8109455258109555E-2</v>
      </c>
      <c r="N176" s="140">
        <f t="shared" si="177"/>
        <v>3.3070310256028301E-2</v>
      </c>
      <c r="O176" s="140">
        <f t="shared" si="177"/>
        <v>3.6454921719162099E-2</v>
      </c>
      <c r="P176" s="140">
        <f t="shared" si="177"/>
        <v>3.3370147871887572E-2</v>
      </c>
      <c r="Q176" s="140">
        <f t="shared" si="177"/>
        <v>3.0603589698733644E-2</v>
      </c>
      <c r="R176" s="140">
        <f t="shared" si="177"/>
        <v>2.3159531418304867E-2</v>
      </c>
      <c r="S176" s="140">
        <f t="shared" si="177"/>
        <v>2.2514510224707983E-2</v>
      </c>
      <c r="T176" s="140">
        <f t="shared" si="177"/>
        <v>1.9257900323432501E-2</v>
      </c>
      <c r="U176" s="140">
        <f t="shared" si="177"/>
        <v>1.4157021142136897E-2</v>
      </c>
      <c r="V176" s="140">
        <f t="shared" si="177"/>
        <v>1.1703650597767552E-2</v>
      </c>
      <c r="W176" s="140">
        <f t="shared" si="177"/>
        <v>1.2770045570223347E-2</v>
      </c>
      <c r="X176" s="140">
        <f t="shared" ref="X176:Y176" si="178">IF(X84=0,0,X84/X$77)</f>
        <v>1.3643621690760782E-2</v>
      </c>
      <c r="Y176" s="140">
        <f t="shared" si="178"/>
        <v>1.4032334618403553E-2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1.8051130675867067E-3</v>
      </c>
      <c r="C177" s="140">
        <f t="shared" ref="C177:W177" si="179">IF(C85=0,0,C85/C$77)</f>
        <v>1.7446058939180303E-3</v>
      </c>
      <c r="D177" s="140">
        <f t="shared" si="179"/>
        <v>1.9415420136199317E-3</v>
      </c>
      <c r="E177" s="140">
        <f t="shared" si="179"/>
        <v>1.8838520661193651E-3</v>
      </c>
      <c r="F177" s="140">
        <f t="shared" si="179"/>
        <v>2.1684163367174402E-3</v>
      </c>
      <c r="G177" s="140">
        <f t="shared" si="179"/>
        <v>1.9844658933293332E-3</v>
      </c>
      <c r="H177" s="140">
        <f t="shared" si="179"/>
        <v>2.0060642603646158E-3</v>
      </c>
      <c r="I177" s="140">
        <f t="shared" si="179"/>
        <v>1.7794674730453484E-3</v>
      </c>
      <c r="J177" s="140">
        <f t="shared" si="179"/>
        <v>2.127015382822599E-3</v>
      </c>
      <c r="K177" s="140">
        <f t="shared" si="179"/>
        <v>2.8139976293450612E-3</v>
      </c>
      <c r="L177" s="140">
        <f t="shared" si="179"/>
        <v>3.4819165098007952E-3</v>
      </c>
      <c r="M177" s="140">
        <f t="shared" si="179"/>
        <v>1.7127085087904918E-3</v>
      </c>
      <c r="N177" s="140">
        <f t="shared" si="179"/>
        <v>9.873180667845159E-4</v>
      </c>
      <c r="O177" s="140">
        <f t="shared" si="179"/>
        <v>1.2923844543753606E-3</v>
      </c>
      <c r="P177" s="140">
        <f t="shared" si="179"/>
        <v>1.04198654904138E-3</v>
      </c>
      <c r="Q177" s="140">
        <f t="shared" si="179"/>
        <v>1.1479039716775659E-3</v>
      </c>
      <c r="R177" s="140">
        <f t="shared" si="179"/>
        <v>6.342357459942447E-4</v>
      </c>
      <c r="S177" s="140">
        <f t="shared" si="179"/>
        <v>6.319882765230036E-4</v>
      </c>
      <c r="T177" s="140">
        <f t="shared" si="179"/>
        <v>6.6178938160487083E-4</v>
      </c>
      <c r="U177" s="140">
        <f t="shared" si="179"/>
        <v>2.0338332933014496E-3</v>
      </c>
      <c r="V177" s="140">
        <f t="shared" si="179"/>
        <v>3.1668248444113715E-3</v>
      </c>
      <c r="W177" s="140">
        <f t="shared" si="179"/>
        <v>7.6266204319358499E-4</v>
      </c>
      <c r="X177" s="140">
        <f t="shared" ref="X177:Y177" si="180">IF(X85=0,0,X85/X$77)</f>
        <v>1.6952579336105295E-3</v>
      </c>
      <c r="Y177" s="140">
        <f t="shared" si="180"/>
        <v>1.8819027601610773E-3</v>
      </c>
      <c r="DA177" s="175"/>
    </row>
    <row r="178" spans="1:105" ht="11.45" customHeight="1" x14ac:dyDescent="0.25">
      <c r="A178" s="109" t="s">
        <v>141</v>
      </c>
      <c r="B178" s="124">
        <f t="shared" si="162"/>
        <v>0</v>
      </c>
      <c r="C178" s="124">
        <f t="shared" ref="C178:W178" si="181">IF(C86=0,0,C86/C$77)</f>
        <v>0</v>
      </c>
      <c r="D178" s="124">
        <f t="shared" si="181"/>
        <v>0</v>
      </c>
      <c r="E178" s="124">
        <f t="shared" si="181"/>
        <v>0</v>
      </c>
      <c r="F178" s="124">
        <f t="shared" si="181"/>
        <v>0</v>
      </c>
      <c r="G178" s="124">
        <f t="shared" si="181"/>
        <v>0</v>
      </c>
      <c r="H178" s="124">
        <f t="shared" si="181"/>
        <v>0</v>
      </c>
      <c r="I178" s="124">
        <f t="shared" si="181"/>
        <v>0</v>
      </c>
      <c r="J178" s="124">
        <f t="shared" si="181"/>
        <v>0</v>
      </c>
      <c r="K178" s="124">
        <f t="shared" si="181"/>
        <v>0</v>
      </c>
      <c r="L178" s="124">
        <f t="shared" si="181"/>
        <v>0</v>
      </c>
      <c r="M178" s="124">
        <f t="shared" si="181"/>
        <v>0</v>
      </c>
      <c r="N178" s="124">
        <f t="shared" si="181"/>
        <v>0</v>
      </c>
      <c r="O178" s="124">
        <f t="shared" si="181"/>
        <v>0</v>
      </c>
      <c r="P178" s="124">
        <f t="shared" si="181"/>
        <v>0</v>
      </c>
      <c r="Q178" s="124">
        <f t="shared" si="181"/>
        <v>0</v>
      </c>
      <c r="R178" s="124">
        <f t="shared" si="181"/>
        <v>0</v>
      </c>
      <c r="S178" s="124">
        <f t="shared" si="181"/>
        <v>4.599331616533117E-3</v>
      </c>
      <c r="T178" s="124">
        <f t="shared" si="181"/>
        <v>4.7113253429877065E-3</v>
      </c>
      <c r="U178" s="124">
        <f t="shared" si="181"/>
        <v>6.2357320220188832E-3</v>
      </c>
      <c r="V178" s="124">
        <f t="shared" si="181"/>
        <v>2.7820795846942234E-3</v>
      </c>
      <c r="W178" s="124">
        <f t="shared" si="181"/>
        <v>6.101143415893729E-3</v>
      </c>
      <c r="X178" s="124">
        <f t="shared" ref="X178:Y178" si="182">IF(X86=0,0,X86/X$77)</f>
        <v>1.0666685777993717E-2</v>
      </c>
      <c r="Y178" s="124">
        <f t="shared" si="182"/>
        <v>1.3533088362036646E-2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</v>
      </c>
      <c r="C179" s="140">
        <f t="shared" ref="C179:W179" si="183">IF(C87=0,0,C87/C$77)</f>
        <v>0</v>
      </c>
      <c r="D179" s="140">
        <f t="shared" si="183"/>
        <v>0</v>
      </c>
      <c r="E179" s="140">
        <f t="shared" si="183"/>
        <v>0</v>
      </c>
      <c r="F179" s="140">
        <f t="shared" si="183"/>
        <v>0</v>
      </c>
      <c r="G179" s="140">
        <f t="shared" si="183"/>
        <v>0</v>
      </c>
      <c r="H179" s="140">
        <f t="shared" si="183"/>
        <v>0</v>
      </c>
      <c r="I179" s="140">
        <f t="shared" si="183"/>
        <v>0</v>
      </c>
      <c r="J179" s="140">
        <f t="shared" si="183"/>
        <v>0</v>
      </c>
      <c r="K179" s="140">
        <f t="shared" si="183"/>
        <v>0</v>
      </c>
      <c r="L179" s="140">
        <f t="shared" si="183"/>
        <v>0</v>
      </c>
      <c r="M179" s="140">
        <f t="shared" si="183"/>
        <v>0</v>
      </c>
      <c r="N179" s="140">
        <f t="shared" si="183"/>
        <v>0</v>
      </c>
      <c r="O179" s="140">
        <f t="shared" si="183"/>
        <v>0</v>
      </c>
      <c r="P179" s="140">
        <f t="shared" si="183"/>
        <v>0</v>
      </c>
      <c r="Q179" s="140">
        <f t="shared" si="183"/>
        <v>0</v>
      </c>
      <c r="R179" s="140">
        <f t="shared" si="183"/>
        <v>0</v>
      </c>
      <c r="S179" s="140">
        <f t="shared" si="183"/>
        <v>4.599331616533117E-3</v>
      </c>
      <c r="T179" s="140">
        <f t="shared" si="183"/>
        <v>4.7113253429877065E-3</v>
      </c>
      <c r="U179" s="140">
        <f t="shared" si="183"/>
        <v>6.2357320220188832E-3</v>
      </c>
      <c r="V179" s="140">
        <f t="shared" si="183"/>
        <v>2.7820795846942234E-3</v>
      </c>
      <c r="W179" s="140">
        <f t="shared" si="183"/>
        <v>6.101143415893729E-3</v>
      </c>
      <c r="X179" s="140">
        <f t="shared" ref="X179:Y179" si="184">IF(X87=0,0,X87/X$77)</f>
        <v>1.0666685777993717E-2</v>
      </c>
      <c r="Y179" s="140">
        <f t="shared" si="184"/>
        <v>1.3533088362036646E-2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0.59991197838774601</v>
      </c>
      <c r="C182" s="140">
        <f t="shared" ref="C182:W182" si="189">IF(C90=0,0,C90/C$89)</f>
        <v>0.60141415450995073</v>
      </c>
      <c r="D182" s="140">
        <f t="shared" si="189"/>
        <v>0.59879422298052265</v>
      </c>
      <c r="E182" s="140">
        <f t="shared" si="189"/>
        <v>0.63313282555626682</v>
      </c>
      <c r="F182" s="140">
        <f t="shared" si="189"/>
        <v>0.64795457508580157</v>
      </c>
      <c r="G182" s="140">
        <f t="shared" si="189"/>
        <v>0.61263429570152927</v>
      </c>
      <c r="H182" s="140">
        <f t="shared" si="189"/>
        <v>0.62083414916648005</v>
      </c>
      <c r="I182" s="140">
        <f t="shared" si="189"/>
        <v>0.52497281916860639</v>
      </c>
      <c r="J182" s="140">
        <f t="shared" si="189"/>
        <v>0.60970948167474759</v>
      </c>
      <c r="K182" s="140">
        <f t="shared" si="189"/>
        <v>0.56279315361533511</v>
      </c>
      <c r="L182" s="140">
        <f t="shared" si="189"/>
        <v>0.5917061012478726</v>
      </c>
      <c r="M182" s="140">
        <f t="shared" si="189"/>
        <v>0.62253106708640715</v>
      </c>
      <c r="N182" s="140">
        <f t="shared" si="189"/>
        <v>0.65307060408642181</v>
      </c>
      <c r="O182" s="140">
        <f t="shared" si="189"/>
        <v>0.65722267857908978</v>
      </c>
      <c r="P182" s="140">
        <f t="shared" si="189"/>
        <v>0.63933255512253162</v>
      </c>
      <c r="Q182" s="140">
        <f t="shared" si="189"/>
        <v>0.64960375915683033</v>
      </c>
      <c r="R182" s="140">
        <f t="shared" si="189"/>
        <v>0.64020524490318909</v>
      </c>
      <c r="S182" s="140">
        <f t="shared" si="189"/>
        <v>0.61873786096781558</v>
      </c>
      <c r="T182" s="140">
        <f t="shared" si="189"/>
        <v>0.58841333894055892</v>
      </c>
      <c r="U182" s="140">
        <f t="shared" si="189"/>
        <v>0.62836879073415441</v>
      </c>
      <c r="V182" s="140">
        <f t="shared" si="189"/>
        <v>0.600375118432104</v>
      </c>
      <c r="W182" s="140">
        <f t="shared" si="189"/>
        <v>0.59997943691757771</v>
      </c>
      <c r="X182" s="140">
        <f t="shared" ref="X182:Y182" si="190">IF(X90=0,0,X90/X$89)</f>
        <v>0.63157035697976294</v>
      </c>
      <c r="Y182" s="140">
        <f t="shared" si="190"/>
        <v>0.65225967248291228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0.40008802161225404</v>
      </c>
      <c r="C183" s="127">
        <f t="shared" ref="C183:W183" si="191">IF(C91=0,0,C91/C$89)</f>
        <v>0.39858584549004922</v>
      </c>
      <c r="D183" s="127">
        <f t="shared" si="191"/>
        <v>0.40120577701947735</v>
      </c>
      <c r="E183" s="127">
        <f t="shared" si="191"/>
        <v>0.36686717444373323</v>
      </c>
      <c r="F183" s="127">
        <f t="shared" si="191"/>
        <v>0.35204542491419849</v>
      </c>
      <c r="G183" s="127">
        <f t="shared" si="191"/>
        <v>0.38736570429847073</v>
      </c>
      <c r="H183" s="127">
        <f t="shared" si="191"/>
        <v>0.37916585083351995</v>
      </c>
      <c r="I183" s="127">
        <f t="shared" si="191"/>
        <v>0.47502718083139361</v>
      </c>
      <c r="J183" s="127">
        <f t="shared" si="191"/>
        <v>0.39029051832525241</v>
      </c>
      <c r="K183" s="127">
        <f t="shared" si="191"/>
        <v>0.437206846384665</v>
      </c>
      <c r="L183" s="127">
        <f t="shared" si="191"/>
        <v>0.40829389875212752</v>
      </c>
      <c r="M183" s="127">
        <f t="shared" si="191"/>
        <v>0.3774689329135929</v>
      </c>
      <c r="N183" s="127">
        <f t="shared" si="191"/>
        <v>0.3469293959135783</v>
      </c>
      <c r="O183" s="127">
        <f t="shared" si="191"/>
        <v>0.34277732142091016</v>
      </c>
      <c r="P183" s="127">
        <f t="shared" si="191"/>
        <v>0.36066744487746832</v>
      </c>
      <c r="Q183" s="127">
        <f t="shared" si="191"/>
        <v>0.35039624084316967</v>
      </c>
      <c r="R183" s="127">
        <f t="shared" si="191"/>
        <v>0.35979475509681086</v>
      </c>
      <c r="S183" s="127">
        <f t="shared" si="191"/>
        <v>0.38126213903218442</v>
      </c>
      <c r="T183" s="127">
        <f t="shared" si="191"/>
        <v>0.41158666105944103</v>
      </c>
      <c r="U183" s="127">
        <f t="shared" si="191"/>
        <v>0.37163120926584564</v>
      </c>
      <c r="V183" s="127">
        <f t="shared" si="191"/>
        <v>0.39962488156789605</v>
      </c>
      <c r="W183" s="127">
        <f t="shared" si="191"/>
        <v>0.40002056308242234</v>
      </c>
      <c r="X183" s="127">
        <f t="shared" ref="X183:Y183" si="192">IF(X91=0,0,X91/X$89)</f>
        <v>0.36842964302023701</v>
      </c>
      <c r="Y183" s="127">
        <f t="shared" si="192"/>
        <v>0.34774032751708778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44.013791455423473</v>
      </c>
      <c r="C186" s="32">
        <f t="shared" si="193"/>
        <v>44.060132214064076</v>
      </c>
      <c r="D186" s="32">
        <f t="shared" si="193"/>
        <v>49.835247647901916</v>
      </c>
      <c r="E186" s="32">
        <f t="shared" si="193"/>
        <v>51.690325595274558</v>
      </c>
      <c r="F186" s="32">
        <f t="shared" si="193"/>
        <v>50.847069388492244</v>
      </c>
      <c r="G186" s="32">
        <f t="shared" si="193"/>
        <v>49.055854250276916</v>
      </c>
      <c r="H186" s="32">
        <f t="shared" si="193"/>
        <v>50.202715858820333</v>
      </c>
      <c r="I186" s="32">
        <f t="shared" si="193"/>
        <v>51.079891769102744</v>
      </c>
      <c r="J186" s="32">
        <f t="shared" si="193"/>
        <v>49.827153204518837</v>
      </c>
      <c r="K186" s="32">
        <f t="shared" si="193"/>
        <v>51.129968633064188</v>
      </c>
      <c r="L186" s="32">
        <f t="shared" si="193"/>
        <v>51.686996589739536</v>
      </c>
      <c r="M186" s="32">
        <f t="shared" si="193"/>
        <v>51.632434814205475</v>
      </c>
      <c r="N186" s="32">
        <f t="shared" si="193"/>
        <v>47.714384134393939</v>
      </c>
      <c r="O186" s="32">
        <f t="shared" si="193"/>
        <v>43.857986068851666</v>
      </c>
      <c r="P186" s="32">
        <f t="shared" si="193"/>
        <v>42.474395354955867</v>
      </c>
      <c r="Q186" s="32">
        <f t="shared" si="193"/>
        <v>43.280419552830487</v>
      </c>
      <c r="R186" s="32">
        <f t="shared" si="193"/>
        <v>41.192219024121179</v>
      </c>
      <c r="S186" s="32">
        <f t="shared" si="193"/>
        <v>40.65463174382689</v>
      </c>
      <c r="T186" s="32">
        <f t="shared" si="193"/>
        <v>39.097674740326134</v>
      </c>
      <c r="U186" s="32">
        <f t="shared" si="193"/>
        <v>37.875966499298279</v>
      </c>
      <c r="V186" s="32">
        <f t="shared" si="193"/>
        <v>58.565357846309823</v>
      </c>
      <c r="W186" s="32">
        <f t="shared" si="193"/>
        <v>49.951728212171176</v>
      </c>
      <c r="X186" s="32">
        <f t="shared" si="193"/>
        <v>41.069305836494543</v>
      </c>
      <c r="Y186" s="32">
        <f t="shared" si="193"/>
        <v>37.877492633129563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68.12359238949044</v>
      </c>
      <c r="C187" s="141">
        <f t="shared" si="194"/>
        <v>69.70684677685702</v>
      </c>
      <c r="D187" s="141">
        <f t="shared" si="194"/>
        <v>68.662561389413071</v>
      </c>
      <c r="E187" s="141">
        <f t="shared" si="194"/>
        <v>72.526095532384559</v>
      </c>
      <c r="F187" s="141">
        <f t="shared" si="194"/>
        <v>74.472754076885167</v>
      </c>
      <c r="G187" s="141">
        <f t="shared" si="194"/>
        <v>73.766559727516736</v>
      </c>
      <c r="H187" s="141">
        <f t="shared" si="194"/>
        <v>74.544206560793597</v>
      </c>
      <c r="I187" s="141">
        <f t="shared" si="194"/>
        <v>76.953009132256838</v>
      </c>
      <c r="J187" s="141">
        <f t="shared" si="194"/>
        <v>74.869537433223556</v>
      </c>
      <c r="K187" s="141">
        <f t="shared" si="194"/>
        <v>75.237195412081377</v>
      </c>
      <c r="L187" s="141">
        <f t="shared" si="194"/>
        <v>77.580013535299457</v>
      </c>
      <c r="M187" s="141">
        <f t="shared" si="194"/>
        <v>75.763709964313023</v>
      </c>
      <c r="N187" s="141">
        <f t="shared" si="194"/>
        <v>70.856484617194639</v>
      </c>
      <c r="O187" s="141">
        <f t="shared" si="194"/>
        <v>66.162436692791402</v>
      </c>
      <c r="P187" s="141">
        <f t="shared" si="194"/>
        <v>63.905153450466642</v>
      </c>
      <c r="Q187" s="141">
        <f t="shared" si="194"/>
        <v>64.595437807747402</v>
      </c>
      <c r="R187" s="141">
        <f t="shared" si="194"/>
        <v>64.768274892321585</v>
      </c>
      <c r="S187" s="141">
        <f t="shared" si="194"/>
        <v>65.02928826842259</v>
      </c>
      <c r="T187" s="141">
        <f t="shared" si="194"/>
        <v>62.915043553873339</v>
      </c>
      <c r="U187" s="141">
        <f t="shared" si="194"/>
        <v>62.125325747914403</v>
      </c>
      <c r="V187" s="141">
        <f t="shared" si="194"/>
        <v>67.505568488671528</v>
      </c>
      <c r="W187" s="141">
        <f t="shared" si="194"/>
        <v>67.681341197313373</v>
      </c>
      <c r="X187" s="141">
        <f t="shared" si="194"/>
        <v>61.71081005316293</v>
      </c>
      <c r="Y187" s="141">
        <f t="shared" si="194"/>
        <v>60.03503232955417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39.539552130888517</v>
      </c>
      <c r="C188" s="97">
        <f t="shared" si="195"/>
        <v>39.21917528557659</v>
      </c>
      <c r="D188" s="97">
        <f t="shared" si="195"/>
        <v>39.653169129173911</v>
      </c>
      <c r="E188" s="97">
        <f t="shared" si="195"/>
        <v>39.37767900265878</v>
      </c>
      <c r="F188" s="97">
        <f t="shared" si="195"/>
        <v>39.204881195346829</v>
      </c>
      <c r="G188" s="97">
        <f t="shared" si="195"/>
        <v>38.942667464010327</v>
      </c>
      <c r="H188" s="97">
        <f t="shared" si="195"/>
        <v>38.613425139444693</v>
      </c>
      <c r="I188" s="97">
        <f t="shared" si="195"/>
        <v>38.20758549034224</v>
      </c>
      <c r="J188" s="97">
        <f t="shared" si="195"/>
        <v>37.802430730515205</v>
      </c>
      <c r="K188" s="97">
        <f t="shared" si="195"/>
        <v>37.36474661405105</v>
      </c>
      <c r="L188" s="97">
        <f t="shared" si="195"/>
        <v>36.878114897527603</v>
      </c>
      <c r="M188" s="97">
        <f t="shared" si="195"/>
        <v>36.449332716687174</v>
      </c>
      <c r="N188" s="97">
        <f t="shared" si="195"/>
        <v>36.541001710678778</v>
      </c>
      <c r="O188" s="97">
        <f t="shared" si="195"/>
        <v>36.140572913337081</v>
      </c>
      <c r="P188" s="97">
        <f t="shared" si="195"/>
        <v>35.848845985132215</v>
      </c>
      <c r="Q188" s="97">
        <f t="shared" si="195"/>
        <v>35.184345488265272</v>
      </c>
      <c r="R188" s="97">
        <f t="shared" si="195"/>
        <v>34.877540491815701</v>
      </c>
      <c r="S188" s="97">
        <f t="shared" si="195"/>
        <v>34.580812033681035</v>
      </c>
      <c r="T188" s="97">
        <f t="shared" si="195"/>
        <v>34.16094940200626</v>
      </c>
      <c r="U188" s="97">
        <f t="shared" si="195"/>
        <v>33.823457765510689</v>
      </c>
      <c r="V188" s="97">
        <f t="shared" si="195"/>
        <v>33.49959467235221</v>
      </c>
      <c r="W188" s="97">
        <f t="shared" si="195"/>
        <v>33.085072448087416</v>
      </c>
      <c r="X188" s="97">
        <f t="shared" si="195"/>
        <v>32.858759834431424</v>
      </c>
      <c r="Y188" s="97">
        <f t="shared" si="195"/>
        <v>32.462907980843326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65.543824466742677</v>
      </c>
      <c r="C189" s="97">
        <f t="shared" si="196"/>
        <v>67.939127193401532</v>
      </c>
      <c r="D189" s="97">
        <f t="shared" si="196"/>
        <v>67.798102983432699</v>
      </c>
      <c r="E189" s="97">
        <f t="shared" si="196"/>
        <v>72.767787322736439</v>
      </c>
      <c r="F189" s="97">
        <f t="shared" si="196"/>
        <v>73.531310731639721</v>
      </c>
      <c r="G189" s="97">
        <f t="shared" si="196"/>
        <v>74.323306125842635</v>
      </c>
      <c r="H189" s="97">
        <f t="shared" si="196"/>
        <v>75.327554171607034</v>
      </c>
      <c r="I189" s="97">
        <f t="shared" si="196"/>
        <v>77.664415268696104</v>
      </c>
      <c r="J189" s="97">
        <f t="shared" si="196"/>
        <v>75.679486150626232</v>
      </c>
      <c r="K189" s="97">
        <f t="shared" si="196"/>
        <v>75.262548337552687</v>
      </c>
      <c r="L189" s="97">
        <f t="shared" si="196"/>
        <v>78.184050424057887</v>
      </c>
      <c r="M189" s="97">
        <f t="shared" si="196"/>
        <v>76.536152154101785</v>
      </c>
      <c r="N189" s="97">
        <f t="shared" si="196"/>
        <v>72.421005301154096</v>
      </c>
      <c r="O189" s="97">
        <f t="shared" si="196"/>
        <v>67.921469285076682</v>
      </c>
      <c r="P189" s="97">
        <f t="shared" si="196"/>
        <v>65.223865828609362</v>
      </c>
      <c r="Q189" s="97">
        <f t="shared" si="196"/>
        <v>65.388358527396704</v>
      </c>
      <c r="R189" s="97">
        <f t="shared" si="196"/>
        <v>65.431343789030251</v>
      </c>
      <c r="S189" s="97">
        <f t="shared" si="196"/>
        <v>65.589964721287629</v>
      </c>
      <c r="T189" s="97">
        <f t="shared" si="196"/>
        <v>63.348945561151517</v>
      </c>
      <c r="U189" s="97">
        <f t="shared" si="196"/>
        <v>62.172142528813538</v>
      </c>
      <c r="V189" s="97">
        <f t="shared" si="196"/>
        <v>64.029586119734375</v>
      </c>
      <c r="W189" s="97">
        <f t="shared" si="196"/>
        <v>63.896341340762135</v>
      </c>
      <c r="X189" s="97">
        <f t="shared" si="196"/>
        <v>60.242406538223662</v>
      </c>
      <c r="Y189" s="97">
        <f t="shared" si="196"/>
        <v>59.051769852932608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80.874104831893334</v>
      </c>
      <c r="C190" s="97">
        <f t="shared" si="197"/>
        <v>79.622059607399692</v>
      </c>
      <c r="D190" s="97">
        <f t="shared" si="197"/>
        <v>74.996199835072247</v>
      </c>
      <c r="E190" s="97">
        <f t="shared" si="197"/>
        <v>75.42759217253483</v>
      </c>
      <c r="F190" s="97">
        <f t="shared" si="197"/>
        <v>81.999082726254557</v>
      </c>
      <c r="G190" s="97">
        <f t="shared" si="197"/>
        <v>75.513632908055584</v>
      </c>
      <c r="H190" s="97">
        <f t="shared" si="197"/>
        <v>75.412879387109399</v>
      </c>
      <c r="I190" s="97">
        <f t="shared" si="197"/>
        <v>78.274423298188168</v>
      </c>
      <c r="J190" s="97">
        <f t="shared" si="197"/>
        <v>75.412828331529525</v>
      </c>
      <c r="K190" s="97">
        <f t="shared" si="197"/>
        <v>79.377932369713719</v>
      </c>
      <c r="L190" s="97">
        <f t="shared" si="197"/>
        <v>79.327421179247068</v>
      </c>
      <c r="M190" s="97">
        <f t="shared" si="197"/>
        <v>76.474654077365329</v>
      </c>
      <c r="N190" s="97">
        <f t="shared" si="197"/>
        <v>67.60387840341815</v>
      </c>
      <c r="O190" s="97">
        <f t="shared" si="197"/>
        <v>61.545238542100861</v>
      </c>
      <c r="P190" s="97">
        <f t="shared" si="197"/>
        <v>60.93103467068277</v>
      </c>
      <c r="Q190" s="97">
        <f t="shared" si="197"/>
        <v>64.020191535666498</v>
      </c>
      <c r="R190" s="97">
        <f t="shared" si="197"/>
        <v>64.677970910827526</v>
      </c>
      <c r="S190" s="97">
        <f t="shared" si="197"/>
        <v>65.226210122431837</v>
      </c>
      <c r="T190" s="97">
        <f t="shared" si="197"/>
        <v>63.306476829134319</v>
      </c>
      <c r="U190" s="97">
        <f t="shared" si="197"/>
        <v>64.243283242129991</v>
      </c>
      <c r="V190" s="97">
        <f t="shared" si="197"/>
        <v>95.952705045323015</v>
      </c>
      <c r="W190" s="97">
        <f t="shared" si="197"/>
        <v>98.103435495497209</v>
      </c>
      <c r="X190" s="97">
        <f t="shared" si="197"/>
        <v>72.413254083063975</v>
      </c>
      <c r="Y190" s="97">
        <f t="shared" si="197"/>
        <v>67.54314576156186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0</v>
      </c>
      <c r="C191" s="130">
        <f t="shared" si="198"/>
        <v>0</v>
      </c>
      <c r="D191" s="130">
        <f t="shared" si="198"/>
        <v>0</v>
      </c>
      <c r="E191" s="130">
        <f t="shared" si="198"/>
        <v>0</v>
      </c>
      <c r="F191" s="130">
        <f t="shared" si="198"/>
        <v>0</v>
      </c>
      <c r="G191" s="130">
        <f t="shared" si="198"/>
        <v>0</v>
      </c>
      <c r="H191" s="130">
        <f t="shared" si="198"/>
        <v>0</v>
      </c>
      <c r="I191" s="130">
        <f t="shared" si="198"/>
        <v>0</v>
      </c>
      <c r="J191" s="130">
        <f t="shared" si="198"/>
        <v>0</v>
      </c>
      <c r="K191" s="130">
        <f t="shared" si="198"/>
        <v>0</v>
      </c>
      <c r="L191" s="130">
        <f t="shared" si="198"/>
        <v>0</v>
      </c>
      <c r="M191" s="130">
        <f t="shared" si="198"/>
        <v>0</v>
      </c>
      <c r="N191" s="130">
        <f t="shared" si="198"/>
        <v>0</v>
      </c>
      <c r="O191" s="130">
        <f t="shared" si="198"/>
        <v>0</v>
      </c>
      <c r="P191" s="130">
        <f t="shared" si="198"/>
        <v>0</v>
      </c>
      <c r="Q191" s="130">
        <f t="shared" si="198"/>
        <v>0</v>
      </c>
      <c r="R191" s="130">
        <f t="shared" si="198"/>
        <v>0</v>
      </c>
      <c r="S191" s="130">
        <f t="shared" si="198"/>
        <v>0</v>
      </c>
      <c r="T191" s="130">
        <f t="shared" si="198"/>
        <v>0</v>
      </c>
      <c r="U191" s="130">
        <f t="shared" si="198"/>
        <v>0</v>
      </c>
      <c r="V191" s="130">
        <f t="shared" si="198"/>
        <v>0</v>
      </c>
      <c r="W191" s="130">
        <f t="shared" si="198"/>
        <v>0</v>
      </c>
      <c r="X191" s="130">
        <f t="shared" si="198"/>
        <v>0</v>
      </c>
      <c r="Y191" s="130">
        <f t="shared" si="198"/>
        <v>0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0</v>
      </c>
      <c r="C192" s="97">
        <f t="shared" si="199"/>
        <v>0</v>
      </c>
      <c r="D192" s="97">
        <f t="shared" si="199"/>
        <v>0</v>
      </c>
      <c r="E192" s="97">
        <f t="shared" si="199"/>
        <v>0</v>
      </c>
      <c r="F192" s="97">
        <f t="shared" si="199"/>
        <v>0</v>
      </c>
      <c r="G192" s="97">
        <f t="shared" si="199"/>
        <v>0</v>
      </c>
      <c r="H192" s="97">
        <f t="shared" si="199"/>
        <v>0</v>
      </c>
      <c r="I192" s="97">
        <f t="shared" si="199"/>
        <v>0</v>
      </c>
      <c r="J192" s="97">
        <f t="shared" si="199"/>
        <v>0</v>
      </c>
      <c r="K192" s="97">
        <f t="shared" si="199"/>
        <v>0</v>
      </c>
      <c r="L192" s="97">
        <f t="shared" si="199"/>
        <v>0</v>
      </c>
      <c r="M192" s="97">
        <f t="shared" si="199"/>
        <v>0</v>
      </c>
      <c r="N192" s="97">
        <f t="shared" si="199"/>
        <v>0</v>
      </c>
      <c r="O192" s="97">
        <f t="shared" si="199"/>
        <v>0</v>
      </c>
      <c r="P192" s="97">
        <f t="shared" si="199"/>
        <v>0</v>
      </c>
      <c r="Q192" s="97">
        <f t="shared" si="199"/>
        <v>0</v>
      </c>
      <c r="R192" s="97">
        <f t="shared" si="199"/>
        <v>0</v>
      </c>
      <c r="S192" s="97">
        <f t="shared" si="199"/>
        <v>0</v>
      </c>
      <c r="T192" s="97">
        <f t="shared" si="199"/>
        <v>0</v>
      </c>
      <c r="U192" s="97">
        <f t="shared" si="199"/>
        <v>0</v>
      </c>
      <c r="V192" s="97">
        <f t="shared" si="199"/>
        <v>0</v>
      </c>
      <c r="W192" s="97">
        <f t="shared" si="199"/>
        <v>0</v>
      </c>
      <c r="X192" s="97">
        <f t="shared" si="199"/>
        <v>0</v>
      </c>
      <c r="Y192" s="97">
        <f t="shared" si="199"/>
        <v>0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0</v>
      </c>
      <c r="C193" s="97">
        <f t="shared" si="200"/>
        <v>0</v>
      </c>
      <c r="D193" s="97">
        <f t="shared" si="200"/>
        <v>0</v>
      </c>
      <c r="E193" s="97">
        <f t="shared" si="200"/>
        <v>0</v>
      </c>
      <c r="F193" s="97">
        <f t="shared" si="200"/>
        <v>0</v>
      </c>
      <c r="G193" s="97">
        <f t="shared" si="200"/>
        <v>0</v>
      </c>
      <c r="H193" s="97">
        <f t="shared" si="200"/>
        <v>0</v>
      </c>
      <c r="I193" s="97">
        <f t="shared" si="200"/>
        <v>0</v>
      </c>
      <c r="J193" s="97">
        <f t="shared" si="200"/>
        <v>0</v>
      </c>
      <c r="K193" s="97">
        <f t="shared" si="200"/>
        <v>0</v>
      </c>
      <c r="L193" s="97">
        <f t="shared" si="200"/>
        <v>0</v>
      </c>
      <c r="M193" s="97">
        <f t="shared" si="200"/>
        <v>0</v>
      </c>
      <c r="N193" s="97">
        <f t="shared" si="200"/>
        <v>0</v>
      </c>
      <c r="O193" s="97">
        <f t="shared" si="200"/>
        <v>0</v>
      </c>
      <c r="P193" s="97">
        <f t="shared" si="200"/>
        <v>0</v>
      </c>
      <c r="Q193" s="97">
        <f t="shared" si="200"/>
        <v>0</v>
      </c>
      <c r="R193" s="97">
        <f t="shared" si="200"/>
        <v>0</v>
      </c>
      <c r="S193" s="97">
        <f t="shared" si="200"/>
        <v>0</v>
      </c>
      <c r="T193" s="97">
        <f t="shared" si="200"/>
        <v>0</v>
      </c>
      <c r="U193" s="97">
        <f t="shared" si="200"/>
        <v>0</v>
      </c>
      <c r="V193" s="97">
        <f t="shared" si="200"/>
        <v>0</v>
      </c>
      <c r="W193" s="97">
        <f t="shared" si="200"/>
        <v>0</v>
      </c>
      <c r="X193" s="97">
        <f t="shared" si="200"/>
        <v>0</v>
      </c>
      <c r="Y193" s="97">
        <f t="shared" si="200"/>
        <v>0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30.223087645415301</v>
      </c>
      <c r="C195" s="130">
        <f t="shared" si="202"/>
        <v>30.994059467286636</v>
      </c>
      <c r="D195" s="130">
        <f t="shared" si="202"/>
        <v>37.433492434891846</v>
      </c>
      <c r="E195" s="130">
        <f t="shared" si="202"/>
        <v>38.284843790421263</v>
      </c>
      <c r="F195" s="130">
        <f t="shared" si="202"/>
        <v>34.56513457081217</v>
      </c>
      <c r="G195" s="130">
        <f t="shared" si="202"/>
        <v>32.267877689973844</v>
      </c>
      <c r="H195" s="130">
        <f t="shared" si="202"/>
        <v>33.088297640184777</v>
      </c>
      <c r="I195" s="130">
        <f t="shared" si="202"/>
        <v>31.906580148553534</v>
      </c>
      <c r="J195" s="130">
        <f t="shared" si="202"/>
        <v>30.653308434616434</v>
      </c>
      <c r="K195" s="130">
        <f t="shared" si="202"/>
        <v>30.678317780036856</v>
      </c>
      <c r="L195" s="130">
        <f t="shared" si="202"/>
        <v>30.556349120016481</v>
      </c>
      <c r="M195" s="130">
        <f t="shared" si="202"/>
        <v>32.45845299332683</v>
      </c>
      <c r="N195" s="130">
        <f t="shared" si="202"/>
        <v>29.214558590061486</v>
      </c>
      <c r="O195" s="130">
        <f t="shared" si="202"/>
        <v>26.08966083235099</v>
      </c>
      <c r="P195" s="130">
        <f t="shared" si="202"/>
        <v>25.343397058997599</v>
      </c>
      <c r="Q195" s="130">
        <f t="shared" si="202"/>
        <v>25.682080240372869</v>
      </c>
      <c r="R195" s="130">
        <f t="shared" si="202"/>
        <v>24.274036349374974</v>
      </c>
      <c r="S195" s="130">
        <f t="shared" si="202"/>
        <v>24.697394494496688</v>
      </c>
      <c r="T195" s="130">
        <f t="shared" si="202"/>
        <v>23.985585217969493</v>
      </c>
      <c r="U195" s="130">
        <f t="shared" si="202"/>
        <v>22.428853198857976</v>
      </c>
      <c r="V195" s="130">
        <f t="shared" si="202"/>
        <v>34.947534913075806</v>
      </c>
      <c r="W195" s="130">
        <f t="shared" si="202"/>
        <v>26.815868875769148</v>
      </c>
      <c r="X195" s="130">
        <f t="shared" si="202"/>
        <v>24.899989041650556</v>
      </c>
      <c r="Y195" s="130">
        <f t="shared" si="202"/>
        <v>22.949454058245021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28.165453912802835</v>
      </c>
      <c r="C197" s="97">
        <f t="shared" si="204"/>
        <v>28.961563615637719</v>
      </c>
      <c r="D197" s="97">
        <f t="shared" si="204"/>
        <v>34.490820945035729</v>
      </c>
      <c r="E197" s="97">
        <f t="shared" si="204"/>
        <v>35.46376907132489</v>
      </c>
      <c r="F197" s="97">
        <f t="shared" si="204"/>
        <v>32.603932970936469</v>
      </c>
      <c r="G197" s="97">
        <f t="shared" si="204"/>
        <v>30.370059434958328</v>
      </c>
      <c r="H197" s="97">
        <f t="shared" si="204"/>
        <v>31.621211555023557</v>
      </c>
      <c r="I197" s="97">
        <f t="shared" si="204"/>
        <v>30.809901030705078</v>
      </c>
      <c r="J197" s="97">
        <f t="shared" si="204"/>
        <v>29.867231193169093</v>
      </c>
      <c r="K197" s="97">
        <f t="shared" si="204"/>
        <v>29.562013449702945</v>
      </c>
      <c r="L197" s="97">
        <f t="shared" si="204"/>
        <v>30.024029878779093</v>
      </c>
      <c r="M197" s="97">
        <f t="shared" si="204"/>
        <v>32.812391731646215</v>
      </c>
      <c r="N197" s="97">
        <f t="shared" si="204"/>
        <v>31.162386086188484</v>
      </c>
      <c r="O197" s="97">
        <f t="shared" si="204"/>
        <v>30.493891174046389</v>
      </c>
      <c r="P197" s="97">
        <f t="shared" si="204"/>
        <v>30.138345188131577</v>
      </c>
      <c r="Q197" s="97">
        <f t="shared" si="204"/>
        <v>29.905937330176833</v>
      </c>
      <c r="R197" s="97">
        <f t="shared" si="204"/>
        <v>30.292999516743993</v>
      </c>
      <c r="S197" s="97">
        <f t="shared" si="204"/>
        <v>30.226017479362334</v>
      </c>
      <c r="T197" s="97">
        <f t="shared" si="204"/>
        <v>28.913000669388076</v>
      </c>
      <c r="U197" s="97">
        <f t="shared" si="204"/>
        <v>26.717620302707417</v>
      </c>
      <c r="V197" s="97">
        <f t="shared" si="204"/>
        <v>30.790638546343004</v>
      </c>
      <c r="W197" s="97">
        <f t="shared" si="204"/>
        <v>33.854953194680867</v>
      </c>
      <c r="X197" s="97">
        <f t="shared" si="204"/>
        <v>23.381269224330477</v>
      </c>
      <c r="Y197" s="97">
        <f t="shared" si="204"/>
        <v>22.307146744635226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60.537005771957716</v>
      </c>
      <c r="C198" s="97">
        <f t="shared" si="205"/>
        <v>59.72075378507936</v>
      </c>
      <c r="D198" s="97">
        <f t="shared" si="205"/>
        <v>65.329262088853568</v>
      </c>
      <c r="E198" s="97">
        <f t="shared" si="205"/>
        <v>63.606193240341625</v>
      </c>
      <c r="F198" s="97">
        <f t="shared" si="205"/>
        <v>54.944594862816466</v>
      </c>
      <c r="G198" s="97">
        <f t="shared" si="205"/>
        <v>54.309858709420425</v>
      </c>
      <c r="H198" s="97">
        <f t="shared" si="205"/>
        <v>47.459202973498257</v>
      </c>
      <c r="I198" s="97">
        <f t="shared" si="205"/>
        <v>41.611573286213201</v>
      </c>
      <c r="J198" s="97">
        <f t="shared" si="205"/>
        <v>36.935929751870141</v>
      </c>
      <c r="K198" s="97">
        <f t="shared" si="205"/>
        <v>39.850406027797725</v>
      </c>
      <c r="L198" s="97">
        <f t="shared" si="205"/>
        <v>34.114728721762987</v>
      </c>
      <c r="M198" s="97">
        <f t="shared" si="205"/>
        <v>30.48677041974338</v>
      </c>
      <c r="N198" s="97">
        <f t="shared" si="205"/>
        <v>21.644378706192683</v>
      </c>
      <c r="O198" s="97">
        <f t="shared" si="205"/>
        <v>14.772816694921671</v>
      </c>
      <c r="P198" s="97">
        <f t="shared" si="205"/>
        <v>13.806188564108391</v>
      </c>
      <c r="Q198" s="97">
        <f t="shared" si="205"/>
        <v>14.694254293180261</v>
      </c>
      <c r="R198" s="97">
        <f t="shared" si="205"/>
        <v>11.209599881272929</v>
      </c>
      <c r="S198" s="97">
        <f t="shared" si="205"/>
        <v>11.514711723731795</v>
      </c>
      <c r="T198" s="97">
        <f t="shared" si="205"/>
        <v>11.71824296239636</v>
      </c>
      <c r="U198" s="97">
        <f t="shared" si="205"/>
        <v>11.537386961398862</v>
      </c>
      <c r="V198" s="97">
        <f t="shared" si="205"/>
        <v>61.395493800320423</v>
      </c>
      <c r="W198" s="97">
        <f t="shared" si="205"/>
        <v>14.869508140682523</v>
      </c>
      <c r="X198" s="97">
        <f t="shared" si="205"/>
        <v>40.8024279465563</v>
      </c>
      <c r="Y198" s="97">
        <f t="shared" si="205"/>
        <v>27.774536481640627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157.86321267939229</v>
      </c>
      <c r="C199" s="32">
        <f t="shared" si="206"/>
        <v>156.45777058146533</v>
      </c>
      <c r="D199" s="32">
        <f t="shared" si="206"/>
        <v>151.56755560019934</v>
      </c>
      <c r="E199" s="32">
        <f t="shared" si="206"/>
        <v>146.48758941725669</v>
      </c>
      <c r="F199" s="32">
        <f t="shared" si="206"/>
        <v>173.8386026866921</v>
      </c>
      <c r="G199" s="32">
        <f t="shared" si="206"/>
        <v>144.85932010552361</v>
      </c>
      <c r="H199" s="32">
        <f t="shared" si="206"/>
        <v>153.90894977013591</v>
      </c>
      <c r="I199" s="32">
        <f t="shared" si="206"/>
        <v>152.86785447282966</v>
      </c>
      <c r="J199" s="32">
        <f t="shared" si="206"/>
        <v>144.38804204940951</v>
      </c>
      <c r="K199" s="32">
        <f t="shared" si="206"/>
        <v>175.12731602641094</v>
      </c>
      <c r="L199" s="32">
        <f t="shared" si="206"/>
        <v>162.25475322520253</v>
      </c>
      <c r="M199" s="32">
        <f t="shared" si="206"/>
        <v>171.38067002275793</v>
      </c>
      <c r="N199" s="32">
        <f t="shared" si="206"/>
        <v>154.51897750848622</v>
      </c>
      <c r="O199" s="32">
        <f t="shared" si="206"/>
        <v>168.67221735508369</v>
      </c>
      <c r="P199" s="32">
        <f t="shared" si="206"/>
        <v>174.0143304162865</v>
      </c>
      <c r="Q199" s="32">
        <f t="shared" si="206"/>
        <v>173.43830259408767</v>
      </c>
      <c r="R199" s="32">
        <f t="shared" si="206"/>
        <v>159.57507590406513</v>
      </c>
      <c r="S199" s="32">
        <f t="shared" si="206"/>
        <v>148.89141354108921</v>
      </c>
      <c r="T199" s="32">
        <f t="shared" si="206"/>
        <v>141.40357103049143</v>
      </c>
      <c r="U199" s="32">
        <f t="shared" si="206"/>
        <v>143.65865452512662</v>
      </c>
      <c r="V199" s="32">
        <f t="shared" si="206"/>
        <v>166.18384862627715</v>
      </c>
      <c r="W199" s="32">
        <f t="shared" si="206"/>
        <v>166.90227048928452</v>
      </c>
      <c r="X199" s="32">
        <f t="shared" si="206"/>
        <v>127.96637751751163</v>
      </c>
      <c r="Y199" s="32">
        <f t="shared" si="206"/>
        <v>123.36804402318135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156.05643427306904</v>
      </c>
      <c r="C200" s="141">
        <f t="shared" si="207"/>
        <v>155.36265890983361</v>
      </c>
      <c r="D200" s="141">
        <f t="shared" si="207"/>
        <v>149.30837392833013</v>
      </c>
      <c r="E200" s="141">
        <f t="shared" si="207"/>
        <v>144.228306157216</v>
      </c>
      <c r="F200" s="141">
        <f t="shared" si="207"/>
        <v>170.83769269394634</v>
      </c>
      <c r="G200" s="141">
        <f t="shared" si="207"/>
        <v>141.31676069844559</v>
      </c>
      <c r="H200" s="141">
        <f t="shared" si="207"/>
        <v>149.1480949576642</v>
      </c>
      <c r="I200" s="141">
        <f t="shared" si="207"/>
        <v>149.25240458253822</v>
      </c>
      <c r="J200" s="141">
        <f t="shared" si="207"/>
        <v>140.99305620542364</v>
      </c>
      <c r="K200" s="141">
        <f t="shared" si="207"/>
        <v>172.89442821397307</v>
      </c>
      <c r="L200" s="141">
        <f t="shared" si="207"/>
        <v>160.38603606611514</v>
      </c>
      <c r="M200" s="141">
        <f t="shared" si="207"/>
        <v>169.59893688892765</v>
      </c>
      <c r="N200" s="141">
        <f t="shared" si="207"/>
        <v>152.89542432964177</v>
      </c>
      <c r="O200" s="141">
        <f t="shared" si="207"/>
        <v>167.65046581257647</v>
      </c>
      <c r="P200" s="141">
        <f t="shared" si="207"/>
        <v>174.04114001996794</v>
      </c>
      <c r="Q200" s="141">
        <f t="shared" si="207"/>
        <v>173.267727064984</v>
      </c>
      <c r="R200" s="141">
        <f t="shared" si="207"/>
        <v>159.52547317886177</v>
      </c>
      <c r="S200" s="141">
        <f t="shared" si="207"/>
        <v>148.90872524915409</v>
      </c>
      <c r="T200" s="141">
        <f t="shared" si="207"/>
        <v>141.63683923407837</v>
      </c>
      <c r="U200" s="141">
        <f t="shared" si="207"/>
        <v>145.33016741663616</v>
      </c>
      <c r="V200" s="141">
        <f t="shared" si="207"/>
        <v>167.20272095412435</v>
      </c>
      <c r="W200" s="141">
        <f t="shared" si="207"/>
        <v>168.32876943308909</v>
      </c>
      <c r="X200" s="141">
        <f t="shared" si="207"/>
        <v>128.51930301797555</v>
      </c>
      <c r="Y200" s="141">
        <f t="shared" si="207"/>
        <v>124.0580745059691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1083.3606126425789</v>
      </c>
      <c r="C201" s="97">
        <f t="shared" si="208"/>
        <v>1064.7193353494549</v>
      </c>
      <c r="D201" s="97">
        <f t="shared" si="208"/>
        <v>996.06344814604665</v>
      </c>
      <c r="E201" s="97">
        <f t="shared" si="208"/>
        <v>988.89826434532961</v>
      </c>
      <c r="F201" s="97">
        <f t="shared" si="208"/>
        <v>1050.5470610508562</v>
      </c>
      <c r="G201" s="97">
        <f t="shared" si="208"/>
        <v>967.54701232036655</v>
      </c>
      <c r="H201" s="97">
        <f t="shared" si="208"/>
        <v>945.57808299894691</v>
      </c>
      <c r="I201" s="97">
        <f t="shared" si="208"/>
        <v>970.09069300806061</v>
      </c>
      <c r="J201" s="97">
        <f t="shared" si="208"/>
        <v>931.39569731958113</v>
      </c>
      <c r="K201" s="97">
        <f t="shared" si="208"/>
        <v>957.21088630966392</v>
      </c>
      <c r="L201" s="97">
        <f t="shared" si="208"/>
        <v>957.00692469004741</v>
      </c>
      <c r="M201" s="97">
        <f t="shared" si="208"/>
        <v>912.73947223230653</v>
      </c>
      <c r="N201" s="97">
        <f t="shared" si="208"/>
        <v>792.16597783819134</v>
      </c>
      <c r="O201" s="97">
        <f t="shared" si="208"/>
        <v>700.2752185909751</v>
      </c>
      <c r="P201" s="97">
        <f t="shared" si="208"/>
        <v>673.20537106197662</v>
      </c>
      <c r="Q201" s="97">
        <f t="shared" si="208"/>
        <v>698.32040888588608</v>
      </c>
      <c r="R201" s="97">
        <f t="shared" si="208"/>
        <v>704.91570593347888</v>
      </c>
      <c r="S201" s="97">
        <f t="shared" si="208"/>
        <v>706.08884883577855</v>
      </c>
      <c r="T201" s="97">
        <f t="shared" si="208"/>
        <v>680.86655505609622</v>
      </c>
      <c r="U201" s="97">
        <f t="shared" si="208"/>
        <v>669.29074269467185</v>
      </c>
      <c r="V201" s="97">
        <f t="shared" si="208"/>
        <v>697.60045077551831</v>
      </c>
      <c r="W201" s="97">
        <f t="shared" si="208"/>
        <v>731.59536297525847</v>
      </c>
      <c r="X201" s="97">
        <f t="shared" si="208"/>
        <v>648.42131803689301</v>
      </c>
      <c r="Y201" s="97">
        <f t="shared" si="208"/>
        <v>669.92163064240208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37.027565282903623</v>
      </c>
      <c r="C202" s="97">
        <f t="shared" si="209"/>
        <v>37.012576366531931</v>
      </c>
      <c r="D202" s="97">
        <f t="shared" si="209"/>
        <v>34.909299903208058</v>
      </c>
      <c r="E202" s="97">
        <f t="shared" si="209"/>
        <v>35.655365097123003</v>
      </c>
      <c r="F202" s="97">
        <f t="shared" si="209"/>
        <v>39.040355038019669</v>
      </c>
      <c r="G202" s="97">
        <f t="shared" si="209"/>
        <v>37.332397767437477</v>
      </c>
      <c r="H202" s="97">
        <f t="shared" si="209"/>
        <v>36.519664223402444</v>
      </c>
      <c r="I202" s="97">
        <f t="shared" si="209"/>
        <v>38.06409730044593</v>
      </c>
      <c r="J202" s="97">
        <f t="shared" si="209"/>
        <v>37.481797932787991</v>
      </c>
      <c r="K202" s="97">
        <f t="shared" si="209"/>
        <v>40.767161958531162</v>
      </c>
      <c r="L202" s="97">
        <f t="shared" si="209"/>
        <v>41.110692651340159</v>
      </c>
      <c r="M202" s="97">
        <f t="shared" si="209"/>
        <v>39.858732022788317</v>
      </c>
      <c r="N202" s="97">
        <f t="shared" si="209"/>
        <v>34.670354340879115</v>
      </c>
      <c r="O202" s="97">
        <f t="shared" si="209"/>
        <v>32.701742831748994</v>
      </c>
      <c r="P202" s="97">
        <f t="shared" si="209"/>
        <v>32.777507986993555</v>
      </c>
      <c r="Q202" s="97">
        <f t="shared" si="209"/>
        <v>32.279640602970083</v>
      </c>
      <c r="R202" s="97">
        <f t="shared" si="209"/>
        <v>35.165893706295222</v>
      </c>
      <c r="S202" s="97">
        <f t="shared" si="209"/>
        <v>35.229465723001695</v>
      </c>
      <c r="T202" s="97">
        <f t="shared" si="209"/>
        <v>34.179471144734215</v>
      </c>
      <c r="U202" s="97">
        <f t="shared" si="209"/>
        <v>37.266332915039783</v>
      </c>
      <c r="V202" s="97">
        <f t="shared" si="209"/>
        <v>34.963824854667422</v>
      </c>
      <c r="W202" s="97">
        <f t="shared" si="209"/>
        <v>35.341954564785667</v>
      </c>
      <c r="X202" s="97">
        <f t="shared" si="209"/>
        <v>34.676377222970757</v>
      </c>
      <c r="Y202" s="97">
        <f t="shared" si="209"/>
        <v>32.926826091811797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0</v>
      </c>
      <c r="C203" s="130">
        <f t="shared" si="210"/>
        <v>0</v>
      </c>
      <c r="D203" s="130">
        <f t="shared" si="210"/>
        <v>0</v>
      </c>
      <c r="E203" s="130">
        <f t="shared" si="210"/>
        <v>0</v>
      </c>
      <c r="F203" s="130">
        <f t="shared" si="210"/>
        <v>0</v>
      </c>
      <c r="G203" s="130">
        <f t="shared" si="210"/>
        <v>0</v>
      </c>
      <c r="H203" s="130">
        <f t="shared" si="210"/>
        <v>0</v>
      </c>
      <c r="I203" s="130">
        <f t="shared" si="210"/>
        <v>0</v>
      </c>
      <c r="J203" s="130">
        <f t="shared" si="210"/>
        <v>0</v>
      </c>
      <c r="K203" s="130">
        <f t="shared" si="210"/>
        <v>0</v>
      </c>
      <c r="L203" s="130">
        <f t="shared" si="210"/>
        <v>0</v>
      </c>
      <c r="M203" s="130">
        <f t="shared" si="210"/>
        <v>0</v>
      </c>
      <c r="N203" s="130">
        <f t="shared" si="210"/>
        <v>0</v>
      </c>
      <c r="O203" s="130">
        <f t="shared" si="210"/>
        <v>0</v>
      </c>
      <c r="P203" s="130">
        <f t="shared" si="210"/>
        <v>0</v>
      </c>
      <c r="Q203" s="130">
        <f t="shared" si="210"/>
        <v>0</v>
      </c>
      <c r="R203" s="130">
        <f t="shared" si="210"/>
        <v>0</v>
      </c>
      <c r="S203" s="130">
        <f t="shared" si="210"/>
        <v>0</v>
      </c>
      <c r="T203" s="130">
        <f t="shared" si="210"/>
        <v>0</v>
      </c>
      <c r="U203" s="130">
        <f t="shared" si="210"/>
        <v>0</v>
      </c>
      <c r="V203" s="130">
        <f t="shared" si="210"/>
        <v>0</v>
      </c>
      <c r="W203" s="130">
        <f t="shared" si="210"/>
        <v>0</v>
      </c>
      <c r="X203" s="130">
        <f t="shared" si="210"/>
        <v>0</v>
      </c>
      <c r="Y203" s="130">
        <f t="shared" si="210"/>
        <v>0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219.98467944630599</v>
      </c>
      <c r="C204" s="130">
        <f t="shared" si="211"/>
        <v>195.58242547962269</v>
      </c>
      <c r="D204" s="130">
        <f t="shared" si="211"/>
        <v>239.79210942665895</v>
      </c>
      <c r="E204" s="130">
        <f t="shared" si="211"/>
        <v>245.9184796291768</v>
      </c>
      <c r="F204" s="130">
        <f t="shared" si="211"/>
        <v>269.58472655303353</v>
      </c>
      <c r="G204" s="130">
        <f t="shared" si="211"/>
        <v>265.86758613266335</v>
      </c>
      <c r="H204" s="130">
        <f t="shared" si="211"/>
        <v>279.20743522971611</v>
      </c>
      <c r="I204" s="130">
        <f t="shared" si="211"/>
        <v>256.4643237595904</v>
      </c>
      <c r="J204" s="130">
        <f t="shared" si="211"/>
        <v>246.88800497588093</v>
      </c>
      <c r="K204" s="130">
        <f t="shared" si="211"/>
        <v>228.56571153813755</v>
      </c>
      <c r="L204" s="130">
        <f t="shared" si="211"/>
        <v>211.56828995009769</v>
      </c>
      <c r="M204" s="130">
        <f t="shared" si="211"/>
        <v>230.99855018521976</v>
      </c>
      <c r="N204" s="130">
        <f t="shared" si="211"/>
        <v>223.62484775587183</v>
      </c>
      <c r="O204" s="130">
        <f t="shared" si="211"/>
        <v>200.89301866286746</v>
      </c>
      <c r="P204" s="130">
        <f t="shared" si="211"/>
        <v>173.25617488813802</v>
      </c>
      <c r="Q204" s="130">
        <f t="shared" si="211"/>
        <v>178.85846163935747</v>
      </c>
      <c r="R204" s="130">
        <f t="shared" si="211"/>
        <v>161.64242477173613</v>
      </c>
      <c r="S204" s="130">
        <f t="shared" si="211"/>
        <v>186.62636193158693</v>
      </c>
      <c r="T204" s="130">
        <f t="shared" si="211"/>
        <v>165.57184435514316</v>
      </c>
      <c r="U204" s="130">
        <f t="shared" si="211"/>
        <v>107.5380525450925</v>
      </c>
      <c r="V204" s="130">
        <f t="shared" si="211"/>
        <v>146.45848980539668</v>
      </c>
      <c r="W204" s="130">
        <f t="shared" si="211"/>
        <v>160.83476823220843</v>
      </c>
      <c r="X204" s="130">
        <f t="shared" si="211"/>
        <v>158.82663194793793</v>
      </c>
      <c r="Y204" s="130">
        <f t="shared" si="211"/>
        <v>142.91713068153379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265.05941476636758</v>
      </c>
      <c r="C206" s="97">
        <f t="shared" si="213"/>
        <v>236.39166161154262</v>
      </c>
      <c r="D206" s="97">
        <f t="shared" si="213"/>
        <v>287.59633819825751</v>
      </c>
      <c r="E206" s="97">
        <f t="shared" si="213"/>
        <v>291.11028406968234</v>
      </c>
      <c r="F206" s="97">
        <f t="shared" si="213"/>
        <v>319.87430127275297</v>
      </c>
      <c r="G206" s="97">
        <f t="shared" si="213"/>
        <v>303.6204288519852</v>
      </c>
      <c r="H206" s="97">
        <f t="shared" si="213"/>
        <v>333.64396838500278</v>
      </c>
      <c r="I206" s="97">
        <f t="shared" si="213"/>
        <v>313.6599618954362</v>
      </c>
      <c r="J206" s="97">
        <f t="shared" si="213"/>
        <v>311.621016902414</v>
      </c>
      <c r="K206" s="97">
        <f t="shared" si="213"/>
        <v>290.8001841806763</v>
      </c>
      <c r="L206" s="97">
        <f t="shared" si="213"/>
        <v>268.47255687069577</v>
      </c>
      <c r="M206" s="97">
        <f t="shared" si="213"/>
        <v>291.91295926805128</v>
      </c>
      <c r="N206" s="97">
        <f t="shared" si="213"/>
        <v>255.38787658734901</v>
      </c>
      <c r="O206" s="97">
        <f t="shared" si="213"/>
        <v>249.71883188723803</v>
      </c>
      <c r="P206" s="97">
        <f t="shared" si="213"/>
        <v>221.06827069518081</v>
      </c>
      <c r="Q206" s="97">
        <f t="shared" si="213"/>
        <v>231.68429212085931</v>
      </c>
      <c r="R206" s="97">
        <f t="shared" si="213"/>
        <v>209.52287437690839</v>
      </c>
      <c r="S206" s="97">
        <f t="shared" si="213"/>
        <v>227.05059184711484</v>
      </c>
      <c r="T206" s="97">
        <f t="shared" si="213"/>
        <v>215.14705755928722</v>
      </c>
      <c r="U206" s="97">
        <f t="shared" si="213"/>
        <v>178.37661848481156</v>
      </c>
      <c r="V206" s="97">
        <f t="shared" si="213"/>
        <v>170.05586193114632</v>
      </c>
      <c r="W206" s="97">
        <f t="shared" si="213"/>
        <v>205.64327334229151</v>
      </c>
      <c r="X206" s="97">
        <f t="shared" si="213"/>
        <v>179.50680092308977</v>
      </c>
      <c r="Y206" s="97">
        <f t="shared" si="213"/>
        <v>167.61077368334711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49.527808122949047</v>
      </c>
      <c r="C207" s="97">
        <f t="shared" si="214"/>
        <v>47.634711283980963</v>
      </c>
      <c r="D207" s="97">
        <f t="shared" si="214"/>
        <v>58.112932263370027</v>
      </c>
      <c r="E207" s="97">
        <f t="shared" si="214"/>
        <v>64.078283317224489</v>
      </c>
      <c r="F207" s="97">
        <f t="shared" si="214"/>
        <v>64.648624308931787</v>
      </c>
      <c r="G207" s="97">
        <f t="shared" si="214"/>
        <v>65.490511080808417</v>
      </c>
      <c r="H207" s="97">
        <f t="shared" si="214"/>
        <v>45.795625813150359</v>
      </c>
      <c r="I207" s="97">
        <f t="shared" si="214"/>
        <v>39.611996889720857</v>
      </c>
      <c r="J207" s="97">
        <f t="shared" si="214"/>
        <v>39.793652794459817</v>
      </c>
      <c r="K207" s="97">
        <f t="shared" si="214"/>
        <v>47.377652541691575</v>
      </c>
      <c r="L207" s="97">
        <f t="shared" si="214"/>
        <v>56.799387118861034</v>
      </c>
      <c r="M207" s="97">
        <f t="shared" si="214"/>
        <v>40.934076879851091</v>
      </c>
      <c r="N207" s="97">
        <f t="shared" si="214"/>
        <v>43.289136288743293</v>
      </c>
      <c r="O207" s="97">
        <f t="shared" si="214"/>
        <v>30.834430640163305</v>
      </c>
      <c r="P207" s="97">
        <f t="shared" si="214"/>
        <v>21.858124579613921</v>
      </c>
      <c r="Q207" s="97">
        <f t="shared" si="214"/>
        <v>25.266842004433009</v>
      </c>
      <c r="R207" s="97">
        <f t="shared" si="214"/>
        <v>17.297939261217493</v>
      </c>
      <c r="S207" s="97">
        <f t="shared" si="214"/>
        <v>25.416664896555901</v>
      </c>
      <c r="T207" s="97">
        <f t="shared" si="214"/>
        <v>21.488041876137739</v>
      </c>
      <c r="U207" s="97">
        <f t="shared" si="214"/>
        <v>28.567721155485049</v>
      </c>
      <c r="V207" s="97">
        <f t="shared" si="214"/>
        <v>96.811245613041137</v>
      </c>
      <c r="W207" s="97">
        <f t="shared" si="214"/>
        <v>34.599789059975109</v>
      </c>
      <c r="X207" s="97">
        <f t="shared" si="214"/>
        <v>82.413735812487431</v>
      </c>
      <c r="Y207" s="97">
        <f t="shared" si="214"/>
        <v>68.103115158551674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0</v>
      </c>
      <c r="C208" s="130">
        <f t="shared" si="215"/>
        <v>0</v>
      </c>
      <c r="D208" s="130">
        <f t="shared" si="215"/>
        <v>0</v>
      </c>
      <c r="E208" s="130">
        <f t="shared" si="215"/>
        <v>0</v>
      </c>
      <c r="F208" s="130">
        <f t="shared" si="215"/>
        <v>0</v>
      </c>
      <c r="G208" s="130">
        <f t="shared" si="215"/>
        <v>0</v>
      </c>
      <c r="H208" s="130">
        <f t="shared" si="215"/>
        <v>0</v>
      </c>
      <c r="I208" s="130">
        <f t="shared" si="215"/>
        <v>0</v>
      </c>
      <c r="J208" s="130">
        <f t="shared" si="215"/>
        <v>0</v>
      </c>
      <c r="K208" s="130">
        <f t="shared" si="215"/>
        <v>0</v>
      </c>
      <c r="L208" s="130">
        <f t="shared" si="215"/>
        <v>0</v>
      </c>
      <c r="M208" s="130">
        <f t="shared" si="215"/>
        <v>0</v>
      </c>
      <c r="N208" s="130">
        <f t="shared" si="215"/>
        <v>0</v>
      </c>
      <c r="O208" s="130">
        <f t="shared" si="215"/>
        <v>0</v>
      </c>
      <c r="P208" s="130">
        <f t="shared" si="215"/>
        <v>0</v>
      </c>
      <c r="Q208" s="130">
        <f t="shared" si="215"/>
        <v>0</v>
      </c>
      <c r="R208" s="130">
        <f t="shared" si="215"/>
        <v>0</v>
      </c>
      <c r="S208" s="130">
        <f t="shared" si="215"/>
        <v>71.789273344340018</v>
      </c>
      <c r="T208" s="130">
        <f t="shared" si="215"/>
        <v>71.158074355082789</v>
      </c>
      <c r="U208" s="130">
        <f t="shared" si="215"/>
        <v>73.068662865147516</v>
      </c>
      <c r="V208" s="130">
        <f t="shared" si="215"/>
        <v>67.338506400146713</v>
      </c>
      <c r="W208" s="130">
        <f t="shared" si="215"/>
        <v>73.171115831541059</v>
      </c>
      <c r="X208" s="130">
        <f t="shared" si="215"/>
        <v>77.085697331454469</v>
      </c>
      <c r="Y208" s="130">
        <f t="shared" si="215"/>
        <v>79.02140139905498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0</v>
      </c>
      <c r="C209" s="97">
        <f t="shared" si="216"/>
        <v>0</v>
      </c>
      <c r="D209" s="97">
        <f t="shared" si="216"/>
        <v>0</v>
      </c>
      <c r="E209" s="97">
        <f t="shared" si="216"/>
        <v>0</v>
      </c>
      <c r="F209" s="97">
        <f t="shared" si="216"/>
        <v>0</v>
      </c>
      <c r="G209" s="97">
        <f t="shared" si="216"/>
        <v>0</v>
      </c>
      <c r="H209" s="97">
        <f t="shared" si="216"/>
        <v>0</v>
      </c>
      <c r="I209" s="97">
        <f t="shared" si="216"/>
        <v>0</v>
      </c>
      <c r="J209" s="97">
        <f t="shared" si="216"/>
        <v>0</v>
      </c>
      <c r="K209" s="97">
        <f t="shared" si="216"/>
        <v>0</v>
      </c>
      <c r="L209" s="97">
        <f t="shared" si="216"/>
        <v>0</v>
      </c>
      <c r="M209" s="97">
        <f t="shared" si="216"/>
        <v>0</v>
      </c>
      <c r="N209" s="97">
        <f t="shared" si="216"/>
        <v>0</v>
      </c>
      <c r="O209" s="97">
        <f t="shared" si="216"/>
        <v>0</v>
      </c>
      <c r="P209" s="97">
        <f t="shared" si="216"/>
        <v>0</v>
      </c>
      <c r="Q209" s="97">
        <f t="shared" si="216"/>
        <v>0</v>
      </c>
      <c r="R209" s="97">
        <f t="shared" si="216"/>
        <v>0</v>
      </c>
      <c r="S209" s="97">
        <f t="shared" si="216"/>
        <v>71.789273344340018</v>
      </c>
      <c r="T209" s="97">
        <f t="shared" si="216"/>
        <v>71.158074355082789</v>
      </c>
      <c r="U209" s="97">
        <f t="shared" si="216"/>
        <v>73.068662865147516</v>
      </c>
      <c r="V209" s="97">
        <f t="shared" si="216"/>
        <v>67.338506400146713</v>
      </c>
      <c r="W209" s="97">
        <f t="shared" si="216"/>
        <v>73.171115831541059</v>
      </c>
      <c r="X209" s="97">
        <f t="shared" si="216"/>
        <v>77.085697331454469</v>
      </c>
      <c r="Y209" s="97">
        <f t="shared" si="216"/>
        <v>79.02140139905498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40.990788414151439</v>
      </c>
      <c r="C211" s="32">
        <f t="shared" si="218"/>
        <v>42.199465040512237</v>
      </c>
      <c r="D211" s="32">
        <f t="shared" si="218"/>
        <v>41.894932289684135</v>
      </c>
      <c r="E211" s="32">
        <f t="shared" si="218"/>
        <v>48.560653434961992</v>
      </c>
      <c r="F211" s="32">
        <f t="shared" si="218"/>
        <v>16.652589894293577</v>
      </c>
      <c r="G211" s="32">
        <f t="shared" si="218"/>
        <v>67.022407587089617</v>
      </c>
      <c r="H211" s="32">
        <f t="shared" si="218"/>
        <v>64.725156986587251</v>
      </c>
      <c r="I211" s="32">
        <f t="shared" si="218"/>
        <v>39.016254070252103</v>
      </c>
      <c r="J211" s="32">
        <f t="shared" si="218"/>
        <v>36.484269471878775</v>
      </c>
      <c r="K211" s="32">
        <f t="shared" si="218"/>
        <v>46.809964601326485</v>
      </c>
      <c r="L211" s="32">
        <f t="shared" si="218"/>
        <v>38.577547864154702</v>
      </c>
      <c r="M211" s="32">
        <f t="shared" si="218"/>
        <v>24.00283100638698</v>
      </c>
      <c r="N211" s="32">
        <f t="shared" si="218"/>
        <v>19.326917313370945</v>
      </c>
      <c r="O211" s="32">
        <f t="shared" si="218"/>
        <v>24.99133680084816</v>
      </c>
      <c r="P211" s="32">
        <f t="shared" si="218"/>
        <v>22.932190720219776</v>
      </c>
      <c r="Q211" s="32">
        <f t="shared" si="218"/>
        <v>23.187136062325255</v>
      </c>
      <c r="R211" s="32">
        <f t="shared" si="218"/>
        <v>20.066109533679235</v>
      </c>
      <c r="S211" s="32">
        <f t="shared" si="218"/>
        <v>21.796125182391886</v>
      </c>
      <c r="T211" s="32">
        <f t="shared" si="218"/>
        <v>24.111205505461264</v>
      </c>
      <c r="U211" s="32">
        <f t="shared" si="218"/>
        <v>24.391671545243948</v>
      </c>
      <c r="V211" s="32">
        <f t="shared" si="218"/>
        <v>24.576511068209122</v>
      </c>
      <c r="W211" s="32">
        <f t="shared" si="218"/>
        <v>22.862883994416872</v>
      </c>
      <c r="X211" s="32">
        <f t="shared" si="218"/>
        <v>25.222740535207276</v>
      </c>
      <c r="Y211" s="32">
        <f t="shared" si="218"/>
        <v>16.625451387438133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34.385813932932031</v>
      </c>
      <c r="C212" s="97">
        <f t="shared" si="219"/>
        <v>35.464883530385592</v>
      </c>
      <c r="D212" s="97">
        <f t="shared" si="219"/>
        <v>35.190657783013897</v>
      </c>
      <c r="E212" s="97">
        <f t="shared" si="219"/>
        <v>40.833900390064059</v>
      </c>
      <c r="F212" s="97">
        <f t="shared" si="219"/>
        <v>13.62085373840822</v>
      </c>
      <c r="G212" s="97">
        <f t="shared" si="219"/>
        <v>78.948441425591469</v>
      </c>
      <c r="H212" s="97">
        <f t="shared" si="219"/>
        <v>72.256634874468531</v>
      </c>
      <c r="I212" s="97">
        <f t="shared" si="219"/>
        <v>68.481329813928639</v>
      </c>
      <c r="J212" s="97">
        <f t="shared" si="219"/>
        <v>47.646868876521374</v>
      </c>
      <c r="K212" s="97">
        <f t="shared" si="219"/>
        <v>50.097654602160496</v>
      </c>
      <c r="L212" s="97">
        <f t="shared" si="219"/>
        <v>47.895779087052993</v>
      </c>
      <c r="M212" s="97">
        <f t="shared" si="219"/>
        <v>23.478501068212395</v>
      </c>
      <c r="N212" s="97">
        <f t="shared" si="219"/>
        <v>19.647341340136769</v>
      </c>
      <c r="O212" s="97">
        <f t="shared" si="219"/>
        <v>25.88045069025285</v>
      </c>
      <c r="P212" s="97">
        <f t="shared" si="219"/>
        <v>24.153469292826067</v>
      </c>
      <c r="Q212" s="97">
        <f t="shared" si="219"/>
        <v>25.086357879137385</v>
      </c>
      <c r="R212" s="97">
        <f t="shared" si="219"/>
        <v>21.699481031169483</v>
      </c>
      <c r="S212" s="97">
        <f t="shared" si="219"/>
        <v>24.963060356195815</v>
      </c>
      <c r="T212" s="97">
        <f t="shared" si="219"/>
        <v>29.203016473551898</v>
      </c>
      <c r="U212" s="97">
        <f t="shared" si="219"/>
        <v>26.354873905664796</v>
      </c>
      <c r="V212" s="97">
        <f t="shared" si="219"/>
        <v>24.691285452000294</v>
      </c>
      <c r="W212" s="97">
        <f t="shared" si="219"/>
        <v>21.702572088500034</v>
      </c>
      <c r="X212" s="97">
        <f t="shared" si="219"/>
        <v>28.925406164416394</v>
      </c>
      <c r="Y212" s="97">
        <f t="shared" si="219"/>
        <v>18.788719960479519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57.892106589032188</v>
      </c>
      <c r="C213" s="98">
        <f t="shared" si="220"/>
        <v>59.453409684272088</v>
      </c>
      <c r="D213" s="98">
        <f t="shared" si="220"/>
        <v>58.8330628128139</v>
      </c>
      <c r="E213" s="98">
        <f t="shared" si="220"/>
        <v>72.622319278637391</v>
      </c>
      <c r="F213" s="98">
        <f t="shared" si="220"/>
        <v>28.679864435991309</v>
      </c>
      <c r="G213" s="98">
        <f t="shared" si="220"/>
        <v>53.97305463804507</v>
      </c>
      <c r="H213" s="98">
        <f t="shared" si="220"/>
        <v>55.140788161281534</v>
      </c>
      <c r="I213" s="98">
        <f t="shared" si="220"/>
        <v>26.251816654174998</v>
      </c>
      <c r="J213" s="98">
        <f t="shared" si="220"/>
        <v>26.576909234699606</v>
      </c>
      <c r="K213" s="98">
        <f t="shared" si="220"/>
        <v>43.101826872316231</v>
      </c>
      <c r="L213" s="98">
        <f t="shared" si="220"/>
        <v>29.992815245352503</v>
      </c>
      <c r="M213" s="98">
        <f t="shared" si="220"/>
        <v>24.935137954495922</v>
      </c>
      <c r="N213" s="98">
        <f t="shared" si="220"/>
        <v>18.741425472837928</v>
      </c>
      <c r="O213" s="98">
        <f t="shared" si="220"/>
        <v>23.421830203099475</v>
      </c>
      <c r="P213" s="98">
        <f t="shared" si="220"/>
        <v>21.015916358843995</v>
      </c>
      <c r="Q213" s="98">
        <f t="shared" si="220"/>
        <v>20.292952898886984</v>
      </c>
      <c r="R213" s="98">
        <f t="shared" si="220"/>
        <v>17.661208553132809</v>
      </c>
      <c r="S213" s="98">
        <f t="shared" si="220"/>
        <v>18.011705231226369</v>
      </c>
      <c r="T213" s="98">
        <f t="shared" si="220"/>
        <v>19.210969279501796</v>
      </c>
      <c r="U213" s="98">
        <f t="shared" si="220"/>
        <v>21.608299797831034</v>
      </c>
      <c r="V213" s="98">
        <f t="shared" si="220"/>
        <v>24.402237084415564</v>
      </c>
      <c r="W213" s="98">
        <f t="shared" si="220"/>
        <v>24.907314904818026</v>
      </c>
      <c r="X213" s="98">
        <f t="shared" si="220"/>
        <v>20.603804346680079</v>
      </c>
      <c r="Y213" s="98">
        <f t="shared" si="220"/>
        <v>13.627792746392053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131.79797091898396</v>
      </c>
      <c r="C216" s="32">
        <f t="shared" si="221"/>
        <v>131.93979981934743</v>
      </c>
      <c r="D216" s="32">
        <f t="shared" si="221"/>
        <v>149.10562792437662</v>
      </c>
      <c r="E216" s="32">
        <f t="shared" si="221"/>
        <v>154.5797362100827</v>
      </c>
      <c r="F216" s="32">
        <f t="shared" si="221"/>
        <v>151.87669703086044</v>
      </c>
      <c r="G216" s="32">
        <f t="shared" si="221"/>
        <v>146.29533831111951</v>
      </c>
      <c r="H216" s="32">
        <f t="shared" si="221"/>
        <v>149.61510974275376</v>
      </c>
      <c r="I216" s="32">
        <f t="shared" si="221"/>
        <v>152.04531557352448</v>
      </c>
      <c r="J216" s="32">
        <f t="shared" si="221"/>
        <v>147.15705892237528</v>
      </c>
      <c r="K216" s="32">
        <f t="shared" si="221"/>
        <v>150.79847743350032</v>
      </c>
      <c r="L216" s="32">
        <f t="shared" si="221"/>
        <v>152.47627019215187</v>
      </c>
      <c r="M216" s="32">
        <f t="shared" si="221"/>
        <v>152.29060594126574</v>
      </c>
      <c r="N216" s="32">
        <f t="shared" si="221"/>
        <v>140.48297793590012</v>
      </c>
      <c r="O216" s="32">
        <f t="shared" si="221"/>
        <v>128.94272429944013</v>
      </c>
      <c r="P216" s="32">
        <f t="shared" si="221"/>
        <v>125.3192946009933</v>
      </c>
      <c r="Q216" s="32">
        <f t="shared" si="221"/>
        <v>127.78851133981014</v>
      </c>
      <c r="R216" s="32">
        <f t="shared" si="221"/>
        <v>121.87846638477404</v>
      </c>
      <c r="S216" s="32">
        <f t="shared" si="221"/>
        <v>120.49885835687337</v>
      </c>
      <c r="T216" s="32">
        <f t="shared" si="221"/>
        <v>115.94879586933202</v>
      </c>
      <c r="U216" s="32">
        <f t="shared" si="221"/>
        <v>112.22959881967328</v>
      </c>
      <c r="V216" s="32">
        <f t="shared" si="221"/>
        <v>170.06016757879709</v>
      </c>
      <c r="W216" s="32">
        <f t="shared" si="221"/>
        <v>145.81487902423913</v>
      </c>
      <c r="X216" s="32">
        <f t="shared" si="221"/>
        <v>120.41180182299081</v>
      </c>
      <c r="Y216" s="32">
        <f t="shared" si="221"/>
        <v>111.29505564501316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203.1571229864355</v>
      </c>
      <c r="C217" s="141">
        <f t="shared" si="222"/>
        <v>207.78051156196645</v>
      </c>
      <c r="D217" s="141">
        <f t="shared" si="222"/>
        <v>204.39429228221857</v>
      </c>
      <c r="E217" s="141">
        <f t="shared" si="222"/>
        <v>215.7100746519846</v>
      </c>
      <c r="F217" s="141">
        <f t="shared" si="222"/>
        <v>221.27246026941677</v>
      </c>
      <c r="G217" s="141">
        <f t="shared" si="222"/>
        <v>218.6539565675391</v>
      </c>
      <c r="H217" s="141">
        <f t="shared" si="222"/>
        <v>220.74204486719643</v>
      </c>
      <c r="I217" s="141">
        <f t="shared" si="222"/>
        <v>227.6090870261601</v>
      </c>
      <c r="J217" s="141">
        <f t="shared" si="222"/>
        <v>218.83564888814905</v>
      </c>
      <c r="K217" s="141">
        <f t="shared" si="222"/>
        <v>219.69273175822218</v>
      </c>
      <c r="L217" s="141">
        <f t="shared" si="222"/>
        <v>226.60205620837814</v>
      </c>
      <c r="M217" s="141">
        <f t="shared" si="222"/>
        <v>220.98265555705518</v>
      </c>
      <c r="N217" s="141">
        <f t="shared" si="222"/>
        <v>206.20481562962817</v>
      </c>
      <c r="O217" s="141">
        <f t="shared" si="222"/>
        <v>192.2154792265722</v>
      </c>
      <c r="P217" s="141">
        <f t="shared" si="222"/>
        <v>186.65276838414746</v>
      </c>
      <c r="Q217" s="141">
        <f t="shared" si="222"/>
        <v>188.92661107338003</v>
      </c>
      <c r="R217" s="141">
        <f t="shared" si="222"/>
        <v>189.89142215944798</v>
      </c>
      <c r="S217" s="141">
        <f t="shared" si="222"/>
        <v>190.99606926917807</v>
      </c>
      <c r="T217" s="141">
        <f t="shared" si="222"/>
        <v>184.89262207291995</v>
      </c>
      <c r="U217" s="141">
        <f t="shared" si="222"/>
        <v>182.41959873937233</v>
      </c>
      <c r="V217" s="141">
        <f t="shared" si="222"/>
        <v>194.61102316955967</v>
      </c>
      <c r="W217" s="141">
        <f t="shared" si="222"/>
        <v>195.69567534335533</v>
      </c>
      <c r="X217" s="141">
        <f t="shared" si="222"/>
        <v>178.43913765699995</v>
      </c>
      <c r="Y217" s="141">
        <f t="shared" si="222"/>
        <v>173.94709309799023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114.72212842509161</v>
      </c>
      <c r="C218" s="97">
        <f t="shared" si="223"/>
        <v>113.79257025835689</v>
      </c>
      <c r="D218" s="97">
        <f t="shared" si="223"/>
        <v>115.05178273744757</v>
      </c>
      <c r="E218" s="97">
        <f t="shared" si="223"/>
        <v>114.25246124869393</v>
      </c>
      <c r="F218" s="97">
        <f t="shared" si="223"/>
        <v>113.75109663595393</v>
      </c>
      <c r="G218" s="97">
        <f t="shared" si="223"/>
        <v>112.99029597585469</v>
      </c>
      <c r="H218" s="97">
        <f t="shared" si="223"/>
        <v>112.03501504306216</v>
      </c>
      <c r="I218" s="97">
        <f t="shared" si="223"/>
        <v>110.85749061915868</v>
      </c>
      <c r="J218" s="97">
        <f t="shared" si="223"/>
        <v>109.68195336888709</v>
      </c>
      <c r="K218" s="97">
        <f t="shared" si="223"/>
        <v>108.41203373873029</v>
      </c>
      <c r="L218" s="97">
        <f t="shared" si="223"/>
        <v>107.00009497690722</v>
      </c>
      <c r="M218" s="97">
        <f t="shared" si="223"/>
        <v>105.75600388923053</v>
      </c>
      <c r="N218" s="97">
        <f t="shared" si="223"/>
        <v>106.02197711185303</v>
      </c>
      <c r="O218" s="97">
        <f t="shared" si="223"/>
        <v>104.86015201677687</v>
      </c>
      <c r="P218" s="97">
        <f t="shared" si="223"/>
        <v>104.01372022079225</v>
      </c>
      <c r="Q218" s="97">
        <f t="shared" si="223"/>
        <v>102.08570365935647</v>
      </c>
      <c r="R218" s="97">
        <f t="shared" si="223"/>
        <v>101.19552356607586</v>
      </c>
      <c r="S218" s="97">
        <f t="shared" si="223"/>
        <v>100.33458006907271</v>
      </c>
      <c r="T218" s="97">
        <f t="shared" si="223"/>
        <v>99.116368628729631</v>
      </c>
      <c r="U218" s="97">
        <f t="shared" si="223"/>
        <v>98.137152710039629</v>
      </c>
      <c r="V218" s="97">
        <f t="shared" si="223"/>
        <v>96.987391088238979</v>
      </c>
      <c r="W218" s="97">
        <f t="shared" si="223"/>
        <v>95.994762858677106</v>
      </c>
      <c r="X218" s="97">
        <f t="shared" si="223"/>
        <v>95.338127582634669</v>
      </c>
      <c r="Y218" s="97">
        <f t="shared" si="223"/>
        <v>94.189582271997025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192.83606301275748</v>
      </c>
      <c r="C219" s="97">
        <f t="shared" si="224"/>
        <v>199.85937297074176</v>
      </c>
      <c r="D219" s="97">
        <f t="shared" si="224"/>
        <v>199.2076941135615</v>
      </c>
      <c r="E219" s="97">
        <f t="shared" si="224"/>
        <v>213.58929877112897</v>
      </c>
      <c r="F219" s="97">
        <f t="shared" si="224"/>
        <v>215.69870757176128</v>
      </c>
      <c r="G219" s="97">
        <f t="shared" si="224"/>
        <v>217.67314135527249</v>
      </c>
      <c r="H219" s="97">
        <f t="shared" si="224"/>
        <v>220.4391196849817</v>
      </c>
      <c r="I219" s="97">
        <f t="shared" si="224"/>
        <v>227.18014894536847</v>
      </c>
      <c r="J219" s="97">
        <f t="shared" si="224"/>
        <v>220.2794155954881</v>
      </c>
      <c r="K219" s="97">
        <f t="shared" si="224"/>
        <v>219.0014433635348</v>
      </c>
      <c r="L219" s="97">
        <f t="shared" si="224"/>
        <v>227.54396209457261</v>
      </c>
      <c r="M219" s="97">
        <f t="shared" si="224"/>
        <v>222.59382698910832</v>
      </c>
      <c r="N219" s="97">
        <f t="shared" si="224"/>
        <v>210.3956936059906</v>
      </c>
      <c r="O219" s="97">
        <f t="shared" si="224"/>
        <v>197.17970023318773</v>
      </c>
      <c r="P219" s="97">
        <f t="shared" si="224"/>
        <v>189.78116501915935</v>
      </c>
      <c r="Q219" s="97">
        <f t="shared" si="224"/>
        <v>190.38570366594038</v>
      </c>
      <c r="R219" s="97">
        <f t="shared" si="224"/>
        <v>190.77459534287789</v>
      </c>
      <c r="S219" s="97">
        <f t="shared" si="224"/>
        <v>191.47329578800102</v>
      </c>
      <c r="T219" s="97">
        <f t="shared" si="224"/>
        <v>185.06552252579246</v>
      </c>
      <c r="U219" s="97">
        <f t="shared" si="224"/>
        <v>181.62367193679961</v>
      </c>
      <c r="V219" s="97">
        <f t="shared" si="224"/>
        <v>184.84482280747775</v>
      </c>
      <c r="W219" s="97">
        <f t="shared" si="224"/>
        <v>184.94722367443319</v>
      </c>
      <c r="X219" s="97">
        <f t="shared" si="224"/>
        <v>174.36830257346526</v>
      </c>
      <c r="Y219" s="97">
        <f t="shared" si="224"/>
        <v>171.20171382218899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250.75230846219264</v>
      </c>
      <c r="C220" s="97">
        <f t="shared" si="225"/>
        <v>246.87000055908169</v>
      </c>
      <c r="D220" s="97">
        <f t="shared" si="225"/>
        <v>232.52504393753881</v>
      </c>
      <c r="E220" s="97">
        <f t="shared" si="225"/>
        <v>233.86506224809318</v>
      </c>
      <c r="F220" s="97">
        <f t="shared" si="225"/>
        <v>254.2473900459712</v>
      </c>
      <c r="G220" s="97">
        <f t="shared" si="225"/>
        <v>234.1268288149692</v>
      </c>
      <c r="H220" s="97">
        <f t="shared" si="225"/>
        <v>233.81123017072238</v>
      </c>
      <c r="I220" s="97">
        <f t="shared" si="225"/>
        <v>242.07927204268006</v>
      </c>
      <c r="J220" s="97">
        <f t="shared" si="225"/>
        <v>224.50519992139689</v>
      </c>
      <c r="K220" s="97">
        <f t="shared" si="225"/>
        <v>235.44010137081568</v>
      </c>
      <c r="L220" s="97">
        <f t="shared" si="225"/>
        <v>235.54685406540213</v>
      </c>
      <c r="M220" s="97">
        <f t="shared" si="225"/>
        <v>225.9887175966569</v>
      </c>
      <c r="N220" s="97">
        <f t="shared" si="225"/>
        <v>198.35064491462796</v>
      </c>
      <c r="O220" s="97">
        <f t="shared" si="225"/>
        <v>179.45830946146884</v>
      </c>
      <c r="P220" s="97">
        <f t="shared" si="225"/>
        <v>181.29214945416538</v>
      </c>
      <c r="Q220" s="97">
        <f t="shared" si="225"/>
        <v>191.06037709039526</v>
      </c>
      <c r="R220" s="97">
        <f t="shared" si="225"/>
        <v>194.3625560457684</v>
      </c>
      <c r="S220" s="97">
        <f t="shared" si="225"/>
        <v>196.67201561190919</v>
      </c>
      <c r="T220" s="97">
        <f t="shared" si="225"/>
        <v>190.87203868802135</v>
      </c>
      <c r="U220" s="97">
        <f t="shared" si="225"/>
        <v>192.84695813662805</v>
      </c>
      <c r="V220" s="97">
        <f t="shared" si="225"/>
        <v>274.81406424125356</v>
      </c>
      <c r="W220" s="97">
        <f t="shared" si="225"/>
        <v>282.27367157217589</v>
      </c>
      <c r="X220" s="97">
        <f t="shared" si="225"/>
        <v>208.41021916758794</v>
      </c>
      <c r="Y220" s="97">
        <f t="shared" si="225"/>
        <v>195.16522863704068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0</v>
      </c>
      <c r="C221" s="130">
        <f t="shared" si="226"/>
        <v>0</v>
      </c>
      <c r="D221" s="130">
        <f t="shared" si="226"/>
        <v>0</v>
      </c>
      <c r="E221" s="130">
        <f t="shared" si="226"/>
        <v>0</v>
      </c>
      <c r="F221" s="130">
        <f t="shared" si="226"/>
        <v>0</v>
      </c>
      <c r="G221" s="130">
        <f t="shared" si="226"/>
        <v>0</v>
      </c>
      <c r="H221" s="130">
        <f t="shared" si="226"/>
        <v>0</v>
      </c>
      <c r="I221" s="130">
        <f t="shared" si="226"/>
        <v>0</v>
      </c>
      <c r="J221" s="130">
        <f t="shared" si="226"/>
        <v>0</v>
      </c>
      <c r="K221" s="130">
        <f t="shared" si="226"/>
        <v>0</v>
      </c>
      <c r="L221" s="130">
        <f t="shared" si="226"/>
        <v>0</v>
      </c>
      <c r="M221" s="130">
        <f t="shared" si="226"/>
        <v>0</v>
      </c>
      <c r="N221" s="130">
        <f t="shared" si="226"/>
        <v>0</v>
      </c>
      <c r="O221" s="130">
        <f t="shared" si="226"/>
        <v>0</v>
      </c>
      <c r="P221" s="130">
        <f t="shared" si="226"/>
        <v>0</v>
      </c>
      <c r="Q221" s="130">
        <f t="shared" si="226"/>
        <v>0</v>
      </c>
      <c r="R221" s="130">
        <f t="shared" si="226"/>
        <v>0</v>
      </c>
      <c r="S221" s="130">
        <f t="shared" si="226"/>
        <v>0</v>
      </c>
      <c r="T221" s="130">
        <f t="shared" si="226"/>
        <v>0</v>
      </c>
      <c r="U221" s="130">
        <f t="shared" si="226"/>
        <v>0</v>
      </c>
      <c r="V221" s="130">
        <f t="shared" si="226"/>
        <v>0</v>
      </c>
      <c r="W221" s="130">
        <f t="shared" si="226"/>
        <v>0</v>
      </c>
      <c r="X221" s="130">
        <f t="shared" si="226"/>
        <v>0</v>
      </c>
      <c r="Y221" s="130">
        <f t="shared" si="226"/>
        <v>0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0</v>
      </c>
      <c r="C223" s="97">
        <f t="shared" si="228"/>
        <v>0</v>
      </c>
      <c r="D223" s="97">
        <f t="shared" si="228"/>
        <v>0</v>
      </c>
      <c r="E223" s="97">
        <f t="shared" si="228"/>
        <v>0</v>
      </c>
      <c r="F223" s="97">
        <f t="shared" si="228"/>
        <v>0</v>
      </c>
      <c r="G223" s="97">
        <f t="shared" si="228"/>
        <v>0</v>
      </c>
      <c r="H223" s="97">
        <f t="shared" si="228"/>
        <v>0</v>
      </c>
      <c r="I223" s="97">
        <f t="shared" si="228"/>
        <v>0</v>
      </c>
      <c r="J223" s="97">
        <f t="shared" si="228"/>
        <v>0</v>
      </c>
      <c r="K223" s="97">
        <f t="shared" si="228"/>
        <v>0</v>
      </c>
      <c r="L223" s="97">
        <f t="shared" si="228"/>
        <v>0</v>
      </c>
      <c r="M223" s="97">
        <f t="shared" si="228"/>
        <v>0</v>
      </c>
      <c r="N223" s="97">
        <f t="shared" si="228"/>
        <v>0</v>
      </c>
      <c r="O223" s="97">
        <f t="shared" si="228"/>
        <v>0</v>
      </c>
      <c r="P223" s="97">
        <f t="shared" si="228"/>
        <v>0</v>
      </c>
      <c r="Q223" s="97">
        <f t="shared" si="228"/>
        <v>0</v>
      </c>
      <c r="R223" s="97">
        <f t="shared" si="228"/>
        <v>0</v>
      </c>
      <c r="S223" s="97">
        <f t="shared" si="228"/>
        <v>0</v>
      </c>
      <c r="T223" s="97">
        <f t="shared" si="228"/>
        <v>0</v>
      </c>
      <c r="U223" s="97">
        <f t="shared" si="228"/>
        <v>0</v>
      </c>
      <c r="V223" s="97">
        <f t="shared" si="228"/>
        <v>0</v>
      </c>
      <c r="W223" s="97">
        <f t="shared" si="228"/>
        <v>0</v>
      </c>
      <c r="X223" s="97">
        <f t="shared" si="228"/>
        <v>0</v>
      </c>
      <c r="Y223" s="97">
        <f t="shared" si="228"/>
        <v>0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90.980838791400046</v>
      </c>
      <c r="C225" s="130">
        <f t="shared" si="230"/>
        <v>93.301702359720068</v>
      </c>
      <c r="D225" s="130">
        <f t="shared" si="230"/>
        <v>112.68638666488535</v>
      </c>
      <c r="E225" s="130">
        <f t="shared" si="230"/>
        <v>115.24921748286802</v>
      </c>
      <c r="F225" s="130">
        <f t="shared" si="230"/>
        <v>104.05174259775393</v>
      </c>
      <c r="G225" s="130">
        <f t="shared" si="230"/>
        <v>97.136289074602999</v>
      </c>
      <c r="H225" s="130">
        <f t="shared" si="230"/>
        <v>99.606006798586506</v>
      </c>
      <c r="I225" s="130">
        <f t="shared" si="230"/>
        <v>96.048671761728073</v>
      </c>
      <c r="J225" s="130">
        <f t="shared" si="230"/>
        <v>92.275936391163441</v>
      </c>
      <c r="K225" s="130">
        <f t="shared" si="230"/>
        <v>92.35122225376854</v>
      </c>
      <c r="L225" s="130">
        <f t="shared" si="230"/>
        <v>91.984058874397562</v>
      </c>
      <c r="M225" s="130">
        <f t="shared" si="230"/>
        <v>97.70997966357929</v>
      </c>
      <c r="N225" s="130">
        <f t="shared" si="230"/>
        <v>87.944854497601128</v>
      </c>
      <c r="O225" s="130">
        <f t="shared" si="230"/>
        <v>78.537946028505857</v>
      </c>
      <c r="P225" s="130">
        <f t="shared" si="230"/>
        <v>76.291461325953392</v>
      </c>
      <c r="Q225" s="130">
        <f t="shared" si="230"/>
        <v>77.31100242273267</v>
      </c>
      <c r="R225" s="130">
        <f t="shared" si="230"/>
        <v>73.072354943657913</v>
      </c>
      <c r="S225" s="130">
        <f t="shared" si="230"/>
        <v>74.346793862812731</v>
      </c>
      <c r="T225" s="130">
        <f t="shared" si="230"/>
        <v>72.204027849037573</v>
      </c>
      <c r="U225" s="130">
        <f t="shared" si="230"/>
        <v>67.517783129971619</v>
      </c>
      <c r="V225" s="130">
        <f t="shared" si="230"/>
        <v>105.20288586615327</v>
      </c>
      <c r="W225" s="130">
        <f t="shared" si="230"/>
        <v>80.724056782721533</v>
      </c>
      <c r="X225" s="130">
        <f t="shared" si="230"/>
        <v>74.956666091979898</v>
      </c>
      <c r="Y225" s="130">
        <f t="shared" si="230"/>
        <v>69.084952686512338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84.786725035886391</v>
      </c>
      <c r="C227" s="97">
        <f t="shared" si="232"/>
        <v>87.183261398539486</v>
      </c>
      <c r="D227" s="97">
        <f t="shared" si="232"/>
        <v>103.82803560639377</v>
      </c>
      <c r="E227" s="97">
        <f t="shared" si="232"/>
        <v>106.7569103020848</v>
      </c>
      <c r="F227" s="97">
        <f t="shared" si="232"/>
        <v>98.147919378593386</v>
      </c>
      <c r="G227" s="97">
        <f t="shared" si="232"/>
        <v>91.423269321601865</v>
      </c>
      <c r="H227" s="97">
        <f t="shared" si="232"/>
        <v>95.189624059233708</v>
      </c>
      <c r="I227" s="97">
        <f t="shared" si="232"/>
        <v>92.747328523820997</v>
      </c>
      <c r="J227" s="97">
        <f t="shared" si="232"/>
        <v>89.9096008393239</v>
      </c>
      <c r="K227" s="97">
        <f t="shared" si="232"/>
        <v>88.990801058164536</v>
      </c>
      <c r="L227" s="97">
        <f t="shared" si="232"/>
        <v>90.381613365163616</v>
      </c>
      <c r="M227" s="97">
        <f t="shared" si="232"/>
        <v>98.775444703778533</v>
      </c>
      <c r="N227" s="97">
        <f t="shared" si="232"/>
        <v>93.808417529205201</v>
      </c>
      <c r="O227" s="97">
        <f t="shared" si="232"/>
        <v>91.796041145030671</v>
      </c>
      <c r="P227" s="97">
        <f t="shared" si="232"/>
        <v>90.725737792608186</v>
      </c>
      <c r="Q227" s="97">
        <f t="shared" si="232"/>
        <v>90.026118279654767</v>
      </c>
      <c r="R227" s="97">
        <f t="shared" si="232"/>
        <v>91.191295140850002</v>
      </c>
      <c r="S227" s="97">
        <f t="shared" si="232"/>
        <v>90.989658497485237</v>
      </c>
      <c r="T227" s="97">
        <f t="shared" si="232"/>
        <v>87.037071914665091</v>
      </c>
      <c r="U227" s="97">
        <f t="shared" si="232"/>
        <v>80.428298199346941</v>
      </c>
      <c r="V227" s="97">
        <f t="shared" si="232"/>
        <v>92.689342489930937</v>
      </c>
      <c r="W227" s="97">
        <f t="shared" si="232"/>
        <v>101.91387706751722</v>
      </c>
      <c r="X227" s="97">
        <f t="shared" si="232"/>
        <v>70.384849853678944</v>
      </c>
      <c r="Y227" s="97">
        <f t="shared" si="232"/>
        <v>67.151409071125485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182.23510541577744</v>
      </c>
      <c r="C228" s="97">
        <f t="shared" si="233"/>
        <v>179.77793455015924</v>
      </c>
      <c r="D228" s="97">
        <f t="shared" si="233"/>
        <v>196.66127869528708</v>
      </c>
      <c r="E228" s="97">
        <f t="shared" si="233"/>
        <v>191.47430868837824</v>
      </c>
      <c r="F228" s="97">
        <f t="shared" si="233"/>
        <v>165.40021940580917</v>
      </c>
      <c r="G228" s="97">
        <f t="shared" si="233"/>
        <v>163.48946732366844</v>
      </c>
      <c r="H228" s="97">
        <f t="shared" si="233"/>
        <v>142.86687533578919</v>
      </c>
      <c r="I228" s="97">
        <f t="shared" si="233"/>
        <v>125.26370188996184</v>
      </c>
      <c r="J228" s="97">
        <f t="shared" si="233"/>
        <v>111.18856914260839</v>
      </c>
      <c r="K228" s="97">
        <f t="shared" si="233"/>
        <v>119.96204388921495</v>
      </c>
      <c r="L228" s="97">
        <f t="shared" si="233"/>
        <v>102.69588172662742</v>
      </c>
      <c r="M228" s="97">
        <f t="shared" si="233"/>
        <v>91.774605472841344</v>
      </c>
      <c r="N228" s="97">
        <f t="shared" si="233"/>
        <v>65.156272347535946</v>
      </c>
      <c r="O228" s="97">
        <f t="shared" si="233"/>
        <v>44.470746006636311</v>
      </c>
      <c r="P228" s="97">
        <f t="shared" si="233"/>
        <v>41.560896451470271</v>
      </c>
      <c r="Q228" s="97">
        <f t="shared" si="233"/>
        <v>44.234248885900037</v>
      </c>
      <c r="R228" s="97">
        <f t="shared" si="233"/>
        <v>33.744361650914811</v>
      </c>
      <c r="S228" s="97">
        <f t="shared" si="233"/>
        <v>34.662842637297679</v>
      </c>
      <c r="T228" s="97">
        <f t="shared" si="233"/>
        <v>35.275534597537025</v>
      </c>
      <c r="U228" s="97">
        <f t="shared" si="233"/>
        <v>34.731102113859045</v>
      </c>
      <c r="V228" s="97">
        <f t="shared" si="233"/>
        <v>184.81941982564751</v>
      </c>
      <c r="W228" s="97">
        <f t="shared" si="233"/>
        <v>44.761817155371503</v>
      </c>
      <c r="X228" s="97">
        <f t="shared" si="233"/>
        <v>122.82792422985561</v>
      </c>
      <c r="Y228" s="97">
        <f t="shared" si="233"/>
        <v>83.609942696418415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488.19140757241956</v>
      </c>
      <c r="C229" s="32">
        <f t="shared" si="234"/>
        <v>483.85104518146221</v>
      </c>
      <c r="D229" s="32">
        <f t="shared" si="234"/>
        <v>468.63289107684858</v>
      </c>
      <c r="E229" s="32">
        <f t="shared" si="234"/>
        <v>452.83447254681909</v>
      </c>
      <c r="F229" s="32">
        <f t="shared" si="234"/>
        <v>537.41555437993452</v>
      </c>
      <c r="G229" s="32">
        <f t="shared" si="234"/>
        <v>447.9732431445305</v>
      </c>
      <c r="H229" s="32">
        <f t="shared" si="234"/>
        <v>475.72982531465402</v>
      </c>
      <c r="I229" s="32">
        <f t="shared" si="234"/>
        <v>471.63213988851976</v>
      </c>
      <c r="J229" s="32">
        <f t="shared" si="234"/>
        <v>429.98137614182127</v>
      </c>
      <c r="K229" s="32">
        <f t="shared" si="234"/>
        <v>519.71688496031902</v>
      </c>
      <c r="L229" s="32">
        <f t="shared" si="234"/>
        <v>481.99173187036445</v>
      </c>
      <c r="M229" s="32">
        <f t="shared" si="234"/>
        <v>506.72522764366204</v>
      </c>
      <c r="N229" s="32">
        <f t="shared" si="234"/>
        <v>453.71502635882405</v>
      </c>
      <c r="O229" s="32">
        <f t="shared" si="234"/>
        <v>492.42593802754629</v>
      </c>
      <c r="P229" s="32">
        <f t="shared" si="234"/>
        <v>517.64049673824263</v>
      </c>
      <c r="Q229" s="32">
        <f t="shared" si="234"/>
        <v>517.3736300197869</v>
      </c>
      <c r="R229" s="32">
        <f t="shared" si="234"/>
        <v>479.17909747577011</v>
      </c>
      <c r="S229" s="32">
        <f t="shared" si="234"/>
        <v>448.61037441164609</v>
      </c>
      <c r="T229" s="32">
        <f t="shared" si="234"/>
        <v>426.04013385640303</v>
      </c>
      <c r="U229" s="32">
        <f t="shared" si="234"/>
        <v>431.03433863667181</v>
      </c>
      <c r="V229" s="32">
        <f t="shared" si="234"/>
        <v>476.49585858428463</v>
      </c>
      <c r="W229" s="32">
        <f t="shared" si="234"/>
        <v>480.67252103301149</v>
      </c>
      <c r="X229" s="32">
        <f t="shared" si="234"/>
        <v>368.65657863851391</v>
      </c>
      <c r="Y229" s="32">
        <f t="shared" si="234"/>
        <v>358.6304753797412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483.12979908073936</v>
      </c>
      <c r="C230" s="141">
        <f t="shared" si="235"/>
        <v>480.91450974204645</v>
      </c>
      <c r="D230" s="141">
        <f t="shared" si="235"/>
        <v>462.14875716650153</v>
      </c>
      <c r="E230" s="141">
        <f t="shared" si="235"/>
        <v>446.30285088765095</v>
      </c>
      <c r="F230" s="141">
        <f t="shared" si="235"/>
        <v>528.82405326799528</v>
      </c>
      <c r="G230" s="141">
        <f t="shared" si="235"/>
        <v>437.65747623892503</v>
      </c>
      <c r="H230" s="141">
        <f t="shared" si="235"/>
        <v>461.86995126987443</v>
      </c>
      <c r="I230" s="141">
        <f t="shared" si="235"/>
        <v>461.14820725550749</v>
      </c>
      <c r="J230" s="141">
        <f t="shared" si="235"/>
        <v>419.60669786135526</v>
      </c>
      <c r="K230" s="141">
        <f t="shared" si="235"/>
        <v>512.68305296220035</v>
      </c>
      <c r="L230" s="141">
        <f t="shared" si="235"/>
        <v>476.12207539803603</v>
      </c>
      <c r="M230" s="141">
        <f t="shared" si="235"/>
        <v>501.08720057874558</v>
      </c>
      <c r="N230" s="141">
        <f t="shared" si="235"/>
        <v>448.55898170867954</v>
      </c>
      <c r="O230" s="141">
        <f t="shared" si="235"/>
        <v>488.86403442972932</v>
      </c>
      <c r="P230" s="141">
        <f t="shared" si="235"/>
        <v>517.50208570325799</v>
      </c>
      <c r="Q230" s="141">
        <f t="shared" si="235"/>
        <v>516.71131151889347</v>
      </c>
      <c r="R230" s="141">
        <f t="shared" si="235"/>
        <v>479.00119648099013</v>
      </c>
      <c r="S230" s="141">
        <f t="shared" si="235"/>
        <v>448.6109302502295</v>
      </c>
      <c r="T230" s="141">
        <f t="shared" si="235"/>
        <v>426.69111947126436</v>
      </c>
      <c r="U230" s="141">
        <f t="shared" si="235"/>
        <v>435.93437014728636</v>
      </c>
      <c r="V230" s="141">
        <f t="shared" si="235"/>
        <v>479.07234437799821</v>
      </c>
      <c r="W230" s="141">
        <f t="shared" si="235"/>
        <v>484.4947186384922</v>
      </c>
      <c r="X230" s="141">
        <f t="shared" si="235"/>
        <v>370.00176475153626</v>
      </c>
      <c r="Y230" s="141">
        <f t="shared" si="235"/>
        <v>360.37384704931958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3352.0489377951767</v>
      </c>
      <c r="C231" s="97">
        <f t="shared" si="236"/>
        <v>3293.7790076484762</v>
      </c>
      <c r="D231" s="97">
        <f t="shared" si="236"/>
        <v>3081.229949280355</v>
      </c>
      <c r="E231" s="97">
        <f t="shared" si="236"/>
        <v>3057.8468671080764</v>
      </c>
      <c r="F231" s="97">
        <f t="shared" si="236"/>
        <v>3250.134618128548</v>
      </c>
      <c r="G231" s="97">
        <f t="shared" si="236"/>
        <v>2994.880948252734</v>
      </c>
      <c r="H231" s="97">
        <f t="shared" si="236"/>
        <v>2926.7193991576214</v>
      </c>
      <c r="I231" s="97">
        <f t="shared" si="236"/>
        <v>2995.9610989916091</v>
      </c>
      <c r="J231" s="97">
        <f t="shared" si="236"/>
        <v>2771.3245834546938</v>
      </c>
      <c r="K231" s="97">
        <f t="shared" si="236"/>
        <v>2837.9919597758822</v>
      </c>
      <c r="L231" s="97">
        <f t="shared" si="236"/>
        <v>2840.5033115587694</v>
      </c>
      <c r="M231" s="97">
        <f t="shared" si="236"/>
        <v>2696.4042602904715</v>
      </c>
      <c r="N231" s="97">
        <f t="shared" si="236"/>
        <v>2323.8426464998952</v>
      </c>
      <c r="O231" s="97">
        <f t="shared" si="236"/>
        <v>2041.917616473432</v>
      </c>
      <c r="P231" s="97">
        <f t="shared" si="236"/>
        <v>2001.4341978214579</v>
      </c>
      <c r="Q231" s="97">
        <f t="shared" si="236"/>
        <v>2082.1548015804497</v>
      </c>
      <c r="R231" s="97">
        <f t="shared" si="236"/>
        <v>2116.1498220504841</v>
      </c>
      <c r="S231" s="97">
        <f t="shared" si="236"/>
        <v>2126.6443601191645</v>
      </c>
      <c r="T231" s="97">
        <f t="shared" si="236"/>
        <v>2050.6194508987837</v>
      </c>
      <c r="U231" s="97">
        <f t="shared" si="236"/>
        <v>2007.1036058757645</v>
      </c>
      <c r="V231" s="97">
        <f t="shared" si="236"/>
        <v>1998.8880762940407</v>
      </c>
      <c r="W231" s="97">
        <f t="shared" si="236"/>
        <v>2105.8142456357168</v>
      </c>
      <c r="X231" s="97">
        <f t="shared" si="236"/>
        <v>1866.8781101217803</v>
      </c>
      <c r="Y231" s="97">
        <f t="shared" si="236"/>
        <v>1945.9687912733516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114.87501465190752</v>
      </c>
      <c r="C232" s="97">
        <f t="shared" si="237"/>
        <v>114.82851275596437</v>
      </c>
      <c r="D232" s="97">
        <f t="shared" si="237"/>
        <v>108.30326831455086</v>
      </c>
      <c r="E232" s="97">
        <f t="shared" si="237"/>
        <v>110.61787499817824</v>
      </c>
      <c r="F232" s="97">
        <f t="shared" si="237"/>
        <v>121.11953142862693</v>
      </c>
      <c r="G232" s="97">
        <f t="shared" si="237"/>
        <v>115.82073268277605</v>
      </c>
      <c r="H232" s="97">
        <f t="shared" si="237"/>
        <v>113.29929285637114</v>
      </c>
      <c r="I232" s="97">
        <f t="shared" si="237"/>
        <v>117.79001029618634</v>
      </c>
      <c r="J232" s="97">
        <f t="shared" si="237"/>
        <v>111.62534155301975</v>
      </c>
      <c r="K232" s="97">
        <f t="shared" si="237"/>
        <v>120.95761371451682</v>
      </c>
      <c r="L232" s="97">
        <f t="shared" si="237"/>
        <v>122.11129318811381</v>
      </c>
      <c r="M232" s="97">
        <f t="shared" si="237"/>
        <v>117.82068297245667</v>
      </c>
      <c r="N232" s="97">
        <f t="shared" si="237"/>
        <v>101.74879109075728</v>
      </c>
      <c r="O232" s="97">
        <f t="shared" si="237"/>
        <v>95.373877383281624</v>
      </c>
      <c r="P232" s="97">
        <f t="shared" si="237"/>
        <v>97.548838230808087</v>
      </c>
      <c r="Q232" s="97">
        <f t="shared" si="237"/>
        <v>96.355621947384236</v>
      </c>
      <c r="R232" s="97">
        <f t="shared" si="237"/>
        <v>105.69947161949196</v>
      </c>
      <c r="S232" s="97">
        <f t="shared" si="237"/>
        <v>106.24839847198793</v>
      </c>
      <c r="T232" s="97">
        <f t="shared" si="237"/>
        <v>103.0756744379659</v>
      </c>
      <c r="U232" s="97">
        <f t="shared" si="237"/>
        <v>111.88981360089744</v>
      </c>
      <c r="V232" s="97">
        <f t="shared" si="237"/>
        <v>100.15150184188271</v>
      </c>
      <c r="W232" s="97">
        <f t="shared" si="237"/>
        <v>101.7024098966761</v>
      </c>
      <c r="X232" s="97">
        <f t="shared" si="237"/>
        <v>99.813822129758663</v>
      </c>
      <c r="Y232" s="97">
        <f t="shared" si="237"/>
        <v>95.660723921904705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0</v>
      </c>
      <c r="C233" s="130">
        <f t="shared" si="238"/>
        <v>0</v>
      </c>
      <c r="D233" s="130">
        <f t="shared" si="238"/>
        <v>0</v>
      </c>
      <c r="E233" s="130">
        <f t="shared" si="238"/>
        <v>0</v>
      </c>
      <c r="F233" s="130">
        <f t="shared" si="238"/>
        <v>0</v>
      </c>
      <c r="G233" s="130">
        <f t="shared" si="238"/>
        <v>0</v>
      </c>
      <c r="H233" s="130">
        <f t="shared" si="238"/>
        <v>0</v>
      </c>
      <c r="I233" s="130">
        <f t="shared" si="238"/>
        <v>0</v>
      </c>
      <c r="J233" s="130">
        <f t="shared" si="238"/>
        <v>0</v>
      </c>
      <c r="K233" s="130">
        <f t="shared" si="238"/>
        <v>0</v>
      </c>
      <c r="L233" s="130">
        <f t="shared" si="238"/>
        <v>0</v>
      </c>
      <c r="M233" s="130">
        <f t="shared" si="238"/>
        <v>0</v>
      </c>
      <c r="N233" s="130">
        <f t="shared" si="238"/>
        <v>0</v>
      </c>
      <c r="O233" s="130">
        <f t="shared" si="238"/>
        <v>0</v>
      </c>
      <c r="P233" s="130">
        <f t="shared" si="238"/>
        <v>0</v>
      </c>
      <c r="Q233" s="130">
        <f t="shared" si="238"/>
        <v>0</v>
      </c>
      <c r="R233" s="130">
        <f t="shared" si="238"/>
        <v>0</v>
      </c>
      <c r="S233" s="130">
        <f t="shared" si="238"/>
        <v>0</v>
      </c>
      <c r="T233" s="130">
        <f t="shared" si="238"/>
        <v>0</v>
      </c>
      <c r="U233" s="130">
        <f t="shared" si="238"/>
        <v>0</v>
      </c>
      <c r="V233" s="130">
        <f t="shared" si="238"/>
        <v>0</v>
      </c>
      <c r="W233" s="130">
        <f t="shared" si="238"/>
        <v>0</v>
      </c>
      <c r="X233" s="130">
        <f t="shared" si="238"/>
        <v>0</v>
      </c>
      <c r="Y233" s="130">
        <f t="shared" si="238"/>
        <v>0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662.22190439626615</v>
      </c>
      <c r="C234" s="130">
        <f t="shared" si="239"/>
        <v>588.76357477962256</v>
      </c>
      <c r="D234" s="130">
        <f t="shared" si="239"/>
        <v>721.8483930944783</v>
      </c>
      <c r="E234" s="130">
        <f t="shared" si="239"/>
        <v>740.29066167772351</v>
      </c>
      <c r="F234" s="130">
        <f t="shared" si="239"/>
        <v>811.53338252208141</v>
      </c>
      <c r="G234" s="130">
        <f t="shared" si="239"/>
        <v>800.34364051694899</v>
      </c>
      <c r="H234" s="130">
        <f t="shared" si="239"/>
        <v>840.50071098041838</v>
      </c>
      <c r="I234" s="130">
        <f t="shared" si="239"/>
        <v>772.03691328527361</v>
      </c>
      <c r="J234" s="130">
        <f t="shared" si="239"/>
        <v>743.20923274854022</v>
      </c>
      <c r="K234" s="130">
        <f t="shared" si="239"/>
        <v>688.05346424780168</v>
      </c>
      <c r="L234" s="130">
        <f t="shared" si="239"/>
        <v>636.88596966504701</v>
      </c>
      <c r="M234" s="130">
        <f t="shared" si="239"/>
        <v>695.37706080922874</v>
      </c>
      <c r="N234" s="130">
        <f t="shared" si="239"/>
        <v>673.1799365481005</v>
      </c>
      <c r="O234" s="130">
        <f t="shared" si="239"/>
        <v>604.75010229660177</v>
      </c>
      <c r="P234" s="130">
        <f t="shared" si="239"/>
        <v>521.55465722257077</v>
      </c>
      <c r="Q234" s="130">
        <f t="shared" si="239"/>
        <v>538.41927257080499</v>
      </c>
      <c r="R234" s="130">
        <f t="shared" si="239"/>
        <v>486.59367840066517</v>
      </c>
      <c r="S234" s="130">
        <f t="shared" si="239"/>
        <v>561.80305428518591</v>
      </c>
      <c r="T234" s="130">
        <f t="shared" si="239"/>
        <v>498.42244632325554</v>
      </c>
      <c r="U234" s="130">
        <f t="shared" si="239"/>
        <v>323.72278892657539</v>
      </c>
      <c r="V234" s="130">
        <f t="shared" si="239"/>
        <v>440.88533927929171</v>
      </c>
      <c r="W234" s="130">
        <f t="shared" si="239"/>
        <v>484.16238248928488</v>
      </c>
      <c r="X234" s="130">
        <f t="shared" si="239"/>
        <v>478.1172713578917</v>
      </c>
      <c r="Y234" s="130">
        <f t="shared" si="239"/>
        <v>430.22475332822364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797.91079481781253</v>
      </c>
      <c r="C236" s="97">
        <f t="shared" si="241"/>
        <v>711.61199375251374</v>
      </c>
      <c r="D236" s="97">
        <f t="shared" si="241"/>
        <v>865.75390276452629</v>
      </c>
      <c r="E236" s="97">
        <f t="shared" si="241"/>
        <v>876.33196634957801</v>
      </c>
      <c r="F236" s="97">
        <f t="shared" si="241"/>
        <v>962.92055196493993</v>
      </c>
      <c r="G236" s="97">
        <f t="shared" si="241"/>
        <v>913.99137028107646</v>
      </c>
      <c r="H236" s="97">
        <f t="shared" si="241"/>
        <v>1004.3715075538826</v>
      </c>
      <c r="I236" s="97">
        <f t="shared" si="241"/>
        <v>944.21346896548096</v>
      </c>
      <c r="J236" s="97">
        <f t="shared" si="241"/>
        <v>938.07561409469258</v>
      </c>
      <c r="K236" s="97">
        <f t="shared" si="241"/>
        <v>875.39846980078426</v>
      </c>
      <c r="L236" s="97">
        <f t="shared" si="241"/>
        <v>808.18540789537906</v>
      </c>
      <c r="M236" s="97">
        <f t="shared" si="241"/>
        <v>878.74826688383985</v>
      </c>
      <c r="N236" s="97">
        <f t="shared" si="241"/>
        <v>768.79647445936143</v>
      </c>
      <c r="O236" s="97">
        <f t="shared" si="241"/>
        <v>751.73089704340612</v>
      </c>
      <c r="P236" s="97">
        <f t="shared" si="241"/>
        <v>665.483849101793</v>
      </c>
      <c r="Q236" s="97">
        <f t="shared" si="241"/>
        <v>697.44135606691043</v>
      </c>
      <c r="R236" s="97">
        <f t="shared" si="241"/>
        <v>630.72863634725161</v>
      </c>
      <c r="S236" s="97">
        <f t="shared" si="241"/>
        <v>683.49248550281482</v>
      </c>
      <c r="T236" s="97">
        <f t="shared" si="241"/>
        <v>647.65916672365199</v>
      </c>
      <c r="U236" s="97">
        <f t="shared" si="241"/>
        <v>536.96877568971831</v>
      </c>
      <c r="V236" s="97">
        <f t="shared" si="241"/>
        <v>511.92072568525947</v>
      </c>
      <c r="W236" s="97">
        <f t="shared" si="241"/>
        <v>619.04983766041494</v>
      </c>
      <c r="X236" s="97">
        <f t="shared" si="241"/>
        <v>540.37097428134598</v>
      </c>
      <c r="Y236" s="97">
        <f t="shared" si="241"/>
        <v>504.56025403809781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149.0940164483483</v>
      </c>
      <c r="C237" s="97">
        <f t="shared" si="242"/>
        <v>143.39520961751171</v>
      </c>
      <c r="D237" s="97">
        <f t="shared" si="242"/>
        <v>174.93789463139962</v>
      </c>
      <c r="E237" s="97">
        <f t="shared" si="242"/>
        <v>192.89544579004743</v>
      </c>
      <c r="F237" s="97">
        <f t="shared" si="242"/>
        <v>194.61234852452097</v>
      </c>
      <c r="G237" s="97">
        <f t="shared" si="242"/>
        <v>197.14668801925953</v>
      </c>
      <c r="H237" s="97">
        <f t="shared" si="242"/>
        <v>137.858993705084</v>
      </c>
      <c r="I237" s="97">
        <f t="shared" si="242"/>
        <v>119.2443586674981</v>
      </c>
      <c r="J237" s="97">
        <f t="shared" si="242"/>
        <v>119.79119910876808</v>
      </c>
      <c r="K237" s="97">
        <f t="shared" si="242"/>
        <v>142.62138332065751</v>
      </c>
      <c r="L237" s="97">
        <f t="shared" si="242"/>
        <v>170.98371759826892</v>
      </c>
      <c r="M237" s="97">
        <f t="shared" si="242"/>
        <v>123.22422822492302</v>
      </c>
      <c r="N237" s="97">
        <f t="shared" si="242"/>
        <v>130.31368523005779</v>
      </c>
      <c r="O237" s="97">
        <f t="shared" si="242"/>
        <v>92.821170232845489</v>
      </c>
      <c r="P237" s="97">
        <f t="shared" si="242"/>
        <v>65.799713516757919</v>
      </c>
      <c r="Q237" s="97">
        <f t="shared" si="242"/>
        <v>76.061006940891147</v>
      </c>
      <c r="R237" s="97">
        <f t="shared" si="242"/>
        <v>52.072145699084231</v>
      </c>
      <c r="S237" s="97">
        <f t="shared" si="242"/>
        <v>76.51202017141928</v>
      </c>
      <c r="T237" s="97">
        <f t="shared" si="242"/>
        <v>64.685650149722704</v>
      </c>
      <c r="U237" s="97">
        <f t="shared" si="242"/>
        <v>85.997673817391302</v>
      </c>
      <c r="V237" s="97">
        <f t="shared" si="242"/>
        <v>291.43178333239734</v>
      </c>
      <c r="W237" s="97">
        <f t="shared" si="242"/>
        <v>104.15606332530241</v>
      </c>
      <c r="X237" s="97">
        <f t="shared" si="242"/>
        <v>248.09082712270049</v>
      </c>
      <c r="Y237" s="97">
        <f t="shared" si="242"/>
        <v>205.0114341104476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0</v>
      </c>
      <c r="C238" s="130">
        <f t="shared" si="243"/>
        <v>0</v>
      </c>
      <c r="D238" s="130">
        <f t="shared" si="243"/>
        <v>0</v>
      </c>
      <c r="E238" s="130">
        <f t="shared" si="243"/>
        <v>0</v>
      </c>
      <c r="F238" s="130">
        <f t="shared" si="243"/>
        <v>0</v>
      </c>
      <c r="G238" s="130">
        <f t="shared" si="243"/>
        <v>0</v>
      </c>
      <c r="H238" s="130">
        <f t="shared" si="243"/>
        <v>0</v>
      </c>
      <c r="I238" s="130">
        <f t="shared" si="243"/>
        <v>0</v>
      </c>
      <c r="J238" s="130">
        <f t="shared" si="243"/>
        <v>0</v>
      </c>
      <c r="K238" s="130">
        <f t="shared" si="243"/>
        <v>0</v>
      </c>
      <c r="L238" s="130">
        <f t="shared" si="243"/>
        <v>0</v>
      </c>
      <c r="M238" s="130">
        <f t="shared" si="243"/>
        <v>0</v>
      </c>
      <c r="N238" s="130">
        <f t="shared" si="243"/>
        <v>0</v>
      </c>
      <c r="O238" s="130">
        <f t="shared" si="243"/>
        <v>0</v>
      </c>
      <c r="P238" s="130">
        <f t="shared" si="243"/>
        <v>0</v>
      </c>
      <c r="Q238" s="130">
        <f t="shared" si="243"/>
        <v>0</v>
      </c>
      <c r="R238" s="130">
        <f t="shared" si="243"/>
        <v>0</v>
      </c>
      <c r="S238" s="130">
        <f t="shared" si="243"/>
        <v>222.72039126181937</v>
      </c>
      <c r="T238" s="130">
        <f t="shared" si="243"/>
        <v>220.76214765100667</v>
      </c>
      <c r="U238" s="130">
        <f t="shared" si="243"/>
        <v>226.68959336369551</v>
      </c>
      <c r="V238" s="130">
        <f t="shared" si="243"/>
        <v>193.12736520854526</v>
      </c>
      <c r="W238" s="130">
        <f t="shared" si="243"/>
        <v>210.48495501285342</v>
      </c>
      <c r="X238" s="130">
        <f t="shared" si="243"/>
        <v>221.92233023372714</v>
      </c>
      <c r="Y238" s="130">
        <f t="shared" si="243"/>
        <v>232.47914113389629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0</v>
      </c>
      <c r="C239" s="97">
        <f t="shared" si="244"/>
        <v>0</v>
      </c>
      <c r="D239" s="97">
        <f t="shared" si="244"/>
        <v>0</v>
      </c>
      <c r="E239" s="97">
        <f t="shared" si="244"/>
        <v>0</v>
      </c>
      <c r="F239" s="97">
        <f t="shared" si="244"/>
        <v>0</v>
      </c>
      <c r="G239" s="97">
        <f t="shared" si="244"/>
        <v>0</v>
      </c>
      <c r="H239" s="97">
        <f t="shared" si="244"/>
        <v>0</v>
      </c>
      <c r="I239" s="97">
        <f t="shared" si="244"/>
        <v>0</v>
      </c>
      <c r="J239" s="97">
        <f t="shared" si="244"/>
        <v>0</v>
      </c>
      <c r="K239" s="97">
        <f t="shared" si="244"/>
        <v>0</v>
      </c>
      <c r="L239" s="97">
        <f t="shared" si="244"/>
        <v>0</v>
      </c>
      <c r="M239" s="97">
        <f t="shared" si="244"/>
        <v>0</v>
      </c>
      <c r="N239" s="97">
        <f t="shared" si="244"/>
        <v>0</v>
      </c>
      <c r="O239" s="97">
        <f t="shared" si="244"/>
        <v>0</v>
      </c>
      <c r="P239" s="97">
        <f t="shared" si="244"/>
        <v>0</v>
      </c>
      <c r="Q239" s="97">
        <f t="shared" si="244"/>
        <v>0</v>
      </c>
      <c r="R239" s="97">
        <f t="shared" si="244"/>
        <v>0</v>
      </c>
      <c r="S239" s="97">
        <f t="shared" si="244"/>
        <v>222.72039126181937</v>
      </c>
      <c r="T239" s="97">
        <f t="shared" si="244"/>
        <v>220.76214765100667</v>
      </c>
      <c r="U239" s="97">
        <f t="shared" si="244"/>
        <v>226.68959336369551</v>
      </c>
      <c r="V239" s="97">
        <f t="shared" si="244"/>
        <v>193.12736520854526</v>
      </c>
      <c r="W239" s="97">
        <f t="shared" si="244"/>
        <v>210.48495501285342</v>
      </c>
      <c r="X239" s="97">
        <f t="shared" si="244"/>
        <v>221.92233023372714</v>
      </c>
      <c r="Y239" s="97">
        <f t="shared" si="244"/>
        <v>232.47914113389629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131.27032841908249</v>
      </c>
      <c r="C241" s="32">
        <f t="shared" si="246"/>
        <v>135.22623884551248</v>
      </c>
      <c r="D241" s="32">
        <f t="shared" si="246"/>
        <v>134.27268422586798</v>
      </c>
      <c r="E241" s="32">
        <f t="shared" si="246"/>
        <v>155.28045286238117</v>
      </c>
      <c r="F241" s="32">
        <f t="shared" si="246"/>
        <v>52.748553884907423</v>
      </c>
      <c r="G241" s="32">
        <f t="shared" si="246"/>
        <v>214.93209836106411</v>
      </c>
      <c r="H241" s="32">
        <f t="shared" si="246"/>
        <v>206.39005990955684</v>
      </c>
      <c r="I241" s="32">
        <f t="shared" si="246"/>
        <v>124.30190031213115</v>
      </c>
      <c r="J241" s="32">
        <f t="shared" si="246"/>
        <v>116.39592342982857</v>
      </c>
      <c r="K241" s="32">
        <f t="shared" si="246"/>
        <v>149.46067689485994</v>
      </c>
      <c r="L241" s="32">
        <f t="shared" si="246"/>
        <v>123.44139533163391</v>
      </c>
      <c r="M241" s="32">
        <f t="shared" si="246"/>
        <v>76.779867456201444</v>
      </c>
      <c r="N241" s="32">
        <f t="shared" si="246"/>
        <v>61.664779859500499</v>
      </c>
      <c r="O241" s="32">
        <f t="shared" si="246"/>
        <v>79.752628834957491</v>
      </c>
      <c r="P241" s="32">
        <f t="shared" si="246"/>
        <v>73.18920092925913</v>
      </c>
      <c r="Q241" s="32">
        <f t="shared" si="246"/>
        <v>74.12105551795743</v>
      </c>
      <c r="R241" s="32">
        <f t="shared" si="246"/>
        <v>64.077581077436193</v>
      </c>
      <c r="S241" s="32">
        <f t="shared" si="246"/>
        <v>69.398804152490612</v>
      </c>
      <c r="T241" s="32">
        <f t="shared" si="246"/>
        <v>76.642867217622239</v>
      </c>
      <c r="U241" s="32">
        <f t="shared" si="246"/>
        <v>77.504618233658064</v>
      </c>
      <c r="V241" s="32">
        <f t="shared" si="246"/>
        <v>78.141462585590702</v>
      </c>
      <c r="W241" s="32">
        <f t="shared" si="246"/>
        <v>72.638317008855424</v>
      </c>
      <c r="X241" s="32">
        <f t="shared" si="246"/>
        <v>80.212071624280071</v>
      </c>
      <c r="Y241" s="32">
        <f t="shared" si="246"/>
        <v>52.99249290569545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109.52611083678285</v>
      </c>
      <c r="C242" s="97">
        <f t="shared" si="247"/>
        <v>113.07062156292913</v>
      </c>
      <c r="D242" s="97">
        <f t="shared" si="247"/>
        <v>112.22547458878515</v>
      </c>
      <c r="E242" s="97">
        <f t="shared" si="247"/>
        <v>129.88376093093029</v>
      </c>
      <c r="F242" s="97">
        <f t="shared" si="247"/>
        <v>42.794143217593387</v>
      </c>
      <c r="G242" s="97">
        <f t="shared" si="247"/>
        <v>252.01467392398936</v>
      </c>
      <c r="H242" s="97">
        <f t="shared" si="247"/>
        <v>228.82277336026044</v>
      </c>
      <c r="I242" s="97">
        <f t="shared" si="247"/>
        <v>215.88823840788069</v>
      </c>
      <c r="J242" s="97">
        <f t="shared" si="247"/>
        <v>150.92683620650425</v>
      </c>
      <c r="K242" s="97">
        <f t="shared" si="247"/>
        <v>158.69344950985948</v>
      </c>
      <c r="L242" s="97">
        <f t="shared" si="247"/>
        <v>152.32284093013567</v>
      </c>
      <c r="M242" s="97">
        <f t="shared" si="247"/>
        <v>74.679391418732322</v>
      </c>
      <c r="N242" s="97">
        <f t="shared" si="247"/>
        <v>62.310945411344989</v>
      </c>
      <c r="O242" s="97">
        <f t="shared" si="247"/>
        <v>82.108080402894473</v>
      </c>
      <c r="P242" s="97">
        <f t="shared" si="247"/>
        <v>76.613834225032377</v>
      </c>
      <c r="Q242" s="97">
        <f t="shared" si="247"/>
        <v>79.745876297670634</v>
      </c>
      <c r="R242" s="97">
        <f t="shared" si="247"/>
        <v>68.884856229604438</v>
      </c>
      <c r="S242" s="97">
        <f t="shared" si="247"/>
        <v>78.873085580094482</v>
      </c>
      <c r="T242" s="97">
        <f t="shared" si="247"/>
        <v>91.958464885218774</v>
      </c>
      <c r="U242" s="97">
        <f t="shared" si="247"/>
        <v>83.052218790031432</v>
      </c>
      <c r="V242" s="97">
        <f t="shared" si="247"/>
        <v>77.811212544518085</v>
      </c>
      <c r="W242" s="97">
        <f t="shared" si="247"/>
        <v>68.316071354007903</v>
      </c>
      <c r="X242" s="97">
        <f t="shared" si="247"/>
        <v>91.269661500281885</v>
      </c>
      <c r="Y242" s="97">
        <f t="shared" si="247"/>
        <v>59.5086963847167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186.91110960109154</v>
      </c>
      <c r="C243" s="98">
        <f t="shared" si="248"/>
        <v>191.988755353362</v>
      </c>
      <c r="D243" s="98">
        <f t="shared" si="248"/>
        <v>189.97423912672568</v>
      </c>
      <c r="E243" s="98">
        <f t="shared" si="248"/>
        <v>234.36758185932072</v>
      </c>
      <c r="F243" s="98">
        <f t="shared" si="248"/>
        <v>92.238939538743281</v>
      </c>
      <c r="G243" s="98">
        <f t="shared" si="248"/>
        <v>174.35669640152935</v>
      </c>
      <c r="H243" s="98">
        <f t="shared" si="248"/>
        <v>177.84275449823821</v>
      </c>
      <c r="I243" s="98">
        <f t="shared" si="248"/>
        <v>84.626180793854971</v>
      </c>
      <c r="J243" s="98">
        <f t="shared" si="248"/>
        <v>85.748026842690194</v>
      </c>
      <c r="K243" s="98">
        <f t="shared" si="248"/>
        <v>139.04716696285078</v>
      </c>
      <c r="L243" s="98">
        <f t="shared" si="248"/>
        <v>96.833396219276452</v>
      </c>
      <c r="M243" s="98">
        <f t="shared" si="248"/>
        <v>80.514707413817476</v>
      </c>
      <c r="N243" s="98">
        <f t="shared" si="248"/>
        <v>60.484079828803516</v>
      </c>
      <c r="O243" s="98">
        <f t="shared" si="248"/>
        <v>75.594672446457238</v>
      </c>
      <c r="P243" s="98">
        <f t="shared" si="248"/>
        <v>67.815703736231967</v>
      </c>
      <c r="Q243" s="98">
        <f t="shared" si="248"/>
        <v>65.549512450213683</v>
      </c>
      <c r="R243" s="98">
        <f t="shared" si="248"/>
        <v>56.999570505456731</v>
      </c>
      <c r="S243" s="98">
        <f t="shared" si="248"/>
        <v>58.077240025077614</v>
      </c>
      <c r="T243" s="98">
        <f t="shared" si="248"/>
        <v>61.903504938994729</v>
      </c>
      <c r="U243" s="98">
        <f t="shared" si="248"/>
        <v>69.639389989315646</v>
      </c>
      <c r="V243" s="98">
        <f t="shared" si="248"/>
        <v>78.642915857693865</v>
      </c>
      <c r="W243" s="98">
        <f t="shared" si="248"/>
        <v>80.253969812258347</v>
      </c>
      <c r="X243" s="98">
        <f t="shared" si="248"/>
        <v>66.418143910892098</v>
      </c>
      <c r="Y243" s="98">
        <f t="shared" si="248"/>
        <v>43.962937394592053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5167.6166069807168</v>
      </c>
      <c r="C4" s="29">
        <f t="shared" si="0"/>
        <v>5305.3298442576943</v>
      </c>
      <c r="D4" s="29">
        <f t="shared" si="0"/>
        <v>5439.8197740195628</v>
      </c>
      <c r="E4" s="29">
        <f t="shared" si="0"/>
        <v>5572.2974948176707</v>
      </c>
      <c r="F4" s="29">
        <f t="shared" si="0"/>
        <v>5981.8290281892059</v>
      </c>
      <c r="G4" s="29">
        <f t="shared" si="0"/>
        <v>6199.9526188102363</v>
      </c>
      <c r="H4" s="29">
        <f t="shared" si="0"/>
        <v>6419.9535182044119</v>
      </c>
      <c r="I4" s="29">
        <f t="shared" si="0"/>
        <v>6741.650043358969</v>
      </c>
      <c r="J4" s="29">
        <f t="shared" si="0"/>
        <v>7225.1362811497611</v>
      </c>
      <c r="K4" s="29">
        <f t="shared" si="0"/>
        <v>7427.5226574631124</v>
      </c>
      <c r="L4" s="29">
        <f t="shared" ref="L4" si="1">L5+L6+L13</f>
        <v>7332.9410838089998</v>
      </c>
      <c r="M4" s="29">
        <f t="shared" ref="M4:V4" si="2">M5+M6+M13</f>
        <v>7397.4590702398764</v>
      </c>
      <c r="N4" s="29">
        <f t="shared" si="2"/>
        <v>7459.0645626360365</v>
      </c>
      <c r="O4" s="29">
        <f t="shared" si="2"/>
        <v>7407.3976044576411</v>
      </c>
      <c r="P4" s="29">
        <f t="shared" si="2"/>
        <v>7544.0639704586001</v>
      </c>
      <c r="Q4" s="29">
        <f t="shared" si="2"/>
        <v>7764.0471137662034</v>
      </c>
      <c r="R4" s="29">
        <f t="shared" si="2"/>
        <v>8093.1062396763782</v>
      </c>
      <c r="S4" s="29">
        <f t="shared" si="2"/>
        <v>8224.1054746096816</v>
      </c>
      <c r="T4" s="29">
        <f t="shared" si="2"/>
        <v>8509.0329595421335</v>
      </c>
      <c r="U4" s="29">
        <f t="shared" si="2"/>
        <v>8763.0760268296453</v>
      </c>
      <c r="V4" s="29">
        <f t="shared" si="2"/>
        <v>7042.8566876789546</v>
      </c>
      <c r="W4" s="29">
        <f t="shared" ref="W4:Y4" si="3">W5+W6+W13</f>
        <v>7579.1361570033205</v>
      </c>
      <c r="X4" s="29">
        <f t="shared" si="3"/>
        <v>8260.141002325412</v>
      </c>
      <c r="Y4" s="29">
        <f t="shared" si="3"/>
        <v>8931.7312453328086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147.61660698071668</v>
      </c>
      <c r="C5" s="152">
        <f t="shared" si="4"/>
        <v>145.32984425769456</v>
      </c>
      <c r="D5" s="152">
        <f t="shared" si="4"/>
        <v>139.81977401956246</v>
      </c>
      <c r="E5" s="152">
        <f t="shared" si="4"/>
        <v>142.29749481767104</v>
      </c>
      <c r="F5" s="152">
        <f t="shared" si="4"/>
        <v>141.82902818920607</v>
      </c>
      <c r="G5" s="152">
        <f t="shared" si="4"/>
        <v>139.95261881023609</v>
      </c>
      <c r="H5" s="152">
        <f t="shared" si="4"/>
        <v>139.95351820441203</v>
      </c>
      <c r="I5" s="152">
        <f t="shared" si="4"/>
        <v>141.65004335896859</v>
      </c>
      <c r="J5" s="152">
        <f t="shared" si="4"/>
        <v>145.13628114976143</v>
      </c>
      <c r="K5" s="152">
        <f t="shared" si="4"/>
        <v>144.3145352914776</v>
      </c>
      <c r="L5" s="152">
        <f t="shared" ref="L5:L7" si="5">IF(L32=0,0,L32*L142)</f>
        <v>142.94108380900022</v>
      </c>
      <c r="M5" s="152">
        <f t="shared" ref="M5:V5" si="6">IF(M32=0,0,M32*M142)</f>
        <v>140.51057161183468</v>
      </c>
      <c r="N5" s="152">
        <f t="shared" si="6"/>
        <v>141.90893486347068</v>
      </c>
      <c r="O5" s="152">
        <f t="shared" si="6"/>
        <v>139.86227248788171</v>
      </c>
      <c r="P5" s="152">
        <f t="shared" si="6"/>
        <v>141.9102851466557</v>
      </c>
      <c r="Q5" s="152">
        <f t="shared" si="6"/>
        <v>139.19628367650418</v>
      </c>
      <c r="R5" s="152">
        <f t="shared" si="6"/>
        <v>139.11426465097406</v>
      </c>
      <c r="S5" s="152">
        <f t="shared" si="6"/>
        <v>130.68155871139288</v>
      </c>
      <c r="T5" s="152">
        <f t="shared" si="6"/>
        <v>124.18731992039095</v>
      </c>
      <c r="U5" s="152">
        <f t="shared" si="6"/>
        <v>131.15163693728482</v>
      </c>
      <c r="V5" s="152">
        <f t="shared" si="6"/>
        <v>117.20304237711107</v>
      </c>
      <c r="W5" s="152">
        <f t="shared" ref="W5:Y5" si="7">IF(W32=0,0,W32*W142)</f>
        <v>121.6845070665983</v>
      </c>
      <c r="X5" s="152">
        <f t="shared" si="7"/>
        <v>122.9753636766477</v>
      </c>
      <c r="Y5" s="152">
        <f t="shared" si="7"/>
        <v>133.30082541386571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3900</v>
      </c>
      <c r="C6" s="116">
        <f t="shared" si="8"/>
        <v>4000</v>
      </c>
      <c r="D6" s="116">
        <f t="shared" si="8"/>
        <v>4100</v>
      </c>
      <c r="E6" s="116">
        <f t="shared" si="8"/>
        <v>4150</v>
      </c>
      <c r="F6" s="116">
        <f t="shared" si="8"/>
        <v>4600</v>
      </c>
      <c r="G6" s="116">
        <f t="shared" si="8"/>
        <v>4800</v>
      </c>
      <c r="H6" s="116">
        <f t="shared" si="8"/>
        <v>5000</v>
      </c>
      <c r="I6" s="116">
        <f t="shared" si="8"/>
        <v>5300</v>
      </c>
      <c r="J6" s="116">
        <f t="shared" si="8"/>
        <v>5750</v>
      </c>
      <c r="K6" s="116">
        <f t="shared" si="8"/>
        <v>6000</v>
      </c>
      <c r="L6" s="116">
        <f t="shared" ref="L6" si="9">SUM(L7:L12)</f>
        <v>5900</v>
      </c>
      <c r="M6" s="116">
        <f t="shared" ref="M6:V6" si="10">SUM(M7:M12)</f>
        <v>5931.90592556501</v>
      </c>
      <c r="N6" s="116">
        <f t="shared" si="10"/>
        <v>5951.5765516010242</v>
      </c>
      <c r="O6" s="116">
        <f t="shared" si="10"/>
        <v>5921.1434324198744</v>
      </c>
      <c r="P6" s="116">
        <f t="shared" si="10"/>
        <v>6055.7617857620589</v>
      </c>
      <c r="Q6" s="116">
        <f t="shared" si="10"/>
        <v>6198.1335730052551</v>
      </c>
      <c r="R6" s="116">
        <f t="shared" si="10"/>
        <v>6472.8965180617506</v>
      </c>
      <c r="S6" s="116">
        <f t="shared" si="10"/>
        <v>6557.3941867523126</v>
      </c>
      <c r="T6" s="116">
        <f t="shared" si="10"/>
        <v>6799.9745805257671</v>
      </c>
      <c r="U6" s="116">
        <f t="shared" si="10"/>
        <v>7034.8733638037793</v>
      </c>
      <c r="V6" s="116">
        <f t="shared" si="10"/>
        <v>6046.6964976588488</v>
      </c>
      <c r="W6" s="116">
        <f t="shared" ref="W6:Y6" si="11">SUM(W7:W12)</f>
        <v>6509.2190059238583</v>
      </c>
      <c r="X6" s="116">
        <f t="shared" si="11"/>
        <v>6863.8990122444357</v>
      </c>
      <c r="Y6" s="116">
        <f t="shared" si="11"/>
        <v>7346.7748164210216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3205.2637390834161</v>
      </c>
      <c r="C7" s="87">
        <f t="shared" si="12"/>
        <v>3267.1934644177154</v>
      </c>
      <c r="D7" s="87">
        <f t="shared" si="12"/>
        <v>3374.0218490329171</v>
      </c>
      <c r="E7" s="87">
        <f t="shared" si="12"/>
        <v>3453.3170283331538</v>
      </c>
      <c r="F7" s="87">
        <f t="shared" si="12"/>
        <v>3908.180417975253</v>
      </c>
      <c r="G7" s="87">
        <f t="shared" si="12"/>
        <v>4136.2970305512781</v>
      </c>
      <c r="H7" s="87">
        <f t="shared" si="12"/>
        <v>4360.0209673126556</v>
      </c>
      <c r="I7" s="87">
        <f t="shared" si="12"/>
        <v>4651.0595267614935</v>
      </c>
      <c r="J7" s="87">
        <f t="shared" si="12"/>
        <v>5046.1750629259641</v>
      </c>
      <c r="K7" s="87">
        <f t="shared" si="12"/>
        <v>5254.8655195916854</v>
      </c>
      <c r="L7" s="87">
        <f t="shared" si="5"/>
        <v>5166.1622233987118</v>
      </c>
      <c r="M7" s="87">
        <f t="shared" ref="M7:V7" si="13">IF(M34=0,0,M34*M144)</f>
        <v>5202.3742492135352</v>
      </c>
      <c r="N7" s="87">
        <f t="shared" si="13"/>
        <v>5252.3998421874267</v>
      </c>
      <c r="O7" s="87">
        <f t="shared" si="13"/>
        <v>5240.8213649953623</v>
      </c>
      <c r="P7" s="87">
        <f t="shared" si="13"/>
        <v>5329.9293774822254</v>
      </c>
      <c r="Q7" s="87">
        <f t="shared" si="13"/>
        <v>5393.2998092786174</v>
      </c>
      <c r="R7" s="87">
        <f t="shared" si="13"/>
        <v>5596.5236688917412</v>
      </c>
      <c r="S7" s="87">
        <f t="shared" si="13"/>
        <v>5519.9718351878873</v>
      </c>
      <c r="T7" s="87">
        <f t="shared" si="13"/>
        <v>5545.8592739778833</v>
      </c>
      <c r="U7" s="87">
        <f t="shared" si="13"/>
        <v>5578.2318984157937</v>
      </c>
      <c r="V7" s="87">
        <f t="shared" si="13"/>
        <v>4687.176241107697</v>
      </c>
      <c r="W7" s="87">
        <f t="shared" ref="W7:Y7" si="14">IF(W34=0,0,W34*W144)</f>
        <v>5011.7549534052705</v>
      </c>
      <c r="X7" s="87">
        <f t="shared" si="14"/>
        <v>5304.7023769077805</v>
      </c>
      <c r="Y7" s="87">
        <f t="shared" si="14"/>
        <v>5696.4694856325896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694.73626091658389</v>
      </c>
      <c r="C8" s="87">
        <f t="shared" si="15"/>
        <v>732.8065355822846</v>
      </c>
      <c r="D8" s="87">
        <f t="shared" si="15"/>
        <v>725.97815096708291</v>
      </c>
      <c r="E8" s="87">
        <f t="shared" si="15"/>
        <v>696.6829716668467</v>
      </c>
      <c r="F8" s="87">
        <f t="shared" si="15"/>
        <v>691.81958202474743</v>
      </c>
      <c r="G8" s="87">
        <f t="shared" si="15"/>
        <v>663.70296944872189</v>
      </c>
      <c r="H8" s="87">
        <f t="shared" si="15"/>
        <v>639.97903268734444</v>
      </c>
      <c r="I8" s="87">
        <f t="shared" si="15"/>
        <v>648.94047323850646</v>
      </c>
      <c r="J8" s="87">
        <f t="shared" si="15"/>
        <v>703.82493707403592</v>
      </c>
      <c r="K8" s="87">
        <f t="shared" si="15"/>
        <v>745.13448040831463</v>
      </c>
      <c r="L8" s="87">
        <f t="shared" ref="L8" si="16">IF(L35=0,0,L35*L145)</f>
        <v>733.83777660128817</v>
      </c>
      <c r="M8" s="87">
        <f t="shared" ref="M8:V8" si="17">IF(M35=0,0,M35*M145)</f>
        <v>729.53167635147474</v>
      </c>
      <c r="N8" s="87">
        <f t="shared" si="17"/>
        <v>699.17670941359756</v>
      </c>
      <c r="O8" s="87">
        <f t="shared" si="17"/>
        <v>680.24812747408214</v>
      </c>
      <c r="P8" s="87">
        <f t="shared" si="17"/>
        <v>725.61117286418266</v>
      </c>
      <c r="Q8" s="87">
        <f t="shared" si="17"/>
        <v>804.21902374467936</v>
      </c>
      <c r="R8" s="87">
        <f t="shared" si="17"/>
        <v>875.35995413684122</v>
      </c>
      <c r="S8" s="87">
        <f t="shared" si="17"/>
        <v>1035.2224885343849</v>
      </c>
      <c r="T8" s="87">
        <f t="shared" si="17"/>
        <v>1239.9966145042044</v>
      </c>
      <c r="U8" s="87">
        <f t="shared" si="17"/>
        <v>1441.2962706356611</v>
      </c>
      <c r="V8" s="87">
        <f t="shared" si="17"/>
        <v>1345.2450986975189</v>
      </c>
      <c r="W8" s="87">
        <f t="shared" ref="W8:Y8" si="18">IF(W35=0,0,W35*W145)</f>
        <v>1479.7794247423972</v>
      </c>
      <c r="X8" s="87">
        <f t="shared" si="18"/>
        <v>1536.2190309910038</v>
      </c>
      <c r="Y8" s="87">
        <f t="shared" si="18"/>
        <v>1613.5038963585093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0</v>
      </c>
      <c r="E9" s="87">
        <f t="shared" si="19"/>
        <v>0</v>
      </c>
      <c r="F9" s="87">
        <f t="shared" si="19"/>
        <v>0</v>
      </c>
      <c r="G9" s="87">
        <f t="shared" si="19"/>
        <v>0</v>
      </c>
      <c r="H9" s="87">
        <f t="shared" si="19"/>
        <v>0</v>
      </c>
      <c r="I9" s="87">
        <f t="shared" si="19"/>
        <v>0</v>
      </c>
      <c r="J9" s="87">
        <f t="shared" si="19"/>
        <v>0</v>
      </c>
      <c r="K9" s="87">
        <f t="shared" si="19"/>
        <v>0</v>
      </c>
      <c r="L9" s="87">
        <f t="shared" ref="L9" si="20">IF(L36=0,0,L36*L146)</f>
        <v>0</v>
      </c>
      <c r="M9" s="87">
        <f t="shared" ref="M9:V9" si="21">IF(M36=0,0,M36*M146)</f>
        <v>0</v>
      </c>
      <c r="N9" s="87">
        <f t="shared" si="21"/>
        <v>0</v>
      </c>
      <c r="O9" s="87">
        <f t="shared" si="21"/>
        <v>0</v>
      </c>
      <c r="P9" s="87">
        <f t="shared" si="21"/>
        <v>0</v>
      </c>
      <c r="Q9" s="87">
        <f t="shared" si="21"/>
        <v>0</v>
      </c>
      <c r="R9" s="87">
        <f t="shared" si="21"/>
        <v>0</v>
      </c>
      <c r="S9" s="87">
        <f t="shared" si="21"/>
        <v>0</v>
      </c>
      <c r="T9" s="87">
        <f t="shared" si="21"/>
        <v>11.011448479251753</v>
      </c>
      <c r="U9" s="87">
        <f t="shared" si="21"/>
        <v>10.698870418718139</v>
      </c>
      <c r="V9" s="87">
        <f t="shared" si="21"/>
        <v>8.5932819054500627</v>
      </c>
      <c r="W9" s="87">
        <f t="shared" ref="W9:Y9" si="22">IF(W36=0,0,W36*W146)</f>
        <v>9.1862195211340065</v>
      </c>
      <c r="X9" s="87">
        <f t="shared" si="22"/>
        <v>9.6909863071493501</v>
      </c>
      <c r="Y9" s="87">
        <f t="shared" si="22"/>
        <v>9.6576366437023502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:Y10" si="26">IF(W37=0,0,W37*W147)</f>
        <v>0</v>
      </c>
      <c r="X10" s="87">
        <f t="shared" si="26"/>
        <v>0</v>
      </c>
      <c r="Y10" s="87">
        <f t="shared" si="26"/>
        <v>0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</v>
      </c>
      <c r="P11" s="87">
        <f t="shared" si="29"/>
        <v>3.3608440866574676E-2</v>
      </c>
      <c r="Q11" s="87">
        <f t="shared" si="29"/>
        <v>0.32585210639027834</v>
      </c>
      <c r="R11" s="87">
        <f t="shared" si="29"/>
        <v>0.54676754781918324</v>
      </c>
      <c r="S11" s="87">
        <f t="shared" si="29"/>
        <v>1.1875933646611438</v>
      </c>
      <c r="T11" s="87">
        <f t="shared" si="29"/>
        <v>1.7836318951078223</v>
      </c>
      <c r="U11" s="87">
        <f t="shared" si="29"/>
        <v>2.7129631007628823</v>
      </c>
      <c r="V11" s="87">
        <f t="shared" si="29"/>
        <v>3.1241269827818225</v>
      </c>
      <c r="W11" s="87">
        <f t="shared" ref="W11:Y11" si="30">IF(W38=0,0,W38*W148)</f>
        <v>4.7179198169437226</v>
      </c>
      <c r="X11" s="87">
        <f t="shared" si="30"/>
        <v>6.8931067255313936</v>
      </c>
      <c r="Y11" s="87">
        <f t="shared" si="30"/>
        <v>12.506074149592697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0</v>
      </c>
      <c r="O12" s="87">
        <f t="shared" si="33"/>
        <v>7.3939950430087747E-2</v>
      </c>
      <c r="P12" s="87">
        <f t="shared" si="33"/>
        <v>0.18762697478410686</v>
      </c>
      <c r="Q12" s="87">
        <f t="shared" si="33"/>
        <v>0.28888787556810208</v>
      </c>
      <c r="R12" s="87">
        <f t="shared" si="33"/>
        <v>0.46612748534850312</v>
      </c>
      <c r="S12" s="87">
        <f t="shared" si="33"/>
        <v>1.0122696653791934</v>
      </c>
      <c r="T12" s="87">
        <f t="shared" si="33"/>
        <v>1.323611669319942</v>
      </c>
      <c r="U12" s="87">
        <f t="shared" si="33"/>
        <v>1.9333612328440928</v>
      </c>
      <c r="V12" s="87">
        <f t="shared" si="33"/>
        <v>2.5577489654014598</v>
      </c>
      <c r="W12" s="87">
        <f t="shared" ref="W12:Y12" si="34">IF(W39=0,0,W39*W149)</f>
        <v>3.780488438113129</v>
      </c>
      <c r="X12" s="87">
        <f t="shared" si="34"/>
        <v>6.3935113129698324</v>
      </c>
      <c r="Y12" s="87">
        <f t="shared" si="34"/>
        <v>14.637723636628126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1120</v>
      </c>
      <c r="C13" s="116">
        <f t="shared" si="35"/>
        <v>1160</v>
      </c>
      <c r="D13" s="116">
        <f t="shared" si="35"/>
        <v>1200</v>
      </c>
      <c r="E13" s="116">
        <f t="shared" si="35"/>
        <v>1280</v>
      </c>
      <c r="F13" s="116">
        <f t="shared" si="35"/>
        <v>1240</v>
      </c>
      <c r="G13" s="116">
        <f t="shared" si="35"/>
        <v>1260</v>
      </c>
      <c r="H13" s="116">
        <f t="shared" si="35"/>
        <v>1279.9999999999998</v>
      </c>
      <c r="I13" s="116">
        <f t="shared" si="35"/>
        <v>1300</v>
      </c>
      <c r="J13" s="116">
        <f t="shared" si="35"/>
        <v>1330</v>
      </c>
      <c r="K13" s="116">
        <f t="shared" si="35"/>
        <v>1283.2081221716342</v>
      </c>
      <c r="L13" s="116">
        <f t="shared" ref="L13" si="36">SUM(L14:L18)</f>
        <v>1290</v>
      </c>
      <c r="M13" s="116">
        <f t="shared" ref="M13:V13" si="37">SUM(M14:M18)</f>
        <v>1325.0425730630311</v>
      </c>
      <c r="N13" s="116">
        <f t="shared" si="37"/>
        <v>1365.5790761715421</v>
      </c>
      <c r="O13" s="116">
        <f t="shared" si="37"/>
        <v>1346.3918995498855</v>
      </c>
      <c r="P13" s="116">
        <f t="shared" si="37"/>
        <v>1346.3918995498855</v>
      </c>
      <c r="Q13" s="116">
        <f t="shared" si="37"/>
        <v>1426.7172570844441</v>
      </c>
      <c r="R13" s="116">
        <f t="shared" si="37"/>
        <v>1481.0954569636533</v>
      </c>
      <c r="S13" s="116">
        <f t="shared" si="37"/>
        <v>1536.0297291459747</v>
      </c>
      <c r="T13" s="116">
        <f t="shared" si="37"/>
        <v>1584.8710590959747</v>
      </c>
      <c r="U13" s="116">
        <f t="shared" si="37"/>
        <v>1597.0510260885806</v>
      </c>
      <c r="V13" s="116">
        <f t="shared" si="37"/>
        <v>878.95714764299453</v>
      </c>
      <c r="W13" s="116">
        <f t="shared" ref="W13:Y13" si="38">SUM(W14:W18)</f>
        <v>948.23264401286337</v>
      </c>
      <c r="X13" s="116">
        <f t="shared" si="38"/>
        <v>1273.2666264043285</v>
      </c>
      <c r="Y13" s="116">
        <f t="shared" si="38"/>
        <v>1451.6556034979221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28.806371814967807</v>
      </c>
      <c r="C14" s="101">
        <f t="shared" si="39"/>
        <v>28.4539224674199</v>
      </c>
      <c r="D14" s="101">
        <f t="shared" si="39"/>
        <v>27.561179588400776</v>
      </c>
      <c r="E14" s="101">
        <f t="shared" si="39"/>
        <v>27.716459564532176</v>
      </c>
      <c r="F14" s="101">
        <f t="shared" si="39"/>
        <v>27.328092951591117</v>
      </c>
      <c r="G14" s="101">
        <f t="shared" si="39"/>
        <v>27.153777838625558</v>
      </c>
      <c r="H14" s="101">
        <f t="shared" si="39"/>
        <v>27.739693389324955</v>
      </c>
      <c r="I14" s="101">
        <f t="shared" si="39"/>
        <v>27.542500702581034</v>
      </c>
      <c r="J14" s="101">
        <f t="shared" si="39"/>
        <v>27.717580317445869</v>
      </c>
      <c r="K14" s="101">
        <f t="shared" si="39"/>
        <v>27.085458166140331</v>
      </c>
      <c r="L14" s="101">
        <f t="shared" ref="L14" si="40">IF(L41=0,0,L41*L151)</f>
        <v>27.488781094381498</v>
      </c>
      <c r="M14" s="101">
        <f t="shared" ref="M14:V14" si="41">IF(M41=0,0,M41*M151)</f>
        <v>27.879709046455687</v>
      </c>
      <c r="N14" s="101">
        <f t="shared" si="41"/>
        <v>28.072991384415516</v>
      </c>
      <c r="O14" s="101">
        <f t="shared" si="41"/>
        <v>27.70168091146061</v>
      </c>
      <c r="P14" s="101">
        <f t="shared" si="41"/>
        <v>9.6205673880216871</v>
      </c>
      <c r="Q14" s="101">
        <f t="shared" si="41"/>
        <v>8.4983766011011017</v>
      </c>
      <c r="R14" s="101">
        <f t="shared" si="41"/>
        <v>8.4055500750296126</v>
      </c>
      <c r="S14" s="101">
        <f t="shared" si="41"/>
        <v>8.6917148646479934</v>
      </c>
      <c r="T14" s="101">
        <f t="shared" si="41"/>
        <v>9.0920092222676807</v>
      </c>
      <c r="U14" s="101">
        <f t="shared" si="41"/>
        <v>9.0690624840881728</v>
      </c>
      <c r="V14" s="101">
        <f t="shared" si="41"/>
        <v>7.3484287795849816</v>
      </c>
      <c r="W14" s="101">
        <f t="shared" ref="W14:Y14" si="42">IF(W41=0,0,W41*W151)</f>
        <v>8.408308090025006</v>
      </c>
      <c r="X14" s="101">
        <f t="shared" si="42"/>
        <v>7.7226617227033456</v>
      </c>
      <c r="Y14" s="101">
        <f t="shared" si="42"/>
        <v>6.4311085449516439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1091.1936281850321</v>
      </c>
      <c r="C15" s="101">
        <f t="shared" si="43"/>
        <v>1131.5460775325801</v>
      </c>
      <c r="D15" s="101">
        <f t="shared" si="43"/>
        <v>1172.4388204115992</v>
      </c>
      <c r="E15" s="101">
        <f t="shared" si="43"/>
        <v>1252.2835404354678</v>
      </c>
      <c r="F15" s="101">
        <f t="shared" si="43"/>
        <v>1212.6719070484089</v>
      </c>
      <c r="G15" s="101">
        <f t="shared" si="43"/>
        <v>1232.8462221613745</v>
      </c>
      <c r="H15" s="101">
        <f t="shared" si="43"/>
        <v>1252.2603066106749</v>
      </c>
      <c r="I15" s="101">
        <f t="shared" si="43"/>
        <v>1272.457499297419</v>
      </c>
      <c r="J15" s="101">
        <f t="shared" si="43"/>
        <v>1301.9582790010618</v>
      </c>
      <c r="K15" s="101">
        <f t="shared" si="43"/>
        <v>1255.7951074634461</v>
      </c>
      <c r="L15" s="101">
        <f t="shared" ref="L15" si="44">IF(L42=0,0,L42*L152)</f>
        <v>1262.1772454056033</v>
      </c>
      <c r="M15" s="101">
        <f t="shared" ref="M15:V15" si="45">IF(M42=0,0,M42*M152)</f>
        <v>1296.8255012223551</v>
      </c>
      <c r="N15" s="101">
        <f t="shared" si="45"/>
        <v>1337.1657789297092</v>
      </c>
      <c r="O15" s="101">
        <f t="shared" si="45"/>
        <v>1318.3477605557364</v>
      </c>
      <c r="P15" s="101">
        <f t="shared" si="45"/>
        <v>1336.4290809561837</v>
      </c>
      <c r="Q15" s="101">
        <f t="shared" si="45"/>
        <v>1417.8754129528095</v>
      </c>
      <c r="R15" s="101">
        <f t="shared" si="45"/>
        <v>1472.3471287794232</v>
      </c>
      <c r="S15" s="101">
        <f t="shared" si="45"/>
        <v>1526.9962395190146</v>
      </c>
      <c r="T15" s="101">
        <f t="shared" si="45"/>
        <v>1575.438431267067</v>
      </c>
      <c r="U15" s="101">
        <f t="shared" si="45"/>
        <v>1587.6416664549436</v>
      </c>
      <c r="V15" s="101">
        <f t="shared" si="45"/>
        <v>871.37295253149057</v>
      </c>
      <c r="W15" s="101">
        <f t="shared" ref="W15:Y15" si="46">IF(W42=0,0,W42*W152)</f>
        <v>939.58240644782074</v>
      </c>
      <c r="X15" s="101">
        <f t="shared" si="46"/>
        <v>1265.2516786043514</v>
      </c>
      <c r="Y15" s="101">
        <f t="shared" si="46"/>
        <v>1432.1601514389104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:Y17" si="54">IF(W44=0,0,W44*W154)</f>
        <v>0</v>
      </c>
      <c r="X17" s="101">
        <f t="shared" si="54"/>
        <v>0</v>
      </c>
      <c r="Y17" s="101">
        <f t="shared" si="54"/>
        <v>0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0.32414068149224334</v>
      </c>
      <c r="K18" s="101">
        <f t="shared" si="55"/>
        <v>0.32755654204773887</v>
      </c>
      <c r="L18" s="101">
        <f t="shared" ref="L18" si="56">IF(L45=0,0,L45*L155)</f>
        <v>0.33397350001520887</v>
      </c>
      <c r="M18" s="101">
        <f t="shared" ref="M18:V18" si="57">IF(M45=0,0,M45*M155)</f>
        <v>0.33736279422031518</v>
      </c>
      <c r="N18" s="101">
        <f t="shared" si="57"/>
        <v>0.3403058574175381</v>
      </c>
      <c r="O18" s="101">
        <f t="shared" si="57"/>
        <v>0.34245808268839389</v>
      </c>
      <c r="P18" s="101">
        <f t="shared" si="57"/>
        <v>0.3422512056800982</v>
      </c>
      <c r="Q18" s="101">
        <f t="shared" si="57"/>
        <v>0.34346753053332696</v>
      </c>
      <c r="R18" s="101">
        <f t="shared" si="57"/>
        <v>0.34277810920048951</v>
      </c>
      <c r="S18" s="101">
        <f t="shared" si="57"/>
        <v>0.34177476231196036</v>
      </c>
      <c r="T18" s="101">
        <f t="shared" si="57"/>
        <v>0.34061860664006638</v>
      </c>
      <c r="U18" s="101">
        <f t="shared" si="57"/>
        <v>0.34029714954883955</v>
      </c>
      <c r="V18" s="101">
        <f t="shared" si="57"/>
        <v>0.23576633191893476</v>
      </c>
      <c r="W18" s="101">
        <f t="shared" ref="W18:Y18" si="58">IF(W45=0,0,W45*W155)</f>
        <v>0.24192947501762543</v>
      </c>
      <c r="X18" s="101">
        <f t="shared" si="58"/>
        <v>0.29228607727365391</v>
      </c>
      <c r="Y18" s="101">
        <f t="shared" si="58"/>
        <v>13.064343514060068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1444.3009444595652</v>
      </c>
      <c r="C19" s="29">
        <f t="shared" si="59"/>
        <v>1457.8896855726732</v>
      </c>
      <c r="D19" s="29">
        <f t="shared" si="59"/>
        <v>1459.7423414110895</v>
      </c>
      <c r="E19" s="29">
        <f t="shared" si="59"/>
        <v>1546.0982828978524</v>
      </c>
      <c r="F19" s="29">
        <f t="shared" si="59"/>
        <v>1267.100738176867</v>
      </c>
      <c r="G19" s="29">
        <f t="shared" si="59"/>
        <v>1546.9233641430305</v>
      </c>
      <c r="H19" s="29">
        <f t="shared" si="59"/>
        <v>1306.9220209272751</v>
      </c>
      <c r="I19" s="29">
        <f t="shared" si="59"/>
        <v>1344.381109992461</v>
      </c>
      <c r="J19" s="29">
        <f t="shared" si="59"/>
        <v>1465.724370521126</v>
      </c>
      <c r="K19" s="29">
        <f t="shared" si="59"/>
        <v>1103.0278236006616</v>
      </c>
      <c r="L19" s="29">
        <f t="shared" ref="L19" si="60">L20+L26</f>
        <v>1225.6085639930711</v>
      </c>
      <c r="M19" s="29">
        <f t="shared" ref="M19:V19" si="61">M20+M26</f>
        <v>1084.1407309871938</v>
      </c>
      <c r="N19" s="29">
        <f t="shared" si="61"/>
        <v>1042.7449614550715</v>
      </c>
      <c r="O19" s="29">
        <f t="shared" si="61"/>
        <v>774.57986296564354</v>
      </c>
      <c r="P19" s="29">
        <f t="shared" si="61"/>
        <v>674.85816296218377</v>
      </c>
      <c r="Q19" s="29">
        <f t="shared" si="61"/>
        <v>695.14994143680588</v>
      </c>
      <c r="R19" s="29">
        <f t="shared" si="61"/>
        <v>839.96530199965412</v>
      </c>
      <c r="S19" s="29">
        <f t="shared" si="61"/>
        <v>965.6288917721954</v>
      </c>
      <c r="T19" s="29">
        <f t="shared" si="61"/>
        <v>1037.3766711476314</v>
      </c>
      <c r="U19" s="29">
        <f t="shared" si="61"/>
        <v>1002.3889378474216</v>
      </c>
      <c r="V19" s="29">
        <f t="shared" si="61"/>
        <v>839.54320990166991</v>
      </c>
      <c r="W19" s="29">
        <f t="shared" ref="W19:Y19" si="62">W20+W26</f>
        <v>868.9777659890957</v>
      </c>
      <c r="X19" s="29">
        <f t="shared" si="62"/>
        <v>1089.6025866540213</v>
      </c>
      <c r="Y19" s="29">
        <f t="shared" si="62"/>
        <v>1150.6114856473414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164.30094445956533</v>
      </c>
      <c r="C20" s="152">
        <f t="shared" si="63"/>
        <v>167.88968557267324</v>
      </c>
      <c r="D20" s="152">
        <f t="shared" si="63"/>
        <v>173.74234141108954</v>
      </c>
      <c r="E20" s="152">
        <f t="shared" si="63"/>
        <v>176.09828289785222</v>
      </c>
      <c r="F20" s="152">
        <f t="shared" si="63"/>
        <v>165.10073817686694</v>
      </c>
      <c r="G20" s="152">
        <f t="shared" si="63"/>
        <v>172.92336414303051</v>
      </c>
      <c r="H20" s="152">
        <f t="shared" si="63"/>
        <v>161.92202092727476</v>
      </c>
      <c r="I20" s="152">
        <f t="shared" si="63"/>
        <v>160.38110999246112</v>
      </c>
      <c r="J20" s="152">
        <f t="shared" si="63"/>
        <v>169.72437052112599</v>
      </c>
      <c r="K20" s="152">
        <f t="shared" si="63"/>
        <v>159.02782360066155</v>
      </c>
      <c r="L20" s="152">
        <f t="shared" ref="L20" si="64">SUM(L21:L25)</f>
        <v>159.60856399307116</v>
      </c>
      <c r="M20" s="152">
        <f t="shared" ref="M20:V20" si="65">SUM(M21:M25)</f>
        <v>161.14073098719382</v>
      </c>
      <c r="N20" s="152">
        <f t="shared" si="65"/>
        <v>162.74496145507146</v>
      </c>
      <c r="O20" s="152">
        <f t="shared" si="65"/>
        <v>156.57986296564349</v>
      </c>
      <c r="P20" s="152">
        <f t="shared" si="65"/>
        <v>148.85816296218383</v>
      </c>
      <c r="Q20" s="152">
        <f t="shared" si="65"/>
        <v>147.1499414368059</v>
      </c>
      <c r="R20" s="152">
        <f t="shared" si="65"/>
        <v>155.96530199965412</v>
      </c>
      <c r="S20" s="152">
        <f t="shared" si="65"/>
        <v>163.62889177219537</v>
      </c>
      <c r="T20" s="152">
        <f t="shared" si="65"/>
        <v>172.37667114763136</v>
      </c>
      <c r="U20" s="152">
        <f t="shared" si="65"/>
        <v>171.38893784742169</v>
      </c>
      <c r="V20" s="152">
        <f t="shared" si="65"/>
        <v>167.54320990166994</v>
      </c>
      <c r="W20" s="152">
        <f t="shared" ref="W20:Y20" si="66">SUM(W21:W25)</f>
        <v>165.97776598909573</v>
      </c>
      <c r="X20" s="152">
        <f t="shared" si="66"/>
        <v>166.60258665402122</v>
      </c>
      <c r="Y20" s="152">
        <f t="shared" si="66"/>
        <v>164.61148564734128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8.6824364839388757</v>
      </c>
      <c r="C21" s="87">
        <f t="shared" si="67"/>
        <v>9.0105528675245203</v>
      </c>
      <c r="D21" s="87">
        <f t="shared" si="67"/>
        <v>8.675354958217655</v>
      </c>
      <c r="E21" s="87">
        <f t="shared" si="67"/>
        <v>9.450838565449752</v>
      </c>
      <c r="F21" s="87">
        <f t="shared" si="67"/>
        <v>7.9612013328731113</v>
      </c>
      <c r="G21" s="87">
        <f t="shared" si="67"/>
        <v>6.1297127759568282</v>
      </c>
      <c r="H21" s="87">
        <f t="shared" si="67"/>
        <v>5.7394332186838071</v>
      </c>
      <c r="I21" s="87">
        <f t="shared" si="67"/>
        <v>5.2475614677653608</v>
      </c>
      <c r="J21" s="87">
        <f t="shared" si="67"/>
        <v>5.799495172320972</v>
      </c>
      <c r="K21" s="87">
        <f t="shared" si="67"/>
        <v>5.4151814404095964</v>
      </c>
      <c r="L21" s="87">
        <f t="shared" ref="L21" si="68">IF(L48=0,0,L48*L158)</f>
        <v>5.1953463967660731</v>
      </c>
      <c r="M21" s="87">
        <f t="shared" ref="M21:V21" si="69">IF(M48=0,0,M48*M158)</f>
        <v>5.149377791101565</v>
      </c>
      <c r="N21" s="87">
        <f t="shared" si="69"/>
        <v>5.1620734063982221</v>
      </c>
      <c r="O21" s="87">
        <f t="shared" si="69"/>
        <v>4.9811468506375451</v>
      </c>
      <c r="P21" s="87">
        <f t="shared" si="69"/>
        <v>4.675126945534446</v>
      </c>
      <c r="Q21" s="87">
        <f t="shared" si="69"/>
        <v>4.608037240147719</v>
      </c>
      <c r="R21" s="87">
        <f t="shared" si="69"/>
        <v>4.7758578043942794</v>
      </c>
      <c r="S21" s="87">
        <f t="shared" si="69"/>
        <v>4.8541897308286392</v>
      </c>
      <c r="T21" s="87">
        <f t="shared" si="69"/>
        <v>4.9968809563816219</v>
      </c>
      <c r="U21" s="87">
        <f t="shared" si="69"/>
        <v>5.0235893250084187</v>
      </c>
      <c r="V21" s="87">
        <f t="shared" si="69"/>
        <v>5.0052991241187543</v>
      </c>
      <c r="W21" s="87">
        <f t="shared" ref="W21:Y21" si="70">IF(W48=0,0,W48*W158)</f>
        <v>5.0732112824089297</v>
      </c>
      <c r="X21" s="87">
        <f t="shared" si="70"/>
        <v>5.7227897433286108</v>
      </c>
      <c r="Y21" s="87">
        <f t="shared" si="70"/>
        <v>6.3173756317114247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155.61850797562644</v>
      </c>
      <c r="C22" s="87">
        <f t="shared" si="71"/>
        <v>158.87913270514872</v>
      </c>
      <c r="D22" s="87">
        <f t="shared" si="71"/>
        <v>165.06698645287187</v>
      </c>
      <c r="E22" s="87">
        <f t="shared" si="71"/>
        <v>166.64744433240247</v>
      </c>
      <c r="F22" s="87">
        <f t="shared" si="71"/>
        <v>157.13953684399382</v>
      </c>
      <c r="G22" s="87">
        <f t="shared" si="71"/>
        <v>166.79365136707369</v>
      </c>
      <c r="H22" s="87">
        <f t="shared" si="71"/>
        <v>156.18258770859094</v>
      </c>
      <c r="I22" s="87">
        <f t="shared" si="71"/>
        <v>155.13177647964432</v>
      </c>
      <c r="J22" s="87">
        <f t="shared" si="71"/>
        <v>163.92215874626442</v>
      </c>
      <c r="K22" s="87">
        <f t="shared" si="71"/>
        <v>153.60983160601722</v>
      </c>
      <c r="L22" s="87">
        <f t="shared" ref="L22" si="72">IF(L49=0,0,L49*L159)</f>
        <v>154.4085228702416</v>
      </c>
      <c r="M22" s="87">
        <f t="shared" ref="M22:V22" si="73">IF(M49=0,0,M49*M159)</f>
        <v>155.98568910132656</v>
      </c>
      <c r="N22" s="87">
        <f t="shared" si="73"/>
        <v>157.57719820925925</v>
      </c>
      <c r="O22" s="87">
        <f t="shared" si="73"/>
        <v>151.59290062887962</v>
      </c>
      <c r="P22" s="87">
        <f t="shared" si="73"/>
        <v>144.17816478053567</v>
      </c>
      <c r="Q22" s="87">
        <f t="shared" si="73"/>
        <v>142.5370218370461</v>
      </c>
      <c r="R22" s="87">
        <f t="shared" si="73"/>
        <v>151.18457377218925</v>
      </c>
      <c r="S22" s="87">
        <f t="shared" si="73"/>
        <v>158.76984333251053</v>
      </c>
      <c r="T22" s="87">
        <f t="shared" si="73"/>
        <v>167.37590804892929</v>
      </c>
      <c r="U22" s="87">
        <f t="shared" si="73"/>
        <v>166.35857049600423</v>
      </c>
      <c r="V22" s="87">
        <f t="shared" si="73"/>
        <v>162.53030156726496</v>
      </c>
      <c r="W22" s="87">
        <f t="shared" ref="W22:Y22" si="74">IF(W49=0,0,W49*W159)</f>
        <v>160.89299051360078</v>
      </c>
      <c r="X22" s="87">
        <f t="shared" si="74"/>
        <v>160.83439168299637</v>
      </c>
      <c r="Y22" s="87">
        <f t="shared" si="74"/>
        <v>158.23338939852226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1.7720450514445616E-3</v>
      </c>
      <c r="J25" s="87">
        <f t="shared" si="83"/>
        <v>2.7166025406075035E-3</v>
      </c>
      <c r="K25" s="87">
        <f t="shared" si="83"/>
        <v>2.8105542347546478E-3</v>
      </c>
      <c r="L25" s="87">
        <f t="shared" ref="L25" si="84">IF(L52=0,0,L52*L162)</f>
        <v>4.6947260635036596E-3</v>
      </c>
      <c r="M25" s="87">
        <f t="shared" ref="M25:V25" si="85">IF(M52=0,0,M52*M162)</f>
        <v>5.6640947657040164E-3</v>
      </c>
      <c r="N25" s="87">
        <f t="shared" si="85"/>
        <v>5.6898394139777517E-3</v>
      </c>
      <c r="O25" s="87">
        <f t="shared" si="85"/>
        <v>5.8154861263274077E-3</v>
      </c>
      <c r="P25" s="87">
        <f t="shared" si="85"/>
        <v>4.8712361137143419E-3</v>
      </c>
      <c r="Q25" s="87">
        <f t="shared" si="85"/>
        <v>4.8823596120847346E-3</v>
      </c>
      <c r="R25" s="87">
        <f t="shared" si="85"/>
        <v>4.8704230705670969E-3</v>
      </c>
      <c r="S25" s="87">
        <f t="shared" si="85"/>
        <v>4.8587088562009936E-3</v>
      </c>
      <c r="T25" s="87">
        <f t="shared" si="85"/>
        <v>3.8821423204485643E-3</v>
      </c>
      <c r="U25" s="87">
        <f t="shared" si="85"/>
        <v>6.7780264090172727E-3</v>
      </c>
      <c r="V25" s="87">
        <f t="shared" si="85"/>
        <v>7.6092102862369785E-3</v>
      </c>
      <c r="W25" s="87">
        <f t="shared" ref="W25:Y25" si="86">IF(W52=0,0,W52*W162)</f>
        <v>1.1564193086026308E-2</v>
      </c>
      <c r="X25" s="87">
        <f t="shared" si="86"/>
        <v>4.5405227696260868E-2</v>
      </c>
      <c r="Y25" s="87">
        <f t="shared" si="86"/>
        <v>6.0720617107592086E-2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1280</v>
      </c>
      <c r="C26" s="116">
        <f t="shared" si="87"/>
        <v>1290</v>
      </c>
      <c r="D26" s="116">
        <f t="shared" si="87"/>
        <v>1286</v>
      </c>
      <c r="E26" s="116">
        <f t="shared" si="87"/>
        <v>1370.0000000000002</v>
      </c>
      <c r="F26" s="116">
        <f t="shared" si="87"/>
        <v>1102</v>
      </c>
      <c r="G26" s="116">
        <f t="shared" si="87"/>
        <v>1374</v>
      </c>
      <c r="H26" s="116">
        <f t="shared" si="87"/>
        <v>1145.0000000000002</v>
      </c>
      <c r="I26" s="116">
        <f t="shared" si="87"/>
        <v>1184</v>
      </c>
      <c r="J26" s="116">
        <f t="shared" si="87"/>
        <v>1296</v>
      </c>
      <c r="K26" s="116">
        <f t="shared" si="87"/>
        <v>944</v>
      </c>
      <c r="L26" s="116">
        <f t="shared" ref="L26" si="88">SUM(L27:L28)</f>
        <v>1066</v>
      </c>
      <c r="M26" s="116">
        <f t="shared" ref="M26:V26" si="89">SUM(M27:M28)</f>
        <v>923</v>
      </c>
      <c r="N26" s="116">
        <f t="shared" si="89"/>
        <v>880</v>
      </c>
      <c r="O26" s="116">
        <f t="shared" si="89"/>
        <v>618</v>
      </c>
      <c r="P26" s="116">
        <f t="shared" si="89"/>
        <v>526</v>
      </c>
      <c r="Q26" s="116">
        <f t="shared" si="89"/>
        <v>548</v>
      </c>
      <c r="R26" s="116">
        <f t="shared" si="89"/>
        <v>684</v>
      </c>
      <c r="S26" s="116">
        <f t="shared" si="89"/>
        <v>802</v>
      </c>
      <c r="T26" s="116">
        <f t="shared" si="89"/>
        <v>865</v>
      </c>
      <c r="U26" s="116">
        <f t="shared" si="89"/>
        <v>831</v>
      </c>
      <c r="V26" s="116">
        <f t="shared" si="89"/>
        <v>672</v>
      </c>
      <c r="W26" s="116">
        <f t="shared" ref="W26:Y26" si="90">SUM(W27:W28)</f>
        <v>703</v>
      </c>
      <c r="X26" s="116">
        <f t="shared" si="90"/>
        <v>923</v>
      </c>
      <c r="Y26" s="116">
        <f t="shared" si="90"/>
        <v>986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1280</v>
      </c>
      <c r="C27" s="101">
        <f t="shared" si="91"/>
        <v>1290</v>
      </c>
      <c r="D27" s="101">
        <f t="shared" si="91"/>
        <v>1286</v>
      </c>
      <c r="E27" s="101">
        <f t="shared" si="91"/>
        <v>1370.0000000000002</v>
      </c>
      <c r="F27" s="101">
        <f t="shared" si="91"/>
        <v>1102</v>
      </c>
      <c r="G27" s="101">
        <f t="shared" si="91"/>
        <v>1374</v>
      </c>
      <c r="H27" s="101">
        <f t="shared" si="91"/>
        <v>1145.0000000000002</v>
      </c>
      <c r="I27" s="101">
        <f t="shared" si="91"/>
        <v>1184</v>
      </c>
      <c r="J27" s="101">
        <f t="shared" si="91"/>
        <v>1296</v>
      </c>
      <c r="K27" s="101">
        <f t="shared" si="91"/>
        <v>944</v>
      </c>
      <c r="L27" s="101">
        <f t="shared" ref="L27:V27" si="92">IF(L54=0,0,L54*L164)</f>
        <v>1066</v>
      </c>
      <c r="M27" s="101">
        <f t="shared" si="92"/>
        <v>923</v>
      </c>
      <c r="N27" s="101">
        <f t="shared" si="92"/>
        <v>880</v>
      </c>
      <c r="O27" s="101">
        <f t="shared" si="92"/>
        <v>618</v>
      </c>
      <c r="P27" s="101">
        <f t="shared" si="92"/>
        <v>526</v>
      </c>
      <c r="Q27" s="101">
        <f t="shared" si="92"/>
        <v>548</v>
      </c>
      <c r="R27" s="101">
        <f t="shared" si="92"/>
        <v>684</v>
      </c>
      <c r="S27" s="101">
        <f t="shared" si="92"/>
        <v>802</v>
      </c>
      <c r="T27" s="101">
        <f t="shared" si="92"/>
        <v>865</v>
      </c>
      <c r="U27" s="101">
        <f t="shared" si="92"/>
        <v>831</v>
      </c>
      <c r="V27" s="101">
        <f t="shared" si="92"/>
        <v>672</v>
      </c>
      <c r="W27" s="101">
        <f t="shared" ref="W27:Y27" si="93">IF(W54=0,0,W54*W164)</f>
        <v>703</v>
      </c>
      <c r="X27" s="101">
        <f t="shared" si="93"/>
        <v>923</v>
      </c>
      <c r="Y27" s="101">
        <f t="shared" si="93"/>
        <v>986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0</v>
      </c>
      <c r="C28" s="88">
        <f t="shared" si="94"/>
        <v>0</v>
      </c>
      <c r="D28" s="88">
        <f t="shared" si="94"/>
        <v>0</v>
      </c>
      <c r="E28" s="88">
        <f t="shared" si="94"/>
        <v>0</v>
      </c>
      <c r="F28" s="88">
        <f t="shared" si="94"/>
        <v>0</v>
      </c>
      <c r="G28" s="88">
        <f t="shared" si="94"/>
        <v>0</v>
      </c>
      <c r="H28" s="88">
        <f t="shared" si="94"/>
        <v>0</v>
      </c>
      <c r="I28" s="88">
        <f t="shared" si="94"/>
        <v>0</v>
      </c>
      <c r="J28" s="88">
        <f t="shared" si="94"/>
        <v>0</v>
      </c>
      <c r="K28" s="88">
        <f t="shared" si="94"/>
        <v>0</v>
      </c>
      <c r="L28" s="88">
        <f t="shared" ref="L28:V28" si="95">IF(L55=0,0,L55*L165)</f>
        <v>0</v>
      </c>
      <c r="M28" s="88">
        <f t="shared" si="95"/>
        <v>0</v>
      </c>
      <c r="N28" s="88">
        <f t="shared" si="95"/>
        <v>0</v>
      </c>
      <c r="O28" s="88">
        <f t="shared" si="95"/>
        <v>0</v>
      </c>
      <c r="P28" s="88">
        <f t="shared" si="95"/>
        <v>0</v>
      </c>
      <c r="Q28" s="88">
        <f t="shared" si="95"/>
        <v>0</v>
      </c>
      <c r="R28" s="88">
        <f t="shared" si="95"/>
        <v>0</v>
      </c>
      <c r="S28" s="88">
        <f t="shared" si="95"/>
        <v>0</v>
      </c>
      <c r="T28" s="88">
        <f t="shared" si="95"/>
        <v>0</v>
      </c>
      <c r="U28" s="88">
        <f t="shared" si="95"/>
        <v>0</v>
      </c>
      <c r="V28" s="88">
        <f t="shared" si="95"/>
        <v>0</v>
      </c>
      <c r="W28" s="88">
        <f t="shared" ref="W28:Y28" si="96">IF(W55=0,0,W55*W165)</f>
        <v>0</v>
      </c>
      <c r="X28" s="88">
        <f t="shared" si="96"/>
        <v>0</v>
      </c>
      <c r="Y28" s="88">
        <f t="shared" si="96"/>
        <v>0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4880.3980607683934</v>
      </c>
      <c r="C30" s="62">
        <f t="shared" ref="C30:V30" si="98">C31+C46</f>
        <v>5063.2471251665957</v>
      </c>
      <c r="D30" s="62">
        <f t="shared" si="98"/>
        <v>5194.1147734459728</v>
      </c>
      <c r="E30" s="62">
        <f t="shared" si="98"/>
        <v>5380.8867685277237</v>
      </c>
      <c r="F30" s="62">
        <f t="shared" si="98"/>
        <v>5569.8443136535325</v>
      </c>
      <c r="G30" s="62">
        <f t="shared" si="98"/>
        <v>5891.7886858613783</v>
      </c>
      <c r="H30" s="62">
        <f t="shared" si="98"/>
        <v>5928.8304656137534</v>
      </c>
      <c r="I30" s="62">
        <f t="shared" si="98"/>
        <v>6308.6235757560171</v>
      </c>
      <c r="J30" s="62">
        <f t="shared" si="98"/>
        <v>6764.6606926205313</v>
      </c>
      <c r="K30" s="62">
        <f t="shared" si="98"/>
        <v>6773.0337989200661</v>
      </c>
      <c r="L30" s="62">
        <f t="shared" si="98"/>
        <v>6903.1851584298092</v>
      </c>
      <c r="M30" s="62">
        <f t="shared" si="98"/>
        <v>6955.2051212562928</v>
      </c>
      <c r="N30" s="62">
        <f t="shared" si="98"/>
        <v>6880.7919164823279</v>
      </c>
      <c r="O30" s="62">
        <f t="shared" si="98"/>
        <v>6738.4193979512411</v>
      </c>
      <c r="P30" s="62">
        <f t="shared" si="98"/>
        <v>6685.5923334738663</v>
      </c>
      <c r="Q30" s="62">
        <f t="shared" si="98"/>
        <v>6773.563219330531</v>
      </c>
      <c r="R30" s="62">
        <f t="shared" si="98"/>
        <v>7602.2253865226139</v>
      </c>
      <c r="S30" s="62">
        <f t="shared" si="98"/>
        <v>7774.4562946140104</v>
      </c>
      <c r="T30" s="62">
        <f t="shared" si="98"/>
        <v>8099.5039746966031</v>
      </c>
      <c r="U30" s="62">
        <f t="shared" si="98"/>
        <v>8322.9708386612292</v>
      </c>
      <c r="V30" s="62">
        <f t="shared" si="98"/>
        <v>7710.1574315985026</v>
      </c>
      <c r="W30" s="62">
        <f t="shared" ref="W30:Y30" si="99">W31+W46</f>
        <v>7864.4279973670018</v>
      </c>
      <c r="X30" s="62">
        <f t="shared" si="99"/>
        <v>8137.4242217346873</v>
      </c>
      <c r="Y30" s="62">
        <f t="shared" si="99"/>
        <v>8411.2285626231806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3296.5633057660575</v>
      </c>
      <c r="C31" s="29">
        <f t="shared" ref="C31:V31" si="101">C32+C33+C40</f>
        <v>3444.7107246046016</v>
      </c>
      <c r="D31" s="29">
        <f t="shared" si="101"/>
        <v>3516.7286685588283</v>
      </c>
      <c r="E31" s="29">
        <f t="shared" si="101"/>
        <v>3669.8893534950098</v>
      </c>
      <c r="F31" s="29">
        <f t="shared" si="101"/>
        <v>4005.3076430845617</v>
      </c>
      <c r="G31" s="29">
        <f t="shared" si="101"/>
        <v>4200.0841957944222</v>
      </c>
      <c r="H31" s="29">
        <f t="shared" si="101"/>
        <v>4379.5788754254427</v>
      </c>
      <c r="I31" s="29">
        <f t="shared" si="101"/>
        <v>4767.1781883832755</v>
      </c>
      <c r="J31" s="29">
        <f t="shared" si="101"/>
        <v>5110.0406186688706</v>
      </c>
      <c r="K31" s="29">
        <f t="shared" si="101"/>
        <v>5276.3415336255139</v>
      </c>
      <c r="L31" s="29">
        <f t="shared" si="101"/>
        <v>5386.4592650460909</v>
      </c>
      <c r="M31" s="29">
        <f t="shared" si="101"/>
        <v>5439.6425892552024</v>
      </c>
      <c r="N31" s="29">
        <f t="shared" si="101"/>
        <v>5357.1497871620877</v>
      </c>
      <c r="O31" s="29">
        <f t="shared" si="101"/>
        <v>5313.2606089585979</v>
      </c>
      <c r="P31" s="29">
        <f t="shared" si="101"/>
        <v>5340.4012618076003</v>
      </c>
      <c r="Q31" s="29">
        <f t="shared" si="101"/>
        <v>5445.5235456006194</v>
      </c>
      <c r="R31" s="29">
        <f t="shared" si="101"/>
        <v>6163.3112302442833</v>
      </c>
      <c r="S31" s="29">
        <f t="shared" si="101"/>
        <v>6241.4968352663773</v>
      </c>
      <c r="T31" s="29">
        <f t="shared" si="101"/>
        <v>6473.8293631224278</v>
      </c>
      <c r="U31" s="29">
        <f t="shared" si="101"/>
        <v>6716.1808838620245</v>
      </c>
      <c r="V31" s="29">
        <f t="shared" si="101"/>
        <v>6180.8460110152682</v>
      </c>
      <c r="W31" s="29">
        <f t="shared" ref="W31:Y31" si="102">W32+W33+W40</f>
        <v>6355.8807920216241</v>
      </c>
      <c r="X31" s="29">
        <f t="shared" si="102"/>
        <v>6593.4046029807741</v>
      </c>
      <c r="Y31" s="29">
        <f t="shared" si="102"/>
        <v>6897.3196145893626</v>
      </c>
      <c r="DA31" s="173" t="s">
        <v>475</v>
      </c>
    </row>
    <row r="32" spans="1:105" ht="11.45" customHeight="1" x14ac:dyDescent="0.25">
      <c r="A32" s="136" t="s">
        <v>173</v>
      </c>
      <c r="B32" s="152">
        <v>128.93358298650557</v>
      </c>
      <c r="C32" s="152">
        <v>126.93867798696904</v>
      </c>
      <c r="D32" s="152">
        <v>124.32831802497259</v>
      </c>
      <c r="E32" s="152">
        <v>126.22769270349171</v>
      </c>
      <c r="F32" s="152">
        <v>126.04513315266645</v>
      </c>
      <c r="G32" s="152">
        <v>124.49027522248764</v>
      </c>
      <c r="H32" s="152">
        <v>124.45635878670699</v>
      </c>
      <c r="I32" s="152">
        <v>125.76316797949602</v>
      </c>
      <c r="J32" s="152">
        <v>128.79062454510864</v>
      </c>
      <c r="K32" s="152">
        <v>128</v>
      </c>
      <c r="L32" s="152">
        <v>127</v>
      </c>
      <c r="M32" s="152">
        <v>124.95</v>
      </c>
      <c r="N32" s="152">
        <v>126.97718166873661</v>
      </c>
      <c r="O32" s="152">
        <v>125.21028338262168</v>
      </c>
      <c r="P32" s="152">
        <v>126.7684963826778</v>
      </c>
      <c r="Q32" s="152">
        <v>124.12954195240015</v>
      </c>
      <c r="R32" s="152">
        <v>124.05713194500403</v>
      </c>
      <c r="S32" s="152">
        <v>116.61004195866867</v>
      </c>
      <c r="T32" s="152">
        <v>110.8715887673828</v>
      </c>
      <c r="U32" s="152">
        <v>117.02530107330412</v>
      </c>
      <c r="V32" s="152">
        <v>104.6967704275357</v>
      </c>
      <c r="W32" s="152">
        <v>108.6592549999841</v>
      </c>
      <c r="X32" s="152">
        <v>109.81538073576355</v>
      </c>
      <c r="Y32" s="152">
        <v>118.89353986595158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3031.9914296170314</v>
      </c>
      <c r="C33" s="116">
        <f t="shared" ref="C33:V33" si="104">SUM(C34:C39)</f>
        <v>3177.3960234007318</v>
      </c>
      <c r="D33" s="116">
        <f t="shared" si="104"/>
        <v>3247.3410112696247</v>
      </c>
      <c r="E33" s="116">
        <f t="shared" si="104"/>
        <v>3389.1709823773454</v>
      </c>
      <c r="F33" s="116">
        <f t="shared" si="104"/>
        <v>3729.9301947333151</v>
      </c>
      <c r="G33" s="116">
        <f t="shared" si="104"/>
        <v>3924.331534256843</v>
      </c>
      <c r="H33" s="116">
        <f t="shared" si="104"/>
        <v>4102.1509250442423</v>
      </c>
      <c r="I33" s="116">
        <f t="shared" si="104"/>
        <v>4487.0514701937736</v>
      </c>
      <c r="J33" s="116">
        <f t="shared" si="104"/>
        <v>4824.7717765733178</v>
      </c>
      <c r="K33" s="116">
        <f t="shared" si="104"/>
        <v>4999.3415336255139</v>
      </c>
      <c r="L33" s="116">
        <f t="shared" si="104"/>
        <v>5112.4592650460909</v>
      </c>
      <c r="M33" s="116">
        <f t="shared" si="104"/>
        <v>5165.1925892552026</v>
      </c>
      <c r="N33" s="116">
        <f t="shared" si="104"/>
        <v>5077.4710093462454</v>
      </c>
      <c r="O33" s="116">
        <f t="shared" si="104"/>
        <v>5038.434006222833</v>
      </c>
      <c r="P33" s="116">
        <f t="shared" si="104"/>
        <v>5064.6707655588843</v>
      </c>
      <c r="Q33" s="116">
        <f t="shared" si="104"/>
        <v>5164.0285174789506</v>
      </c>
      <c r="R33" s="116">
        <f t="shared" si="104"/>
        <v>5875.8296322750384</v>
      </c>
      <c r="S33" s="116">
        <f t="shared" si="104"/>
        <v>5955.3391287786371</v>
      </c>
      <c r="T33" s="116">
        <f t="shared" si="104"/>
        <v>6187.9642134479436</v>
      </c>
      <c r="U33" s="116">
        <f t="shared" si="104"/>
        <v>6422.8036700758921</v>
      </c>
      <c r="V33" s="116">
        <f t="shared" si="104"/>
        <v>5937.269230816647</v>
      </c>
      <c r="W33" s="116">
        <f t="shared" ref="W33:Y33" si="105">SUM(W34:W39)</f>
        <v>6100.2819506636333</v>
      </c>
      <c r="X33" s="116">
        <f t="shared" si="105"/>
        <v>6320.6819875514893</v>
      </c>
      <c r="Y33" s="116">
        <f t="shared" si="105"/>
        <v>6607.8685614711012</v>
      </c>
      <c r="DA33" s="176" t="s">
        <v>477</v>
      </c>
    </row>
    <row r="34" spans="1:105" ht="11.45" customHeight="1" x14ac:dyDescent="0.25">
      <c r="A34" s="111" t="s">
        <v>110</v>
      </c>
      <c r="B34" s="87">
        <v>2514.1240863747562</v>
      </c>
      <c r="C34" s="87">
        <v>2619.1236844994546</v>
      </c>
      <c r="D34" s="87">
        <v>2696.0517805613586</v>
      </c>
      <c r="E34" s="87">
        <v>2843.9249681575538</v>
      </c>
      <c r="F34" s="87">
        <v>3192.8148065222981</v>
      </c>
      <c r="G34" s="87">
        <v>3405.0932852750893</v>
      </c>
      <c r="H34" s="87">
        <v>3599.978668958764</v>
      </c>
      <c r="I34" s="87">
        <v>3961.7424885181581</v>
      </c>
      <c r="J34" s="87">
        <v>4260.0980835327682</v>
      </c>
      <c r="K34" s="87">
        <v>4405.6526372886847</v>
      </c>
      <c r="L34" s="87">
        <v>4504.4016224514153</v>
      </c>
      <c r="M34" s="87">
        <v>4557.7951158678197</v>
      </c>
      <c r="N34" s="87">
        <v>4507.2812050075727</v>
      </c>
      <c r="O34" s="87">
        <v>4485.1234433382078</v>
      </c>
      <c r="P34" s="87">
        <v>4484.3105510979303</v>
      </c>
      <c r="Q34" s="87">
        <v>4522.600881673734</v>
      </c>
      <c r="R34" s="87">
        <v>5114.6322144052419</v>
      </c>
      <c r="S34" s="87">
        <v>5052.7532120257083</v>
      </c>
      <c r="T34" s="87">
        <v>5092.8546797125291</v>
      </c>
      <c r="U34" s="87">
        <v>5145.2568549803782</v>
      </c>
      <c r="V34" s="87">
        <v>4653.8715721141307</v>
      </c>
      <c r="W34" s="87">
        <v>4750.5530879303333</v>
      </c>
      <c r="X34" s="87">
        <v>4939.7424189104959</v>
      </c>
      <c r="Y34" s="87">
        <v>5179.7704235866868</v>
      </c>
      <c r="DA34" s="171" t="s">
        <v>478</v>
      </c>
    </row>
    <row r="35" spans="1:105" ht="11.45" customHeight="1" x14ac:dyDescent="0.25">
      <c r="A35" s="111" t="s">
        <v>111</v>
      </c>
      <c r="B35" s="87">
        <v>517.86734324227518</v>
      </c>
      <c r="C35" s="87">
        <v>558.27233890127741</v>
      </c>
      <c r="D35" s="87">
        <v>551.28923070826602</v>
      </c>
      <c r="E35" s="87">
        <v>545.24601421979128</v>
      </c>
      <c r="F35" s="87">
        <v>537.11538821101681</v>
      </c>
      <c r="G35" s="87">
        <v>519.23824898175371</v>
      </c>
      <c r="H35" s="87">
        <v>502.17225608547784</v>
      </c>
      <c r="I35" s="87">
        <v>525.30898167561554</v>
      </c>
      <c r="J35" s="87">
        <v>564.67369304054955</v>
      </c>
      <c r="K35" s="87">
        <v>593.68889633682954</v>
      </c>
      <c r="L35" s="87">
        <v>608.05764259467514</v>
      </c>
      <c r="M35" s="87">
        <v>607.397473387383</v>
      </c>
      <c r="N35" s="87">
        <v>570.18980433867239</v>
      </c>
      <c r="O35" s="87">
        <v>553.2456636031759</v>
      </c>
      <c r="P35" s="87">
        <v>580.16804908791573</v>
      </c>
      <c r="Q35" s="87">
        <v>640.89024619928387</v>
      </c>
      <c r="R35" s="87">
        <v>760.25337972672457</v>
      </c>
      <c r="S35" s="87">
        <v>900.53488810302611</v>
      </c>
      <c r="T35" s="87">
        <v>1082.1527273195184</v>
      </c>
      <c r="U35" s="87">
        <v>1263.3956520798743</v>
      </c>
      <c r="V35" s="87">
        <v>1269.346380827428</v>
      </c>
      <c r="W35" s="87">
        <v>1332.9901856543486</v>
      </c>
      <c r="X35" s="87">
        <v>1359.4775546177952</v>
      </c>
      <c r="Y35" s="87">
        <v>1394.2812097946701</v>
      </c>
      <c r="DA35" s="171" t="s">
        <v>479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10.054232137413583</v>
      </c>
      <c r="U36" s="87">
        <v>9.799894913111503</v>
      </c>
      <c r="V36" s="87">
        <v>8.4434823177419531</v>
      </c>
      <c r="W36" s="87">
        <v>8.6293723995645699</v>
      </c>
      <c r="X36" s="87">
        <v>8.9505158926199222</v>
      </c>
      <c r="Y36" s="87">
        <v>8.7191027648875963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2.9801678374666213E-2</v>
      </c>
      <c r="Q38" s="87">
        <v>0.28818209439885017</v>
      </c>
      <c r="R38" s="87">
        <v>0.51275666977005818</v>
      </c>
      <c r="S38" s="87">
        <v>1.1140748351381804</v>
      </c>
      <c r="T38" s="87">
        <v>1.6754638962725874</v>
      </c>
      <c r="U38" s="87">
        <v>2.5540849063331144</v>
      </c>
      <c r="V38" s="87">
        <v>3.0869882972914109</v>
      </c>
      <c r="W38" s="87">
        <v>4.5201272555693928</v>
      </c>
      <c r="X38" s="87">
        <v>6.5269456585734931</v>
      </c>
      <c r="Y38" s="87">
        <v>11.655318523840075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7">
        <v>6.489928144952492E-2</v>
      </c>
      <c r="P39" s="87">
        <v>0.16236369466358061</v>
      </c>
      <c r="Q39" s="87">
        <v>0.2492075115339277</v>
      </c>
      <c r="R39" s="87">
        <v>0.43128147330208033</v>
      </c>
      <c r="S39" s="87">
        <v>0.93695381476467976</v>
      </c>
      <c r="T39" s="87">
        <v>1.2271103822098059</v>
      </c>
      <c r="U39" s="87">
        <v>1.7971831961949303</v>
      </c>
      <c r="V39" s="87">
        <v>2.5208072600556353</v>
      </c>
      <c r="W39" s="87">
        <v>3.5891774238169512</v>
      </c>
      <c r="X39" s="87">
        <v>5.9845524720046246</v>
      </c>
      <c r="Y39" s="87">
        <v>13.442506801017037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135.63829316252085</v>
      </c>
      <c r="C40" s="116">
        <f t="shared" ref="C40:V40" si="107">SUM(C41:C45)</f>
        <v>140.37602321690082</v>
      </c>
      <c r="D40" s="116">
        <f t="shared" si="107"/>
        <v>145.05933926423066</v>
      </c>
      <c r="E40" s="116">
        <f t="shared" si="107"/>
        <v>154.49067841417283</v>
      </c>
      <c r="F40" s="116">
        <f t="shared" si="107"/>
        <v>149.33231519858026</v>
      </c>
      <c r="G40" s="116">
        <f t="shared" si="107"/>
        <v>151.26238631509196</v>
      </c>
      <c r="H40" s="116">
        <f t="shared" si="107"/>
        <v>152.9715915944939</v>
      </c>
      <c r="I40" s="116">
        <f t="shared" si="107"/>
        <v>154.36355021000614</v>
      </c>
      <c r="J40" s="116">
        <f t="shared" si="107"/>
        <v>156.4782175504439</v>
      </c>
      <c r="K40" s="116">
        <f t="shared" si="107"/>
        <v>149</v>
      </c>
      <c r="L40" s="116">
        <f t="shared" si="107"/>
        <v>147</v>
      </c>
      <c r="M40" s="116">
        <f t="shared" si="107"/>
        <v>149.50000000000003</v>
      </c>
      <c r="N40" s="116">
        <f t="shared" si="107"/>
        <v>152.7015961471061</v>
      </c>
      <c r="O40" s="116">
        <f t="shared" si="107"/>
        <v>149.61631935314273</v>
      </c>
      <c r="P40" s="116">
        <f t="shared" si="107"/>
        <v>148.96199986603827</v>
      </c>
      <c r="Q40" s="116">
        <f t="shared" si="107"/>
        <v>157.36548616926802</v>
      </c>
      <c r="R40" s="116">
        <f t="shared" si="107"/>
        <v>163.42446602424116</v>
      </c>
      <c r="S40" s="116">
        <f t="shared" si="107"/>
        <v>169.54766452907199</v>
      </c>
      <c r="T40" s="116">
        <f t="shared" si="107"/>
        <v>174.99356090710174</v>
      </c>
      <c r="U40" s="116">
        <f t="shared" si="107"/>
        <v>176.35191271282829</v>
      </c>
      <c r="V40" s="116">
        <f t="shared" si="107"/>
        <v>138.8800097710855</v>
      </c>
      <c r="W40" s="116">
        <f t="shared" ref="W40:Y40" si="108">SUM(W41:W45)</f>
        <v>146.93958635800661</v>
      </c>
      <c r="X40" s="116">
        <f t="shared" si="108"/>
        <v>162.90723469352105</v>
      </c>
      <c r="Y40" s="116">
        <f t="shared" si="108"/>
        <v>170.55751325231009</v>
      </c>
      <c r="DA40" s="176" t="s">
        <v>484</v>
      </c>
    </row>
    <row r="41" spans="1:105" ht="11.45" customHeight="1" x14ac:dyDescent="0.25">
      <c r="A41" s="111" t="s">
        <v>110</v>
      </c>
      <c r="B41" s="101">
        <v>4.5597113279948216</v>
      </c>
      <c r="C41" s="101">
        <v>4.5037509641285887</v>
      </c>
      <c r="D41" s="101">
        <v>4.3622077405748581</v>
      </c>
      <c r="E41" s="101">
        <v>4.3864423330252649</v>
      </c>
      <c r="F41" s="101">
        <v>4.3244962099161279</v>
      </c>
      <c r="G41" s="101">
        <v>4.2962250903565513</v>
      </c>
      <c r="H41" s="101">
        <v>4.3879217931139545</v>
      </c>
      <c r="I41" s="101">
        <v>4.3552956654918136</v>
      </c>
      <c r="J41" s="101">
        <v>4.3809051904537446</v>
      </c>
      <c r="K41" s="101">
        <v>4.2780680301226734</v>
      </c>
      <c r="L41" s="101">
        <v>4.3374668211842984</v>
      </c>
      <c r="M41" s="101">
        <v>4.396812670012185</v>
      </c>
      <c r="N41" s="101">
        <v>4.4251570723711895</v>
      </c>
      <c r="O41" s="101">
        <v>4.3651407586086801</v>
      </c>
      <c r="P41" s="101">
        <v>1.5156146211292296</v>
      </c>
      <c r="Q41" s="101">
        <v>1.3386005380232873</v>
      </c>
      <c r="R41" s="101">
        <v>1.3240063967161291</v>
      </c>
      <c r="S41" s="101">
        <v>1.3691092256521395</v>
      </c>
      <c r="T41" s="101">
        <v>1.432187748234105</v>
      </c>
      <c r="U41" s="101">
        <v>1.4285791424330798</v>
      </c>
      <c r="V41" s="101">
        <v>1.3846916599436425</v>
      </c>
      <c r="W41" s="101">
        <v>1.345716742172093</v>
      </c>
      <c r="X41" s="101">
        <v>1.2257003441684351</v>
      </c>
      <c r="Y41" s="101">
        <v>1.0163975671756769</v>
      </c>
      <c r="DA41" s="175" t="s">
        <v>485</v>
      </c>
    </row>
    <row r="42" spans="1:105" ht="11.45" customHeight="1" x14ac:dyDescent="0.25">
      <c r="A42" s="111" t="s">
        <v>111</v>
      </c>
      <c r="B42" s="101">
        <v>131.07858183452603</v>
      </c>
      <c r="C42" s="101">
        <v>135.87227225277223</v>
      </c>
      <c r="D42" s="101">
        <v>140.6971315236558</v>
      </c>
      <c r="E42" s="101">
        <v>150.10423608114758</v>
      </c>
      <c r="F42" s="101">
        <v>145.00781898866413</v>
      </c>
      <c r="G42" s="101">
        <v>146.9661612247354</v>
      </c>
      <c r="H42" s="101">
        <v>148.58366980137995</v>
      </c>
      <c r="I42" s="101">
        <v>150.00825454451433</v>
      </c>
      <c r="J42" s="101">
        <v>152.05945503677333</v>
      </c>
      <c r="K42" s="101">
        <v>144.68419312720462</v>
      </c>
      <c r="L42" s="101">
        <v>142.62479449989286</v>
      </c>
      <c r="M42" s="101">
        <v>145.06544926479503</v>
      </c>
      <c r="N42" s="101">
        <v>148.23871263647189</v>
      </c>
      <c r="O42" s="101">
        <v>145.21345749868709</v>
      </c>
      <c r="P42" s="101">
        <v>147.40863480703749</v>
      </c>
      <c r="Q42" s="101">
        <v>155.9890986790034</v>
      </c>
      <c r="R42" s="101">
        <v>162.06272969619886</v>
      </c>
      <c r="S42" s="101">
        <v>168.14092173100343</v>
      </c>
      <c r="T42" s="101">
        <v>173.52385632990826</v>
      </c>
      <c r="U42" s="101">
        <v>174.88584831352966</v>
      </c>
      <c r="V42" s="101">
        <v>137.45812623122424</v>
      </c>
      <c r="W42" s="101">
        <v>145.55639085826715</v>
      </c>
      <c r="X42" s="101">
        <v>161.64419288768758</v>
      </c>
      <c r="Y42" s="101">
        <v>168.00852100326827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X44" s="101">
        <v>0</v>
      </c>
      <c r="Y44" s="101">
        <v>0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3.7857323216820712E-2</v>
      </c>
      <c r="K45" s="101">
        <v>3.7738842672703977E-2</v>
      </c>
      <c r="L45" s="101">
        <v>3.7738678922841933E-2</v>
      </c>
      <c r="M45" s="101">
        <v>3.7738065192785997E-2</v>
      </c>
      <c r="N45" s="101">
        <v>3.7726438263028884E-2</v>
      </c>
      <c r="O45" s="101">
        <v>3.7721095846963759E-2</v>
      </c>
      <c r="P45" s="101">
        <v>3.7750437871547603E-2</v>
      </c>
      <c r="Q45" s="101">
        <v>3.7786952241324993E-2</v>
      </c>
      <c r="R45" s="101">
        <v>3.7729931326171258E-2</v>
      </c>
      <c r="S45" s="101">
        <v>3.7633572416411992E-2</v>
      </c>
      <c r="T45" s="101">
        <v>3.751682895939519E-2</v>
      </c>
      <c r="U45" s="101">
        <v>3.7485256865557218E-2</v>
      </c>
      <c r="V45" s="101">
        <v>3.7191879917588384E-2</v>
      </c>
      <c r="W45" s="101">
        <v>3.7478757567345394E-2</v>
      </c>
      <c r="X45" s="101">
        <v>3.7341461665021169E-2</v>
      </c>
      <c r="Y45" s="101">
        <v>1.5325946818661349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1583.8347550023364</v>
      </c>
      <c r="C46" s="29">
        <f t="shared" ref="C46:V46" si="110">C47+C53</f>
        <v>1618.5364005619938</v>
      </c>
      <c r="D46" s="29">
        <f t="shared" si="110"/>
        <v>1677.3861048871443</v>
      </c>
      <c r="E46" s="29">
        <f t="shared" si="110"/>
        <v>1710.9974150327143</v>
      </c>
      <c r="F46" s="29">
        <f t="shared" si="110"/>
        <v>1564.5366705689705</v>
      </c>
      <c r="G46" s="29">
        <f t="shared" si="110"/>
        <v>1691.7044900669557</v>
      </c>
      <c r="H46" s="29">
        <f t="shared" si="110"/>
        <v>1549.2515901883107</v>
      </c>
      <c r="I46" s="29">
        <f t="shared" si="110"/>
        <v>1541.4453873727418</v>
      </c>
      <c r="J46" s="29">
        <f t="shared" si="110"/>
        <v>1654.6200739516612</v>
      </c>
      <c r="K46" s="29">
        <f t="shared" si="110"/>
        <v>1496.6922652945525</v>
      </c>
      <c r="L46" s="29">
        <f t="shared" si="110"/>
        <v>1516.7258933837188</v>
      </c>
      <c r="M46" s="29">
        <f t="shared" si="110"/>
        <v>1515.5625320010906</v>
      </c>
      <c r="N46" s="29">
        <f t="shared" si="110"/>
        <v>1523.64212932024</v>
      </c>
      <c r="O46" s="29">
        <f t="shared" si="110"/>
        <v>1425.1587889926429</v>
      </c>
      <c r="P46" s="29">
        <f t="shared" si="110"/>
        <v>1345.1910716662662</v>
      </c>
      <c r="Q46" s="29">
        <f t="shared" si="110"/>
        <v>1328.0396737299118</v>
      </c>
      <c r="R46" s="29">
        <f t="shared" si="110"/>
        <v>1438.9141562783311</v>
      </c>
      <c r="S46" s="29">
        <f t="shared" si="110"/>
        <v>1532.9594593476331</v>
      </c>
      <c r="T46" s="29">
        <f t="shared" si="110"/>
        <v>1625.6746115741757</v>
      </c>
      <c r="U46" s="29">
        <f t="shared" si="110"/>
        <v>1606.7899547992054</v>
      </c>
      <c r="V46" s="29">
        <f t="shared" si="110"/>
        <v>1529.3114205832342</v>
      </c>
      <c r="W46" s="29">
        <f t="shared" ref="W46:Y46" si="111">W47+W53</f>
        <v>1508.547205345378</v>
      </c>
      <c r="X46" s="29">
        <f t="shared" si="111"/>
        <v>1544.0196187539136</v>
      </c>
      <c r="Y46" s="29">
        <f t="shared" si="111"/>
        <v>1513.9089480338184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1435.7632153444827</v>
      </c>
      <c r="C47" s="152">
        <f t="shared" ref="C47:V47" si="113">SUM(C48:C52)</f>
        <v>1468.9174270005631</v>
      </c>
      <c r="D47" s="152">
        <f t="shared" si="113"/>
        <v>1528.3861048871443</v>
      </c>
      <c r="E47" s="152">
        <f t="shared" si="113"/>
        <v>1549.9974150327143</v>
      </c>
      <c r="F47" s="152">
        <f t="shared" si="113"/>
        <v>1432.5366705689705</v>
      </c>
      <c r="G47" s="152">
        <f t="shared" si="113"/>
        <v>1522.7044900669557</v>
      </c>
      <c r="H47" s="152">
        <f t="shared" si="113"/>
        <v>1411.2515901883107</v>
      </c>
      <c r="I47" s="152">
        <f t="shared" si="113"/>
        <v>1397.4453873727418</v>
      </c>
      <c r="J47" s="152">
        <f t="shared" si="113"/>
        <v>1495.6200739516612</v>
      </c>
      <c r="K47" s="152">
        <f t="shared" si="113"/>
        <v>1377.6922652945525</v>
      </c>
      <c r="L47" s="152">
        <f t="shared" si="113"/>
        <v>1383.7258933837188</v>
      </c>
      <c r="M47" s="152">
        <f t="shared" si="113"/>
        <v>1400.5625320010906</v>
      </c>
      <c r="N47" s="152">
        <f t="shared" si="113"/>
        <v>1417.64212932024</v>
      </c>
      <c r="O47" s="152">
        <f t="shared" si="113"/>
        <v>1349.1587889926429</v>
      </c>
      <c r="P47" s="152">
        <f t="shared" si="113"/>
        <v>1279.1910716662662</v>
      </c>
      <c r="Q47" s="152">
        <f t="shared" si="113"/>
        <v>1263.0396737299118</v>
      </c>
      <c r="R47" s="152">
        <f t="shared" si="113"/>
        <v>1350.9141562783311</v>
      </c>
      <c r="S47" s="152">
        <f t="shared" si="113"/>
        <v>1429.9594593476331</v>
      </c>
      <c r="T47" s="152">
        <f t="shared" si="113"/>
        <v>1514.6746115741757</v>
      </c>
      <c r="U47" s="152">
        <f t="shared" si="113"/>
        <v>1492.7899547992054</v>
      </c>
      <c r="V47" s="152">
        <f t="shared" si="113"/>
        <v>1446.3114205832342</v>
      </c>
      <c r="W47" s="152">
        <f t="shared" ref="W47:Y47" si="114">SUM(W48:W52)</f>
        <v>1425.547205345378</v>
      </c>
      <c r="X47" s="152">
        <f t="shared" si="114"/>
        <v>1425.0196187539136</v>
      </c>
      <c r="Y47" s="152">
        <f t="shared" si="114"/>
        <v>1396.9089480338184</v>
      </c>
      <c r="DA47" s="174" t="s">
        <v>491</v>
      </c>
    </row>
    <row r="48" spans="1:105" ht="11.45" customHeight="1" x14ac:dyDescent="0.25">
      <c r="A48" s="111" t="s">
        <v>110</v>
      </c>
      <c r="B48" s="87">
        <v>94.24485394990765</v>
      </c>
      <c r="C48" s="87">
        <v>97.9053692601112</v>
      </c>
      <c r="D48" s="87">
        <v>94.866181625229004</v>
      </c>
      <c r="E48" s="87">
        <v>103.30659988278424</v>
      </c>
      <c r="F48" s="87">
        <v>85.905776672128979</v>
      </c>
      <c r="G48" s="87">
        <v>67.345917483698486</v>
      </c>
      <c r="H48" s="87">
        <v>62.413271121225662</v>
      </c>
      <c r="I48" s="87">
        <v>57.089068405797228</v>
      </c>
      <c r="J48" s="87">
        <v>63.785110684503671</v>
      </c>
      <c r="K48" s="87">
        <v>58.554086222544328</v>
      </c>
      <c r="L48" s="87">
        <v>56.239459346701544</v>
      </c>
      <c r="M48" s="87">
        <v>55.892193402692897</v>
      </c>
      <c r="N48" s="87">
        <v>56.157650295490946</v>
      </c>
      <c r="O48" s="87">
        <v>53.60083336280529</v>
      </c>
      <c r="P48" s="87">
        <v>50.178353995913419</v>
      </c>
      <c r="Q48" s="87">
        <v>49.401859098298999</v>
      </c>
      <c r="R48" s="87">
        <v>51.578407550684808</v>
      </c>
      <c r="S48" s="87">
        <v>52.804474467893748</v>
      </c>
      <c r="T48" s="87">
        <v>54.559604263700294</v>
      </c>
      <c r="U48" s="87">
        <v>54.471282809570226</v>
      </c>
      <c r="V48" s="87">
        <v>53.886659746525957</v>
      </c>
      <c r="W48" s="87">
        <v>54.227931540132872</v>
      </c>
      <c r="X48" s="87">
        <v>60.745470003547716</v>
      </c>
      <c r="Y48" s="87">
        <v>66.589490070057693</v>
      </c>
      <c r="DA48" s="171" t="s">
        <v>492</v>
      </c>
    </row>
    <row r="49" spans="1:105" ht="11.45" customHeight="1" x14ac:dyDescent="0.25">
      <c r="A49" s="111" t="s">
        <v>111</v>
      </c>
      <c r="B49" s="87">
        <v>1341.5183613945751</v>
      </c>
      <c r="C49" s="87">
        <v>1371.0120577404518</v>
      </c>
      <c r="D49" s="87">
        <v>1433.5199232619152</v>
      </c>
      <c r="E49" s="87">
        <v>1446.6908151499301</v>
      </c>
      <c r="F49" s="87">
        <v>1346.6308938968416</v>
      </c>
      <c r="G49" s="87">
        <v>1455.3585725832572</v>
      </c>
      <c r="H49" s="87">
        <v>1348.838319067085</v>
      </c>
      <c r="I49" s="87">
        <v>1340.3417045908448</v>
      </c>
      <c r="J49" s="87">
        <v>1431.8124366154461</v>
      </c>
      <c r="K49" s="87">
        <v>1319.1146744117048</v>
      </c>
      <c r="L49" s="87">
        <v>1327.4471501322762</v>
      </c>
      <c r="M49" s="87">
        <v>1344.62287948115</v>
      </c>
      <c r="N49" s="87">
        <v>1361.4367501133584</v>
      </c>
      <c r="O49" s="87">
        <v>1295.5089056258159</v>
      </c>
      <c r="P49" s="87">
        <v>1228.9715789475126</v>
      </c>
      <c r="Q49" s="87">
        <v>1213.5965584496078</v>
      </c>
      <c r="R49" s="87">
        <v>1299.2946185875501</v>
      </c>
      <c r="S49" s="87">
        <v>1377.1139783588676</v>
      </c>
      <c r="T49" s="87">
        <v>1460.0822529859247</v>
      </c>
      <c r="U49" s="87">
        <v>1438.2615176921829</v>
      </c>
      <c r="V49" s="87">
        <v>1392.3608835712405</v>
      </c>
      <c r="W49" s="87">
        <v>1371.2218773420434</v>
      </c>
      <c r="X49" s="87">
        <v>1363.8914983361203</v>
      </c>
      <c r="Y49" s="87">
        <v>1329.808035955361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1.4614376099922341E-2</v>
      </c>
      <c r="J52" s="87">
        <v>2.2526651711302612E-2</v>
      </c>
      <c r="K52" s="87">
        <v>2.350466030347689E-2</v>
      </c>
      <c r="L52" s="87">
        <v>3.9283904740958907E-2</v>
      </c>
      <c r="M52" s="87">
        <v>4.7459117247591637E-2</v>
      </c>
      <c r="N52" s="87">
        <v>4.772891139074855E-2</v>
      </c>
      <c r="O52" s="87">
        <v>4.9050004021588274E-2</v>
      </c>
      <c r="P52" s="87">
        <v>4.1138722840235939E-2</v>
      </c>
      <c r="Q52" s="87">
        <v>4.1256182005044398E-2</v>
      </c>
      <c r="R52" s="87">
        <v>4.1130140096027619E-2</v>
      </c>
      <c r="S52" s="87">
        <v>4.1006520871876714E-2</v>
      </c>
      <c r="T52" s="87">
        <v>3.2754324550687358E-2</v>
      </c>
      <c r="U52" s="87">
        <v>5.7154297452057669E-2</v>
      </c>
      <c r="V52" s="87">
        <v>6.3877265467736255E-2</v>
      </c>
      <c r="W52" s="87">
        <v>9.7396463201580991E-2</v>
      </c>
      <c r="X52" s="87">
        <v>0.3826504142454773</v>
      </c>
      <c r="Y52" s="87">
        <v>0.51142200839971985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148.0715396578538</v>
      </c>
      <c r="C53" s="116">
        <f t="shared" ref="C53:V53" si="116">SUM(C54:C55)</f>
        <v>149.61897356143081</v>
      </c>
      <c r="D53" s="116">
        <f t="shared" si="116"/>
        <v>149</v>
      </c>
      <c r="E53" s="116">
        <f t="shared" si="116"/>
        <v>161</v>
      </c>
      <c r="F53" s="116">
        <f t="shared" si="116"/>
        <v>132</v>
      </c>
      <c r="G53" s="116">
        <f t="shared" si="116"/>
        <v>169</v>
      </c>
      <c r="H53" s="116">
        <f t="shared" si="116"/>
        <v>138</v>
      </c>
      <c r="I53" s="116">
        <f t="shared" si="116"/>
        <v>144</v>
      </c>
      <c r="J53" s="116">
        <f t="shared" si="116"/>
        <v>159</v>
      </c>
      <c r="K53" s="116">
        <f t="shared" si="116"/>
        <v>119</v>
      </c>
      <c r="L53" s="116">
        <f t="shared" si="116"/>
        <v>133</v>
      </c>
      <c r="M53" s="116">
        <f t="shared" si="116"/>
        <v>115</v>
      </c>
      <c r="N53" s="116">
        <f t="shared" si="116"/>
        <v>106</v>
      </c>
      <c r="O53" s="116">
        <f t="shared" si="116"/>
        <v>76</v>
      </c>
      <c r="P53" s="116">
        <f t="shared" si="116"/>
        <v>66</v>
      </c>
      <c r="Q53" s="116">
        <f t="shared" si="116"/>
        <v>65</v>
      </c>
      <c r="R53" s="116">
        <f t="shared" si="116"/>
        <v>88</v>
      </c>
      <c r="S53" s="116">
        <f t="shared" si="116"/>
        <v>103</v>
      </c>
      <c r="T53" s="116">
        <f t="shared" si="116"/>
        <v>111</v>
      </c>
      <c r="U53" s="116">
        <f t="shared" si="116"/>
        <v>114</v>
      </c>
      <c r="V53" s="116">
        <f t="shared" si="116"/>
        <v>83</v>
      </c>
      <c r="W53" s="116">
        <f t="shared" ref="W53:Y53" si="117">SUM(W54:W55)</f>
        <v>83</v>
      </c>
      <c r="X53" s="116">
        <f t="shared" si="117"/>
        <v>119</v>
      </c>
      <c r="Y53" s="116">
        <f t="shared" si="117"/>
        <v>117</v>
      </c>
      <c r="DA53" s="176" t="s">
        <v>497</v>
      </c>
    </row>
    <row r="54" spans="1:105" ht="11.45" customHeight="1" x14ac:dyDescent="0.25">
      <c r="A54" s="128" t="s">
        <v>27</v>
      </c>
      <c r="B54" s="101">
        <v>148.0715396578538</v>
      </c>
      <c r="C54" s="101">
        <v>149.61897356143081</v>
      </c>
      <c r="D54" s="101">
        <v>149</v>
      </c>
      <c r="E54" s="101">
        <v>161</v>
      </c>
      <c r="F54" s="101">
        <v>132</v>
      </c>
      <c r="G54" s="101">
        <v>169</v>
      </c>
      <c r="H54" s="101">
        <v>138</v>
      </c>
      <c r="I54" s="101">
        <v>144</v>
      </c>
      <c r="J54" s="101">
        <v>159</v>
      </c>
      <c r="K54" s="101">
        <v>119</v>
      </c>
      <c r="L54" s="101">
        <v>133</v>
      </c>
      <c r="M54" s="101">
        <v>115</v>
      </c>
      <c r="N54" s="101">
        <v>106</v>
      </c>
      <c r="O54" s="101">
        <v>76</v>
      </c>
      <c r="P54" s="101">
        <v>66</v>
      </c>
      <c r="Q54" s="101">
        <v>65</v>
      </c>
      <c r="R54" s="101">
        <v>88</v>
      </c>
      <c r="S54" s="101">
        <v>103</v>
      </c>
      <c r="T54" s="101">
        <v>111</v>
      </c>
      <c r="U54" s="101">
        <v>114</v>
      </c>
      <c r="V54" s="101">
        <v>83</v>
      </c>
      <c r="W54" s="101">
        <v>83</v>
      </c>
      <c r="X54" s="101">
        <v>119</v>
      </c>
      <c r="Y54" s="101">
        <v>117</v>
      </c>
      <c r="DA54" s="175" t="s">
        <v>498</v>
      </c>
    </row>
    <row r="55" spans="1:105" ht="11.45" customHeight="1" x14ac:dyDescent="0.25">
      <c r="A55" s="138" t="s">
        <v>116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  <c r="X55" s="88">
        <v>0</v>
      </c>
      <c r="Y55" s="88">
        <v>0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427905</v>
      </c>
      <c r="C57" s="54">
        <f t="shared" si="118"/>
        <v>442975</v>
      </c>
      <c r="D57" s="54">
        <f t="shared" si="118"/>
        <v>448652</v>
      </c>
      <c r="E57" s="54">
        <f t="shared" si="118"/>
        <v>466903</v>
      </c>
      <c r="F57" s="54">
        <f t="shared" si="118"/>
        <v>498042</v>
      </c>
      <c r="G57" s="54">
        <f t="shared" si="118"/>
        <v>517244</v>
      </c>
      <c r="H57" s="54">
        <f t="shared" si="118"/>
        <v>532448</v>
      </c>
      <c r="I57" s="54">
        <f t="shared" si="118"/>
        <v>568104</v>
      </c>
      <c r="J57" s="54">
        <f t="shared" si="118"/>
        <v>605100</v>
      </c>
      <c r="K57" s="54">
        <f t="shared" si="118"/>
        <v>622895</v>
      </c>
      <c r="L57" s="54">
        <f t="shared" ref="L57" si="119">L58+L73</f>
        <v>622625</v>
      </c>
      <c r="M57" s="54">
        <f t="shared" ref="M57:V57" si="120">M58+M73</f>
        <v>627954</v>
      </c>
      <c r="N57" s="54">
        <f t="shared" si="120"/>
        <v>633994</v>
      </c>
      <c r="O57" s="54">
        <f t="shared" si="120"/>
        <v>627315</v>
      </c>
      <c r="P57" s="54">
        <f t="shared" si="120"/>
        <v>627567</v>
      </c>
      <c r="Q57" s="54">
        <f t="shared" si="120"/>
        <v>634588</v>
      </c>
      <c r="R57" s="54">
        <f t="shared" si="120"/>
        <v>657448</v>
      </c>
      <c r="S57" s="54">
        <f t="shared" si="120"/>
        <v>677125</v>
      </c>
      <c r="T57" s="54">
        <f t="shared" si="120"/>
        <v>705615</v>
      </c>
      <c r="U57" s="54">
        <f t="shared" si="120"/>
        <v>730985</v>
      </c>
      <c r="V57" s="54">
        <f t="shared" si="120"/>
        <v>738509</v>
      </c>
      <c r="W57" s="54">
        <f t="shared" ref="W57:Y57" si="121">W58+W73</f>
        <v>755118</v>
      </c>
      <c r="X57" s="54">
        <f t="shared" si="121"/>
        <v>767993</v>
      </c>
      <c r="Y57" s="54">
        <f t="shared" si="121"/>
        <v>796644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313264</v>
      </c>
      <c r="C58" s="28">
        <f t="shared" si="122"/>
        <v>325057</v>
      </c>
      <c r="D58" s="28">
        <f t="shared" si="122"/>
        <v>330895</v>
      </c>
      <c r="E58" s="28">
        <f t="shared" si="122"/>
        <v>347292</v>
      </c>
      <c r="F58" s="28">
        <f t="shared" si="122"/>
        <v>380229</v>
      </c>
      <c r="G58" s="28">
        <f t="shared" si="122"/>
        <v>398732</v>
      </c>
      <c r="H58" s="28">
        <f t="shared" si="122"/>
        <v>416525</v>
      </c>
      <c r="I58" s="28">
        <f t="shared" si="122"/>
        <v>455439</v>
      </c>
      <c r="J58" s="28">
        <f t="shared" si="122"/>
        <v>490138</v>
      </c>
      <c r="K58" s="28">
        <f t="shared" si="122"/>
        <v>506643</v>
      </c>
      <c r="L58" s="28">
        <f t="shared" ref="L58" si="123">L59+L60+L67</f>
        <v>506782</v>
      </c>
      <c r="M58" s="28">
        <f t="shared" ref="M58:V58" si="124">M59+M60+M67</f>
        <v>512808</v>
      </c>
      <c r="N58" s="28">
        <f t="shared" si="124"/>
        <v>520125</v>
      </c>
      <c r="O58" s="28">
        <f t="shared" si="124"/>
        <v>518017</v>
      </c>
      <c r="P58" s="28">
        <f t="shared" si="124"/>
        <v>522892</v>
      </c>
      <c r="Q58" s="28">
        <f t="shared" si="124"/>
        <v>530553</v>
      </c>
      <c r="R58" s="28">
        <f t="shared" si="124"/>
        <v>550979</v>
      </c>
      <c r="S58" s="28">
        <f t="shared" si="124"/>
        <v>569245</v>
      </c>
      <c r="T58" s="28">
        <f t="shared" si="124"/>
        <v>594469</v>
      </c>
      <c r="U58" s="28">
        <f t="shared" si="124"/>
        <v>616195</v>
      </c>
      <c r="V58" s="28">
        <f t="shared" si="124"/>
        <v>621863</v>
      </c>
      <c r="W58" s="28">
        <f t="shared" ref="W58:Y58" si="125">W59+W60+W67</f>
        <v>636868</v>
      </c>
      <c r="X58" s="28">
        <f t="shared" si="125"/>
        <v>646578</v>
      </c>
      <c r="Y58" s="28">
        <f t="shared" si="125"/>
        <v>671646</v>
      </c>
      <c r="DA58" s="173" t="s">
        <v>501</v>
      </c>
    </row>
    <row r="59" spans="1:105" ht="11.45" customHeight="1" x14ac:dyDescent="0.25">
      <c r="A59" s="136" t="s">
        <v>173</v>
      </c>
      <c r="B59" s="137">
        <v>43315</v>
      </c>
      <c r="C59" s="137">
        <v>41985</v>
      </c>
      <c r="D59" s="137">
        <v>40276</v>
      </c>
      <c r="E59" s="137">
        <v>41516</v>
      </c>
      <c r="F59" s="137">
        <v>41396</v>
      </c>
      <c r="G59" s="137">
        <v>40381</v>
      </c>
      <c r="H59" s="137">
        <v>40359</v>
      </c>
      <c r="I59" s="137">
        <v>41211</v>
      </c>
      <c r="J59" s="137">
        <v>43219</v>
      </c>
      <c r="K59" s="137">
        <v>42690</v>
      </c>
      <c r="L59" s="137">
        <v>40727</v>
      </c>
      <c r="M59" s="137">
        <v>39803</v>
      </c>
      <c r="N59" s="137">
        <v>41105</v>
      </c>
      <c r="O59" s="137">
        <v>39969</v>
      </c>
      <c r="P59" s="137">
        <v>40970</v>
      </c>
      <c r="Q59" s="137">
        <v>39282</v>
      </c>
      <c r="R59" s="137">
        <v>39242</v>
      </c>
      <c r="S59" s="137">
        <v>39400</v>
      </c>
      <c r="T59" s="137">
        <v>39764</v>
      </c>
      <c r="U59" s="137">
        <v>39703</v>
      </c>
      <c r="V59" s="137">
        <v>40351</v>
      </c>
      <c r="W59" s="137">
        <v>41141</v>
      </c>
      <c r="X59" s="137">
        <v>41886</v>
      </c>
      <c r="Y59" s="137">
        <v>43187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267000</v>
      </c>
      <c r="C60" s="110">
        <f t="shared" si="126"/>
        <v>280069</v>
      </c>
      <c r="D60" s="110">
        <f t="shared" si="126"/>
        <v>287622</v>
      </c>
      <c r="E60" s="110">
        <f t="shared" si="126"/>
        <v>302501</v>
      </c>
      <c r="F60" s="110">
        <f t="shared" si="126"/>
        <v>335634</v>
      </c>
      <c r="G60" s="110">
        <f t="shared" si="126"/>
        <v>355134</v>
      </c>
      <c r="H60" s="110">
        <f t="shared" si="126"/>
        <v>372945</v>
      </c>
      <c r="I60" s="110">
        <f t="shared" si="126"/>
        <v>410936</v>
      </c>
      <c r="J60" s="110">
        <f t="shared" si="126"/>
        <v>443517</v>
      </c>
      <c r="K60" s="110">
        <f t="shared" si="126"/>
        <v>460504</v>
      </c>
      <c r="L60" s="110">
        <f t="shared" ref="L60" si="127">SUM(L61:L66)</f>
        <v>462652</v>
      </c>
      <c r="M60" s="110">
        <f t="shared" ref="M60:V60" si="128">SUM(M61:M66)</f>
        <v>469543</v>
      </c>
      <c r="N60" s="110">
        <f t="shared" si="128"/>
        <v>475462</v>
      </c>
      <c r="O60" s="110">
        <f t="shared" si="128"/>
        <v>474552</v>
      </c>
      <c r="P60" s="110">
        <f t="shared" si="128"/>
        <v>478495</v>
      </c>
      <c r="Q60" s="110">
        <f t="shared" si="128"/>
        <v>487721</v>
      </c>
      <c r="R60" s="110">
        <f t="shared" si="128"/>
        <v>508160</v>
      </c>
      <c r="S60" s="110">
        <f t="shared" si="128"/>
        <v>526319</v>
      </c>
      <c r="T60" s="110">
        <f t="shared" si="128"/>
        <v>551285</v>
      </c>
      <c r="U60" s="110">
        <f t="shared" si="128"/>
        <v>573103</v>
      </c>
      <c r="V60" s="110">
        <f t="shared" si="128"/>
        <v>578815</v>
      </c>
      <c r="W60" s="110">
        <f t="shared" ref="W60:Y60" si="129">SUM(W61:W66)</f>
        <v>592913</v>
      </c>
      <c r="X60" s="110">
        <f t="shared" si="129"/>
        <v>601793</v>
      </c>
      <c r="Y60" s="110">
        <f t="shared" si="129"/>
        <v>625360</v>
      </c>
      <c r="DA60" s="176" t="s">
        <v>503</v>
      </c>
    </row>
    <row r="61" spans="1:105" ht="11.45" customHeight="1" x14ac:dyDescent="0.25">
      <c r="A61" s="111" t="s">
        <v>110</v>
      </c>
      <c r="B61" s="84">
        <v>237000</v>
      </c>
      <c r="C61" s="84">
        <v>247164</v>
      </c>
      <c r="D61" s="84">
        <v>254431</v>
      </c>
      <c r="E61" s="84">
        <v>268875</v>
      </c>
      <c r="F61" s="84">
        <v>301834</v>
      </c>
      <c r="G61" s="84">
        <v>322063</v>
      </c>
      <c r="H61" s="84">
        <v>340539</v>
      </c>
      <c r="I61" s="84">
        <v>375337</v>
      </c>
      <c r="J61" s="84">
        <v>403269</v>
      </c>
      <c r="K61" s="84">
        <v>416605</v>
      </c>
      <c r="L61" s="84">
        <v>416450</v>
      </c>
      <c r="M61" s="84">
        <v>421509</v>
      </c>
      <c r="N61" s="84">
        <v>426214</v>
      </c>
      <c r="O61" s="84">
        <v>424068</v>
      </c>
      <c r="P61" s="84">
        <v>423607</v>
      </c>
      <c r="Q61" s="84">
        <v>427077</v>
      </c>
      <c r="R61" s="84">
        <v>437807</v>
      </c>
      <c r="S61" s="84">
        <v>442623</v>
      </c>
      <c r="T61" s="84">
        <v>450682</v>
      </c>
      <c r="U61" s="84">
        <v>457482</v>
      </c>
      <c r="V61" s="84">
        <v>453727</v>
      </c>
      <c r="W61" s="84">
        <v>461558</v>
      </c>
      <c r="X61" s="84">
        <v>470153</v>
      </c>
      <c r="Y61" s="84">
        <v>490017</v>
      </c>
      <c r="DA61" s="171" t="s">
        <v>504</v>
      </c>
    </row>
    <row r="62" spans="1:105" ht="11.45" customHeight="1" x14ac:dyDescent="0.25">
      <c r="A62" s="111" t="s">
        <v>111</v>
      </c>
      <c r="B62" s="84">
        <v>30000</v>
      </c>
      <c r="C62" s="84">
        <v>32905</v>
      </c>
      <c r="D62" s="84">
        <v>33191</v>
      </c>
      <c r="E62" s="84">
        <v>33626</v>
      </c>
      <c r="F62" s="84">
        <v>33800</v>
      </c>
      <c r="G62" s="84">
        <v>33071</v>
      </c>
      <c r="H62" s="84">
        <v>32406</v>
      </c>
      <c r="I62" s="84">
        <v>35599</v>
      </c>
      <c r="J62" s="84">
        <v>40248</v>
      </c>
      <c r="K62" s="84">
        <v>43899</v>
      </c>
      <c r="L62" s="84">
        <v>46202</v>
      </c>
      <c r="M62" s="84">
        <v>48034</v>
      </c>
      <c r="N62" s="84">
        <v>49248</v>
      </c>
      <c r="O62" s="84">
        <v>50478</v>
      </c>
      <c r="P62" s="84">
        <v>54870</v>
      </c>
      <c r="Q62" s="84">
        <v>60592</v>
      </c>
      <c r="R62" s="84">
        <v>70264</v>
      </c>
      <c r="S62" s="84">
        <v>83505</v>
      </c>
      <c r="T62" s="84">
        <v>99381</v>
      </c>
      <c r="U62" s="84">
        <v>114291</v>
      </c>
      <c r="V62" s="84">
        <v>123622</v>
      </c>
      <c r="W62" s="84">
        <v>129665</v>
      </c>
      <c r="X62" s="84">
        <v>129545</v>
      </c>
      <c r="Y62" s="84">
        <v>132058</v>
      </c>
      <c r="DA62" s="171" t="s">
        <v>505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950</v>
      </c>
      <c r="U63" s="84">
        <v>921</v>
      </c>
      <c r="V63" s="84">
        <v>895</v>
      </c>
      <c r="W63" s="84">
        <v>887</v>
      </c>
      <c r="X63" s="84">
        <v>875</v>
      </c>
      <c r="Y63" s="84">
        <v>857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X64" s="84">
        <v>0</v>
      </c>
      <c r="Y64" s="84">
        <v>0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3</v>
      </c>
      <c r="Q65" s="84">
        <v>29</v>
      </c>
      <c r="R65" s="84">
        <v>49</v>
      </c>
      <c r="S65" s="84">
        <v>104</v>
      </c>
      <c r="T65" s="84">
        <v>158</v>
      </c>
      <c r="U65" s="84">
        <v>242</v>
      </c>
      <c r="V65" s="84">
        <v>320</v>
      </c>
      <c r="W65" s="84">
        <v>468</v>
      </c>
      <c r="X65" s="84">
        <v>662</v>
      </c>
      <c r="Y65" s="84">
        <v>1175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6</v>
      </c>
      <c r="P66" s="84">
        <v>15</v>
      </c>
      <c r="Q66" s="84">
        <v>23</v>
      </c>
      <c r="R66" s="84">
        <v>40</v>
      </c>
      <c r="S66" s="84">
        <v>87</v>
      </c>
      <c r="T66" s="84">
        <v>114</v>
      </c>
      <c r="U66" s="84">
        <v>167</v>
      </c>
      <c r="V66" s="84">
        <v>251</v>
      </c>
      <c r="W66" s="84">
        <v>335</v>
      </c>
      <c r="X66" s="84">
        <v>558</v>
      </c>
      <c r="Y66" s="84">
        <v>1253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2949</v>
      </c>
      <c r="C67" s="110">
        <f t="shared" si="130"/>
        <v>3003</v>
      </c>
      <c r="D67" s="110">
        <f t="shared" si="130"/>
        <v>2997</v>
      </c>
      <c r="E67" s="110">
        <f t="shared" si="130"/>
        <v>3275</v>
      </c>
      <c r="F67" s="110">
        <f t="shared" si="130"/>
        <v>3199</v>
      </c>
      <c r="G67" s="110">
        <f t="shared" si="130"/>
        <v>3217</v>
      </c>
      <c r="H67" s="110">
        <f t="shared" si="130"/>
        <v>3221</v>
      </c>
      <c r="I67" s="110">
        <f t="shared" si="130"/>
        <v>3292</v>
      </c>
      <c r="J67" s="110">
        <f t="shared" si="130"/>
        <v>3402</v>
      </c>
      <c r="K67" s="110">
        <f t="shared" si="130"/>
        <v>3449</v>
      </c>
      <c r="L67" s="110">
        <f t="shared" ref="L67" si="131">SUM(L68:L72)</f>
        <v>3403</v>
      </c>
      <c r="M67" s="110">
        <f t="shared" ref="M67:V67" si="132">SUM(M68:M72)</f>
        <v>3462</v>
      </c>
      <c r="N67" s="110">
        <f t="shared" si="132"/>
        <v>3558</v>
      </c>
      <c r="O67" s="110">
        <f t="shared" si="132"/>
        <v>3496</v>
      </c>
      <c r="P67" s="110">
        <f t="shared" si="132"/>
        <v>3427</v>
      </c>
      <c r="Q67" s="110">
        <f t="shared" si="132"/>
        <v>3550</v>
      </c>
      <c r="R67" s="110">
        <f t="shared" si="132"/>
        <v>3577</v>
      </c>
      <c r="S67" s="110">
        <f t="shared" si="132"/>
        <v>3526</v>
      </c>
      <c r="T67" s="110">
        <f t="shared" si="132"/>
        <v>3420</v>
      </c>
      <c r="U67" s="110">
        <f t="shared" si="132"/>
        <v>3389</v>
      </c>
      <c r="V67" s="110">
        <f t="shared" si="132"/>
        <v>2697</v>
      </c>
      <c r="W67" s="110">
        <f t="shared" ref="W67:Y67" si="133">SUM(W68:W72)</f>
        <v>2814</v>
      </c>
      <c r="X67" s="110">
        <f t="shared" si="133"/>
        <v>2899</v>
      </c>
      <c r="Y67" s="110">
        <f t="shared" si="133"/>
        <v>3099</v>
      </c>
      <c r="DA67" s="176" t="s">
        <v>510</v>
      </c>
    </row>
    <row r="68" spans="1:105" ht="11.45" customHeight="1" x14ac:dyDescent="0.25">
      <c r="A68" s="111" t="s">
        <v>110</v>
      </c>
      <c r="B68" s="102">
        <v>153</v>
      </c>
      <c r="C68" s="102">
        <v>151</v>
      </c>
      <c r="D68" s="102">
        <v>146</v>
      </c>
      <c r="E68" s="102">
        <v>147</v>
      </c>
      <c r="F68" s="102">
        <v>145</v>
      </c>
      <c r="G68" s="102">
        <v>144</v>
      </c>
      <c r="H68" s="102">
        <v>147</v>
      </c>
      <c r="I68" s="102">
        <v>146</v>
      </c>
      <c r="J68" s="102">
        <v>147</v>
      </c>
      <c r="K68" s="102">
        <v>144</v>
      </c>
      <c r="L68" s="102">
        <v>146</v>
      </c>
      <c r="M68" s="102">
        <v>148</v>
      </c>
      <c r="N68" s="102">
        <v>149</v>
      </c>
      <c r="O68" s="102">
        <v>147</v>
      </c>
      <c r="P68" s="102">
        <v>51</v>
      </c>
      <c r="Q68" s="102">
        <v>45</v>
      </c>
      <c r="R68" s="102">
        <v>44</v>
      </c>
      <c r="S68" s="102">
        <v>44</v>
      </c>
      <c r="T68" s="102">
        <v>44</v>
      </c>
      <c r="U68" s="102">
        <v>44</v>
      </c>
      <c r="V68" s="102">
        <v>44</v>
      </c>
      <c r="W68" s="102">
        <v>43</v>
      </c>
      <c r="X68" s="102">
        <v>37</v>
      </c>
      <c r="Y68" s="102">
        <v>32</v>
      </c>
      <c r="DA68" s="175" t="s">
        <v>511</v>
      </c>
    </row>
    <row r="69" spans="1:105" ht="11.45" customHeight="1" x14ac:dyDescent="0.25">
      <c r="A69" s="111" t="s">
        <v>111</v>
      </c>
      <c r="B69" s="102">
        <v>2796</v>
      </c>
      <c r="C69" s="102">
        <v>2852</v>
      </c>
      <c r="D69" s="102">
        <v>2851</v>
      </c>
      <c r="E69" s="102">
        <v>3128</v>
      </c>
      <c r="F69" s="102">
        <v>3054</v>
      </c>
      <c r="G69" s="102">
        <v>3073</v>
      </c>
      <c r="H69" s="102">
        <v>3074</v>
      </c>
      <c r="I69" s="102">
        <v>3146</v>
      </c>
      <c r="J69" s="102">
        <v>3254</v>
      </c>
      <c r="K69" s="102">
        <v>3304</v>
      </c>
      <c r="L69" s="102">
        <v>3256</v>
      </c>
      <c r="M69" s="102">
        <v>3313</v>
      </c>
      <c r="N69" s="102">
        <v>3408</v>
      </c>
      <c r="O69" s="102">
        <v>3348</v>
      </c>
      <c r="P69" s="102">
        <v>3375</v>
      </c>
      <c r="Q69" s="102">
        <v>3504</v>
      </c>
      <c r="R69" s="102">
        <v>3532</v>
      </c>
      <c r="S69" s="102">
        <v>3481</v>
      </c>
      <c r="T69" s="102">
        <v>3375</v>
      </c>
      <c r="U69" s="102">
        <v>3344</v>
      </c>
      <c r="V69" s="102">
        <v>2652</v>
      </c>
      <c r="W69" s="102">
        <v>2770</v>
      </c>
      <c r="X69" s="102">
        <v>2861</v>
      </c>
      <c r="Y69" s="102">
        <v>3026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1</v>
      </c>
      <c r="W72" s="102">
        <v>1</v>
      </c>
      <c r="X72" s="102">
        <v>1</v>
      </c>
      <c r="Y72" s="102">
        <v>41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114641</v>
      </c>
      <c r="C73" s="28">
        <f t="shared" si="134"/>
        <v>117918</v>
      </c>
      <c r="D73" s="28">
        <f t="shared" si="134"/>
        <v>117757</v>
      </c>
      <c r="E73" s="28">
        <f t="shared" si="134"/>
        <v>119611</v>
      </c>
      <c r="F73" s="28">
        <f t="shared" si="134"/>
        <v>117813</v>
      </c>
      <c r="G73" s="28">
        <f t="shared" si="134"/>
        <v>118512</v>
      </c>
      <c r="H73" s="28">
        <f t="shared" si="134"/>
        <v>115923</v>
      </c>
      <c r="I73" s="28">
        <f t="shared" si="134"/>
        <v>112665</v>
      </c>
      <c r="J73" s="28">
        <f t="shared" si="134"/>
        <v>114962</v>
      </c>
      <c r="K73" s="28">
        <f t="shared" si="134"/>
        <v>116252</v>
      </c>
      <c r="L73" s="28">
        <f t="shared" ref="L73" si="135">L74+L80</f>
        <v>115843</v>
      </c>
      <c r="M73" s="28">
        <f t="shared" ref="M73:V73" si="136">M74+M80</f>
        <v>115146</v>
      </c>
      <c r="N73" s="28">
        <f t="shared" si="136"/>
        <v>113869</v>
      </c>
      <c r="O73" s="28">
        <f t="shared" si="136"/>
        <v>109298</v>
      </c>
      <c r="P73" s="28">
        <f t="shared" si="136"/>
        <v>104675</v>
      </c>
      <c r="Q73" s="28">
        <f t="shared" si="136"/>
        <v>104035</v>
      </c>
      <c r="R73" s="28">
        <f t="shared" si="136"/>
        <v>106469</v>
      </c>
      <c r="S73" s="28">
        <f t="shared" si="136"/>
        <v>107880</v>
      </c>
      <c r="T73" s="28">
        <f t="shared" si="136"/>
        <v>111146</v>
      </c>
      <c r="U73" s="28">
        <f t="shared" si="136"/>
        <v>114790</v>
      </c>
      <c r="V73" s="28">
        <f t="shared" si="136"/>
        <v>116646</v>
      </c>
      <c r="W73" s="28">
        <f t="shared" ref="W73:Y73" si="137">W74+W80</f>
        <v>118250</v>
      </c>
      <c r="X73" s="28">
        <f t="shared" si="137"/>
        <v>121415</v>
      </c>
      <c r="Y73" s="28">
        <f t="shared" si="137"/>
        <v>124998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99971</v>
      </c>
      <c r="C74" s="137">
        <f t="shared" si="138"/>
        <v>101799</v>
      </c>
      <c r="D74" s="137">
        <f t="shared" si="138"/>
        <v>102436</v>
      </c>
      <c r="E74" s="137">
        <f t="shared" si="138"/>
        <v>104247</v>
      </c>
      <c r="F74" s="137">
        <f t="shared" si="138"/>
        <v>102545</v>
      </c>
      <c r="G74" s="137">
        <f t="shared" si="138"/>
        <v>99069</v>
      </c>
      <c r="H74" s="137">
        <f t="shared" si="138"/>
        <v>96659</v>
      </c>
      <c r="I74" s="137">
        <f t="shared" si="138"/>
        <v>95397</v>
      </c>
      <c r="J74" s="137">
        <f t="shared" si="138"/>
        <v>96744</v>
      </c>
      <c r="K74" s="137">
        <f t="shared" si="138"/>
        <v>97019</v>
      </c>
      <c r="L74" s="137">
        <f t="shared" ref="L74" si="139">SUM(L75:L79)</f>
        <v>96843</v>
      </c>
      <c r="M74" s="137">
        <f t="shared" ref="M74:V74" si="140">SUM(M75:M79)</f>
        <v>96686</v>
      </c>
      <c r="N74" s="137">
        <f t="shared" si="140"/>
        <v>96748</v>
      </c>
      <c r="O74" s="137">
        <f t="shared" si="140"/>
        <v>97245</v>
      </c>
      <c r="P74" s="137">
        <f t="shared" si="140"/>
        <v>93381</v>
      </c>
      <c r="Q74" s="137">
        <f t="shared" si="140"/>
        <v>92726</v>
      </c>
      <c r="R74" s="137">
        <f t="shared" si="140"/>
        <v>94673</v>
      </c>
      <c r="S74" s="137">
        <f t="shared" si="140"/>
        <v>95705</v>
      </c>
      <c r="T74" s="137">
        <f t="shared" si="140"/>
        <v>98533</v>
      </c>
      <c r="U74" s="137">
        <f t="shared" si="140"/>
        <v>101528</v>
      </c>
      <c r="V74" s="137">
        <f t="shared" si="140"/>
        <v>102951</v>
      </c>
      <c r="W74" s="137">
        <f t="shared" ref="W74:Y74" si="141">SUM(W75:W79)</f>
        <v>104216</v>
      </c>
      <c r="X74" s="137">
        <f t="shared" si="141"/>
        <v>107070</v>
      </c>
      <c r="Y74" s="137">
        <f t="shared" si="141"/>
        <v>109936</v>
      </c>
      <c r="DA74" s="174" t="s">
        <v>517</v>
      </c>
    </row>
    <row r="75" spans="1:105" ht="11.45" customHeight="1" x14ac:dyDescent="0.25">
      <c r="A75" s="111" t="s">
        <v>110</v>
      </c>
      <c r="B75" s="84">
        <v>8660</v>
      </c>
      <c r="C75" s="84">
        <v>8951</v>
      </c>
      <c r="D75" s="84">
        <v>8401</v>
      </c>
      <c r="E75" s="84">
        <v>9166</v>
      </c>
      <c r="F75" s="84">
        <v>8131</v>
      </c>
      <c r="G75" s="84">
        <v>5825</v>
      </c>
      <c r="H75" s="84">
        <v>5683</v>
      </c>
      <c r="I75" s="84">
        <v>5187</v>
      </c>
      <c r="J75" s="84">
        <v>5488</v>
      </c>
      <c r="K75" s="84">
        <v>5485</v>
      </c>
      <c r="L75" s="84">
        <v>5239</v>
      </c>
      <c r="M75" s="84">
        <v>5137</v>
      </c>
      <c r="N75" s="84">
        <v>5103</v>
      </c>
      <c r="O75" s="84">
        <v>5144</v>
      </c>
      <c r="P75" s="84">
        <v>4878</v>
      </c>
      <c r="Q75" s="84">
        <v>4830</v>
      </c>
      <c r="R75" s="84">
        <v>4861</v>
      </c>
      <c r="S75" s="84">
        <v>4800</v>
      </c>
      <c r="T75" s="84">
        <v>4868</v>
      </c>
      <c r="U75" s="84">
        <v>5032</v>
      </c>
      <c r="V75" s="84">
        <v>5159</v>
      </c>
      <c r="W75" s="84">
        <v>5381</v>
      </c>
      <c r="X75" s="84">
        <v>6242</v>
      </c>
      <c r="Y75" s="84">
        <v>7086</v>
      </c>
      <c r="DA75" s="171" t="s">
        <v>518</v>
      </c>
    </row>
    <row r="76" spans="1:105" ht="11.45" customHeight="1" x14ac:dyDescent="0.25">
      <c r="A76" s="111" t="s">
        <v>111</v>
      </c>
      <c r="B76" s="84">
        <v>91311</v>
      </c>
      <c r="C76" s="84">
        <v>92848</v>
      </c>
      <c r="D76" s="84">
        <v>94035</v>
      </c>
      <c r="E76" s="84">
        <v>95081</v>
      </c>
      <c r="F76" s="84">
        <v>94414</v>
      </c>
      <c r="G76" s="84">
        <v>93244</v>
      </c>
      <c r="H76" s="84">
        <v>90976</v>
      </c>
      <c r="I76" s="84">
        <v>90208</v>
      </c>
      <c r="J76" s="84">
        <v>91253</v>
      </c>
      <c r="K76" s="84">
        <v>91531</v>
      </c>
      <c r="L76" s="84">
        <v>91599</v>
      </c>
      <c r="M76" s="84">
        <v>91543</v>
      </c>
      <c r="N76" s="84">
        <v>91639</v>
      </c>
      <c r="O76" s="84">
        <v>92095</v>
      </c>
      <c r="P76" s="84">
        <v>88498</v>
      </c>
      <c r="Q76" s="84">
        <v>87891</v>
      </c>
      <c r="R76" s="84">
        <v>89807</v>
      </c>
      <c r="S76" s="84">
        <v>90900</v>
      </c>
      <c r="T76" s="84">
        <v>93661</v>
      </c>
      <c r="U76" s="84">
        <v>96489</v>
      </c>
      <c r="V76" s="84">
        <v>97784</v>
      </c>
      <c r="W76" s="84">
        <v>98823</v>
      </c>
      <c r="X76" s="84">
        <v>100781</v>
      </c>
      <c r="Y76" s="84">
        <v>102787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2</v>
      </c>
      <c r="J79" s="84">
        <v>3</v>
      </c>
      <c r="K79" s="84">
        <v>3</v>
      </c>
      <c r="L79" s="84">
        <v>5</v>
      </c>
      <c r="M79" s="84">
        <v>6</v>
      </c>
      <c r="N79" s="84">
        <v>6</v>
      </c>
      <c r="O79" s="84">
        <v>6</v>
      </c>
      <c r="P79" s="84">
        <v>5</v>
      </c>
      <c r="Q79" s="84">
        <v>5</v>
      </c>
      <c r="R79" s="84">
        <v>5</v>
      </c>
      <c r="S79" s="84">
        <v>5</v>
      </c>
      <c r="T79" s="84">
        <v>4</v>
      </c>
      <c r="U79" s="84">
        <v>7</v>
      </c>
      <c r="V79" s="84">
        <v>8</v>
      </c>
      <c r="W79" s="84">
        <v>12</v>
      </c>
      <c r="X79" s="84">
        <v>47</v>
      </c>
      <c r="Y79" s="84">
        <v>63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14670</v>
      </c>
      <c r="C80" s="110">
        <f t="shared" si="142"/>
        <v>16119</v>
      </c>
      <c r="D80" s="110">
        <f t="shared" si="142"/>
        <v>15321</v>
      </c>
      <c r="E80" s="110">
        <f t="shared" si="142"/>
        <v>15364</v>
      </c>
      <c r="F80" s="110">
        <f t="shared" si="142"/>
        <v>15268</v>
      </c>
      <c r="G80" s="110">
        <f t="shared" si="142"/>
        <v>19443</v>
      </c>
      <c r="H80" s="110">
        <f t="shared" si="142"/>
        <v>19264</v>
      </c>
      <c r="I80" s="110">
        <f t="shared" si="142"/>
        <v>17268</v>
      </c>
      <c r="J80" s="110">
        <f t="shared" si="142"/>
        <v>18218</v>
      </c>
      <c r="K80" s="110">
        <f t="shared" si="142"/>
        <v>19233</v>
      </c>
      <c r="L80" s="110">
        <f t="shared" ref="L80" si="143">SUM(L81:L82)</f>
        <v>19000</v>
      </c>
      <c r="M80" s="110">
        <f t="shared" ref="M80:V80" si="144">SUM(M81:M82)</f>
        <v>18460</v>
      </c>
      <c r="N80" s="110">
        <f t="shared" si="144"/>
        <v>17121</v>
      </c>
      <c r="O80" s="110">
        <f t="shared" si="144"/>
        <v>12053</v>
      </c>
      <c r="P80" s="110">
        <f t="shared" si="144"/>
        <v>11294</v>
      </c>
      <c r="Q80" s="110">
        <f t="shared" si="144"/>
        <v>11309</v>
      </c>
      <c r="R80" s="110">
        <f t="shared" si="144"/>
        <v>11796</v>
      </c>
      <c r="S80" s="110">
        <f t="shared" si="144"/>
        <v>12175</v>
      </c>
      <c r="T80" s="110">
        <f t="shared" si="144"/>
        <v>12613</v>
      </c>
      <c r="U80" s="110">
        <f t="shared" si="144"/>
        <v>13262</v>
      </c>
      <c r="V80" s="110">
        <f t="shared" si="144"/>
        <v>13695</v>
      </c>
      <c r="W80" s="110">
        <f t="shared" ref="W80:Y80" si="145">SUM(W81:W82)</f>
        <v>14034</v>
      </c>
      <c r="X80" s="110">
        <f t="shared" si="145"/>
        <v>14345</v>
      </c>
      <c r="Y80" s="110">
        <f t="shared" si="145"/>
        <v>15062</v>
      </c>
      <c r="DA80" s="176" t="s">
        <v>523</v>
      </c>
    </row>
    <row r="81" spans="1:105" ht="11.45" customHeight="1" x14ac:dyDescent="0.25">
      <c r="A81" s="128" t="s">
        <v>27</v>
      </c>
      <c r="B81" s="102">
        <v>14670</v>
      </c>
      <c r="C81" s="102">
        <v>16119</v>
      </c>
      <c r="D81" s="102">
        <v>15321</v>
      </c>
      <c r="E81" s="102">
        <v>15364</v>
      </c>
      <c r="F81" s="102">
        <v>15268</v>
      </c>
      <c r="G81" s="102">
        <v>19443</v>
      </c>
      <c r="H81" s="102">
        <v>19264</v>
      </c>
      <c r="I81" s="102">
        <v>17268</v>
      </c>
      <c r="J81" s="102">
        <v>18218</v>
      </c>
      <c r="K81" s="102">
        <v>19233</v>
      </c>
      <c r="L81" s="102">
        <v>19000</v>
      </c>
      <c r="M81" s="102">
        <v>18460</v>
      </c>
      <c r="N81" s="102">
        <v>17121</v>
      </c>
      <c r="O81" s="102">
        <v>12053</v>
      </c>
      <c r="P81" s="102">
        <v>11294</v>
      </c>
      <c r="Q81" s="102">
        <v>11309</v>
      </c>
      <c r="R81" s="102">
        <v>11796</v>
      </c>
      <c r="S81" s="102">
        <v>12175</v>
      </c>
      <c r="T81" s="102">
        <v>12613</v>
      </c>
      <c r="U81" s="102">
        <v>13262</v>
      </c>
      <c r="V81" s="102">
        <v>13695</v>
      </c>
      <c r="W81" s="102">
        <v>14034</v>
      </c>
      <c r="X81" s="102">
        <v>14345</v>
      </c>
      <c r="Y81" s="102">
        <v>15062</v>
      </c>
      <c r="DA81" s="175" t="s">
        <v>524</v>
      </c>
    </row>
    <row r="82" spans="1:105" ht="11.45" customHeight="1" x14ac:dyDescent="0.25">
      <c r="A82" s="138" t="s">
        <v>116</v>
      </c>
      <c r="B82" s="86">
        <v>0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86">
        <v>0</v>
      </c>
      <c r="I82" s="86">
        <v>0</v>
      </c>
      <c r="J82" s="86">
        <v>0</v>
      </c>
      <c r="K82" s="86">
        <v>0</v>
      </c>
      <c r="L82" s="86">
        <v>0</v>
      </c>
      <c r="M82" s="86">
        <v>0</v>
      </c>
      <c r="N82" s="86">
        <v>0</v>
      </c>
      <c r="O82" s="86">
        <v>0</v>
      </c>
      <c r="P82" s="86">
        <v>0</v>
      </c>
      <c r="Q82" s="86">
        <v>0</v>
      </c>
      <c r="R82" s="86">
        <v>0</v>
      </c>
      <c r="S82" s="86">
        <v>0</v>
      </c>
      <c r="T82" s="86">
        <v>0</v>
      </c>
      <c r="U82" s="86">
        <v>0</v>
      </c>
      <c r="V82" s="86">
        <v>0</v>
      </c>
      <c r="W82" s="86">
        <v>0</v>
      </c>
      <c r="X82" s="86">
        <v>0</v>
      </c>
      <c r="Y82" s="86">
        <v>0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427905</v>
      </c>
      <c r="C84" s="54">
        <f t="shared" si="146"/>
        <v>442975</v>
      </c>
      <c r="D84" s="54">
        <f t="shared" ref="D84:V84" si="147">D85+D100</f>
        <v>448652</v>
      </c>
      <c r="E84" s="54">
        <f t="shared" si="147"/>
        <v>466903</v>
      </c>
      <c r="F84" s="54">
        <f t="shared" si="147"/>
        <v>498042</v>
      </c>
      <c r="G84" s="54">
        <f t="shared" si="147"/>
        <v>517244</v>
      </c>
      <c r="H84" s="54">
        <f t="shared" si="147"/>
        <v>532448</v>
      </c>
      <c r="I84" s="54">
        <f t="shared" si="147"/>
        <v>568104</v>
      </c>
      <c r="J84" s="54">
        <f t="shared" si="147"/>
        <v>605100</v>
      </c>
      <c r="K84" s="54">
        <f t="shared" si="147"/>
        <v>622895</v>
      </c>
      <c r="L84" s="54">
        <f t="shared" si="147"/>
        <v>622625</v>
      </c>
      <c r="M84" s="54">
        <f t="shared" si="147"/>
        <v>627954</v>
      </c>
      <c r="N84" s="54">
        <f t="shared" si="147"/>
        <v>633994</v>
      </c>
      <c r="O84" s="54">
        <f t="shared" si="147"/>
        <v>627315</v>
      </c>
      <c r="P84" s="54">
        <f t="shared" si="147"/>
        <v>627567</v>
      </c>
      <c r="Q84" s="54">
        <f t="shared" si="147"/>
        <v>634588</v>
      </c>
      <c r="R84" s="54">
        <f t="shared" si="147"/>
        <v>657448</v>
      </c>
      <c r="S84" s="54">
        <f t="shared" si="147"/>
        <v>677125</v>
      </c>
      <c r="T84" s="54">
        <f t="shared" si="147"/>
        <v>705615</v>
      </c>
      <c r="U84" s="54">
        <f t="shared" si="147"/>
        <v>730985</v>
      </c>
      <c r="V84" s="54">
        <f t="shared" si="147"/>
        <v>738509</v>
      </c>
      <c r="W84" s="54">
        <f t="shared" ref="W84:Y84" si="148">W85+W100</f>
        <v>755118</v>
      </c>
      <c r="X84" s="54">
        <f t="shared" si="148"/>
        <v>767993</v>
      </c>
      <c r="Y84" s="54">
        <f t="shared" si="148"/>
        <v>796644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313264</v>
      </c>
      <c r="C85" s="28">
        <f t="shared" si="149"/>
        <v>325057</v>
      </c>
      <c r="D85" s="28">
        <f t="shared" ref="D85:V85" si="150">D86+D87+D94</f>
        <v>330895</v>
      </c>
      <c r="E85" s="28">
        <f t="shared" si="150"/>
        <v>347292</v>
      </c>
      <c r="F85" s="28">
        <f t="shared" si="150"/>
        <v>380229</v>
      </c>
      <c r="G85" s="28">
        <f t="shared" si="150"/>
        <v>398732</v>
      </c>
      <c r="H85" s="28">
        <f t="shared" si="150"/>
        <v>416525</v>
      </c>
      <c r="I85" s="28">
        <f t="shared" si="150"/>
        <v>455439</v>
      </c>
      <c r="J85" s="28">
        <f t="shared" si="150"/>
        <v>490138</v>
      </c>
      <c r="K85" s="28">
        <f t="shared" si="150"/>
        <v>506643</v>
      </c>
      <c r="L85" s="28">
        <f t="shared" si="150"/>
        <v>506782</v>
      </c>
      <c r="M85" s="28">
        <f t="shared" si="150"/>
        <v>512808</v>
      </c>
      <c r="N85" s="28">
        <f t="shared" si="150"/>
        <v>520125</v>
      </c>
      <c r="O85" s="28">
        <f t="shared" si="150"/>
        <v>518017</v>
      </c>
      <c r="P85" s="28">
        <f t="shared" si="150"/>
        <v>522892</v>
      </c>
      <c r="Q85" s="28">
        <f t="shared" si="150"/>
        <v>530553</v>
      </c>
      <c r="R85" s="28">
        <f t="shared" si="150"/>
        <v>550979</v>
      </c>
      <c r="S85" s="28">
        <f t="shared" si="150"/>
        <v>569245</v>
      </c>
      <c r="T85" s="28">
        <f t="shared" si="150"/>
        <v>594469</v>
      </c>
      <c r="U85" s="28">
        <f t="shared" si="150"/>
        <v>616195</v>
      </c>
      <c r="V85" s="28">
        <f t="shared" si="150"/>
        <v>621863</v>
      </c>
      <c r="W85" s="28">
        <f t="shared" ref="W85:Y85" si="151">W86+W87+W94</f>
        <v>636868</v>
      </c>
      <c r="X85" s="28">
        <f t="shared" si="151"/>
        <v>646578</v>
      </c>
      <c r="Y85" s="28">
        <f t="shared" si="151"/>
        <v>671646</v>
      </c>
      <c r="DA85" s="173"/>
    </row>
    <row r="86" spans="1:105" ht="11.45" hidden="1" customHeight="1" x14ac:dyDescent="0.25">
      <c r="A86" s="136" t="s">
        <v>173</v>
      </c>
      <c r="B86" s="137">
        <v>43315</v>
      </c>
      <c r="C86" s="137">
        <v>41985</v>
      </c>
      <c r="D86" s="137">
        <v>40276</v>
      </c>
      <c r="E86" s="137">
        <v>41516</v>
      </c>
      <c r="F86" s="137">
        <v>41396</v>
      </c>
      <c r="G86" s="137">
        <v>40381</v>
      </c>
      <c r="H86" s="137">
        <v>40359</v>
      </c>
      <c r="I86" s="137">
        <v>41211</v>
      </c>
      <c r="J86" s="137">
        <v>43219</v>
      </c>
      <c r="K86" s="137">
        <v>42690</v>
      </c>
      <c r="L86" s="137">
        <v>40727</v>
      </c>
      <c r="M86" s="137">
        <v>39803</v>
      </c>
      <c r="N86" s="137">
        <v>41105</v>
      </c>
      <c r="O86" s="137">
        <v>39969</v>
      </c>
      <c r="P86" s="137">
        <v>40970</v>
      </c>
      <c r="Q86" s="137">
        <v>39282</v>
      </c>
      <c r="R86" s="137">
        <v>39242</v>
      </c>
      <c r="S86" s="137">
        <v>39400</v>
      </c>
      <c r="T86" s="137">
        <v>39764</v>
      </c>
      <c r="U86" s="137">
        <v>39703</v>
      </c>
      <c r="V86" s="137">
        <v>40351</v>
      </c>
      <c r="W86" s="137">
        <v>41141</v>
      </c>
      <c r="X86" s="137">
        <v>41886</v>
      </c>
      <c r="Y86" s="137">
        <v>43187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267000</v>
      </c>
      <c r="C87" s="110">
        <f t="shared" si="152"/>
        <v>280069</v>
      </c>
      <c r="D87" s="110">
        <f t="shared" ref="D87:V87" si="153">SUM(D88:D93)</f>
        <v>287622</v>
      </c>
      <c r="E87" s="110">
        <f t="shared" si="153"/>
        <v>302501</v>
      </c>
      <c r="F87" s="110">
        <f t="shared" si="153"/>
        <v>335634</v>
      </c>
      <c r="G87" s="110">
        <f t="shared" si="153"/>
        <v>355134</v>
      </c>
      <c r="H87" s="110">
        <f t="shared" si="153"/>
        <v>372945</v>
      </c>
      <c r="I87" s="110">
        <f t="shared" si="153"/>
        <v>410936</v>
      </c>
      <c r="J87" s="110">
        <f t="shared" si="153"/>
        <v>443517</v>
      </c>
      <c r="K87" s="110">
        <f t="shared" si="153"/>
        <v>460504</v>
      </c>
      <c r="L87" s="110">
        <f t="shared" si="153"/>
        <v>462652</v>
      </c>
      <c r="M87" s="110">
        <f t="shared" si="153"/>
        <v>469543</v>
      </c>
      <c r="N87" s="110">
        <f t="shared" si="153"/>
        <v>475462</v>
      </c>
      <c r="O87" s="110">
        <f t="shared" si="153"/>
        <v>474552</v>
      </c>
      <c r="P87" s="110">
        <f t="shared" si="153"/>
        <v>478495</v>
      </c>
      <c r="Q87" s="110">
        <f t="shared" si="153"/>
        <v>487721</v>
      </c>
      <c r="R87" s="110">
        <f t="shared" si="153"/>
        <v>508160</v>
      </c>
      <c r="S87" s="110">
        <f t="shared" si="153"/>
        <v>526319</v>
      </c>
      <c r="T87" s="110">
        <f t="shared" si="153"/>
        <v>551285</v>
      </c>
      <c r="U87" s="110">
        <f t="shared" si="153"/>
        <v>573103</v>
      </c>
      <c r="V87" s="110">
        <f t="shared" si="153"/>
        <v>578815</v>
      </c>
      <c r="W87" s="110">
        <f t="shared" ref="W87:Y87" si="154">SUM(W88:W93)</f>
        <v>592913</v>
      </c>
      <c r="X87" s="110">
        <f t="shared" si="154"/>
        <v>601793</v>
      </c>
      <c r="Y87" s="110">
        <f t="shared" si="154"/>
        <v>625360</v>
      </c>
      <c r="DA87" s="176"/>
    </row>
    <row r="88" spans="1:105" ht="11.45" hidden="1" customHeight="1" x14ac:dyDescent="0.25">
      <c r="A88" s="111" t="s">
        <v>110</v>
      </c>
      <c r="B88" s="84">
        <v>237000</v>
      </c>
      <c r="C88" s="84">
        <v>247164</v>
      </c>
      <c r="D88" s="84">
        <v>254431</v>
      </c>
      <c r="E88" s="84">
        <v>268875</v>
      </c>
      <c r="F88" s="84">
        <v>301834</v>
      </c>
      <c r="G88" s="84">
        <v>322063</v>
      </c>
      <c r="H88" s="84">
        <v>340539</v>
      </c>
      <c r="I88" s="84">
        <v>375337</v>
      </c>
      <c r="J88" s="84">
        <v>403269</v>
      </c>
      <c r="K88" s="84">
        <v>416605</v>
      </c>
      <c r="L88" s="84">
        <v>416450</v>
      </c>
      <c r="M88" s="84">
        <v>421509</v>
      </c>
      <c r="N88" s="84">
        <v>426214</v>
      </c>
      <c r="O88" s="84">
        <v>424068</v>
      </c>
      <c r="P88" s="84">
        <v>423607</v>
      </c>
      <c r="Q88" s="84">
        <v>427077</v>
      </c>
      <c r="R88" s="84">
        <v>437807</v>
      </c>
      <c r="S88" s="84">
        <v>442623</v>
      </c>
      <c r="T88" s="84">
        <v>450682</v>
      </c>
      <c r="U88" s="84">
        <v>457482</v>
      </c>
      <c r="V88" s="84">
        <v>453727</v>
      </c>
      <c r="W88" s="84">
        <v>461558</v>
      </c>
      <c r="X88" s="84">
        <v>470153</v>
      </c>
      <c r="Y88" s="84">
        <v>490017</v>
      </c>
      <c r="DA88" s="171"/>
    </row>
    <row r="89" spans="1:105" ht="11.45" hidden="1" customHeight="1" x14ac:dyDescent="0.25">
      <c r="A89" s="111" t="s">
        <v>111</v>
      </c>
      <c r="B89" s="84">
        <v>30000</v>
      </c>
      <c r="C89" s="84">
        <v>32905</v>
      </c>
      <c r="D89" s="84">
        <v>33191</v>
      </c>
      <c r="E89" s="84">
        <v>33626</v>
      </c>
      <c r="F89" s="84">
        <v>33800</v>
      </c>
      <c r="G89" s="84">
        <v>33071</v>
      </c>
      <c r="H89" s="84">
        <v>32406</v>
      </c>
      <c r="I89" s="84">
        <v>35599</v>
      </c>
      <c r="J89" s="84">
        <v>40248</v>
      </c>
      <c r="K89" s="84">
        <v>43899</v>
      </c>
      <c r="L89" s="84">
        <v>46202</v>
      </c>
      <c r="M89" s="84">
        <v>48034</v>
      </c>
      <c r="N89" s="84">
        <v>49248</v>
      </c>
      <c r="O89" s="84">
        <v>50478</v>
      </c>
      <c r="P89" s="84">
        <v>54870</v>
      </c>
      <c r="Q89" s="84">
        <v>60592</v>
      </c>
      <c r="R89" s="84">
        <v>70264</v>
      </c>
      <c r="S89" s="84">
        <v>83505</v>
      </c>
      <c r="T89" s="84">
        <v>99381</v>
      </c>
      <c r="U89" s="84">
        <v>114291</v>
      </c>
      <c r="V89" s="84">
        <v>123622</v>
      </c>
      <c r="W89" s="84">
        <v>129665</v>
      </c>
      <c r="X89" s="84">
        <v>129545</v>
      </c>
      <c r="Y89" s="84">
        <v>132058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0</v>
      </c>
      <c r="E90" s="84">
        <v>0</v>
      </c>
      <c r="F90" s="84">
        <v>0</v>
      </c>
      <c r="G90" s="84">
        <v>0</v>
      </c>
      <c r="H90" s="84">
        <v>0</v>
      </c>
      <c r="I90" s="84">
        <v>0</v>
      </c>
      <c r="J90" s="84">
        <v>0</v>
      </c>
      <c r="K90" s="84">
        <v>0</v>
      </c>
      <c r="L90" s="84">
        <v>0</v>
      </c>
      <c r="M90" s="84">
        <v>0</v>
      </c>
      <c r="N90" s="84">
        <v>0</v>
      </c>
      <c r="O90" s="84">
        <v>0</v>
      </c>
      <c r="P90" s="84">
        <v>0</v>
      </c>
      <c r="Q90" s="84">
        <v>0</v>
      </c>
      <c r="R90" s="84">
        <v>0</v>
      </c>
      <c r="S90" s="84">
        <v>0</v>
      </c>
      <c r="T90" s="84">
        <v>950</v>
      </c>
      <c r="U90" s="84">
        <v>921</v>
      </c>
      <c r="V90" s="84">
        <v>895</v>
      </c>
      <c r="W90" s="84">
        <v>887</v>
      </c>
      <c r="X90" s="84">
        <v>875</v>
      </c>
      <c r="Y90" s="84">
        <v>857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X91" s="84">
        <v>0</v>
      </c>
      <c r="Y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0</v>
      </c>
      <c r="P92" s="84">
        <v>3</v>
      </c>
      <c r="Q92" s="84">
        <v>29</v>
      </c>
      <c r="R92" s="84">
        <v>49</v>
      </c>
      <c r="S92" s="84">
        <v>104</v>
      </c>
      <c r="T92" s="84">
        <v>158</v>
      </c>
      <c r="U92" s="84">
        <v>242</v>
      </c>
      <c r="V92" s="84">
        <v>320</v>
      </c>
      <c r="W92" s="84">
        <v>468</v>
      </c>
      <c r="X92" s="84">
        <v>662</v>
      </c>
      <c r="Y92" s="84">
        <v>1175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6</v>
      </c>
      <c r="P93" s="84">
        <v>15</v>
      </c>
      <c r="Q93" s="84">
        <v>23</v>
      </c>
      <c r="R93" s="84">
        <v>40</v>
      </c>
      <c r="S93" s="84">
        <v>87</v>
      </c>
      <c r="T93" s="84">
        <v>114</v>
      </c>
      <c r="U93" s="84">
        <v>167</v>
      </c>
      <c r="V93" s="84">
        <v>251</v>
      </c>
      <c r="W93" s="84">
        <v>335</v>
      </c>
      <c r="X93" s="84">
        <v>558</v>
      </c>
      <c r="Y93" s="84">
        <v>1253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2949</v>
      </c>
      <c r="C94" s="110">
        <f t="shared" si="155"/>
        <v>3003</v>
      </c>
      <c r="D94" s="110">
        <f t="shared" ref="D94:V94" si="156">SUM(D95:D99)</f>
        <v>2997</v>
      </c>
      <c r="E94" s="110">
        <f t="shared" si="156"/>
        <v>3275</v>
      </c>
      <c r="F94" s="110">
        <f t="shared" si="156"/>
        <v>3199</v>
      </c>
      <c r="G94" s="110">
        <f t="shared" si="156"/>
        <v>3217</v>
      </c>
      <c r="H94" s="110">
        <f t="shared" si="156"/>
        <v>3221</v>
      </c>
      <c r="I94" s="110">
        <f t="shared" si="156"/>
        <v>3292</v>
      </c>
      <c r="J94" s="110">
        <f t="shared" si="156"/>
        <v>3402</v>
      </c>
      <c r="K94" s="110">
        <f t="shared" si="156"/>
        <v>3449</v>
      </c>
      <c r="L94" s="110">
        <f t="shared" si="156"/>
        <v>3403</v>
      </c>
      <c r="M94" s="110">
        <f t="shared" si="156"/>
        <v>3462</v>
      </c>
      <c r="N94" s="110">
        <f t="shared" si="156"/>
        <v>3558</v>
      </c>
      <c r="O94" s="110">
        <f t="shared" si="156"/>
        <v>3496</v>
      </c>
      <c r="P94" s="110">
        <f t="shared" si="156"/>
        <v>3427</v>
      </c>
      <c r="Q94" s="110">
        <f t="shared" si="156"/>
        <v>3550</v>
      </c>
      <c r="R94" s="110">
        <f t="shared" si="156"/>
        <v>3577</v>
      </c>
      <c r="S94" s="110">
        <f t="shared" si="156"/>
        <v>3526</v>
      </c>
      <c r="T94" s="110">
        <f t="shared" si="156"/>
        <v>3420</v>
      </c>
      <c r="U94" s="110">
        <f t="shared" si="156"/>
        <v>3389</v>
      </c>
      <c r="V94" s="110">
        <f t="shared" si="156"/>
        <v>2697</v>
      </c>
      <c r="W94" s="110">
        <f t="shared" ref="W94:Y94" si="157">SUM(W95:W99)</f>
        <v>2814</v>
      </c>
      <c r="X94" s="110">
        <f t="shared" si="157"/>
        <v>2899</v>
      </c>
      <c r="Y94" s="110">
        <f t="shared" si="157"/>
        <v>3099</v>
      </c>
      <c r="DA94" s="176"/>
    </row>
    <row r="95" spans="1:105" ht="11.45" hidden="1" customHeight="1" x14ac:dyDescent="0.25">
      <c r="A95" s="111" t="s">
        <v>110</v>
      </c>
      <c r="B95" s="102">
        <v>153</v>
      </c>
      <c r="C95" s="102">
        <v>151</v>
      </c>
      <c r="D95" s="102">
        <v>146</v>
      </c>
      <c r="E95" s="102">
        <v>147</v>
      </c>
      <c r="F95" s="102">
        <v>145</v>
      </c>
      <c r="G95" s="102">
        <v>144</v>
      </c>
      <c r="H95" s="102">
        <v>147</v>
      </c>
      <c r="I95" s="102">
        <v>146</v>
      </c>
      <c r="J95" s="102">
        <v>147</v>
      </c>
      <c r="K95" s="102">
        <v>144</v>
      </c>
      <c r="L95" s="102">
        <v>146</v>
      </c>
      <c r="M95" s="102">
        <v>148</v>
      </c>
      <c r="N95" s="102">
        <v>149</v>
      </c>
      <c r="O95" s="102">
        <v>147</v>
      </c>
      <c r="P95" s="102">
        <v>51</v>
      </c>
      <c r="Q95" s="102">
        <v>45</v>
      </c>
      <c r="R95" s="102">
        <v>44</v>
      </c>
      <c r="S95" s="102">
        <v>44</v>
      </c>
      <c r="T95" s="102">
        <v>44</v>
      </c>
      <c r="U95" s="102">
        <v>44</v>
      </c>
      <c r="V95" s="102">
        <v>44</v>
      </c>
      <c r="W95" s="102">
        <v>43</v>
      </c>
      <c r="X95" s="102">
        <v>37</v>
      </c>
      <c r="Y95" s="102">
        <v>32</v>
      </c>
      <c r="DA95" s="175"/>
    </row>
    <row r="96" spans="1:105" ht="11.45" hidden="1" customHeight="1" x14ac:dyDescent="0.25">
      <c r="A96" s="111" t="s">
        <v>111</v>
      </c>
      <c r="B96" s="102">
        <v>2796</v>
      </c>
      <c r="C96" s="102">
        <v>2852</v>
      </c>
      <c r="D96" s="102">
        <v>2851</v>
      </c>
      <c r="E96" s="102">
        <v>3128</v>
      </c>
      <c r="F96" s="102">
        <v>3054</v>
      </c>
      <c r="G96" s="102">
        <v>3073</v>
      </c>
      <c r="H96" s="102">
        <v>3074</v>
      </c>
      <c r="I96" s="102">
        <v>3146</v>
      </c>
      <c r="J96" s="102">
        <v>3254</v>
      </c>
      <c r="K96" s="102">
        <v>3304</v>
      </c>
      <c r="L96" s="102">
        <v>3256</v>
      </c>
      <c r="M96" s="102">
        <v>3313</v>
      </c>
      <c r="N96" s="102">
        <v>3408</v>
      </c>
      <c r="O96" s="102">
        <v>3348</v>
      </c>
      <c r="P96" s="102">
        <v>3375</v>
      </c>
      <c r="Q96" s="102">
        <v>3504</v>
      </c>
      <c r="R96" s="102">
        <v>3532</v>
      </c>
      <c r="S96" s="102">
        <v>3481</v>
      </c>
      <c r="T96" s="102">
        <v>3375</v>
      </c>
      <c r="U96" s="102">
        <v>3344</v>
      </c>
      <c r="V96" s="102">
        <v>2652</v>
      </c>
      <c r="W96" s="102">
        <v>2770</v>
      </c>
      <c r="X96" s="102">
        <v>2861</v>
      </c>
      <c r="Y96" s="102">
        <v>3026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X98" s="102">
        <v>0</v>
      </c>
      <c r="Y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1</v>
      </c>
      <c r="W99" s="102">
        <v>1</v>
      </c>
      <c r="X99" s="102">
        <v>1</v>
      </c>
      <c r="Y99" s="102">
        <v>41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114641</v>
      </c>
      <c r="C100" s="28">
        <f t="shared" si="158"/>
        <v>117918</v>
      </c>
      <c r="D100" s="28">
        <f t="shared" ref="D100:V100" si="159">D101+D107</f>
        <v>117757</v>
      </c>
      <c r="E100" s="28">
        <f t="shared" si="159"/>
        <v>119611</v>
      </c>
      <c r="F100" s="28">
        <f t="shared" si="159"/>
        <v>117813</v>
      </c>
      <c r="G100" s="28">
        <f t="shared" si="159"/>
        <v>118512</v>
      </c>
      <c r="H100" s="28">
        <f t="shared" si="159"/>
        <v>115923</v>
      </c>
      <c r="I100" s="28">
        <f t="shared" si="159"/>
        <v>112665</v>
      </c>
      <c r="J100" s="28">
        <f t="shared" si="159"/>
        <v>114962</v>
      </c>
      <c r="K100" s="28">
        <f t="shared" si="159"/>
        <v>116252</v>
      </c>
      <c r="L100" s="28">
        <f t="shared" si="159"/>
        <v>115843</v>
      </c>
      <c r="M100" s="28">
        <f t="shared" si="159"/>
        <v>115146</v>
      </c>
      <c r="N100" s="28">
        <f t="shared" si="159"/>
        <v>113869</v>
      </c>
      <c r="O100" s="28">
        <f t="shared" si="159"/>
        <v>109298</v>
      </c>
      <c r="P100" s="28">
        <f t="shared" si="159"/>
        <v>104675</v>
      </c>
      <c r="Q100" s="28">
        <f t="shared" si="159"/>
        <v>104035</v>
      </c>
      <c r="R100" s="28">
        <f t="shared" si="159"/>
        <v>106469</v>
      </c>
      <c r="S100" s="28">
        <f t="shared" si="159"/>
        <v>107880</v>
      </c>
      <c r="T100" s="28">
        <f t="shared" si="159"/>
        <v>111146</v>
      </c>
      <c r="U100" s="28">
        <f t="shared" si="159"/>
        <v>114790</v>
      </c>
      <c r="V100" s="28">
        <f t="shared" si="159"/>
        <v>116646</v>
      </c>
      <c r="W100" s="28">
        <f t="shared" ref="W100:Y100" si="160">W101+W107</f>
        <v>118250</v>
      </c>
      <c r="X100" s="28">
        <f t="shared" si="160"/>
        <v>121415</v>
      </c>
      <c r="Y100" s="28">
        <f t="shared" si="160"/>
        <v>124998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99971</v>
      </c>
      <c r="C101" s="137">
        <f t="shared" si="161"/>
        <v>101799</v>
      </c>
      <c r="D101" s="137">
        <f t="shared" ref="D101:V101" si="162">SUM(D102:D106)</f>
        <v>102436</v>
      </c>
      <c r="E101" s="137">
        <f t="shared" si="162"/>
        <v>104247</v>
      </c>
      <c r="F101" s="137">
        <f t="shared" si="162"/>
        <v>102545</v>
      </c>
      <c r="G101" s="137">
        <f t="shared" si="162"/>
        <v>99069</v>
      </c>
      <c r="H101" s="137">
        <f t="shared" si="162"/>
        <v>96659</v>
      </c>
      <c r="I101" s="137">
        <f t="shared" si="162"/>
        <v>95397</v>
      </c>
      <c r="J101" s="137">
        <f t="shared" si="162"/>
        <v>96744</v>
      </c>
      <c r="K101" s="137">
        <f t="shared" si="162"/>
        <v>97019</v>
      </c>
      <c r="L101" s="137">
        <f t="shared" si="162"/>
        <v>96843</v>
      </c>
      <c r="M101" s="137">
        <f t="shared" si="162"/>
        <v>96686</v>
      </c>
      <c r="N101" s="137">
        <f t="shared" si="162"/>
        <v>96748</v>
      </c>
      <c r="O101" s="137">
        <f t="shared" si="162"/>
        <v>97245</v>
      </c>
      <c r="P101" s="137">
        <f t="shared" si="162"/>
        <v>93381</v>
      </c>
      <c r="Q101" s="137">
        <f t="shared" si="162"/>
        <v>92726</v>
      </c>
      <c r="R101" s="137">
        <f t="shared" si="162"/>
        <v>94673</v>
      </c>
      <c r="S101" s="137">
        <f t="shared" si="162"/>
        <v>95705</v>
      </c>
      <c r="T101" s="137">
        <f t="shared" si="162"/>
        <v>98533</v>
      </c>
      <c r="U101" s="137">
        <f t="shared" si="162"/>
        <v>101528</v>
      </c>
      <c r="V101" s="137">
        <f t="shared" si="162"/>
        <v>102951</v>
      </c>
      <c r="W101" s="137">
        <f t="shared" ref="W101:Y101" si="163">SUM(W102:W106)</f>
        <v>104216</v>
      </c>
      <c r="X101" s="137">
        <f t="shared" si="163"/>
        <v>107070</v>
      </c>
      <c r="Y101" s="137">
        <f t="shared" si="163"/>
        <v>109936</v>
      </c>
      <c r="DA101" s="174"/>
    </row>
    <row r="102" spans="1:105" ht="11.45" hidden="1" customHeight="1" x14ac:dyDescent="0.25">
      <c r="A102" s="111" t="s">
        <v>110</v>
      </c>
      <c r="B102" s="84">
        <v>8660</v>
      </c>
      <c r="C102" s="84">
        <v>8951</v>
      </c>
      <c r="D102" s="84">
        <v>8401</v>
      </c>
      <c r="E102" s="84">
        <v>9166</v>
      </c>
      <c r="F102" s="84">
        <v>8131</v>
      </c>
      <c r="G102" s="84">
        <v>5825</v>
      </c>
      <c r="H102" s="84">
        <v>5683</v>
      </c>
      <c r="I102" s="84">
        <v>5187</v>
      </c>
      <c r="J102" s="84">
        <v>5488</v>
      </c>
      <c r="K102" s="84">
        <v>5485</v>
      </c>
      <c r="L102" s="84">
        <v>5239</v>
      </c>
      <c r="M102" s="84">
        <v>5137</v>
      </c>
      <c r="N102" s="84">
        <v>5103</v>
      </c>
      <c r="O102" s="84">
        <v>5144</v>
      </c>
      <c r="P102" s="84">
        <v>4878</v>
      </c>
      <c r="Q102" s="84">
        <v>4830</v>
      </c>
      <c r="R102" s="84">
        <v>4861</v>
      </c>
      <c r="S102" s="84">
        <v>4800</v>
      </c>
      <c r="T102" s="84">
        <v>4868</v>
      </c>
      <c r="U102" s="84">
        <v>5032</v>
      </c>
      <c r="V102" s="84">
        <v>5159</v>
      </c>
      <c r="W102" s="84">
        <v>5381</v>
      </c>
      <c r="X102" s="84">
        <v>6242</v>
      </c>
      <c r="Y102" s="84">
        <v>7086</v>
      </c>
      <c r="DA102" s="171"/>
    </row>
    <row r="103" spans="1:105" ht="11.45" hidden="1" customHeight="1" x14ac:dyDescent="0.25">
      <c r="A103" s="111" t="s">
        <v>111</v>
      </c>
      <c r="B103" s="84">
        <v>91311</v>
      </c>
      <c r="C103" s="84">
        <v>92848</v>
      </c>
      <c r="D103" s="84">
        <v>94035</v>
      </c>
      <c r="E103" s="84">
        <v>95081</v>
      </c>
      <c r="F103" s="84">
        <v>94414</v>
      </c>
      <c r="G103" s="84">
        <v>93244</v>
      </c>
      <c r="H103" s="84">
        <v>90976</v>
      </c>
      <c r="I103" s="84">
        <v>90208</v>
      </c>
      <c r="J103" s="84">
        <v>91253</v>
      </c>
      <c r="K103" s="84">
        <v>91531</v>
      </c>
      <c r="L103" s="84">
        <v>91599</v>
      </c>
      <c r="M103" s="84">
        <v>91543</v>
      </c>
      <c r="N103" s="84">
        <v>91639</v>
      </c>
      <c r="O103" s="84">
        <v>92095</v>
      </c>
      <c r="P103" s="84">
        <v>88498</v>
      </c>
      <c r="Q103" s="84">
        <v>87891</v>
      </c>
      <c r="R103" s="84">
        <v>89807</v>
      </c>
      <c r="S103" s="84">
        <v>90900</v>
      </c>
      <c r="T103" s="84">
        <v>93661</v>
      </c>
      <c r="U103" s="84">
        <v>96489</v>
      </c>
      <c r="V103" s="84">
        <v>97784</v>
      </c>
      <c r="W103" s="84">
        <v>98823</v>
      </c>
      <c r="X103" s="84">
        <v>100781</v>
      </c>
      <c r="Y103" s="84">
        <v>102787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2</v>
      </c>
      <c r="J106" s="84">
        <v>3</v>
      </c>
      <c r="K106" s="84">
        <v>3</v>
      </c>
      <c r="L106" s="84">
        <v>5</v>
      </c>
      <c r="M106" s="84">
        <v>6</v>
      </c>
      <c r="N106" s="84">
        <v>6</v>
      </c>
      <c r="O106" s="84">
        <v>6</v>
      </c>
      <c r="P106" s="84">
        <v>5</v>
      </c>
      <c r="Q106" s="84">
        <v>5</v>
      </c>
      <c r="R106" s="84">
        <v>5</v>
      </c>
      <c r="S106" s="84">
        <v>5</v>
      </c>
      <c r="T106" s="84">
        <v>4</v>
      </c>
      <c r="U106" s="84">
        <v>7</v>
      </c>
      <c r="V106" s="84">
        <v>8</v>
      </c>
      <c r="W106" s="84">
        <v>12</v>
      </c>
      <c r="X106" s="84">
        <v>47</v>
      </c>
      <c r="Y106" s="84">
        <v>63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14670</v>
      </c>
      <c r="C107" s="110">
        <f t="shared" si="164"/>
        <v>16119</v>
      </c>
      <c r="D107" s="110">
        <f t="shared" ref="D107:V107" si="165">SUM(D108:D109)</f>
        <v>15321</v>
      </c>
      <c r="E107" s="110">
        <f t="shared" si="165"/>
        <v>15364</v>
      </c>
      <c r="F107" s="110">
        <f t="shared" si="165"/>
        <v>15268</v>
      </c>
      <c r="G107" s="110">
        <f t="shared" si="165"/>
        <v>19443</v>
      </c>
      <c r="H107" s="110">
        <f t="shared" si="165"/>
        <v>19264</v>
      </c>
      <c r="I107" s="110">
        <f t="shared" si="165"/>
        <v>17268</v>
      </c>
      <c r="J107" s="110">
        <f t="shared" si="165"/>
        <v>18218</v>
      </c>
      <c r="K107" s="110">
        <f t="shared" si="165"/>
        <v>19233</v>
      </c>
      <c r="L107" s="110">
        <f t="shared" si="165"/>
        <v>19000</v>
      </c>
      <c r="M107" s="110">
        <f t="shared" si="165"/>
        <v>18460</v>
      </c>
      <c r="N107" s="110">
        <f t="shared" si="165"/>
        <v>17121</v>
      </c>
      <c r="O107" s="110">
        <f t="shared" si="165"/>
        <v>12053</v>
      </c>
      <c r="P107" s="110">
        <f t="shared" si="165"/>
        <v>11294</v>
      </c>
      <c r="Q107" s="110">
        <f t="shared" si="165"/>
        <v>11309</v>
      </c>
      <c r="R107" s="110">
        <f t="shared" si="165"/>
        <v>11796</v>
      </c>
      <c r="S107" s="110">
        <f t="shared" si="165"/>
        <v>12175</v>
      </c>
      <c r="T107" s="110">
        <f t="shared" si="165"/>
        <v>12613</v>
      </c>
      <c r="U107" s="110">
        <f t="shared" si="165"/>
        <v>13262</v>
      </c>
      <c r="V107" s="110">
        <f t="shared" si="165"/>
        <v>13695</v>
      </c>
      <c r="W107" s="110">
        <f t="shared" ref="W107:Y107" si="166">SUM(W108:W109)</f>
        <v>14034</v>
      </c>
      <c r="X107" s="110">
        <f t="shared" si="166"/>
        <v>14345</v>
      </c>
      <c r="Y107" s="110">
        <f t="shared" si="166"/>
        <v>15062</v>
      </c>
      <c r="DA107" s="176"/>
    </row>
    <row r="108" spans="1:105" ht="11.45" hidden="1" customHeight="1" x14ac:dyDescent="0.25">
      <c r="A108" s="128" t="s">
        <v>27</v>
      </c>
      <c r="B108" s="102">
        <v>14670</v>
      </c>
      <c r="C108" s="102">
        <v>16119</v>
      </c>
      <c r="D108" s="102">
        <v>15321</v>
      </c>
      <c r="E108" s="102">
        <v>15364</v>
      </c>
      <c r="F108" s="102">
        <v>15268</v>
      </c>
      <c r="G108" s="102">
        <v>19443</v>
      </c>
      <c r="H108" s="102">
        <v>19264</v>
      </c>
      <c r="I108" s="102">
        <v>17268</v>
      </c>
      <c r="J108" s="102">
        <v>18218</v>
      </c>
      <c r="K108" s="102">
        <v>19233</v>
      </c>
      <c r="L108" s="102">
        <v>19000</v>
      </c>
      <c r="M108" s="102">
        <v>18460</v>
      </c>
      <c r="N108" s="102">
        <v>17121</v>
      </c>
      <c r="O108" s="102">
        <v>12053</v>
      </c>
      <c r="P108" s="102">
        <v>11294</v>
      </c>
      <c r="Q108" s="102">
        <v>11309</v>
      </c>
      <c r="R108" s="102">
        <v>11796</v>
      </c>
      <c r="S108" s="102">
        <v>12175</v>
      </c>
      <c r="T108" s="102">
        <v>12613</v>
      </c>
      <c r="U108" s="102">
        <v>13262</v>
      </c>
      <c r="V108" s="102">
        <v>13695</v>
      </c>
      <c r="W108" s="102">
        <v>14034</v>
      </c>
      <c r="X108" s="102">
        <v>14345</v>
      </c>
      <c r="Y108" s="102">
        <v>15062</v>
      </c>
      <c r="DA108" s="175"/>
    </row>
    <row r="109" spans="1:105" ht="11.45" hidden="1" customHeight="1" x14ac:dyDescent="0.25">
      <c r="A109" s="138" t="s">
        <v>116</v>
      </c>
      <c r="B109" s="86">
        <v>0</v>
      </c>
      <c r="C109" s="86">
        <v>0</v>
      </c>
      <c r="D109" s="86">
        <v>0</v>
      </c>
      <c r="E109" s="86">
        <v>0</v>
      </c>
      <c r="F109" s="86">
        <v>0</v>
      </c>
      <c r="G109" s="86">
        <v>0</v>
      </c>
      <c r="H109" s="86">
        <v>0</v>
      </c>
      <c r="I109" s="86">
        <v>0</v>
      </c>
      <c r="J109" s="86">
        <v>0</v>
      </c>
      <c r="K109" s="86">
        <v>0</v>
      </c>
      <c r="L109" s="86">
        <v>0</v>
      </c>
      <c r="M109" s="86">
        <v>0</v>
      </c>
      <c r="N109" s="86">
        <v>0</v>
      </c>
      <c r="O109" s="86">
        <v>0</v>
      </c>
      <c r="P109" s="86">
        <v>0</v>
      </c>
      <c r="Q109" s="86">
        <v>0</v>
      </c>
      <c r="R109" s="86">
        <v>0</v>
      </c>
      <c r="S109" s="86">
        <v>0</v>
      </c>
      <c r="T109" s="86">
        <v>0</v>
      </c>
      <c r="U109" s="86">
        <v>0</v>
      </c>
      <c r="V109" s="86">
        <v>0</v>
      </c>
      <c r="W109" s="86">
        <v>0</v>
      </c>
      <c r="X109" s="86">
        <v>0</v>
      </c>
      <c r="Y109" s="86">
        <v>0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28616</v>
      </c>
      <c r="C111" s="54">
        <f t="shared" si="167"/>
        <v>35441</v>
      </c>
      <c r="D111" s="54">
        <f t="shared" si="167"/>
        <v>37794</v>
      </c>
      <c r="E111" s="54">
        <f t="shared" si="167"/>
        <v>40169</v>
      </c>
      <c r="F111" s="54">
        <f t="shared" si="167"/>
        <v>53146</v>
      </c>
      <c r="G111" s="54">
        <f t="shared" si="167"/>
        <v>51165</v>
      </c>
      <c r="H111" s="54">
        <f t="shared" si="167"/>
        <v>46675</v>
      </c>
      <c r="I111" s="54">
        <f t="shared" si="167"/>
        <v>63099</v>
      </c>
      <c r="J111" s="54">
        <f t="shared" si="167"/>
        <v>66834</v>
      </c>
      <c r="K111" s="54">
        <f t="shared" si="167"/>
        <v>64344</v>
      </c>
      <c r="L111" s="54">
        <f t="shared" ref="L111" si="168">L112+L127</f>
        <v>45151</v>
      </c>
      <c r="M111" s="54">
        <f t="shared" ref="M111:V111" si="169">M112+M127</f>
        <v>39224</v>
      </c>
      <c r="N111" s="54">
        <f t="shared" si="169"/>
        <v>30709</v>
      </c>
      <c r="O111" s="54">
        <f t="shared" si="169"/>
        <v>24324</v>
      </c>
      <c r="P111" s="54">
        <f t="shared" si="169"/>
        <v>24951</v>
      </c>
      <c r="Q111" s="54">
        <f t="shared" si="169"/>
        <v>29316</v>
      </c>
      <c r="R111" s="54">
        <f t="shared" si="169"/>
        <v>36534</v>
      </c>
      <c r="S111" s="54">
        <f t="shared" si="169"/>
        <v>44143</v>
      </c>
      <c r="T111" s="54">
        <f t="shared" si="169"/>
        <v>51350</v>
      </c>
      <c r="U111" s="54">
        <f t="shared" si="169"/>
        <v>47366</v>
      </c>
      <c r="V111" s="54">
        <f t="shared" si="169"/>
        <v>39308</v>
      </c>
      <c r="W111" s="54">
        <f t="shared" ref="W111:Y111" si="170">W112+W127</f>
        <v>43534</v>
      </c>
      <c r="X111" s="54">
        <f t="shared" si="170"/>
        <v>36641</v>
      </c>
      <c r="Y111" s="54">
        <f t="shared" si="170"/>
        <v>56698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21856</v>
      </c>
      <c r="C112" s="28">
        <f t="shared" si="171"/>
        <v>27554</v>
      </c>
      <c r="D112" s="28">
        <f t="shared" si="171"/>
        <v>30464</v>
      </c>
      <c r="E112" s="28">
        <f t="shared" si="171"/>
        <v>32135</v>
      </c>
      <c r="F112" s="28">
        <f t="shared" si="171"/>
        <v>46238</v>
      </c>
      <c r="G112" s="28">
        <f t="shared" si="171"/>
        <v>41273</v>
      </c>
      <c r="H112" s="28">
        <f t="shared" si="171"/>
        <v>40283</v>
      </c>
      <c r="I112" s="28">
        <f t="shared" si="171"/>
        <v>54844</v>
      </c>
      <c r="J112" s="28">
        <f t="shared" si="171"/>
        <v>56257</v>
      </c>
      <c r="K112" s="28">
        <f t="shared" si="171"/>
        <v>54844</v>
      </c>
      <c r="L112" s="28">
        <f t="shared" ref="L112" si="172">L113+L114+L121</f>
        <v>36144</v>
      </c>
      <c r="M112" s="28">
        <f t="shared" ref="M112:V112" si="173">M113+M114+M121</f>
        <v>30673</v>
      </c>
      <c r="N112" s="28">
        <f t="shared" si="173"/>
        <v>22807</v>
      </c>
      <c r="O112" s="28">
        <f t="shared" si="173"/>
        <v>16523</v>
      </c>
      <c r="P112" s="28">
        <f t="shared" si="173"/>
        <v>19929</v>
      </c>
      <c r="Q112" s="28">
        <f t="shared" si="173"/>
        <v>23348</v>
      </c>
      <c r="R112" s="28">
        <f t="shared" si="173"/>
        <v>30078</v>
      </c>
      <c r="S112" s="28">
        <f t="shared" si="173"/>
        <v>38242</v>
      </c>
      <c r="T112" s="28">
        <f t="shared" si="173"/>
        <v>44108</v>
      </c>
      <c r="U112" s="28">
        <f t="shared" si="173"/>
        <v>39844</v>
      </c>
      <c r="V112" s="28">
        <f t="shared" si="173"/>
        <v>33744</v>
      </c>
      <c r="W112" s="28">
        <f t="shared" ref="W112:Y112" si="174">W113+W114+W121</f>
        <v>37743</v>
      </c>
      <c r="X112" s="28">
        <f t="shared" si="174"/>
        <v>29188</v>
      </c>
      <c r="Y112" s="28">
        <f t="shared" si="174"/>
        <v>48817</v>
      </c>
      <c r="DA112" s="173" t="s">
        <v>527</v>
      </c>
    </row>
    <row r="113" spans="1:105" ht="11.45" customHeight="1" x14ac:dyDescent="0.25">
      <c r="A113" s="136" t="s">
        <v>173</v>
      </c>
      <c r="B113" s="137">
        <v>2551</v>
      </c>
      <c r="C113" s="137">
        <v>2834</v>
      </c>
      <c r="D113" s="137">
        <v>2145</v>
      </c>
      <c r="E113" s="137">
        <v>1844</v>
      </c>
      <c r="F113" s="137">
        <v>2273</v>
      </c>
      <c r="G113" s="137">
        <v>2455</v>
      </c>
      <c r="H113" s="137">
        <v>2925</v>
      </c>
      <c r="I113" s="137">
        <v>3710</v>
      </c>
      <c r="J113" s="137">
        <v>4459</v>
      </c>
      <c r="K113" s="137">
        <v>3140</v>
      </c>
      <c r="L113" s="137">
        <v>3060</v>
      </c>
      <c r="M113" s="137">
        <v>2527</v>
      </c>
      <c r="N113" s="137">
        <v>2074</v>
      </c>
      <c r="O113" s="137">
        <v>1675</v>
      </c>
      <c r="P113" s="137">
        <v>1901</v>
      </c>
      <c r="Q113" s="137">
        <v>1673</v>
      </c>
      <c r="R113" s="137">
        <v>1996</v>
      </c>
      <c r="S113" s="137">
        <v>2023.0000000000002</v>
      </c>
      <c r="T113" s="137">
        <v>2320</v>
      </c>
      <c r="U113" s="137">
        <v>1937</v>
      </c>
      <c r="V113" s="137">
        <v>2541</v>
      </c>
      <c r="W113" s="137">
        <v>2939</v>
      </c>
      <c r="X113" s="137">
        <v>2328</v>
      </c>
      <c r="Y113" s="137">
        <v>2990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19056</v>
      </c>
      <c r="C114" s="110">
        <f t="shared" si="175"/>
        <v>24533</v>
      </c>
      <c r="D114" s="110">
        <f t="shared" si="175"/>
        <v>28101</v>
      </c>
      <c r="E114" s="110">
        <f t="shared" si="175"/>
        <v>29961</v>
      </c>
      <c r="F114" s="110">
        <f t="shared" si="175"/>
        <v>43842</v>
      </c>
      <c r="G114" s="110">
        <f t="shared" si="175"/>
        <v>38676</v>
      </c>
      <c r="H114" s="110">
        <f t="shared" si="175"/>
        <v>37192</v>
      </c>
      <c r="I114" s="110">
        <f t="shared" si="175"/>
        <v>50908</v>
      </c>
      <c r="J114" s="110">
        <f t="shared" si="175"/>
        <v>51528</v>
      </c>
      <c r="K114" s="110">
        <f t="shared" si="175"/>
        <v>51515</v>
      </c>
      <c r="L114" s="110">
        <f t="shared" ref="L114" si="176">SUM(L115:L120)</f>
        <v>32680</v>
      </c>
      <c r="M114" s="110">
        <f t="shared" ref="M114:V114" si="177">SUM(M115:M120)</f>
        <v>27929</v>
      </c>
      <c r="N114" s="110">
        <f t="shared" si="177"/>
        <v>20556</v>
      </c>
      <c r="O114" s="110">
        <f t="shared" si="177"/>
        <v>14777</v>
      </c>
      <c r="P114" s="110">
        <f t="shared" si="177"/>
        <v>17945</v>
      </c>
      <c r="Q114" s="110">
        <f t="shared" si="177"/>
        <v>21488</v>
      </c>
      <c r="R114" s="110">
        <f t="shared" si="177"/>
        <v>27968</v>
      </c>
      <c r="S114" s="110">
        <f t="shared" si="177"/>
        <v>36114</v>
      </c>
      <c r="T114" s="110">
        <f t="shared" si="177"/>
        <v>41687</v>
      </c>
      <c r="U114" s="110">
        <f t="shared" si="177"/>
        <v>37832</v>
      </c>
      <c r="V114" s="110">
        <f t="shared" si="177"/>
        <v>30913</v>
      </c>
      <c r="W114" s="110">
        <f t="shared" ref="W114:Y114" si="178">SUM(W115:W120)</f>
        <v>34640</v>
      </c>
      <c r="X114" s="110">
        <f t="shared" si="178"/>
        <v>26721</v>
      </c>
      <c r="Y114" s="110">
        <f t="shared" si="178"/>
        <v>45485</v>
      </c>
      <c r="DA114" s="176" t="s">
        <v>529</v>
      </c>
    </row>
    <row r="115" spans="1:105" ht="11.45" customHeight="1" x14ac:dyDescent="0.25">
      <c r="A115" s="111" t="s">
        <v>110</v>
      </c>
      <c r="B115" s="84">
        <v>16430</v>
      </c>
      <c r="C115" s="84">
        <v>21469</v>
      </c>
      <c r="D115" s="84">
        <v>25866</v>
      </c>
      <c r="E115" s="84">
        <v>28618</v>
      </c>
      <c r="F115" s="84">
        <v>42778</v>
      </c>
      <c r="G115" s="84">
        <v>37383</v>
      </c>
      <c r="H115" s="84">
        <v>35768</v>
      </c>
      <c r="I115" s="84">
        <v>46812</v>
      </c>
      <c r="J115" s="84">
        <v>45176</v>
      </c>
      <c r="K115" s="84">
        <v>45176</v>
      </c>
      <c r="L115" s="84">
        <v>26802</v>
      </c>
      <c r="M115" s="84">
        <v>22967</v>
      </c>
      <c r="N115" s="84">
        <v>16875</v>
      </c>
      <c r="O115" s="84">
        <v>11773</v>
      </c>
      <c r="P115" s="84">
        <v>12151</v>
      </c>
      <c r="Q115" s="84">
        <v>14786</v>
      </c>
      <c r="R115" s="84">
        <v>17581</v>
      </c>
      <c r="S115" s="84">
        <v>20532</v>
      </c>
      <c r="T115" s="84">
        <v>22546</v>
      </c>
      <c r="U115" s="84">
        <v>20808</v>
      </c>
      <c r="V115" s="84">
        <v>18114</v>
      </c>
      <c r="W115" s="84">
        <v>23444</v>
      </c>
      <c r="X115" s="84">
        <v>22633</v>
      </c>
      <c r="Y115" s="84">
        <v>35958</v>
      </c>
      <c r="DA115" s="171" t="s">
        <v>530</v>
      </c>
    </row>
    <row r="116" spans="1:105" ht="11.45" customHeight="1" x14ac:dyDescent="0.25">
      <c r="A116" s="111" t="s">
        <v>111</v>
      </c>
      <c r="B116" s="84">
        <v>2626</v>
      </c>
      <c r="C116" s="84">
        <v>3064</v>
      </c>
      <c r="D116" s="84">
        <v>2235</v>
      </c>
      <c r="E116" s="84">
        <v>1343</v>
      </c>
      <c r="F116" s="84">
        <v>1064</v>
      </c>
      <c r="G116" s="84">
        <v>1293</v>
      </c>
      <c r="H116" s="84">
        <v>1424</v>
      </c>
      <c r="I116" s="84">
        <v>4096</v>
      </c>
      <c r="J116" s="84">
        <v>6352</v>
      </c>
      <c r="K116" s="84">
        <v>6339</v>
      </c>
      <c r="L116" s="84">
        <v>5878</v>
      </c>
      <c r="M116" s="84">
        <v>4962</v>
      </c>
      <c r="N116" s="84">
        <v>3681</v>
      </c>
      <c r="O116" s="84">
        <v>2998</v>
      </c>
      <c r="P116" s="84">
        <v>5782</v>
      </c>
      <c r="Q116" s="84">
        <v>6667</v>
      </c>
      <c r="R116" s="84">
        <v>10344</v>
      </c>
      <c r="S116" s="84">
        <v>15478</v>
      </c>
      <c r="T116" s="84">
        <v>18100</v>
      </c>
      <c r="U116" s="84">
        <v>16873</v>
      </c>
      <c r="V116" s="84">
        <v>12635</v>
      </c>
      <c r="W116" s="84">
        <v>10960</v>
      </c>
      <c r="X116" s="84">
        <v>3454</v>
      </c>
      <c r="Y116" s="84">
        <v>8216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950</v>
      </c>
      <c r="U117" s="84">
        <v>0</v>
      </c>
      <c r="V117" s="84">
        <v>0</v>
      </c>
      <c r="W117" s="84">
        <v>2</v>
      </c>
      <c r="X117" s="84">
        <v>2</v>
      </c>
      <c r="Y117" s="84">
        <v>0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X118" s="84">
        <v>0</v>
      </c>
      <c r="Y118" s="84">
        <v>0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3</v>
      </c>
      <c r="Q119" s="84">
        <v>26</v>
      </c>
      <c r="R119" s="84">
        <v>22</v>
      </c>
      <c r="S119" s="84">
        <v>55</v>
      </c>
      <c r="T119" s="84">
        <v>54</v>
      </c>
      <c r="U119" s="84">
        <v>88</v>
      </c>
      <c r="V119" s="84">
        <v>79</v>
      </c>
      <c r="W119" s="84">
        <v>149</v>
      </c>
      <c r="X119" s="84">
        <v>231</v>
      </c>
      <c r="Y119" s="84">
        <v>515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6</v>
      </c>
      <c r="P120" s="84">
        <v>9</v>
      </c>
      <c r="Q120" s="84">
        <v>9</v>
      </c>
      <c r="R120" s="84">
        <v>21</v>
      </c>
      <c r="S120" s="84">
        <v>49</v>
      </c>
      <c r="T120" s="84">
        <v>37</v>
      </c>
      <c r="U120" s="84">
        <v>63</v>
      </c>
      <c r="V120" s="84">
        <v>85</v>
      </c>
      <c r="W120" s="84">
        <v>85</v>
      </c>
      <c r="X120" s="84">
        <v>401</v>
      </c>
      <c r="Y120" s="84">
        <v>796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249</v>
      </c>
      <c r="C121" s="110">
        <f t="shared" si="179"/>
        <v>187</v>
      </c>
      <c r="D121" s="110">
        <f t="shared" si="179"/>
        <v>218</v>
      </c>
      <c r="E121" s="110">
        <f t="shared" si="179"/>
        <v>330</v>
      </c>
      <c r="F121" s="110">
        <f t="shared" si="179"/>
        <v>123</v>
      </c>
      <c r="G121" s="110">
        <f t="shared" si="179"/>
        <v>142</v>
      </c>
      <c r="H121" s="110">
        <f t="shared" si="179"/>
        <v>166</v>
      </c>
      <c r="I121" s="110">
        <f t="shared" si="179"/>
        <v>226</v>
      </c>
      <c r="J121" s="110">
        <f t="shared" si="179"/>
        <v>270</v>
      </c>
      <c r="K121" s="110">
        <f t="shared" si="179"/>
        <v>189</v>
      </c>
      <c r="L121" s="110">
        <f t="shared" ref="L121" si="180">SUM(L122:L126)</f>
        <v>404</v>
      </c>
      <c r="M121" s="110">
        <f t="shared" ref="M121:V121" si="181">SUM(M122:M126)</f>
        <v>217</v>
      </c>
      <c r="N121" s="110">
        <f t="shared" si="181"/>
        <v>177</v>
      </c>
      <c r="O121" s="110">
        <f t="shared" si="181"/>
        <v>71</v>
      </c>
      <c r="P121" s="110">
        <f t="shared" si="181"/>
        <v>83</v>
      </c>
      <c r="Q121" s="110">
        <f t="shared" si="181"/>
        <v>187</v>
      </c>
      <c r="R121" s="110">
        <f t="shared" si="181"/>
        <v>114</v>
      </c>
      <c r="S121" s="110">
        <f t="shared" si="181"/>
        <v>105</v>
      </c>
      <c r="T121" s="110">
        <f t="shared" si="181"/>
        <v>101</v>
      </c>
      <c r="U121" s="110">
        <f t="shared" si="181"/>
        <v>75</v>
      </c>
      <c r="V121" s="110">
        <f t="shared" si="181"/>
        <v>290</v>
      </c>
      <c r="W121" s="110">
        <f t="shared" ref="W121:Y121" si="182">SUM(W122:W126)</f>
        <v>164</v>
      </c>
      <c r="X121" s="110">
        <f t="shared" si="182"/>
        <v>139</v>
      </c>
      <c r="Y121" s="110">
        <f t="shared" si="182"/>
        <v>342</v>
      </c>
      <c r="DA121" s="176" t="s">
        <v>536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1</v>
      </c>
      <c r="F122" s="102">
        <v>0</v>
      </c>
      <c r="G122" s="102">
        <v>0</v>
      </c>
      <c r="H122" s="102">
        <v>3</v>
      </c>
      <c r="I122" s="102">
        <v>0</v>
      </c>
      <c r="J122" s="102">
        <v>1</v>
      </c>
      <c r="K122" s="102">
        <v>0</v>
      </c>
      <c r="L122" s="102">
        <v>3</v>
      </c>
      <c r="M122" s="102">
        <v>2</v>
      </c>
      <c r="N122" s="102">
        <v>1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248</v>
      </c>
      <c r="C123" s="102">
        <v>187</v>
      </c>
      <c r="D123" s="102">
        <v>218</v>
      </c>
      <c r="E123" s="102">
        <v>329</v>
      </c>
      <c r="F123" s="102">
        <v>123</v>
      </c>
      <c r="G123" s="102">
        <v>142</v>
      </c>
      <c r="H123" s="102">
        <v>163</v>
      </c>
      <c r="I123" s="102">
        <v>226</v>
      </c>
      <c r="J123" s="102">
        <v>268</v>
      </c>
      <c r="K123" s="102">
        <v>189</v>
      </c>
      <c r="L123" s="102">
        <v>401</v>
      </c>
      <c r="M123" s="102">
        <v>215</v>
      </c>
      <c r="N123" s="102">
        <v>176</v>
      </c>
      <c r="O123" s="102">
        <v>71</v>
      </c>
      <c r="P123" s="102">
        <v>83</v>
      </c>
      <c r="Q123" s="102">
        <v>187</v>
      </c>
      <c r="R123" s="102">
        <v>114</v>
      </c>
      <c r="S123" s="102">
        <v>105</v>
      </c>
      <c r="T123" s="102">
        <v>101</v>
      </c>
      <c r="U123" s="102">
        <v>74</v>
      </c>
      <c r="V123" s="102">
        <v>289</v>
      </c>
      <c r="W123" s="102">
        <v>164</v>
      </c>
      <c r="X123" s="102">
        <v>139</v>
      </c>
      <c r="Y123" s="102">
        <v>302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X125" s="102">
        <v>0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0</v>
      </c>
      <c r="V126" s="102">
        <v>1</v>
      </c>
      <c r="W126" s="102">
        <v>0</v>
      </c>
      <c r="X126" s="102">
        <v>0</v>
      </c>
      <c r="Y126" s="102">
        <v>40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6760</v>
      </c>
      <c r="C127" s="28">
        <f t="shared" si="183"/>
        <v>7887</v>
      </c>
      <c r="D127" s="28">
        <f t="shared" si="183"/>
        <v>7330</v>
      </c>
      <c r="E127" s="28">
        <f t="shared" si="183"/>
        <v>8034</v>
      </c>
      <c r="F127" s="28">
        <f t="shared" si="183"/>
        <v>6908</v>
      </c>
      <c r="G127" s="28">
        <f t="shared" si="183"/>
        <v>9892</v>
      </c>
      <c r="H127" s="28">
        <f t="shared" si="183"/>
        <v>6392</v>
      </c>
      <c r="I127" s="28">
        <f t="shared" si="183"/>
        <v>8255</v>
      </c>
      <c r="J127" s="28">
        <f t="shared" si="183"/>
        <v>10577</v>
      </c>
      <c r="K127" s="28">
        <f t="shared" si="183"/>
        <v>9500</v>
      </c>
      <c r="L127" s="28">
        <f t="shared" ref="L127" si="184">L128+L134</f>
        <v>9007</v>
      </c>
      <c r="M127" s="28">
        <f t="shared" ref="M127:V127" si="185">M128+M134</f>
        <v>8551</v>
      </c>
      <c r="N127" s="28">
        <f t="shared" si="185"/>
        <v>7902</v>
      </c>
      <c r="O127" s="28">
        <f t="shared" si="185"/>
        <v>7801</v>
      </c>
      <c r="P127" s="28">
        <f t="shared" si="185"/>
        <v>5022</v>
      </c>
      <c r="Q127" s="28">
        <f t="shared" si="185"/>
        <v>5968</v>
      </c>
      <c r="R127" s="28">
        <f t="shared" si="185"/>
        <v>6456</v>
      </c>
      <c r="S127" s="28">
        <f t="shared" si="185"/>
        <v>5901</v>
      </c>
      <c r="T127" s="28">
        <f t="shared" si="185"/>
        <v>7242</v>
      </c>
      <c r="U127" s="28">
        <f t="shared" si="185"/>
        <v>7522</v>
      </c>
      <c r="V127" s="28">
        <f t="shared" si="185"/>
        <v>5564</v>
      </c>
      <c r="W127" s="28">
        <f t="shared" ref="W127:Y127" si="186">W128+W134</f>
        <v>5791</v>
      </c>
      <c r="X127" s="28">
        <f t="shared" si="186"/>
        <v>7453</v>
      </c>
      <c r="Y127" s="28">
        <f t="shared" si="186"/>
        <v>7881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192</v>
      </c>
      <c r="C128" s="137">
        <f t="shared" si="187"/>
        <v>6068</v>
      </c>
      <c r="D128" s="137">
        <f t="shared" si="187"/>
        <v>5684</v>
      </c>
      <c r="E128" s="137">
        <f t="shared" si="187"/>
        <v>6936</v>
      </c>
      <c r="F128" s="137">
        <f t="shared" si="187"/>
        <v>5865</v>
      </c>
      <c r="G128" s="137">
        <f t="shared" si="187"/>
        <v>5702</v>
      </c>
      <c r="H128" s="137">
        <f t="shared" si="187"/>
        <v>5181</v>
      </c>
      <c r="I128" s="137">
        <f t="shared" si="187"/>
        <v>6681</v>
      </c>
      <c r="J128" s="137">
        <f t="shared" si="187"/>
        <v>8656</v>
      </c>
      <c r="K128" s="137">
        <f t="shared" si="187"/>
        <v>8064</v>
      </c>
      <c r="L128" s="137">
        <f t="shared" ref="L128" si="188">SUM(L129:L133)</f>
        <v>7785</v>
      </c>
      <c r="M128" s="137">
        <f t="shared" ref="M128:V128" si="189">SUM(M129:M133)</f>
        <v>7577</v>
      </c>
      <c r="N128" s="137">
        <f t="shared" si="189"/>
        <v>7543</v>
      </c>
      <c r="O128" s="137">
        <f t="shared" si="189"/>
        <v>7630</v>
      </c>
      <c r="P128" s="137">
        <f t="shared" si="189"/>
        <v>4901</v>
      </c>
      <c r="Q128" s="137">
        <f t="shared" si="189"/>
        <v>5855</v>
      </c>
      <c r="R128" s="137">
        <f t="shared" si="189"/>
        <v>5939</v>
      </c>
      <c r="S128" s="137">
        <f t="shared" si="189"/>
        <v>5492</v>
      </c>
      <c r="T128" s="137">
        <f t="shared" si="189"/>
        <v>6776</v>
      </c>
      <c r="U128" s="137">
        <f t="shared" si="189"/>
        <v>6862</v>
      </c>
      <c r="V128" s="137">
        <f t="shared" si="189"/>
        <v>5114</v>
      </c>
      <c r="W128" s="137">
        <f t="shared" ref="W128:Y128" si="190">SUM(W129:W133)</f>
        <v>5177</v>
      </c>
      <c r="X128" s="137">
        <f t="shared" si="190"/>
        <v>7131</v>
      </c>
      <c r="Y128" s="137">
        <f t="shared" si="190"/>
        <v>7164</v>
      </c>
      <c r="DA128" s="174" t="s">
        <v>543</v>
      </c>
    </row>
    <row r="129" spans="1:105" ht="11.45" customHeight="1" x14ac:dyDescent="0.25">
      <c r="A129" s="111" t="s">
        <v>110</v>
      </c>
      <c r="B129" s="84">
        <v>71</v>
      </c>
      <c r="C129" s="84">
        <v>667</v>
      </c>
      <c r="D129" s="84">
        <v>631</v>
      </c>
      <c r="E129" s="84">
        <v>765</v>
      </c>
      <c r="F129" s="84">
        <v>403</v>
      </c>
      <c r="G129" s="84">
        <v>401</v>
      </c>
      <c r="H129" s="84">
        <v>472</v>
      </c>
      <c r="I129" s="84">
        <v>646</v>
      </c>
      <c r="J129" s="84">
        <v>746</v>
      </c>
      <c r="K129" s="84">
        <v>306</v>
      </c>
      <c r="L129" s="84">
        <v>202</v>
      </c>
      <c r="M129" s="84">
        <v>169</v>
      </c>
      <c r="N129" s="84">
        <v>134</v>
      </c>
      <c r="O129" s="84">
        <v>54</v>
      </c>
      <c r="P129" s="84">
        <v>670</v>
      </c>
      <c r="Q129" s="84">
        <v>45</v>
      </c>
      <c r="R129" s="84">
        <v>58</v>
      </c>
      <c r="S129" s="84">
        <v>303</v>
      </c>
      <c r="T129" s="84">
        <v>507</v>
      </c>
      <c r="U129" s="84">
        <v>601</v>
      </c>
      <c r="V129" s="84">
        <v>510</v>
      </c>
      <c r="W129" s="84">
        <v>574</v>
      </c>
      <c r="X129" s="84">
        <v>1161</v>
      </c>
      <c r="Y129" s="84">
        <v>1255</v>
      </c>
      <c r="DA129" s="171" t="s">
        <v>544</v>
      </c>
    </row>
    <row r="130" spans="1:105" ht="11.45" customHeight="1" x14ac:dyDescent="0.25">
      <c r="A130" s="111" t="s">
        <v>111</v>
      </c>
      <c r="B130" s="84">
        <v>121</v>
      </c>
      <c r="C130" s="84">
        <v>5401</v>
      </c>
      <c r="D130" s="84">
        <v>5053</v>
      </c>
      <c r="E130" s="84">
        <v>6171</v>
      </c>
      <c r="F130" s="84">
        <v>5462</v>
      </c>
      <c r="G130" s="84">
        <v>5301</v>
      </c>
      <c r="H130" s="84">
        <v>4709</v>
      </c>
      <c r="I130" s="84">
        <v>6033</v>
      </c>
      <c r="J130" s="84">
        <v>7909</v>
      </c>
      <c r="K130" s="84">
        <v>7758</v>
      </c>
      <c r="L130" s="84">
        <v>7581</v>
      </c>
      <c r="M130" s="84">
        <v>7407</v>
      </c>
      <c r="N130" s="84">
        <v>7409</v>
      </c>
      <c r="O130" s="84">
        <v>7576</v>
      </c>
      <c r="P130" s="84">
        <v>4231</v>
      </c>
      <c r="Q130" s="84">
        <v>5810</v>
      </c>
      <c r="R130" s="84">
        <v>5881</v>
      </c>
      <c r="S130" s="84">
        <v>5189</v>
      </c>
      <c r="T130" s="84">
        <v>6269</v>
      </c>
      <c r="U130" s="84">
        <v>6258</v>
      </c>
      <c r="V130" s="84">
        <v>4603</v>
      </c>
      <c r="W130" s="84">
        <v>4599</v>
      </c>
      <c r="X130" s="84">
        <v>5935</v>
      </c>
      <c r="Y130" s="84">
        <v>5893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2</v>
      </c>
      <c r="J133" s="84">
        <v>1</v>
      </c>
      <c r="K133" s="84">
        <v>0</v>
      </c>
      <c r="L133" s="84">
        <v>2</v>
      </c>
      <c r="M133" s="84">
        <v>1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3</v>
      </c>
      <c r="V133" s="84">
        <v>1</v>
      </c>
      <c r="W133" s="84">
        <v>4</v>
      </c>
      <c r="X133" s="84">
        <v>35</v>
      </c>
      <c r="Y133" s="84">
        <v>16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6568</v>
      </c>
      <c r="C134" s="110">
        <f t="shared" si="191"/>
        <v>1819</v>
      </c>
      <c r="D134" s="110">
        <f t="shared" si="191"/>
        <v>1646</v>
      </c>
      <c r="E134" s="110">
        <f t="shared" si="191"/>
        <v>1098</v>
      </c>
      <c r="F134" s="110">
        <f t="shared" si="191"/>
        <v>1043</v>
      </c>
      <c r="G134" s="110">
        <f t="shared" si="191"/>
        <v>4190</v>
      </c>
      <c r="H134" s="110">
        <f t="shared" si="191"/>
        <v>1211</v>
      </c>
      <c r="I134" s="110">
        <f t="shared" si="191"/>
        <v>1574</v>
      </c>
      <c r="J134" s="110">
        <f t="shared" si="191"/>
        <v>1921</v>
      </c>
      <c r="K134" s="110">
        <f t="shared" si="191"/>
        <v>1436</v>
      </c>
      <c r="L134" s="110">
        <f t="shared" ref="L134" si="192">SUM(L135:L136)</f>
        <v>1222</v>
      </c>
      <c r="M134" s="110">
        <f t="shared" ref="M134:V134" si="193">SUM(M135:M136)</f>
        <v>974</v>
      </c>
      <c r="N134" s="110">
        <f t="shared" si="193"/>
        <v>359</v>
      </c>
      <c r="O134" s="110">
        <f t="shared" si="193"/>
        <v>171</v>
      </c>
      <c r="P134" s="110">
        <f t="shared" si="193"/>
        <v>121</v>
      </c>
      <c r="Q134" s="110">
        <f t="shared" si="193"/>
        <v>113</v>
      </c>
      <c r="R134" s="110">
        <f t="shared" si="193"/>
        <v>517</v>
      </c>
      <c r="S134" s="110">
        <f t="shared" si="193"/>
        <v>409</v>
      </c>
      <c r="T134" s="110">
        <f t="shared" si="193"/>
        <v>466</v>
      </c>
      <c r="U134" s="110">
        <f t="shared" si="193"/>
        <v>660</v>
      </c>
      <c r="V134" s="110">
        <f t="shared" si="193"/>
        <v>450</v>
      </c>
      <c r="W134" s="110">
        <f t="shared" ref="W134:Y134" si="194">SUM(W135:W136)</f>
        <v>614</v>
      </c>
      <c r="X134" s="110">
        <f t="shared" si="194"/>
        <v>322</v>
      </c>
      <c r="Y134" s="110">
        <f t="shared" si="194"/>
        <v>717</v>
      </c>
      <c r="DA134" s="176" t="s">
        <v>549</v>
      </c>
    </row>
    <row r="135" spans="1:105" ht="11.45" customHeight="1" x14ac:dyDescent="0.25">
      <c r="A135" s="128" t="s">
        <v>27</v>
      </c>
      <c r="B135" s="102">
        <v>6568</v>
      </c>
      <c r="C135" s="102">
        <v>1819</v>
      </c>
      <c r="D135" s="102">
        <v>1646</v>
      </c>
      <c r="E135" s="102">
        <v>1098</v>
      </c>
      <c r="F135" s="102">
        <v>1043</v>
      </c>
      <c r="G135" s="102">
        <v>4190</v>
      </c>
      <c r="H135" s="102">
        <v>1211</v>
      </c>
      <c r="I135" s="102">
        <v>1574</v>
      </c>
      <c r="J135" s="102">
        <v>1921</v>
      </c>
      <c r="K135" s="102">
        <v>1436</v>
      </c>
      <c r="L135" s="102">
        <v>1222</v>
      </c>
      <c r="M135" s="102">
        <v>974</v>
      </c>
      <c r="N135" s="102">
        <v>359</v>
      </c>
      <c r="O135" s="102">
        <v>171</v>
      </c>
      <c r="P135" s="102">
        <v>121</v>
      </c>
      <c r="Q135" s="102">
        <v>113</v>
      </c>
      <c r="R135" s="102">
        <v>517</v>
      </c>
      <c r="S135" s="102">
        <v>409</v>
      </c>
      <c r="T135" s="102">
        <v>466</v>
      </c>
      <c r="U135" s="102">
        <v>660</v>
      </c>
      <c r="V135" s="102">
        <v>450</v>
      </c>
      <c r="W135" s="102">
        <v>614</v>
      </c>
      <c r="X135" s="102">
        <v>322</v>
      </c>
      <c r="Y135" s="102">
        <v>717</v>
      </c>
      <c r="DA135" s="175" t="s">
        <v>550</v>
      </c>
    </row>
    <row r="136" spans="1:105" ht="11.45" customHeight="1" x14ac:dyDescent="0.25">
      <c r="A136" s="138" t="s">
        <v>116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0</v>
      </c>
      <c r="I136" s="86">
        <v>0</v>
      </c>
      <c r="J136" s="86">
        <v>0</v>
      </c>
      <c r="K136" s="86">
        <v>0</v>
      </c>
      <c r="L136" s="86">
        <v>0</v>
      </c>
      <c r="M136" s="86">
        <v>0</v>
      </c>
      <c r="N136" s="86">
        <v>0</v>
      </c>
      <c r="O136" s="86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6">
        <v>0</v>
      </c>
      <c r="V136" s="86">
        <v>0</v>
      </c>
      <c r="W136" s="86">
        <v>0</v>
      </c>
      <c r="X136" s="86">
        <v>0</v>
      </c>
      <c r="Y136" s="86">
        <v>0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1.5675769362420489</v>
      </c>
      <c r="C141" s="32">
        <f t="shared" si="195"/>
        <v>1.5401379878905979</v>
      </c>
      <c r="D141" s="32">
        <f t="shared" si="195"/>
        <v>1.5468409100349576</v>
      </c>
      <c r="E141" s="32">
        <f t="shared" si="195"/>
        <v>1.5183829696420976</v>
      </c>
      <c r="F141" s="32">
        <f t="shared" si="195"/>
        <v>1.4934755482558859</v>
      </c>
      <c r="G141" s="32">
        <f t="shared" si="195"/>
        <v>1.476149603148027</v>
      </c>
      <c r="H141" s="32">
        <f t="shared" si="195"/>
        <v>1.4658837529397761</v>
      </c>
      <c r="I141" s="32">
        <f t="shared" si="195"/>
        <v>1.4141804180483779</v>
      </c>
      <c r="J141" s="32">
        <f t="shared" si="195"/>
        <v>1.4139097553850477</v>
      </c>
      <c r="K141" s="32">
        <f t="shared" si="195"/>
        <v>1.4077031613909696</v>
      </c>
      <c r="L141" s="32">
        <f t="shared" ref="L141" si="196">IF(L4=0,0,L4/L31)</f>
        <v>1.3613657363741807</v>
      </c>
      <c r="M141" s="32">
        <f t="shared" ref="M141:V141" si="197">IF(M4=0,0,M4/M31)</f>
        <v>1.3599163821630309</v>
      </c>
      <c r="N141" s="32">
        <f t="shared" si="197"/>
        <v>1.3923569172008206</v>
      </c>
      <c r="O141" s="32">
        <f t="shared" si="197"/>
        <v>1.3941340637363344</v>
      </c>
      <c r="P141" s="32">
        <f t="shared" si="197"/>
        <v>1.4126399123621494</v>
      </c>
      <c r="Q141" s="32">
        <f t="shared" si="197"/>
        <v>1.4257668796673728</v>
      </c>
      <c r="R141" s="32">
        <f t="shared" si="197"/>
        <v>1.3131101022389238</v>
      </c>
      <c r="S141" s="32">
        <f t="shared" si="197"/>
        <v>1.3176495465223912</v>
      </c>
      <c r="T141" s="32">
        <f t="shared" si="197"/>
        <v>1.3143739944727391</v>
      </c>
      <c r="U141" s="32">
        <f t="shared" si="197"/>
        <v>1.3047706990569601</v>
      </c>
      <c r="V141" s="32">
        <f t="shared" si="197"/>
        <v>1.1394648362258895</v>
      </c>
      <c r="W141" s="32">
        <f t="shared" ref="W141:Y141" si="198">IF(W4=0,0,W4/W31)</f>
        <v>1.1924604008491189</v>
      </c>
      <c r="X141" s="32">
        <f t="shared" si="198"/>
        <v>1.2527884302126906</v>
      </c>
      <c r="Y141" s="32">
        <f t="shared" si="198"/>
        <v>1.2949568447488229</v>
      </c>
      <c r="DA141" s="173" t="s">
        <v>552</v>
      </c>
    </row>
    <row r="142" spans="1:105" ht="11.45" customHeight="1" x14ac:dyDescent="0.25">
      <c r="A142" s="136" t="s">
        <v>173</v>
      </c>
      <c r="B142" s="141">
        <v>1.144904248850096</v>
      </c>
      <c r="C142" s="141">
        <v>1.1448822893256654</v>
      </c>
      <c r="D142" s="141">
        <v>1.1246011869273278</v>
      </c>
      <c r="E142" s="141">
        <v>1.1273080555463151</v>
      </c>
      <c r="F142" s="141">
        <v>1.1252241529819489</v>
      </c>
      <c r="G142" s="141">
        <v>1.1242052325783225</v>
      </c>
      <c r="H142" s="141">
        <v>1.1245188238574779</v>
      </c>
      <c r="I142" s="141">
        <v>1.1263237530885253</v>
      </c>
      <c r="J142" s="141">
        <v>1.1269165101294136</v>
      </c>
      <c r="K142" s="141">
        <v>1.1274573069646687</v>
      </c>
      <c r="L142" s="141">
        <v>1.1255203449527575</v>
      </c>
      <c r="M142" s="141">
        <v>1.1245343866493371</v>
      </c>
      <c r="N142" s="141">
        <v>1.1175939881362988</v>
      </c>
      <c r="O142" s="141">
        <v>1.1170190555394399</v>
      </c>
      <c r="P142" s="141">
        <v>1.1194444139991151</v>
      </c>
      <c r="Q142" s="141">
        <v>1.1213791776487958</v>
      </c>
      <c r="R142" s="141">
        <v>1.1213725681861244</v>
      </c>
      <c r="S142" s="141">
        <v>1.1206715692436824</v>
      </c>
      <c r="T142" s="141">
        <v>1.1201004811155506</v>
      </c>
      <c r="U142" s="141">
        <v>1.1207118096208275</v>
      </c>
      <c r="V142" s="141">
        <v>1.119452318333271</v>
      </c>
      <c r="W142" s="141">
        <v>1.1198724587851823</v>
      </c>
      <c r="X142" s="141">
        <v>1.1198373383829496</v>
      </c>
      <c r="Y142" s="141">
        <v>1.1211780351073561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1.2862833192416399</v>
      </c>
      <c r="C143" s="130">
        <f t="shared" si="199"/>
        <v>1.2588924926389391</v>
      </c>
      <c r="D143" s="130">
        <f t="shared" si="199"/>
        <v>1.262571434835853</v>
      </c>
      <c r="E143" s="130">
        <f t="shared" si="199"/>
        <v>1.2244882366746126</v>
      </c>
      <c r="F143" s="130">
        <f t="shared" si="199"/>
        <v>1.2332670478646568</v>
      </c>
      <c r="G143" s="130">
        <f t="shared" si="199"/>
        <v>1.223138248667103</v>
      </c>
      <c r="H143" s="130">
        <f t="shared" si="199"/>
        <v>1.2188727551378609</v>
      </c>
      <c r="I143" s="130">
        <f t="shared" si="199"/>
        <v>1.1811765555190119</v>
      </c>
      <c r="J143" s="130">
        <f t="shared" si="199"/>
        <v>1.1917662153304593</v>
      </c>
      <c r="K143" s="130">
        <f t="shared" si="199"/>
        <v>1.2001580527443603</v>
      </c>
      <c r="L143" s="130">
        <f t="shared" ref="L143" si="200">IF(L6=0,0,L6/L33)</f>
        <v>1.1540434249204348</v>
      </c>
      <c r="M143" s="130">
        <f t="shared" ref="M143:V143" si="201">IF(M6=0,0,M6/M33)</f>
        <v>1.1484384798941958</v>
      </c>
      <c r="N143" s="130">
        <f t="shared" si="201"/>
        <v>1.1721537239003015</v>
      </c>
      <c r="O143" s="130">
        <f t="shared" si="201"/>
        <v>1.1751951945995187</v>
      </c>
      <c r="P143" s="130">
        <f t="shared" si="201"/>
        <v>1.1956871563977778</v>
      </c>
      <c r="Q143" s="130">
        <f t="shared" si="201"/>
        <v>1.2002516159672854</v>
      </c>
      <c r="R143" s="130">
        <f t="shared" si="201"/>
        <v>1.1016140567635104</v>
      </c>
      <c r="S143" s="130">
        <f t="shared" si="201"/>
        <v>1.1010950081858981</v>
      </c>
      <c r="T143" s="130">
        <f t="shared" si="201"/>
        <v>1.0989033462326394</v>
      </c>
      <c r="U143" s="130">
        <f t="shared" si="201"/>
        <v>1.0952963417797659</v>
      </c>
      <c r="V143" s="130">
        <f t="shared" si="201"/>
        <v>1.0184305717979292</v>
      </c>
      <c r="W143" s="130">
        <f t="shared" ref="W143:Y143" si="202">IF(W6=0,0,W6/W33)</f>
        <v>1.0670357630298937</v>
      </c>
      <c r="X143" s="130">
        <f t="shared" si="202"/>
        <v>1.0859427868326244</v>
      </c>
      <c r="Y143" s="130">
        <f t="shared" si="202"/>
        <v>1.1118221780708994</v>
      </c>
      <c r="DA143" s="176" t="s">
        <v>554</v>
      </c>
    </row>
    <row r="144" spans="1:105" ht="11.45" customHeight="1" x14ac:dyDescent="0.25">
      <c r="A144" s="111" t="s">
        <v>110</v>
      </c>
      <c r="B144" s="96">
        <v>1.2749027609473522</v>
      </c>
      <c r="C144" s="96">
        <v>1.2474376386856716</v>
      </c>
      <c r="D144" s="96">
        <v>1.2514677475261231</v>
      </c>
      <c r="E144" s="96">
        <v>1.2142785294966472</v>
      </c>
      <c r="F144" s="96">
        <v>1.224054840259323</v>
      </c>
      <c r="G144" s="96">
        <v>1.2147382418091717</v>
      </c>
      <c r="H144" s="96">
        <v>1.211124111625284</v>
      </c>
      <c r="I144" s="96">
        <v>1.173993398167877</v>
      </c>
      <c r="J144" s="96">
        <v>1.1845208640692437</v>
      </c>
      <c r="K144" s="96">
        <v>1.1927552969372595</v>
      </c>
      <c r="L144" s="96">
        <v>1.1469142089037676</v>
      </c>
      <c r="M144" s="96">
        <v>1.1414234551925411</v>
      </c>
      <c r="N144" s="96">
        <v>1.1653144330892933</v>
      </c>
      <c r="O144" s="96">
        <v>1.1684898824311289</v>
      </c>
      <c r="P144" s="96">
        <v>1.1885727620218576</v>
      </c>
      <c r="Q144" s="96">
        <v>1.1925217259681453</v>
      </c>
      <c r="R144" s="96">
        <v>1.0942182026557576</v>
      </c>
      <c r="S144" s="96">
        <v>1.0924681264959042</v>
      </c>
      <c r="T144" s="96">
        <v>1.0889490517115883</v>
      </c>
      <c r="U144" s="96">
        <v>1.0841503263372196</v>
      </c>
      <c r="V144" s="96">
        <v>1.0071563360693336</v>
      </c>
      <c r="W144" s="96">
        <v>1.0549834641651663</v>
      </c>
      <c r="X144" s="96">
        <v>1.0738823863770977</v>
      </c>
      <c r="Y144" s="96">
        <v>1.0997532747190983</v>
      </c>
      <c r="DA144" s="171" t="s">
        <v>555</v>
      </c>
    </row>
    <row r="145" spans="1:105" ht="11.45" customHeight="1" x14ac:dyDescent="0.25">
      <c r="A145" s="111" t="s">
        <v>111</v>
      </c>
      <c r="B145" s="96">
        <v>1.3415332516759291</v>
      </c>
      <c r="C145" s="96">
        <v>1.3126327143925915</v>
      </c>
      <c r="D145" s="96">
        <v>1.3168734495944827</v>
      </c>
      <c r="E145" s="96">
        <v>1.2777406042366968</v>
      </c>
      <c r="F145" s="96">
        <v>1.2880278562284495</v>
      </c>
      <c r="G145" s="96">
        <v>1.2782243425831381</v>
      </c>
      <c r="H145" s="96">
        <v>1.2744213264111701</v>
      </c>
      <c r="I145" s="96">
        <v>1.2353500432612721</v>
      </c>
      <c r="J145" s="96">
        <v>1.2464277081586903</v>
      </c>
      <c r="K145" s="96">
        <v>1.2550924987917618</v>
      </c>
      <c r="L145" s="96">
        <v>1.2068556090667488</v>
      </c>
      <c r="M145" s="96">
        <v>1.2010778910273761</v>
      </c>
      <c r="N145" s="96">
        <v>1.2262174877443293</v>
      </c>
      <c r="O145" s="96">
        <v>1.2295588962121549</v>
      </c>
      <c r="P145" s="96">
        <v>1.2506913712413474</v>
      </c>
      <c r="Q145" s="96">
        <v>1.2548467206577032</v>
      </c>
      <c r="R145" s="96">
        <v>1.1514055412045547</v>
      </c>
      <c r="S145" s="96">
        <v>1.1495640004742933</v>
      </c>
      <c r="T145" s="96">
        <v>1.1458610076007143</v>
      </c>
      <c r="U145" s="96">
        <v>1.1408114855096396</v>
      </c>
      <c r="V145" s="96">
        <v>1.0597935433672692</v>
      </c>
      <c r="W145" s="96">
        <v>1.1101202699523189</v>
      </c>
      <c r="X145" s="96">
        <v>1.1300069102081629</v>
      </c>
      <c r="Y145" s="96">
        <v>1.1572298938146941</v>
      </c>
      <c r="DA145" s="171" t="s">
        <v>556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0</v>
      </c>
      <c r="E146" s="96">
        <v>0</v>
      </c>
      <c r="F146" s="96">
        <v>0</v>
      </c>
      <c r="G146" s="96">
        <v>0</v>
      </c>
      <c r="H146" s="96">
        <v>0</v>
      </c>
      <c r="I146" s="96">
        <v>0</v>
      </c>
      <c r="J146" s="96">
        <v>0</v>
      </c>
      <c r="K146" s="96">
        <v>0</v>
      </c>
      <c r="L146" s="96">
        <v>0</v>
      </c>
      <c r="M146" s="96">
        <v>0</v>
      </c>
      <c r="N146" s="96">
        <v>0</v>
      </c>
      <c r="O146" s="96">
        <v>0</v>
      </c>
      <c r="P146" s="96">
        <v>0</v>
      </c>
      <c r="Q146" s="96">
        <v>0</v>
      </c>
      <c r="R146" s="96">
        <v>0</v>
      </c>
      <c r="S146" s="96">
        <v>0</v>
      </c>
      <c r="T146" s="96">
        <v>1.0952053154090402</v>
      </c>
      <c r="U146" s="96">
        <v>1.0917331781184587</v>
      </c>
      <c r="V146" s="96">
        <v>1.0177414462505998</v>
      </c>
      <c r="W146" s="96">
        <v>1.0645292723254747</v>
      </c>
      <c r="X146" s="96">
        <v>1.0827293558732158</v>
      </c>
      <c r="Y146" s="96">
        <v>1.1076411075912871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X147" s="96">
        <v>0</v>
      </c>
      <c r="Y147" s="96">
        <v>0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1.127736513495982</v>
      </c>
      <c r="Q148" s="96">
        <v>1.1307160046497964</v>
      </c>
      <c r="R148" s="96">
        <v>1.0663294698133854</v>
      </c>
      <c r="S148" s="96">
        <v>1.0659906562864288</v>
      </c>
      <c r="T148" s="96">
        <v>1.064560029658578</v>
      </c>
      <c r="U148" s="96">
        <v>1.0622055257582914</v>
      </c>
      <c r="V148" s="96">
        <v>1.0120307179405241</v>
      </c>
      <c r="W148" s="96">
        <v>1.0437581842702821</v>
      </c>
      <c r="X148" s="96">
        <v>1.0560999104499864</v>
      </c>
      <c r="Y148" s="96">
        <v>1.0729929108340082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1.1393030674398785</v>
      </c>
      <c r="P149" s="96">
        <v>1.1555968541666415</v>
      </c>
      <c r="Q149" s="96">
        <v>1.1592261958314696</v>
      </c>
      <c r="R149" s="96">
        <v>1.08079645012253</v>
      </c>
      <c r="S149" s="96">
        <v>1.0803837386941315</v>
      </c>
      <c r="T149" s="96">
        <v>1.0786410811196581</v>
      </c>
      <c r="U149" s="96">
        <v>1.075773041355764</v>
      </c>
      <c r="V149" s="96">
        <v>1.0146547123737693</v>
      </c>
      <c r="W149" s="96">
        <v>1.0533021892500165</v>
      </c>
      <c r="X149" s="96">
        <v>1.0683357432119265</v>
      </c>
      <c r="Y149" s="96">
        <v>1.0889132401644506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8.2572551886805581</v>
      </c>
      <c r="C150" s="130">
        <f t="shared" si="203"/>
        <v>8.2635194630612663</v>
      </c>
      <c r="D150" s="130">
        <f t="shared" si="203"/>
        <v>8.2724766711790831</v>
      </c>
      <c r="E150" s="130">
        <f t="shared" si="203"/>
        <v>8.2852895277503933</v>
      </c>
      <c r="F150" s="130">
        <f t="shared" si="203"/>
        <v>8.3036280416001276</v>
      </c>
      <c r="G150" s="130">
        <f t="shared" si="203"/>
        <v>8.3298963522584959</v>
      </c>
      <c r="H150" s="130">
        <f t="shared" si="203"/>
        <v>8.3675667269848315</v>
      </c>
      <c r="I150" s="130">
        <f t="shared" si="203"/>
        <v>8.4216772562654594</v>
      </c>
      <c r="J150" s="130">
        <f t="shared" si="203"/>
        <v>8.4995855705682981</v>
      </c>
      <c r="K150" s="130">
        <f t="shared" si="203"/>
        <v>8.6121350481317727</v>
      </c>
      <c r="L150" s="130">
        <f t="shared" ref="L150" si="204">IF(L13=0,0,L13/L40)</f>
        <v>8.7755102040816322</v>
      </c>
      <c r="M150" s="130">
        <f t="shared" ref="M150:V150" si="205">IF(M13=0,0,M13/M40)</f>
        <v>8.8631610238329817</v>
      </c>
      <c r="N150" s="130">
        <f t="shared" si="205"/>
        <v>8.9427950370342053</v>
      </c>
      <c r="O150" s="130">
        <f t="shared" si="205"/>
        <v>8.9989641863329535</v>
      </c>
      <c r="P150" s="130">
        <f t="shared" si="205"/>
        <v>9.0384923722875463</v>
      </c>
      <c r="Q150" s="130">
        <f t="shared" si="205"/>
        <v>9.0662653661541466</v>
      </c>
      <c r="R150" s="130">
        <f t="shared" si="205"/>
        <v>9.0628746906473516</v>
      </c>
      <c r="S150" s="130">
        <f t="shared" si="205"/>
        <v>9.059574683098008</v>
      </c>
      <c r="T150" s="130">
        <f t="shared" si="205"/>
        <v>9.0567392930379302</v>
      </c>
      <c r="U150" s="130">
        <f t="shared" si="205"/>
        <v>9.0560459567525111</v>
      </c>
      <c r="V150" s="130">
        <f t="shared" si="205"/>
        <v>6.3288960671285279</v>
      </c>
      <c r="W150" s="130">
        <f t="shared" ref="W150:Y150" si="206">IF(W13=0,0,W13/W40)</f>
        <v>6.4532143278433489</v>
      </c>
      <c r="X150" s="130">
        <f t="shared" si="206"/>
        <v>7.8158998205312198</v>
      </c>
      <c r="Y150" s="130">
        <f t="shared" si="206"/>
        <v>8.5112380909919274</v>
      </c>
      <c r="DA150" s="176" t="s">
        <v>561</v>
      </c>
    </row>
    <row r="151" spans="1:105" ht="11.45" customHeight="1" x14ac:dyDescent="0.25">
      <c r="A151" s="111" t="s">
        <v>110</v>
      </c>
      <c r="B151" s="97">
        <v>6.3175867380261757</v>
      </c>
      <c r="C151" s="97">
        <v>6.317827671656203</v>
      </c>
      <c r="D151" s="97">
        <v>6.318172179660734</v>
      </c>
      <c r="E151" s="97">
        <v>6.3186649818365535</v>
      </c>
      <c r="F151" s="97">
        <v>6.3193703092923128</v>
      </c>
      <c r="G151" s="97">
        <v>6.3203806289330196</v>
      </c>
      <c r="H151" s="97">
        <v>6.3218294894994163</v>
      </c>
      <c r="I151" s="97">
        <v>6.3239106637025175</v>
      </c>
      <c r="J151" s="97">
        <v>6.3269071373295498</v>
      </c>
      <c r="K151" s="97">
        <v>6.331235963389684</v>
      </c>
      <c r="L151" s="97">
        <v>6.3375196232339093</v>
      </c>
      <c r="M151" s="97">
        <v>6.340890808608961</v>
      </c>
      <c r="N151" s="97">
        <v>6.3439536552705462</v>
      </c>
      <c r="O151" s="97">
        <v>6.3461140071666522</v>
      </c>
      <c r="P151" s="97">
        <v>6.3476343220110598</v>
      </c>
      <c r="Q151" s="97">
        <v>6.3487025140828512</v>
      </c>
      <c r="R151" s="97">
        <v>6.3485721034864362</v>
      </c>
      <c r="S151" s="97">
        <v>6.348445180119155</v>
      </c>
      <c r="T151" s="97">
        <v>6.3483361266553047</v>
      </c>
      <c r="U151" s="97">
        <v>6.3483094598750958</v>
      </c>
      <c r="V151" s="97">
        <v>5.3069062175792014</v>
      </c>
      <c r="W151" s="97">
        <v>6.2482005510708989</v>
      </c>
      <c r="X151" s="97">
        <v>6.3006115315588929</v>
      </c>
      <c r="Y151" s="97">
        <v>6.3273553111919973</v>
      </c>
      <c r="DA151" s="175" t="s">
        <v>562</v>
      </c>
    </row>
    <row r="152" spans="1:105" ht="11.45" customHeight="1" x14ac:dyDescent="0.25">
      <c r="A152" s="111" t="s">
        <v>111</v>
      </c>
      <c r="B152" s="97">
        <v>8.3247286697269729</v>
      </c>
      <c r="C152" s="97">
        <v>8.328013205133491</v>
      </c>
      <c r="D152" s="97">
        <v>8.3330683981604405</v>
      </c>
      <c r="E152" s="97">
        <v>8.3427594925333963</v>
      </c>
      <c r="F152" s="97">
        <v>8.3628035750486571</v>
      </c>
      <c r="G152" s="97">
        <v>8.3886400235776044</v>
      </c>
      <c r="H152" s="97">
        <v>8.4279807349262601</v>
      </c>
      <c r="I152" s="97">
        <v>8.4825831962455265</v>
      </c>
      <c r="J152" s="97">
        <v>8.5621658889031433</v>
      </c>
      <c r="K152" s="97">
        <v>8.6795598076105378</v>
      </c>
      <c r="L152" s="97">
        <v>8.8496341034626447</v>
      </c>
      <c r="M152" s="97">
        <v>8.9395890461497576</v>
      </c>
      <c r="N152" s="97">
        <v>9.0203547720281527</v>
      </c>
      <c r="O152" s="97">
        <v>9.0786885958393757</v>
      </c>
      <c r="P152" s="97">
        <v>9.0661519435792286</v>
      </c>
      <c r="Q152" s="97">
        <v>9.0895801370744103</v>
      </c>
      <c r="R152" s="97">
        <v>9.0850446092045356</v>
      </c>
      <c r="S152" s="97">
        <v>9.0816454661878563</v>
      </c>
      <c r="T152" s="97">
        <v>9.0790884008006412</v>
      </c>
      <c r="U152" s="97">
        <v>9.0781597354216519</v>
      </c>
      <c r="V152" s="97">
        <v>6.3391883508270475</v>
      </c>
      <c r="W152" s="97">
        <v>6.4551092597694444</v>
      </c>
      <c r="X152" s="97">
        <v>7.8273871519991083</v>
      </c>
      <c r="Y152" s="97">
        <v>8.5243304499481347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X154" s="97">
        <v>0</v>
      </c>
      <c r="Y154" s="97">
        <v>0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8.5621658889031433</v>
      </c>
      <c r="K155" s="97">
        <v>8.6795598076105378</v>
      </c>
      <c r="L155" s="97">
        <v>8.8496341034626447</v>
      </c>
      <c r="M155" s="97">
        <v>8.9395890461497594</v>
      </c>
      <c r="N155" s="97">
        <v>9.0203547720281527</v>
      </c>
      <c r="O155" s="97">
        <v>9.0786885958393757</v>
      </c>
      <c r="P155" s="97">
        <v>9.0661519435792286</v>
      </c>
      <c r="Q155" s="97">
        <v>9.0895801370744085</v>
      </c>
      <c r="R155" s="97">
        <v>9.0850446092045356</v>
      </c>
      <c r="S155" s="97">
        <v>9.0816454661878563</v>
      </c>
      <c r="T155" s="97">
        <v>9.0790884008006394</v>
      </c>
      <c r="U155" s="97">
        <v>9.0781597354216519</v>
      </c>
      <c r="V155" s="97">
        <v>6.3391883508270492</v>
      </c>
      <c r="W155" s="97">
        <v>6.4551092597694453</v>
      </c>
      <c r="X155" s="97">
        <v>7.8273871519991074</v>
      </c>
      <c r="Y155" s="97">
        <v>8.5243304499481347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0.91190128256620728</v>
      </c>
      <c r="C156" s="32">
        <f t="shared" si="207"/>
        <v>0.90074568917106823</v>
      </c>
      <c r="D156" s="32">
        <f t="shared" si="207"/>
        <v>0.87024826136216382</v>
      </c>
      <c r="E156" s="32">
        <f t="shared" si="207"/>
        <v>0.90362397354544866</v>
      </c>
      <c r="F156" s="32">
        <f t="shared" si="207"/>
        <v>0.80988880734643576</v>
      </c>
      <c r="G156" s="32">
        <f t="shared" si="207"/>
        <v>0.91441701149696963</v>
      </c>
      <c r="H156" s="32">
        <f t="shared" si="207"/>
        <v>0.84358281715135719</v>
      </c>
      <c r="I156" s="32">
        <f t="shared" si="207"/>
        <v>0.87215617303434956</v>
      </c>
      <c r="J156" s="32">
        <f t="shared" si="207"/>
        <v>0.88583741584894271</v>
      </c>
      <c r="K156" s="32">
        <f t="shared" si="207"/>
        <v>0.73697703207117404</v>
      </c>
      <c r="L156" s="32">
        <f t="shared" ref="L156" si="208">IF(L19=0,0,L19/L46)</f>
        <v>0.80806200338468315</v>
      </c>
      <c r="M156" s="32">
        <f t="shared" ref="M156:V156" si="209">IF(M19=0,0,M19/M46)</f>
        <v>0.71533883168498236</v>
      </c>
      <c r="N156" s="32">
        <f t="shared" si="209"/>
        <v>0.68437656152254289</v>
      </c>
      <c r="O156" s="32">
        <f t="shared" si="209"/>
        <v>0.54350425296338134</v>
      </c>
      <c r="P156" s="32">
        <f t="shared" si="209"/>
        <v>0.50168201170577797</v>
      </c>
      <c r="Q156" s="32">
        <f t="shared" si="209"/>
        <v>0.52344064351964614</v>
      </c>
      <c r="R156" s="32">
        <f t="shared" si="209"/>
        <v>0.58374941850052831</v>
      </c>
      <c r="S156" s="32">
        <f t="shared" si="209"/>
        <v>0.62991156477362342</v>
      </c>
      <c r="T156" s="32">
        <f t="shared" si="209"/>
        <v>0.63812073077964682</v>
      </c>
      <c r="U156" s="32">
        <f t="shared" si="209"/>
        <v>0.62384565876420761</v>
      </c>
      <c r="V156" s="32">
        <f t="shared" si="209"/>
        <v>0.5489681163706297</v>
      </c>
      <c r="W156" s="32">
        <f t="shared" ref="W156:Y156" si="210">IF(W19=0,0,W19/W46)</f>
        <v>0.57603617766150417</v>
      </c>
      <c r="X156" s="32">
        <f t="shared" si="210"/>
        <v>0.70569219031904185</v>
      </c>
      <c r="Y156" s="32">
        <f t="shared" si="210"/>
        <v>0.76002687423288717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0.11443456880885794</v>
      </c>
      <c r="C157" s="141">
        <f t="shared" si="211"/>
        <v>0.11429484223323119</v>
      </c>
      <c r="D157" s="141">
        <f t="shared" si="211"/>
        <v>0.11367699618279285</v>
      </c>
      <c r="E157" s="141">
        <f t="shared" si="211"/>
        <v>0.11361198489104285</v>
      </c>
      <c r="F157" s="141">
        <f t="shared" si="211"/>
        <v>0.11525061910721821</v>
      </c>
      <c r="G157" s="141">
        <f t="shared" si="211"/>
        <v>0.11356331137857668</v>
      </c>
      <c r="H157" s="141">
        <f t="shared" si="211"/>
        <v>0.11473646658968062</v>
      </c>
      <c r="I157" s="141">
        <f t="shared" si="211"/>
        <v>0.11476735437510341</v>
      </c>
      <c r="J157" s="141">
        <f t="shared" si="211"/>
        <v>0.11348093909483828</v>
      </c>
      <c r="K157" s="141">
        <f t="shared" si="211"/>
        <v>0.11543058461365549</v>
      </c>
      <c r="L157" s="141">
        <f t="shared" ref="L157" si="212">IF(L20=0,0,L20/L47)</f>
        <v>0.11534695184663309</v>
      </c>
      <c r="M157" s="141">
        <f t="shared" ref="M157:V157" si="213">IF(M20=0,0,M20/M47)</f>
        <v>0.11505429233278128</v>
      </c>
      <c r="N157" s="141">
        <f t="shared" si="213"/>
        <v>0.11479974959061617</v>
      </c>
      <c r="O157" s="141">
        <f t="shared" si="213"/>
        <v>0.11605740128080456</v>
      </c>
      <c r="P157" s="141">
        <f t="shared" si="213"/>
        <v>0.11636898213202983</v>
      </c>
      <c r="Q157" s="141">
        <f t="shared" si="213"/>
        <v>0.11650460749364586</v>
      </c>
      <c r="R157" s="141">
        <f t="shared" si="213"/>
        <v>0.115451674908291</v>
      </c>
      <c r="S157" s="141">
        <f t="shared" si="213"/>
        <v>0.11442904251764249</v>
      </c>
      <c r="T157" s="141">
        <f t="shared" si="213"/>
        <v>0.1138044236236872</v>
      </c>
      <c r="U157" s="141">
        <f t="shared" si="213"/>
        <v>0.11481115430635058</v>
      </c>
      <c r="V157" s="141">
        <f t="shared" si="213"/>
        <v>0.11584172503741075</v>
      </c>
      <c r="W157" s="141">
        <f t="shared" ref="W157:Y157" si="214">IF(W20=0,0,W20/W47)</f>
        <v>0.11643091534726348</v>
      </c>
      <c r="X157" s="141">
        <f t="shared" si="214"/>
        <v>0.11691248629945479</v>
      </c>
      <c r="Y157" s="141">
        <f t="shared" si="214"/>
        <v>0.11783981044651173</v>
      </c>
      <c r="DA157" s="174" t="s">
        <v>568</v>
      </c>
    </row>
    <row r="158" spans="1:105" ht="11.45" customHeight="1" x14ac:dyDescent="0.25">
      <c r="A158" s="111" t="s">
        <v>110</v>
      </c>
      <c r="B158" s="96">
        <v>9.2126372104663692E-2</v>
      </c>
      <c r="C158" s="96">
        <v>9.2033286178469245E-2</v>
      </c>
      <c r="D158" s="96">
        <v>9.1448341332950878E-2</v>
      </c>
      <c r="E158" s="96">
        <v>9.1483395796329053E-2</v>
      </c>
      <c r="F158" s="96">
        <v>9.267364362769355E-2</v>
      </c>
      <c r="G158" s="96">
        <v>9.1018327539164709E-2</v>
      </c>
      <c r="H158" s="96">
        <v>9.1958538874465853E-2</v>
      </c>
      <c r="I158" s="96">
        <v>9.1918849165044114E-2</v>
      </c>
      <c r="J158" s="96">
        <v>9.0922397250459502E-2</v>
      </c>
      <c r="K158" s="96">
        <v>9.2481700078596032E-2</v>
      </c>
      <c r="L158" s="96">
        <v>9.2379024569530843E-2</v>
      </c>
      <c r="M158" s="96">
        <v>9.2130536978594704E-2</v>
      </c>
      <c r="N158" s="96">
        <v>9.1921107440150487E-2</v>
      </c>
      <c r="O158" s="96">
        <v>9.2930399363791688E-2</v>
      </c>
      <c r="P158" s="96">
        <v>9.3170193384884512E-2</v>
      </c>
      <c r="Q158" s="96">
        <v>9.3276595744680849E-2</v>
      </c>
      <c r="R158" s="96">
        <v>9.259413059042515E-2</v>
      </c>
      <c r="S158" s="96">
        <v>9.192762128103539E-2</v>
      </c>
      <c r="T158" s="96">
        <v>9.1585725809711499E-2</v>
      </c>
      <c r="U158" s="96">
        <v>9.2224545960680207E-2</v>
      </c>
      <c r="V158" s="96">
        <v>9.2885681681938781E-2</v>
      </c>
      <c r="W158" s="96">
        <v>9.3553472137405058E-2</v>
      </c>
      <c r="X158" s="96">
        <v>9.4209325287867268E-2</v>
      </c>
      <c r="Y158" s="96">
        <v>9.4870461165343339E-2</v>
      </c>
      <c r="DA158" s="171" t="s">
        <v>569</v>
      </c>
    </row>
    <row r="159" spans="1:105" ht="11.45" customHeight="1" x14ac:dyDescent="0.25">
      <c r="A159" s="111" t="s">
        <v>111</v>
      </c>
      <c r="B159" s="96">
        <v>0.11600177265844745</v>
      </c>
      <c r="C159" s="96">
        <v>0.11588456265439086</v>
      </c>
      <c r="D159" s="96">
        <v>0.11514802394742361</v>
      </c>
      <c r="E159" s="96">
        <v>0.11519216309888004</v>
      </c>
      <c r="F159" s="96">
        <v>0.11669087465331199</v>
      </c>
      <c r="G159" s="96">
        <v>0.11460656810576617</v>
      </c>
      <c r="H159" s="96">
        <v>0.11579044389591006</v>
      </c>
      <c r="I159" s="96">
        <v>0.11574046823156946</v>
      </c>
      <c r="J159" s="96">
        <v>0.11448577659637298</v>
      </c>
      <c r="K159" s="96">
        <v>0.11644918715995918</v>
      </c>
      <c r="L159" s="96">
        <v>0.11631990234402571</v>
      </c>
      <c r="M159" s="96">
        <v>0.11600701689794003</v>
      </c>
      <c r="N159" s="96">
        <v>0.11574331175953549</v>
      </c>
      <c r="O159" s="96">
        <v>0.11701417101077378</v>
      </c>
      <c r="P159" s="96">
        <v>0.11731610986806497</v>
      </c>
      <c r="Q159" s="96">
        <v>0.11745008738253164</v>
      </c>
      <c r="R159" s="96">
        <v>0.11635896247807173</v>
      </c>
      <c r="S159" s="96">
        <v>0.11529172300009584</v>
      </c>
      <c r="T159" s="96">
        <v>0.11463457466635121</v>
      </c>
      <c r="U159" s="96">
        <v>0.11566642675870324</v>
      </c>
      <c r="V159" s="96">
        <v>0.11673001122409732</v>
      </c>
      <c r="W159" s="96">
        <v>0.11733548973523776</v>
      </c>
      <c r="X159" s="96">
        <v>0.11792315728868925</v>
      </c>
      <c r="Y159" s="96">
        <v>0.11898964746806046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0.12125355467305772</v>
      </c>
      <c r="J162" s="96">
        <v>0.12059504339228827</v>
      </c>
      <c r="K162" s="96">
        <v>0.11957433966143731</v>
      </c>
      <c r="L162" s="96">
        <v>0.11950762263733823</v>
      </c>
      <c r="M162" s="96">
        <v>0.11934682088911898</v>
      </c>
      <c r="N162" s="96">
        <v>0.11921158996055861</v>
      </c>
      <c r="O162" s="96">
        <v>0.11856239856306332</v>
      </c>
      <c r="P162" s="96">
        <v>0.11840999859504643</v>
      </c>
      <c r="Q162" s="96">
        <v>0.11834249741015221</v>
      </c>
      <c r="R162" s="96">
        <v>0.11841493997336242</v>
      </c>
      <c r="S162" s="96">
        <v>0.11848624933048675</v>
      </c>
      <c r="T162" s="96">
        <v>0.11852304615352224</v>
      </c>
      <c r="U162" s="96">
        <v>0.11859171945386672</v>
      </c>
      <c r="V162" s="96">
        <v>0.11912235488665857</v>
      </c>
      <c r="W162" s="96">
        <v>0.11873319323815644</v>
      </c>
      <c r="X162" s="96">
        <v>0.11865981586820543</v>
      </c>
      <c r="Y162" s="96">
        <v>0.1187289872361804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8.6444701186850121</v>
      </c>
      <c r="C163" s="130">
        <f t="shared" si="215"/>
        <v>8.6219011485889503</v>
      </c>
      <c r="D163" s="130">
        <f t="shared" si="215"/>
        <v>8.6308724832214772</v>
      </c>
      <c r="E163" s="130">
        <f t="shared" si="215"/>
        <v>8.5093167701863361</v>
      </c>
      <c r="F163" s="130">
        <f t="shared" si="215"/>
        <v>8.3484848484848477</v>
      </c>
      <c r="G163" s="130">
        <f t="shared" si="215"/>
        <v>8.1301775147928996</v>
      </c>
      <c r="H163" s="130">
        <f t="shared" si="215"/>
        <v>8.2971014492753632</v>
      </c>
      <c r="I163" s="130">
        <f t="shared" si="215"/>
        <v>8.2222222222222214</v>
      </c>
      <c r="J163" s="130">
        <f t="shared" si="215"/>
        <v>8.1509433962264151</v>
      </c>
      <c r="K163" s="130">
        <f t="shared" si="215"/>
        <v>7.9327731092436977</v>
      </c>
      <c r="L163" s="130">
        <f t="shared" ref="L163" si="216">IF(L26=0,0,L26/L53)</f>
        <v>8.0150375939849621</v>
      </c>
      <c r="M163" s="130">
        <f t="shared" ref="M163:V163" si="217">IF(M26=0,0,M26/M53)</f>
        <v>8.0260869565217394</v>
      </c>
      <c r="N163" s="130">
        <f t="shared" si="217"/>
        <v>8.3018867924528301</v>
      </c>
      <c r="O163" s="130">
        <f t="shared" si="217"/>
        <v>8.1315789473684212</v>
      </c>
      <c r="P163" s="130">
        <f t="shared" si="217"/>
        <v>7.9696969696969697</v>
      </c>
      <c r="Q163" s="130">
        <f t="shared" si="217"/>
        <v>8.430769230769231</v>
      </c>
      <c r="R163" s="130">
        <f t="shared" si="217"/>
        <v>7.7727272727272725</v>
      </c>
      <c r="S163" s="130">
        <f t="shared" si="217"/>
        <v>7.7864077669902914</v>
      </c>
      <c r="T163" s="130">
        <f t="shared" si="217"/>
        <v>7.7927927927927927</v>
      </c>
      <c r="U163" s="130">
        <f t="shared" si="217"/>
        <v>7.2894736842105265</v>
      </c>
      <c r="V163" s="130">
        <f t="shared" si="217"/>
        <v>8.0963855421686741</v>
      </c>
      <c r="W163" s="130">
        <f t="shared" ref="W163:Y163" si="218">IF(W26=0,0,W26/W53)</f>
        <v>8.4698795180722897</v>
      </c>
      <c r="X163" s="130">
        <f t="shared" si="218"/>
        <v>7.7563025210084033</v>
      </c>
      <c r="Y163" s="130">
        <f t="shared" si="218"/>
        <v>8.4273504273504276</v>
      </c>
      <c r="DA163" s="176" t="s">
        <v>574</v>
      </c>
    </row>
    <row r="164" spans="1:105" ht="11.45" customHeight="1" x14ac:dyDescent="0.25">
      <c r="A164" s="128" t="s">
        <v>27</v>
      </c>
      <c r="B164" s="97">
        <v>8.6444701186850121</v>
      </c>
      <c r="C164" s="97">
        <v>8.6219011485889503</v>
      </c>
      <c r="D164" s="97">
        <v>8.6308724832214772</v>
      </c>
      <c r="E164" s="97">
        <v>8.5093167701863361</v>
      </c>
      <c r="F164" s="97">
        <v>8.3484848484848477</v>
      </c>
      <c r="G164" s="97">
        <v>8.1301775147928996</v>
      </c>
      <c r="H164" s="97">
        <v>8.2971014492753632</v>
      </c>
      <c r="I164" s="97">
        <v>8.2222222222222214</v>
      </c>
      <c r="J164" s="97">
        <v>8.1509433962264151</v>
      </c>
      <c r="K164" s="97">
        <v>7.9327731092436977</v>
      </c>
      <c r="L164" s="97">
        <v>8.0150375939849621</v>
      </c>
      <c r="M164" s="97">
        <v>8.0260869565217394</v>
      </c>
      <c r="N164" s="97">
        <v>8.3018867924528301</v>
      </c>
      <c r="O164" s="97">
        <v>8.1315789473684212</v>
      </c>
      <c r="P164" s="97">
        <v>7.9696969696969697</v>
      </c>
      <c r="Q164" s="97">
        <v>8.430769230769231</v>
      </c>
      <c r="R164" s="97">
        <v>7.7727272727272725</v>
      </c>
      <c r="S164" s="97">
        <v>7.7864077669902914</v>
      </c>
      <c r="T164" s="97">
        <v>7.7927927927927927</v>
      </c>
      <c r="U164" s="97">
        <v>7.2894736842105265</v>
      </c>
      <c r="V164" s="97">
        <v>8.0963855421686741</v>
      </c>
      <c r="W164" s="97">
        <v>8.4698795180722897</v>
      </c>
      <c r="X164" s="97">
        <v>7.7563025210084033</v>
      </c>
      <c r="Y164" s="97">
        <v>8.4273504273504276</v>
      </c>
      <c r="DA164" s="175" t="s">
        <v>575</v>
      </c>
    </row>
    <row r="165" spans="1:105" ht="11.45" customHeight="1" x14ac:dyDescent="0.25">
      <c r="A165" s="138" t="s">
        <v>116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11405.330764464994</v>
      </c>
      <c r="C167" s="54">
        <f t="shared" si="219"/>
        <v>11430.096789133913</v>
      </c>
      <c r="D167" s="54">
        <f t="shared" si="219"/>
        <v>11577.157292168478</v>
      </c>
      <c r="E167" s="54">
        <f t="shared" si="219"/>
        <v>11524.635242283137</v>
      </c>
      <c r="F167" s="54">
        <f t="shared" si="219"/>
        <v>11183.483147311938</v>
      </c>
      <c r="G167" s="54">
        <f t="shared" si="219"/>
        <v>11390.733746281017</v>
      </c>
      <c r="H167" s="54">
        <f t="shared" si="219"/>
        <v>11135.041291569793</v>
      </c>
      <c r="I167" s="54">
        <f t="shared" si="219"/>
        <v>11104.698392822471</v>
      </c>
      <c r="J167" s="54">
        <f t="shared" si="219"/>
        <v>11179.4095068923</v>
      </c>
      <c r="K167" s="54">
        <f t="shared" si="219"/>
        <v>10873.475945255726</v>
      </c>
      <c r="L167" s="54">
        <f t="shared" si="219"/>
        <v>11087.227718819207</v>
      </c>
      <c r="M167" s="54">
        <f>IF(M30=0,0,M30*1000000/M57)</f>
        <v>11075.978688337511</v>
      </c>
      <c r="N167" s="54">
        <f t="shared" ref="N167:V167" si="220">IF(N30=0,0,N30*1000000/N57)</f>
        <v>10853.086805998681</v>
      </c>
      <c r="O167" s="54">
        <f t="shared" si="220"/>
        <v>10741.683839779444</v>
      </c>
      <c r="P167" s="54">
        <f t="shared" si="220"/>
        <v>10653.192939517003</v>
      </c>
      <c r="Q167" s="54">
        <f t="shared" si="220"/>
        <v>10673.954155027406</v>
      </c>
      <c r="R167" s="54">
        <f t="shared" si="220"/>
        <v>11563.234486259922</v>
      </c>
      <c r="S167" s="54">
        <f t="shared" si="220"/>
        <v>11481.56735405429</v>
      </c>
      <c r="T167" s="54">
        <f t="shared" si="220"/>
        <v>11478.644834217814</v>
      </c>
      <c r="U167" s="54">
        <f t="shared" si="220"/>
        <v>11385.96665959114</v>
      </c>
      <c r="V167" s="54">
        <f t="shared" si="220"/>
        <v>10440.167190377506</v>
      </c>
      <c r="W167" s="54">
        <f t="shared" ref="W167:Y191" si="221">IF(W30=0,0,W30*1000000/W57)</f>
        <v>10414.833174903792</v>
      </c>
      <c r="X167" s="54">
        <f t="shared" si="221"/>
        <v>10595.701030783726</v>
      </c>
      <c r="Y167" s="54">
        <f t="shared" si="221"/>
        <v>10558.327888772375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10523.275275058921</v>
      </c>
      <c r="C168" s="28">
        <f t="shared" si="219"/>
        <v>10597.251327012191</v>
      </c>
      <c r="D168" s="28">
        <f t="shared" si="219"/>
        <v>10627.929308568664</v>
      </c>
      <c r="E168" s="28">
        <f t="shared" si="219"/>
        <v>10567.157762041768</v>
      </c>
      <c r="F168" s="28">
        <f t="shared" si="219"/>
        <v>10533.935189279518</v>
      </c>
      <c r="G168" s="28">
        <f t="shared" si="219"/>
        <v>10533.602007850943</v>
      </c>
      <c r="H168" s="28">
        <f t="shared" si="219"/>
        <v>10514.564252867038</v>
      </c>
      <c r="I168" s="28">
        <f t="shared" si="219"/>
        <v>10467.215562091245</v>
      </c>
      <c r="J168" s="28">
        <f t="shared" si="219"/>
        <v>10425.718101165123</v>
      </c>
      <c r="K168" s="28">
        <f t="shared" si="219"/>
        <v>10414.318432556089</v>
      </c>
      <c r="L168" s="28">
        <f t="shared" si="219"/>
        <v>10628.75016288284</v>
      </c>
      <c r="M168" s="28">
        <f t="shared" ref="M168:M192" si="222">IF(M31=0,0,M31*1000000/M58)</f>
        <v>10607.561873557359</v>
      </c>
      <c r="N168" s="28">
        <f t="shared" si="219"/>
        <v>10299.735231265729</v>
      </c>
      <c r="O168" s="28">
        <f t="shared" si="219"/>
        <v>10256.923245682281</v>
      </c>
      <c r="P168" s="28">
        <f t="shared" si="219"/>
        <v>10213.201314626347</v>
      </c>
      <c r="Q168" s="28">
        <f t="shared" si="219"/>
        <v>10263.863451154963</v>
      </c>
      <c r="R168" s="28">
        <f t="shared" si="219"/>
        <v>11186.10914434903</v>
      </c>
      <c r="S168" s="28">
        <f t="shared" si="219"/>
        <v>10964.517624689506</v>
      </c>
      <c r="T168" s="28">
        <f t="shared" si="219"/>
        <v>10890.104215900959</v>
      </c>
      <c r="U168" s="28">
        <f t="shared" si="219"/>
        <v>10899.440735257547</v>
      </c>
      <c r="V168" s="28">
        <f t="shared" si="219"/>
        <v>9939.2406543165744</v>
      </c>
      <c r="W168" s="28">
        <f t="shared" si="221"/>
        <v>9979.9028872884555</v>
      </c>
      <c r="X168" s="28">
        <f t="shared" si="221"/>
        <v>10197.384697562822</v>
      </c>
      <c r="Y168" s="28">
        <f t="shared" si="221"/>
        <v>10269.278183134214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2976.6497284198445</v>
      </c>
      <c r="C169" s="137">
        <f t="shared" si="219"/>
        <v>3023.4292720488043</v>
      </c>
      <c r="D169" s="137">
        <f t="shared" si="219"/>
        <v>3086.9082834683827</v>
      </c>
      <c r="E169" s="137">
        <f t="shared" si="219"/>
        <v>3040.4589243542664</v>
      </c>
      <c r="F169" s="137">
        <f t="shared" si="219"/>
        <v>3044.8626232647225</v>
      </c>
      <c r="G169" s="137">
        <f t="shared" si="219"/>
        <v>3082.8923311083836</v>
      </c>
      <c r="H169" s="137">
        <f t="shared" si="219"/>
        <v>3083.7324707427583</v>
      </c>
      <c r="I169" s="137">
        <f t="shared" si="219"/>
        <v>3051.6893057556481</v>
      </c>
      <c r="J169" s="137">
        <f t="shared" si="219"/>
        <v>2979.9538292211446</v>
      </c>
      <c r="K169" s="137">
        <f t="shared" si="219"/>
        <v>2998.3602717263998</v>
      </c>
      <c r="L169" s="137">
        <f t="shared" si="219"/>
        <v>3118.3244530655338</v>
      </c>
      <c r="M169" s="137">
        <f t="shared" si="222"/>
        <v>3139.2106122654072</v>
      </c>
      <c r="N169" s="137">
        <f t="shared" si="219"/>
        <v>3089.093338249279</v>
      </c>
      <c r="O169" s="137">
        <f t="shared" si="219"/>
        <v>3132.6849153749577</v>
      </c>
      <c r="P169" s="137">
        <f t="shared" si="219"/>
        <v>3094.1785790255744</v>
      </c>
      <c r="Q169" s="137">
        <f t="shared" si="219"/>
        <v>3159.9598277175332</v>
      </c>
      <c r="R169" s="137">
        <f t="shared" si="219"/>
        <v>3161.3356084043635</v>
      </c>
      <c r="S169" s="137">
        <f t="shared" si="219"/>
        <v>2959.6457349915909</v>
      </c>
      <c r="T169" s="137">
        <f t="shared" si="219"/>
        <v>2788.240337173896</v>
      </c>
      <c r="U169" s="137">
        <f t="shared" si="219"/>
        <v>2947.5178468454301</v>
      </c>
      <c r="V169" s="137">
        <f t="shared" si="219"/>
        <v>2594.6511964396345</v>
      </c>
      <c r="W169" s="137">
        <f t="shared" si="221"/>
        <v>2641.1427772777547</v>
      </c>
      <c r="X169" s="137">
        <f t="shared" si="221"/>
        <v>2621.7681501161142</v>
      </c>
      <c r="Y169" s="137">
        <f t="shared" si="221"/>
        <v>2752.9937218596242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11355.773144633076</v>
      </c>
      <c r="C170" s="110">
        <f t="shared" si="219"/>
        <v>11345.047196943366</v>
      </c>
      <c r="D170" s="110">
        <f t="shared" si="219"/>
        <v>11290.308151913361</v>
      </c>
      <c r="E170" s="110">
        <f t="shared" si="219"/>
        <v>11203.833978655759</v>
      </c>
      <c r="F170" s="110">
        <f t="shared" si="219"/>
        <v>11113.088050475562</v>
      </c>
      <c r="G170" s="110">
        <f t="shared" si="219"/>
        <v>11050.283932985418</v>
      </c>
      <c r="H170" s="110">
        <f t="shared" si="219"/>
        <v>10999.345547049143</v>
      </c>
      <c r="I170" s="110">
        <f t="shared" si="219"/>
        <v>10919.100468670969</v>
      </c>
      <c r="J170" s="110">
        <f t="shared" si="219"/>
        <v>10878.437075858012</v>
      </c>
      <c r="K170" s="110">
        <f t="shared" si="219"/>
        <v>10856.239106773262</v>
      </c>
      <c r="L170" s="110">
        <f t="shared" si="219"/>
        <v>11050.334301042882</v>
      </c>
      <c r="M170" s="110">
        <f t="shared" si="222"/>
        <v>11000.467665911754</v>
      </c>
      <c r="N170" s="110">
        <f t="shared" si="219"/>
        <v>10679.025893438898</v>
      </c>
      <c r="O170" s="110">
        <f t="shared" si="219"/>
        <v>10617.243223551544</v>
      </c>
      <c r="P170" s="110">
        <f t="shared" si="219"/>
        <v>10584.584510932997</v>
      </c>
      <c r="Q170" s="110">
        <f t="shared" si="219"/>
        <v>10588.079081029831</v>
      </c>
      <c r="R170" s="110">
        <f t="shared" si="219"/>
        <v>11562.95188971001</v>
      </c>
      <c r="S170" s="110">
        <f t="shared" si="219"/>
        <v>11315.075322719942</v>
      </c>
      <c r="T170" s="110">
        <f t="shared" si="219"/>
        <v>11224.619232244562</v>
      </c>
      <c r="U170" s="110">
        <f t="shared" si="219"/>
        <v>11207.066914805702</v>
      </c>
      <c r="V170" s="110">
        <f t="shared" si="219"/>
        <v>10257.628483741171</v>
      </c>
      <c r="W170" s="110">
        <f t="shared" si="221"/>
        <v>10288.662840355386</v>
      </c>
      <c r="X170" s="110">
        <f t="shared" si="221"/>
        <v>10503.083265427629</v>
      </c>
      <c r="Y170" s="110">
        <f t="shared" si="221"/>
        <v>10566.50339239974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10608.118507910363</v>
      </c>
      <c r="C171" s="84">
        <f t="shared" si="219"/>
        <v>10596.703745284323</v>
      </c>
      <c r="D171" s="84">
        <f t="shared" si="219"/>
        <v>10596.396589100221</v>
      </c>
      <c r="E171" s="84">
        <f t="shared" si="219"/>
        <v>10577.126799284253</v>
      </c>
      <c r="F171" s="84">
        <f t="shared" si="219"/>
        <v>10578.048882903511</v>
      </c>
      <c r="G171" s="84">
        <f t="shared" si="219"/>
        <v>10572.755284758228</v>
      </c>
      <c r="H171" s="84">
        <f t="shared" si="219"/>
        <v>10571.413755718917</v>
      </c>
      <c r="I171" s="84">
        <f t="shared" si="219"/>
        <v>10555.161064638332</v>
      </c>
      <c r="J171" s="84">
        <f t="shared" si="219"/>
        <v>10563.911640946288</v>
      </c>
      <c r="K171" s="84">
        <f t="shared" si="219"/>
        <v>10575.131448947288</v>
      </c>
      <c r="L171" s="84">
        <f t="shared" si="219"/>
        <v>10816.188311805536</v>
      </c>
      <c r="M171" s="84">
        <f t="shared" si="222"/>
        <v>10813.04341275707</v>
      </c>
      <c r="N171" s="84">
        <f t="shared" si="219"/>
        <v>10575.159907951342</v>
      </c>
      <c r="O171" s="84">
        <f t="shared" si="219"/>
        <v>10576.425109506514</v>
      </c>
      <c r="P171" s="84">
        <f t="shared" si="219"/>
        <v>10586.01616851924</v>
      </c>
      <c r="Q171" s="84">
        <f t="shared" si="219"/>
        <v>10589.661540363291</v>
      </c>
      <c r="R171" s="84">
        <f t="shared" si="219"/>
        <v>11682.390218532919</v>
      </c>
      <c r="S171" s="84">
        <f t="shared" si="219"/>
        <v>11415.478210634577</v>
      </c>
      <c r="T171" s="84">
        <f t="shared" si="219"/>
        <v>11300.328568064688</v>
      </c>
      <c r="U171" s="84">
        <f t="shared" si="219"/>
        <v>11246.905572198202</v>
      </c>
      <c r="V171" s="84">
        <f t="shared" si="219"/>
        <v>10256.986187981167</v>
      </c>
      <c r="W171" s="84">
        <f t="shared" si="221"/>
        <v>10292.429311008222</v>
      </c>
      <c r="X171" s="84">
        <f t="shared" si="221"/>
        <v>10506.669996597908</v>
      </c>
      <c r="Y171" s="84">
        <f t="shared" si="221"/>
        <v>10570.593313266045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17262.244774742507</v>
      </c>
      <c r="C172" s="84">
        <f t="shared" si="219"/>
        <v>16966.185652675198</v>
      </c>
      <c r="D172" s="84">
        <f t="shared" si="219"/>
        <v>16609.599912875961</v>
      </c>
      <c r="E172" s="84">
        <f t="shared" si="219"/>
        <v>16215.012615826779</v>
      </c>
      <c r="F172" s="84">
        <f t="shared" si="219"/>
        <v>15890.987816893987</v>
      </c>
      <c r="G172" s="84">
        <f t="shared" si="219"/>
        <v>15700.712073470826</v>
      </c>
      <c r="H172" s="84">
        <f t="shared" si="219"/>
        <v>15496.27402596673</v>
      </c>
      <c r="I172" s="84">
        <f t="shared" si="219"/>
        <v>14756.284774168251</v>
      </c>
      <c r="J172" s="84">
        <f t="shared" si="219"/>
        <v>14029.857211303655</v>
      </c>
      <c r="K172" s="84">
        <f t="shared" si="219"/>
        <v>13523.973127789461</v>
      </c>
      <c r="L172" s="84">
        <f t="shared" si="219"/>
        <v>13160.851101568658</v>
      </c>
      <c r="M172" s="84">
        <f t="shared" si="222"/>
        <v>12645.157042665258</v>
      </c>
      <c r="N172" s="84">
        <f t="shared" si="219"/>
        <v>11577.928125785258</v>
      </c>
      <c r="O172" s="84">
        <f t="shared" si="219"/>
        <v>10960.134387320732</v>
      </c>
      <c r="P172" s="84">
        <f t="shared" si="219"/>
        <v>10573.501896991358</v>
      </c>
      <c r="Q172" s="84">
        <f t="shared" si="219"/>
        <v>10577.142959454777</v>
      </c>
      <c r="R172" s="84">
        <f t="shared" si="219"/>
        <v>10819.955876789318</v>
      </c>
      <c r="S172" s="84">
        <f t="shared" si="219"/>
        <v>10784.203198647101</v>
      </c>
      <c r="T172" s="84">
        <f t="shared" si="219"/>
        <v>10888.929748337392</v>
      </c>
      <c r="U172" s="84">
        <f t="shared" si="219"/>
        <v>11054.200698916575</v>
      </c>
      <c r="V172" s="84">
        <f t="shared" si="219"/>
        <v>10267.965093813626</v>
      </c>
      <c r="W172" s="84">
        <f t="shared" si="221"/>
        <v>10280.262103531011</v>
      </c>
      <c r="X172" s="84">
        <f t="shared" si="221"/>
        <v>10494.24952424096</v>
      </c>
      <c r="Y172" s="84">
        <f t="shared" si="221"/>
        <v>10558.097273884734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0</v>
      </c>
      <c r="E173" s="84">
        <f t="shared" si="219"/>
        <v>0</v>
      </c>
      <c r="F173" s="84">
        <f t="shared" si="219"/>
        <v>0</v>
      </c>
      <c r="G173" s="84">
        <f t="shared" si="219"/>
        <v>0</v>
      </c>
      <c r="H173" s="84">
        <f t="shared" si="219"/>
        <v>0</v>
      </c>
      <c r="I173" s="84">
        <f t="shared" si="219"/>
        <v>0</v>
      </c>
      <c r="J173" s="84">
        <f t="shared" si="219"/>
        <v>0</v>
      </c>
      <c r="K173" s="84">
        <f t="shared" si="219"/>
        <v>0</v>
      </c>
      <c r="L173" s="84">
        <f t="shared" si="219"/>
        <v>0</v>
      </c>
      <c r="M173" s="84">
        <f t="shared" si="222"/>
        <v>0</v>
      </c>
      <c r="N173" s="84">
        <f t="shared" si="219"/>
        <v>0</v>
      </c>
      <c r="O173" s="84">
        <f t="shared" si="219"/>
        <v>0</v>
      </c>
      <c r="P173" s="84">
        <f t="shared" si="219"/>
        <v>0</v>
      </c>
      <c r="Q173" s="84">
        <f t="shared" si="219"/>
        <v>0</v>
      </c>
      <c r="R173" s="84">
        <f t="shared" si="219"/>
        <v>0</v>
      </c>
      <c r="S173" s="84">
        <f t="shared" si="219"/>
        <v>0</v>
      </c>
      <c r="T173" s="84">
        <f t="shared" si="219"/>
        <v>10583.402249909035</v>
      </c>
      <c r="U173" s="84">
        <f t="shared" si="219"/>
        <v>10640.493933888711</v>
      </c>
      <c r="V173" s="84">
        <f t="shared" si="219"/>
        <v>9434.0584555776004</v>
      </c>
      <c r="W173" s="84">
        <f t="shared" si="221"/>
        <v>9728.7174741426934</v>
      </c>
      <c r="X173" s="84">
        <f t="shared" si="221"/>
        <v>10229.161020137055</v>
      </c>
      <c r="Y173" s="84">
        <f t="shared" si="221"/>
        <v>10173.982222739318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X174" s="84">
        <f t="shared" si="221"/>
        <v>0</v>
      </c>
      <c r="Y174" s="84">
        <f t="shared" si="221"/>
        <v>0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0</v>
      </c>
      <c r="P175" s="84">
        <f t="shared" si="219"/>
        <v>9933.8927915554032</v>
      </c>
      <c r="Q175" s="84">
        <f t="shared" si="219"/>
        <v>9937.313599960351</v>
      </c>
      <c r="R175" s="84">
        <f t="shared" si="219"/>
        <v>10464.421832042004</v>
      </c>
      <c r="S175" s="84">
        <f t="shared" si="219"/>
        <v>10712.258030174811</v>
      </c>
      <c r="T175" s="84">
        <f t="shared" si="219"/>
        <v>10604.201875142959</v>
      </c>
      <c r="U175" s="84">
        <f t="shared" si="219"/>
        <v>10554.069860880638</v>
      </c>
      <c r="V175" s="84">
        <f t="shared" si="219"/>
        <v>9646.8384290356589</v>
      </c>
      <c r="W175" s="84">
        <f t="shared" si="221"/>
        <v>9658.3915717294713</v>
      </c>
      <c r="X175" s="84">
        <f t="shared" si="221"/>
        <v>9859.4345295672101</v>
      </c>
      <c r="Y175" s="84">
        <f t="shared" si="221"/>
        <v>9919.4200202894262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0</v>
      </c>
      <c r="O176" s="84">
        <f t="shared" si="219"/>
        <v>10816.546908254153</v>
      </c>
      <c r="P176" s="84">
        <f t="shared" si="219"/>
        <v>10824.246310905375</v>
      </c>
      <c r="Q176" s="84">
        <f t="shared" si="219"/>
        <v>10835.109197127291</v>
      </c>
      <c r="R176" s="84">
        <f t="shared" si="219"/>
        <v>10782.036832552008</v>
      </c>
      <c r="S176" s="84">
        <f t="shared" si="219"/>
        <v>10769.58407775494</v>
      </c>
      <c r="T176" s="84">
        <f t="shared" si="219"/>
        <v>10764.12615973514</v>
      </c>
      <c r="U176" s="84">
        <f t="shared" si="219"/>
        <v>10761.576025119342</v>
      </c>
      <c r="V176" s="84">
        <f t="shared" si="219"/>
        <v>10043.056812970657</v>
      </c>
      <c r="W176" s="84">
        <f t="shared" si="221"/>
        <v>10713.962459155078</v>
      </c>
      <c r="X176" s="84">
        <f t="shared" si="221"/>
        <v>10725.004430115816</v>
      </c>
      <c r="Y176" s="84">
        <f t="shared" si="221"/>
        <v>10728.257622519583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45994.673842835153</v>
      </c>
      <c r="C177" s="110">
        <f t="shared" si="219"/>
        <v>46745.262476490454</v>
      </c>
      <c r="D177" s="110">
        <f t="shared" si="219"/>
        <v>48401.51460267957</v>
      </c>
      <c r="E177" s="110">
        <f t="shared" si="219"/>
        <v>47172.726233335212</v>
      </c>
      <c r="F177" s="110">
        <f t="shared" si="219"/>
        <v>46680.936292147628</v>
      </c>
      <c r="G177" s="110">
        <f t="shared" si="219"/>
        <v>47019.703548365549</v>
      </c>
      <c r="H177" s="110">
        <f t="shared" si="219"/>
        <v>47491.956409343031</v>
      </c>
      <c r="I177" s="110">
        <f t="shared" si="219"/>
        <v>46890.507354193847</v>
      </c>
      <c r="J177" s="110">
        <f t="shared" si="219"/>
        <v>45995.948721470864</v>
      </c>
      <c r="K177" s="110">
        <f t="shared" si="219"/>
        <v>43200.927805160914</v>
      </c>
      <c r="L177" s="110">
        <f t="shared" si="219"/>
        <v>43197.178959741403</v>
      </c>
      <c r="M177" s="110">
        <f t="shared" si="222"/>
        <v>43183.131138070486</v>
      </c>
      <c r="N177" s="110">
        <f t="shared" si="219"/>
        <v>42917.817916555963</v>
      </c>
      <c r="O177" s="110">
        <f t="shared" si="219"/>
        <v>42796.430020921835</v>
      </c>
      <c r="P177" s="110">
        <f t="shared" si="219"/>
        <v>43467.172414951347</v>
      </c>
      <c r="Q177" s="110">
        <f t="shared" si="219"/>
        <v>44328.305963174091</v>
      </c>
      <c r="R177" s="110">
        <f t="shared" si="219"/>
        <v>45687.577865317624</v>
      </c>
      <c r="S177" s="110">
        <f t="shared" si="219"/>
        <v>48084.987104104366</v>
      </c>
      <c r="T177" s="110">
        <f t="shared" si="219"/>
        <v>51167.707867573612</v>
      </c>
      <c r="U177" s="110">
        <f t="shared" si="219"/>
        <v>52036.563208270374</v>
      </c>
      <c r="V177" s="110">
        <f t="shared" si="219"/>
        <v>51494.256496509268</v>
      </c>
      <c r="W177" s="110">
        <f t="shared" si="221"/>
        <v>52217.337014216988</v>
      </c>
      <c r="X177" s="110">
        <f t="shared" si="221"/>
        <v>56194.285854957248</v>
      </c>
      <c r="Y177" s="110">
        <f t="shared" si="221"/>
        <v>55036.306309232044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29802.034823495567</v>
      </c>
      <c r="C178" s="102">
        <f t="shared" si="219"/>
        <v>29826.16532535489</v>
      </c>
      <c r="D178" s="102">
        <f t="shared" si="219"/>
        <v>29878.135209416836</v>
      </c>
      <c r="E178" s="102">
        <f t="shared" si="219"/>
        <v>29839.743762076629</v>
      </c>
      <c r="F178" s="102">
        <f t="shared" si="219"/>
        <v>29824.111792525018</v>
      </c>
      <c r="G178" s="102">
        <f t="shared" si="219"/>
        <v>29834.896460809381</v>
      </c>
      <c r="H178" s="102">
        <f t="shared" si="219"/>
        <v>29849.80811642146</v>
      </c>
      <c r="I178" s="102">
        <f t="shared" si="219"/>
        <v>29830.792229395985</v>
      </c>
      <c r="J178" s="102">
        <f t="shared" si="219"/>
        <v>29802.076125535677</v>
      </c>
      <c r="K178" s="102">
        <f t="shared" si="219"/>
        <v>29708.805764740784</v>
      </c>
      <c r="L178" s="102">
        <f t="shared" si="219"/>
        <v>29708.676857426697</v>
      </c>
      <c r="M178" s="102">
        <f t="shared" si="222"/>
        <v>29708.193716298549</v>
      </c>
      <c r="N178" s="102">
        <f t="shared" si="219"/>
        <v>29699.040754169058</v>
      </c>
      <c r="O178" s="102">
        <f t="shared" si="219"/>
        <v>29694.835092576057</v>
      </c>
      <c r="P178" s="102">
        <f t="shared" si="219"/>
        <v>29717.933747631952</v>
      </c>
      <c r="Q178" s="102">
        <f t="shared" si="219"/>
        <v>29746.678622739717</v>
      </c>
      <c r="R178" s="102">
        <f t="shared" si="219"/>
        <v>30091.054470821113</v>
      </c>
      <c r="S178" s="102">
        <f t="shared" si="219"/>
        <v>31116.118764821356</v>
      </c>
      <c r="T178" s="102">
        <f t="shared" si="219"/>
        <v>32549.721550775113</v>
      </c>
      <c r="U178" s="102">
        <f t="shared" si="219"/>
        <v>32467.707782569996</v>
      </c>
      <c r="V178" s="102">
        <f t="shared" si="219"/>
        <v>31470.264998719151</v>
      </c>
      <c r="W178" s="102">
        <f t="shared" si="221"/>
        <v>31295.738190048676</v>
      </c>
      <c r="X178" s="102">
        <f t="shared" si="221"/>
        <v>33127.036328876624</v>
      </c>
      <c r="Y178" s="102">
        <f t="shared" si="221"/>
        <v>31762.4239742399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46880.751729086565</v>
      </c>
      <c r="C179" s="102">
        <f t="shared" si="219"/>
        <v>47641.049176988861</v>
      </c>
      <c r="D179" s="102">
        <f t="shared" si="219"/>
        <v>49350.098745582531</v>
      </c>
      <c r="E179" s="102">
        <f t="shared" si="219"/>
        <v>47987.287749727489</v>
      </c>
      <c r="F179" s="102">
        <f t="shared" si="219"/>
        <v>47481.276682601216</v>
      </c>
      <c r="G179" s="102">
        <f t="shared" si="219"/>
        <v>47824.979246578398</v>
      </c>
      <c r="H179" s="102">
        <f t="shared" si="219"/>
        <v>48335.61151638905</v>
      </c>
      <c r="I179" s="102">
        <f t="shared" si="219"/>
        <v>47682.21695629826</v>
      </c>
      <c r="J179" s="102">
        <f t="shared" si="219"/>
        <v>46730.010767293585</v>
      </c>
      <c r="K179" s="102">
        <f t="shared" si="219"/>
        <v>43790.615353270165</v>
      </c>
      <c r="L179" s="102">
        <f t="shared" si="219"/>
        <v>43803.683814463409</v>
      </c>
      <c r="M179" s="102">
        <f t="shared" si="222"/>
        <v>43786.733855959865</v>
      </c>
      <c r="N179" s="102">
        <f t="shared" si="219"/>
        <v>43497.274834645512</v>
      </c>
      <c r="O179" s="102">
        <f t="shared" si="219"/>
        <v>43373.195190766754</v>
      </c>
      <c r="P179" s="102">
        <f t="shared" si="219"/>
        <v>43676.63253541851</v>
      </c>
      <c r="Q179" s="102">
        <f t="shared" si="219"/>
        <v>44517.436837615132</v>
      </c>
      <c r="R179" s="102">
        <f t="shared" si="219"/>
        <v>45884.125055548939</v>
      </c>
      <c r="S179" s="102">
        <f t="shared" si="219"/>
        <v>48302.4767971857</v>
      </c>
      <c r="T179" s="102">
        <f t="shared" si="219"/>
        <v>51414.475949602442</v>
      </c>
      <c r="U179" s="102">
        <f t="shared" si="219"/>
        <v>52298.399615289971</v>
      </c>
      <c r="V179" s="102">
        <f t="shared" si="219"/>
        <v>51831.872636208238</v>
      </c>
      <c r="W179" s="102">
        <f t="shared" si="221"/>
        <v>52547.433522840132</v>
      </c>
      <c r="X179" s="102">
        <f t="shared" si="221"/>
        <v>56499.193599331564</v>
      </c>
      <c r="Y179" s="102">
        <f t="shared" si="221"/>
        <v>55521.652677881124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X181" s="102">
        <f t="shared" si="221"/>
        <v>0</v>
      </c>
      <c r="Y181" s="102">
        <f t="shared" si="221"/>
        <v>0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37857.323216820711</v>
      </c>
      <c r="K182" s="102">
        <f t="shared" si="223"/>
        <v>37738.842672703977</v>
      </c>
      <c r="L182" s="102">
        <f t="shared" si="223"/>
        <v>37738.678922841929</v>
      </c>
      <c r="M182" s="102">
        <f t="shared" si="222"/>
        <v>37738.065192785994</v>
      </c>
      <c r="N182" s="102">
        <f t="shared" si="223"/>
        <v>37726.438263028882</v>
      </c>
      <c r="O182" s="102">
        <f t="shared" si="223"/>
        <v>37721.095846963763</v>
      </c>
      <c r="P182" s="102">
        <f t="shared" si="223"/>
        <v>37750.437871547605</v>
      </c>
      <c r="Q182" s="102">
        <f t="shared" si="223"/>
        <v>37786.952241324994</v>
      </c>
      <c r="R182" s="102">
        <f t="shared" si="223"/>
        <v>37729.93132617126</v>
      </c>
      <c r="S182" s="102">
        <f t="shared" si="223"/>
        <v>37633.572416411989</v>
      </c>
      <c r="T182" s="102">
        <f t="shared" si="223"/>
        <v>37516.828959395192</v>
      </c>
      <c r="U182" s="102">
        <f t="shared" si="223"/>
        <v>37485.256865557218</v>
      </c>
      <c r="V182" s="102">
        <f t="shared" si="223"/>
        <v>37191.879917588383</v>
      </c>
      <c r="W182" s="102">
        <f t="shared" si="221"/>
        <v>37478.757567345398</v>
      </c>
      <c r="X182" s="102">
        <f t="shared" si="221"/>
        <v>37341.461665021168</v>
      </c>
      <c r="Y182" s="102">
        <f t="shared" si="221"/>
        <v>37380.358094295974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13815.604844709453</v>
      </c>
      <c r="C183" s="28">
        <f t="shared" si="223"/>
        <v>13725.948545277175</v>
      </c>
      <c r="D183" s="28">
        <f t="shared" si="223"/>
        <v>14244.470433920229</v>
      </c>
      <c r="E183" s="28">
        <f t="shared" si="223"/>
        <v>14304.682805366683</v>
      </c>
      <c r="F183" s="28">
        <f t="shared" si="223"/>
        <v>13279.830498917525</v>
      </c>
      <c r="G183" s="28">
        <f t="shared" si="223"/>
        <v>14274.54173473535</v>
      </c>
      <c r="H183" s="28">
        <f t="shared" si="223"/>
        <v>13364.488412034805</v>
      </c>
      <c r="I183" s="28">
        <f t="shared" si="223"/>
        <v>13681.670326833906</v>
      </c>
      <c r="J183" s="28">
        <f t="shared" si="223"/>
        <v>14392.756510426585</v>
      </c>
      <c r="K183" s="28">
        <f t="shared" si="223"/>
        <v>12874.550676930741</v>
      </c>
      <c r="L183" s="28">
        <f t="shared" si="223"/>
        <v>13092.943841092847</v>
      </c>
      <c r="M183" s="28">
        <f t="shared" si="222"/>
        <v>13162.09448874551</v>
      </c>
      <c r="N183" s="28">
        <f t="shared" si="223"/>
        <v>13380.65785525683</v>
      </c>
      <c r="O183" s="28">
        <f t="shared" si="223"/>
        <v>13039.202812426969</v>
      </c>
      <c r="P183" s="28">
        <f t="shared" si="223"/>
        <v>12851.120818402353</v>
      </c>
      <c r="Q183" s="28">
        <f t="shared" si="223"/>
        <v>12765.316227518737</v>
      </c>
      <c r="R183" s="28">
        <f t="shared" si="223"/>
        <v>13514.864949218374</v>
      </c>
      <c r="S183" s="28">
        <f t="shared" si="223"/>
        <v>14209.85779892133</v>
      </c>
      <c r="T183" s="28">
        <f t="shared" si="223"/>
        <v>14626.478789827577</v>
      </c>
      <c r="U183" s="28">
        <f t="shared" si="223"/>
        <v>13997.647484965635</v>
      </c>
      <c r="V183" s="28">
        <f t="shared" si="223"/>
        <v>13110.706072932069</v>
      </c>
      <c r="W183" s="28">
        <f t="shared" si="221"/>
        <v>12757.270235478883</v>
      </c>
      <c r="X183" s="28">
        <f t="shared" si="221"/>
        <v>12716.876981871381</v>
      </c>
      <c r="Y183" s="28">
        <f t="shared" si="221"/>
        <v>12111.465367716432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14361.797074596459</v>
      </c>
      <c r="C184" s="137">
        <f t="shared" si="223"/>
        <v>14429.586017549909</v>
      </c>
      <c r="D184" s="137">
        <f t="shared" si="223"/>
        <v>14920.400102377527</v>
      </c>
      <c r="E184" s="137">
        <f t="shared" si="223"/>
        <v>14868.508590489073</v>
      </c>
      <c r="F184" s="137">
        <f t="shared" si="223"/>
        <v>13969.834419708133</v>
      </c>
      <c r="G184" s="137">
        <f t="shared" si="223"/>
        <v>15370.140912565543</v>
      </c>
      <c r="H184" s="137">
        <f t="shared" si="223"/>
        <v>14600.312337064428</v>
      </c>
      <c r="I184" s="137">
        <f t="shared" si="223"/>
        <v>14648.735152811325</v>
      </c>
      <c r="J184" s="137">
        <f t="shared" si="223"/>
        <v>15459.564148181398</v>
      </c>
      <c r="K184" s="137">
        <f t="shared" si="223"/>
        <v>14200.231555618513</v>
      </c>
      <c r="L184" s="137">
        <f t="shared" si="223"/>
        <v>14288.341887216617</v>
      </c>
      <c r="M184" s="137">
        <f t="shared" si="222"/>
        <v>14485.680781096442</v>
      </c>
      <c r="N184" s="137">
        <f t="shared" si="223"/>
        <v>14652.934730642908</v>
      </c>
      <c r="O184" s="137">
        <f t="shared" si="223"/>
        <v>13873.811393826345</v>
      </c>
      <c r="P184" s="137">
        <f t="shared" si="223"/>
        <v>13698.622542768509</v>
      </c>
      <c r="Q184" s="137">
        <f t="shared" si="223"/>
        <v>13621.203046933026</v>
      </c>
      <c r="R184" s="137">
        <f t="shared" si="223"/>
        <v>14269.26532673868</v>
      </c>
      <c r="S184" s="137">
        <f t="shared" si="223"/>
        <v>14941.324479887498</v>
      </c>
      <c r="T184" s="137">
        <f t="shared" si="223"/>
        <v>15372.257127806683</v>
      </c>
      <c r="U184" s="137">
        <f t="shared" si="223"/>
        <v>14703.234130478344</v>
      </c>
      <c r="V184" s="137">
        <f t="shared" si="223"/>
        <v>14048.54173911117</v>
      </c>
      <c r="W184" s="137">
        <f t="shared" si="221"/>
        <v>13678.77490352132</v>
      </c>
      <c r="X184" s="137">
        <f t="shared" si="221"/>
        <v>13309.233387073071</v>
      </c>
      <c r="Y184" s="137">
        <f t="shared" si="221"/>
        <v>12706.565165494638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10882.777592368089</v>
      </c>
      <c r="C185" s="84">
        <f t="shared" si="223"/>
        <v>10937.925288806971</v>
      </c>
      <c r="D185" s="84">
        <f t="shared" si="223"/>
        <v>11292.248735296869</v>
      </c>
      <c r="E185" s="84">
        <f t="shared" si="223"/>
        <v>11270.630578527629</v>
      </c>
      <c r="F185" s="84">
        <f t="shared" si="223"/>
        <v>10565.21666118915</v>
      </c>
      <c r="G185" s="84">
        <f t="shared" si="223"/>
        <v>11561.530898489011</v>
      </c>
      <c r="H185" s="84">
        <f t="shared" si="223"/>
        <v>10982.451367451287</v>
      </c>
      <c r="I185" s="84">
        <f t="shared" si="223"/>
        <v>11006.182457257997</v>
      </c>
      <c r="J185" s="84">
        <f t="shared" si="223"/>
        <v>11622.651363794401</v>
      </c>
      <c r="K185" s="84">
        <f t="shared" si="223"/>
        <v>10675.31198223233</v>
      </c>
      <c r="L185" s="84">
        <f t="shared" si="223"/>
        <v>10734.769869574642</v>
      </c>
      <c r="M185" s="84">
        <f t="shared" si="222"/>
        <v>10880.317968209636</v>
      </c>
      <c r="N185" s="84">
        <f t="shared" si="223"/>
        <v>11004.830549772867</v>
      </c>
      <c r="O185" s="84">
        <f t="shared" si="223"/>
        <v>10420.068694168991</v>
      </c>
      <c r="P185" s="84">
        <f t="shared" si="223"/>
        <v>10286.665435816609</v>
      </c>
      <c r="Q185" s="84">
        <f t="shared" si="223"/>
        <v>10228.128177701656</v>
      </c>
      <c r="R185" s="84">
        <f t="shared" si="223"/>
        <v>10610.657796890519</v>
      </c>
      <c r="S185" s="84">
        <f t="shared" si="223"/>
        <v>11000.932180811198</v>
      </c>
      <c r="T185" s="84">
        <f t="shared" si="223"/>
        <v>11207.80695638872</v>
      </c>
      <c r="U185" s="84">
        <f t="shared" si="223"/>
        <v>10824.976710963876</v>
      </c>
      <c r="V185" s="84">
        <f t="shared" si="223"/>
        <v>10445.175372460933</v>
      </c>
      <c r="W185" s="84">
        <f t="shared" si="221"/>
        <v>10077.668005971544</v>
      </c>
      <c r="X185" s="84">
        <f t="shared" si="221"/>
        <v>9731.7318172937703</v>
      </c>
      <c r="Y185" s="84">
        <f t="shared" si="221"/>
        <v>9397.3313674933233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14691.749749696915</v>
      </c>
      <c r="C186" s="84">
        <f t="shared" si="223"/>
        <v>14766.199139889408</v>
      </c>
      <c r="D186" s="84">
        <f t="shared" si="223"/>
        <v>15244.535792650771</v>
      </c>
      <c r="E186" s="84">
        <f t="shared" si="223"/>
        <v>15215.351281012297</v>
      </c>
      <c r="F186" s="84">
        <f t="shared" si="223"/>
        <v>14263.042492605349</v>
      </c>
      <c r="G186" s="84">
        <f t="shared" si="223"/>
        <v>15608.066712960161</v>
      </c>
      <c r="H186" s="84">
        <f t="shared" si="223"/>
        <v>14826.309346059235</v>
      </c>
      <c r="I186" s="84">
        <f t="shared" si="223"/>
        <v>14858.346317298297</v>
      </c>
      <c r="J186" s="84">
        <f t="shared" si="223"/>
        <v>15690.57934112244</v>
      </c>
      <c r="K186" s="84">
        <f t="shared" si="223"/>
        <v>14411.671176013644</v>
      </c>
      <c r="L186" s="84">
        <f t="shared" si="223"/>
        <v>14491.939323925766</v>
      </c>
      <c r="M186" s="84">
        <f t="shared" si="222"/>
        <v>14688.429257083009</v>
      </c>
      <c r="N186" s="84">
        <f t="shared" si="223"/>
        <v>14856.52124219337</v>
      </c>
      <c r="O186" s="84">
        <f t="shared" si="223"/>
        <v>14067.092737128138</v>
      </c>
      <c r="P186" s="84">
        <f t="shared" si="223"/>
        <v>13886.998338352421</v>
      </c>
      <c r="Q186" s="84">
        <f t="shared" si="223"/>
        <v>13807.973039897235</v>
      </c>
      <c r="R186" s="84">
        <f t="shared" si="223"/>
        <v>14467.63190606022</v>
      </c>
      <c r="S186" s="84">
        <f t="shared" si="223"/>
        <v>15149.768738821425</v>
      </c>
      <c r="T186" s="84">
        <f t="shared" si="223"/>
        <v>15589.009865215241</v>
      </c>
      <c r="U186" s="84">
        <f t="shared" si="223"/>
        <v>14905.963557422951</v>
      </c>
      <c r="V186" s="84">
        <f t="shared" si="223"/>
        <v>14239.148363446377</v>
      </c>
      <c r="W186" s="84">
        <f t="shared" si="221"/>
        <v>13875.533806320831</v>
      </c>
      <c r="X186" s="84">
        <f t="shared" si="221"/>
        <v>13533.220531013985</v>
      </c>
      <c r="Y186" s="84">
        <f t="shared" si="221"/>
        <v>12937.511902821961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7307.1880499611707</v>
      </c>
      <c r="J189" s="84">
        <f t="shared" si="223"/>
        <v>7508.883903767538</v>
      </c>
      <c r="K189" s="84">
        <f t="shared" si="223"/>
        <v>7834.8867678256292</v>
      </c>
      <c r="L189" s="84">
        <f t="shared" si="223"/>
        <v>7856.7809481917811</v>
      </c>
      <c r="M189" s="84">
        <f t="shared" si="222"/>
        <v>7909.8528745986068</v>
      </c>
      <c r="N189" s="84">
        <f t="shared" si="223"/>
        <v>7954.8185651247586</v>
      </c>
      <c r="O189" s="84">
        <f t="shared" si="223"/>
        <v>8175.0006702647124</v>
      </c>
      <c r="P189" s="84">
        <f t="shared" si="223"/>
        <v>8227.7445680471883</v>
      </c>
      <c r="Q189" s="84">
        <f t="shared" si="223"/>
        <v>8251.2364010088804</v>
      </c>
      <c r="R189" s="84">
        <f t="shared" si="223"/>
        <v>8226.0280192055252</v>
      </c>
      <c r="S189" s="84">
        <f t="shared" si="223"/>
        <v>8201.3041743753438</v>
      </c>
      <c r="T189" s="84">
        <f t="shared" si="223"/>
        <v>8188.5811376718393</v>
      </c>
      <c r="U189" s="84">
        <f t="shared" si="223"/>
        <v>8164.8996360082383</v>
      </c>
      <c r="V189" s="84">
        <f t="shared" si="223"/>
        <v>7984.6581834670314</v>
      </c>
      <c r="W189" s="84">
        <f t="shared" si="221"/>
        <v>8116.3719334650823</v>
      </c>
      <c r="X189" s="84">
        <f t="shared" si="221"/>
        <v>8141.4981754356868</v>
      </c>
      <c r="Y189" s="84">
        <f t="shared" si="221"/>
        <v>8117.8096571384103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10093.492819212939</v>
      </c>
      <c r="C190" s="110">
        <f t="shared" si="223"/>
        <v>9282.1498580203988</v>
      </c>
      <c r="D190" s="110">
        <f t="shared" si="223"/>
        <v>9725.2137588930218</v>
      </c>
      <c r="E190" s="110">
        <f t="shared" si="223"/>
        <v>10479.041916167665</v>
      </c>
      <c r="F190" s="110">
        <f t="shared" si="223"/>
        <v>8645.5331412103751</v>
      </c>
      <c r="G190" s="110">
        <f t="shared" si="223"/>
        <v>8692.0742683742228</v>
      </c>
      <c r="H190" s="110">
        <f t="shared" si="223"/>
        <v>7163.6212624584714</v>
      </c>
      <c r="I190" s="110">
        <f t="shared" si="223"/>
        <v>8339.1243919388471</v>
      </c>
      <c r="J190" s="110">
        <f t="shared" si="223"/>
        <v>8727.6320122955312</v>
      </c>
      <c r="K190" s="110">
        <f t="shared" si="223"/>
        <v>6187.2822752560705</v>
      </c>
      <c r="L190" s="110">
        <f t="shared" si="223"/>
        <v>7000</v>
      </c>
      <c r="M190" s="110">
        <f t="shared" si="222"/>
        <v>6229.6858071505958</v>
      </c>
      <c r="N190" s="110">
        <f t="shared" si="223"/>
        <v>6191.2271479469655</v>
      </c>
      <c r="O190" s="110">
        <f t="shared" si="223"/>
        <v>6305.4841118393761</v>
      </c>
      <c r="P190" s="110">
        <f t="shared" si="223"/>
        <v>5843.8108730299273</v>
      </c>
      <c r="Q190" s="110">
        <f t="shared" si="223"/>
        <v>5747.634627288001</v>
      </c>
      <c r="R190" s="110">
        <f t="shared" si="223"/>
        <v>7460.1559850796884</v>
      </c>
      <c r="S190" s="110">
        <f t="shared" si="223"/>
        <v>8459.9589322381926</v>
      </c>
      <c r="T190" s="110">
        <f t="shared" si="223"/>
        <v>8800.4439863632761</v>
      </c>
      <c r="U190" s="110">
        <f t="shared" si="223"/>
        <v>8595.9885386819478</v>
      </c>
      <c r="V190" s="110">
        <f t="shared" si="223"/>
        <v>6060.606060606061</v>
      </c>
      <c r="W190" s="110">
        <f t="shared" si="221"/>
        <v>5914.2083511472138</v>
      </c>
      <c r="X190" s="110">
        <f t="shared" si="221"/>
        <v>8295.573370512373</v>
      </c>
      <c r="Y190" s="110">
        <f t="shared" si="221"/>
        <v>7767.8927101314566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10093.492819212939</v>
      </c>
      <c r="C191" s="102">
        <f t="shared" si="223"/>
        <v>9282.1498580203988</v>
      </c>
      <c r="D191" s="102">
        <f t="shared" si="223"/>
        <v>9725.2137588930218</v>
      </c>
      <c r="E191" s="102">
        <f t="shared" si="223"/>
        <v>10479.041916167665</v>
      </c>
      <c r="F191" s="102">
        <f t="shared" si="223"/>
        <v>8645.5331412103751</v>
      </c>
      <c r="G191" s="102">
        <f t="shared" si="223"/>
        <v>8692.0742683742228</v>
      </c>
      <c r="H191" s="102">
        <f t="shared" si="223"/>
        <v>7163.6212624584714</v>
      </c>
      <c r="I191" s="102">
        <f t="shared" si="223"/>
        <v>8339.1243919388471</v>
      </c>
      <c r="J191" s="102">
        <f t="shared" si="223"/>
        <v>8727.6320122955312</v>
      </c>
      <c r="K191" s="102">
        <f t="shared" si="223"/>
        <v>6187.2822752560705</v>
      </c>
      <c r="L191" s="102">
        <f t="shared" si="223"/>
        <v>7000</v>
      </c>
      <c r="M191" s="102">
        <f t="shared" si="222"/>
        <v>6229.6858071505958</v>
      </c>
      <c r="N191" s="102">
        <f t="shared" si="223"/>
        <v>6191.2271479469655</v>
      </c>
      <c r="O191" s="102">
        <f t="shared" si="223"/>
        <v>6305.4841118393761</v>
      </c>
      <c r="P191" s="102">
        <f t="shared" si="223"/>
        <v>5843.8108730299273</v>
      </c>
      <c r="Q191" s="102">
        <f t="shared" si="223"/>
        <v>5747.634627288001</v>
      </c>
      <c r="R191" s="102">
        <f t="shared" si="223"/>
        <v>7460.1559850796884</v>
      </c>
      <c r="S191" s="102">
        <f t="shared" si="223"/>
        <v>8459.9589322381926</v>
      </c>
      <c r="T191" s="102">
        <f t="shared" si="223"/>
        <v>8800.4439863632761</v>
      </c>
      <c r="U191" s="102">
        <f t="shared" si="223"/>
        <v>8595.9885386819478</v>
      </c>
      <c r="V191" s="102">
        <f t="shared" si="223"/>
        <v>6060.606060606061</v>
      </c>
      <c r="W191" s="102">
        <f t="shared" si="221"/>
        <v>5914.2083511472138</v>
      </c>
      <c r="X191" s="102">
        <f t="shared" si="221"/>
        <v>8295.573370512373</v>
      </c>
      <c r="Y191" s="102">
        <f t="shared" si="221"/>
        <v>7767.8927101314566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0</v>
      </c>
      <c r="C192" s="86">
        <f t="shared" si="223"/>
        <v>0</v>
      </c>
      <c r="D192" s="86">
        <f t="shared" si="223"/>
        <v>0</v>
      </c>
      <c r="E192" s="86">
        <f t="shared" si="223"/>
        <v>0</v>
      </c>
      <c r="F192" s="86">
        <f t="shared" si="223"/>
        <v>0</v>
      </c>
      <c r="G192" s="86">
        <f t="shared" si="223"/>
        <v>0</v>
      </c>
      <c r="H192" s="86">
        <f t="shared" si="223"/>
        <v>0</v>
      </c>
      <c r="I192" s="86">
        <f t="shared" si="223"/>
        <v>0</v>
      </c>
      <c r="J192" s="86">
        <f t="shared" si="223"/>
        <v>0</v>
      </c>
      <c r="K192" s="86">
        <f t="shared" si="223"/>
        <v>0</v>
      </c>
      <c r="L192" s="86">
        <f t="shared" si="223"/>
        <v>0</v>
      </c>
      <c r="M192" s="86">
        <f t="shared" si="222"/>
        <v>0</v>
      </c>
      <c r="N192" s="86">
        <f t="shared" si="223"/>
        <v>0</v>
      </c>
      <c r="O192" s="86">
        <f t="shared" si="223"/>
        <v>0</v>
      </c>
      <c r="P192" s="86">
        <f t="shared" si="223"/>
        <v>0</v>
      </c>
      <c r="Q192" s="86">
        <f t="shared" si="223"/>
        <v>0</v>
      </c>
      <c r="R192" s="86">
        <f t="shared" si="223"/>
        <v>0</v>
      </c>
      <c r="S192" s="86">
        <f t="shared" si="223"/>
        <v>0</v>
      </c>
      <c r="T192" s="86">
        <f t="shared" si="223"/>
        <v>0</v>
      </c>
      <c r="U192" s="86">
        <f t="shared" si="223"/>
        <v>0</v>
      </c>
      <c r="V192" s="86">
        <f t="shared" ref="V192:W192" si="224">IF(V55=0,0,V55*1000000/V82)</f>
        <v>0</v>
      </c>
      <c r="W192" s="86">
        <f t="shared" si="224"/>
        <v>0</v>
      </c>
      <c r="X192" s="86">
        <f t="shared" ref="X192:Y192" si="225">IF(X55=0,0,X55*1000000/X82)</f>
        <v>0</v>
      </c>
      <c r="Y192" s="86">
        <f t="shared" si="225"/>
        <v>0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16496.043614908565</v>
      </c>
      <c r="C195" s="28">
        <f t="shared" si="226"/>
        <v>16321.229335955522</v>
      </c>
      <c r="D195" s="28">
        <f t="shared" si="226"/>
        <v>16439.715843453552</v>
      </c>
      <c r="E195" s="28">
        <f t="shared" si="226"/>
        <v>16044.992383405523</v>
      </c>
      <c r="F195" s="28">
        <f t="shared" si="226"/>
        <v>15732.174632101198</v>
      </c>
      <c r="G195" s="28">
        <f t="shared" si="226"/>
        <v>15549.172423608428</v>
      </c>
      <c r="H195" s="28">
        <f t="shared" si="226"/>
        <v>15413.128907519143</v>
      </c>
      <c r="I195" s="28">
        <f t="shared" si="226"/>
        <v>14802.531279400686</v>
      </c>
      <c r="J195" s="28">
        <f t="shared" si="226"/>
        <v>14741.024530131843</v>
      </c>
      <c r="K195" s="28">
        <f t="shared" si="226"/>
        <v>14660.268981241452</v>
      </c>
      <c r="L195" s="28">
        <f t="shared" si="226"/>
        <v>14469.61629223019</v>
      </c>
      <c r="M195" s="28">
        <f>IF(M4=0,0,M4*1000000/M58)</f>
        <v>14425.397166658626</v>
      </c>
      <c r="N195" s="28">
        <f t="shared" ref="N195:V195" si="227">IF(N4=0,0,N4*1000000/N58)</f>
        <v>14340.907594589833</v>
      </c>
      <c r="O195" s="28">
        <f t="shared" si="227"/>
        <v>14299.526085934713</v>
      </c>
      <c r="P195" s="28">
        <f t="shared" si="227"/>
        <v>14427.575810030752</v>
      </c>
      <c r="Q195" s="28">
        <f t="shared" si="227"/>
        <v>14633.876566085206</v>
      </c>
      <c r="R195" s="28">
        <f t="shared" si="227"/>
        <v>14688.592922191914</v>
      </c>
      <c r="S195" s="28">
        <f t="shared" si="227"/>
        <v>14447.39167600889</v>
      </c>
      <c r="T195" s="28">
        <f t="shared" si="227"/>
        <v>14313.669778478161</v>
      </c>
      <c r="U195" s="28">
        <f t="shared" si="227"/>
        <v>14221.270907471897</v>
      </c>
      <c r="V195" s="28">
        <f t="shared" si="227"/>
        <v>11325.415224380537</v>
      </c>
      <c r="W195" s="28">
        <f t="shared" ref="W195:Y195" si="228">IF(W4=0,0,W4*1000000/W58)</f>
        <v>11900.63899741127</v>
      </c>
      <c r="X195" s="28">
        <f t="shared" si="228"/>
        <v>12775.165567534639</v>
      </c>
      <c r="Y195" s="28">
        <f t="shared" si="228"/>
        <v>13298.272073879409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3407.9789214063644</v>
      </c>
      <c r="C196" s="137">
        <f t="shared" si="229"/>
        <v>3461.4706265974651</v>
      </c>
      <c r="D196" s="137">
        <f t="shared" si="229"/>
        <v>3471.5407195243433</v>
      </c>
      <c r="E196" s="137">
        <f t="shared" si="229"/>
        <v>3427.5338379822488</v>
      </c>
      <c r="F196" s="137">
        <f t="shared" si="229"/>
        <v>3426.1529662094422</v>
      </c>
      <c r="G196" s="137">
        <f t="shared" si="229"/>
        <v>3465.8036901076271</v>
      </c>
      <c r="H196" s="137">
        <f t="shared" si="229"/>
        <v>3467.7152110907614</v>
      </c>
      <c r="I196" s="137">
        <f t="shared" si="229"/>
        <v>3437.1901521188174</v>
      </c>
      <c r="J196" s="137">
        <f t="shared" si="229"/>
        <v>3358.1591695726747</v>
      </c>
      <c r="K196" s="137">
        <f t="shared" si="229"/>
        <v>3380.5231972704987</v>
      </c>
      <c r="L196" s="137">
        <f t="shared" si="229"/>
        <v>3509.7376140889392</v>
      </c>
      <c r="M196" s="137">
        <f>IF(M5=0,0,M5*1000000/M59)</f>
        <v>3530.1502804269699</v>
      </c>
      <c r="N196" s="137">
        <f t="shared" ref="N196:V196" si="230">IF(N5=0,0,N5*1000000/N59)</f>
        <v>3452.3521436192841</v>
      </c>
      <c r="O196" s="137">
        <f t="shared" si="230"/>
        <v>3499.2687454747861</v>
      </c>
      <c r="P196" s="137">
        <f t="shared" si="230"/>
        <v>3463.7609262058995</v>
      </c>
      <c r="Q196" s="137">
        <f t="shared" si="230"/>
        <v>3543.5131530091185</v>
      </c>
      <c r="R196" s="137">
        <f t="shared" si="230"/>
        <v>3545.0350300946452</v>
      </c>
      <c r="S196" s="137">
        <f t="shared" si="230"/>
        <v>3316.790830238398</v>
      </c>
      <c r="T196" s="137">
        <f t="shared" si="230"/>
        <v>3123.1093431342661</v>
      </c>
      <c r="U196" s="137">
        <f t="shared" si="230"/>
        <v>3303.3180600278274</v>
      </c>
      <c r="V196" s="137">
        <f t="shared" si="230"/>
        <v>2904.5882971205442</v>
      </c>
      <c r="W196" s="137">
        <f t="shared" ref="W196:Y196" si="231">IF(W5=0,0,W5*1000000/W59)</f>
        <v>2957.7430559927639</v>
      </c>
      <c r="X196" s="137">
        <f t="shared" si="231"/>
        <v>2935.9538670832189</v>
      </c>
      <c r="Y196" s="137">
        <f t="shared" si="231"/>
        <v>3086.5960917374605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14606.741573033707</v>
      </c>
      <c r="C197" s="110">
        <f t="shared" si="232"/>
        <v>14282.194744866443</v>
      </c>
      <c r="D197" s="110">
        <f t="shared" si="232"/>
        <v>14254.82056310018</v>
      </c>
      <c r="E197" s="110">
        <f t="shared" si="232"/>
        <v>13718.962912519297</v>
      </c>
      <c r="F197" s="110">
        <f t="shared" si="232"/>
        <v>13705.405292669991</v>
      </c>
      <c r="G197" s="110">
        <f t="shared" si="232"/>
        <v>13516.024937066009</v>
      </c>
      <c r="H197" s="110">
        <f t="shared" si="232"/>
        <v>13406.802611645149</v>
      </c>
      <c r="I197" s="110">
        <f t="shared" si="232"/>
        <v>12897.385480950805</v>
      </c>
      <c r="J197" s="110">
        <f t="shared" si="232"/>
        <v>12964.553782605853</v>
      </c>
      <c r="K197" s="110">
        <f t="shared" si="232"/>
        <v>13029.202786512169</v>
      </c>
      <c r="L197" s="110">
        <f t="shared" si="232"/>
        <v>12752.565643291286</v>
      </c>
      <c r="M197" s="110">
        <f>IF(M6=0,0,M6*1000000/M60)</f>
        <v>12633.360364364946</v>
      </c>
      <c r="N197" s="110">
        <f t="shared" ref="N197:V197" si="233">IF(N6=0,0,N6*1000000/N60)</f>
        <v>12517.45996862215</v>
      </c>
      <c r="O197" s="110">
        <f t="shared" si="233"/>
        <v>12477.333216212079</v>
      </c>
      <c r="P197" s="110">
        <f t="shared" si="233"/>
        <v>12655.85175552944</v>
      </c>
      <c r="Q197" s="110">
        <f t="shared" si="233"/>
        <v>12708.359026995464</v>
      </c>
      <c r="R197" s="110">
        <f t="shared" si="233"/>
        <v>12737.910339384742</v>
      </c>
      <c r="S197" s="110">
        <f t="shared" si="233"/>
        <v>12458.972955094368</v>
      </c>
      <c r="T197" s="110">
        <f t="shared" si="233"/>
        <v>12334.771634500788</v>
      </c>
      <c r="U197" s="110">
        <f t="shared" si="233"/>
        <v>12275.059393867734</v>
      </c>
      <c r="V197" s="110">
        <f t="shared" si="233"/>
        <v>10446.682441987248</v>
      </c>
      <c r="W197" s="110">
        <f t="shared" ref="W197:Y209" si="234">IF(W6=0,0,W6*1000000/W60)</f>
        <v>10978.371204415924</v>
      </c>
      <c r="X197" s="110">
        <f t="shared" si="234"/>
        <v>11405.747511593579</v>
      </c>
      <c r="Y197" s="110">
        <f t="shared" si="234"/>
        <v>11748.072816331427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13524.319574191628</v>
      </c>
      <c r="C198" s="84">
        <f t="shared" si="232"/>
        <v>13218.727097869089</v>
      </c>
      <c r="D198" s="84">
        <f t="shared" si="232"/>
        <v>13261.048571254749</v>
      </c>
      <c r="E198" s="84">
        <f t="shared" si="232"/>
        <v>12843.577976134464</v>
      </c>
      <c r="F198" s="84">
        <f t="shared" si="232"/>
        <v>12948.111935617768</v>
      </c>
      <c r="G198" s="84">
        <f t="shared" si="232"/>
        <v>12843.130165685838</v>
      </c>
      <c r="H198" s="84">
        <f t="shared" si="232"/>
        <v>12803.29409351838</v>
      </c>
      <c r="I198" s="84">
        <f t="shared" si="232"/>
        <v>12391.689406484023</v>
      </c>
      <c r="J198" s="84">
        <f t="shared" si="232"/>
        <v>12513.17374488484</v>
      </c>
      <c r="K198" s="84">
        <f t="shared" si="232"/>
        <v>12613.544051539673</v>
      </c>
      <c r="L198" s="84">
        <f t="shared" si="232"/>
        <v>12405.240060988623</v>
      </c>
      <c r="M198" s="84">
        <f t="shared" ref="M198:M219" si="235">IF(M7=0,0,M7*1000000/M61)</f>
        <v>12342.261373336121</v>
      </c>
      <c r="N198" s="84">
        <f t="shared" si="232"/>
        <v>12323.38647296294</v>
      </c>
      <c r="O198" s="84">
        <f t="shared" si="232"/>
        <v>12358.445732748904</v>
      </c>
      <c r="P198" s="84">
        <f t="shared" si="232"/>
        <v>12582.250476224957</v>
      </c>
      <c r="Q198" s="84">
        <f t="shared" si="232"/>
        <v>12628.401457532524</v>
      </c>
      <c r="R198" s="84">
        <f t="shared" si="232"/>
        <v>12783.084027646293</v>
      </c>
      <c r="S198" s="84">
        <f t="shared" si="232"/>
        <v>12471.046093826772</v>
      </c>
      <c r="T198" s="84">
        <f t="shared" si="232"/>
        <v>12305.482078223411</v>
      </c>
      <c r="U198" s="84">
        <f t="shared" si="232"/>
        <v>12193.336346382575</v>
      </c>
      <c r="V198" s="84">
        <f t="shared" si="232"/>
        <v>10330.388628200873</v>
      </c>
      <c r="W198" s="84">
        <f t="shared" si="234"/>
        <v>10858.34272920255</v>
      </c>
      <c r="X198" s="84">
        <f t="shared" si="234"/>
        <v>11282.927848823214</v>
      </c>
      <c r="Y198" s="84">
        <f t="shared" si="234"/>
        <v>11625.044611988134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23157.875363886131</v>
      </c>
      <c r="C199" s="84">
        <f t="shared" si="232"/>
        <v>22270.370326159689</v>
      </c>
      <c r="D199" s="84">
        <f t="shared" si="232"/>
        <v>21872.741133653184</v>
      </c>
      <c r="E199" s="84">
        <f t="shared" si="232"/>
        <v>20718.580017452172</v>
      </c>
      <c r="F199" s="84">
        <f t="shared" si="232"/>
        <v>20468.034971146375</v>
      </c>
      <c r="G199" s="84">
        <f t="shared" si="232"/>
        <v>20069.032368199387</v>
      </c>
      <c r="H199" s="84">
        <f t="shared" si="232"/>
        <v>19748.782098603482</v>
      </c>
      <c r="I199" s="84">
        <f t="shared" si="232"/>
        <v>18229.177034144399</v>
      </c>
      <c r="J199" s="84">
        <f t="shared" si="232"/>
        <v>17487.202769678886</v>
      </c>
      <c r="K199" s="84">
        <f t="shared" si="232"/>
        <v>16973.837226549913</v>
      </c>
      <c r="L199" s="84">
        <f t="shared" si="232"/>
        <v>15883.246972020437</v>
      </c>
      <c r="M199" s="84">
        <f t="shared" si="235"/>
        <v>15187.81855251436</v>
      </c>
      <c r="N199" s="84">
        <f t="shared" si="232"/>
        <v>14197.057939684812</v>
      </c>
      <c r="O199" s="84">
        <f t="shared" si="232"/>
        <v>13476.130739610962</v>
      </c>
      <c r="P199" s="84">
        <f t="shared" si="232"/>
        <v>13224.187586371108</v>
      </c>
      <c r="Q199" s="84">
        <f t="shared" si="232"/>
        <v>13272.69315659954</v>
      </c>
      <c r="R199" s="84">
        <f t="shared" si="232"/>
        <v>12458.157152124006</v>
      </c>
      <c r="S199" s="84">
        <f t="shared" si="232"/>
        <v>12397.131770964432</v>
      </c>
      <c r="T199" s="84">
        <f t="shared" si="232"/>
        <v>12477.200013123278</v>
      </c>
      <c r="U199" s="84">
        <f t="shared" si="232"/>
        <v>12610.759120452714</v>
      </c>
      <c r="V199" s="84">
        <f t="shared" si="232"/>
        <v>10881.923109944175</v>
      </c>
      <c r="W199" s="84">
        <f t="shared" si="234"/>
        <v>11412.32734155244</v>
      </c>
      <c r="X199" s="84">
        <f t="shared" si="234"/>
        <v>11858.574479841011</v>
      </c>
      <c r="Y199" s="84">
        <f t="shared" si="234"/>
        <v>12218.145787142841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0</v>
      </c>
      <c r="C200" s="84">
        <f t="shared" si="232"/>
        <v>0</v>
      </c>
      <c r="D200" s="84">
        <f t="shared" si="232"/>
        <v>0</v>
      </c>
      <c r="E200" s="84">
        <f t="shared" si="232"/>
        <v>0</v>
      </c>
      <c r="F200" s="84">
        <f t="shared" si="232"/>
        <v>0</v>
      </c>
      <c r="G200" s="84">
        <f t="shared" si="232"/>
        <v>0</v>
      </c>
      <c r="H200" s="84">
        <f t="shared" si="232"/>
        <v>0</v>
      </c>
      <c r="I200" s="84">
        <f t="shared" si="232"/>
        <v>0</v>
      </c>
      <c r="J200" s="84">
        <f t="shared" si="232"/>
        <v>0</v>
      </c>
      <c r="K200" s="84">
        <f t="shared" si="232"/>
        <v>0</v>
      </c>
      <c r="L200" s="84">
        <f t="shared" si="232"/>
        <v>0</v>
      </c>
      <c r="M200" s="84">
        <f t="shared" si="235"/>
        <v>0</v>
      </c>
      <c r="N200" s="84">
        <f t="shared" si="232"/>
        <v>0</v>
      </c>
      <c r="O200" s="84">
        <f t="shared" si="232"/>
        <v>0</v>
      </c>
      <c r="P200" s="84">
        <f t="shared" si="232"/>
        <v>0</v>
      </c>
      <c r="Q200" s="84">
        <f t="shared" si="232"/>
        <v>0</v>
      </c>
      <c r="R200" s="84">
        <f t="shared" si="232"/>
        <v>0</v>
      </c>
      <c r="S200" s="84">
        <f t="shared" si="232"/>
        <v>0</v>
      </c>
      <c r="T200" s="84">
        <f t="shared" si="232"/>
        <v>11590.998399212373</v>
      </c>
      <c r="U200" s="84">
        <f t="shared" si="232"/>
        <v>11616.580259194505</v>
      </c>
      <c r="V200" s="84">
        <f t="shared" si="232"/>
        <v>9601.4322965922493</v>
      </c>
      <c r="W200" s="84">
        <f t="shared" si="234"/>
        <v>10356.504533409252</v>
      </c>
      <c r="X200" s="84">
        <f t="shared" si="234"/>
        <v>11075.4129224564</v>
      </c>
      <c r="Y200" s="84">
        <f t="shared" si="234"/>
        <v>11269.120937809044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0</v>
      </c>
      <c r="M201" s="84">
        <f t="shared" si="235"/>
        <v>0</v>
      </c>
      <c r="N201" s="84">
        <f t="shared" si="232"/>
        <v>0</v>
      </c>
      <c r="O201" s="84">
        <f t="shared" si="232"/>
        <v>0</v>
      </c>
      <c r="P201" s="84">
        <f t="shared" si="232"/>
        <v>0</v>
      </c>
      <c r="Q201" s="84">
        <f t="shared" si="232"/>
        <v>0</v>
      </c>
      <c r="R201" s="84">
        <f t="shared" si="232"/>
        <v>0</v>
      </c>
      <c r="S201" s="84">
        <f t="shared" si="232"/>
        <v>0</v>
      </c>
      <c r="T201" s="84">
        <f t="shared" si="232"/>
        <v>0</v>
      </c>
      <c r="U201" s="84">
        <f t="shared" si="232"/>
        <v>0</v>
      </c>
      <c r="V201" s="84">
        <f t="shared" si="232"/>
        <v>0</v>
      </c>
      <c r="W201" s="84">
        <f t="shared" si="234"/>
        <v>0</v>
      </c>
      <c r="X201" s="84">
        <f t="shared" si="234"/>
        <v>0</v>
      </c>
      <c r="Y201" s="84">
        <f t="shared" si="234"/>
        <v>0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0</v>
      </c>
      <c r="O202" s="84">
        <f t="shared" si="232"/>
        <v>0</v>
      </c>
      <c r="P202" s="84">
        <f t="shared" si="232"/>
        <v>11202.813622191557</v>
      </c>
      <c r="Q202" s="84">
        <f t="shared" si="232"/>
        <v>11236.279530699252</v>
      </c>
      <c r="R202" s="84">
        <f t="shared" si="232"/>
        <v>11158.521384064963</v>
      </c>
      <c r="S202" s="84">
        <f t="shared" si="232"/>
        <v>11419.166967895613</v>
      </c>
      <c r="T202" s="84">
        <f t="shared" si="232"/>
        <v>11288.809462707735</v>
      </c>
      <c r="U202" s="84">
        <f t="shared" si="232"/>
        <v>11210.591325466456</v>
      </c>
      <c r="V202" s="84">
        <f t="shared" si="232"/>
        <v>9762.8968211931951</v>
      </c>
      <c r="W202" s="84">
        <f t="shared" si="234"/>
        <v>10081.025249879749</v>
      </c>
      <c r="X202" s="84">
        <f t="shared" si="234"/>
        <v>10412.547923763435</v>
      </c>
      <c r="Y202" s="84">
        <f t="shared" si="234"/>
        <v>10643.467361355488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0</v>
      </c>
      <c r="N203" s="84">
        <f t="shared" si="232"/>
        <v>0</v>
      </c>
      <c r="O203" s="84">
        <f t="shared" si="232"/>
        <v>12323.325071681291</v>
      </c>
      <c r="P203" s="84">
        <f t="shared" si="232"/>
        <v>12508.464985607125</v>
      </c>
      <c r="Q203" s="84">
        <f t="shared" si="232"/>
        <v>12560.342416004438</v>
      </c>
      <c r="R203" s="84">
        <f t="shared" si="232"/>
        <v>11653.187133712578</v>
      </c>
      <c r="S203" s="84">
        <f t="shared" si="232"/>
        <v>11635.283510105672</v>
      </c>
      <c r="T203" s="84">
        <f t="shared" si="232"/>
        <v>11610.628678245104</v>
      </c>
      <c r="U203" s="84">
        <f t="shared" si="232"/>
        <v>11577.01337032391</v>
      </c>
      <c r="V203" s="84">
        <f t="shared" si="232"/>
        <v>10190.234921918167</v>
      </c>
      <c r="W203" s="84">
        <f t="shared" si="234"/>
        <v>11285.040113770534</v>
      </c>
      <c r="X203" s="84">
        <f t="shared" si="234"/>
        <v>11457.905578798984</v>
      </c>
      <c r="Y203" s="84">
        <f t="shared" si="234"/>
        <v>11682.141769056763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379789.75924042048</v>
      </c>
      <c r="C204" s="110">
        <f t="shared" si="232"/>
        <v>386280.3862803863</v>
      </c>
      <c r="D204" s="110">
        <f t="shared" si="232"/>
        <v>400400.40040040039</v>
      </c>
      <c r="E204" s="110">
        <f t="shared" si="232"/>
        <v>390839.69465648854</v>
      </c>
      <c r="F204" s="110">
        <f t="shared" si="232"/>
        <v>387621.13160362613</v>
      </c>
      <c r="G204" s="110">
        <f t="shared" si="232"/>
        <v>391669.257071806</v>
      </c>
      <c r="H204" s="110">
        <f t="shared" si="232"/>
        <v>397392.11425023276</v>
      </c>
      <c r="I204" s="110">
        <f t="shared" si="232"/>
        <v>394896.7193195626</v>
      </c>
      <c r="J204" s="110">
        <f t="shared" si="232"/>
        <v>390946.50205761316</v>
      </c>
      <c r="K204" s="110">
        <f t="shared" si="232"/>
        <v>372052.22446263675</v>
      </c>
      <c r="L204" s="110">
        <f t="shared" si="232"/>
        <v>379077.28474875109</v>
      </c>
      <c r="M204" s="110">
        <f t="shared" si="235"/>
        <v>382739.0447900148</v>
      </c>
      <c r="N204" s="110">
        <f t="shared" si="232"/>
        <v>383805.24906451436</v>
      </c>
      <c r="O204" s="110">
        <f t="shared" si="232"/>
        <v>385123.54106118006</v>
      </c>
      <c r="P204" s="110">
        <f t="shared" si="232"/>
        <v>392877.70631744544</v>
      </c>
      <c r="Q204" s="110">
        <f t="shared" si="232"/>
        <v>401892.18509420956</v>
      </c>
      <c r="R204" s="110">
        <f t="shared" si="232"/>
        <v>414060.79311256733</v>
      </c>
      <c r="S204" s="110">
        <f t="shared" si="232"/>
        <v>435629.53180543805</v>
      </c>
      <c r="T204" s="110">
        <f t="shared" si="232"/>
        <v>463412.59037893999</v>
      </c>
      <c r="U204" s="110">
        <f t="shared" si="232"/>
        <v>471245.50784555345</v>
      </c>
      <c r="V204" s="110">
        <f t="shared" si="232"/>
        <v>325901.79742046515</v>
      </c>
      <c r="W204" s="110">
        <f t="shared" si="234"/>
        <v>336969.66738196992</v>
      </c>
      <c r="X204" s="110">
        <f t="shared" si="234"/>
        <v>439208.90872864035</v>
      </c>
      <c r="Y204" s="110">
        <f t="shared" si="234"/>
        <v>468427.1066466351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188276.93996710985</v>
      </c>
      <c r="C205" s="102">
        <f t="shared" si="232"/>
        <v>188436.57263191987</v>
      </c>
      <c r="D205" s="102">
        <f t="shared" si="232"/>
        <v>188775.20266027929</v>
      </c>
      <c r="E205" s="102">
        <f t="shared" si="232"/>
        <v>188547.34397640935</v>
      </c>
      <c r="F205" s="102">
        <f t="shared" si="232"/>
        <v>188469.60656269736</v>
      </c>
      <c r="G205" s="102">
        <f t="shared" si="232"/>
        <v>188567.90165712193</v>
      </c>
      <c r="H205" s="102">
        <f t="shared" si="232"/>
        <v>188705.39720629223</v>
      </c>
      <c r="I205" s="102">
        <f t="shared" si="232"/>
        <v>188647.26508617145</v>
      </c>
      <c r="J205" s="102">
        <f t="shared" si="232"/>
        <v>188554.96814589025</v>
      </c>
      <c r="K205" s="102">
        <f t="shared" si="232"/>
        <v>188093.45948708561</v>
      </c>
      <c r="L205" s="102">
        <f t="shared" si="232"/>
        <v>188279.32256425681</v>
      </c>
      <c r="M205" s="102">
        <f t="shared" si="235"/>
        <v>188376.41247605195</v>
      </c>
      <c r="N205" s="102">
        <f t="shared" si="232"/>
        <v>188409.3381504397</v>
      </c>
      <c r="O205" s="102">
        <f t="shared" si="232"/>
        <v>188446.80892150075</v>
      </c>
      <c r="P205" s="102">
        <f t="shared" si="232"/>
        <v>188638.57623571935</v>
      </c>
      <c r="Q205" s="102">
        <f t="shared" si="232"/>
        <v>188852.81335780228</v>
      </c>
      <c r="R205" s="102">
        <f t="shared" si="232"/>
        <v>191035.22897794575</v>
      </c>
      <c r="S205" s="102">
        <f t="shared" si="232"/>
        <v>197538.97419654531</v>
      </c>
      <c r="T205" s="102">
        <f t="shared" si="232"/>
        <v>206636.57323335635</v>
      </c>
      <c r="U205" s="102">
        <f t="shared" si="232"/>
        <v>206115.05645654938</v>
      </c>
      <c r="V205" s="102">
        <f t="shared" si="232"/>
        <v>167009.74499056776</v>
      </c>
      <c r="W205" s="102">
        <f t="shared" si="234"/>
        <v>195542.0486052327</v>
      </c>
      <c r="X205" s="102">
        <f t="shared" si="234"/>
        <v>208720.58710009043</v>
      </c>
      <c r="Y205" s="102">
        <f t="shared" si="234"/>
        <v>200972.14202973887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390269.53797747928</v>
      </c>
      <c r="C206" s="102">
        <f t="shared" si="232"/>
        <v>396755.28665237734</v>
      </c>
      <c r="D206" s="102">
        <f t="shared" si="232"/>
        <v>411237.74830291094</v>
      </c>
      <c r="E206" s="102">
        <f t="shared" si="232"/>
        <v>400346.40039497049</v>
      </c>
      <c r="F206" s="102">
        <f t="shared" si="232"/>
        <v>397076.59038913198</v>
      </c>
      <c r="G206" s="102">
        <f t="shared" si="232"/>
        <v>401186.5350346159</v>
      </c>
      <c r="H206" s="102">
        <f t="shared" si="232"/>
        <v>407371.60267100681</v>
      </c>
      <c r="I206" s="102">
        <f t="shared" si="232"/>
        <v>404468.37231322919</v>
      </c>
      <c r="J206" s="102">
        <f t="shared" si="232"/>
        <v>400110.10417979769</v>
      </c>
      <c r="K206" s="102">
        <f t="shared" si="232"/>
        <v>380083.26497077668</v>
      </c>
      <c r="L206" s="102">
        <f t="shared" si="232"/>
        <v>387646.57414177008</v>
      </c>
      <c r="M206" s="102">
        <f t="shared" si="235"/>
        <v>391435.40634541353</v>
      </c>
      <c r="N206" s="102">
        <f t="shared" si="232"/>
        <v>392360.85062491469</v>
      </c>
      <c r="O206" s="102">
        <f t="shared" si="232"/>
        <v>393771.73254352936</v>
      </c>
      <c r="P206" s="102">
        <f t="shared" si="232"/>
        <v>395978.98694998038</v>
      </c>
      <c r="Q206" s="102">
        <f t="shared" si="232"/>
        <v>404644.80963265116</v>
      </c>
      <c r="R206" s="102">
        <f t="shared" si="232"/>
        <v>416859.32298398169</v>
      </c>
      <c r="S206" s="102">
        <f t="shared" si="232"/>
        <v>438665.96941080567</v>
      </c>
      <c r="T206" s="102">
        <f t="shared" si="232"/>
        <v>466796.57222727907</v>
      </c>
      <c r="U206" s="102">
        <f t="shared" si="232"/>
        <v>474773.22561451665</v>
      </c>
      <c r="V206" s="102">
        <f t="shared" si="232"/>
        <v>328572.00321700249</v>
      </c>
      <c r="W206" s="102">
        <f t="shared" si="234"/>
        <v>339199.42471040459</v>
      </c>
      <c r="X206" s="102">
        <f t="shared" si="234"/>
        <v>442241.06207771803</v>
      </c>
      <c r="Y206" s="102">
        <f t="shared" si="234"/>
        <v>473284.91455350636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0</v>
      </c>
      <c r="D208" s="102">
        <f t="shared" si="232"/>
        <v>0</v>
      </c>
      <c r="E208" s="102">
        <f t="shared" si="232"/>
        <v>0</v>
      </c>
      <c r="F208" s="102">
        <f t="shared" si="232"/>
        <v>0</v>
      </c>
      <c r="G208" s="102">
        <f t="shared" si="232"/>
        <v>0</v>
      </c>
      <c r="H208" s="102">
        <f t="shared" si="232"/>
        <v>0</v>
      </c>
      <c r="I208" s="102">
        <f t="shared" si="232"/>
        <v>0</v>
      </c>
      <c r="J208" s="102">
        <f t="shared" si="232"/>
        <v>0</v>
      </c>
      <c r="K208" s="102">
        <f t="shared" si="232"/>
        <v>0</v>
      </c>
      <c r="L208" s="102">
        <f t="shared" si="232"/>
        <v>0</v>
      </c>
      <c r="M208" s="102">
        <f t="shared" si="235"/>
        <v>0</v>
      </c>
      <c r="N208" s="102">
        <f t="shared" si="232"/>
        <v>0</v>
      </c>
      <c r="O208" s="102">
        <f t="shared" si="232"/>
        <v>0</v>
      </c>
      <c r="P208" s="102">
        <f t="shared" si="232"/>
        <v>0</v>
      </c>
      <c r="Q208" s="102">
        <f t="shared" si="232"/>
        <v>0</v>
      </c>
      <c r="R208" s="102">
        <f t="shared" si="232"/>
        <v>0</v>
      </c>
      <c r="S208" s="102">
        <f t="shared" si="232"/>
        <v>0</v>
      </c>
      <c r="T208" s="102">
        <f t="shared" si="232"/>
        <v>0</v>
      </c>
      <c r="U208" s="102">
        <f t="shared" si="232"/>
        <v>0</v>
      </c>
      <c r="V208" s="102">
        <f t="shared" si="232"/>
        <v>0</v>
      </c>
      <c r="W208" s="102">
        <f t="shared" si="234"/>
        <v>0</v>
      </c>
      <c r="X208" s="102">
        <f t="shared" si="234"/>
        <v>0</v>
      </c>
      <c r="Y208" s="102">
        <f t="shared" si="234"/>
        <v>0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324140.68149224337</v>
      </c>
      <c r="K209" s="102">
        <f t="shared" si="232"/>
        <v>327556.54204773885</v>
      </c>
      <c r="L209" s="102">
        <f t="shared" si="232"/>
        <v>333973.50001520885</v>
      </c>
      <c r="M209" s="102">
        <f t="shared" si="235"/>
        <v>337362.79422031518</v>
      </c>
      <c r="N209" s="102">
        <f t="shared" si="232"/>
        <v>340305.85741753812</v>
      </c>
      <c r="O209" s="102">
        <f t="shared" si="232"/>
        <v>342458.08268839389</v>
      </c>
      <c r="P209" s="102">
        <f t="shared" si="232"/>
        <v>342251.20568009821</v>
      </c>
      <c r="Q209" s="102">
        <f t="shared" si="232"/>
        <v>343467.53053332696</v>
      </c>
      <c r="R209" s="102">
        <f t="shared" si="232"/>
        <v>342778.10920048953</v>
      </c>
      <c r="S209" s="102">
        <f t="shared" si="232"/>
        <v>341774.76231196034</v>
      </c>
      <c r="T209" s="102">
        <f t="shared" si="232"/>
        <v>340618.60664006637</v>
      </c>
      <c r="U209" s="102">
        <f t="shared" si="232"/>
        <v>340297.14954883954</v>
      </c>
      <c r="V209" s="102">
        <f t="shared" si="232"/>
        <v>235766.33191893477</v>
      </c>
      <c r="W209" s="102">
        <f t="shared" si="234"/>
        <v>241929.47501762543</v>
      </c>
      <c r="X209" s="102">
        <f t="shared" si="234"/>
        <v>292286.07727365394</v>
      </c>
      <c r="Y209" s="102">
        <f t="shared" si="234"/>
        <v>318642.52473317244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12598.467777318456</v>
      </c>
      <c r="C210" s="28">
        <f t="shared" si="232"/>
        <v>12363.58898194231</v>
      </c>
      <c r="D210" s="28">
        <f t="shared" si="232"/>
        <v>12396.225629143824</v>
      </c>
      <c r="E210" s="28">
        <f t="shared" si="232"/>
        <v>12926.054316892698</v>
      </c>
      <c r="F210" s="28">
        <f t="shared" ref="B210:V219" si="236">IF(F19=0,0,F19*1000000/F73)</f>
        <v>10755.186084531138</v>
      </c>
      <c r="G210" s="28">
        <f t="shared" si="236"/>
        <v>13052.883793565466</v>
      </c>
      <c r="H210" s="28">
        <f t="shared" si="236"/>
        <v>11274.052784410989</v>
      </c>
      <c r="I210" s="28">
        <f t="shared" si="236"/>
        <v>11932.553232969076</v>
      </c>
      <c r="J210" s="28">
        <f t="shared" si="236"/>
        <v>12749.642234139334</v>
      </c>
      <c r="K210" s="28">
        <f t="shared" si="236"/>
        <v>9488.2481471343417</v>
      </c>
      <c r="L210" s="28">
        <f t="shared" si="236"/>
        <v>10579.910430436636</v>
      </c>
      <c r="M210" s="28">
        <f t="shared" si="235"/>
        <v>9415.3572941065595</v>
      </c>
      <c r="N210" s="28">
        <f t="shared" si="236"/>
        <v>9157.408613890273</v>
      </c>
      <c r="O210" s="28">
        <f t="shared" si="236"/>
        <v>7086.8621838061399</v>
      </c>
      <c r="P210" s="28">
        <f t="shared" si="236"/>
        <v>6447.1761448500956</v>
      </c>
      <c r="Q210" s="28">
        <f t="shared" si="236"/>
        <v>6681.885340864188</v>
      </c>
      <c r="R210" s="28">
        <f t="shared" si="236"/>
        <v>7889.2945552193987</v>
      </c>
      <c r="S210" s="28">
        <f t="shared" si="236"/>
        <v>8950.9537613292123</v>
      </c>
      <c r="T210" s="28">
        <f t="shared" si="236"/>
        <v>9333.4593340977754</v>
      </c>
      <c r="U210" s="28">
        <f t="shared" si="236"/>
        <v>8732.3716164075413</v>
      </c>
      <c r="V210" s="28">
        <f t="shared" si="236"/>
        <v>7197.3596171464933</v>
      </c>
      <c r="W210" s="28">
        <f t="shared" ref="W210:Y210" si="237">IF(W19=0,0,W19*1000000/W73)</f>
        <v>7348.6491838401325</v>
      </c>
      <c r="X210" s="28">
        <f t="shared" si="237"/>
        <v>8974.2007713546209</v>
      </c>
      <c r="Y210" s="28">
        <f t="shared" si="237"/>
        <v>9205.039165805385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1643.4860555517635</v>
      </c>
      <c r="C211" s="137">
        <f t="shared" si="236"/>
        <v>1649.2272573667053</v>
      </c>
      <c r="D211" s="137">
        <f t="shared" si="236"/>
        <v>1696.1062654837121</v>
      </c>
      <c r="E211" s="137">
        <f t="shared" si="236"/>
        <v>1689.2407733349853</v>
      </c>
      <c r="F211" s="137">
        <f t="shared" si="236"/>
        <v>1610.0320656966887</v>
      </c>
      <c r="G211" s="137">
        <f t="shared" si="236"/>
        <v>1745.4840983862816</v>
      </c>
      <c r="H211" s="137">
        <f t="shared" si="236"/>
        <v>1675.1882486604948</v>
      </c>
      <c r="I211" s="137">
        <f t="shared" si="236"/>
        <v>1681.1965784297317</v>
      </c>
      <c r="J211" s="137">
        <f t="shared" si="236"/>
        <v>1754.3658575325189</v>
      </c>
      <c r="K211" s="137">
        <f t="shared" si="236"/>
        <v>1639.1410301143235</v>
      </c>
      <c r="L211" s="137">
        <f t="shared" si="236"/>
        <v>1648.1166836330058</v>
      </c>
      <c r="M211" s="137">
        <f t="shared" si="235"/>
        <v>1666.6397512276217</v>
      </c>
      <c r="N211" s="137">
        <f t="shared" si="236"/>
        <v>1682.1532378454485</v>
      </c>
      <c r="O211" s="137">
        <f t="shared" si="236"/>
        <v>1610.1584962275026</v>
      </c>
      <c r="P211" s="137">
        <f t="shared" si="236"/>
        <v>1594.0947619128499</v>
      </c>
      <c r="Q211" s="137">
        <f t="shared" si="236"/>
        <v>1586.9329145741854</v>
      </c>
      <c r="R211" s="137">
        <f t="shared" si="236"/>
        <v>1647.410581682783</v>
      </c>
      <c r="S211" s="137">
        <f t="shared" si="236"/>
        <v>1709.7214541789392</v>
      </c>
      <c r="T211" s="137">
        <f t="shared" si="236"/>
        <v>1749.4308622251565</v>
      </c>
      <c r="U211" s="137">
        <f t="shared" si="236"/>
        <v>1688.0952825567497</v>
      </c>
      <c r="V211" s="137">
        <f t="shared" si="236"/>
        <v>1627.4073093187046</v>
      </c>
      <c r="W211" s="137">
        <f t="shared" ref="W211:Y211" si="238">IF(W20=0,0,W20*1000000/W74)</f>
        <v>1592.632282846163</v>
      </c>
      <c r="X211" s="137">
        <f t="shared" si="238"/>
        <v>1556.0155660224268</v>
      </c>
      <c r="Y211" s="137">
        <f t="shared" si="238"/>
        <v>1497.339230528137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1002.5908180067987</v>
      </c>
      <c r="C212" s="84">
        <f t="shared" si="236"/>
        <v>1006.6532083034879</v>
      </c>
      <c r="D212" s="84">
        <f t="shared" si="236"/>
        <v>1032.6574167620111</v>
      </c>
      <c r="E212" s="84">
        <f t="shared" si="236"/>
        <v>1031.0755580896521</v>
      </c>
      <c r="F212" s="84">
        <f t="shared" si="236"/>
        <v>979.11712370841371</v>
      </c>
      <c r="G212" s="84">
        <f t="shared" si="236"/>
        <v>1052.3112061728461</v>
      </c>
      <c r="H212" s="84">
        <f t="shared" si="236"/>
        <v>1009.9301810106998</v>
      </c>
      <c r="I212" s="84">
        <f t="shared" si="236"/>
        <v>1011.6756251716524</v>
      </c>
      <c r="J212" s="84">
        <f t="shared" si="236"/>
        <v>1056.7593244025095</v>
      </c>
      <c r="K212" s="84">
        <f t="shared" si="236"/>
        <v>987.27100098625272</v>
      </c>
      <c r="L212" s="84">
        <f t="shared" si="236"/>
        <v>991.66756952969513</v>
      </c>
      <c r="M212" s="84">
        <f t="shared" si="235"/>
        <v>1002.4095369090062</v>
      </c>
      <c r="N212" s="84">
        <f t="shared" si="236"/>
        <v>1011.5762113263221</v>
      </c>
      <c r="O212" s="84">
        <f t="shared" si="236"/>
        <v>968.34114514726764</v>
      </c>
      <c r="P212" s="84">
        <f t="shared" si="236"/>
        <v>958.41060794064094</v>
      </c>
      <c r="Q212" s="84">
        <f t="shared" si="236"/>
        <v>954.04497725625652</v>
      </c>
      <c r="R212" s="84">
        <f t="shared" si="236"/>
        <v>982.4846336955934</v>
      </c>
      <c r="S212" s="84">
        <f t="shared" si="236"/>
        <v>1011.2895272559665</v>
      </c>
      <c r="T212" s="84">
        <f t="shared" si="236"/>
        <v>1026.4751348359946</v>
      </c>
      <c r="U212" s="84">
        <f t="shared" si="236"/>
        <v>998.32856220358076</v>
      </c>
      <c r="V212" s="84">
        <f t="shared" si="236"/>
        <v>970.20723475843272</v>
      </c>
      <c r="W212" s="84">
        <f t="shared" ref="W212:Y212" si="239">IF(W21=0,0,W21*1000000/W75)</f>
        <v>942.80083300667707</v>
      </c>
      <c r="X212" s="84">
        <f t="shared" si="239"/>
        <v>916.81988838971654</v>
      </c>
      <c r="Y212" s="84">
        <f t="shared" si="239"/>
        <v>891.52916055763819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1704.2690144191438</v>
      </c>
      <c r="C213" s="84">
        <f t="shared" si="236"/>
        <v>1711.1745293937265</v>
      </c>
      <c r="D213" s="84">
        <f t="shared" si="236"/>
        <v>1755.3781725195072</v>
      </c>
      <c r="E213" s="84">
        <f t="shared" si="236"/>
        <v>1752.6892263691218</v>
      </c>
      <c r="F213" s="84">
        <f t="shared" si="236"/>
        <v>1664.3669036794736</v>
      </c>
      <c r="G213" s="84">
        <f t="shared" si="236"/>
        <v>1788.7869607382104</v>
      </c>
      <c r="H213" s="84">
        <f t="shared" si="236"/>
        <v>1716.744940518279</v>
      </c>
      <c r="I213" s="84">
        <f t="shared" si="236"/>
        <v>1719.7119599109205</v>
      </c>
      <c r="J213" s="84">
        <f t="shared" si="236"/>
        <v>1796.3481611154091</v>
      </c>
      <c r="K213" s="84">
        <f t="shared" si="236"/>
        <v>1678.2273940634018</v>
      </c>
      <c r="L213" s="84">
        <f t="shared" si="236"/>
        <v>1685.7009669345912</v>
      </c>
      <c r="M213" s="84">
        <f t="shared" si="235"/>
        <v>1703.9608610306257</v>
      </c>
      <c r="N213" s="84">
        <f t="shared" si="236"/>
        <v>1719.5429697973489</v>
      </c>
      <c r="O213" s="84">
        <f t="shared" si="236"/>
        <v>1646.0491951667257</v>
      </c>
      <c r="P213" s="84">
        <f t="shared" si="236"/>
        <v>1629.1686227997884</v>
      </c>
      <c r="Q213" s="84">
        <f t="shared" si="236"/>
        <v>1621.7476401115709</v>
      </c>
      <c r="R213" s="84">
        <f t="shared" si="236"/>
        <v>1683.4386381038144</v>
      </c>
      <c r="S213" s="84">
        <f t="shared" si="236"/>
        <v>1746.6429409517109</v>
      </c>
      <c r="T213" s="84">
        <f t="shared" si="236"/>
        <v>1787.0395153685024</v>
      </c>
      <c r="U213" s="84">
        <f t="shared" si="236"/>
        <v>1724.1195420825609</v>
      </c>
      <c r="V213" s="84">
        <f t="shared" si="236"/>
        <v>1662.1359482866824</v>
      </c>
      <c r="W213" s="84">
        <f t="shared" ref="W213:Y213" si="240">IF(W22=0,0,W22*1000000/W76)</f>
        <v>1628.092554502502</v>
      </c>
      <c r="X213" s="84">
        <f t="shared" si="240"/>
        <v>1595.8800933012806</v>
      </c>
      <c r="Y213" s="84">
        <f t="shared" si="240"/>
        <v>1539.4299804306211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886.02252572228076</v>
      </c>
      <c r="J216" s="84">
        <f t="shared" si="236"/>
        <v>905.53418020250126</v>
      </c>
      <c r="K216" s="84">
        <f t="shared" si="236"/>
        <v>936.85141158488261</v>
      </c>
      <c r="L216" s="84">
        <f t="shared" si="236"/>
        <v>938.94521270073187</v>
      </c>
      <c r="M216" s="84">
        <f t="shared" si="235"/>
        <v>944.01579428400271</v>
      </c>
      <c r="N216" s="84">
        <f t="shared" si="236"/>
        <v>948.30656899629196</v>
      </c>
      <c r="O216" s="84">
        <f t="shared" si="236"/>
        <v>969.24768772123468</v>
      </c>
      <c r="P216" s="84">
        <f t="shared" si="236"/>
        <v>974.2472227428683</v>
      </c>
      <c r="Q216" s="84">
        <f t="shared" si="236"/>
        <v>976.471922416947</v>
      </c>
      <c r="R216" s="84">
        <f t="shared" si="236"/>
        <v>974.08461411341943</v>
      </c>
      <c r="S216" s="84">
        <f t="shared" si="236"/>
        <v>971.74177124019877</v>
      </c>
      <c r="T216" s="84">
        <f t="shared" si="236"/>
        <v>970.53558011214102</v>
      </c>
      <c r="U216" s="84">
        <f t="shared" si="236"/>
        <v>968.28948700246747</v>
      </c>
      <c r="V216" s="84">
        <f t="shared" si="236"/>
        <v>951.1512857796223</v>
      </c>
      <c r="W216" s="84">
        <f t="shared" ref="W216:Y216" si="243">IF(W25=0,0,W25*1000000/W79)</f>
        <v>963.68275716885898</v>
      </c>
      <c r="X216" s="84">
        <f t="shared" si="243"/>
        <v>966.06867438852908</v>
      </c>
      <c r="Y216" s="84">
        <f t="shared" si="243"/>
        <v>963.81931916812835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87252.897068847989</v>
      </c>
      <c r="C217" s="110">
        <f t="shared" si="236"/>
        <v>80029.778522240827</v>
      </c>
      <c r="D217" s="110">
        <f t="shared" si="236"/>
        <v>83937.079825076697</v>
      </c>
      <c r="E217" s="110">
        <f t="shared" si="236"/>
        <v>89169.487112731076</v>
      </c>
      <c r="F217" s="110">
        <f t="shared" si="236"/>
        <v>72177.102436468427</v>
      </c>
      <c r="G217" s="110">
        <f t="shared" si="236"/>
        <v>70668.106773646039</v>
      </c>
      <c r="H217" s="110">
        <f t="shared" si="236"/>
        <v>59437.292358803999</v>
      </c>
      <c r="I217" s="110">
        <f t="shared" si="236"/>
        <v>68566.133889274963</v>
      </c>
      <c r="J217" s="110">
        <f t="shared" si="236"/>
        <v>71138.434515314526</v>
      </c>
      <c r="K217" s="110">
        <f t="shared" si="236"/>
        <v>49082.306452451514</v>
      </c>
      <c r="L217" s="110">
        <f t="shared" si="236"/>
        <v>56105.26315789474</v>
      </c>
      <c r="M217" s="110">
        <f t="shared" si="235"/>
        <v>50000</v>
      </c>
      <c r="N217" s="110">
        <f t="shared" si="236"/>
        <v>51398.866888616321</v>
      </c>
      <c r="O217" s="110">
        <f t="shared" si="236"/>
        <v>51273.541856799136</v>
      </c>
      <c r="P217" s="110">
        <f t="shared" si="236"/>
        <v>46573.401806268812</v>
      </c>
      <c r="Q217" s="110">
        <f t="shared" si="236"/>
        <v>48456.981165443452</v>
      </c>
      <c r="R217" s="110">
        <f t="shared" si="236"/>
        <v>57985.757884028484</v>
      </c>
      <c r="S217" s="110">
        <f t="shared" si="236"/>
        <v>65872.689938398355</v>
      </c>
      <c r="T217" s="110">
        <f t="shared" si="236"/>
        <v>68580.036470308405</v>
      </c>
      <c r="U217" s="110">
        <f t="shared" si="236"/>
        <v>62660.232242497361</v>
      </c>
      <c r="V217" s="110">
        <f t="shared" si="236"/>
        <v>49069.003285870756</v>
      </c>
      <c r="W217" s="110">
        <f t="shared" ref="W217:Y217" si="244">IF(W26=0,0,W26*1000000/W80)</f>
        <v>50092.632178993874</v>
      </c>
      <c r="X217" s="110">
        <f t="shared" si="244"/>
        <v>64342.976646915304</v>
      </c>
      <c r="Y217" s="110">
        <f t="shared" si="244"/>
        <v>65462.7539503386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87252.897068847989</v>
      </c>
      <c r="C218" s="163">
        <f t="shared" si="236"/>
        <v>80029.778522240827</v>
      </c>
      <c r="D218" s="163">
        <f t="shared" si="236"/>
        <v>83937.079825076697</v>
      </c>
      <c r="E218" s="163">
        <f t="shared" si="236"/>
        <v>89169.487112731076</v>
      </c>
      <c r="F218" s="163">
        <f t="shared" si="236"/>
        <v>72177.102436468427</v>
      </c>
      <c r="G218" s="163">
        <f t="shared" si="236"/>
        <v>70668.106773646039</v>
      </c>
      <c r="H218" s="163">
        <f t="shared" si="236"/>
        <v>59437.292358803999</v>
      </c>
      <c r="I218" s="163">
        <f t="shared" si="236"/>
        <v>68566.133889274963</v>
      </c>
      <c r="J218" s="163">
        <f t="shared" si="236"/>
        <v>71138.434515314526</v>
      </c>
      <c r="K218" s="163">
        <f t="shared" si="236"/>
        <v>49082.306452451514</v>
      </c>
      <c r="L218" s="163">
        <f t="shared" si="236"/>
        <v>56105.26315789474</v>
      </c>
      <c r="M218" s="163">
        <f t="shared" si="235"/>
        <v>50000</v>
      </c>
      <c r="N218" s="163">
        <f t="shared" si="236"/>
        <v>51398.866888616321</v>
      </c>
      <c r="O218" s="163">
        <f t="shared" si="236"/>
        <v>51273.541856799136</v>
      </c>
      <c r="P218" s="163">
        <f t="shared" si="236"/>
        <v>46573.401806268812</v>
      </c>
      <c r="Q218" s="163">
        <f t="shared" si="236"/>
        <v>48456.981165443452</v>
      </c>
      <c r="R218" s="163">
        <f t="shared" si="236"/>
        <v>57985.757884028484</v>
      </c>
      <c r="S218" s="163">
        <f t="shared" si="236"/>
        <v>65872.689938398355</v>
      </c>
      <c r="T218" s="163">
        <f t="shared" si="236"/>
        <v>68580.036470308405</v>
      </c>
      <c r="U218" s="163">
        <f t="shared" si="236"/>
        <v>62660.232242497361</v>
      </c>
      <c r="V218" s="163">
        <f t="shared" si="236"/>
        <v>49069.003285870756</v>
      </c>
      <c r="W218" s="163">
        <f t="shared" ref="W218:Y218" si="245">IF(W27=0,0,W27*1000000/W81)</f>
        <v>50092.632178993874</v>
      </c>
      <c r="X218" s="163">
        <f t="shared" si="245"/>
        <v>64342.976646915304</v>
      </c>
      <c r="Y218" s="163">
        <f t="shared" si="245"/>
        <v>65462.7539503386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0</v>
      </c>
      <c r="C219" s="86">
        <f t="shared" si="236"/>
        <v>0</v>
      </c>
      <c r="D219" s="86">
        <f t="shared" si="236"/>
        <v>0</v>
      </c>
      <c r="E219" s="86">
        <f t="shared" si="236"/>
        <v>0</v>
      </c>
      <c r="F219" s="86">
        <f t="shared" si="236"/>
        <v>0</v>
      </c>
      <c r="G219" s="86">
        <f t="shared" si="236"/>
        <v>0</v>
      </c>
      <c r="H219" s="86">
        <f t="shared" si="236"/>
        <v>0</v>
      </c>
      <c r="I219" s="86">
        <f t="shared" si="236"/>
        <v>0</v>
      </c>
      <c r="J219" s="86">
        <f t="shared" si="236"/>
        <v>0</v>
      </c>
      <c r="K219" s="86">
        <f t="shared" si="236"/>
        <v>0</v>
      </c>
      <c r="L219" s="86">
        <f t="shared" si="236"/>
        <v>0</v>
      </c>
      <c r="M219" s="86">
        <f t="shared" si="235"/>
        <v>0</v>
      </c>
      <c r="N219" s="86">
        <f t="shared" si="236"/>
        <v>0</v>
      </c>
      <c r="O219" s="86">
        <f t="shared" si="236"/>
        <v>0</v>
      </c>
      <c r="P219" s="86">
        <f t="shared" si="236"/>
        <v>0</v>
      </c>
      <c r="Q219" s="86">
        <f t="shared" si="236"/>
        <v>0</v>
      </c>
      <c r="R219" s="86">
        <f t="shared" si="236"/>
        <v>0</v>
      </c>
      <c r="S219" s="86">
        <f t="shared" si="236"/>
        <v>0</v>
      </c>
      <c r="T219" s="86">
        <f t="shared" si="236"/>
        <v>0</v>
      </c>
      <c r="U219" s="86">
        <f t="shared" si="236"/>
        <v>0</v>
      </c>
      <c r="V219" s="86">
        <f t="shared" si="236"/>
        <v>0</v>
      </c>
      <c r="W219" s="86">
        <f t="shared" ref="W219:Y219" si="246">IF(W28=0,0,W28*1000000/W82)</f>
        <v>0</v>
      </c>
      <c r="X219" s="86">
        <f t="shared" si="246"/>
        <v>0</v>
      </c>
      <c r="Y219" s="86">
        <f t="shared" si="246"/>
        <v>0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2.8565704116150489E-2</v>
      </c>
      <c r="C223" s="154">
        <f t="shared" si="251"/>
        <v>2.7393177902971397E-2</v>
      </c>
      <c r="D223" s="154">
        <f t="shared" si="251"/>
        <v>2.5703015876985126E-2</v>
      </c>
      <c r="E223" s="154">
        <f t="shared" si="251"/>
        <v>2.5536593290291853E-2</v>
      </c>
      <c r="F223" s="154">
        <f t="shared" si="251"/>
        <v>2.3709976918571334E-2</v>
      </c>
      <c r="G223" s="154">
        <f t="shared" si="251"/>
        <v>2.2573175540991929E-2</v>
      </c>
      <c r="H223" s="154">
        <f t="shared" si="251"/>
        <v>2.1799771261203062E-2</v>
      </c>
      <c r="I223" s="154">
        <f t="shared" si="251"/>
        <v>2.1011183085438336E-2</v>
      </c>
      <c r="J223" s="154">
        <f t="shared" si="251"/>
        <v>2.0087687692261134E-2</v>
      </c>
      <c r="K223" s="154">
        <f t="shared" si="251"/>
        <v>1.9429699772974984E-2</v>
      </c>
      <c r="L223" s="154">
        <f t="shared" ref="L223" si="252">IF(L5=0,0,L5/L$4)</f>
        <v>1.949300862714028E-2</v>
      </c>
      <c r="M223" s="154">
        <f t="shared" ref="M223:V223" si="253">IF(M5=0,0,M5/M$4)</f>
        <v>1.8994437181425104E-2</v>
      </c>
      <c r="N223" s="154">
        <f t="shared" si="253"/>
        <v>1.9025031044016059E-2</v>
      </c>
      <c r="O223" s="154">
        <f t="shared" si="253"/>
        <v>1.8881431773517202E-2</v>
      </c>
      <c r="P223" s="154">
        <f t="shared" si="253"/>
        <v>1.8810853898158161E-2</v>
      </c>
      <c r="Q223" s="154">
        <f t="shared" si="253"/>
        <v>1.7928315173371286E-2</v>
      </c>
      <c r="R223" s="154">
        <f t="shared" si="253"/>
        <v>1.7189230010223721E-2</v>
      </c>
      <c r="S223" s="154">
        <f t="shared" si="253"/>
        <v>1.5890063559477276E-2</v>
      </c>
      <c r="T223" s="154">
        <f t="shared" si="253"/>
        <v>1.4594763060721931E-2</v>
      </c>
      <c r="U223" s="154">
        <f t="shared" si="253"/>
        <v>1.4966392684000665E-2</v>
      </c>
      <c r="V223" s="154">
        <f t="shared" si="253"/>
        <v>1.6641406686884685E-2</v>
      </c>
      <c r="W223" s="154">
        <f t="shared" ref="W223:Y223" si="254">IF(W5=0,0,W5/W$4)</f>
        <v>1.6055194753845217E-2</v>
      </c>
      <c r="X223" s="154">
        <f t="shared" si="254"/>
        <v>1.4887804414237895E-2</v>
      </c>
      <c r="Y223" s="154">
        <f t="shared" si="254"/>
        <v>1.4924410705205756E-2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0.75469995098546072</v>
      </c>
      <c r="C224" s="156">
        <f t="shared" si="255"/>
        <v>0.75395877681940204</v>
      </c>
      <c r="D224" s="156">
        <f t="shared" si="255"/>
        <v>0.7537014405479926</v>
      </c>
      <c r="E224" s="156">
        <f t="shared" si="255"/>
        <v>0.74475564232878255</v>
      </c>
      <c r="F224" s="156">
        <f t="shared" si="255"/>
        <v>0.7689955661257829</v>
      </c>
      <c r="G224" s="156">
        <f t="shared" si="255"/>
        <v>0.77419946491802616</v>
      </c>
      <c r="H224" s="156">
        <f t="shared" si="255"/>
        <v>0.77882183816783201</v>
      </c>
      <c r="I224" s="156">
        <f t="shared" si="255"/>
        <v>0.78615768631017824</v>
      </c>
      <c r="J224" s="156">
        <f t="shared" si="255"/>
        <v>0.79583273951546596</v>
      </c>
      <c r="K224" s="156">
        <f t="shared" si="255"/>
        <v>0.80780635437998294</v>
      </c>
      <c r="L224" s="156">
        <f t="shared" ref="L224" si="256">IF(L6=0,0,L6/L$4)</f>
        <v>0.80458849083447459</v>
      </c>
      <c r="M224" s="156">
        <f t="shared" ref="M224:V224" si="257">IF(M6=0,0,M6/M$4)</f>
        <v>0.80188425096249394</v>
      </c>
      <c r="N224" s="156">
        <f t="shared" si="257"/>
        <v>0.79789851684803414</v>
      </c>
      <c r="O224" s="156">
        <f t="shared" si="257"/>
        <v>0.79935542124222347</v>
      </c>
      <c r="P224" s="156">
        <f t="shared" si="257"/>
        <v>0.80271877458562058</v>
      </c>
      <c r="Q224" s="156">
        <f t="shared" si="257"/>
        <v>0.7983122052435162</v>
      </c>
      <c r="R224" s="156">
        <f t="shared" si="257"/>
        <v>0.7998037250924046</v>
      </c>
      <c r="S224" s="156">
        <f t="shared" si="257"/>
        <v>0.79733828888709968</v>
      </c>
      <c r="T224" s="156">
        <f t="shared" si="257"/>
        <v>0.79914775425804319</v>
      </c>
      <c r="U224" s="156">
        <f t="shared" si="257"/>
        <v>0.80278584166853284</v>
      </c>
      <c r="V224" s="156">
        <f t="shared" si="257"/>
        <v>0.85855736752916945</v>
      </c>
      <c r="W224" s="156">
        <f t="shared" ref="W224:Y224" si="258">IF(W6=0,0,W6/W$4)</f>
        <v>0.85883389229116425</v>
      </c>
      <c r="X224" s="156">
        <f t="shared" si="258"/>
        <v>0.83096632494676503</v>
      </c>
      <c r="Y224" s="156">
        <f t="shared" si="258"/>
        <v>0.82254768024508229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0.62025958635428946</v>
      </c>
      <c r="C225" s="103">
        <f t="shared" si="259"/>
        <v>0.61583229701618136</v>
      </c>
      <c r="D225" s="103">
        <f t="shared" si="259"/>
        <v>0.6202451531845149</v>
      </c>
      <c r="E225" s="103">
        <f t="shared" si="259"/>
        <v>0.61972947990389893</v>
      </c>
      <c r="F225" s="103">
        <f t="shared" si="259"/>
        <v>0.65334204631360404</v>
      </c>
      <c r="G225" s="103">
        <f t="shared" si="259"/>
        <v>0.66714978079058751</v>
      </c>
      <c r="H225" s="103">
        <f t="shared" si="259"/>
        <v>0.67913590884254627</v>
      </c>
      <c r="I225" s="103">
        <f t="shared" si="259"/>
        <v>0.68989928234900533</v>
      </c>
      <c r="J225" s="103">
        <f t="shared" si="259"/>
        <v>0.69841936076573885</v>
      </c>
      <c r="K225" s="103">
        <f t="shared" si="259"/>
        <v>0.70748562635640577</v>
      </c>
      <c r="L225" s="103">
        <f t="shared" ref="L225" si="260">IF(L7=0,0,L7/L$4)</f>
        <v>0.70451435029329557</v>
      </c>
      <c r="M225" s="103">
        <f t="shared" ref="M225:V225" si="261">IF(M7=0,0,M7/M$4)</f>
        <v>0.70326502652009115</v>
      </c>
      <c r="N225" s="103">
        <f t="shared" si="261"/>
        <v>0.70416334355084687</v>
      </c>
      <c r="O225" s="103">
        <f t="shared" si="261"/>
        <v>0.70751182059425677</v>
      </c>
      <c r="P225" s="103">
        <f t="shared" si="261"/>
        <v>0.70650638679011912</v>
      </c>
      <c r="Q225" s="103">
        <f t="shared" si="261"/>
        <v>0.69465057723772905</v>
      </c>
      <c r="R225" s="103">
        <f t="shared" si="261"/>
        <v>0.69151738568002918</v>
      </c>
      <c r="S225" s="103">
        <f t="shared" si="261"/>
        <v>0.67119419275807224</v>
      </c>
      <c r="T225" s="103">
        <f t="shared" si="261"/>
        <v>0.65176140465629395</v>
      </c>
      <c r="U225" s="103">
        <f t="shared" si="261"/>
        <v>0.63656093834369232</v>
      </c>
      <c r="V225" s="103">
        <f t="shared" si="261"/>
        <v>0.66552202450855258</v>
      </c>
      <c r="W225" s="103">
        <f t="shared" ref="W225:Y225" si="262">IF(W7=0,0,W7/W$4)</f>
        <v>0.66125675137453199</v>
      </c>
      <c r="X225" s="103">
        <f t="shared" si="262"/>
        <v>0.64220482137222468</v>
      </c>
      <c r="Y225" s="103">
        <f t="shared" si="262"/>
        <v>0.63777887278115597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0.13444036463117132</v>
      </c>
      <c r="C226" s="103">
        <f t="shared" si="263"/>
        <v>0.13812647980322074</v>
      </c>
      <c r="D226" s="103">
        <f t="shared" si="263"/>
        <v>0.13345628736347767</v>
      </c>
      <c r="E226" s="103">
        <f t="shared" si="263"/>
        <v>0.12502616242488371</v>
      </c>
      <c r="F226" s="103">
        <f t="shared" si="263"/>
        <v>0.11565351981217895</v>
      </c>
      <c r="G226" s="103">
        <f t="shared" si="263"/>
        <v>0.10704968412743866</v>
      </c>
      <c r="H226" s="103">
        <f t="shared" si="263"/>
        <v>9.9685929325285721E-2</v>
      </c>
      <c r="I226" s="103">
        <f t="shared" si="263"/>
        <v>9.6258403961172898E-2</v>
      </c>
      <c r="J226" s="103">
        <f t="shared" si="263"/>
        <v>9.7413378749727025E-2</v>
      </c>
      <c r="K226" s="103">
        <f t="shared" si="263"/>
        <v>0.10032072802357725</v>
      </c>
      <c r="L226" s="103">
        <f t="shared" ref="L226" si="264">IF(L8=0,0,L8/L$4)</f>
        <v>0.10007414054117912</v>
      </c>
      <c r="M226" s="103">
        <f t="shared" ref="M226:V226" si="265">IF(M8=0,0,M8/M$4)</f>
        <v>9.86192244424028E-2</v>
      </c>
      <c r="N226" s="103">
        <f t="shared" si="265"/>
        <v>9.3735173297187308E-2</v>
      </c>
      <c r="O226" s="103">
        <f t="shared" si="265"/>
        <v>9.1833618741448519E-2</v>
      </c>
      <c r="P226" s="103">
        <f t="shared" si="265"/>
        <v>9.6183062034675873E-2</v>
      </c>
      <c r="Q226" s="103">
        <f t="shared" si="265"/>
        <v>0.10358245022995059</v>
      </c>
      <c r="R226" s="103">
        <f t="shared" si="265"/>
        <v>0.10816118412549648</v>
      </c>
      <c r="S226" s="103">
        <f t="shared" si="265"/>
        <v>0.12587660648692214</v>
      </c>
      <c r="T226" s="103">
        <f t="shared" si="265"/>
        <v>0.14572709030509243</v>
      </c>
      <c r="U226" s="103">
        <f t="shared" si="265"/>
        <v>0.16447378366031379</v>
      </c>
      <c r="V226" s="103">
        <f t="shared" si="265"/>
        <v>0.19100844420857557</v>
      </c>
      <c r="W226" s="103">
        <f t="shared" ref="W226:Y226" si="266">IF(W8=0,0,W8/W$4)</f>
        <v>0.1952438106518303</v>
      </c>
      <c r="X226" s="103">
        <f t="shared" si="266"/>
        <v>0.1859797587666511</v>
      </c>
      <c r="Y226" s="103">
        <f t="shared" si="266"/>
        <v>0.18064850498066995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0</v>
      </c>
      <c r="C227" s="103">
        <f t="shared" si="267"/>
        <v>0</v>
      </c>
      <c r="D227" s="103">
        <f t="shared" si="267"/>
        <v>0</v>
      </c>
      <c r="E227" s="103">
        <f t="shared" si="267"/>
        <v>0</v>
      </c>
      <c r="F227" s="103">
        <f t="shared" si="267"/>
        <v>0</v>
      </c>
      <c r="G227" s="103">
        <f t="shared" si="267"/>
        <v>0</v>
      </c>
      <c r="H227" s="103">
        <f t="shared" si="267"/>
        <v>0</v>
      </c>
      <c r="I227" s="103">
        <f t="shared" si="267"/>
        <v>0</v>
      </c>
      <c r="J227" s="103">
        <f t="shared" si="267"/>
        <v>0</v>
      </c>
      <c r="K227" s="103">
        <f t="shared" si="267"/>
        <v>0</v>
      </c>
      <c r="L227" s="103">
        <f t="shared" ref="L227" si="268">IF(L9=0,0,L9/L$4)</f>
        <v>0</v>
      </c>
      <c r="M227" s="103">
        <f t="shared" ref="M227:V227" si="269">IF(M9=0,0,M9/M$4)</f>
        <v>0</v>
      </c>
      <c r="N227" s="103">
        <f t="shared" si="269"/>
        <v>0</v>
      </c>
      <c r="O227" s="103">
        <f t="shared" si="269"/>
        <v>0</v>
      </c>
      <c r="P227" s="103">
        <f t="shared" si="269"/>
        <v>0</v>
      </c>
      <c r="Q227" s="103">
        <f t="shared" si="269"/>
        <v>0</v>
      </c>
      <c r="R227" s="103">
        <f t="shared" si="269"/>
        <v>0</v>
      </c>
      <c r="S227" s="103">
        <f t="shared" si="269"/>
        <v>0</v>
      </c>
      <c r="T227" s="103">
        <f t="shared" si="269"/>
        <v>1.2940892968223115E-3</v>
      </c>
      <c r="U227" s="103">
        <f t="shared" si="269"/>
        <v>1.2209035258808356E-3</v>
      </c>
      <c r="V227" s="103">
        <f t="shared" si="269"/>
        <v>1.2201415258787647E-3</v>
      </c>
      <c r="W227" s="103">
        <f t="shared" ref="W227:Y227" si="270">IF(W9=0,0,W9/W$4)</f>
        <v>1.2120404398126162E-3</v>
      </c>
      <c r="X227" s="103">
        <f t="shared" si="270"/>
        <v>1.1732228668277121E-3</v>
      </c>
      <c r="Y227" s="103">
        <f t="shared" si="270"/>
        <v>1.0812726422717719E-3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0</v>
      </c>
      <c r="M228" s="103">
        <f t="shared" ref="M228:V228" si="273">IF(M10=0,0,M10/M$4)</f>
        <v>0</v>
      </c>
      <c r="N228" s="103">
        <f t="shared" si="273"/>
        <v>0</v>
      </c>
      <c r="O228" s="103">
        <f t="shared" si="273"/>
        <v>0</v>
      </c>
      <c r="P228" s="103">
        <f t="shared" si="273"/>
        <v>0</v>
      </c>
      <c r="Q228" s="103">
        <f t="shared" si="273"/>
        <v>0</v>
      </c>
      <c r="R228" s="103">
        <f t="shared" si="273"/>
        <v>0</v>
      </c>
      <c r="S228" s="103">
        <f t="shared" si="273"/>
        <v>0</v>
      </c>
      <c r="T228" s="103">
        <f t="shared" si="273"/>
        <v>0</v>
      </c>
      <c r="U228" s="103">
        <f t="shared" si="273"/>
        <v>0</v>
      </c>
      <c r="V228" s="103">
        <f t="shared" si="273"/>
        <v>0</v>
      </c>
      <c r="W228" s="103">
        <f t="shared" ref="W228:Y228" si="274">IF(W10=0,0,W10/W$4)</f>
        <v>0</v>
      </c>
      <c r="X228" s="103">
        <f t="shared" si="274"/>
        <v>0</v>
      </c>
      <c r="Y228" s="103">
        <f t="shared" si="274"/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0</v>
      </c>
      <c r="O229" s="103">
        <f t="shared" si="277"/>
        <v>0</v>
      </c>
      <c r="P229" s="103">
        <f t="shared" si="277"/>
        <v>4.4549517339964494E-6</v>
      </c>
      <c r="Q229" s="103">
        <f t="shared" si="277"/>
        <v>4.1969362320395966E-5</v>
      </c>
      <c r="R229" s="103">
        <f t="shared" si="277"/>
        <v>6.75596651800591E-5</v>
      </c>
      <c r="S229" s="103">
        <f t="shared" si="277"/>
        <v>1.4440395594725848E-4</v>
      </c>
      <c r="T229" s="103">
        <f t="shared" si="277"/>
        <v>2.0961628701974126E-4</v>
      </c>
      <c r="U229" s="103">
        <f t="shared" si="277"/>
        <v>3.095902731480002E-4</v>
      </c>
      <c r="V229" s="103">
        <f t="shared" si="277"/>
        <v>4.4358803839460355E-4</v>
      </c>
      <c r="W229" s="103">
        <f t="shared" ref="W229:Y229" si="278">IF(W11=0,0,W11/W$4)</f>
        <v>6.2248780325502415E-4</v>
      </c>
      <c r="X229" s="103">
        <f t="shared" si="278"/>
        <v>8.3450230735659741E-4</v>
      </c>
      <c r="Y229" s="103">
        <f t="shared" si="278"/>
        <v>1.4001847800926195E-3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0</v>
      </c>
      <c r="N230" s="103">
        <f t="shared" si="281"/>
        <v>0</v>
      </c>
      <c r="O230" s="103">
        <f t="shared" si="281"/>
        <v>9.9819065180991488E-6</v>
      </c>
      <c r="P230" s="103">
        <f t="shared" si="281"/>
        <v>2.4870809091601738E-5</v>
      </c>
      <c r="Q230" s="103">
        <f t="shared" si="281"/>
        <v>3.7208413516178114E-5</v>
      </c>
      <c r="R230" s="103">
        <f t="shared" si="281"/>
        <v>5.7595621698788214E-5</v>
      </c>
      <c r="S230" s="103">
        <f t="shared" si="281"/>
        <v>1.2308568615813331E-4</v>
      </c>
      <c r="T230" s="103">
        <f t="shared" si="281"/>
        <v>1.5555371281475973E-4</v>
      </c>
      <c r="U230" s="103">
        <f t="shared" si="281"/>
        <v>2.2062586549800311E-4</v>
      </c>
      <c r="V230" s="103">
        <f t="shared" si="281"/>
        <v>3.6316924776789576E-4</v>
      </c>
      <c r="W230" s="103">
        <f t="shared" ref="W230:Y230" si="282">IF(W12=0,0,W12/W$4)</f>
        <v>4.9880202173434481E-4</v>
      </c>
      <c r="X230" s="103">
        <f t="shared" si="282"/>
        <v>7.7401963370479006E-4</v>
      </c>
      <c r="Y230" s="103">
        <f t="shared" si="282"/>
        <v>1.6388450608919665E-3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0.21673434489838872</v>
      </c>
      <c r="C231" s="156">
        <f t="shared" si="283"/>
        <v>0.2186480452776266</v>
      </c>
      <c r="D231" s="156">
        <f t="shared" si="283"/>
        <v>0.22059554357502223</v>
      </c>
      <c r="E231" s="156">
        <f t="shared" si="283"/>
        <v>0.22970776438092569</v>
      </c>
      <c r="F231" s="156">
        <f t="shared" si="283"/>
        <v>0.20729445695564583</v>
      </c>
      <c r="G231" s="156">
        <f t="shared" si="283"/>
        <v>0.20322735954098187</v>
      </c>
      <c r="H231" s="156">
        <f t="shared" si="283"/>
        <v>0.19937839057096496</v>
      </c>
      <c r="I231" s="156">
        <f t="shared" si="283"/>
        <v>0.19283113060438334</v>
      </c>
      <c r="J231" s="156">
        <f t="shared" si="283"/>
        <v>0.18407957279227299</v>
      </c>
      <c r="K231" s="156">
        <f t="shared" si="283"/>
        <v>0.17276394584704194</v>
      </c>
      <c r="L231" s="156">
        <f t="shared" ref="L231" si="284">IF(L13=0,0,L13/L$4)</f>
        <v>0.17591850053838515</v>
      </c>
      <c r="M231" s="156">
        <f t="shared" ref="M231:V231" si="285">IF(M13=0,0,M13/M$4)</f>
        <v>0.17912131185608091</v>
      </c>
      <c r="N231" s="156">
        <f t="shared" si="285"/>
        <v>0.18307645210794982</v>
      </c>
      <c r="O231" s="156">
        <f t="shared" si="285"/>
        <v>0.18176314698425944</v>
      </c>
      <c r="P231" s="156">
        <f t="shared" si="285"/>
        <v>0.17847037151622125</v>
      </c>
      <c r="Q231" s="156">
        <f t="shared" si="285"/>
        <v>0.18375947958311248</v>
      </c>
      <c r="R231" s="156">
        <f t="shared" si="285"/>
        <v>0.1830070448973716</v>
      </c>
      <c r="S231" s="156">
        <f t="shared" si="285"/>
        <v>0.18677164755342285</v>
      </c>
      <c r="T231" s="156">
        <f t="shared" si="285"/>
        <v>0.18625748268123477</v>
      </c>
      <c r="U231" s="156">
        <f t="shared" si="285"/>
        <v>0.18224776564746645</v>
      </c>
      <c r="V231" s="156">
        <f t="shared" si="285"/>
        <v>0.1248012257839459</v>
      </c>
      <c r="W231" s="156">
        <f t="shared" ref="W231:Y231" si="286">IF(W13=0,0,W13/W$4)</f>
        <v>0.12511091295499047</v>
      </c>
      <c r="X231" s="156">
        <f t="shared" si="286"/>
        <v>0.15414587063899707</v>
      </c>
      <c r="Y231" s="156">
        <f t="shared" si="286"/>
        <v>0.16252790904971207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5.5744018966218363E-3</v>
      </c>
      <c r="C232" s="103">
        <f t="shared" si="287"/>
        <v>5.3632711448125025E-3</v>
      </c>
      <c r="D232" s="103">
        <f t="shared" si="287"/>
        <v>5.0665611607267303E-3</v>
      </c>
      <c r="E232" s="103">
        <f t="shared" si="287"/>
        <v>4.9739734086898524E-3</v>
      </c>
      <c r="F232" s="103">
        <f t="shared" si="287"/>
        <v>4.5685178935753971E-3</v>
      </c>
      <c r="G232" s="103">
        <f t="shared" si="287"/>
        <v>4.3796750569097638E-3</v>
      </c>
      <c r="H232" s="103">
        <f t="shared" si="287"/>
        <v>4.3208557991372236E-3</v>
      </c>
      <c r="I232" s="103">
        <f t="shared" si="287"/>
        <v>4.0854242693467106E-3</v>
      </c>
      <c r="J232" s="103">
        <f t="shared" si="287"/>
        <v>3.8362709350909397E-3</v>
      </c>
      <c r="K232" s="103">
        <f t="shared" si="287"/>
        <v>3.6466342029835602E-3</v>
      </c>
      <c r="L232" s="103">
        <f t="shared" ref="L232" si="288">IF(L14=0,0,L14/L$4)</f>
        <v>3.7486706602724825E-3</v>
      </c>
      <c r="M232" s="103">
        <f t="shared" ref="M232:V232" si="289">IF(M14=0,0,M14/M$4)</f>
        <v>3.7688223458533627E-3</v>
      </c>
      <c r="N232" s="103">
        <f t="shared" si="289"/>
        <v>3.7636075071717182E-3</v>
      </c>
      <c r="O232" s="103">
        <f t="shared" si="289"/>
        <v>3.7397318722016794E-3</v>
      </c>
      <c r="P232" s="103">
        <f t="shared" si="289"/>
        <v>1.2752499747741212E-3</v>
      </c>
      <c r="Q232" s="103">
        <f t="shared" si="289"/>
        <v>1.0945807613703014E-3</v>
      </c>
      <c r="R232" s="103">
        <f t="shared" si="289"/>
        <v>1.0386061700044763E-3</v>
      </c>
      <c r="S232" s="103">
        <f t="shared" si="289"/>
        <v>1.0568583892171573E-3</v>
      </c>
      <c r="T232" s="103">
        <f t="shared" si="289"/>
        <v>1.0685126342202954E-3</v>
      </c>
      <c r="U232" s="103">
        <f t="shared" si="289"/>
        <v>1.0349176997120301E-3</v>
      </c>
      <c r="V232" s="103">
        <f t="shared" si="289"/>
        <v>1.0433875209246565E-3</v>
      </c>
      <c r="W232" s="103">
        <f t="shared" ref="W232:Y232" si="290">IF(W14=0,0,W14/W$4)</f>
        <v>1.1094019048932785E-3</v>
      </c>
      <c r="X232" s="103">
        <f t="shared" si="290"/>
        <v>9.3493098005581813E-4</v>
      </c>
      <c r="Y232" s="103">
        <f t="shared" si="290"/>
        <v>7.2002933902787984E-4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0.21115994300176688</v>
      </c>
      <c r="C233" s="103">
        <f t="shared" si="291"/>
        <v>0.21328477413281408</v>
      </c>
      <c r="D233" s="103">
        <f t="shared" si="291"/>
        <v>0.21552898241429549</v>
      </c>
      <c r="E233" s="103">
        <f t="shared" si="291"/>
        <v>0.22473379097223584</v>
      </c>
      <c r="F233" s="103">
        <f t="shared" si="291"/>
        <v>0.20272593906207043</v>
      </c>
      <c r="G233" s="103">
        <f t="shared" si="291"/>
        <v>0.19884768448407211</v>
      </c>
      <c r="H233" s="103">
        <f t="shared" si="291"/>
        <v>0.19505753477182775</v>
      </c>
      <c r="I233" s="103">
        <f t="shared" si="291"/>
        <v>0.18874570633503662</v>
      </c>
      <c r="J233" s="103">
        <f t="shared" si="291"/>
        <v>0.18019843894126197</v>
      </c>
      <c r="K233" s="103">
        <f t="shared" si="291"/>
        <v>0.16907321126804423</v>
      </c>
      <c r="L233" s="103">
        <f t="shared" ref="L233" si="292">IF(L15=0,0,L15/L$4)</f>
        <v>0.17212428560110318</v>
      </c>
      <c r="M233" s="103">
        <f t="shared" ref="M233:V233" si="293">IF(M15=0,0,M15/M$4)</f>
        <v>0.17530688428402527</v>
      </c>
      <c r="N233" s="103">
        <f t="shared" si="293"/>
        <v>0.17926722147276256</v>
      </c>
      <c r="O233" s="103">
        <f t="shared" si="293"/>
        <v>0.17797718320971159</v>
      </c>
      <c r="P233" s="103">
        <f t="shared" si="293"/>
        <v>0.17714975458710788</v>
      </c>
      <c r="Q233" s="103">
        <f t="shared" si="293"/>
        <v>0.18262066061382037</v>
      </c>
      <c r="R233" s="103">
        <f t="shared" si="293"/>
        <v>0.18192608439529129</v>
      </c>
      <c r="S233" s="103">
        <f t="shared" si="293"/>
        <v>0.18567323148193041</v>
      </c>
      <c r="T233" s="103">
        <f t="shared" si="293"/>
        <v>0.18514893980994057</v>
      </c>
      <c r="U233" s="103">
        <f t="shared" si="293"/>
        <v>0.18117401487720852</v>
      </c>
      <c r="V233" s="103">
        <f t="shared" si="293"/>
        <v>0.12372436231109232</v>
      </c>
      <c r="W233" s="103">
        <f t="shared" ref="W233:Y233" si="294">IF(W15=0,0,W15/W$4)</f>
        <v>0.12396959059504717</v>
      </c>
      <c r="X233" s="103">
        <f t="shared" si="294"/>
        <v>0.15317555453934201</v>
      </c>
      <c r="Y233" s="103">
        <f t="shared" si="294"/>
        <v>0.16034519088192137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0</v>
      </c>
      <c r="D235" s="103">
        <f t="shared" si="299"/>
        <v>0</v>
      </c>
      <c r="E235" s="103">
        <f t="shared" si="299"/>
        <v>0</v>
      </c>
      <c r="F235" s="103">
        <f t="shared" si="299"/>
        <v>0</v>
      </c>
      <c r="G235" s="103">
        <f t="shared" si="299"/>
        <v>0</v>
      </c>
      <c r="H235" s="103">
        <f t="shared" si="299"/>
        <v>0</v>
      </c>
      <c r="I235" s="103">
        <f t="shared" si="299"/>
        <v>0</v>
      </c>
      <c r="J235" s="103">
        <f t="shared" si="299"/>
        <v>0</v>
      </c>
      <c r="K235" s="103">
        <f t="shared" si="299"/>
        <v>0</v>
      </c>
      <c r="L235" s="103">
        <f t="shared" ref="L235" si="300">IF(L17=0,0,L17/L$4)</f>
        <v>0</v>
      </c>
      <c r="M235" s="103">
        <f t="shared" ref="M235:V235" si="301">IF(M17=0,0,M17/M$4)</f>
        <v>0</v>
      </c>
      <c r="N235" s="103">
        <f t="shared" si="301"/>
        <v>0</v>
      </c>
      <c r="O235" s="103">
        <f t="shared" si="301"/>
        <v>0</v>
      </c>
      <c r="P235" s="103">
        <f t="shared" si="301"/>
        <v>0</v>
      </c>
      <c r="Q235" s="103">
        <f t="shared" si="301"/>
        <v>0</v>
      </c>
      <c r="R235" s="103">
        <f t="shared" si="301"/>
        <v>0</v>
      </c>
      <c r="S235" s="103">
        <f t="shared" si="301"/>
        <v>0</v>
      </c>
      <c r="T235" s="103">
        <f t="shared" si="301"/>
        <v>0</v>
      </c>
      <c r="U235" s="103">
        <f t="shared" si="301"/>
        <v>0</v>
      </c>
      <c r="V235" s="103">
        <f t="shared" si="301"/>
        <v>0</v>
      </c>
      <c r="W235" s="103">
        <f t="shared" ref="W235:Y235" si="302">IF(W17=0,0,W17/W$4)</f>
        <v>0</v>
      </c>
      <c r="X235" s="103">
        <f t="shared" si="302"/>
        <v>0</v>
      </c>
      <c r="Y235" s="103">
        <f t="shared" si="302"/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4.4862915920066454E-5</v>
      </c>
      <c r="K236" s="103">
        <f t="shared" si="303"/>
        <v>4.4100376014149594E-5</v>
      </c>
      <c r="L236" s="103">
        <f t="shared" ref="L236" si="304">IF(L18=0,0,L18/L$4)</f>
        <v>4.5544277009482087E-5</v>
      </c>
      <c r="M236" s="103">
        <f t="shared" ref="M236:V236" si="305">IF(M18=0,0,M18/M$4)</f>
        <v>4.5605226202268879E-5</v>
      </c>
      <c r="N236" s="103">
        <f t="shared" si="305"/>
        <v>4.5623128015569005E-5</v>
      </c>
      <c r="O236" s="103">
        <f t="shared" si="305"/>
        <v>4.6231902346150374E-5</v>
      </c>
      <c r="P236" s="103">
        <f t="shared" si="305"/>
        <v>4.5366954339239638E-5</v>
      </c>
      <c r="Q236" s="103">
        <f t="shared" si="305"/>
        <v>4.4238207921785379E-5</v>
      </c>
      <c r="R236" s="103">
        <f t="shared" si="305"/>
        <v>4.2354332075862666E-5</v>
      </c>
      <c r="S236" s="103">
        <f t="shared" si="305"/>
        <v>4.1557682275248433E-5</v>
      </c>
      <c r="T236" s="103">
        <f t="shared" si="305"/>
        <v>4.0030237073895984E-5</v>
      </c>
      <c r="U236" s="103">
        <f t="shared" si="305"/>
        <v>3.8833070545886175E-5</v>
      </c>
      <c r="V236" s="103">
        <f t="shared" si="305"/>
        <v>3.3475951928908828E-5</v>
      </c>
      <c r="W236" s="103">
        <f t="shared" ref="W236:Y236" si="306">IF(W18=0,0,W18/W$4)</f>
        <v>3.1920455050022585E-5</v>
      </c>
      <c r="X236" s="103">
        <f t="shared" si="306"/>
        <v>3.5385119599213733E-5</v>
      </c>
      <c r="Y236" s="103">
        <f t="shared" si="306"/>
        <v>1.4626888287628131E-3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0.11375810913219625</v>
      </c>
      <c r="C238" s="154">
        <f t="shared" si="311"/>
        <v>0.11515938910475558</v>
      </c>
      <c r="D238" s="154">
        <f t="shared" si="311"/>
        <v>0.1190226086359446</v>
      </c>
      <c r="E238" s="154">
        <f t="shared" si="311"/>
        <v>0.11389850493061228</v>
      </c>
      <c r="F238" s="154">
        <f t="shared" si="311"/>
        <v>0.13029803645637331</v>
      </c>
      <c r="G238" s="154">
        <f t="shared" si="311"/>
        <v>0.1117853464181318</v>
      </c>
      <c r="H238" s="154">
        <f t="shared" si="311"/>
        <v>0.12389570175915267</v>
      </c>
      <c r="I238" s="154">
        <f t="shared" si="311"/>
        <v>0.1192973545971354</v>
      </c>
      <c r="J238" s="154">
        <f t="shared" si="311"/>
        <v>0.11579555742856476</v>
      </c>
      <c r="K238" s="154">
        <f t="shared" si="311"/>
        <v>0.14417390042033584</v>
      </c>
      <c r="L238" s="154">
        <f t="shared" ref="L238" si="312">IF(L20=0,0,L20/L$19)</f>
        <v>0.13022800972690779</v>
      </c>
      <c r="M238" s="154">
        <f t="shared" ref="M238:V238" si="313">IF(M20=0,0,M20/M$19)</f>
        <v>0.1486345143037498</v>
      </c>
      <c r="N238" s="154">
        <f t="shared" si="313"/>
        <v>0.15607360137993206</v>
      </c>
      <c r="O238" s="154">
        <f t="shared" si="313"/>
        <v>0.20214811984156703</v>
      </c>
      <c r="P238" s="154">
        <f t="shared" si="313"/>
        <v>0.22057696139999897</v>
      </c>
      <c r="Q238" s="154">
        <f t="shared" si="313"/>
        <v>0.21168086576064668</v>
      </c>
      <c r="R238" s="154">
        <f t="shared" si="313"/>
        <v>0.18568064850816698</v>
      </c>
      <c r="S238" s="154">
        <f t="shared" si="313"/>
        <v>0.16945318555236186</v>
      </c>
      <c r="T238" s="154">
        <f t="shared" si="313"/>
        <v>0.16616594139998742</v>
      </c>
      <c r="U238" s="154">
        <f t="shared" si="313"/>
        <v>0.17098047611685596</v>
      </c>
      <c r="V238" s="154">
        <f t="shared" si="313"/>
        <v>0.19956472510961426</v>
      </c>
      <c r="W238" s="154">
        <f t="shared" ref="W238:Y238" si="314">IF(W20=0,0,W20/W$19)</f>
        <v>0.19100346693010611</v>
      </c>
      <c r="X238" s="154">
        <f t="shared" si="314"/>
        <v>0.1529021578093244</v>
      </c>
      <c r="Y238" s="154">
        <f t="shared" si="314"/>
        <v>0.14306435117387153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6.0115147866137463E-3</v>
      </c>
      <c r="C239" s="103">
        <f t="shared" si="315"/>
        <v>6.1805450417087545E-3</v>
      </c>
      <c r="D239" s="103">
        <f t="shared" si="315"/>
        <v>5.9430727684664187E-3</v>
      </c>
      <c r="E239" s="103">
        <f t="shared" si="315"/>
        <v>6.1127023229959497E-3</v>
      </c>
      <c r="F239" s="103">
        <f t="shared" si="315"/>
        <v>6.2830058360851928E-3</v>
      </c>
      <c r="G239" s="103">
        <f t="shared" si="315"/>
        <v>3.9625187116832938E-3</v>
      </c>
      <c r="H239" s="103">
        <f t="shared" si="315"/>
        <v>4.3915651636289811E-3</v>
      </c>
      <c r="I239" s="103">
        <f t="shared" si="315"/>
        <v>3.9033287724451796E-3</v>
      </c>
      <c r="J239" s="103">
        <f t="shared" si="315"/>
        <v>3.9567433611402735E-3</v>
      </c>
      <c r="K239" s="103">
        <f t="shared" si="315"/>
        <v>4.9093788248537416E-3</v>
      </c>
      <c r="L239" s="103">
        <f t="shared" ref="L239" si="316">IF(L21=0,0,L21/L$19)</f>
        <v>4.2389932229581293E-3</v>
      </c>
      <c r="M239" s="103">
        <f t="shared" ref="M239:V239" si="317">IF(M21=0,0,M21/M$19)</f>
        <v>4.7497318788241255E-3</v>
      </c>
      <c r="N239" s="103">
        <f t="shared" si="317"/>
        <v>4.9504659309932706E-3</v>
      </c>
      <c r="O239" s="103">
        <f t="shared" si="317"/>
        <v>6.4307724597514916E-3</v>
      </c>
      <c r="P239" s="103">
        <f t="shared" si="317"/>
        <v>6.9275696762912545E-3</v>
      </c>
      <c r="Q239" s="103">
        <f t="shared" si="317"/>
        <v>6.6288392841166955E-3</v>
      </c>
      <c r="R239" s="103">
        <f t="shared" si="317"/>
        <v>5.6857798685549113E-3</v>
      </c>
      <c r="S239" s="103">
        <f t="shared" si="317"/>
        <v>5.026972341227137E-3</v>
      </c>
      <c r="T239" s="103">
        <f t="shared" si="317"/>
        <v>4.8168433852032368E-3</v>
      </c>
      <c r="U239" s="103">
        <f t="shared" si="317"/>
        <v>5.011616883758032E-3</v>
      </c>
      <c r="V239" s="103">
        <f t="shared" si="317"/>
        <v>5.9619315183372058E-3</v>
      </c>
      <c r="W239" s="103">
        <f t="shared" ref="W239:Y239" si="318">IF(W21=0,0,W21/W$19)</f>
        <v>5.8381370398291532E-3</v>
      </c>
      <c r="X239" s="103">
        <f t="shared" si="318"/>
        <v>5.2521807615217731E-3</v>
      </c>
      <c r="Y239" s="103">
        <f t="shared" si="318"/>
        <v>5.4904506955770812E-3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0.10774659434558249</v>
      </c>
      <c r="C240" s="103">
        <f t="shared" si="319"/>
        <v>0.10897884406304682</v>
      </c>
      <c r="D240" s="103">
        <f t="shared" si="319"/>
        <v>0.11307953586747818</v>
      </c>
      <c r="E240" s="103">
        <f t="shared" si="319"/>
        <v>0.10778580260761633</v>
      </c>
      <c r="F240" s="103">
        <f t="shared" si="319"/>
        <v>0.1240150306202881</v>
      </c>
      <c r="G240" s="103">
        <f t="shared" si="319"/>
        <v>0.10782282770644851</v>
      </c>
      <c r="H240" s="103">
        <f t="shared" si="319"/>
        <v>0.11950413659552368</v>
      </c>
      <c r="I240" s="103">
        <f t="shared" si="319"/>
        <v>0.11539270771255798</v>
      </c>
      <c r="J240" s="103">
        <f t="shared" si="319"/>
        <v>0.11183696064764433</v>
      </c>
      <c r="K240" s="103">
        <f t="shared" si="319"/>
        <v>0.13926197355981645</v>
      </c>
      <c r="L240" s="103">
        <f t="shared" ref="L240" si="320">IF(L22=0,0,L22/L$19)</f>
        <v>0.12598518597746558</v>
      </c>
      <c r="M240" s="103">
        <f t="shared" ref="M240:V240" si="321">IF(M22=0,0,M22/M$19)</f>
        <v>0.14387955792352672</v>
      </c>
      <c r="N240" s="103">
        <f t="shared" si="321"/>
        <v>0.15111767885156907</v>
      </c>
      <c r="O240" s="103">
        <f t="shared" si="321"/>
        <v>0.19570983945861178</v>
      </c>
      <c r="P240" s="103">
        <f t="shared" si="321"/>
        <v>0.2136421735608684</v>
      </c>
      <c r="Q240" s="103">
        <f t="shared" si="321"/>
        <v>0.20504500301393427</v>
      </c>
      <c r="R240" s="103">
        <f t="shared" si="321"/>
        <v>0.17998907027739522</v>
      </c>
      <c r="S240" s="103">
        <f t="shared" si="321"/>
        <v>0.16442118155881197</v>
      </c>
      <c r="T240" s="103">
        <f t="shared" si="321"/>
        <v>0.16134535574601297</v>
      </c>
      <c r="U240" s="103">
        <f t="shared" si="321"/>
        <v>0.16596209736038253</v>
      </c>
      <c r="V240" s="103">
        <f t="shared" si="321"/>
        <v>0.19359373007888545</v>
      </c>
      <c r="W240" s="103">
        <f t="shared" ref="W240:Y240" si="322">IF(W22=0,0,W22/W$19)</f>
        <v>0.18515202207788103</v>
      </c>
      <c r="X240" s="103">
        <f t="shared" si="322"/>
        <v>0.14760830568224936</v>
      </c>
      <c r="Y240" s="103">
        <f t="shared" si="322"/>
        <v>0.13752112800221106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1.3181121322468587E-6</v>
      </c>
      <c r="J243" s="103">
        <f t="shared" si="331"/>
        <v>1.8534197801743845E-6</v>
      </c>
      <c r="K243" s="103">
        <f t="shared" si="331"/>
        <v>2.5480356656643835E-6</v>
      </c>
      <c r="L243" s="103">
        <f t="shared" ref="L243" si="332">IF(L25=0,0,L25/L$19)</f>
        <v>3.8305264840905605E-6</v>
      </c>
      <c r="M243" s="103">
        <f t="shared" ref="M243:V243" si="333">IF(M25=0,0,M25/M$19)</f>
        <v>5.2245013989525333E-6</v>
      </c>
      <c r="N243" s="103">
        <f t="shared" si="333"/>
        <v>5.456597369732684E-6</v>
      </c>
      <c r="O243" s="103">
        <f t="shared" si="333"/>
        <v>7.5079232037631133E-6</v>
      </c>
      <c r="P243" s="103">
        <f t="shared" si="333"/>
        <v>7.2181628393332568E-6</v>
      </c>
      <c r="Q243" s="103">
        <f t="shared" si="333"/>
        <v>7.023462595700407E-6</v>
      </c>
      <c r="R243" s="103">
        <f t="shared" si="333"/>
        <v>5.7983622168348835E-6</v>
      </c>
      <c r="S243" s="103">
        <f t="shared" si="333"/>
        <v>5.0316523227509507E-6</v>
      </c>
      <c r="T243" s="103">
        <f t="shared" si="333"/>
        <v>3.7422687712398806E-6</v>
      </c>
      <c r="U243" s="103">
        <f t="shared" si="333"/>
        <v>6.7618727153680822E-6</v>
      </c>
      <c r="V243" s="103">
        <f t="shared" si="333"/>
        <v>9.0635123916113785E-6</v>
      </c>
      <c r="W243" s="103">
        <f t="shared" ref="W243:Y243" si="334">IF(W25=0,0,W25/W$19)</f>
        <v>1.3307812395940428E-5</v>
      </c>
      <c r="X243" s="103">
        <f t="shared" si="334"/>
        <v>4.1671365553281562E-5</v>
      </c>
      <c r="Y243" s="103">
        <f t="shared" si="334"/>
        <v>5.277247608338472E-5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0.88624189086780381</v>
      </c>
      <c r="C244" s="156">
        <f t="shared" si="335"/>
        <v>0.88484061089524446</v>
      </c>
      <c r="D244" s="156">
        <f t="shared" si="335"/>
        <v>0.8809773913640554</v>
      </c>
      <c r="E244" s="156">
        <f t="shared" si="335"/>
        <v>0.88610149506938773</v>
      </c>
      <c r="F244" s="156">
        <f t="shared" si="335"/>
        <v>0.86970196354362661</v>
      </c>
      <c r="G244" s="156">
        <f t="shared" si="335"/>
        <v>0.88821465358186813</v>
      </c>
      <c r="H244" s="156">
        <f t="shared" si="335"/>
        <v>0.87610429824084723</v>
      </c>
      <c r="I244" s="156">
        <f t="shared" si="335"/>
        <v>0.88070264540286469</v>
      </c>
      <c r="J244" s="156">
        <f t="shared" si="335"/>
        <v>0.88420444257143516</v>
      </c>
      <c r="K244" s="156">
        <f t="shared" si="335"/>
        <v>0.85582609957966416</v>
      </c>
      <c r="L244" s="156">
        <f t="shared" ref="L244" si="336">IF(L26=0,0,L26/L$19)</f>
        <v>0.86977199027309227</v>
      </c>
      <c r="M244" s="156">
        <f t="shared" ref="M244:V244" si="337">IF(M26=0,0,M26/M$19)</f>
        <v>0.85136548569625026</v>
      </c>
      <c r="N244" s="156">
        <f t="shared" si="337"/>
        <v>0.84392639862006791</v>
      </c>
      <c r="O244" s="156">
        <f t="shared" si="337"/>
        <v>0.79785188015843289</v>
      </c>
      <c r="P244" s="156">
        <f t="shared" si="337"/>
        <v>0.77942303860000106</v>
      </c>
      <c r="Q244" s="156">
        <f t="shared" si="337"/>
        <v>0.7883191342393534</v>
      </c>
      <c r="R244" s="156">
        <f t="shared" si="337"/>
        <v>0.81431935149183299</v>
      </c>
      <c r="S244" s="156">
        <f t="shared" si="337"/>
        <v>0.83054681444763812</v>
      </c>
      <c r="T244" s="156">
        <f t="shared" si="337"/>
        <v>0.83383405860001247</v>
      </c>
      <c r="U244" s="156">
        <f t="shared" si="337"/>
        <v>0.82901952388314415</v>
      </c>
      <c r="V244" s="156">
        <f t="shared" si="337"/>
        <v>0.8004352748903858</v>
      </c>
      <c r="W244" s="156">
        <f t="shared" ref="W244:Y244" si="338">IF(W26=0,0,W26/W$19)</f>
        <v>0.80899653306989394</v>
      </c>
      <c r="X244" s="156">
        <f t="shared" si="338"/>
        <v>0.84709784219067552</v>
      </c>
      <c r="Y244" s="156">
        <f t="shared" si="338"/>
        <v>0.85693564882612838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0.88624189086780381</v>
      </c>
      <c r="C245" s="103">
        <f t="shared" si="339"/>
        <v>0.88484061089524446</v>
      </c>
      <c r="D245" s="103">
        <f t="shared" si="339"/>
        <v>0.8809773913640554</v>
      </c>
      <c r="E245" s="103">
        <f t="shared" si="339"/>
        <v>0.88610149506938773</v>
      </c>
      <c r="F245" s="103">
        <f t="shared" si="339"/>
        <v>0.86970196354362661</v>
      </c>
      <c r="G245" s="103">
        <f t="shared" si="339"/>
        <v>0.88821465358186813</v>
      </c>
      <c r="H245" s="103">
        <f t="shared" si="339"/>
        <v>0.87610429824084723</v>
      </c>
      <c r="I245" s="103">
        <f t="shared" si="339"/>
        <v>0.88070264540286469</v>
      </c>
      <c r="J245" s="103">
        <f t="shared" si="339"/>
        <v>0.88420444257143516</v>
      </c>
      <c r="K245" s="103">
        <f t="shared" si="339"/>
        <v>0.85582609957966416</v>
      </c>
      <c r="L245" s="103">
        <f t="shared" ref="L245" si="340">IF(L27=0,0,L27/L$19)</f>
        <v>0.86977199027309227</v>
      </c>
      <c r="M245" s="103">
        <f t="shared" ref="M245:V245" si="341">IF(M27=0,0,M27/M$19)</f>
        <v>0.85136548569625026</v>
      </c>
      <c r="N245" s="103">
        <f t="shared" si="341"/>
        <v>0.84392639862006791</v>
      </c>
      <c r="O245" s="103">
        <f t="shared" si="341"/>
        <v>0.79785188015843289</v>
      </c>
      <c r="P245" s="103">
        <f t="shared" si="341"/>
        <v>0.77942303860000106</v>
      </c>
      <c r="Q245" s="103">
        <f t="shared" si="341"/>
        <v>0.7883191342393534</v>
      </c>
      <c r="R245" s="103">
        <f t="shared" si="341"/>
        <v>0.81431935149183299</v>
      </c>
      <c r="S245" s="103">
        <f t="shared" si="341"/>
        <v>0.83054681444763812</v>
      </c>
      <c r="T245" s="103">
        <f t="shared" si="341"/>
        <v>0.83383405860001247</v>
      </c>
      <c r="U245" s="103">
        <f t="shared" si="341"/>
        <v>0.82901952388314415</v>
      </c>
      <c r="V245" s="103">
        <f t="shared" si="341"/>
        <v>0.8004352748903858</v>
      </c>
      <c r="W245" s="103">
        <f t="shared" ref="W245:Y245" si="342">IF(W27=0,0,W27/W$19)</f>
        <v>0.80899653306989394</v>
      </c>
      <c r="X245" s="103">
        <f t="shared" si="342"/>
        <v>0.84709784219067552</v>
      </c>
      <c r="Y245" s="103">
        <f t="shared" si="342"/>
        <v>0.85693564882612838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</v>
      </c>
      <c r="C246" s="105">
        <f t="shared" si="343"/>
        <v>0</v>
      </c>
      <c r="D246" s="105">
        <f t="shared" si="343"/>
        <v>0</v>
      </c>
      <c r="E246" s="105">
        <f t="shared" si="343"/>
        <v>0</v>
      </c>
      <c r="F246" s="105">
        <f t="shared" si="343"/>
        <v>0</v>
      </c>
      <c r="G246" s="105">
        <f t="shared" si="343"/>
        <v>0</v>
      </c>
      <c r="H246" s="105">
        <f t="shared" si="343"/>
        <v>0</v>
      </c>
      <c r="I246" s="105">
        <f t="shared" si="343"/>
        <v>0</v>
      </c>
      <c r="J246" s="105">
        <f t="shared" si="343"/>
        <v>0</v>
      </c>
      <c r="K246" s="105">
        <f t="shared" si="343"/>
        <v>0</v>
      </c>
      <c r="L246" s="105">
        <f t="shared" ref="L246" si="344">IF(L28=0,0,L28/L$19)</f>
        <v>0</v>
      </c>
      <c r="M246" s="105">
        <f t="shared" ref="M246:V246" si="345">IF(M28=0,0,M28/M$19)</f>
        <v>0</v>
      </c>
      <c r="N246" s="105">
        <f t="shared" si="345"/>
        <v>0</v>
      </c>
      <c r="O246" s="105">
        <f t="shared" si="345"/>
        <v>0</v>
      </c>
      <c r="P246" s="105">
        <f t="shared" si="345"/>
        <v>0</v>
      </c>
      <c r="Q246" s="105">
        <f t="shared" si="345"/>
        <v>0</v>
      </c>
      <c r="R246" s="105">
        <f t="shared" si="345"/>
        <v>0</v>
      </c>
      <c r="S246" s="105">
        <f t="shared" si="345"/>
        <v>0</v>
      </c>
      <c r="T246" s="105">
        <f t="shared" si="345"/>
        <v>0</v>
      </c>
      <c r="U246" s="105">
        <f t="shared" si="345"/>
        <v>0</v>
      </c>
      <c r="V246" s="105">
        <f t="shared" si="345"/>
        <v>0</v>
      </c>
      <c r="W246" s="105">
        <f t="shared" ref="W246:Y246" si="346">IF(W28=0,0,W28/W$19)</f>
        <v>0</v>
      </c>
      <c r="X246" s="105">
        <f t="shared" si="346"/>
        <v>0</v>
      </c>
      <c r="Y246" s="105">
        <f t="shared" si="346"/>
        <v>0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3.9111514334029721E-2</v>
      </c>
      <c r="C250" s="154">
        <f t="shared" si="351"/>
        <v>3.6850315784220052E-2</v>
      </c>
      <c r="D250" s="154">
        <f t="shared" si="351"/>
        <v>3.5353400771724282E-2</v>
      </c>
      <c r="E250" s="154">
        <f t="shared" si="351"/>
        <v>3.4395503663694683E-2</v>
      </c>
      <c r="F250" s="154">
        <f t="shared" si="351"/>
        <v>3.1469526035107942E-2</v>
      </c>
      <c r="G250" s="154">
        <f t="shared" si="351"/>
        <v>2.9639947538942373E-2</v>
      </c>
      <c r="H250" s="154">
        <f t="shared" si="351"/>
        <v>2.8417426041817091E-2</v>
      </c>
      <c r="I250" s="154">
        <f t="shared" si="351"/>
        <v>2.6381050384472183E-2</v>
      </c>
      <c r="J250" s="154">
        <f t="shared" si="351"/>
        <v>2.5203444386447497E-2</v>
      </c>
      <c r="K250" s="154">
        <f t="shared" si="351"/>
        <v>2.4259233255518205E-2</v>
      </c>
      <c r="L250" s="154">
        <f t="shared" ref="L250" si="352">IF(L32=0,0,L32/L$31)</f>
        <v>2.3577640477879542E-2</v>
      </c>
      <c r="M250" s="154">
        <f t="shared" ref="M250:V250" si="353">IF(M32=0,0,M32/M$31)</f>
        <v>2.2970259157616493E-2</v>
      </c>
      <c r="N250" s="154">
        <f t="shared" si="353"/>
        <v>2.3702376583351399E-2</v>
      </c>
      <c r="O250" s="154">
        <f t="shared" si="353"/>
        <v>2.3565620547862223E-2</v>
      </c>
      <c r="P250" s="154">
        <f t="shared" si="353"/>
        <v>2.373763508919733E-2</v>
      </c>
      <c r="Q250" s="154">
        <f t="shared" si="353"/>
        <v>2.2794785646034547E-2</v>
      </c>
      <c r="R250" s="154">
        <f t="shared" si="353"/>
        <v>2.0128325069199371E-2</v>
      </c>
      <c r="S250" s="154">
        <f t="shared" si="353"/>
        <v>1.8683025087794014E-2</v>
      </c>
      <c r="T250" s="154">
        <f t="shared" si="353"/>
        <v>1.7126121580984602E-2</v>
      </c>
      <c r="U250" s="154">
        <f t="shared" si="353"/>
        <v>1.7424381966021547E-2</v>
      </c>
      <c r="V250" s="154">
        <f t="shared" si="353"/>
        <v>1.693890613695101E-2</v>
      </c>
      <c r="W250" s="154">
        <f t="shared" ref="W250:Y250" si="354">IF(W32=0,0,W32/W$31)</f>
        <v>1.7095861070330537E-2</v>
      </c>
      <c r="X250" s="154">
        <f t="shared" si="354"/>
        <v>1.6655337772858311E-2</v>
      </c>
      <c r="Y250" s="154">
        <f t="shared" si="354"/>
        <v>1.7237643970342529E-2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0.9197431228800429</v>
      </c>
      <c r="C251" s="156">
        <f t="shared" si="355"/>
        <v>0.92239850525197487</v>
      </c>
      <c r="D251" s="156">
        <f t="shared" si="355"/>
        <v>0.92339822526040949</v>
      </c>
      <c r="E251" s="156">
        <f t="shared" si="355"/>
        <v>0.92350767446154114</v>
      </c>
      <c r="F251" s="156">
        <f t="shared" si="355"/>
        <v>0.93124686718467065</v>
      </c>
      <c r="G251" s="156">
        <f t="shared" si="355"/>
        <v>0.93434592053804721</v>
      </c>
      <c r="H251" s="156">
        <f t="shared" si="355"/>
        <v>0.93665419478162715</v>
      </c>
      <c r="I251" s="156">
        <f t="shared" si="355"/>
        <v>0.94123846285584234</v>
      </c>
      <c r="J251" s="156">
        <f t="shared" si="355"/>
        <v>0.94417483863956775</v>
      </c>
      <c r="K251" s="156">
        <f t="shared" si="355"/>
        <v>0.94750150303298009</v>
      </c>
      <c r="L251" s="156">
        <f t="shared" ref="L251" si="356">IF(L33=0,0,L33/L$31)</f>
        <v>0.94913170479575593</v>
      </c>
      <c r="M251" s="156">
        <f t="shared" ref="M251:V251" si="357">IF(M33=0,0,M33/M$31)</f>
        <v>0.94954631752054552</v>
      </c>
      <c r="N251" s="156">
        <f t="shared" si="357"/>
        <v>0.9477933623424033</v>
      </c>
      <c r="O251" s="156">
        <f t="shared" si="357"/>
        <v>0.94827533920086948</v>
      </c>
      <c r="P251" s="156">
        <f t="shared" si="357"/>
        <v>0.94836895530292276</v>
      </c>
      <c r="Q251" s="156">
        <f t="shared" si="357"/>
        <v>0.94830707722325691</v>
      </c>
      <c r="R251" s="156">
        <f t="shared" si="357"/>
        <v>0.9533559823235066</v>
      </c>
      <c r="S251" s="156">
        <f t="shared" si="357"/>
        <v>0.95415239099844429</v>
      </c>
      <c r="T251" s="156">
        <f t="shared" si="357"/>
        <v>0.95584295883625092</v>
      </c>
      <c r="U251" s="156">
        <f t="shared" si="357"/>
        <v>0.95631785104372724</v>
      </c>
      <c r="V251" s="156">
        <f t="shared" si="357"/>
        <v>0.96059167632318809</v>
      </c>
      <c r="W251" s="156">
        <f t="shared" ref="W251:Y251" si="358">IF(W33=0,0,W33/W$31)</f>
        <v>0.95978545700875362</v>
      </c>
      <c r="X251" s="156">
        <f t="shared" si="358"/>
        <v>0.95863705750652839</v>
      </c>
      <c r="Y251" s="156">
        <f t="shared" si="358"/>
        <v>0.95803426993494578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0.76265002464150233</v>
      </c>
      <c r="C252" s="103">
        <f t="shared" si="359"/>
        <v>0.76033196802035929</v>
      </c>
      <c r="D252" s="103">
        <f t="shared" si="359"/>
        <v>0.76663627895586639</v>
      </c>
      <c r="E252" s="103">
        <f t="shared" si="359"/>
        <v>0.77493479890589867</v>
      </c>
      <c r="F252" s="103">
        <f t="shared" si="359"/>
        <v>0.79714596006998661</v>
      </c>
      <c r="G252" s="103">
        <f t="shared" si="359"/>
        <v>0.81072024429525402</v>
      </c>
      <c r="H252" s="103">
        <f t="shared" si="359"/>
        <v>0.82199197031450966</v>
      </c>
      <c r="I252" s="103">
        <f t="shared" si="359"/>
        <v>0.83104560642859671</v>
      </c>
      <c r="J252" s="103">
        <f t="shared" si="359"/>
        <v>0.83367205888130369</v>
      </c>
      <c r="K252" s="103">
        <f t="shared" si="359"/>
        <v>0.83498246070918081</v>
      </c>
      <c r="L252" s="103">
        <f t="shared" ref="L252" si="360">IF(L34=0,0,L34/L$31)</f>
        <v>0.83624537025304546</v>
      </c>
      <c r="M252" s="103">
        <f t="shared" ref="M252:V252" si="361">IF(M34=0,0,M34/M$31)</f>
        <v>0.8378850340040217</v>
      </c>
      <c r="N252" s="103">
        <f t="shared" si="361"/>
        <v>0.84135806988426076</v>
      </c>
      <c r="O252" s="103">
        <f t="shared" si="361"/>
        <v>0.84413767240701831</v>
      </c>
      <c r="P252" s="103">
        <f t="shared" si="361"/>
        <v>0.83969543321920659</v>
      </c>
      <c r="Q252" s="103">
        <f t="shared" si="361"/>
        <v>0.83051718421592269</v>
      </c>
      <c r="R252" s="103">
        <f t="shared" si="361"/>
        <v>0.82985136127914205</v>
      </c>
      <c r="S252" s="103">
        <f t="shared" si="361"/>
        <v>0.80954190082675337</v>
      </c>
      <c r="T252" s="103">
        <f t="shared" si="361"/>
        <v>0.78668349041195096</v>
      </c>
      <c r="U252" s="103">
        <f t="shared" si="361"/>
        <v>0.76609861228479692</v>
      </c>
      <c r="V252" s="103">
        <f t="shared" si="361"/>
        <v>0.75295057728669801</v>
      </c>
      <c r="W252" s="103">
        <f t="shared" ref="W252:Y252" si="362">IF(W34=0,0,W34/W$31)</f>
        <v>0.7474263982253383</v>
      </c>
      <c r="X252" s="103">
        <f t="shared" si="362"/>
        <v>0.74919449303586139</v>
      </c>
      <c r="Y252" s="103">
        <f t="shared" si="362"/>
        <v>0.75098309387175888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0.15709309823854054</v>
      </c>
      <c r="C253" s="103">
        <f t="shared" si="363"/>
        <v>0.16206653723161565</v>
      </c>
      <c r="D253" s="103">
        <f t="shared" si="363"/>
        <v>0.15676194630454299</v>
      </c>
      <c r="E253" s="103">
        <f t="shared" si="363"/>
        <v>0.14857287555564247</v>
      </c>
      <c r="F253" s="103">
        <f t="shared" si="363"/>
        <v>0.13410090711468403</v>
      </c>
      <c r="G253" s="103">
        <f t="shared" si="363"/>
        <v>0.12362567624279321</v>
      </c>
      <c r="H253" s="103">
        <f t="shared" si="363"/>
        <v>0.11466222446711744</v>
      </c>
      <c r="I253" s="103">
        <f t="shared" si="363"/>
        <v>0.1101928564272457</v>
      </c>
      <c r="J253" s="103">
        <f t="shared" si="363"/>
        <v>0.11050277975826404</v>
      </c>
      <c r="K253" s="103">
        <f t="shared" si="363"/>
        <v>0.11251904232379935</v>
      </c>
      <c r="L253" s="103">
        <f t="shared" ref="L253" si="364">IF(L35=0,0,L35/L$31)</f>
        <v>0.11288633454271042</v>
      </c>
      <c r="M253" s="103">
        <f t="shared" ref="M253:V253" si="365">IF(M35=0,0,M35/M$31)</f>
        <v>0.11166128351652384</v>
      </c>
      <c r="N253" s="103">
        <f t="shared" si="365"/>
        <v>0.10643529245814246</v>
      </c>
      <c r="O253" s="103">
        <f t="shared" si="365"/>
        <v>0.10412545220732404</v>
      </c>
      <c r="P253" s="103">
        <f t="shared" si="365"/>
        <v>0.10863753876268513</v>
      </c>
      <c r="Q253" s="103">
        <f t="shared" si="365"/>
        <v>0.11769120835352044</v>
      </c>
      <c r="R253" s="103">
        <f t="shared" si="365"/>
        <v>0.12335145043398886</v>
      </c>
      <c r="S253" s="103">
        <f t="shared" si="365"/>
        <v>0.14428187850945096</v>
      </c>
      <c r="T253" s="103">
        <f t="shared" si="365"/>
        <v>0.16715805539823178</v>
      </c>
      <c r="U253" s="103">
        <f t="shared" si="365"/>
        <v>0.1881122134628066</v>
      </c>
      <c r="V253" s="103">
        <f t="shared" si="365"/>
        <v>0.2053677406887742</v>
      </c>
      <c r="W253" s="103">
        <f t="shared" ref="W253:Y253" si="366">IF(W35=0,0,W35/W$31)</f>
        <v>0.20972548562075258</v>
      </c>
      <c r="X253" s="103">
        <f t="shared" si="366"/>
        <v>0.20618749136116976</v>
      </c>
      <c r="Y253" s="103">
        <f t="shared" si="366"/>
        <v>0.2021482674002022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0</v>
      </c>
      <c r="C254" s="103">
        <f t="shared" si="367"/>
        <v>0</v>
      </c>
      <c r="D254" s="103">
        <f t="shared" si="367"/>
        <v>0</v>
      </c>
      <c r="E254" s="103">
        <f t="shared" si="367"/>
        <v>0</v>
      </c>
      <c r="F254" s="103">
        <f t="shared" si="367"/>
        <v>0</v>
      </c>
      <c r="G254" s="103">
        <f t="shared" si="367"/>
        <v>0</v>
      </c>
      <c r="H254" s="103">
        <f t="shared" si="367"/>
        <v>0</v>
      </c>
      <c r="I254" s="103">
        <f t="shared" si="367"/>
        <v>0</v>
      </c>
      <c r="J254" s="103">
        <f t="shared" si="367"/>
        <v>0</v>
      </c>
      <c r="K254" s="103">
        <f t="shared" si="367"/>
        <v>0</v>
      </c>
      <c r="L254" s="103">
        <f t="shared" ref="L254" si="368">IF(L36=0,0,L36/L$31)</f>
        <v>0</v>
      </c>
      <c r="M254" s="103">
        <f t="shared" ref="M254:V254" si="369">IF(M36=0,0,M36/M$31)</f>
        <v>0</v>
      </c>
      <c r="N254" s="103">
        <f t="shared" si="369"/>
        <v>0</v>
      </c>
      <c r="O254" s="103">
        <f t="shared" si="369"/>
        <v>0</v>
      </c>
      <c r="P254" s="103">
        <f t="shared" si="369"/>
        <v>0</v>
      </c>
      <c r="Q254" s="103">
        <f t="shared" si="369"/>
        <v>0</v>
      </c>
      <c r="R254" s="103">
        <f t="shared" si="369"/>
        <v>0</v>
      </c>
      <c r="S254" s="103">
        <f t="shared" si="369"/>
        <v>0</v>
      </c>
      <c r="T254" s="103">
        <f t="shared" si="369"/>
        <v>1.5530579466129567E-3</v>
      </c>
      <c r="U254" s="103">
        <f t="shared" si="369"/>
        <v>1.4591469590491794E-3</v>
      </c>
      <c r="V254" s="103">
        <f t="shared" si="369"/>
        <v>1.3660722662713648E-3</v>
      </c>
      <c r="W254" s="103">
        <f t="shared" ref="W254:Y254" si="370">IF(W36=0,0,W36/W$31)</f>
        <v>1.3576989062470779E-3</v>
      </c>
      <c r="X254" s="103">
        <f t="shared" si="370"/>
        <v>1.3574953201830713E-3</v>
      </c>
      <c r="Y254" s="103">
        <f t="shared" si="370"/>
        <v>1.2641291475669414E-3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0</v>
      </c>
      <c r="M255" s="103">
        <f t="shared" ref="M255:V255" si="373">IF(M37=0,0,M37/M$31)</f>
        <v>0</v>
      </c>
      <c r="N255" s="103">
        <f t="shared" si="373"/>
        <v>0</v>
      </c>
      <c r="O255" s="103">
        <f t="shared" si="373"/>
        <v>0</v>
      </c>
      <c r="P255" s="103">
        <f t="shared" si="373"/>
        <v>0</v>
      </c>
      <c r="Q255" s="103">
        <f t="shared" si="373"/>
        <v>0</v>
      </c>
      <c r="R255" s="103">
        <f t="shared" si="373"/>
        <v>0</v>
      </c>
      <c r="S255" s="103">
        <f t="shared" si="373"/>
        <v>0</v>
      </c>
      <c r="T255" s="103">
        <f t="shared" si="373"/>
        <v>0</v>
      </c>
      <c r="U255" s="103">
        <f t="shared" si="373"/>
        <v>0</v>
      </c>
      <c r="V255" s="103">
        <f t="shared" si="373"/>
        <v>0</v>
      </c>
      <c r="W255" s="103">
        <f t="shared" ref="W255:Y255" si="374">IF(W37=0,0,W37/W$31)</f>
        <v>0</v>
      </c>
      <c r="X255" s="103">
        <f t="shared" si="374"/>
        <v>0</v>
      </c>
      <c r="Y255" s="103">
        <f t="shared" si="374"/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0</v>
      </c>
      <c r="O256" s="103">
        <f t="shared" si="377"/>
        <v>0</v>
      </c>
      <c r="P256" s="103">
        <f t="shared" si="377"/>
        <v>5.5804193193863201E-6</v>
      </c>
      <c r="Q256" s="103">
        <f t="shared" si="377"/>
        <v>5.2920916048865392E-5</v>
      </c>
      <c r="R256" s="103">
        <f t="shared" si="377"/>
        <v>8.3194998697110257E-5</v>
      </c>
      <c r="S256" s="103">
        <f t="shared" si="377"/>
        <v>1.7849481695533592E-4</v>
      </c>
      <c r="T256" s="103">
        <f t="shared" si="377"/>
        <v>2.5880569324497691E-4</v>
      </c>
      <c r="U256" s="103">
        <f t="shared" si="377"/>
        <v>3.8028828444305266E-4</v>
      </c>
      <c r="V256" s="103">
        <f t="shared" si="377"/>
        <v>4.9944429804429653E-4</v>
      </c>
      <c r="W256" s="103">
        <f t="shared" ref="W256:Y256" si="378">IF(W38=0,0,W38/W$31)</f>
        <v>7.1117244068570227E-4</v>
      </c>
      <c r="X256" s="103">
        <f t="shared" si="378"/>
        <v>9.8992039038871727E-4</v>
      </c>
      <c r="Y256" s="103">
        <f t="shared" si="378"/>
        <v>1.6898330329924813E-3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0</v>
      </c>
      <c r="N257" s="103">
        <f t="shared" si="381"/>
        <v>0</v>
      </c>
      <c r="O257" s="103">
        <f t="shared" si="381"/>
        <v>1.2214586527169278E-5</v>
      </c>
      <c r="P257" s="103">
        <f t="shared" si="381"/>
        <v>3.0402901711663576E-5</v>
      </c>
      <c r="Q257" s="103">
        <f t="shared" si="381"/>
        <v>4.5763737764986766E-5</v>
      </c>
      <c r="R257" s="103">
        <f t="shared" si="381"/>
        <v>6.9975611678624655E-5</v>
      </c>
      <c r="S257" s="103">
        <f t="shared" si="381"/>
        <v>1.5011684528470838E-4</v>
      </c>
      <c r="T257" s="103">
        <f t="shared" si="381"/>
        <v>1.8954938621025866E-4</v>
      </c>
      <c r="U257" s="103">
        <f t="shared" si="381"/>
        <v>2.6759005263144299E-4</v>
      </c>
      <c r="V257" s="103">
        <f t="shared" si="381"/>
        <v>4.0784178340038703E-4</v>
      </c>
      <c r="W257" s="103">
        <f t="shared" ref="W257:Y257" si="382">IF(W39=0,0,W39/W$31)</f>
        <v>5.6470181572982844E-4</v>
      </c>
      <c r="X257" s="103">
        <f t="shared" si="382"/>
        <v>9.0765739892545091E-4</v>
      </c>
      <c r="Y257" s="103">
        <f t="shared" si="382"/>
        <v>1.9489464824253106E-3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4.1145362785927495E-2</v>
      </c>
      <c r="C258" s="156">
        <f t="shared" si="383"/>
        <v>4.0751178963805083E-2</v>
      </c>
      <c r="D258" s="156">
        <f t="shared" si="383"/>
        <v>4.1248373967866181E-2</v>
      </c>
      <c r="E258" s="156">
        <f t="shared" si="383"/>
        <v>4.2096821874764163E-2</v>
      </c>
      <c r="F258" s="156">
        <f t="shared" si="383"/>
        <v>3.7283606780221426E-2</v>
      </c>
      <c r="G258" s="156">
        <f t="shared" si="383"/>
        <v>3.6014131923010541E-2</v>
      </c>
      <c r="H258" s="156">
        <f t="shared" si="383"/>
        <v>3.4928379176555849E-2</v>
      </c>
      <c r="I258" s="156">
        <f t="shared" si="383"/>
        <v>3.2380486759685495E-2</v>
      </c>
      <c r="J258" s="156">
        <f t="shared" si="383"/>
        <v>3.0621716973984713E-2</v>
      </c>
      <c r="K258" s="156">
        <f t="shared" si="383"/>
        <v>2.823926371150166E-2</v>
      </c>
      <c r="L258" s="156">
        <f t="shared" ref="L258" si="384">IF(L40=0,0,L40/L$31)</f>
        <v>2.7290654726364508E-2</v>
      </c>
      <c r="M258" s="156">
        <f t="shared" ref="M258:V258" si="385">IF(M40=0,0,M40/M$31)</f>
        <v>2.7483423321838066E-2</v>
      </c>
      <c r="N258" s="156">
        <f t="shared" si="385"/>
        <v>2.8504261074245359E-2</v>
      </c>
      <c r="O258" s="156">
        <f t="shared" si="385"/>
        <v>2.8159040251268159E-2</v>
      </c>
      <c r="P258" s="156">
        <f t="shared" si="385"/>
        <v>2.7893409607879938E-2</v>
      </c>
      <c r="Q258" s="156">
        <f t="shared" si="385"/>
        <v>2.8898137130708382E-2</v>
      </c>
      <c r="R258" s="156">
        <f t="shared" si="385"/>
        <v>2.6515692607294118E-2</v>
      </c>
      <c r="S258" s="156">
        <f t="shared" si="385"/>
        <v>2.7164583913761763E-2</v>
      </c>
      <c r="T258" s="156">
        <f t="shared" si="385"/>
        <v>2.703091958276448E-2</v>
      </c>
      <c r="U258" s="156">
        <f t="shared" si="385"/>
        <v>2.6257766990251185E-2</v>
      </c>
      <c r="V258" s="156">
        <f t="shared" si="385"/>
        <v>2.2469417539860859E-2</v>
      </c>
      <c r="W258" s="156">
        <f t="shared" ref="W258:Y258" si="386">IF(W40=0,0,W40/W$31)</f>
        <v>2.3118681920915846E-2</v>
      </c>
      <c r="X258" s="156">
        <f t="shared" si="386"/>
        <v>2.4707604720613272E-2</v>
      </c>
      <c r="Y258" s="156">
        <f t="shared" si="386"/>
        <v>2.4728086094711787E-2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1.3831711710251028E-3</v>
      </c>
      <c r="C259" s="103">
        <f t="shared" si="387"/>
        <v>1.3074395280740295E-3</v>
      </c>
      <c r="D259" s="103">
        <f t="shared" si="387"/>
        <v>1.2404163504494963E-3</v>
      </c>
      <c r="E259" s="103">
        <f t="shared" si="387"/>
        <v>1.1952519301018838E-3</v>
      </c>
      <c r="F259" s="103">
        <f t="shared" si="387"/>
        <v>1.0796913983330762E-3</v>
      </c>
      <c r="G259" s="103">
        <f t="shared" si="387"/>
        <v>1.0228902303097628E-3</v>
      </c>
      <c r="H259" s="103">
        <f t="shared" si="387"/>
        <v>1.0019049588843633E-3</v>
      </c>
      <c r="I259" s="103">
        <f t="shared" si="387"/>
        <v>9.1360035085427628E-4</v>
      </c>
      <c r="J259" s="103">
        <f t="shared" si="387"/>
        <v>8.5731318347033794E-4</v>
      </c>
      <c r="K259" s="103">
        <f t="shared" si="387"/>
        <v>8.1080195488844706E-4</v>
      </c>
      <c r="L259" s="103">
        <f t="shared" ref="L259" si="388">IF(L41=0,0,L41/L$31)</f>
        <v>8.0525380546940485E-4</v>
      </c>
      <c r="M259" s="103">
        <f t="shared" ref="M259:V259" si="389">IF(M41=0,0,M41/M$31)</f>
        <v>8.0829072827268199E-4</v>
      </c>
      <c r="N259" s="103">
        <f t="shared" si="389"/>
        <v>8.260282516228439E-4</v>
      </c>
      <c r="O259" s="103">
        <f t="shared" si="389"/>
        <v>8.2155592956398391E-4</v>
      </c>
      <c r="P259" s="103">
        <f t="shared" si="389"/>
        <v>2.8380163714818494E-4</v>
      </c>
      <c r="Q259" s="103">
        <f t="shared" si="389"/>
        <v>2.4581668352251061E-4</v>
      </c>
      <c r="R259" s="103">
        <f t="shared" si="389"/>
        <v>2.1482062924536947E-4</v>
      </c>
      <c r="S259" s="103">
        <f t="shared" si="389"/>
        <v>2.1935591121608061E-4</v>
      </c>
      <c r="T259" s="103">
        <f t="shared" si="389"/>
        <v>2.2122729344589007E-4</v>
      </c>
      <c r="U259" s="103">
        <f t="shared" si="389"/>
        <v>2.1270706777206392E-4</v>
      </c>
      <c r="V259" s="103">
        <f t="shared" si="389"/>
        <v>2.2402947063814531E-4</v>
      </c>
      <c r="W259" s="103">
        <f t="shared" ref="W259:Y259" si="390">IF(W41=0,0,W41/W$31)</f>
        <v>2.117278133758168E-4</v>
      </c>
      <c r="X259" s="103">
        <f t="shared" si="390"/>
        <v>1.8589794165131552E-4</v>
      </c>
      <c r="Y259" s="103">
        <f t="shared" si="390"/>
        <v>1.4736123943361569E-4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3.9762191614902388E-2</v>
      </c>
      <c r="C260" s="103">
        <f t="shared" si="391"/>
        <v>3.9443739435731061E-2</v>
      </c>
      <c r="D260" s="103">
        <f t="shared" si="391"/>
        <v>4.0007957617416684E-2</v>
      </c>
      <c r="E260" s="103">
        <f t="shared" si="391"/>
        <v>4.0901569944662278E-2</v>
      </c>
      <c r="F260" s="103">
        <f t="shared" si="391"/>
        <v>3.6203915381888351E-2</v>
      </c>
      <c r="G260" s="103">
        <f t="shared" si="391"/>
        <v>3.4991241692700778E-2</v>
      </c>
      <c r="H260" s="103">
        <f t="shared" si="391"/>
        <v>3.3926474217671483E-2</v>
      </c>
      <c r="I260" s="103">
        <f t="shared" si="391"/>
        <v>3.1466886408831218E-2</v>
      </c>
      <c r="J260" s="103">
        <f t="shared" si="391"/>
        <v>2.9756995371278232E-2</v>
      </c>
      <c r="K260" s="103">
        <f t="shared" si="391"/>
        <v>2.742130929265079E-2</v>
      </c>
      <c r="L260" s="103">
        <f t="shared" ref="L260" si="392">IF(L42=0,0,L42/L$31)</f>
        <v>2.6478394708267128E-2</v>
      </c>
      <c r="M260" s="103">
        <f t="shared" ref="M260:V260" si="393">IF(M42=0,0,M42/M$31)</f>
        <v>2.666819499342464E-2</v>
      </c>
      <c r="N260" s="103">
        <f t="shared" si="393"/>
        <v>2.7671190563256641E-2</v>
      </c>
      <c r="O260" s="103">
        <f t="shared" si="393"/>
        <v>2.7330384896582179E-2</v>
      </c>
      <c r="P260" s="103">
        <f t="shared" si="393"/>
        <v>2.7602539131515207E-2</v>
      </c>
      <c r="Q260" s="103">
        <f t="shared" si="393"/>
        <v>2.8645381361912452E-2</v>
      </c>
      <c r="R260" s="103">
        <f t="shared" si="393"/>
        <v>2.62947502798387E-2</v>
      </c>
      <c r="S260" s="103">
        <f t="shared" si="393"/>
        <v>2.6939198427684125E-2</v>
      </c>
      <c r="T260" s="103">
        <f t="shared" si="393"/>
        <v>2.6803897136735005E-2</v>
      </c>
      <c r="U260" s="103">
        <f t="shared" si="393"/>
        <v>2.6039478587265887E-2</v>
      </c>
      <c r="V260" s="103">
        <f t="shared" si="393"/>
        <v>2.2239370789411614E-2</v>
      </c>
      <c r="W260" s="103">
        <f t="shared" ref="W260:Y260" si="394">IF(W42=0,0,W42/W$31)</f>
        <v>2.290105740198595E-2</v>
      </c>
      <c r="X260" s="103">
        <f t="shared" si="394"/>
        <v>2.4516043322233068E-2</v>
      </c>
      <c r="Y260" s="103">
        <f t="shared" si="394"/>
        <v>2.4358523367235721E-2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0</v>
      </c>
      <c r="D262" s="103">
        <f t="shared" si="399"/>
        <v>0</v>
      </c>
      <c r="E262" s="103">
        <f t="shared" si="399"/>
        <v>0</v>
      </c>
      <c r="F262" s="103">
        <f t="shared" si="399"/>
        <v>0</v>
      </c>
      <c r="G262" s="103">
        <f t="shared" si="399"/>
        <v>0</v>
      </c>
      <c r="H262" s="103">
        <f t="shared" si="399"/>
        <v>0</v>
      </c>
      <c r="I262" s="103">
        <f t="shared" si="399"/>
        <v>0</v>
      </c>
      <c r="J262" s="103">
        <f t="shared" si="399"/>
        <v>0</v>
      </c>
      <c r="K262" s="103">
        <f t="shared" si="399"/>
        <v>0</v>
      </c>
      <c r="L262" s="103">
        <f t="shared" ref="L262" si="400">IF(L44=0,0,L44/L$31)</f>
        <v>0</v>
      </c>
      <c r="M262" s="103">
        <f t="shared" ref="M262:V262" si="401">IF(M44=0,0,M44/M$31)</f>
        <v>0</v>
      </c>
      <c r="N262" s="103">
        <f t="shared" si="401"/>
        <v>0</v>
      </c>
      <c r="O262" s="103">
        <f t="shared" si="401"/>
        <v>0</v>
      </c>
      <c r="P262" s="103">
        <f t="shared" si="401"/>
        <v>0</v>
      </c>
      <c r="Q262" s="103">
        <f t="shared" si="401"/>
        <v>0</v>
      </c>
      <c r="R262" s="103">
        <f t="shared" si="401"/>
        <v>0</v>
      </c>
      <c r="S262" s="103">
        <f t="shared" si="401"/>
        <v>0</v>
      </c>
      <c r="T262" s="103">
        <f t="shared" si="401"/>
        <v>0</v>
      </c>
      <c r="U262" s="103">
        <f t="shared" si="401"/>
        <v>0</v>
      </c>
      <c r="V262" s="103">
        <f t="shared" si="401"/>
        <v>0</v>
      </c>
      <c r="W262" s="103">
        <f t="shared" ref="W262:Y262" si="402">IF(W44=0,0,W44/W$31)</f>
        <v>0</v>
      </c>
      <c r="X262" s="103">
        <f t="shared" si="402"/>
        <v>0</v>
      </c>
      <c r="Y262" s="103">
        <f t="shared" si="402"/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7.4084192361434255E-6</v>
      </c>
      <c r="K263" s="103">
        <f t="shared" si="403"/>
        <v>7.1524639624252335E-6</v>
      </c>
      <c r="L263" s="103">
        <f t="shared" ref="L263" si="404">IF(L45=0,0,L45/L$31)</f>
        <v>7.0062126279755703E-6</v>
      </c>
      <c r="M263" s="103">
        <f t="shared" ref="M263:V263" si="405">IF(M45=0,0,M45/M$31)</f>
        <v>6.9376001407388613E-6</v>
      </c>
      <c r="N263" s="103">
        <f t="shared" si="405"/>
        <v>7.0422593658733962E-6</v>
      </c>
      <c r="O263" s="103">
        <f t="shared" si="405"/>
        <v>7.099425121998131E-6</v>
      </c>
      <c r="P263" s="103">
        <f t="shared" si="405"/>
        <v>7.068839216544183E-6</v>
      </c>
      <c r="Q263" s="103">
        <f t="shared" si="405"/>
        <v>6.9390852734174056E-6</v>
      </c>
      <c r="R263" s="103">
        <f t="shared" si="405"/>
        <v>6.1216982100506113E-6</v>
      </c>
      <c r="S263" s="103">
        <f t="shared" si="405"/>
        <v>6.0295748615573638E-6</v>
      </c>
      <c r="T263" s="103">
        <f t="shared" si="405"/>
        <v>5.7951525835862074E-6</v>
      </c>
      <c r="U263" s="103">
        <f t="shared" si="405"/>
        <v>5.5813352132353472E-6</v>
      </c>
      <c r="V263" s="103">
        <f t="shared" si="405"/>
        <v>6.017279811098098E-6</v>
      </c>
      <c r="W263" s="103">
        <f t="shared" ref="W263:Y263" si="406">IF(W45=0,0,W45/W$31)</f>
        <v>5.8967055540738785E-6</v>
      </c>
      <c r="X263" s="103">
        <f t="shared" si="406"/>
        <v>5.6634567288862699E-6</v>
      </c>
      <c r="Y263" s="103">
        <f t="shared" si="406"/>
        <v>2.2220148804245012E-4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0.90651073971562435</v>
      </c>
      <c r="C265" s="154">
        <f t="shared" si="411"/>
        <v>0.90755909257927125</v>
      </c>
      <c r="D265" s="154">
        <f t="shared" si="411"/>
        <v>0.91117131615322111</v>
      </c>
      <c r="E265" s="154">
        <f t="shared" si="411"/>
        <v>0.90590283855167508</v>
      </c>
      <c r="F265" s="154">
        <f t="shared" si="411"/>
        <v>0.91562997372762378</v>
      </c>
      <c r="G265" s="154">
        <f t="shared" si="411"/>
        <v>0.90010075578075033</v>
      </c>
      <c r="H265" s="154">
        <f t="shared" si="411"/>
        <v>0.91092473238434679</v>
      </c>
      <c r="I265" s="154">
        <f t="shared" si="411"/>
        <v>0.90658118595726878</v>
      </c>
      <c r="J265" s="154">
        <f t="shared" si="411"/>
        <v>0.90390543273159574</v>
      </c>
      <c r="K265" s="154">
        <f t="shared" si="411"/>
        <v>0.92049133762538649</v>
      </c>
      <c r="L265" s="154">
        <f t="shared" ref="L265" si="412">IF(L47=0,0,L47/L$46)</f>
        <v>0.91231111660968256</v>
      </c>
      <c r="M265" s="154">
        <f t="shared" ref="M265:V265" si="413">IF(M47=0,0,M47/M$46)</f>
        <v>0.92412058389424656</v>
      </c>
      <c r="N265" s="154">
        <f t="shared" si="413"/>
        <v>0.93042985753663099</v>
      </c>
      <c r="O265" s="154">
        <f t="shared" si="413"/>
        <v>0.94667260898435068</v>
      </c>
      <c r="P265" s="154">
        <f t="shared" si="413"/>
        <v>0.95093633804880451</v>
      </c>
      <c r="Q265" s="154">
        <f t="shared" si="413"/>
        <v>0.95105567906910338</v>
      </c>
      <c r="R265" s="154">
        <f t="shared" si="413"/>
        <v>0.93884277278388384</v>
      </c>
      <c r="S265" s="154">
        <f t="shared" si="413"/>
        <v>0.93280970388882123</v>
      </c>
      <c r="T265" s="154">
        <f t="shared" si="413"/>
        <v>0.93172065356146749</v>
      </c>
      <c r="U265" s="154">
        <f t="shared" si="413"/>
        <v>0.92905108744332043</v>
      </c>
      <c r="V265" s="154">
        <f t="shared" si="413"/>
        <v>0.94572720841360991</v>
      </c>
      <c r="W265" s="154">
        <f t="shared" ref="W265:Y265" si="414">IF(W47=0,0,W47/W$46)</f>
        <v>0.94498017714931404</v>
      </c>
      <c r="X265" s="154">
        <f t="shared" si="414"/>
        <v>0.92292844044557032</v>
      </c>
      <c r="Y265" s="154">
        <f t="shared" si="414"/>
        <v>0.9227166203410363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5.9504221417194893E-2</v>
      </c>
      <c r="C266" s="103">
        <f t="shared" si="415"/>
        <v>6.0490063260928921E-2</v>
      </c>
      <c r="D266" s="103">
        <f t="shared" si="415"/>
        <v>5.6555960102943427E-2</v>
      </c>
      <c r="E266" s="103">
        <f t="shared" si="415"/>
        <v>6.0377998806508432E-2</v>
      </c>
      <c r="F266" s="103">
        <f t="shared" si="415"/>
        <v>5.4908126021033357E-2</v>
      </c>
      <c r="G266" s="103">
        <f t="shared" si="415"/>
        <v>3.9809504484458164E-2</v>
      </c>
      <c r="H266" s="103">
        <f t="shared" si="415"/>
        <v>4.0286078462981836E-2</v>
      </c>
      <c r="I266" s="103">
        <f t="shared" si="415"/>
        <v>3.7036062953291211E-2</v>
      </c>
      <c r="J266" s="103">
        <f t="shared" si="415"/>
        <v>3.8549701945878312E-2</v>
      </c>
      <c r="K266" s="103">
        <f t="shared" si="415"/>
        <v>3.9122328337162046E-2</v>
      </c>
      <c r="L266" s="103">
        <f t="shared" ref="L266" si="416">IF(L48=0,0,L48/L$46)</f>
        <v>3.7079514229980536E-2</v>
      </c>
      <c r="M266" s="103">
        <f t="shared" ref="M266:V266" si="417">IF(M48=0,0,M48/M$46)</f>
        <v>3.6878843480575484E-2</v>
      </c>
      <c r="N266" s="103">
        <f t="shared" si="417"/>
        <v>3.6857506900616621E-2</v>
      </c>
      <c r="O266" s="103">
        <f t="shared" si="417"/>
        <v>3.7610428940828708E-2</v>
      </c>
      <c r="P266" s="103">
        <f t="shared" si="417"/>
        <v>3.7302027238225947E-2</v>
      </c>
      <c r="Q266" s="103">
        <f t="shared" si="417"/>
        <v>3.7199083789078151E-2</v>
      </c>
      <c r="R266" s="103">
        <f t="shared" si="417"/>
        <v>3.5845368068439465E-2</v>
      </c>
      <c r="S266" s="103">
        <f t="shared" si="417"/>
        <v>3.4446099762067577E-2</v>
      </c>
      <c r="T266" s="103">
        <f t="shared" si="417"/>
        <v>3.3561208297931806E-2</v>
      </c>
      <c r="U266" s="103">
        <f t="shared" si="417"/>
        <v>3.3900686674617223E-2</v>
      </c>
      <c r="V266" s="103">
        <f t="shared" si="417"/>
        <v>3.5235897032649621E-2</v>
      </c>
      <c r="W266" s="103">
        <f t="shared" ref="W266:Y266" si="418">IF(W48=0,0,W48/W$46)</f>
        <v>3.5947122733701611E-2</v>
      </c>
      <c r="X266" s="103">
        <f t="shared" si="418"/>
        <v>3.9342421084371824E-2</v>
      </c>
      <c r="Y266" s="103">
        <f t="shared" si="418"/>
        <v>4.3985135404966368E-2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0.84700651829842954</v>
      </c>
      <c r="C267" s="103">
        <f t="shared" si="419"/>
        <v>0.84706902931834238</v>
      </c>
      <c r="D267" s="103">
        <f t="shared" si="419"/>
        <v>0.85461535605027772</v>
      </c>
      <c r="E267" s="103">
        <f t="shared" si="419"/>
        <v>0.84552483974516657</v>
      </c>
      <c r="F267" s="103">
        <f t="shared" si="419"/>
        <v>0.86072184770659055</v>
      </c>
      <c r="G267" s="103">
        <f t="shared" si="419"/>
        <v>0.86029125129629214</v>
      </c>
      <c r="H267" s="103">
        <f t="shared" si="419"/>
        <v>0.87063865392136497</v>
      </c>
      <c r="I267" s="103">
        <f t="shared" si="419"/>
        <v>0.86953564204784406</v>
      </c>
      <c r="J267" s="103">
        <f t="shared" si="419"/>
        <v>0.86534211639044556</v>
      </c>
      <c r="K267" s="103">
        <f t="shared" si="419"/>
        <v>0.88135330488402031</v>
      </c>
      <c r="L267" s="103">
        <f t="shared" ref="L267" si="420">IF(L49=0,0,L49/L$46)</f>
        <v>0.87520570191547675</v>
      </c>
      <c r="M267" s="103">
        <f t="shared" ref="M267:V267" si="421">IF(M49=0,0,M49/M$46)</f>
        <v>0.88721042589101329</v>
      </c>
      <c r="N267" s="103">
        <f t="shared" si="421"/>
        <v>0.89354102509672129</v>
      </c>
      <c r="O267" s="103">
        <f t="shared" si="421"/>
        <v>0.90902776282320896</v>
      </c>
      <c r="P267" s="103">
        <f t="shared" si="421"/>
        <v>0.91360372874405538</v>
      </c>
      <c r="Q267" s="103">
        <f t="shared" si="421"/>
        <v>0.91382552980598775</v>
      </c>
      <c r="R267" s="103">
        <f t="shared" si="421"/>
        <v>0.90296882056404326</v>
      </c>
      <c r="S267" s="103">
        <f t="shared" si="421"/>
        <v>0.89833685422112386</v>
      </c>
      <c r="T267" s="103">
        <f t="shared" si="421"/>
        <v>0.89813929712053242</v>
      </c>
      <c r="U267" s="103">
        <f t="shared" si="421"/>
        <v>0.89511483028403493</v>
      </c>
      <c r="V267" s="103">
        <f t="shared" si="421"/>
        <v>0.91044954273619116</v>
      </c>
      <c r="W267" s="103">
        <f t="shared" ref="W267:Y267" si="422">IF(W49=0,0,W49/W$46)</f>
        <v>0.90896849132944812</v>
      </c>
      <c r="X267" s="103">
        <f t="shared" si="422"/>
        <v>0.88333819193103003</v>
      </c>
      <c r="Y267" s="103">
        <f t="shared" si="422"/>
        <v>0.87839366936990659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9.48095613353598E-6</v>
      </c>
      <c r="J270" s="103">
        <f t="shared" si="431"/>
        <v>1.3614395271721281E-5</v>
      </c>
      <c r="K270" s="103">
        <f t="shared" si="431"/>
        <v>1.570440420419432E-5</v>
      </c>
      <c r="L270" s="103">
        <f t="shared" ref="L270" si="432">IF(L52=0,0,L52/L$46)</f>
        <v>2.5900464225160038E-5</v>
      </c>
      <c r="M270" s="103">
        <f t="shared" ref="M270:V270" si="433">IF(M52=0,0,M52/M$46)</f>
        <v>3.1314522657754308E-5</v>
      </c>
      <c r="N270" s="103">
        <f t="shared" si="433"/>
        <v>3.13255392931688E-5</v>
      </c>
      <c r="O270" s="103">
        <f t="shared" si="433"/>
        <v>3.441722031287384E-5</v>
      </c>
      <c r="P270" s="103">
        <f t="shared" si="433"/>
        <v>3.0582066523291798E-5</v>
      </c>
      <c r="Q270" s="103">
        <f t="shared" si="433"/>
        <v>3.1065474037513441E-5</v>
      </c>
      <c r="R270" s="103">
        <f t="shared" si="433"/>
        <v>2.8584151400948313E-5</v>
      </c>
      <c r="S270" s="103">
        <f t="shared" si="433"/>
        <v>2.6749905629811937E-5</v>
      </c>
      <c r="T270" s="103">
        <f t="shared" si="433"/>
        <v>2.0148143003211843E-5</v>
      </c>
      <c r="U270" s="103">
        <f t="shared" si="433"/>
        <v>3.5570484668109608E-5</v>
      </c>
      <c r="V270" s="103">
        <f t="shared" si="433"/>
        <v>4.1768644769144113E-5</v>
      </c>
      <c r="W270" s="103">
        <f t="shared" ref="W270:Y270" si="434">IF(W52=0,0,W52/W$46)</f>
        <v>6.4563086164269105E-5</v>
      </c>
      <c r="X270" s="103">
        <f t="shared" si="434"/>
        <v>2.4782743016846617E-4</v>
      </c>
      <c r="Y270" s="103">
        <f t="shared" si="434"/>
        <v>3.378155661632931E-4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9.348926028437568E-2</v>
      </c>
      <c r="C271" s="156">
        <f t="shared" si="435"/>
        <v>9.2440907420728746E-2</v>
      </c>
      <c r="D271" s="156">
        <f t="shared" si="435"/>
        <v>8.8828683846778875E-2</v>
      </c>
      <c r="E271" s="156">
        <f t="shared" si="435"/>
        <v>9.4097161448324973E-2</v>
      </c>
      <c r="F271" s="156">
        <f t="shared" si="435"/>
        <v>8.4370026272376178E-2</v>
      </c>
      <c r="G271" s="156">
        <f t="shared" si="435"/>
        <v>9.9899244219249644E-2</v>
      </c>
      <c r="H271" s="156">
        <f t="shared" si="435"/>
        <v>8.9075267615653167E-2</v>
      </c>
      <c r="I271" s="156">
        <f t="shared" si="435"/>
        <v>9.3418814042731252E-2</v>
      </c>
      <c r="J271" s="156">
        <f t="shared" si="435"/>
        <v>9.6094567268404291E-2</v>
      </c>
      <c r="K271" s="156">
        <f t="shared" si="435"/>
        <v>7.9508662374613473E-2</v>
      </c>
      <c r="L271" s="156">
        <f t="shared" ref="L271" si="436">IF(L53=0,0,L53/L$46)</f>
        <v>8.7688883390317468E-2</v>
      </c>
      <c r="M271" s="156">
        <f t="shared" ref="M271:V271" si="437">IF(M53=0,0,M53/M$46)</f>
        <v>7.5879416105753425E-2</v>
      </c>
      <c r="N271" s="156">
        <f t="shared" si="437"/>
        <v>6.9570142463369011E-2</v>
      </c>
      <c r="O271" s="156">
        <f t="shared" si="437"/>
        <v>5.3327391015649366E-2</v>
      </c>
      <c r="P271" s="156">
        <f t="shared" si="437"/>
        <v>4.9063661951195436E-2</v>
      </c>
      <c r="Q271" s="156">
        <f t="shared" si="437"/>
        <v>4.8944320930896588E-2</v>
      </c>
      <c r="R271" s="156">
        <f t="shared" si="437"/>
        <v>6.1157227216116175E-2</v>
      </c>
      <c r="S271" s="156">
        <f t="shared" si="437"/>
        <v>6.7190296111178785E-2</v>
      </c>
      <c r="T271" s="156">
        <f t="shared" si="437"/>
        <v>6.8279346438532562E-2</v>
      </c>
      <c r="U271" s="156">
        <f t="shared" si="437"/>
        <v>7.0948912556679608E-2</v>
      </c>
      <c r="V271" s="156">
        <f t="shared" si="437"/>
        <v>5.4272791586390069E-2</v>
      </c>
      <c r="W271" s="156">
        <f t="shared" ref="W271:Y271" si="438">IF(W53=0,0,W53/W$46)</f>
        <v>5.5019822850685914E-2</v>
      </c>
      <c r="X271" s="156">
        <f t="shared" si="438"/>
        <v>7.7071559554429639E-2</v>
      </c>
      <c r="Y271" s="156">
        <f t="shared" si="438"/>
        <v>7.7283379658963744E-2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9.348926028437568E-2</v>
      </c>
      <c r="C272" s="104">
        <f t="shared" si="439"/>
        <v>9.2440907420728746E-2</v>
      </c>
      <c r="D272" s="104">
        <f t="shared" si="439"/>
        <v>8.8828683846778875E-2</v>
      </c>
      <c r="E272" s="104">
        <f t="shared" si="439"/>
        <v>9.4097161448324973E-2</v>
      </c>
      <c r="F272" s="104">
        <f t="shared" si="439"/>
        <v>8.4370026272376178E-2</v>
      </c>
      <c r="G272" s="104">
        <f t="shared" si="439"/>
        <v>9.9899244219249644E-2</v>
      </c>
      <c r="H272" s="104">
        <f t="shared" si="439"/>
        <v>8.9075267615653167E-2</v>
      </c>
      <c r="I272" s="104">
        <f t="shared" si="439"/>
        <v>9.3418814042731252E-2</v>
      </c>
      <c r="J272" s="104">
        <f t="shared" si="439"/>
        <v>9.6094567268404291E-2</v>
      </c>
      <c r="K272" s="104">
        <f t="shared" si="439"/>
        <v>7.9508662374613473E-2</v>
      </c>
      <c r="L272" s="104">
        <f t="shared" ref="L272" si="440">IF(L54=0,0,L54/L$46)</f>
        <v>8.7688883390317468E-2</v>
      </c>
      <c r="M272" s="104">
        <f t="shared" ref="M272:V272" si="441">IF(M54=0,0,M54/M$46)</f>
        <v>7.5879416105753425E-2</v>
      </c>
      <c r="N272" s="104">
        <f t="shared" si="441"/>
        <v>6.9570142463369011E-2</v>
      </c>
      <c r="O272" s="104">
        <f t="shared" si="441"/>
        <v>5.3327391015649366E-2</v>
      </c>
      <c r="P272" s="104">
        <f t="shared" si="441"/>
        <v>4.9063661951195436E-2</v>
      </c>
      <c r="Q272" s="104">
        <f t="shared" si="441"/>
        <v>4.8944320930896588E-2</v>
      </c>
      <c r="R272" s="104">
        <f t="shared" si="441"/>
        <v>6.1157227216116175E-2</v>
      </c>
      <c r="S272" s="104">
        <f t="shared" si="441"/>
        <v>6.7190296111178785E-2</v>
      </c>
      <c r="T272" s="104">
        <f t="shared" si="441"/>
        <v>6.8279346438532562E-2</v>
      </c>
      <c r="U272" s="104">
        <f t="shared" si="441"/>
        <v>7.0948912556679608E-2</v>
      </c>
      <c r="V272" s="104">
        <f t="shared" si="441"/>
        <v>5.4272791586390069E-2</v>
      </c>
      <c r="W272" s="104">
        <f t="shared" ref="W272:Y272" si="442">IF(W54=0,0,W54/W$46)</f>
        <v>5.5019822850685914E-2</v>
      </c>
      <c r="X272" s="104">
        <f t="shared" si="442"/>
        <v>7.7071559554429639E-2</v>
      </c>
      <c r="Y272" s="104">
        <f t="shared" si="442"/>
        <v>7.7283379658963744E-2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</v>
      </c>
      <c r="C273" s="105">
        <f t="shared" si="443"/>
        <v>0</v>
      </c>
      <c r="D273" s="105">
        <f t="shared" si="443"/>
        <v>0</v>
      </c>
      <c r="E273" s="105">
        <f t="shared" si="443"/>
        <v>0</v>
      </c>
      <c r="F273" s="105">
        <f t="shared" si="443"/>
        <v>0</v>
      </c>
      <c r="G273" s="105">
        <f t="shared" si="443"/>
        <v>0</v>
      </c>
      <c r="H273" s="105">
        <f t="shared" si="443"/>
        <v>0</v>
      </c>
      <c r="I273" s="105">
        <f t="shared" si="443"/>
        <v>0</v>
      </c>
      <c r="J273" s="105">
        <f t="shared" si="443"/>
        <v>0</v>
      </c>
      <c r="K273" s="105">
        <f t="shared" si="443"/>
        <v>0</v>
      </c>
      <c r="L273" s="105">
        <f t="shared" ref="L273" si="444">IF(L55=0,0,L55/L$46)</f>
        <v>0</v>
      </c>
      <c r="M273" s="105">
        <f t="shared" ref="M273:V273" si="445">IF(M55=0,0,M55/M$46)</f>
        <v>0</v>
      </c>
      <c r="N273" s="105">
        <f t="shared" si="445"/>
        <v>0</v>
      </c>
      <c r="O273" s="105">
        <f t="shared" si="445"/>
        <v>0</v>
      </c>
      <c r="P273" s="105">
        <f t="shared" si="445"/>
        <v>0</v>
      </c>
      <c r="Q273" s="105">
        <f t="shared" si="445"/>
        <v>0</v>
      </c>
      <c r="R273" s="105">
        <f t="shared" si="445"/>
        <v>0</v>
      </c>
      <c r="S273" s="105">
        <f t="shared" si="445"/>
        <v>0</v>
      </c>
      <c r="T273" s="105">
        <f t="shared" si="445"/>
        <v>0</v>
      </c>
      <c r="U273" s="105">
        <f t="shared" si="445"/>
        <v>0</v>
      </c>
      <c r="V273" s="105">
        <f t="shared" si="445"/>
        <v>0</v>
      </c>
      <c r="W273" s="105">
        <f t="shared" ref="W273:Y273" si="446">IF(W55=0,0,W55/W$46)</f>
        <v>0</v>
      </c>
      <c r="X273" s="105">
        <f t="shared" si="446"/>
        <v>0</v>
      </c>
      <c r="Y273" s="105">
        <f t="shared" si="446"/>
        <v>0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577.42906276870156</v>
      </c>
      <c r="C4" s="145">
        <f t="shared" si="0"/>
        <v>596.31943250214954</v>
      </c>
      <c r="D4" s="145">
        <f t="shared" si="0"/>
        <v>591.46371453138443</v>
      </c>
      <c r="E4" s="145">
        <f t="shared" si="0"/>
        <v>627.12811693895094</v>
      </c>
      <c r="F4" s="145">
        <f t="shared" si="0"/>
        <v>661.9518486672398</v>
      </c>
      <c r="G4" s="145">
        <f t="shared" si="0"/>
        <v>675.95537403267417</v>
      </c>
      <c r="H4" s="145">
        <f t="shared" si="0"/>
        <v>673.4952708512468</v>
      </c>
      <c r="I4" s="145">
        <f t="shared" si="0"/>
        <v>719.44237069479914</v>
      </c>
      <c r="J4" s="145">
        <f t="shared" si="0"/>
        <v>747.59956981622793</v>
      </c>
      <c r="K4" s="145">
        <f t="shared" si="0"/>
        <v>749.5333384727536</v>
      </c>
      <c r="L4" s="145">
        <f t="shared" ref="L4" si="1">L5+L9+L10+L15</f>
        <v>765.460167882988</v>
      </c>
      <c r="M4" s="145">
        <f t="shared" ref="M4:V4" si="2">M5+M9+M10+M15</f>
        <v>744.32805888394353</v>
      </c>
      <c r="N4" s="145">
        <f t="shared" si="2"/>
        <v>687.95402679035101</v>
      </c>
      <c r="O4" s="145">
        <f t="shared" si="2"/>
        <v>619.95014989849528</v>
      </c>
      <c r="P4" s="145">
        <f t="shared" si="2"/>
        <v>599.55764970601331</v>
      </c>
      <c r="Q4" s="145">
        <f t="shared" si="2"/>
        <v>621.96907279581762</v>
      </c>
      <c r="R4" s="145">
        <f t="shared" si="2"/>
        <v>658.17239191944304</v>
      </c>
      <c r="S4" s="145">
        <f t="shared" si="2"/>
        <v>678.59829299585635</v>
      </c>
      <c r="T4" s="145">
        <f t="shared" si="2"/>
        <v>682.27693204745765</v>
      </c>
      <c r="U4" s="145">
        <f t="shared" si="2"/>
        <v>690.08630487448113</v>
      </c>
      <c r="V4" s="145">
        <f t="shared" si="2"/>
        <v>615.80595354012871</v>
      </c>
      <c r="W4" s="145">
        <f t="shared" ref="W4:Y4" si="3">W5+W9+W10+W15</f>
        <v>659.2400582366954</v>
      </c>
      <c r="X4" s="145">
        <f t="shared" si="3"/>
        <v>649.77495741020437</v>
      </c>
      <c r="Y4" s="145">
        <f t="shared" si="3"/>
        <v>678.95941948630593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577.42906276870156</v>
      </c>
      <c r="C5" s="97">
        <f t="shared" si="4"/>
        <v>596.31943250214954</v>
      </c>
      <c r="D5" s="97">
        <f t="shared" si="4"/>
        <v>591.46371453138443</v>
      </c>
      <c r="E5" s="97">
        <f t="shared" si="4"/>
        <v>627.12811693895094</v>
      </c>
      <c r="F5" s="97">
        <f t="shared" si="4"/>
        <v>661.9518486672398</v>
      </c>
      <c r="G5" s="97">
        <f t="shared" si="4"/>
        <v>675.95537403267417</v>
      </c>
      <c r="H5" s="97">
        <f t="shared" si="4"/>
        <v>673.4952708512468</v>
      </c>
      <c r="I5" s="97">
        <f t="shared" si="4"/>
        <v>718.55838349097166</v>
      </c>
      <c r="J5" s="97">
        <f t="shared" si="4"/>
        <v>733.4470335339638</v>
      </c>
      <c r="K5" s="97">
        <f t="shared" si="4"/>
        <v>734.49707652622521</v>
      </c>
      <c r="L5" s="97">
        <f t="shared" ref="L5" si="5">SUM(L6:L8)</f>
        <v>750.42364574376609</v>
      </c>
      <c r="M5" s="97">
        <f t="shared" ref="M5:V5" si="6">SUM(M6:M8)</f>
        <v>728.40765262252785</v>
      </c>
      <c r="N5" s="97">
        <f t="shared" si="6"/>
        <v>672.0336199484093</v>
      </c>
      <c r="O5" s="97">
        <f t="shared" si="6"/>
        <v>604.91255374032676</v>
      </c>
      <c r="P5" s="97">
        <f t="shared" si="6"/>
        <v>589.82080825451419</v>
      </c>
      <c r="Q5" s="97">
        <f t="shared" si="6"/>
        <v>612.22803095442828</v>
      </c>
      <c r="R5" s="97">
        <f t="shared" si="6"/>
        <v>649.30963026655195</v>
      </c>
      <c r="S5" s="97">
        <f t="shared" si="6"/>
        <v>669.98641444539976</v>
      </c>
      <c r="T5" s="97">
        <f t="shared" si="6"/>
        <v>673.26981943250212</v>
      </c>
      <c r="U5" s="97">
        <f t="shared" si="6"/>
        <v>679.26741186586412</v>
      </c>
      <c r="V5" s="97">
        <f t="shared" si="6"/>
        <v>590.99664660361145</v>
      </c>
      <c r="W5" s="97">
        <f t="shared" ref="W5:Y5" si="7">SUM(W6:W8)</f>
        <v>634.79234737747197</v>
      </c>
      <c r="X5" s="97">
        <f t="shared" si="7"/>
        <v>626.38030954428211</v>
      </c>
      <c r="Y5" s="97">
        <f t="shared" si="7"/>
        <v>656.75872742906267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0.49819432502149608</v>
      </c>
      <c r="U6" s="97">
        <v>0.53886500429922612</v>
      </c>
      <c r="V6" s="97">
        <v>0.4507308684436801</v>
      </c>
      <c r="W6" s="97">
        <v>0.51745485812553738</v>
      </c>
      <c r="X6" s="97">
        <v>0.56603611349957006</v>
      </c>
      <c r="Y6" s="97">
        <v>0.47901977644024069</v>
      </c>
      <c r="DA6" s="175" t="s">
        <v>630</v>
      </c>
    </row>
    <row r="7" spans="1:105" ht="11.45" customHeight="1" x14ac:dyDescent="0.25">
      <c r="A7" s="128" t="s">
        <v>53</v>
      </c>
      <c r="B7" s="97">
        <v>217.9659501289768</v>
      </c>
      <c r="C7" s="97">
        <v>231.7211521926053</v>
      </c>
      <c r="D7" s="97">
        <v>241.2439380911436</v>
      </c>
      <c r="E7" s="97">
        <v>266.63800515907133</v>
      </c>
      <c r="F7" s="97">
        <v>298.38065348237308</v>
      </c>
      <c r="G7" s="97">
        <v>320.6004299226139</v>
      </c>
      <c r="H7" s="97">
        <v>341.76216680997419</v>
      </c>
      <c r="I7" s="97">
        <v>372.44677558039552</v>
      </c>
      <c r="J7" s="97">
        <v>394.66655202063617</v>
      </c>
      <c r="K7" s="97">
        <v>405.2474634565778</v>
      </c>
      <c r="L7" s="97">
        <v>412.65408426483231</v>
      </c>
      <c r="M7" s="97">
        <v>407.36362854686149</v>
      </c>
      <c r="N7" s="97">
        <v>393.60851246775582</v>
      </c>
      <c r="O7" s="97">
        <v>369.27248495270851</v>
      </c>
      <c r="P7" s="97">
        <v>360.80773860705068</v>
      </c>
      <c r="Q7" s="97">
        <v>365.04015477214102</v>
      </c>
      <c r="R7" s="97">
        <v>374.56294067067932</v>
      </c>
      <c r="S7" s="97">
        <v>371.28073946689591</v>
      </c>
      <c r="T7" s="97">
        <v>361.44686156491832</v>
      </c>
      <c r="U7" s="97">
        <v>356.23473774720549</v>
      </c>
      <c r="V7" s="97">
        <v>301.00576096302672</v>
      </c>
      <c r="W7" s="97">
        <v>323.10920034393808</v>
      </c>
      <c r="X7" s="97">
        <v>328.14462596732591</v>
      </c>
      <c r="Y7" s="97">
        <v>343.44565778159932</v>
      </c>
      <c r="DA7" s="175" t="s">
        <v>631</v>
      </c>
    </row>
    <row r="8" spans="1:105" ht="11.45" customHeight="1" x14ac:dyDescent="0.25">
      <c r="A8" s="128" t="s">
        <v>54</v>
      </c>
      <c r="B8" s="97">
        <v>359.46311263972478</v>
      </c>
      <c r="C8" s="97">
        <v>364.59828030954429</v>
      </c>
      <c r="D8" s="97">
        <v>350.21977644024082</v>
      </c>
      <c r="E8" s="97">
        <v>360.49011177987961</v>
      </c>
      <c r="F8" s="97">
        <v>363.57119518486672</v>
      </c>
      <c r="G8" s="97">
        <v>355.35494411006022</v>
      </c>
      <c r="H8" s="97">
        <v>331.73310404127261</v>
      </c>
      <c r="I8" s="97">
        <v>346.11160791057608</v>
      </c>
      <c r="J8" s="97">
        <v>338.78048151332757</v>
      </c>
      <c r="K8" s="97">
        <v>329.24961306964741</v>
      </c>
      <c r="L8" s="97">
        <v>337.76956147893378</v>
      </c>
      <c r="M8" s="97">
        <v>321.04402407566641</v>
      </c>
      <c r="N8" s="97">
        <v>278.42510748065342</v>
      </c>
      <c r="O8" s="97">
        <v>235.64006878761819</v>
      </c>
      <c r="P8" s="97">
        <v>229.01306964746351</v>
      </c>
      <c r="Q8" s="97">
        <v>247.1878761822872</v>
      </c>
      <c r="R8" s="97">
        <v>274.74668959587268</v>
      </c>
      <c r="S8" s="97">
        <v>298.70567497850391</v>
      </c>
      <c r="T8" s="97">
        <v>311.32476354256232</v>
      </c>
      <c r="U8" s="97">
        <v>322.49380911435941</v>
      </c>
      <c r="V8" s="97">
        <v>289.54015477214102</v>
      </c>
      <c r="W8" s="97">
        <v>311.16569217540842</v>
      </c>
      <c r="X8" s="97">
        <v>297.66964746345661</v>
      </c>
      <c r="Y8" s="97">
        <v>312.83404987102318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X9" s="97">
        <v>0</v>
      </c>
      <c r="Y9" s="97">
        <v>0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0.88374892519346515</v>
      </c>
      <c r="J10" s="97">
        <f t="shared" si="8"/>
        <v>14.139638865004301</v>
      </c>
      <c r="K10" s="97">
        <f t="shared" si="8"/>
        <v>15.023387790197759</v>
      </c>
      <c r="L10" s="97">
        <f t="shared" si="8"/>
        <v>15.023387790197759</v>
      </c>
      <c r="M10" s="97">
        <f t="shared" si="8"/>
        <v>15.90713671539123</v>
      </c>
      <c r="N10" s="97">
        <f t="shared" si="8"/>
        <v>15.90713671539123</v>
      </c>
      <c r="O10" s="97">
        <f t="shared" si="8"/>
        <v>15.023387790197759</v>
      </c>
      <c r="P10" s="97">
        <f t="shared" si="8"/>
        <v>9.7210662080825436</v>
      </c>
      <c r="Q10" s="97">
        <f t="shared" si="8"/>
        <v>9.7210662080825436</v>
      </c>
      <c r="R10" s="97">
        <f t="shared" si="8"/>
        <v>8.8373172828890798</v>
      </c>
      <c r="S10" s="97">
        <f t="shared" si="8"/>
        <v>8.5695614789337906</v>
      </c>
      <c r="T10" s="97">
        <f t="shared" si="8"/>
        <v>8.9503869303525363</v>
      </c>
      <c r="U10" s="97">
        <f t="shared" si="8"/>
        <v>10.739122957867581</v>
      </c>
      <c r="V10" s="97">
        <f t="shared" si="8"/>
        <v>24.707996560619087</v>
      </c>
      <c r="W10" s="97">
        <f t="shared" si="8"/>
        <v>24.302579535683581</v>
      </c>
      <c r="X10" s="97">
        <f t="shared" ref="X10:Y10" si="9">SUM(X11:X13)</f>
        <v>23.162596732588131</v>
      </c>
      <c r="Y10" s="97">
        <f t="shared" si="9"/>
        <v>21.23069647463457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0</v>
      </c>
      <c r="V12" s="97">
        <v>0.65202063628546858</v>
      </c>
      <c r="W12" s="97">
        <v>0</v>
      </c>
      <c r="X12" s="97">
        <v>0</v>
      </c>
      <c r="Y12" s="97">
        <v>0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0.88374892519346515</v>
      </c>
      <c r="J13" s="97">
        <v>14.139638865004301</v>
      </c>
      <c r="K13" s="97">
        <v>15.023387790197759</v>
      </c>
      <c r="L13" s="97">
        <v>15.023387790197759</v>
      </c>
      <c r="M13" s="97">
        <v>15.90713671539123</v>
      </c>
      <c r="N13" s="97">
        <v>15.90713671539123</v>
      </c>
      <c r="O13" s="97">
        <v>15.023387790197759</v>
      </c>
      <c r="P13" s="97">
        <v>9.7210662080825436</v>
      </c>
      <c r="Q13" s="97">
        <v>9.7210662080825436</v>
      </c>
      <c r="R13" s="97">
        <v>8.8373172828890798</v>
      </c>
      <c r="S13" s="97">
        <v>8.5695614789337906</v>
      </c>
      <c r="T13" s="97">
        <v>8.9503869303525363</v>
      </c>
      <c r="U13" s="97">
        <v>10.739122957867581</v>
      </c>
      <c r="V13" s="97">
        <v>24.05597592433362</v>
      </c>
      <c r="W13" s="97">
        <v>24.302579535683581</v>
      </c>
      <c r="X13" s="97">
        <v>23.162596732588131</v>
      </c>
      <c r="Y13" s="97">
        <v>21.23069647463457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2.3827863395856113E-4</v>
      </c>
      <c r="J15" s="98">
        <v>1.2897417259895134E-2</v>
      </c>
      <c r="K15" s="98">
        <v>1.287415633063989E-2</v>
      </c>
      <c r="L15" s="98">
        <v>1.3134349024179209E-2</v>
      </c>
      <c r="M15" s="98">
        <v>1.3269546024495154E-2</v>
      </c>
      <c r="N15" s="98">
        <v>1.3270126550554125E-2</v>
      </c>
      <c r="O15" s="98">
        <v>1.4208367970827238E-2</v>
      </c>
      <c r="P15" s="98">
        <v>1.5775243416609387E-2</v>
      </c>
      <c r="Q15" s="98">
        <v>1.9975633306830099E-2</v>
      </c>
      <c r="R15" s="98">
        <v>2.5444370001955534E-2</v>
      </c>
      <c r="S15" s="98">
        <v>4.2317071522789795E-2</v>
      </c>
      <c r="T15" s="98">
        <v>5.6725684602981732E-2</v>
      </c>
      <c r="U15" s="98">
        <v>7.9770050749432303E-2</v>
      </c>
      <c r="V15" s="98">
        <v>0.1013103758981736</v>
      </c>
      <c r="W15" s="98">
        <v>0.14513132353982899</v>
      </c>
      <c r="X15" s="98">
        <v>0.23205113333411881</v>
      </c>
      <c r="Y15" s="98">
        <v>0.96999558260866448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577.42906276870156</v>
      </c>
      <c r="C17" s="79">
        <f t="shared" si="10"/>
        <v>596.31943250214965</v>
      </c>
      <c r="D17" s="79">
        <f t="shared" si="10"/>
        <v>591.46371453138443</v>
      </c>
      <c r="E17" s="79">
        <f t="shared" si="10"/>
        <v>627.12811693895094</v>
      </c>
      <c r="F17" s="79">
        <f t="shared" si="10"/>
        <v>661.9518486672398</v>
      </c>
      <c r="G17" s="79">
        <f t="shared" si="10"/>
        <v>675.95537403267417</v>
      </c>
      <c r="H17" s="79">
        <f t="shared" si="10"/>
        <v>673.4952708512468</v>
      </c>
      <c r="I17" s="79">
        <f t="shared" si="10"/>
        <v>719.44237069479902</v>
      </c>
      <c r="J17" s="79">
        <f t="shared" si="10"/>
        <v>747.59956981622793</v>
      </c>
      <c r="K17" s="79">
        <f t="shared" si="10"/>
        <v>749.53333847275371</v>
      </c>
      <c r="L17" s="79">
        <f t="shared" ref="L17" si="11">L18+L42</f>
        <v>765.460167882988</v>
      </c>
      <c r="M17" s="79">
        <f t="shared" ref="M17:V17" si="12">M18+M42</f>
        <v>744.32805888394364</v>
      </c>
      <c r="N17" s="79">
        <f t="shared" si="12"/>
        <v>687.95402679035101</v>
      </c>
      <c r="O17" s="79">
        <f t="shared" si="12"/>
        <v>619.95014989849517</v>
      </c>
      <c r="P17" s="79">
        <f t="shared" si="12"/>
        <v>599.55764970601331</v>
      </c>
      <c r="Q17" s="79">
        <f t="shared" si="12"/>
        <v>621.96907279581751</v>
      </c>
      <c r="R17" s="79">
        <f t="shared" si="12"/>
        <v>658.17239191944304</v>
      </c>
      <c r="S17" s="79">
        <f t="shared" si="12"/>
        <v>678.59829299585635</v>
      </c>
      <c r="T17" s="79">
        <f t="shared" si="12"/>
        <v>682.27693204745754</v>
      </c>
      <c r="U17" s="79">
        <f t="shared" si="12"/>
        <v>690.08630487448113</v>
      </c>
      <c r="V17" s="79">
        <f t="shared" si="12"/>
        <v>615.80595354012871</v>
      </c>
      <c r="W17" s="79">
        <f t="shared" ref="W17:Y17" si="13">W18+W42</f>
        <v>659.24005823669552</v>
      </c>
      <c r="X17" s="79">
        <f t="shared" si="13"/>
        <v>649.77495741020448</v>
      </c>
      <c r="Y17" s="79">
        <f t="shared" si="13"/>
        <v>678.95941948630593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352.03660735911592</v>
      </c>
      <c r="C18" s="32">
        <f t="shared" si="14"/>
        <v>369.81781455435788</v>
      </c>
      <c r="D18" s="32">
        <f t="shared" si="14"/>
        <v>373.51195918096136</v>
      </c>
      <c r="E18" s="32">
        <f t="shared" si="14"/>
        <v>404.13698044401355</v>
      </c>
      <c r="F18" s="32">
        <f t="shared" si="14"/>
        <v>445.48328214630772</v>
      </c>
      <c r="G18" s="32">
        <f t="shared" si="14"/>
        <v>457.34917516323907</v>
      </c>
      <c r="H18" s="32">
        <f t="shared" si="14"/>
        <v>478.57034117172321</v>
      </c>
      <c r="I18" s="32">
        <f t="shared" si="14"/>
        <v>518.79025735308244</v>
      </c>
      <c r="J18" s="32">
        <f t="shared" si="14"/>
        <v>540.94261126168362</v>
      </c>
      <c r="K18" s="32">
        <f t="shared" si="14"/>
        <v>558.82597360721411</v>
      </c>
      <c r="L18" s="32">
        <f t="shared" ref="L18" si="15">L19+L21+L33</f>
        <v>568.88966853545571</v>
      </c>
      <c r="M18" s="32">
        <f t="shared" ref="M18:V18" si="16">M19+M21+M33</f>
        <v>560.45894347053058</v>
      </c>
      <c r="N18" s="32">
        <f t="shared" si="16"/>
        <v>528.52309344108198</v>
      </c>
      <c r="O18" s="32">
        <f t="shared" si="16"/>
        <v>490.09147506326337</v>
      </c>
      <c r="P18" s="32">
        <f t="shared" si="16"/>
        <v>482.10456567229352</v>
      </c>
      <c r="Q18" s="32">
        <f t="shared" si="16"/>
        <v>501.52202247370548</v>
      </c>
      <c r="R18" s="32">
        <f t="shared" si="16"/>
        <v>524.17652966412265</v>
      </c>
      <c r="S18" s="32">
        <f t="shared" si="16"/>
        <v>534.80772565830534</v>
      </c>
      <c r="T18" s="32">
        <f t="shared" si="16"/>
        <v>535.3461792509371</v>
      </c>
      <c r="U18" s="32">
        <f t="shared" si="16"/>
        <v>544.40895272053126</v>
      </c>
      <c r="V18" s="32">
        <f t="shared" si="16"/>
        <v>475.43204448600994</v>
      </c>
      <c r="W18" s="32">
        <f t="shared" ref="W18:Y18" si="17">W19+W21+W33</f>
        <v>512.96610022303616</v>
      </c>
      <c r="X18" s="32">
        <f t="shared" si="17"/>
        <v>509.73999240684634</v>
      </c>
      <c r="Y18" s="32">
        <f t="shared" si="17"/>
        <v>536.21677407244431</v>
      </c>
      <c r="DA18" s="173" t="s">
        <v>391</v>
      </c>
    </row>
    <row r="19" spans="1:105" ht="11.45" customHeight="1" x14ac:dyDescent="0.25">
      <c r="A19" s="107" t="s">
        <v>174</v>
      </c>
      <c r="B19" s="129">
        <v>5.8366945270989286</v>
      </c>
      <c r="C19" s="129">
        <v>5.6997166361680698</v>
      </c>
      <c r="D19" s="129">
        <v>5.5442971468005862</v>
      </c>
      <c r="E19" s="129">
        <v>5.6033450738127515</v>
      </c>
      <c r="F19" s="129">
        <v>5.5603902002093202</v>
      </c>
      <c r="G19" s="129">
        <v>5.4501282950444212</v>
      </c>
      <c r="H19" s="129">
        <v>5.4040846981879742</v>
      </c>
      <c r="I19" s="129">
        <v>5.4121061413484775</v>
      </c>
      <c r="J19" s="129">
        <v>5.486504214648436</v>
      </c>
      <c r="K19" s="129">
        <v>5.3922760438905888</v>
      </c>
      <c r="L19" s="129">
        <v>5.2713977122854327</v>
      </c>
      <c r="M19" s="129">
        <v>5.121516574891662</v>
      </c>
      <c r="N19" s="129">
        <v>5.1854946316066846</v>
      </c>
      <c r="O19" s="129">
        <v>5.0547026566733084</v>
      </c>
      <c r="P19" s="129">
        <v>5.0873199559286562</v>
      </c>
      <c r="Q19" s="129">
        <v>4.8975301355567034</v>
      </c>
      <c r="R19" s="129">
        <v>4.8519633983535133</v>
      </c>
      <c r="S19" s="129">
        <v>4.5190744180671292</v>
      </c>
      <c r="T19" s="129">
        <v>4.2423567521712391</v>
      </c>
      <c r="U19" s="129">
        <v>4.4360018528258447</v>
      </c>
      <c r="V19" s="129">
        <v>3.9262544139997404</v>
      </c>
      <c r="W19" s="129">
        <v>4.0259407321082099</v>
      </c>
      <c r="X19" s="129">
        <v>4.0408179406028291</v>
      </c>
      <c r="Y19" s="129">
        <v>4.3273324291807844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0</v>
      </c>
      <c r="V20" s="97">
        <v>8.4864341561563007E-3</v>
      </c>
      <c r="W20" s="97">
        <v>0</v>
      </c>
      <c r="X20" s="97">
        <v>0</v>
      </c>
      <c r="Y20" s="97">
        <v>0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255.62091542029643</v>
      </c>
      <c r="C21" s="130">
        <f t="shared" si="18"/>
        <v>271.75650877360613</v>
      </c>
      <c r="D21" s="130">
        <f t="shared" si="18"/>
        <v>277.97222223207405</v>
      </c>
      <c r="E21" s="130">
        <f t="shared" si="18"/>
        <v>301.9863173893562</v>
      </c>
      <c r="F21" s="130">
        <f t="shared" si="18"/>
        <v>338.2440293655427</v>
      </c>
      <c r="G21" s="130">
        <f t="shared" si="18"/>
        <v>356.75186940404461</v>
      </c>
      <c r="H21" s="130">
        <f t="shared" si="18"/>
        <v>376.6377708580352</v>
      </c>
      <c r="I21" s="130">
        <f t="shared" si="18"/>
        <v>411.62140092408936</v>
      </c>
      <c r="J21" s="130">
        <f t="shared" si="18"/>
        <v>435.15704536610087</v>
      </c>
      <c r="K21" s="130">
        <f t="shared" si="18"/>
        <v>451.57529002531618</v>
      </c>
      <c r="L21" s="130">
        <f t="shared" ref="L21" si="19">L22+L24+L26+L27+L29+L32</f>
        <v>461.28589750194158</v>
      </c>
      <c r="M21" s="130">
        <f t="shared" ref="M21:V21" si="20">M22+M24+M26+M27+M29+M32</f>
        <v>454.00525448286157</v>
      </c>
      <c r="N21" s="130">
        <f t="shared" si="20"/>
        <v>431.01915699372222</v>
      </c>
      <c r="O21" s="130">
        <f t="shared" si="20"/>
        <v>402.17276177764006</v>
      </c>
      <c r="P21" s="130">
        <f t="shared" si="20"/>
        <v>394.98019420456438</v>
      </c>
      <c r="Q21" s="130">
        <f t="shared" si="20"/>
        <v>405.28578027236193</v>
      </c>
      <c r="R21" s="130">
        <f t="shared" si="20"/>
        <v>423.53031738411522</v>
      </c>
      <c r="S21" s="130">
        <f t="shared" si="20"/>
        <v>430.09925337266077</v>
      </c>
      <c r="T21" s="130">
        <f t="shared" si="20"/>
        <v>430.77121951894094</v>
      </c>
      <c r="U21" s="130">
        <f t="shared" si="20"/>
        <v>437.37314944656248</v>
      </c>
      <c r="V21" s="130">
        <f t="shared" si="20"/>
        <v>387.16747413674352</v>
      </c>
      <c r="W21" s="130">
        <f t="shared" ref="W21:Y21" si="21">W22+W24+W26+W27+W29+W32</f>
        <v>415.91527946428721</v>
      </c>
      <c r="X21" s="130">
        <f t="shared" si="21"/>
        <v>413.49779473294114</v>
      </c>
      <c r="Y21" s="130">
        <f t="shared" si="21"/>
        <v>433.84005562061537</v>
      </c>
      <c r="DA21" s="176" t="s">
        <v>393</v>
      </c>
    </row>
    <row r="22" spans="1:105" ht="11.45" customHeight="1" x14ac:dyDescent="0.25">
      <c r="A22" s="111" t="s">
        <v>110</v>
      </c>
      <c r="B22" s="96">
        <v>203.92706404345816</v>
      </c>
      <c r="C22" s="96">
        <v>217.27517614204916</v>
      </c>
      <c r="D22" s="96">
        <v>227.07627874591176</v>
      </c>
      <c r="E22" s="96">
        <v>251.24816144052164</v>
      </c>
      <c r="F22" s="96">
        <v>284.42854557433463</v>
      </c>
      <c r="G22" s="96">
        <v>308.32332205256603</v>
      </c>
      <c r="H22" s="96">
        <v>329.86858835682</v>
      </c>
      <c r="I22" s="96">
        <v>361.0949497890079</v>
      </c>
      <c r="J22" s="96">
        <v>382.73442097976766</v>
      </c>
      <c r="K22" s="96">
        <v>393.87055397701982</v>
      </c>
      <c r="L22" s="96">
        <v>401.5887189688849</v>
      </c>
      <c r="M22" s="96">
        <v>396.56005459727555</v>
      </c>
      <c r="N22" s="96">
        <v>382.83092009060221</v>
      </c>
      <c r="O22" s="96">
        <v>359.12036952465013</v>
      </c>
      <c r="P22" s="96">
        <v>351.28825385660309</v>
      </c>
      <c r="Q22" s="96">
        <v>355.75649434966374</v>
      </c>
      <c r="R22" s="96">
        <v>365.52089150832501</v>
      </c>
      <c r="S22" s="96">
        <v>362.42550548799056</v>
      </c>
      <c r="T22" s="96">
        <v>352.86755614197301</v>
      </c>
      <c r="U22" s="96">
        <v>347.44362247959413</v>
      </c>
      <c r="V22" s="96">
        <v>293.69585507077767</v>
      </c>
      <c r="W22" s="96">
        <v>314.80530970749993</v>
      </c>
      <c r="X22" s="96">
        <v>319.50080233701294</v>
      </c>
      <c r="Y22" s="96">
        <v>334.06095702724224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0.63481126620500805</v>
      </c>
      <c r="W23" s="96">
        <v>0</v>
      </c>
      <c r="X23" s="96">
        <v>0</v>
      </c>
      <c r="Y23" s="96">
        <v>0</v>
      </c>
      <c r="DA23" s="171" t="s">
        <v>642</v>
      </c>
    </row>
    <row r="24" spans="1:105" ht="11.45" customHeight="1" x14ac:dyDescent="0.25">
      <c r="A24" s="111" t="s">
        <v>111</v>
      </c>
      <c r="B24" s="96">
        <v>51.693851376838261</v>
      </c>
      <c r="C24" s="96">
        <v>54.481332631556938</v>
      </c>
      <c r="D24" s="96">
        <v>50.895943486162288</v>
      </c>
      <c r="E24" s="96">
        <v>50.738155948834546</v>
      </c>
      <c r="F24" s="96">
        <v>53.815483791208059</v>
      </c>
      <c r="G24" s="96">
        <v>48.428547351478571</v>
      </c>
      <c r="H24" s="96">
        <v>46.769182501215177</v>
      </c>
      <c r="I24" s="96">
        <v>50.526451135081466</v>
      </c>
      <c r="J24" s="96">
        <v>52.42262438633324</v>
      </c>
      <c r="K24" s="96">
        <v>57.704736048296354</v>
      </c>
      <c r="L24" s="96">
        <v>59.697178533056686</v>
      </c>
      <c r="M24" s="96">
        <v>57.44519988558605</v>
      </c>
      <c r="N24" s="96">
        <v>48.188236903120035</v>
      </c>
      <c r="O24" s="96">
        <v>43.051473929657071</v>
      </c>
      <c r="P24" s="96">
        <v>43.688684883033737</v>
      </c>
      <c r="Q24" s="96">
        <v>49.516117409585775</v>
      </c>
      <c r="R24" s="96">
        <v>57.982841174670014</v>
      </c>
      <c r="S24" s="96">
        <v>67.614642469736808</v>
      </c>
      <c r="T24" s="96">
        <v>77.319094537923547</v>
      </c>
      <c r="U24" s="96">
        <v>89.262086282500476</v>
      </c>
      <c r="V24" s="96">
        <v>92.855015919031246</v>
      </c>
      <c r="W24" s="96">
        <v>100.35235224174227</v>
      </c>
      <c r="X24" s="96">
        <v>93.083857180800294</v>
      </c>
      <c r="Y24" s="96">
        <v>98.677081206923887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0.12868384548903974</v>
      </c>
      <c r="J25" s="96">
        <v>2.1002967367910634</v>
      </c>
      <c r="K25" s="96">
        <v>2.5181197038959398</v>
      </c>
      <c r="L25" s="96">
        <v>2.5421535916201261</v>
      </c>
      <c r="M25" s="96">
        <v>2.7119320380962613</v>
      </c>
      <c r="N25" s="96">
        <v>2.6043251720019751</v>
      </c>
      <c r="O25" s="96">
        <v>2.5802683670566919</v>
      </c>
      <c r="P25" s="96">
        <v>1.7789688800474055</v>
      </c>
      <c r="Q25" s="96">
        <v>1.8736189220473605</v>
      </c>
      <c r="R25" s="96">
        <v>1.8069170051715622</v>
      </c>
      <c r="S25" s="96">
        <v>1.8856964921766382</v>
      </c>
      <c r="T25" s="96">
        <v>2.1607540022916867</v>
      </c>
      <c r="U25" s="96">
        <v>2.8766560198671649</v>
      </c>
      <c r="V25" s="96">
        <v>7.1229132274078193</v>
      </c>
      <c r="W25" s="96">
        <v>7.2699006958494365</v>
      </c>
      <c r="X25" s="96">
        <v>6.7202218143486876</v>
      </c>
      <c r="Y25" s="96">
        <v>6.2711889926253503</v>
      </c>
      <c r="DA25" s="171" t="s">
        <v>644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0.49819432502149608</v>
      </c>
      <c r="U26" s="96">
        <v>0.53886500429922612</v>
      </c>
      <c r="V26" s="96">
        <v>0.4507308684436801</v>
      </c>
      <c r="W26" s="96">
        <v>0.51745485812553738</v>
      </c>
      <c r="X26" s="96">
        <v>0.56603611349957006</v>
      </c>
      <c r="Y26" s="96">
        <v>0.47901977644024069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0</v>
      </c>
      <c r="P29" s="96">
        <v>9.6081114095984124E-4</v>
      </c>
      <c r="Q29" s="96">
        <v>9.5652553953998222E-3</v>
      </c>
      <c r="R29" s="96">
        <v>2.0307177251392871E-2</v>
      </c>
      <c r="S29" s="96">
        <v>4.5879286913821343E-2</v>
      </c>
      <c r="T29" s="96">
        <v>6.8551433069584861E-2</v>
      </c>
      <c r="U29" s="96">
        <v>0.10109078600751226</v>
      </c>
      <c r="V29" s="96">
        <v>0.12658745772635524</v>
      </c>
      <c r="W29" s="96">
        <v>0.18377502468951379</v>
      </c>
      <c r="X29" s="96">
        <v>0.24783404228142608</v>
      </c>
      <c r="Y29" s="96">
        <v>0.39902791069263266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0</v>
      </c>
      <c r="V30" s="96">
        <v>1.7187101838174397E-4</v>
      </c>
      <c r="W30" s="96">
        <v>0</v>
      </c>
      <c r="X30" s="96">
        <v>0</v>
      </c>
      <c r="Y30" s="96">
        <v>0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0</v>
      </c>
      <c r="P31" s="96">
        <v>3.0985920656980375E-4</v>
      </c>
      <c r="Q31" s="96">
        <v>3.1876291535809101E-3</v>
      </c>
      <c r="R31" s="96">
        <v>6.0030439980131006E-3</v>
      </c>
      <c r="S31" s="96">
        <v>1.596106587621408E-2</v>
      </c>
      <c r="T31" s="96">
        <v>2.5946025412787271E-2</v>
      </c>
      <c r="U31" s="96">
        <v>3.8706504454993712E-2</v>
      </c>
      <c r="V31" s="96">
        <v>4.7071216612244088E-2</v>
      </c>
      <c r="W31" s="96">
        <v>7.2945860359427434E-2</v>
      </c>
      <c r="X31" s="96">
        <v>0.11049255741990402</v>
      </c>
      <c r="Y31" s="96">
        <v>0.20216494386448267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9.1832333290424169E-4</v>
      </c>
      <c r="P32" s="96">
        <v>2.2946537866345034E-3</v>
      </c>
      <c r="Q32" s="96">
        <v>3.6032577170568092E-3</v>
      </c>
      <c r="R32" s="96">
        <v>6.2775238688516297E-3</v>
      </c>
      <c r="S32" s="96">
        <v>1.3226128019585786E-2</v>
      </c>
      <c r="T32" s="96">
        <v>1.7823080953350882E-2</v>
      </c>
      <c r="U32" s="96">
        <v>2.7484894161130903E-2</v>
      </c>
      <c r="V32" s="96">
        <v>3.9284820764606619E-2</v>
      </c>
      <c r="W32" s="96">
        <v>5.6387632229959454E-2</v>
      </c>
      <c r="X32" s="96">
        <v>9.9265059346834494E-2</v>
      </c>
      <c r="Y32" s="96">
        <v>0.22396969931637398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90.578997411720536</v>
      </c>
      <c r="C33" s="130">
        <f t="shared" si="22"/>
        <v>92.361589144583647</v>
      </c>
      <c r="D33" s="130">
        <f t="shared" si="22"/>
        <v>89.995439802086693</v>
      </c>
      <c r="E33" s="130">
        <f t="shared" si="22"/>
        <v>96.547317980844582</v>
      </c>
      <c r="F33" s="130">
        <f t="shared" si="22"/>
        <v>101.67886258055566</v>
      </c>
      <c r="G33" s="130">
        <f t="shared" si="22"/>
        <v>95.147177464150047</v>
      </c>
      <c r="H33" s="130">
        <f t="shared" si="22"/>
        <v>96.528485615500017</v>
      </c>
      <c r="I33" s="130">
        <f t="shared" si="22"/>
        <v>101.75675028764461</v>
      </c>
      <c r="J33" s="130">
        <f t="shared" si="22"/>
        <v>100.29906168093427</v>
      </c>
      <c r="K33" s="130">
        <f t="shared" si="22"/>
        <v>101.85840753800731</v>
      </c>
      <c r="L33" s="130">
        <f t="shared" ref="L33" si="23">L34+L36+L38+L39+L41</f>
        <v>102.33237332122873</v>
      </c>
      <c r="M33" s="130">
        <f t="shared" ref="M33:V33" si="24">M34+M36+M38+M39+M41</f>
        <v>101.33217241277737</v>
      </c>
      <c r="N33" s="130">
        <f t="shared" si="24"/>
        <v>92.318441815753033</v>
      </c>
      <c r="O33" s="130">
        <f t="shared" si="24"/>
        <v>82.864010628949998</v>
      </c>
      <c r="P33" s="130">
        <f t="shared" si="24"/>
        <v>82.037051511800499</v>
      </c>
      <c r="Q33" s="130">
        <f t="shared" si="24"/>
        <v>91.338712065786865</v>
      </c>
      <c r="R33" s="130">
        <f t="shared" si="24"/>
        <v>95.794248881653971</v>
      </c>
      <c r="S33" s="130">
        <f t="shared" si="24"/>
        <v>100.18939786757741</v>
      </c>
      <c r="T33" s="130">
        <f t="shared" si="24"/>
        <v>100.3326029798249</v>
      </c>
      <c r="U33" s="130">
        <f t="shared" si="24"/>
        <v>102.59980142114301</v>
      </c>
      <c r="V33" s="130">
        <f t="shared" si="24"/>
        <v>84.338315935266678</v>
      </c>
      <c r="W33" s="130">
        <f t="shared" ref="W33:Y33" si="25">W34+W36+W38+W39+W41</f>
        <v>93.024880026640716</v>
      </c>
      <c r="X33" s="130">
        <f t="shared" si="25"/>
        <v>92.201379733302346</v>
      </c>
      <c r="Y33" s="130">
        <f t="shared" si="25"/>
        <v>98.049386022648193</v>
      </c>
      <c r="DA33" s="176" t="s">
        <v>394</v>
      </c>
    </row>
    <row r="34" spans="1:105" ht="11.45" customHeight="1" x14ac:dyDescent="0.25">
      <c r="A34" s="111" t="s">
        <v>110</v>
      </c>
      <c r="B34" s="97">
        <v>0.85287380187658512</v>
      </c>
      <c r="C34" s="97">
        <v>0.87143876537301113</v>
      </c>
      <c r="D34" s="97">
        <v>0.86328675447971848</v>
      </c>
      <c r="E34" s="97">
        <v>0.91027512952939393</v>
      </c>
      <c r="F34" s="97">
        <v>0.91384020178525316</v>
      </c>
      <c r="G34" s="97">
        <v>0.92845284014753371</v>
      </c>
      <c r="H34" s="97">
        <v>0.96241904384141685</v>
      </c>
      <c r="I34" s="97">
        <v>0.9581111207726335</v>
      </c>
      <c r="J34" s="97">
        <v>0.95922037800443916</v>
      </c>
      <c r="K34" s="97">
        <v>0.94220540418563303</v>
      </c>
      <c r="L34" s="97">
        <v>0.95581675484910045</v>
      </c>
      <c r="M34" s="97">
        <v>0.95246114847623664</v>
      </c>
      <c r="N34" s="97">
        <v>0.94087896847973052</v>
      </c>
      <c r="O34" s="97">
        <v>0.88830963590570744</v>
      </c>
      <c r="P34" s="97">
        <v>0.29801624450039138</v>
      </c>
      <c r="Q34" s="97">
        <v>0.26464057735642621</v>
      </c>
      <c r="R34" s="97">
        <v>0.24359664902831535</v>
      </c>
      <c r="S34" s="97">
        <v>0.25477947408200241</v>
      </c>
      <c r="T34" s="97">
        <v>0.26168789771023615</v>
      </c>
      <c r="U34" s="97">
        <v>0.25497119459032613</v>
      </c>
      <c r="V34" s="97">
        <v>0.23659592345448766</v>
      </c>
      <c r="W34" s="97">
        <v>0.24143921396986073</v>
      </c>
      <c r="X34" s="97">
        <v>0.21649669359390625</v>
      </c>
      <c r="Y34" s="97">
        <v>0.18072445698535294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5.1139216013413409E-4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89.726123609843953</v>
      </c>
      <c r="C36" s="97">
        <v>91.490150379210633</v>
      </c>
      <c r="D36" s="97">
        <v>89.132153047606977</v>
      </c>
      <c r="E36" s="97">
        <v>95.637042851315186</v>
      </c>
      <c r="F36" s="97">
        <v>100.76502237877041</v>
      </c>
      <c r="G36" s="97">
        <v>94.218724624002519</v>
      </c>
      <c r="H36" s="97">
        <v>95.566066571658595</v>
      </c>
      <c r="I36" s="97">
        <v>100.79863916687198</v>
      </c>
      <c r="J36" s="97">
        <v>99.327311347181848</v>
      </c>
      <c r="K36" s="97">
        <v>100.903711392573</v>
      </c>
      <c r="L36" s="97">
        <v>101.36406587932862</v>
      </c>
      <c r="M36" s="97">
        <v>100.3672207803815</v>
      </c>
      <c r="N36" s="97">
        <v>91.365076211616113</v>
      </c>
      <c r="O36" s="97">
        <v>81.963216125611353</v>
      </c>
      <c r="P36" s="97">
        <v>81.726540688291223</v>
      </c>
      <c r="Q36" s="97">
        <v>91.06156482395437</v>
      </c>
      <c r="R36" s="97">
        <v>95.538164440840063</v>
      </c>
      <c r="S36" s="97">
        <v>99.922162494426289</v>
      </c>
      <c r="T36" s="97">
        <v>100.05849782260655</v>
      </c>
      <c r="U36" s="97">
        <v>102.33242341672525</v>
      </c>
      <c r="V36" s="97">
        <v>84.088151014384167</v>
      </c>
      <c r="W36" s="97">
        <v>92.769767151480195</v>
      </c>
      <c r="X36" s="97">
        <v>91.971259469229764</v>
      </c>
      <c r="Y36" s="97">
        <v>97.336941684856725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0.25672011820852203</v>
      </c>
      <c r="J37" s="97">
        <v>3.9795189641650817</v>
      </c>
      <c r="K37" s="97">
        <v>4.4032369135387261</v>
      </c>
      <c r="L37" s="97">
        <v>4.3165025629086484</v>
      </c>
      <c r="M37" s="97">
        <v>4.7382389155424312</v>
      </c>
      <c r="N37" s="97">
        <v>4.9378102024808577</v>
      </c>
      <c r="O37" s="97">
        <v>4.9124240014801872</v>
      </c>
      <c r="P37" s="97">
        <v>3.3278404453611548</v>
      </c>
      <c r="Q37" s="97">
        <v>3.4456391141114406</v>
      </c>
      <c r="R37" s="97">
        <v>2.9772520710220856</v>
      </c>
      <c r="S37" s="97">
        <v>2.7867169657930027</v>
      </c>
      <c r="T37" s="97">
        <v>2.7962277743364972</v>
      </c>
      <c r="U37" s="97">
        <v>3.297874765302562</v>
      </c>
      <c r="V37" s="97">
        <v>6.4504065526293655</v>
      </c>
      <c r="W37" s="97">
        <v>6.7205897988687449</v>
      </c>
      <c r="X37" s="97">
        <v>6.6398974311705379</v>
      </c>
      <c r="Y37" s="97">
        <v>6.1860195883768974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97">
        <v>0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1.2529955747980213E-2</v>
      </c>
      <c r="K41" s="97">
        <v>1.2490741248680388E-2</v>
      </c>
      <c r="L41" s="97">
        <v>1.249068705101529E-2</v>
      </c>
      <c r="M41" s="97">
        <v>1.2490483919631751E-2</v>
      </c>
      <c r="N41" s="97">
        <v>1.2486635657183108E-2</v>
      </c>
      <c r="O41" s="97">
        <v>1.2484867432934926E-2</v>
      </c>
      <c r="P41" s="97">
        <v>1.2494579008882489E-2</v>
      </c>
      <c r="Q41" s="97">
        <v>1.250666447606821E-2</v>
      </c>
      <c r="R41" s="97">
        <v>1.2487791785585218E-2</v>
      </c>
      <c r="S41" s="97">
        <v>1.245589906912737E-2</v>
      </c>
      <c r="T41" s="97">
        <v>1.2417259508112743E-2</v>
      </c>
      <c r="U41" s="97">
        <v>1.2406809827442107E-2</v>
      </c>
      <c r="V41" s="97">
        <v>1.356899742802627E-2</v>
      </c>
      <c r="W41" s="97">
        <v>1.3673661190663076E-2</v>
      </c>
      <c r="X41" s="97">
        <v>1.362357047866777E-2</v>
      </c>
      <c r="Y41" s="97">
        <v>0.53171988080610522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225.39245540958566</v>
      </c>
      <c r="C42" s="32">
        <f t="shared" si="26"/>
        <v>226.5016179477918</v>
      </c>
      <c r="D42" s="32">
        <f t="shared" si="26"/>
        <v>217.9517553504231</v>
      </c>
      <c r="E42" s="32">
        <f t="shared" si="26"/>
        <v>222.99113649493739</v>
      </c>
      <c r="F42" s="32">
        <f t="shared" si="26"/>
        <v>216.46856652093214</v>
      </c>
      <c r="G42" s="32">
        <f t="shared" si="26"/>
        <v>218.60619886943508</v>
      </c>
      <c r="H42" s="32">
        <f t="shared" si="26"/>
        <v>194.92492967952361</v>
      </c>
      <c r="I42" s="32">
        <f t="shared" si="26"/>
        <v>200.65211334171659</v>
      </c>
      <c r="J42" s="32">
        <f t="shared" si="26"/>
        <v>206.65695855454433</v>
      </c>
      <c r="K42" s="32">
        <f t="shared" si="26"/>
        <v>190.70736486553955</v>
      </c>
      <c r="L42" s="32">
        <f t="shared" ref="L42" si="27">L43+L52</f>
        <v>196.57049934753229</v>
      </c>
      <c r="M42" s="32">
        <f t="shared" ref="M42:V42" si="28">M43+M52</f>
        <v>183.869115413413</v>
      </c>
      <c r="N42" s="32">
        <f t="shared" si="28"/>
        <v>159.43093334926908</v>
      </c>
      <c r="O42" s="32">
        <f t="shared" si="28"/>
        <v>129.8586748352318</v>
      </c>
      <c r="P42" s="32">
        <f t="shared" si="28"/>
        <v>117.45308403371976</v>
      </c>
      <c r="Q42" s="32">
        <f t="shared" si="28"/>
        <v>120.44705032211209</v>
      </c>
      <c r="R42" s="32">
        <f t="shared" si="28"/>
        <v>133.99586225532033</v>
      </c>
      <c r="S42" s="32">
        <f t="shared" si="28"/>
        <v>143.79056733755098</v>
      </c>
      <c r="T42" s="32">
        <f t="shared" si="28"/>
        <v>146.93075279652044</v>
      </c>
      <c r="U42" s="32">
        <f t="shared" si="28"/>
        <v>145.67735215394987</v>
      </c>
      <c r="V42" s="32">
        <f t="shared" si="28"/>
        <v>140.37390905411874</v>
      </c>
      <c r="W42" s="32">
        <f t="shared" ref="W42:Y42" si="29">W43+W52</f>
        <v>146.27395801365932</v>
      </c>
      <c r="X42" s="32">
        <f t="shared" si="29"/>
        <v>140.03496500335811</v>
      </c>
      <c r="Y42" s="32">
        <f t="shared" si="29"/>
        <v>142.74264541386168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177.99717184746902</v>
      </c>
      <c r="C43" s="141">
        <f t="shared" si="30"/>
        <v>178.75539443496561</v>
      </c>
      <c r="D43" s="141">
        <f t="shared" si="30"/>
        <v>173.05839567489753</v>
      </c>
      <c r="E43" s="141">
        <f t="shared" si="30"/>
        <v>174.14328631187888</v>
      </c>
      <c r="F43" s="141">
        <f t="shared" si="30"/>
        <v>173.44609526903446</v>
      </c>
      <c r="G43" s="141">
        <f t="shared" si="30"/>
        <v>167.31148433697598</v>
      </c>
      <c r="H43" s="141">
        <f t="shared" si="30"/>
        <v>153.10991414372782</v>
      </c>
      <c r="I43" s="141">
        <f t="shared" si="30"/>
        <v>155.5842221379886</v>
      </c>
      <c r="J43" s="141">
        <f t="shared" si="30"/>
        <v>158.0805484336511</v>
      </c>
      <c r="K43" s="141">
        <f t="shared" si="30"/>
        <v>152.22316397668612</v>
      </c>
      <c r="L43" s="141">
        <f t="shared" ref="L43" si="31">L44+L46+L48+L49+L51</f>
        <v>152.74650098120367</v>
      </c>
      <c r="M43" s="141">
        <f t="shared" ref="M43:V43" si="32">M44+M46+M48+M49+M51</f>
        <v>147.07950575637938</v>
      </c>
      <c r="N43" s="141">
        <f t="shared" si="32"/>
        <v>128.92102152929544</v>
      </c>
      <c r="O43" s="141">
        <f t="shared" si="32"/>
        <v>109.64899776521092</v>
      </c>
      <c r="P43" s="141">
        <f t="shared" si="32"/>
        <v>100.21211483256116</v>
      </c>
      <c r="Q43" s="141">
        <f t="shared" si="32"/>
        <v>102.75780727168448</v>
      </c>
      <c r="R43" s="141">
        <f t="shared" si="32"/>
        <v>109.9423909602144</v>
      </c>
      <c r="S43" s="141">
        <f t="shared" si="32"/>
        <v>115.53653582770363</v>
      </c>
      <c r="T43" s="141">
        <f t="shared" si="32"/>
        <v>117.36551025632534</v>
      </c>
      <c r="U43" s="141">
        <f t="shared" si="32"/>
        <v>114.70902950155181</v>
      </c>
      <c r="V43" s="141">
        <f t="shared" si="32"/>
        <v>116.87821875178224</v>
      </c>
      <c r="W43" s="141">
        <f t="shared" ref="W43:Y43" si="33">W44+W46+W48+W49+W51</f>
        <v>121.428563954615</v>
      </c>
      <c r="X43" s="141">
        <f t="shared" si="33"/>
        <v>108.02866882655611</v>
      </c>
      <c r="Y43" s="141">
        <f t="shared" si="33"/>
        <v>110.27679488733524</v>
      </c>
      <c r="DA43" s="174" t="s">
        <v>400</v>
      </c>
    </row>
    <row r="44" spans="1:105" ht="11.45" customHeight="1" x14ac:dyDescent="0.25">
      <c r="A44" s="111" t="s">
        <v>110</v>
      </c>
      <c r="B44" s="96">
        <v>7.3493177565431012</v>
      </c>
      <c r="C44" s="96">
        <v>7.8748206490150645</v>
      </c>
      <c r="D44" s="96">
        <v>7.7600754439515383</v>
      </c>
      <c r="E44" s="96">
        <v>8.8762235152075348</v>
      </c>
      <c r="F44" s="96">
        <v>7.4778775060438729</v>
      </c>
      <c r="G44" s="96">
        <v>5.8985267348559356</v>
      </c>
      <c r="H44" s="96">
        <v>5.5270747111247926</v>
      </c>
      <c r="I44" s="96">
        <v>4.9816085292665218</v>
      </c>
      <c r="J44" s="96">
        <v>5.4864064482156349</v>
      </c>
      <c r="K44" s="96">
        <v>5.0424280314817604</v>
      </c>
      <c r="L44" s="96">
        <v>4.8381508288128767</v>
      </c>
      <c r="M44" s="96">
        <v>4.7295962262180389</v>
      </c>
      <c r="N44" s="96">
        <v>4.6512187770671796</v>
      </c>
      <c r="O44" s="96">
        <v>4.2091031354793031</v>
      </c>
      <c r="P44" s="96">
        <v>4.1334975980841362</v>
      </c>
      <c r="Q44" s="96">
        <v>4.1151120833223622</v>
      </c>
      <c r="R44" s="96">
        <v>3.9321849817191263</v>
      </c>
      <c r="S44" s="96">
        <v>4.0514618657185517</v>
      </c>
      <c r="T44" s="96">
        <v>4.0326553654069563</v>
      </c>
      <c r="U44" s="96">
        <v>4.0377579386427183</v>
      </c>
      <c r="V44" s="96">
        <v>3.7195599499662251</v>
      </c>
      <c r="W44" s="96">
        <v>3.9256815260299951</v>
      </c>
      <c r="X44" s="96">
        <v>4.2491675112547211</v>
      </c>
      <c r="Y44" s="96">
        <v>4.6797809013628138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8.0396727457882153E-3</v>
      </c>
      <c r="W45" s="96">
        <v>0</v>
      </c>
      <c r="X45" s="96">
        <v>0</v>
      </c>
      <c r="Y45" s="96">
        <v>0</v>
      </c>
      <c r="DA45" s="171" t="s">
        <v>661</v>
      </c>
    </row>
    <row r="46" spans="1:105" ht="11.45" customHeight="1" x14ac:dyDescent="0.25">
      <c r="A46" s="111" t="s">
        <v>111</v>
      </c>
      <c r="B46" s="96">
        <v>170.64785409092593</v>
      </c>
      <c r="C46" s="96">
        <v>170.88057378595053</v>
      </c>
      <c r="D46" s="96">
        <v>165.29832023094599</v>
      </c>
      <c r="E46" s="96">
        <v>165.26706279667135</v>
      </c>
      <c r="F46" s="96">
        <v>165.96821776299058</v>
      </c>
      <c r="G46" s="96">
        <v>161.41295760212003</v>
      </c>
      <c r="H46" s="96">
        <v>147.58283943260304</v>
      </c>
      <c r="I46" s="96">
        <v>150.60237533008814</v>
      </c>
      <c r="J46" s="96">
        <v>152.59377452392354</v>
      </c>
      <c r="K46" s="96">
        <v>147.18035253012241</v>
      </c>
      <c r="L46" s="96">
        <v>147.90770649041764</v>
      </c>
      <c r="M46" s="96">
        <v>142.34913046805647</v>
      </c>
      <c r="N46" s="96">
        <v>124.26901926133489</v>
      </c>
      <c r="O46" s="96">
        <v>105.43908945252663</v>
      </c>
      <c r="P46" s="96">
        <v>96.077941083062498</v>
      </c>
      <c r="Q46" s="96">
        <v>98.642017106402008</v>
      </c>
      <c r="R46" s="96">
        <v>106.00952996814576</v>
      </c>
      <c r="S46" s="96">
        <v>111.48439998342722</v>
      </c>
      <c r="T46" s="96">
        <v>113.33231557218966</v>
      </c>
      <c r="U46" s="96">
        <v>110.67009972060323</v>
      </c>
      <c r="V46" s="96">
        <v>113.15727346072272</v>
      </c>
      <c r="W46" s="96">
        <v>117.50075825882523</v>
      </c>
      <c r="X46" s="96">
        <v>103.77083136921267</v>
      </c>
      <c r="Y46" s="96">
        <v>105.58487292735072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0.38356330915557751</v>
      </c>
      <c r="J47" s="96">
        <v>6.1136238492245596</v>
      </c>
      <c r="K47" s="96">
        <v>6.4226573261207003</v>
      </c>
      <c r="L47" s="96">
        <v>6.2985239256274443</v>
      </c>
      <c r="M47" s="96">
        <v>6.7201640568811225</v>
      </c>
      <c r="N47" s="96">
        <v>6.7160982796060402</v>
      </c>
      <c r="O47" s="96">
        <v>6.3194386238701874</v>
      </c>
      <c r="P47" s="96">
        <v>3.9122181796818523</v>
      </c>
      <c r="Q47" s="96">
        <v>3.732472565058091</v>
      </c>
      <c r="R47" s="96">
        <v>3.3035708242142205</v>
      </c>
      <c r="S47" s="96">
        <v>3.109174792653226</v>
      </c>
      <c r="T47" s="96">
        <v>3.1671769557710316</v>
      </c>
      <c r="U47" s="96">
        <v>3.5665736914664299</v>
      </c>
      <c r="V47" s="96">
        <v>8.6803004870907436</v>
      </c>
      <c r="W47" s="96">
        <v>8.512195530513452</v>
      </c>
      <c r="X47" s="96">
        <v>7.4917716753611474</v>
      </c>
      <c r="Y47" s="96">
        <v>6.7101973912386796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2.3827863395856113E-4</v>
      </c>
      <c r="J51" s="96">
        <v>3.6746151191492074E-4</v>
      </c>
      <c r="K51" s="96">
        <v>3.8341508195950154E-4</v>
      </c>
      <c r="L51" s="96">
        <v>6.4366197316391937E-4</v>
      </c>
      <c r="M51" s="96">
        <v>7.7906210486340351E-4</v>
      </c>
      <c r="N51" s="96">
        <v>7.8349089337101743E-4</v>
      </c>
      <c r="O51" s="96">
        <v>8.0517720498807048E-4</v>
      </c>
      <c r="P51" s="96">
        <v>6.7615141452259024E-4</v>
      </c>
      <c r="Q51" s="96">
        <v>6.7808196012417155E-4</v>
      </c>
      <c r="R51" s="96">
        <v>6.7601034950558745E-4</v>
      </c>
      <c r="S51" s="96">
        <v>6.7397855786255486E-4</v>
      </c>
      <c r="T51" s="96">
        <v>5.3931872873083609E-4</v>
      </c>
      <c r="U51" s="96">
        <v>1.1718423058655883E-3</v>
      </c>
      <c r="V51" s="96">
        <v>1.3853410932966189E-3</v>
      </c>
      <c r="W51" s="96">
        <v>2.12416975977904E-3</v>
      </c>
      <c r="X51" s="96">
        <v>8.6699460887125126E-3</v>
      </c>
      <c r="Y51" s="96">
        <v>1.2141058621702568E-2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47.395283562116639</v>
      </c>
      <c r="C52" s="130">
        <f t="shared" si="34"/>
        <v>47.746223512826191</v>
      </c>
      <c r="D52" s="130">
        <f t="shared" si="34"/>
        <v>44.893359675525566</v>
      </c>
      <c r="E52" s="130">
        <f t="shared" si="34"/>
        <v>48.847850183058526</v>
      </c>
      <c r="F52" s="130">
        <f t="shared" si="34"/>
        <v>43.022471251897677</v>
      </c>
      <c r="G52" s="130">
        <f t="shared" si="34"/>
        <v>51.294714532459096</v>
      </c>
      <c r="H52" s="130">
        <f t="shared" si="34"/>
        <v>41.815015535795801</v>
      </c>
      <c r="I52" s="130">
        <f t="shared" si="34"/>
        <v>45.067891203727982</v>
      </c>
      <c r="J52" s="130">
        <f t="shared" si="34"/>
        <v>48.576410120893236</v>
      </c>
      <c r="K52" s="130">
        <f t="shared" si="34"/>
        <v>38.484200888853415</v>
      </c>
      <c r="L52" s="130">
        <f t="shared" ref="L52" si="35">L53+L55</f>
        <v>43.82399836632861</v>
      </c>
      <c r="M52" s="130">
        <f t="shared" ref="M52:V52" si="36">M53+M55</f>
        <v>36.789609657033616</v>
      </c>
      <c r="N52" s="130">
        <f t="shared" si="36"/>
        <v>30.509911819973624</v>
      </c>
      <c r="O52" s="130">
        <f t="shared" si="36"/>
        <v>20.209677070020877</v>
      </c>
      <c r="P52" s="130">
        <f t="shared" si="36"/>
        <v>17.24096920115861</v>
      </c>
      <c r="Q52" s="130">
        <f t="shared" si="36"/>
        <v>17.689243050427606</v>
      </c>
      <c r="R52" s="130">
        <f t="shared" si="36"/>
        <v>24.053471295105933</v>
      </c>
      <c r="S52" s="130">
        <f t="shared" si="36"/>
        <v>28.254031509847358</v>
      </c>
      <c r="T52" s="130">
        <f t="shared" si="36"/>
        <v>29.565242540195094</v>
      </c>
      <c r="U52" s="130">
        <f t="shared" si="36"/>
        <v>30.968322652398054</v>
      </c>
      <c r="V52" s="130">
        <f t="shared" si="36"/>
        <v>23.495690302336509</v>
      </c>
      <c r="W52" s="130">
        <f t="shared" ref="W52:Y52" si="37">W53+W55</f>
        <v>24.84539405904432</v>
      </c>
      <c r="X52" s="130">
        <f t="shared" si="37"/>
        <v>32.006296176802003</v>
      </c>
      <c r="Y52" s="130">
        <f t="shared" si="37"/>
        <v>32.465850526526438</v>
      </c>
      <c r="DA52" s="176" t="s">
        <v>401</v>
      </c>
    </row>
    <row r="53" spans="1:105" ht="11.45" customHeight="1" x14ac:dyDescent="0.25">
      <c r="A53" s="128" t="s">
        <v>27</v>
      </c>
      <c r="B53" s="97">
        <v>47.395283562116639</v>
      </c>
      <c r="C53" s="97">
        <v>47.746223512826191</v>
      </c>
      <c r="D53" s="97">
        <v>44.893359675525566</v>
      </c>
      <c r="E53" s="97">
        <v>48.847850183058526</v>
      </c>
      <c r="F53" s="97">
        <v>43.022471251897677</v>
      </c>
      <c r="G53" s="97">
        <v>51.294714532459096</v>
      </c>
      <c r="H53" s="97">
        <v>41.815015535795801</v>
      </c>
      <c r="I53" s="97">
        <v>45.067891203727982</v>
      </c>
      <c r="J53" s="97">
        <v>48.576410120893236</v>
      </c>
      <c r="K53" s="97">
        <v>38.484200888853415</v>
      </c>
      <c r="L53" s="97">
        <v>43.82399836632861</v>
      </c>
      <c r="M53" s="97">
        <v>36.789609657033616</v>
      </c>
      <c r="N53" s="97">
        <v>30.509911819973624</v>
      </c>
      <c r="O53" s="97">
        <v>20.209677070020877</v>
      </c>
      <c r="P53" s="97">
        <v>17.24096920115861</v>
      </c>
      <c r="Q53" s="97">
        <v>17.689243050427606</v>
      </c>
      <c r="R53" s="97">
        <v>24.053471295105933</v>
      </c>
      <c r="S53" s="97">
        <v>28.254031509847358</v>
      </c>
      <c r="T53" s="97">
        <v>29.565242540195094</v>
      </c>
      <c r="U53" s="97">
        <v>30.968322652398054</v>
      </c>
      <c r="V53" s="97">
        <v>23.495690302336509</v>
      </c>
      <c r="W53" s="97">
        <v>24.84539405904432</v>
      </c>
      <c r="X53" s="97">
        <v>32.006296176802003</v>
      </c>
      <c r="Y53" s="97">
        <v>32.465850526526438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0.11478165234032592</v>
      </c>
      <c r="J54" s="97">
        <v>1.9461993148235961</v>
      </c>
      <c r="K54" s="97">
        <v>1.679373846642394</v>
      </c>
      <c r="L54" s="97">
        <v>1.8662077100415404</v>
      </c>
      <c r="M54" s="97">
        <v>1.7368017048714153</v>
      </c>
      <c r="N54" s="97">
        <v>1.6489030613023572</v>
      </c>
      <c r="O54" s="97">
        <v>1.2112567977906927</v>
      </c>
      <c r="P54" s="97">
        <v>0.70203870299213067</v>
      </c>
      <c r="Q54" s="97">
        <v>0.66933560686565197</v>
      </c>
      <c r="R54" s="97">
        <v>0.74957738248121109</v>
      </c>
      <c r="S54" s="97">
        <v>0.78797322831092376</v>
      </c>
      <c r="T54" s="97">
        <v>0.82622819795332081</v>
      </c>
      <c r="U54" s="97">
        <v>0.99801848123142411</v>
      </c>
      <c r="V54" s="97">
        <v>1.8023556572056911</v>
      </c>
      <c r="W54" s="97">
        <v>1.7998935104519482</v>
      </c>
      <c r="X54" s="97">
        <v>2.3107058117077584</v>
      </c>
      <c r="Y54" s="97">
        <v>2.0632905023936425</v>
      </c>
      <c r="DA54" s="175" t="s">
        <v>669</v>
      </c>
    </row>
    <row r="55" spans="1:105" ht="11.45" customHeight="1" x14ac:dyDescent="0.25">
      <c r="A55" s="128" t="s">
        <v>116</v>
      </c>
      <c r="B55" s="97">
        <v>0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X55" s="97">
        <v>0</v>
      </c>
      <c r="Y55" s="97">
        <v>0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11.831597660248811</v>
      </c>
      <c r="C60" s="79">
        <f>IF(C17=0,0,C17/TrRoad_act!C30*100)</f>
        <v>11.777411170356986</v>
      </c>
      <c r="D60" s="79">
        <f>IF(D17=0,0,D17/TrRoad_act!D30*100)</f>
        <v>11.387189931865617</v>
      </c>
      <c r="E60" s="79">
        <f>IF(E17=0,0,E17/TrRoad_act!E30*100)</f>
        <v>11.654735435188146</v>
      </c>
      <c r="F60" s="79">
        <f>IF(F17=0,0,F17/TrRoad_act!F30*100)</f>
        <v>11.88456645088942</v>
      </c>
      <c r="G60" s="79">
        <f>IF(G17=0,0,G17/TrRoad_act!G30*100)</f>
        <v>11.472838047548708</v>
      </c>
      <c r="H60" s="79">
        <f>IF(H17=0,0,H17/TrRoad_act!H30*100)</f>
        <v>11.359664857300427</v>
      </c>
      <c r="I60" s="79">
        <f>IF(I17=0,0,I17/TrRoad_act!I30*100)</f>
        <v>11.404109978278139</v>
      </c>
      <c r="J60" s="79">
        <f>IF(J17=0,0,J17/TrRoad_act!J30*100)</f>
        <v>11.051545728402509</v>
      </c>
      <c r="K60" s="79">
        <f>IF(K17=0,0,K17/TrRoad_act!K30*100)</f>
        <v>11.066434344270714</v>
      </c>
      <c r="L60" s="79">
        <f>IF(L17=0,0,L17/TrRoad_act!L30*100)</f>
        <v>11.08850697635204</v>
      </c>
      <c r="M60" s="79">
        <f>IF(M17=0,0,M17/TrRoad_act!M30*100)</f>
        <v>10.701741298889234</v>
      </c>
      <c r="N60" s="79">
        <f>IF(N17=0,0,N17/TrRoad_act!N30*100)</f>
        <v>9.9981809527246135</v>
      </c>
      <c r="O60" s="79">
        <f>IF(O17=0,0,O17/TrRoad_act!O30*100)</f>
        <v>9.2002309931463415</v>
      </c>
      <c r="P60" s="79">
        <f>IF(P17=0,0,P17/TrRoad_act!P30*100)</f>
        <v>8.9679062048714577</v>
      </c>
      <c r="Q60" s="79">
        <f>IF(Q17=0,0,Q17/TrRoad_act!Q30*100)</f>
        <v>9.1823026176360116</v>
      </c>
      <c r="R60" s="79">
        <f>IF(R17=0,0,R17/TrRoad_act!R30*100)</f>
        <v>8.657627976753556</v>
      </c>
      <c r="S60" s="79">
        <f>IF(S17=0,0,S17/TrRoad_act!S30*100)</f>
        <v>8.7285627094717331</v>
      </c>
      <c r="T60" s="79">
        <f>IF(T17=0,0,T17/TrRoad_act!T30*100)</f>
        <v>8.4236878477859474</v>
      </c>
      <c r="U60" s="79">
        <f>IF(U17=0,0,U17/TrRoad_act!U30*100)</f>
        <v>8.2913459418714393</v>
      </c>
      <c r="V60" s="79">
        <f>IF(V17=0,0,V17/TrRoad_act!V30*100)</f>
        <v>7.9869439632500105</v>
      </c>
      <c r="W60" s="79">
        <f>IF(W17=0,0,W17/TrRoad_act!W30*100)</f>
        <v>8.382555711075339</v>
      </c>
      <c r="X60" s="79">
        <f>IF(X17=0,0,X17/TrRoad_act!X30*100)</f>
        <v>7.9850200715195028</v>
      </c>
      <c r="Y60" s="79">
        <f>IF(Y17=0,0,Y17/TrRoad_act!Y30*100)</f>
        <v>8.0720600377379501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10.678897224371957</v>
      </c>
      <c r="C61" s="32">
        <f>IF(C18=0,0,C18/TrRoad_act!C31*100)</f>
        <v>10.735816273710679</v>
      </c>
      <c r="D61" s="32">
        <f>IF(D18=0,0,D18/TrRoad_act!D31*100)</f>
        <v>10.621005894493084</v>
      </c>
      <c r="E61" s="32">
        <f>IF(E18=0,0,E18/TrRoad_act!E31*100)</f>
        <v>11.012238831100854</v>
      </c>
      <c r="F61" s="32">
        <f>IF(F18=0,0,F18/TrRoad_act!F31*100)</f>
        <v>11.122323722510183</v>
      </c>
      <c r="G61" s="32">
        <f>IF(G18=0,0,G18/TrRoad_act!G31*100)</f>
        <v>10.889047786736905</v>
      </c>
      <c r="H61" s="32">
        <f>IF(H18=0,0,H18/TrRoad_act!H31*100)</f>
        <v>10.927314127325397</v>
      </c>
      <c r="I61" s="32">
        <f>IF(I18=0,0,I18/TrRoad_act!I31*100)</f>
        <v>10.882543862473561</v>
      </c>
      <c r="J61" s="32">
        <f>IF(J18=0,0,J18/TrRoad_act!J31*100)</f>
        <v>10.585876935800078</v>
      </c>
      <c r="K61" s="32">
        <f>IF(K18=0,0,K18/TrRoad_act!K31*100)</f>
        <v>10.591163783577709</v>
      </c>
      <c r="L61" s="32">
        <f>IF(L18=0,0,L18/TrRoad_act!L31*100)</f>
        <v>10.561477225440186</v>
      </c>
      <c r="M61" s="32">
        <f>IF(M18=0,0,M18/TrRoad_act!M31*100)</f>
        <v>10.303231035391772</v>
      </c>
      <c r="N61" s="32">
        <f>IF(N18=0,0,N18/TrRoad_act!N31*100)</f>
        <v>9.86575164852845</v>
      </c>
      <c r="O61" s="32">
        <f>IF(O18=0,0,O18/TrRoad_act!O31*100)</f>
        <v>9.2239306733219237</v>
      </c>
      <c r="P61" s="32">
        <f>IF(P18=0,0,P18/TrRoad_act!P31*100)</f>
        <v>9.0274970369756904</v>
      </c>
      <c r="Q61" s="32">
        <f>IF(Q18=0,0,Q18/TrRoad_act!Q31*100)</f>
        <v>9.209803580389984</v>
      </c>
      <c r="R61" s="32">
        <f>IF(R18=0,0,R18/TrRoad_act!R31*100)</f>
        <v>8.5047876065695114</v>
      </c>
      <c r="S61" s="32">
        <f>IF(S18=0,0,S18/TrRoad_act!S31*100)</f>
        <v>8.5685812197560871</v>
      </c>
      <c r="T61" s="32">
        <f>IF(T18=0,0,T18/TrRoad_act!T31*100)</f>
        <v>8.2693897108330852</v>
      </c>
      <c r="U61" s="32">
        <f>IF(U18=0,0,U18/TrRoad_act!U31*100)</f>
        <v>8.105930470524763</v>
      </c>
      <c r="V61" s="32">
        <f>IF(V18=0,0,V18/TrRoad_act!V31*100)</f>
        <v>7.6920221542279661</v>
      </c>
      <c r="W61" s="32">
        <f>IF(W18=0,0,W18/TrRoad_act!W31*100)</f>
        <v>8.0707319254154282</v>
      </c>
      <c r="X61" s="32">
        <f>IF(X18=0,0,X18/TrRoad_act!X31*100)</f>
        <v>7.7310588853655506</v>
      </c>
      <c r="Y61" s="32">
        <f>IF(Y18=0,0,Y18/TrRoad_act!Y31*100)</f>
        <v>7.7742776039873052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4.5269001232284127</v>
      </c>
      <c r="C62" s="141">
        <f>IF(C19=0,0,C19/TrRoad_act!C32*100)</f>
        <v>4.4901339186415488</v>
      </c>
      <c r="D62" s="141">
        <f>IF(D19=0,0,D19/TrRoad_act!D32*100)</f>
        <v>4.4594001068099045</v>
      </c>
      <c r="E62" s="141">
        <f>IF(E19=0,0,E19/TrRoad_act!E32*100)</f>
        <v>4.4390774748414232</v>
      </c>
      <c r="F62" s="141">
        <f>IF(F19=0,0,F19/TrRoad_act!F32*100)</f>
        <v>4.4114279235792067</v>
      </c>
      <c r="G62" s="141">
        <f>IF(G19=0,0,G19/TrRoad_act!G32*100)</f>
        <v>4.3779550533598011</v>
      </c>
      <c r="H62" s="141">
        <f>IF(H19=0,0,H19/TrRoad_act!H32*100)</f>
        <v>4.3421523422917119</v>
      </c>
      <c r="I62" s="141">
        <f>IF(I19=0,0,I19/TrRoad_act!I32*100)</f>
        <v>4.3034111085932949</v>
      </c>
      <c r="J62" s="141">
        <f>IF(J19=0,0,J19/TrRoad_act!J32*100)</f>
        <v>4.2600183313241091</v>
      </c>
      <c r="K62" s="141">
        <f>IF(K19=0,0,K19/TrRoad_act!K32*100)</f>
        <v>4.2127156592895227</v>
      </c>
      <c r="L62" s="141">
        <f>IF(L19=0,0,L19/TrRoad_act!L32*100)</f>
        <v>4.1507068600672703</v>
      </c>
      <c r="M62" s="141">
        <f>IF(M19=0,0,M19/TrRoad_act!M32*100)</f>
        <v>4.0988528010337433</v>
      </c>
      <c r="N62" s="141">
        <f>IF(N19=0,0,N19/TrRoad_act!N32*100)</f>
        <v>4.0838003832332808</v>
      </c>
      <c r="O62" s="141">
        <f>IF(O19=0,0,O19/TrRoad_act!O32*100)</f>
        <v>4.0369708622310059</v>
      </c>
      <c r="P62" s="141">
        <f>IF(P19=0,0,P19/TrRoad_act!P32*100)</f>
        <v>4.0130790386370867</v>
      </c>
      <c r="Q62" s="141">
        <f>IF(Q19=0,0,Q19/TrRoad_act!Q32*100)</f>
        <v>3.9454992409742031</v>
      </c>
      <c r="R62" s="141">
        <f>IF(R19=0,0,R19/TrRoad_act!R32*100)</f>
        <v>3.9110717153322914</v>
      </c>
      <c r="S62" s="141">
        <f>IF(S19=0,0,S19/TrRoad_act!S32*100)</f>
        <v>3.8753732887506143</v>
      </c>
      <c r="T62" s="141">
        <f>IF(T19=0,0,T19/TrRoad_act!T32*100)</f>
        <v>3.8263695860551188</v>
      </c>
      <c r="U62" s="141">
        <f>IF(U19=0,0,U19/TrRoad_act!U32*100)</f>
        <v>3.7906348560019114</v>
      </c>
      <c r="V62" s="141">
        <f>IF(V19=0,0,V19/TrRoad_act!V32*100)</f>
        <v>3.7501198919189571</v>
      </c>
      <c r="W62" s="141">
        <f>IF(W19=0,0,W19/TrRoad_act!W32*100)</f>
        <v>3.705106143152554</v>
      </c>
      <c r="X62" s="141">
        <f>IF(X19=0,0,X19/TrRoad_act!X32*100)</f>
        <v>3.6796466155554262</v>
      </c>
      <c r="Y62" s="141">
        <f>IF(Y19=0,0,Y19/TrRoad_act!Y32*100)</f>
        <v>3.6396699383832831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8.4307928090873183</v>
      </c>
      <c r="C63" s="130">
        <f>IF(C21=0,0,C21/TrRoad_act!C33*100)</f>
        <v>8.5528057180215189</v>
      </c>
      <c r="D63" s="130">
        <f>IF(D21=0,0,D21/TrRoad_act!D33*100)</f>
        <v>8.5599948162941537</v>
      </c>
      <c r="E63" s="130">
        <f>IF(E21=0,0,E21/TrRoad_act!E33*100)</f>
        <v>8.910329958553076</v>
      </c>
      <c r="F63" s="130">
        <f>IF(F21=0,0,F21/TrRoad_act!F33*100)</f>
        <v>9.0683742511628065</v>
      </c>
      <c r="G63" s="130">
        <f>IF(G21=0,0,G21/TrRoad_act!G33*100)</f>
        <v>9.0907678489912112</v>
      </c>
      <c r="H63" s="130">
        <f>IF(H21=0,0,H21/TrRoad_act!H33*100)</f>
        <v>9.1814703490943135</v>
      </c>
      <c r="I63" s="130">
        <f>IF(I21=0,0,I21/TrRoad_act!I33*100)</f>
        <v>9.1735386513476627</v>
      </c>
      <c r="J63" s="130">
        <f>IF(J21=0,0,J21/TrRoad_act!J33*100)</f>
        <v>9.0192254787885755</v>
      </c>
      <c r="K63" s="130">
        <f>IF(K21=0,0,K21/TrRoad_act!K33*100)</f>
        <v>9.0326953457375527</v>
      </c>
      <c r="L63" s="130">
        <f>IF(L21=0,0,L21/TrRoad_act!L33*100)</f>
        <v>9.0227789325531749</v>
      </c>
      <c r="M63" s="130">
        <f>IF(M21=0,0,M21/TrRoad_act!M33*100)</f>
        <v>8.7897062236807528</v>
      </c>
      <c r="N63" s="130">
        <f>IF(N21=0,0,N21/TrRoad_act!N33*100)</f>
        <v>8.4888551052351247</v>
      </c>
      <c r="O63" s="130">
        <f>IF(O21=0,0,O21/TrRoad_act!O33*100)</f>
        <v>7.9820984313960928</v>
      </c>
      <c r="P63" s="130">
        <f>IF(P21=0,0,P21/TrRoad_act!P33*100)</f>
        <v>7.7987338661880123</v>
      </c>
      <c r="Q63" s="130">
        <f>IF(Q21=0,0,Q21/TrRoad_act!Q33*100)</f>
        <v>7.8482482987956113</v>
      </c>
      <c r="R63" s="130">
        <f>IF(R21=0,0,R21/TrRoad_act!R33*100)</f>
        <v>7.2080088070921535</v>
      </c>
      <c r="S63" s="130">
        <f>IF(S21=0,0,S21/TrRoad_act!S33*100)</f>
        <v>7.2220782741698963</v>
      </c>
      <c r="T63" s="130">
        <f>IF(T21=0,0,T21/TrRoad_act!T33*100)</f>
        <v>6.9614368257458707</v>
      </c>
      <c r="U63" s="130">
        <f>IF(U21=0,0,U21/TrRoad_act!U33*100)</f>
        <v>6.8096920272419679</v>
      </c>
      <c r="V63" s="130">
        <f>IF(V21=0,0,V21/TrRoad_act!V33*100)</f>
        <v>6.5209688003905839</v>
      </c>
      <c r="W63" s="130">
        <f>IF(W21=0,0,W21/TrRoad_act!W33*100)</f>
        <v>6.8179681337358664</v>
      </c>
      <c r="X63" s="130">
        <f>IF(X21=0,0,X21/TrRoad_act!X33*100)</f>
        <v>6.5419806841622519</v>
      </c>
      <c r="Y63" s="130">
        <f>IF(Y21=0,0,Y21/TrRoad_act!Y33*100)</f>
        <v>6.5655067376829006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8.1112569243752404</v>
      </c>
      <c r="C64" s="96">
        <f>IF(C22=0,0,C22/TrRoad_act!C34*100)</f>
        <v>8.2957203368413275</v>
      </c>
      <c r="D64" s="96">
        <f>IF(D22=0,0,D22/TrRoad_act!D34*100)</f>
        <v>8.4225488687992129</v>
      </c>
      <c r="E64" s="96">
        <f>IF(E22=0,0,E22/TrRoad_act!E34*100)</f>
        <v>8.8345566164248552</v>
      </c>
      <c r="F64" s="96">
        <f>IF(F22=0,0,F22/TrRoad_act!F34*100)</f>
        <v>8.9083947178302534</v>
      </c>
      <c r="G64" s="96">
        <f>IF(G22=0,0,G22/TrRoad_act!G34*100)</f>
        <v>9.0547687308853675</v>
      </c>
      <c r="H64" s="96">
        <f>IF(H22=0,0,H22/TrRoad_act!H34*100)</f>
        <v>9.1630706370887793</v>
      </c>
      <c r="I64" s="96">
        <f>IF(I22=0,0,I22/TrRoad_act!I34*100)</f>
        <v>9.1145487329256252</v>
      </c>
      <c r="J64" s="96">
        <f>IF(J22=0,0,J22/TrRoad_act!J34*100)</f>
        <v>8.9841692250986345</v>
      </c>
      <c r="K64" s="96">
        <f>IF(K22=0,0,K22/TrRoad_act!K34*100)</f>
        <v>8.9401182163879049</v>
      </c>
      <c r="L64" s="96">
        <f>IF(L22=0,0,L22/TrRoad_act!L34*100)</f>
        <v>8.9154731888745218</v>
      </c>
      <c r="M64" s="96">
        <f>IF(M22=0,0,M22/TrRoad_act!M34*100)</f>
        <v>8.7006994504132997</v>
      </c>
      <c r="N64" s="96">
        <f>IF(N22=0,0,N22/TrRoad_act!N34*100)</f>
        <v>8.4936107306834643</v>
      </c>
      <c r="O64" s="96">
        <f>IF(O22=0,0,O22/TrRoad_act!O34*100)</f>
        <v>8.006922753888853</v>
      </c>
      <c r="P64" s="96">
        <f>IF(P22=0,0,P22/TrRoad_act!P34*100)</f>
        <v>7.8337182461770922</v>
      </c>
      <c r="Q64" s="96">
        <f>IF(Q22=0,0,Q22/TrRoad_act!Q34*100)</f>
        <v>7.8661925661236909</v>
      </c>
      <c r="R64" s="96">
        <f>IF(R22=0,0,R22/TrRoad_act!R34*100)</f>
        <v>7.1465723474474663</v>
      </c>
      <c r="S64" s="96">
        <f>IF(S22=0,0,S22/TrRoad_act!S34*100)</f>
        <v>7.1728321229979466</v>
      </c>
      <c r="T64" s="96">
        <f>IF(T22=0,0,T22/TrRoad_act!T34*100)</f>
        <v>6.9286790677068941</v>
      </c>
      <c r="U64" s="96">
        <f>IF(U22=0,0,U22/TrRoad_act!U34*100)</f>
        <v>6.7526973341143162</v>
      </c>
      <c r="V64" s="96">
        <f>IF(V22=0,0,V22/TrRoad_act!V34*100)</f>
        <v>6.3107855582134036</v>
      </c>
      <c r="W64" s="96">
        <f>IF(W22=0,0,W22/TrRoad_act!W34*100)</f>
        <v>6.6267085933071996</v>
      </c>
      <c r="X64" s="96">
        <f>IF(X22=0,0,X22/TrRoad_act!X34*100)</f>
        <v>6.4679648297832033</v>
      </c>
      <c r="Y64" s="96">
        <f>IF(Y22=0,0,Y22/TrRoad_act!Y34*100)</f>
        <v>6.4493390576936926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9.9820643358571832</v>
      </c>
      <c r="C65" s="96">
        <f>IF(C24=0,0,C24/TrRoad_act!C35*100)</f>
        <v>9.7589167213228514</v>
      </c>
      <c r="D65" s="96">
        <f>IF(D24=0,0,D24/TrRoad_act!D35*100)</f>
        <v>9.2321671912172096</v>
      </c>
      <c r="E65" s="96">
        <f>IF(E24=0,0,E24/TrRoad_act!E35*100)</f>
        <v>9.3055528377290901</v>
      </c>
      <c r="F65" s="96">
        <f>IF(F24=0,0,F24/TrRoad_act!F35*100)</f>
        <v>10.019352446864833</v>
      </c>
      <c r="G65" s="96">
        <f>IF(G24=0,0,G24/TrRoad_act!G35*100)</f>
        <v>9.3268451325473087</v>
      </c>
      <c r="H65" s="96">
        <f>IF(H24=0,0,H24/TrRoad_act!H35*100)</f>
        <v>9.3133744316719689</v>
      </c>
      <c r="I65" s="96">
        <f>IF(I24=0,0,I24/TrRoad_act!I35*100)</f>
        <v>9.6184251359863744</v>
      </c>
      <c r="J65" s="96">
        <f>IF(J24=0,0,J24/TrRoad_act!J35*100)</f>
        <v>9.2837022571491996</v>
      </c>
      <c r="K65" s="96">
        <f>IF(K24=0,0,K24/TrRoad_act!K35*100)</f>
        <v>9.719692654578056</v>
      </c>
      <c r="L65" s="96">
        <f>IF(L24=0,0,L24/TrRoad_act!L35*100)</f>
        <v>9.8176841061185716</v>
      </c>
      <c r="M65" s="96">
        <f>IF(M24=0,0,M24/TrRoad_act!M35*100)</f>
        <v>9.4575961215678177</v>
      </c>
      <c r="N65" s="96">
        <f>IF(N24=0,0,N24/TrRoad_act!N35*100)</f>
        <v>8.4512624632091704</v>
      </c>
      <c r="O65" s="96">
        <f>IF(O24=0,0,O24/TrRoad_act!O35*100)</f>
        <v>7.7816197689235604</v>
      </c>
      <c r="P65" s="96">
        <f>IF(P24=0,0,P24/TrRoad_act!P35*100)</f>
        <v>7.530350034221442</v>
      </c>
      <c r="Q65" s="96">
        <f>IF(Q24=0,0,Q24/TrRoad_act!Q35*100)</f>
        <v>7.7261462010437292</v>
      </c>
      <c r="R65" s="96">
        <f>IF(R24=0,0,R24/TrRoad_act!R35*100)</f>
        <v>7.6267784821308027</v>
      </c>
      <c r="S65" s="96">
        <f>IF(S24=0,0,S24/TrRoad_act!S35*100)</f>
        <v>7.5082757328999037</v>
      </c>
      <c r="T65" s="96">
        <f>IF(T24=0,0,T24/TrRoad_act!T35*100)</f>
        <v>7.1449336665668426</v>
      </c>
      <c r="U65" s="96">
        <f>IF(U24=0,0,U24/TrRoad_act!U35*100)</f>
        <v>7.0652519767304982</v>
      </c>
      <c r="V65" s="96">
        <f>IF(V24=0,0,V24/TrRoad_act!V35*100)</f>
        <v>7.3151834141996277</v>
      </c>
      <c r="W65" s="96">
        <f>IF(W24=0,0,W24/TrRoad_act!W35*100)</f>
        <v>7.5283639235858679</v>
      </c>
      <c r="X65" s="96">
        <f>IF(X24=0,0,X24/TrRoad_act!X35*100)</f>
        <v>6.8470315574257476</v>
      </c>
      <c r="Y65" s="96">
        <f>IF(Y24=0,0,Y24/TrRoad_act!Y35*100)</f>
        <v>7.0772725411293216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0</v>
      </c>
      <c r="E66" s="96">
        <f>IF(E26=0,0,E26/TrRoad_act!E36*100)</f>
        <v>0</v>
      </c>
      <c r="F66" s="96">
        <f>IF(F26=0,0,F26/TrRoad_act!F36*100)</f>
        <v>0</v>
      </c>
      <c r="G66" s="96">
        <f>IF(G26=0,0,G26/TrRoad_act!G36*100)</f>
        <v>0</v>
      </c>
      <c r="H66" s="96">
        <f>IF(H26=0,0,H26/TrRoad_act!H36*100)</f>
        <v>0</v>
      </c>
      <c r="I66" s="96">
        <f>IF(I26=0,0,I26/TrRoad_act!I36*100)</f>
        <v>0</v>
      </c>
      <c r="J66" s="96">
        <f>IF(J26=0,0,J26/TrRoad_act!J36*100)</f>
        <v>0</v>
      </c>
      <c r="K66" s="96">
        <f>IF(K26=0,0,K26/TrRoad_act!K36*100)</f>
        <v>0</v>
      </c>
      <c r="L66" s="96">
        <f>IF(L26=0,0,L26/TrRoad_act!L36*100)</f>
        <v>0</v>
      </c>
      <c r="M66" s="96">
        <f>IF(M26=0,0,M26/TrRoad_act!M36*100)</f>
        <v>0</v>
      </c>
      <c r="N66" s="96">
        <f>IF(N26=0,0,N26/TrRoad_act!N36*100)</f>
        <v>0</v>
      </c>
      <c r="O66" s="96">
        <f>IF(O26=0,0,O26/TrRoad_act!O36*100)</f>
        <v>0</v>
      </c>
      <c r="P66" s="96">
        <f>IF(P26=0,0,P26/TrRoad_act!P36*100)</f>
        <v>0</v>
      </c>
      <c r="Q66" s="96">
        <f>IF(Q26=0,0,Q26/TrRoad_act!Q36*100)</f>
        <v>0</v>
      </c>
      <c r="R66" s="96">
        <f>IF(R26=0,0,R26/TrRoad_act!R36*100)</f>
        <v>0</v>
      </c>
      <c r="S66" s="96">
        <f>IF(S26=0,0,S26/TrRoad_act!S36*100)</f>
        <v>0</v>
      </c>
      <c r="T66" s="96">
        <f>IF(T26=0,0,T26/TrRoad_act!T36*100)</f>
        <v>4.9550708419355711</v>
      </c>
      <c r="U66" s="96">
        <f>IF(U26=0,0,U26/TrRoad_act!U36*100)</f>
        <v>5.4986814560456798</v>
      </c>
      <c r="V66" s="96">
        <f>IF(V26=0,0,V26/TrRoad_act!V36*100)</f>
        <v>5.3382106041316302</v>
      </c>
      <c r="W66" s="96">
        <f>IF(W26=0,0,W26/TrRoad_act!W36*100)</f>
        <v>5.9964367530557343</v>
      </c>
      <c r="X66" s="96">
        <f>IF(X26=0,0,X26/TrRoad_act!X36*100)</f>
        <v>6.3240613199323032</v>
      </c>
      <c r="Y66" s="96">
        <f>IF(Y26=0,0,Y26/TrRoad_act!Y36*100)</f>
        <v>5.4939113502513699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X67" s="96">
        <f>IF(X27=0,0,X27/TrRoad_act!X37*100)</f>
        <v>0</v>
      </c>
      <c r="Y67" s="96">
        <f>IF(Y27=0,0,Y27/TrRoad_act!Y37*100)</f>
        <v>0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0</v>
      </c>
      <c r="P68" s="96">
        <f>IF(P29=0,0,P29/TrRoad_act!P38*100)</f>
        <v>3.2240168787829306</v>
      </c>
      <c r="Q68" s="96">
        <f>IF(Q29=0,0,Q29/TrRoad_act!Q38*100)</f>
        <v>3.3191706151463052</v>
      </c>
      <c r="R68" s="96">
        <f>IF(R29=0,0,R29/TrRoad_act!R38*100)</f>
        <v>3.9603926089346571</v>
      </c>
      <c r="S68" s="96">
        <f>IF(S29=0,0,S29/TrRoad_act!S38*100)</f>
        <v>4.1181512647784437</v>
      </c>
      <c r="T68" s="96">
        <f>IF(T29=0,0,T29/TrRoad_act!T38*100)</f>
        <v>4.0914897194795765</v>
      </c>
      <c r="U68" s="96">
        <f>IF(U29=0,0,U29/TrRoad_act!U38*100)</f>
        <v>3.9580041273039641</v>
      </c>
      <c r="V68" s="96">
        <f>IF(V29=0,0,V29/TrRoad_act!V38*100)</f>
        <v>4.1006782512724698</v>
      </c>
      <c r="W68" s="96">
        <f>IF(W29=0,0,W29/TrRoad_act!W38*100)</f>
        <v>4.0657046649091289</v>
      </c>
      <c r="X68" s="96">
        <f>IF(X29=0,0,X29/TrRoad_act!X38*100)</f>
        <v>3.7970906338998365</v>
      </c>
      <c r="Y68" s="96">
        <f>IF(Y29=0,0,Y29/TrRoad_act!Y38*100)</f>
        <v>3.4235693334030399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0</v>
      </c>
      <c r="O69" s="96">
        <f>IF(O32=0,0,O32/TrRoad_act!O39*100)</f>
        <v>1.4149976893326053</v>
      </c>
      <c r="P69" s="96">
        <f>IF(P32=0,0,P32/TrRoad_act!P39*100)</f>
        <v>1.4132801002028512</v>
      </c>
      <c r="Q69" s="96">
        <f>IF(Q32=0,0,Q32/TrRoad_act!Q39*100)</f>
        <v>1.4458864802581415</v>
      </c>
      <c r="R69" s="96">
        <f>IF(R32=0,0,R32/TrRoad_act!R39*100)</f>
        <v>1.4555514802869112</v>
      </c>
      <c r="S69" s="96">
        <f>IF(S32=0,0,S32/TrRoad_act!S39*100)</f>
        <v>1.4116093889758685</v>
      </c>
      <c r="T69" s="96">
        <f>IF(T32=0,0,T32/TrRoad_act!T39*100)</f>
        <v>1.4524431715144246</v>
      </c>
      <c r="U69" s="96">
        <f>IF(U32=0,0,U32/TrRoad_act!U39*100)</f>
        <v>1.5293318020846758</v>
      </c>
      <c r="V69" s="96">
        <f>IF(V32=0,0,V32/TrRoad_act!V39*100)</f>
        <v>1.5584222319218324</v>
      </c>
      <c r="W69" s="96">
        <f>IF(W32=0,0,W32/TrRoad_act!W39*100)</f>
        <v>1.5710461081077844</v>
      </c>
      <c r="X69" s="96">
        <f>IF(X32=0,0,X32/TrRoad_act!X39*100)</f>
        <v>1.6586880942424762</v>
      </c>
      <c r="Y69" s="96">
        <f>IF(Y32=0,0,Y32/TrRoad_act!Y39*100)</f>
        <v>1.6661304519438949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66.77981217530467</v>
      </c>
      <c r="C70" s="130">
        <f>IF(C33=0,0,C33/TrRoad_act!C40*100)</f>
        <v>65.795843925477158</v>
      </c>
      <c r="D70" s="130">
        <f>IF(D33=0,0,D33/TrRoad_act!D40*100)</f>
        <v>62.040431356271966</v>
      </c>
      <c r="E70" s="130">
        <f>IF(E33=0,0,E33/TrRoad_act!E40*100)</f>
        <v>62.493943953053041</v>
      </c>
      <c r="F70" s="130">
        <f>IF(F33=0,0,F33/TrRoad_act!F40*100)</f>
        <v>68.088988271121607</v>
      </c>
      <c r="G70" s="130">
        <f>IF(G33=0,0,G33/TrRoad_act!G40*100)</f>
        <v>62.902073530659941</v>
      </c>
      <c r="H70" s="130">
        <f>IF(H33=0,0,H33/TrRoad_act!H40*100)</f>
        <v>63.102230034569693</v>
      </c>
      <c r="I70" s="130">
        <f>IF(I33=0,0,I33/TrRoad_act!I40*100)</f>
        <v>65.920193043764641</v>
      </c>
      <c r="J70" s="130">
        <f>IF(J33=0,0,J33/TrRoad_act!J40*100)</f>
        <v>64.097778752241254</v>
      </c>
      <c r="K70" s="130">
        <f>IF(K33=0,0,K33/TrRoad_act!K40*100)</f>
        <v>68.361347340944505</v>
      </c>
      <c r="L70" s="130">
        <f>IF(L33=0,0,L33/TrRoad_act!L40*100)</f>
        <v>69.613859402196411</v>
      </c>
      <c r="M70" s="130">
        <f>IF(M33=0,0,M33/TrRoad_act!M40*100)</f>
        <v>67.780717332961444</v>
      </c>
      <c r="N70" s="130">
        <f>IF(N33=0,0,N33/TrRoad_act!N40*100)</f>
        <v>60.456762827035185</v>
      </c>
      <c r="O70" s="130">
        <f>IF(O33=0,0,O33/TrRoad_act!O40*100)</f>
        <v>55.384339747968426</v>
      </c>
      <c r="P70" s="130">
        <f>IF(P33=0,0,P33/TrRoad_act!P40*100)</f>
        <v>55.072469210655427</v>
      </c>
      <c r="Q70" s="130">
        <f>IF(Q33=0,0,Q33/TrRoad_act!Q40*100)</f>
        <v>58.042404525436808</v>
      </c>
      <c r="R70" s="130">
        <f>IF(R33=0,0,R33/TrRoad_act!R40*100)</f>
        <v>58.616834561016454</v>
      </c>
      <c r="S70" s="130">
        <f>IF(S33=0,0,S33/TrRoad_act!S40*100)</f>
        <v>59.092172189961445</v>
      </c>
      <c r="T70" s="130">
        <f>IF(T33=0,0,T33/TrRoad_act!T40*100)</f>
        <v>57.335025620221614</v>
      </c>
      <c r="U70" s="130">
        <f>IF(U33=0,0,U33/TrRoad_act!U40*100)</f>
        <v>58.179012545339774</v>
      </c>
      <c r="V70" s="130">
        <f>IF(V33=0,0,V33/TrRoad_act!V40*100)</f>
        <v>60.727469759168841</v>
      </c>
      <c r="W70" s="130">
        <f>IF(W33=0,0,W33/TrRoad_act!W40*100)</f>
        <v>63.308249555019849</v>
      </c>
      <c r="X70" s="130">
        <f>IF(X33=0,0,X33/TrRoad_act!X40*100)</f>
        <v>56.597473959190147</v>
      </c>
      <c r="Y70" s="130">
        <f>IF(Y33=0,0,Y33/TrRoad_act!Y40*100)</f>
        <v>57.487579499122518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18.704556945091628</v>
      </c>
      <c r="C71" s="97">
        <f>IF(C34=0,0,C34/TrRoad_act!C41*100)</f>
        <v>19.349177437070438</v>
      </c>
      <c r="D71" s="97">
        <f>IF(D34=0,0,D34/TrRoad_act!D41*100)</f>
        <v>19.790133937224027</v>
      </c>
      <c r="E71" s="97">
        <f>IF(E34=0,0,E34/TrRoad_act!E41*100)</f>
        <v>20.752014056493717</v>
      </c>
      <c r="F71" s="97">
        <f>IF(F34=0,0,F34/TrRoad_act!F41*100)</f>
        <v>21.131714711410897</v>
      </c>
      <c r="G71" s="97">
        <f>IF(G34=0,0,G34/TrRoad_act!G41*100)</f>
        <v>21.61089841944198</v>
      </c>
      <c r="H71" s="97">
        <f>IF(H34=0,0,H34/TrRoad_act!H41*100)</f>
        <v>21.933368214350551</v>
      </c>
      <c r="I71" s="97">
        <f>IF(I34=0,0,I34/TrRoad_act!I41*100)</f>
        <v>21.998761837548876</v>
      </c>
      <c r="J71" s="97">
        <f>IF(J34=0,0,J34/TrRoad_act!J41*100)</f>
        <v>21.895483611346759</v>
      </c>
      <c r="K71" s="97">
        <f>IF(K34=0,0,K34/TrRoad_act!K41*100)</f>
        <v>22.024086516422585</v>
      </c>
      <c r="L71" s="97">
        <f>IF(L34=0,0,L34/TrRoad_act!L41*100)</f>
        <v>22.036289711332593</v>
      </c>
      <c r="M71" s="97">
        <f>IF(M34=0,0,M34/TrRoad_act!M41*100)</f>
        <v>21.662536477215824</v>
      </c>
      <c r="N71" s="97">
        <f>IF(N34=0,0,N34/TrRoad_act!N41*100)</f>
        <v>21.262046817596175</v>
      </c>
      <c r="O71" s="97">
        <f>IF(O34=0,0,O34/TrRoad_act!O41*100)</f>
        <v>20.350079986626643</v>
      </c>
      <c r="P71" s="97">
        <f>IF(P34=0,0,P34/TrRoad_act!P41*100)</f>
        <v>19.66306212316362</v>
      </c>
      <c r="Q71" s="97">
        <f>IF(Q34=0,0,Q34/TrRoad_act!Q41*100)</f>
        <v>19.769944045235572</v>
      </c>
      <c r="R71" s="97">
        <f>IF(R34=0,0,R34/TrRoad_act!R41*100)</f>
        <v>18.398449556776818</v>
      </c>
      <c r="S71" s="97">
        <f>IF(S34=0,0,S34/TrRoad_act!S41*100)</f>
        <v>18.60914157237125</v>
      </c>
      <c r="T71" s="97">
        <f>IF(T34=0,0,T34/TrRoad_act!T41*100)</f>
        <v>18.271898920577886</v>
      </c>
      <c r="U71" s="97">
        <f>IF(U34=0,0,U34/TrRoad_act!U41*100)</f>
        <v>17.847887248029732</v>
      </c>
      <c r="V71" s="97">
        <f>IF(V34=0,0,V34/TrRoad_act!V41*100)</f>
        <v>17.086542101663067</v>
      </c>
      <c r="W71" s="97">
        <f>IF(W34=0,0,W34/TrRoad_act!W41*100)</f>
        <v>17.941310114055561</v>
      </c>
      <c r="X71" s="97">
        <f>IF(X34=0,0,X34/TrRoad_act!X41*100)</f>
        <v>17.663101313786971</v>
      </c>
      <c r="Y71" s="97">
        <f>IF(Y34=0,0,Y34/TrRoad_act!Y41*100)</f>
        <v>17.78088248356817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68.452162324363925</v>
      </c>
      <c r="C72" s="97">
        <f>IF(C36=0,0,C36/TrRoad_act!C42*100)</f>
        <v>67.335409103194664</v>
      </c>
      <c r="D72" s="97">
        <f>IF(D36=0,0,D36/TrRoad_act!D42*100)</f>
        <v>63.35036974980612</v>
      </c>
      <c r="E72" s="97">
        <f>IF(E36=0,0,E36/TrRoad_act!E42*100)</f>
        <v>63.713753421064688</v>
      </c>
      <c r="F72" s="97">
        <f>IF(F36=0,0,F36/TrRoad_act!F42*100)</f>
        <v>69.489371732877132</v>
      </c>
      <c r="G72" s="97">
        <f>IF(G36=0,0,G36/TrRoad_act!G42*100)</f>
        <v>64.109128141359434</v>
      </c>
      <c r="H72" s="97">
        <f>IF(H36=0,0,H36/TrRoad_act!H42*100)</f>
        <v>64.318014691255826</v>
      </c>
      <c r="I72" s="97">
        <f>IF(I36=0,0,I36/TrRoad_act!I42*100)</f>
        <v>67.195394995387005</v>
      </c>
      <c r="J72" s="97">
        <f>IF(J36=0,0,J36/TrRoad_act!J42*100)</f>
        <v>65.321364806391685</v>
      </c>
      <c r="K72" s="97">
        <f>IF(K36=0,0,K36/TrRoad_act!K42*100)</f>
        <v>69.740660131310719</v>
      </c>
      <c r="L72" s="97">
        <f>IF(L36=0,0,L36/TrRoad_act!L42*100)</f>
        <v>71.070437811852401</v>
      </c>
      <c r="M72" s="97">
        <f>IF(M36=0,0,M36/TrRoad_act!M42*100)</f>
        <v>69.187543477135151</v>
      </c>
      <c r="N72" s="97">
        <f>IF(N36=0,0,N36/TrRoad_act!N42*100)</f>
        <v>61.633749097425131</v>
      </c>
      <c r="O72" s="97">
        <f>IF(O36=0,0,O36/TrRoad_act!O42*100)</f>
        <v>56.443264651523364</v>
      </c>
      <c r="P72" s="97">
        <f>IF(P36=0,0,P36/TrRoad_act!P42*100)</f>
        <v>55.442166461465312</v>
      </c>
      <c r="Q72" s="97">
        <f>IF(Q36=0,0,Q36/TrRoad_act!Q42*100)</f>
        <v>58.376877355604293</v>
      </c>
      <c r="R72" s="97">
        <f>IF(R36=0,0,R36/TrRoad_act!R42*100)</f>
        <v>58.951348419179986</v>
      </c>
      <c r="S72" s="97">
        <f>IF(S36=0,0,S36/TrRoad_act!S42*100)</f>
        <v>59.42762860208687</v>
      </c>
      <c r="T72" s="97">
        <f>IF(T36=0,0,T36/TrRoad_act!T42*100)</f>
        <v>57.662675287928501</v>
      </c>
      <c r="U72" s="97">
        <f>IF(U36=0,0,U36/TrRoad_act!U42*100)</f>
        <v>58.513838828895416</v>
      </c>
      <c r="V72" s="97">
        <f>IF(V36=0,0,V36/TrRoad_act!V42*100)</f>
        <v>61.173648528378642</v>
      </c>
      <c r="W72" s="97">
        <f>IF(W36=0,0,W36/TrRoad_act!W42*100)</f>
        <v>63.734588776533386</v>
      </c>
      <c r="X72" s="97">
        <f>IF(X36=0,0,X36/TrRoad_act!X42*100)</f>
        <v>56.897348321775191</v>
      </c>
      <c r="Y72" s="97">
        <f>IF(Y36=0,0,Y36/TrRoad_act!Y42*100)</f>
        <v>57.93571725029544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X74" s="97">
        <f>IF(X39=0,0,X39/TrRoad_act!X44*100)</f>
        <v>0</v>
      </c>
      <c r="Y74" s="97">
        <f>IF(Y39=0,0,Y39/TrRoad_act!Y44*100)</f>
        <v>0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33.097838630103993</v>
      </c>
      <c r="K75" s="97">
        <f>IF(K41=0,0,K41/TrRoad_act!K45*100)</f>
        <v>33.097838630104</v>
      </c>
      <c r="L75" s="97">
        <f>IF(L41=0,0,L41/TrRoad_act!L45*100)</f>
        <v>33.097838630103993</v>
      </c>
      <c r="M75" s="97">
        <f>IF(M41=0,0,M41/TrRoad_act!M45*100)</f>
        <v>33.097838630103986</v>
      </c>
      <c r="N75" s="97">
        <f>IF(N41=0,0,N41/TrRoad_act!N45*100)</f>
        <v>33.097838630103993</v>
      </c>
      <c r="O75" s="97">
        <f>IF(O41=0,0,O41/TrRoad_act!O45*100)</f>
        <v>33.097838630104</v>
      </c>
      <c r="P75" s="97">
        <f>IF(P41=0,0,P41/TrRoad_act!P45*100)</f>
        <v>33.097838630103993</v>
      </c>
      <c r="Q75" s="97">
        <f>IF(Q41=0,0,Q41/TrRoad_act!Q45*100)</f>
        <v>33.097838630103993</v>
      </c>
      <c r="R75" s="97">
        <f>IF(R41=0,0,R41/TrRoad_act!R45*100)</f>
        <v>33.097838630103993</v>
      </c>
      <c r="S75" s="97">
        <f>IF(S41=0,0,S41/TrRoad_act!S45*100)</f>
        <v>33.097838630103993</v>
      </c>
      <c r="T75" s="97">
        <f>IF(T41=0,0,T41/TrRoad_act!T45*100)</f>
        <v>33.097838630103993</v>
      </c>
      <c r="U75" s="97">
        <f>IF(U41=0,0,U41/TrRoad_act!U45*100)</f>
        <v>33.097838630104</v>
      </c>
      <c r="V75" s="97">
        <f>IF(V41=0,0,V41/TrRoad_act!V45*100)</f>
        <v>36.483763278686446</v>
      </c>
      <c r="W75" s="97">
        <f>IF(W41=0,0,W41/TrRoad_act!W45*100)</f>
        <v>36.483763278686446</v>
      </c>
      <c r="X75" s="97">
        <f>IF(X41=0,0,X41/TrRoad_act!X45*100)</f>
        <v>36.483763278686446</v>
      </c>
      <c r="Y75" s="97">
        <f>IF(Y41=0,0,Y41/TrRoad_act!Y45*100)</f>
        <v>34.694096690891982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14.230806256632068</v>
      </c>
      <c r="C76" s="32">
        <f>IF(C42=0,0,C42/TrRoad_act!C46*100)</f>
        <v>13.994224527118767</v>
      </c>
      <c r="D76" s="32">
        <f>IF(D42=0,0,D42/TrRoad_act!D46*100)</f>
        <v>12.993535281794113</v>
      </c>
      <c r="E76" s="32">
        <f>IF(E42=0,0,E42/TrRoad_act!E46*100)</f>
        <v>13.0328155107513</v>
      </c>
      <c r="F76" s="32">
        <f>IF(F42=0,0,F42/TrRoad_act!F46*100)</f>
        <v>13.835953518571708</v>
      </c>
      <c r="G76" s="32">
        <f>IF(G42=0,0,G42/TrRoad_act!G46*100)</f>
        <v>12.922244999230504</v>
      </c>
      <c r="H76" s="32">
        <f>IF(H42=0,0,H42/TrRoad_act!H46*100)</f>
        <v>12.581877011714448</v>
      </c>
      <c r="I76" s="32">
        <f>IF(I42=0,0,I42/TrRoad_act!I46*100)</f>
        <v>13.017140599688092</v>
      </c>
      <c r="J76" s="32">
        <f>IF(J42=0,0,J42/TrRoad_act!J46*100)</f>
        <v>12.489692456165722</v>
      </c>
      <c r="K76" s="32">
        <f>IF(K42=0,0,K42/TrRoad_act!K46*100)</f>
        <v>12.741922256677654</v>
      </c>
      <c r="L76" s="32">
        <f>IF(L42=0,0,L42/TrRoad_act!L46*100)</f>
        <v>12.960186161851302</v>
      </c>
      <c r="M76" s="32">
        <f>IF(M42=0,0,M42/TrRoad_act!M46*100)</f>
        <v>12.132070536914059</v>
      </c>
      <c r="N76" s="32">
        <f>IF(N42=0,0,N42/TrRoad_act!N46*100)</f>
        <v>10.463804477525036</v>
      </c>
      <c r="O76" s="32">
        <f>IF(O42=0,0,O42/TrRoad_act!O46*100)</f>
        <v>9.1118741180427278</v>
      </c>
      <c r="P76" s="32">
        <f>IF(P42=0,0,P42/TrRoad_act!P46*100)</f>
        <v>8.7313309244784492</v>
      </c>
      <c r="Q76" s="32">
        <f>IF(Q42=0,0,Q42/TrRoad_act!Q46*100)</f>
        <v>9.069537055608162</v>
      </c>
      <c r="R76" s="32">
        <f>IF(R42=0,0,R42/TrRoad_act!R46*100)</f>
        <v>9.3122902204182179</v>
      </c>
      <c r="S76" s="32">
        <f>IF(S42=0,0,S42/TrRoad_act!S46*100)</f>
        <v>9.3799328130140225</v>
      </c>
      <c r="T76" s="32">
        <f>IF(T42=0,0,T42/TrRoad_act!T46*100)</f>
        <v>9.0381403357369425</v>
      </c>
      <c r="U76" s="32">
        <f>IF(U42=0,0,U42/TrRoad_act!U46*100)</f>
        <v>9.0663594030343955</v>
      </c>
      <c r="V76" s="32">
        <f>IF(V42=0,0,V42/TrRoad_act!V46*100)</f>
        <v>9.1788962774229645</v>
      </c>
      <c r="W76" s="32">
        <f>IF(W42=0,0,W42/TrRoad_act!W46*100)</f>
        <v>9.696346093470126</v>
      </c>
      <c r="X76" s="32">
        <f>IF(X42=0,0,X42/TrRoad_act!X46*100)</f>
        <v>9.0695068445031808</v>
      </c>
      <c r="Y76" s="32">
        <f>IF(Y42=0,0,Y42/TrRoad_act!Y46*100)</f>
        <v>9.4287470590122329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12.397390457225368</v>
      </c>
      <c r="C77" s="141">
        <f>IF(C43=0,0,C43/TrRoad_act!C47*100)</f>
        <v>12.169192845643671</v>
      </c>
      <c r="D77" s="141">
        <f>IF(D43=0,0,D43/TrRoad_act!D47*100)</f>
        <v>11.322950079271763</v>
      </c>
      <c r="E77" s="141">
        <f>IF(E43=0,0,E43/TrRoad_act!E47*100)</f>
        <v>11.235069466758008</v>
      </c>
      <c r="F77" s="141">
        <f>IF(F43=0,0,F43/TrRoad_act!F47*100)</f>
        <v>12.107619918737972</v>
      </c>
      <c r="G77" s="141">
        <f>IF(G43=0,0,G43/TrRoad_act!G47*100)</f>
        <v>10.987784263354936</v>
      </c>
      <c r="H77" s="141">
        <f>IF(H43=0,0,H43/TrRoad_act!H47*100)</f>
        <v>10.849228812794291</v>
      </c>
      <c r="I77" s="141">
        <f>IF(I43=0,0,I43/TrRoad_act!I47*100)</f>
        <v>11.133474234044574</v>
      </c>
      <c r="J77" s="141">
        <f>IF(J43=0,0,J43/TrRoad_act!J47*100)</f>
        <v>10.569565840071782</v>
      </c>
      <c r="K77" s="141">
        <f>IF(K43=0,0,K43/TrRoad_act!K47*100)</f>
        <v>11.049141220527982</v>
      </c>
      <c r="L77" s="141">
        <f>IF(L43=0,0,L43/TrRoad_act!L47*100)</f>
        <v>11.038783165911733</v>
      </c>
      <c r="M77" s="141">
        <f>IF(M43=0,0,M43/TrRoad_act!M47*100)</f>
        <v>10.501459406188431</v>
      </c>
      <c r="N77" s="141">
        <f>IF(N43=0,0,N43/TrRoad_act!N47*100)</f>
        <v>9.094045589002997</v>
      </c>
      <c r="O77" s="141">
        <f>IF(O43=0,0,O43/TrRoad_act!O47*100)</f>
        <v>8.1272122051015927</v>
      </c>
      <c r="P77" s="141">
        <f>IF(P43=0,0,P43/TrRoad_act!P47*100)</f>
        <v>7.8340223796297686</v>
      </c>
      <c r="Q77" s="141">
        <f>IF(Q43=0,0,Q43/TrRoad_act!Q47*100)</f>
        <v>8.1357545142052441</v>
      </c>
      <c r="R77" s="141">
        <f>IF(R43=0,0,R43/TrRoad_act!R47*100)</f>
        <v>8.1383698919180461</v>
      </c>
      <c r="S77" s="141">
        <f>IF(S43=0,0,S43/TrRoad_act!S47*100)</f>
        <v>8.079707090466254</v>
      </c>
      <c r="T77" s="141">
        <f>IF(T43=0,0,T43/TrRoad_act!T47*100)</f>
        <v>7.7485625862804515</v>
      </c>
      <c r="U77" s="141">
        <f>IF(U43=0,0,U43/TrRoad_act!U47*100)</f>
        <v>7.6842042735329947</v>
      </c>
      <c r="V77" s="141">
        <f>IF(V43=0,0,V43/TrRoad_act!V47*100)</f>
        <v>8.0811239604711389</v>
      </c>
      <c r="W77" s="141">
        <f>IF(W43=0,0,W43/TrRoad_act!W47*100)</f>
        <v>8.5180317775022818</v>
      </c>
      <c r="X77" s="141">
        <f>IF(X43=0,0,X43/TrRoad_act!X47*100)</f>
        <v>7.5808548461262673</v>
      </c>
      <c r="Y77" s="141">
        <f>IF(Y43=0,0,Y43/TrRoad_act!Y47*100)</f>
        <v>7.8943437968918717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7.7981103991623337</v>
      </c>
      <c r="C78" s="96">
        <f>IF(C44=0,0,C44/TrRoad_act!C48*100)</f>
        <v>8.0432980423101679</v>
      </c>
      <c r="D78" s="96">
        <f>IF(D44=0,0,D44/TrRoad_act!D48*100)</f>
        <v>8.1800229660427277</v>
      </c>
      <c r="E78" s="96">
        <f>IF(E44=0,0,E44/TrRoad_act!E48*100)</f>
        <v>8.5921165978542025</v>
      </c>
      <c r="F78" s="96">
        <f>IF(F44=0,0,F44/TrRoad_act!F48*100)</f>
        <v>8.7047434942404447</v>
      </c>
      <c r="G78" s="96">
        <f>IF(G44=0,0,G44/TrRoad_act!G48*100)</f>
        <v>8.7585513053314799</v>
      </c>
      <c r="H78" s="96">
        <f>IF(H44=0,0,H44/TrRoad_act!H48*100)</f>
        <v>8.855608129222265</v>
      </c>
      <c r="I78" s="96">
        <f>IF(I44=0,0,I44/TrRoad_act!I48*100)</f>
        <v>8.7260287623832617</v>
      </c>
      <c r="J78" s="96">
        <f>IF(J44=0,0,J44/TrRoad_act!J48*100)</f>
        <v>8.601390495899123</v>
      </c>
      <c r="K78" s="96">
        <f>IF(K44=0,0,K44/TrRoad_act!K48*100)</f>
        <v>8.6115732594941239</v>
      </c>
      <c r="L78" s="96">
        <f>IF(L44=0,0,L44/TrRoad_act!L48*100)</f>
        <v>8.6027690966709756</v>
      </c>
      <c r="M78" s="96">
        <f>IF(M44=0,0,M44/TrRoad_act!M48*100)</f>
        <v>8.4619978896554908</v>
      </c>
      <c r="N78" s="96">
        <f>IF(N44=0,0,N44/TrRoad_act!N48*100)</f>
        <v>8.2824312495151506</v>
      </c>
      <c r="O78" s="96">
        <f>IF(O44=0,0,O44/TrRoad_act!O48*100)</f>
        <v>7.8526822651979247</v>
      </c>
      <c r="P78" s="96">
        <f>IF(P44=0,0,P44/TrRoad_act!P48*100)</f>
        <v>8.2376109794689008</v>
      </c>
      <c r="Q78" s="96">
        <f>IF(Q44=0,0,Q44/TrRoad_act!Q48*100)</f>
        <v>8.3298729206408613</v>
      </c>
      <c r="R78" s="96">
        <f>IF(R44=0,0,R44/TrRoad_act!R48*100)</f>
        <v>7.6237037327200667</v>
      </c>
      <c r="S78" s="96">
        <f>IF(S44=0,0,S44/TrRoad_act!S48*100)</f>
        <v>7.6725730282230673</v>
      </c>
      <c r="T78" s="96">
        <f>IF(T44=0,0,T44/TrRoad_act!T48*100)</f>
        <v>7.3912841191371523</v>
      </c>
      <c r="U78" s="96">
        <f>IF(U44=0,0,U44/TrRoad_act!U48*100)</f>
        <v>7.4126360356861518</v>
      </c>
      <c r="V78" s="96">
        <f>IF(V44=0,0,V44/TrRoad_act!V48*100)</f>
        <v>6.9025617239265289</v>
      </c>
      <c r="W78" s="96">
        <f>IF(W44=0,0,W44/TrRoad_act!W48*100)</f>
        <v>7.2392241683138643</v>
      </c>
      <c r="X78" s="96">
        <f>IF(X44=0,0,X44/TrRoad_act!X48*100)</f>
        <v>6.9950360265655318</v>
      </c>
      <c r="Y78" s="96">
        <f>IF(Y44=0,0,Y44/TrRoad_act!Y48*100)</f>
        <v>7.0278070855315065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12.720500814728245</v>
      </c>
      <c r="C79" s="96">
        <f>IF(C46=0,0,C46/TrRoad_act!C49*100)</f>
        <v>12.463827201314094</v>
      </c>
      <c r="D79" s="96">
        <f>IF(D46=0,0,D46/TrRoad_act!D49*100)</f>
        <v>11.53093985989511</v>
      </c>
      <c r="E79" s="96">
        <f>IF(E46=0,0,E46/TrRoad_act!E49*100)</f>
        <v>11.42379982412093</v>
      </c>
      <c r="F79" s="96">
        <f>IF(F46=0,0,F46/TrRoad_act!F49*100)</f>
        <v>12.324699998729164</v>
      </c>
      <c r="G79" s="96">
        <f>IF(G46=0,0,G46/TrRoad_act!G49*100)</f>
        <v>11.090940792385789</v>
      </c>
      <c r="H79" s="96">
        <f>IF(H46=0,0,H46/TrRoad_act!H49*100)</f>
        <v>10.941477369554399</v>
      </c>
      <c r="I79" s="96">
        <f>IF(I46=0,0,I46/TrRoad_act!I49*100)</f>
        <v>11.23611798500751</v>
      </c>
      <c r="J79" s="96">
        <f>IF(J46=0,0,J46/TrRoad_act!J49*100)</f>
        <v>10.657385745623813</v>
      </c>
      <c r="K79" s="96">
        <f>IF(K46=0,0,K46/TrRoad_act!K49*100)</f>
        <v>11.157510062251525</v>
      </c>
      <c r="L79" s="96">
        <f>IF(L46=0,0,L46/TrRoad_act!L49*100)</f>
        <v>11.142267055654839</v>
      </c>
      <c r="M79" s="96">
        <f>IF(M46=0,0,M46/TrRoad_act!M49*100)</f>
        <v>10.58654680359037</v>
      </c>
      <c r="N79" s="96">
        <f>IF(N46=0,0,N46/TrRoad_act!N49*100)</f>
        <v>9.127784985309658</v>
      </c>
      <c r="O79" s="96">
        <f>IF(O46=0,0,O46/TrRoad_act!O49*100)</f>
        <v>8.138816259359686</v>
      </c>
      <c r="P79" s="96">
        <f>IF(P46=0,0,P46/TrRoad_act!P49*100)</f>
        <v>7.8177512587673785</v>
      </c>
      <c r="Q79" s="96">
        <f>IF(Q46=0,0,Q46/TrRoad_act!Q49*100)</f>
        <v>8.128073239793876</v>
      </c>
      <c r="R79" s="96">
        <f>IF(R46=0,0,R46/TrRoad_act!R49*100)</f>
        <v>8.1590063140096447</v>
      </c>
      <c r="S79" s="96">
        <f>IF(S46=0,0,S46/TrRoad_act!S49*100)</f>
        <v>8.0955100111818812</v>
      </c>
      <c r="T79" s="96">
        <f>IF(T46=0,0,T46/TrRoad_act!T49*100)</f>
        <v>7.7620500722079653</v>
      </c>
      <c r="U79" s="96">
        <f>IF(U46=0,0,U46/TrRoad_act!U49*100)</f>
        <v>7.6947132603661084</v>
      </c>
      <c r="V79" s="96">
        <f>IF(V46=0,0,V46/TrRoad_act!V49*100)</f>
        <v>8.1270075018545285</v>
      </c>
      <c r="W79" s="96">
        <f>IF(W46=0,0,W46/TrRoad_act!W49*100)</f>
        <v>8.569055103364235</v>
      </c>
      <c r="X79" s="96">
        <f>IF(X46=0,0,X46/TrRoad_act!X49*100)</f>
        <v>7.6084374377146506</v>
      </c>
      <c r="Y79" s="96">
        <f>IF(Y46=0,0,Y46/TrRoad_act!Y49*100)</f>
        <v>7.9398582406291762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1.6304400018816219</v>
      </c>
      <c r="J82" s="96">
        <f>IF(J51=0,0,J51/TrRoad_act!J52*100)</f>
        <v>1.6312300497394787</v>
      </c>
      <c r="K82" s="96">
        <f>IF(K51=0,0,K51/TrRoad_act!K52*100)</f>
        <v>1.6312300497394787</v>
      </c>
      <c r="L82" s="96">
        <f>IF(L51=0,0,L51/TrRoad_act!L52*100)</f>
        <v>1.6384877659394503</v>
      </c>
      <c r="M82" s="96">
        <f>IF(M51=0,0,M51/TrRoad_act!M52*100)</f>
        <v>1.6415436064667592</v>
      </c>
      <c r="N82" s="96">
        <f>IF(N51=0,0,N51/TrRoad_act!N52*100)</f>
        <v>1.641543606466759</v>
      </c>
      <c r="O82" s="96">
        <f>IF(O51=0,0,O51/TrRoad_act!O52*100)</f>
        <v>1.641543606466759</v>
      </c>
      <c r="P82" s="96">
        <f>IF(P51=0,0,P51/TrRoad_act!P52*100)</f>
        <v>1.6435887354803267</v>
      </c>
      <c r="Q82" s="96">
        <f>IF(Q51=0,0,Q51/TrRoad_act!Q52*100)</f>
        <v>1.6435887354803274</v>
      </c>
      <c r="R82" s="96">
        <f>IF(R51=0,0,R51/TrRoad_act!R52*100)</f>
        <v>1.6435887354803274</v>
      </c>
      <c r="S82" s="96">
        <f>IF(S51=0,0,S51/TrRoad_act!S52*100)</f>
        <v>1.6435887354803269</v>
      </c>
      <c r="T82" s="96">
        <f>IF(T51=0,0,T51/TrRoad_act!T52*100)</f>
        <v>1.6465573206867379</v>
      </c>
      <c r="U82" s="96">
        <f>IF(U51=0,0,U51/TrRoad_act!U52*100)</f>
        <v>2.0503135513975241</v>
      </c>
      <c r="V82" s="96">
        <f>IF(V51=0,0,V51/TrRoad_act!V52*100)</f>
        <v>2.1687545375534905</v>
      </c>
      <c r="W82" s="96">
        <f>IF(W51=0,0,W51/TrRoad_act!W52*100)</f>
        <v>2.1809516382362428</v>
      </c>
      <c r="X82" s="96">
        <f>IF(X51=0,0,X51/TrRoad_act!X52*100)</f>
        <v>2.2657615844499208</v>
      </c>
      <c r="Y82" s="96">
        <f>IF(Y51=0,0,Y51/TrRoad_act!Y52*100)</f>
        <v>2.373980474499505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32.008368165571895</v>
      </c>
      <c r="C83" s="130">
        <f>IF(C52=0,0,C52/TrRoad_act!C53*100)</f>
        <v>31.911877468683787</v>
      </c>
      <c r="D83" s="130">
        <f>IF(D52=0,0,D52/TrRoad_act!D53*100)</f>
        <v>30.129771594312459</v>
      </c>
      <c r="E83" s="130">
        <f>IF(E52=0,0,E52/TrRoad_act!E53*100)</f>
        <v>30.340279616806537</v>
      </c>
      <c r="F83" s="130">
        <f>IF(F52=0,0,F52/TrRoad_act!F53*100)</f>
        <v>32.592781251437636</v>
      </c>
      <c r="G83" s="130">
        <f>IF(G52=0,0,G52/TrRoad_act!G53*100)</f>
        <v>30.351902090212484</v>
      </c>
      <c r="H83" s="130">
        <f>IF(H52=0,0,H52/TrRoad_act!H53*100)</f>
        <v>30.300735895504204</v>
      </c>
      <c r="I83" s="130">
        <f>IF(I52=0,0,I52/TrRoad_act!I53*100)</f>
        <v>31.297146669255543</v>
      </c>
      <c r="J83" s="130">
        <f>IF(J52=0,0,J52/TrRoad_act!J53*100)</f>
        <v>30.551201333895118</v>
      </c>
      <c r="K83" s="130">
        <f>IF(K52=0,0,K52/TrRoad_act!K53*100)</f>
        <v>32.339664612481862</v>
      </c>
      <c r="L83" s="130">
        <f>IF(L52=0,0,L52/TrRoad_act!L53*100)</f>
        <v>32.950374711525271</v>
      </c>
      <c r="M83" s="130">
        <f>IF(M52=0,0,M52/TrRoad_act!M53*100)</f>
        <v>31.990964919159666</v>
      </c>
      <c r="N83" s="130">
        <f>IF(N52=0,0,N52/TrRoad_act!N53*100)</f>
        <v>28.782935679220401</v>
      </c>
      <c r="O83" s="130">
        <f>IF(O52=0,0,O52/TrRoad_act!O53*100)</f>
        <v>26.591680355290627</v>
      </c>
      <c r="P83" s="130">
        <f>IF(P52=0,0,P52/TrRoad_act!P53*100)</f>
        <v>26.122680607816072</v>
      </c>
      <c r="Q83" s="130">
        <f>IF(Q52=0,0,Q52/TrRoad_act!Q53*100)</f>
        <v>27.214220077580929</v>
      </c>
      <c r="R83" s="130">
        <f>IF(R52=0,0,R52/TrRoad_act!R53*100)</f>
        <v>27.333490108074926</v>
      </c>
      <c r="S83" s="130">
        <f>IF(S52=0,0,S52/TrRoad_act!S53*100)</f>
        <v>27.431098553249861</v>
      </c>
      <c r="T83" s="130">
        <f>IF(T52=0,0,T52/TrRoad_act!T53*100)</f>
        <v>26.635353639815403</v>
      </c>
      <c r="U83" s="130">
        <f>IF(U52=0,0,U52/TrRoad_act!U53*100)</f>
        <v>27.165195309121099</v>
      </c>
      <c r="V83" s="130">
        <f>IF(V52=0,0,V52/TrRoad_act!V53*100)</f>
        <v>28.308060605224711</v>
      </c>
      <c r="W83" s="130">
        <f>IF(W52=0,0,W52/TrRoad_act!W53*100)</f>
        <v>29.934209709691949</v>
      </c>
      <c r="X83" s="130">
        <f>IF(X52=0,0,X52/TrRoad_act!X53*100)</f>
        <v>26.896047207396638</v>
      </c>
      <c r="Y83" s="130">
        <f>IF(Y52=0,0,Y52/TrRoad_act!Y53*100)</f>
        <v>27.748590193612337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32.008368165571895</v>
      </c>
      <c r="C84" s="97">
        <f>IF(C53=0,0,C53/TrRoad_act!C54*100)</f>
        <v>31.911877468683787</v>
      </c>
      <c r="D84" s="97">
        <f>IF(D53=0,0,D53/TrRoad_act!D54*100)</f>
        <v>30.129771594312459</v>
      </c>
      <c r="E84" s="97">
        <f>IF(E53=0,0,E53/TrRoad_act!E54*100)</f>
        <v>30.340279616806537</v>
      </c>
      <c r="F84" s="97">
        <f>IF(F53=0,0,F53/TrRoad_act!F54*100)</f>
        <v>32.592781251437636</v>
      </c>
      <c r="G84" s="97">
        <f>IF(G53=0,0,G53/TrRoad_act!G54*100)</f>
        <v>30.351902090212484</v>
      </c>
      <c r="H84" s="97">
        <f>IF(H53=0,0,H53/TrRoad_act!H54*100)</f>
        <v>30.300735895504204</v>
      </c>
      <c r="I84" s="97">
        <f>IF(I53=0,0,I53/TrRoad_act!I54*100)</f>
        <v>31.297146669255543</v>
      </c>
      <c r="J84" s="97">
        <f>IF(J53=0,0,J53/TrRoad_act!J54*100)</f>
        <v>30.551201333895118</v>
      </c>
      <c r="K84" s="97">
        <f>IF(K53=0,0,K53/TrRoad_act!K54*100)</f>
        <v>32.339664612481862</v>
      </c>
      <c r="L84" s="97">
        <f>IF(L53=0,0,L53/TrRoad_act!L54*100)</f>
        <v>32.950374711525271</v>
      </c>
      <c r="M84" s="97">
        <f>IF(M53=0,0,M53/TrRoad_act!M54*100)</f>
        <v>31.990964919159666</v>
      </c>
      <c r="N84" s="97">
        <f>IF(N53=0,0,N53/TrRoad_act!N54*100)</f>
        <v>28.782935679220401</v>
      </c>
      <c r="O84" s="97">
        <f>IF(O53=0,0,O53/TrRoad_act!O54*100)</f>
        <v>26.591680355290627</v>
      </c>
      <c r="P84" s="97">
        <f>IF(P53=0,0,P53/TrRoad_act!P54*100)</f>
        <v>26.122680607816072</v>
      </c>
      <c r="Q84" s="97">
        <f>IF(Q53=0,0,Q53/TrRoad_act!Q54*100)</f>
        <v>27.214220077580929</v>
      </c>
      <c r="R84" s="97">
        <f>IF(R53=0,0,R53/TrRoad_act!R54*100)</f>
        <v>27.333490108074926</v>
      </c>
      <c r="S84" s="97">
        <f>IF(S53=0,0,S53/TrRoad_act!S54*100)</f>
        <v>27.431098553249861</v>
      </c>
      <c r="T84" s="97">
        <f>IF(T53=0,0,T53/TrRoad_act!T54*100)</f>
        <v>26.635353639815403</v>
      </c>
      <c r="U84" s="97">
        <f>IF(U53=0,0,U53/TrRoad_act!U54*100)</f>
        <v>27.165195309121099</v>
      </c>
      <c r="V84" s="97">
        <f>IF(V53=0,0,V53/TrRoad_act!V54*100)</f>
        <v>28.308060605224711</v>
      </c>
      <c r="W84" s="97">
        <f>IF(W53=0,0,W53/TrRoad_act!W54*100)</f>
        <v>29.934209709691949</v>
      </c>
      <c r="X84" s="97">
        <f>IF(X53=0,0,X53/TrRoad_act!X54*100)</f>
        <v>26.896047207396638</v>
      </c>
      <c r="Y84" s="97">
        <f>IF(Y53=0,0,Y53/TrRoad_act!Y54*100)</f>
        <v>27.748590193612337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0</v>
      </c>
      <c r="C85" s="98">
        <f>IF(C55=0,0,C55/TrRoad_act!C55*100)</f>
        <v>0</v>
      </c>
      <c r="D85" s="98">
        <f>IF(D55=0,0,D55/TrRoad_act!D55*100)</f>
        <v>0</v>
      </c>
      <c r="E85" s="98">
        <f>IF(E55=0,0,E55/TrRoad_act!E55*100)</f>
        <v>0</v>
      </c>
      <c r="F85" s="98">
        <f>IF(F55=0,0,F55/TrRoad_act!F55*100)</f>
        <v>0</v>
      </c>
      <c r="G85" s="98">
        <f>IF(G55=0,0,G55/TrRoad_act!G55*100)</f>
        <v>0</v>
      </c>
      <c r="H85" s="98">
        <f>IF(H55=0,0,H55/TrRoad_act!H55*100)</f>
        <v>0</v>
      </c>
      <c r="I85" s="98">
        <f>IF(I55=0,0,I55/TrRoad_act!I55*100)</f>
        <v>0</v>
      </c>
      <c r="J85" s="98">
        <f>IF(J55=0,0,J55/TrRoad_act!J55*100)</f>
        <v>0</v>
      </c>
      <c r="K85" s="98">
        <f>IF(K55=0,0,K55/TrRoad_act!K55*100)</f>
        <v>0</v>
      </c>
      <c r="L85" s="98">
        <f>IF(L55=0,0,L55/TrRoad_act!L55*100)</f>
        <v>0</v>
      </c>
      <c r="M85" s="98">
        <f>IF(M55=0,0,M55/TrRoad_act!M55*100)</f>
        <v>0</v>
      </c>
      <c r="N85" s="98">
        <f>IF(N55=0,0,N55/TrRoad_act!N55*100)</f>
        <v>0</v>
      </c>
      <c r="O85" s="98">
        <f>IF(O55=0,0,O55/TrRoad_act!O55*100)</f>
        <v>0</v>
      </c>
      <c r="P85" s="98">
        <f>IF(P55=0,0,P55/TrRoad_act!P55*100)</f>
        <v>0</v>
      </c>
      <c r="Q85" s="98">
        <f>IF(Q55=0,0,Q55/TrRoad_act!Q55*100)</f>
        <v>0</v>
      </c>
      <c r="R85" s="98">
        <f>IF(R55=0,0,R55/TrRoad_act!R55*100)</f>
        <v>0</v>
      </c>
      <c r="S85" s="98">
        <f>IF(S55=0,0,S55/TrRoad_act!S55*100)</f>
        <v>0</v>
      </c>
      <c r="T85" s="98">
        <f>IF(T55=0,0,T55/TrRoad_act!T55*100)</f>
        <v>0</v>
      </c>
      <c r="U85" s="98">
        <f>IF(U55=0,0,U55/TrRoad_act!U55*100)</f>
        <v>0</v>
      </c>
      <c r="V85" s="98">
        <f>IF(V55=0,0,V55/TrRoad_act!V55*100)</f>
        <v>0</v>
      </c>
      <c r="W85" s="98">
        <f>IF(W55=0,0,W55/TrRoad_act!W55*100)</f>
        <v>0</v>
      </c>
      <c r="X85" s="98">
        <f>IF(X55=0,0,X55/TrRoad_act!X55*100)</f>
        <v>0</v>
      </c>
      <c r="Y85" s="98">
        <f>IF(Y55=0,0,Y55/TrRoad_act!Y55*100)</f>
        <v>0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68.12359238949044</v>
      </c>
      <c r="C88" s="29">
        <f>IF(TrRoad_act!C4=0,0,C18/TrRoad_act!C4*1000)</f>
        <v>69.70684677685702</v>
      </c>
      <c r="D88" s="29">
        <f>IF(TrRoad_act!D4=0,0,D18/TrRoad_act!D4*1000)</f>
        <v>68.662561389413071</v>
      </c>
      <c r="E88" s="29">
        <f>IF(TrRoad_act!E4=0,0,E18/TrRoad_act!E4*1000)</f>
        <v>72.526095532384559</v>
      </c>
      <c r="F88" s="29">
        <f>IF(TrRoad_act!F4=0,0,F18/TrRoad_act!F4*1000)</f>
        <v>74.472754076885167</v>
      </c>
      <c r="G88" s="29">
        <f>IF(TrRoad_act!G4=0,0,G18/TrRoad_act!G4*1000)</f>
        <v>73.766559727516736</v>
      </c>
      <c r="H88" s="29">
        <f>IF(TrRoad_act!H4=0,0,H18/TrRoad_act!H4*1000)</f>
        <v>74.544206560793597</v>
      </c>
      <c r="I88" s="29">
        <f>IF(TrRoad_act!I4=0,0,I18/TrRoad_act!I4*1000)</f>
        <v>76.953009132256838</v>
      </c>
      <c r="J88" s="29">
        <f>IF(TrRoad_act!J4=0,0,J18/TrRoad_act!J4*1000)</f>
        <v>74.869537433223556</v>
      </c>
      <c r="K88" s="29">
        <f>IF(TrRoad_act!K4=0,0,K18/TrRoad_act!K4*1000)</f>
        <v>75.237195412081377</v>
      </c>
      <c r="L88" s="29">
        <f>IF(TrRoad_act!L4=0,0,L18/TrRoad_act!L4*1000)</f>
        <v>77.580013535299457</v>
      </c>
      <c r="M88" s="29">
        <f>IF(TrRoad_act!M4=0,0,M18/TrRoad_act!M4*1000)</f>
        <v>75.763709964313023</v>
      </c>
      <c r="N88" s="29">
        <f>IF(TrRoad_act!N4=0,0,N18/TrRoad_act!N4*1000)</f>
        <v>70.856484617194639</v>
      </c>
      <c r="O88" s="29">
        <f>IF(TrRoad_act!O4=0,0,O18/TrRoad_act!O4*1000)</f>
        <v>66.162436692791402</v>
      </c>
      <c r="P88" s="29">
        <f>IF(TrRoad_act!P4=0,0,P18/TrRoad_act!P4*1000)</f>
        <v>63.905153450466642</v>
      </c>
      <c r="Q88" s="29">
        <f>IF(TrRoad_act!Q4=0,0,Q18/TrRoad_act!Q4*1000)</f>
        <v>64.595437807747402</v>
      </c>
      <c r="R88" s="29">
        <f>IF(TrRoad_act!R4=0,0,R18/TrRoad_act!R4*1000)</f>
        <v>64.768274892321585</v>
      </c>
      <c r="S88" s="29">
        <f>IF(TrRoad_act!S4=0,0,S18/TrRoad_act!S4*1000)</f>
        <v>65.02928826842259</v>
      </c>
      <c r="T88" s="29">
        <f>IF(TrRoad_act!T4=0,0,T18/TrRoad_act!T4*1000)</f>
        <v>62.915043553873339</v>
      </c>
      <c r="U88" s="29">
        <f>IF(TrRoad_act!U4=0,0,U18/TrRoad_act!U4*1000)</f>
        <v>62.125325747914403</v>
      </c>
      <c r="V88" s="29">
        <f>IF(TrRoad_act!V4=0,0,V18/TrRoad_act!V4*1000)</f>
        <v>67.505568488671528</v>
      </c>
      <c r="W88" s="29">
        <f>IF(TrRoad_act!W4=0,0,W18/TrRoad_act!W4*1000)</f>
        <v>67.681341197313373</v>
      </c>
      <c r="X88" s="29">
        <f>IF(TrRoad_act!X4=0,0,X18/TrRoad_act!X4*1000)</f>
        <v>61.71081005316293</v>
      </c>
      <c r="Y88" s="29">
        <f>IF(TrRoad_act!Y4=0,0,Y18/TrRoad_act!Y4*1000)</f>
        <v>60.03503232955417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39.539552130888517</v>
      </c>
      <c r="C89" s="152">
        <f>IF(TrRoad_act!C5=0,0,C19/TrRoad_act!C5*1000)</f>
        <v>39.21917528557659</v>
      </c>
      <c r="D89" s="152">
        <f>IF(TrRoad_act!D5=0,0,D19/TrRoad_act!D5*1000)</f>
        <v>39.653169129173911</v>
      </c>
      <c r="E89" s="152">
        <f>IF(TrRoad_act!E5=0,0,E19/TrRoad_act!E5*1000)</f>
        <v>39.37767900265878</v>
      </c>
      <c r="F89" s="152">
        <f>IF(TrRoad_act!F5=0,0,F19/TrRoad_act!F5*1000)</f>
        <v>39.204881195346829</v>
      </c>
      <c r="G89" s="152">
        <f>IF(TrRoad_act!G5=0,0,G19/TrRoad_act!G5*1000)</f>
        <v>38.942667464010327</v>
      </c>
      <c r="H89" s="152">
        <f>IF(TrRoad_act!H5=0,0,H19/TrRoad_act!H5*1000)</f>
        <v>38.613425139444693</v>
      </c>
      <c r="I89" s="152">
        <f>IF(TrRoad_act!I5=0,0,I19/TrRoad_act!I5*1000)</f>
        <v>38.20758549034224</v>
      </c>
      <c r="J89" s="152">
        <f>IF(TrRoad_act!J5=0,0,J19/TrRoad_act!J5*1000)</f>
        <v>37.802430730515205</v>
      </c>
      <c r="K89" s="152">
        <f>IF(TrRoad_act!K5=0,0,K19/TrRoad_act!K5*1000)</f>
        <v>37.36474661405105</v>
      </c>
      <c r="L89" s="152">
        <f>IF(TrRoad_act!L5=0,0,L19/TrRoad_act!L5*1000)</f>
        <v>36.878114897527603</v>
      </c>
      <c r="M89" s="152">
        <f>IF(TrRoad_act!M5=0,0,M19/TrRoad_act!M5*1000)</f>
        <v>36.449332716687174</v>
      </c>
      <c r="N89" s="152">
        <f>IF(TrRoad_act!N5=0,0,N19/TrRoad_act!N5*1000)</f>
        <v>36.541001710678778</v>
      </c>
      <c r="O89" s="152">
        <f>IF(TrRoad_act!O5=0,0,O19/TrRoad_act!O5*1000)</f>
        <v>36.140572913337081</v>
      </c>
      <c r="P89" s="152">
        <f>IF(TrRoad_act!P5=0,0,P19/TrRoad_act!P5*1000)</f>
        <v>35.848845985132215</v>
      </c>
      <c r="Q89" s="152">
        <f>IF(TrRoad_act!Q5=0,0,Q19/TrRoad_act!Q5*1000)</f>
        <v>35.184345488265272</v>
      </c>
      <c r="R89" s="152">
        <f>IF(TrRoad_act!R5=0,0,R19/TrRoad_act!R5*1000)</f>
        <v>34.877540491815701</v>
      </c>
      <c r="S89" s="152">
        <f>IF(TrRoad_act!S5=0,0,S19/TrRoad_act!S5*1000)</f>
        <v>34.580812033681035</v>
      </c>
      <c r="T89" s="152">
        <f>IF(TrRoad_act!T5=0,0,T19/TrRoad_act!T5*1000)</f>
        <v>34.16094940200626</v>
      </c>
      <c r="U89" s="152">
        <f>IF(TrRoad_act!U5=0,0,U19/TrRoad_act!U5*1000)</f>
        <v>33.823457765510689</v>
      </c>
      <c r="V89" s="152">
        <f>IF(TrRoad_act!V5=0,0,V19/TrRoad_act!V5*1000)</f>
        <v>33.49959467235221</v>
      </c>
      <c r="W89" s="152">
        <f>IF(TrRoad_act!W5=0,0,W19/TrRoad_act!W5*1000)</f>
        <v>33.085072448087416</v>
      </c>
      <c r="X89" s="152">
        <f>IF(TrRoad_act!X5=0,0,X19/TrRoad_act!X5*1000)</f>
        <v>32.858759834431424</v>
      </c>
      <c r="Y89" s="152">
        <f>IF(TrRoad_act!Y5=0,0,Y19/TrRoad_act!Y5*1000)</f>
        <v>32.462907980843326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65.543824466742677</v>
      </c>
      <c r="C90" s="116">
        <f>IF(TrRoad_act!C6=0,0,C21/TrRoad_act!C6*1000)</f>
        <v>67.939127193401532</v>
      </c>
      <c r="D90" s="116">
        <f>IF(TrRoad_act!D6=0,0,D21/TrRoad_act!D6*1000)</f>
        <v>67.798102983432699</v>
      </c>
      <c r="E90" s="116">
        <f>IF(TrRoad_act!E6=0,0,E21/TrRoad_act!E6*1000)</f>
        <v>72.767787322736439</v>
      </c>
      <c r="F90" s="116">
        <f>IF(TrRoad_act!F6=0,0,F21/TrRoad_act!F6*1000)</f>
        <v>73.531310731639721</v>
      </c>
      <c r="G90" s="116">
        <f>IF(TrRoad_act!G6=0,0,G21/TrRoad_act!G6*1000)</f>
        <v>74.323306125842635</v>
      </c>
      <c r="H90" s="116">
        <f>IF(TrRoad_act!H6=0,0,H21/TrRoad_act!H6*1000)</f>
        <v>75.327554171607034</v>
      </c>
      <c r="I90" s="116">
        <f>IF(TrRoad_act!I6=0,0,I21/TrRoad_act!I6*1000)</f>
        <v>77.664415268696104</v>
      </c>
      <c r="J90" s="116">
        <f>IF(TrRoad_act!J6=0,0,J21/TrRoad_act!J6*1000)</f>
        <v>75.679486150626232</v>
      </c>
      <c r="K90" s="116">
        <f>IF(TrRoad_act!K6=0,0,K21/TrRoad_act!K6*1000)</f>
        <v>75.262548337552687</v>
      </c>
      <c r="L90" s="116">
        <f>IF(TrRoad_act!L6=0,0,L21/TrRoad_act!L6*1000)</f>
        <v>78.184050424057887</v>
      </c>
      <c r="M90" s="116">
        <f>IF(TrRoad_act!M6=0,0,M21/TrRoad_act!M6*1000)</f>
        <v>76.536152154101785</v>
      </c>
      <c r="N90" s="116">
        <f>IF(TrRoad_act!N6=0,0,N21/TrRoad_act!N6*1000)</f>
        <v>72.421005301154096</v>
      </c>
      <c r="O90" s="116">
        <f>IF(TrRoad_act!O6=0,0,O21/TrRoad_act!O6*1000)</f>
        <v>67.921469285076682</v>
      </c>
      <c r="P90" s="116">
        <f>IF(TrRoad_act!P6=0,0,P21/TrRoad_act!P6*1000)</f>
        <v>65.223865828609362</v>
      </c>
      <c r="Q90" s="116">
        <f>IF(TrRoad_act!Q6=0,0,Q21/TrRoad_act!Q6*1000)</f>
        <v>65.388358527396704</v>
      </c>
      <c r="R90" s="116">
        <f>IF(TrRoad_act!R6=0,0,R21/TrRoad_act!R6*1000)</f>
        <v>65.431343789030251</v>
      </c>
      <c r="S90" s="116">
        <f>IF(TrRoad_act!S6=0,0,S21/TrRoad_act!S6*1000)</f>
        <v>65.589964721287629</v>
      </c>
      <c r="T90" s="116">
        <f>IF(TrRoad_act!T6=0,0,T21/TrRoad_act!T6*1000)</f>
        <v>63.348945561151517</v>
      </c>
      <c r="U90" s="116">
        <f>IF(TrRoad_act!U6=0,0,U21/TrRoad_act!U6*1000)</f>
        <v>62.172142528813538</v>
      </c>
      <c r="V90" s="116">
        <f>IF(TrRoad_act!V6=0,0,V21/TrRoad_act!V6*1000)</f>
        <v>64.029586119734375</v>
      </c>
      <c r="W90" s="116">
        <f>IF(TrRoad_act!W6=0,0,W21/TrRoad_act!W6*1000)</f>
        <v>63.896341340762135</v>
      </c>
      <c r="X90" s="116">
        <f>IF(TrRoad_act!X6=0,0,X21/TrRoad_act!X6*1000)</f>
        <v>60.242406538223662</v>
      </c>
      <c r="Y90" s="116">
        <f>IF(TrRoad_act!Y6=0,0,Y21/TrRoad_act!Y6*1000)</f>
        <v>59.051769852932608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63.622553600463952</v>
      </c>
      <c r="C91" s="87">
        <f>IF(TrRoad_act!C7=0,0,C22/TrRoad_act!C7*1000)</f>
        <v>66.502084589830773</v>
      </c>
      <c r="D91" s="87">
        <f>IF(TrRoad_act!D7=0,0,D22/TrRoad_act!D7*1000)</f>
        <v>67.301365819844278</v>
      </c>
      <c r="E91" s="87">
        <f>IF(TrRoad_act!E7=0,0,E22/TrRoad_act!E7*1000)</f>
        <v>72.755602621805636</v>
      </c>
      <c r="F91" s="87">
        <f>IF(TrRoad_act!F7=0,0,F22/TrRoad_act!F7*1000)</f>
        <v>72.777741852995405</v>
      </c>
      <c r="G91" s="87">
        <f>IF(TrRoad_act!G7=0,0,G22/TrRoad_act!G7*1000)</f>
        <v>74.540904527708264</v>
      </c>
      <c r="H91" s="87">
        <f>IF(TrRoad_act!H7=0,0,H22/TrRoad_act!H7*1000)</f>
        <v>75.657569270850985</v>
      </c>
      <c r="I91" s="87">
        <f>IF(TrRoad_act!I7=0,0,I22/TrRoad_act!I7*1000)</f>
        <v>77.637137884673834</v>
      </c>
      <c r="J91" s="87">
        <f>IF(TrRoad_act!J7=0,0,J22/TrRoad_act!J7*1000)</f>
        <v>75.846441355493454</v>
      </c>
      <c r="K91" s="87">
        <f>IF(TrRoad_act!K7=0,0,K22/TrRoad_act!K7*1000)</f>
        <v>74.953498335695642</v>
      </c>
      <c r="L91" s="87">
        <f>IF(TrRoad_act!L7=0,0,L22/TrRoad_act!L7*1000)</f>
        <v>77.734438370905025</v>
      </c>
      <c r="M91" s="87">
        <f>IF(TrRoad_act!M7=0,0,M22/TrRoad_act!M7*1000)</f>
        <v>76.2267448669663</v>
      </c>
      <c r="N91" s="87">
        <f>IF(TrRoad_act!N7=0,0,N22/TrRoad_act!N7*1000)</f>
        <v>72.886857739902666</v>
      </c>
      <c r="O91" s="87">
        <f>IF(TrRoad_act!O7=0,0,O22/TrRoad_act!O7*1000)</f>
        <v>68.523680643514538</v>
      </c>
      <c r="P91" s="87">
        <f>IF(TrRoad_act!P7=0,0,P22/TrRoad_act!P7*1000)</f>
        <v>65.908613224917843</v>
      </c>
      <c r="Q91" s="87">
        <f>IF(TrRoad_act!Q7=0,0,Q22/TrRoad_act!Q7*1000)</f>
        <v>65.962677197663155</v>
      </c>
      <c r="R91" s="87">
        <f>IF(TrRoad_act!R7=0,0,R22/TrRoad_act!R7*1000)</f>
        <v>65.312131804261227</v>
      </c>
      <c r="S91" s="87">
        <f>IF(TrRoad_act!S7=0,0,S22/TrRoad_act!S7*1000)</f>
        <v>65.657129476214877</v>
      </c>
      <c r="T91" s="87">
        <f>IF(TrRoad_act!T7=0,0,T22/TrRoad_act!T7*1000)</f>
        <v>63.627210628601368</v>
      </c>
      <c r="U91" s="87">
        <f>IF(TrRoad_act!U7=0,0,U22/TrRoad_act!U7*1000)</f>
        <v>62.285618240121458</v>
      </c>
      <c r="V91" s="87">
        <f>IF(TrRoad_act!V7=0,0,V22/TrRoad_act!V7*1000)</f>
        <v>62.659443546199995</v>
      </c>
      <c r="W91" s="87">
        <f>IF(TrRoad_act!W7=0,0,W22/TrRoad_act!W7*1000)</f>
        <v>62.813388251076269</v>
      </c>
      <c r="X91" s="87">
        <f>IF(TrRoad_act!X7=0,0,X22/TrRoad_act!X7*1000)</f>
        <v>60.229731969101813</v>
      </c>
      <c r="Y91" s="87">
        <f>IF(TrRoad_act!Y7=0,0,Y22/TrRoad_act!Y7*1000)</f>
        <v>58.643508557326179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74.407878622366994</v>
      </c>
      <c r="C92" s="87">
        <f>IF(TrRoad_act!C8=0,0,C24/TrRoad_act!C8*1000)</f>
        <v>74.346133646674332</v>
      </c>
      <c r="D92" s="87">
        <f>IF(TrRoad_act!D8=0,0,D24/TrRoad_act!D8*1000)</f>
        <v>70.106715220510821</v>
      </c>
      <c r="E92" s="87">
        <f>IF(TrRoad_act!E8=0,0,E24/TrRoad_act!E8*1000)</f>
        <v>72.82818442862343</v>
      </c>
      <c r="F92" s="87">
        <f>IF(TrRoad_act!F8=0,0,F24/TrRoad_act!F8*1000)</f>
        <v>77.788321102022522</v>
      </c>
      <c r="G92" s="87">
        <f>IF(TrRoad_act!G8=0,0,G24/TrRoad_act!G8*1000)</f>
        <v>72.967200058941714</v>
      </c>
      <c r="H92" s="87">
        <f>IF(TrRoad_act!H8=0,0,H24/TrRoad_act!H8*1000)</f>
        <v>73.079241838324108</v>
      </c>
      <c r="I92" s="87">
        <f>IF(TrRoad_act!I8=0,0,I24/TrRoad_act!I8*1000)</f>
        <v>77.859916615974996</v>
      </c>
      <c r="J92" s="87">
        <f>IF(TrRoad_act!J8=0,0,J24/TrRoad_act!J8*1000)</f>
        <v>74.482476571896257</v>
      </c>
      <c r="K92" s="87">
        <f>IF(TrRoad_act!K8=0,0,K24/TrRoad_act!K8*1000)</f>
        <v>77.442042430616866</v>
      </c>
      <c r="L92" s="87">
        <f>IF(TrRoad_act!L8=0,0,L24/TrRoad_act!L8*1000)</f>
        <v>81.349285137022335</v>
      </c>
      <c r="M92" s="87">
        <f>IF(TrRoad_act!M8=0,0,M24/TrRoad_act!M8*1000)</f>
        <v>78.742571087358826</v>
      </c>
      <c r="N92" s="87">
        <f>IF(TrRoad_act!N8=0,0,N24/TrRoad_act!N8*1000)</f>
        <v>68.92139891721466</v>
      </c>
      <c r="O92" s="87">
        <f>IF(TrRoad_act!O8=0,0,O24/TrRoad_act!O8*1000)</f>
        <v>63.287897740368805</v>
      </c>
      <c r="P92" s="87">
        <f>IF(TrRoad_act!P8=0,0,P24/TrRoad_act!P8*1000)</f>
        <v>60.209498581151578</v>
      </c>
      <c r="Q92" s="87">
        <f>IF(TrRoad_act!Q8=0,0,Q24/TrRoad_act!Q8*1000)</f>
        <v>61.57043783797134</v>
      </c>
      <c r="R92" s="87">
        <f>IF(TrRoad_act!R8=0,0,R24/TrRoad_act!R8*1000)</f>
        <v>66.238855114002405</v>
      </c>
      <c r="S92" s="87">
        <f>IF(TrRoad_act!S8=0,0,S24/TrRoad_act!S8*1000)</f>
        <v>65.314116741669864</v>
      </c>
      <c r="T92" s="87">
        <f>IF(TrRoad_act!T8=0,0,T24/TrRoad_act!T8*1000)</f>
        <v>62.354278740380693</v>
      </c>
      <c r="U92" s="87">
        <f>IF(TrRoad_act!U8=0,0,U24/TrRoad_act!U8*1000)</f>
        <v>61.931809650165007</v>
      </c>
      <c r="V92" s="87">
        <f>IF(TrRoad_act!V8=0,0,V24/TrRoad_act!V8*1000)</f>
        <v>69.024608236026637</v>
      </c>
      <c r="W92" s="87">
        <f>IF(TrRoad_act!W8=0,0,W24/TrRoad_act!W8*1000)</f>
        <v>67.815750485388591</v>
      </c>
      <c r="X92" s="87">
        <f>IF(TrRoad_act!X8=0,0,X24/TrRoad_act!X8*1000)</f>
        <v>60.592829084243647</v>
      </c>
      <c r="Y92" s="87">
        <f>IF(TrRoad_act!Y8=0,0,Y24/TrRoad_act!Y8*1000)</f>
        <v>61.157014513337451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0</v>
      </c>
      <c r="E93" s="87">
        <f>IF(TrRoad_act!E9=0,0,E26/TrRoad_act!E9*1000)</f>
        <v>0</v>
      </c>
      <c r="F93" s="87">
        <f>IF(TrRoad_act!F9=0,0,F26/TrRoad_act!F9*1000)</f>
        <v>0</v>
      </c>
      <c r="G93" s="87">
        <f>IF(TrRoad_act!G9=0,0,G26/TrRoad_act!G9*1000)</f>
        <v>0</v>
      </c>
      <c r="H93" s="87">
        <f>IF(TrRoad_act!H9=0,0,H26/TrRoad_act!H9*1000)</f>
        <v>0</v>
      </c>
      <c r="I93" s="87">
        <f>IF(TrRoad_act!I9=0,0,I26/TrRoad_act!I9*1000)</f>
        <v>0</v>
      </c>
      <c r="J93" s="87">
        <f>IF(TrRoad_act!J9=0,0,J26/TrRoad_act!J9*1000)</f>
        <v>0</v>
      </c>
      <c r="K93" s="87">
        <f>IF(TrRoad_act!K9=0,0,K26/TrRoad_act!K9*1000)</f>
        <v>0</v>
      </c>
      <c r="L93" s="87">
        <f>IF(TrRoad_act!L9=0,0,L26/TrRoad_act!L9*1000)</f>
        <v>0</v>
      </c>
      <c r="M93" s="87">
        <f>IF(TrRoad_act!M9=0,0,M26/TrRoad_act!M9*1000)</f>
        <v>0</v>
      </c>
      <c r="N93" s="87">
        <f>IF(TrRoad_act!N9=0,0,N26/TrRoad_act!N9*1000)</f>
        <v>0</v>
      </c>
      <c r="O93" s="87">
        <f>IF(TrRoad_act!O9=0,0,O26/TrRoad_act!O9*1000)</f>
        <v>0</v>
      </c>
      <c r="P93" s="87">
        <f>IF(TrRoad_act!P9=0,0,P26/TrRoad_act!P9*1000)</f>
        <v>0</v>
      </c>
      <c r="Q93" s="87">
        <f>IF(TrRoad_act!Q9=0,0,Q26/TrRoad_act!Q9*1000)</f>
        <v>0</v>
      </c>
      <c r="R93" s="87">
        <f>IF(TrRoad_act!R9=0,0,R26/TrRoad_act!R9*1000)</f>
        <v>0</v>
      </c>
      <c r="S93" s="87">
        <f>IF(TrRoad_act!S9=0,0,S26/TrRoad_act!S9*1000)</f>
        <v>0</v>
      </c>
      <c r="T93" s="87">
        <f>IF(TrRoad_act!T9=0,0,T26/TrRoad_act!T9*1000)</f>
        <v>45.243305270892868</v>
      </c>
      <c r="U93" s="87">
        <f>IF(TrRoad_act!U9=0,0,U26/TrRoad_act!U9*1000)</f>
        <v>50.366532466498363</v>
      </c>
      <c r="V93" s="87">
        <f>IF(TrRoad_act!V9=0,0,V26/TrRoad_act!V9*1000)</f>
        <v>52.451539866022074</v>
      </c>
      <c r="W93" s="87">
        <f>IF(TrRoad_act!W9=0,0,W26/TrRoad_act!W9*1000)</f>
        <v>56.32946795306492</v>
      </c>
      <c r="X93" s="87">
        <f>IF(TrRoad_act!X9=0,0,X26/TrRoad_act!X9*1000)</f>
        <v>58.40851442355121</v>
      </c>
      <c r="Y93" s="87">
        <f>IF(TrRoad_act!Y9=0,0,Y26/TrRoad_act!Y9*1000)</f>
        <v>49.60010343240701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X94" s="87">
        <f>IF(TrRoad_act!X10=0,0,X27/TrRoad_act!X10*1000)</f>
        <v>0</v>
      </c>
      <c r="Y94" s="87">
        <f>IF(TrRoad_act!Y10=0,0,Y27/TrRoad_act!Y10*1000)</f>
        <v>0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0</v>
      </c>
      <c r="P95" s="87">
        <f>IF(TrRoad_act!P11=0,0,P29/TrRoad_act!P11*1000)</f>
        <v>28.588387803357382</v>
      </c>
      <c r="Q95" s="87">
        <f>IF(TrRoad_act!Q11=0,0,Q29/TrRoad_act!Q11*1000)</f>
        <v>29.354591263385487</v>
      </c>
      <c r="R95" s="87">
        <f>IF(TrRoad_act!R11=0,0,R29/TrRoad_act!R11*1000)</f>
        <v>37.140421614979395</v>
      </c>
      <c r="S95" s="87">
        <f>IF(TrRoad_act!S11=0,0,S29/TrRoad_act!S11*1000)</f>
        <v>38.632151609328069</v>
      </c>
      <c r="T95" s="87">
        <f>IF(TrRoad_act!T11=0,0,T29/TrRoad_act!T11*1000)</f>
        <v>38.433621453848723</v>
      </c>
      <c r="U95" s="87">
        <f>IF(TrRoad_act!U11=0,0,U29/TrRoad_act!U11*1000)</f>
        <v>37.262130833657721</v>
      </c>
      <c r="V95" s="87">
        <f>IF(TrRoad_act!V11=0,0,V29/TrRoad_act!V11*1000)</f>
        <v>40.519306169059021</v>
      </c>
      <c r="W95" s="87">
        <f>IF(TrRoad_act!W11=0,0,W29/TrRoad_act!W11*1000)</f>
        <v>38.952553629570502</v>
      </c>
      <c r="X95" s="87">
        <f>IF(TrRoad_act!X11=0,0,X29/TrRoad_act!X11*1000)</f>
        <v>35.953895993438344</v>
      </c>
      <c r="Y95" s="87">
        <f>IF(TrRoad_act!Y11=0,0,Y29/TrRoad_act!Y11*1000)</f>
        <v>31.90672835612672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0</v>
      </c>
      <c r="O96" s="87">
        <f>IF(TrRoad_act!O12=0,0,O32/TrRoad_act!O12*1000)</f>
        <v>12.419853239860387</v>
      </c>
      <c r="P96" s="87">
        <f>IF(TrRoad_act!P12=0,0,P32/TrRoad_act!P12*1000)</f>
        <v>12.229871473837109</v>
      </c>
      <c r="Q96" s="87">
        <f>IF(TrRoad_act!Q12=0,0,Q32/TrRoad_act!Q12*1000)</f>
        <v>12.472858924837023</v>
      </c>
      <c r="R96" s="87">
        <f>IF(TrRoad_act!R12=0,0,R32/TrRoad_act!R12*1000)</f>
        <v>13.467396937896078</v>
      </c>
      <c r="S96" s="87">
        <f>IF(TrRoad_act!S12=0,0,S32/TrRoad_act!S12*1000)</f>
        <v>13.065814843548942</v>
      </c>
      <c r="T96" s="87">
        <f>IF(TrRoad_act!T12=0,0,T32/TrRoad_act!T12*1000)</f>
        <v>13.465490949100047</v>
      </c>
      <c r="U96" s="87">
        <f>IF(TrRoad_act!U12=0,0,U32/TrRoad_act!U12*1000)</f>
        <v>14.21611941639015</v>
      </c>
      <c r="V96" s="87">
        <f>IF(TrRoad_act!V12=0,0,V32/TrRoad_act!V12*1000)</f>
        <v>15.359138561293697</v>
      </c>
      <c r="W96" s="87">
        <f>IF(TrRoad_act!W12=0,0,W32/TrRoad_act!W12*1000)</f>
        <v>14.91543570441468</v>
      </c>
      <c r="X96" s="87">
        <f>IF(TrRoad_act!X12=0,0,X32/TrRoad_act!X12*1000)</f>
        <v>15.525906577417965</v>
      </c>
      <c r="Y96" s="87">
        <f>IF(TrRoad_act!Y12=0,0,Y32/TrRoad_act!Y12*1000)</f>
        <v>15.300855848646597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80.874104831893334</v>
      </c>
      <c r="C97" s="116">
        <f>IF(TrRoad_act!C13=0,0,C33/TrRoad_act!C13*1000)</f>
        <v>79.622059607399692</v>
      </c>
      <c r="D97" s="116">
        <f>IF(TrRoad_act!D13=0,0,D33/TrRoad_act!D13*1000)</f>
        <v>74.996199835072247</v>
      </c>
      <c r="E97" s="116">
        <f>IF(TrRoad_act!E13=0,0,E33/TrRoad_act!E13*1000)</f>
        <v>75.42759217253483</v>
      </c>
      <c r="F97" s="116">
        <f>IF(TrRoad_act!F13=0,0,F33/TrRoad_act!F13*1000)</f>
        <v>81.999082726254557</v>
      </c>
      <c r="G97" s="116">
        <f>IF(TrRoad_act!G13=0,0,G33/TrRoad_act!G13*1000)</f>
        <v>75.513632908055584</v>
      </c>
      <c r="H97" s="116">
        <f>IF(TrRoad_act!H13=0,0,H33/TrRoad_act!H13*1000)</f>
        <v>75.412879387109399</v>
      </c>
      <c r="I97" s="116">
        <f>IF(TrRoad_act!I13=0,0,I33/TrRoad_act!I13*1000)</f>
        <v>78.274423298188168</v>
      </c>
      <c r="J97" s="116">
        <f>IF(TrRoad_act!J13=0,0,J33/TrRoad_act!J13*1000)</f>
        <v>75.412828331529525</v>
      </c>
      <c r="K97" s="116">
        <f>IF(TrRoad_act!K13=0,0,K33/TrRoad_act!K13*1000)</f>
        <v>79.377932369713719</v>
      </c>
      <c r="L97" s="116">
        <f>IF(TrRoad_act!L13=0,0,L33/TrRoad_act!L13*1000)</f>
        <v>79.327421179247068</v>
      </c>
      <c r="M97" s="116">
        <f>IF(TrRoad_act!M13=0,0,M33/TrRoad_act!M13*1000)</f>
        <v>76.474654077365329</v>
      </c>
      <c r="N97" s="116">
        <f>IF(TrRoad_act!N13=0,0,N33/TrRoad_act!N13*1000)</f>
        <v>67.60387840341815</v>
      </c>
      <c r="O97" s="116">
        <f>IF(TrRoad_act!O13=0,0,O33/TrRoad_act!O13*1000)</f>
        <v>61.545238542100861</v>
      </c>
      <c r="P97" s="116">
        <f>IF(TrRoad_act!P13=0,0,P33/TrRoad_act!P13*1000)</f>
        <v>60.93103467068277</v>
      </c>
      <c r="Q97" s="116">
        <f>IF(TrRoad_act!Q13=0,0,Q33/TrRoad_act!Q13*1000)</f>
        <v>64.020191535666498</v>
      </c>
      <c r="R97" s="116">
        <f>IF(TrRoad_act!R13=0,0,R33/TrRoad_act!R13*1000)</f>
        <v>64.677970910827526</v>
      </c>
      <c r="S97" s="116">
        <f>IF(TrRoad_act!S13=0,0,S33/TrRoad_act!S13*1000)</f>
        <v>65.226210122431837</v>
      </c>
      <c r="T97" s="116">
        <f>IF(TrRoad_act!T13=0,0,T33/TrRoad_act!T13*1000)</f>
        <v>63.306476829134319</v>
      </c>
      <c r="U97" s="116">
        <f>IF(TrRoad_act!U13=0,0,U33/TrRoad_act!U13*1000)</f>
        <v>64.243283242129991</v>
      </c>
      <c r="V97" s="116">
        <f>IF(TrRoad_act!V13=0,0,V33/TrRoad_act!V13*1000)</f>
        <v>95.952705045323015</v>
      </c>
      <c r="W97" s="116">
        <f>IF(TrRoad_act!W13=0,0,W33/TrRoad_act!W13*1000)</f>
        <v>98.103435495497209</v>
      </c>
      <c r="X97" s="116">
        <f>IF(TrRoad_act!X13=0,0,X33/TrRoad_act!X13*1000)</f>
        <v>72.413254083063975</v>
      </c>
      <c r="Y97" s="116">
        <f>IF(TrRoad_act!Y13=0,0,Y33/TrRoad_act!Y13*1000)</f>
        <v>67.54314576156186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29.607123290460045</v>
      </c>
      <c r="C98" s="101">
        <f>IF(TrRoad_act!C14=0,0,C34/TrRoad_act!C14*1000)</f>
        <v>30.626314047591134</v>
      </c>
      <c r="D98" s="101">
        <f>IF(TrRoad_act!D14=0,0,D34/TrRoad_act!D14*1000)</f>
        <v>31.32256192848277</v>
      </c>
      <c r="E98" s="101">
        <f>IF(TrRoad_act!E14=0,0,E34/TrRoad_act!E14*1000)</f>
        <v>32.842402811585735</v>
      </c>
      <c r="F98" s="101">
        <f>IF(TrRoad_act!F14=0,0,F34/TrRoad_act!F14*1000)</f>
        <v>33.439589195046523</v>
      </c>
      <c r="G98" s="101">
        <f>IF(TrRoad_act!G14=0,0,G34/TrRoad_act!G14*1000)</f>
        <v>34.192400249619524</v>
      </c>
      <c r="H98" s="101">
        <f>IF(TrRoad_act!H14=0,0,H34/TrRoad_act!H14*1000)</f>
        <v>34.694653265770548</v>
      </c>
      <c r="I98" s="101">
        <f>IF(TrRoad_act!I14=0,0,I34/TrRoad_act!I14*1000)</f>
        <v>34.786642328481378</v>
      </c>
      <c r="J98" s="101">
        <f>IF(TrRoad_act!J14=0,0,J34/TrRoad_act!J14*1000)</f>
        <v>34.606930584077396</v>
      </c>
      <c r="K98" s="101">
        <f>IF(TrRoad_act!K14=0,0,K34/TrRoad_act!K14*1000)</f>
        <v>34.786393436884481</v>
      </c>
      <c r="L98" s="101">
        <f>IF(TrRoad_act!L14=0,0,L34/TrRoad_act!L14*1000)</f>
        <v>34.771158152387564</v>
      </c>
      <c r="M98" s="101">
        <f>IF(TrRoad_act!M14=0,0,M34/TrRoad_act!M14*1000)</f>
        <v>34.163238464546382</v>
      </c>
      <c r="N98" s="101">
        <f>IF(TrRoad_act!N14=0,0,N34/TrRoad_act!N14*1000)</f>
        <v>33.515451046732821</v>
      </c>
      <c r="O98" s="101">
        <f>IF(TrRoad_act!O14=0,0,O34/TrRoad_act!O14*1000)</f>
        <v>32.06699401183991</v>
      </c>
      <c r="P98" s="101">
        <f>IF(TrRoad_act!P14=0,0,P34/TrRoad_act!P14*1000)</f>
        <v>30.976992570255625</v>
      </c>
      <c r="Q98" s="101">
        <f>IF(TrRoad_act!Q14=0,0,Q34/TrRoad_act!Q14*1000)</f>
        <v>31.140132966352393</v>
      </c>
      <c r="R98" s="101">
        <f>IF(TrRoad_act!R14=0,0,R34/TrRoad_act!R14*1000)</f>
        <v>28.980453016628676</v>
      </c>
      <c r="S98" s="101">
        <f>IF(TrRoad_act!S14=0,0,S34/TrRoad_act!S14*1000)</f>
        <v>29.312912129489277</v>
      </c>
      <c r="T98" s="101">
        <f>IF(TrRoad_act!T14=0,0,T34/TrRoad_act!T14*1000)</f>
        <v>28.78218568777115</v>
      </c>
      <c r="U98" s="101">
        <f>IF(TrRoad_act!U14=0,0,U34/TrRoad_act!U14*1000)</f>
        <v>28.114393856881843</v>
      </c>
      <c r="V98" s="101">
        <f>IF(TrRoad_act!V14=0,0,V34/TrRoad_act!V14*1000)</f>
        <v>32.196804317105993</v>
      </c>
      <c r="W98" s="101">
        <f>IF(TrRoad_act!W14=0,0,W34/TrRoad_act!W14*1000)</f>
        <v>28.714363387360454</v>
      </c>
      <c r="X98" s="101">
        <f>IF(TrRoad_act!X14=0,0,X34/TrRoad_act!X14*1000)</f>
        <v>28.033947538766569</v>
      </c>
      <c r="Y98" s="101">
        <f>IF(TrRoad_act!Y14=0,0,Y34/TrRoad_act!Y14*1000)</f>
        <v>28.101602658723564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82.227499586012257</v>
      </c>
      <c r="C99" s="101">
        <f>IF(TrRoad_act!C15=0,0,C36/TrRoad_act!C15*1000)</f>
        <v>80.854109431152523</v>
      </c>
      <c r="D99" s="101">
        <f>IF(TrRoad_act!D15=0,0,D36/TrRoad_act!D15*1000)</f>
        <v>76.02286063533451</v>
      </c>
      <c r="E99" s="101">
        <f>IF(TrRoad_act!E15=0,0,E36/TrRoad_act!E15*1000)</f>
        <v>76.370118877437662</v>
      </c>
      <c r="F99" s="101">
        <f>IF(TrRoad_act!F15=0,0,F36/TrRoad_act!F15*1000)</f>
        <v>83.093392197093223</v>
      </c>
      <c r="G99" s="101">
        <f>IF(TrRoad_act!G15=0,0,G36/TrRoad_act!G15*1000)</f>
        <v>76.423744446263697</v>
      </c>
      <c r="H99" s="101">
        <f>IF(TrRoad_act!H15=0,0,H36/TrRoad_act!H15*1000)</f>
        <v>76.314857276211569</v>
      </c>
      <c r="I99" s="101">
        <f>IF(TrRoad_act!I15=0,0,I36/TrRoad_act!I15*1000)</f>
        <v>79.215721721572194</v>
      </c>
      <c r="J99" s="101">
        <f>IF(TrRoad_act!J15=0,0,J36/TrRoad_act!J15*1000)</f>
        <v>76.290702205443594</v>
      </c>
      <c r="K99" s="101">
        <f>IF(TrRoad_act!K15=0,0,K36/TrRoad_act!K15*1000)</f>
        <v>80.35045748536659</v>
      </c>
      <c r="L99" s="101">
        <f>IF(TrRoad_act!L15=0,0,L36/TrRoad_act!L15*1000)</f>
        <v>80.30889975896774</v>
      </c>
      <c r="M99" s="101">
        <f>IF(TrRoad_act!M15=0,0,M36/TrRoad_act!M15*1000)</f>
        <v>77.394545901339768</v>
      </c>
      <c r="N99" s="101">
        <f>IF(TrRoad_act!N15=0,0,N36/TrRoad_act!N15*1000)</f>
        <v>68.327411343675223</v>
      </c>
      <c r="O99" s="101">
        <f>IF(TrRoad_act!O15=0,0,O36/TrRoad_act!O15*1000)</f>
        <v>62.171164982341665</v>
      </c>
      <c r="P99" s="101">
        <f>IF(TrRoad_act!P15=0,0,P36/TrRoad_act!P15*1000)</f>
        <v>61.152920011152254</v>
      </c>
      <c r="Q99" s="101">
        <f>IF(TrRoad_act!Q15=0,0,Q36/TrRoad_act!Q15*1000)</f>
        <v>64.223953664809841</v>
      </c>
      <c r="R99" s="101">
        <f>IF(TrRoad_act!R15=0,0,R36/TrRoad_act!R15*1000)</f>
        <v>64.888342275670595</v>
      </c>
      <c r="S99" s="101">
        <f>IF(TrRoad_act!S15=0,0,S36/TrRoad_act!S15*1000)</f>
        <v>65.437071754610585</v>
      </c>
      <c r="T99" s="101">
        <f>IF(TrRoad_act!T15=0,0,T36/TrRoad_act!T15*1000)</f>
        <v>63.511525323229037</v>
      </c>
      <c r="U99" s="101">
        <f>IF(TrRoad_act!U15=0,0,U36/TrRoad_act!U15*1000)</f>
        <v>64.455617145161</v>
      </c>
      <c r="V99" s="101">
        <f>IF(TrRoad_act!V15=0,0,V36/TrRoad_act!V15*1000)</f>
        <v>96.500758682138809</v>
      </c>
      <c r="W99" s="101">
        <f>IF(TrRoad_act!W15=0,0,W36/TrRoad_act!W15*1000)</f>
        <v>98.735104568640224</v>
      </c>
      <c r="X99" s="101">
        <f>IF(TrRoad_act!X15=0,0,X36/TrRoad_act!X15*1000)</f>
        <v>72.690090852659125</v>
      </c>
      <c r="Y99" s="101">
        <f>IF(TrRoad_act!Y15=0,0,Y36/TrRoad_act!Y15*1000)</f>
        <v>67.965123584161319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X101" s="101">
        <f>IF(TrRoad_act!X17=0,0,X39/TrRoad_act!X17*1000)</f>
        <v>0</v>
      </c>
      <c r="Y101" s="101">
        <f>IF(TrRoad_act!Y17=0,0,Y39/TrRoad_act!Y17*1000)</f>
        <v>0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38.65591844348625</v>
      </c>
      <c r="K102" s="101">
        <f>IF(TrRoad_act!K18=0,0,K41/TrRoad_act!K18*1000)</f>
        <v>38.133084354211917</v>
      </c>
      <c r="L102" s="101">
        <f>IF(TrRoad_act!L18=0,0,L41/TrRoad_act!L18*1000)</f>
        <v>37.400234001938699</v>
      </c>
      <c r="M102" s="101">
        <f>IF(TrRoad_act!M18=0,0,M41/TrRoad_act!M18*1000)</f>
        <v>37.023892775428067</v>
      </c>
      <c r="N102" s="101">
        <f>IF(TrRoad_act!N18=0,0,N41/TrRoad_act!N18*1000)</f>
        <v>36.692391226938639</v>
      </c>
      <c r="O102" s="101">
        <f>IF(TrRoad_act!O18=0,0,O41/TrRoad_act!O18*1000)</f>
        <v>36.456629479804199</v>
      </c>
      <c r="P102" s="101">
        <f>IF(TrRoad_act!P18=0,0,P41/TrRoad_act!P18*1000)</f>
        <v>36.507041615979453</v>
      </c>
      <c r="Q102" s="101">
        <f>IF(TrRoad_act!Q18=0,0,Q41/TrRoad_act!Q18*1000)</f>
        <v>36.412945516707808</v>
      </c>
      <c r="R102" s="101">
        <f>IF(TrRoad_act!R18=0,0,R41/TrRoad_act!R18*1000)</f>
        <v>36.431123955705004</v>
      </c>
      <c r="S102" s="101">
        <f>IF(TrRoad_act!S18=0,0,S41/TrRoad_act!S18*1000)</f>
        <v>36.444759656530898</v>
      </c>
      <c r="T102" s="101">
        <f>IF(TrRoad_act!T18=0,0,T41/TrRoad_act!T18*1000)</f>
        <v>36.455024082798069</v>
      </c>
      <c r="U102" s="101">
        <f>IF(TrRoad_act!U18=0,0,U41/TrRoad_act!U18*1000)</f>
        <v>36.458753309837753</v>
      </c>
      <c r="V102" s="101">
        <f>IF(TrRoad_act!V18=0,0,V41/TrRoad_act!V18*1000)</f>
        <v>57.552735870242053</v>
      </c>
      <c r="W102" s="101">
        <f>IF(TrRoad_act!W18=0,0,W41/TrRoad_act!W18*1000)</f>
        <v>56.519203332569951</v>
      </c>
      <c r="X102" s="101">
        <f>IF(TrRoad_act!X18=0,0,X41/TrRoad_act!X18*1000)</f>
        <v>46.610398297941003</v>
      </c>
      <c r="Y102" s="101">
        <f>IF(TrRoad_act!Y18=0,0,Y41/TrRoad_act!Y18*1000)</f>
        <v>40.700084182099104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156.05643427306904</v>
      </c>
      <c r="C103" s="29">
        <f>IF(TrRoad_act!C19=0,0,C42/TrRoad_act!C19*1000)</f>
        <v>155.36265890983361</v>
      </c>
      <c r="D103" s="29">
        <f>IF(TrRoad_act!D19=0,0,D42/TrRoad_act!D19*1000)</f>
        <v>149.30837392833013</v>
      </c>
      <c r="E103" s="29">
        <f>IF(TrRoad_act!E19=0,0,E42/TrRoad_act!E19*1000)</f>
        <v>144.228306157216</v>
      </c>
      <c r="F103" s="29">
        <f>IF(TrRoad_act!F19=0,0,F42/TrRoad_act!F19*1000)</f>
        <v>170.83769269394634</v>
      </c>
      <c r="G103" s="29">
        <f>IF(TrRoad_act!G19=0,0,G42/TrRoad_act!G19*1000)</f>
        <v>141.31676069844559</v>
      </c>
      <c r="H103" s="29">
        <f>IF(TrRoad_act!H19=0,0,H42/TrRoad_act!H19*1000)</f>
        <v>149.1480949576642</v>
      </c>
      <c r="I103" s="29">
        <f>IF(TrRoad_act!I19=0,0,I42/TrRoad_act!I19*1000)</f>
        <v>149.25240458253822</v>
      </c>
      <c r="J103" s="29">
        <f>IF(TrRoad_act!J19=0,0,J42/TrRoad_act!J19*1000)</f>
        <v>140.99305620542364</v>
      </c>
      <c r="K103" s="29">
        <f>IF(TrRoad_act!K19=0,0,K42/TrRoad_act!K19*1000)</f>
        <v>172.89442821397307</v>
      </c>
      <c r="L103" s="29">
        <f>IF(TrRoad_act!L19=0,0,L42/TrRoad_act!L19*1000)</f>
        <v>160.38603606611514</v>
      </c>
      <c r="M103" s="29">
        <f>IF(TrRoad_act!M19=0,0,M42/TrRoad_act!M19*1000)</f>
        <v>169.59893688892765</v>
      </c>
      <c r="N103" s="29">
        <f>IF(TrRoad_act!N19=0,0,N42/TrRoad_act!N19*1000)</f>
        <v>152.89542432964177</v>
      </c>
      <c r="O103" s="29">
        <f>IF(TrRoad_act!O19=0,0,O42/TrRoad_act!O19*1000)</f>
        <v>167.65046581257647</v>
      </c>
      <c r="P103" s="29">
        <f>IF(TrRoad_act!P19=0,0,P42/TrRoad_act!P19*1000)</f>
        <v>174.04114001996794</v>
      </c>
      <c r="Q103" s="29">
        <f>IF(TrRoad_act!Q19=0,0,Q42/TrRoad_act!Q19*1000)</f>
        <v>173.267727064984</v>
      </c>
      <c r="R103" s="29">
        <f>IF(TrRoad_act!R19=0,0,R42/TrRoad_act!R19*1000)</f>
        <v>159.52547317886177</v>
      </c>
      <c r="S103" s="29">
        <f>IF(TrRoad_act!S19=0,0,S42/TrRoad_act!S19*1000)</f>
        <v>148.90872524915409</v>
      </c>
      <c r="T103" s="29">
        <f>IF(TrRoad_act!T19=0,0,T42/TrRoad_act!T19*1000)</f>
        <v>141.63683923407837</v>
      </c>
      <c r="U103" s="29">
        <f>IF(TrRoad_act!U19=0,0,U42/TrRoad_act!U19*1000)</f>
        <v>145.33016741663616</v>
      </c>
      <c r="V103" s="29">
        <f>IF(TrRoad_act!V19=0,0,V42/TrRoad_act!V19*1000)</f>
        <v>167.20272095412435</v>
      </c>
      <c r="W103" s="29">
        <f>IF(TrRoad_act!W19=0,0,W42/TrRoad_act!W19*1000)</f>
        <v>168.32876943308909</v>
      </c>
      <c r="X103" s="29">
        <f>IF(TrRoad_act!X19=0,0,X42/TrRoad_act!X19*1000)</f>
        <v>128.51930301797555</v>
      </c>
      <c r="Y103" s="29">
        <f>IF(TrRoad_act!Y19=0,0,Y42/TrRoad_act!Y19*1000)</f>
        <v>124.0580745059691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1083.3606126425789</v>
      </c>
      <c r="C104" s="152">
        <f>IF(TrRoad_act!C20=0,0,C43/TrRoad_act!C20*1000)</f>
        <v>1064.7193353494549</v>
      </c>
      <c r="D104" s="152">
        <f>IF(TrRoad_act!D20=0,0,D43/TrRoad_act!D20*1000)</f>
        <v>996.06344814604665</v>
      </c>
      <c r="E104" s="152">
        <f>IF(TrRoad_act!E20=0,0,E43/TrRoad_act!E20*1000)</f>
        <v>988.89826434532961</v>
      </c>
      <c r="F104" s="152">
        <f>IF(TrRoad_act!F20=0,0,F43/TrRoad_act!F20*1000)</f>
        <v>1050.5470610508562</v>
      </c>
      <c r="G104" s="152">
        <f>IF(TrRoad_act!G20=0,0,G43/TrRoad_act!G20*1000)</f>
        <v>967.54701232036655</v>
      </c>
      <c r="H104" s="152">
        <f>IF(TrRoad_act!H20=0,0,H43/TrRoad_act!H20*1000)</f>
        <v>945.57808299894691</v>
      </c>
      <c r="I104" s="152">
        <f>IF(TrRoad_act!I20=0,0,I43/TrRoad_act!I20*1000)</f>
        <v>970.09069300806061</v>
      </c>
      <c r="J104" s="152">
        <f>IF(TrRoad_act!J20=0,0,J43/TrRoad_act!J20*1000)</f>
        <v>931.39569731958113</v>
      </c>
      <c r="K104" s="152">
        <f>IF(TrRoad_act!K20=0,0,K43/TrRoad_act!K20*1000)</f>
        <v>957.21088630966392</v>
      </c>
      <c r="L104" s="152">
        <f>IF(TrRoad_act!L20=0,0,L43/TrRoad_act!L20*1000)</f>
        <v>957.00692469004741</v>
      </c>
      <c r="M104" s="152">
        <f>IF(TrRoad_act!M20=0,0,M43/TrRoad_act!M20*1000)</f>
        <v>912.73947223230653</v>
      </c>
      <c r="N104" s="152">
        <f>IF(TrRoad_act!N20=0,0,N43/TrRoad_act!N20*1000)</f>
        <v>792.16597783819134</v>
      </c>
      <c r="O104" s="152">
        <f>IF(TrRoad_act!O20=0,0,O43/TrRoad_act!O20*1000)</f>
        <v>700.2752185909751</v>
      </c>
      <c r="P104" s="152">
        <f>IF(TrRoad_act!P20=0,0,P43/TrRoad_act!P20*1000)</f>
        <v>673.20537106197662</v>
      </c>
      <c r="Q104" s="152">
        <f>IF(TrRoad_act!Q20=0,0,Q43/TrRoad_act!Q20*1000)</f>
        <v>698.32040888588608</v>
      </c>
      <c r="R104" s="152">
        <f>IF(TrRoad_act!R20=0,0,R43/TrRoad_act!R20*1000)</f>
        <v>704.91570593347888</v>
      </c>
      <c r="S104" s="152">
        <f>IF(TrRoad_act!S20=0,0,S43/TrRoad_act!S20*1000)</f>
        <v>706.08884883577855</v>
      </c>
      <c r="T104" s="152">
        <f>IF(TrRoad_act!T20=0,0,T43/TrRoad_act!T20*1000)</f>
        <v>680.86655505609622</v>
      </c>
      <c r="U104" s="152">
        <f>IF(TrRoad_act!U20=0,0,U43/TrRoad_act!U20*1000)</f>
        <v>669.29074269467185</v>
      </c>
      <c r="V104" s="152">
        <f>IF(TrRoad_act!V20=0,0,V43/TrRoad_act!V20*1000)</f>
        <v>697.60045077551831</v>
      </c>
      <c r="W104" s="152">
        <f>IF(TrRoad_act!W20=0,0,W43/TrRoad_act!W20*1000)</f>
        <v>731.59536297525847</v>
      </c>
      <c r="X104" s="152">
        <f>IF(TrRoad_act!X20=0,0,X43/TrRoad_act!X20*1000)</f>
        <v>648.42131803689301</v>
      </c>
      <c r="Y104" s="152">
        <f>IF(TrRoad_act!Y20=0,0,Y43/TrRoad_act!Y20*1000)</f>
        <v>669.92163064240208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846.45799253909524</v>
      </c>
      <c r="C105" s="87">
        <f>IF(TrRoad_act!C21=0,0,C44/TrRoad_act!C21*1000)</f>
        <v>873.95532380673149</v>
      </c>
      <c r="D105" s="87">
        <f>IF(TrRoad_act!D21=0,0,D44/TrRoad_act!D21*1000)</f>
        <v>894.49659193493562</v>
      </c>
      <c r="E105" s="87">
        <f>IF(TrRoad_act!E21=0,0,E44/TrRoad_act!E21*1000)</f>
        <v>939.19956983046063</v>
      </c>
      <c r="F105" s="87">
        <f>IF(TrRoad_act!F21=0,0,F44/TrRoad_act!F21*1000)</f>
        <v>939.29008869132417</v>
      </c>
      <c r="G105" s="87">
        <f>IF(TrRoad_act!G21=0,0,G44/TrRoad_act!G21*1000)</f>
        <v>962.28435987935745</v>
      </c>
      <c r="H105" s="87">
        <f>IF(TrRoad_act!H21=0,0,H44/TrRoad_act!H21*1000)</f>
        <v>963.00009086825594</v>
      </c>
      <c r="I105" s="87">
        <f>IF(TrRoad_act!I21=0,0,I44/TrRoad_act!I21*1000)</f>
        <v>949.31875688688342</v>
      </c>
      <c r="J105" s="87">
        <f>IF(TrRoad_act!J21=0,0,J44/TrRoad_act!J21*1000)</f>
        <v>946.01448664021598</v>
      </c>
      <c r="K105" s="87">
        <f>IF(TrRoad_act!K21=0,0,K44/TrRoad_act!K21*1000)</f>
        <v>931.16511181947737</v>
      </c>
      <c r="L105" s="87">
        <f>IF(TrRoad_act!L21=0,0,L44/TrRoad_act!L21*1000)</f>
        <v>931.24701594959311</v>
      </c>
      <c r="M105" s="87">
        <f>IF(TrRoad_act!M21=0,0,M44/TrRoad_act!M21*1000)</f>
        <v>918.47916740369408</v>
      </c>
      <c r="N105" s="87">
        <f>IF(TrRoad_act!N21=0,0,N44/TrRoad_act!N21*1000)</f>
        <v>901.03693049040044</v>
      </c>
      <c r="O105" s="87">
        <f>IF(TrRoad_act!O21=0,0,O44/TrRoad_act!O21*1000)</f>
        <v>845.00683511078842</v>
      </c>
      <c r="P105" s="87">
        <f>IF(TrRoad_act!P21=0,0,P44/TrRoad_act!P21*1000)</f>
        <v>884.14660098852301</v>
      </c>
      <c r="Q105" s="87">
        <f>IF(TrRoad_act!Q21=0,0,Q44/TrRoad_act!Q21*1000)</f>
        <v>893.02925928403408</v>
      </c>
      <c r="R105" s="87">
        <f>IF(TrRoad_act!R21=0,0,R44/TrRoad_act!R21*1000)</f>
        <v>823.34632704120975</v>
      </c>
      <c r="S105" s="87">
        <f>IF(TrRoad_act!S21=0,0,S44/TrRoad_act!S21*1000)</f>
        <v>834.63195515164648</v>
      </c>
      <c r="T105" s="87">
        <f>IF(TrRoad_act!T21=0,0,T44/TrRoad_act!T21*1000)</f>
        <v>807.03450824794368</v>
      </c>
      <c r="U105" s="87">
        <f>IF(TrRoad_act!U21=0,0,U44/TrRoad_act!U21*1000)</f>
        <v>803.759558637081</v>
      </c>
      <c r="V105" s="87">
        <f>IF(TrRoad_act!V21=0,0,V44/TrRoad_act!V21*1000)</f>
        <v>743.12440829819536</v>
      </c>
      <c r="W105" s="87">
        <f>IF(TrRoad_act!W21=0,0,W44/TrRoad_act!W21*1000)</f>
        <v>773.80603871990741</v>
      </c>
      <c r="X105" s="87">
        <f>IF(TrRoad_act!X21=0,0,X44/TrRoad_act!X21*1000)</f>
        <v>742.49932320302753</v>
      </c>
      <c r="Y105" s="87">
        <f>IF(TrRoad_act!Y21=0,0,Y44/TrRoad_act!Y21*1000)</f>
        <v>740.77926882670192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1096.5781404205047</v>
      </c>
      <c r="C106" s="87">
        <f>IF(TrRoad_act!C22=0,0,C46/TrRoad_act!C22*1000)</f>
        <v>1075.5381835012552</v>
      </c>
      <c r="D106" s="87">
        <f>IF(TrRoad_act!D22=0,0,D46/TrRoad_act!D22*1000)</f>
        <v>1001.4014539372484</v>
      </c>
      <c r="E106" s="87">
        <f>IF(TrRoad_act!E22=0,0,E46/TrRoad_act!E22*1000)</f>
        <v>991.71675544583957</v>
      </c>
      <c r="F106" s="87">
        <f>IF(TrRoad_act!F22=0,0,F46/TrRoad_act!F22*1000)</f>
        <v>1056.1837020543196</v>
      </c>
      <c r="G106" s="87">
        <f>IF(TrRoad_act!G22=0,0,G46/TrRoad_act!G22*1000)</f>
        <v>967.74041625174323</v>
      </c>
      <c r="H106" s="87">
        <f>IF(TrRoad_act!H22=0,0,H46/TrRoad_act!H22*1000)</f>
        <v>944.93785509538679</v>
      </c>
      <c r="I106" s="87">
        <f>IF(TrRoad_act!I22=0,0,I46/TrRoad_act!I22*1000)</f>
        <v>970.80287963987496</v>
      </c>
      <c r="J106" s="87">
        <f>IF(TrRoad_act!J22=0,0,J46/TrRoad_act!J22*1000)</f>
        <v>930.89168475461508</v>
      </c>
      <c r="K106" s="87">
        <f>IF(TrRoad_act!K22=0,0,K46/TrRoad_act!K22*1000)</f>
        <v>958.14409137310088</v>
      </c>
      <c r="L106" s="87">
        <f>IF(TrRoad_act!L22=0,0,L46/TrRoad_act!L22*1000)</f>
        <v>957.89859096516989</v>
      </c>
      <c r="M106" s="87">
        <f>IF(TrRoad_act!M22=0,0,M46/TrRoad_act!M22*1000)</f>
        <v>912.57814282942377</v>
      </c>
      <c r="N106" s="87">
        <f>IF(TrRoad_act!N22=0,0,N46/TrRoad_act!N22*1000)</f>
        <v>788.62310457067667</v>
      </c>
      <c r="O106" s="87">
        <f>IF(TrRoad_act!O22=0,0,O46/TrRoad_act!O22*1000)</f>
        <v>695.54107755122448</v>
      </c>
      <c r="P106" s="87">
        <f>IF(TrRoad_act!P22=0,0,P46/TrRoad_act!P22*1000)</f>
        <v>666.38343766762387</v>
      </c>
      <c r="Q106" s="87">
        <f>IF(TrRoad_act!Q22=0,0,Q46/TrRoad_act!Q22*1000)</f>
        <v>692.04488655006014</v>
      </c>
      <c r="R106" s="87">
        <f>IF(TrRoad_act!R22=0,0,R46/TrRoad_act!R22*1000)</f>
        <v>701.19276936207132</v>
      </c>
      <c r="S106" s="87">
        <f>IF(TrRoad_act!S22=0,0,S46/TrRoad_act!S22*1000)</f>
        <v>702.17616672925885</v>
      </c>
      <c r="T106" s="87">
        <f>IF(TrRoad_act!T22=0,0,T46/TrRoad_act!T22*1000)</f>
        <v>677.11247630130265</v>
      </c>
      <c r="U106" s="87">
        <f>IF(TrRoad_act!U22=0,0,U46/TrRoad_act!U22*1000)</f>
        <v>665.25036486329634</v>
      </c>
      <c r="V106" s="87">
        <f>IF(TrRoad_act!V22=0,0,V46/TrRoad_act!V22*1000)</f>
        <v>696.22262660905324</v>
      </c>
      <c r="W106" s="87">
        <f>IF(TrRoad_act!W22=0,0,W46/TrRoad_act!W22*1000)</f>
        <v>730.30377447607032</v>
      </c>
      <c r="X106" s="87">
        <f>IF(TrRoad_act!X22=0,0,X46/TrRoad_act!X22*1000)</f>
        <v>645.20299597205781</v>
      </c>
      <c r="Y106" s="87">
        <f>IF(TrRoad_act!Y22=0,0,Y46/TrRoad_act!Y22*1000)</f>
        <v>667.27302833302497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134.46533640006371</v>
      </c>
      <c r="J109" s="87">
        <f>IF(TrRoad_act!J25=0,0,J51/TrRoad_act!J25*1000)</f>
        <v>135.26509911632002</v>
      </c>
      <c r="K109" s="87">
        <f>IF(TrRoad_act!K25=0,0,K51/TrRoad_act!K25*1000)</f>
        <v>136.41974142262814</v>
      </c>
      <c r="L109" s="87">
        <f>IF(TrRoad_act!L25=0,0,L51/TrRoad_act!L25*1000)</f>
        <v>137.10320143441052</v>
      </c>
      <c r="M109" s="87">
        <f>IF(TrRoad_act!M25=0,0,M51/TrRoad_act!M25*1000)</f>
        <v>137.54397429587678</v>
      </c>
      <c r="N109" s="87">
        <f>IF(TrRoad_act!N25=0,0,N51/TrRoad_act!N25*1000)</f>
        <v>137.70000106616033</v>
      </c>
      <c r="O109" s="87">
        <f>IF(TrRoad_act!O25=0,0,O51/TrRoad_act!O25*1000)</f>
        <v>138.45398088784637</v>
      </c>
      <c r="P109" s="87">
        <f>IF(TrRoad_act!P25=0,0,P51/TrRoad_act!P25*1000)</f>
        <v>138.80489443305211</v>
      </c>
      <c r="Q109" s="87">
        <f>IF(TrRoad_act!Q25=0,0,Q51/TrRoad_act!Q25*1000)</f>
        <v>138.88406713135069</v>
      </c>
      <c r="R109" s="87">
        <f>IF(TrRoad_act!R25=0,0,R51/TrRoad_act!R25*1000)</f>
        <v>138.7991021952175</v>
      </c>
      <c r="S109" s="87">
        <f>IF(TrRoad_act!S25=0,0,S51/TrRoad_act!S25*1000)</f>
        <v>138.7155678205292</v>
      </c>
      <c r="T109" s="87">
        <f>IF(TrRoad_act!T25=0,0,T51/TrRoad_act!T25*1000)</f>
        <v>138.92296680883155</v>
      </c>
      <c r="U109" s="87">
        <f>IF(TrRoad_act!U25=0,0,U51/TrRoad_act!U25*1000)</f>
        <v>172.8884243216589</v>
      </c>
      <c r="V109" s="87">
        <f>IF(TrRoad_act!V25=0,0,V51/TrRoad_act!V25*1000)</f>
        <v>182.06108665472547</v>
      </c>
      <c r="W109" s="87">
        <f>IF(TrRoad_act!W25=0,0,W51/TrRoad_act!W25*1000)</f>
        <v>183.68508238986416</v>
      </c>
      <c r="X109" s="87">
        <f>IF(TrRoad_act!X25=0,0,X51/TrRoad_act!X25*1000)</f>
        <v>190.94598857008893</v>
      </c>
      <c r="Y109" s="87">
        <f>IF(TrRoad_act!Y25=0,0,Y51/TrRoad_act!Y25*1000)</f>
        <v>199.94952620770604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37.027565282903623</v>
      </c>
      <c r="C110" s="116">
        <f>IF(TrRoad_act!C26=0,0,C52/TrRoad_act!C26*1000)</f>
        <v>37.012576366531931</v>
      </c>
      <c r="D110" s="116">
        <f>IF(TrRoad_act!D26=0,0,D52/TrRoad_act!D26*1000)</f>
        <v>34.909299903208058</v>
      </c>
      <c r="E110" s="116">
        <f>IF(TrRoad_act!E26=0,0,E52/TrRoad_act!E26*1000)</f>
        <v>35.655365097123003</v>
      </c>
      <c r="F110" s="116">
        <f>IF(TrRoad_act!F26=0,0,F52/TrRoad_act!F26*1000)</f>
        <v>39.040355038019669</v>
      </c>
      <c r="G110" s="116">
        <f>IF(TrRoad_act!G26=0,0,G52/TrRoad_act!G26*1000)</f>
        <v>37.332397767437477</v>
      </c>
      <c r="H110" s="116">
        <f>IF(TrRoad_act!H26=0,0,H52/TrRoad_act!H26*1000)</f>
        <v>36.519664223402444</v>
      </c>
      <c r="I110" s="116">
        <f>IF(TrRoad_act!I26=0,0,I52/TrRoad_act!I26*1000)</f>
        <v>38.06409730044593</v>
      </c>
      <c r="J110" s="116">
        <f>IF(TrRoad_act!J26=0,0,J52/TrRoad_act!J26*1000)</f>
        <v>37.481797932787991</v>
      </c>
      <c r="K110" s="116">
        <f>IF(TrRoad_act!K26=0,0,K52/TrRoad_act!K26*1000)</f>
        <v>40.767161958531162</v>
      </c>
      <c r="L110" s="116">
        <f>IF(TrRoad_act!L26=0,0,L52/TrRoad_act!L26*1000)</f>
        <v>41.110692651340159</v>
      </c>
      <c r="M110" s="116">
        <f>IF(TrRoad_act!M26=0,0,M52/TrRoad_act!M26*1000)</f>
        <v>39.858732022788317</v>
      </c>
      <c r="N110" s="116">
        <f>IF(TrRoad_act!N26=0,0,N52/TrRoad_act!N26*1000)</f>
        <v>34.670354340879115</v>
      </c>
      <c r="O110" s="116">
        <f>IF(TrRoad_act!O26=0,0,O52/TrRoad_act!O26*1000)</f>
        <v>32.701742831748994</v>
      </c>
      <c r="P110" s="116">
        <f>IF(TrRoad_act!P26=0,0,P52/TrRoad_act!P26*1000)</f>
        <v>32.777507986993555</v>
      </c>
      <c r="Q110" s="116">
        <f>IF(TrRoad_act!Q26=0,0,Q52/TrRoad_act!Q26*1000)</f>
        <v>32.279640602970083</v>
      </c>
      <c r="R110" s="116">
        <f>IF(TrRoad_act!R26=0,0,R52/TrRoad_act!R26*1000)</f>
        <v>35.165893706295222</v>
      </c>
      <c r="S110" s="116">
        <f>IF(TrRoad_act!S26=0,0,S52/TrRoad_act!S26*1000)</f>
        <v>35.229465723001695</v>
      </c>
      <c r="T110" s="116">
        <f>IF(TrRoad_act!T26=0,0,T52/TrRoad_act!T26*1000)</f>
        <v>34.179471144734215</v>
      </c>
      <c r="U110" s="116">
        <f>IF(TrRoad_act!U26=0,0,U52/TrRoad_act!U26*1000)</f>
        <v>37.266332915039783</v>
      </c>
      <c r="V110" s="116">
        <f>IF(TrRoad_act!V26=0,0,V52/TrRoad_act!V26*1000)</f>
        <v>34.963824854667422</v>
      </c>
      <c r="W110" s="116">
        <f>IF(TrRoad_act!W26=0,0,W52/TrRoad_act!W26*1000)</f>
        <v>35.341954564785667</v>
      </c>
      <c r="X110" s="116">
        <f>IF(TrRoad_act!X26=0,0,X52/TrRoad_act!X26*1000)</f>
        <v>34.676377222970757</v>
      </c>
      <c r="Y110" s="116">
        <f>IF(TrRoad_act!Y26=0,0,Y52/TrRoad_act!Y26*1000)</f>
        <v>32.926826091811797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37.027565282903623</v>
      </c>
      <c r="C111" s="101">
        <f>IF(TrRoad_act!C27=0,0,C53/TrRoad_act!C27*1000)</f>
        <v>37.012576366531931</v>
      </c>
      <c r="D111" s="101">
        <f>IF(TrRoad_act!D27=0,0,D53/TrRoad_act!D27*1000)</f>
        <v>34.909299903208058</v>
      </c>
      <c r="E111" s="101">
        <f>IF(TrRoad_act!E27=0,0,E53/TrRoad_act!E27*1000)</f>
        <v>35.655365097123003</v>
      </c>
      <c r="F111" s="101">
        <f>IF(TrRoad_act!F27=0,0,F53/TrRoad_act!F27*1000)</f>
        <v>39.040355038019669</v>
      </c>
      <c r="G111" s="101">
        <f>IF(TrRoad_act!G27=0,0,G53/TrRoad_act!G27*1000)</f>
        <v>37.332397767437477</v>
      </c>
      <c r="H111" s="101">
        <f>IF(TrRoad_act!H27=0,0,H53/TrRoad_act!H27*1000)</f>
        <v>36.519664223402444</v>
      </c>
      <c r="I111" s="101">
        <f>IF(TrRoad_act!I27=0,0,I53/TrRoad_act!I27*1000)</f>
        <v>38.06409730044593</v>
      </c>
      <c r="J111" s="101">
        <f>IF(TrRoad_act!J27=0,0,J53/TrRoad_act!J27*1000)</f>
        <v>37.481797932787991</v>
      </c>
      <c r="K111" s="101">
        <f>IF(TrRoad_act!K27=0,0,K53/TrRoad_act!K27*1000)</f>
        <v>40.767161958531162</v>
      </c>
      <c r="L111" s="101">
        <f>IF(TrRoad_act!L27=0,0,L53/TrRoad_act!L27*1000)</f>
        <v>41.110692651340159</v>
      </c>
      <c r="M111" s="101">
        <f>IF(TrRoad_act!M27=0,0,M53/TrRoad_act!M27*1000)</f>
        <v>39.858732022788317</v>
      </c>
      <c r="N111" s="101">
        <f>IF(TrRoad_act!N27=0,0,N53/TrRoad_act!N27*1000)</f>
        <v>34.670354340879115</v>
      </c>
      <c r="O111" s="101">
        <f>IF(TrRoad_act!O27=0,0,O53/TrRoad_act!O27*1000)</f>
        <v>32.701742831748994</v>
      </c>
      <c r="P111" s="101">
        <f>IF(TrRoad_act!P27=0,0,P53/TrRoad_act!P27*1000)</f>
        <v>32.777507986993555</v>
      </c>
      <c r="Q111" s="101">
        <f>IF(TrRoad_act!Q27=0,0,Q53/TrRoad_act!Q27*1000)</f>
        <v>32.279640602970083</v>
      </c>
      <c r="R111" s="101">
        <f>IF(TrRoad_act!R27=0,0,R53/TrRoad_act!R27*1000)</f>
        <v>35.165893706295222</v>
      </c>
      <c r="S111" s="101">
        <f>IF(TrRoad_act!S27=0,0,S53/TrRoad_act!S27*1000)</f>
        <v>35.229465723001695</v>
      </c>
      <c r="T111" s="101">
        <f>IF(TrRoad_act!T27=0,0,T53/TrRoad_act!T27*1000)</f>
        <v>34.179471144734215</v>
      </c>
      <c r="U111" s="101">
        <f>IF(TrRoad_act!U27=0,0,U53/TrRoad_act!U27*1000)</f>
        <v>37.266332915039783</v>
      </c>
      <c r="V111" s="101">
        <f>IF(TrRoad_act!V27=0,0,V53/TrRoad_act!V27*1000)</f>
        <v>34.963824854667422</v>
      </c>
      <c r="W111" s="101">
        <f>IF(TrRoad_act!W27=0,0,W53/TrRoad_act!W27*1000)</f>
        <v>35.341954564785667</v>
      </c>
      <c r="X111" s="101">
        <f>IF(TrRoad_act!X27=0,0,X53/TrRoad_act!X27*1000)</f>
        <v>34.676377222970757</v>
      </c>
      <c r="Y111" s="101">
        <f>IF(TrRoad_act!Y27=0,0,Y53/TrRoad_act!Y27*1000)</f>
        <v>32.926826091811797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0</v>
      </c>
      <c r="C112" s="88">
        <f>IF(TrRoad_act!C28=0,0,C55/TrRoad_act!C28*1000)</f>
        <v>0</v>
      </c>
      <c r="D112" s="88">
        <f>IF(TrRoad_act!D28=0,0,D55/TrRoad_act!D28*1000)</f>
        <v>0</v>
      </c>
      <c r="E112" s="88">
        <f>IF(TrRoad_act!E28=0,0,E55/TrRoad_act!E28*1000)</f>
        <v>0</v>
      </c>
      <c r="F112" s="88">
        <f>IF(TrRoad_act!F28=0,0,F55/TrRoad_act!F28*1000)</f>
        <v>0</v>
      </c>
      <c r="G112" s="88">
        <f>IF(TrRoad_act!G28=0,0,G55/TrRoad_act!G28*1000)</f>
        <v>0</v>
      </c>
      <c r="H112" s="88">
        <f>IF(TrRoad_act!H28=0,0,H55/TrRoad_act!H28*1000)</f>
        <v>0</v>
      </c>
      <c r="I112" s="88">
        <f>IF(TrRoad_act!I28=0,0,I55/TrRoad_act!I28*1000)</f>
        <v>0</v>
      </c>
      <c r="J112" s="88">
        <f>IF(TrRoad_act!J28=0,0,J55/TrRoad_act!J28*1000)</f>
        <v>0</v>
      </c>
      <c r="K112" s="88">
        <f>IF(TrRoad_act!K28=0,0,K55/TrRoad_act!K28*1000)</f>
        <v>0</v>
      </c>
      <c r="L112" s="88">
        <f>IF(TrRoad_act!L28=0,0,L55/TrRoad_act!L28*1000)</f>
        <v>0</v>
      </c>
      <c r="M112" s="88">
        <f>IF(TrRoad_act!M28=0,0,M55/TrRoad_act!M28*1000)</f>
        <v>0</v>
      </c>
      <c r="N112" s="88">
        <f>IF(TrRoad_act!N28=0,0,N55/TrRoad_act!N28*1000)</f>
        <v>0</v>
      </c>
      <c r="O112" s="88">
        <f>IF(TrRoad_act!O28=0,0,O55/TrRoad_act!O28*1000)</f>
        <v>0</v>
      </c>
      <c r="P112" s="88">
        <f>IF(TrRoad_act!P28=0,0,P55/TrRoad_act!P28*1000)</f>
        <v>0</v>
      </c>
      <c r="Q112" s="88">
        <f>IF(TrRoad_act!Q28=0,0,Q55/TrRoad_act!Q28*1000)</f>
        <v>0</v>
      </c>
      <c r="R112" s="88">
        <f>IF(TrRoad_act!R28=0,0,R55/TrRoad_act!R28*1000)</f>
        <v>0</v>
      </c>
      <c r="S112" s="88">
        <f>IF(TrRoad_act!S28=0,0,S55/TrRoad_act!S28*1000)</f>
        <v>0</v>
      </c>
      <c r="T112" s="88">
        <f>IF(TrRoad_act!T28=0,0,T55/TrRoad_act!T28*1000)</f>
        <v>0</v>
      </c>
      <c r="U112" s="88">
        <f>IF(TrRoad_act!U28=0,0,U55/TrRoad_act!U28*1000)</f>
        <v>0</v>
      </c>
      <c r="V112" s="88">
        <f>IF(TrRoad_act!V28=0,0,V55/TrRoad_act!V28*1000)</f>
        <v>0</v>
      </c>
      <c r="W112" s="88">
        <f>IF(TrRoad_act!W28=0,0,W55/TrRoad_act!W28*1000)</f>
        <v>0</v>
      </c>
      <c r="X112" s="88">
        <f>IF(TrRoad_act!X28=0,0,X55/TrRoad_act!X28*1000)</f>
        <v>0</v>
      </c>
      <c r="Y112" s="88">
        <f>IF(TrRoad_act!Y28=0,0,Y55/TrRoad_act!Y28*1000)</f>
        <v>0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134.74996022391616</v>
      </c>
      <c r="C116" s="152">
        <f>IF(C19=0,0,1000000*C19/TrRoad_act!C59)</f>
        <v>135.75602325040063</v>
      </c>
      <c r="D116" s="152">
        <f>IF(D19=0,0,1000000*D19/TrRoad_act!D59)</f>
        <v>137.65759129011286</v>
      </c>
      <c r="E116" s="152">
        <f>IF(E19=0,0,1000000*E19/TrRoad_act!E59)</f>
        <v>134.96832724281606</v>
      </c>
      <c r="F116" s="152">
        <f>IF(F19=0,0,1000000*F19/TrRoad_act!F59)</f>
        <v>134.32191999732632</v>
      </c>
      <c r="G116" s="152">
        <f>IF(G19=0,0,1000000*G19/TrRoad_act!G59)</f>
        <v>134.96764059940122</v>
      </c>
      <c r="H116" s="152">
        <f>IF(H19=0,0,1000000*H19/TrRoad_act!H59)</f>
        <v>133.90036170836677</v>
      </c>
      <c r="I116" s="152">
        <f>IF(I19=0,0,1000000*I19/TrRoad_act!I59)</f>
        <v>131.32673658364217</v>
      </c>
      <c r="J116" s="152">
        <f>IF(J19=0,0,1000000*J19/TrRoad_act!J59)</f>
        <v>126.9465793898155</v>
      </c>
      <c r="K116" s="152">
        <f>IF(K19=0,0,1000000*K19/TrRoad_act!K59)</f>
        <v>126.31239268893391</v>
      </c>
      <c r="L116" s="152">
        <f>IF(L19=0,0,1000000*L19/TrRoad_act!L59)</f>
        <v>129.43250699254631</v>
      </c>
      <c r="M116" s="152">
        <f>IF(M19=0,0,1000000*M19/TrRoad_act!M59)</f>
        <v>128.67162211118915</v>
      </c>
      <c r="N116" s="152">
        <f>IF(N19=0,0,1000000*N19/TrRoad_act!N59)</f>
        <v>126.15240558585781</v>
      </c>
      <c r="O116" s="152">
        <f>IF(O19=0,0,1000000*O19/TrRoad_act!O59)</f>
        <v>126.46557723919308</v>
      </c>
      <c r="P116" s="152">
        <f>IF(P19=0,0,1000000*P19/TrRoad_act!P59)</f>
        <v>124.1718319728742</v>
      </c>
      <c r="Q116" s="152">
        <f>IF(Q19=0,0,1000000*Q19/TrRoad_act!Q59)</f>
        <v>124.67619101768503</v>
      </c>
      <c r="R116" s="152">
        <f>IF(R19=0,0,1000000*R19/TrRoad_act!R59)</f>
        <v>123.64210280703107</v>
      </c>
      <c r="S116" s="152">
        <f>IF(S19=0,0,1000000*S19/TrRoad_act!S59)</f>
        <v>114.6973202555109</v>
      </c>
      <c r="T116" s="152">
        <f>IF(T19=0,0,1000000*T19/TrRoad_act!T59)</f>
        <v>106.68838024774266</v>
      </c>
      <c r="U116" s="152">
        <f>IF(U19=0,0,1000000*U19/TrRoad_act!U59)</f>
        <v>111.72963888939991</v>
      </c>
      <c r="V116" s="152">
        <f>IF(V19=0,0,1000000*V19/TrRoad_act!V59)</f>
        <v>97.302530643595958</v>
      </c>
      <c r="W116" s="152">
        <f>IF(W19=0,0,1000000*W19/TrRoad_act!W59)</f>
        <v>97.857143290348063</v>
      </c>
      <c r="X116" s="152">
        <f>IF(X19=0,0,1000000*X19/TrRoad_act!X59)</f>
        <v>96.471803003457694</v>
      </c>
      <c r="Y116" s="152">
        <f>IF(Y19=0,0,1000000*Y19/TrRoad_act!Y59)</f>
        <v>100.19988490010383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957.38170569399415</v>
      </c>
      <c r="C117" s="116">
        <f>IF(C21=0,0,1000000*C21/TrRoad_act!C60)</f>
        <v>970.31984537241226</v>
      </c>
      <c r="D117" s="116">
        <f>IF(D21=0,0,1000000*D21/TrRoad_act!D60)</f>
        <v>966.44979254741997</v>
      </c>
      <c r="E117" s="116">
        <f>IF(E21=0,0,1000000*E21/TrRoad_act!E60)</f>
        <v>998.29857550671306</v>
      </c>
      <c r="F117" s="116">
        <f>IF(F21=0,0,1000000*F21/TrRoad_act!F60)</f>
        <v>1007.7764152783768</v>
      </c>
      <c r="G117" s="116">
        <f>IF(G21=0,0,1000000*G21/TrRoad_act!G60)</f>
        <v>1004.5556590020799</v>
      </c>
      <c r="H117" s="116">
        <f>IF(H21=0,0,1000000*H21/TrRoad_act!H60)</f>
        <v>1009.9016499967427</v>
      </c>
      <c r="I117" s="116">
        <f>IF(I21=0,0,1000000*I21/TrRoad_act!I60)</f>
        <v>1001.6679018730152</v>
      </c>
      <c r="J117" s="116">
        <f>IF(J21=0,0,1000000*J21/TrRoad_act!J60)</f>
        <v>981.15076843976863</v>
      </c>
      <c r="K117" s="116">
        <f>IF(K21=0,0,1000000*K21/TrRoad_act!K60)</f>
        <v>980.61100451964842</v>
      </c>
      <c r="L117" s="116">
        <f>IF(L21=0,0,1000000*L21/TrRoad_act!L60)</f>
        <v>997.04723529119417</v>
      </c>
      <c r="M117" s="116">
        <f>IF(M21=0,0,1000000*M21/TrRoad_act!M60)</f>
        <v>966.90879106463433</v>
      </c>
      <c r="N117" s="116">
        <f>IF(N21=0,0,1000000*N21/TrRoad_act!N60)</f>
        <v>906.52703474456882</v>
      </c>
      <c r="O117" s="116">
        <f>IF(O21=0,0,1000000*O21/TrRoad_act!O60)</f>
        <v>847.47880480461583</v>
      </c>
      <c r="P117" s="116">
        <f>IF(P21=0,0,1000000*P21/TrRoad_act!P60)</f>
        <v>825.46357684942245</v>
      </c>
      <c r="Q117" s="116">
        <f>IF(Q21=0,0,1000000*Q21/TrRoad_act!Q60)</f>
        <v>830.97873635205769</v>
      </c>
      <c r="R117" s="116">
        <f>IF(R21=0,0,1000000*R21/TrRoad_act!R60)</f>
        <v>833.45859057012603</v>
      </c>
      <c r="S117" s="116">
        <f>IF(S21=0,0,1000000*S21/TrRoad_act!S60)</f>
        <v>817.1835965881163</v>
      </c>
      <c r="T117" s="116">
        <f>IF(T21=0,0,1000000*T21/TrRoad_act!T60)</f>
        <v>781.39477678322635</v>
      </c>
      <c r="U117" s="116">
        <f>IF(U21=0,0,1000000*U21/TrRoad_act!U60)</f>
        <v>763.1667421851962</v>
      </c>
      <c r="V117" s="116">
        <f>IF(V21=0,0,1000000*V21/TrRoad_act!V60)</f>
        <v>668.89675308473954</v>
      </c>
      <c r="W117" s="116">
        <f>IF(W21=0,0,1000000*W21/TrRoad_act!W60)</f>
        <v>701.47775384295369</v>
      </c>
      <c r="X117" s="116">
        <f>IF(X21=0,0,1000000*X21/TrRoad_act!X60)</f>
        <v>687.1096784657534</v>
      </c>
      <c r="Y117" s="116">
        <f>IF(Y21=0,0,1000000*Y21/TrRoad_act!Y60)</f>
        <v>693.74449216549726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860.45174701881081</v>
      </c>
      <c r="C118" s="87">
        <f>IF(C22=0,0,1000000*C22/TrRoad_act!C61)</f>
        <v>879.07290763237836</v>
      </c>
      <c r="D118" s="87">
        <f>IF(D22=0,0,1000000*D22/TrRoad_act!D61)</f>
        <v>892.48668104873923</v>
      </c>
      <c r="E118" s="87">
        <f>IF(E22=0,0,1000000*E22/TrRoad_act!E61)</f>
        <v>934.44225547381359</v>
      </c>
      <c r="F118" s="87">
        <f>IF(F22=0,0,1000000*F22/TrRoad_act!F61)</f>
        <v>942.33434793407844</v>
      </c>
      <c r="G118" s="87">
        <f>IF(G22=0,0,1000000*G22/TrRoad_act!G61)</f>
        <v>957.33853951731817</v>
      </c>
      <c r="H118" s="87">
        <f>IF(H22=0,0,1000000*H22/TrRoad_act!H61)</f>
        <v>968.66610977544417</v>
      </c>
      <c r="I118" s="87">
        <f>IF(I22=0,0,1000000*I22/TrRoad_act!I61)</f>
        <v>962.05529907525215</v>
      </c>
      <c r="J118" s="87">
        <f>IF(J22=0,0,1000000*J22/TrRoad_act!J61)</f>
        <v>949.07969861250842</v>
      </c>
      <c r="K118" s="87">
        <f>IF(K22=0,0,1000000*K22/TrRoad_act!K61)</f>
        <v>945.42925307430266</v>
      </c>
      <c r="L118" s="87">
        <f>IF(L22=0,0,1000000*L22/TrRoad_act!L61)</f>
        <v>964.31436899720222</v>
      </c>
      <c r="M118" s="87">
        <f>IF(M22=0,0,1000000*M22/TrRoad_act!M61)</f>
        <v>940.81040878670581</v>
      </c>
      <c r="N118" s="87">
        <f>IF(N22=0,0,1000000*N22/TrRoad_act!N61)</f>
        <v>898.21291672869074</v>
      </c>
      <c r="O118" s="87">
        <f>IF(O22=0,0,1000000*O22/TrRoad_act!O61)</f>
        <v>846.84618864109098</v>
      </c>
      <c r="P118" s="87">
        <f>IF(P22=0,0,1000000*P22/TrRoad_act!P61)</f>
        <v>829.27868013654893</v>
      </c>
      <c r="Q118" s="87">
        <f>IF(Q22=0,0,1000000*Q22/TrRoad_act!Q61)</f>
        <v>833.00316886571682</v>
      </c>
      <c r="R118" s="87">
        <f>IF(R22=0,0,1000000*R22/TrRoad_act!R61)</f>
        <v>834.89046887858115</v>
      </c>
      <c r="S118" s="87">
        <f>IF(S22=0,0,1000000*S22/TrRoad_act!S61)</f>
        <v>818.81308808622816</v>
      </c>
      <c r="T118" s="87">
        <f>IF(T22=0,0,1000000*T22/TrRoad_act!T61)</f>
        <v>782.9635000776002</v>
      </c>
      <c r="U118" s="87">
        <f>IF(U22=0,0,1000000*U22/TrRoad_act!U61)</f>
        <v>759.4694927441825</v>
      </c>
      <c r="V118" s="87">
        <f>IF(V22=0,0,1000000*V22/TrRoad_act!V61)</f>
        <v>647.296403059059</v>
      </c>
      <c r="W118" s="87">
        <f>IF(W22=0,0,1000000*W22/TrRoad_act!W61)</f>
        <v>682.04929761265089</v>
      </c>
      <c r="X118" s="87">
        <f>IF(X22=0,0,1000000*X22/TrRoad_act!X61)</f>
        <v>679.56772016133675</v>
      </c>
      <c r="Y118" s="87">
        <f>IF(Y22=0,0,1000000*Y22/TrRoad_act!Y61)</f>
        <v>681.73340318242481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1723.1283792279419</v>
      </c>
      <c r="C119" s="87">
        <f>IF(C24=0,0,1000000*C24/TrRoad_act!C62)</f>
        <v>1655.7159286295985</v>
      </c>
      <c r="D119" s="87">
        <f>IF(D24=0,0,1000000*D24/TrRoad_act!D62)</f>
        <v>1533.4260337489768</v>
      </c>
      <c r="E119" s="87">
        <f>IF(E24=0,0,1000000*E24/TrRoad_act!E62)</f>
        <v>1508.8965666101988</v>
      </c>
      <c r="F119" s="87">
        <f>IF(F24=0,0,1000000*F24/TrRoad_act!F62)</f>
        <v>1592.1740766629603</v>
      </c>
      <c r="G119" s="87">
        <f>IF(G24=0,0,1000000*G24/TrRoad_act!G62)</f>
        <v>1464.3810997997814</v>
      </c>
      <c r="H119" s="87">
        <f>IF(H24=0,0,1000000*H24/TrRoad_act!H62)</f>
        <v>1443.2260229962098</v>
      </c>
      <c r="I119" s="87">
        <f>IF(I24=0,0,1000000*I24/TrRoad_act!I62)</f>
        <v>1419.3222038563292</v>
      </c>
      <c r="J119" s="87">
        <f>IF(J24=0,0,1000000*J24/TrRoad_act!J62)</f>
        <v>1302.4901706006074</v>
      </c>
      <c r="K119" s="87">
        <f>IF(K24=0,0,1000000*K24/TrRoad_act!K62)</f>
        <v>1314.4886227088625</v>
      </c>
      <c r="L119" s="87">
        <f>IF(L24=0,0,1000000*L24/TrRoad_act!L62)</f>
        <v>1292.090786828637</v>
      </c>
      <c r="M119" s="87">
        <f>IF(M24=0,0,1000000*M24/TrRoad_act!M62)</f>
        <v>1195.9278820332693</v>
      </c>
      <c r="N119" s="87">
        <f>IF(N24=0,0,1000000*N24/TrRoad_act!N62)</f>
        <v>978.48109371182659</v>
      </c>
      <c r="O119" s="87">
        <f>IF(O24=0,0,1000000*O24/TrRoad_act!O62)</f>
        <v>852.87598418433913</v>
      </c>
      <c r="P119" s="87">
        <f>IF(P24=0,0,1000000*P24/TrRoad_act!P62)</f>
        <v>796.22170371849347</v>
      </c>
      <c r="Q119" s="87">
        <f>IF(Q24=0,0,1000000*Q24/TrRoad_act!Q62)</f>
        <v>817.2055289408795</v>
      </c>
      <c r="R119" s="87">
        <f>IF(R24=0,0,1000000*R24/TrRoad_act!R62)</f>
        <v>825.21406658701483</v>
      </c>
      <c r="S119" s="87">
        <f>IF(S24=0,0,1000000*S24/TrRoad_act!S62)</f>
        <v>809.70771175063544</v>
      </c>
      <c r="T119" s="87">
        <f>IF(T24=0,0,1000000*T24/TrRoad_act!T62)</f>
        <v>778.00680751777043</v>
      </c>
      <c r="U119" s="87">
        <f>IF(U24=0,0,1000000*U24/TrRoad_act!U62)</f>
        <v>781.00713339195977</v>
      </c>
      <c r="V119" s="87">
        <f>IF(V24=0,0,1000000*V24/TrRoad_act!V62)</f>
        <v>751.12047951846148</v>
      </c>
      <c r="W119" s="87">
        <f>IF(W24=0,0,1000000*W24/TrRoad_act!W62)</f>
        <v>773.93554345229836</v>
      </c>
      <c r="X119" s="87">
        <f>IF(X24=0,0,1000000*X24/TrRoad_act!X62)</f>
        <v>718.54457663977996</v>
      </c>
      <c r="Y119" s="87">
        <f>IF(Y24=0,0,1000000*Y24/TrRoad_act!Y62)</f>
        <v>747.22531923036763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0</v>
      </c>
      <c r="E120" s="87">
        <f>IF(E26=0,0,1000000*E26/TrRoad_act!E63)</f>
        <v>0</v>
      </c>
      <c r="F120" s="87">
        <f>IF(F26=0,0,1000000*F26/TrRoad_act!F63)</f>
        <v>0</v>
      </c>
      <c r="G120" s="87">
        <f>IF(G26=0,0,1000000*G26/TrRoad_act!G63)</f>
        <v>0</v>
      </c>
      <c r="H120" s="87">
        <f>IF(H26=0,0,1000000*H26/TrRoad_act!H63)</f>
        <v>0</v>
      </c>
      <c r="I120" s="87">
        <f>IF(I26=0,0,1000000*I26/TrRoad_act!I63)</f>
        <v>0</v>
      </c>
      <c r="J120" s="87">
        <f>IF(J26=0,0,1000000*J26/TrRoad_act!J63)</f>
        <v>0</v>
      </c>
      <c r="K120" s="87">
        <f>IF(K26=0,0,1000000*K26/TrRoad_act!K63)</f>
        <v>0</v>
      </c>
      <c r="L120" s="87">
        <f>IF(L26=0,0,1000000*L26/TrRoad_act!L63)</f>
        <v>0</v>
      </c>
      <c r="M120" s="87">
        <f>IF(M26=0,0,1000000*M26/TrRoad_act!M63)</f>
        <v>0</v>
      </c>
      <c r="N120" s="87">
        <f>IF(N26=0,0,1000000*N26/TrRoad_act!N63)</f>
        <v>0</v>
      </c>
      <c r="O120" s="87">
        <f>IF(O26=0,0,1000000*O26/TrRoad_act!O63)</f>
        <v>0</v>
      </c>
      <c r="P120" s="87">
        <f>IF(P26=0,0,1000000*P26/TrRoad_act!P63)</f>
        <v>0</v>
      </c>
      <c r="Q120" s="87">
        <f>IF(Q26=0,0,1000000*Q26/TrRoad_act!Q63)</f>
        <v>0</v>
      </c>
      <c r="R120" s="87">
        <f>IF(R26=0,0,1000000*R26/TrRoad_act!R63)</f>
        <v>0</v>
      </c>
      <c r="S120" s="87">
        <f>IF(S26=0,0,1000000*S26/TrRoad_act!S63)</f>
        <v>0</v>
      </c>
      <c r="T120" s="87">
        <f>IF(T26=0,0,1000000*T26/TrRoad_act!T63)</f>
        <v>524.41507896999588</v>
      </c>
      <c r="U120" s="87">
        <f>IF(U26=0,0,1000000*U26/TrRoad_act!U63)</f>
        <v>585.08686677440403</v>
      </c>
      <c r="V120" s="87">
        <f>IF(V26=0,0,1000000*V26/TrRoad_act!V63)</f>
        <v>503.60990887562025</v>
      </c>
      <c r="W120" s="87">
        <f>IF(W26=0,0,1000000*W26/TrRoad_act!W63)</f>
        <v>583.376390220448</v>
      </c>
      <c r="X120" s="87">
        <f>IF(X26=0,0,1000000*X26/TrRoad_act!X63)</f>
        <v>646.89841542808006</v>
      </c>
      <c r="Y120" s="87">
        <f>IF(Y26=0,0,1000000*Y26/TrRoad_act!Y63)</f>
        <v>558.94956410763211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X121" s="87">
        <f>IF(X27=0,0,1000000*X27/TrRoad_act!X64)</f>
        <v>0</v>
      </c>
      <c r="Y121" s="87">
        <f>IF(Y27=0,0,1000000*Y27/TrRoad_act!Y64)</f>
        <v>0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0</v>
      </c>
      <c r="P122" s="87">
        <f>IF(P29=0,0,1000000*P29/TrRoad_act!P65)</f>
        <v>320.27038031994709</v>
      </c>
      <c r="Q122" s="87">
        <f>IF(Q29=0,0,1000000*Q29/TrRoad_act!Q65)</f>
        <v>329.83639294482151</v>
      </c>
      <c r="R122" s="87">
        <f>IF(R29=0,0,1000000*R29/TrRoad_act!R65)</f>
        <v>414.43218880393613</v>
      </c>
      <c r="S122" s="87">
        <f>IF(S29=0,0,1000000*S29/TrRoad_act!S65)</f>
        <v>441.14698955597447</v>
      </c>
      <c r="T122" s="87">
        <f>IF(T29=0,0,1000000*T29/TrRoad_act!T65)</f>
        <v>433.86982955433456</v>
      </c>
      <c r="U122" s="87">
        <f>IF(U29=0,0,1000000*U29/TrRoad_act!U65)</f>
        <v>417.73052069219943</v>
      </c>
      <c r="V122" s="87">
        <f>IF(V29=0,0,1000000*V29/TrRoad_act!V65)</f>
        <v>395.58580539486013</v>
      </c>
      <c r="W122" s="87">
        <f>IF(W29=0,0,1000000*W29/TrRoad_act!W65)</f>
        <v>392.68167668699527</v>
      </c>
      <c r="X122" s="87">
        <f>IF(X29=0,0,1000000*X29/TrRoad_act!X65)</f>
        <v>374.37166507768291</v>
      </c>
      <c r="Y122" s="87">
        <f>IF(Y29=0,0,1000000*Y29/TrRoad_act!Y65)</f>
        <v>339.59822186607033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0</v>
      </c>
      <c r="O123" s="87">
        <f>IF(O32=0,0,1000000*O32/TrRoad_act!O66)</f>
        <v>153.05388881737363</v>
      </c>
      <c r="P123" s="87">
        <f>IF(P32=0,0,1000000*P32/TrRoad_act!P66)</f>
        <v>152.97691910896688</v>
      </c>
      <c r="Q123" s="87">
        <f>IF(Q32=0,0,1000000*Q32/TrRoad_act!Q66)</f>
        <v>156.66337900246998</v>
      </c>
      <c r="R123" s="87">
        <f>IF(R32=0,0,1000000*R32/TrRoad_act!R66)</f>
        <v>156.93809672129072</v>
      </c>
      <c r="S123" s="87">
        <f>IF(S32=0,0,1000000*S32/TrRoad_act!S66)</f>
        <v>152.02445999523894</v>
      </c>
      <c r="T123" s="87">
        <f>IF(T32=0,0,1000000*T32/TrRoad_act!T66)</f>
        <v>156.34281538027091</v>
      </c>
      <c r="U123" s="87">
        <f>IF(U32=0,0,1000000*U32/TrRoad_act!U66)</f>
        <v>164.58020455767007</v>
      </c>
      <c r="V123" s="87">
        <f>IF(V32=0,0,1000000*V32/TrRoad_act!V66)</f>
        <v>156.51323013787498</v>
      </c>
      <c r="W123" s="87">
        <f>IF(W32=0,0,1000000*W32/TrRoad_act!W66)</f>
        <v>168.32129023868492</v>
      </c>
      <c r="X123" s="87">
        <f>IF(X32=0,0,1000000*X32/TrRoad_act!X66)</f>
        <v>177.89437158930912</v>
      </c>
      <c r="Y123" s="87">
        <f>IF(Y32=0,0,1000000*Y32/TrRoad_act!Y66)</f>
        <v>178.74676721179088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30715.156802889294</v>
      </c>
      <c r="C124" s="116">
        <f>IF(C33=0,0,1000000*C33/TrRoad_act!C67)</f>
        <v>30756.439941586294</v>
      </c>
      <c r="D124" s="116">
        <f>IF(D33=0,0,1000000*D33/TrRoad_act!D67)</f>
        <v>30028.508442471371</v>
      </c>
      <c r="E124" s="116">
        <f>IF(E33=0,0,1000000*E33/TrRoad_act!E67)</f>
        <v>29480.09709338766</v>
      </c>
      <c r="F124" s="116">
        <f>IF(F33=0,0,1000000*F33/TrRoad_act!F67)</f>
        <v>31784.577236810146</v>
      </c>
      <c r="G124" s="116">
        <f>IF(G33=0,0,1000000*G33/TrRoad_act!G67)</f>
        <v>29576.368499891218</v>
      </c>
      <c r="H124" s="116">
        <f>IF(H33=0,0,1000000*H33/TrRoad_act!H67)</f>
        <v>29968.483581341203</v>
      </c>
      <c r="I124" s="116">
        <f>IF(I33=0,0,1000000*I33/TrRoad_act!I67)</f>
        <v>30910.31296708524</v>
      </c>
      <c r="J124" s="116">
        <f>IF(J33=0,0,1000000*J33/TrRoad_act!J67)</f>
        <v>29482.381446482734</v>
      </c>
      <c r="K124" s="116">
        <f>IF(K33=0,0,1000000*K33/TrRoad_act!K67)</f>
        <v>29532.736311396729</v>
      </c>
      <c r="L124" s="116">
        <f>IF(L33=0,0,1000000*L33/TrRoad_act!L67)</f>
        <v>30071.223426749551</v>
      </c>
      <c r="M124" s="116">
        <f>IF(M33=0,0,1000000*M33/TrRoad_act!M67)</f>
        <v>29269.836052217608</v>
      </c>
      <c r="N124" s="116">
        <f>IF(N33=0,0,1000000*N33/TrRoad_act!N67)</f>
        <v>25946.723388351049</v>
      </c>
      <c r="O124" s="116">
        <f>IF(O33=0,0,1000000*O33/TrRoad_act!O67)</f>
        <v>23702.520202788903</v>
      </c>
      <c r="P124" s="116">
        <f>IF(P33=0,0,1000000*P33/TrRoad_act!P67)</f>
        <v>23938.445144966587</v>
      </c>
      <c r="Q124" s="116">
        <f>IF(Q33=0,0,1000000*Q33/TrRoad_act!Q67)</f>
        <v>25729.214666418837</v>
      </c>
      <c r="R124" s="116">
        <f>IF(R33=0,0,1000000*R33/TrRoad_act!R67)</f>
        <v>26780.611932248801</v>
      </c>
      <c r="S124" s="116">
        <f>IF(S33=0,0,1000000*S33/TrRoad_act!S67)</f>
        <v>28414.463377078111</v>
      </c>
      <c r="T124" s="116">
        <f>IF(T33=0,0,1000000*T33/TrRoad_act!T67)</f>
        <v>29337.018415153481</v>
      </c>
      <c r="U124" s="116">
        <f>IF(U33=0,0,1000000*U33/TrRoad_act!U67)</f>
        <v>30274.35863710328</v>
      </c>
      <c r="V124" s="116">
        <f>IF(V33=0,0,1000000*V33/TrRoad_act!V67)</f>
        <v>31271.159041626503</v>
      </c>
      <c r="W124" s="116">
        <f>IF(W33=0,0,1000000*W33/TrRoad_act!W67)</f>
        <v>33057.882027946238</v>
      </c>
      <c r="X124" s="116">
        <f>IF(X33=0,0,1000000*X33/TrRoad_act!X67)</f>
        <v>31804.546303312294</v>
      </c>
      <c r="Y124" s="116">
        <f>IF(Y33=0,0,1000000*Y33/TrRoad_act!Y67)</f>
        <v>31639.040342900349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5574.3385743567651</v>
      </c>
      <c r="C125" s="101">
        <f>IF(C34=0,0,1000000*C34/TrRoad_act!C68)</f>
        <v>5771.1176514768949</v>
      </c>
      <c r="D125" s="101">
        <f>IF(D34=0,0,1000000*D34/TrRoad_act!D68)</f>
        <v>5912.9229758884831</v>
      </c>
      <c r="E125" s="101">
        <f>IF(E34=0,0,1000000*E34/TrRoad_act!E68)</f>
        <v>6192.3478199278497</v>
      </c>
      <c r="F125" s="101">
        <f>IF(F34=0,0,1000000*F34/TrRoad_act!F68)</f>
        <v>6302.3462192086427</v>
      </c>
      <c r="G125" s="101">
        <f>IF(G34=0,0,1000000*G34/TrRoad_act!G68)</f>
        <v>6447.5891676912061</v>
      </c>
      <c r="H125" s="101">
        <f>IF(H34=0,0,1000000*H34/TrRoad_act!H68)</f>
        <v>6547.0683254518153</v>
      </c>
      <c r="I125" s="101">
        <f>IF(I34=0,0,1000000*I34/TrRoad_act!I68)</f>
        <v>6562.4049367988591</v>
      </c>
      <c r="J125" s="101">
        <f>IF(J34=0,0,1000000*J34/TrRoad_act!J68)</f>
        <v>6525.3086939077493</v>
      </c>
      <c r="K125" s="101">
        <f>IF(K34=0,0,1000000*K34/TrRoad_act!K68)</f>
        <v>6543.0930846224519</v>
      </c>
      <c r="L125" s="101">
        <f>IF(L34=0,0,1000000*L34/TrRoad_act!L68)</f>
        <v>6546.6901017061673</v>
      </c>
      <c r="M125" s="101">
        <f>IF(M34=0,0,1000000*M34/TrRoad_act!M68)</f>
        <v>6435.5483005151127</v>
      </c>
      <c r="N125" s="101">
        <f>IF(N34=0,0,1000000*N34/TrRoad_act!N68)</f>
        <v>6314.6239495283926</v>
      </c>
      <c r="O125" s="101">
        <f>IF(O34=0,0,1000000*O34/TrRoad_act!O68)</f>
        <v>6042.9226932361053</v>
      </c>
      <c r="P125" s="101">
        <f>IF(P34=0,0,1000000*P34/TrRoad_act!P68)</f>
        <v>5843.4557745174779</v>
      </c>
      <c r="Q125" s="101">
        <f>IF(Q34=0,0,1000000*Q34/TrRoad_act!Q68)</f>
        <v>5880.9017190316936</v>
      </c>
      <c r="R125" s="101">
        <f>IF(R34=0,0,1000000*R34/TrRoad_act!R68)</f>
        <v>5536.2874779162585</v>
      </c>
      <c r="S125" s="101">
        <f>IF(S34=0,0,1000000*S34/TrRoad_act!S68)</f>
        <v>5790.4425927727825</v>
      </c>
      <c r="T125" s="101">
        <f>IF(T34=0,0,1000000*T34/TrRoad_act!T68)</f>
        <v>5947.4522206871852</v>
      </c>
      <c r="U125" s="101">
        <f>IF(U34=0,0,1000000*U34/TrRoad_act!U68)</f>
        <v>5794.7998770528666</v>
      </c>
      <c r="V125" s="101">
        <f>IF(V34=0,0,1000000*V34/TrRoad_act!V68)</f>
        <v>5377.1800785110836</v>
      </c>
      <c r="W125" s="101">
        <f>IF(W34=0,0,1000000*W34/TrRoad_act!W68)</f>
        <v>5614.8654411595517</v>
      </c>
      <c r="X125" s="101">
        <f>IF(X34=0,0,1000000*X34/TrRoad_act!X68)</f>
        <v>5851.2619890244932</v>
      </c>
      <c r="Y125" s="101">
        <f>IF(Y34=0,0,1000000*Y34/TrRoad_act!Y68)</f>
        <v>5647.6392807922794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32090.888272476379</v>
      </c>
      <c r="C126" s="101">
        <f>IF(C36=0,0,1000000*C36/TrRoad_act!C69)</f>
        <v>32079.295364379606</v>
      </c>
      <c r="D126" s="101">
        <f>IF(D36=0,0,1000000*D36/TrRoad_act!D69)</f>
        <v>31263.470027220967</v>
      </c>
      <c r="E126" s="101">
        <f>IF(E36=0,0,1000000*E36/TrRoad_act!E69)</f>
        <v>30574.502190318155</v>
      </c>
      <c r="F126" s="101">
        <f>IF(F36=0,0,1000000*F36/TrRoad_act!F69)</f>
        <v>32994.440857488677</v>
      </c>
      <c r="G126" s="101">
        <f>IF(G36=0,0,1000000*G36/TrRoad_act!G69)</f>
        <v>30660.177228767498</v>
      </c>
      <c r="H126" s="101">
        <f>IF(H36=0,0,1000000*H36/TrRoad_act!H69)</f>
        <v>31088.505716219453</v>
      </c>
      <c r="I126" s="101">
        <f>IF(I36=0,0,1000000*I36/TrRoad_act!I69)</f>
        <v>32040.254026342016</v>
      </c>
      <c r="J126" s="101">
        <f>IF(J36=0,0,1000000*J36/TrRoad_act!J69)</f>
        <v>30524.680807369958</v>
      </c>
      <c r="K126" s="101">
        <f>IF(K36=0,0,1000000*K36/TrRoad_act!K69)</f>
        <v>30539.864222933717</v>
      </c>
      <c r="L126" s="101">
        <f>IF(L36=0,0,1000000*L36/TrRoad_act!L69)</f>
        <v>31131.469864658669</v>
      </c>
      <c r="M126" s="101">
        <f>IF(M36=0,0,1000000*M36/TrRoad_act!M69)</f>
        <v>30294.965523809689</v>
      </c>
      <c r="N126" s="101">
        <f>IF(N36=0,0,1000000*N36/TrRoad_act!N69)</f>
        <v>26809.001235802851</v>
      </c>
      <c r="O126" s="101">
        <f>IF(O36=0,0,1000000*O36/TrRoad_act!O69)</f>
        <v>24481.247349346282</v>
      </c>
      <c r="P126" s="101">
        <f>IF(P36=0,0,1000000*P36/TrRoad_act!P69)</f>
        <v>24215.271315049253</v>
      </c>
      <c r="Q126" s="101">
        <f>IF(Q36=0,0,1000000*Q36/TrRoad_act!Q69)</f>
        <v>25987.88950455319</v>
      </c>
      <c r="R126" s="101">
        <f>IF(R36=0,0,1000000*R36/TrRoad_act!R69)</f>
        <v>27049.310430588921</v>
      </c>
      <c r="S126" s="101">
        <f>IF(S36=0,0,1000000*S36/TrRoad_act!S69)</f>
        <v>28705.016516640706</v>
      </c>
      <c r="T126" s="101">
        <f>IF(T36=0,0,1000000*T36/TrRoad_act!T69)</f>
        <v>29646.962317809346</v>
      </c>
      <c r="U126" s="101">
        <f>IF(U36=0,0,1000000*U36/TrRoad_act!U69)</f>
        <v>30601.801260982429</v>
      </c>
      <c r="V126" s="101">
        <f>IF(V36=0,0,1000000*V36/TrRoad_act!V69)</f>
        <v>31707.447592150893</v>
      </c>
      <c r="W126" s="101">
        <f>IF(W36=0,0,1000000*W36/TrRoad_act!W69)</f>
        <v>33490.890668404405</v>
      </c>
      <c r="X126" s="101">
        <f>IF(X36=0,0,1000000*X36/TrRoad_act!X69)</f>
        <v>32146.542981205788</v>
      </c>
      <c r="Y126" s="101">
        <f>IF(Y36=0,0,1000000*Y36/TrRoad_act!Y69)</f>
        <v>32166.867708148289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X128" s="101">
        <f>IF(X39=0,0,1000000*X39/TrRoad_act!X71)</f>
        <v>0</v>
      </c>
      <c r="Y128" s="101">
        <f>IF(Y39=0,0,1000000*Y39/TrRoad_act!Y71)</f>
        <v>0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12529.955747980213</v>
      </c>
      <c r="K129" s="101">
        <f>IF(K41=0,0,1000000*K41/TrRoad_act!K72)</f>
        <v>12490.741248680388</v>
      </c>
      <c r="L129" s="101">
        <f>IF(L41=0,0,1000000*L41/TrRoad_act!L72)</f>
        <v>12490.687051015289</v>
      </c>
      <c r="M129" s="101">
        <f>IF(M41=0,0,1000000*M41/TrRoad_act!M72)</f>
        <v>12490.483919631752</v>
      </c>
      <c r="N129" s="101">
        <f>IF(N41=0,0,1000000*N41/TrRoad_act!N72)</f>
        <v>12486.635657183107</v>
      </c>
      <c r="O129" s="101">
        <f>IF(O41=0,0,1000000*O41/TrRoad_act!O72)</f>
        <v>12484.867432934925</v>
      </c>
      <c r="P129" s="101">
        <f>IF(P41=0,0,1000000*P41/TrRoad_act!P72)</f>
        <v>12494.579008882489</v>
      </c>
      <c r="Q129" s="101">
        <f>IF(Q41=0,0,1000000*Q41/TrRoad_act!Q72)</f>
        <v>12506.66447606821</v>
      </c>
      <c r="R129" s="101">
        <f>IF(R41=0,0,1000000*R41/TrRoad_act!R72)</f>
        <v>12487.791785585217</v>
      </c>
      <c r="S129" s="101">
        <f>IF(S41=0,0,1000000*S41/TrRoad_act!S72)</f>
        <v>12455.89906912737</v>
      </c>
      <c r="T129" s="101">
        <f>IF(T41=0,0,1000000*T41/TrRoad_act!T72)</f>
        <v>12417.259508112742</v>
      </c>
      <c r="U129" s="101">
        <f>IF(U41=0,0,1000000*U41/TrRoad_act!U72)</f>
        <v>12406.809827442108</v>
      </c>
      <c r="V129" s="101">
        <f>IF(V41=0,0,1000000*V41/TrRoad_act!V72)</f>
        <v>13568.99742802627</v>
      </c>
      <c r="W129" s="101">
        <f>IF(W41=0,0,1000000*W41/TrRoad_act!W72)</f>
        <v>13673.661190663075</v>
      </c>
      <c r="X129" s="101">
        <f>IF(X41=0,0,1000000*X41/TrRoad_act!X72)</f>
        <v>13623.570478667771</v>
      </c>
      <c r="Y129" s="101">
        <f>IF(Y41=0,0,1000000*Y41/TrRoad_act!Y72)</f>
        <v>12968.777580636712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1780.4880600120939</v>
      </c>
      <c r="C131" s="152">
        <f>IF(C43=0,0,1000000*C43/TrRoad_act!C74)</f>
        <v>1755.9641493036829</v>
      </c>
      <c r="D131" s="152">
        <f>IF(D43=0,0,1000000*D43/TrRoad_act!D74)</f>
        <v>1689.4294552198203</v>
      </c>
      <c r="E131" s="152">
        <f>IF(E43=0,0,1000000*E43/TrRoad_act!E74)</f>
        <v>1670.4872688123294</v>
      </c>
      <c r="F131" s="152">
        <f>IF(F43=0,0,1000000*F43/TrRoad_act!F74)</f>
        <v>1691.4144548152951</v>
      </c>
      <c r="G131" s="152">
        <f>IF(G43=0,0,1000000*G43/TrRoad_act!G74)</f>
        <v>1688.8379244463554</v>
      </c>
      <c r="H131" s="152">
        <f>IF(H43=0,0,1000000*H43/TrRoad_act!H74)</f>
        <v>1584.0212928307535</v>
      </c>
      <c r="I131" s="152">
        <f>IF(I43=0,0,1000000*I43/TrRoad_act!I74)</f>
        <v>1630.9131538516788</v>
      </c>
      <c r="J131" s="152">
        <f>IF(J43=0,0,1000000*J43/TrRoad_act!J74)</f>
        <v>1634.0088112301651</v>
      </c>
      <c r="K131" s="152">
        <f>IF(K43=0,0,1000000*K43/TrRoad_act!K74)</f>
        <v>1569.003638222267</v>
      </c>
      <c r="L131" s="152">
        <f>IF(L43=0,0,1000000*L43/TrRoad_act!L74)</f>
        <v>1577.2590789339827</v>
      </c>
      <c r="M131" s="152">
        <f>IF(M43=0,0,1000000*M43/TrRoad_act!M74)</f>
        <v>1521.207886936882</v>
      </c>
      <c r="N131" s="152">
        <f>IF(N43=0,0,1000000*N43/TrRoad_act!N74)</f>
        <v>1332.5445645315194</v>
      </c>
      <c r="O131" s="152">
        <f>IF(O43=0,0,1000000*O43/TrRoad_act!O74)</f>
        <v>1127.5540929118301</v>
      </c>
      <c r="P131" s="152">
        <f>IF(P43=0,0,1000000*P43/TrRoad_act!P74)</f>
        <v>1073.1531557014932</v>
      </c>
      <c r="Q131" s="152">
        <f>IF(Q43=0,0,1000000*Q43/TrRoad_act!Q74)</f>
        <v>1108.187641779916</v>
      </c>
      <c r="R131" s="152">
        <f>IF(R43=0,0,1000000*R43/TrRoad_act!R74)</f>
        <v>1161.285593149202</v>
      </c>
      <c r="S131" s="152">
        <f>IF(S43=0,0,1000000*S43/TrRoad_act!S74)</f>
        <v>1207.2152534110405</v>
      </c>
      <c r="T131" s="152">
        <f>IF(T43=0,0,1000000*T43/TrRoad_act!T74)</f>
        <v>1191.1289644720584</v>
      </c>
      <c r="U131" s="152">
        <f>IF(U43=0,0,1000000*U43/TrRoad_act!U74)</f>
        <v>1129.826545401779</v>
      </c>
      <c r="V131" s="152">
        <f>IF(V43=0,0,1000000*V43/TrRoad_act!V74)</f>
        <v>1135.2800725761017</v>
      </c>
      <c r="W131" s="152">
        <f>IF(W43=0,0,1000000*W43/TrRoad_act!W74)</f>
        <v>1165.1623930549531</v>
      </c>
      <c r="X131" s="152">
        <f>IF(X43=0,0,1000000*X43/TrRoad_act!X74)</f>
        <v>1008.9536642061839</v>
      </c>
      <c r="Y131" s="152">
        <f>IF(Y43=0,0,1000000*Y43/TrRoad_act!Y74)</f>
        <v>1003.0999389402492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848.65101114816412</v>
      </c>
      <c r="C132" s="87">
        <f>IF(C44=0,0,1000000*C44/TrRoad_act!C75)</f>
        <v>879.76993062395979</v>
      </c>
      <c r="D132" s="87">
        <f>IF(D44=0,0,1000000*D44/TrRoad_act!D75)</f>
        <v>923.7085399299533</v>
      </c>
      <c r="E132" s="87">
        <f>IF(E44=0,0,1000000*E44/TrRoad_act!E75)</f>
        <v>968.38572062050343</v>
      </c>
      <c r="F132" s="87">
        <f>IF(F44=0,0,1000000*F44/TrRoad_act!F75)</f>
        <v>919.67500996727006</v>
      </c>
      <c r="G132" s="87">
        <f>IF(G44=0,0,1000000*G44/TrRoad_act!G75)</f>
        <v>1012.6226154259117</v>
      </c>
      <c r="H132" s="87">
        <f>IF(H44=0,0,1000000*H44/TrRoad_act!H75)</f>
        <v>972.56285608389805</v>
      </c>
      <c r="I132" s="87">
        <f>IF(I44=0,0,1000000*I44/TrRoad_act!I75)</f>
        <v>960.40264686071362</v>
      </c>
      <c r="J132" s="87">
        <f>IF(J44=0,0,1000000*J44/TrRoad_act!J75)</f>
        <v>999.70962977690135</v>
      </c>
      <c r="K132" s="87">
        <f>IF(K44=0,0,1000000*K44/TrRoad_act!K75)</f>
        <v>919.31231202949141</v>
      </c>
      <c r="L132" s="87">
        <f>IF(L44=0,0,1000000*L44/TrRoad_act!L75)</f>
        <v>923.48746493851434</v>
      </c>
      <c r="M132" s="87">
        <f>IF(M44=0,0,1000000*M44/TrRoad_act!M75)</f>
        <v>920.6922768577067</v>
      </c>
      <c r="N132" s="87">
        <f>IF(N44=0,0,1000000*N44/TrRoad_act!N75)</f>
        <v>911.46752441057799</v>
      </c>
      <c r="O132" s="87">
        <f>IF(O44=0,0,1000000*O44/TrRoad_act!O75)</f>
        <v>818.25488636844932</v>
      </c>
      <c r="P132" s="87">
        <f>IF(P44=0,0,1000000*P44/TrRoad_act!P75)</f>
        <v>847.37548136206158</v>
      </c>
      <c r="Q132" s="87">
        <f>IF(Q44=0,0,1000000*Q44/TrRoad_act!Q75)</f>
        <v>851.99007936280793</v>
      </c>
      <c r="R132" s="87">
        <f>IF(R44=0,0,1000000*R44/TrRoad_act!R75)</f>
        <v>808.9251145276952</v>
      </c>
      <c r="S132" s="87">
        <f>IF(S44=0,0,1000000*S44/TrRoad_act!S75)</f>
        <v>844.05455535803162</v>
      </c>
      <c r="T132" s="87">
        <f>IF(T44=0,0,1000000*T44/TrRoad_act!T75)</f>
        <v>828.40085567110862</v>
      </c>
      <c r="U132" s="87">
        <f>IF(U44=0,0,1000000*U44/TrRoad_act!U75)</f>
        <v>802.41612453154175</v>
      </c>
      <c r="V132" s="87">
        <f>IF(V44=0,0,1000000*V44/TrRoad_act!V75)</f>
        <v>720.98467725648868</v>
      </c>
      <c r="W132" s="87">
        <f>IF(W44=0,0,1000000*W44/TrRoad_act!W75)</f>
        <v>729.5449778907257</v>
      </c>
      <c r="X132" s="87">
        <f>IF(X44=0,0,1000000*X44/TrRoad_act!X75)</f>
        <v>680.73814662843984</v>
      </c>
      <c r="Y132" s="87">
        <f>IF(Y44=0,0,1000000*Y44/TrRoad_act!Y75)</f>
        <v>660.42631969557067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1868.8641466080312</v>
      </c>
      <c r="C133" s="87">
        <f>IF(C46=0,0,1000000*C46/TrRoad_act!C76)</f>
        <v>1840.4335449977441</v>
      </c>
      <c r="D133" s="87">
        <f>IF(D46=0,0,1000000*D46/TrRoad_act!D76)</f>
        <v>1757.8382541707449</v>
      </c>
      <c r="E133" s="87">
        <f>IF(E46=0,0,1000000*E46/TrRoad_act!E76)</f>
        <v>1738.1712728796642</v>
      </c>
      <c r="F133" s="87">
        <f>IF(F46=0,0,1000000*F46/TrRoad_act!F76)</f>
        <v>1757.8771979048718</v>
      </c>
      <c r="G133" s="87">
        <f>IF(G46=0,0,1000000*G46/TrRoad_act!G76)</f>
        <v>1731.0814379704864</v>
      </c>
      <c r="H133" s="87">
        <f>IF(H46=0,0,1000000*H46/TrRoad_act!H76)</f>
        <v>1622.2172818391996</v>
      </c>
      <c r="I133" s="87">
        <f>IF(I46=0,0,1000000*I46/TrRoad_act!I76)</f>
        <v>1669.501322832655</v>
      </c>
      <c r="J133" s="87">
        <f>IF(J46=0,0,1000000*J46/TrRoad_act!J76)</f>
        <v>1672.2055661065779</v>
      </c>
      <c r="K133" s="87">
        <f>IF(K46=0,0,1000000*K46/TrRoad_act!K76)</f>
        <v>1607.9836616023249</v>
      </c>
      <c r="L133" s="87">
        <f>IF(L46=0,0,1000000*L46/TrRoad_act!L76)</f>
        <v>1614.7305810152691</v>
      </c>
      <c r="M133" s="87">
        <f>IF(M46=0,0,1000000*M46/TrRoad_act!M76)</f>
        <v>1554.997438013354</v>
      </c>
      <c r="N133" s="87">
        <f>IF(N46=0,0,1000000*N46/TrRoad_act!N76)</f>
        <v>1356.0713152842666</v>
      </c>
      <c r="O133" s="87">
        <f>IF(O46=0,0,1000000*O46/TrRoad_act!O76)</f>
        <v>1144.8948309085904</v>
      </c>
      <c r="P133" s="87">
        <f>IF(P46=0,0,1000000*P46/TrRoad_act!P76)</f>
        <v>1085.6509874015514</v>
      </c>
      <c r="Q133" s="87">
        <f>IF(Q46=0,0,1000000*Q46/TrRoad_act!Q76)</f>
        <v>1122.3221616138401</v>
      </c>
      <c r="R133" s="87">
        <f>IF(R46=0,0,1000000*R46/TrRoad_act!R76)</f>
        <v>1180.4150007031274</v>
      </c>
      <c r="S133" s="87">
        <f>IF(S46=0,0,1000000*S46/TrRoad_act!S76)</f>
        <v>1226.4510449221916</v>
      </c>
      <c r="T133" s="87">
        <f>IF(T46=0,0,1000000*T46/TrRoad_act!T76)</f>
        <v>1210.0267514994464</v>
      </c>
      <c r="U133" s="87">
        <f>IF(U46=0,0,1000000*U46/TrRoad_act!U76)</f>
        <v>1146.9711544383631</v>
      </c>
      <c r="V133" s="87">
        <f>IF(V46=0,0,1000000*V46/TrRoad_act!V76)</f>
        <v>1157.2166556974835</v>
      </c>
      <c r="W133" s="87">
        <f>IF(W46=0,0,1000000*W46/TrRoad_act!W76)</f>
        <v>1189.0021377495646</v>
      </c>
      <c r="X133" s="87">
        <f>IF(X46=0,0,1000000*X46/TrRoad_act!X76)</f>
        <v>1029.6666174101533</v>
      </c>
      <c r="Y133" s="87">
        <f>IF(Y46=0,0,1000000*Y46/TrRoad_act!Y76)</f>
        <v>1027.22010494859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119.13931697928057</v>
      </c>
      <c r="J136" s="87">
        <f>IF(J51=0,0,1000000*J51/TrRoad_act!J79)</f>
        <v>122.48717063830691</v>
      </c>
      <c r="K136" s="87">
        <f>IF(K51=0,0,1000000*K51/TrRoad_act!K79)</f>
        <v>127.80502731983385</v>
      </c>
      <c r="L136" s="87">
        <f>IF(L51=0,0,1000000*L51/TrRoad_act!L79)</f>
        <v>128.73239463278387</v>
      </c>
      <c r="M136" s="87">
        <f>IF(M51=0,0,1000000*M51/TrRoad_act!M79)</f>
        <v>129.84368414390059</v>
      </c>
      <c r="N136" s="87">
        <f>IF(N51=0,0,1000000*N51/TrRoad_act!N79)</f>
        <v>130.58181556183624</v>
      </c>
      <c r="O136" s="87">
        <f>IF(O51=0,0,1000000*O51/TrRoad_act!O79)</f>
        <v>134.19620083134507</v>
      </c>
      <c r="P136" s="87">
        <f>IF(P51=0,0,1000000*P51/TrRoad_act!P79)</f>
        <v>135.23028290451805</v>
      </c>
      <c r="Q136" s="87">
        <f>IF(Q51=0,0,1000000*Q51/TrRoad_act!Q79)</f>
        <v>135.61639202483431</v>
      </c>
      <c r="R136" s="87">
        <f>IF(R51=0,0,1000000*R51/TrRoad_act!R79)</f>
        <v>135.20206990111748</v>
      </c>
      <c r="S136" s="87">
        <f>IF(S51=0,0,1000000*S51/TrRoad_act!S79)</f>
        <v>134.79571157251098</v>
      </c>
      <c r="T136" s="87">
        <f>IF(T51=0,0,1000000*T51/TrRoad_act!T79)</f>
        <v>134.82968218270904</v>
      </c>
      <c r="U136" s="87">
        <f>IF(U51=0,0,1000000*U51/TrRoad_act!U79)</f>
        <v>167.40604369508404</v>
      </c>
      <c r="V136" s="87">
        <f>IF(V51=0,0,1000000*V51/TrRoad_act!V79)</f>
        <v>173.16763666207737</v>
      </c>
      <c r="W136" s="87">
        <f>IF(W51=0,0,1000000*W51/TrRoad_act!W79)</f>
        <v>177.01414664825333</v>
      </c>
      <c r="X136" s="87">
        <f>IF(X51=0,0,1000000*X51/TrRoad_act!X79)</f>
        <v>184.46693805771304</v>
      </c>
      <c r="Y136" s="87">
        <f>IF(Y51=0,0,1000000*Y51/TrRoad_act!Y79)</f>
        <v>192.71521621750108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3230.7623423392392</v>
      </c>
      <c r="C137" s="116">
        <f>IF(C52=0,0,1000000*C52/TrRoad_act!C80)</f>
        <v>2962.1082891510755</v>
      </c>
      <c r="D137" s="116">
        <f>IF(D52=0,0,1000000*D52/TrRoad_act!D80)</f>
        <v>2930.184692613117</v>
      </c>
      <c r="E137" s="116">
        <f>IF(E52=0,0,1000000*E52/TrRoad_act!E80)</f>
        <v>3179.370618527631</v>
      </c>
      <c r="F137" s="116">
        <f>IF(F52=0,0,1000000*F52/TrRoad_act!F80)</f>
        <v>2817.8197047352423</v>
      </c>
      <c r="G137" s="116">
        <f>IF(G52=0,0,1000000*G52/TrRoad_act!G80)</f>
        <v>2638.2098715454968</v>
      </c>
      <c r="H137" s="116">
        <f>IF(H52=0,0,1000000*H52/TrRoad_act!H80)</f>
        <v>2170.6299592917253</v>
      </c>
      <c r="I137" s="116">
        <f>IF(I52=0,0,1000000*I52/TrRoad_act!I80)</f>
        <v>2609.9079918767652</v>
      </c>
      <c r="J137" s="116">
        <f>IF(J52=0,0,1000000*J52/TrRoad_act!J80)</f>
        <v>2666.3964277578898</v>
      </c>
      <c r="K137" s="116">
        <f>IF(K52=0,0,1000000*K52/TrRoad_act!K80)</f>
        <v>2000.94633644535</v>
      </c>
      <c r="L137" s="116">
        <f>IF(L52=0,0,1000000*L52/TrRoad_act!L80)</f>
        <v>2306.5262298067692</v>
      </c>
      <c r="M137" s="116">
        <f>IF(M52=0,0,1000000*M52/TrRoad_act!M80)</f>
        <v>1992.9366011394156</v>
      </c>
      <c r="N137" s="116">
        <f>IF(N52=0,0,1000000*N52/TrRoad_act!N80)</f>
        <v>1782.0169277480068</v>
      </c>
      <c r="O137" s="116">
        <f>IF(O52=0,0,1000000*O52/TrRoad_act!O80)</f>
        <v>1676.7341798739631</v>
      </c>
      <c r="P137" s="116">
        <f>IF(P52=0,0,1000000*P52/TrRoad_act!P80)</f>
        <v>1526.5600496864361</v>
      </c>
      <c r="Q137" s="116">
        <f>IF(Q52=0,0,1000000*Q52/TrRoad_act!Q80)</f>
        <v>1564.1739367254052</v>
      </c>
      <c r="R137" s="116">
        <f>IF(R52=0,0,1000000*R52/TrRoad_act!R80)</f>
        <v>2039.120998228716</v>
      </c>
      <c r="S137" s="116">
        <f>IF(S52=0,0,1000000*S52/TrRoad_act!S80)</f>
        <v>2320.6596722667236</v>
      </c>
      <c r="T137" s="116">
        <f>IF(T52=0,0,1000000*T52/TrRoad_act!T80)</f>
        <v>2344.0293776417261</v>
      </c>
      <c r="U137" s="116">
        <f>IF(U52=0,0,1000000*U52/TrRoad_act!U80)</f>
        <v>2335.117075282616</v>
      </c>
      <c r="V137" s="116">
        <f>IF(V52=0,0,1000000*V52/TrRoad_act!V80)</f>
        <v>1715.6400366802854</v>
      </c>
      <c r="W137" s="116">
        <f>IF(W52=0,0,1000000*W52/TrRoad_act!W80)</f>
        <v>1770.3715305005217</v>
      </c>
      <c r="X137" s="116">
        <f>IF(X52=0,0,1000000*X52/TrRoad_act!X80)</f>
        <v>2231.1813298572324</v>
      </c>
      <c r="Y137" s="116">
        <f>IF(Y52=0,0,1000000*Y52/TrRoad_act!Y80)</f>
        <v>2155.4807148138652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3230.7623423392392</v>
      </c>
      <c r="C138" s="101">
        <f>IF(C53=0,0,1000000*C53/TrRoad_act!C81)</f>
        <v>2962.1082891510755</v>
      </c>
      <c r="D138" s="101">
        <f>IF(D53=0,0,1000000*D53/TrRoad_act!D81)</f>
        <v>2930.184692613117</v>
      </c>
      <c r="E138" s="101">
        <f>IF(E53=0,0,1000000*E53/TrRoad_act!E81)</f>
        <v>3179.370618527631</v>
      </c>
      <c r="F138" s="101">
        <f>IF(F53=0,0,1000000*F53/TrRoad_act!F81)</f>
        <v>2817.8197047352423</v>
      </c>
      <c r="G138" s="101">
        <f>IF(G53=0,0,1000000*G53/TrRoad_act!G81)</f>
        <v>2638.2098715454968</v>
      </c>
      <c r="H138" s="101">
        <f>IF(H53=0,0,1000000*H53/TrRoad_act!H81)</f>
        <v>2170.6299592917253</v>
      </c>
      <c r="I138" s="101">
        <f>IF(I53=0,0,1000000*I53/TrRoad_act!I81)</f>
        <v>2609.9079918767652</v>
      </c>
      <c r="J138" s="101">
        <f>IF(J53=0,0,1000000*J53/TrRoad_act!J81)</f>
        <v>2666.3964277578898</v>
      </c>
      <c r="K138" s="101">
        <f>IF(K53=0,0,1000000*K53/TrRoad_act!K81)</f>
        <v>2000.94633644535</v>
      </c>
      <c r="L138" s="101">
        <f>IF(L53=0,0,1000000*L53/TrRoad_act!L81)</f>
        <v>2306.5262298067692</v>
      </c>
      <c r="M138" s="101">
        <f>IF(M53=0,0,1000000*M53/TrRoad_act!M81)</f>
        <v>1992.9366011394156</v>
      </c>
      <c r="N138" s="101">
        <f>IF(N53=0,0,1000000*N53/TrRoad_act!N81)</f>
        <v>1782.0169277480068</v>
      </c>
      <c r="O138" s="101">
        <f>IF(O53=0,0,1000000*O53/TrRoad_act!O81)</f>
        <v>1676.7341798739631</v>
      </c>
      <c r="P138" s="101">
        <f>IF(P53=0,0,1000000*P53/TrRoad_act!P81)</f>
        <v>1526.5600496864361</v>
      </c>
      <c r="Q138" s="101">
        <f>IF(Q53=0,0,1000000*Q53/TrRoad_act!Q81)</f>
        <v>1564.1739367254052</v>
      </c>
      <c r="R138" s="101">
        <f>IF(R53=0,0,1000000*R53/TrRoad_act!R81)</f>
        <v>2039.120998228716</v>
      </c>
      <c r="S138" s="101">
        <f>IF(S53=0,0,1000000*S53/TrRoad_act!S81)</f>
        <v>2320.6596722667236</v>
      </c>
      <c r="T138" s="101">
        <f>IF(T53=0,0,1000000*T53/TrRoad_act!T81)</f>
        <v>2344.0293776417261</v>
      </c>
      <c r="U138" s="101">
        <f>IF(U53=0,0,1000000*U53/TrRoad_act!U81)</f>
        <v>2335.117075282616</v>
      </c>
      <c r="V138" s="101">
        <f>IF(V53=0,0,1000000*V53/TrRoad_act!V81)</f>
        <v>1715.6400366802854</v>
      </c>
      <c r="W138" s="101">
        <f>IF(W53=0,0,1000000*W53/TrRoad_act!W81)</f>
        <v>1770.3715305005217</v>
      </c>
      <c r="X138" s="101">
        <f>IF(X53=0,0,1000000*X53/TrRoad_act!X81)</f>
        <v>2231.1813298572324</v>
      </c>
      <c r="Y138" s="101">
        <f>IF(Y53=0,0,1000000*Y53/TrRoad_act!Y81)</f>
        <v>2155.4807148138652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0</v>
      </c>
      <c r="C139" s="88">
        <f>IF(C55=0,0,1000000*C55/TrRoad_act!C82)</f>
        <v>0</v>
      </c>
      <c r="D139" s="88">
        <f>IF(D55=0,0,1000000*D55/TrRoad_act!D82)</f>
        <v>0</v>
      </c>
      <c r="E139" s="88">
        <f>IF(E55=0,0,1000000*E55/TrRoad_act!E82)</f>
        <v>0</v>
      </c>
      <c r="F139" s="88">
        <f>IF(F55=0,0,1000000*F55/TrRoad_act!F82)</f>
        <v>0</v>
      </c>
      <c r="G139" s="88">
        <f>IF(G55=0,0,1000000*G55/TrRoad_act!G82)</f>
        <v>0</v>
      </c>
      <c r="H139" s="88">
        <f>IF(H55=0,0,1000000*H55/TrRoad_act!H82)</f>
        <v>0</v>
      </c>
      <c r="I139" s="88">
        <f>IF(I55=0,0,1000000*I55/TrRoad_act!I82)</f>
        <v>0</v>
      </c>
      <c r="J139" s="88">
        <f>IF(J55=0,0,1000000*J55/TrRoad_act!J82)</f>
        <v>0</v>
      </c>
      <c r="K139" s="88">
        <f>IF(K55=0,0,1000000*K55/TrRoad_act!K82)</f>
        <v>0</v>
      </c>
      <c r="L139" s="88">
        <f>IF(L55=0,0,1000000*L55/TrRoad_act!L82)</f>
        <v>0</v>
      </c>
      <c r="M139" s="88">
        <f>IF(M55=0,0,1000000*M55/TrRoad_act!M82)</f>
        <v>0</v>
      </c>
      <c r="N139" s="88">
        <f>IF(N55=0,0,1000000*N55/TrRoad_act!N82)</f>
        <v>0</v>
      </c>
      <c r="O139" s="88">
        <f>IF(O55=0,0,1000000*O55/TrRoad_act!O82)</f>
        <v>0</v>
      </c>
      <c r="P139" s="88">
        <f>IF(P55=0,0,1000000*P55/TrRoad_act!P82)</f>
        <v>0</v>
      </c>
      <c r="Q139" s="88">
        <f>IF(Q55=0,0,1000000*Q55/TrRoad_act!Q82)</f>
        <v>0</v>
      </c>
      <c r="R139" s="88">
        <f>IF(R55=0,0,1000000*R55/TrRoad_act!R82)</f>
        <v>0</v>
      </c>
      <c r="S139" s="88">
        <f>IF(S55=0,0,1000000*S55/TrRoad_act!S82)</f>
        <v>0</v>
      </c>
      <c r="T139" s="88">
        <f>IF(T55=0,0,1000000*T55/TrRoad_act!T82)</f>
        <v>0</v>
      </c>
      <c r="U139" s="88">
        <f>IF(U55=0,0,1000000*U55/TrRoad_act!U82)</f>
        <v>0</v>
      </c>
      <c r="V139" s="88">
        <f>IF(V55=0,0,1000000*V55/TrRoad_act!V82)</f>
        <v>0</v>
      </c>
      <c r="W139" s="88">
        <f>IF(W55=0,0,1000000*W55/TrRoad_act!W82)</f>
        <v>0</v>
      </c>
      <c r="X139" s="88">
        <f>IF(X55=0,0,1000000*X55/TrRoad_act!X82)</f>
        <v>0</v>
      </c>
      <c r="Y139" s="88">
        <f>IF(Y55=0,0,1000000*Y55/TrRoad_act!Y82)</f>
        <v>0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0.60966208675251565</v>
      </c>
      <c r="C142" s="46">
        <f t="shared" si="42"/>
        <v>0.62016730362551908</v>
      </c>
      <c r="D142" s="46">
        <f t="shared" si="42"/>
        <v>0.63150443552888813</v>
      </c>
      <c r="E142" s="46">
        <f t="shared" si="42"/>
        <v>0.6444249102027666</v>
      </c>
      <c r="F142" s="46">
        <f t="shared" si="42"/>
        <v>0.67298442181743967</v>
      </c>
      <c r="G142" s="46">
        <f t="shared" si="42"/>
        <v>0.6765966996234456</v>
      </c>
      <c r="H142" s="46">
        <f t="shared" si="42"/>
        <v>0.71057713674343503</v>
      </c>
      <c r="I142" s="46">
        <f t="shared" si="42"/>
        <v>0.72110050573204709</v>
      </c>
      <c r="J142" s="46">
        <f t="shared" si="42"/>
        <v>0.72357266256139774</v>
      </c>
      <c r="K142" s="46">
        <f t="shared" si="42"/>
        <v>0.74556520026964479</v>
      </c>
      <c r="L142" s="46">
        <f t="shared" ref="L142" si="43">IF(L18=0,0,L18/L$17)</f>
        <v>0.74319957119234314</v>
      </c>
      <c r="M142" s="46">
        <f t="shared" ref="M142:V142" si="44">IF(M18=0,0,M18/M$17)</f>
        <v>0.75297301610648792</v>
      </c>
      <c r="N142" s="46">
        <f t="shared" si="44"/>
        <v>0.76825350657064406</v>
      </c>
      <c r="O142" s="46">
        <f t="shared" si="44"/>
        <v>0.7905336826573981</v>
      </c>
      <c r="P142" s="46">
        <f t="shared" si="44"/>
        <v>0.80410043289196353</v>
      </c>
      <c r="Q142" s="46">
        <f t="shared" si="44"/>
        <v>0.80634559564080954</v>
      </c>
      <c r="R142" s="46">
        <f t="shared" si="44"/>
        <v>0.79641221069065926</v>
      </c>
      <c r="S142" s="46">
        <f t="shared" si="44"/>
        <v>0.78810650008748395</v>
      </c>
      <c r="T142" s="46">
        <f t="shared" si="44"/>
        <v>0.78464645967790059</v>
      </c>
      <c r="U142" s="46">
        <f t="shared" si="44"/>
        <v>0.7888998069879869</v>
      </c>
      <c r="V142" s="46">
        <f t="shared" si="44"/>
        <v>0.77204847038723645</v>
      </c>
      <c r="W142" s="46">
        <f t="shared" ref="W142:Y142" si="45">IF(W18=0,0,W18/W$17)</f>
        <v>0.77811730918641975</v>
      </c>
      <c r="X142" s="46">
        <f t="shared" si="45"/>
        <v>0.78448697751988961</v>
      </c>
      <c r="Y142" s="46">
        <f t="shared" si="45"/>
        <v>0.78976262598748637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1.0108071975304974E-2</v>
      </c>
      <c r="C143" s="154">
        <f t="shared" si="46"/>
        <v>9.5581601495898314E-3</v>
      </c>
      <c r="D143" s="154">
        <f t="shared" si="46"/>
        <v>9.3738584643240919E-3</v>
      </c>
      <c r="E143" s="154">
        <f t="shared" si="46"/>
        <v>8.9349288007736071E-3</v>
      </c>
      <c r="F143" s="154">
        <f t="shared" si="46"/>
        <v>8.3999919501765805E-3</v>
      </c>
      <c r="G143" s="154">
        <f t="shared" si="46"/>
        <v>8.0628522302139041E-3</v>
      </c>
      <c r="H143" s="154">
        <f t="shared" si="46"/>
        <v>8.0239385962690164E-3</v>
      </c>
      <c r="I143" s="154">
        <f t="shared" si="46"/>
        <v>7.5226402583458548E-3</v>
      </c>
      <c r="J143" s="154">
        <f t="shared" si="46"/>
        <v>7.3388274099690926E-3</v>
      </c>
      <c r="K143" s="154">
        <f t="shared" si="46"/>
        <v>7.1941777198034577E-3</v>
      </c>
      <c r="L143" s="154">
        <f t="shared" ref="L143" si="47">IF(L19=0,0,L19/L$17)</f>
        <v>6.886573506318939E-3</v>
      </c>
      <c r="M143" s="154">
        <f t="shared" ref="M143:V143" si="48">IF(M19=0,0,M19/M$17)</f>
        <v>6.8807248548052036E-3</v>
      </c>
      <c r="N143" s="154">
        <f t="shared" si="48"/>
        <v>7.5375598218381046E-3</v>
      </c>
      <c r="O143" s="154">
        <f t="shared" si="48"/>
        <v>8.1534017815802096E-3</v>
      </c>
      <c r="P143" s="154">
        <f t="shared" si="48"/>
        <v>8.4851222537535281E-3</v>
      </c>
      <c r="Q143" s="154">
        <f t="shared" si="48"/>
        <v>7.8742341858603696E-3</v>
      </c>
      <c r="R143" s="154">
        <f t="shared" si="48"/>
        <v>7.3718731717136035E-3</v>
      </c>
      <c r="S143" s="154">
        <f t="shared" si="48"/>
        <v>6.6594249716079431E-3</v>
      </c>
      <c r="T143" s="154">
        <f t="shared" si="48"/>
        <v>6.2179395974011195E-3</v>
      </c>
      <c r="U143" s="154">
        <f t="shared" si="48"/>
        <v>6.428184158259311E-3</v>
      </c>
      <c r="V143" s="154">
        <f t="shared" si="48"/>
        <v>6.3757980763722638E-3</v>
      </c>
      <c r="W143" s="154">
        <f t="shared" ref="W143:Y143" si="49">IF(W19=0,0,W19/W$17)</f>
        <v>6.1069418974274833E-3</v>
      </c>
      <c r="X143" s="154">
        <f t="shared" si="49"/>
        <v>6.2187960531877671E-3</v>
      </c>
      <c r="Y143" s="154">
        <f t="shared" si="49"/>
        <v>6.3734772726988633E-3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0.44268799736997211</v>
      </c>
      <c r="C144" s="156">
        <f t="shared" si="50"/>
        <v>0.45572304701411265</v>
      </c>
      <c r="D144" s="156">
        <f t="shared" si="50"/>
        <v>0.46997341578647966</v>
      </c>
      <c r="E144" s="156">
        <f t="shared" si="50"/>
        <v>0.48153847552453732</v>
      </c>
      <c r="F144" s="156">
        <f t="shared" si="50"/>
        <v>0.51097980925131681</v>
      </c>
      <c r="G144" s="156">
        <f t="shared" si="50"/>
        <v>0.52777429266624931</v>
      </c>
      <c r="H144" s="156">
        <f t="shared" si="50"/>
        <v>0.5592285308581213</v>
      </c>
      <c r="I144" s="156">
        <f t="shared" si="50"/>
        <v>0.57213950371948119</v>
      </c>
      <c r="J144" s="156">
        <f t="shared" si="50"/>
        <v>0.58207235923513112</v>
      </c>
      <c r="K144" s="156">
        <f t="shared" si="50"/>
        <v>0.60247525606458585</v>
      </c>
      <c r="L144" s="156">
        <f t="shared" ref="L144" si="51">IF(L21=0,0,L21/L$17)</f>
        <v>0.6026256059511329</v>
      </c>
      <c r="M144" s="156">
        <f t="shared" ref="M144:V144" si="52">IF(M21=0,0,M21/M$17)</f>
        <v>0.60995316388260801</v>
      </c>
      <c r="N144" s="156">
        <f t="shared" si="52"/>
        <v>0.6265231980756647</v>
      </c>
      <c r="O144" s="156">
        <f t="shared" si="52"/>
        <v>0.6487179039209654</v>
      </c>
      <c r="P144" s="156">
        <f t="shared" si="52"/>
        <v>0.65878601398587555</v>
      </c>
      <c r="Q144" s="156">
        <f t="shared" si="52"/>
        <v>0.65161725558243433</v>
      </c>
      <c r="R144" s="156">
        <f t="shared" si="52"/>
        <v>0.64349450475879755</v>
      </c>
      <c r="S144" s="156">
        <f t="shared" si="52"/>
        <v>0.63380538650321516</v>
      </c>
      <c r="T144" s="156">
        <f t="shared" si="52"/>
        <v>0.63137297962900718</v>
      </c>
      <c r="U144" s="156">
        <f t="shared" si="52"/>
        <v>0.63379485487125509</v>
      </c>
      <c r="V144" s="156">
        <f t="shared" si="52"/>
        <v>0.62871667919253715</v>
      </c>
      <c r="W144" s="156">
        <f t="shared" ref="W144:Y144" si="53">IF(W21=0,0,W21/W$17)</f>
        <v>0.63090110236437691</v>
      </c>
      <c r="X144" s="156">
        <f t="shared" si="53"/>
        <v>0.63637077732421599</v>
      </c>
      <c r="Y144" s="156">
        <f t="shared" si="53"/>
        <v>0.63897788758694085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0.35316383810965957</v>
      </c>
      <c r="C145" s="103">
        <f t="shared" si="54"/>
        <v>0.36436038186843073</v>
      </c>
      <c r="D145" s="103">
        <f t="shared" si="54"/>
        <v>0.38392258589493333</v>
      </c>
      <c r="E145" s="103">
        <f t="shared" si="54"/>
        <v>0.4006329084189027</v>
      </c>
      <c r="F145" s="103">
        <f t="shared" si="54"/>
        <v>0.42968162434623786</v>
      </c>
      <c r="G145" s="103">
        <f t="shared" si="54"/>
        <v>0.45612970012079873</v>
      </c>
      <c r="H145" s="103">
        <f t="shared" si="54"/>
        <v>0.48978604993007774</v>
      </c>
      <c r="I145" s="103">
        <f t="shared" si="54"/>
        <v>0.50190948503669819</v>
      </c>
      <c r="J145" s="103">
        <f t="shared" si="54"/>
        <v>0.51195109846551945</v>
      </c>
      <c r="K145" s="103">
        <f t="shared" si="54"/>
        <v>0.52548770516274701</v>
      </c>
      <c r="L145" s="103">
        <f t="shared" ref="L145" si="55">IF(L22=0,0,L22/L$17)</f>
        <v>0.52463699068698466</v>
      </c>
      <c r="M145" s="103">
        <f t="shared" ref="M145:V145" si="56">IF(M22=0,0,M22/M$17)</f>
        <v>0.53277590420530896</v>
      </c>
      <c r="N145" s="103">
        <f t="shared" si="56"/>
        <v>0.55647747550326809</v>
      </c>
      <c r="O145" s="103">
        <f t="shared" si="56"/>
        <v>0.57927297797000155</v>
      </c>
      <c r="P145" s="103">
        <f t="shared" si="56"/>
        <v>0.58591238728895134</v>
      </c>
      <c r="Q145" s="103">
        <f t="shared" si="56"/>
        <v>0.57198421900706453</v>
      </c>
      <c r="R145" s="103">
        <f t="shared" si="56"/>
        <v>0.55535737444463174</v>
      </c>
      <c r="S145" s="103">
        <f t="shared" si="56"/>
        <v>0.53407960089018913</v>
      </c>
      <c r="T145" s="103">
        <f t="shared" si="56"/>
        <v>0.51719109875669722</v>
      </c>
      <c r="U145" s="103">
        <f t="shared" si="56"/>
        <v>0.5034785070003529</v>
      </c>
      <c r="V145" s="103">
        <f t="shared" si="56"/>
        <v>0.47692922321128406</v>
      </c>
      <c r="W145" s="103">
        <f t="shared" ref="W145:Y145" si="57">IF(W22=0,0,W22/W$17)</f>
        <v>0.47752758008899893</v>
      </c>
      <c r="X145" s="103">
        <f t="shared" si="57"/>
        <v>0.49170993540662311</v>
      </c>
      <c r="Y145" s="103">
        <f t="shared" si="57"/>
        <v>0.49201903300787769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8.9524159260312569E-2</v>
      </c>
      <c r="C146" s="103">
        <f t="shared" si="58"/>
        <v>9.1362665145681865E-2</v>
      </c>
      <c r="D146" s="103">
        <f t="shared" si="58"/>
        <v>8.6050829891546346E-2</v>
      </c>
      <c r="E146" s="103">
        <f t="shared" si="58"/>
        <v>8.0905567105634582E-2</v>
      </c>
      <c r="F146" s="103">
        <f t="shared" si="58"/>
        <v>8.1298184905078882E-2</v>
      </c>
      <c r="G146" s="103">
        <f t="shared" si="58"/>
        <v>7.1644592545450553E-2</v>
      </c>
      <c r="H146" s="103">
        <f t="shared" si="58"/>
        <v>6.9442480928043476E-2</v>
      </c>
      <c r="I146" s="103">
        <f t="shared" si="58"/>
        <v>7.0230018682783057E-2</v>
      </c>
      <c r="J146" s="103">
        <f t="shared" si="58"/>
        <v>7.0121260769611685E-2</v>
      </c>
      <c r="K146" s="103">
        <f t="shared" si="58"/>
        <v>7.6987550901838883E-2</v>
      </c>
      <c r="L146" s="103">
        <f t="shared" ref="L146" si="59">IF(L24=0,0,L24/L$17)</f>
        <v>7.7988615264148256E-2</v>
      </c>
      <c r="M146" s="103">
        <f t="shared" ref="M146:V146" si="60">IF(M24=0,0,M24/M$17)</f>
        <v>7.7177259677299034E-2</v>
      </c>
      <c r="N146" s="103">
        <f t="shared" si="60"/>
        <v>7.0045722572396621E-2</v>
      </c>
      <c r="O146" s="103">
        <f t="shared" si="60"/>
        <v>6.9443444665197543E-2</v>
      </c>
      <c r="P146" s="103">
        <f t="shared" si="60"/>
        <v>7.2868196918938519E-2</v>
      </c>
      <c r="Q146" s="103">
        <f t="shared" si="60"/>
        <v>7.9611864279690844E-2</v>
      </c>
      <c r="R146" s="103">
        <f t="shared" si="60"/>
        <v>8.8096738615202841E-2</v>
      </c>
      <c r="S146" s="103">
        <f t="shared" si="60"/>
        <v>9.9638686344514102E-2</v>
      </c>
      <c r="T146" s="103">
        <f t="shared" si="60"/>
        <v>0.11332508971964689</v>
      </c>
      <c r="U146" s="103">
        <f t="shared" si="60"/>
        <v>0.12934916350605774</v>
      </c>
      <c r="V146" s="103">
        <f t="shared" si="60"/>
        <v>0.1507861614283344</v>
      </c>
      <c r="W146" s="103">
        <f t="shared" ref="W146:Y146" si="61">IF(W24=0,0,W24/W$17)</f>
        <v>0.1522242936968364</v>
      </c>
      <c r="X146" s="103">
        <f t="shared" si="61"/>
        <v>0.14325553196417853</v>
      </c>
      <c r="Y146" s="103">
        <f t="shared" si="61"/>
        <v>0.1453357570053038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0</v>
      </c>
      <c r="C147" s="103">
        <f t="shared" si="62"/>
        <v>0</v>
      </c>
      <c r="D147" s="103">
        <f t="shared" si="62"/>
        <v>0</v>
      </c>
      <c r="E147" s="103">
        <f t="shared" si="62"/>
        <v>0</v>
      </c>
      <c r="F147" s="103">
        <f t="shared" si="62"/>
        <v>0</v>
      </c>
      <c r="G147" s="103">
        <f t="shared" si="62"/>
        <v>0</v>
      </c>
      <c r="H147" s="103">
        <f t="shared" si="62"/>
        <v>0</v>
      </c>
      <c r="I147" s="103">
        <f t="shared" si="62"/>
        <v>0</v>
      </c>
      <c r="J147" s="103">
        <f t="shared" si="62"/>
        <v>0</v>
      </c>
      <c r="K147" s="103">
        <f t="shared" si="62"/>
        <v>0</v>
      </c>
      <c r="L147" s="103">
        <f t="shared" ref="L147" si="63">IF(L26=0,0,L26/L$17)</f>
        <v>0</v>
      </c>
      <c r="M147" s="103">
        <f t="shared" ref="M147:V147" si="64">IF(M26=0,0,M26/M$17)</f>
        <v>0</v>
      </c>
      <c r="N147" s="103">
        <f t="shared" si="64"/>
        <v>0</v>
      </c>
      <c r="O147" s="103">
        <f t="shared" si="64"/>
        <v>0</v>
      </c>
      <c r="P147" s="103">
        <f t="shared" si="64"/>
        <v>0</v>
      </c>
      <c r="Q147" s="103">
        <f t="shared" si="64"/>
        <v>0</v>
      </c>
      <c r="R147" s="103">
        <f t="shared" si="64"/>
        <v>0</v>
      </c>
      <c r="S147" s="103">
        <f t="shared" si="64"/>
        <v>0</v>
      </c>
      <c r="T147" s="103">
        <f t="shared" si="64"/>
        <v>7.3019371111735442E-4</v>
      </c>
      <c r="U147" s="103">
        <f t="shared" si="64"/>
        <v>7.8086610398280486E-4</v>
      </c>
      <c r="V147" s="103">
        <f t="shared" si="64"/>
        <v>7.3193652294611738E-4</v>
      </c>
      <c r="W147" s="103">
        <f t="shared" ref="W147:Y147" si="65">IF(W26=0,0,W26/W$17)</f>
        <v>7.8492629757603242E-4</v>
      </c>
      <c r="X147" s="103">
        <f t="shared" si="65"/>
        <v>8.7112639082861747E-4</v>
      </c>
      <c r="Y147" s="103">
        <f t="shared" si="65"/>
        <v>7.055204813310674E-4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0</v>
      </c>
      <c r="M148" s="103">
        <f t="shared" ref="M148:V148" si="68">IF(M27=0,0,M27/M$17)</f>
        <v>0</v>
      </c>
      <c r="N148" s="103">
        <f t="shared" si="68"/>
        <v>0</v>
      </c>
      <c r="O148" s="103">
        <f t="shared" si="68"/>
        <v>0</v>
      </c>
      <c r="P148" s="103">
        <f t="shared" si="68"/>
        <v>0</v>
      </c>
      <c r="Q148" s="103">
        <f t="shared" si="68"/>
        <v>0</v>
      </c>
      <c r="R148" s="103">
        <f t="shared" si="68"/>
        <v>0</v>
      </c>
      <c r="S148" s="103">
        <f t="shared" si="68"/>
        <v>0</v>
      </c>
      <c r="T148" s="103">
        <f t="shared" si="68"/>
        <v>0</v>
      </c>
      <c r="U148" s="103">
        <f t="shared" si="68"/>
        <v>0</v>
      </c>
      <c r="V148" s="103">
        <f t="shared" si="68"/>
        <v>0</v>
      </c>
      <c r="W148" s="103">
        <f t="shared" ref="W148:Y148" si="69">IF(W27=0,0,W27/W$17)</f>
        <v>0</v>
      </c>
      <c r="X148" s="103">
        <f t="shared" si="69"/>
        <v>0</v>
      </c>
      <c r="Y148" s="103">
        <f t="shared" si="69"/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0</v>
      </c>
      <c r="O149" s="103">
        <f t="shared" si="72"/>
        <v>0</v>
      </c>
      <c r="P149" s="103">
        <f t="shared" si="72"/>
        <v>1.6025333701120564E-6</v>
      </c>
      <c r="Q149" s="103">
        <f t="shared" si="72"/>
        <v>1.5378988785411751E-5</v>
      </c>
      <c r="R149" s="103">
        <f t="shared" si="72"/>
        <v>3.0853887979364482E-5</v>
      </c>
      <c r="S149" s="103">
        <f t="shared" si="72"/>
        <v>6.7608904100354837E-5</v>
      </c>
      <c r="T149" s="103">
        <f t="shared" si="72"/>
        <v>1.0047449920938641E-4</v>
      </c>
      <c r="U149" s="103">
        <f t="shared" si="72"/>
        <v>1.4649006261021152E-4</v>
      </c>
      <c r="V149" s="103">
        <f t="shared" si="72"/>
        <v>2.0556387446180516E-4</v>
      </c>
      <c r="W149" s="103">
        <f t="shared" ref="W149:Y149" si="73">IF(W29=0,0,W29/W$17)</f>
        <v>2.787679880695761E-4</v>
      </c>
      <c r="X149" s="103">
        <f t="shared" si="73"/>
        <v>3.814151952996364E-4</v>
      </c>
      <c r="Y149" s="103">
        <f t="shared" si="73"/>
        <v>5.8770509582816203E-4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0</v>
      </c>
      <c r="N150" s="103">
        <f t="shared" si="76"/>
        <v>0</v>
      </c>
      <c r="O150" s="103">
        <f t="shared" si="76"/>
        <v>1.4812857663710531E-6</v>
      </c>
      <c r="P150" s="103">
        <f t="shared" si="76"/>
        <v>3.8272446156923564E-6</v>
      </c>
      <c r="Q150" s="103">
        <f t="shared" si="76"/>
        <v>5.7933068936366566E-6</v>
      </c>
      <c r="R150" s="103">
        <f t="shared" si="76"/>
        <v>9.5378109837520603E-6</v>
      </c>
      <c r="S150" s="103">
        <f t="shared" si="76"/>
        <v>1.9490364411610078E-5</v>
      </c>
      <c r="T150" s="103">
        <f t="shared" si="76"/>
        <v>2.612294233642821E-5</v>
      </c>
      <c r="U150" s="103">
        <f t="shared" si="76"/>
        <v>3.9828198251420298E-5</v>
      </c>
      <c r="V150" s="103">
        <f t="shared" si="76"/>
        <v>6.3794155510785665E-5</v>
      </c>
      <c r="W150" s="103">
        <f t="shared" ref="W150:Y150" si="77">IF(W32=0,0,W32/W$17)</f>
        <v>8.5534292895948189E-5</v>
      </c>
      <c r="X150" s="103">
        <f t="shared" si="77"/>
        <v>1.52768367285919E-4</v>
      </c>
      <c r="Y150" s="103">
        <f t="shared" si="77"/>
        <v>3.2987199660007262E-4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0.15686601740723846</v>
      </c>
      <c r="C151" s="156">
        <f t="shared" si="78"/>
        <v>0.15488609646181653</v>
      </c>
      <c r="D151" s="156">
        <f t="shared" si="78"/>
        <v>0.15215716127808435</v>
      </c>
      <c r="E151" s="156">
        <f t="shared" si="78"/>
        <v>0.15395150587745562</v>
      </c>
      <c r="F151" s="156">
        <f t="shared" si="78"/>
        <v>0.15360462061594629</v>
      </c>
      <c r="G151" s="156">
        <f t="shared" si="78"/>
        <v>0.14075955472698237</v>
      </c>
      <c r="H151" s="156">
        <f t="shared" si="78"/>
        <v>0.14332466728904475</v>
      </c>
      <c r="I151" s="156">
        <f t="shared" si="78"/>
        <v>0.14143836175421998</v>
      </c>
      <c r="J151" s="156">
        <f t="shared" si="78"/>
        <v>0.13416147591629754</v>
      </c>
      <c r="K151" s="156">
        <f t="shared" si="78"/>
        <v>0.1358957664852555</v>
      </c>
      <c r="L151" s="156">
        <f t="shared" ref="L151" si="79">IF(L33=0,0,L33/L$17)</f>
        <v>0.13368739173489136</v>
      </c>
      <c r="M151" s="156">
        <f t="shared" ref="M151:V151" si="80">IF(M33=0,0,M33/M$17)</f>
        <v>0.13613912736907474</v>
      </c>
      <c r="N151" s="156">
        <f t="shared" si="80"/>
        <v>0.13419274867314121</v>
      </c>
      <c r="O151" s="156">
        <f t="shared" si="80"/>
        <v>0.13366237695485253</v>
      </c>
      <c r="P151" s="156">
        <f t="shared" si="80"/>
        <v>0.13682929665233443</v>
      </c>
      <c r="Q151" s="156">
        <f t="shared" si="80"/>
        <v>0.14685410587251482</v>
      </c>
      <c r="R151" s="156">
        <f t="shared" si="80"/>
        <v>0.14554583276014821</v>
      </c>
      <c r="S151" s="156">
        <f t="shared" si="80"/>
        <v>0.14764168861266083</v>
      </c>
      <c r="T151" s="156">
        <f t="shared" si="80"/>
        <v>0.14705554045149222</v>
      </c>
      <c r="U151" s="156">
        <f t="shared" si="80"/>
        <v>0.14867676795847259</v>
      </c>
      <c r="V151" s="156">
        <f t="shared" si="80"/>
        <v>0.13695599311832701</v>
      </c>
      <c r="W151" s="156">
        <f t="shared" ref="W151:Y151" si="81">IF(W33=0,0,W33/W$17)</f>
        <v>0.14110926492461534</v>
      </c>
      <c r="X151" s="156">
        <f t="shared" si="81"/>
        <v>0.14189740414248589</v>
      </c>
      <c r="Y151" s="156">
        <f t="shared" si="81"/>
        <v>0.14441126112784677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1.4770191818665307E-3</v>
      </c>
      <c r="C152" s="103">
        <f t="shared" si="82"/>
        <v>1.4613623468825488E-3</v>
      </c>
      <c r="D152" s="103">
        <f t="shared" si="82"/>
        <v>1.4595768654442293E-3</v>
      </c>
      <c r="E152" s="103">
        <f t="shared" si="82"/>
        <v>1.4514978757012207E-3</v>
      </c>
      <c r="F152" s="103">
        <f t="shared" si="82"/>
        <v>1.3805236795171132E-3</v>
      </c>
      <c r="G152" s="103">
        <f t="shared" si="82"/>
        <v>1.3735416209630642E-3</v>
      </c>
      <c r="H152" s="103">
        <f t="shared" si="82"/>
        <v>1.428991539354081E-3</v>
      </c>
      <c r="I152" s="103">
        <f t="shared" si="82"/>
        <v>1.3317413038202643E-3</v>
      </c>
      <c r="J152" s="103">
        <f t="shared" si="82"/>
        <v>1.2830670545198829E-3</v>
      </c>
      <c r="K152" s="103">
        <f t="shared" si="82"/>
        <v>1.257056031831042E-3</v>
      </c>
      <c r="L152" s="103">
        <f t="shared" ref="L152" si="83">IF(L34=0,0,L34/L$17)</f>
        <v>1.2486825506447662E-3</v>
      </c>
      <c r="M152" s="103">
        <f t="shared" ref="M152:V152" si="84">IF(M34=0,0,M34/M$17)</f>
        <v>1.279625478454179E-3</v>
      </c>
      <c r="N152" s="103">
        <f t="shared" si="84"/>
        <v>1.3676480285599907E-3</v>
      </c>
      <c r="O152" s="103">
        <f t="shared" si="84"/>
        <v>1.4328726850879074E-3</v>
      </c>
      <c r="P152" s="103">
        <f t="shared" si="84"/>
        <v>4.9706019870903232E-4</v>
      </c>
      <c r="Q152" s="103">
        <f t="shared" si="84"/>
        <v>4.2548832238046582E-4</v>
      </c>
      <c r="R152" s="103">
        <f t="shared" si="84"/>
        <v>3.7011070658541137E-4</v>
      </c>
      <c r="S152" s="103">
        <f t="shared" si="84"/>
        <v>3.754496241910796E-4</v>
      </c>
      <c r="T152" s="103">
        <f t="shared" si="84"/>
        <v>3.83550850715313E-4</v>
      </c>
      <c r="U152" s="103">
        <f t="shared" si="84"/>
        <v>3.6947725637984151E-4</v>
      </c>
      <c r="V152" s="103">
        <f t="shared" si="84"/>
        <v>3.8420532002711466E-4</v>
      </c>
      <c r="W152" s="103">
        <f t="shared" ref="W152:Y152" si="85">IF(W34=0,0,W34/W$17)</f>
        <v>3.6623868794570985E-4</v>
      </c>
      <c r="X152" s="103">
        <f t="shared" si="85"/>
        <v>3.3318719215771713E-4</v>
      </c>
      <c r="Y152" s="103">
        <f t="shared" si="85"/>
        <v>2.6617858416646948E-4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0.15538899822537194</v>
      </c>
      <c r="C153" s="103">
        <f t="shared" si="86"/>
        <v>0.15342473411493399</v>
      </c>
      <c r="D153" s="103">
        <f t="shared" si="86"/>
        <v>0.15069758441264011</v>
      </c>
      <c r="E153" s="103">
        <f t="shared" si="86"/>
        <v>0.15250000800175439</v>
      </c>
      <c r="F153" s="103">
        <f t="shared" si="86"/>
        <v>0.15222409693642919</v>
      </c>
      <c r="G153" s="103">
        <f t="shared" si="86"/>
        <v>0.13938601310601934</v>
      </c>
      <c r="H153" s="103">
        <f t="shared" si="86"/>
        <v>0.14189567574969064</v>
      </c>
      <c r="I153" s="103">
        <f t="shared" si="86"/>
        <v>0.1401066204503997</v>
      </c>
      <c r="J153" s="103">
        <f t="shared" si="86"/>
        <v>0.13286164861170013</v>
      </c>
      <c r="K153" s="103">
        <f t="shared" si="86"/>
        <v>0.13462204576273287</v>
      </c>
      <c r="L153" s="103">
        <f t="shared" ref="L153" si="87">IF(L36=0,0,L36/L$17)</f>
        <v>0.13242239130439459</v>
      </c>
      <c r="M153" s="103">
        <f t="shared" ref="M153:V153" si="88">IF(M36=0,0,M36/M$17)</f>
        <v>0.13484272100513525</v>
      </c>
      <c r="N153" s="103">
        <f t="shared" si="88"/>
        <v>0.13280695025201003</v>
      </c>
      <c r="O153" s="103">
        <f t="shared" si="88"/>
        <v>0.13220936576760445</v>
      </c>
      <c r="P153" s="103">
        <f t="shared" si="88"/>
        <v>0.13631139679122592</v>
      </c>
      <c r="Q153" s="103">
        <f t="shared" si="88"/>
        <v>0.14640850937269742</v>
      </c>
      <c r="R153" s="103">
        <f t="shared" si="88"/>
        <v>0.14515674861751637</v>
      </c>
      <c r="S153" s="103">
        <f t="shared" si="88"/>
        <v>0.1472478836533655</v>
      </c>
      <c r="T153" s="103">
        <f t="shared" si="88"/>
        <v>0.14665378986555966</v>
      </c>
      <c r="U153" s="103">
        <f t="shared" si="88"/>
        <v>0.14828931206704407</v>
      </c>
      <c r="V153" s="103">
        <f t="shared" si="88"/>
        <v>0.13654975326396321</v>
      </c>
      <c r="W153" s="103">
        <f t="shared" ref="W153:Y153" si="89">IF(W36=0,0,W36/W$17)</f>
        <v>0.14072228468581904</v>
      </c>
      <c r="X153" s="103">
        <f t="shared" si="89"/>
        <v>0.14154325035208781</v>
      </c>
      <c r="Y153" s="103">
        <f t="shared" si="89"/>
        <v>0.14336194313130068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0</v>
      </c>
      <c r="D155" s="103">
        <f t="shared" si="94"/>
        <v>0</v>
      </c>
      <c r="E155" s="103">
        <f t="shared" si="94"/>
        <v>0</v>
      </c>
      <c r="F155" s="103">
        <f t="shared" si="94"/>
        <v>0</v>
      </c>
      <c r="G155" s="103">
        <f t="shared" si="94"/>
        <v>0</v>
      </c>
      <c r="H155" s="103">
        <f t="shared" si="94"/>
        <v>0</v>
      </c>
      <c r="I155" s="103">
        <f t="shared" si="94"/>
        <v>0</v>
      </c>
      <c r="J155" s="103">
        <f t="shared" si="94"/>
        <v>0</v>
      </c>
      <c r="K155" s="103">
        <f t="shared" si="94"/>
        <v>0</v>
      </c>
      <c r="L155" s="103">
        <f t="shared" ref="L155" si="95">IF(L39=0,0,L39/L$17)</f>
        <v>0</v>
      </c>
      <c r="M155" s="103">
        <f t="shared" ref="M155:V155" si="96">IF(M39=0,0,M39/M$17)</f>
        <v>0</v>
      </c>
      <c r="N155" s="103">
        <f t="shared" si="96"/>
        <v>0</v>
      </c>
      <c r="O155" s="103">
        <f t="shared" si="96"/>
        <v>0</v>
      </c>
      <c r="P155" s="103">
        <f t="shared" si="96"/>
        <v>0</v>
      </c>
      <c r="Q155" s="103">
        <f t="shared" si="96"/>
        <v>0</v>
      </c>
      <c r="R155" s="103">
        <f t="shared" si="96"/>
        <v>0</v>
      </c>
      <c r="S155" s="103">
        <f t="shared" si="96"/>
        <v>0</v>
      </c>
      <c r="T155" s="103">
        <f t="shared" si="96"/>
        <v>0</v>
      </c>
      <c r="U155" s="103">
        <f t="shared" si="96"/>
        <v>0</v>
      </c>
      <c r="V155" s="103">
        <f t="shared" si="96"/>
        <v>0</v>
      </c>
      <c r="W155" s="103">
        <f t="shared" ref="W155:Y155" si="97">IF(W39=0,0,W39/W$17)</f>
        <v>0</v>
      </c>
      <c r="X155" s="103">
        <f t="shared" si="97"/>
        <v>0</v>
      </c>
      <c r="Y155" s="103">
        <f t="shared" si="97"/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1.6760250077538541E-5</v>
      </c>
      <c r="K156" s="103">
        <f t="shared" si="98"/>
        <v>1.6664690691586148E-5</v>
      </c>
      <c r="L156" s="103">
        <f t="shared" ref="L156" si="99">IF(L41=0,0,L41/L$17)</f>
        <v>1.6317879852011683E-5</v>
      </c>
      <c r="M156" s="103">
        <f t="shared" ref="M156:V156" si="100">IF(M41=0,0,M41/M$17)</f>
        <v>1.6780885485306256E-5</v>
      </c>
      <c r="N156" s="103">
        <f t="shared" si="100"/>
        <v>1.8150392571200574E-5</v>
      </c>
      <c r="O156" s="103">
        <f t="shared" si="100"/>
        <v>2.0138502160180269E-5</v>
      </c>
      <c r="P156" s="103">
        <f t="shared" si="100"/>
        <v>2.083966239945245E-5</v>
      </c>
      <c r="Q156" s="103">
        <f t="shared" si="100"/>
        <v>2.0108177436941382E-5</v>
      </c>
      <c r="R156" s="103">
        <f t="shared" si="100"/>
        <v>1.8973436046393237E-5</v>
      </c>
      <c r="S156" s="103">
        <f t="shared" si="100"/>
        <v>1.835533510427417E-5</v>
      </c>
      <c r="T156" s="103">
        <f t="shared" si="100"/>
        <v>1.8199735217266628E-5</v>
      </c>
      <c r="U156" s="103">
        <f t="shared" si="100"/>
        <v>1.7978635048696937E-5</v>
      </c>
      <c r="V156" s="103">
        <f t="shared" si="100"/>
        <v>2.2034534336703278E-5</v>
      </c>
      <c r="W156" s="103">
        <f t="shared" ref="W156:Y156" si="101">IF(W41=0,0,W41/W$17)</f>
        <v>2.0741550850591127E-5</v>
      </c>
      <c r="X156" s="103">
        <f t="shared" si="101"/>
        <v>2.0966598240361514E-5</v>
      </c>
      <c r="Y156" s="103">
        <f t="shared" si="101"/>
        <v>7.8313941237960775E-4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0.3903379132474844</v>
      </c>
      <c r="C157" s="46">
        <f t="shared" si="102"/>
        <v>0.37983269637448097</v>
      </c>
      <c r="D157" s="46">
        <f t="shared" si="102"/>
        <v>0.36849556447111192</v>
      </c>
      <c r="E157" s="46">
        <f t="shared" si="102"/>
        <v>0.35557508979723346</v>
      </c>
      <c r="F157" s="46">
        <f t="shared" si="102"/>
        <v>0.32701557818256038</v>
      </c>
      <c r="G157" s="46">
        <f t="shared" si="102"/>
        <v>0.32340330037655435</v>
      </c>
      <c r="H157" s="46">
        <f t="shared" si="102"/>
        <v>0.28942286325656502</v>
      </c>
      <c r="I157" s="46">
        <f t="shared" si="102"/>
        <v>0.27889949426795296</v>
      </c>
      <c r="J157" s="46">
        <f t="shared" si="102"/>
        <v>0.27642733743860226</v>
      </c>
      <c r="K157" s="46">
        <f t="shared" si="102"/>
        <v>0.2544347997303551</v>
      </c>
      <c r="L157" s="46">
        <f t="shared" ref="L157" si="103">IF(L42=0,0,L42/L$17)</f>
        <v>0.2568004288076568</v>
      </c>
      <c r="M157" s="46">
        <f t="shared" ref="M157:V157" si="104">IF(M42=0,0,M42/M$17)</f>
        <v>0.24702698389351199</v>
      </c>
      <c r="N157" s="46">
        <f t="shared" si="104"/>
        <v>0.23174649342935599</v>
      </c>
      <c r="O157" s="46">
        <f t="shared" si="104"/>
        <v>0.20946631734260188</v>
      </c>
      <c r="P157" s="46">
        <f t="shared" si="104"/>
        <v>0.19589956710803644</v>
      </c>
      <c r="Q157" s="46">
        <f t="shared" si="104"/>
        <v>0.1936544043591906</v>
      </c>
      <c r="R157" s="46">
        <f t="shared" si="104"/>
        <v>0.20358778930934063</v>
      </c>
      <c r="S157" s="46">
        <f t="shared" si="104"/>
        <v>0.21189349991251599</v>
      </c>
      <c r="T157" s="46">
        <f t="shared" si="104"/>
        <v>0.21535354032209944</v>
      </c>
      <c r="U157" s="46">
        <f t="shared" si="104"/>
        <v>0.21110019301201308</v>
      </c>
      <c r="V157" s="46">
        <f t="shared" si="104"/>
        <v>0.22795152961276355</v>
      </c>
      <c r="W157" s="46">
        <f t="shared" ref="W157:Y157" si="105">IF(W42=0,0,W42/W$17)</f>
        <v>0.22188269081358022</v>
      </c>
      <c r="X157" s="46">
        <f t="shared" si="105"/>
        <v>0.21551302248011031</v>
      </c>
      <c r="Y157" s="46">
        <f t="shared" si="105"/>
        <v>0.21023737401251369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0.30825807588207355</v>
      </c>
      <c r="C158" s="154">
        <f t="shared" si="106"/>
        <v>0.29976449649629894</v>
      </c>
      <c r="D158" s="154">
        <f t="shared" si="106"/>
        <v>0.29259342783523307</v>
      </c>
      <c r="E158" s="154">
        <f t="shared" si="106"/>
        <v>0.27768374851678229</v>
      </c>
      <c r="F158" s="154">
        <f t="shared" si="106"/>
        <v>0.26202222354729765</v>
      </c>
      <c r="G158" s="154">
        <f t="shared" si="106"/>
        <v>0.24751853563766255</v>
      </c>
      <c r="H158" s="154">
        <f t="shared" si="106"/>
        <v>0.22733628693518299</v>
      </c>
      <c r="I158" s="154">
        <f t="shared" si="106"/>
        <v>0.21625668500415629</v>
      </c>
      <c r="J158" s="154">
        <f t="shared" si="106"/>
        <v>0.21145082851306329</v>
      </c>
      <c r="K158" s="154">
        <f t="shared" si="106"/>
        <v>0.20309058471882713</v>
      </c>
      <c r="L158" s="154">
        <f t="shared" ref="L158" si="107">IF(L43=0,0,L43/L$17)</f>
        <v>0.1995485949368867</v>
      </c>
      <c r="M158" s="154">
        <f t="shared" ref="M158:V158" si="108">IF(M43=0,0,M43/M$17)</f>
        <v>0.19760037795285124</v>
      </c>
      <c r="N158" s="154">
        <f t="shared" si="108"/>
        <v>0.18739772791326822</v>
      </c>
      <c r="O158" s="154">
        <f t="shared" si="108"/>
        <v>0.17686744294386222</v>
      </c>
      <c r="P158" s="154">
        <f t="shared" si="108"/>
        <v>0.16714341795438536</v>
      </c>
      <c r="Q158" s="154">
        <f t="shared" si="108"/>
        <v>0.16521369271590491</v>
      </c>
      <c r="R158" s="154">
        <f t="shared" si="108"/>
        <v>0.16704193659595309</v>
      </c>
      <c r="S158" s="154">
        <f t="shared" si="108"/>
        <v>0.17025762814350184</v>
      </c>
      <c r="T158" s="154">
        <f t="shared" si="108"/>
        <v>0.17202034063224297</v>
      </c>
      <c r="U158" s="154">
        <f t="shared" si="108"/>
        <v>0.16622417905020748</v>
      </c>
      <c r="V158" s="154">
        <f t="shared" si="108"/>
        <v>0.18979715619811058</v>
      </c>
      <c r="W158" s="154">
        <f t="shared" ref="W158:Y158" si="109">IF(W43=0,0,W43/W$17)</f>
        <v>0.18419475946198785</v>
      </c>
      <c r="X158" s="154">
        <f t="shared" si="109"/>
        <v>0.16625551291961743</v>
      </c>
      <c r="Y158" s="154">
        <f t="shared" si="109"/>
        <v>0.16242030336771759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1.2727654755207547E-2</v>
      </c>
      <c r="C159" s="103">
        <f t="shared" si="110"/>
        <v>1.3205708584696637E-2</v>
      </c>
      <c r="D159" s="103">
        <f t="shared" si="110"/>
        <v>1.3120120902259965E-2</v>
      </c>
      <c r="E159" s="103">
        <f t="shared" si="110"/>
        <v>1.415376423964676E-2</v>
      </c>
      <c r="F159" s="103">
        <f t="shared" si="110"/>
        <v>1.1296709150521562E-2</v>
      </c>
      <c r="G159" s="103">
        <f t="shared" si="110"/>
        <v>8.7262073229272298E-3</v>
      </c>
      <c r="H159" s="103">
        <f t="shared" si="110"/>
        <v>8.2065531123017253E-3</v>
      </c>
      <c r="I159" s="103">
        <f t="shared" si="110"/>
        <v>6.9242634743010064E-3</v>
      </c>
      <c r="J159" s="103">
        <f t="shared" si="110"/>
        <v>7.3386966361742058E-3</v>
      </c>
      <c r="K159" s="103">
        <f t="shared" si="110"/>
        <v>6.7274232814729662E-3</v>
      </c>
      <c r="L159" s="103">
        <f t="shared" ref="L159" si="111">IF(L44=0,0,L44/L$17)</f>
        <v>6.3205781722040699E-3</v>
      </c>
      <c r="M159" s="103">
        <f t="shared" ref="M159:V159" si="112">IF(M44=0,0,M44/M$17)</f>
        <v>6.3541823659176095E-3</v>
      </c>
      <c r="N159" s="103">
        <f t="shared" si="112"/>
        <v>6.7609441851331801E-3</v>
      </c>
      <c r="O159" s="103">
        <f t="shared" si="112"/>
        <v>6.789421917501693E-3</v>
      </c>
      <c r="P159" s="103">
        <f t="shared" si="112"/>
        <v>6.894245449309091E-3</v>
      </c>
      <c r="Q159" s="103">
        <f t="shared" si="112"/>
        <v>6.6162648004739096E-3</v>
      </c>
      <c r="R159" s="103">
        <f t="shared" si="112"/>
        <v>5.9743997621225136E-3</v>
      </c>
      <c r="S159" s="103">
        <f t="shared" si="112"/>
        <v>5.9703390172590525E-3</v>
      </c>
      <c r="T159" s="103">
        <f t="shared" si="112"/>
        <v>5.9105843624307885E-3</v>
      </c>
      <c r="U159" s="103">
        <f t="shared" si="112"/>
        <v>5.8510912477492804E-3</v>
      </c>
      <c r="V159" s="103">
        <f t="shared" si="112"/>
        <v>6.0401493824204181E-3</v>
      </c>
      <c r="W159" s="103">
        <f t="shared" ref="W159:Y159" si="113">IF(W44=0,0,W44/W$17)</f>
        <v>5.9548588969702849E-3</v>
      </c>
      <c r="X159" s="103">
        <f t="shared" si="113"/>
        <v>6.5394448690213394E-3</v>
      </c>
      <c r="Y159" s="103">
        <f t="shared" si="113"/>
        <v>6.8925782116749925E-3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0.29553042112686606</v>
      </c>
      <c r="C160" s="103">
        <f t="shared" si="114"/>
        <v>0.28655878791160228</v>
      </c>
      <c r="D160" s="103">
        <f t="shared" si="114"/>
        <v>0.27947330693297312</v>
      </c>
      <c r="E160" s="103">
        <f t="shared" si="114"/>
        <v>0.26352998427713553</v>
      </c>
      <c r="F160" s="103">
        <f t="shared" si="114"/>
        <v>0.25072551439677609</v>
      </c>
      <c r="G160" s="103">
        <f t="shared" si="114"/>
        <v>0.23879232831473529</v>
      </c>
      <c r="H160" s="103">
        <f t="shared" si="114"/>
        <v>0.21912973382288126</v>
      </c>
      <c r="I160" s="103">
        <f t="shared" si="114"/>
        <v>0.20933209033079941</v>
      </c>
      <c r="J160" s="103">
        <f t="shared" si="114"/>
        <v>0.20411164035505472</v>
      </c>
      <c r="K160" s="103">
        <f t="shared" si="114"/>
        <v>0.19636264989895785</v>
      </c>
      <c r="L160" s="103">
        <f t="shared" ref="L160" si="115">IF(L46=0,0,L46/L$17)</f>
        <v>0.1932271758822956</v>
      </c>
      <c r="M160" s="103">
        <f t="shared" ref="M160:V160" si="116">IF(M46=0,0,M46/M$17)</f>
        <v>0.19124514892196437</v>
      </c>
      <c r="N160" s="103">
        <f t="shared" si="116"/>
        <v>0.18063564485713079</v>
      </c>
      <c r="O160" s="103">
        <f t="shared" si="116"/>
        <v>0.17007672224902315</v>
      </c>
      <c r="P160" s="103">
        <f t="shared" si="116"/>
        <v>0.16024804475461749</v>
      </c>
      <c r="Q160" s="103">
        <f t="shared" si="116"/>
        <v>0.15859633769729994</v>
      </c>
      <c r="R160" s="103">
        <f t="shared" si="116"/>
        <v>0.16106650973157316</v>
      </c>
      <c r="S160" s="103">
        <f t="shared" si="116"/>
        <v>0.16428629593400401</v>
      </c>
      <c r="T160" s="103">
        <f t="shared" si="116"/>
        <v>0.16610896580086418</v>
      </c>
      <c r="U160" s="103">
        <f t="shared" si="116"/>
        <v>0.16037138969267456</v>
      </c>
      <c r="V160" s="103">
        <f t="shared" si="116"/>
        <v>0.18375475717668402</v>
      </c>
      <c r="W160" s="103">
        <f t="shared" ref="W160:Y160" si="117">IF(W46=0,0,W46/W$17)</f>
        <v>0.17823667841591842</v>
      </c>
      <c r="X160" s="103">
        <f t="shared" si="117"/>
        <v>0.15970272505239363</v>
      </c>
      <c r="Y160" s="103">
        <f t="shared" si="117"/>
        <v>0.15550984329407375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3.3119905591388001E-7</v>
      </c>
      <c r="J163" s="103">
        <f t="shared" si="126"/>
        <v>4.9152183434943485E-7</v>
      </c>
      <c r="K163" s="103">
        <f t="shared" si="126"/>
        <v>5.1153839633170503E-7</v>
      </c>
      <c r="L163" s="103">
        <f t="shared" ref="L163" si="127">IF(L51=0,0,L51/L$17)</f>
        <v>8.4088238705363002E-7</v>
      </c>
      <c r="M163" s="103">
        <f t="shared" ref="M163:V163" si="128">IF(M51=0,0,M51/M$17)</f>
        <v>1.0466649692496352E-6</v>
      </c>
      <c r="N163" s="103">
        <f t="shared" si="128"/>
        <v>1.1388710042535744E-6</v>
      </c>
      <c r="O163" s="103">
        <f t="shared" si="128"/>
        <v>1.2987773373712429E-6</v>
      </c>
      <c r="P163" s="103">
        <f t="shared" si="128"/>
        <v>1.1277504587826272E-6</v>
      </c>
      <c r="Q163" s="103">
        <f t="shared" si="128"/>
        <v>1.0902181310657789E-6</v>
      </c>
      <c r="R163" s="103">
        <f t="shared" si="128"/>
        <v>1.0271022574102859E-6</v>
      </c>
      <c r="S163" s="103">
        <f t="shared" si="128"/>
        <v>9.9319223879431455E-7</v>
      </c>
      <c r="T163" s="103">
        <f t="shared" si="128"/>
        <v>7.9046894801555799E-7</v>
      </c>
      <c r="U163" s="103">
        <f t="shared" si="128"/>
        <v>1.6981097836432691E-6</v>
      </c>
      <c r="V163" s="103">
        <f t="shared" si="128"/>
        <v>2.2496390061392021E-6</v>
      </c>
      <c r="W163" s="103">
        <f t="shared" ref="W163:Y163" si="129">IF(W51=0,0,W51/W$17)</f>
        <v>3.2221490991622533E-6</v>
      </c>
      <c r="X163" s="103">
        <f t="shared" si="129"/>
        <v>1.3342998202436348E-5</v>
      </c>
      <c r="Y163" s="103">
        <f t="shared" si="129"/>
        <v>1.7881861968846936E-5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8.2079837365410857E-2</v>
      </c>
      <c r="C164" s="156">
        <f t="shared" si="130"/>
        <v>8.006819987818202E-2</v>
      </c>
      <c r="D164" s="156">
        <f t="shared" si="130"/>
        <v>7.5902136635878817E-2</v>
      </c>
      <c r="E164" s="156">
        <f t="shared" si="130"/>
        <v>7.7891341280451179E-2</v>
      </c>
      <c r="F164" s="156">
        <f t="shared" si="130"/>
        <v>6.4993354635262721E-2</v>
      </c>
      <c r="G164" s="156">
        <f t="shared" si="130"/>
        <v>7.5884764738891802E-2</v>
      </c>
      <c r="H164" s="156">
        <f t="shared" si="130"/>
        <v>6.2086576321382037E-2</v>
      </c>
      <c r="I164" s="156">
        <f t="shared" si="130"/>
        <v>6.2642809263796659E-2</v>
      </c>
      <c r="J164" s="156">
        <f t="shared" si="130"/>
        <v>6.4976508925538981E-2</v>
      </c>
      <c r="K164" s="156">
        <f t="shared" si="130"/>
        <v>5.1344215011527944E-2</v>
      </c>
      <c r="L164" s="156">
        <f t="shared" ref="L164" si="131">IF(L52=0,0,L52/L$17)</f>
        <v>5.725183387077009E-2</v>
      </c>
      <c r="M164" s="156">
        <f t="shared" ref="M164:V164" si="132">IF(M52=0,0,M52/M$17)</f>
        <v>4.9426605940660756E-2</v>
      </c>
      <c r="N164" s="156">
        <f t="shared" si="132"/>
        <v>4.4348765516087747E-2</v>
      </c>
      <c r="O164" s="156">
        <f t="shared" si="132"/>
        <v>3.2598874398739673E-2</v>
      </c>
      <c r="P164" s="156">
        <f t="shared" si="132"/>
        <v>2.8756149153651087E-2</v>
      </c>
      <c r="Q164" s="156">
        <f t="shared" si="132"/>
        <v>2.8440711643285682E-2</v>
      </c>
      <c r="R164" s="156">
        <f t="shared" si="132"/>
        <v>3.6545852713387519E-2</v>
      </c>
      <c r="S164" s="156">
        <f t="shared" si="132"/>
        <v>4.1635871769014135E-2</v>
      </c>
      <c r="T164" s="156">
        <f t="shared" si="132"/>
        <v>4.3333199689856446E-2</v>
      </c>
      <c r="U164" s="156">
        <f t="shared" si="132"/>
        <v>4.4876013961805607E-2</v>
      </c>
      <c r="V164" s="156">
        <f t="shared" si="132"/>
        <v>3.815437341465297E-2</v>
      </c>
      <c r="W164" s="156">
        <f t="shared" ref="W164:Y164" si="133">IF(W52=0,0,W52/W$17)</f>
        <v>3.7687931351592346E-2</v>
      </c>
      <c r="X164" s="156">
        <f t="shared" si="133"/>
        <v>4.9257509560492886E-2</v>
      </c>
      <c r="Y164" s="156">
        <f t="shared" si="133"/>
        <v>4.7817070644796095E-2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8.2079837365410857E-2</v>
      </c>
      <c r="C165" s="104">
        <f t="shared" si="134"/>
        <v>8.006819987818202E-2</v>
      </c>
      <c r="D165" s="104">
        <f t="shared" si="134"/>
        <v>7.5902136635878817E-2</v>
      </c>
      <c r="E165" s="104">
        <f t="shared" si="134"/>
        <v>7.7891341280451179E-2</v>
      </c>
      <c r="F165" s="104">
        <f t="shared" si="134"/>
        <v>6.4993354635262721E-2</v>
      </c>
      <c r="G165" s="104">
        <f t="shared" si="134"/>
        <v>7.5884764738891802E-2</v>
      </c>
      <c r="H165" s="104">
        <f t="shared" si="134"/>
        <v>6.2086576321382037E-2</v>
      </c>
      <c r="I165" s="104">
        <f t="shared" si="134"/>
        <v>6.2642809263796659E-2</v>
      </c>
      <c r="J165" s="104">
        <f t="shared" si="134"/>
        <v>6.4976508925538981E-2</v>
      </c>
      <c r="K165" s="104">
        <f t="shared" si="134"/>
        <v>5.1344215011527944E-2</v>
      </c>
      <c r="L165" s="104">
        <f t="shared" ref="L165" si="135">IF(L53=0,0,L53/L$17)</f>
        <v>5.725183387077009E-2</v>
      </c>
      <c r="M165" s="104">
        <f t="shared" ref="M165:V165" si="136">IF(M53=0,0,M53/M$17)</f>
        <v>4.9426605940660756E-2</v>
      </c>
      <c r="N165" s="104">
        <f t="shared" si="136"/>
        <v>4.4348765516087747E-2</v>
      </c>
      <c r="O165" s="104">
        <f t="shared" si="136"/>
        <v>3.2598874398739673E-2</v>
      </c>
      <c r="P165" s="104">
        <f t="shared" si="136"/>
        <v>2.8756149153651087E-2</v>
      </c>
      <c r="Q165" s="104">
        <f t="shared" si="136"/>
        <v>2.8440711643285682E-2</v>
      </c>
      <c r="R165" s="104">
        <f t="shared" si="136"/>
        <v>3.6545852713387519E-2</v>
      </c>
      <c r="S165" s="104">
        <f t="shared" si="136"/>
        <v>4.1635871769014135E-2</v>
      </c>
      <c r="T165" s="104">
        <f t="shared" si="136"/>
        <v>4.3333199689856446E-2</v>
      </c>
      <c r="U165" s="104">
        <f t="shared" si="136"/>
        <v>4.4876013961805607E-2</v>
      </c>
      <c r="V165" s="104">
        <f t="shared" si="136"/>
        <v>3.815437341465297E-2</v>
      </c>
      <c r="W165" s="104">
        <f t="shared" ref="W165:Y165" si="137">IF(W53=0,0,W53/W$17)</f>
        <v>3.7687931351592346E-2</v>
      </c>
      <c r="X165" s="104">
        <f t="shared" si="137"/>
        <v>4.9257509560492886E-2</v>
      </c>
      <c r="Y165" s="104">
        <f t="shared" si="137"/>
        <v>4.7817070644796095E-2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0</v>
      </c>
      <c r="C166" s="105">
        <f t="shared" si="138"/>
        <v>0</v>
      </c>
      <c r="D166" s="105">
        <f t="shared" si="138"/>
        <v>0</v>
      </c>
      <c r="E166" s="105">
        <f t="shared" si="138"/>
        <v>0</v>
      </c>
      <c r="F166" s="105">
        <f t="shared" si="138"/>
        <v>0</v>
      </c>
      <c r="G166" s="105">
        <f t="shared" si="138"/>
        <v>0</v>
      </c>
      <c r="H166" s="105">
        <f t="shared" si="138"/>
        <v>0</v>
      </c>
      <c r="I166" s="105">
        <f t="shared" si="138"/>
        <v>0</v>
      </c>
      <c r="J166" s="105">
        <f t="shared" si="138"/>
        <v>0</v>
      </c>
      <c r="K166" s="105">
        <f t="shared" si="138"/>
        <v>0</v>
      </c>
      <c r="L166" s="105">
        <f t="shared" ref="L166" si="139">IF(L55=0,0,L55/L$17)</f>
        <v>0</v>
      </c>
      <c r="M166" s="105">
        <f t="shared" ref="M166:V166" si="140">IF(M55=0,0,M55/M$17)</f>
        <v>0</v>
      </c>
      <c r="N166" s="105">
        <f t="shared" si="140"/>
        <v>0</v>
      </c>
      <c r="O166" s="105">
        <f t="shared" si="140"/>
        <v>0</v>
      </c>
      <c r="P166" s="105">
        <f t="shared" si="140"/>
        <v>0</v>
      </c>
      <c r="Q166" s="105">
        <f t="shared" si="140"/>
        <v>0</v>
      </c>
      <c r="R166" s="105">
        <f t="shared" si="140"/>
        <v>0</v>
      </c>
      <c r="S166" s="105">
        <f t="shared" si="140"/>
        <v>0</v>
      </c>
      <c r="T166" s="105">
        <f t="shared" si="140"/>
        <v>0</v>
      </c>
      <c r="U166" s="105">
        <f t="shared" si="140"/>
        <v>0</v>
      </c>
      <c r="V166" s="105">
        <f t="shared" si="140"/>
        <v>0</v>
      </c>
      <c r="W166" s="105">
        <f t="shared" ref="W166:Y166" si="141">IF(W55=0,0,W55/W$17)</f>
        <v>0</v>
      </c>
      <c r="X166" s="105">
        <f t="shared" si="141"/>
        <v>0</v>
      </c>
      <c r="Y166" s="105">
        <f t="shared" si="141"/>
        <v>0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1747.6229476799999</v>
      </c>
      <c r="C4" s="146">
        <f t="shared" si="0"/>
        <v>1803.4644524400001</v>
      </c>
      <c r="D4" s="146">
        <f t="shared" si="0"/>
        <v>1786.4862217200002</v>
      </c>
      <c r="E4" s="146">
        <f t="shared" si="0"/>
        <v>1892.0287799999999</v>
      </c>
      <c r="F4" s="146">
        <f t="shared" si="0"/>
        <v>1993.6873742399998</v>
      </c>
      <c r="G4" s="146">
        <f t="shared" si="0"/>
        <v>2032.66674612</v>
      </c>
      <c r="H4" s="146">
        <f t="shared" si="0"/>
        <v>2020.78167768</v>
      </c>
      <c r="I4" s="146">
        <f t="shared" si="0"/>
        <v>2154.4197501600001</v>
      </c>
      <c r="J4" s="146">
        <f t="shared" si="0"/>
        <v>2196.1451494799994</v>
      </c>
      <c r="K4" s="146">
        <f t="shared" si="0"/>
        <v>2197.2764149199998</v>
      </c>
      <c r="L4" s="146">
        <f t="shared" ref="L4" si="1">L5+L9+L10+L15</f>
        <v>2245.1988207599998</v>
      </c>
      <c r="M4" s="146">
        <f t="shared" ref="M4:V4" si="2">M5+M9+M10+M15</f>
        <v>2177.9591936400002</v>
      </c>
      <c r="N4" s="146">
        <f t="shared" si="2"/>
        <v>2005.8276510000001</v>
      </c>
      <c r="O4" s="146">
        <f t="shared" si="2"/>
        <v>1802.4807171599998</v>
      </c>
      <c r="P4" s="146">
        <f t="shared" si="2"/>
        <v>1757.3609318400001</v>
      </c>
      <c r="Q4" s="146">
        <f t="shared" si="2"/>
        <v>1826.0269473600001</v>
      </c>
      <c r="R4" s="146">
        <f t="shared" si="2"/>
        <v>1939.1558382000003</v>
      </c>
      <c r="S4" s="146">
        <f t="shared" si="2"/>
        <v>2003.9634943199999</v>
      </c>
      <c r="T4" s="146">
        <f t="shared" si="2"/>
        <v>2015.8968283200002</v>
      </c>
      <c r="U4" s="146">
        <f t="shared" si="2"/>
        <v>2035.5326027999999</v>
      </c>
      <c r="V4" s="146">
        <f t="shared" si="2"/>
        <v>1772.8194798000004</v>
      </c>
      <c r="W4" s="146">
        <f t="shared" ref="W4:Y4" si="3">W5+W9+W10+W15</f>
        <v>1904.2193070000001</v>
      </c>
      <c r="X4" s="146">
        <f t="shared" si="3"/>
        <v>1877.0873173200002</v>
      </c>
      <c r="Y4" s="146">
        <f t="shared" si="3"/>
        <v>1968.298974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1747.6229476799999</v>
      </c>
      <c r="C5" s="101">
        <f t="shared" si="4"/>
        <v>1803.4644524400001</v>
      </c>
      <c r="D5" s="101">
        <f t="shared" si="4"/>
        <v>1786.4862217200002</v>
      </c>
      <c r="E5" s="101">
        <f t="shared" si="4"/>
        <v>1892.0287799999999</v>
      </c>
      <c r="F5" s="101">
        <f t="shared" si="4"/>
        <v>1993.6873742399998</v>
      </c>
      <c r="G5" s="101">
        <f t="shared" si="4"/>
        <v>2032.66674612</v>
      </c>
      <c r="H5" s="101">
        <f t="shared" si="4"/>
        <v>2020.78167768</v>
      </c>
      <c r="I5" s="101">
        <f t="shared" si="4"/>
        <v>2154.4197501600001</v>
      </c>
      <c r="J5" s="101">
        <f t="shared" si="4"/>
        <v>2196.1451494799994</v>
      </c>
      <c r="K5" s="101">
        <f t="shared" si="4"/>
        <v>2197.2764149199998</v>
      </c>
      <c r="L5" s="101">
        <f t="shared" ref="L5" si="5">SUM(L6:L8)</f>
        <v>2245.1988207599998</v>
      </c>
      <c r="M5" s="101">
        <f t="shared" ref="M5:V5" si="6">SUM(M6:M8)</f>
        <v>2177.9591936400002</v>
      </c>
      <c r="N5" s="101">
        <f t="shared" si="6"/>
        <v>2005.8276510000001</v>
      </c>
      <c r="O5" s="101">
        <f t="shared" si="6"/>
        <v>1802.4807171599998</v>
      </c>
      <c r="P5" s="101">
        <f t="shared" si="6"/>
        <v>1757.3609318400001</v>
      </c>
      <c r="Q5" s="101">
        <f t="shared" si="6"/>
        <v>1826.0269473600001</v>
      </c>
      <c r="R5" s="101">
        <f t="shared" si="6"/>
        <v>1939.1558382000003</v>
      </c>
      <c r="S5" s="101">
        <f t="shared" si="6"/>
        <v>2003.9634943199999</v>
      </c>
      <c r="T5" s="101">
        <f t="shared" si="6"/>
        <v>2015.8968283200002</v>
      </c>
      <c r="U5" s="101">
        <f t="shared" si="6"/>
        <v>2035.5326027999999</v>
      </c>
      <c r="V5" s="101">
        <f t="shared" si="6"/>
        <v>1772.8194798000004</v>
      </c>
      <c r="W5" s="101">
        <f t="shared" ref="W5:Y5" si="7">SUM(W6:W8)</f>
        <v>1904.2193070000001</v>
      </c>
      <c r="X5" s="101">
        <f t="shared" si="7"/>
        <v>1877.0873173200002</v>
      </c>
      <c r="Y5" s="101">
        <f t="shared" si="7"/>
        <v>1968.298974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0</v>
      </c>
      <c r="E6" s="101">
        <v>0</v>
      </c>
      <c r="F6" s="101">
        <v>0</v>
      </c>
      <c r="G6" s="101">
        <v>0</v>
      </c>
      <c r="H6" s="101">
        <v>0</v>
      </c>
      <c r="I6" s="101">
        <v>0</v>
      </c>
      <c r="J6" s="101">
        <v>0</v>
      </c>
      <c r="K6" s="101">
        <v>0</v>
      </c>
      <c r="L6" s="101">
        <v>0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1.31616504</v>
      </c>
      <c r="U6" s="101">
        <v>1.4236117200000002</v>
      </c>
      <c r="V6" s="101">
        <v>1.19077272</v>
      </c>
      <c r="W6" s="101">
        <v>1.3670488800000002</v>
      </c>
      <c r="X6" s="101">
        <v>1.4953942800000002</v>
      </c>
      <c r="Y6" s="101">
        <v>1.2655083600000001</v>
      </c>
      <c r="DA6" s="175" t="s">
        <v>741</v>
      </c>
    </row>
    <row r="7" spans="1:105" ht="11.45" customHeight="1" x14ac:dyDescent="0.25">
      <c r="A7" s="128" t="s">
        <v>53</v>
      </c>
      <c r="B7" s="101">
        <v>632.41782912000008</v>
      </c>
      <c r="C7" s="101">
        <v>672.32789315999992</v>
      </c>
      <c r="D7" s="101">
        <v>699.95780316000003</v>
      </c>
      <c r="E7" s="101">
        <v>773.63747999999987</v>
      </c>
      <c r="F7" s="101">
        <v>865.73726315999977</v>
      </c>
      <c r="G7" s="101">
        <v>930.20688683999992</v>
      </c>
      <c r="H7" s="101">
        <v>991.60665912000002</v>
      </c>
      <c r="I7" s="101">
        <v>1080.6365908800001</v>
      </c>
      <c r="J7" s="101">
        <v>1145.1062145599997</v>
      </c>
      <c r="K7" s="101">
        <v>1175.8062254399999</v>
      </c>
      <c r="L7" s="101">
        <v>1197.2961831600001</v>
      </c>
      <c r="M7" s="101">
        <v>1181.9461777199999</v>
      </c>
      <c r="N7" s="101">
        <v>1142.0363631600001</v>
      </c>
      <c r="O7" s="101">
        <v>1071.4265377199999</v>
      </c>
      <c r="P7" s="101">
        <v>1046.8664791199999</v>
      </c>
      <c r="Q7" s="101">
        <v>1059.1466331600002</v>
      </c>
      <c r="R7" s="101">
        <v>1086.7765431600003</v>
      </c>
      <c r="S7" s="101">
        <v>1077.2533925999999</v>
      </c>
      <c r="T7" s="101">
        <v>1048.7208639600001</v>
      </c>
      <c r="U7" s="101">
        <v>1033.5981348</v>
      </c>
      <c r="V7" s="101">
        <v>873.3538875600002</v>
      </c>
      <c r="W7" s="101">
        <v>937.48596480000003</v>
      </c>
      <c r="X7" s="101">
        <v>952.09601256000008</v>
      </c>
      <c r="Y7" s="101">
        <v>996.49122804000012</v>
      </c>
      <c r="DA7" s="175" t="s">
        <v>742</v>
      </c>
    </row>
    <row r="8" spans="1:105" ht="11.45" customHeight="1" x14ac:dyDescent="0.25">
      <c r="A8" s="128" t="s">
        <v>54</v>
      </c>
      <c r="B8" s="101">
        <v>1115.2051185599998</v>
      </c>
      <c r="C8" s="101">
        <v>1131.13655928</v>
      </c>
      <c r="D8" s="101">
        <v>1086.5284185600003</v>
      </c>
      <c r="E8" s="101">
        <v>1118.3913</v>
      </c>
      <c r="F8" s="101">
        <v>1127.9501110799999</v>
      </c>
      <c r="G8" s="101">
        <v>1102.45985928</v>
      </c>
      <c r="H8" s="101">
        <v>1029.1750185600001</v>
      </c>
      <c r="I8" s="101">
        <v>1073.7831592800001</v>
      </c>
      <c r="J8" s="101">
        <v>1051.03893492</v>
      </c>
      <c r="K8" s="101">
        <v>1021.4701894799999</v>
      </c>
      <c r="L8" s="101">
        <v>1047.9026375999999</v>
      </c>
      <c r="M8" s="101">
        <v>996.01301592000016</v>
      </c>
      <c r="N8" s="101">
        <v>863.79128783999988</v>
      </c>
      <c r="O8" s="101">
        <v>731.05417943999987</v>
      </c>
      <c r="P8" s="101">
        <v>710.49445272000025</v>
      </c>
      <c r="Q8" s="101">
        <v>766.88031420000004</v>
      </c>
      <c r="R8" s="101">
        <v>852.37929503999987</v>
      </c>
      <c r="S8" s="101">
        <v>926.71010172000013</v>
      </c>
      <c r="T8" s="101">
        <v>965.85979931999998</v>
      </c>
      <c r="U8" s="101">
        <v>1000.51085628</v>
      </c>
      <c r="V8" s="101">
        <v>898.27481952000005</v>
      </c>
      <c r="W8" s="101">
        <v>965.36629332000007</v>
      </c>
      <c r="X8" s="101">
        <v>923.49591048000013</v>
      </c>
      <c r="Y8" s="101">
        <v>970.54223759999991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0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1747.6229476799999</v>
      </c>
      <c r="C17" s="79">
        <f t="shared" si="12"/>
        <v>1803.4644524400001</v>
      </c>
      <c r="D17" s="79">
        <f t="shared" si="12"/>
        <v>1786.4862217200005</v>
      </c>
      <c r="E17" s="79">
        <f t="shared" si="12"/>
        <v>1892.0287800000001</v>
      </c>
      <c r="F17" s="79">
        <f t="shared" si="12"/>
        <v>1993.6873742399996</v>
      </c>
      <c r="G17" s="79">
        <f t="shared" si="12"/>
        <v>2032.6667461200002</v>
      </c>
      <c r="H17" s="79">
        <f t="shared" si="12"/>
        <v>2020.78167768</v>
      </c>
      <c r="I17" s="79">
        <f t="shared" si="12"/>
        <v>2154.4197501600001</v>
      </c>
      <c r="J17" s="79">
        <f t="shared" si="12"/>
        <v>2196.1451494799994</v>
      </c>
      <c r="K17" s="79">
        <f t="shared" si="12"/>
        <v>2197.2764149199998</v>
      </c>
      <c r="L17" s="79">
        <f t="shared" ref="L17" si="13">SUM(L18,L33)</f>
        <v>2245.1988207599998</v>
      </c>
      <c r="M17" s="79">
        <f t="shared" ref="M17:V17" si="14">SUM(M18,M33)</f>
        <v>2177.9591936400002</v>
      </c>
      <c r="N17" s="79">
        <f t="shared" si="14"/>
        <v>2005.8276510000001</v>
      </c>
      <c r="O17" s="79">
        <f t="shared" si="14"/>
        <v>1802.4807171599998</v>
      </c>
      <c r="P17" s="79">
        <f t="shared" si="14"/>
        <v>1757.3609318400001</v>
      </c>
      <c r="Q17" s="79">
        <f t="shared" si="14"/>
        <v>1826.0269473600001</v>
      </c>
      <c r="R17" s="79">
        <f t="shared" si="14"/>
        <v>1939.1558382000003</v>
      </c>
      <c r="S17" s="79">
        <f t="shared" si="14"/>
        <v>2003.9634943199999</v>
      </c>
      <c r="T17" s="79">
        <f t="shared" si="14"/>
        <v>2015.8968283199997</v>
      </c>
      <c r="U17" s="79">
        <f t="shared" si="14"/>
        <v>2035.5326028000002</v>
      </c>
      <c r="V17" s="79">
        <f t="shared" si="14"/>
        <v>1772.8194798000002</v>
      </c>
      <c r="W17" s="79">
        <f t="shared" ref="W17:Y17" si="15">SUM(W18,W33)</f>
        <v>1904.2193070000001</v>
      </c>
      <c r="X17" s="79">
        <f t="shared" si="15"/>
        <v>1877.0873173200002</v>
      </c>
      <c r="Y17" s="79">
        <f t="shared" si="15"/>
        <v>1968.2989739999998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1049.838122571128</v>
      </c>
      <c r="C18" s="32">
        <f t="shared" si="16"/>
        <v>1102.3441490448315</v>
      </c>
      <c r="D18" s="32">
        <f t="shared" si="16"/>
        <v>1111.8681128535466</v>
      </c>
      <c r="E18" s="32">
        <f t="shared" si="16"/>
        <v>1202.0007085901866</v>
      </c>
      <c r="F18" s="32">
        <f t="shared" si="16"/>
        <v>1323.6140259784399</v>
      </c>
      <c r="G18" s="32">
        <f t="shared" si="16"/>
        <v>1355.6441706341338</v>
      </c>
      <c r="H18" s="32">
        <f t="shared" si="16"/>
        <v>1417.1536675607938</v>
      </c>
      <c r="I18" s="32">
        <f t="shared" si="16"/>
        <v>1534.4608114188075</v>
      </c>
      <c r="J18" s="32">
        <f t="shared" si="16"/>
        <v>1581.1173863907161</v>
      </c>
      <c r="K18" s="32">
        <f t="shared" si="16"/>
        <v>1631.7727428141611</v>
      </c>
      <c r="L18" s="32">
        <f t="shared" ref="L18" si="17">SUM(L19,L20,L27)</f>
        <v>1661.6595276460123</v>
      </c>
      <c r="M18" s="32">
        <f t="shared" ref="M18:V18" si="18">SUM(M19,M20,M27)</f>
        <v>1634.7101497162323</v>
      </c>
      <c r="N18" s="32">
        <f t="shared" si="18"/>
        <v>1538.0950329078569</v>
      </c>
      <c r="O18" s="32">
        <f t="shared" si="18"/>
        <v>1423.8164803625884</v>
      </c>
      <c r="P18" s="32">
        <f t="shared" si="18"/>
        <v>1408.1204249532009</v>
      </c>
      <c r="Q18" s="32">
        <f t="shared" si="18"/>
        <v>1466.8351094179061</v>
      </c>
      <c r="R18" s="32">
        <f t="shared" si="18"/>
        <v>1536.8114535396498</v>
      </c>
      <c r="S18" s="32">
        <f t="shared" si="18"/>
        <v>1570.7718189055772</v>
      </c>
      <c r="T18" s="32">
        <f t="shared" si="18"/>
        <v>1573.2574151946433</v>
      </c>
      <c r="U18" s="32">
        <f t="shared" si="18"/>
        <v>1598.556812536877</v>
      </c>
      <c r="V18" s="32">
        <f t="shared" si="18"/>
        <v>1370.6175460257773</v>
      </c>
      <c r="W18" s="32">
        <f t="shared" ref="W18:Y18" si="19">SUM(W19,W20,W27)</f>
        <v>1483.2041687640076</v>
      </c>
      <c r="X18" s="32">
        <f t="shared" si="19"/>
        <v>1473.9324373801737</v>
      </c>
      <c r="Y18" s="32">
        <f t="shared" si="19"/>
        <v>1553.6486864581343</v>
      </c>
      <c r="DA18" s="173" t="s">
        <v>403</v>
      </c>
    </row>
    <row r="19" spans="1:105" ht="11.45" customHeight="1" x14ac:dyDescent="0.25">
      <c r="A19" s="136" t="s">
        <v>173</v>
      </c>
      <c r="B19" s="141">
        <v>16.934891343718053</v>
      </c>
      <c r="C19" s="141">
        <v>16.537456513329772</v>
      </c>
      <c r="D19" s="141">
        <v>16.086514262897715</v>
      </c>
      <c r="E19" s="141">
        <v>16.257839012442187</v>
      </c>
      <c r="F19" s="141">
        <v>16.133207491333813</v>
      </c>
      <c r="G19" s="141">
        <v>15.813287821964545</v>
      </c>
      <c r="H19" s="141">
        <v>15.679694517360774</v>
      </c>
      <c r="I19" s="141">
        <v>15.702968352870281</v>
      </c>
      <c r="J19" s="141">
        <v>15.918830821201821</v>
      </c>
      <c r="K19" s="141">
        <v>15.645432269008852</v>
      </c>
      <c r="L19" s="141">
        <v>15.294709543665078</v>
      </c>
      <c r="M19" s="141">
        <v>14.859836557859193</v>
      </c>
      <c r="N19" s="141">
        <v>15.045465844062331</v>
      </c>
      <c r="O19" s="141">
        <v>14.665979154491145</v>
      </c>
      <c r="P19" s="141">
        <v>14.760616695697095</v>
      </c>
      <c r="Q19" s="141">
        <v>14.209950565883325</v>
      </c>
      <c r="R19" s="141">
        <v>14.077740846864961</v>
      </c>
      <c r="S19" s="141">
        <v>13.111879316079476</v>
      </c>
      <c r="T19" s="141">
        <v>12.308996180243447</v>
      </c>
      <c r="U19" s="141">
        <v>12.870848222285995</v>
      </c>
      <c r="V19" s="141">
        <v>11.367217307760319</v>
      </c>
      <c r="W19" s="141">
        <v>11.681075399433123</v>
      </c>
      <c r="X19" s="141">
        <v>11.724240911725136</v>
      </c>
      <c r="Y19" s="141">
        <v>12.555549062244417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752.06064574975426</v>
      </c>
      <c r="C20" s="130">
        <f t="shared" si="20"/>
        <v>799.43749188296704</v>
      </c>
      <c r="D20" s="130">
        <f t="shared" si="20"/>
        <v>816.75154586560222</v>
      </c>
      <c r="E20" s="130">
        <f t="shared" si="20"/>
        <v>886.3955899001852</v>
      </c>
      <c r="F20" s="130">
        <f t="shared" si="20"/>
        <v>992.21405483010187</v>
      </c>
      <c r="G20" s="130">
        <f t="shared" si="20"/>
        <v>1044.8310785053079</v>
      </c>
      <c r="H20" s="130">
        <f t="shared" si="20"/>
        <v>1102.1955984249084</v>
      </c>
      <c r="I20" s="130">
        <f t="shared" si="20"/>
        <v>1204.0547894104529</v>
      </c>
      <c r="J20" s="130">
        <f t="shared" si="20"/>
        <v>1266.6066396740566</v>
      </c>
      <c r="K20" s="130">
        <f t="shared" si="20"/>
        <v>1314.0086601812088</v>
      </c>
      <c r="L20" s="130">
        <f t="shared" ref="L20" si="21">SUM(L21:L26)</f>
        <v>1342.5093763579785</v>
      </c>
      <c r="M20" s="130">
        <f t="shared" ref="M20:V20" si="22">SUM(M21:M26)</f>
        <v>1320.4056413108842</v>
      </c>
      <c r="N20" s="130">
        <f t="shared" si="22"/>
        <v>1252.1860766232473</v>
      </c>
      <c r="O20" s="130">
        <f t="shared" si="22"/>
        <v>1167.5292870422591</v>
      </c>
      <c r="P20" s="130">
        <f t="shared" si="22"/>
        <v>1149.2695267804284</v>
      </c>
      <c r="Q20" s="130">
        <f t="shared" si="22"/>
        <v>1180.0360217120947</v>
      </c>
      <c r="R20" s="130">
        <f t="shared" si="22"/>
        <v>1234.8642139295537</v>
      </c>
      <c r="S20" s="130">
        <f t="shared" si="22"/>
        <v>1255.5658767185439</v>
      </c>
      <c r="T20" s="130">
        <f t="shared" si="22"/>
        <v>1258.4408489071075</v>
      </c>
      <c r="U20" s="130">
        <f t="shared" si="22"/>
        <v>1277.6995319444277</v>
      </c>
      <c r="V20" s="130">
        <f t="shared" si="22"/>
        <v>1117.7005426803462</v>
      </c>
      <c r="W20" s="130">
        <f t="shared" ref="W20:Y20" si="23">SUM(W21:W26)</f>
        <v>1203.8619834344715</v>
      </c>
      <c r="X20" s="130">
        <f t="shared" si="23"/>
        <v>1196.8464198007471</v>
      </c>
      <c r="Y20" s="130">
        <f t="shared" si="23"/>
        <v>1257.7804396369768</v>
      </c>
      <c r="DA20" s="176" t="s">
        <v>405</v>
      </c>
    </row>
    <row r="21" spans="1:105" ht="11.45" customHeight="1" x14ac:dyDescent="0.25">
      <c r="A21" s="111" t="s">
        <v>110</v>
      </c>
      <c r="B21" s="96">
        <v>591.68466939384541</v>
      </c>
      <c r="C21" s="96">
        <v>630.4135812777713</v>
      </c>
      <c r="D21" s="96">
        <v>658.85101395039476</v>
      </c>
      <c r="E21" s="96">
        <v>728.98458100718904</v>
      </c>
      <c r="F21" s="96">
        <v>825.25588618516269</v>
      </c>
      <c r="G21" s="96">
        <v>894.58544274539065</v>
      </c>
      <c r="H21" s="96">
        <v>957.09800737250748</v>
      </c>
      <c r="I21" s="96">
        <v>1047.6998086931965</v>
      </c>
      <c r="J21" s="96">
        <v>1110.4857043143572</v>
      </c>
      <c r="K21" s="96">
        <v>1142.7966641259536</v>
      </c>
      <c r="L21" s="96">
        <v>1165.1905524651968</v>
      </c>
      <c r="M21" s="96">
        <v>1150.6001221553963</v>
      </c>
      <c r="N21" s="96">
        <v>1110.7656918910861</v>
      </c>
      <c r="O21" s="96">
        <v>1041.970658046183</v>
      </c>
      <c r="P21" s="96">
        <v>1019.2461472440503</v>
      </c>
      <c r="Q21" s="96">
        <v>1032.2105343464184</v>
      </c>
      <c r="R21" s="96">
        <v>1060.5414679169694</v>
      </c>
      <c r="S21" s="96">
        <v>1051.5603527193434</v>
      </c>
      <c r="T21" s="96">
        <v>1023.8284176502624</v>
      </c>
      <c r="U21" s="96">
        <v>1008.0911323081124</v>
      </c>
      <c r="V21" s="96">
        <v>850.30266889328243</v>
      </c>
      <c r="W21" s="96">
        <v>913.39262138356901</v>
      </c>
      <c r="X21" s="96">
        <v>927.01636974265182</v>
      </c>
      <c r="Y21" s="96">
        <v>969.26196551298892</v>
      </c>
      <c r="DA21" s="171" t="s">
        <v>751</v>
      </c>
    </row>
    <row r="22" spans="1:105" ht="11.45" customHeight="1" x14ac:dyDescent="0.25">
      <c r="A22" s="111" t="s">
        <v>111</v>
      </c>
      <c r="B22" s="96">
        <v>160.3759763559089</v>
      </c>
      <c r="C22" s="96">
        <v>169.02391060519574</v>
      </c>
      <c r="D22" s="96">
        <v>157.90053191520744</v>
      </c>
      <c r="E22" s="96">
        <v>157.41100889299614</v>
      </c>
      <c r="F22" s="96">
        <v>166.95816864493915</v>
      </c>
      <c r="G22" s="96">
        <v>150.24563575991732</v>
      </c>
      <c r="H22" s="96">
        <v>145.09759105240099</v>
      </c>
      <c r="I22" s="96">
        <v>156.35498071725658</v>
      </c>
      <c r="J22" s="96">
        <v>156.12093535969947</v>
      </c>
      <c r="K22" s="96">
        <v>171.21199605525513</v>
      </c>
      <c r="L22" s="96">
        <v>177.31882389278167</v>
      </c>
      <c r="M22" s="96">
        <v>169.80551915548784</v>
      </c>
      <c r="N22" s="96">
        <v>141.42038473216121</v>
      </c>
      <c r="O22" s="96">
        <v>125.55862899607601</v>
      </c>
      <c r="P22" s="96">
        <v>130.02149083032566</v>
      </c>
      <c r="Q22" s="96">
        <v>147.80698298671075</v>
      </c>
      <c r="R22" s="96">
        <v>174.28124325082638</v>
      </c>
      <c r="S22" s="96">
        <v>203.91871770496707</v>
      </c>
      <c r="T22" s="96">
        <v>233.17264865454638</v>
      </c>
      <c r="U22" s="96">
        <v>268.0037828928825</v>
      </c>
      <c r="V22" s="96">
        <v>265.97688715402313</v>
      </c>
      <c r="W22" s="96">
        <v>288.78074762606701</v>
      </c>
      <c r="X22" s="96">
        <v>267.93616599722435</v>
      </c>
      <c r="Y22" s="96">
        <v>286.68177723641338</v>
      </c>
      <c r="DA22" s="171" t="s">
        <v>752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1.31616504</v>
      </c>
      <c r="U23" s="96">
        <v>1.4236117200000002</v>
      </c>
      <c r="V23" s="96">
        <v>1.19077272</v>
      </c>
      <c r="W23" s="96">
        <v>1.3670488800000002</v>
      </c>
      <c r="X23" s="96">
        <v>1.4953942800000002</v>
      </c>
      <c r="Y23" s="96">
        <v>1.2655083600000001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96">
        <v>0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1.8887060523206168E-3</v>
      </c>
      <c r="Q25" s="96">
        <v>1.8504378965628468E-2</v>
      </c>
      <c r="R25" s="96">
        <v>4.1502761757938551E-2</v>
      </c>
      <c r="S25" s="96">
        <v>8.6806294233296083E-2</v>
      </c>
      <c r="T25" s="96">
        <v>0.12361756229879374</v>
      </c>
      <c r="U25" s="96">
        <v>0.18100502343283068</v>
      </c>
      <c r="V25" s="96">
        <v>0.23021391304074237</v>
      </c>
      <c r="W25" s="96">
        <v>0.32156554483552346</v>
      </c>
      <c r="X25" s="96">
        <v>0.39848978087102688</v>
      </c>
      <c r="Y25" s="96">
        <v>0.57118852757465621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280.84258547765575</v>
      </c>
      <c r="C27" s="130">
        <f t="shared" si="24"/>
        <v>286.36920064853473</v>
      </c>
      <c r="D27" s="130">
        <f t="shared" si="24"/>
        <v>279.03005272504657</v>
      </c>
      <c r="E27" s="130">
        <f t="shared" si="24"/>
        <v>299.34727967755924</v>
      </c>
      <c r="F27" s="130">
        <f t="shared" si="24"/>
        <v>315.26676365700428</v>
      </c>
      <c r="G27" s="130">
        <f t="shared" si="24"/>
        <v>294.99980430686122</v>
      </c>
      <c r="H27" s="130">
        <f t="shared" si="24"/>
        <v>299.27837461852459</v>
      </c>
      <c r="I27" s="130">
        <f t="shared" si="24"/>
        <v>314.7030536554841</v>
      </c>
      <c r="J27" s="130">
        <f t="shared" si="24"/>
        <v>298.59191589545787</v>
      </c>
      <c r="K27" s="130">
        <f t="shared" si="24"/>
        <v>302.11865036394357</v>
      </c>
      <c r="L27" s="130">
        <f t="shared" ref="L27" si="25">SUM(L28:L32)</f>
        <v>303.85544174436876</v>
      </c>
      <c r="M27" s="130">
        <f t="shared" ref="M27:V27" si="26">SUM(M28:M32)</f>
        <v>299.44467184748896</v>
      </c>
      <c r="N27" s="130">
        <f t="shared" si="26"/>
        <v>270.86349044054725</v>
      </c>
      <c r="O27" s="130">
        <f t="shared" si="26"/>
        <v>241.62121416583821</v>
      </c>
      <c r="P27" s="130">
        <f t="shared" si="26"/>
        <v>244.09028147707548</v>
      </c>
      <c r="Q27" s="130">
        <f t="shared" si="26"/>
        <v>272.58913713992825</v>
      </c>
      <c r="R27" s="130">
        <f t="shared" si="26"/>
        <v>287.86949876323104</v>
      </c>
      <c r="S27" s="130">
        <f t="shared" si="26"/>
        <v>302.09406287095379</v>
      </c>
      <c r="T27" s="130">
        <f t="shared" si="26"/>
        <v>302.50757010729228</v>
      </c>
      <c r="U27" s="130">
        <f t="shared" si="26"/>
        <v>307.98643237016336</v>
      </c>
      <c r="V27" s="130">
        <f t="shared" si="26"/>
        <v>241.54978603767088</v>
      </c>
      <c r="W27" s="130">
        <f t="shared" ref="W27:Y27" si="27">SUM(W28:W32)</f>
        <v>267.66110993010295</v>
      </c>
      <c r="X27" s="130">
        <f t="shared" si="27"/>
        <v>265.36177666770141</v>
      </c>
      <c r="Y27" s="130">
        <f t="shared" si="27"/>
        <v>283.31269775891326</v>
      </c>
      <c r="DA27" s="176" t="s">
        <v>406</v>
      </c>
    </row>
    <row r="28" spans="1:105" ht="11.45" customHeight="1" x14ac:dyDescent="0.25">
      <c r="A28" s="111" t="s">
        <v>110</v>
      </c>
      <c r="B28" s="97">
        <v>2.4745727393519426</v>
      </c>
      <c r="C28" s="97">
        <v>2.5284380972445604</v>
      </c>
      <c r="D28" s="97">
        <v>2.5047854256733899</v>
      </c>
      <c r="E28" s="97">
        <v>2.6411199592333712</v>
      </c>
      <c r="F28" s="97">
        <v>2.6514638466863074</v>
      </c>
      <c r="G28" s="97">
        <v>2.6938617213328784</v>
      </c>
      <c r="H28" s="97">
        <v>2.7924130445593844</v>
      </c>
      <c r="I28" s="97">
        <v>2.7799138108324475</v>
      </c>
      <c r="J28" s="97">
        <v>2.7831322678898873</v>
      </c>
      <c r="K28" s="97">
        <v>2.7337641312673746</v>
      </c>
      <c r="L28" s="97">
        <v>2.7732568173171344</v>
      </c>
      <c r="M28" s="97">
        <v>2.7635206851531331</v>
      </c>
      <c r="N28" s="97">
        <v>2.7299155412050387</v>
      </c>
      <c r="O28" s="97">
        <v>2.577388125041741</v>
      </c>
      <c r="P28" s="97">
        <v>0.86467994784464741</v>
      </c>
      <c r="Q28" s="97">
        <v>0.76784203830818865</v>
      </c>
      <c r="R28" s="97">
        <v>0.7067840819551634</v>
      </c>
      <c r="S28" s="97">
        <v>0.73923051654596372</v>
      </c>
      <c r="T28" s="97">
        <v>0.75927497886231921</v>
      </c>
      <c r="U28" s="97">
        <v>0.73978678447496882</v>
      </c>
      <c r="V28" s="97">
        <v>0.68498802992687724</v>
      </c>
      <c r="W28" s="97">
        <v>0.70052438682696594</v>
      </c>
      <c r="X28" s="97">
        <v>0.62815485122010395</v>
      </c>
      <c r="Y28" s="97">
        <v>0.52436340945884907</v>
      </c>
      <c r="DA28" s="175" t="s">
        <v>757</v>
      </c>
    </row>
    <row r="29" spans="1:105" ht="11.45" customHeight="1" x14ac:dyDescent="0.25">
      <c r="A29" s="111" t="s">
        <v>111</v>
      </c>
      <c r="B29" s="97">
        <v>278.36801273830378</v>
      </c>
      <c r="C29" s="97">
        <v>283.8407625512902</v>
      </c>
      <c r="D29" s="97">
        <v>276.52526729937318</v>
      </c>
      <c r="E29" s="97">
        <v>296.70615971832586</v>
      </c>
      <c r="F29" s="97">
        <v>312.61529981031799</v>
      </c>
      <c r="G29" s="97">
        <v>292.30594258552833</v>
      </c>
      <c r="H29" s="97">
        <v>296.4859615739652</v>
      </c>
      <c r="I29" s="97">
        <v>311.92313984465164</v>
      </c>
      <c r="J29" s="97">
        <v>295.808783627568</v>
      </c>
      <c r="K29" s="97">
        <v>299.38488623267619</v>
      </c>
      <c r="L29" s="97">
        <v>301.08218492705163</v>
      </c>
      <c r="M29" s="97">
        <v>296.68115116233582</v>
      </c>
      <c r="N29" s="97">
        <v>268.13357489934219</v>
      </c>
      <c r="O29" s="97">
        <v>239.04382604079646</v>
      </c>
      <c r="P29" s="97">
        <v>243.22560152923083</v>
      </c>
      <c r="Q29" s="97">
        <v>271.82129510162008</v>
      </c>
      <c r="R29" s="97">
        <v>287.16271468127587</v>
      </c>
      <c r="S29" s="97">
        <v>301.35483235440785</v>
      </c>
      <c r="T29" s="97">
        <v>301.74829512842996</v>
      </c>
      <c r="U29" s="97">
        <v>307.24664558568838</v>
      </c>
      <c r="V29" s="97">
        <v>240.86479800774401</v>
      </c>
      <c r="W29" s="97">
        <v>266.96058554327601</v>
      </c>
      <c r="X29" s="97">
        <v>264.73362181648127</v>
      </c>
      <c r="Y29" s="97">
        <v>282.78833434945443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X31" s="97">
        <v>0</v>
      </c>
      <c r="Y31" s="97">
        <v>0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697.78482510887193</v>
      </c>
      <c r="C33" s="32">
        <f t="shared" si="28"/>
        <v>701.12030339516843</v>
      </c>
      <c r="D33" s="32">
        <f t="shared" si="28"/>
        <v>674.61810886645389</v>
      </c>
      <c r="E33" s="32">
        <f t="shared" si="28"/>
        <v>690.02807140981338</v>
      </c>
      <c r="F33" s="32">
        <f t="shared" si="28"/>
        <v>670.07334826155966</v>
      </c>
      <c r="G33" s="32">
        <f t="shared" si="28"/>
        <v>677.02257548586635</v>
      </c>
      <c r="H33" s="32">
        <f t="shared" si="28"/>
        <v>603.62801011920635</v>
      </c>
      <c r="I33" s="32">
        <f t="shared" si="28"/>
        <v>619.95893874119258</v>
      </c>
      <c r="J33" s="32">
        <f t="shared" si="28"/>
        <v>615.02776308928321</v>
      </c>
      <c r="K33" s="32">
        <f t="shared" si="28"/>
        <v>565.50367210583863</v>
      </c>
      <c r="L33" s="32">
        <f t="shared" ref="L33" si="29">L34+L40</f>
        <v>583.5392931139877</v>
      </c>
      <c r="M33" s="32">
        <f t="shared" ref="M33:V33" si="30">M34+M40</f>
        <v>543.24904392376777</v>
      </c>
      <c r="N33" s="32">
        <f t="shared" si="30"/>
        <v>467.73261809214313</v>
      </c>
      <c r="O33" s="32">
        <f t="shared" si="30"/>
        <v>378.66423679741138</v>
      </c>
      <c r="P33" s="32">
        <f t="shared" si="30"/>
        <v>349.24050688679927</v>
      </c>
      <c r="Q33" s="32">
        <f t="shared" si="30"/>
        <v>359.19183794209397</v>
      </c>
      <c r="R33" s="32">
        <f t="shared" si="30"/>
        <v>402.34438466035056</v>
      </c>
      <c r="S33" s="32">
        <f t="shared" si="30"/>
        <v>433.19167541442278</v>
      </c>
      <c r="T33" s="32">
        <f t="shared" si="30"/>
        <v>442.63941312535655</v>
      </c>
      <c r="U33" s="32">
        <f t="shared" si="30"/>
        <v>436.97579026312314</v>
      </c>
      <c r="V33" s="32">
        <f t="shared" si="30"/>
        <v>402.20193377422288</v>
      </c>
      <c r="W33" s="32">
        <f t="shared" ref="W33:Y33" si="31">W34+W40</f>
        <v>421.01513823599242</v>
      </c>
      <c r="X33" s="32">
        <f t="shared" si="31"/>
        <v>403.15487993982651</v>
      </c>
      <c r="Y33" s="32">
        <f t="shared" si="31"/>
        <v>414.6502875418654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550.74480635443024</v>
      </c>
      <c r="C34" s="141">
        <f t="shared" si="32"/>
        <v>552.9915219399744</v>
      </c>
      <c r="D34" s="141">
        <f t="shared" si="32"/>
        <v>535.34010581394148</v>
      </c>
      <c r="E34" s="141">
        <f t="shared" si="32"/>
        <v>538.48158266230917</v>
      </c>
      <c r="F34" s="141">
        <f t="shared" si="32"/>
        <v>536.59962462721285</v>
      </c>
      <c r="G34" s="141">
        <f t="shared" si="32"/>
        <v>517.88488877973202</v>
      </c>
      <c r="H34" s="141">
        <f t="shared" si="32"/>
        <v>473.90031979866137</v>
      </c>
      <c r="I34" s="141">
        <f t="shared" si="32"/>
        <v>480.49556655050793</v>
      </c>
      <c r="J34" s="141">
        <f t="shared" si="32"/>
        <v>470.3613204365696</v>
      </c>
      <c r="K34" s="141">
        <f t="shared" si="32"/>
        <v>451.31968475933473</v>
      </c>
      <c r="L34" s="141">
        <f t="shared" ref="L34" si="33">SUM(L35:L39)</f>
        <v>453.36865457545838</v>
      </c>
      <c r="M34" s="141">
        <f t="shared" ref="M34:V34" si="34">SUM(M35:M39)</f>
        <v>434.50055354019025</v>
      </c>
      <c r="N34" s="141">
        <f t="shared" si="34"/>
        <v>378.19368193227672</v>
      </c>
      <c r="O34" s="141">
        <f t="shared" si="34"/>
        <v>319.72318057454333</v>
      </c>
      <c r="P34" s="141">
        <f t="shared" si="34"/>
        <v>297.92981797739424</v>
      </c>
      <c r="Q34" s="141">
        <f t="shared" si="34"/>
        <v>306.38895711492739</v>
      </c>
      <c r="R34" s="141">
        <f t="shared" si="34"/>
        <v>330.04594607261805</v>
      </c>
      <c r="S34" s="141">
        <f t="shared" si="34"/>
        <v>347.98045983988845</v>
      </c>
      <c r="T34" s="141">
        <f t="shared" si="34"/>
        <v>353.47895473651607</v>
      </c>
      <c r="U34" s="141">
        <f t="shared" si="34"/>
        <v>343.99535516077736</v>
      </c>
      <c r="V34" s="141">
        <f t="shared" si="34"/>
        <v>334.90012453647768</v>
      </c>
      <c r="W34" s="141">
        <f t="shared" ref="W34:Y34" si="35">SUM(W35:W39)</f>
        <v>349.51834407862913</v>
      </c>
      <c r="X34" s="141">
        <f t="shared" si="35"/>
        <v>311.02672211405928</v>
      </c>
      <c r="Y34" s="141">
        <f t="shared" si="35"/>
        <v>320.32881375486738</v>
      </c>
      <c r="DA34" s="174" t="s">
        <v>412</v>
      </c>
    </row>
    <row r="35" spans="1:105" ht="11.45" customHeight="1" x14ac:dyDescent="0.25">
      <c r="A35" s="111" t="s">
        <v>110</v>
      </c>
      <c r="B35" s="96">
        <v>21.323695643084598</v>
      </c>
      <c r="C35" s="96">
        <v>22.848417271654316</v>
      </c>
      <c r="D35" s="96">
        <v>22.515489521034258</v>
      </c>
      <c r="E35" s="96">
        <v>25.753940021135339</v>
      </c>
      <c r="F35" s="96">
        <v>21.696705636817011</v>
      </c>
      <c r="G35" s="96">
        <v>17.114294551311918</v>
      </c>
      <c r="H35" s="96">
        <v>16.036544185572335</v>
      </c>
      <c r="I35" s="96">
        <v>14.45390002310082</v>
      </c>
      <c r="J35" s="96">
        <v>15.91854715655073</v>
      </c>
      <c r="K35" s="96">
        <v>14.630364913770029</v>
      </c>
      <c r="L35" s="96">
        <v>14.037664333821111</v>
      </c>
      <c r="M35" s="96">
        <v>13.722698321591272</v>
      </c>
      <c r="N35" s="96">
        <v>13.495289883646635</v>
      </c>
      <c r="O35" s="96">
        <v>12.212512394283948</v>
      </c>
      <c r="P35" s="96">
        <v>11.993146526355453</v>
      </c>
      <c r="Q35" s="96">
        <v>11.93980183042467</v>
      </c>
      <c r="R35" s="96">
        <v>11.409047552452918</v>
      </c>
      <c r="S35" s="96">
        <v>11.755123753797569</v>
      </c>
      <c r="T35" s="96">
        <v>11.700557588332892</v>
      </c>
      <c r="U35" s="96">
        <v>11.715362461693969</v>
      </c>
      <c r="V35" s="96">
        <v>10.768799415989903</v>
      </c>
      <c r="W35" s="96">
        <v>11.390178085335393</v>
      </c>
      <c r="X35" s="96">
        <v>12.328757273532037</v>
      </c>
      <c r="Y35" s="96">
        <v>13.5781615277333</v>
      </c>
      <c r="DA35" s="171" t="s">
        <v>762</v>
      </c>
    </row>
    <row r="36" spans="1:105" ht="11.45" customHeight="1" x14ac:dyDescent="0.25">
      <c r="A36" s="111" t="s">
        <v>111</v>
      </c>
      <c r="B36" s="96">
        <v>529.42111071134559</v>
      </c>
      <c r="C36" s="96">
        <v>530.14310466832012</v>
      </c>
      <c r="D36" s="96">
        <v>512.82461629290719</v>
      </c>
      <c r="E36" s="96">
        <v>512.72764264117382</v>
      </c>
      <c r="F36" s="96">
        <v>514.90291899039585</v>
      </c>
      <c r="G36" s="96">
        <v>500.77059422842007</v>
      </c>
      <c r="H36" s="96">
        <v>457.86377561308905</v>
      </c>
      <c r="I36" s="96">
        <v>466.04166652740713</v>
      </c>
      <c r="J36" s="96">
        <v>454.44277328001886</v>
      </c>
      <c r="K36" s="96">
        <v>436.68931984556468</v>
      </c>
      <c r="L36" s="96">
        <v>439.33099024163727</v>
      </c>
      <c r="M36" s="96">
        <v>420.77785521859897</v>
      </c>
      <c r="N36" s="96">
        <v>364.69839204863007</v>
      </c>
      <c r="O36" s="96">
        <v>307.51066818025936</v>
      </c>
      <c r="P36" s="96">
        <v>285.93667145103876</v>
      </c>
      <c r="Q36" s="96">
        <v>294.44915528450275</v>
      </c>
      <c r="R36" s="96">
        <v>318.63689852016512</v>
      </c>
      <c r="S36" s="96">
        <v>336.22533608609086</v>
      </c>
      <c r="T36" s="96">
        <v>341.77839714818316</v>
      </c>
      <c r="U36" s="96">
        <v>332.27999269908338</v>
      </c>
      <c r="V36" s="96">
        <v>324.13132512048776</v>
      </c>
      <c r="W36" s="96">
        <v>338.12816599329375</v>
      </c>
      <c r="X36" s="96">
        <v>298.69796484052722</v>
      </c>
      <c r="Y36" s="96">
        <v>306.75065222713408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147.04001875444163</v>
      </c>
      <c r="C40" s="130">
        <f t="shared" si="36"/>
        <v>148.12878145519403</v>
      </c>
      <c r="D40" s="130">
        <f t="shared" si="36"/>
        <v>139.27800305251242</v>
      </c>
      <c r="E40" s="130">
        <f t="shared" si="36"/>
        <v>151.54648874750421</v>
      </c>
      <c r="F40" s="130">
        <f t="shared" si="36"/>
        <v>133.47372363434687</v>
      </c>
      <c r="G40" s="130">
        <f t="shared" si="36"/>
        <v>159.1376867061343</v>
      </c>
      <c r="H40" s="130">
        <f t="shared" si="36"/>
        <v>129.72769032054498</v>
      </c>
      <c r="I40" s="130">
        <f t="shared" si="36"/>
        <v>139.46337219068462</v>
      </c>
      <c r="J40" s="130">
        <f t="shared" si="36"/>
        <v>144.66644265271361</v>
      </c>
      <c r="K40" s="130">
        <f t="shared" si="36"/>
        <v>114.18398734650388</v>
      </c>
      <c r="L40" s="130">
        <f t="shared" ref="L40" si="37">SUM(L41:L42)</f>
        <v>130.17063853852932</v>
      </c>
      <c r="M40" s="130">
        <f t="shared" ref="M40:V40" si="38">SUM(M41:M42)</f>
        <v>108.7484903835775</v>
      </c>
      <c r="N40" s="130">
        <f t="shared" si="38"/>
        <v>89.53893615986641</v>
      </c>
      <c r="O40" s="130">
        <f t="shared" si="38"/>
        <v>58.941056222868042</v>
      </c>
      <c r="P40" s="130">
        <f t="shared" si="38"/>
        <v>51.310688909405059</v>
      </c>
      <c r="Q40" s="130">
        <f t="shared" si="38"/>
        <v>52.802880827166554</v>
      </c>
      <c r="R40" s="130">
        <f t="shared" si="38"/>
        <v>72.298438587732505</v>
      </c>
      <c r="S40" s="130">
        <f t="shared" si="38"/>
        <v>85.211215574534322</v>
      </c>
      <c r="T40" s="130">
        <f t="shared" si="38"/>
        <v>89.16045838884051</v>
      </c>
      <c r="U40" s="130">
        <f t="shared" si="38"/>
        <v>92.98043510234578</v>
      </c>
      <c r="V40" s="130">
        <f t="shared" si="38"/>
        <v>67.301809237745175</v>
      </c>
      <c r="W40" s="130">
        <f t="shared" ref="W40:Y40" si="39">SUM(W41:W42)</f>
        <v>71.496794157363297</v>
      </c>
      <c r="X40" s="130">
        <f t="shared" si="39"/>
        <v>92.128157825767246</v>
      </c>
      <c r="Y40" s="130">
        <f t="shared" si="39"/>
        <v>94.321473786998041</v>
      </c>
      <c r="DA40" s="176" t="s">
        <v>413</v>
      </c>
    </row>
    <row r="41" spans="1:105" ht="11.45" customHeight="1" x14ac:dyDescent="0.25">
      <c r="A41" s="128" t="s">
        <v>27</v>
      </c>
      <c r="B41" s="97">
        <v>147.04001875444163</v>
      </c>
      <c r="C41" s="97">
        <v>148.12878145519403</v>
      </c>
      <c r="D41" s="97">
        <v>139.27800305251242</v>
      </c>
      <c r="E41" s="97">
        <v>151.54648874750421</v>
      </c>
      <c r="F41" s="97">
        <v>133.47372363434687</v>
      </c>
      <c r="G41" s="97">
        <v>159.1376867061343</v>
      </c>
      <c r="H41" s="97">
        <v>129.72769032054498</v>
      </c>
      <c r="I41" s="97">
        <v>139.46337219068462</v>
      </c>
      <c r="J41" s="97">
        <v>144.66644265271361</v>
      </c>
      <c r="K41" s="97">
        <v>114.18398734650388</v>
      </c>
      <c r="L41" s="97">
        <v>130.17063853852932</v>
      </c>
      <c r="M41" s="97">
        <v>108.7484903835775</v>
      </c>
      <c r="N41" s="97">
        <v>89.53893615986641</v>
      </c>
      <c r="O41" s="97">
        <v>58.941056222868042</v>
      </c>
      <c r="P41" s="97">
        <v>51.310688909405059</v>
      </c>
      <c r="Q41" s="97">
        <v>52.802880827166554</v>
      </c>
      <c r="R41" s="97">
        <v>72.298438587732505</v>
      </c>
      <c r="S41" s="97">
        <v>85.211215574534322</v>
      </c>
      <c r="T41" s="97">
        <v>89.16045838884051</v>
      </c>
      <c r="U41" s="97">
        <v>92.98043510234578</v>
      </c>
      <c r="V41" s="97">
        <v>67.301809237745175</v>
      </c>
      <c r="W41" s="97">
        <v>71.496794157363297</v>
      </c>
      <c r="X41" s="97">
        <v>92.128157825767246</v>
      </c>
      <c r="Y41" s="97">
        <v>94.321473786998041</v>
      </c>
      <c r="DA41" s="175" t="s">
        <v>767</v>
      </c>
    </row>
    <row r="42" spans="1:105" ht="11.45" customHeight="1" x14ac:dyDescent="0.25">
      <c r="A42" s="138" t="s">
        <v>116</v>
      </c>
      <c r="B42" s="98">
        <v>0</v>
      </c>
      <c r="C42" s="98">
        <v>0</v>
      </c>
      <c r="D42" s="98">
        <v>0</v>
      </c>
      <c r="E42" s="98">
        <v>0</v>
      </c>
      <c r="F42" s="98">
        <v>0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98">
        <v>0</v>
      </c>
      <c r="S42" s="98">
        <v>0</v>
      </c>
      <c r="T42" s="98">
        <v>0</v>
      </c>
      <c r="U42" s="98">
        <v>0</v>
      </c>
      <c r="V42" s="98">
        <v>0</v>
      </c>
      <c r="W42" s="98">
        <v>0</v>
      </c>
      <c r="X42" s="98">
        <v>0</v>
      </c>
      <c r="Y42" s="98">
        <v>0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3.0265586898247938</v>
      </c>
      <c r="C47" s="145">
        <f>IF(C4=0,0,C4/TrRoad_ene!C4)</f>
        <v>3.024326148273726</v>
      </c>
      <c r="D47" s="145">
        <f>IF(D4=0,0,D4/TrRoad_ene!D4)</f>
        <v>3.0204494000708562</v>
      </c>
      <c r="E47" s="145">
        <f>IF(E4=0,0,E4/TrRoad_ene!E4)</f>
        <v>3.0169732928497979</v>
      </c>
      <c r="F47" s="145">
        <f>IF(F4=0,0,F4/TrRoad_ene!F4)</f>
        <v>3.0118314168229139</v>
      </c>
      <c r="G47" s="145">
        <f>IF(G4=0,0,G4/TrRoad_ene!G4)</f>
        <v>3.0071019836610478</v>
      </c>
      <c r="H47" s="145">
        <f>IF(H4=0,0,H4/TrRoad_ene!H4)</f>
        <v>3.0004392980011363</v>
      </c>
      <c r="I47" s="145">
        <f>IF(I4=0,0,I4/TrRoad_ene!I4)</f>
        <v>2.9945689021337127</v>
      </c>
      <c r="J47" s="145">
        <f>IF(J4=0,0,J4/TrRoad_ene!J4)</f>
        <v>2.9375955232556481</v>
      </c>
      <c r="K47" s="145">
        <f>IF(K4=0,0,K4/TrRoad_ene!K4)</f>
        <v>2.9315259270483716</v>
      </c>
      <c r="L47" s="145">
        <f>IF(L4=0,0,L4/TrRoad_ene!L4)</f>
        <v>2.9331360598024112</v>
      </c>
      <c r="M47" s="145">
        <f>IF(M4=0,0,M4/TrRoad_ene!M4)</f>
        <v>2.9260742862571436</v>
      </c>
      <c r="N47" s="145">
        <f>IF(N4=0,0,N4/TrRoad_ene!N4)</f>
        <v>2.9156419947975118</v>
      </c>
      <c r="O47" s="145">
        <f>IF(O4=0,0,O4/TrRoad_ene!O4)</f>
        <v>2.9074607328591191</v>
      </c>
      <c r="P47" s="145">
        <f>IF(P4=0,0,P4/TrRoad_ene!P4)</f>
        <v>2.9310958382429169</v>
      </c>
      <c r="Q47" s="145">
        <f>IF(Q4=0,0,Q4/TrRoad_ene!Q4)</f>
        <v>2.9358806204813583</v>
      </c>
      <c r="R47" s="145">
        <f>IF(R4=0,0,R4/TrRoad_ene!R4)</f>
        <v>2.9462734414380347</v>
      </c>
      <c r="S47" s="145">
        <f>IF(S4=0,0,S4/TrRoad_ene!S4)</f>
        <v>2.9530924480710952</v>
      </c>
      <c r="T47" s="145">
        <f>IF(T4=0,0,T4/TrRoad_ene!T4)</f>
        <v>2.9546606863439711</v>
      </c>
      <c r="U47" s="145">
        <f>IF(U4=0,0,U4/TrRoad_ene!U4)</f>
        <v>2.9496783060638196</v>
      </c>
      <c r="V47" s="145">
        <f>IF(V4=0,0,V4/TrRoad_ene!V4)</f>
        <v>2.8788605722443301</v>
      </c>
      <c r="W47" s="145">
        <f>IF(W4=0,0,W4/TrRoad_ene!W4)</f>
        <v>2.8885066725060931</v>
      </c>
      <c r="X47" s="145">
        <f>IF(X4=0,0,X4/TrRoad_ene!X4)</f>
        <v>2.8888268098257761</v>
      </c>
      <c r="Y47" s="145">
        <f>IF(Y4=0,0,Y4/TrRoad_ene!Y4)</f>
        <v>2.8989935443994517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2.9014523999999997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2.9014523999999997</v>
      </c>
      <c r="P48" s="97">
        <f>IF(P7=0,0,(P7+P12)/(TrRoad_ene!P7+TrRoad_ene!P12))</f>
        <v>2.9014524000000002</v>
      </c>
      <c r="Q48" s="97">
        <f>IF(Q7=0,0,(Q7+Q12)/(TrRoad_ene!Q7+TrRoad_ene!Q12))</f>
        <v>2.9014524000000006</v>
      </c>
      <c r="R48" s="97">
        <f>IF(R7=0,0,(R7+R12)/(TrRoad_ene!R7+TrRoad_ene!R12))</f>
        <v>2.9014524000000006</v>
      </c>
      <c r="S48" s="97">
        <f>IF(S7=0,0,(S7+S12)/(TrRoad_ene!S7+TrRoad_ene!S12))</f>
        <v>2.9014524000000002</v>
      </c>
      <c r="T48" s="97">
        <f>IF(T7=0,0,(T7+T12)/(TrRoad_ene!T7+TrRoad_ene!T12))</f>
        <v>2.9014524000000002</v>
      </c>
      <c r="U48" s="97">
        <f>IF(U7=0,0,(U7+U12)/(TrRoad_ene!U7+TrRoad_ene!U12))</f>
        <v>2.9014524000000002</v>
      </c>
      <c r="V48" s="97">
        <f>IF(V7=0,0,(V7+V12)/(TrRoad_ene!V7+TrRoad_ene!V12))</f>
        <v>2.8951810323927396</v>
      </c>
      <c r="W48" s="97">
        <f>IF(W7=0,0,(W7+W12)/(TrRoad_ene!W7+TrRoad_ene!W12))</f>
        <v>2.9014524000000002</v>
      </c>
      <c r="X48" s="97">
        <f>IF(X7=0,0,(X7+X12)/(TrRoad_ene!X7+TrRoad_ene!X12))</f>
        <v>2.9014524000000002</v>
      </c>
      <c r="Y48" s="97">
        <f>IF(Y7=0,0,(Y7+Y12)/(TrRoad_ene!Y7+TrRoad_ene!Y12))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3.1024187999999997</v>
      </c>
      <c r="G49" s="97">
        <f>IF(G8=0,0,(G8+G13+G14)/(TrRoad_ene!G8+TrRoad_ene!G13+TrRoad_ene!G14))</f>
        <v>3.1024187999999997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3.0945173706984619</v>
      </c>
      <c r="J49" s="97">
        <f>IF(J8=0,0,(J8+J13+J14)/(TrRoad_ene!J8+TrRoad_ene!J13+TrRoad_ene!J14))</f>
        <v>2.9781213204656103</v>
      </c>
      <c r="K49" s="97">
        <f>IF(K8=0,0,(K8+K13+K14)/(TrRoad_ene!K8+TrRoad_ene!K13+TrRoad_ene!K14))</f>
        <v>2.9670354251678428</v>
      </c>
      <c r="L49" s="97">
        <f>IF(L8=0,0,(L8+L13+L14)/(TrRoad_ene!L8+TrRoad_ene!L13+TrRoad_ene!L14))</f>
        <v>2.9703049331651954</v>
      </c>
      <c r="M49" s="97">
        <f>IF(M8=0,0,(M8+M13+M14)/(TrRoad_ene!M8+TrRoad_ene!M13+TrRoad_ene!M14))</f>
        <v>2.9559566246386213</v>
      </c>
      <c r="N49" s="97">
        <f>IF(N8=0,0,(N8+N13+N14)/(TrRoad_ene!N8+TrRoad_ene!N13+TrRoad_ene!N14))</f>
        <v>2.9347490968901728</v>
      </c>
      <c r="O49" s="97">
        <f>IF(O8=0,0,(O8+O13+O14)/(TrRoad_ene!O8+TrRoad_ene!O13+TrRoad_ene!O14))</f>
        <v>2.9164768946408084</v>
      </c>
      <c r="P49" s="97">
        <f>IF(P8=0,0,(P8+P13+P14)/(TrRoad_ene!P8+TrRoad_ene!P13+TrRoad_ene!P14))</f>
        <v>2.976090747030447</v>
      </c>
      <c r="Q49" s="97">
        <f>IF(Q8=0,0,(Q8+Q13+Q14)/(TrRoad_ene!Q8+TrRoad_ene!Q13+TrRoad_ene!Q14))</f>
        <v>2.985027718633225</v>
      </c>
      <c r="R49" s="97">
        <f>IF(R8=0,0,(R8+R13+R14)/(TrRoad_ene!R8+TrRoad_ene!R13+TrRoad_ene!R14))</f>
        <v>3.005738244626786</v>
      </c>
      <c r="S49" s="97">
        <f>IF(S8=0,0,(S8+S13+S14)/(TrRoad_ene!S8+TrRoad_ene!S13+TrRoad_ene!S14))</f>
        <v>3.0158958216223311</v>
      </c>
      <c r="T49" s="97">
        <f>IF(T8=0,0,(T8+T13+T14)/(TrRoad_ene!T8+TrRoad_ene!T13+TrRoad_ene!T14))</f>
        <v>3.0157188214378223</v>
      </c>
      <c r="U49" s="97">
        <f>IF(U8=0,0,(U8+U13+U14)/(TrRoad_ene!U8+TrRoad_ene!U13+TrRoad_ene!U14))</f>
        <v>3.002436914197733</v>
      </c>
      <c r="V49" s="97">
        <f>IF(V8=0,0,(V8+V13+V14)/(TrRoad_ene!V8+TrRoad_ene!V13+TrRoad_ene!V14))</f>
        <v>2.8644320882563052</v>
      </c>
      <c r="W49" s="97">
        <f>IF(W8=0,0,(W8+W13+W14)/(TrRoad_ene!W8+TrRoad_ene!W13+TrRoad_ene!W14))</f>
        <v>2.8776679487334089</v>
      </c>
      <c r="X49" s="97">
        <f>IF(X8=0,0,(X8+X13+X14)/(TrRoad_ene!X8+TrRoad_ene!X13+TrRoad_ene!X14))</f>
        <v>2.8784385833603974</v>
      </c>
      <c r="Y49" s="97">
        <f>IF(Y8=0,0,(Y8+Y13+Y14)/(TrRoad_ene!Y8+TrRoad_ene!Y13+TrRoad_ene!Y14))</f>
        <v>2.905251895678262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0</v>
      </c>
      <c r="E50" s="97">
        <f>IF(E6=0,0,E6/TrRoad_ene!E6)</f>
        <v>0</v>
      </c>
      <c r="F50" s="97">
        <f>IF(F6=0,0,F6/TrRoad_ene!F6)</f>
        <v>0</v>
      </c>
      <c r="G50" s="97">
        <f>IF(G6=0,0,G6/TrRoad_ene!G6)</f>
        <v>0</v>
      </c>
      <c r="H50" s="97">
        <f>IF(H6=0,0,H6/TrRoad_ene!H6)</f>
        <v>0</v>
      </c>
      <c r="I50" s="97">
        <f>IF(I6=0,0,I6/TrRoad_ene!I6)</f>
        <v>0</v>
      </c>
      <c r="J50" s="97">
        <f>IF(J6=0,0,J6/TrRoad_ene!J6)</f>
        <v>0</v>
      </c>
      <c r="K50" s="97">
        <f>IF(K6=0,0,K6/TrRoad_ene!K6)</f>
        <v>0</v>
      </c>
      <c r="L50" s="97">
        <f>IF(L6=0,0,L6/TrRoad_ene!L6)</f>
        <v>0</v>
      </c>
      <c r="M50" s="97">
        <f>IF(M6=0,0,M6/TrRoad_ene!M6)</f>
        <v>0</v>
      </c>
      <c r="N50" s="97">
        <f>IF(N6=0,0,N6/TrRoad_ene!N6)</f>
        <v>0</v>
      </c>
      <c r="O50" s="97">
        <f>IF(O6=0,0,O6/TrRoad_ene!O6)</f>
        <v>0</v>
      </c>
      <c r="P50" s="97">
        <f>IF(P6=0,0,P6/TrRoad_ene!P6)</f>
        <v>0</v>
      </c>
      <c r="Q50" s="97">
        <f>IF(Q6=0,0,Q6/TrRoad_ene!Q6)</f>
        <v>0</v>
      </c>
      <c r="R50" s="97">
        <f>IF(R6=0,0,R6/TrRoad_ene!R6)</f>
        <v>0</v>
      </c>
      <c r="S50" s="97">
        <f>IF(S6=0,0,S6/TrRoad_ene!S6)</f>
        <v>0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X51" s="97">
        <f>IF(X9=0,0,(X9+X11)/(TrRoad_ene!X9+TrRoad_ene!X11))</f>
        <v>0</v>
      </c>
      <c r="Y51" s="97">
        <f>IF(Y9=0,0,(Y9+Y11)/(TrRoad_ene!Y9+TrRoad_ene!Y11))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358.09024713136733</v>
      </c>
      <c r="C54" s="62">
        <f>IF(TrRoad_act!C30=0,0,C17/TrRoad_act!C30*1000
)</f>
        <v>356.18732561481698</v>
      </c>
      <c r="D54" s="62">
        <f>IF(TrRoad_act!D30=0,0,D17/TrRoad_act!D30*1000
)</f>
        <v>343.94430998196401</v>
      </c>
      <c r="E54" s="62">
        <f>IF(TrRoad_act!E30=0,0,E17/TrRoad_act!E30*1000
)</f>
        <v>351.62025543192806</v>
      </c>
      <c r="F54" s="62">
        <f>IF(TrRoad_act!F30=0,0,F17/TrRoad_act!F30*1000
)</f>
        <v>357.94310612108342</v>
      </c>
      <c r="G54" s="62">
        <f>IF(TrRoad_act!G30=0,0,G17/TrRoad_act!G30*1000
)</f>
        <v>344.9999405100566</v>
      </c>
      <c r="H54" s="62">
        <f>IF(TrRoad_act!H30=0,0,H17/TrRoad_act!H30*1000
)</f>
        <v>340.83984849966669</v>
      </c>
      <c r="I54" s="62">
        <f>IF(TrRoad_act!I30=0,0,I17/TrRoad_act!I30*1000
)</f>
        <v>341.5039309746449</v>
      </c>
      <c r="J54" s="62">
        <f>IF(TrRoad_act!J30=0,0,J17/TrRoad_act!J30*1000
)</f>
        <v>324.64971256810293</v>
      </c>
      <c r="K54" s="62">
        <f>IF(TrRoad_act!K30=0,0,K17/TrRoad_act!K30*1000
)</f>
        <v>324.41539200208143</v>
      </c>
      <c r="L54" s="62">
        <f>IF(TrRoad_act!L30=0,0,L17/TrRoad_act!L30*1000
)</f>
        <v>325.24099661708772</v>
      </c>
      <c r="M54" s="62">
        <f>IF(TrRoad_act!M30=0,0,M17/TrRoad_act!M30*1000
)</f>
        <v>313.14090032855904</v>
      </c>
      <c r="N54" s="62">
        <f>IF(TrRoad_act!N30=0,0,N17/TrRoad_act!N30*1000
)</f>
        <v>291.5111625734848</v>
      </c>
      <c r="O54" s="62">
        <f>IF(TrRoad_act!O30=0,0,O17/TrRoad_act!O30*1000
)</f>
        <v>267.49310345806447</v>
      </c>
      <c r="P54" s="62">
        <f>IF(TrRoad_act!P30=0,0,P17/TrRoad_act!P30*1000
)</f>
        <v>262.85792554851554</v>
      </c>
      <c r="Q54" s="62">
        <f>IF(TrRoad_act!Q30=0,0,Q17/TrRoad_act!Q30*1000
)</f>
        <v>269.58144306512821</v>
      </c>
      <c r="R54" s="62">
        <f>IF(TrRoad_act!R30=0,0,R17/TrRoad_act!R30*1000
)</f>
        <v>255.07739373759907</v>
      </c>
      <c r="S54" s="62">
        <f>IF(TrRoad_act!S30=0,0,S17/TrRoad_act!S30*1000
)</f>
        <v>257.76252619855956</v>
      </c>
      <c r="T54" s="62">
        <f>IF(TrRoad_act!T30=0,0,T17/TrRoad_act!T30*1000
)</f>
        <v>248.89139317886594</v>
      </c>
      <c r="U54" s="62">
        <f>IF(TrRoad_act!U30=0,0,U17/TrRoad_act!U30*1000
)</f>
        <v>244.56803252808473</v>
      </c>
      <c r="V54" s="62">
        <f>IF(TrRoad_act!V30=0,0,V17/TrRoad_act!V30*1000
)</f>
        <v>229.93298068525323</v>
      </c>
      <c r="W54" s="62">
        <f>IF(TrRoad_act!W30=0,0,W17/TrRoad_act!W30*1000
)</f>
        <v>242.13068104095171</v>
      </c>
      <c r="X54" s="62">
        <f>IF(TrRoad_act!X30=0,0,X17/TrRoad_act!X30*1000
)</f>
        <v>230.67340059602472</v>
      </c>
      <c r="Y54" s="62">
        <f>IF(TrRoad_act!Y30=0,0,Y17/TrRoad_act!Y30*1000
)</f>
        <v>234.00849939407107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318.46442042682565</v>
      </c>
      <c r="C55" s="29">
        <f>IF(TrRoad_act!C31=0,0,C18/TrRoad_act!C31*1000
)</f>
        <v>320.01065899992608</v>
      </c>
      <c r="D55" s="29">
        <f>IF(TrRoad_act!D31=0,0,D18/TrRoad_act!D31*1000
)</f>
        <v>316.16545307977805</v>
      </c>
      <c r="E55" s="29">
        <f>IF(TrRoad_act!E31=0,0,E18/TrRoad_act!E31*1000
)</f>
        <v>327.530503731799</v>
      </c>
      <c r="F55" s="29">
        <f>IF(TrRoad_act!F31=0,0,F18/TrRoad_act!F31*1000
)</f>
        <v>330.46500891479593</v>
      </c>
      <c r="G55" s="29">
        <f>IF(TrRoad_act!G31=0,0,G18/TrRoad_act!G31*1000
)</f>
        <v>322.76595121391881</v>
      </c>
      <c r="H55" s="29">
        <f>IF(TrRoad_act!H31=0,0,H18/TrRoad_act!H31*1000
)</f>
        <v>323.58217716152632</v>
      </c>
      <c r="I55" s="29">
        <f>IF(TrRoad_act!I31=0,0,I18/TrRoad_act!I31*1000
)</f>
        <v>321.88031384226468</v>
      </c>
      <c r="J55" s="29">
        <f>IF(TrRoad_act!J31=0,0,J18/TrRoad_act!J31*1000
)</f>
        <v>309.41385878897103</v>
      </c>
      <c r="K55" s="29">
        <f>IF(TrRoad_act!K31=0,0,K18/TrRoad_act!K31*1000
)</f>
        <v>309.2621530306676</v>
      </c>
      <c r="L55" s="29">
        <f>IF(TrRoad_act!L31=0,0,L18/TrRoad_act!L31*1000
)</f>
        <v>308.4882751140222</v>
      </c>
      <c r="M55" s="29">
        <f>IF(TrRoad_act!M31=0,0,M18/TrRoad_act!M31*1000
)</f>
        <v>300.51793346592962</v>
      </c>
      <c r="N55" s="29">
        <f>IF(TrRoad_act!N31=0,0,N18/TrRoad_act!N31*1000
)</f>
        <v>287.11070140203265</v>
      </c>
      <c r="O55" s="29">
        <f>IF(TrRoad_act!O31=0,0,O18/TrRoad_act!O31*1000
)</f>
        <v>267.9741471671681</v>
      </c>
      <c r="P55" s="29">
        <f>IF(TrRoad_act!P31=0,0,P18/TrRoad_act!P31*1000
)</f>
        <v>263.67315037233465</v>
      </c>
      <c r="Q55" s="29">
        <f>IF(TrRoad_act!Q31=0,0,Q18/TrRoad_act!Q31*1000
)</f>
        <v>269.3653047562243</v>
      </c>
      <c r="R55" s="29">
        <f>IF(TrRoad_act!R31=0,0,R18/TrRoad_act!R31*1000
)</f>
        <v>249.34834476608742</v>
      </c>
      <c r="S55" s="29">
        <f>IF(TrRoad_act!S31=0,0,S18/TrRoad_act!S31*1000
)</f>
        <v>251.66588406009166</v>
      </c>
      <c r="T55" s="29">
        <f>IF(TrRoad_act!T31=0,0,T18/TrRoad_act!T31*1000
)</f>
        <v>243.01805422252232</v>
      </c>
      <c r="U55" s="29">
        <f>IF(TrRoad_act!U31=0,0,U18/TrRoad_act!U31*1000
)</f>
        <v>238.01574736886096</v>
      </c>
      <c r="V55" s="29">
        <f>IF(TrRoad_act!V31=0,0,V18/TrRoad_act!V31*1000
)</f>
        <v>221.75241764365509</v>
      </c>
      <c r="W55" s="29">
        <f>IF(TrRoad_act!W31=0,0,W18/TrRoad_act!W31*1000
)</f>
        <v>233.35934346437651</v>
      </c>
      <c r="X55" s="29">
        <f>IF(TrRoad_act!X31=0,0,X18/TrRoad_act!X31*1000
)</f>
        <v>223.54648715381916</v>
      </c>
      <c r="Y55" s="29">
        <f>IF(TrRoad_act!Y31=0,0,Y18/TrRoad_act!Y31*1000
)</f>
        <v>225.2539788314032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131.34585227101374</v>
      </c>
      <c r="C56" s="152">
        <f>IF(TrRoad_act!C32=0,0,C19/TrRoad_act!C32*1000
)</f>
        <v>130.27909834563926</v>
      </c>
      <c r="D56" s="152">
        <f>IF(TrRoad_act!D32=0,0,D19/TrRoad_act!D32*1000
)</f>
        <v>129.38737142463859</v>
      </c>
      <c r="E56" s="152">
        <f>IF(TrRoad_act!E32=0,0,E19/TrRoad_act!E32*1000
)</f>
        <v>128.79771993164587</v>
      </c>
      <c r="F56" s="152">
        <f>IF(TrRoad_act!F32=0,0,F19/TrRoad_act!F32*1000
)</f>
        <v>127.99548136295907</v>
      </c>
      <c r="G56" s="152">
        <f>IF(TrRoad_act!G32=0,0,G19/TrRoad_act!G32*1000
)</f>
        <v>127.0242819666292</v>
      </c>
      <c r="H56" s="152">
        <f>IF(TrRoad_act!H32=0,0,H19/TrRoad_act!H32*1000
)</f>
        <v>125.9854833470791</v>
      </c>
      <c r="I56" s="152">
        <f>IF(TrRoad_act!I32=0,0,I19/TrRoad_act!I32*1000
)</f>
        <v>124.86142489214679</v>
      </c>
      <c r="J56" s="152">
        <f>IF(TrRoad_act!J32=0,0,J19/TrRoad_act!J32*1000
)</f>
        <v>123.60240411464333</v>
      </c>
      <c r="K56" s="152">
        <f>IF(TrRoad_act!K32=0,0,K19/TrRoad_act!K32*1000
)</f>
        <v>122.22993960163166</v>
      </c>
      <c r="L56" s="152">
        <f>IF(TrRoad_act!L32=0,0,L19/TrRoad_act!L32*1000
)</f>
        <v>120.43078380838644</v>
      </c>
      <c r="M56" s="152">
        <f>IF(TrRoad_act!M32=0,0,M19/TrRoad_act!M32*1000
)</f>
        <v>118.92626296806075</v>
      </c>
      <c r="N56" s="152">
        <f>IF(TrRoad_act!N32=0,0,N19/TrRoad_act!N32*1000
)</f>
        <v>118.48952423053122</v>
      </c>
      <c r="O56" s="152">
        <f>IF(TrRoad_act!O32=0,0,O19/TrRoad_act!O32*1000
)</f>
        <v>117.13078796950219</v>
      </c>
      <c r="P56" s="152">
        <f>IF(TrRoad_act!P32=0,0,P19/TrRoad_act!P32*1000
)</f>
        <v>116.43757808043269</v>
      </c>
      <c r="Q56" s="152">
        <f>IF(TrRoad_act!Q32=0,0,Q19/TrRoad_act!Q32*1000
)</f>
        <v>114.47678241922783</v>
      </c>
      <c r="R56" s="152">
        <f>IF(TrRoad_act!R32=0,0,R19/TrRoad_act!R32*1000
)</f>
        <v>113.47788415022997</v>
      </c>
      <c r="S56" s="152">
        <f>IF(TrRoad_act!S32=0,0,S19/TrRoad_act!S32*1000
)</f>
        <v>112.44211129541362</v>
      </c>
      <c r="T56" s="152">
        <f>IF(TrRoad_act!T32=0,0,T19/TrRoad_act!T32*1000
)</f>
        <v>111.02029218746631</v>
      </c>
      <c r="U56" s="152">
        <f>IF(TrRoad_act!U32=0,0,U19/TrRoad_act!U32*1000
)</f>
        <v>109.983466004704</v>
      </c>
      <c r="V56" s="152">
        <f>IF(TrRoad_act!V32=0,0,V19/TrRoad_act!V32*1000
)</f>
        <v>108.57275980282476</v>
      </c>
      <c r="W56" s="152">
        <f>IF(TrRoad_act!W32=0,0,W19/TrRoad_act!W32*1000
)</f>
        <v>107.50189111304722</v>
      </c>
      <c r="X56" s="152">
        <f>IF(TrRoad_act!X32=0,0,X19/TrRoad_act!X32*1000
)</f>
        <v>106.7631950385517</v>
      </c>
      <c r="Y56" s="152">
        <f>IF(TrRoad_act!Y32=0,0,Y19/TrRoad_act!Y32*1000
)</f>
        <v>105.60329077930029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248.04181120153973</v>
      </c>
      <c r="C57" s="116">
        <f>IF(TrRoad_act!C33=0,0,C20/TrRoad_act!C33*1000
)</f>
        <v>251.60146421639251</v>
      </c>
      <c r="D57" s="116">
        <f>IF(TrRoad_act!D33=0,0,D20/TrRoad_act!D33*1000
)</f>
        <v>251.51394418730106</v>
      </c>
      <c r="E57" s="116">
        <f>IF(TrRoad_act!E33=0,0,E20/TrRoad_act!E33*1000
)</f>
        <v>261.5375838248267</v>
      </c>
      <c r="F57" s="116">
        <f>IF(TrRoad_act!F33=0,0,F20/TrRoad_act!F33*1000
)</f>
        <v>266.01410831524794</v>
      </c>
      <c r="G57" s="116">
        <f>IF(TrRoad_act!G33=0,0,G20/TrRoad_act!G33*1000
)</f>
        <v>266.24434489915473</v>
      </c>
      <c r="H57" s="116">
        <f>IF(TrRoad_act!H33=0,0,H20/TrRoad_act!H33*1000
)</f>
        <v>268.68723715059826</v>
      </c>
      <c r="I57" s="116">
        <f>IF(TrRoad_act!I33=0,0,I20/TrRoad_act!I33*1000
)</f>
        <v>268.33986581358641</v>
      </c>
      <c r="J57" s="116">
        <f>IF(TrRoad_act!J33=0,0,J20/TrRoad_act!J33*1000
)</f>
        <v>262.52156543944028</v>
      </c>
      <c r="K57" s="116">
        <f>IF(TrRoad_act!K33=0,0,K20/TrRoad_act!K33*1000
)</f>
        <v>262.83634581538422</v>
      </c>
      <c r="L57" s="116">
        <f>IF(TrRoad_act!L33=0,0,L20/TrRoad_act!L33*1000
)</f>
        <v>262.59561333558617</v>
      </c>
      <c r="M57" s="116">
        <f>IF(TrRoad_act!M33=0,0,M20/TrRoad_act!M33*1000
)</f>
        <v>255.63531630120318</v>
      </c>
      <c r="N57" s="116">
        <f>IF(TrRoad_act!N33=0,0,N20/TrRoad_act!N33*1000
)</f>
        <v>246.61609575284876</v>
      </c>
      <c r="O57" s="116">
        <f>IF(TrRoad_act!O33=0,0,O20/TrRoad_act!O33*1000
)</f>
        <v>231.72463618661578</v>
      </c>
      <c r="P57" s="116">
        <f>IF(TrRoad_act!P33=0,0,P20/TrRoad_act!P33*1000
)</f>
        <v>226.91890153961606</v>
      </c>
      <c r="Q57" s="116">
        <f>IF(TrRoad_act!Q33=0,0,Q20/TrRoad_act!Q33*1000
)</f>
        <v>228.51074848211363</v>
      </c>
      <c r="R57" s="116">
        <f>IF(TrRoad_act!R33=0,0,R20/TrRoad_act!R33*1000
)</f>
        <v>210.15997590308481</v>
      </c>
      <c r="S57" s="116">
        <f>IF(TrRoad_act!S33=0,0,S20/TrRoad_act!S33*1000
)</f>
        <v>210.83029019306986</v>
      </c>
      <c r="T57" s="116">
        <f>IF(TrRoad_act!T33=0,0,T20/TrRoad_act!T33*1000
)</f>
        <v>203.36912197588521</v>
      </c>
      <c r="U57" s="116">
        <f>IF(TrRoad_act!U33=0,0,U20/TrRoad_act!U33*1000
)</f>
        <v>198.93174345298499</v>
      </c>
      <c r="V57" s="116">
        <f>IF(TrRoad_act!V33=0,0,V20/TrRoad_act!V33*1000
)</f>
        <v>188.25161858570647</v>
      </c>
      <c r="W57" s="116">
        <f>IF(TrRoad_act!W33=0,0,W20/TrRoad_act!W33*1000
)</f>
        <v>197.34530193370924</v>
      </c>
      <c r="X57" s="116">
        <f>IF(TrRoad_act!X33=0,0,X20/TrRoad_act!X33*1000
)</f>
        <v>189.35400043190316</v>
      </c>
      <c r="Y57" s="116">
        <f>IF(TrRoad_act!Y33=0,0,Y20/TrRoad_act!Y33*1000
)</f>
        <v>190.34586235125701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235.34425870245161</v>
      </c>
      <c r="C58" s="87">
        <f>IF(TrRoad_act!C34=0,0,C21/TrRoad_act!C34*1000
)</f>
        <v>240.6963768105708</v>
      </c>
      <c r="D58" s="87">
        <f>IF(TrRoad_act!D34=0,0,D21/TrRoad_act!D34*1000
)</f>
        <v>244.37624629494766</v>
      </c>
      <c r="E58" s="87">
        <f>IF(TrRoad_act!E34=0,0,E21/TrRoad_act!E34*1000
)</f>
        <v>256.33045497661777</v>
      </c>
      <c r="F58" s="87">
        <f>IF(TrRoad_act!F34=0,0,F21/TrRoad_act!F34*1000
)</f>
        <v>258.47283234195919</v>
      </c>
      <c r="G58" s="87">
        <f>IF(TrRoad_act!G34=0,0,G21/TrRoad_act!G34*1000
)</f>
        <v>262.719804656723</v>
      </c>
      <c r="H58" s="87">
        <f>IF(TrRoad_act!H34=0,0,H21/TrRoad_act!H34*1000
)</f>
        <v>265.86213291350771</v>
      </c>
      <c r="I58" s="87">
        <f>IF(TrRoad_act!I34=0,0,I21/TrRoad_act!I34*1000
)</f>
        <v>264.45429296064015</v>
      </c>
      <c r="J58" s="87">
        <f>IF(TrRoad_act!J34=0,0,J21/TrRoad_act!J34*1000
)</f>
        <v>260.67139360168574</v>
      </c>
      <c r="K58" s="87">
        <f>IF(TrRoad_act!K34=0,0,K21/TrRoad_act!K34*1000
)</f>
        <v>259.393274552224</v>
      </c>
      <c r="L58" s="87">
        <f>IF(TrRoad_act!L34=0,0,L21/TrRoad_act!L34*1000
)</f>
        <v>258.6782108099564</v>
      </c>
      <c r="M58" s="87">
        <f>IF(TrRoad_act!M34=0,0,M21/TrRoad_act!M34*1000
)</f>
        <v>252.4466530208035</v>
      </c>
      <c r="N58" s="87">
        <f>IF(TrRoad_act!N34=0,0,N21/TrRoad_act!N34*1000
)</f>
        <v>246.438072392073</v>
      </c>
      <c r="O58" s="87">
        <f>IF(TrRoad_act!O34=0,0,O21/TrRoad_act!O34*1000
)</f>
        <v>232.31705240885418</v>
      </c>
      <c r="P58" s="87">
        <f>IF(TrRoad_act!P34=0,0,P21/TrRoad_act!P34*1000
)</f>
        <v>227.29160606294315</v>
      </c>
      <c r="Q58" s="87">
        <f>IF(TrRoad_act!Q34=0,0,Q21/TrRoad_act!Q34*1000
)</f>
        <v>228.23383299841743</v>
      </c>
      <c r="R58" s="87">
        <f>IF(TrRoad_act!R34=0,0,R21/TrRoad_act!R34*1000
)</f>
        <v>207.35439489275086</v>
      </c>
      <c r="S58" s="87">
        <f>IF(TrRoad_act!S34=0,0,S21/TrRoad_act!S34*1000
)</f>
        <v>208.11630978069491</v>
      </c>
      <c r="T58" s="87">
        <f>IF(TrRoad_act!T34=0,0,T21/TrRoad_act!T34*1000
)</f>
        <v>201.03232509827933</v>
      </c>
      <c r="U58" s="87">
        <f>IF(TrRoad_act!U34=0,0,U21/TrRoad_act!U34*1000
)</f>
        <v>195.92629886539586</v>
      </c>
      <c r="V58" s="87">
        <f>IF(TrRoad_act!V34=0,0,V21/TrRoad_act!V34*1000
)</f>
        <v>182.70866647637473</v>
      </c>
      <c r="W58" s="87">
        <f>IF(TrRoad_act!W34=0,0,W21/TrRoad_act!W34*1000
)</f>
        <v>192.27079552151798</v>
      </c>
      <c r="X58" s="87">
        <f>IF(TrRoad_act!X34=0,0,X21/TrRoad_act!X34*1000
)</f>
        <v>187.66492078490066</v>
      </c>
      <c r="Y58" s="87">
        <f>IF(TrRoad_act!Y34=0,0,Y21/TrRoad_act!Y34*1000
)</f>
        <v>187.12450287359107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309.68544058372845</v>
      </c>
      <c r="C59" s="87">
        <f>IF(TrRoad_act!C35=0,0,C22/TrRoad_act!C35*1000
)</f>
        <v>302.76246703866377</v>
      </c>
      <c r="D59" s="87">
        <f>IF(TrRoad_act!D35=0,0,D22/TrRoad_act!D35*1000
)</f>
        <v>286.42049058775473</v>
      </c>
      <c r="E59" s="87">
        <f>IF(TrRoad_act!E35=0,0,E22/TrRoad_act!E35*1000
)</f>
        <v>288.69722068164077</v>
      </c>
      <c r="F59" s="87">
        <f>IF(TrRoad_act!F35=0,0,F22/TrRoad_act!F35*1000
)</f>
        <v>310.84227394979456</v>
      </c>
      <c r="G59" s="87">
        <f>IF(TrRoad_act!G35=0,0,G22/TrRoad_act!G35*1000
)</f>
        <v>289.35779683903263</v>
      </c>
      <c r="H59" s="87">
        <f>IF(TrRoad_act!H35=0,0,H22/TrRoad_act!H35*1000
)</f>
        <v>288.93987928258429</v>
      </c>
      <c r="I59" s="87">
        <f>IF(TrRoad_act!I35=0,0,I22/TrRoad_act!I35*1000
)</f>
        <v>297.64383662072544</v>
      </c>
      <c r="J59" s="87">
        <f>IF(TrRoad_act!J35=0,0,J22/TrRoad_act!J35*1000
)</f>
        <v>276.47991624870741</v>
      </c>
      <c r="K59" s="87">
        <f>IF(TrRoad_act!K35=0,0,K22/TrRoad_act!K35*1000
)</f>
        <v>288.38672427876764</v>
      </c>
      <c r="L59" s="87">
        <f>IF(TrRoad_act!L35=0,0,L22/TrRoad_act!L35*1000
)</f>
        <v>291.6151553266152</v>
      </c>
      <c r="M59" s="87">
        <f>IF(TrRoad_act!M35=0,0,M22/TrRoad_act!M35*1000
)</f>
        <v>279.5624390870492</v>
      </c>
      <c r="N59" s="87">
        <f>IF(TrRoad_act!N35=0,0,N22/TrRoad_act!N35*1000
)</f>
        <v>248.0233488148493</v>
      </c>
      <c r="O59" s="87">
        <f>IF(TrRoad_act!O35=0,0,O22/TrRoad_act!O35*1000
)</f>
        <v>226.94914258945715</v>
      </c>
      <c r="P59" s="87">
        <f>IF(TrRoad_act!P35=0,0,P22/TrRoad_act!P35*1000
)</f>
        <v>224.11005058746844</v>
      </c>
      <c r="Q59" s="87">
        <f>IF(TrRoad_act!Q35=0,0,Q22/TrRoad_act!Q35*1000
)</f>
        <v>230.62760568328321</v>
      </c>
      <c r="R59" s="87">
        <f>IF(TrRoad_act!R35=0,0,R22/TrRoad_act!R35*1000
)</f>
        <v>229.24099767037185</v>
      </c>
      <c r="S59" s="87">
        <f>IF(TrRoad_act!S35=0,0,S22/TrRoad_act!S35*1000
)</f>
        <v>226.44177410441165</v>
      </c>
      <c r="T59" s="87">
        <f>IF(TrRoad_act!T35=0,0,T22/TrRoad_act!T35*1000
)</f>
        <v>215.47110936190379</v>
      </c>
      <c r="U59" s="87">
        <f>IF(TrRoad_act!U35=0,0,U22/TrRoad_act!U35*1000
)</f>
        <v>212.12973343044146</v>
      </c>
      <c r="V59" s="87">
        <f>IF(TrRoad_act!V35=0,0,V22/TrRoad_act!V35*1000
)</f>
        <v>209.53846103113727</v>
      </c>
      <c r="W59" s="87">
        <f>IF(TrRoad_act!W35=0,0,W22/TrRoad_act!W35*1000
)</f>
        <v>216.64131569303947</v>
      </c>
      <c r="X59" s="87">
        <f>IF(TrRoad_act!X35=0,0,X22/TrRoad_act!X35*1000
)</f>
        <v>197.08759816380504</v>
      </c>
      <c r="Y59" s="87">
        <f>IF(TrRoad_act!Y35=0,0,Y22/TrRoad_act!Y35*1000
)</f>
        <v>205.61259466347667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0</v>
      </c>
      <c r="E60" s="87">
        <f>IF(TrRoad_act!E36=0,0,E23/TrRoad_act!E36*1000
)</f>
        <v>0</v>
      </c>
      <c r="F60" s="87">
        <f>IF(TrRoad_act!F36=0,0,F23/TrRoad_act!F36*1000
)</f>
        <v>0</v>
      </c>
      <c r="G60" s="87">
        <f>IF(TrRoad_act!G36=0,0,G23/TrRoad_act!G36*1000
)</f>
        <v>0</v>
      </c>
      <c r="H60" s="87">
        <f>IF(TrRoad_act!H36=0,0,H23/TrRoad_act!H36*1000
)</f>
        <v>0</v>
      </c>
      <c r="I60" s="87">
        <f>IF(TrRoad_act!I36=0,0,I23/TrRoad_act!I36*1000
)</f>
        <v>0</v>
      </c>
      <c r="J60" s="87">
        <f>IF(TrRoad_act!J36=0,0,J23/TrRoad_act!J36*1000
)</f>
        <v>0</v>
      </c>
      <c r="K60" s="87">
        <f>IF(TrRoad_act!K36=0,0,K23/TrRoad_act!K36*1000
)</f>
        <v>0</v>
      </c>
      <c r="L60" s="87">
        <f>IF(TrRoad_act!L36=0,0,L23/TrRoad_act!L36*1000
)</f>
        <v>0</v>
      </c>
      <c r="M60" s="87">
        <f>IF(TrRoad_act!M36=0,0,M23/TrRoad_act!M36*1000
)</f>
        <v>0</v>
      </c>
      <c r="N60" s="87">
        <f>IF(TrRoad_act!N36=0,0,N23/TrRoad_act!N36*1000
)</f>
        <v>0</v>
      </c>
      <c r="O60" s="87">
        <f>IF(TrRoad_act!O36=0,0,O23/TrRoad_act!O36*1000
)</f>
        <v>0</v>
      </c>
      <c r="P60" s="87">
        <f>IF(TrRoad_act!P36=0,0,P23/TrRoad_act!P36*1000
)</f>
        <v>0</v>
      </c>
      <c r="Q60" s="87">
        <f>IF(TrRoad_act!Q36=0,0,Q23/TrRoad_act!Q36*1000
)</f>
        <v>0</v>
      </c>
      <c r="R60" s="87">
        <f>IF(TrRoad_act!R36=0,0,R23/TrRoad_act!R36*1000
)</f>
        <v>0</v>
      </c>
      <c r="S60" s="87">
        <f>IF(TrRoad_act!S36=0,0,S23/TrRoad_act!S36*1000
)</f>
        <v>0</v>
      </c>
      <c r="T60" s="87">
        <f>IF(TrRoad_act!T36=0,0,T23/TrRoad_act!T36*1000
)</f>
        <v>130.90656969241005</v>
      </c>
      <c r="U60" s="87">
        <f>IF(TrRoad_act!U36=0,0,U23/TrRoad_act!U36*1000
)</f>
        <v>145.26805977228568</v>
      </c>
      <c r="V60" s="87">
        <f>IF(TrRoad_act!V36=0,0,V23/TrRoad_act!V36*1000
)</f>
        <v>141.02862719305713</v>
      </c>
      <c r="W60" s="87">
        <f>IF(TrRoad_act!W36=0,0,W23/TrRoad_act!W36*1000
)</f>
        <v>158.41811161944759</v>
      </c>
      <c r="X60" s="87">
        <f>IF(TrRoad_act!X36=0,0,X23/TrRoad_act!X36*1000
)</f>
        <v>167.07352938538614</v>
      </c>
      <c r="Y60" s="87">
        <f>IF(TrRoad_act!Y36=0,0,Y23/TrRoad_act!Y36*1000
)</f>
        <v>145.1420397401767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X61" s="87">
        <f>IF(TrRoad_act!X37=0,0,X24/TrRoad_act!X37*1000
)</f>
        <v>0</v>
      </c>
      <c r="Y61" s="87">
        <f>IF(TrRoad_act!Y37=0,0,Y24/TrRoad_act!Y37*1000
)</f>
        <v>0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0</v>
      </c>
      <c r="P62" s="87">
        <f>IF(TrRoad_act!P38=0,0,P25/TrRoad_act!P38*1000
)</f>
        <v>63.375828319997119</v>
      </c>
      <c r="Q62" s="87">
        <f>IF(TrRoad_act!Q38=0,0,Q25/TrRoad_act!Q38*1000
)</f>
        <v>64.210717200278282</v>
      </c>
      <c r="R62" s="87">
        <f>IF(TrRoad_act!R38=0,0,R25/TrRoad_act!R38*1000
)</f>
        <v>80.940462025681995</v>
      </c>
      <c r="S62" s="87">
        <f>IF(TrRoad_act!S38=0,0,S25/TrRoad_act!S38*1000
)</f>
        <v>77.917830558060643</v>
      </c>
      <c r="T62" s="87">
        <f>IF(TrRoad_act!T38=0,0,T25/TrRoad_act!T38*1000
)</f>
        <v>73.781095834894643</v>
      </c>
      <c r="U62" s="87">
        <f>IF(TrRoad_act!U38=0,0,U25/TrRoad_act!U38*1000
)</f>
        <v>70.868835638161528</v>
      </c>
      <c r="V62" s="87">
        <f>IF(TrRoad_act!V38=0,0,V25/TrRoad_act!V38*1000
)</f>
        <v>74.575570384486696</v>
      </c>
      <c r="W62" s="87">
        <f>IF(TrRoad_act!W38=0,0,W25/TrRoad_act!W38*1000
)</f>
        <v>71.140816763358217</v>
      </c>
      <c r="X62" s="87">
        <f>IF(TrRoad_act!X38=0,0,X25/TrRoad_act!X38*1000
)</f>
        <v>61.053025674817626</v>
      </c>
      <c r="Y62" s="87">
        <f>IF(TrRoad_act!Y38=0,0,Y25/TrRoad_act!Y38*1000
)</f>
        <v>49.006685351956115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2070.5258001230677</v>
      </c>
      <c r="C64" s="116">
        <f>IF(TrRoad_act!C40=0,0,C27/TrRoad_act!C40*1000
)</f>
        <v>2040.015054465917</v>
      </c>
      <c r="D64" s="116">
        <f>IF(TrRoad_act!D40=0,0,D27/TrRoad_act!D40*1000
)</f>
        <v>1923.558001438181</v>
      </c>
      <c r="E64" s="116">
        <f>IF(TrRoad_act!E40=0,0,E27/TrRoad_act!E40*1000
)</f>
        <v>1937.6397511508203</v>
      </c>
      <c r="F64" s="116">
        <f>IF(TrRoad_act!F40=0,0,F27/TrRoad_act!F40*1000
)</f>
        <v>2111.1757574893713</v>
      </c>
      <c r="G64" s="116">
        <f>IF(TrRoad_act!G40=0,0,G27/TrRoad_act!G40*1000
)</f>
        <v>1950.2522173116618</v>
      </c>
      <c r="H64" s="116">
        <f>IF(TrRoad_act!H40=0,0,H27/TrRoad_act!H40*1000
)</f>
        <v>1956.4310699719288</v>
      </c>
      <c r="I64" s="116">
        <f>IF(TrRoad_act!I40=0,0,I27/TrRoad_act!I40*1000
)</f>
        <v>2038.7134995751378</v>
      </c>
      <c r="J64" s="116">
        <f>IF(TrRoad_act!J40=0,0,J27/TrRoad_act!J40*1000
)</f>
        <v>1908.2011577694559</v>
      </c>
      <c r="K64" s="116">
        <f>IF(TrRoad_act!K40=0,0,K27/TrRoad_act!K40*1000
)</f>
        <v>2027.6419487512994</v>
      </c>
      <c r="L64" s="116">
        <f>IF(TrRoad_act!L40=0,0,L27/TrRoad_act!L40*1000
)</f>
        <v>2067.0438213902639</v>
      </c>
      <c r="M64" s="116">
        <f>IF(TrRoad_act!M40=0,0,M27/TrRoad_act!M40*1000
)</f>
        <v>2002.9743936286884</v>
      </c>
      <c r="N64" s="116">
        <f>IF(TrRoad_act!N40=0,0,N27/TrRoad_act!N40*1000
)</f>
        <v>1773.8091629350693</v>
      </c>
      <c r="O64" s="116">
        <f>IF(TrRoad_act!O40=0,0,O27/TrRoad_act!O40*1000
)</f>
        <v>1614.9388997836145</v>
      </c>
      <c r="P64" s="116">
        <f>IF(TrRoad_act!P40=0,0,P27/TrRoad_act!P40*1000
)</f>
        <v>1638.607709997088</v>
      </c>
      <c r="Q64" s="116">
        <f>IF(TrRoad_act!Q40=0,0,Q27/TrRoad_act!Q40*1000
)</f>
        <v>1732.2040796590015</v>
      </c>
      <c r="R64" s="116">
        <f>IF(TrRoad_act!R40=0,0,R27/TrRoad_act!R40*1000
)</f>
        <v>1761.483489996722</v>
      </c>
      <c r="S64" s="116">
        <f>IF(TrRoad_act!S40=0,0,S27/TrRoad_act!S40*1000
)</f>
        <v>1781.7648135115087</v>
      </c>
      <c r="T64" s="116">
        <f>IF(TrRoad_act!T40=0,0,T27/TrRoad_act!T40*1000
)</f>
        <v>1728.6782927280592</v>
      </c>
      <c r="U64" s="116">
        <f>IF(TrRoad_act!U40=0,0,U27/TrRoad_act!U40*1000
)</f>
        <v>1746.4309155052313</v>
      </c>
      <c r="V64" s="116">
        <f>IF(TrRoad_act!V40=0,0,V27/TrRoad_act!V40*1000
)</f>
        <v>1739.2696503680763</v>
      </c>
      <c r="W64" s="116">
        <f>IF(TrRoad_act!W40=0,0,W27/TrRoad_act!W40*1000
)</f>
        <v>1821.5725017625132</v>
      </c>
      <c r="X64" s="116">
        <f>IF(TrRoad_act!X40=0,0,X27/TrRoad_act!X40*1000
)</f>
        <v>1628.9133945888227</v>
      </c>
      <c r="Y64" s="116">
        <f>IF(TrRoad_act!Y40=0,0,Y27/TrRoad_act!Y40*1000
)</f>
        <v>1661.0977280127292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542.70381639272784</v>
      </c>
      <c r="C65" s="101">
        <f>IF(TrRoad_act!C41=0,0,C28/TrRoad_act!C41*1000
)</f>
        <v>561.40717312813865</v>
      </c>
      <c r="D65" s="101">
        <f>IF(TrRoad_act!D41=0,0,D28/TrRoad_act!D41*1000
)</f>
        <v>574.20131608480108</v>
      </c>
      <c r="E65" s="101">
        <f>IF(TrRoad_act!E41=0,0,E28/TrRoad_act!E41*1000
)</f>
        <v>602.10980989047437</v>
      </c>
      <c r="F65" s="101">
        <f>IF(TrRoad_act!F41=0,0,F28/TrRoad_act!F41*1000
)</f>
        <v>613.12664365538467</v>
      </c>
      <c r="G65" s="101">
        <f>IF(TrRoad_act!G41=0,0,G28/TrRoad_act!G41*1000
)</f>
        <v>627.02993085246146</v>
      </c>
      <c r="H65" s="101">
        <f>IF(TrRoad_act!H41=0,0,H28/TrRoad_act!H41*1000
)</f>
        <v>636.3862384561113</v>
      </c>
      <c r="I65" s="101">
        <f>IF(TrRoad_act!I41=0,0,I28/TrRoad_act!I41*1000
)</f>
        <v>638.28360330584599</v>
      </c>
      <c r="J65" s="101">
        <f>IF(TrRoad_act!J41=0,0,J28/TrRoad_act!J41*1000
)</f>
        <v>635.28703473302733</v>
      </c>
      <c r="K65" s="101">
        <f>IF(TrRoad_act!K41=0,0,K28/TrRoad_act!K41*1000
)</f>
        <v>639.0183868088194</v>
      </c>
      <c r="L65" s="101">
        <f>IF(TrRoad_act!L41=0,0,L28/TrRoad_act!L41*1000
)</f>
        <v>639.37245670041261</v>
      </c>
      <c r="M65" s="101">
        <f>IF(TrRoad_act!M41=0,0,M28/TrRoad_act!M41*1000
)</f>
        <v>628.52818451905398</v>
      </c>
      <c r="N65" s="101">
        <f>IF(TrRoad_act!N41=0,0,N28/TrRoad_act!N41*1000
)</f>
        <v>616.90816767826789</v>
      </c>
      <c r="O65" s="101">
        <f>IF(TrRoad_act!O41=0,0,O28/TrRoad_act!O41*1000
)</f>
        <v>590.44788417389839</v>
      </c>
      <c r="P65" s="101">
        <f>IF(TrRoad_act!P41=0,0,P28/TrRoad_act!P41*1000
)</f>
        <v>570.51438788602195</v>
      </c>
      <c r="Q65" s="101">
        <f>IF(TrRoad_act!Q41=0,0,Q28/TrRoad_act!Q41*1000
)</f>
        <v>573.61551597914467</v>
      </c>
      <c r="R65" s="101">
        <f>IF(TrRoad_act!R41=0,0,R28/TrRoad_act!R41*1000
)</f>
        <v>533.82225622789053</v>
      </c>
      <c r="S65" s="101">
        <f>IF(TrRoad_act!S41=0,0,S28/TrRoad_act!S41*1000
)</f>
        <v>539.93538477096331</v>
      </c>
      <c r="T65" s="101">
        <f>IF(TrRoad_act!T41=0,0,T28/TrRoad_act!T41*1000
)</f>
        <v>530.15044975668116</v>
      </c>
      <c r="U65" s="101">
        <f>IF(TrRoad_act!U41=0,0,U28/TrRoad_act!U41*1000
)</f>
        <v>517.84795290725265</v>
      </c>
      <c r="V65" s="101">
        <f>IF(TrRoad_act!V41=0,0,V28/TrRoad_act!V41*1000
)</f>
        <v>494.68632601914891</v>
      </c>
      <c r="W65" s="101">
        <f>IF(TrRoad_act!W41=0,0,W28/TrRoad_act!W41*1000
)</f>
        <v>520.55857289570781</v>
      </c>
      <c r="X65" s="101">
        <f>IF(TrRoad_act!X41=0,0,X28/TrRoad_act!X41*1000
)</f>
        <v>512.48647698330353</v>
      </c>
      <c r="Y65" s="101">
        <f>IF(TrRoad_act!Y41=0,0,Y28/TrRoad_act!Y41*1000
)</f>
        <v>515.9038415606683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2123.6727529575833</v>
      </c>
      <c r="C66" s="101">
        <f>IF(TrRoad_act!C42=0,0,C29/TrRoad_act!C42*1000
)</f>
        <v>2089.0263910744225</v>
      </c>
      <c r="D66" s="101">
        <f>IF(TrRoad_act!D42=0,0,D29/TrRoad_act!D42*1000
)</f>
        <v>1965.3937809874981</v>
      </c>
      <c r="E66" s="101">
        <f>IF(TrRoad_act!E42=0,0,E29/TrRoad_act!E42*1000
)</f>
        <v>1976.6674643207543</v>
      </c>
      <c r="F66" s="101">
        <f>IF(TrRoad_act!F42=0,0,F29/TrRoad_act!F42*1000
)</f>
        <v>2155.8513326426655</v>
      </c>
      <c r="G66" s="101">
        <f>IF(TrRoad_act!G42=0,0,G29/TrRoad_act!G42*1000
)</f>
        <v>1988.9336439736255</v>
      </c>
      <c r="H66" s="101">
        <f>IF(TrRoad_act!H42=0,0,H29/TrRoad_act!H42*1000
)</f>
        <v>1995.4141795682826</v>
      </c>
      <c r="I66" s="101">
        <f>IF(TrRoad_act!I42=0,0,I29/TrRoad_act!I42*1000
)</f>
        <v>2079.3731704416955</v>
      </c>
      <c r="J66" s="101">
        <f>IF(TrRoad_act!J42=0,0,J29/TrRoad_act!J42*1000
)</f>
        <v>1945.3494921182705</v>
      </c>
      <c r="K66" s="101">
        <f>IF(TrRoad_act!K42=0,0,K29/TrRoad_act!K42*1000
)</f>
        <v>2069.2300918418955</v>
      </c>
      <c r="L66" s="101">
        <f>IF(TrRoad_act!L42=0,0,L29/TrRoad_act!L42*1000
)</f>
        <v>2111.0087203475537</v>
      </c>
      <c r="M66" s="101">
        <f>IF(TrRoad_act!M42=0,0,M29/TrRoad_act!M42*1000
)</f>
        <v>2045.1537748371029</v>
      </c>
      <c r="N66" s="101">
        <f>IF(TrRoad_act!N42=0,0,N29/TrRoad_act!N42*1000
)</f>
        <v>1808.7958950162388</v>
      </c>
      <c r="O66" s="101">
        <f>IF(TrRoad_act!O42=0,0,O29/TrRoad_act!O42*1000
)</f>
        <v>1646.1547721426418</v>
      </c>
      <c r="P66" s="101">
        <f>IF(TrRoad_act!P42=0,0,P29/TrRoad_act!P42*1000
)</f>
        <v>1650.0091860128869</v>
      </c>
      <c r="Q66" s="101">
        <f>IF(TrRoad_act!Q42=0,0,Q29/TrRoad_act!Q42*1000
)</f>
        <v>1742.5659703373105</v>
      </c>
      <c r="R66" s="101">
        <f>IF(TrRoad_act!R42=0,0,R29/TrRoad_act!R42*1000
)</f>
        <v>1771.9232251584813</v>
      </c>
      <c r="S66" s="101">
        <f>IF(TrRoad_act!S42=0,0,S29/TrRoad_act!S42*1000
)</f>
        <v>1792.275367899575</v>
      </c>
      <c r="T66" s="101">
        <f>IF(TrRoad_act!T42=0,0,T29/TrRoad_act!T42*1000
)</f>
        <v>1738.9441516026357</v>
      </c>
      <c r="U66" s="101">
        <f>IF(TrRoad_act!U42=0,0,U29/TrRoad_act!U42*1000
)</f>
        <v>1756.8410969129222</v>
      </c>
      <c r="V66" s="101">
        <f>IF(TrRoad_act!V42=0,0,V29/TrRoad_act!V42*1000
)</f>
        <v>1752.2776180040091</v>
      </c>
      <c r="W66" s="101">
        <f>IF(TrRoad_act!W42=0,0,W29/TrRoad_act!W42*1000
)</f>
        <v>1834.0698334793417</v>
      </c>
      <c r="X66" s="101">
        <f>IF(TrRoad_act!X42=0,0,X29/TrRoad_act!X42*1000
)</f>
        <v>1637.7552270029366</v>
      </c>
      <c r="Y66" s="101">
        <f>IF(TrRoad_act!Y42=0,0,Y29/TrRoad_act!Y42*1000
)</f>
        <v>1683.1785236890059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X68" s="101">
        <f>IF(TrRoad_act!X44=0,0,X31/TrRoad_act!X44*1000
)</f>
        <v>0</v>
      </c>
      <c r="Y68" s="101">
        <f>IF(TrRoad_act!Y44=0,0,Y31/TrRoad_act!Y44*1000
)</f>
        <v>0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440.56668342768029</v>
      </c>
      <c r="C70" s="29">
        <f>IF(TrRoad_act!C46=0,0,C33/TrRoad_act!C46*1000
)</f>
        <v>433.18167150996607</v>
      </c>
      <c r="D70" s="29">
        <f>IF(TrRoad_act!D46=0,0,D33/TrRoad_act!D46*1000
)</f>
        <v>402.18415241483279</v>
      </c>
      <c r="E70" s="29">
        <f>IF(TrRoad_act!E46=0,0,E33/TrRoad_act!E46*1000
)</f>
        <v>403.28995552376097</v>
      </c>
      <c r="F70" s="29">
        <f>IF(TrRoad_act!F46=0,0,F33/TrRoad_act!F46*1000
)</f>
        <v>428.28868179732473</v>
      </c>
      <c r="G70" s="29">
        <f>IF(TrRoad_act!G46=0,0,G33/TrRoad_act!G46*1000
)</f>
        <v>400.2014414817038</v>
      </c>
      <c r="H70" s="29">
        <f>IF(TrRoad_act!H46=0,0,H33/TrRoad_act!H46*1000
)</f>
        <v>389.62555464980073</v>
      </c>
      <c r="I70" s="29">
        <f>IF(TrRoad_act!I46=0,0,I33/TrRoad_act!I46*1000
)</f>
        <v>402.19325564161443</v>
      </c>
      <c r="J70" s="29">
        <f>IF(TrRoad_act!J46=0,0,J33/TrRoad_act!J46*1000
)</f>
        <v>371.70331290641099</v>
      </c>
      <c r="K70" s="29">
        <f>IF(TrRoad_act!K46=0,0,K33/TrRoad_act!K46*1000
)</f>
        <v>377.83563476527098</v>
      </c>
      <c r="L70" s="29">
        <f>IF(TrRoad_act!L46=0,0,L33/TrRoad_act!L46*1000
)</f>
        <v>384.73615810181019</v>
      </c>
      <c r="M70" s="29">
        <f>IF(TrRoad_act!M46=0,0,M33/TrRoad_act!M46*1000
)</f>
        <v>358.44713263429821</v>
      </c>
      <c r="N70" s="29">
        <f>IF(TrRoad_act!N46=0,0,N33/TrRoad_act!N46*1000
)</f>
        <v>306.9832535418393</v>
      </c>
      <c r="O70" s="29">
        <f>IF(TrRoad_act!O46=0,0,O33/TrRoad_act!O46*1000
)</f>
        <v>265.69968183339478</v>
      </c>
      <c r="P70" s="29">
        <f>IF(TrRoad_act!P46=0,0,P33/TrRoad_act!P46*1000
)</f>
        <v>259.62148741754635</v>
      </c>
      <c r="Q70" s="29">
        <f>IF(TrRoad_act!Q46=0,0,Q33/TrRoad_act!Q46*1000
)</f>
        <v>270.46770141532994</v>
      </c>
      <c r="R70" s="29">
        <f>IF(TrRoad_act!R46=0,0,R33/TrRoad_act!R46*1000
)</f>
        <v>279.61666990683534</v>
      </c>
      <c r="S70" s="29">
        <f>IF(TrRoad_act!S46=0,0,S33/TrRoad_act!S46*1000
)</f>
        <v>282.58521304847295</v>
      </c>
      <c r="T70" s="29">
        <f>IF(TrRoad_act!T46=0,0,T33/TrRoad_act!T46*1000
)</f>
        <v>272.2804489741888</v>
      </c>
      <c r="U70" s="29">
        <f>IF(TrRoad_act!U46=0,0,U33/TrRoad_act!U46*1000
)</f>
        <v>271.95576432249379</v>
      </c>
      <c r="V70" s="29">
        <f>IF(TrRoad_act!V46=0,0,V33/TrRoad_act!V46*1000
)</f>
        <v>262.99544249845133</v>
      </c>
      <c r="W70" s="29">
        <f>IF(TrRoad_act!W46=0,0,W33/TrRoad_act!W46*1000
)</f>
        <v>279.08648582170292</v>
      </c>
      <c r="X70" s="29">
        <f>IF(TrRoad_act!X46=0,0,X33/TrRoad_act!X46*1000
)</f>
        <v>261.10735578942246</v>
      </c>
      <c r="Y70" s="29">
        <f>IF(TrRoad_act!Y46=0,0,Y33/TrRoad_act!Y46*1000
)</f>
        <v>273.89380852817493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383.59027482278128</v>
      </c>
      <c r="C71" s="152">
        <f>IF(TrRoad_act!C47=0,0,C34/TrRoad_act!C47*1000
)</f>
        <v>376.46195203031141</v>
      </c>
      <c r="D71" s="152">
        <f>IF(TrRoad_act!D47=0,0,D34/TrRoad_act!D47*1000
)</f>
        <v>350.26496518264986</v>
      </c>
      <c r="E71" s="152">
        <f>IF(TrRoad_act!E47=0,0,E34/TrRoad_act!E47*1000
)</f>
        <v>347.40805206500551</v>
      </c>
      <c r="F71" s="152">
        <f>IF(TrRoad_act!F47=0,0,F34/TrRoad_act!F47*1000
)</f>
        <v>374.58002692111734</v>
      </c>
      <c r="G71" s="152">
        <f>IF(TrRoad_act!G47=0,0,G34/TrRoad_act!G47*1000
)</f>
        <v>340.10859766819226</v>
      </c>
      <c r="H71" s="152">
        <f>IF(TrRoad_act!H47=0,0,H34/TrRoad_act!H47*1000
)</f>
        <v>335.80144255881856</v>
      </c>
      <c r="I71" s="152">
        <f>IF(TrRoad_act!I47=0,0,I34/TrRoad_act!I47*1000
)</f>
        <v>343.83852914199423</v>
      </c>
      <c r="J71" s="152">
        <f>IF(TrRoad_act!J47=0,0,J34/TrRoad_act!J47*1000
)</f>
        <v>314.49251626705018</v>
      </c>
      <c r="K71" s="152">
        <f>IF(TrRoad_act!K47=0,0,K34/TrRoad_act!K47*1000
)</f>
        <v>327.59107104578396</v>
      </c>
      <c r="L71" s="152">
        <f>IF(TrRoad_act!L47=0,0,L34/TrRoad_act!L47*1000
)</f>
        <v>327.64339869857116</v>
      </c>
      <c r="M71" s="152">
        <f>IF(TrRoad_act!M47=0,0,M34/TrRoad_act!M47*1000
)</f>
        <v>310.23288401081686</v>
      </c>
      <c r="N71" s="152">
        <f>IF(TrRoad_act!N47=0,0,N34/TrRoad_act!N47*1000
)</f>
        <v>266.77655390618276</v>
      </c>
      <c r="O71" s="152">
        <f>IF(TrRoad_act!O47=0,0,O34/TrRoad_act!O47*1000
)</f>
        <v>236.97965219740107</v>
      </c>
      <c r="P71" s="152">
        <f>IF(TrRoad_act!P47=0,0,P34/TrRoad_act!P47*1000
)</f>
        <v>232.9048604047187</v>
      </c>
      <c r="Q71" s="152">
        <f>IF(TrRoad_act!Q47=0,0,Q34/TrRoad_act!Q47*1000
)</f>
        <v>242.58062789914035</v>
      </c>
      <c r="R71" s="152">
        <f>IF(TrRoad_act!R47=0,0,R34/TrRoad_act!R47*1000
)</f>
        <v>244.31304131261032</v>
      </c>
      <c r="S71" s="152">
        <f>IF(TrRoad_act!S47=0,0,S34/TrRoad_act!S47*1000
)</f>
        <v>243.34987790398046</v>
      </c>
      <c r="T71" s="152">
        <f>IF(TrRoad_act!T47=0,0,T34/TrRoad_act!T47*1000
)</f>
        <v>233.36956468105805</v>
      </c>
      <c r="U71" s="152">
        <f>IF(TrRoad_act!U47=0,0,U34/TrRoad_act!U47*1000
)</f>
        <v>230.43788180303505</v>
      </c>
      <c r="V71" s="152">
        <f>IF(TrRoad_act!V47=0,0,V34/TrRoad_act!V47*1000
)</f>
        <v>231.55464291461317</v>
      </c>
      <c r="W71" s="152">
        <f>IF(TrRoad_act!W47=0,0,W34/TrRoad_act!W47*1000
)</f>
        <v>245.18188017067362</v>
      </c>
      <c r="X71" s="152">
        <f>IF(TrRoad_act!X47=0,0,X34/TrRoad_act!X47*1000
)</f>
        <v>218.26136147236471</v>
      </c>
      <c r="Y71" s="152">
        <f>IF(TrRoad_act!Y47=0,0,Y34/TrRoad_act!Y47*1000
)</f>
        <v>229.31259349847932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226.2584613311451</v>
      </c>
      <c r="C72" s="87">
        <f>IF(TrRoad_act!C48=0,0,C35/TrRoad_act!C48*1000
)</f>
        <v>233.37246408776136</v>
      </c>
      <c r="D72" s="87">
        <f>IF(TrRoad_act!D48=0,0,D35/TrRoad_act!D48*1000
)</f>
        <v>237.3394726687979</v>
      </c>
      <c r="E72" s="87">
        <f>IF(TrRoad_act!E48=0,0,E35/TrRoad_act!E48*1000
)</f>
        <v>249.29617323923912</v>
      </c>
      <c r="F72" s="87">
        <f>IF(TrRoad_act!F48=0,0,F35/TrRoad_act!F48*1000
)</f>
        <v>252.56398902748327</v>
      </c>
      <c r="G72" s="87">
        <f>IF(TrRoad_act!G48=0,0,G35/TrRoad_act!G48*1000
)</f>
        <v>254.12519705377156</v>
      </c>
      <c r="H72" s="87">
        <f>IF(TrRoad_act!H48=0,0,H35/TrRoad_act!H48*1000
)</f>
        <v>256.94125459991449</v>
      </c>
      <c r="I72" s="87">
        <f>IF(TrRoad_act!I48=0,0,I35/TrRoad_act!I48*1000
)</f>
        <v>253.18157095085948</v>
      </c>
      <c r="J72" s="87">
        <f>IF(TrRoad_act!J48=0,0,J35/TrRoad_act!J48*1000
)</f>
        <v>249.565250976637</v>
      </c>
      <c r="K72" s="87">
        <f>IF(TrRoad_act!K48=0,0,K35/TrRoad_act!K48*1000
)</f>
        <v>249.86069901535049</v>
      </c>
      <c r="L72" s="87">
        <f>IF(TrRoad_act!L48=0,0,L35/TrRoad_act!L48*1000
)</f>
        <v>249.60525042181834</v>
      </c>
      <c r="M72" s="87">
        <f>IF(TrRoad_act!M48=0,0,M35/TrRoad_act!M48*1000
)</f>
        <v>245.52084085735862</v>
      </c>
      <c r="N72" s="87">
        <f>IF(TrRoad_act!N48=0,0,N35/TrRoad_act!N48*1000
)</f>
        <v>240.31080026740736</v>
      </c>
      <c r="O72" s="87">
        <f>IF(TrRoad_act!O48=0,0,O35/TrRoad_act!O48*1000
)</f>
        <v>227.84183804795953</v>
      </c>
      <c r="P72" s="87">
        <f>IF(TrRoad_act!P48=0,0,P35/TrRoad_act!P48*1000
)</f>
        <v>239.01036146646396</v>
      </c>
      <c r="Q72" s="87">
        <f>IF(TrRoad_act!Q48=0,0,Q35/TrRoad_act!Q48*1000
)</f>
        <v>241.68729777288445</v>
      </c>
      <c r="R72" s="87">
        <f>IF(TrRoad_act!R48=0,0,R35/TrRoad_act!R48*1000
)</f>
        <v>221.19813492189601</v>
      </c>
      <c r="S72" s="87">
        <f>IF(TrRoad_act!S48=0,0,S35/TrRoad_act!S48*1000
)</f>
        <v>222.61605426913087</v>
      </c>
      <c r="T72" s="87">
        <f>IF(TrRoad_act!T48=0,0,T35/TrRoad_act!T48*1000
)</f>
        <v>214.45459046552378</v>
      </c>
      <c r="U72" s="87">
        <f>IF(TrRoad_act!U48=0,0,U35/TrRoad_act!U48*1000
)</f>
        <v>215.07410616068071</v>
      </c>
      <c r="V72" s="87">
        <f>IF(TrRoad_act!V48=0,0,V35/TrRoad_act!V48*1000
)</f>
        <v>199.84165778032218</v>
      </c>
      <c r="W72" s="87">
        <f>IF(TrRoad_act!W48=0,0,W35/TrRoad_act!W48*1000
)</f>
        <v>210.04264337292264</v>
      </c>
      <c r="X72" s="87">
        <f>IF(TrRoad_act!X48=0,0,X35/TrRoad_act!X48*1000
)</f>
        <v>202.95764067365025</v>
      </c>
      <c r="Y72" s="87">
        <f>IF(TrRoad_act!Y48=0,0,Y35/TrRoad_act!Y48*1000
)</f>
        <v>203.90847735052398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394.64320873028231</v>
      </c>
      <c r="C73" s="87">
        <f>IF(TrRoad_act!C49=0,0,C36/TrRoad_act!C49*1000
)</f>
        <v>386.68011829308227</v>
      </c>
      <c r="D73" s="87">
        <f>IF(TrRoad_act!D49=0,0,D36/TrRoad_act!D49*1000
)</f>
        <v>357.7380460300796</v>
      </c>
      <c r="E73" s="87">
        <f>IF(TrRoad_act!E49=0,0,E36/TrRoad_act!E49*1000
)</f>
        <v>354.41411341789461</v>
      </c>
      <c r="F73" s="87">
        <f>IF(TrRoad_act!F49=0,0,F36/TrRoad_act!F49*1000
)</f>
        <v>382.36380980417334</v>
      </c>
      <c r="G73" s="87">
        <f>IF(TrRoad_act!G49=0,0,G36/TrRoad_act!G49*1000
)</f>
        <v>344.08743223984567</v>
      </c>
      <c r="H73" s="87">
        <f>IF(TrRoad_act!H49=0,0,H36/TrRoad_act!H49*1000
)</f>
        <v>339.45045091080112</v>
      </c>
      <c r="I73" s="87">
        <f>IF(TrRoad_act!I49=0,0,I36/TrRoad_act!I49*1000
)</f>
        <v>347.7036228382313</v>
      </c>
      <c r="J73" s="87">
        <f>IF(TrRoad_act!J49=0,0,J36/TrRoad_act!J49*1000
)</f>
        <v>317.38987709468569</v>
      </c>
      <c r="K73" s="87">
        <f>IF(TrRoad_act!K49=0,0,K36/TrRoad_act!K49*1000
)</f>
        <v>331.04727611366934</v>
      </c>
      <c r="L73" s="87">
        <f>IF(TrRoad_act!L49=0,0,L36/TrRoad_act!L49*1000
)</f>
        <v>330.95930802055602</v>
      </c>
      <c r="M73" s="87">
        <f>IF(TrRoad_act!M49=0,0,M36/TrRoad_act!M49*1000
)</f>
        <v>312.93373156119776</v>
      </c>
      <c r="N73" s="87">
        <f>IF(TrRoad_act!N49=0,0,N36/TrRoad_act!N49*1000
)</f>
        <v>267.877587422452</v>
      </c>
      <c r="O73" s="87">
        <f>IF(TrRoad_act!O49=0,0,O36/TrRoad_act!O49*1000
)</f>
        <v>237.36669570149462</v>
      </c>
      <c r="P73" s="87">
        <f>IF(TrRoad_act!P49=0,0,P36/TrRoad_act!P49*1000
)</f>
        <v>232.66337183803228</v>
      </c>
      <c r="Q73" s="87">
        <f>IF(TrRoad_act!Q49=0,0,Q36/TrRoad_act!Q49*1000
)</f>
        <v>242.6252391986568</v>
      </c>
      <c r="R73" s="87">
        <f>IF(TrRoad_act!R49=0,0,R36/TrRoad_act!R49*1000
)</f>
        <v>245.23837316170219</v>
      </c>
      <c r="S73" s="87">
        <f>IF(TrRoad_act!S49=0,0,S36/TrRoad_act!S49*1000
)</f>
        <v>244.15214816625192</v>
      </c>
      <c r="T73" s="87">
        <f>IF(TrRoad_act!T49=0,0,T36/TrRoad_act!T49*1000
)</f>
        <v>234.08160495700369</v>
      </c>
      <c r="U73" s="87">
        <f>IF(TrRoad_act!U49=0,0,U36/TrRoad_act!U49*1000
)</f>
        <v>231.02891137089995</v>
      </c>
      <c r="V73" s="87">
        <f>IF(TrRoad_act!V49=0,0,V36/TrRoad_act!V49*1000
)</f>
        <v>232.79261069811827</v>
      </c>
      <c r="W73" s="87">
        <f>IF(TrRoad_act!W49=0,0,W36/TrRoad_act!W49*1000
)</f>
        <v>246.58895221881704</v>
      </c>
      <c r="X73" s="87">
        <f>IF(TrRoad_act!X49=0,0,X36/TrRoad_act!X49*1000
)</f>
        <v>219.00419879801572</v>
      </c>
      <c r="Y73" s="87">
        <f>IF(TrRoad_act!Y49=0,0,Y36/TrRoad_act!Y49*1000
)</f>
        <v>230.67288205004581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993.03363154191754</v>
      </c>
      <c r="C77" s="116">
        <f>IF(TrRoad_act!C53=0,0,C40/TrRoad_act!C53*1000
)</f>
        <v>990.04008602141005</v>
      </c>
      <c r="D77" s="116">
        <f>IF(TrRoad_act!D53=0,0,D40/TrRoad_act!D53*1000
)</f>
        <v>934.75169833900952</v>
      </c>
      <c r="E77" s="116">
        <f>IF(TrRoad_act!E53=0,0,E40/TrRoad_act!E53*1000
)</f>
        <v>941.28253880437398</v>
      </c>
      <c r="F77" s="116">
        <f>IF(TrRoad_act!F53=0,0,F40/TrRoad_act!F53*1000
)</f>
        <v>1011.1645729874763</v>
      </c>
      <c r="G77" s="116">
        <f>IF(TrRoad_act!G53=0,0,G40/TrRoad_act!G53*1000
)</f>
        <v>941.64311660434498</v>
      </c>
      <c r="H77" s="116">
        <f>IF(TrRoad_act!H53=0,0,H40/TrRoad_act!H53*1000
)</f>
        <v>940.05572696047091</v>
      </c>
      <c r="I77" s="116">
        <f>IF(TrRoad_act!I53=0,0,I40/TrRoad_act!I53*1000
)</f>
        <v>968.49564021308765</v>
      </c>
      <c r="J77" s="116">
        <f>IF(TrRoad_act!J53=0,0,J40/TrRoad_act!J53*1000
)</f>
        <v>909.85184058310449</v>
      </c>
      <c r="K77" s="116">
        <f>IF(TrRoad_act!K53=0,0,K40/TrRoad_act!K53*1000
)</f>
        <v>959.52930543280581</v>
      </c>
      <c r="L77" s="116">
        <f>IF(TrRoad_act!L53=0,0,L40/TrRoad_act!L53*1000
)</f>
        <v>978.72660555285199</v>
      </c>
      <c r="M77" s="116">
        <f>IF(TrRoad_act!M53=0,0,M40/TrRoad_act!M53*1000
)</f>
        <v>945.63904681371741</v>
      </c>
      <c r="N77" s="116">
        <f>IF(TrRoad_act!N53=0,0,N40/TrRoad_act!N53*1000
)</f>
        <v>844.70694490440007</v>
      </c>
      <c r="O77" s="116">
        <f>IF(TrRoad_act!O53=0,0,O40/TrRoad_act!O53*1000
)</f>
        <v>775.54021345878994</v>
      </c>
      <c r="P77" s="116">
        <f>IF(TrRoad_act!P53=0,0,P40/TrRoad_act!P53*1000
)</f>
        <v>777.43468044553117</v>
      </c>
      <c r="Q77" s="116">
        <f>IF(TrRoad_act!Q53=0,0,Q40/TrRoad_act!Q53*1000
)</f>
        <v>812.35201272563927</v>
      </c>
      <c r="R77" s="116">
        <f>IF(TrRoad_act!R53=0,0,R40/TrRoad_act!R53*1000
)</f>
        <v>821.57316576968753</v>
      </c>
      <c r="S77" s="116">
        <f>IF(TrRoad_act!S53=0,0,S40/TrRoad_act!S53*1000
)</f>
        <v>827.29335509256623</v>
      </c>
      <c r="T77" s="116">
        <f>IF(TrRoad_act!T53=0,0,T40/TrRoad_act!T53*1000
)</f>
        <v>803.24737287243704</v>
      </c>
      <c r="U77" s="116">
        <f>IF(TrRoad_act!U53=0,0,U40/TrRoad_act!U53*1000
)</f>
        <v>815.6178517749629</v>
      </c>
      <c r="V77" s="116">
        <f>IF(TrRoad_act!V53=0,0,V40/TrRoad_act!V53*1000
)</f>
        <v>810.86517153909858</v>
      </c>
      <c r="W77" s="116">
        <f>IF(TrRoad_act!W53=0,0,W40/TrRoad_act!W53*1000
)</f>
        <v>861.40715852244932</v>
      </c>
      <c r="X77" s="116">
        <f>IF(TrRoad_act!X53=0,0,X40/TrRoad_act!X53*1000
)</f>
        <v>774.18620021653146</v>
      </c>
      <c r="Y77" s="116">
        <f>IF(TrRoad_act!Y53=0,0,Y40/TrRoad_act!Y53*1000
)</f>
        <v>806.16644262391492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993.03363154191754</v>
      </c>
      <c r="C78" s="101">
        <f>IF(TrRoad_act!C54=0,0,C41/TrRoad_act!C54*1000
)</f>
        <v>990.04008602141005</v>
      </c>
      <c r="D78" s="101">
        <f>IF(TrRoad_act!D54=0,0,D41/TrRoad_act!D54*1000
)</f>
        <v>934.75169833900952</v>
      </c>
      <c r="E78" s="101">
        <f>IF(TrRoad_act!E54=0,0,E41/TrRoad_act!E54*1000
)</f>
        <v>941.28253880437398</v>
      </c>
      <c r="F78" s="101">
        <f>IF(TrRoad_act!F54=0,0,F41/TrRoad_act!F54*1000
)</f>
        <v>1011.1645729874763</v>
      </c>
      <c r="G78" s="101">
        <f>IF(TrRoad_act!G54=0,0,G41/TrRoad_act!G54*1000
)</f>
        <v>941.64311660434498</v>
      </c>
      <c r="H78" s="101">
        <f>IF(TrRoad_act!H54=0,0,H41/TrRoad_act!H54*1000
)</f>
        <v>940.05572696047091</v>
      </c>
      <c r="I78" s="101">
        <f>IF(TrRoad_act!I54=0,0,I41/TrRoad_act!I54*1000
)</f>
        <v>968.49564021308765</v>
      </c>
      <c r="J78" s="101">
        <f>IF(TrRoad_act!J54=0,0,J41/TrRoad_act!J54*1000
)</f>
        <v>909.85184058310449</v>
      </c>
      <c r="K78" s="101">
        <f>IF(TrRoad_act!K54=0,0,K41/TrRoad_act!K54*1000
)</f>
        <v>959.52930543280581</v>
      </c>
      <c r="L78" s="101">
        <f>IF(TrRoad_act!L54=0,0,L41/TrRoad_act!L54*1000
)</f>
        <v>978.72660555285199</v>
      </c>
      <c r="M78" s="101">
        <f>IF(TrRoad_act!M54=0,0,M41/TrRoad_act!M54*1000
)</f>
        <v>945.63904681371741</v>
      </c>
      <c r="N78" s="101">
        <f>IF(TrRoad_act!N54=0,0,N41/TrRoad_act!N54*1000
)</f>
        <v>844.70694490440007</v>
      </c>
      <c r="O78" s="101">
        <f>IF(TrRoad_act!O54=0,0,O41/TrRoad_act!O54*1000
)</f>
        <v>775.54021345878994</v>
      </c>
      <c r="P78" s="101">
        <f>IF(TrRoad_act!P54=0,0,P41/TrRoad_act!P54*1000
)</f>
        <v>777.43468044553117</v>
      </c>
      <c r="Q78" s="101">
        <f>IF(TrRoad_act!Q54=0,0,Q41/TrRoad_act!Q54*1000
)</f>
        <v>812.35201272563927</v>
      </c>
      <c r="R78" s="101">
        <f>IF(TrRoad_act!R54=0,0,R41/TrRoad_act!R54*1000
)</f>
        <v>821.57316576968753</v>
      </c>
      <c r="S78" s="101">
        <f>IF(TrRoad_act!S54=0,0,S41/TrRoad_act!S54*1000
)</f>
        <v>827.29335509256623</v>
      </c>
      <c r="T78" s="101">
        <f>IF(TrRoad_act!T54=0,0,T41/TrRoad_act!T54*1000
)</f>
        <v>803.24737287243704</v>
      </c>
      <c r="U78" s="101">
        <f>IF(TrRoad_act!U54=0,0,U41/TrRoad_act!U54*1000
)</f>
        <v>815.6178517749629</v>
      </c>
      <c r="V78" s="101">
        <f>IF(TrRoad_act!V54=0,0,V41/TrRoad_act!V54*1000
)</f>
        <v>810.86517153909858</v>
      </c>
      <c r="W78" s="101">
        <f>IF(TrRoad_act!W54=0,0,W41/TrRoad_act!W54*1000
)</f>
        <v>861.40715852244932</v>
      </c>
      <c r="X78" s="101">
        <f>IF(TrRoad_act!X54=0,0,X41/TrRoad_act!X54*1000
)</f>
        <v>774.18620021653146</v>
      </c>
      <c r="Y78" s="101">
        <f>IF(TrRoad_act!Y54=0,0,Y41/TrRoad_act!Y54*1000
)</f>
        <v>806.16644262391492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0</v>
      </c>
      <c r="C79" s="88">
        <f>IF(TrRoad_act!C55=0,0,C42/TrRoad_act!C55*1000
)</f>
        <v>0</v>
      </c>
      <c r="D79" s="88">
        <f>IF(TrRoad_act!D55=0,0,D42/TrRoad_act!D55*1000
)</f>
        <v>0</v>
      </c>
      <c r="E79" s="88">
        <f>IF(TrRoad_act!E55=0,0,E42/TrRoad_act!E55*1000
)</f>
        <v>0</v>
      </c>
      <c r="F79" s="88">
        <f>IF(TrRoad_act!F55=0,0,F42/TrRoad_act!F55*1000
)</f>
        <v>0</v>
      </c>
      <c r="G79" s="88">
        <f>IF(TrRoad_act!G55=0,0,G42/TrRoad_act!G55*1000
)</f>
        <v>0</v>
      </c>
      <c r="H79" s="88">
        <f>IF(TrRoad_act!H55=0,0,H42/TrRoad_act!H55*1000
)</f>
        <v>0</v>
      </c>
      <c r="I79" s="88">
        <f>IF(TrRoad_act!I55=0,0,I42/TrRoad_act!I55*1000
)</f>
        <v>0</v>
      </c>
      <c r="J79" s="88">
        <f>IF(TrRoad_act!J55=0,0,J42/TrRoad_act!J55*1000
)</f>
        <v>0</v>
      </c>
      <c r="K79" s="88">
        <f>IF(TrRoad_act!K55=0,0,K42/TrRoad_act!K55*1000
)</f>
        <v>0</v>
      </c>
      <c r="L79" s="88">
        <f>IF(TrRoad_act!L55=0,0,L42/TrRoad_act!L55*1000
)</f>
        <v>0</v>
      </c>
      <c r="M79" s="88">
        <f>IF(TrRoad_act!M55=0,0,M42/TrRoad_act!M55*1000
)</f>
        <v>0</v>
      </c>
      <c r="N79" s="88">
        <f>IF(TrRoad_act!N55=0,0,N42/TrRoad_act!N55*1000
)</f>
        <v>0</v>
      </c>
      <c r="O79" s="88">
        <f>IF(TrRoad_act!O55=0,0,O42/TrRoad_act!O55*1000
)</f>
        <v>0</v>
      </c>
      <c r="P79" s="88">
        <f>IF(TrRoad_act!P55=0,0,P42/TrRoad_act!P55*1000
)</f>
        <v>0</v>
      </c>
      <c r="Q79" s="88">
        <f>IF(TrRoad_act!Q55=0,0,Q42/TrRoad_act!Q55*1000
)</f>
        <v>0</v>
      </c>
      <c r="R79" s="88">
        <f>IF(TrRoad_act!R55=0,0,R42/TrRoad_act!R55*1000
)</f>
        <v>0</v>
      </c>
      <c r="S79" s="88">
        <f>IF(TrRoad_act!S55=0,0,S42/TrRoad_act!S55*1000
)</f>
        <v>0</v>
      </c>
      <c r="T79" s="88">
        <f>IF(TrRoad_act!T55=0,0,T42/TrRoad_act!T55*1000
)</f>
        <v>0</v>
      </c>
      <c r="U79" s="88">
        <f>IF(TrRoad_act!U55=0,0,U42/TrRoad_act!U55*1000
)</f>
        <v>0</v>
      </c>
      <c r="V79" s="88">
        <f>IF(TrRoad_act!V55=0,0,V42/TrRoad_act!V55*1000
)</f>
        <v>0</v>
      </c>
      <c r="W79" s="88">
        <f>IF(TrRoad_act!W55=0,0,W42/TrRoad_act!W55*1000
)</f>
        <v>0</v>
      </c>
      <c r="X79" s="88">
        <f>IF(TrRoad_act!X55=0,0,X42/TrRoad_act!X55*1000
)</f>
        <v>0</v>
      </c>
      <c r="Y79" s="88">
        <f>IF(TrRoad_act!Y55=0,0,Y42/TrRoad_act!Y55*1000
)</f>
        <v>0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203.1571229864355</v>
      </c>
      <c r="C82" s="29">
        <f>IF(TrRoad_act!C4=0,0,C18/TrRoad_act!C4*1000)</f>
        <v>207.78051156196645</v>
      </c>
      <c r="D82" s="29">
        <f>IF(TrRoad_act!D4=0,0,D18/TrRoad_act!D4*1000)</f>
        <v>204.39429228221857</v>
      </c>
      <c r="E82" s="29">
        <f>IF(TrRoad_act!E4=0,0,E18/TrRoad_act!E4*1000)</f>
        <v>215.7100746519846</v>
      </c>
      <c r="F82" s="29">
        <f>IF(TrRoad_act!F4=0,0,F18/TrRoad_act!F4*1000)</f>
        <v>221.27246026941677</v>
      </c>
      <c r="G82" s="29">
        <f>IF(TrRoad_act!G4=0,0,G18/TrRoad_act!G4*1000)</f>
        <v>218.6539565675391</v>
      </c>
      <c r="H82" s="29">
        <f>IF(TrRoad_act!H4=0,0,H18/TrRoad_act!H4*1000)</f>
        <v>220.74204486719643</v>
      </c>
      <c r="I82" s="29">
        <f>IF(TrRoad_act!I4=0,0,I18/TrRoad_act!I4*1000)</f>
        <v>227.6090870261601</v>
      </c>
      <c r="J82" s="29">
        <f>IF(TrRoad_act!J4=0,0,J18/TrRoad_act!J4*1000)</f>
        <v>218.83564888814905</v>
      </c>
      <c r="K82" s="29">
        <f>IF(TrRoad_act!K4=0,0,K18/TrRoad_act!K4*1000)</f>
        <v>219.69273175822218</v>
      </c>
      <c r="L82" s="29">
        <f>IF(TrRoad_act!L4=0,0,L18/TrRoad_act!L4*1000)</f>
        <v>226.60205620837814</v>
      </c>
      <c r="M82" s="29">
        <f>IF(TrRoad_act!M4=0,0,M18/TrRoad_act!M4*1000)</f>
        <v>220.98265555705518</v>
      </c>
      <c r="N82" s="29">
        <f>IF(TrRoad_act!N4=0,0,N18/TrRoad_act!N4*1000)</f>
        <v>206.20481562962817</v>
      </c>
      <c r="O82" s="29">
        <f>IF(TrRoad_act!O4=0,0,O18/TrRoad_act!O4*1000)</f>
        <v>192.2154792265722</v>
      </c>
      <c r="P82" s="29">
        <f>IF(TrRoad_act!P4=0,0,P18/TrRoad_act!P4*1000)</f>
        <v>186.65276838414746</v>
      </c>
      <c r="Q82" s="29">
        <f>IF(TrRoad_act!Q4=0,0,Q18/TrRoad_act!Q4*1000)</f>
        <v>188.92661107338003</v>
      </c>
      <c r="R82" s="29">
        <f>IF(TrRoad_act!R4=0,0,R18/TrRoad_act!R4*1000)</f>
        <v>189.89142215944798</v>
      </c>
      <c r="S82" s="29">
        <f>IF(TrRoad_act!S4=0,0,S18/TrRoad_act!S4*1000)</f>
        <v>190.99606926917807</v>
      </c>
      <c r="T82" s="29">
        <f>IF(TrRoad_act!T4=0,0,T18/TrRoad_act!T4*1000)</f>
        <v>184.89262207291995</v>
      </c>
      <c r="U82" s="29">
        <f>IF(TrRoad_act!U4=0,0,U18/TrRoad_act!U4*1000)</f>
        <v>182.41959873937233</v>
      </c>
      <c r="V82" s="29">
        <f>IF(TrRoad_act!V4=0,0,V18/TrRoad_act!V4*1000)</f>
        <v>194.61102316955967</v>
      </c>
      <c r="W82" s="29">
        <f>IF(TrRoad_act!W4=0,0,W18/TrRoad_act!W4*1000)</f>
        <v>195.69567534335533</v>
      </c>
      <c r="X82" s="29">
        <f>IF(TrRoad_act!X4=0,0,X18/TrRoad_act!X4*1000)</f>
        <v>178.43913765699995</v>
      </c>
      <c r="Y82" s="29">
        <f>IF(TrRoad_act!Y4=0,0,Y18/TrRoad_act!Y4*1000)</f>
        <v>173.94709309799023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114.72212842509161</v>
      </c>
      <c r="C83" s="152">
        <f>IF(TrRoad_act!C5=0,0,C19/TrRoad_act!C5*1000)</f>
        <v>113.79257025835689</v>
      </c>
      <c r="D83" s="152">
        <f>IF(TrRoad_act!D5=0,0,D19/TrRoad_act!D5*1000)</f>
        <v>115.05178273744757</v>
      </c>
      <c r="E83" s="152">
        <f>IF(TrRoad_act!E5=0,0,E19/TrRoad_act!E5*1000)</f>
        <v>114.25246124869393</v>
      </c>
      <c r="F83" s="152">
        <f>IF(TrRoad_act!F5=0,0,F19/TrRoad_act!F5*1000)</f>
        <v>113.75109663595393</v>
      </c>
      <c r="G83" s="152">
        <f>IF(TrRoad_act!G5=0,0,G19/TrRoad_act!G5*1000)</f>
        <v>112.99029597585469</v>
      </c>
      <c r="H83" s="152">
        <f>IF(TrRoad_act!H5=0,0,H19/TrRoad_act!H5*1000)</f>
        <v>112.03501504306216</v>
      </c>
      <c r="I83" s="152">
        <f>IF(TrRoad_act!I5=0,0,I19/TrRoad_act!I5*1000)</f>
        <v>110.85749061915868</v>
      </c>
      <c r="J83" s="152">
        <f>IF(TrRoad_act!J5=0,0,J19/TrRoad_act!J5*1000)</f>
        <v>109.68195336888709</v>
      </c>
      <c r="K83" s="152">
        <f>IF(TrRoad_act!K5=0,0,K19/TrRoad_act!K5*1000)</f>
        <v>108.41203373873029</v>
      </c>
      <c r="L83" s="152">
        <f>IF(TrRoad_act!L5=0,0,L19/TrRoad_act!L5*1000)</f>
        <v>107.00009497690722</v>
      </c>
      <c r="M83" s="152">
        <f>IF(TrRoad_act!M5=0,0,M19/TrRoad_act!M5*1000)</f>
        <v>105.75600388923053</v>
      </c>
      <c r="N83" s="152">
        <f>IF(TrRoad_act!N5=0,0,N19/TrRoad_act!N5*1000)</f>
        <v>106.02197711185303</v>
      </c>
      <c r="O83" s="152">
        <f>IF(TrRoad_act!O5=0,0,O19/TrRoad_act!O5*1000)</f>
        <v>104.86015201677687</v>
      </c>
      <c r="P83" s="152">
        <f>IF(TrRoad_act!P5=0,0,P19/TrRoad_act!P5*1000)</f>
        <v>104.01372022079225</v>
      </c>
      <c r="Q83" s="152">
        <f>IF(TrRoad_act!Q5=0,0,Q19/TrRoad_act!Q5*1000)</f>
        <v>102.08570365935647</v>
      </c>
      <c r="R83" s="152">
        <f>IF(TrRoad_act!R5=0,0,R19/TrRoad_act!R5*1000)</f>
        <v>101.19552356607586</v>
      </c>
      <c r="S83" s="152">
        <f>IF(TrRoad_act!S5=0,0,S19/TrRoad_act!S5*1000)</f>
        <v>100.33458006907271</v>
      </c>
      <c r="T83" s="152">
        <f>IF(TrRoad_act!T5=0,0,T19/TrRoad_act!T5*1000)</f>
        <v>99.116368628729631</v>
      </c>
      <c r="U83" s="152">
        <f>IF(TrRoad_act!U5=0,0,U19/TrRoad_act!U5*1000)</f>
        <v>98.137152710039629</v>
      </c>
      <c r="V83" s="152">
        <f>IF(TrRoad_act!V5=0,0,V19/TrRoad_act!V5*1000)</f>
        <v>96.987391088238979</v>
      </c>
      <c r="W83" s="152">
        <f>IF(TrRoad_act!W5=0,0,W19/TrRoad_act!W5*1000)</f>
        <v>95.994762858677106</v>
      </c>
      <c r="X83" s="152">
        <f>IF(TrRoad_act!X5=0,0,X19/TrRoad_act!X5*1000)</f>
        <v>95.338127582634669</v>
      </c>
      <c r="Y83" s="152">
        <f>IF(TrRoad_act!Y5=0,0,Y19/TrRoad_act!Y5*1000)</f>
        <v>94.189582271997025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192.83606301275748</v>
      </c>
      <c r="C84" s="116">
        <f>IF(TrRoad_act!C6=0,0,C20/TrRoad_act!C6*1000)</f>
        <v>199.85937297074176</v>
      </c>
      <c r="D84" s="116">
        <f>IF(TrRoad_act!D6=0,0,D20/TrRoad_act!D6*1000)</f>
        <v>199.2076941135615</v>
      </c>
      <c r="E84" s="116">
        <f>IF(TrRoad_act!E6=0,0,E20/TrRoad_act!E6*1000)</f>
        <v>213.58929877112897</v>
      </c>
      <c r="F84" s="116">
        <f>IF(TrRoad_act!F6=0,0,F20/TrRoad_act!F6*1000)</f>
        <v>215.69870757176128</v>
      </c>
      <c r="G84" s="116">
        <f>IF(TrRoad_act!G6=0,0,G20/TrRoad_act!G6*1000)</f>
        <v>217.67314135527249</v>
      </c>
      <c r="H84" s="116">
        <f>IF(TrRoad_act!H6=0,0,H20/TrRoad_act!H6*1000)</f>
        <v>220.4391196849817</v>
      </c>
      <c r="I84" s="116">
        <f>IF(TrRoad_act!I6=0,0,I20/TrRoad_act!I6*1000)</f>
        <v>227.18014894536847</v>
      </c>
      <c r="J84" s="116">
        <f>IF(TrRoad_act!J6=0,0,J20/TrRoad_act!J6*1000)</f>
        <v>220.2794155954881</v>
      </c>
      <c r="K84" s="116">
        <f>IF(TrRoad_act!K6=0,0,K20/TrRoad_act!K6*1000)</f>
        <v>219.0014433635348</v>
      </c>
      <c r="L84" s="116">
        <f>IF(TrRoad_act!L6=0,0,L20/TrRoad_act!L6*1000)</f>
        <v>227.54396209457261</v>
      </c>
      <c r="M84" s="116">
        <f>IF(TrRoad_act!M6=0,0,M20/TrRoad_act!M6*1000)</f>
        <v>222.59382698910832</v>
      </c>
      <c r="N84" s="116">
        <f>IF(TrRoad_act!N6=0,0,N20/TrRoad_act!N6*1000)</f>
        <v>210.3956936059906</v>
      </c>
      <c r="O84" s="116">
        <f>IF(TrRoad_act!O6=0,0,O20/TrRoad_act!O6*1000)</f>
        <v>197.17970023318773</v>
      </c>
      <c r="P84" s="116">
        <f>IF(TrRoad_act!P6=0,0,P20/TrRoad_act!P6*1000)</f>
        <v>189.78116501915935</v>
      </c>
      <c r="Q84" s="116">
        <f>IF(TrRoad_act!Q6=0,0,Q20/TrRoad_act!Q6*1000)</f>
        <v>190.38570366594038</v>
      </c>
      <c r="R84" s="116">
        <f>IF(TrRoad_act!R6=0,0,R20/TrRoad_act!R6*1000)</f>
        <v>190.77459534287789</v>
      </c>
      <c r="S84" s="116">
        <f>IF(TrRoad_act!S6=0,0,S20/TrRoad_act!S6*1000)</f>
        <v>191.47329578800102</v>
      </c>
      <c r="T84" s="116">
        <f>IF(TrRoad_act!T6=0,0,T20/TrRoad_act!T6*1000)</f>
        <v>185.06552252579246</v>
      </c>
      <c r="U84" s="116">
        <f>IF(TrRoad_act!U6=0,0,U20/TrRoad_act!U6*1000)</f>
        <v>181.62367193679961</v>
      </c>
      <c r="V84" s="116">
        <f>IF(TrRoad_act!V6=0,0,V20/TrRoad_act!V6*1000)</f>
        <v>184.84482280747775</v>
      </c>
      <c r="W84" s="116">
        <f>IF(TrRoad_act!W6=0,0,W20/TrRoad_act!W6*1000)</f>
        <v>184.94722367443319</v>
      </c>
      <c r="X84" s="116">
        <f>IF(TrRoad_act!X6=0,0,X20/TrRoad_act!X6*1000)</f>
        <v>174.36830257346526</v>
      </c>
      <c r="Y84" s="116">
        <f>IF(TrRoad_act!Y6=0,0,Y20/TrRoad_act!Y6*1000)</f>
        <v>171.20171382218899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184.59781083819479</v>
      </c>
      <c r="C85" s="87">
        <f>IF(TrRoad_act!C7=0,0,C21/TrRoad_act!C7*1000)</f>
        <v>192.95263293816751</v>
      </c>
      <c r="D85" s="87">
        <f>IF(TrRoad_act!D7=0,0,D21/TrRoad_act!D7*1000)</f>
        <v>195.27170938126517</v>
      </c>
      <c r="E85" s="87">
        <f>IF(TrRoad_act!E7=0,0,E21/TrRoad_act!E7*1000)</f>
        <v>211.09691784048425</v>
      </c>
      <c r="F85" s="87">
        <f>IF(TrRoad_act!F7=0,0,F21/TrRoad_act!F7*1000)</f>
        <v>211.161153765954</v>
      </c>
      <c r="G85" s="87">
        <f>IF(TrRoad_act!G7=0,0,G21/TrRoad_act!G7*1000)</f>
        <v>216.27688634009002</v>
      </c>
      <c r="H85" s="87">
        <f>IF(TrRoad_act!H7=0,0,H21/TrRoad_act!H7*1000)</f>
        <v>219.51683593907686</v>
      </c>
      <c r="I85" s="87">
        <f>IF(TrRoad_act!I7=0,0,I21/TrRoad_act!I7*1000)</f>
        <v>225.26046004461782</v>
      </c>
      <c r="J85" s="87">
        <f>IF(TrRoad_act!J7=0,0,J21/TrRoad_act!J7*1000)</f>
        <v>220.06483930235575</v>
      </c>
      <c r="K85" s="87">
        <f>IF(TrRoad_act!K7=0,0,K21/TrRoad_act!K7*1000)</f>
        <v>217.47400763450011</v>
      </c>
      <c r="L85" s="87">
        <f>IF(TrRoad_act!L7=0,0,L21/TrRoad_act!L7*1000)</f>
        <v>225.54277277391455</v>
      </c>
      <c r="M85" s="87">
        <f>IF(TrRoad_act!M7=0,0,M21/TrRoad_act!M7*1000)</f>
        <v>221.16827183844711</v>
      </c>
      <c r="N85" s="87">
        <f>IF(TrRoad_act!N7=0,0,N21/TrRoad_act!N7*1000)</f>
        <v>211.4777483178992</v>
      </c>
      <c r="O85" s="87">
        <f>IF(TrRoad_act!O7=0,0,O21/TrRoad_act!O7*1000)</f>
        <v>198.8181976599588</v>
      </c>
      <c r="P85" s="87">
        <f>IF(TrRoad_act!P7=0,0,P21/TrRoad_act!P7*1000)</f>
        <v>191.23070402210959</v>
      </c>
      <c r="Q85" s="87">
        <f>IF(TrRoad_act!Q7=0,0,Q21/TrRoad_act!Q7*1000)</f>
        <v>191.38756806558507</v>
      </c>
      <c r="R85" s="87">
        <f>IF(TrRoad_act!R7=0,0,R21/TrRoad_act!R7*1000)</f>
        <v>189.50004157259011</v>
      </c>
      <c r="S85" s="87">
        <f>IF(TrRoad_act!S7=0,0,S21/TrRoad_act!S7*1000)</f>
        <v>190.50103589587442</v>
      </c>
      <c r="T85" s="87">
        <f>IF(TrRoad_act!T7=0,0,T21/TrRoad_act!T7*1000)</f>
        <v>184.61132298366095</v>
      </c>
      <c r="U85" s="87">
        <f>IF(TrRoad_act!U7=0,0,U21/TrRoad_act!U7*1000)</f>
        <v>180.71875652828419</v>
      </c>
      <c r="V85" s="87">
        <f>IF(TrRoad_act!V7=0,0,V21/TrRoad_act!V7*1000)</f>
        <v>181.41043245524187</v>
      </c>
      <c r="W85" s="87">
        <f>IF(TrRoad_act!W7=0,0,W21/TrRoad_act!W7*1000)</f>
        <v>182.25005609321707</v>
      </c>
      <c r="X85" s="87">
        <f>IF(TrRoad_act!X7=0,0,X21/TrRoad_act!X7*1000)</f>
        <v>174.75370037310719</v>
      </c>
      <c r="Y85" s="87">
        <f>IF(TrRoad_act!Y7=0,0,Y21/TrRoad_act!Y7*1000)</f>
        <v>170.15134864807459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230.84440150614947</v>
      </c>
      <c r="C86" s="87">
        <f>IF(TrRoad_act!C8=0,0,C22/TrRoad_act!C8*1000)</f>
        <v>230.65284273275503</v>
      </c>
      <c r="D86" s="87">
        <f>IF(TrRoad_act!D8=0,0,D22/TrRoad_act!D8*1000)</f>
        <v>217.50039130635892</v>
      </c>
      <c r="E86" s="87">
        <f>IF(TrRoad_act!E8=0,0,E22/TrRoad_act!E8*1000)</f>
        <v>225.9435285412286</v>
      </c>
      <c r="F86" s="87">
        <f>IF(TrRoad_act!F8=0,0,F22/TrRoad_act!F8*1000)</f>
        <v>241.33194980735138</v>
      </c>
      <c r="G86" s="87">
        <f>IF(TrRoad_act!G8=0,0,G22/TrRoad_act!G8*1000)</f>
        <v>226.37481324622189</v>
      </c>
      <c r="H86" s="87">
        <f>IF(TrRoad_act!H8=0,0,H22/TrRoad_act!H8*1000)</f>
        <v>226.72241376896329</v>
      </c>
      <c r="I86" s="87">
        <f>IF(TrRoad_act!I8=0,0,I22/TrRoad_act!I8*1000)</f>
        <v>240.93886444926838</v>
      </c>
      <c r="J86" s="87">
        <f>IF(TrRoad_act!J8=0,0,J22/TrRoad_act!J8*1000)</f>
        <v>221.81785147984459</v>
      </c>
      <c r="K86" s="87">
        <f>IF(TrRoad_act!K8=0,0,K22/TrRoad_act!K8*1000)</f>
        <v>229.77328328899145</v>
      </c>
      <c r="L86" s="87">
        <f>IF(TrRoad_act!L8=0,0,L22/TrRoad_act!L8*1000)</f>
        <v>241.63218295195952</v>
      </c>
      <c r="M86" s="87">
        <f>IF(TrRoad_act!M8=0,0,M22/TrRoad_act!M8*1000)</f>
        <v>232.75962464675587</v>
      </c>
      <c r="N86" s="87">
        <f>IF(TrRoad_act!N8=0,0,N22/TrRoad_act!N8*1000)</f>
        <v>202.26701322870306</v>
      </c>
      <c r="O86" s="87">
        <f>IF(TrRoad_act!O8=0,0,O22/TrRoad_act!O8*1000)</f>
        <v>184.57769147017589</v>
      </c>
      <c r="P86" s="87">
        <f>IF(TrRoad_act!P8=0,0,P22/TrRoad_act!P8*1000)</f>
        <v>179.18893161070801</v>
      </c>
      <c r="Q86" s="87">
        <f>IF(TrRoad_act!Q8=0,0,Q22/TrRoad_act!Q8*1000)</f>
        <v>183.7894635947284</v>
      </c>
      <c r="R86" s="87">
        <f>IF(TrRoad_act!R8=0,0,R22/TrRoad_act!R8*1000)</f>
        <v>199.09666009644957</v>
      </c>
      <c r="S86" s="87">
        <f>IF(TrRoad_act!S8=0,0,S22/TrRoad_act!S8*1000)</f>
        <v>196.98057177415532</v>
      </c>
      <c r="T86" s="87">
        <f>IF(TrRoad_act!T8=0,0,T22/TrRoad_act!T8*1000)</f>
        <v>188.04297199454635</v>
      </c>
      <c r="U86" s="87">
        <f>IF(TrRoad_act!U8=0,0,U22/TrRoad_act!U8*1000)</f>
        <v>185.94635145672279</v>
      </c>
      <c r="V86" s="87">
        <f>IF(TrRoad_act!V8=0,0,V22/TrRoad_act!V8*1000)</f>
        <v>197.71630271059519</v>
      </c>
      <c r="W86" s="87">
        <f>IF(TrRoad_act!W8=0,0,W22/TrRoad_act!W8*1000)</f>
        <v>195.15121159110487</v>
      </c>
      <c r="X86" s="87">
        <f>IF(TrRoad_act!X8=0,0,X22/TrRoad_act!X8*1000)</f>
        <v>174.41273711104898</v>
      </c>
      <c r="Y86" s="87">
        <f>IF(TrRoad_act!Y8=0,0,Y22/TrRoad_act!Y8*1000)</f>
        <v>177.67653234889661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0</v>
      </c>
      <c r="E87" s="87">
        <f>IF(TrRoad_act!E9=0,0,E23/TrRoad_act!E9*1000)</f>
        <v>0</v>
      </c>
      <c r="F87" s="87">
        <f>IF(TrRoad_act!F9=0,0,F23/TrRoad_act!F9*1000)</f>
        <v>0</v>
      </c>
      <c r="G87" s="87">
        <f>IF(TrRoad_act!G9=0,0,G23/TrRoad_act!G9*1000)</f>
        <v>0</v>
      </c>
      <c r="H87" s="87">
        <f>IF(TrRoad_act!H9=0,0,H23/TrRoad_act!H9*1000)</f>
        <v>0</v>
      </c>
      <c r="I87" s="87">
        <f>IF(TrRoad_act!I9=0,0,I23/TrRoad_act!I9*1000)</f>
        <v>0</v>
      </c>
      <c r="J87" s="87">
        <f>IF(TrRoad_act!J9=0,0,J23/TrRoad_act!J9*1000)</f>
        <v>0</v>
      </c>
      <c r="K87" s="87">
        <f>IF(TrRoad_act!K9=0,0,K23/TrRoad_act!K9*1000)</f>
        <v>0</v>
      </c>
      <c r="L87" s="87">
        <f>IF(TrRoad_act!L9=0,0,L23/TrRoad_act!L9*1000)</f>
        <v>0</v>
      </c>
      <c r="M87" s="87">
        <f>IF(TrRoad_act!M9=0,0,M23/TrRoad_act!M9*1000)</f>
        <v>0</v>
      </c>
      <c r="N87" s="87">
        <f>IF(TrRoad_act!N9=0,0,N23/TrRoad_act!N9*1000)</f>
        <v>0</v>
      </c>
      <c r="O87" s="87">
        <f>IF(TrRoad_act!O9=0,0,O23/TrRoad_act!O9*1000)</f>
        <v>0</v>
      </c>
      <c r="P87" s="87">
        <f>IF(TrRoad_act!P9=0,0,P23/TrRoad_act!P9*1000)</f>
        <v>0</v>
      </c>
      <c r="Q87" s="87">
        <f>IF(TrRoad_act!Q9=0,0,Q23/TrRoad_act!Q9*1000)</f>
        <v>0</v>
      </c>
      <c r="R87" s="87">
        <f>IF(TrRoad_act!R9=0,0,R23/TrRoad_act!R9*1000)</f>
        <v>0</v>
      </c>
      <c r="S87" s="87">
        <f>IF(TrRoad_act!S9=0,0,S23/TrRoad_act!S9*1000)</f>
        <v>0</v>
      </c>
      <c r="T87" s="87">
        <f>IF(TrRoad_act!T9=0,0,T23/TrRoad_act!T9*1000)</f>
        <v>119.52696709065796</v>
      </c>
      <c r="U87" s="87">
        <f>IF(TrRoad_act!U9=0,0,U23/TrRoad_act!U9*1000)</f>
        <v>133.06187142049404</v>
      </c>
      <c r="V87" s="87">
        <f>IF(TrRoad_act!V9=0,0,V23/TrRoad_act!V9*1000)</f>
        <v>138.57019158707965</v>
      </c>
      <c r="W87" s="87">
        <f>IF(TrRoad_act!W9=0,0,W23/TrRoad_act!W9*1000)</f>
        <v>148.81517656473801</v>
      </c>
      <c r="X87" s="87">
        <f>IF(TrRoad_act!X9=0,0,X23/TrRoad_act!X9*1000)</f>
        <v>154.30774872695881</v>
      </c>
      <c r="Y87" s="87">
        <f>IF(TrRoad_act!Y9=0,0,Y23/TrRoad_act!Y9*1000)</f>
        <v>131.03706493505589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X88" s="87">
        <f>IF(TrRoad_act!X10=0,0,X24/TrRoad_act!X10*1000)</f>
        <v>0</v>
      </c>
      <c r="Y88" s="87">
        <f>IF(TrRoad_act!Y10=0,0,Y24/TrRoad_act!Y10*1000)</f>
        <v>0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0</v>
      </c>
      <c r="P89" s="87">
        <f>IF(TrRoad_act!P11=0,0,P25/TrRoad_act!P11*1000)</f>
        <v>56.197371958394896</v>
      </c>
      <c r="Q89" s="87">
        <f>IF(TrRoad_act!Q11=0,0,Q25/TrRoad_act!Q11*1000)</f>
        <v>56.787661036217067</v>
      </c>
      <c r="R89" s="87">
        <f>IF(TrRoad_act!R11=0,0,R25/TrRoad_act!R11*1000)</f>
        <v>75.905678607801306</v>
      </c>
      <c r="S89" s="87">
        <f>IF(TrRoad_act!S11=0,0,S25/TrRoad_act!S11*1000)</f>
        <v>73.094290366016438</v>
      </c>
      <c r="T89" s="87">
        <f>IF(TrRoad_act!T11=0,0,T25/TrRoad_act!T11*1000)</f>
        <v>69.306656063874073</v>
      </c>
      <c r="U89" s="87">
        <f>IF(TrRoad_act!U11=0,0,U25/TrRoad_act!U11*1000)</f>
        <v>66.718571801412352</v>
      </c>
      <c r="V89" s="87">
        <f>IF(TrRoad_act!V11=0,0,V25/TrRoad_act!V11*1000)</f>
        <v>73.689038348803777</v>
      </c>
      <c r="W89" s="87">
        <f>IF(TrRoad_act!W11=0,0,W25/TrRoad_act!W11*1000)</f>
        <v>68.158331915830274</v>
      </c>
      <c r="X89" s="87">
        <f>IF(TrRoad_act!X11=0,0,X25/TrRoad_act!X11*1000)</f>
        <v>57.809895702769211</v>
      </c>
      <c r="Y89" s="87">
        <f>IF(TrRoad_act!Y11=0,0,Y25/TrRoad_act!Y11*1000)</f>
        <v>45.672888289508414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250.75230846219264</v>
      </c>
      <c r="C91" s="116">
        <f>IF(TrRoad_act!C13=0,0,C27/TrRoad_act!C13*1000)</f>
        <v>246.87000055908169</v>
      </c>
      <c r="D91" s="116">
        <f>IF(TrRoad_act!D13=0,0,D27/TrRoad_act!D13*1000)</f>
        <v>232.52504393753881</v>
      </c>
      <c r="E91" s="116">
        <f>IF(TrRoad_act!E13=0,0,E27/TrRoad_act!E13*1000)</f>
        <v>233.86506224809318</v>
      </c>
      <c r="F91" s="116">
        <f>IF(TrRoad_act!F13=0,0,F27/TrRoad_act!F13*1000)</f>
        <v>254.2473900459712</v>
      </c>
      <c r="G91" s="116">
        <f>IF(TrRoad_act!G13=0,0,G27/TrRoad_act!G13*1000)</f>
        <v>234.1268288149692</v>
      </c>
      <c r="H91" s="116">
        <f>IF(TrRoad_act!H13=0,0,H27/TrRoad_act!H13*1000)</f>
        <v>233.81123017072238</v>
      </c>
      <c r="I91" s="116">
        <f>IF(TrRoad_act!I13=0,0,I27/TrRoad_act!I13*1000)</f>
        <v>242.07927204268006</v>
      </c>
      <c r="J91" s="116">
        <f>IF(TrRoad_act!J13=0,0,J27/TrRoad_act!J13*1000)</f>
        <v>224.50519992139689</v>
      </c>
      <c r="K91" s="116">
        <f>IF(TrRoad_act!K13=0,0,K27/TrRoad_act!K13*1000)</f>
        <v>235.44010137081568</v>
      </c>
      <c r="L91" s="116">
        <f>IF(TrRoad_act!L13=0,0,L27/TrRoad_act!L13*1000)</f>
        <v>235.54685406540213</v>
      </c>
      <c r="M91" s="116">
        <f>IF(TrRoad_act!M13=0,0,M27/TrRoad_act!M13*1000)</f>
        <v>225.9887175966569</v>
      </c>
      <c r="N91" s="116">
        <f>IF(TrRoad_act!N13=0,0,N27/TrRoad_act!N13*1000)</f>
        <v>198.35064491462796</v>
      </c>
      <c r="O91" s="116">
        <f>IF(TrRoad_act!O13=0,0,O27/TrRoad_act!O13*1000)</f>
        <v>179.45830946146884</v>
      </c>
      <c r="P91" s="116">
        <f>IF(TrRoad_act!P13=0,0,P27/TrRoad_act!P13*1000)</f>
        <v>181.29214945416538</v>
      </c>
      <c r="Q91" s="116">
        <f>IF(TrRoad_act!Q13=0,0,Q27/TrRoad_act!Q13*1000)</f>
        <v>191.06037709039526</v>
      </c>
      <c r="R91" s="116">
        <f>IF(TrRoad_act!R13=0,0,R27/TrRoad_act!R13*1000)</f>
        <v>194.3625560457684</v>
      </c>
      <c r="S91" s="116">
        <f>IF(TrRoad_act!S13=0,0,S27/TrRoad_act!S13*1000)</f>
        <v>196.67201561190919</v>
      </c>
      <c r="T91" s="116">
        <f>IF(TrRoad_act!T13=0,0,T27/TrRoad_act!T13*1000)</f>
        <v>190.87203868802135</v>
      </c>
      <c r="U91" s="116">
        <f>IF(TrRoad_act!U13=0,0,U27/TrRoad_act!U13*1000)</f>
        <v>192.84695813662805</v>
      </c>
      <c r="V91" s="116">
        <f>IF(TrRoad_act!V13=0,0,V27/TrRoad_act!V13*1000)</f>
        <v>274.81406424125356</v>
      </c>
      <c r="W91" s="116">
        <f>IF(TrRoad_act!W13=0,0,W27/TrRoad_act!W13*1000)</f>
        <v>282.27367157217589</v>
      </c>
      <c r="X91" s="116">
        <f>IF(TrRoad_act!X13=0,0,X27/TrRoad_act!X13*1000)</f>
        <v>208.41021916758794</v>
      </c>
      <c r="Y91" s="116">
        <f>IF(TrRoad_act!Y13=0,0,Y27/TrRoad_act!Y13*1000)</f>
        <v>195.16522863704068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85.903658928201196</v>
      </c>
      <c r="C92" s="101">
        <f>IF(TrRoad_act!C14=0,0,C28/TrRoad_act!C14*1000)</f>
        <v>88.860792396537036</v>
      </c>
      <c r="D92" s="101">
        <f>IF(TrRoad_act!D14=0,0,D28/TrRoad_act!D14*1000)</f>
        <v>90.880922481544943</v>
      </c>
      <c r="E92" s="101">
        <f>IF(TrRoad_act!E14=0,0,E28/TrRoad_act!E14*1000)</f>
        <v>95.290668459442188</v>
      </c>
      <c r="F92" s="101">
        <f>IF(TrRoad_act!F14=0,0,F28/TrRoad_act!F14*1000)</f>
        <v>97.023376324981797</v>
      </c>
      <c r="G92" s="101">
        <f>IF(TrRoad_act!G14=0,0,G28/TrRoad_act!G14*1000)</f>
        <v>99.207621766019187</v>
      </c>
      <c r="H92" s="101">
        <f>IF(TrRoad_act!H14=0,0,H28/TrRoad_act!H14*1000)</f>
        <v>100.66488498513782</v>
      </c>
      <c r="I92" s="101">
        <f>IF(TrRoad_act!I14=0,0,I28/TrRoad_act!I14*1000)</f>
        <v>100.93178687191389</v>
      </c>
      <c r="J92" s="101">
        <f>IF(TrRoad_act!J14=0,0,J28/TrRoad_act!J14*1000)</f>
        <v>100.41036179980476</v>
      </c>
      <c r="K92" s="101">
        <f>IF(TrRoad_act!K14=0,0,K28/TrRoad_act!K14*1000)</f>
        <v>100.93106472479271</v>
      </c>
      <c r="L92" s="101">
        <f>IF(TrRoad_act!L14=0,0,L28/TrRoad_act!L14*1000)</f>
        <v>100.88686027202448</v>
      </c>
      <c r="M92" s="101">
        <f>IF(TrRoad_act!M14=0,0,M28/TrRoad_act!M14*1000)</f>
        <v>99.123010234730415</v>
      </c>
      <c r="N92" s="101">
        <f>IF(TrRoad_act!N14=0,0,N28/TrRoad_act!N14*1000)</f>
        <v>97.243485876625471</v>
      </c>
      <c r="O92" s="101">
        <f>IF(TrRoad_act!O14=0,0,O28/TrRoad_act!O14*1000)</f>
        <v>93.040856736438542</v>
      </c>
      <c r="P92" s="101">
        <f>IF(TrRoad_act!P14=0,0,P28/TrRoad_act!P14*1000)</f>
        <v>89.878269437750362</v>
      </c>
      <c r="Q92" s="101">
        <f>IF(TrRoad_act!Q14=0,0,Q28/TrRoad_act!Q14*1000)</f>
        <v>90.351613531542284</v>
      </c>
      <c r="R92" s="101">
        <f>IF(TrRoad_act!R14=0,0,R28/TrRoad_act!R14*1000)</f>
        <v>84.08540495818454</v>
      </c>
      <c r="S92" s="101">
        <f>IF(TrRoad_act!S14=0,0,S28/TrRoad_act!S14*1000)</f>
        <v>85.050019249095783</v>
      </c>
      <c r="T92" s="101">
        <f>IF(TrRoad_act!T14=0,0,T28/TrRoad_act!T14*1000)</f>
        <v>83.510141741029258</v>
      </c>
      <c r="U92" s="101">
        <f>IF(TrRoad_act!U14=0,0,U28/TrRoad_act!U14*1000)</f>
        <v>81.572575530595088</v>
      </c>
      <c r="V92" s="101">
        <f>IF(TrRoad_act!V14=0,0,V28/TrRoad_act!V14*1000)</f>
        <v>93.215577162545955</v>
      </c>
      <c r="W92" s="101">
        <f>IF(TrRoad_act!W14=0,0,W28/TrRoad_act!W14*1000)</f>
        <v>83.313358564729114</v>
      </c>
      <c r="X92" s="101">
        <f>IF(TrRoad_act!X14=0,0,X28/TrRoad_act!X14*1000)</f>
        <v>81.33916436782836</v>
      </c>
      <c r="Y92" s="101">
        <f>IF(TrRoad_act!Y14=0,0,Y28/TrRoad_act!Y14*1000)</f>
        <v>81.535462477999872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255.1041405926367</v>
      </c>
      <c r="C93" s="101">
        <f>IF(TrRoad_act!C15=0,0,C29/TrRoad_act!C15*1000)</f>
        <v>250.8433091564649</v>
      </c>
      <c r="D93" s="101">
        <f>IF(TrRoad_act!D15=0,0,D29/TrRoad_act!D15*1000)</f>
        <v>235.85475206484168</v>
      </c>
      <c r="E93" s="101">
        <f>IF(TrRoad_act!E15=0,0,E29/TrRoad_act!E15*1000)</f>
        <v>236.93209256359751</v>
      </c>
      <c r="F93" s="101">
        <f>IF(TrRoad_act!F15=0,0,F29/TrRoad_act!F15*1000)</f>
        <v>257.7905021080353</v>
      </c>
      <c r="G93" s="101">
        <f>IF(TrRoad_act!G15=0,0,G29/TrRoad_act!G15*1000)</f>
        <v>237.09846153648405</v>
      </c>
      <c r="H93" s="101">
        <f>IF(TrRoad_act!H15=0,0,H29/TrRoad_act!H15*1000)</f>
        <v>236.76064793303559</v>
      </c>
      <c r="I93" s="101">
        <f>IF(TrRoad_act!I15=0,0,I29/TrRoad_act!I15*1000)</f>
        <v>245.13442689982057</v>
      </c>
      <c r="J93" s="101">
        <f>IF(TrRoad_act!J15=0,0,J29/TrRoad_act!J15*1000)</f>
        <v>227.20296679132431</v>
      </c>
      <c r="K93" s="101">
        <f>IF(TrRoad_act!K15=0,0,K29/TrRoad_act!K15*1000)</f>
        <v>238.4026537875254</v>
      </c>
      <c r="L93" s="101">
        <f>IF(TrRoad_act!L15=0,0,L29/TrRoad_act!L15*1000)</f>
        <v>238.54192113113101</v>
      </c>
      <c r="M93" s="101">
        <f>IF(TrRoad_act!M15=0,0,M29/TrRoad_act!M15*1000)</f>
        <v>228.77492066796316</v>
      </c>
      <c r="N93" s="101">
        <f>IF(TrRoad_act!N15=0,0,N29/TrRoad_act!N15*1000)</f>
        <v>200.52380873369418</v>
      </c>
      <c r="O93" s="101">
        <f>IF(TrRoad_act!O15=0,0,O29/TrRoad_act!O15*1000)</f>
        <v>181.32076618390121</v>
      </c>
      <c r="P93" s="101">
        <f>IF(TrRoad_act!P15=0,0,P29/TrRoad_act!P15*1000)</f>
        <v>181.99663939908325</v>
      </c>
      <c r="Q93" s="101">
        <f>IF(TrRoad_act!Q15=0,0,Q29/TrRoad_act!Q15*1000)</f>
        <v>191.71028188967333</v>
      </c>
      <c r="R93" s="101">
        <f>IF(TrRoad_act!R15=0,0,R29/TrRoad_act!R15*1000)</f>
        <v>195.03737200841621</v>
      </c>
      <c r="S93" s="101">
        <f>IF(TrRoad_act!S15=0,0,S29/TrRoad_act!S15*1000)</f>
        <v>197.35139128393072</v>
      </c>
      <c r="T93" s="101">
        <f>IF(TrRoad_act!T15=0,0,T29/TrRoad_act!T15*1000)</f>
        <v>191.53290229548671</v>
      </c>
      <c r="U93" s="101">
        <f>IF(TrRoad_act!U15=0,0,U29/TrRoad_act!U15*1000)</f>
        <v>193.52392424402771</v>
      </c>
      <c r="V93" s="101">
        <f>IF(TrRoad_act!V15=0,0,V29/TrRoad_act!V15*1000)</f>
        <v>276.41986971019668</v>
      </c>
      <c r="W93" s="101">
        <f>IF(TrRoad_act!W15=0,0,W29/TrRoad_act!W15*1000)</f>
        <v>284.12684583201752</v>
      </c>
      <c r="X93" s="101">
        <f>IF(TrRoad_act!X15=0,0,X29/TrRoad_act!X15*1000)</f>
        <v>209.23396213826672</v>
      </c>
      <c r="Y93" s="101">
        <f>IF(TrRoad_act!Y15=0,0,Y29/TrRoad_act!Y15*1000)</f>
        <v>197.45580413289198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X95" s="101">
        <f>IF(TrRoad_act!X17=0,0,X31/TrRoad_act!X17*1000)</f>
        <v>0</v>
      </c>
      <c r="Y95" s="101">
        <f>IF(TrRoad_act!Y17=0,0,Y31/TrRoad_act!Y17*1000)</f>
        <v>0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483.12979908073936</v>
      </c>
      <c r="C97" s="29">
        <f>IF(TrRoad_act!C19=0,0,C33/TrRoad_act!C19*1000)</f>
        <v>480.91450974204645</v>
      </c>
      <c r="D97" s="29">
        <f>IF(TrRoad_act!D19=0,0,D33/TrRoad_act!D19*1000)</f>
        <v>462.14875716650153</v>
      </c>
      <c r="E97" s="29">
        <f>IF(TrRoad_act!E19=0,0,E33/TrRoad_act!E19*1000)</f>
        <v>446.30285088765095</v>
      </c>
      <c r="F97" s="29">
        <f>IF(TrRoad_act!F19=0,0,F33/TrRoad_act!F19*1000)</f>
        <v>528.82405326799528</v>
      </c>
      <c r="G97" s="29">
        <f>IF(TrRoad_act!G19=0,0,G33/TrRoad_act!G19*1000)</f>
        <v>437.65747623892503</v>
      </c>
      <c r="H97" s="29">
        <f>IF(TrRoad_act!H19=0,0,H33/TrRoad_act!H19*1000)</f>
        <v>461.86995126987443</v>
      </c>
      <c r="I97" s="29">
        <f>IF(TrRoad_act!I19=0,0,I33/TrRoad_act!I19*1000)</f>
        <v>461.14820725550749</v>
      </c>
      <c r="J97" s="29">
        <f>IF(TrRoad_act!J19=0,0,J33/TrRoad_act!J19*1000)</f>
        <v>419.60669786135526</v>
      </c>
      <c r="K97" s="29">
        <f>IF(TrRoad_act!K19=0,0,K33/TrRoad_act!K19*1000)</f>
        <v>512.68305296220035</v>
      </c>
      <c r="L97" s="29">
        <f>IF(TrRoad_act!L19=0,0,L33/TrRoad_act!L19*1000)</f>
        <v>476.12207539803603</v>
      </c>
      <c r="M97" s="29">
        <f>IF(TrRoad_act!M19=0,0,M33/TrRoad_act!M19*1000)</f>
        <v>501.08720057874558</v>
      </c>
      <c r="N97" s="29">
        <f>IF(TrRoad_act!N19=0,0,N33/TrRoad_act!N19*1000)</f>
        <v>448.55898170867954</v>
      </c>
      <c r="O97" s="29">
        <f>IF(TrRoad_act!O19=0,0,O33/TrRoad_act!O19*1000)</f>
        <v>488.86403442972932</v>
      </c>
      <c r="P97" s="29">
        <f>IF(TrRoad_act!P19=0,0,P33/TrRoad_act!P19*1000)</f>
        <v>517.50208570325799</v>
      </c>
      <c r="Q97" s="29">
        <f>IF(TrRoad_act!Q19=0,0,Q33/TrRoad_act!Q19*1000)</f>
        <v>516.71131151889347</v>
      </c>
      <c r="R97" s="29">
        <f>IF(TrRoad_act!R19=0,0,R33/TrRoad_act!R19*1000)</f>
        <v>479.00119648099013</v>
      </c>
      <c r="S97" s="29">
        <f>IF(TrRoad_act!S19=0,0,S33/TrRoad_act!S19*1000)</f>
        <v>448.6109302502295</v>
      </c>
      <c r="T97" s="29">
        <f>IF(TrRoad_act!T19=0,0,T33/TrRoad_act!T19*1000)</f>
        <v>426.69111947126436</v>
      </c>
      <c r="U97" s="29">
        <f>IF(TrRoad_act!U19=0,0,U33/TrRoad_act!U19*1000)</f>
        <v>435.93437014728636</v>
      </c>
      <c r="V97" s="29">
        <f>IF(TrRoad_act!V19=0,0,V33/TrRoad_act!V19*1000)</f>
        <v>479.07234437799821</v>
      </c>
      <c r="W97" s="29">
        <f>IF(TrRoad_act!W19=0,0,W33/TrRoad_act!W19*1000)</f>
        <v>484.4947186384922</v>
      </c>
      <c r="X97" s="29">
        <f>IF(TrRoad_act!X19=0,0,X33/TrRoad_act!X19*1000)</f>
        <v>370.00176475153626</v>
      </c>
      <c r="Y97" s="29">
        <f>IF(TrRoad_act!Y19=0,0,Y33/TrRoad_act!Y19*1000)</f>
        <v>360.37384704931958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3352.0489377951767</v>
      </c>
      <c r="C98" s="152">
        <f>IF(TrRoad_act!C20=0,0,C34/TrRoad_act!C20*1000)</f>
        <v>3293.7790076484762</v>
      </c>
      <c r="D98" s="152">
        <f>IF(TrRoad_act!D20=0,0,D34/TrRoad_act!D20*1000)</f>
        <v>3081.229949280355</v>
      </c>
      <c r="E98" s="152">
        <f>IF(TrRoad_act!E20=0,0,E34/TrRoad_act!E20*1000)</f>
        <v>3057.8468671080764</v>
      </c>
      <c r="F98" s="152">
        <f>IF(TrRoad_act!F20=0,0,F34/TrRoad_act!F20*1000)</f>
        <v>3250.134618128548</v>
      </c>
      <c r="G98" s="152">
        <f>IF(TrRoad_act!G20=0,0,G34/TrRoad_act!G20*1000)</f>
        <v>2994.880948252734</v>
      </c>
      <c r="H98" s="152">
        <f>IF(TrRoad_act!H20=0,0,H34/TrRoad_act!H20*1000)</f>
        <v>2926.7193991576214</v>
      </c>
      <c r="I98" s="152">
        <f>IF(TrRoad_act!I20=0,0,I34/TrRoad_act!I20*1000)</f>
        <v>2995.9610989916091</v>
      </c>
      <c r="J98" s="152">
        <f>IF(TrRoad_act!J20=0,0,J34/TrRoad_act!J20*1000)</f>
        <v>2771.3245834546938</v>
      </c>
      <c r="K98" s="152">
        <f>IF(TrRoad_act!K20=0,0,K34/TrRoad_act!K20*1000)</f>
        <v>2837.9919597758822</v>
      </c>
      <c r="L98" s="152">
        <f>IF(TrRoad_act!L20=0,0,L34/TrRoad_act!L20*1000)</f>
        <v>2840.5033115587694</v>
      </c>
      <c r="M98" s="152">
        <f>IF(TrRoad_act!M20=0,0,M34/TrRoad_act!M20*1000)</f>
        <v>2696.4042602904715</v>
      </c>
      <c r="N98" s="152">
        <f>IF(TrRoad_act!N20=0,0,N34/TrRoad_act!N20*1000)</f>
        <v>2323.8426464998952</v>
      </c>
      <c r="O98" s="152">
        <f>IF(TrRoad_act!O20=0,0,O34/TrRoad_act!O20*1000)</f>
        <v>2041.917616473432</v>
      </c>
      <c r="P98" s="152">
        <f>IF(TrRoad_act!P20=0,0,P34/TrRoad_act!P20*1000)</f>
        <v>2001.4341978214579</v>
      </c>
      <c r="Q98" s="152">
        <f>IF(TrRoad_act!Q20=0,0,Q34/TrRoad_act!Q20*1000)</f>
        <v>2082.1548015804497</v>
      </c>
      <c r="R98" s="152">
        <f>IF(TrRoad_act!R20=0,0,R34/TrRoad_act!R20*1000)</f>
        <v>2116.1498220504841</v>
      </c>
      <c r="S98" s="152">
        <f>IF(TrRoad_act!S20=0,0,S34/TrRoad_act!S20*1000)</f>
        <v>2126.6443601191645</v>
      </c>
      <c r="T98" s="152">
        <f>IF(TrRoad_act!T20=0,0,T34/TrRoad_act!T20*1000)</f>
        <v>2050.6194508987837</v>
      </c>
      <c r="U98" s="152">
        <f>IF(TrRoad_act!U20=0,0,U34/TrRoad_act!U20*1000)</f>
        <v>2007.1036058757645</v>
      </c>
      <c r="V98" s="152">
        <f>IF(TrRoad_act!V20=0,0,V34/TrRoad_act!V20*1000)</f>
        <v>1998.8880762940407</v>
      </c>
      <c r="W98" s="152">
        <f>IF(TrRoad_act!W20=0,0,W34/TrRoad_act!W20*1000)</f>
        <v>2105.8142456357168</v>
      </c>
      <c r="X98" s="152">
        <f>IF(TrRoad_act!X20=0,0,X34/TrRoad_act!X20*1000)</f>
        <v>1866.8781101217803</v>
      </c>
      <c r="Y98" s="152">
        <f>IF(TrRoad_act!Y20=0,0,Y34/TrRoad_act!Y20*1000)</f>
        <v>1945.9687912733516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2455.95757395174</v>
      </c>
      <c r="C99" s="87">
        <f>IF(TrRoad_act!C21=0,0,C35/TrRoad_act!C21*1000)</f>
        <v>2535.7397717518179</v>
      </c>
      <c r="D99" s="87">
        <f>IF(TrRoad_act!D21=0,0,D35/TrRoad_act!D21*1000)</f>
        <v>2595.3392834614397</v>
      </c>
      <c r="E99" s="87">
        <f>IF(TrRoad_act!E21=0,0,E35/TrRoad_act!E21*1000)</f>
        <v>2725.0428459635577</v>
      </c>
      <c r="F99" s="87">
        <f>IF(TrRoad_act!F21=0,0,F35/TrRoad_act!F21*1000)</f>
        <v>2725.3054821296555</v>
      </c>
      <c r="G99" s="87">
        <f>IF(TrRoad_act!G21=0,0,G35/TrRoad_act!G21*1000)</f>
        <v>2792.0222654544255</v>
      </c>
      <c r="H99" s="87">
        <f>IF(TrRoad_act!H21=0,0,H35/TrRoad_act!H21*1000)</f>
        <v>2794.0989248499191</v>
      </c>
      <c r="I99" s="87">
        <f>IF(TrRoad_act!I21=0,0,I35/TrRoad_act!I21*1000)</f>
        <v>2754.4031855344647</v>
      </c>
      <c r="J99" s="87">
        <f>IF(TrRoad_act!J21=0,0,J35/TrRoad_act!J21*1000)</f>
        <v>2744.8160026970222</v>
      </c>
      <c r="K99" s="87">
        <f>IF(TrRoad_act!K21=0,0,K35/TrRoad_act!K21*1000)</f>
        <v>2701.7312484848908</v>
      </c>
      <c r="L99" s="87">
        <f>IF(TrRoad_act!L21=0,0,L35/TrRoad_act!L21*1000)</f>
        <v>2701.9688894197852</v>
      </c>
      <c r="M99" s="87">
        <f>IF(TrRoad_act!M21=0,0,M35/TrRoad_act!M21*1000)</f>
        <v>2664.9235846134502</v>
      </c>
      <c r="N99" s="87">
        <f>IF(TrRoad_act!N21=0,0,N35/TrRoad_act!N21*1000)</f>
        <v>2614.315764460006</v>
      </c>
      <c r="O99" s="87">
        <f>IF(TrRoad_act!O21=0,0,O35/TrRoad_act!O21*1000)</f>
        <v>2451.7471097486009</v>
      </c>
      <c r="P99" s="87">
        <f>IF(TrRoad_act!P21=0,0,P35/TrRoad_act!P21*1000)</f>
        <v>2565.309277389993</v>
      </c>
      <c r="Q99" s="87">
        <f>IF(TrRoad_act!Q21=0,0,Q35/TrRoad_act!Q21*1000)</f>
        <v>2591.0818876198837</v>
      </c>
      <c r="R99" s="87">
        <f>IF(TrRoad_act!R21=0,0,R35/TrRoad_act!R21*1000)</f>
        <v>2388.9001766249035</v>
      </c>
      <c r="S99" s="87">
        <f>IF(TrRoad_act!S21=0,0,S35/TrRoad_act!S21*1000)</f>
        <v>2421.6448893914371</v>
      </c>
      <c r="T99" s="87">
        <f>IF(TrRoad_act!T21=0,0,T35/TrRoad_act!T21*1000)</f>
        <v>2341.5722108388159</v>
      </c>
      <c r="U99" s="87">
        <f>IF(TrRoad_act!U21=0,0,U35/TrRoad_act!U21*1000)</f>
        <v>2332.0701004304997</v>
      </c>
      <c r="V99" s="87">
        <f>IF(TrRoad_act!V21=0,0,V35/TrRoad_act!V21*1000)</f>
        <v>2151.4796916130131</v>
      </c>
      <c r="W99" s="87">
        <f>IF(TrRoad_act!W21=0,0,W35/TrRoad_act!W21*1000)</f>
        <v>2245.1613881783683</v>
      </c>
      <c r="X99" s="87">
        <f>IF(TrRoad_act!X21=0,0,X35/TrRoad_act!X21*1000)</f>
        <v>2154.3264433057998</v>
      </c>
      <c r="Y99" s="87">
        <f>IF(TrRoad_act!Y21=0,0,Y35/TrRoad_act!Y21*1000)</f>
        <v>2149.33578740748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3402.0446385096143</v>
      </c>
      <c r="C100" s="87">
        <f>IF(TrRoad_act!C22=0,0,C36/TrRoad_act!C22*1000)</f>
        <v>3336.7698806121443</v>
      </c>
      <c r="D100" s="87">
        <f>IF(TrRoad_act!D22=0,0,D36/TrRoad_act!D22*1000)</f>
        <v>3106.7666970422538</v>
      </c>
      <c r="E100" s="87">
        <f>IF(TrRoad_act!E22=0,0,E36/TrRoad_act!E22*1000)</f>
        <v>3076.7207063701758</v>
      </c>
      <c r="F100" s="87">
        <f>IF(TrRoad_act!F22=0,0,F36/TrRoad_act!F22*1000)</f>
        <v>3276.7241735069197</v>
      </c>
      <c r="G100" s="87">
        <f>IF(TrRoad_act!G22=0,0,G36/TrRoad_act!G22*1000)</f>
        <v>3002.3360608992334</v>
      </c>
      <c r="H100" s="87">
        <f>IF(TrRoad_act!H22=0,0,H36/TrRoad_act!H22*1000)</f>
        <v>2931.592966479604</v>
      </c>
      <c r="I100" s="87">
        <f>IF(TrRoad_act!I22=0,0,I36/TrRoad_act!I22*1000)</f>
        <v>3004.1663745696806</v>
      </c>
      <c r="J100" s="87">
        <f>IF(TrRoad_act!J22=0,0,J36/TrRoad_act!J22*1000)</f>
        <v>2772.3083734118713</v>
      </c>
      <c r="K100" s="87">
        <f>IF(TrRoad_act!K22=0,0,K36/TrRoad_act!K22*1000)</f>
        <v>2842.8474615192445</v>
      </c>
      <c r="L100" s="87">
        <f>IF(TrRoad_act!L22=0,0,L36/TrRoad_act!L22*1000)</f>
        <v>2845.2509102158333</v>
      </c>
      <c r="M100" s="87">
        <f>IF(TrRoad_act!M22=0,0,M36/TrRoad_act!M22*1000)</f>
        <v>2697.5414067970451</v>
      </c>
      <c r="N100" s="87">
        <f>IF(TrRoad_act!N22=0,0,N36/TrRoad_act!N22*1000)</f>
        <v>2314.4109439255176</v>
      </c>
      <c r="O100" s="87">
        <f>IF(TrRoad_act!O22=0,0,O36/TrRoad_act!O22*1000)</f>
        <v>2028.5294819517173</v>
      </c>
      <c r="P100" s="87">
        <f>IF(TrRoad_act!P22=0,0,P36/TrRoad_act!P22*1000)</f>
        <v>1983.2175828169563</v>
      </c>
      <c r="Q100" s="87">
        <f>IF(TrRoad_act!Q22=0,0,Q36/TrRoad_act!Q22*1000)</f>
        <v>2065.773168890315</v>
      </c>
      <c r="R100" s="87">
        <f>IF(TrRoad_act!R22=0,0,R36/TrRoad_act!R22*1000)</f>
        <v>2107.6019237273472</v>
      </c>
      <c r="S100" s="87">
        <f>IF(TrRoad_act!S22=0,0,S36/TrRoad_act!S22*1000)</f>
        <v>2117.690167281557</v>
      </c>
      <c r="T100" s="87">
        <f>IF(TrRoad_act!T22=0,0,T36/TrRoad_act!T22*1000)</f>
        <v>2041.98083901221</v>
      </c>
      <c r="U100" s="87">
        <f>IF(TrRoad_act!U22=0,0,U36/TrRoad_act!U22*1000)</f>
        <v>1997.3722526490719</v>
      </c>
      <c r="V100" s="87">
        <f>IF(TrRoad_act!V22=0,0,V36/TrRoad_act!V22*1000)</f>
        <v>1994.2824322290601</v>
      </c>
      <c r="W100" s="87">
        <f>IF(TrRoad_act!W22=0,0,W36/TrRoad_act!W22*1000)</f>
        <v>2101.5717646488192</v>
      </c>
      <c r="X100" s="87">
        <f>IF(TrRoad_act!X22=0,0,X36/TrRoad_act!X22*1000)</f>
        <v>1857.1771977056944</v>
      </c>
      <c r="Y100" s="87">
        <f>IF(TrRoad_act!Y22=0,0,Y36/TrRoad_act!Y22*1000)</f>
        <v>1938.5962304994955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114.87501465190752</v>
      </c>
      <c r="C104" s="116">
        <f>IF(TrRoad_act!C26=0,0,C40/TrRoad_act!C26*1000)</f>
        <v>114.82851275596437</v>
      </c>
      <c r="D104" s="116">
        <f>IF(TrRoad_act!D26=0,0,D40/TrRoad_act!D26*1000)</f>
        <v>108.30326831455086</v>
      </c>
      <c r="E104" s="116">
        <f>IF(TrRoad_act!E26=0,0,E40/TrRoad_act!E26*1000)</f>
        <v>110.61787499817824</v>
      </c>
      <c r="F104" s="116">
        <f>IF(TrRoad_act!F26=0,0,F40/TrRoad_act!F26*1000)</f>
        <v>121.11953142862693</v>
      </c>
      <c r="G104" s="116">
        <f>IF(TrRoad_act!G26=0,0,G40/TrRoad_act!G26*1000)</f>
        <v>115.82073268277605</v>
      </c>
      <c r="H104" s="116">
        <f>IF(TrRoad_act!H26=0,0,H40/TrRoad_act!H26*1000)</f>
        <v>113.29929285637114</v>
      </c>
      <c r="I104" s="116">
        <f>IF(TrRoad_act!I26=0,0,I40/TrRoad_act!I26*1000)</f>
        <v>117.79001029618634</v>
      </c>
      <c r="J104" s="116">
        <f>IF(TrRoad_act!J26=0,0,J40/TrRoad_act!J26*1000)</f>
        <v>111.62534155301975</v>
      </c>
      <c r="K104" s="116">
        <f>IF(TrRoad_act!K26=0,0,K40/TrRoad_act!K26*1000)</f>
        <v>120.95761371451682</v>
      </c>
      <c r="L104" s="116">
        <f>IF(TrRoad_act!L26=0,0,L40/TrRoad_act!L26*1000)</f>
        <v>122.11129318811381</v>
      </c>
      <c r="M104" s="116">
        <f>IF(TrRoad_act!M26=0,0,M40/TrRoad_act!M26*1000)</f>
        <v>117.82068297245667</v>
      </c>
      <c r="N104" s="116">
        <f>IF(TrRoad_act!N26=0,0,N40/TrRoad_act!N26*1000)</f>
        <v>101.74879109075728</v>
      </c>
      <c r="O104" s="116">
        <f>IF(TrRoad_act!O26=0,0,O40/TrRoad_act!O26*1000)</f>
        <v>95.373877383281624</v>
      </c>
      <c r="P104" s="116">
        <f>IF(TrRoad_act!P26=0,0,P40/TrRoad_act!P26*1000)</f>
        <v>97.548838230808087</v>
      </c>
      <c r="Q104" s="116">
        <f>IF(TrRoad_act!Q26=0,0,Q40/TrRoad_act!Q26*1000)</f>
        <v>96.355621947384236</v>
      </c>
      <c r="R104" s="116">
        <f>IF(TrRoad_act!R26=0,0,R40/TrRoad_act!R26*1000)</f>
        <v>105.69947161949196</v>
      </c>
      <c r="S104" s="116">
        <f>IF(TrRoad_act!S26=0,0,S40/TrRoad_act!S26*1000)</f>
        <v>106.24839847198793</v>
      </c>
      <c r="T104" s="116">
        <f>IF(TrRoad_act!T26=0,0,T40/TrRoad_act!T26*1000)</f>
        <v>103.0756744379659</v>
      </c>
      <c r="U104" s="116">
        <f>IF(TrRoad_act!U26=0,0,U40/TrRoad_act!U26*1000)</f>
        <v>111.88981360089744</v>
      </c>
      <c r="V104" s="116">
        <f>IF(TrRoad_act!V26=0,0,V40/TrRoad_act!V26*1000)</f>
        <v>100.15150184188271</v>
      </c>
      <c r="W104" s="116">
        <f>IF(TrRoad_act!W26=0,0,W40/TrRoad_act!W26*1000)</f>
        <v>101.7024098966761</v>
      </c>
      <c r="X104" s="116">
        <f>IF(TrRoad_act!X26=0,0,X40/TrRoad_act!X26*1000)</f>
        <v>99.813822129758663</v>
      </c>
      <c r="Y104" s="116">
        <f>IF(TrRoad_act!Y26=0,0,Y40/TrRoad_act!Y26*1000)</f>
        <v>95.660723921904705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114.87501465190752</v>
      </c>
      <c r="C105" s="101">
        <f>IF(TrRoad_act!C27=0,0,C41/TrRoad_act!C27*1000)</f>
        <v>114.82851275596437</v>
      </c>
      <c r="D105" s="101">
        <f>IF(TrRoad_act!D27=0,0,D41/TrRoad_act!D27*1000)</f>
        <v>108.30326831455086</v>
      </c>
      <c r="E105" s="101">
        <f>IF(TrRoad_act!E27=0,0,E41/TrRoad_act!E27*1000)</f>
        <v>110.61787499817824</v>
      </c>
      <c r="F105" s="101">
        <f>IF(TrRoad_act!F27=0,0,F41/TrRoad_act!F27*1000)</f>
        <v>121.11953142862693</v>
      </c>
      <c r="G105" s="101">
        <f>IF(TrRoad_act!G27=0,0,G41/TrRoad_act!G27*1000)</f>
        <v>115.82073268277605</v>
      </c>
      <c r="H105" s="101">
        <f>IF(TrRoad_act!H27=0,0,H41/TrRoad_act!H27*1000)</f>
        <v>113.29929285637114</v>
      </c>
      <c r="I105" s="101">
        <f>IF(TrRoad_act!I27=0,0,I41/TrRoad_act!I27*1000)</f>
        <v>117.79001029618634</v>
      </c>
      <c r="J105" s="101">
        <f>IF(TrRoad_act!J27=0,0,J41/TrRoad_act!J27*1000)</f>
        <v>111.62534155301975</v>
      </c>
      <c r="K105" s="101">
        <f>IF(TrRoad_act!K27=0,0,K41/TrRoad_act!K27*1000)</f>
        <v>120.95761371451682</v>
      </c>
      <c r="L105" s="101">
        <f>IF(TrRoad_act!L27=0,0,L41/TrRoad_act!L27*1000)</f>
        <v>122.11129318811381</v>
      </c>
      <c r="M105" s="101">
        <f>IF(TrRoad_act!M27=0,0,M41/TrRoad_act!M27*1000)</f>
        <v>117.82068297245667</v>
      </c>
      <c r="N105" s="101">
        <f>IF(TrRoad_act!N27=0,0,N41/TrRoad_act!N27*1000)</f>
        <v>101.74879109075728</v>
      </c>
      <c r="O105" s="101">
        <f>IF(TrRoad_act!O27=0,0,O41/TrRoad_act!O27*1000)</f>
        <v>95.373877383281624</v>
      </c>
      <c r="P105" s="101">
        <f>IF(TrRoad_act!P27=0,0,P41/TrRoad_act!P27*1000)</f>
        <v>97.548838230808087</v>
      </c>
      <c r="Q105" s="101">
        <f>IF(TrRoad_act!Q27=0,0,Q41/TrRoad_act!Q27*1000)</f>
        <v>96.355621947384236</v>
      </c>
      <c r="R105" s="101">
        <f>IF(TrRoad_act!R27=0,0,R41/TrRoad_act!R27*1000)</f>
        <v>105.69947161949196</v>
      </c>
      <c r="S105" s="101">
        <f>IF(TrRoad_act!S27=0,0,S41/TrRoad_act!S27*1000)</f>
        <v>106.24839847198793</v>
      </c>
      <c r="T105" s="101">
        <f>IF(TrRoad_act!T27=0,0,T41/TrRoad_act!T27*1000)</f>
        <v>103.0756744379659</v>
      </c>
      <c r="U105" s="101">
        <f>IF(TrRoad_act!U27=0,0,U41/TrRoad_act!U27*1000)</f>
        <v>111.88981360089744</v>
      </c>
      <c r="V105" s="101">
        <f>IF(TrRoad_act!V27=0,0,V41/TrRoad_act!V27*1000)</f>
        <v>100.15150184188271</v>
      </c>
      <c r="W105" s="101">
        <f>IF(TrRoad_act!W27=0,0,W41/TrRoad_act!W27*1000)</f>
        <v>101.7024098966761</v>
      </c>
      <c r="X105" s="101">
        <f>IF(TrRoad_act!X27=0,0,X41/TrRoad_act!X27*1000)</f>
        <v>99.813822129758663</v>
      </c>
      <c r="Y105" s="101">
        <f>IF(TrRoad_act!Y27=0,0,Y41/TrRoad_act!Y27*1000)</f>
        <v>95.660723921904705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0</v>
      </c>
      <c r="C106" s="88">
        <f>IF(TrRoad_act!C28=0,0,C42/TrRoad_act!C28*1000)</f>
        <v>0</v>
      </c>
      <c r="D106" s="88">
        <f>IF(TrRoad_act!D28=0,0,D42/TrRoad_act!D28*1000)</f>
        <v>0</v>
      </c>
      <c r="E106" s="88">
        <f>IF(TrRoad_act!E28=0,0,E42/TrRoad_act!E28*1000)</f>
        <v>0</v>
      </c>
      <c r="F106" s="88">
        <f>IF(TrRoad_act!F28=0,0,F42/TrRoad_act!F28*1000)</f>
        <v>0</v>
      </c>
      <c r="G106" s="88">
        <f>IF(TrRoad_act!G28=0,0,G42/TrRoad_act!G28*1000)</f>
        <v>0</v>
      </c>
      <c r="H106" s="88">
        <f>IF(TrRoad_act!H28=0,0,H42/TrRoad_act!H28*1000)</f>
        <v>0</v>
      </c>
      <c r="I106" s="88">
        <f>IF(TrRoad_act!I28=0,0,I42/TrRoad_act!I28*1000)</f>
        <v>0</v>
      </c>
      <c r="J106" s="88">
        <f>IF(TrRoad_act!J28=0,0,J42/TrRoad_act!J28*1000)</f>
        <v>0</v>
      </c>
      <c r="K106" s="88">
        <f>IF(TrRoad_act!K28=0,0,K42/TrRoad_act!K28*1000)</f>
        <v>0</v>
      </c>
      <c r="L106" s="88">
        <f>IF(TrRoad_act!L28=0,0,L42/TrRoad_act!L28*1000)</f>
        <v>0</v>
      </c>
      <c r="M106" s="88">
        <f>IF(TrRoad_act!M28=0,0,M42/TrRoad_act!M28*1000)</f>
        <v>0</v>
      </c>
      <c r="N106" s="88">
        <f>IF(TrRoad_act!N28=0,0,N42/TrRoad_act!N28*1000)</f>
        <v>0</v>
      </c>
      <c r="O106" s="88">
        <f>IF(TrRoad_act!O28=0,0,O42/TrRoad_act!O28*1000)</f>
        <v>0</v>
      </c>
      <c r="P106" s="88">
        <f>IF(TrRoad_act!P28=0,0,P42/TrRoad_act!P28*1000)</f>
        <v>0</v>
      </c>
      <c r="Q106" s="88">
        <f>IF(TrRoad_act!Q28=0,0,Q42/TrRoad_act!Q28*1000)</f>
        <v>0</v>
      </c>
      <c r="R106" s="88">
        <f>IF(TrRoad_act!R28=0,0,R42/TrRoad_act!R28*1000)</f>
        <v>0</v>
      </c>
      <c r="S106" s="88">
        <f>IF(TrRoad_act!S28=0,0,S42/TrRoad_act!S28*1000)</f>
        <v>0</v>
      </c>
      <c r="T106" s="88">
        <f>IF(TrRoad_act!T28=0,0,T42/TrRoad_act!T28*1000)</f>
        <v>0</v>
      </c>
      <c r="U106" s="88">
        <f>IF(TrRoad_act!U28=0,0,U42/TrRoad_act!U28*1000)</f>
        <v>0</v>
      </c>
      <c r="V106" s="88">
        <f>IF(TrRoad_act!V28=0,0,V42/TrRoad_act!V28*1000)</f>
        <v>0</v>
      </c>
      <c r="W106" s="88">
        <f>IF(TrRoad_act!W28=0,0,W42/TrRoad_act!W28*1000)</f>
        <v>0</v>
      </c>
      <c r="X106" s="88">
        <f>IF(TrRoad_act!X28=0,0,X42/TrRoad_act!X28*1000)</f>
        <v>0</v>
      </c>
      <c r="Y106" s="88">
        <f>IF(TrRoad_act!Y28=0,0,Y42/TrRoad_act!Y28*1000)</f>
        <v>0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390.9705954915861</v>
      </c>
      <c r="C110" s="152">
        <f>IF(C19=0,0,1000000*C19/TrRoad_act!C59)</f>
        <v>393.88963947433064</v>
      </c>
      <c r="D110" s="152">
        <f>IF(D19=0,0,1000000*D19/TrRoad_act!D59)</f>
        <v>399.40694862691714</v>
      </c>
      <c r="E110" s="152">
        <f>IF(E19=0,0,1000000*E19/TrRoad_act!E59)</f>
        <v>391.60417700265407</v>
      </c>
      <c r="F110" s="152">
        <f>IF(F19=0,0,1000000*F19/TrRoad_act!F59)</f>
        <v>389.72865714885046</v>
      </c>
      <c r="G110" s="152">
        <f>IF(G19=0,0,1000000*G19/TrRoad_act!G59)</f>
        <v>391.6021847394702</v>
      </c>
      <c r="H110" s="152">
        <f>IF(H19=0,0,1000000*H19/TrRoad_act!H59)</f>
        <v>388.50552583960888</v>
      </c>
      <c r="I110" s="152">
        <f>IF(I19=0,0,1000000*I19/TrRoad_act!I59)</f>
        <v>381.03827504477641</v>
      </c>
      <c r="J110" s="152">
        <f>IF(J19=0,0,1000000*J19/TrRoad_act!J59)</f>
        <v>368.32945744237077</v>
      </c>
      <c r="K110" s="152">
        <f>IF(K19=0,0,1000000*K19/TrRoad_act!K59)</f>
        <v>366.48939491704971</v>
      </c>
      <c r="L110" s="152">
        <f>IF(L19=0,0,1000000*L19/TrRoad_act!L59)</f>
        <v>375.54225805154022</v>
      </c>
      <c r="M110" s="152">
        <f>IF(M19=0,0,1000000*M19/TrRoad_act!M59)</f>
        <v>373.33458678640289</v>
      </c>
      <c r="N110" s="152">
        <f>IF(N19=0,0,1000000*N19/TrRoad_act!N59)</f>
        <v>366.02519995286053</v>
      </c>
      <c r="O110" s="152">
        <f>IF(O19=0,0,1000000*O19/TrRoad_act!O59)</f>
        <v>366.93385259804211</v>
      </c>
      <c r="P110" s="152">
        <f>IF(P19=0,0,1000000*P19/TrRoad_act!P59)</f>
        <v>360.27865989009263</v>
      </c>
      <c r="Q110" s="152">
        <f>IF(Q19=0,0,1000000*Q19/TrRoad_act!Q59)</f>
        <v>361.74203365112078</v>
      </c>
      <c r="R110" s="152">
        <f>IF(R19=0,0,1000000*R19/TrRoad_act!R59)</f>
        <v>358.74167593050714</v>
      </c>
      <c r="S110" s="152">
        <f>IF(S19=0,0,1000000*S19/TrRoad_act!S59)</f>
        <v>332.7888151289207</v>
      </c>
      <c r="T110" s="152">
        <f>IF(T19=0,0,1000000*T19/TrRoad_act!T59)</f>
        <v>309.55125692192553</v>
      </c>
      <c r="U110" s="152">
        <f>IF(U19=0,0,1000000*U19/TrRoad_act!U59)</f>
        <v>324.17822890678275</v>
      </c>
      <c r="V110" s="152">
        <f>IF(V19=0,0,1000000*V19/TrRoad_act!V59)</f>
        <v>281.70844112315228</v>
      </c>
      <c r="W110" s="152">
        <f>IF(W19=0,0,1000000*W19/TrRoad_act!W59)</f>
        <v>283.92784325692429</v>
      </c>
      <c r="X110" s="152">
        <f>IF(X19=0,0,1000000*X19/TrRoad_act!X59)</f>
        <v>279.90834435670951</v>
      </c>
      <c r="Y110" s="152">
        <f>IF(Y19=0,0,1000000*Y19/TrRoad_act!Y59)</f>
        <v>290.72519652313002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2816.7065383885929</v>
      </c>
      <c r="C111" s="116">
        <f>IF(C20=0,0,1000000*C20/TrRoad_act!C60)</f>
        <v>2854.4304863550306</v>
      </c>
      <c r="D111" s="116">
        <f>IF(D20=0,0,1000000*D20/TrRoad_act!D60)</f>
        <v>2839.6699343777677</v>
      </c>
      <c r="E111" s="116">
        <f>IF(E20=0,0,1000000*E20/TrRoad_act!E60)</f>
        <v>2930.2236683521219</v>
      </c>
      <c r="F111" s="116">
        <f>IF(F20=0,0,1000000*F20/TrRoad_act!F60)</f>
        <v>2956.2382083760936</v>
      </c>
      <c r="G111" s="116">
        <f>IF(G20=0,0,1000000*G20/TrRoad_act!G60)</f>
        <v>2942.0756066873573</v>
      </c>
      <c r="H111" s="116">
        <f>IF(H20=0,0,1000000*H20/TrRoad_act!H60)</f>
        <v>2955.3837655013699</v>
      </c>
      <c r="I111" s="116">
        <f>IF(I20=0,0,1000000*I20/TrRoad_act!I60)</f>
        <v>2930.0299545682365</v>
      </c>
      <c r="J111" s="116">
        <f>IF(J20=0,0,1000000*J20/TrRoad_act!J60)</f>
        <v>2855.824330688692</v>
      </c>
      <c r="K111" s="116">
        <f>IF(K20=0,0,1000000*K20/TrRoad_act!K60)</f>
        <v>2853.4142161223549</v>
      </c>
      <c r="L111" s="116">
        <f>IF(L20=0,0,1000000*L20/TrRoad_act!L60)</f>
        <v>2901.7693133456214</v>
      </c>
      <c r="M111" s="116">
        <f>IF(M20=0,0,1000000*M20/TrRoad_act!M60)</f>
        <v>2812.1080312365093</v>
      </c>
      <c r="N111" s="116">
        <f>IF(N20=0,0,1000000*N20/TrRoad_act!N60)</f>
        <v>2633.6196722834788</v>
      </c>
      <c r="O111" s="116">
        <f>IF(O20=0,0,1000000*O20/TrRoad_act!O60)</f>
        <v>2460.2768232822937</v>
      </c>
      <c r="P111" s="116">
        <f>IF(P20=0,0,1000000*P20/TrRoad_act!P60)</f>
        <v>2401.8422904741501</v>
      </c>
      <c r="Q111" s="116">
        <f>IF(Q20=0,0,1000000*Q20/TrRoad_act!Q60)</f>
        <v>2419.4898757939372</v>
      </c>
      <c r="R111" s="116">
        <f>IF(R20=0,0,1000000*R20/TrRoad_act!R60)</f>
        <v>2430.0696905099844</v>
      </c>
      <c r="S111" s="116">
        <f>IF(S20=0,0,1000000*S20/TrRoad_act!S60)</f>
        <v>2385.5606138454891</v>
      </c>
      <c r="T111" s="116">
        <f>IF(T20=0,0,1000000*T20/TrRoad_act!T60)</f>
        <v>2282.7409577752114</v>
      </c>
      <c r="U111" s="116">
        <f>IF(U20=0,0,1000000*U20/TrRoad_act!U60)</f>
        <v>2229.4413603565636</v>
      </c>
      <c r="V111" s="116">
        <f>IF(V20=0,0,1000000*V20/TrRoad_act!V60)</f>
        <v>1931.0151649151219</v>
      </c>
      <c r="W111" s="116">
        <f>IF(W20=0,0,1000000*W20/TrRoad_act!W60)</f>
        <v>2030.4192747240684</v>
      </c>
      <c r="X111" s="116">
        <f>IF(X20=0,0,1000000*X20/TrRoad_act!X60)</f>
        <v>1988.8008331780979</v>
      </c>
      <c r="Y111" s="116">
        <f>IF(Y20=0,0,1000000*Y20/TrRoad_act!Y60)</f>
        <v>2011.2902002638109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2496.5597864719216</v>
      </c>
      <c r="C112" s="87">
        <f>IF(C21=0,0,1000000*C21/TrRoad_act!C61)</f>
        <v>2550.5881976249429</v>
      </c>
      <c r="D112" s="87">
        <f>IF(D21=0,0,1000000*D21/TrRoad_act!D61)</f>
        <v>2589.507622696899</v>
      </c>
      <c r="E112" s="87">
        <f>IF(E21=0,0,1000000*E21/TrRoad_act!E61)</f>
        <v>2711.2397248059101</v>
      </c>
      <c r="F112" s="87">
        <f>IF(F21=0,0,1000000*F21/TrRoad_act!F61)</f>
        <v>2734.1382554157672</v>
      </c>
      <c r="G112" s="87">
        <f>IF(G21=0,0,1000000*G21/TrRoad_act!G61)</f>
        <v>2777.6722030950177</v>
      </c>
      <c r="H112" s="87">
        <f>IF(H21=0,0,1000000*H21/TrRoad_act!H61)</f>
        <v>2810.5386090066263</v>
      </c>
      <c r="I112" s="87">
        <f>IF(I21=0,0,1000000*I21/TrRoad_act!I61)</f>
        <v>2791.3576564346081</v>
      </c>
      <c r="J112" s="87">
        <f>IF(J21=0,0,1000000*J21/TrRoad_act!J61)</f>
        <v>2753.7095693305396</v>
      </c>
      <c r="K112" s="87">
        <f>IF(K21=0,0,1000000*K21/TrRoad_act!K61)</f>
        <v>2743.1179753626425</v>
      </c>
      <c r="L112" s="87">
        <f>IF(L21=0,0,1000000*L21/TrRoad_act!L61)</f>
        <v>2797.9122402814187</v>
      </c>
      <c r="M112" s="87">
        <f>IF(M21=0,0,1000000*M21/TrRoad_act!M61)</f>
        <v>2729.7166185191686</v>
      </c>
      <c r="N112" s="87">
        <f>IF(N21=0,0,1000000*N21/TrRoad_act!N61)</f>
        <v>2606.1220229534601</v>
      </c>
      <c r="O112" s="87">
        <f>IF(O21=0,0,1000000*O21/TrRoad_act!O61)</f>
        <v>2457.0839064635461</v>
      </c>
      <c r="P112" s="87">
        <f>IF(P21=0,0,1000000*P21/TrRoad_act!P61)</f>
        <v>2406.1126167510224</v>
      </c>
      <c r="Q112" s="87">
        <f>IF(Q21=0,0,1000000*Q21/TrRoad_act!Q61)</f>
        <v>2416.9190435130395</v>
      </c>
      <c r="R112" s="87">
        <f>IF(R21=0,0,1000000*R21/TrRoad_act!R61)</f>
        <v>2422.3949546648851</v>
      </c>
      <c r="S112" s="87">
        <f>IF(S21=0,0,1000000*S21/TrRoad_act!S61)</f>
        <v>2375.747199579198</v>
      </c>
      <c r="T112" s="87">
        <f>IF(T21=0,0,1000000*T21/TrRoad_act!T61)</f>
        <v>2271.7313264125532</v>
      </c>
      <c r="U112" s="87">
        <f>IF(U21=0,0,1000000*U21/TrRoad_act!U61)</f>
        <v>2203.5645824493913</v>
      </c>
      <c r="V112" s="87">
        <f>IF(V21=0,0,1000000*V21/TrRoad_act!V61)</f>
        <v>1874.0402684726332</v>
      </c>
      <c r="W112" s="87">
        <f>IF(W21=0,0,1000000*W21/TrRoad_act!W61)</f>
        <v>1978.9335714765402</v>
      </c>
      <c r="X112" s="87">
        <f>IF(X21=0,0,1000000*X21/TrRoad_act!X61)</f>
        <v>1971.7333926246388</v>
      </c>
      <c r="Y112" s="87">
        <f>IF(Y21=0,0,1000000*Y21/TrRoad_act!Y61)</f>
        <v>1978.0170188238142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5345.8658785302969</v>
      </c>
      <c r="C113" s="87">
        <f>IF(C22=0,0,1000000*C22/TrRoad_act!C62)</f>
        <v>5136.7242244399249</v>
      </c>
      <c r="D113" s="87">
        <f>IF(D22=0,0,1000000*D22/TrRoad_act!D62)</f>
        <v>4757.3297555122608</v>
      </c>
      <c r="E113" s="87">
        <f>IF(E22=0,0,1000000*E22/TrRoad_act!E62)</f>
        <v>4681.2290755069334</v>
      </c>
      <c r="F113" s="87">
        <f>IF(F22=0,0,1000000*F22/TrRoad_act!F62)</f>
        <v>4939.5907883118089</v>
      </c>
      <c r="G113" s="87">
        <f>IF(G22=0,0,1000000*G22/TrRoad_act!G62)</f>
        <v>4543.123454383518</v>
      </c>
      <c r="H113" s="87">
        <f>IF(H22=0,0,1000000*H22/TrRoad_act!H62)</f>
        <v>4477.4915463926736</v>
      </c>
      <c r="I113" s="87">
        <f>IF(I22=0,0,1000000*I22/TrRoad_act!I62)</f>
        <v>4392.117214451433</v>
      </c>
      <c r="J113" s="87">
        <f>IF(J22=0,0,1000000*J22/TrRoad_act!J62)</f>
        <v>3878.9737467625591</v>
      </c>
      <c r="K113" s="87">
        <f>IF(K22=0,0,1000000*K22/TrRoad_act!K62)</f>
        <v>3900.134309557282</v>
      </c>
      <c r="L113" s="87">
        <f>IF(L22=0,0,1000000*L22/TrRoad_act!L62)</f>
        <v>3837.9036382143991</v>
      </c>
      <c r="M113" s="87">
        <f>IF(M22=0,0,1000000*M22/TrRoad_act!M62)</f>
        <v>3535.1109454862772</v>
      </c>
      <c r="N113" s="87">
        <f>IF(N22=0,0,1000000*N22/TrRoad_act!N62)</f>
        <v>2871.5965060948915</v>
      </c>
      <c r="O113" s="87">
        <f>IF(O22=0,0,1000000*O22/TrRoad_act!O62)</f>
        <v>2487.3931018676653</v>
      </c>
      <c r="P113" s="87">
        <f>IF(P22=0,0,1000000*P22/TrRoad_act!P62)</f>
        <v>2369.6280450214263</v>
      </c>
      <c r="Q113" s="87">
        <f>IF(Q22=0,0,1000000*Q22/TrRoad_act!Q62)</f>
        <v>2439.381155708852</v>
      </c>
      <c r="R113" s="87">
        <f>IF(R22=0,0,1000000*R22/TrRoad_act!R62)</f>
        <v>2480.377479944586</v>
      </c>
      <c r="S113" s="87">
        <f>IF(S22=0,0,1000000*S22/TrRoad_act!S62)</f>
        <v>2441.9941046041199</v>
      </c>
      <c r="T113" s="87">
        <f>IF(T22=0,0,1000000*T22/TrRoad_act!T62)</f>
        <v>2346.2497726380934</v>
      </c>
      <c r="U113" s="87">
        <f>IF(U22=0,0,1000000*U22/TrRoad_act!U62)</f>
        <v>2344.9246475477726</v>
      </c>
      <c r="V113" s="87">
        <f>IF(V22=0,0,1000000*V22/TrRoad_act!V62)</f>
        <v>2151.5336036791441</v>
      </c>
      <c r="W113" s="87">
        <f>IF(W22=0,0,1000000*W22/TrRoad_act!W62)</f>
        <v>2227.1295077782515</v>
      </c>
      <c r="X113" s="87">
        <f>IF(X22=0,0,1000000*X22/TrRoad_act!X62)</f>
        <v>2068.2864332643048</v>
      </c>
      <c r="Y113" s="87">
        <f>IF(Y22=0,0,1000000*Y22/TrRoad_act!Y62)</f>
        <v>2170.8777751928196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0</v>
      </c>
      <c r="E114" s="87">
        <f>IF(E23=0,0,1000000*E23/TrRoad_act!E63)</f>
        <v>0</v>
      </c>
      <c r="F114" s="87">
        <f>IF(F23=0,0,1000000*F23/TrRoad_act!F63)</f>
        <v>0</v>
      </c>
      <c r="G114" s="87">
        <f>IF(G23=0,0,1000000*G23/TrRoad_act!G63)</f>
        <v>0</v>
      </c>
      <c r="H114" s="87">
        <f>IF(H23=0,0,1000000*H23/TrRoad_act!H63)</f>
        <v>0</v>
      </c>
      <c r="I114" s="87">
        <f>IF(I23=0,0,1000000*I23/TrRoad_act!I63)</f>
        <v>0</v>
      </c>
      <c r="J114" s="87">
        <f>IF(J23=0,0,1000000*J23/TrRoad_act!J63)</f>
        <v>0</v>
      </c>
      <c r="K114" s="87">
        <f>IF(K23=0,0,1000000*K23/TrRoad_act!K63)</f>
        <v>0</v>
      </c>
      <c r="L114" s="87">
        <f>IF(L23=0,0,1000000*L23/TrRoad_act!L63)</f>
        <v>0</v>
      </c>
      <c r="M114" s="87">
        <f>IF(M23=0,0,1000000*M23/TrRoad_act!M63)</f>
        <v>0</v>
      </c>
      <c r="N114" s="87">
        <f>IF(N23=0,0,1000000*N23/TrRoad_act!N63)</f>
        <v>0</v>
      </c>
      <c r="O114" s="87">
        <f>IF(O23=0,0,1000000*O23/TrRoad_act!O63)</f>
        <v>0</v>
      </c>
      <c r="P114" s="87">
        <f>IF(P23=0,0,1000000*P23/TrRoad_act!P63)</f>
        <v>0</v>
      </c>
      <c r="Q114" s="87">
        <f>IF(Q23=0,0,1000000*Q23/TrRoad_act!Q63)</f>
        <v>0</v>
      </c>
      <c r="R114" s="87">
        <f>IF(R23=0,0,1000000*R23/TrRoad_act!R63)</f>
        <v>0</v>
      </c>
      <c r="S114" s="87">
        <f>IF(S23=0,0,1000000*S23/TrRoad_act!S63)</f>
        <v>0</v>
      </c>
      <c r="T114" s="87">
        <f>IF(T23=0,0,1000000*T23/TrRoad_act!T63)</f>
        <v>1385.4368842105264</v>
      </c>
      <c r="U114" s="87">
        <f>IF(U23=0,0,1000000*U23/TrRoad_act!U63)</f>
        <v>1545.7239087947885</v>
      </c>
      <c r="V114" s="87">
        <f>IF(V23=0,0,1000000*V23/TrRoad_act!V63)</f>
        <v>1330.4723128491619</v>
      </c>
      <c r="W114" s="87">
        <f>IF(W23=0,0,1000000*W23/TrRoad_act!W63)</f>
        <v>1541.2050507328076</v>
      </c>
      <c r="X114" s="87">
        <f>IF(X23=0,0,1000000*X23/TrRoad_act!X63)</f>
        <v>1709.0220342857147</v>
      </c>
      <c r="Y114" s="87">
        <f>IF(Y23=0,0,1000000*Y23/TrRoad_act!Y63)</f>
        <v>1476.6725320886815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X115" s="87">
        <f>IF(X24=0,0,1000000*X24/TrRoad_act!X64)</f>
        <v>0</v>
      </c>
      <c r="Y115" s="87">
        <f>IF(Y24=0,0,1000000*Y24/TrRoad_act!Y64)</f>
        <v>0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0</v>
      </c>
      <c r="P116" s="87">
        <f>IF(P25=0,0,1000000*P25/TrRoad_act!P65)</f>
        <v>629.5686841068723</v>
      </c>
      <c r="Q116" s="87">
        <f>IF(Q25=0,0,1000000*Q25/TrRoad_act!Q65)</f>
        <v>638.08203329753337</v>
      </c>
      <c r="R116" s="87">
        <f>IF(R25=0,0,1000000*R25/TrRoad_act!R65)</f>
        <v>846.9951379171132</v>
      </c>
      <c r="S116" s="87">
        <f>IF(S25=0,0,1000000*S25/TrRoad_act!S65)</f>
        <v>834.67590608938542</v>
      </c>
      <c r="T116" s="87">
        <f>IF(T25=0,0,1000000*T25/TrRoad_act!T65)</f>
        <v>782.38963480249197</v>
      </c>
      <c r="U116" s="87">
        <f>IF(U25=0,0,1000000*U25/TrRoad_act!U65)</f>
        <v>747.95464228442427</v>
      </c>
      <c r="V116" s="87">
        <f>IF(V25=0,0,1000000*V25/TrRoad_act!V65)</f>
        <v>719.41847825231991</v>
      </c>
      <c r="W116" s="87">
        <f>IF(W25=0,0,1000000*W25/TrRoad_act!W65)</f>
        <v>687.10586503316983</v>
      </c>
      <c r="X116" s="87">
        <f>IF(X25=0,0,1000000*X25/TrRoad_act!X65)</f>
        <v>601.94830947285027</v>
      </c>
      <c r="Y116" s="87">
        <f>IF(Y25=0,0,1000000*Y25/TrRoad_act!Y65)</f>
        <v>486.11789580821801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95233.158859835792</v>
      </c>
      <c r="C118" s="116">
        <f>IF(C27=0,0,1000000*C27/TrRoad_act!C67)</f>
        <v>95361.039177001236</v>
      </c>
      <c r="D118" s="116">
        <f>IF(D27=0,0,1000000*D27/TrRoad_act!D67)</f>
        <v>93103.12069571123</v>
      </c>
      <c r="E118" s="116">
        <f>IF(E27=0,0,1000000*E27/TrRoad_act!E67)</f>
        <v>91403.749519865421</v>
      </c>
      <c r="F118" s="116">
        <f>IF(F27=0,0,1000000*F27/TrRoad_act!F67)</f>
        <v>98551.661036887876</v>
      </c>
      <c r="G118" s="116">
        <f>IF(G27=0,0,1000000*G27/TrRoad_act!G67)</f>
        <v>91700.281102536901</v>
      </c>
      <c r="H118" s="116">
        <f>IF(H27=0,0,1000000*H27/TrRoad_act!H67)</f>
        <v>92914.739092991193</v>
      </c>
      <c r="I118" s="116">
        <f>IF(I27=0,0,1000000*I27/TrRoad_act!I67)</f>
        <v>95596.310344922254</v>
      </c>
      <c r="J118" s="116">
        <f>IF(J27=0,0,1000000*J27/TrRoad_act!J67)</f>
        <v>87769.522603015241</v>
      </c>
      <c r="K118" s="116">
        <f>IF(K27=0,0,1000000*K27/TrRoad_act!K67)</f>
        <v>87596.013442720665</v>
      </c>
      <c r="L118" s="116">
        <f>IF(L27=0,0,1000000*L27/TrRoad_act!L67)</f>
        <v>89290.461870222964</v>
      </c>
      <c r="M118" s="116">
        <f>IF(M27=0,0,1000000*M27/TrRoad_act!M67)</f>
        <v>86494.705906264862</v>
      </c>
      <c r="N118" s="116">
        <f>IF(N27=0,0,1000000*N27/TrRoad_act!N67)</f>
        <v>76128.018673565835</v>
      </c>
      <c r="O118" s="116">
        <f>IF(O27=0,0,1000000*O27/TrRoad_act!O67)</f>
        <v>69113.619612653943</v>
      </c>
      <c r="P118" s="116">
        <f>IF(P27=0,0,1000000*P27/TrRoad_act!P67)</f>
        <v>71225.64385091202</v>
      </c>
      <c r="Q118" s="116">
        <f>IF(Q27=0,0,1000000*Q27/TrRoad_act!Q67)</f>
        <v>76785.672433782616</v>
      </c>
      <c r="R118" s="116">
        <f>IF(R27=0,0,1000000*R27/TrRoad_act!R67)</f>
        <v>80477.914107696677</v>
      </c>
      <c r="S118" s="116">
        <f>IF(S27=0,0,1000000*S27/TrRoad_act!S67)</f>
        <v>85676.138080247809</v>
      </c>
      <c r="T118" s="116">
        <f>IF(T27=0,0,1000000*T27/TrRoad_act!T67)</f>
        <v>88452.505879325239</v>
      </c>
      <c r="U118" s="116">
        <f>IF(U27=0,0,1000000*U27/TrRoad_act!U67)</f>
        <v>90878.262723565465</v>
      </c>
      <c r="V118" s="116">
        <f>IF(V27=0,0,1000000*V27/TrRoad_act!V67)</f>
        <v>89562.397492647709</v>
      </c>
      <c r="W118" s="116">
        <f>IF(W27=0,0,1000000*W27/TrRoad_act!W67)</f>
        <v>95117.665220363517</v>
      </c>
      <c r="X118" s="116">
        <f>IF(X27=0,0,1000000*X27/TrRoad_act!X67)</f>
        <v>91535.624928493067</v>
      </c>
      <c r="Y118" s="116">
        <f>IF(Y27=0,0,1000000*Y27/TrRoad_act!Y67)</f>
        <v>91420.683368477985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16173.678034980017</v>
      </c>
      <c r="C119" s="101">
        <f>IF(C28=0,0,1000000*C28/TrRoad_act!C68)</f>
        <v>16744.623160560001</v>
      </c>
      <c r="D119" s="101">
        <f>IF(D28=0,0,1000000*D28/TrRoad_act!D68)</f>
        <v>17156.064559406779</v>
      </c>
      <c r="E119" s="101">
        <f>IF(E28=0,0,1000000*E28/TrRoad_act!E68)</f>
        <v>17966.802443764431</v>
      </c>
      <c r="F119" s="101">
        <f>IF(F28=0,0,1000000*F28/TrRoad_act!F68)</f>
        <v>18285.957563353844</v>
      </c>
      <c r="G119" s="101">
        <f>IF(G28=0,0,1000000*G28/TrRoad_act!G68)</f>
        <v>18707.373064811654</v>
      </c>
      <c r="H119" s="101">
        <f>IF(H28=0,0,1000000*H28/TrRoad_act!H68)</f>
        <v>18996.007105846151</v>
      </c>
      <c r="I119" s="101">
        <f>IF(I28=0,0,1000000*I28/TrRoad_act!I68)</f>
        <v>19040.505553646901</v>
      </c>
      <c r="J119" s="101">
        <f>IF(J28=0,0,1000000*J28/TrRoad_act!J68)</f>
        <v>18932.872570679505</v>
      </c>
      <c r="K119" s="101">
        <f>IF(K28=0,0,1000000*K28/TrRoad_act!K68)</f>
        <v>18984.47313380121</v>
      </c>
      <c r="L119" s="101">
        <f>IF(L28=0,0,1000000*L28/TrRoad_act!L68)</f>
        <v>18994.909707651605</v>
      </c>
      <c r="M119" s="101">
        <f>IF(M28=0,0,1000000*M28/TrRoad_act!M68)</f>
        <v>18672.437061845496</v>
      </c>
      <c r="N119" s="101">
        <f>IF(N28=0,0,1000000*N28/TrRoad_act!N68)</f>
        <v>18321.580813456636</v>
      </c>
      <c r="O119" s="101">
        <f>IF(O28=0,0,1000000*O28/TrRoad_act!O68)</f>
        <v>17533.252551304362</v>
      </c>
      <c r="P119" s="101">
        <f>IF(P28=0,0,1000000*P28/TrRoad_act!P68)</f>
        <v>16954.508781267596</v>
      </c>
      <c r="Q119" s="101">
        <f>IF(Q28=0,0,1000000*Q28/TrRoad_act!Q68)</f>
        <v>17063.156406848637</v>
      </c>
      <c r="R119" s="101">
        <f>IF(R28=0,0,1000000*R28/TrRoad_act!R68)</f>
        <v>16063.274589890078</v>
      </c>
      <c r="S119" s="101">
        <f>IF(S28=0,0,1000000*S28/TrRoad_act!S68)</f>
        <v>16800.693557862811</v>
      </c>
      <c r="T119" s="101">
        <f>IF(T28=0,0,1000000*T28/TrRoad_act!T68)</f>
        <v>17256.249519598165</v>
      </c>
      <c r="U119" s="101">
        <f>IF(U28=0,0,1000000*U28/TrRoad_act!U68)</f>
        <v>16813.336010794745</v>
      </c>
      <c r="V119" s="101">
        <f>IF(V28=0,0,1000000*V28/TrRoad_act!V68)</f>
        <v>15567.909771065391</v>
      </c>
      <c r="W119" s="101">
        <f>IF(W28=0,0,1000000*W28/TrRoad_act!W68)</f>
        <v>16291.26480992944</v>
      </c>
      <c r="X119" s="101">
        <f>IF(X28=0,0,1000000*X28/TrRoad_act!X68)</f>
        <v>16977.158141083888</v>
      </c>
      <c r="Y119" s="101">
        <f>IF(Y28=0,0,1000000*Y28/TrRoad_act!Y68)</f>
        <v>16386.356545589035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99559.375085230247</v>
      </c>
      <c r="C120" s="101">
        <f>IF(C29=0,0,1000000*C29/TrRoad_act!C69)</f>
        <v>99523.409029204136</v>
      </c>
      <c r="D120" s="101">
        <f>IF(D29=0,0,1000000*D29/TrRoad_act!D69)</f>
        <v>96992.377165686848</v>
      </c>
      <c r="E120" s="101">
        <f>IF(E29=0,0,1000000*E29/TrRoad_act!E69)</f>
        <v>94854.910395884217</v>
      </c>
      <c r="F120" s="101">
        <f>IF(F29=0,0,1000000*F29/TrRoad_act!F69)</f>
        <v>102362.57361176096</v>
      </c>
      <c r="G120" s="101">
        <f>IF(G29=0,0,1000000*G29/TrRoad_act!G69)</f>
        <v>95120.710245860173</v>
      </c>
      <c r="H120" s="101">
        <f>IF(H29=0,0,1000000*H29/TrRoad_act!H69)</f>
        <v>96449.564597906705</v>
      </c>
      <c r="I120" s="101">
        <f>IF(I29=0,0,1000000*I29/TrRoad_act!I69)</f>
        <v>99149.122646106684</v>
      </c>
      <c r="J120" s="101">
        <f>IF(J29=0,0,1000000*J29/TrRoad_act!J69)</f>
        <v>90906.20271283589</v>
      </c>
      <c r="K120" s="101">
        <f>IF(K29=0,0,1000000*K29/TrRoad_act!K69)</f>
        <v>90612.859029260348</v>
      </c>
      <c r="L120" s="101">
        <f>IF(L29=0,0,1000000*L29/TrRoad_act!L69)</f>
        <v>92469.958515679245</v>
      </c>
      <c r="M120" s="101">
        <f>IF(M29=0,0,1000000*M29/TrRoad_act!M69)</f>
        <v>89550.604033303898</v>
      </c>
      <c r="N120" s="101">
        <f>IF(N29=0,0,1000000*N29/TrRoad_act!N69)</f>
        <v>78677.69216529993</v>
      </c>
      <c r="O120" s="101">
        <f>IF(O29=0,0,1000000*O29/TrRoad_act!O69)</f>
        <v>71398.992246354974</v>
      </c>
      <c r="P120" s="101">
        <f>IF(P29=0,0,1000000*P29/TrRoad_act!P69)</f>
        <v>72066.844897549876</v>
      </c>
      <c r="Q120" s="101">
        <f>IF(Q29=0,0,1000000*Q29/TrRoad_act!Q69)</f>
        <v>77574.57051986875</v>
      </c>
      <c r="R120" s="101">
        <f>IF(R29=0,0,1000000*R29/TrRoad_act!R69)</f>
        <v>81303.146852003352</v>
      </c>
      <c r="S120" s="101">
        <f>IF(S29=0,0,1000000*S29/TrRoad_act!S69)</f>
        <v>86571.339372136703</v>
      </c>
      <c r="T120" s="101">
        <f>IF(T29=0,0,1000000*T29/TrRoad_act!T69)</f>
        <v>89406.902260275543</v>
      </c>
      <c r="U120" s="101">
        <f>IF(U29=0,0,1000000*U29/TrRoad_act!U69)</f>
        <v>91879.977746916396</v>
      </c>
      <c r="V120" s="101">
        <f>IF(V29=0,0,1000000*V29/TrRoad_act!V69)</f>
        <v>90823.830319662142</v>
      </c>
      <c r="W120" s="101">
        <f>IF(W29=0,0,1000000*W29/TrRoad_act!W69)</f>
        <v>96375.662651002174</v>
      </c>
      <c r="X120" s="101">
        <f>IF(X29=0,0,1000000*X29/TrRoad_act!X69)</f>
        <v>92531.849638756117</v>
      </c>
      <c r="Y120" s="101">
        <f>IF(Y29=0,0,1000000*Y29/TrRoad_act!Y69)</f>
        <v>93452.853387129682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X122" s="101">
        <f>IF(X31=0,0,1000000*X31/TrRoad_act!X71)</f>
        <v>0</v>
      </c>
      <c r="Y122" s="101">
        <f>IF(Y31=0,0,1000000*Y31/TrRoad_act!Y71)</f>
        <v>0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5509.0456867934718</v>
      </c>
      <c r="C125" s="152">
        <f>IF(C34=0,0,1000000*C34/TrRoad_act!C74)</f>
        <v>5432.1901191561255</v>
      </c>
      <c r="D125" s="152">
        <f>IF(D34=0,0,1000000*D34/TrRoad_act!D74)</f>
        <v>5226.0934223704699</v>
      </c>
      <c r="E125" s="152">
        <f>IF(E34=0,0,1000000*E34/TrRoad_act!E74)</f>
        <v>5165.4396065336095</v>
      </c>
      <c r="F125" s="152">
        <f>IF(F34=0,0,1000000*F34/TrRoad_act!F74)</f>
        <v>5232.8209530178246</v>
      </c>
      <c r="G125" s="152">
        <f>IF(G34=0,0,1000000*G34/TrRoad_act!G74)</f>
        <v>5227.5170717351748</v>
      </c>
      <c r="H125" s="152">
        <f>IF(H34=0,0,1000000*H34/TrRoad_act!H74)</f>
        <v>4902.8059445955505</v>
      </c>
      <c r="I125" s="152">
        <f>IF(I34=0,0,1000000*I34/TrRoad_act!I74)</f>
        <v>5036.7995487332719</v>
      </c>
      <c r="J125" s="152">
        <f>IF(J34=0,0,1000000*J34/TrRoad_act!J74)</f>
        <v>4861.9172293534439</v>
      </c>
      <c r="K125" s="152">
        <f>IF(K34=0,0,1000000*K34/TrRoad_act!K74)</f>
        <v>4651.8690644032067</v>
      </c>
      <c r="L125" s="152">
        <f>IF(L34=0,0,1000000*L34/TrRoad_act!L74)</f>
        <v>4681.4808976948088</v>
      </c>
      <c r="M125" s="152">
        <f>IF(M34=0,0,1000000*M34/TrRoad_act!M74)</f>
        <v>4493.9345255796115</v>
      </c>
      <c r="N125" s="152">
        <f>IF(N34=0,0,1000000*N34/TrRoad_act!N74)</f>
        <v>3909.0594320531354</v>
      </c>
      <c r="O125" s="152">
        <f>IF(O34=0,0,1000000*O34/TrRoad_act!O74)</f>
        <v>3287.8109987613075</v>
      </c>
      <c r="P125" s="152">
        <f>IF(P34=0,0,1000000*P34/TrRoad_act!P74)</f>
        <v>3190.4757710604322</v>
      </c>
      <c r="Q125" s="152">
        <f>IF(Q34=0,0,1000000*Q34/TrRoad_act!Q74)</f>
        <v>3304.2399878666979</v>
      </c>
      <c r="R125" s="152">
        <f>IF(R34=0,0,1000000*R34/TrRoad_act!R74)</f>
        <v>3486.1676092721059</v>
      </c>
      <c r="S125" s="152">
        <f>IF(S34=0,0,1000000*S34/TrRoad_act!S74)</f>
        <v>3635.9694879043777</v>
      </c>
      <c r="T125" s="152">
        <f>IF(T34=0,0,1000000*T34/TrRoad_act!T74)</f>
        <v>3587.4169540815369</v>
      </c>
      <c r="U125" s="152">
        <f>IF(U34=0,0,1000000*U34/TrRoad_act!U74)</f>
        <v>3388.1821286815202</v>
      </c>
      <c r="V125" s="152">
        <f>IF(V34=0,0,1000000*V34/TrRoad_act!V74)</f>
        <v>3253.005065870926</v>
      </c>
      <c r="W125" s="152">
        <f>IF(W34=0,0,1000000*W34/TrRoad_act!W74)</f>
        <v>3353.7877492767821</v>
      </c>
      <c r="X125" s="152">
        <f>IF(X34=0,0,1000000*X34/TrRoad_act!X74)</f>
        <v>2904.8913992160201</v>
      </c>
      <c r="Y125" s="152">
        <f>IF(Y34=0,0,1000000*Y34/TrRoad_act!Y74)</f>
        <v>2913.7754125570095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2462.3205130582674</v>
      </c>
      <c r="C126" s="87">
        <f>IF(C35=0,0,1000000*C35/TrRoad_act!C75)</f>
        <v>2552.6105766567216</v>
      </c>
      <c r="D126" s="87">
        <f>IF(D35=0,0,1000000*D35/TrRoad_act!D75)</f>
        <v>2680.0963600802593</v>
      </c>
      <c r="E126" s="87">
        <f>IF(E35=0,0,1000000*E35/TrRoad_act!E75)</f>
        <v>2809.7250732200891</v>
      </c>
      <c r="F126" s="87">
        <f>IF(F35=0,0,1000000*F35/TrRoad_act!F75)</f>
        <v>2668.3932648895598</v>
      </c>
      <c r="G126" s="87">
        <f>IF(G35=0,0,1000000*G35/TrRoad_act!G75)</f>
        <v>2938.0763178217885</v>
      </c>
      <c r="H126" s="87">
        <f>IF(H35=0,0,1000000*H35/TrRoad_act!H75)</f>
        <v>2821.8448329354806</v>
      </c>
      <c r="I126" s="87">
        <f>IF(I35=0,0,1000000*I35/TrRoad_act!I75)</f>
        <v>2786.5625647003699</v>
      </c>
      <c r="J126" s="87">
        <f>IF(J35=0,0,1000000*J35/TrRoad_act!J75)</f>
        <v>2900.6099046193021</v>
      </c>
      <c r="K126" s="87">
        <f>IF(K35=0,0,1000000*K35/TrRoad_act!K75)</f>
        <v>2667.3409140875169</v>
      </c>
      <c r="L126" s="87">
        <f>IF(L35=0,0,1000000*L35/TrRoad_act!L75)</f>
        <v>2679.4549215157685</v>
      </c>
      <c r="M126" s="87">
        <f>IF(M35=0,0,1000000*M35/TrRoad_act!M75)</f>
        <v>2671.3448163502576</v>
      </c>
      <c r="N126" s="87">
        <f>IF(N35=0,0,1000000*N35/TrRoad_act!N75)</f>
        <v>2644.5796362231304</v>
      </c>
      <c r="O126" s="87">
        <f>IF(O35=0,0,1000000*O35/TrRoad_act!O75)</f>
        <v>2374.1276038654642</v>
      </c>
      <c r="P126" s="87">
        <f>IF(P35=0,0,1000000*P35/TrRoad_act!P75)</f>
        <v>2458.6196240991089</v>
      </c>
      <c r="Q126" s="87">
        <f>IF(Q35=0,0,1000000*Q35/TrRoad_act!Q75)</f>
        <v>2472.0086605434099</v>
      </c>
      <c r="R126" s="87">
        <f>IF(R35=0,0,1000000*R35/TrRoad_act!R75)</f>
        <v>2347.0577149666565</v>
      </c>
      <c r="S126" s="87">
        <f>IF(S35=0,0,1000000*S35/TrRoad_act!S75)</f>
        <v>2448.9841153744937</v>
      </c>
      <c r="T126" s="87">
        <f>IF(T35=0,0,1000000*T35/TrRoad_act!T75)</f>
        <v>2403.5656508489915</v>
      </c>
      <c r="U126" s="87">
        <f>IF(U35=0,0,1000000*U35/TrRoad_act!U75)</f>
        <v>2328.1721903207408</v>
      </c>
      <c r="V126" s="87">
        <f>IF(V35=0,0,1000000*V35/TrRoad_act!V75)</f>
        <v>2087.3811622387875</v>
      </c>
      <c r="W126" s="87">
        <f>IF(W35=0,0,1000000*W35/TrRoad_act!W75)</f>
        <v>2116.7400270089934</v>
      </c>
      <c r="X126" s="87">
        <f>IF(X35=0,0,1000000*X35/TrRoad_act!X75)</f>
        <v>1975.1293293066383</v>
      </c>
      <c r="Y126" s="87">
        <f>IF(Y35=0,0,1000000*Y35/TrRoad_act!Y75)</f>
        <v>1916.1955303038808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5797.9992630827128</v>
      </c>
      <c r="C127" s="87">
        <f>IF(C36=0,0,1000000*C36/TrRoad_act!C76)</f>
        <v>5709.7956301516469</v>
      </c>
      <c r="D127" s="87">
        <f>IF(D36=0,0,1000000*D36/TrRoad_act!D76)</f>
        <v>5453.550447098497</v>
      </c>
      <c r="E127" s="87">
        <f>IF(E36=0,0,1000000*E36/TrRoad_act!E76)</f>
        <v>5392.5352346018008</v>
      </c>
      <c r="F127" s="87">
        <f>IF(F36=0,0,1000000*F36/TrRoad_act!F76)</f>
        <v>5453.6712668713944</v>
      </c>
      <c r="G127" s="87">
        <f>IF(G36=0,0,1000000*G36/TrRoad_act!G76)</f>
        <v>5370.5395974906705</v>
      </c>
      <c r="H127" s="87">
        <f>IF(H36=0,0,1000000*H36/TrRoad_act!H76)</f>
        <v>5032.7973928628326</v>
      </c>
      <c r="I127" s="87">
        <f>IF(I36=0,0,1000000*I36/TrRoad_act!I76)</f>
        <v>5166.3008439097102</v>
      </c>
      <c r="J127" s="87">
        <f>IF(J36=0,0,1000000*J36/TrRoad_act!J76)</f>
        <v>4980.0310486232656</v>
      </c>
      <c r="K127" s="87">
        <f>IF(K36=0,0,1000000*K36/TrRoad_act!K76)</f>
        <v>4770.9444870651987</v>
      </c>
      <c r="L127" s="87">
        <f>IF(L36=0,0,1000000*L36/TrRoad_act!L76)</f>
        <v>4796.2422105223559</v>
      </c>
      <c r="M127" s="87">
        <f>IF(M36=0,0,1000000*M36/TrRoad_act!M76)</f>
        <v>4596.5049781916578</v>
      </c>
      <c r="N127" s="87">
        <f>IF(N36=0,0,1000000*N36/TrRoad_act!N76)</f>
        <v>3979.7290678491695</v>
      </c>
      <c r="O127" s="87">
        <f>IF(O36=0,0,1000000*O36/TrRoad_act!O76)</f>
        <v>3339.0593211385999</v>
      </c>
      <c r="P127" s="87">
        <f>IF(P36=0,0,1000000*P36/TrRoad_act!P76)</f>
        <v>3230.995858110226</v>
      </c>
      <c r="Q127" s="87">
        <f>IF(Q36=0,0,1000000*Q36/TrRoad_act!Q76)</f>
        <v>3350.1627616536703</v>
      </c>
      <c r="R127" s="87">
        <f>IF(R36=0,0,1000000*R36/TrRoad_act!R76)</f>
        <v>3548.0185121445447</v>
      </c>
      <c r="S127" s="87">
        <f>IF(S36=0,0,1000000*S36/TrRoad_act!S76)</f>
        <v>3698.8485818051799</v>
      </c>
      <c r="T127" s="87">
        <f>IF(T36=0,0,1000000*T36/TrRoad_act!T76)</f>
        <v>3649.1004489401475</v>
      </c>
      <c r="U127" s="87">
        <f>IF(U36=0,0,1000000*U36/TrRoad_act!U76)</f>
        <v>3443.7085336057312</v>
      </c>
      <c r="V127" s="87">
        <f>IF(V36=0,0,1000000*V36/TrRoad_act!V76)</f>
        <v>3314.7685216445202</v>
      </c>
      <c r="W127" s="87">
        <f>IF(W36=0,0,1000000*W36/TrRoad_act!W76)</f>
        <v>3421.553342777428</v>
      </c>
      <c r="X127" s="87">
        <f>IF(X36=0,0,1000000*X36/TrRoad_act!X76)</f>
        <v>2963.8321195515746</v>
      </c>
      <c r="Y127" s="87">
        <f>IF(Y36=0,0,1000000*Y36/TrRoad_act!Y76)</f>
        <v>2984.3331571807144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10023.177829205291</v>
      </c>
      <c r="C131" s="116">
        <f>IF(C40=0,0,1000000*C40/TrRoad_act!C80)</f>
        <v>9189.7004438981348</v>
      </c>
      <c r="D131" s="116">
        <f>IF(D40=0,0,1000000*D40/TrRoad_act!D80)</f>
        <v>9090.6600778351549</v>
      </c>
      <c r="E131" s="116">
        <f>IF(E40=0,0,1000000*E40/TrRoad_act!E80)</f>
        <v>9863.73917908775</v>
      </c>
      <c r="F131" s="116">
        <f>IF(F40=0,0,1000000*F40/TrRoad_act!F80)</f>
        <v>8742.0568269810628</v>
      </c>
      <c r="G131" s="116">
        <f>IF(G40=0,0,1000000*G40/TrRoad_act!G80)</f>
        <v>8184.8319038283335</v>
      </c>
      <c r="H131" s="116">
        <f>IF(H40=0,0,1000000*H40/TrRoad_act!H80)</f>
        <v>6734.2031935498844</v>
      </c>
      <c r="I131" s="116">
        <f>IF(I40=0,0,1000000*I40/TrRoad_act!I80)</f>
        <v>8076.4056167873878</v>
      </c>
      <c r="J131" s="116">
        <f>IF(J40=0,0,1000000*J40/TrRoad_act!J80)</f>
        <v>7940.8520503191148</v>
      </c>
      <c r="K131" s="116">
        <f>IF(K40=0,0,1000000*K40/TrRoad_act!K80)</f>
        <v>5936.8786640931676</v>
      </c>
      <c r="L131" s="116">
        <f>IF(L40=0,0,1000000*L40/TrRoad_act!L80)</f>
        <v>6851.0862388699643</v>
      </c>
      <c r="M131" s="116">
        <f>IF(M40=0,0,1000000*M40/TrRoad_act!M80)</f>
        <v>5891.0341486228335</v>
      </c>
      <c r="N131" s="116">
        <f>IF(N40=0,0,1000000*N40/TrRoad_act!N80)</f>
        <v>5229.772569351464</v>
      </c>
      <c r="O131" s="116">
        <f>IF(O40=0,0,1000000*O40/TrRoad_act!O80)</f>
        <v>4890.1564940569187</v>
      </c>
      <c r="P131" s="116">
        <f>IF(P40=0,0,1000000*P40/TrRoad_act!P80)</f>
        <v>4543.1812386581423</v>
      </c>
      <c r="Q131" s="116">
        <f>IF(Q40=0,0,1000000*Q40/TrRoad_act!Q80)</f>
        <v>4669.1025578889876</v>
      </c>
      <c r="R131" s="116">
        <f>IF(R40=0,0,1000000*R40/TrRoad_act!R80)</f>
        <v>6129.0639697976012</v>
      </c>
      <c r="S131" s="116">
        <f>IF(S40=0,0,1000000*S40/TrRoad_act!S80)</f>
        <v>6998.8678089966597</v>
      </c>
      <c r="T131" s="116">
        <f>IF(T40=0,0,1000000*T40/TrRoad_act!T80)</f>
        <v>7068.9335121573386</v>
      </c>
      <c r="U131" s="116">
        <f>IF(U40=0,0,1000000*U40/TrRoad_act!U80)</f>
        <v>7011.0417058019739</v>
      </c>
      <c r="V131" s="116">
        <f>IF(V40=0,0,1000000*V40/TrRoad_act!V80)</f>
        <v>4914.3343729642338</v>
      </c>
      <c r="W131" s="116">
        <f>IF(W40=0,0,1000000*W40/TrRoad_act!W80)</f>
        <v>5094.5414106714616</v>
      </c>
      <c r="X131" s="116">
        <f>IF(X40=0,0,1000000*X40/TrRoad_act!X80)</f>
        <v>6422.3184263344192</v>
      </c>
      <c r="Y131" s="116">
        <f>IF(Y40=0,0,1000000*Y40/TrRoad_act!Y80)</f>
        <v>6262.214432810918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10023.177829205291</v>
      </c>
      <c r="C132" s="101">
        <f>IF(C41=0,0,1000000*C41/TrRoad_act!C81)</f>
        <v>9189.7004438981348</v>
      </c>
      <c r="D132" s="101">
        <f>IF(D41=0,0,1000000*D41/TrRoad_act!D81)</f>
        <v>9090.6600778351549</v>
      </c>
      <c r="E132" s="101">
        <f>IF(E41=0,0,1000000*E41/TrRoad_act!E81)</f>
        <v>9863.73917908775</v>
      </c>
      <c r="F132" s="101">
        <f>IF(F41=0,0,1000000*F41/TrRoad_act!F81)</f>
        <v>8742.0568269810628</v>
      </c>
      <c r="G132" s="101">
        <f>IF(G41=0,0,1000000*G41/TrRoad_act!G81)</f>
        <v>8184.8319038283335</v>
      </c>
      <c r="H132" s="101">
        <f>IF(H41=0,0,1000000*H41/TrRoad_act!H81)</f>
        <v>6734.2031935498844</v>
      </c>
      <c r="I132" s="101">
        <f>IF(I41=0,0,1000000*I41/TrRoad_act!I81)</f>
        <v>8076.4056167873878</v>
      </c>
      <c r="J132" s="101">
        <f>IF(J41=0,0,1000000*J41/TrRoad_act!J81)</f>
        <v>7940.8520503191148</v>
      </c>
      <c r="K132" s="101">
        <f>IF(K41=0,0,1000000*K41/TrRoad_act!K81)</f>
        <v>5936.8786640931676</v>
      </c>
      <c r="L132" s="101">
        <f>IF(L41=0,0,1000000*L41/TrRoad_act!L81)</f>
        <v>6851.0862388699643</v>
      </c>
      <c r="M132" s="101">
        <f>IF(M41=0,0,1000000*M41/TrRoad_act!M81)</f>
        <v>5891.0341486228335</v>
      </c>
      <c r="N132" s="101">
        <f>IF(N41=0,0,1000000*N41/TrRoad_act!N81)</f>
        <v>5229.772569351464</v>
      </c>
      <c r="O132" s="101">
        <f>IF(O41=0,0,1000000*O41/TrRoad_act!O81)</f>
        <v>4890.1564940569187</v>
      </c>
      <c r="P132" s="101">
        <f>IF(P41=0,0,1000000*P41/TrRoad_act!P81)</f>
        <v>4543.1812386581423</v>
      </c>
      <c r="Q132" s="101">
        <f>IF(Q41=0,0,1000000*Q41/TrRoad_act!Q81)</f>
        <v>4669.1025578889876</v>
      </c>
      <c r="R132" s="101">
        <f>IF(R41=0,0,1000000*R41/TrRoad_act!R81)</f>
        <v>6129.0639697976012</v>
      </c>
      <c r="S132" s="101">
        <f>IF(S41=0,0,1000000*S41/TrRoad_act!S81)</f>
        <v>6998.8678089966597</v>
      </c>
      <c r="T132" s="101">
        <f>IF(T41=0,0,1000000*T41/TrRoad_act!T81)</f>
        <v>7068.9335121573386</v>
      </c>
      <c r="U132" s="101">
        <f>IF(U41=0,0,1000000*U41/TrRoad_act!U81)</f>
        <v>7011.0417058019739</v>
      </c>
      <c r="V132" s="101">
        <f>IF(V41=0,0,1000000*V41/TrRoad_act!V81)</f>
        <v>4914.3343729642338</v>
      </c>
      <c r="W132" s="101">
        <f>IF(W41=0,0,1000000*W41/TrRoad_act!W81)</f>
        <v>5094.5414106714616</v>
      </c>
      <c r="X132" s="101">
        <f>IF(X41=0,0,1000000*X41/TrRoad_act!X81)</f>
        <v>6422.3184263344192</v>
      </c>
      <c r="Y132" s="101">
        <f>IF(Y41=0,0,1000000*Y41/TrRoad_act!Y81)</f>
        <v>6262.214432810918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0</v>
      </c>
      <c r="C133" s="88">
        <f>IF(C42=0,0,1000000*C42/TrRoad_act!C82)</f>
        <v>0</v>
      </c>
      <c r="D133" s="88">
        <f>IF(D42=0,0,1000000*D42/TrRoad_act!D82)</f>
        <v>0</v>
      </c>
      <c r="E133" s="88">
        <f>IF(E42=0,0,1000000*E42/TrRoad_act!E82)</f>
        <v>0</v>
      </c>
      <c r="F133" s="88">
        <f>IF(F42=0,0,1000000*F42/TrRoad_act!F82)</f>
        <v>0</v>
      </c>
      <c r="G133" s="88">
        <f>IF(G42=0,0,1000000*G42/TrRoad_act!G82)</f>
        <v>0</v>
      </c>
      <c r="H133" s="88">
        <f>IF(H42=0,0,1000000*H42/TrRoad_act!H82)</f>
        <v>0</v>
      </c>
      <c r="I133" s="88">
        <f>IF(I42=0,0,1000000*I42/TrRoad_act!I82)</f>
        <v>0</v>
      </c>
      <c r="J133" s="88">
        <f>IF(J42=0,0,1000000*J42/TrRoad_act!J82)</f>
        <v>0</v>
      </c>
      <c r="K133" s="88">
        <f>IF(K42=0,0,1000000*K42/TrRoad_act!K82)</f>
        <v>0</v>
      </c>
      <c r="L133" s="88">
        <f>IF(L42=0,0,1000000*L42/TrRoad_act!L82)</f>
        <v>0</v>
      </c>
      <c r="M133" s="88">
        <f>IF(M42=0,0,1000000*M42/TrRoad_act!M82)</f>
        <v>0</v>
      </c>
      <c r="N133" s="88">
        <f>IF(N42=0,0,1000000*N42/TrRoad_act!N82)</f>
        <v>0</v>
      </c>
      <c r="O133" s="88">
        <f>IF(O42=0,0,1000000*O42/TrRoad_act!O82)</f>
        <v>0</v>
      </c>
      <c r="P133" s="88">
        <f>IF(P42=0,0,1000000*P42/TrRoad_act!P82)</f>
        <v>0</v>
      </c>
      <c r="Q133" s="88">
        <f>IF(Q42=0,0,1000000*Q42/TrRoad_act!Q82)</f>
        <v>0</v>
      </c>
      <c r="R133" s="88">
        <f>IF(R42=0,0,1000000*R42/TrRoad_act!R82)</f>
        <v>0</v>
      </c>
      <c r="S133" s="88">
        <f>IF(S42=0,0,1000000*S42/TrRoad_act!S82)</f>
        <v>0</v>
      </c>
      <c r="T133" s="88">
        <f>IF(T42=0,0,1000000*T42/TrRoad_act!T82)</f>
        <v>0</v>
      </c>
      <c r="U133" s="88">
        <f>IF(U42=0,0,1000000*U42/TrRoad_act!U82)</f>
        <v>0</v>
      </c>
      <c r="V133" s="88">
        <f>IF(V42=0,0,1000000*V42/TrRoad_act!V82)</f>
        <v>0</v>
      </c>
      <c r="W133" s="88">
        <f>IF(W42=0,0,1000000*W42/TrRoad_act!W82)</f>
        <v>0</v>
      </c>
      <c r="X133" s="88">
        <f>IF(X42=0,0,1000000*X42/TrRoad_act!X82)</f>
        <v>0</v>
      </c>
      <c r="Y133" s="88">
        <f>IF(Y42=0,0,1000000*Y42/TrRoad_act!Y82)</f>
        <v>0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0.60072347068044996</v>
      </c>
      <c r="C136" s="46">
        <f t="shared" si="40"/>
        <v>0.61123697090531126</v>
      </c>
      <c r="D136" s="46">
        <f t="shared" si="40"/>
        <v>0.62237709943436204</v>
      </c>
      <c r="E136" s="46">
        <f t="shared" si="40"/>
        <v>0.63529726465904313</v>
      </c>
      <c r="F136" s="46">
        <f t="shared" si="40"/>
        <v>0.66390249699153869</v>
      </c>
      <c r="G136" s="46">
        <f t="shared" si="40"/>
        <v>0.66692888700118591</v>
      </c>
      <c r="H136" s="46">
        <f t="shared" si="40"/>
        <v>0.70128984403094263</v>
      </c>
      <c r="I136" s="46">
        <f t="shared" si="40"/>
        <v>0.71223855578971984</v>
      </c>
      <c r="J136" s="46">
        <f t="shared" si="40"/>
        <v>0.7199512230624151</v>
      </c>
      <c r="K136" s="46">
        <f t="shared" si="40"/>
        <v>0.74263425927391669</v>
      </c>
      <c r="L136" s="46">
        <f t="shared" si="41"/>
        <v>0.74009460199321708</v>
      </c>
      <c r="M136" s="46">
        <f t="shared" si="40"/>
        <v>0.75056968674613156</v>
      </c>
      <c r="N136" s="46">
        <f t="shared" si="40"/>
        <v>0.7668131567241302</v>
      </c>
      <c r="O136" s="46">
        <f t="shared" si="40"/>
        <v>0.78992050611557318</v>
      </c>
      <c r="P136" s="46">
        <f t="shared" si="40"/>
        <v>0.80126990388870434</v>
      </c>
      <c r="Q136" s="46">
        <f t="shared" si="40"/>
        <v>0.80329324358471277</v>
      </c>
      <c r="R136" s="46">
        <f t="shared" si="40"/>
        <v>0.79251570361986889</v>
      </c>
      <c r="S136" s="46">
        <f t="shared" si="40"/>
        <v>0.7838325515198985</v>
      </c>
      <c r="T136" s="46">
        <f t="shared" si="40"/>
        <v>0.78042556200942015</v>
      </c>
      <c r="U136" s="46">
        <f t="shared" si="40"/>
        <v>0.78532606667069049</v>
      </c>
      <c r="V136" s="46">
        <f t="shared" si="40"/>
        <v>0.7731286584127578</v>
      </c>
      <c r="W136" s="46">
        <f t="shared" si="42"/>
        <v>0.77890407019384744</v>
      </c>
      <c r="X136" s="46">
        <f t="shared" si="42"/>
        <v>0.78522316132025849</v>
      </c>
      <c r="Y136" s="46">
        <f t="shared" si="42"/>
        <v>0.78933571930934432</v>
      </c>
      <c r="DA136" s="211"/>
    </row>
    <row r="137" spans="1:105" ht="11.45" customHeight="1" x14ac:dyDescent="0.25">
      <c r="A137" s="153" t="s">
        <v>173</v>
      </c>
      <c r="B137" s="154">
        <f t="shared" si="40"/>
        <v>9.6902431764239634E-3</v>
      </c>
      <c r="C137" s="154">
        <f t="shared" si="40"/>
        <v>9.1698267137760303E-3</v>
      </c>
      <c r="D137" s="154">
        <f t="shared" si="40"/>
        <v>9.0045554605004876E-3</v>
      </c>
      <c r="E137" s="154">
        <f t="shared" si="40"/>
        <v>8.5928074584796666E-3</v>
      </c>
      <c r="F137" s="154">
        <f t="shared" si="40"/>
        <v>8.0921450874332015E-3</v>
      </c>
      <c r="G137" s="154">
        <f t="shared" si="40"/>
        <v>7.7795771747382119E-3</v>
      </c>
      <c r="H137" s="154">
        <f t="shared" si="40"/>
        <v>7.7592224288979949E-3</v>
      </c>
      <c r="I137" s="154">
        <f t="shared" si="40"/>
        <v>7.2887227995863313E-3</v>
      </c>
      <c r="J137" s="154">
        <f t="shared" si="40"/>
        <v>7.2485331058245684E-3</v>
      </c>
      <c r="K137" s="154">
        <f t="shared" si="40"/>
        <v>7.1203750983594317E-3</v>
      </c>
      <c r="L137" s="154">
        <f t="shared" si="41"/>
        <v>6.8121849175423223E-3</v>
      </c>
      <c r="M137" s="154">
        <f t="shared" si="40"/>
        <v>6.8228259745418398E-3</v>
      </c>
      <c r="N137" s="154">
        <f t="shared" si="40"/>
        <v>7.5008766762994089E-3</v>
      </c>
      <c r="O137" s="154">
        <f t="shared" si="40"/>
        <v>8.1365525938046964E-3</v>
      </c>
      <c r="P137" s="154">
        <f t="shared" si="40"/>
        <v>8.3993085474151092E-3</v>
      </c>
      <c r="Q137" s="154">
        <f t="shared" si="40"/>
        <v>7.7818953254920626E-3</v>
      </c>
      <c r="R137" s="154">
        <f t="shared" si="40"/>
        <v>7.2597264075137287E-3</v>
      </c>
      <c r="S137" s="154">
        <f t="shared" si="40"/>
        <v>6.5429731396023745E-3</v>
      </c>
      <c r="T137" s="154">
        <f t="shared" si="40"/>
        <v>6.1059653486837768E-3</v>
      </c>
      <c r="U137" s="154">
        <f t="shared" si="40"/>
        <v>6.3230862549591947E-3</v>
      </c>
      <c r="V137" s="154">
        <f t="shared" si="40"/>
        <v>6.4119429176413981E-3</v>
      </c>
      <c r="W137" s="154">
        <f t="shared" si="42"/>
        <v>6.1343120282905117E-3</v>
      </c>
      <c r="X137" s="154">
        <f t="shared" si="42"/>
        <v>6.245975242358117E-3</v>
      </c>
      <c r="Y137" s="154">
        <f t="shared" si="42"/>
        <v>6.3788831006342936E-3</v>
      </c>
      <c r="DA137" s="212"/>
    </row>
    <row r="138" spans="1:105" ht="11.45" customHeight="1" x14ac:dyDescent="0.25">
      <c r="A138" s="155" t="s">
        <v>20</v>
      </c>
      <c r="B138" s="156">
        <f t="shared" si="40"/>
        <v>0.43033346909762654</v>
      </c>
      <c r="C138" s="156">
        <f t="shared" si="40"/>
        <v>0.44327876316129594</v>
      </c>
      <c r="D138" s="156">
        <f t="shared" si="40"/>
        <v>0.45718323261359767</v>
      </c>
      <c r="E138" s="156">
        <f t="shared" si="40"/>
        <v>0.46848948560929671</v>
      </c>
      <c r="F138" s="156">
        <f t="shared" si="40"/>
        <v>0.49767785443710161</v>
      </c>
      <c r="G138" s="156">
        <f t="shared" si="40"/>
        <v>0.51401986110104125</v>
      </c>
      <c r="H138" s="156">
        <f t="shared" si="40"/>
        <v>0.54543032065210861</v>
      </c>
      <c r="I138" s="156">
        <f t="shared" si="40"/>
        <v>0.55887660207396106</v>
      </c>
      <c r="J138" s="156">
        <f t="shared" si="40"/>
        <v>0.5767408588516848</v>
      </c>
      <c r="K138" s="156">
        <f t="shared" si="40"/>
        <v>0.5980170047149258</v>
      </c>
      <c r="L138" s="156">
        <f t="shared" si="41"/>
        <v>0.59794676709456807</v>
      </c>
      <c r="M138" s="156">
        <f t="shared" si="40"/>
        <v>0.60625820959671162</v>
      </c>
      <c r="N138" s="156">
        <f t="shared" si="40"/>
        <v>0.62427401277421479</v>
      </c>
      <c r="O138" s="156">
        <f t="shared" si="40"/>
        <v>0.64773468915763255</v>
      </c>
      <c r="P138" s="156">
        <f t="shared" si="40"/>
        <v>0.65397466505478463</v>
      </c>
      <c r="Q138" s="156">
        <f t="shared" si="40"/>
        <v>0.64623143892709012</v>
      </c>
      <c r="R138" s="156">
        <f t="shared" si="40"/>
        <v>0.63680504145339989</v>
      </c>
      <c r="S138" s="156">
        <f t="shared" si="40"/>
        <v>0.62654129193336028</v>
      </c>
      <c r="T138" s="156">
        <f t="shared" si="40"/>
        <v>0.62425855888461412</v>
      </c>
      <c r="U138" s="156">
        <f t="shared" si="40"/>
        <v>0.62769789596436498</v>
      </c>
      <c r="V138" s="156">
        <f t="shared" si="40"/>
        <v>0.63046494886576898</v>
      </c>
      <c r="W138" s="156">
        <f t="shared" si="42"/>
        <v>0.63220763438802352</v>
      </c>
      <c r="X138" s="156">
        <f t="shared" si="42"/>
        <v>0.63760828212804566</v>
      </c>
      <c r="Y138" s="156">
        <f t="shared" si="42"/>
        <v>0.6390189987656707</v>
      </c>
      <c r="DA138" s="213"/>
    </row>
    <row r="139" spans="1:105" ht="11.45" customHeight="1" x14ac:dyDescent="0.25">
      <c r="A139" s="157" t="s">
        <v>110</v>
      </c>
      <c r="B139" s="103">
        <f t="shared" si="40"/>
        <v>0.33856540404171115</v>
      </c>
      <c r="C139" s="103">
        <f t="shared" si="40"/>
        <v>0.34955697653194784</v>
      </c>
      <c r="D139" s="103">
        <f t="shared" si="40"/>
        <v>0.36879714264802083</v>
      </c>
      <c r="E139" s="103">
        <f t="shared" si="40"/>
        <v>0.38529254349248798</v>
      </c>
      <c r="F139" s="103">
        <f t="shared" si="40"/>
        <v>0.4139344497277328</v>
      </c>
      <c r="G139" s="103">
        <f t="shared" si="40"/>
        <v>0.44010433311461183</v>
      </c>
      <c r="H139" s="103">
        <f t="shared" si="40"/>
        <v>0.47362761546379595</v>
      </c>
      <c r="I139" s="103">
        <f t="shared" si="40"/>
        <v>0.48630254555333891</v>
      </c>
      <c r="J139" s="103">
        <f t="shared" si="40"/>
        <v>0.50565223549877691</v>
      </c>
      <c r="K139" s="103">
        <f t="shared" si="40"/>
        <v>0.52009690559007871</v>
      </c>
      <c r="L139" s="103">
        <f t="shared" si="41"/>
        <v>0.51896987549226481</v>
      </c>
      <c r="M139" s="103">
        <f t="shared" si="40"/>
        <v>0.52829278230526</v>
      </c>
      <c r="N139" s="103">
        <f t="shared" si="40"/>
        <v>0.55376925895767604</v>
      </c>
      <c r="O139" s="103">
        <f t="shared" si="40"/>
        <v>0.57807589735989995</v>
      </c>
      <c r="P139" s="103">
        <f t="shared" si="40"/>
        <v>0.57998680224265287</v>
      </c>
      <c r="Q139" s="103">
        <f t="shared" si="40"/>
        <v>0.56527672597534717</v>
      </c>
      <c r="R139" s="103">
        <f t="shared" si="40"/>
        <v>0.54690883890043884</v>
      </c>
      <c r="S139" s="103">
        <f t="shared" si="40"/>
        <v>0.52474027381230659</v>
      </c>
      <c r="T139" s="103">
        <f t="shared" si="40"/>
        <v>0.50787738899490042</v>
      </c>
      <c r="U139" s="103">
        <f t="shared" si="40"/>
        <v>0.49524686115143579</v>
      </c>
      <c r="V139" s="103">
        <f t="shared" si="40"/>
        <v>0.4796329680386911</v>
      </c>
      <c r="W139" s="103">
        <f t="shared" si="42"/>
        <v>0.47966776622098861</v>
      </c>
      <c r="X139" s="103">
        <f t="shared" si="42"/>
        <v>0.49385894901585808</v>
      </c>
      <c r="Y139" s="103">
        <f t="shared" si="42"/>
        <v>0.49243635154838478</v>
      </c>
      <c r="DA139" s="191"/>
    </row>
    <row r="140" spans="1:105" ht="11.45" customHeight="1" x14ac:dyDescent="0.25">
      <c r="A140" s="157" t="s">
        <v>111</v>
      </c>
      <c r="B140" s="103">
        <f t="shared" si="40"/>
        <v>9.1768065055915421E-2</v>
      </c>
      <c r="C140" s="103">
        <f t="shared" si="40"/>
        <v>9.3721786629348075E-2</v>
      </c>
      <c r="D140" s="103">
        <f t="shared" si="40"/>
        <v>8.8386089965576856E-2</v>
      </c>
      <c r="E140" s="103">
        <f t="shared" si="40"/>
        <v>8.319694211680867E-2</v>
      </c>
      <c r="F140" s="103">
        <f t="shared" si="40"/>
        <v>8.3743404709368821E-2</v>
      </c>
      <c r="G140" s="103">
        <f t="shared" si="40"/>
        <v>7.3915527986429433E-2</v>
      </c>
      <c r="H140" s="103">
        <f t="shared" si="40"/>
        <v>7.1802705188312707E-2</v>
      </c>
      <c r="I140" s="103">
        <f t="shared" si="40"/>
        <v>7.2574056520622182E-2</v>
      </c>
      <c r="J140" s="103">
        <f t="shared" si="40"/>
        <v>7.1088623352907984E-2</v>
      </c>
      <c r="K140" s="103">
        <f t="shared" si="40"/>
        <v>7.7920099124847139E-2</v>
      </c>
      <c r="L140" s="103">
        <f t="shared" si="41"/>
        <v>7.8976891602303284E-2</v>
      </c>
      <c r="M140" s="103">
        <f t="shared" si="40"/>
        <v>7.7965427291451533E-2</v>
      </c>
      <c r="N140" s="103">
        <f t="shared" si="40"/>
        <v>7.0504753816538757E-2</v>
      </c>
      <c r="O140" s="103">
        <f t="shared" si="40"/>
        <v>6.9658791797732517E-2</v>
      </c>
      <c r="P140" s="103">
        <f t="shared" si="40"/>
        <v>7.3986788072152004E-2</v>
      </c>
      <c r="Q140" s="103">
        <f t="shared" si="40"/>
        <v>8.0944579268342365E-2</v>
      </c>
      <c r="R140" s="103">
        <f t="shared" si="40"/>
        <v>8.9874800063826227E-2</v>
      </c>
      <c r="S140" s="103">
        <f t="shared" si="40"/>
        <v>0.10175770081787958</v>
      </c>
      <c r="T140" s="103">
        <f t="shared" si="40"/>
        <v>0.11566695546064572</v>
      </c>
      <c r="U140" s="103">
        <f t="shared" si="40"/>
        <v>0.13166273167240203</v>
      </c>
      <c r="V140" s="103">
        <f t="shared" si="40"/>
        <v>0.15003044031534965</v>
      </c>
      <c r="W140" s="103">
        <f t="shared" si="42"/>
        <v>0.15165309298382562</v>
      </c>
      <c r="X140" s="103">
        <f t="shared" si="42"/>
        <v>0.14274038481053111</v>
      </c>
      <c r="Y140" s="103">
        <f t="shared" si="42"/>
        <v>0.14564950803881963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0</v>
      </c>
      <c r="E141" s="103">
        <f t="shared" si="40"/>
        <v>0</v>
      </c>
      <c r="F141" s="103">
        <f t="shared" si="40"/>
        <v>0</v>
      </c>
      <c r="G141" s="103">
        <f t="shared" si="40"/>
        <v>0</v>
      </c>
      <c r="H141" s="103">
        <f t="shared" si="40"/>
        <v>0</v>
      </c>
      <c r="I141" s="103">
        <f t="shared" si="40"/>
        <v>0</v>
      </c>
      <c r="J141" s="103">
        <f t="shared" si="40"/>
        <v>0</v>
      </c>
      <c r="K141" s="103">
        <f t="shared" si="40"/>
        <v>0</v>
      </c>
      <c r="L141" s="103">
        <f t="shared" si="41"/>
        <v>0</v>
      </c>
      <c r="M141" s="103">
        <f t="shared" si="40"/>
        <v>0</v>
      </c>
      <c r="N141" s="103">
        <f t="shared" si="40"/>
        <v>0</v>
      </c>
      <c r="O141" s="103">
        <f t="shared" si="40"/>
        <v>0</v>
      </c>
      <c r="P141" s="103">
        <f t="shared" si="40"/>
        <v>0</v>
      </c>
      <c r="Q141" s="103">
        <f t="shared" si="40"/>
        <v>0</v>
      </c>
      <c r="R141" s="103">
        <f t="shared" si="40"/>
        <v>0</v>
      </c>
      <c r="S141" s="103">
        <f t="shared" si="40"/>
        <v>0</v>
      </c>
      <c r="T141" s="103">
        <f t="shared" si="40"/>
        <v>6.5289305559196721E-4</v>
      </c>
      <c r="U141" s="103">
        <f t="shared" si="40"/>
        <v>6.9938045602499065E-4</v>
      </c>
      <c r="V141" s="103">
        <f t="shared" si="40"/>
        <v>6.7168300753009348E-4</v>
      </c>
      <c r="W141" s="103">
        <f t="shared" si="42"/>
        <v>7.1790516721191935E-4</v>
      </c>
      <c r="X141" s="103">
        <f t="shared" si="42"/>
        <v>7.9665674910373377E-4</v>
      </c>
      <c r="Y141" s="103">
        <f t="shared" si="42"/>
        <v>6.4294519110997628E-4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X142" s="103">
        <f t="shared" si="42"/>
        <v>0</v>
      </c>
      <c r="Y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0</v>
      </c>
      <c r="P143" s="103">
        <f t="shared" si="40"/>
        <v>1.074739979762208E-6</v>
      </c>
      <c r="Q143" s="103">
        <f t="shared" si="40"/>
        <v>1.01336834006647E-5</v>
      </c>
      <c r="R143" s="103">
        <f t="shared" si="40"/>
        <v>2.1402489134892338E-5</v>
      </c>
      <c r="S143" s="103">
        <f t="shared" si="40"/>
        <v>4.3317303174103903E-5</v>
      </c>
      <c r="T143" s="103">
        <f t="shared" si="40"/>
        <v>6.1321373476148409E-5</v>
      </c>
      <c r="U143" s="103">
        <f t="shared" si="40"/>
        <v>8.8922684502251226E-5</v>
      </c>
      <c r="V143" s="103">
        <f t="shared" si="40"/>
        <v>1.2985750419817918E-4</v>
      </c>
      <c r="W143" s="103">
        <f t="shared" si="42"/>
        <v>1.6887001599733462E-4</v>
      </c>
      <c r="X143" s="103">
        <f t="shared" si="42"/>
        <v>2.1229155255279663E-4</v>
      </c>
      <c r="Y143" s="103">
        <f t="shared" si="42"/>
        <v>2.9019398735644325E-4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0.1606997584063995</v>
      </c>
      <c r="C145" s="156">
        <f t="shared" si="40"/>
        <v>0.15878838103023937</v>
      </c>
      <c r="D145" s="156">
        <f t="shared" si="40"/>
        <v>0.15618931136026387</v>
      </c>
      <c r="E145" s="156">
        <f t="shared" si="40"/>
        <v>0.15821497159126682</v>
      </c>
      <c r="F145" s="156">
        <f t="shared" si="40"/>
        <v>0.15813249746700384</v>
      </c>
      <c r="G145" s="156">
        <f t="shared" si="40"/>
        <v>0.1451294487254064</v>
      </c>
      <c r="H145" s="156">
        <f t="shared" si="40"/>
        <v>0.14810030094993601</v>
      </c>
      <c r="I145" s="156">
        <f t="shared" si="40"/>
        <v>0.14607323091617239</v>
      </c>
      <c r="J145" s="156">
        <f t="shared" si="40"/>
        <v>0.13596183110490584</v>
      </c>
      <c r="K145" s="156">
        <f t="shared" si="40"/>
        <v>0.13749687946063144</v>
      </c>
      <c r="L145" s="156">
        <f t="shared" si="41"/>
        <v>0.13533564998110667</v>
      </c>
      <c r="M145" s="156">
        <f t="shared" si="40"/>
        <v>0.13748865117487818</v>
      </c>
      <c r="N145" s="156">
        <f t="shared" si="40"/>
        <v>0.13503826727361595</v>
      </c>
      <c r="O145" s="156">
        <f t="shared" si="40"/>
        <v>0.13404926436413597</v>
      </c>
      <c r="P145" s="156">
        <f t="shared" si="40"/>
        <v>0.13889593028650463</v>
      </c>
      <c r="Q145" s="156">
        <f t="shared" si="40"/>
        <v>0.14927990933213073</v>
      </c>
      <c r="R145" s="156">
        <f t="shared" si="40"/>
        <v>0.14845093575895513</v>
      </c>
      <c r="S145" s="156">
        <f t="shared" si="40"/>
        <v>0.15074828644693583</v>
      </c>
      <c r="T145" s="156">
        <f t="shared" si="40"/>
        <v>0.15006103777612215</v>
      </c>
      <c r="U145" s="156">
        <f t="shared" si="40"/>
        <v>0.15130508445136623</v>
      </c>
      <c r="V145" s="156">
        <f t="shared" si="40"/>
        <v>0.13625176662934751</v>
      </c>
      <c r="W145" s="156">
        <f t="shared" si="42"/>
        <v>0.14056212377753344</v>
      </c>
      <c r="X145" s="156">
        <f t="shared" si="42"/>
        <v>0.14136890394985463</v>
      </c>
      <c r="Y145" s="156">
        <f t="shared" si="42"/>
        <v>0.14393783744303942</v>
      </c>
      <c r="DA145" s="213"/>
    </row>
    <row r="146" spans="1:105" ht="11.45" customHeight="1" x14ac:dyDescent="0.25">
      <c r="A146" s="157" t="s">
        <v>110</v>
      </c>
      <c r="B146" s="103">
        <f t="shared" si="40"/>
        <v>1.41596489256277E-3</v>
      </c>
      <c r="C146" s="103">
        <f t="shared" si="40"/>
        <v>1.4019894286375902E-3</v>
      </c>
      <c r="D146" s="103">
        <f t="shared" si="40"/>
        <v>1.4020737441018843E-3</v>
      </c>
      <c r="E146" s="103">
        <f t="shared" si="40"/>
        <v>1.3959195479221892E-3</v>
      </c>
      <c r="F146" s="103">
        <f t="shared" si="40"/>
        <v>1.3299295972604805E-3</v>
      </c>
      <c r="G146" s="103">
        <f t="shared" si="40"/>
        <v>1.3252844946054154E-3</v>
      </c>
      <c r="H146" s="103">
        <f t="shared" si="40"/>
        <v>1.3818479627968874E-3</v>
      </c>
      <c r="I146" s="103">
        <f t="shared" si="40"/>
        <v>1.2903306380411684E-3</v>
      </c>
      <c r="J146" s="103">
        <f t="shared" si="40"/>
        <v>1.2672806569952236E-3</v>
      </c>
      <c r="K146" s="103">
        <f t="shared" si="40"/>
        <v>1.2441603217075935E-3</v>
      </c>
      <c r="L146" s="103">
        <f t="shared" si="41"/>
        <v>1.2351943140511659E-3</v>
      </c>
      <c r="M146" s="103">
        <f t="shared" si="40"/>
        <v>1.2688578799929168E-3</v>
      </c>
      <c r="N146" s="103">
        <f t="shared" si="40"/>
        <v>1.3609920771827262E-3</v>
      </c>
      <c r="O146" s="103">
        <f t="shared" si="40"/>
        <v>1.4299116215249672E-3</v>
      </c>
      <c r="P146" s="103">
        <f t="shared" si="40"/>
        <v>4.9203321422384538E-4</v>
      </c>
      <c r="Q146" s="103">
        <f t="shared" si="40"/>
        <v>4.2049874423721146E-4</v>
      </c>
      <c r="R146" s="103">
        <f t="shared" si="40"/>
        <v>3.6448028984159818E-4</v>
      </c>
      <c r="S146" s="103">
        <f t="shared" si="40"/>
        <v>3.6888422301165974E-4</v>
      </c>
      <c r="T146" s="103">
        <f t="shared" si="40"/>
        <v>3.7664376876622247E-4</v>
      </c>
      <c r="U146" s="103">
        <f t="shared" si="40"/>
        <v>3.6343647036522363E-4</v>
      </c>
      <c r="V146" s="103">
        <f t="shared" si="40"/>
        <v>3.8638340661969366E-4</v>
      </c>
      <c r="W146" s="103">
        <f t="shared" si="42"/>
        <v>3.6788009881624729E-4</v>
      </c>
      <c r="X146" s="103">
        <f t="shared" si="42"/>
        <v>3.346433836210391E-4</v>
      </c>
      <c r="Y146" s="103">
        <f t="shared" si="42"/>
        <v>2.6640435034787005E-4</v>
      </c>
      <c r="DA146" s="191"/>
    </row>
    <row r="147" spans="1:105" ht="11.45" customHeight="1" x14ac:dyDescent="0.25">
      <c r="A147" s="157" t="s">
        <v>111</v>
      </c>
      <c r="B147" s="103">
        <f t="shared" si="40"/>
        <v>0.15928379351383673</v>
      </c>
      <c r="C147" s="103">
        <f t="shared" si="40"/>
        <v>0.15738639160160178</v>
      </c>
      <c r="D147" s="103">
        <f t="shared" si="40"/>
        <v>0.154787237616162</v>
      </c>
      <c r="E147" s="103">
        <f t="shared" si="40"/>
        <v>0.15681905204334462</v>
      </c>
      <c r="F147" s="103">
        <f t="shared" si="40"/>
        <v>0.15680256786974336</v>
      </c>
      <c r="G147" s="103">
        <f t="shared" si="40"/>
        <v>0.14380416423080097</v>
      </c>
      <c r="H147" s="103">
        <f t="shared" si="40"/>
        <v>0.14671845298713912</v>
      </c>
      <c r="I147" s="103">
        <f t="shared" si="40"/>
        <v>0.1447829002781312</v>
      </c>
      <c r="J147" s="103">
        <f t="shared" si="40"/>
        <v>0.13469455044791062</v>
      </c>
      <c r="K147" s="103">
        <f t="shared" si="40"/>
        <v>0.13625271913892384</v>
      </c>
      <c r="L147" s="103">
        <f t="shared" si="41"/>
        <v>0.1341004556670555</v>
      </c>
      <c r="M147" s="103">
        <f t="shared" si="40"/>
        <v>0.13621979329488526</v>
      </c>
      <c r="N147" s="103">
        <f t="shared" si="40"/>
        <v>0.13367727519643322</v>
      </c>
      <c r="O147" s="103">
        <f t="shared" si="40"/>
        <v>0.132619352742611</v>
      </c>
      <c r="P147" s="103">
        <f t="shared" si="40"/>
        <v>0.13840389707228079</v>
      </c>
      <c r="Q147" s="103">
        <f t="shared" si="40"/>
        <v>0.14885941058789351</v>
      </c>
      <c r="R147" s="103">
        <f t="shared" ref="R147:V147" si="43">IF(R29=0,0,R29/R$17)</f>
        <v>0.14808645546911353</v>
      </c>
      <c r="S147" s="103">
        <f t="shared" si="43"/>
        <v>0.15037940222392418</v>
      </c>
      <c r="T147" s="103">
        <f t="shared" si="43"/>
        <v>0.14968439400735592</v>
      </c>
      <c r="U147" s="103">
        <f t="shared" si="43"/>
        <v>0.15094164798100101</v>
      </c>
      <c r="V147" s="103">
        <f t="shared" si="43"/>
        <v>0.13586538322272781</v>
      </c>
      <c r="W147" s="103">
        <f t="shared" ref="W147:Y147" si="44">IF(W29=0,0,W29/W$17)</f>
        <v>0.14019424367871719</v>
      </c>
      <c r="X147" s="103">
        <f t="shared" si="44"/>
        <v>0.14103426056623358</v>
      </c>
      <c r="Y147" s="103">
        <f t="shared" si="44"/>
        <v>0.14367143309269156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:Y149" si="51">IF(W31=0,0,W31/W$17)</f>
        <v>0</v>
      </c>
      <c r="X149" s="103">
        <f t="shared" si="51"/>
        <v>0</v>
      </c>
      <c r="Y149" s="103">
        <f t="shared" si="51"/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0.39927652931955004</v>
      </c>
      <c r="C151" s="46">
        <f t="shared" si="55"/>
        <v>0.38876302909468863</v>
      </c>
      <c r="D151" s="46">
        <f t="shared" si="55"/>
        <v>0.37762290056563791</v>
      </c>
      <c r="E151" s="46">
        <f t="shared" si="55"/>
        <v>0.36470273534095676</v>
      </c>
      <c r="F151" s="46">
        <f t="shared" si="55"/>
        <v>0.33609750300846136</v>
      </c>
      <c r="G151" s="46">
        <f t="shared" si="55"/>
        <v>0.33307111299881409</v>
      </c>
      <c r="H151" s="46">
        <f t="shared" si="55"/>
        <v>0.29871015596905742</v>
      </c>
      <c r="I151" s="46">
        <f t="shared" si="55"/>
        <v>0.28776144421028016</v>
      </c>
      <c r="J151" s="46">
        <f t="shared" si="55"/>
        <v>0.28004877693758479</v>
      </c>
      <c r="K151" s="46">
        <f t="shared" si="55"/>
        <v>0.25736574072608337</v>
      </c>
      <c r="L151" s="46">
        <f t="shared" ref="L151" si="56">IF(L33=0,0,L33/L$17)</f>
        <v>0.25990539800678303</v>
      </c>
      <c r="M151" s="46">
        <f t="shared" ref="M151:V151" si="57">IF(M33=0,0,M33/M$17)</f>
        <v>0.24943031325386836</v>
      </c>
      <c r="N151" s="46">
        <f t="shared" si="57"/>
        <v>0.23318684327586983</v>
      </c>
      <c r="O151" s="46">
        <f t="shared" si="57"/>
        <v>0.21007949388442679</v>
      </c>
      <c r="P151" s="46">
        <f t="shared" si="57"/>
        <v>0.19873009611129563</v>
      </c>
      <c r="Q151" s="46">
        <f t="shared" si="57"/>
        <v>0.19670675641528718</v>
      </c>
      <c r="R151" s="46">
        <f t="shared" si="57"/>
        <v>0.20748429638013119</v>
      </c>
      <c r="S151" s="46">
        <f t="shared" si="57"/>
        <v>0.21616744848010153</v>
      </c>
      <c r="T151" s="46">
        <f t="shared" si="57"/>
        <v>0.21957443799057993</v>
      </c>
      <c r="U151" s="46">
        <f t="shared" si="57"/>
        <v>0.21467393332930954</v>
      </c>
      <c r="V151" s="46">
        <f t="shared" si="57"/>
        <v>0.2268713415872422</v>
      </c>
      <c r="W151" s="46">
        <f t="shared" ref="W151:Y151" si="58">IF(W33=0,0,W33/W$17)</f>
        <v>0.22109592980615253</v>
      </c>
      <c r="X151" s="46">
        <f t="shared" si="58"/>
        <v>0.21477683867974154</v>
      </c>
      <c r="Y151" s="46">
        <f t="shared" si="58"/>
        <v>0.2106642806906556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0.31513937665189945</v>
      </c>
      <c r="C152" s="154">
        <f t="shared" si="59"/>
        <v>0.30662734782035966</v>
      </c>
      <c r="D152" s="154">
        <f t="shared" si="59"/>
        <v>0.29966092058550808</v>
      </c>
      <c r="E152" s="154">
        <f t="shared" si="59"/>
        <v>0.28460538674380481</v>
      </c>
      <c r="F152" s="154">
        <f t="shared" si="59"/>
        <v>0.26914933181626155</v>
      </c>
      <c r="G152" s="154">
        <f t="shared" si="59"/>
        <v>0.25478101108717516</v>
      </c>
      <c r="H152" s="154">
        <f t="shared" si="59"/>
        <v>0.23451336927338554</v>
      </c>
      <c r="I152" s="154">
        <f t="shared" si="59"/>
        <v>0.22302783221088807</v>
      </c>
      <c r="J152" s="154">
        <f t="shared" si="59"/>
        <v>0.21417588019987713</v>
      </c>
      <c r="K152" s="154">
        <f t="shared" si="59"/>
        <v>0.20539959455932483</v>
      </c>
      <c r="L152" s="154">
        <f t="shared" ref="L152" si="60">IF(L34=0,0,L34/L$17)</f>
        <v>0.20192806551626155</v>
      </c>
      <c r="M152" s="154">
        <f t="shared" ref="M152:V152" si="61">IF(M34=0,0,M34/M$17)</f>
        <v>0.19949894139844468</v>
      </c>
      <c r="N152" s="154">
        <f t="shared" si="61"/>
        <v>0.18854744660825135</v>
      </c>
      <c r="O152" s="154">
        <f t="shared" si="61"/>
        <v>0.17737952896289577</v>
      </c>
      <c r="P152" s="154">
        <f t="shared" si="61"/>
        <v>0.16953251468123534</v>
      </c>
      <c r="Q152" s="154">
        <f t="shared" si="61"/>
        <v>0.16778994283621762</v>
      </c>
      <c r="R152" s="154">
        <f t="shared" si="61"/>
        <v>0.17020083665837785</v>
      </c>
      <c r="S152" s="154">
        <f t="shared" si="61"/>
        <v>0.17364610724007615</v>
      </c>
      <c r="T152" s="154">
        <f t="shared" si="61"/>
        <v>0.1753457566730223</v>
      </c>
      <c r="U152" s="154">
        <f t="shared" si="61"/>
        <v>0.1689952569109385</v>
      </c>
      <c r="V152" s="154">
        <f t="shared" si="61"/>
        <v>0.18890819305204121</v>
      </c>
      <c r="W152" s="154">
        <f t="shared" ref="W152:Y152" si="62">IF(W34=0,0,W34/W$17)</f>
        <v>0.18354941723034904</v>
      </c>
      <c r="X152" s="154">
        <f t="shared" si="62"/>
        <v>0.16569645921326973</v>
      </c>
      <c r="Y152" s="154">
        <f t="shared" si="62"/>
        <v>0.16274398248752397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1.2201542484545752E-2</v>
      </c>
      <c r="C153" s="103">
        <f t="shared" si="63"/>
        <v>1.2669180831782692E-2</v>
      </c>
      <c r="D153" s="103">
        <f t="shared" si="63"/>
        <v>1.2603225956792828E-2</v>
      </c>
      <c r="E153" s="103">
        <f t="shared" si="63"/>
        <v>1.3611811983713766E-2</v>
      </c>
      <c r="F153" s="103">
        <f t="shared" si="63"/>
        <v>1.088270203099815E-2</v>
      </c>
      <c r="G153" s="103">
        <f t="shared" si="63"/>
        <v>8.4196263770143671E-3</v>
      </c>
      <c r="H153" s="103">
        <f t="shared" si="63"/>
        <v>7.9358123456381591E-3</v>
      </c>
      <c r="I153" s="103">
        <f t="shared" si="63"/>
        <v>6.7089526179972062E-3</v>
      </c>
      <c r="J153" s="103">
        <f t="shared" si="63"/>
        <v>7.248403941023618E-3</v>
      </c>
      <c r="K153" s="103">
        <f t="shared" si="63"/>
        <v>6.6584089350008807E-3</v>
      </c>
      <c r="L153" s="103">
        <f t="shared" ref="L153" si="64">IF(L35=0,0,L35/L$17)</f>
        <v>6.2523034503774418E-3</v>
      </c>
      <c r="M153" s="103">
        <f t="shared" ref="M153:V153" si="65">IF(M35=0,0,M35/M$17)</f>
        <v>6.3007141555561797E-3</v>
      </c>
      <c r="N153" s="103">
        <f t="shared" si="65"/>
        <v>6.7280406055418539E-3</v>
      </c>
      <c r="O153" s="103">
        <f t="shared" si="65"/>
        <v>6.7753914247282825E-3</v>
      </c>
      <c r="P153" s="103">
        <f t="shared" si="65"/>
        <v>6.8245209672428151E-3</v>
      </c>
      <c r="Q153" s="103">
        <f t="shared" si="65"/>
        <v>6.5386777822127864E-3</v>
      </c>
      <c r="R153" s="103">
        <f t="shared" si="65"/>
        <v>5.8835124685199299E-3</v>
      </c>
      <c r="S153" s="103">
        <f t="shared" si="65"/>
        <v>5.8659370727640959E-3</v>
      </c>
      <c r="T153" s="103">
        <f t="shared" si="65"/>
        <v>5.8041450455000995E-3</v>
      </c>
      <c r="U153" s="103">
        <f t="shared" si="65"/>
        <v>5.7554285524971539E-3</v>
      </c>
      <c r="V153" s="103">
        <f t="shared" si="65"/>
        <v>6.0743914079761695E-3</v>
      </c>
      <c r="W153" s="103">
        <f t="shared" ref="W153:Y153" si="66">IF(W35=0,0,W35/W$17)</f>
        <v>5.9815474212789252E-3</v>
      </c>
      <c r="X153" s="103">
        <f t="shared" si="66"/>
        <v>6.5680254508002026E-3</v>
      </c>
      <c r="Y153" s="103">
        <f t="shared" si="66"/>
        <v>6.8984243283628831E-3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0.30293783416735365</v>
      </c>
      <c r="C154" s="103">
        <f t="shared" si="67"/>
        <v>0.29395816698857702</v>
      </c>
      <c r="D154" s="103">
        <f t="shared" si="67"/>
        <v>0.28705769462871528</v>
      </c>
      <c r="E154" s="103">
        <f t="shared" si="67"/>
        <v>0.270993574760091</v>
      </c>
      <c r="F154" s="103">
        <f t="shared" si="67"/>
        <v>0.25826662978526338</v>
      </c>
      <c r="G154" s="103">
        <f t="shared" si="67"/>
        <v>0.24636138471016078</v>
      </c>
      <c r="H154" s="103">
        <f t="shared" si="67"/>
        <v>0.22657755692774736</v>
      </c>
      <c r="I154" s="103">
        <f t="shared" si="67"/>
        <v>0.21631887959289089</v>
      </c>
      <c r="J154" s="103">
        <f t="shared" si="67"/>
        <v>0.20692747625885349</v>
      </c>
      <c r="K154" s="103">
        <f t="shared" si="67"/>
        <v>0.19874118562432394</v>
      </c>
      <c r="L154" s="103">
        <f t="shared" ref="L154" si="68">IF(L36=0,0,L36/L$17)</f>
        <v>0.19567576206588411</v>
      </c>
      <c r="M154" s="103">
        <f t="shared" ref="M154:V154" si="69">IF(M36=0,0,M36/M$17)</f>
        <v>0.19319822724288852</v>
      </c>
      <c r="N154" s="103">
        <f t="shared" si="69"/>
        <v>0.18181940600270949</v>
      </c>
      <c r="O154" s="103">
        <f t="shared" si="69"/>
        <v>0.17060413753816747</v>
      </c>
      <c r="P154" s="103">
        <f t="shared" si="69"/>
        <v>0.1627079937139925</v>
      </c>
      <c r="Q154" s="103">
        <f t="shared" si="69"/>
        <v>0.16125126505400486</v>
      </c>
      <c r="R154" s="103">
        <f t="shared" si="69"/>
        <v>0.16431732418985792</v>
      </c>
      <c r="S154" s="103">
        <f t="shared" si="69"/>
        <v>0.16778017016731206</v>
      </c>
      <c r="T154" s="103">
        <f t="shared" si="69"/>
        <v>0.16954161162752218</v>
      </c>
      <c r="U154" s="103">
        <f t="shared" si="69"/>
        <v>0.16323982835844134</v>
      </c>
      <c r="V154" s="103">
        <f t="shared" si="69"/>
        <v>0.18283380164406501</v>
      </c>
      <c r="W154" s="103">
        <f t="shared" ref="W154:Y154" si="70">IF(W36=0,0,W36/W$17)</f>
        <v>0.17756786980907013</v>
      </c>
      <c r="X154" s="103">
        <f t="shared" si="70"/>
        <v>0.15912843376246949</v>
      </c>
      <c r="Y154" s="103">
        <f t="shared" si="70"/>
        <v>0.1558455581591611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8.4137152667650553E-2</v>
      </c>
      <c r="C158" s="156">
        <f t="shared" si="83"/>
        <v>8.213568127432895E-2</v>
      </c>
      <c r="D158" s="156">
        <f t="shared" si="83"/>
        <v>7.7961979980129811E-2</v>
      </c>
      <c r="E158" s="156">
        <f t="shared" si="83"/>
        <v>8.0097348597151993E-2</v>
      </c>
      <c r="F158" s="156">
        <f t="shared" si="83"/>
        <v>6.6948171192199826E-2</v>
      </c>
      <c r="G158" s="156">
        <f t="shared" si="83"/>
        <v>7.8290101911638932E-2</v>
      </c>
      <c r="H158" s="156">
        <f t="shared" si="83"/>
        <v>6.4196786695671901E-2</v>
      </c>
      <c r="I158" s="156">
        <f t="shared" si="83"/>
        <v>6.4733611999392052E-2</v>
      </c>
      <c r="J158" s="156">
        <f t="shared" si="83"/>
        <v>6.5872896737707687E-2</v>
      </c>
      <c r="K158" s="156">
        <f t="shared" si="83"/>
        <v>5.1966146166758535E-2</v>
      </c>
      <c r="L158" s="156">
        <f t="shared" ref="L158" si="84">IF(L40=0,0,L40/L$17)</f>
        <v>5.7977332490521512E-2</v>
      </c>
      <c r="M158" s="156">
        <f t="shared" ref="M158:V158" si="85">IF(M40=0,0,M40/M$17)</f>
        <v>4.9931371855423658E-2</v>
      </c>
      <c r="N158" s="156">
        <f t="shared" si="85"/>
        <v>4.4639396667618479E-2</v>
      </c>
      <c r="O158" s="156">
        <f t="shared" si="85"/>
        <v>3.2699964921531002E-2</v>
      </c>
      <c r="P158" s="156">
        <f t="shared" si="85"/>
        <v>2.9197581430060304E-2</v>
      </c>
      <c r="Q158" s="156">
        <f t="shared" si="85"/>
        <v>2.8916813579069542E-2</v>
      </c>
      <c r="R158" s="156">
        <f t="shared" si="85"/>
        <v>3.7283459721753315E-2</v>
      </c>
      <c r="S158" s="156">
        <f t="shared" si="85"/>
        <v>4.2521341240025351E-2</v>
      </c>
      <c r="T158" s="156">
        <f t="shared" si="85"/>
        <v>4.422868131755766E-2</v>
      </c>
      <c r="U158" s="156">
        <f t="shared" si="85"/>
        <v>4.5678676418371034E-2</v>
      </c>
      <c r="V158" s="156">
        <f t="shared" si="85"/>
        <v>3.7963148535200997E-2</v>
      </c>
      <c r="W158" s="156">
        <f t="shared" ref="W158:Y158" si="86">IF(W40=0,0,W40/W$17)</f>
        <v>3.7546512575803485E-2</v>
      </c>
      <c r="X158" s="156">
        <f t="shared" si="86"/>
        <v>4.9080379466471841E-2</v>
      </c>
      <c r="Y158" s="156">
        <f t="shared" si="86"/>
        <v>4.7920298203131637E-2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8.4137152667650553E-2</v>
      </c>
      <c r="C159" s="103">
        <f t="shared" si="87"/>
        <v>8.213568127432895E-2</v>
      </c>
      <c r="D159" s="103">
        <f t="shared" si="87"/>
        <v>7.7961979980129811E-2</v>
      </c>
      <c r="E159" s="103">
        <f t="shared" si="87"/>
        <v>8.0097348597151993E-2</v>
      </c>
      <c r="F159" s="103">
        <f t="shared" si="87"/>
        <v>6.6948171192199826E-2</v>
      </c>
      <c r="G159" s="103">
        <f t="shared" si="87"/>
        <v>7.8290101911638932E-2</v>
      </c>
      <c r="H159" s="103">
        <f t="shared" si="87"/>
        <v>6.4196786695671901E-2</v>
      </c>
      <c r="I159" s="103">
        <f t="shared" si="87"/>
        <v>6.4733611999392052E-2</v>
      </c>
      <c r="J159" s="103">
        <f t="shared" si="87"/>
        <v>6.5872896737707687E-2</v>
      </c>
      <c r="K159" s="103">
        <f t="shared" si="87"/>
        <v>5.1966146166758535E-2</v>
      </c>
      <c r="L159" s="103">
        <f t="shared" ref="L159" si="88">IF(L41=0,0,L41/L$17)</f>
        <v>5.7977332490521512E-2</v>
      </c>
      <c r="M159" s="103">
        <f t="shared" ref="M159:V159" si="89">IF(M41=0,0,M41/M$17)</f>
        <v>4.9931371855423658E-2</v>
      </c>
      <c r="N159" s="103">
        <f t="shared" si="89"/>
        <v>4.4639396667618479E-2</v>
      </c>
      <c r="O159" s="103">
        <f t="shared" si="89"/>
        <v>3.2699964921531002E-2</v>
      </c>
      <c r="P159" s="103">
        <f t="shared" si="89"/>
        <v>2.9197581430060304E-2</v>
      </c>
      <c r="Q159" s="103">
        <f t="shared" si="89"/>
        <v>2.8916813579069542E-2</v>
      </c>
      <c r="R159" s="103">
        <f t="shared" si="89"/>
        <v>3.7283459721753315E-2</v>
      </c>
      <c r="S159" s="103">
        <f t="shared" si="89"/>
        <v>4.2521341240025351E-2</v>
      </c>
      <c r="T159" s="103">
        <f t="shared" si="89"/>
        <v>4.422868131755766E-2</v>
      </c>
      <c r="U159" s="103">
        <f t="shared" si="89"/>
        <v>4.5678676418371034E-2</v>
      </c>
      <c r="V159" s="103">
        <f t="shared" si="89"/>
        <v>3.7963148535200997E-2</v>
      </c>
      <c r="W159" s="103">
        <f t="shared" ref="W159:Y159" si="90">IF(W41=0,0,W41/W$17)</f>
        <v>3.7546512575803485E-2</v>
      </c>
      <c r="X159" s="103">
        <f t="shared" si="90"/>
        <v>4.9080379466471841E-2</v>
      </c>
      <c r="Y159" s="103">
        <f t="shared" si="90"/>
        <v>4.7920298203131637E-2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0</v>
      </c>
      <c r="C160" s="105">
        <f t="shared" si="91"/>
        <v>0</v>
      </c>
      <c r="D160" s="105">
        <f t="shared" si="91"/>
        <v>0</v>
      </c>
      <c r="E160" s="105">
        <f t="shared" si="91"/>
        <v>0</v>
      </c>
      <c r="F160" s="105">
        <f t="shared" si="91"/>
        <v>0</v>
      </c>
      <c r="G160" s="105">
        <f t="shared" si="91"/>
        <v>0</v>
      </c>
      <c r="H160" s="105">
        <f t="shared" si="91"/>
        <v>0</v>
      </c>
      <c r="I160" s="105">
        <f t="shared" si="91"/>
        <v>0</v>
      </c>
      <c r="J160" s="105">
        <f t="shared" si="91"/>
        <v>0</v>
      </c>
      <c r="K160" s="105">
        <f t="shared" si="91"/>
        <v>0</v>
      </c>
      <c r="L160" s="105">
        <f t="shared" ref="L160" si="92">IF(L42=0,0,L42/L$17)</f>
        <v>0</v>
      </c>
      <c r="M160" s="105">
        <f t="shared" ref="M160:V160" si="93">IF(M42=0,0,M42/M$17)</f>
        <v>0</v>
      </c>
      <c r="N160" s="105">
        <f t="shared" si="93"/>
        <v>0</v>
      </c>
      <c r="O160" s="105">
        <f t="shared" si="93"/>
        <v>0</v>
      </c>
      <c r="P160" s="105">
        <f t="shared" si="93"/>
        <v>0</v>
      </c>
      <c r="Q160" s="105">
        <f t="shared" si="93"/>
        <v>0</v>
      </c>
      <c r="R160" s="105">
        <f t="shared" si="93"/>
        <v>0</v>
      </c>
      <c r="S160" s="105">
        <f t="shared" si="93"/>
        <v>0</v>
      </c>
      <c r="T160" s="105">
        <f t="shared" si="93"/>
        <v>0</v>
      </c>
      <c r="U160" s="105">
        <f t="shared" si="93"/>
        <v>0</v>
      </c>
      <c r="V160" s="105">
        <f t="shared" si="93"/>
        <v>0</v>
      </c>
      <c r="W160" s="105">
        <f t="shared" ref="W160:Y160" si="94">IF(W42=0,0,W42/W$17)</f>
        <v>0</v>
      </c>
      <c r="X160" s="105">
        <f t="shared" si="94"/>
        <v>0</v>
      </c>
      <c r="Y160" s="105">
        <f t="shared" si="94"/>
        <v>0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427905</v>
      </c>
      <c r="C3" s="54">
        <f>TrRoad_act!C57</f>
        <v>442975</v>
      </c>
      <c r="D3" s="54">
        <f>TrRoad_act!D57</f>
        <v>448652</v>
      </c>
      <c r="E3" s="54">
        <f>TrRoad_act!E57</f>
        <v>466903</v>
      </c>
      <c r="F3" s="54">
        <f>TrRoad_act!F57</f>
        <v>498042</v>
      </c>
      <c r="G3" s="54">
        <f>TrRoad_act!G57</f>
        <v>517244</v>
      </c>
      <c r="H3" s="54">
        <f>TrRoad_act!H57</f>
        <v>532448</v>
      </c>
      <c r="I3" s="54">
        <f>TrRoad_act!I57</f>
        <v>568104</v>
      </c>
      <c r="J3" s="54">
        <f>TrRoad_act!J57</f>
        <v>605100</v>
      </c>
      <c r="K3" s="54">
        <f>TrRoad_act!K57</f>
        <v>622895</v>
      </c>
      <c r="L3" s="54">
        <f>TrRoad_act!L57</f>
        <v>622625</v>
      </c>
      <c r="M3" s="54">
        <f>TrRoad_act!M57</f>
        <v>627954</v>
      </c>
      <c r="N3" s="54">
        <f>TrRoad_act!N57</f>
        <v>633994</v>
      </c>
      <c r="O3" s="54">
        <f>TrRoad_act!O57</f>
        <v>627315</v>
      </c>
      <c r="P3" s="54">
        <f>TrRoad_act!P57</f>
        <v>627567</v>
      </c>
      <c r="Q3" s="54">
        <f>TrRoad_act!Q57</f>
        <v>634588</v>
      </c>
      <c r="R3" s="54">
        <f>TrRoad_act!R57</f>
        <v>657448</v>
      </c>
      <c r="S3" s="54">
        <f>TrRoad_act!S57</f>
        <v>677125</v>
      </c>
      <c r="T3" s="54">
        <f>TrRoad_act!T57</f>
        <v>705615</v>
      </c>
      <c r="U3" s="54">
        <f>TrRoad_act!U57</f>
        <v>730985</v>
      </c>
      <c r="V3" s="54">
        <f>TrRoad_act!V57</f>
        <v>738509</v>
      </c>
      <c r="W3" s="54">
        <f>TrRoad_act!W57</f>
        <v>755118</v>
      </c>
      <c r="X3" s="54">
        <f>TrRoad_act!X57</f>
        <v>767993</v>
      </c>
      <c r="Y3" s="54">
        <f>TrRoad_act!Y57</f>
        <v>796644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313264</v>
      </c>
      <c r="C4" s="28">
        <f>TrRoad_act!C58</f>
        <v>325057</v>
      </c>
      <c r="D4" s="28">
        <f>TrRoad_act!D58</f>
        <v>330895</v>
      </c>
      <c r="E4" s="28">
        <f>TrRoad_act!E58</f>
        <v>347292</v>
      </c>
      <c r="F4" s="28">
        <f>TrRoad_act!F58</f>
        <v>380229</v>
      </c>
      <c r="G4" s="28">
        <f>TrRoad_act!G58</f>
        <v>398732</v>
      </c>
      <c r="H4" s="28">
        <f>TrRoad_act!H58</f>
        <v>416525</v>
      </c>
      <c r="I4" s="28">
        <f>TrRoad_act!I58</f>
        <v>455439</v>
      </c>
      <c r="J4" s="28">
        <f>TrRoad_act!J58</f>
        <v>490138</v>
      </c>
      <c r="K4" s="28">
        <f>TrRoad_act!K58</f>
        <v>506643</v>
      </c>
      <c r="L4" s="28">
        <f>TrRoad_act!L58</f>
        <v>506782</v>
      </c>
      <c r="M4" s="28">
        <f>TrRoad_act!M58</f>
        <v>512808</v>
      </c>
      <c r="N4" s="28">
        <f>TrRoad_act!N58</f>
        <v>520125</v>
      </c>
      <c r="O4" s="28">
        <f>TrRoad_act!O58</f>
        <v>518017</v>
      </c>
      <c r="P4" s="28">
        <f>TrRoad_act!P58</f>
        <v>522892</v>
      </c>
      <c r="Q4" s="28">
        <f>TrRoad_act!Q58</f>
        <v>530553</v>
      </c>
      <c r="R4" s="28">
        <f>TrRoad_act!R58</f>
        <v>550979</v>
      </c>
      <c r="S4" s="28">
        <f>TrRoad_act!S58</f>
        <v>569245</v>
      </c>
      <c r="T4" s="28">
        <f>TrRoad_act!T58</f>
        <v>594469</v>
      </c>
      <c r="U4" s="28">
        <f>TrRoad_act!U58</f>
        <v>616195</v>
      </c>
      <c r="V4" s="28">
        <f>TrRoad_act!V58</f>
        <v>621863</v>
      </c>
      <c r="W4" s="28">
        <f>TrRoad_act!W58</f>
        <v>636868</v>
      </c>
      <c r="X4" s="28">
        <f>TrRoad_act!X58</f>
        <v>646578</v>
      </c>
      <c r="Y4" s="28">
        <f>TrRoad_act!Y58</f>
        <v>671646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43315</v>
      </c>
      <c r="C5" s="137">
        <f>TrRoad_act!C59</f>
        <v>41985</v>
      </c>
      <c r="D5" s="137">
        <f>TrRoad_act!D59</f>
        <v>40276</v>
      </c>
      <c r="E5" s="137">
        <f>TrRoad_act!E59</f>
        <v>41516</v>
      </c>
      <c r="F5" s="137">
        <f>TrRoad_act!F59</f>
        <v>41396</v>
      </c>
      <c r="G5" s="137">
        <f>TrRoad_act!G59</f>
        <v>40381</v>
      </c>
      <c r="H5" s="137">
        <f>TrRoad_act!H59</f>
        <v>40359</v>
      </c>
      <c r="I5" s="137">
        <f>TrRoad_act!I59</f>
        <v>41211</v>
      </c>
      <c r="J5" s="137">
        <f>TrRoad_act!J59</f>
        <v>43219</v>
      </c>
      <c r="K5" s="137">
        <f>TrRoad_act!K59</f>
        <v>42690</v>
      </c>
      <c r="L5" s="137">
        <f>TrRoad_act!L59</f>
        <v>40727</v>
      </c>
      <c r="M5" s="137">
        <f>TrRoad_act!M59</f>
        <v>39803</v>
      </c>
      <c r="N5" s="137">
        <f>TrRoad_act!N59</f>
        <v>41105</v>
      </c>
      <c r="O5" s="137">
        <f>TrRoad_act!O59</f>
        <v>39969</v>
      </c>
      <c r="P5" s="137">
        <f>TrRoad_act!P59</f>
        <v>40970</v>
      </c>
      <c r="Q5" s="137">
        <f>TrRoad_act!Q59</f>
        <v>39282</v>
      </c>
      <c r="R5" s="137">
        <f>TrRoad_act!R59</f>
        <v>39242</v>
      </c>
      <c r="S5" s="137">
        <f>TrRoad_act!S59</f>
        <v>39400</v>
      </c>
      <c r="T5" s="137">
        <f>TrRoad_act!T59</f>
        <v>39764</v>
      </c>
      <c r="U5" s="137">
        <f>TrRoad_act!U59</f>
        <v>39703</v>
      </c>
      <c r="V5" s="137">
        <f>TrRoad_act!V59</f>
        <v>40351</v>
      </c>
      <c r="W5" s="137">
        <f>TrRoad_act!W59</f>
        <v>41141</v>
      </c>
      <c r="X5" s="137">
        <f>TrRoad_act!X59</f>
        <v>41886</v>
      </c>
      <c r="Y5" s="137">
        <f>TrRoad_act!Y59</f>
        <v>43187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267000</v>
      </c>
      <c r="C6" s="110">
        <f>TrRoad_act!C60</f>
        <v>280069</v>
      </c>
      <c r="D6" s="110">
        <f>TrRoad_act!D60</f>
        <v>287622</v>
      </c>
      <c r="E6" s="110">
        <f>TrRoad_act!E60</f>
        <v>302501</v>
      </c>
      <c r="F6" s="110">
        <f>TrRoad_act!F60</f>
        <v>335634</v>
      </c>
      <c r="G6" s="110">
        <f>TrRoad_act!G60</f>
        <v>355134</v>
      </c>
      <c r="H6" s="110">
        <f>TrRoad_act!H60</f>
        <v>372945</v>
      </c>
      <c r="I6" s="110">
        <f>TrRoad_act!I60</f>
        <v>410936</v>
      </c>
      <c r="J6" s="110">
        <f>TrRoad_act!J60</f>
        <v>443517</v>
      </c>
      <c r="K6" s="110">
        <f>TrRoad_act!K60</f>
        <v>460504</v>
      </c>
      <c r="L6" s="110">
        <f>TrRoad_act!L60</f>
        <v>462652</v>
      </c>
      <c r="M6" s="110">
        <f>TrRoad_act!M60</f>
        <v>469543</v>
      </c>
      <c r="N6" s="110">
        <f>TrRoad_act!N60</f>
        <v>475462</v>
      </c>
      <c r="O6" s="110">
        <f>TrRoad_act!O60</f>
        <v>474552</v>
      </c>
      <c r="P6" s="110">
        <f>TrRoad_act!P60</f>
        <v>478495</v>
      </c>
      <c r="Q6" s="110">
        <f>TrRoad_act!Q60</f>
        <v>487721</v>
      </c>
      <c r="R6" s="110">
        <f>TrRoad_act!R60</f>
        <v>508160</v>
      </c>
      <c r="S6" s="110">
        <f>TrRoad_act!S60</f>
        <v>526319</v>
      </c>
      <c r="T6" s="110">
        <f>TrRoad_act!T60</f>
        <v>551285</v>
      </c>
      <c r="U6" s="110">
        <f>TrRoad_act!U60</f>
        <v>573103</v>
      </c>
      <c r="V6" s="110">
        <f>TrRoad_act!V60</f>
        <v>578815</v>
      </c>
      <c r="W6" s="110">
        <f>TrRoad_act!W60</f>
        <v>592913</v>
      </c>
      <c r="X6" s="110">
        <f>TrRoad_act!X60</f>
        <v>601793</v>
      </c>
      <c r="Y6" s="110">
        <f>TrRoad_act!Y60</f>
        <v>625360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237000</v>
      </c>
      <c r="C7" s="84">
        <f>TrRoad_act!C61</f>
        <v>247164</v>
      </c>
      <c r="D7" s="84">
        <f>TrRoad_act!D61</f>
        <v>254431</v>
      </c>
      <c r="E7" s="84">
        <f>TrRoad_act!E61</f>
        <v>268875</v>
      </c>
      <c r="F7" s="84">
        <f>TrRoad_act!F61</f>
        <v>301834</v>
      </c>
      <c r="G7" s="84">
        <f>TrRoad_act!G61</f>
        <v>322063</v>
      </c>
      <c r="H7" s="84">
        <f>TrRoad_act!H61</f>
        <v>340539</v>
      </c>
      <c r="I7" s="84">
        <f>TrRoad_act!I61</f>
        <v>375337</v>
      </c>
      <c r="J7" s="84">
        <f>TrRoad_act!J61</f>
        <v>403269</v>
      </c>
      <c r="K7" s="84">
        <f>TrRoad_act!K61</f>
        <v>416605</v>
      </c>
      <c r="L7" s="84">
        <f>TrRoad_act!L61</f>
        <v>416450</v>
      </c>
      <c r="M7" s="84">
        <f>TrRoad_act!M61</f>
        <v>421509</v>
      </c>
      <c r="N7" s="84">
        <f>TrRoad_act!N61</f>
        <v>426214</v>
      </c>
      <c r="O7" s="84">
        <f>TrRoad_act!O61</f>
        <v>424068</v>
      </c>
      <c r="P7" s="84">
        <f>TrRoad_act!P61</f>
        <v>423607</v>
      </c>
      <c r="Q7" s="84">
        <f>TrRoad_act!Q61</f>
        <v>427077</v>
      </c>
      <c r="R7" s="84">
        <f>TrRoad_act!R61</f>
        <v>437807</v>
      </c>
      <c r="S7" s="84">
        <f>TrRoad_act!S61</f>
        <v>442623</v>
      </c>
      <c r="T7" s="84">
        <f>TrRoad_act!T61</f>
        <v>450682</v>
      </c>
      <c r="U7" s="84">
        <f>TrRoad_act!U61</f>
        <v>457482</v>
      </c>
      <c r="V7" s="84">
        <f>TrRoad_act!V61</f>
        <v>453727</v>
      </c>
      <c r="W7" s="84">
        <f>TrRoad_act!W61</f>
        <v>461558</v>
      </c>
      <c r="X7" s="84">
        <f>TrRoad_act!X61</f>
        <v>470153</v>
      </c>
      <c r="Y7" s="84">
        <f>TrRoad_act!Y61</f>
        <v>490017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30000</v>
      </c>
      <c r="C8" s="84">
        <f>TrRoad_act!C62</f>
        <v>32905</v>
      </c>
      <c r="D8" s="84">
        <f>TrRoad_act!D62</f>
        <v>33191</v>
      </c>
      <c r="E8" s="84">
        <f>TrRoad_act!E62</f>
        <v>33626</v>
      </c>
      <c r="F8" s="84">
        <f>TrRoad_act!F62</f>
        <v>33800</v>
      </c>
      <c r="G8" s="84">
        <f>TrRoad_act!G62</f>
        <v>33071</v>
      </c>
      <c r="H8" s="84">
        <f>TrRoad_act!H62</f>
        <v>32406</v>
      </c>
      <c r="I8" s="84">
        <f>TrRoad_act!I62</f>
        <v>35599</v>
      </c>
      <c r="J8" s="84">
        <f>TrRoad_act!J62</f>
        <v>40248</v>
      </c>
      <c r="K8" s="84">
        <f>TrRoad_act!K62</f>
        <v>43899</v>
      </c>
      <c r="L8" s="84">
        <f>TrRoad_act!L62</f>
        <v>46202</v>
      </c>
      <c r="M8" s="84">
        <f>TrRoad_act!M62</f>
        <v>48034</v>
      </c>
      <c r="N8" s="84">
        <f>TrRoad_act!N62</f>
        <v>49248</v>
      </c>
      <c r="O8" s="84">
        <f>TrRoad_act!O62</f>
        <v>50478</v>
      </c>
      <c r="P8" s="84">
        <f>TrRoad_act!P62</f>
        <v>54870</v>
      </c>
      <c r="Q8" s="84">
        <f>TrRoad_act!Q62</f>
        <v>60592</v>
      </c>
      <c r="R8" s="84">
        <f>TrRoad_act!R62</f>
        <v>70264</v>
      </c>
      <c r="S8" s="84">
        <f>TrRoad_act!S62</f>
        <v>83505</v>
      </c>
      <c r="T8" s="84">
        <f>TrRoad_act!T62</f>
        <v>99381</v>
      </c>
      <c r="U8" s="84">
        <f>TrRoad_act!U62</f>
        <v>114291</v>
      </c>
      <c r="V8" s="84">
        <f>TrRoad_act!V62</f>
        <v>123622</v>
      </c>
      <c r="W8" s="84">
        <f>TrRoad_act!W62</f>
        <v>129665</v>
      </c>
      <c r="X8" s="84">
        <f>TrRoad_act!X62</f>
        <v>129545</v>
      </c>
      <c r="Y8" s="84">
        <f>TrRoad_act!Y62</f>
        <v>132058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0</v>
      </c>
      <c r="E9" s="84">
        <f>TrRoad_act!E63</f>
        <v>0</v>
      </c>
      <c r="F9" s="84">
        <f>TrRoad_act!F63</f>
        <v>0</v>
      </c>
      <c r="G9" s="84">
        <f>TrRoad_act!G63</f>
        <v>0</v>
      </c>
      <c r="H9" s="84">
        <f>TrRoad_act!H63</f>
        <v>0</v>
      </c>
      <c r="I9" s="84">
        <f>TrRoad_act!I63</f>
        <v>0</v>
      </c>
      <c r="J9" s="84">
        <f>TrRoad_act!J63</f>
        <v>0</v>
      </c>
      <c r="K9" s="84">
        <f>TrRoad_act!K63</f>
        <v>0</v>
      </c>
      <c r="L9" s="84">
        <f>TrRoad_act!L63</f>
        <v>0</v>
      </c>
      <c r="M9" s="84">
        <f>TrRoad_act!M63</f>
        <v>0</v>
      </c>
      <c r="N9" s="84">
        <f>TrRoad_act!N63</f>
        <v>0</v>
      </c>
      <c r="O9" s="84">
        <f>TrRoad_act!O63</f>
        <v>0</v>
      </c>
      <c r="P9" s="84">
        <f>TrRoad_act!P63</f>
        <v>0</v>
      </c>
      <c r="Q9" s="84">
        <f>TrRoad_act!Q63</f>
        <v>0</v>
      </c>
      <c r="R9" s="84">
        <f>TrRoad_act!R63</f>
        <v>0</v>
      </c>
      <c r="S9" s="84">
        <f>TrRoad_act!S63</f>
        <v>0</v>
      </c>
      <c r="T9" s="84">
        <f>TrRoad_act!T63</f>
        <v>950</v>
      </c>
      <c r="U9" s="84">
        <f>TrRoad_act!U63</f>
        <v>921</v>
      </c>
      <c r="V9" s="84">
        <f>TrRoad_act!V63</f>
        <v>895</v>
      </c>
      <c r="W9" s="84">
        <f>TrRoad_act!W63</f>
        <v>887</v>
      </c>
      <c r="X9" s="84">
        <f>TrRoad_act!X63</f>
        <v>875</v>
      </c>
      <c r="Y9" s="84">
        <f>TrRoad_act!Y63</f>
        <v>857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X10" s="84">
        <f>TrRoad_act!X64</f>
        <v>0</v>
      </c>
      <c r="Y10" s="84">
        <f>TrRoad_act!Y64</f>
        <v>0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0</v>
      </c>
      <c r="P11" s="84">
        <f>TrRoad_act!P65</f>
        <v>3</v>
      </c>
      <c r="Q11" s="84">
        <f>TrRoad_act!Q65</f>
        <v>29</v>
      </c>
      <c r="R11" s="84">
        <f>TrRoad_act!R65</f>
        <v>49</v>
      </c>
      <c r="S11" s="84">
        <f>TrRoad_act!S65</f>
        <v>104</v>
      </c>
      <c r="T11" s="84">
        <f>TrRoad_act!T65</f>
        <v>158</v>
      </c>
      <c r="U11" s="84">
        <f>TrRoad_act!U65</f>
        <v>242</v>
      </c>
      <c r="V11" s="84">
        <f>TrRoad_act!V65</f>
        <v>320</v>
      </c>
      <c r="W11" s="84">
        <f>TrRoad_act!W65</f>
        <v>468</v>
      </c>
      <c r="X11" s="84">
        <f>TrRoad_act!X65</f>
        <v>662</v>
      </c>
      <c r="Y11" s="84">
        <f>TrRoad_act!Y65</f>
        <v>1175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0</v>
      </c>
      <c r="O12" s="84">
        <f>TrRoad_act!O66</f>
        <v>6</v>
      </c>
      <c r="P12" s="84">
        <f>TrRoad_act!P66</f>
        <v>15</v>
      </c>
      <c r="Q12" s="84">
        <f>TrRoad_act!Q66</f>
        <v>23</v>
      </c>
      <c r="R12" s="84">
        <f>TrRoad_act!R66</f>
        <v>40</v>
      </c>
      <c r="S12" s="84">
        <f>TrRoad_act!S66</f>
        <v>87</v>
      </c>
      <c r="T12" s="84">
        <f>TrRoad_act!T66</f>
        <v>114</v>
      </c>
      <c r="U12" s="84">
        <f>TrRoad_act!U66</f>
        <v>167</v>
      </c>
      <c r="V12" s="84">
        <f>TrRoad_act!V66</f>
        <v>251</v>
      </c>
      <c r="W12" s="84">
        <f>TrRoad_act!W66</f>
        <v>335</v>
      </c>
      <c r="X12" s="84">
        <f>TrRoad_act!X66</f>
        <v>558</v>
      </c>
      <c r="Y12" s="84">
        <f>TrRoad_act!Y66</f>
        <v>1253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2949</v>
      </c>
      <c r="C13" s="110">
        <f>TrRoad_act!C67</f>
        <v>3003</v>
      </c>
      <c r="D13" s="110">
        <f>TrRoad_act!D67</f>
        <v>2997</v>
      </c>
      <c r="E13" s="110">
        <f>TrRoad_act!E67</f>
        <v>3275</v>
      </c>
      <c r="F13" s="110">
        <f>TrRoad_act!F67</f>
        <v>3199</v>
      </c>
      <c r="G13" s="110">
        <f>TrRoad_act!G67</f>
        <v>3217</v>
      </c>
      <c r="H13" s="110">
        <f>TrRoad_act!H67</f>
        <v>3221</v>
      </c>
      <c r="I13" s="110">
        <f>TrRoad_act!I67</f>
        <v>3292</v>
      </c>
      <c r="J13" s="110">
        <f>TrRoad_act!J67</f>
        <v>3402</v>
      </c>
      <c r="K13" s="110">
        <f>TrRoad_act!K67</f>
        <v>3449</v>
      </c>
      <c r="L13" s="110">
        <f>TrRoad_act!L67</f>
        <v>3403</v>
      </c>
      <c r="M13" s="110">
        <f>TrRoad_act!M67</f>
        <v>3462</v>
      </c>
      <c r="N13" s="110">
        <f>TrRoad_act!N67</f>
        <v>3558</v>
      </c>
      <c r="O13" s="110">
        <f>TrRoad_act!O67</f>
        <v>3496</v>
      </c>
      <c r="P13" s="110">
        <f>TrRoad_act!P67</f>
        <v>3427</v>
      </c>
      <c r="Q13" s="110">
        <f>TrRoad_act!Q67</f>
        <v>3550</v>
      </c>
      <c r="R13" s="110">
        <f>TrRoad_act!R67</f>
        <v>3577</v>
      </c>
      <c r="S13" s="110">
        <f>TrRoad_act!S67</f>
        <v>3526</v>
      </c>
      <c r="T13" s="110">
        <f>TrRoad_act!T67</f>
        <v>3420</v>
      </c>
      <c r="U13" s="110">
        <f>TrRoad_act!U67</f>
        <v>3389</v>
      </c>
      <c r="V13" s="110">
        <f>TrRoad_act!V67</f>
        <v>2697</v>
      </c>
      <c r="W13" s="110">
        <f>TrRoad_act!W67</f>
        <v>2814</v>
      </c>
      <c r="X13" s="110">
        <f>TrRoad_act!X67</f>
        <v>2899</v>
      </c>
      <c r="Y13" s="110">
        <f>TrRoad_act!Y67</f>
        <v>3099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153</v>
      </c>
      <c r="C14" s="102">
        <f>TrRoad_act!C68</f>
        <v>151</v>
      </c>
      <c r="D14" s="102">
        <f>TrRoad_act!D68</f>
        <v>146</v>
      </c>
      <c r="E14" s="102">
        <f>TrRoad_act!E68</f>
        <v>147</v>
      </c>
      <c r="F14" s="102">
        <f>TrRoad_act!F68</f>
        <v>145</v>
      </c>
      <c r="G14" s="102">
        <f>TrRoad_act!G68</f>
        <v>144</v>
      </c>
      <c r="H14" s="102">
        <f>TrRoad_act!H68</f>
        <v>147</v>
      </c>
      <c r="I14" s="102">
        <f>TrRoad_act!I68</f>
        <v>146</v>
      </c>
      <c r="J14" s="102">
        <f>TrRoad_act!J68</f>
        <v>147</v>
      </c>
      <c r="K14" s="102">
        <f>TrRoad_act!K68</f>
        <v>144</v>
      </c>
      <c r="L14" s="102">
        <f>TrRoad_act!L68</f>
        <v>146</v>
      </c>
      <c r="M14" s="102">
        <f>TrRoad_act!M68</f>
        <v>148</v>
      </c>
      <c r="N14" s="102">
        <f>TrRoad_act!N68</f>
        <v>149</v>
      </c>
      <c r="O14" s="102">
        <f>TrRoad_act!O68</f>
        <v>147</v>
      </c>
      <c r="P14" s="102">
        <f>TrRoad_act!P68</f>
        <v>51</v>
      </c>
      <c r="Q14" s="102">
        <f>TrRoad_act!Q68</f>
        <v>45</v>
      </c>
      <c r="R14" s="102">
        <f>TrRoad_act!R68</f>
        <v>44</v>
      </c>
      <c r="S14" s="102">
        <f>TrRoad_act!S68</f>
        <v>44</v>
      </c>
      <c r="T14" s="102">
        <f>TrRoad_act!T68</f>
        <v>44</v>
      </c>
      <c r="U14" s="102">
        <f>TrRoad_act!U68</f>
        <v>44</v>
      </c>
      <c r="V14" s="102">
        <f>TrRoad_act!V68</f>
        <v>44</v>
      </c>
      <c r="W14" s="102">
        <f>TrRoad_act!W68</f>
        <v>43</v>
      </c>
      <c r="X14" s="102">
        <f>TrRoad_act!X68</f>
        <v>37</v>
      </c>
      <c r="Y14" s="102">
        <f>TrRoad_act!Y68</f>
        <v>32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2796</v>
      </c>
      <c r="C15" s="102">
        <f>TrRoad_act!C69</f>
        <v>2852</v>
      </c>
      <c r="D15" s="102">
        <f>TrRoad_act!D69</f>
        <v>2851</v>
      </c>
      <c r="E15" s="102">
        <f>TrRoad_act!E69</f>
        <v>3128</v>
      </c>
      <c r="F15" s="102">
        <f>TrRoad_act!F69</f>
        <v>3054</v>
      </c>
      <c r="G15" s="102">
        <f>TrRoad_act!G69</f>
        <v>3073</v>
      </c>
      <c r="H15" s="102">
        <f>TrRoad_act!H69</f>
        <v>3074</v>
      </c>
      <c r="I15" s="102">
        <f>TrRoad_act!I69</f>
        <v>3146</v>
      </c>
      <c r="J15" s="102">
        <f>TrRoad_act!J69</f>
        <v>3254</v>
      </c>
      <c r="K15" s="102">
        <f>TrRoad_act!K69</f>
        <v>3304</v>
      </c>
      <c r="L15" s="102">
        <f>TrRoad_act!L69</f>
        <v>3256</v>
      </c>
      <c r="M15" s="102">
        <f>TrRoad_act!M69</f>
        <v>3313</v>
      </c>
      <c r="N15" s="102">
        <f>TrRoad_act!N69</f>
        <v>3408</v>
      </c>
      <c r="O15" s="102">
        <f>TrRoad_act!O69</f>
        <v>3348</v>
      </c>
      <c r="P15" s="102">
        <f>TrRoad_act!P69</f>
        <v>3375</v>
      </c>
      <c r="Q15" s="102">
        <f>TrRoad_act!Q69</f>
        <v>3504</v>
      </c>
      <c r="R15" s="102">
        <f>TrRoad_act!R69</f>
        <v>3532</v>
      </c>
      <c r="S15" s="102">
        <f>TrRoad_act!S69</f>
        <v>3481</v>
      </c>
      <c r="T15" s="102">
        <f>TrRoad_act!T69</f>
        <v>3375</v>
      </c>
      <c r="U15" s="102">
        <f>TrRoad_act!U69</f>
        <v>3344</v>
      </c>
      <c r="V15" s="102">
        <f>TrRoad_act!V69</f>
        <v>2652</v>
      </c>
      <c r="W15" s="102">
        <f>TrRoad_act!W69</f>
        <v>2770</v>
      </c>
      <c r="X15" s="102">
        <f>TrRoad_act!X69</f>
        <v>2861</v>
      </c>
      <c r="Y15" s="102">
        <f>TrRoad_act!Y69</f>
        <v>3026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X17" s="102">
        <f>TrRoad_act!X71</f>
        <v>0</v>
      </c>
      <c r="Y17" s="102">
        <f>TrRoad_act!Y71</f>
        <v>0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1</v>
      </c>
      <c r="W18" s="102">
        <f>TrRoad_act!W72</f>
        <v>1</v>
      </c>
      <c r="X18" s="102">
        <f>TrRoad_act!X72</f>
        <v>1</v>
      </c>
      <c r="Y18" s="102">
        <f>TrRoad_act!Y72</f>
        <v>41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114641</v>
      </c>
      <c r="C19" s="28">
        <f>TrRoad_act!C73</f>
        <v>117918</v>
      </c>
      <c r="D19" s="28">
        <f>TrRoad_act!D73</f>
        <v>117757</v>
      </c>
      <c r="E19" s="28">
        <f>TrRoad_act!E73</f>
        <v>119611</v>
      </c>
      <c r="F19" s="28">
        <f>TrRoad_act!F73</f>
        <v>117813</v>
      </c>
      <c r="G19" s="28">
        <f>TrRoad_act!G73</f>
        <v>118512</v>
      </c>
      <c r="H19" s="28">
        <f>TrRoad_act!H73</f>
        <v>115923</v>
      </c>
      <c r="I19" s="28">
        <f>TrRoad_act!I73</f>
        <v>112665</v>
      </c>
      <c r="J19" s="28">
        <f>TrRoad_act!J73</f>
        <v>114962</v>
      </c>
      <c r="K19" s="28">
        <f>TrRoad_act!K73</f>
        <v>116252</v>
      </c>
      <c r="L19" s="28">
        <f>TrRoad_act!L73</f>
        <v>115843</v>
      </c>
      <c r="M19" s="28">
        <f>TrRoad_act!M73</f>
        <v>115146</v>
      </c>
      <c r="N19" s="28">
        <f>TrRoad_act!N73</f>
        <v>113869</v>
      </c>
      <c r="O19" s="28">
        <f>TrRoad_act!O73</f>
        <v>109298</v>
      </c>
      <c r="P19" s="28">
        <f>TrRoad_act!P73</f>
        <v>104675</v>
      </c>
      <c r="Q19" s="28">
        <f>TrRoad_act!Q73</f>
        <v>104035</v>
      </c>
      <c r="R19" s="28">
        <f>TrRoad_act!R73</f>
        <v>106469</v>
      </c>
      <c r="S19" s="28">
        <f>TrRoad_act!S73</f>
        <v>107880</v>
      </c>
      <c r="T19" s="28">
        <f>TrRoad_act!T73</f>
        <v>111146</v>
      </c>
      <c r="U19" s="28">
        <f>TrRoad_act!U73</f>
        <v>114790</v>
      </c>
      <c r="V19" s="28">
        <f>TrRoad_act!V73</f>
        <v>116646</v>
      </c>
      <c r="W19" s="28">
        <f>TrRoad_act!W73</f>
        <v>118250</v>
      </c>
      <c r="X19" s="28">
        <f>TrRoad_act!X73</f>
        <v>121415</v>
      </c>
      <c r="Y19" s="28">
        <f>TrRoad_act!Y73</f>
        <v>124998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99971</v>
      </c>
      <c r="C20" s="137">
        <f>TrRoad_act!C74</f>
        <v>101799</v>
      </c>
      <c r="D20" s="137">
        <f>TrRoad_act!D74</f>
        <v>102436</v>
      </c>
      <c r="E20" s="137">
        <f>TrRoad_act!E74</f>
        <v>104247</v>
      </c>
      <c r="F20" s="137">
        <f>TrRoad_act!F74</f>
        <v>102545</v>
      </c>
      <c r="G20" s="137">
        <f>TrRoad_act!G74</f>
        <v>99069</v>
      </c>
      <c r="H20" s="137">
        <f>TrRoad_act!H74</f>
        <v>96659</v>
      </c>
      <c r="I20" s="137">
        <f>TrRoad_act!I74</f>
        <v>95397</v>
      </c>
      <c r="J20" s="137">
        <f>TrRoad_act!J74</f>
        <v>96744</v>
      </c>
      <c r="K20" s="137">
        <f>TrRoad_act!K74</f>
        <v>97019</v>
      </c>
      <c r="L20" s="137">
        <f>TrRoad_act!L74</f>
        <v>96843</v>
      </c>
      <c r="M20" s="137">
        <f>TrRoad_act!M74</f>
        <v>96686</v>
      </c>
      <c r="N20" s="137">
        <f>TrRoad_act!N74</f>
        <v>96748</v>
      </c>
      <c r="O20" s="137">
        <f>TrRoad_act!O74</f>
        <v>97245</v>
      </c>
      <c r="P20" s="137">
        <f>TrRoad_act!P74</f>
        <v>93381</v>
      </c>
      <c r="Q20" s="137">
        <f>TrRoad_act!Q74</f>
        <v>92726</v>
      </c>
      <c r="R20" s="137">
        <f>TrRoad_act!R74</f>
        <v>94673</v>
      </c>
      <c r="S20" s="137">
        <f>TrRoad_act!S74</f>
        <v>95705</v>
      </c>
      <c r="T20" s="137">
        <f>TrRoad_act!T74</f>
        <v>98533</v>
      </c>
      <c r="U20" s="137">
        <f>TrRoad_act!U74</f>
        <v>101528</v>
      </c>
      <c r="V20" s="137">
        <f>TrRoad_act!V74</f>
        <v>102951</v>
      </c>
      <c r="W20" s="137">
        <f>TrRoad_act!W74</f>
        <v>104216</v>
      </c>
      <c r="X20" s="137">
        <f>TrRoad_act!X74</f>
        <v>107070</v>
      </c>
      <c r="Y20" s="137">
        <f>TrRoad_act!Y74</f>
        <v>109936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8660</v>
      </c>
      <c r="C21" s="84">
        <f>TrRoad_act!C75</f>
        <v>8951</v>
      </c>
      <c r="D21" s="84">
        <f>TrRoad_act!D75</f>
        <v>8401</v>
      </c>
      <c r="E21" s="84">
        <f>TrRoad_act!E75</f>
        <v>9166</v>
      </c>
      <c r="F21" s="84">
        <f>TrRoad_act!F75</f>
        <v>8131</v>
      </c>
      <c r="G21" s="84">
        <f>TrRoad_act!G75</f>
        <v>5825</v>
      </c>
      <c r="H21" s="84">
        <f>TrRoad_act!H75</f>
        <v>5683</v>
      </c>
      <c r="I21" s="84">
        <f>TrRoad_act!I75</f>
        <v>5187</v>
      </c>
      <c r="J21" s="84">
        <f>TrRoad_act!J75</f>
        <v>5488</v>
      </c>
      <c r="K21" s="84">
        <f>TrRoad_act!K75</f>
        <v>5485</v>
      </c>
      <c r="L21" s="84">
        <f>TrRoad_act!L75</f>
        <v>5239</v>
      </c>
      <c r="M21" s="84">
        <f>TrRoad_act!M75</f>
        <v>5137</v>
      </c>
      <c r="N21" s="84">
        <f>TrRoad_act!N75</f>
        <v>5103</v>
      </c>
      <c r="O21" s="84">
        <f>TrRoad_act!O75</f>
        <v>5144</v>
      </c>
      <c r="P21" s="84">
        <f>TrRoad_act!P75</f>
        <v>4878</v>
      </c>
      <c r="Q21" s="84">
        <f>TrRoad_act!Q75</f>
        <v>4830</v>
      </c>
      <c r="R21" s="84">
        <f>TrRoad_act!R75</f>
        <v>4861</v>
      </c>
      <c r="S21" s="84">
        <f>TrRoad_act!S75</f>
        <v>4800</v>
      </c>
      <c r="T21" s="84">
        <f>TrRoad_act!T75</f>
        <v>4868</v>
      </c>
      <c r="U21" s="84">
        <f>TrRoad_act!U75</f>
        <v>5032</v>
      </c>
      <c r="V21" s="84">
        <f>TrRoad_act!V75</f>
        <v>5159</v>
      </c>
      <c r="W21" s="84">
        <f>TrRoad_act!W75</f>
        <v>5381</v>
      </c>
      <c r="X21" s="84">
        <f>TrRoad_act!X75</f>
        <v>6242</v>
      </c>
      <c r="Y21" s="84">
        <f>TrRoad_act!Y75</f>
        <v>7086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91311</v>
      </c>
      <c r="C22" s="84">
        <f>TrRoad_act!C76</f>
        <v>92848</v>
      </c>
      <c r="D22" s="84">
        <f>TrRoad_act!D76</f>
        <v>94035</v>
      </c>
      <c r="E22" s="84">
        <f>TrRoad_act!E76</f>
        <v>95081</v>
      </c>
      <c r="F22" s="84">
        <f>TrRoad_act!F76</f>
        <v>94414</v>
      </c>
      <c r="G22" s="84">
        <f>TrRoad_act!G76</f>
        <v>93244</v>
      </c>
      <c r="H22" s="84">
        <f>TrRoad_act!H76</f>
        <v>90976</v>
      </c>
      <c r="I22" s="84">
        <f>TrRoad_act!I76</f>
        <v>90208</v>
      </c>
      <c r="J22" s="84">
        <f>TrRoad_act!J76</f>
        <v>91253</v>
      </c>
      <c r="K22" s="84">
        <f>TrRoad_act!K76</f>
        <v>91531</v>
      </c>
      <c r="L22" s="84">
        <f>TrRoad_act!L76</f>
        <v>91599</v>
      </c>
      <c r="M22" s="84">
        <f>TrRoad_act!M76</f>
        <v>91543</v>
      </c>
      <c r="N22" s="84">
        <f>TrRoad_act!N76</f>
        <v>91639</v>
      </c>
      <c r="O22" s="84">
        <f>TrRoad_act!O76</f>
        <v>92095</v>
      </c>
      <c r="P22" s="84">
        <f>TrRoad_act!P76</f>
        <v>88498</v>
      </c>
      <c r="Q22" s="84">
        <f>TrRoad_act!Q76</f>
        <v>87891</v>
      </c>
      <c r="R22" s="84">
        <f>TrRoad_act!R76</f>
        <v>89807</v>
      </c>
      <c r="S22" s="84">
        <f>TrRoad_act!S76</f>
        <v>90900</v>
      </c>
      <c r="T22" s="84">
        <f>TrRoad_act!T76</f>
        <v>93661</v>
      </c>
      <c r="U22" s="84">
        <f>TrRoad_act!U76</f>
        <v>96489</v>
      </c>
      <c r="V22" s="84">
        <f>TrRoad_act!V76</f>
        <v>97784</v>
      </c>
      <c r="W22" s="84">
        <f>TrRoad_act!W76</f>
        <v>98823</v>
      </c>
      <c r="X22" s="84">
        <f>TrRoad_act!X76</f>
        <v>100781</v>
      </c>
      <c r="Y22" s="84">
        <f>TrRoad_act!Y76</f>
        <v>102787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2</v>
      </c>
      <c r="J25" s="84">
        <f>TrRoad_act!J79</f>
        <v>3</v>
      </c>
      <c r="K25" s="84">
        <f>TrRoad_act!K79</f>
        <v>3</v>
      </c>
      <c r="L25" s="84">
        <f>TrRoad_act!L79</f>
        <v>5</v>
      </c>
      <c r="M25" s="84">
        <f>TrRoad_act!M79</f>
        <v>6</v>
      </c>
      <c r="N25" s="84">
        <f>TrRoad_act!N79</f>
        <v>6</v>
      </c>
      <c r="O25" s="84">
        <f>TrRoad_act!O79</f>
        <v>6</v>
      </c>
      <c r="P25" s="84">
        <f>TrRoad_act!P79</f>
        <v>5</v>
      </c>
      <c r="Q25" s="84">
        <f>TrRoad_act!Q79</f>
        <v>5</v>
      </c>
      <c r="R25" s="84">
        <f>TrRoad_act!R79</f>
        <v>5</v>
      </c>
      <c r="S25" s="84">
        <f>TrRoad_act!S79</f>
        <v>5</v>
      </c>
      <c r="T25" s="84">
        <f>TrRoad_act!T79</f>
        <v>4</v>
      </c>
      <c r="U25" s="84">
        <f>TrRoad_act!U79</f>
        <v>7</v>
      </c>
      <c r="V25" s="84">
        <f>TrRoad_act!V79</f>
        <v>8</v>
      </c>
      <c r="W25" s="84">
        <f>TrRoad_act!W79</f>
        <v>12</v>
      </c>
      <c r="X25" s="84">
        <f>TrRoad_act!X79</f>
        <v>47</v>
      </c>
      <c r="Y25" s="84">
        <f>TrRoad_act!Y79</f>
        <v>63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14670</v>
      </c>
      <c r="C26" s="110">
        <f>TrRoad_act!C80</f>
        <v>16119</v>
      </c>
      <c r="D26" s="110">
        <f>TrRoad_act!D80</f>
        <v>15321</v>
      </c>
      <c r="E26" s="110">
        <f>TrRoad_act!E80</f>
        <v>15364</v>
      </c>
      <c r="F26" s="110">
        <f>TrRoad_act!F80</f>
        <v>15268</v>
      </c>
      <c r="G26" s="110">
        <f>TrRoad_act!G80</f>
        <v>19443</v>
      </c>
      <c r="H26" s="110">
        <f>TrRoad_act!H80</f>
        <v>19264</v>
      </c>
      <c r="I26" s="110">
        <f>TrRoad_act!I80</f>
        <v>17268</v>
      </c>
      <c r="J26" s="110">
        <f>TrRoad_act!J80</f>
        <v>18218</v>
      </c>
      <c r="K26" s="110">
        <f>TrRoad_act!K80</f>
        <v>19233</v>
      </c>
      <c r="L26" s="110">
        <f>TrRoad_act!L80</f>
        <v>19000</v>
      </c>
      <c r="M26" s="110">
        <f>TrRoad_act!M80</f>
        <v>18460</v>
      </c>
      <c r="N26" s="110">
        <f>TrRoad_act!N80</f>
        <v>17121</v>
      </c>
      <c r="O26" s="110">
        <f>TrRoad_act!O80</f>
        <v>12053</v>
      </c>
      <c r="P26" s="110">
        <f>TrRoad_act!P80</f>
        <v>11294</v>
      </c>
      <c r="Q26" s="110">
        <f>TrRoad_act!Q80</f>
        <v>11309</v>
      </c>
      <c r="R26" s="110">
        <f>TrRoad_act!R80</f>
        <v>11796</v>
      </c>
      <c r="S26" s="110">
        <f>TrRoad_act!S80</f>
        <v>12175</v>
      </c>
      <c r="T26" s="110">
        <f>TrRoad_act!T80</f>
        <v>12613</v>
      </c>
      <c r="U26" s="110">
        <f>TrRoad_act!U80</f>
        <v>13262</v>
      </c>
      <c r="V26" s="110">
        <f>TrRoad_act!V80</f>
        <v>13695</v>
      </c>
      <c r="W26" s="110">
        <f>TrRoad_act!W80</f>
        <v>14034</v>
      </c>
      <c r="X26" s="110">
        <f>TrRoad_act!X80</f>
        <v>14345</v>
      </c>
      <c r="Y26" s="110">
        <f>TrRoad_act!Y80</f>
        <v>15062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14670</v>
      </c>
      <c r="C27" s="102">
        <f>TrRoad_act!C81</f>
        <v>16119</v>
      </c>
      <c r="D27" s="102">
        <f>TrRoad_act!D81</f>
        <v>15321</v>
      </c>
      <c r="E27" s="102">
        <f>TrRoad_act!E81</f>
        <v>15364</v>
      </c>
      <c r="F27" s="102">
        <f>TrRoad_act!F81</f>
        <v>15268</v>
      </c>
      <c r="G27" s="102">
        <f>TrRoad_act!G81</f>
        <v>19443</v>
      </c>
      <c r="H27" s="102">
        <f>TrRoad_act!H81</f>
        <v>19264</v>
      </c>
      <c r="I27" s="102">
        <f>TrRoad_act!I81</f>
        <v>17268</v>
      </c>
      <c r="J27" s="102">
        <f>TrRoad_act!J81</f>
        <v>18218</v>
      </c>
      <c r="K27" s="102">
        <f>TrRoad_act!K81</f>
        <v>19233</v>
      </c>
      <c r="L27" s="102">
        <f>TrRoad_act!L81</f>
        <v>19000</v>
      </c>
      <c r="M27" s="102">
        <f>TrRoad_act!M81</f>
        <v>18460</v>
      </c>
      <c r="N27" s="102">
        <f>TrRoad_act!N81</f>
        <v>17121</v>
      </c>
      <c r="O27" s="102">
        <f>TrRoad_act!O81</f>
        <v>12053</v>
      </c>
      <c r="P27" s="102">
        <f>TrRoad_act!P81</f>
        <v>11294</v>
      </c>
      <c r="Q27" s="102">
        <f>TrRoad_act!Q81</f>
        <v>11309</v>
      </c>
      <c r="R27" s="102">
        <f>TrRoad_act!R81</f>
        <v>11796</v>
      </c>
      <c r="S27" s="102">
        <f>TrRoad_act!S81</f>
        <v>12175</v>
      </c>
      <c r="T27" s="102">
        <f>TrRoad_act!T81</f>
        <v>12613</v>
      </c>
      <c r="U27" s="102">
        <f>TrRoad_act!U81</f>
        <v>13262</v>
      </c>
      <c r="V27" s="102">
        <f>TrRoad_act!V81</f>
        <v>13695</v>
      </c>
      <c r="W27" s="102">
        <f>TrRoad_act!W81</f>
        <v>14034</v>
      </c>
      <c r="X27" s="102">
        <f>TrRoad_act!X81</f>
        <v>14345</v>
      </c>
      <c r="Y27" s="102">
        <f>TrRoad_act!Y81</f>
        <v>15062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0</v>
      </c>
      <c r="C28" s="86">
        <f>TrRoad_act!C82</f>
        <v>0</v>
      </c>
      <c r="D28" s="86">
        <f>TrRoad_act!D82</f>
        <v>0</v>
      </c>
      <c r="E28" s="86">
        <f>TrRoad_act!E82</f>
        <v>0</v>
      </c>
      <c r="F28" s="86">
        <f>TrRoad_act!F82</f>
        <v>0</v>
      </c>
      <c r="G28" s="86">
        <f>TrRoad_act!G82</f>
        <v>0</v>
      </c>
      <c r="H28" s="86">
        <f>TrRoad_act!H82</f>
        <v>0</v>
      </c>
      <c r="I28" s="86">
        <f>TrRoad_act!I82</f>
        <v>0</v>
      </c>
      <c r="J28" s="86">
        <f>TrRoad_act!J82</f>
        <v>0</v>
      </c>
      <c r="K28" s="86">
        <f>TrRoad_act!K82</f>
        <v>0</v>
      </c>
      <c r="L28" s="86">
        <f>TrRoad_act!L82</f>
        <v>0</v>
      </c>
      <c r="M28" s="86">
        <f>TrRoad_act!M82</f>
        <v>0</v>
      </c>
      <c r="N28" s="86">
        <f>TrRoad_act!N82</f>
        <v>0</v>
      </c>
      <c r="O28" s="86">
        <f>TrRoad_act!O82</f>
        <v>0</v>
      </c>
      <c r="P28" s="86">
        <f>TrRoad_act!P82</f>
        <v>0</v>
      </c>
      <c r="Q28" s="86">
        <f>TrRoad_act!Q82</f>
        <v>0</v>
      </c>
      <c r="R28" s="86">
        <f>TrRoad_act!R82</f>
        <v>0</v>
      </c>
      <c r="S28" s="86">
        <f>TrRoad_act!S82</f>
        <v>0</v>
      </c>
      <c r="T28" s="86">
        <f>TrRoad_act!T82</f>
        <v>0</v>
      </c>
      <c r="U28" s="86">
        <f>TrRoad_act!U82</f>
        <v>0</v>
      </c>
      <c r="V28" s="86">
        <f>TrRoad_act!V82</f>
        <v>0</v>
      </c>
      <c r="W28" s="86">
        <f>TrRoad_act!W82</f>
        <v>0</v>
      </c>
      <c r="X28" s="86">
        <f>TrRoad_act!X82</f>
        <v>0</v>
      </c>
      <c r="Y28" s="86">
        <f>TrRoad_act!Y82</f>
        <v>0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28616</v>
      </c>
      <c r="C30" s="54">
        <f>TrRoad_act!C111</f>
        <v>35441</v>
      </c>
      <c r="D30" s="54">
        <f>TrRoad_act!D111</f>
        <v>37794</v>
      </c>
      <c r="E30" s="54">
        <f>TrRoad_act!E111</f>
        <v>40169</v>
      </c>
      <c r="F30" s="54">
        <f>TrRoad_act!F111</f>
        <v>53146</v>
      </c>
      <c r="G30" s="54">
        <f>TrRoad_act!G111</f>
        <v>51165</v>
      </c>
      <c r="H30" s="54">
        <f>TrRoad_act!H111</f>
        <v>46675</v>
      </c>
      <c r="I30" s="54">
        <f>TrRoad_act!I111</f>
        <v>63099</v>
      </c>
      <c r="J30" s="54">
        <f>TrRoad_act!J111</f>
        <v>66834</v>
      </c>
      <c r="K30" s="54">
        <f>TrRoad_act!K111</f>
        <v>64344</v>
      </c>
      <c r="L30" s="54">
        <f>TrRoad_act!L111</f>
        <v>45151</v>
      </c>
      <c r="M30" s="54">
        <f>TrRoad_act!M111</f>
        <v>39224</v>
      </c>
      <c r="N30" s="54">
        <f>TrRoad_act!N111</f>
        <v>30709</v>
      </c>
      <c r="O30" s="54">
        <f>TrRoad_act!O111</f>
        <v>24324</v>
      </c>
      <c r="P30" s="54">
        <f>TrRoad_act!P111</f>
        <v>24951</v>
      </c>
      <c r="Q30" s="54">
        <f>TrRoad_act!Q111</f>
        <v>29316</v>
      </c>
      <c r="R30" s="54">
        <f>TrRoad_act!R111</f>
        <v>36534</v>
      </c>
      <c r="S30" s="54">
        <f>TrRoad_act!S111</f>
        <v>44143</v>
      </c>
      <c r="T30" s="54">
        <f>TrRoad_act!T111</f>
        <v>51350</v>
      </c>
      <c r="U30" s="54">
        <f>TrRoad_act!U111</f>
        <v>47366</v>
      </c>
      <c r="V30" s="54">
        <f>TrRoad_act!V111</f>
        <v>39308</v>
      </c>
      <c r="W30" s="54">
        <f>TrRoad_act!W111</f>
        <v>43534</v>
      </c>
      <c r="X30" s="54">
        <f>TrRoad_act!X111</f>
        <v>36641</v>
      </c>
      <c r="Y30" s="54">
        <f>TrRoad_act!Y111</f>
        <v>56698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21856</v>
      </c>
      <c r="C31" s="28">
        <f>TrRoad_act!C112</f>
        <v>27554</v>
      </c>
      <c r="D31" s="28">
        <f>TrRoad_act!D112</f>
        <v>30464</v>
      </c>
      <c r="E31" s="28">
        <f>TrRoad_act!E112</f>
        <v>32135</v>
      </c>
      <c r="F31" s="28">
        <f>TrRoad_act!F112</f>
        <v>46238</v>
      </c>
      <c r="G31" s="28">
        <f>TrRoad_act!G112</f>
        <v>41273</v>
      </c>
      <c r="H31" s="28">
        <f>TrRoad_act!H112</f>
        <v>40283</v>
      </c>
      <c r="I31" s="28">
        <f>TrRoad_act!I112</f>
        <v>54844</v>
      </c>
      <c r="J31" s="28">
        <f>TrRoad_act!J112</f>
        <v>56257</v>
      </c>
      <c r="K31" s="28">
        <f>TrRoad_act!K112</f>
        <v>54844</v>
      </c>
      <c r="L31" s="28">
        <f>TrRoad_act!L112</f>
        <v>36144</v>
      </c>
      <c r="M31" s="28">
        <f>TrRoad_act!M112</f>
        <v>30673</v>
      </c>
      <c r="N31" s="28">
        <f>TrRoad_act!N112</f>
        <v>22807</v>
      </c>
      <c r="O31" s="28">
        <f>TrRoad_act!O112</f>
        <v>16523</v>
      </c>
      <c r="P31" s="28">
        <f>TrRoad_act!P112</f>
        <v>19929</v>
      </c>
      <c r="Q31" s="28">
        <f>TrRoad_act!Q112</f>
        <v>23348</v>
      </c>
      <c r="R31" s="28">
        <f>TrRoad_act!R112</f>
        <v>30078</v>
      </c>
      <c r="S31" s="28">
        <f>TrRoad_act!S112</f>
        <v>38242</v>
      </c>
      <c r="T31" s="28">
        <f>TrRoad_act!T112</f>
        <v>44108</v>
      </c>
      <c r="U31" s="28">
        <f>TrRoad_act!U112</f>
        <v>39844</v>
      </c>
      <c r="V31" s="28">
        <f>TrRoad_act!V112</f>
        <v>33744</v>
      </c>
      <c r="W31" s="28">
        <f>TrRoad_act!W112</f>
        <v>37743</v>
      </c>
      <c r="X31" s="28">
        <f>TrRoad_act!X112</f>
        <v>29188</v>
      </c>
      <c r="Y31" s="28">
        <f>TrRoad_act!Y112</f>
        <v>48817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2551</v>
      </c>
      <c r="C32" s="137">
        <f>TrRoad_act!C113</f>
        <v>2834</v>
      </c>
      <c r="D32" s="137">
        <f>TrRoad_act!D113</f>
        <v>2145</v>
      </c>
      <c r="E32" s="137">
        <f>TrRoad_act!E113</f>
        <v>1844</v>
      </c>
      <c r="F32" s="137">
        <f>TrRoad_act!F113</f>
        <v>2273</v>
      </c>
      <c r="G32" s="137">
        <f>TrRoad_act!G113</f>
        <v>2455</v>
      </c>
      <c r="H32" s="137">
        <f>TrRoad_act!H113</f>
        <v>2925</v>
      </c>
      <c r="I32" s="137">
        <f>TrRoad_act!I113</f>
        <v>3710</v>
      </c>
      <c r="J32" s="137">
        <f>TrRoad_act!J113</f>
        <v>4459</v>
      </c>
      <c r="K32" s="137">
        <f>TrRoad_act!K113</f>
        <v>3140</v>
      </c>
      <c r="L32" s="137">
        <f>TrRoad_act!L113</f>
        <v>3060</v>
      </c>
      <c r="M32" s="137">
        <f>TrRoad_act!M113</f>
        <v>2527</v>
      </c>
      <c r="N32" s="137">
        <f>TrRoad_act!N113</f>
        <v>2074</v>
      </c>
      <c r="O32" s="137">
        <f>TrRoad_act!O113</f>
        <v>1675</v>
      </c>
      <c r="P32" s="137">
        <f>TrRoad_act!P113</f>
        <v>1901</v>
      </c>
      <c r="Q32" s="137">
        <f>TrRoad_act!Q113</f>
        <v>1673</v>
      </c>
      <c r="R32" s="137">
        <f>TrRoad_act!R113</f>
        <v>1996</v>
      </c>
      <c r="S32" s="137">
        <f>TrRoad_act!S113</f>
        <v>2023.0000000000002</v>
      </c>
      <c r="T32" s="137">
        <f>TrRoad_act!T113</f>
        <v>2320</v>
      </c>
      <c r="U32" s="137">
        <f>TrRoad_act!U113</f>
        <v>1937</v>
      </c>
      <c r="V32" s="137">
        <f>TrRoad_act!V113</f>
        <v>2541</v>
      </c>
      <c r="W32" s="137">
        <f>TrRoad_act!W113</f>
        <v>2939</v>
      </c>
      <c r="X32" s="137">
        <f>TrRoad_act!X113</f>
        <v>2328</v>
      </c>
      <c r="Y32" s="137">
        <f>TrRoad_act!Y113</f>
        <v>2990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19056</v>
      </c>
      <c r="C33" s="110">
        <f>TrRoad_act!C114</f>
        <v>24533</v>
      </c>
      <c r="D33" s="110">
        <f>TrRoad_act!D114</f>
        <v>28101</v>
      </c>
      <c r="E33" s="110">
        <f>TrRoad_act!E114</f>
        <v>29961</v>
      </c>
      <c r="F33" s="110">
        <f>TrRoad_act!F114</f>
        <v>43842</v>
      </c>
      <c r="G33" s="110">
        <f>TrRoad_act!G114</f>
        <v>38676</v>
      </c>
      <c r="H33" s="110">
        <f>TrRoad_act!H114</f>
        <v>37192</v>
      </c>
      <c r="I33" s="110">
        <f>TrRoad_act!I114</f>
        <v>50908</v>
      </c>
      <c r="J33" s="110">
        <f>TrRoad_act!J114</f>
        <v>51528</v>
      </c>
      <c r="K33" s="110">
        <f>TrRoad_act!K114</f>
        <v>51515</v>
      </c>
      <c r="L33" s="110">
        <f>TrRoad_act!L114</f>
        <v>32680</v>
      </c>
      <c r="M33" s="110">
        <f>TrRoad_act!M114</f>
        <v>27929</v>
      </c>
      <c r="N33" s="110">
        <f>TrRoad_act!N114</f>
        <v>20556</v>
      </c>
      <c r="O33" s="110">
        <f>TrRoad_act!O114</f>
        <v>14777</v>
      </c>
      <c r="P33" s="110">
        <f>TrRoad_act!P114</f>
        <v>17945</v>
      </c>
      <c r="Q33" s="110">
        <f>TrRoad_act!Q114</f>
        <v>21488</v>
      </c>
      <c r="R33" s="110">
        <f>TrRoad_act!R114</f>
        <v>27968</v>
      </c>
      <c r="S33" s="110">
        <f>TrRoad_act!S114</f>
        <v>36114</v>
      </c>
      <c r="T33" s="110">
        <f>TrRoad_act!T114</f>
        <v>41687</v>
      </c>
      <c r="U33" s="110">
        <f>TrRoad_act!U114</f>
        <v>37832</v>
      </c>
      <c r="V33" s="110">
        <f>TrRoad_act!V114</f>
        <v>30913</v>
      </c>
      <c r="W33" s="110">
        <f>TrRoad_act!W114</f>
        <v>34640</v>
      </c>
      <c r="X33" s="110">
        <f>TrRoad_act!X114</f>
        <v>26721</v>
      </c>
      <c r="Y33" s="110">
        <f>TrRoad_act!Y114</f>
        <v>45485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16430</v>
      </c>
      <c r="C34" s="84">
        <f>TrRoad_act!C115</f>
        <v>21469</v>
      </c>
      <c r="D34" s="84">
        <f>TrRoad_act!D115</f>
        <v>25866</v>
      </c>
      <c r="E34" s="84">
        <f>TrRoad_act!E115</f>
        <v>28618</v>
      </c>
      <c r="F34" s="84">
        <f>TrRoad_act!F115</f>
        <v>42778</v>
      </c>
      <c r="G34" s="84">
        <f>TrRoad_act!G115</f>
        <v>37383</v>
      </c>
      <c r="H34" s="84">
        <f>TrRoad_act!H115</f>
        <v>35768</v>
      </c>
      <c r="I34" s="84">
        <f>TrRoad_act!I115</f>
        <v>46812</v>
      </c>
      <c r="J34" s="84">
        <f>TrRoad_act!J115</f>
        <v>45176</v>
      </c>
      <c r="K34" s="84">
        <f>TrRoad_act!K115</f>
        <v>45176</v>
      </c>
      <c r="L34" s="84">
        <f>TrRoad_act!L115</f>
        <v>26802</v>
      </c>
      <c r="M34" s="84">
        <f>TrRoad_act!M115</f>
        <v>22967</v>
      </c>
      <c r="N34" s="84">
        <f>TrRoad_act!N115</f>
        <v>16875</v>
      </c>
      <c r="O34" s="84">
        <f>TrRoad_act!O115</f>
        <v>11773</v>
      </c>
      <c r="P34" s="84">
        <f>TrRoad_act!P115</f>
        <v>12151</v>
      </c>
      <c r="Q34" s="84">
        <f>TrRoad_act!Q115</f>
        <v>14786</v>
      </c>
      <c r="R34" s="84">
        <f>TrRoad_act!R115</f>
        <v>17581</v>
      </c>
      <c r="S34" s="84">
        <f>TrRoad_act!S115</f>
        <v>20532</v>
      </c>
      <c r="T34" s="84">
        <f>TrRoad_act!T115</f>
        <v>22546</v>
      </c>
      <c r="U34" s="84">
        <f>TrRoad_act!U115</f>
        <v>20808</v>
      </c>
      <c r="V34" s="84">
        <f>TrRoad_act!V115</f>
        <v>18114</v>
      </c>
      <c r="W34" s="84">
        <f>TrRoad_act!W115</f>
        <v>23444</v>
      </c>
      <c r="X34" s="84">
        <f>TrRoad_act!X115</f>
        <v>22633</v>
      </c>
      <c r="Y34" s="84">
        <f>TrRoad_act!Y115</f>
        <v>35958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2626</v>
      </c>
      <c r="C35" s="84">
        <f>TrRoad_act!C116</f>
        <v>3064</v>
      </c>
      <c r="D35" s="84">
        <f>TrRoad_act!D116</f>
        <v>2235</v>
      </c>
      <c r="E35" s="84">
        <f>TrRoad_act!E116</f>
        <v>1343</v>
      </c>
      <c r="F35" s="84">
        <f>TrRoad_act!F116</f>
        <v>1064</v>
      </c>
      <c r="G35" s="84">
        <f>TrRoad_act!G116</f>
        <v>1293</v>
      </c>
      <c r="H35" s="84">
        <f>TrRoad_act!H116</f>
        <v>1424</v>
      </c>
      <c r="I35" s="84">
        <f>TrRoad_act!I116</f>
        <v>4096</v>
      </c>
      <c r="J35" s="84">
        <f>TrRoad_act!J116</f>
        <v>6352</v>
      </c>
      <c r="K35" s="84">
        <f>TrRoad_act!K116</f>
        <v>6339</v>
      </c>
      <c r="L35" s="84">
        <f>TrRoad_act!L116</f>
        <v>5878</v>
      </c>
      <c r="M35" s="84">
        <f>TrRoad_act!M116</f>
        <v>4962</v>
      </c>
      <c r="N35" s="84">
        <f>TrRoad_act!N116</f>
        <v>3681</v>
      </c>
      <c r="O35" s="84">
        <f>TrRoad_act!O116</f>
        <v>2998</v>
      </c>
      <c r="P35" s="84">
        <f>TrRoad_act!P116</f>
        <v>5782</v>
      </c>
      <c r="Q35" s="84">
        <f>TrRoad_act!Q116</f>
        <v>6667</v>
      </c>
      <c r="R35" s="84">
        <f>TrRoad_act!R116</f>
        <v>10344</v>
      </c>
      <c r="S35" s="84">
        <f>TrRoad_act!S116</f>
        <v>15478</v>
      </c>
      <c r="T35" s="84">
        <f>TrRoad_act!T116</f>
        <v>18100</v>
      </c>
      <c r="U35" s="84">
        <f>TrRoad_act!U116</f>
        <v>16873</v>
      </c>
      <c r="V35" s="84">
        <f>TrRoad_act!V116</f>
        <v>12635</v>
      </c>
      <c r="W35" s="84">
        <f>TrRoad_act!W116</f>
        <v>10960</v>
      </c>
      <c r="X35" s="84">
        <f>TrRoad_act!X116</f>
        <v>3454</v>
      </c>
      <c r="Y35" s="84">
        <f>TrRoad_act!Y116</f>
        <v>8216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0</v>
      </c>
      <c r="M36" s="84">
        <f>TrRoad_act!M117</f>
        <v>0</v>
      </c>
      <c r="N36" s="84">
        <f>TrRoad_act!N117</f>
        <v>0</v>
      </c>
      <c r="O36" s="84">
        <f>TrRoad_act!O117</f>
        <v>0</v>
      </c>
      <c r="P36" s="84">
        <f>TrRoad_act!P117</f>
        <v>0</v>
      </c>
      <c r="Q36" s="84">
        <f>TrRoad_act!Q117</f>
        <v>0</v>
      </c>
      <c r="R36" s="84">
        <f>TrRoad_act!R117</f>
        <v>0</v>
      </c>
      <c r="S36" s="84">
        <f>TrRoad_act!S117</f>
        <v>0</v>
      </c>
      <c r="T36" s="84">
        <f>TrRoad_act!T117</f>
        <v>950</v>
      </c>
      <c r="U36" s="84">
        <f>TrRoad_act!U117</f>
        <v>0</v>
      </c>
      <c r="V36" s="84">
        <f>TrRoad_act!V117</f>
        <v>0</v>
      </c>
      <c r="W36" s="84">
        <f>TrRoad_act!W117</f>
        <v>2</v>
      </c>
      <c r="X36" s="84">
        <f>TrRoad_act!X117</f>
        <v>2</v>
      </c>
      <c r="Y36" s="84">
        <f>TrRoad_act!Y117</f>
        <v>0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X37" s="84">
        <f>TrRoad_act!X118</f>
        <v>0</v>
      </c>
      <c r="Y37" s="84">
        <f>TrRoad_act!Y118</f>
        <v>0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0</v>
      </c>
      <c r="P38" s="84">
        <f>TrRoad_act!P119</f>
        <v>3</v>
      </c>
      <c r="Q38" s="84">
        <f>TrRoad_act!Q119</f>
        <v>26</v>
      </c>
      <c r="R38" s="84">
        <f>TrRoad_act!R119</f>
        <v>22</v>
      </c>
      <c r="S38" s="84">
        <f>TrRoad_act!S119</f>
        <v>55</v>
      </c>
      <c r="T38" s="84">
        <f>TrRoad_act!T119</f>
        <v>54</v>
      </c>
      <c r="U38" s="84">
        <f>TrRoad_act!U119</f>
        <v>88</v>
      </c>
      <c r="V38" s="84">
        <f>TrRoad_act!V119</f>
        <v>79</v>
      </c>
      <c r="W38" s="84">
        <f>TrRoad_act!W119</f>
        <v>149</v>
      </c>
      <c r="X38" s="84">
        <f>TrRoad_act!X119</f>
        <v>231</v>
      </c>
      <c r="Y38" s="84">
        <f>TrRoad_act!Y119</f>
        <v>515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0</v>
      </c>
      <c r="O39" s="84">
        <f>TrRoad_act!O120</f>
        <v>6</v>
      </c>
      <c r="P39" s="84">
        <f>TrRoad_act!P120</f>
        <v>9</v>
      </c>
      <c r="Q39" s="84">
        <f>TrRoad_act!Q120</f>
        <v>9</v>
      </c>
      <c r="R39" s="84">
        <f>TrRoad_act!R120</f>
        <v>21</v>
      </c>
      <c r="S39" s="84">
        <f>TrRoad_act!S120</f>
        <v>49</v>
      </c>
      <c r="T39" s="84">
        <f>TrRoad_act!T120</f>
        <v>37</v>
      </c>
      <c r="U39" s="84">
        <f>TrRoad_act!U120</f>
        <v>63</v>
      </c>
      <c r="V39" s="84">
        <f>TrRoad_act!V120</f>
        <v>85</v>
      </c>
      <c r="W39" s="84">
        <f>TrRoad_act!W120</f>
        <v>85</v>
      </c>
      <c r="X39" s="84">
        <f>TrRoad_act!X120</f>
        <v>401</v>
      </c>
      <c r="Y39" s="84">
        <f>TrRoad_act!Y120</f>
        <v>796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249</v>
      </c>
      <c r="C40" s="110">
        <f>TrRoad_act!C121</f>
        <v>187</v>
      </c>
      <c r="D40" s="110">
        <f>TrRoad_act!D121</f>
        <v>218</v>
      </c>
      <c r="E40" s="110">
        <f>TrRoad_act!E121</f>
        <v>330</v>
      </c>
      <c r="F40" s="110">
        <f>TrRoad_act!F121</f>
        <v>123</v>
      </c>
      <c r="G40" s="110">
        <f>TrRoad_act!G121</f>
        <v>142</v>
      </c>
      <c r="H40" s="110">
        <f>TrRoad_act!H121</f>
        <v>166</v>
      </c>
      <c r="I40" s="110">
        <f>TrRoad_act!I121</f>
        <v>226</v>
      </c>
      <c r="J40" s="110">
        <f>TrRoad_act!J121</f>
        <v>270</v>
      </c>
      <c r="K40" s="110">
        <f>TrRoad_act!K121</f>
        <v>189</v>
      </c>
      <c r="L40" s="110">
        <f>TrRoad_act!L121</f>
        <v>404</v>
      </c>
      <c r="M40" s="110">
        <f>TrRoad_act!M121</f>
        <v>217</v>
      </c>
      <c r="N40" s="110">
        <f>TrRoad_act!N121</f>
        <v>177</v>
      </c>
      <c r="O40" s="110">
        <f>TrRoad_act!O121</f>
        <v>71</v>
      </c>
      <c r="P40" s="110">
        <f>TrRoad_act!P121</f>
        <v>83</v>
      </c>
      <c r="Q40" s="110">
        <f>TrRoad_act!Q121</f>
        <v>187</v>
      </c>
      <c r="R40" s="110">
        <f>TrRoad_act!R121</f>
        <v>114</v>
      </c>
      <c r="S40" s="110">
        <f>TrRoad_act!S121</f>
        <v>105</v>
      </c>
      <c r="T40" s="110">
        <f>TrRoad_act!T121</f>
        <v>101</v>
      </c>
      <c r="U40" s="110">
        <f>TrRoad_act!U121</f>
        <v>75</v>
      </c>
      <c r="V40" s="110">
        <f>TrRoad_act!V121</f>
        <v>290</v>
      </c>
      <c r="W40" s="110">
        <f>TrRoad_act!W121</f>
        <v>164</v>
      </c>
      <c r="X40" s="110">
        <f>TrRoad_act!X121</f>
        <v>139</v>
      </c>
      <c r="Y40" s="110">
        <f>TrRoad_act!Y121</f>
        <v>342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1</v>
      </c>
      <c r="F41" s="102">
        <f>TrRoad_act!F122</f>
        <v>0</v>
      </c>
      <c r="G41" s="102">
        <f>TrRoad_act!G122</f>
        <v>0</v>
      </c>
      <c r="H41" s="102">
        <f>TrRoad_act!H122</f>
        <v>3</v>
      </c>
      <c r="I41" s="102">
        <f>TrRoad_act!I122</f>
        <v>0</v>
      </c>
      <c r="J41" s="102">
        <f>TrRoad_act!J122</f>
        <v>1</v>
      </c>
      <c r="K41" s="102">
        <f>TrRoad_act!K122</f>
        <v>0</v>
      </c>
      <c r="L41" s="102">
        <f>TrRoad_act!L122</f>
        <v>3</v>
      </c>
      <c r="M41" s="102">
        <f>TrRoad_act!M122</f>
        <v>2</v>
      </c>
      <c r="N41" s="102">
        <f>TrRoad_act!N122</f>
        <v>1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248</v>
      </c>
      <c r="C42" s="102">
        <f>TrRoad_act!C123</f>
        <v>187</v>
      </c>
      <c r="D42" s="102">
        <f>TrRoad_act!D123</f>
        <v>218</v>
      </c>
      <c r="E42" s="102">
        <f>TrRoad_act!E123</f>
        <v>329</v>
      </c>
      <c r="F42" s="102">
        <f>TrRoad_act!F123</f>
        <v>123</v>
      </c>
      <c r="G42" s="102">
        <f>TrRoad_act!G123</f>
        <v>142</v>
      </c>
      <c r="H42" s="102">
        <f>TrRoad_act!H123</f>
        <v>163</v>
      </c>
      <c r="I42" s="102">
        <f>TrRoad_act!I123</f>
        <v>226</v>
      </c>
      <c r="J42" s="102">
        <f>TrRoad_act!J123</f>
        <v>268</v>
      </c>
      <c r="K42" s="102">
        <f>TrRoad_act!K123</f>
        <v>189</v>
      </c>
      <c r="L42" s="102">
        <f>TrRoad_act!L123</f>
        <v>401</v>
      </c>
      <c r="M42" s="102">
        <f>TrRoad_act!M123</f>
        <v>215</v>
      </c>
      <c r="N42" s="102">
        <f>TrRoad_act!N123</f>
        <v>176</v>
      </c>
      <c r="O42" s="102">
        <f>TrRoad_act!O123</f>
        <v>71</v>
      </c>
      <c r="P42" s="102">
        <f>TrRoad_act!P123</f>
        <v>83</v>
      </c>
      <c r="Q42" s="102">
        <f>TrRoad_act!Q123</f>
        <v>187</v>
      </c>
      <c r="R42" s="102">
        <f>TrRoad_act!R123</f>
        <v>114</v>
      </c>
      <c r="S42" s="102">
        <f>TrRoad_act!S123</f>
        <v>105</v>
      </c>
      <c r="T42" s="102">
        <f>TrRoad_act!T123</f>
        <v>101</v>
      </c>
      <c r="U42" s="102">
        <f>TrRoad_act!U123</f>
        <v>74</v>
      </c>
      <c r="V42" s="102">
        <f>TrRoad_act!V123</f>
        <v>289</v>
      </c>
      <c r="W42" s="102">
        <f>TrRoad_act!W123</f>
        <v>164</v>
      </c>
      <c r="X42" s="102">
        <f>TrRoad_act!X123</f>
        <v>139</v>
      </c>
      <c r="Y42" s="102">
        <f>TrRoad_act!Y123</f>
        <v>302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X44" s="102">
        <f>TrRoad_act!X125</f>
        <v>0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0</v>
      </c>
      <c r="V45" s="102">
        <f>TrRoad_act!V126</f>
        <v>1</v>
      </c>
      <c r="W45" s="102">
        <f>TrRoad_act!W126</f>
        <v>0</v>
      </c>
      <c r="X45" s="102">
        <f>TrRoad_act!X126</f>
        <v>0</v>
      </c>
      <c r="Y45" s="102">
        <f>TrRoad_act!Y126</f>
        <v>40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6760</v>
      </c>
      <c r="C46" s="28">
        <f>TrRoad_act!C127</f>
        <v>7887</v>
      </c>
      <c r="D46" s="28">
        <f>TrRoad_act!D127</f>
        <v>7330</v>
      </c>
      <c r="E46" s="28">
        <f>TrRoad_act!E127</f>
        <v>8034</v>
      </c>
      <c r="F46" s="28">
        <f>TrRoad_act!F127</f>
        <v>6908</v>
      </c>
      <c r="G46" s="28">
        <f>TrRoad_act!G127</f>
        <v>9892</v>
      </c>
      <c r="H46" s="28">
        <f>TrRoad_act!H127</f>
        <v>6392</v>
      </c>
      <c r="I46" s="28">
        <f>TrRoad_act!I127</f>
        <v>8255</v>
      </c>
      <c r="J46" s="28">
        <f>TrRoad_act!J127</f>
        <v>10577</v>
      </c>
      <c r="K46" s="28">
        <f>TrRoad_act!K127</f>
        <v>9500</v>
      </c>
      <c r="L46" s="28">
        <f>TrRoad_act!L127</f>
        <v>9007</v>
      </c>
      <c r="M46" s="28">
        <f>TrRoad_act!M127</f>
        <v>8551</v>
      </c>
      <c r="N46" s="28">
        <f>TrRoad_act!N127</f>
        <v>7902</v>
      </c>
      <c r="O46" s="28">
        <f>TrRoad_act!O127</f>
        <v>7801</v>
      </c>
      <c r="P46" s="28">
        <f>TrRoad_act!P127</f>
        <v>5022</v>
      </c>
      <c r="Q46" s="28">
        <f>TrRoad_act!Q127</f>
        <v>5968</v>
      </c>
      <c r="R46" s="28">
        <f>TrRoad_act!R127</f>
        <v>6456</v>
      </c>
      <c r="S46" s="28">
        <f>TrRoad_act!S127</f>
        <v>5901</v>
      </c>
      <c r="T46" s="28">
        <f>TrRoad_act!T127</f>
        <v>7242</v>
      </c>
      <c r="U46" s="28">
        <f>TrRoad_act!U127</f>
        <v>7522</v>
      </c>
      <c r="V46" s="28">
        <f>TrRoad_act!V127</f>
        <v>5564</v>
      </c>
      <c r="W46" s="28">
        <f>TrRoad_act!W127</f>
        <v>5791</v>
      </c>
      <c r="X46" s="28">
        <f>TrRoad_act!X127</f>
        <v>7453</v>
      </c>
      <c r="Y46" s="28">
        <f>TrRoad_act!Y127</f>
        <v>7881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192</v>
      </c>
      <c r="C47" s="137">
        <f>TrRoad_act!C128</f>
        <v>6068</v>
      </c>
      <c r="D47" s="137">
        <f>TrRoad_act!D128</f>
        <v>5684</v>
      </c>
      <c r="E47" s="137">
        <f>TrRoad_act!E128</f>
        <v>6936</v>
      </c>
      <c r="F47" s="137">
        <f>TrRoad_act!F128</f>
        <v>5865</v>
      </c>
      <c r="G47" s="137">
        <f>TrRoad_act!G128</f>
        <v>5702</v>
      </c>
      <c r="H47" s="137">
        <f>TrRoad_act!H128</f>
        <v>5181</v>
      </c>
      <c r="I47" s="137">
        <f>TrRoad_act!I128</f>
        <v>6681</v>
      </c>
      <c r="J47" s="137">
        <f>TrRoad_act!J128</f>
        <v>8656</v>
      </c>
      <c r="K47" s="137">
        <f>TrRoad_act!K128</f>
        <v>8064</v>
      </c>
      <c r="L47" s="137">
        <f>TrRoad_act!L128</f>
        <v>7785</v>
      </c>
      <c r="M47" s="137">
        <f>TrRoad_act!M128</f>
        <v>7577</v>
      </c>
      <c r="N47" s="137">
        <f>TrRoad_act!N128</f>
        <v>7543</v>
      </c>
      <c r="O47" s="137">
        <f>TrRoad_act!O128</f>
        <v>7630</v>
      </c>
      <c r="P47" s="137">
        <f>TrRoad_act!P128</f>
        <v>4901</v>
      </c>
      <c r="Q47" s="137">
        <f>TrRoad_act!Q128</f>
        <v>5855</v>
      </c>
      <c r="R47" s="137">
        <f>TrRoad_act!R128</f>
        <v>5939</v>
      </c>
      <c r="S47" s="137">
        <f>TrRoad_act!S128</f>
        <v>5492</v>
      </c>
      <c r="T47" s="137">
        <f>TrRoad_act!T128</f>
        <v>6776</v>
      </c>
      <c r="U47" s="137">
        <f>TrRoad_act!U128</f>
        <v>6862</v>
      </c>
      <c r="V47" s="137">
        <f>TrRoad_act!V128</f>
        <v>5114</v>
      </c>
      <c r="W47" s="137">
        <f>TrRoad_act!W128</f>
        <v>5177</v>
      </c>
      <c r="X47" s="137">
        <f>TrRoad_act!X128</f>
        <v>7131</v>
      </c>
      <c r="Y47" s="137">
        <f>TrRoad_act!Y128</f>
        <v>7164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71</v>
      </c>
      <c r="C48" s="84">
        <f>TrRoad_act!C129</f>
        <v>667</v>
      </c>
      <c r="D48" s="84">
        <f>TrRoad_act!D129</f>
        <v>631</v>
      </c>
      <c r="E48" s="84">
        <f>TrRoad_act!E129</f>
        <v>765</v>
      </c>
      <c r="F48" s="84">
        <f>TrRoad_act!F129</f>
        <v>403</v>
      </c>
      <c r="G48" s="84">
        <f>TrRoad_act!G129</f>
        <v>401</v>
      </c>
      <c r="H48" s="84">
        <f>TrRoad_act!H129</f>
        <v>472</v>
      </c>
      <c r="I48" s="84">
        <f>TrRoad_act!I129</f>
        <v>646</v>
      </c>
      <c r="J48" s="84">
        <f>TrRoad_act!J129</f>
        <v>746</v>
      </c>
      <c r="K48" s="84">
        <f>TrRoad_act!K129</f>
        <v>306</v>
      </c>
      <c r="L48" s="84">
        <f>TrRoad_act!L129</f>
        <v>202</v>
      </c>
      <c r="M48" s="84">
        <f>TrRoad_act!M129</f>
        <v>169</v>
      </c>
      <c r="N48" s="84">
        <f>TrRoad_act!N129</f>
        <v>134</v>
      </c>
      <c r="O48" s="84">
        <f>TrRoad_act!O129</f>
        <v>54</v>
      </c>
      <c r="P48" s="84">
        <f>TrRoad_act!P129</f>
        <v>670</v>
      </c>
      <c r="Q48" s="84">
        <f>TrRoad_act!Q129</f>
        <v>45</v>
      </c>
      <c r="R48" s="84">
        <f>TrRoad_act!R129</f>
        <v>58</v>
      </c>
      <c r="S48" s="84">
        <f>TrRoad_act!S129</f>
        <v>303</v>
      </c>
      <c r="T48" s="84">
        <f>TrRoad_act!T129</f>
        <v>507</v>
      </c>
      <c r="U48" s="84">
        <f>TrRoad_act!U129</f>
        <v>601</v>
      </c>
      <c r="V48" s="84">
        <f>TrRoad_act!V129</f>
        <v>510</v>
      </c>
      <c r="W48" s="84">
        <f>TrRoad_act!W129</f>
        <v>574</v>
      </c>
      <c r="X48" s="84">
        <f>TrRoad_act!X129</f>
        <v>1161</v>
      </c>
      <c r="Y48" s="84">
        <f>TrRoad_act!Y129</f>
        <v>1255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121</v>
      </c>
      <c r="C49" s="84">
        <f>TrRoad_act!C130</f>
        <v>5401</v>
      </c>
      <c r="D49" s="84">
        <f>TrRoad_act!D130</f>
        <v>5053</v>
      </c>
      <c r="E49" s="84">
        <f>TrRoad_act!E130</f>
        <v>6171</v>
      </c>
      <c r="F49" s="84">
        <f>TrRoad_act!F130</f>
        <v>5462</v>
      </c>
      <c r="G49" s="84">
        <f>TrRoad_act!G130</f>
        <v>5301</v>
      </c>
      <c r="H49" s="84">
        <f>TrRoad_act!H130</f>
        <v>4709</v>
      </c>
      <c r="I49" s="84">
        <f>TrRoad_act!I130</f>
        <v>6033</v>
      </c>
      <c r="J49" s="84">
        <f>TrRoad_act!J130</f>
        <v>7909</v>
      </c>
      <c r="K49" s="84">
        <f>TrRoad_act!K130</f>
        <v>7758</v>
      </c>
      <c r="L49" s="84">
        <f>TrRoad_act!L130</f>
        <v>7581</v>
      </c>
      <c r="M49" s="84">
        <f>TrRoad_act!M130</f>
        <v>7407</v>
      </c>
      <c r="N49" s="84">
        <f>TrRoad_act!N130</f>
        <v>7409</v>
      </c>
      <c r="O49" s="84">
        <f>TrRoad_act!O130</f>
        <v>7576</v>
      </c>
      <c r="P49" s="84">
        <f>TrRoad_act!P130</f>
        <v>4231</v>
      </c>
      <c r="Q49" s="84">
        <f>TrRoad_act!Q130</f>
        <v>5810</v>
      </c>
      <c r="R49" s="84">
        <f>TrRoad_act!R130</f>
        <v>5881</v>
      </c>
      <c r="S49" s="84">
        <f>TrRoad_act!S130</f>
        <v>5189</v>
      </c>
      <c r="T49" s="84">
        <f>TrRoad_act!T130</f>
        <v>6269</v>
      </c>
      <c r="U49" s="84">
        <f>TrRoad_act!U130</f>
        <v>6258</v>
      </c>
      <c r="V49" s="84">
        <f>TrRoad_act!V130</f>
        <v>4603</v>
      </c>
      <c r="W49" s="84">
        <f>TrRoad_act!W130</f>
        <v>4599</v>
      </c>
      <c r="X49" s="84">
        <f>TrRoad_act!X130</f>
        <v>5935</v>
      </c>
      <c r="Y49" s="84">
        <f>TrRoad_act!Y130</f>
        <v>5893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2</v>
      </c>
      <c r="J52" s="84">
        <f>TrRoad_act!J133</f>
        <v>1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3</v>
      </c>
      <c r="V52" s="84">
        <f>TrRoad_act!V133</f>
        <v>1</v>
      </c>
      <c r="W52" s="84">
        <f>TrRoad_act!W133</f>
        <v>4</v>
      </c>
      <c r="X52" s="84">
        <f>TrRoad_act!X133</f>
        <v>35</v>
      </c>
      <c r="Y52" s="84">
        <f>TrRoad_act!Y133</f>
        <v>16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6568</v>
      </c>
      <c r="C53" s="110">
        <f>TrRoad_act!C134</f>
        <v>1819</v>
      </c>
      <c r="D53" s="110">
        <f>TrRoad_act!D134</f>
        <v>1646</v>
      </c>
      <c r="E53" s="110">
        <f>TrRoad_act!E134</f>
        <v>1098</v>
      </c>
      <c r="F53" s="110">
        <f>TrRoad_act!F134</f>
        <v>1043</v>
      </c>
      <c r="G53" s="110">
        <f>TrRoad_act!G134</f>
        <v>4190</v>
      </c>
      <c r="H53" s="110">
        <f>TrRoad_act!H134</f>
        <v>1211</v>
      </c>
      <c r="I53" s="110">
        <f>TrRoad_act!I134</f>
        <v>1574</v>
      </c>
      <c r="J53" s="110">
        <f>TrRoad_act!J134</f>
        <v>1921</v>
      </c>
      <c r="K53" s="110">
        <f>TrRoad_act!K134</f>
        <v>1436</v>
      </c>
      <c r="L53" s="110">
        <f>TrRoad_act!L134</f>
        <v>1222</v>
      </c>
      <c r="M53" s="110">
        <f>TrRoad_act!M134</f>
        <v>974</v>
      </c>
      <c r="N53" s="110">
        <f>TrRoad_act!N134</f>
        <v>359</v>
      </c>
      <c r="O53" s="110">
        <f>TrRoad_act!O134</f>
        <v>171</v>
      </c>
      <c r="P53" s="110">
        <f>TrRoad_act!P134</f>
        <v>121</v>
      </c>
      <c r="Q53" s="110">
        <f>TrRoad_act!Q134</f>
        <v>113</v>
      </c>
      <c r="R53" s="110">
        <f>TrRoad_act!R134</f>
        <v>517</v>
      </c>
      <c r="S53" s="110">
        <f>TrRoad_act!S134</f>
        <v>409</v>
      </c>
      <c r="T53" s="110">
        <f>TrRoad_act!T134</f>
        <v>466</v>
      </c>
      <c r="U53" s="110">
        <f>TrRoad_act!U134</f>
        <v>660</v>
      </c>
      <c r="V53" s="110">
        <f>TrRoad_act!V134</f>
        <v>450</v>
      </c>
      <c r="W53" s="110">
        <f>TrRoad_act!W134</f>
        <v>614</v>
      </c>
      <c r="X53" s="110">
        <f>TrRoad_act!X134</f>
        <v>322</v>
      </c>
      <c r="Y53" s="110">
        <f>TrRoad_act!Y134</f>
        <v>717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6568</v>
      </c>
      <c r="C54" s="102">
        <f>TrRoad_act!C135</f>
        <v>1819</v>
      </c>
      <c r="D54" s="102">
        <f>TrRoad_act!D135</f>
        <v>1646</v>
      </c>
      <c r="E54" s="102">
        <f>TrRoad_act!E135</f>
        <v>1098</v>
      </c>
      <c r="F54" s="102">
        <f>TrRoad_act!F135</f>
        <v>1043</v>
      </c>
      <c r="G54" s="102">
        <f>TrRoad_act!G135</f>
        <v>4190</v>
      </c>
      <c r="H54" s="102">
        <f>TrRoad_act!H135</f>
        <v>1211</v>
      </c>
      <c r="I54" s="102">
        <f>TrRoad_act!I135</f>
        <v>1574</v>
      </c>
      <c r="J54" s="102">
        <f>TrRoad_act!J135</f>
        <v>1921</v>
      </c>
      <c r="K54" s="102">
        <f>TrRoad_act!K135</f>
        <v>1436</v>
      </c>
      <c r="L54" s="102">
        <f>TrRoad_act!L135</f>
        <v>1222</v>
      </c>
      <c r="M54" s="102">
        <f>TrRoad_act!M135</f>
        <v>974</v>
      </c>
      <c r="N54" s="102">
        <f>TrRoad_act!N135</f>
        <v>359</v>
      </c>
      <c r="O54" s="102">
        <f>TrRoad_act!O135</f>
        <v>171</v>
      </c>
      <c r="P54" s="102">
        <f>TrRoad_act!P135</f>
        <v>121</v>
      </c>
      <c r="Q54" s="102">
        <f>TrRoad_act!Q135</f>
        <v>113</v>
      </c>
      <c r="R54" s="102">
        <f>TrRoad_act!R135</f>
        <v>517</v>
      </c>
      <c r="S54" s="102">
        <f>TrRoad_act!S135</f>
        <v>409</v>
      </c>
      <c r="T54" s="102">
        <f>TrRoad_act!T135</f>
        <v>466</v>
      </c>
      <c r="U54" s="102">
        <f>TrRoad_act!U135</f>
        <v>660</v>
      </c>
      <c r="V54" s="102">
        <f>TrRoad_act!V135</f>
        <v>450</v>
      </c>
      <c r="W54" s="102">
        <f>TrRoad_act!W135</f>
        <v>614</v>
      </c>
      <c r="X54" s="102">
        <f>TrRoad_act!X135</f>
        <v>322</v>
      </c>
      <c r="Y54" s="102">
        <f>TrRoad_act!Y135</f>
        <v>717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0</v>
      </c>
      <c r="C55" s="86">
        <f>TrRoad_act!C136</f>
        <v>0</v>
      </c>
      <c r="D55" s="86">
        <f>TrRoad_act!D136</f>
        <v>0</v>
      </c>
      <c r="E55" s="86">
        <f>TrRoad_act!E136</f>
        <v>0</v>
      </c>
      <c r="F55" s="86">
        <f>TrRoad_act!F136</f>
        <v>0</v>
      </c>
      <c r="G55" s="86">
        <f>TrRoad_act!G136</f>
        <v>0</v>
      </c>
      <c r="H55" s="86">
        <f>TrRoad_act!H136</f>
        <v>0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0</v>
      </c>
      <c r="N55" s="86">
        <f>TrRoad_act!N136</f>
        <v>0</v>
      </c>
      <c r="O55" s="86">
        <f>TrRoad_act!O136</f>
        <v>0</v>
      </c>
      <c r="P55" s="86">
        <f>TrRoad_act!P136</f>
        <v>0</v>
      </c>
      <c r="Q55" s="86">
        <f>TrRoad_act!Q136</f>
        <v>0</v>
      </c>
      <c r="R55" s="86">
        <f>TrRoad_act!R136</f>
        <v>0</v>
      </c>
      <c r="S55" s="86">
        <f>TrRoad_act!S136</f>
        <v>0</v>
      </c>
      <c r="T55" s="86">
        <f>TrRoad_act!T136</f>
        <v>0</v>
      </c>
      <c r="U55" s="86">
        <f>TrRoad_act!U136</f>
        <v>0</v>
      </c>
      <c r="V55" s="86">
        <f>TrRoad_act!V136</f>
        <v>0</v>
      </c>
      <c r="W55" s="86">
        <f>TrRoad_act!W136</f>
        <v>0</v>
      </c>
      <c r="X55" s="86">
        <f>TrRoad_act!X136</f>
        <v>0</v>
      </c>
      <c r="Y55" s="86">
        <f>TrRoad_act!Y136</f>
        <v>0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22631</v>
      </c>
      <c r="C59" s="54">
        <f t="shared" si="0"/>
        <v>11675</v>
      </c>
      <c r="D59" s="54">
        <f t="shared" si="0"/>
        <v>14923</v>
      </c>
      <c r="E59" s="54">
        <f t="shared" si="0"/>
        <v>18017</v>
      </c>
      <c r="F59" s="54">
        <f t="shared" si="0"/>
        <v>27260</v>
      </c>
      <c r="G59" s="54">
        <f t="shared" si="0"/>
        <v>28794</v>
      </c>
      <c r="H59" s="54">
        <f t="shared" si="0"/>
        <v>28591</v>
      </c>
      <c r="I59" s="54">
        <f t="shared" si="0"/>
        <v>41440</v>
      </c>
      <c r="J59" s="54">
        <f t="shared" si="0"/>
        <v>46369</v>
      </c>
      <c r="K59" s="54">
        <f t="shared" si="0"/>
        <v>47169</v>
      </c>
      <c r="L59" s="54">
        <f t="shared" ref="L59" si="1">L60+L75</f>
        <v>34571</v>
      </c>
      <c r="M59" s="54">
        <f t="shared" ref="M59:V59" si="2">M60+M75</f>
        <v>31417</v>
      </c>
      <c r="N59" s="54">
        <f t="shared" si="2"/>
        <v>25503</v>
      </c>
      <c r="O59" s="54">
        <f t="shared" si="2"/>
        <v>20884</v>
      </c>
      <c r="P59" s="54">
        <f t="shared" si="2"/>
        <v>22210</v>
      </c>
      <c r="Q59" s="54">
        <f t="shared" si="2"/>
        <v>26797</v>
      </c>
      <c r="R59" s="54">
        <f t="shared" si="2"/>
        <v>34250</v>
      </c>
      <c r="S59" s="54">
        <f t="shared" si="2"/>
        <v>42188</v>
      </c>
      <c r="T59" s="54">
        <f t="shared" si="2"/>
        <v>49809</v>
      </c>
      <c r="U59" s="54">
        <f t="shared" si="2"/>
        <v>46539</v>
      </c>
      <c r="V59" s="54">
        <f t="shared" si="2"/>
        <v>38913</v>
      </c>
      <c r="W59" s="54">
        <f t="shared" ref="W59:Y59" si="3">W60+W75</f>
        <v>43379</v>
      </c>
      <c r="X59" s="54">
        <f t="shared" si="3"/>
        <v>36617</v>
      </c>
      <c r="Y59" s="54">
        <f t="shared" si="3"/>
        <v>56698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21248</v>
      </c>
      <c r="C60" s="28">
        <f t="shared" si="4"/>
        <v>10172</v>
      </c>
      <c r="D60" s="28">
        <f t="shared" si="4"/>
        <v>13297</v>
      </c>
      <c r="E60" s="28">
        <f t="shared" si="4"/>
        <v>15749</v>
      </c>
      <c r="F60" s="28">
        <f t="shared" si="4"/>
        <v>24991</v>
      </c>
      <c r="G60" s="28">
        <f t="shared" si="4"/>
        <v>24035</v>
      </c>
      <c r="H60" s="28">
        <f t="shared" si="4"/>
        <v>25139</v>
      </c>
      <c r="I60" s="28">
        <f t="shared" si="4"/>
        <v>36247</v>
      </c>
      <c r="J60" s="28">
        <f t="shared" si="4"/>
        <v>39225</v>
      </c>
      <c r="K60" s="28">
        <f t="shared" si="4"/>
        <v>40429</v>
      </c>
      <c r="L60" s="28">
        <f t="shared" ref="L60" si="5">L61+L62+L69</f>
        <v>27844</v>
      </c>
      <c r="M60" s="28">
        <f t="shared" ref="M60:V60" si="6">M61+M62+M69</f>
        <v>24745</v>
      </c>
      <c r="N60" s="28">
        <f t="shared" si="6"/>
        <v>19155</v>
      </c>
      <c r="O60" s="28">
        <f t="shared" si="6"/>
        <v>14366</v>
      </c>
      <c r="P60" s="28">
        <f t="shared" si="6"/>
        <v>17815</v>
      </c>
      <c r="Q60" s="28">
        <f t="shared" si="6"/>
        <v>21431</v>
      </c>
      <c r="R60" s="28">
        <f t="shared" si="6"/>
        <v>28247</v>
      </c>
      <c r="S60" s="28">
        <f t="shared" si="6"/>
        <v>36574</v>
      </c>
      <c r="T60" s="28">
        <f t="shared" si="6"/>
        <v>42794</v>
      </c>
      <c r="U60" s="28">
        <f t="shared" si="6"/>
        <v>39150</v>
      </c>
      <c r="V60" s="28">
        <f t="shared" si="6"/>
        <v>33399</v>
      </c>
      <c r="W60" s="28">
        <f t="shared" ref="W60:Y60" si="7">W61+W62+W69</f>
        <v>37608</v>
      </c>
      <c r="X60" s="28">
        <f t="shared" si="7"/>
        <v>29169</v>
      </c>
      <c r="Y60" s="28">
        <f t="shared" si="7"/>
        <v>48817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375</v>
      </c>
      <c r="D61" s="137">
        <v>587</v>
      </c>
      <c r="E61" s="137">
        <v>660</v>
      </c>
      <c r="F61" s="137">
        <v>1003</v>
      </c>
      <c r="G61" s="137">
        <v>1283</v>
      </c>
      <c r="H61" s="137">
        <v>1716</v>
      </c>
      <c r="I61" s="137">
        <v>2369</v>
      </c>
      <c r="J61" s="137">
        <v>3068</v>
      </c>
      <c r="K61" s="137">
        <v>2306</v>
      </c>
      <c r="L61" s="137">
        <v>2379</v>
      </c>
      <c r="M61" s="137">
        <v>2065</v>
      </c>
      <c r="N61" s="137">
        <v>1768</v>
      </c>
      <c r="O61" s="137">
        <v>1481</v>
      </c>
      <c r="P61" s="137">
        <v>1731</v>
      </c>
      <c r="Q61" s="137">
        <v>1562</v>
      </c>
      <c r="R61" s="137">
        <v>1902</v>
      </c>
      <c r="S61" s="137">
        <v>1959</v>
      </c>
      <c r="T61" s="137">
        <v>2274</v>
      </c>
      <c r="U61" s="137">
        <v>1916</v>
      </c>
      <c r="V61" s="137">
        <v>2529</v>
      </c>
      <c r="W61" s="137">
        <v>2936</v>
      </c>
      <c r="X61" s="137">
        <v>2328</v>
      </c>
      <c r="Y61" s="137">
        <v>2990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21134</v>
      </c>
      <c r="C62" s="110">
        <f t="shared" si="8"/>
        <v>9764</v>
      </c>
      <c r="D62" s="110">
        <f t="shared" si="8"/>
        <v>12657</v>
      </c>
      <c r="E62" s="110">
        <f t="shared" si="8"/>
        <v>14983</v>
      </c>
      <c r="F62" s="110">
        <f t="shared" si="8"/>
        <v>23940</v>
      </c>
      <c r="G62" s="110">
        <f t="shared" si="8"/>
        <v>22689</v>
      </c>
      <c r="H62" s="110">
        <f t="shared" si="8"/>
        <v>23339</v>
      </c>
      <c r="I62" s="110">
        <f t="shared" si="8"/>
        <v>33754</v>
      </c>
      <c r="J62" s="110">
        <f t="shared" si="8"/>
        <v>35995</v>
      </c>
      <c r="K62" s="110">
        <f t="shared" si="8"/>
        <v>38000</v>
      </c>
      <c r="L62" s="110">
        <f t="shared" ref="L62" si="9">SUM(L63:L68)</f>
        <v>25181</v>
      </c>
      <c r="M62" s="110">
        <f t="shared" ref="M62:V62" si="10">SUM(M63:M68)</f>
        <v>22517</v>
      </c>
      <c r="N62" s="110">
        <f t="shared" si="10"/>
        <v>17247</v>
      </c>
      <c r="O62" s="110">
        <f t="shared" si="10"/>
        <v>12826</v>
      </c>
      <c r="P62" s="110">
        <f t="shared" si="10"/>
        <v>16012</v>
      </c>
      <c r="Q62" s="110">
        <f t="shared" si="10"/>
        <v>19702</v>
      </c>
      <c r="R62" s="110">
        <f t="shared" si="10"/>
        <v>26240</v>
      </c>
      <c r="S62" s="110">
        <f t="shared" si="10"/>
        <v>34516</v>
      </c>
      <c r="T62" s="110">
        <f t="shared" si="10"/>
        <v>40423</v>
      </c>
      <c r="U62" s="110">
        <f t="shared" si="10"/>
        <v>37161</v>
      </c>
      <c r="V62" s="110">
        <f t="shared" si="10"/>
        <v>30584</v>
      </c>
      <c r="W62" s="110">
        <f t="shared" ref="W62:Y62" si="11">SUM(W63:W68)</f>
        <v>34509</v>
      </c>
      <c r="X62" s="110">
        <f t="shared" si="11"/>
        <v>26702</v>
      </c>
      <c r="Y62" s="110">
        <f t="shared" si="11"/>
        <v>45485</v>
      </c>
      <c r="DA62" s="176" t="s">
        <v>841</v>
      </c>
    </row>
    <row r="63" spans="1:105" ht="11.45" customHeight="1" x14ac:dyDescent="0.25">
      <c r="A63" s="111" t="s">
        <v>110</v>
      </c>
      <c r="B63" s="84">
        <v>21115</v>
      </c>
      <c r="C63" s="84">
        <v>9122</v>
      </c>
      <c r="D63" s="84">
        <v>12061</v>
      </c>
      <c r="E63" s="84">
        <v>14543</v>
      </c>
      <c r="F63" s="84">
        <v>23534</v>
      </c>
      <c r="G63" s="84">
        <v>22124</v>
      </c>
      <c r="H63" s="84">
        <v>22635</v>
      </c>
      <c r="I63" s="84">
        <v>31497</v>
      </c>
      <c r="J63" s="84">
        <v>32143</v>
      </c>
      <c r="K63" s="84">
        <v>33815</v>
      </c>
      <c r="L63" s="84">
        <v>21001</v>
      </c>
      <c r="M63" s="84">
        <v>18751</v>
      </c>
      <c r="N63" s="84">
        <v>14292</v>
      </c>
      <c r="O63" s="84">
        <v>10300</v>
      </c>
      <c r="P63" s="84">
        <v>10937</v>
      </c>
      <c r="Q63" s="84">
        <v>13639</v>
      </c>
      <c r="R63" s="84">
        <v>16561</v>
      </c>
      <c r="S63" s="84">
        <v>19682</v>
      </c>
      <c r="T63" s="84">
        <v>21921</v>
      </c>
      <c r="U63" s="84">
        <v>20457</v>
      </c>
      <c r="V63" s="84">
        <v>17954</v>
      </c>
      <c r="W63" s="84">
        <v>23360</v>
      </c>
      <c r="X63" s="84">
        <v>22615</v>
      </c>
      <c r="Y63" s="84">
        <v>35958</v>
      </c>
      <c r="DA63" s="171" t="s">
        <v>842</v>
      </c>
    </row>
    <row r="64" spans="1:105" ht="11.45" customHeight="1" x14ac:dyDescent="0.25">
      <c r="A64" s="111" t="s">
        <v>111</v>
      </c>
      <c r="B64" s="84">
        <v>19</v>
      </c>
      <c r="C64" s="84">
        <v>642</v>
      </c>
      <c r="D64" s="84">
        <v>596</v>
      </c>
      <c r="E64" s="84">
        <v>440</v>
      </c>
      <c r="F64" s="84">
        <v>406</v>
      </c>
      <c r="G64" s="84">
        <v>565</v>
      </c>
      <c r="H64" s="84">
        <v>704</v>
      </c>
      <c r="I64" s="84">
        <v>2257</v>
      </c>
      <c r="J64" s="84">
        <v>3852</v>
      </c>
      <c r="K64" s="84">
        <v>4185</v>
      </c>
      <c r="L64" s="84">
        <v>4180</v>
      </c>
      <c r="M64" s="84">
        <v>3766</v>
      </c>
      <c r="N64" s="84">
        <v>2955</v>
      </c>
      <c r="O64" s="84">
        <v>2526</v>
      </c>
      <c r="P64" s="84">
        <v>5075</v>
      </c>
      <c r="Q64" s="84">
        <v>6056</v>
      </c>
      <c r="R64" s="84">
        <v>9664</v>
      </c>
      <c r="S64" s="84">
        <v>14789</v>
      </c>
      <c r="T64" s="84">
        <v>17599</v>
      </c>
      <c r="U64" s="84">
        <v>16618</v>
      </c>
      <c r="V64" s="84">
        <v>12552</v>
      </c>
      <c r="W64" s="84">
        <v>10942</v>
      </c>
      <c r="X64" s="84">
        <v>3454</v>
      </c>
      <c r="Y64" s="84">
        <v>8216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853</v>
      </c>
      <c r="U65" s="84">
        <v>0</v>
      </c>
      <c r="V65" s="84">
        <v>0</v>
      </c>
      <c r="W65" s="84">
        <v>2</v>
      </c>
      <c r="X65" s="84">
        <v>2</v>
      </c>
      <c r="Y65" s="84">
        <v>0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X66" s="84">
        <v>0</v>
      </c>
      <c r="Y66" s="84">
        <v>0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7</v>
      </c>
      <c r="R67" s="84">
        <v>15</v>
      </c>
      <c r="S67" s="84">
        <v>45</v>
      </c>
      <c r="T67" s="84">
        <v>50</v>
      </c>
      <c r="U67" s="84">
        <v>86</v>
      </c>
      <c r="V67" s="84">
        <v>78</v>
      </c>
      <c r="W67" s="84">
        <v>148</v>
      </c>
      <c r="X67" s="84">
        <v>231</v>
      </c>
      <c r="Y67" s="84">
        <v>515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0</v>
      </c>
      <c r="W68" s="84">
        <v>57</v>
      </c>
      <c r="X68" s="84">
        <v>400</v>
      </c>
      <c r="Y68" s="84">
        <v>796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114</v>
      </c>
      <c r="C69" s="110">
        <f t="shared" si="12"/>
        <v>33</v>
      </c>
      <c r="D69" s="110">
        <f t="shared" si="12"/>
        <v>53</v>
      </c>
      <c r="E69" s="110">
        <f t="shared" si="12"/>
        <v>106</v>
      </c>
      <c r="F69" s="110">
        <f t="shared" si="12"/>
        <v>48</v>
      </c>
      <c r="G69" s="110">
        <f t="shared" si="12"/>
        <v>63</v>
      </c>
      <c r="H69" s="110">
        <f t="shared" si="12"/>
        <v>84</v>
      </c>
      <c r="I69" s="110">
        <f t="shared" si="12"/>
        <v>124</v>
      </c>
      <c r="J69" s="110">
        <f t="shared" si="12"/>
        <v>162</v>
      </c>
      <c r="K69" s="110">
        <f t="shared" si="12"/>
        <v>123</v>
      </c>
      <c r="L69" s="110">
        <f t="shared" ref="L69" si="13">SUM(L70:L74)</f>
        <v>284</v>
      </c>
      <c r="M69" s="110">
        <f t="shared" ref="M69:V69" si="14">SUM(M70:M74)</f>
        <v>163</v>
      </c>
      <c r="N69" s="110">
        <f t="shared" si="14"/>
        <v>140</v>
      </c>
      <c r="O69" s="110">
        <f t="shared" si="14"/>
        <v>59</v>
      </c>
      <c r="P69" s="110">
        <f t="shared" si="14"/>
        <v>72</v>
      </c>
      <c r="Q69" s="110">
        <f t="shared" si="14"/>
        <v>167</v>
      </c>
      <c r="R69" s="110">
        <f t="shared" si="14"/>
        <v>105</v>
      </c>
      <c r="S69" s="110">
        <f t="shared" si="14"/>
        <v>99</v>
      </c>
      <c r="T69" s="110">
        <f t="shared" si="14"/>
        <v>97</v>
      </c>
      <c r="U69" s="110">
        <f t="shared" si="14"/>
        <v>73</v>
      </c>
      <c r="V69" s="110">
        <f t="shared" si="14"/>
        <v>286</v>
      </c>
      <c r="W69" s="110">
        <f t="shared" ref="W69:Y69" si="15">SUM(W70:W74)</f>
        <v>163</v>
      </c>
      <c r="X69" s="110">
        <f t="shared" si="15"/>
        <v>139</v>
      </c>
      <c r="Y69" s="110">
        <f t="shared" si="15"/>
        <v>342</v>
      </c>
      <c r="DA69" s="176" t="s">
        <v>848</v>
      </c>
    </row>
    <row r="70" spans="1:105" ht="11.45" customHeight="1" x14ac:dyDescent="0.25">
      <c r="A70" s="111" t="s">
        <v>110</v>
      </c>
      <c r="B70" s="102">
        <v>20</v>
      </c>
      <c r="C70" s="102">
        <v>0</v>
      </c>
      <c r="D70" s="102">
        <v>0</v>
      </c>
      <c r="E70" s="102">
        <v>1</v>
      </c>
      <c r="F70" s="102">
        <v>0</v>
      </c>
      <c r="G70" s="102">
        <v>0</v>
      </c>
      <c r="H70" s="102">
        <v>3</v>
      </c>
      <c r="I70" s="102">
        <v>0</v>
      </c>
      <c r="J70" s="102">
        <v>1</v>
      </c>
      <c r="K70" s="102">
        <v>0</v>
      </c>
      <c r="L70" s="102">
        <v>3</v>
      </c>
      <c r="M70" s="102">
        <v>2</v>
      </c>
      <c r="N70" s="102">
        <v>1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94</v>
      </c>
      <c r="C71" s="102">
        <v>33</v>
      </c>
      <c r="D71" s="102">
        <v>53</v>
      </c>
      <c r="E71" s="102">
        <v>105</v>
      </c>
      <c r="F71" s="102">
        <v>48</v>
      </c>
      <c r="G71" s="102">
        <v>63</v>
      </c>
      <c r="H71" s="102">
        <v>81</v>
      </c>
      <c r="I71" s="102">
        <v>124</v>
      </c>
      <c r="J71" s="102">
        <v>161</v>
      </c>
      <c r="K71" s="102">
        <v>123</v>
      </c>
      <c r="L71" s="102">
        <v>281</v>
      </c>
      <c r="M71" s="102">
        <v>161</v>
      </c>
      <c r="N71" s="102">
        <v>139</v>
      </c>
      <c r="O71" s="102">
        <v>59</v>
      </c>
      <c r="P71" s="102">
        <v>72</v>
      </c>
      <c r="Q71" s="102">
        <v>167</v>
      </c>
      <c r="R71" s="102">
        <v>105</v>
      </c>
      <c r="S71" s="102">
        <v>99</v>
      </c>
      <c r="T71" s="102">
        <v>97</v>
      </c>
      <c r="U71" s="102">
        <v>72</v>
      </c>
      <c r="V71" s="102">
        <v>285</v>
      </c>
      <c r="W71" s="102">
        <v>163</v>
      </c>
      <c r="X71" s="102">
        <v>139</v>
      </c>
      <c r="Y71" s="102">
        <v>302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</v>
      </c>
      <c r="W74" s="102">
        <v>0</v>
      </c>
      <c r="X74" s="102">
        <v>0</v>
      </c>
      <c r="Y74" s="102">
        <v>40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1383</v>
      </c>
      <c r="C75" s="28">
        <f t="shared" si="16"/>
        <v>1503</v>
      </c>
      <c r="D75" s="28">
        <f t="shared" si="16"/>
        <v>1626</v>
      </c>
      <c r="E75" s="28">
        <f t="shared" si="16"/>
        <v>2268</v>
      </c>
      <c r="F75" s="28">
        <f t="shared" si="16"/>
        <v>2269</v>
      </c>
      <c r="G75" s="28">
        <f t="shared" si="16"/>
        <v>4759</v>
      </c>
      <c r="H75" s="28">
        <f t="shared" si="16"/>
        <v>3452</v>
      </c>
      <c r="I75" s="28">
        <f t="shared" si="16"/>
        <v>5193</v>
      </c>
      <c r="J75" s="28">
        <f t="shared" si="16"/>
        <v>7144</v>
      </c>
      <c r="K75" s="28">
        <f t="shared" si="16"/>
        <v>6740</v>
      </c>
      <c r="L75" s="28">
        <f t="shared" ref="L75" si="17">L76+L82</f>
        <v>6727</v>
      </c>
      <c r="M75" s="28">
        <f t="shared" ref="M75:V75" si="18">M76+M82</f>
        <v>6672</v>
      </c>
      <c r="N75" s="28">
        <f t="shared" si="18"/>
        <v>6348</v>
      </c>
      <c r="O75" s="28">
        <f t="shared" si="18"/>
        <v>6518</v>
      </c>
      <c r="P75" s="28">
        <f t="shared" si="18"/>
        <v>4395</v>
      </c>
      <c r="Q75" s="28">
        <f t="shared" si="18"/>
        <v>5366</v>
      </c>
      <c r="R75" s="28">
        <f t="shared" si="18"/>
        <v>6003</v>
      </c>
      <c r="S75" s="28">
        <f t="shared" si="18"/>
        <v>5614</v>
      </c>
      <c r="T75" s="28">
        <f t="shared" si="18"/>
        <v>7015</v>
      </c>
      <c r="U75" s="28">
        <f t="shared" si="18"/>
        <v>7389</v>
      </c>
      <c r="V75" s="28">
        <f t="shared" si="18"/>
        <v>5514</v>
      </c>
      <c r="W75" s="28">
        <f t="shared" ref="W75:Y75" si="19">W76+W82</f>
        <v>5771</v>
      </c>
      <c r="X75" s="28">
        <f t="shared" si="19"/>
        <v>7448</v>
      </c>
      <c r="Y75" s="28">
        <f t="shared" si="19"/>
        <v>7881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1383</v>
      </c>
      <c r="C76" s="137">
        <f t="shared" si="20"/>
        <v>1503</v>
      </c>
      <c r="D76" s="137">
        <f t="shared" si="20"/>
        <v>1626</v>
      </c>
      <c r="E76" s="137">
        <f t="shared" si="20"/>
        <v>2268</v>
      </c>
      <c r="F76" s="137">
        <f t="shared" si="20"/>
        <v>2269</v>
      </c>
      <c r="G76" s="137">
        <f t="shared" si="20"/>
        <v>2462</v>
      </c>
      <c r="H76" s="137">
        <f t="shared" si="20"/>
        <v>2423</v>
      </c>
      <c r="I76" s="137">
        <f t="shared" si="20"/>
        <v>3760</v>
      </c>
      <c r="J76" s="137">
        <f t="shared" si="20"/>
        <v>5321</v>
      </c>
      <c r="K76" s="137">
        <f t="shared" si="20"/>
        <v>5344</v>
      </c>
      <c r="L76" s="137">
        <f t="shared" ref="L76" si="21">SUM(L77:L81)</f>
        <v>5521</v>
      </c>
      <c r="M76" s="137">
        <f t="shared" ref="M76:V76" si="22">SUM(M77:M81)</f>
        <v>5707</v>
      </c>
      <c r="N76" s="137">
        <f t="shared" si="22"/>
        <v>5992</v>
      </c>
      <c r="O76" s="137">
        <f t="shared" si="22"/>
        <v>6348</v>
      </c>
      <c r="P76" s="137">
        <f t="shared" si="22"/>
        <v>4274</v>
      </c>
      <c r="Q76" s="137">
        <f t="shared" si="22"/>
        <v>5253</v>
      </c>
      <c r="R76" s="137">
        <f t="shared" si="22"/>
        <v>5487</v>
      </c>
      <c r="S76" s="137">
        <f t="shared" si="22"/>
        <v>5206</v>
      </c>
      <c r="T76" s="137">
        <f t="shared" si="22"/>
        <v>6549</v>
      </c>
      <c r="U76" s="137">
        <f t="shared" si="22"/>
        <v>6729</v>
      </c>
      <c r="V76" s="137">
        <f t="shared" si="22"/>
        <v>5064</v>
      </c>
      <c r="W76" s="137">
        <f t="shared" ref="W76:Y76" si="23">SUM(W77:W81)</f>
        <v>5157</v>
      </c>
      <c r="X76" s="137">
        <f t="shared" si="23"/>
        <v>7126</v>
      </c>
      <c r="Y76" s="137">
        <f t="shared" si="23"/>
        <v>7164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356</v>
      </c>
      <c r="J77" s="84">
        <v>467</v>
      </c>
      <c r="K77" s="84">
        <v>210</v>
      </c>
      <c r="L77" s="84">
        <v>150</v>
      </c>
      <c r="M77" s="84">
        <v>134</v>
      </c>
      <c r="N77" s="84">
        <v>113</v>
      </c>
      <c r="O77" s="84">
        <v>48</v>
      </c>
      <c r="P77" s="84">
        <v>610</v>
      </c>
      <c r="Q77" s="84">
        <v>43</v>
      </c>
      <c r="R77" s="84">
        <v>56</v>
      </c>
      <c r="S77" s="84">
        <v>297</v>
      </c>
      <c r="T77" s="84">
        <v>502</v>
      </c>
      <c r="U77" s="84">
        <v>600</v>
      </c>
      <c r="V77" s="84">
        <v>510</v>
      </c>
      <c r="W77" s="84">
        <v>574</v>
      </c>
      <c r="X77" s="84">
        <v>1161</v>
      </c>
      <c r="Y77" s="84">
        <v>1255</v>
      </c>
      <c r="DA77" s="171" t="s">
        <v>856</v>
      </c>
    </row>
    <row r="78" spans="1:105" ht="11.45" customHeight="1" x14ac:dyDescent="0.25">
      <c r="A78" s="111" t="s">
        <v>111</v>
      </c>
      <c r="B78" s="84">
        <v>1383</v>
      </c>
      <c r="C78" s="84">
        <v>1503</v>
      </c>
      <c r="D78" s="84">
        <v>1626</v>
      </c>
      <c r="E78" s="84">
        <v>2268</v>
      </c>
      <c r="F78" s="84">
        <v>2269</v>
      </c>
      <c r="G78" s="84">
        <v>2462</v>
      </c>
      <c r="H78" s="84">
        <v>2423</v>
      </c>
      <c r="I78" s="84">
        <v>3404</v>
      </c>
      <c r="J78" s="84">
        <v>4853</v>
      </c>
      <c r="K78" s="84">
        <v>5134</v>
      </c>
      <c r="L78" s="84">
        <v>5369</v>
      </c>
      <c r="M78" s="84">
        <v>5572</v>
      </c>
      <c r="N78" s="84">
        <v>5879</v>
      </c>
      <c r="O78" s="84">
        <v>6300</v>
      </c>
      <c r="P78" s="84">
        <v>3664</v>
      </c>
      <c r="Q78" s="84">
        <v>5210</v>
      </c>
      <c r="R78" s="84">
        <v>5431</v>
      </c>
      <c r="S78" s="84">
        <v>4909</v>
      </c>
      <c r="T78" s="84">
        <v>6047</v>
      </c>
      <c r="U78" s="84">
        <v>6126</v>
      </c>
      <c r="V78" s="84">
        <v>4553</v>
      </c>
      <c r="W78" s="84">
        <v>4579</v>
      </c>
      <c r="X78" s="84">
        <v>5930</v>
      </c>
      <c r="Y78" s="84">
        <v>5893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1</v>
      </c>
      <c r="K81" s="84">
        <v>0</v>
      </c>
      <c r="L81" s="84">
        <v>2</v>
      </c>
      <c r="M81" s="84">
        <v>1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3</v>
      </c>
      <c r="V81" s="84">
        <v>1</v>
      </c>
      <c r="W81" s="84">
        <v>4</v>
      </c>
      <c r="X81" s="84">
        <v>35</v>
      </c>
      <c r="Y81" s="84">
        <v>16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2297</v>
      </c>
      <c r="H82" s="110">
        <f t="shared" si="24"/>
        <v>1029</v>
      </c>
      <c r="I82" s="110">
        <f t="shared" si="24"/>
        <v>1433</v>
      </c>
      <c r="J82" s="110">
        <f t="shared" si="24"/>
        <v>1823</v>
      </c>
      <c r="K82" s="110">
        <f t="shared" si="24"/>
        <v>1396</v>
      </c>
      <c r="L82" s="110">
        <f t="shared" ref="L82" si="25">SUM(L83:L84)</f>
        <v>1206</v>
      </c>
      <c r="M82" s="110">
        <f t="shared" ref="M82:V82" si="26">SUM(M83:M84)</f>
        <v>965</v>
      </c>
      <c r="N82" s="110">
        <f t="shared" si="26"/>
        <v>356</v>
      </c>
      <c r="O82" s="110">
        <f t="shared" si="26"/>
        <v>170</v>
      </c>
      <c r="P82" s="110">
        <f t="shared" si="26"/>
        <v>121</v>
      </c>
      <c r="Q82" s="110">
        <f t="shared" si="26"/>
        <v>113</v>
      </c>
      <c r="R82" s="110">
        <f t="shared" si="26"/>
        <v>516</v>
      </c>
      <c r="S82" s="110">
        <f t="shared" si="26"/>
        <v>408</v>
      </c>
      <c r="T82" s="110">
        <f t="shared" si="26"/>
        <v>466</v>
      </c>
      <c r="U82" s="110">
        <f t="shared" si="26"/>
        <v>660</v>
      </c>
      <c r="V82" s="110">
        <f t="shared" si="26"/>
        <v>450</v>
      </c>
      <c r="W82" s="110">
        <f t="shared" ref="W82:Y82" si="27">SUM(W83:W84)</f>
        <v>614</v>
      </c>
      <c r="X82" s="110">
        <f t="shared" si="27"/>
        <v>322</v>
      </c>
      <c r="Y82" s="110">
        <f t="shared" si="27"/>
        <v>717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2297</v>
      </c>
      <c r="H83" s="102">
        <v>1029</v>
      </c>
      <c r="I83" s="102">
        <v>1433</v>
      </c>
      <c r="J83" s="102">
        <v>1823</v>
      </c>
      <c r="K83" s="102">
        <v>1396</v>
      </c>
      <c r="L83" s="102">
        <v>1206</v>
      </c>
      <c r="M83" s="102">
        <v>965</v>
      </c>
      <c r="N83" s="102">
        <v>356</v>
      </c>
      <c r="O83" s="102">
        <v>170</v>
      </c>
      <c r="P83" s="102">
        <v>121</v>
      </c>
      <c r="Q83" s="102">
        <v>113</v>
      </c>
      <c r="R83" s="102">
        <v>516</v>
      </c>
      <c r="S83" s="102">
        <v>408</v>
      </c>
      <c r="T83" s="102">
        <v>466</v>
      </c>
      <c r="U83" s="102">
        <v>660</v>
      </c>
      <c r="V83" s="102">
        <v>450</v>
      </c>
      <c r="W83" s="102">
        <v>614</v>
      </c>
      <c r="X83" s="102">
        <v>322</v>
      </c>
      <c r="Y83" s="102">
        <v>717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0</v>
      </c>
      <c r="R84" s="86">
        <v>0</v>
      </c>
      <c r="S84" s="86">
        <v>0</v>
      </c>
      <c r="T84" s="86">
        <v>0</v>
      </c>
      <c r="U84" s="86">
        <v>0</v>
      </c>
      <c r="V84" s="86">
        <v>0</v>
      </c>
      <c r="W84" s="86">
        <v>0</v>
      </c>
      <c r="X84" s="86">
        <v>0</v>
      </c>
      <c r="Y84" s="86">
        <v>0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4.0149890227944267</v>
      </c>
      <c r="C90" s="141">
        <v>3.9815066171652642</v>
      </c>
      <c r="D90" s="141">
        <v>3.9526073923521499</v>
      </c>
      <c r="E90" s="141">
        <v>3.9323794974267714</v>
      </c>
      <c r="F90" s="141">
        <v>3.9036210962253959</v>
      </c>
      <c r="G90" s="141">
        <v>3.8672612480601192</v>
      </c>
      <c r="H90" s="141">
        <v>3.8254587641042059</v>
      </c>
      <c r="I90" s="141">
        <v>3.7758748714976842</v>
      </c>
      <c r="J90" s="141">
        <v>3.717490500446087</v>
      </c>
      <c r="K90" s="141">
        <v>3.6565118591822756</v>
      </c>
      <c r="L90" s="141">
        <v>3.5758937476368033</v>
      </c>
      <c r="M90" s="141">
        <v>3.5065587154571154</v>
      </c>
      <c r="N90" s="141">
        <v>3.4799203746205563</v>
      </c>
      <c r="O90" s="141">
        <v>3.4173929536668926</v>
      </c>
      <c r="P90" s="141">
        <v>3.3820382777417084</v>
      </c>
      <c r="Q90" s="141">
        <v>3.2950919509682701</v>
      </c>
      <c r="R90" s="141">
        <v>3.2458653733928267</v>
      </c>
      <c r="S90" s="141">
        <v>3.1949574203377686</v>
      </c>
      <c r="T90" s="141">
        <v>3.1237153624915837</v>
      </c>
      <c r="U90" s="141">
        <v>3.067306382093177</v>
      </c>
      <c r="V90" s="141">
        <v>3.0004069816523944</v>
      </c>
      <c r="W90" s="141">
        <v>2.9250804270323703</v>
      </c>
      <c r="X90" s="141">
        <v>2.8842031946025206</v>
      </c>
      <c r="Y90" s="141">
        <v>2.8185948431572538</v>
      </c>
      <c r="DA90" s="174" t="s">
        <v>864</v>
      </c>
    </row>
    <row r="91" spans="1:105" ht="11.45" customHeight="1" x14ac:dyDescent="0.25">
      <c r="A91" s="109" t="s">
        <v>20</v>
      </c>
      <c r="B91" s="130">
        <v>7.599558137782866</v>
      </c>
      <c r="C91" s="130">
        <v>7.4754854357788378</v>
      </c>
      <c r="D91" s="130">
        <v>7.3954970132880531</v>
      </c>
      <c r="E91" s="130">
        <v>7.3173598107924542</v>
      </c>
      <c r="F91" s="130">
        <v>7.2237918640559302</v>
      </c>
      <c r="G91" s="130">
        <v>7.1407787998498407</v>
      </c>
      <c r="H91" s="130">
        <v>7.0640013689687411</v>
      </c>
      <c r="I91" s="130">
        <v>6.9990333724366209</v>
      </c>
      <c r="J91" s="130">
        <v>6.9235622304397086</v>
      </c>
      <c r="K91" s="130">
        <v>6.8275363739744206</v>
      </c>
      <c r="L91" s="130">
        <v>6.7544998007342594</v>
      </c>
      <c r="M91" s="130">
        <v>6.6911556501263414</v>
      </c>
      <c r="N91" s="130">
        <v>6.6613534816483444</v>
      </c>
      <c r="O91" s="130">
        <v>6.6188538640037402</v>
      </c>
      <c r="P91" s="130">
        <v>6.5866522383193242</v>
      </c>
      <c r="Q91" s="130">
        <v>6.5350120401578859</v>
      </c>
      <c r="R91" s="130">
        <v>6.4821059499166678</v>
      </c>
      <c r="S91" s="130">
        <v>6.4116537840045087</v>
      </c>
      <c r="T91" s="130">
        <v>6.3294345646595724</v>
      </c>
      <c r="U91" s="130">
        <v>6.2493828803028872</v>
      </c>
      <c r="V91" s="130">
        <v>6.1622993157978074</v>
      </c>
      <c r="W91" s="130">
        <v>6.0744369839255894</v>
      </c>
      <c r="X91" s="130">
        <v>6.00683779417162</v>
      </c>
      <c r="Y91" s="130">
        <v>5.888799127965588</v>
      </c>
      <c r="DA91" s="176" t="s">
        <v>865</v>
      </c>
    </row>
    <row r="92" spans="1:105" ht="11.45" customHeight="1" x14ac:dyDescent="0.25">
      <c r="A92" s="111" t="s">
        <v>110</v>
      </c>
      <c r="B92" s="96">
        <v>7.5114648906167831</v>
      </c>
      <c r="C92" s="96">
        <v>7.3515302360935939</v>
      </c>
      <c r="D92" s="96">
        <v>7.2551130034635642</v>
      </c>
      <c r="E92" s="96">
        <v>7.164184095138058</v>
      </c>
      <c r="F92" s="96">
        <v>7.0644197479658333</v>
      </c>
      <c r="G92" s="96">
        <v>6.9847105839290711</v>
      </c>
      <c r="H92" s="96">
        <v>6.9153719764516035</v>
      </c>
      <c r="I92" s="96">
        <v>6.8496537178785113</v>
      </c>
      <c r="J92" s="96">
        <v>6.7749755663938949</v>
      </c>
      <c r="K92" s="96">
        <v>6.6845432794605006</v>
      </c>
      <c r="L92" s="96">
        <v>6.6211492907726459</v>
      </c>
      <c r="M92" s="96">
        <v>6.5649789815242006</v>
      </c>
      <c r="N92" s="96">
        <v>6.5344594360892545</v>
      </c>
      <c r="O92" s="96">
        <v>6.4927096305870124</v>
      </c>
      <c r="P92" s="96">
        <v>6.4595989207738063</v>
      </c>
      <c r="Q92" s="96">
        <v>6.405752947989054</v>
      </c>
      <c r="R92" s="96">
        <v>6.3478005664666224</v>
      </c>
      <c r="S92" s="96">
        <v>6.2700459287220411</v>
      </c>
      <c r="T92" s="96">
        <v>6.1832240676158001</v>
      </c>
      <c r="U92" s="96">
        <v>6.1019725284806867</v>
      </c>
      <c r="V92" s="96">
        <v>6.0097944617299435</v>
      </c>
      <c r="W92" s="96">
        <v>5.9108922980503387</v>
      </c>
      <c r="X92" s="96">
        <v>5.8152994339582795</v>
      </c>
      <c r="Y92" s="96">
        <v>5.6743078296689555</v>
      </c>
      <c r="DA92" s="171" t="s">
        <v>866</v>
      </c>
    </row>
    <row r="93" spans="1:105" ht="11.45" customHeight="1" x14ac:dyDescent="0.25">
      <c r="A93" s="111" t="s">
        <v>111</v>
      </c>
      <c r="B93" s="96">
        <v>8.2954947903949243</v>
      </c>
      <c r="C93" s="96">
        <v>8.0855584402086027</v>
      </c>
      <c r="D93" s="96">
        <v>8.0111673620854393</v>
      </c>
      <c r="E93" s="96">
        <v>7.9707025597273002</v>
      </c>
      <c r="F93" s="96">
        <v>7.9380455444810218</v>
      </c>
      <c r="G93" s="96">
        <v>7.892519596903167</v>
      </c>
      <c r="H93" s="96">
        <v>7.84204698824934</v>
      </c>
      <c r="I93" s="96">
        <v>7.7594815266819959</v>
      </c>
      <c r="J93" s="96">
        <v>7.6462869203395227</v>
      </c>
      <c r="K93" s="96">
        <v>7.5385274326659486</v>
      </c>
      <c r="L93" s="96">
        <v>7.4467566530489515</v>
      </c>
      <c r="M93" s="96">
        <v>7.3622360218281235</v>
      </c>
      <c r="N93" s="96">
        <v>7.2891483068518497</v>
      </c>
      <c r="O93" s="96">
        <v>7.2427225294449871</v>
      </c>
      <c r="P93" s="96">
        <v>7.0951872073168349</v>
      </c>
      <c r="Q93" s="96">
        <v>6.9518453863066352</v>
      </c>
      <c r="R93" s="96">
        <v>6.7680677610663524</v>
      </c>
      <c r="S93" s="96">
        <v>6.5742541445394673</v>
      </c>
      <c r="T93" s="96">
        <v>6.3902886464642856</v>
      </c>
      <c r="U93" s="96">
        <v>6.2160848148880303</v>
      </c>
      <c r="V93" s="96">
        <v>6.1027467882139019</v>
      </c>
      <c r="W93" s="96">
        <v>5.9953851354153844</v>
      </c>
      <c r="X93" s="96">
        <v>5.9671169039482397</v>
      </c>
      <c r="Y93" s="96">
        <v>5.8958319997776991</v>
      </c>
      <c r="DA93" s="171" t="s">
        <v>867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96">
        <v>0</v>
      </c>
      <c r="N94" s="96">
        <v>0</v>
      </c>
      <c r="O94" s="96">
        <v>0</v>
      </c>
      <c r="P94" s="96">
        <v>0</v>
      </c>
      <c r="Q94" s="96">
        <v>0</v>
      </c>
      <c r="R94" s="96">
        <v>0</v>
      </c>
      <c r="S94" s="96">
        <v>0</v>
      </c>
      <c r="T94" s="96">
        <v>5.1336237659928816</v>
      </c>
      <c r="U94" s="96">
        <v>5.1336237659928825</v>
      </c>
      <c r="V94" s="96">
        <v>5.1336237659928816</v>
      </c>
      <c r="W94" s="96">
        <v>5.1310870534657687</v>
      </c>
      <c r="X94" s="96">
        <v>5.128686840525174</v>
      </c>
      <c r="Y94" s="96">
        <v>5.1285832143523153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X95" s="96">
        <v>0</v>
      </c>
      <c r="Y95" s="96">
        <v>0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2.7021993848275483</v>
      </c>
      <c r="Q96" s="96">
        <v>2.7524018824341501</v>
      </c>
      <c r="R96" s="96">
        <v>3.4537753012592858</v>
      </c>
      <c r="S96" s="96">
        <v>3.5634675450164282</v>
      </c>
      <c r="T96" s="96">
        <v>3.5935216377803538</v>
      </c>
      <c r="U96" s="96">
        <v>3.5018374015477289</v>
      </c>
      <c r="V96" s="96">
        <v>3.746758707412523</v>
      </c>
      <c r="W96" s="96">
        <v>3.5738836263342559</v>
      </c>
      <c r="X96" s="96">
        <v>3.3622849476573915</v>
      </c>
      <c r="Y96" s="96">
        <v>3.0121337691885781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0</v>
      </c>
      <c r="O97" s="96">
        <v>1.3210559340178167</v>
      </c>
      <c r="P97" s="96">
        <v>1.3150361572930367</v>
      </c>
      <c r="Q97" s="96">
        <v>1.3407281087281728</v>
      </c>
      <c r="R97" s="96">
        <v>1.3423586991580354</v>
      </c>
      <c r="S97" s="96">
        <v>1.2965087757943865</v>
      </c>
      <c r="T97" s="96">
        <v>1.3305465369127951</v>
      </c>
      <c r="U97" s="96">
        <v>1.3979335758031328</v>
      </c>
      <c r="V97" s="96">
        <v>1.4226104990926172</v>
      </c>
      <c r="W97" s="96">
        <v>1.4328335748163665</v>
      </c>
      <c r="X97" s="96">
        <v>1.5085934239651233</v>
      </c>
      <c r="Y97" s="96">
        <v>1.5143752406127176</v>
      </c>
      <c r="DA97" s="171" t="s">
        <v>871</v>
      </c>
    </row>
    <row r="98" spans="1:105" ht="11.45" customHeight="1" x14ac:dyDescent="0.25">
      <c r="A98" s="109" t="s">
        <v>21</v>
      </c>
      <c r="B98" s="130">
        <v>49.834681679397946</v>
      </c>
      <c r="C98" s="130">
        <v>49.20826072954447</v>
      </c>
      <c r="D98" s="130">
        <v>48.915656676867002</v>
      </c>
      <c r="E98" s="130">
        <v>48.656068737320929</v>
      </c>
      <c r="F98" s="130">
        <v>48.432044431097552</v>
      </c>
      <c r="G98" s="130">
        <v>48.255430074015479</v>
      </c>
      <c r="H98" s="130">
        <v>47.98879441876516</v>
      </c>
      <c r="I98" s="130">
        <v>47.74958810935405</v>
      </c>
      <c r="J98" s="130">
        <v>47.461575860974158</v>
      </c>
      <c r="K98" s="130">
        <v>47.265788704884891</v>
      </c>
      <c r="L98" s="130">
        <v>46.506329083651437</v>
      </c>
      <c r="M98" s="130">
        <v>46.324355038934236</v>
      </c>
      <c r="N98" s="130">
        <v>46.173184108132929</v>
      </c>
      <c r="O98" s="130">
        <v>46.037409026470762</v>
      </c>
      <c r="P98" s="130">
        <v>46.758847049578861</v>
      </c>
      <c r="Q98" s="130">
        <v>46.5837861580628</v>
      </c>
      <c r="R98" s="130">
        <v>46.391088185741822</v>
      </c>
      <c r="S98" s="130">
        <v>46.152119419967221</v>
      </c>
      <c r="T98" s="130">
        <v>45.849271058429338</v>
      </c>
      <c r="U98" s="130">
        <v>45.627124901385173</v>
      </c>
      <c r="V98" s="130">
        <v>43.660553962596225</v>
      </c>
      <c r="W98" s="130">
        <v>43.184102573919802</v>
      </c>
      <c r="X98" s="130">
        <v>42.767522214547988</v>
      </c>
      <c r="Y98" s="130">
        <v>41.467042311173905</v>
      </c>
      <c r="DA98" s="176" t="s">
        <v>872</v>
      </c>
    </row>
    <row r="99" spans="1:105" ht="11.45" customHeight="1" x14ac:dyDescent="0.25">
      <c r="A99" s="111" t="s">
        <v>110</v>
      </c>
      <c r="B99" s="97">
        <v>16.360889774480956</v>
      </c>
      <c r="C99" s="97">
        <v>16.346982816228671</v>
      </c>
      <c r="D99" s="97">
        <v>16.34657087944122</v>
      </c>
      <c r="E99" s="97">
        <v>16.329003019396044</v>
      </c>
      <c r="F99" s="97">
        <v>16.3286492891101</v>
      </c>
      <c r="G99" s="97">
        <v>16.328469464517049</v>
      </c>
      <c r="H99" s="97">
        <v>16.262326058835139</v>
      </c>
      <c r="I99" s="97">
        <v>16.261792657708568</v>
      </c>
      <c r="J99" s="97">
        <v>16.233292487584354</v>
      </c>
      <c r="K99" s="97">
        <v>16.230971966683843</v>
      </c>
      <c r="L99" s="97">
        <v>16.11543922938009</v>
      </c>
      <c r="M99" s="97">
        <v>16.030170981498902</v>
      </c>
      <c r="N99" s="97">
        <v>15.9810854432219</v>
      </c>
      <c r="O99" s="97">
        <v>15.977213836179551</v>
      </c>
      <c r="P99" s="97">
        <v>15.481375504155057</v>
      </c>
      <c r="Q99" s="97">
        <v>15.387360761127457</v>
      </c>
      <c r="R99" s="97">
        <v>15.367383079184057</v>
      </c>
      <c r="S99" s="97">
        <v>15.367383079184053</v>
      </c>
      <c r="T99" s="97">
        <v>15.367383079184055</v>
      </c>
      <c r="U99" s="97">
        <v>15.094899737863946</v>
      </c>
      <c r="V99" s="97">
        <v>15.094899737863951</v>
      </c>
      <c r="W99" s="97">
        <v>15.06905103629782</v>
      </c>
      <c r="X99" s="97">
        <v>14.898011720870784</v>
      </c>
      <c r="Y99" s="97">
        <v>14.718537411137101</v>
      </c>
      <c r="DA99" s="175" t="s">
        <v>873</v>
      </c>
    </row>
    <row r="100" spans="1:105" ht="11.45" customHeight="1" x14ac:dyDescent="0.25">
      <c r="A100" s="111" t="s">
        <v>111</v>
      </c>
      <c r="B100" s="97">
        <v>51.666402051877306</v>
      </c>
      <c r="C100" s="97">
        <v>50.68258917963027</v>
      </c>
      <c r="D100" s="97">
        <v>50.22637207069149</v>
      </c>
      <c r="E100" s="97">
        <v>49.721523562361789</v>
      </c>
      <c r="F100" s="97">
        <v>49.474574988563511</v>
      </c>
      <c r="G100" s="97">
        <v>49.244864388625537</v>
      </c>
      <c r="H100" s="97">
        <v>48.97614712130985</v>
      </c>
      <c r="I100" s="97">
        <v>48.660862424986313</v>
      </c>
      <c r="J100" s="97">
        <v>48.312613577830476</v>
      </c>
      <c r="K100" s="97">
        <v>48.055082462225812</v>
      </c>
      <c r="L100" s="97">
        <v>47.406962579865791</v>
      </c>
      <c r="M100" s="97">
        <v>47.196884249151651</v>
      </c>
      <c r="N100" s="97">
        <v>47.002458397314356</v>
      </c>
      <c r="O100" s="97">
        <v>46.874523469490825</v>
      </c>
      <c r="P100" s="97">
        <v>46.742448319544245</v>
      </c>
      <c r="Q100" s="97">
        <v>46.452931840833948</v>
      </c>
      <c r="R100" s="97">
        <v>46.225774135714182</v>
      </c>
      <c r="S100" s="97">
        <v>45.949338746697379</v>
      </c>
      <c r="T100" s="97">
        <v>45.603117567117202</v>
      </c>
      <c r="U100" s="97">
        <v>45.325955476127461</v>
      </c>
      <c r="V100" s="97">
        <v>43.442612278139897</v>
      </c>
      <c r="W100" s="97">
        <v>42.786013832758279</v>
      </c>
      <c r="X100" s="97">
        <v>42.155274574619725</v>
      </c>
      <c r="Y100" s="97">
        <v>40.689945592099441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X102" s="97">
        <v>0</v>
      </c>
      <c r="Y102" s="97">
        <v>0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28.304879101988803</v>
      </c>
      <c r="K103" s="97">
        <v>28.304879101988799</v>
      </c>
      <c r="L103" s="97">
        <v>28.304879101988799</v>
      </c>
      <c r="M103" s="97">
        <v>28.304879101988799</v>
      </c>
      <c r="N103" s="97">
        <v>28.304879101988806</v>
      </c>
      <c r="O103" s="97">
        <v>28.304879101988803</v>
      </c>
      <c r="P103" s="97">
        <v>28.304879101988803</v>
      </c>
      <c r="Q103" s="97">
        <v>28.304879101988803</v>
      </c>
      <c r="R103" s="97">
        <v>28.304879101988803</v>
      </c>
      <c r="S103" s="97">
        <v>28.304879101988803</v>
      </c>
      <c r="T103" s="97">
        <v>28.304879101988803</v>
      </c>
      <c r="U103" s="97">
        <v>28.304879101988803</v>
      </c>
      <c r="V103" s="97">
        <v>26.957359132052119</v>
      </c>
      <c r="W103" s="97">
        <v>26.957359132052112</v>
      </c>
      <c r="X103" s="97">
        <v>26.957359132052115</v>
      </c>
      <c r="Y103" s="97">
        <v>25.45434280015127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9.208455570548999</v>
      </c>
      <c r="C105" s="141">
        <v>9.0535294595990603</v>
      </c>
      <c r="D105" s="141">
        <v>8.9330631788547592</v>
      </c>
      <c r="E105" s="141">
        <v>8.7580027363900292</v>
      </c>
      <c r="F105" s="141">
        <v>8.6270078833152315</v>
      </c>
      <c r="G105" s="141">
        <v>8.5135004316029317</v>
      </c>
      <c r="H105" s="141">
        <v>8.3592934965600847</v>
      </c>
      <c r="I105" s="141">
        <v>8.1831039569275816</v>
      </c>
      <c r="J105" s="141">
        <v>7.9990037086029391</v>
      </c>
      <c r="K105" s="141">
        <v>7.7845407380821596</v>
      </c>
      <c r="L105" s="141">
        <v>7.5848050347758083</v>
      </c>
      <c r="M105" s="141">
        <v>7.3929368682254033</v>
      </c>
      <c r="N105" s="141">
        <v>7.1791783152192581</v>
      </c>
      <c r="O105" s="141">
        <v>6.9758490140423772</v>
      </c>
      <c r="P105" s="141">
        <v>6.7822545421339324</v>
      </c>
      <c r="Q105" s="141">
        <v>6.6114006546309652</v>
      </c>
      <c r="R105" s="141">
        <v>6.5461306606383296</v>
      </c>
      <c r="S105" s="141">
        <v>6.4338472608798885</v>
      </c>
      <c r="T105" s="141">
        <v>6.3401502991634127</v>
      </c>
      <c r="U105" s="141">
        <v>6.1830084845120048</v>
      </c>
      <c r="V105" s="141">
        <v>6.1166016016710403</v>
      </c>
      <c r="W105" s="141">
        <v>6.058715487894176</v>
      </c>
      <c r="X105" s="141">
        <v>5.9641684532508652</v>
      </c>
      <c r="Y105" s="141">
        <v>5.8807738030239038</v>
      </c>
      <c r="DA105" s="174" t="s">
        <v>878</v>
      </c>
    </row>
    <row r="106" spans="1:105" ht="11.45" customHeight="1" x14ac:dyDescent="0.25">
      <c r="A106" s="111" t="s">
        <v>110</v>
      </c>
      <c r="B106" s="96">
        <v>6.7571089402121087</v>
      </c>
      <c r="C106" s="96">
        <v>6.6759885222548716</v>
      </c>
      <c r="D106" s="96">
        <v>6.601288260113785</v>
      </c>
      <c r="E106" s="96">
        <v>6.5322493605371879</v>
      </c>
      <c r="F106" s="96">
        <v>6.4686844335397176</v>
      </c>
      <c r="G106" s="96">
        <v>6.321711860663255</v>
      </c>
      <c r="H106" s="96">
        <v>6.2431128001978378</v>
      </c>
      <c r="I106" s="96">
        <v>6.0979900829604636</v>
      </c>
      <c r="J106" s="96">
        <v>6.002999201413509</v>
      </c>
      <c r="K106" s="96">
        <v>5.9488943216377823</v>
      </c>
      <c r="L106" s="96">
        <v>5.897699561445207</v>
      </c>
      <c r="M106" s="96">
        <v>5.8917400538470757</v>
      </c>
      <c r="N106" s="96">
        <v>5.870156701529651</v>
      </c>
      <c r="O106" s="96">
        <v>5.8612462767548887</v>
      </c>
      <c r="P106" s="96">
        <v>6.0733618254703901</v>
      </c>
      <c r="Q106" s="96">
        <v>6.0670875793569232</v>
      </c>
      <c r="R106" s="96">
        <v>6.0463073008655686</v>
      </c>
      <c r="S106" s="96">
        <v>5.9574555403848013</v>
      </c>
      <c r="T106" s="96">
        <v>5.7917843863390557</v>
      </c>
      <c r="U106" s="96">
        <v>5.7796290665769368</v>
      </c>
      <c r="V106" s="96">
        <v>5.6119087647728945</v>
      </c>
      <c r="W106" s="96">
        <v>5.4532747141800622</v>
      </c>
      <c r="X106" s="96">
        <v>5.2275733633321062</v>
      </c>
      <c r="Y106" s="96">
        <v>5.0730971992754599</v>
      </c>
      <c r="DA106" s="171" t="s">
        <v>879</v>
      </c>
    </row>
    <row r="107" spans="1:105" ht="11.45" customHeight="1" x14ac:dyDescent="0.25">
      <c r="A107" s="111" t="s">
        <v>111</v>
      </c>
      <c r="B107" s="96">
        <v>9.4409430235252838</v>
      </c>
      <c r="C107" s="96">
        <v>9.2255996801713671</v>
      </c>
      <c r="D107" s="96">
        <v>9.0372129986575658</v>
      </c>
      <c r="E107" s="96">
        <v>8.8174391409382107</v>
      </c>
      <c r="F107" s="96">
        <v>8.6241572177901187</v>
      </c>
      <c r="G107" s="96">
        <v>8.4383653084362802</v>
      </c>
      <c r="H107" s="96">
        <v>8.2661956239059968</v>
      </c>
      <c r="I107" s="96">
        <v>8.0699807533162407</v>
      </c>
      <c r="J107" s="96">
        <v>7.8654088473349661</v>
      </c>
      <c r="K107" s="96">
        <v>7.6490267532206406</v>
      </c>
      <c r="L107" s="96">
        <v>7.4523707124610192</v>
      </c>
      <c r="M107" s="96">
        <v>7.2780219633480616</v>
      </c>
      <c r="N107" s="96">
        <v>7.0863692291091533</v>
      </c>
      <c r="O107" s="96">
        <v>6.9182497498833095</v>
      </c>
      <c r="P107" s="96">
        <v>6.7502035795963451</v>
      </c>
      <c r="Q107" s="96">
        <v>6.6016644846225194</v>
      </c>
      <c r="R107" s="96">
        <v>6.5178175630745132</v>
      </c>
      <c r="S107" s="96">
        <v>6.3733496489455481</v>
      </c>
      <c r="T107" s="96">
        <v>6.2616334871662422</v>
      </c>
      <c r="U107" s="96">
        <v>6.0565372372886426</v>
      </c>
      <c r="V107" s="96">
        <v>5.985600879177289</v>
      </c>
      <c r="W107" s="96">
        <v>5.9286765970206599</v>
      </c>
      <c r="X107" s="96">
        <v>5.8350285357310243</v>
      </c>
      <c r="Y107" s="96">
        <v>5.7546190863010622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1.4104152265329351</v>
      </c>
      <c r="J110" s="96">
        <v>1.4055978615444469</v>
      </c>
      <c r="K110" s="96">
        <v>1.4055978615444471</v>
      </c>
      <c r="L110" s="96">
        <v>1.3920534867043803</v>
      </c>
      <c r="M110" s="96">
        <v>1.3862589890709862</v>
      </c>
      <c r="N110" s="96">
        <v>1.3862589890709864</v>
      </c>
      <c r="O110" s="96">
        <v>1.3862589890709862</v>
      </c>
      <c r="P110" s="96">
        <v>1.3818097472312507</v>
      </c>
      <c r="Q110" s="96">
        <v>1.3818097472312509</v>
      </c>
      <c r="R110" s="96">
        <v>1.3818097472312514</v>
      </c>
      <c r="S110" s="96">
        <v>1.3818097472312512</v>
      </c>
      <c r="T110" s="96">
        <v>1.3753514976941545</v>
      </c>
      <c r="U110" s="96">
        <v>1.596120175038614</v>
      </c>
      <c r="V110" s="96">
        <v>1.6714053897541941</v>
      </c>
      <c r="W110" s="96">
        <v>1.6519407909411208</v>
      </c>
      <c r="X110" s="96">
        <v>1.675961575569882</v>
      </c>
      <c r="Y110" s="96">
        <v>1.751602693892758</v>
      </c>
      <c r="DA110" s="171" t="s">
        <v>883</v>
      </c>
    </row>
    <row r="111" spans="1:105" ht="11.45" customHeight="1" x14ac:dyDescent="0.25">
      <c r="A111" s="109" t="s">
        <v>154</v>
      </c>
      <c r="B111" s="130">
        <v>24.853754385747372</v>
      </c>
      <c r="C111" s="130">
        <v>24.695716374978709</v>
      </c>
      <c r="D111" s="130">
        <v>24.400490750226133</v>
      </c>
      <c r="E111" s="130">
        <v>24.232091416028634</v>
      </c>
      <c r="F111" s="130">
        <v>24.04524321825998</v>
      </c>
      <c r="G111" s="130">
        <v>23.791397747843693</v>
      </c>
      <c r="H111" s="130">
        <v>23.581649133909568</v>
      </c>
      <c r="I111" s="130">
        <v>23.225135172875358</v>
      </c>
      <c r="J111" s="130">
        <v>23.066973515558189</v>
      </c>
      <c r="K111" s="130">
        <v>22.943778579932495</v>
      </c>
      <c r="L111" s="130">
        <v>22.778004776967766</v>
      </c>
      <c r="M111" s="130">
        <v>22.60367399129019</v>
      </c>
      <c r="N111" s="130">
        <v>22.458216658135512</v>
      </c>
      <c r="O111" s="130">
        <v>22.027041485025919</v>
      </c>
      <c r="P111" s="130">
        <v>21.938275723694208</v>
      </c>
      <c r="Q111" s="130">
        <v>21.899719298900429</v>
      </c>
      <c r="R111" s="130">
        <v>21.751525989624543</v>
      </c>
      <c r="S111" s="130">
        <v>21.636439056447603</v>
      </c>
      <c r="T111" s="130">
        <v>21.507837884102489</v>
      </c>
      <c r="U111" s="130">
        <v>21.332616959446021</v>
      </c>
      <c r="V111" s="130">
        <v>21.198054032737367</v>
      </c>
      <c r="W111" s="130">
        <v>20.995608725972406</v>
      </c>
      <c r="X111" s="130">
        <v>20.909339132549309</v>
      </c>
      <c r="Y111" s="130">
        <v>20.721400678646923</v>
      </c>
      <c r="DA111" s="176" t="s">
        <v>884</v>
      </c>
    </row>
    <row r="112" spans="1:105" ht="11.45" customHeight="1" x14ac:dyDescent="0.25">
      <c r="A112" s="128" t="s">
        <v>27</v>
      </c>
      <c r="B112" s="97">
        <v>24.853754385747372</v>
      </c>
      <c r="C112" s="97">
        <v>24.695716374978709</v>
      </c>
      <c r="D112" s="97">
        <v>24.400490750226133</v>
      </c>
      <c r="E112" s="97">
        <v>24.232091416028634</v>
      </c>
      <c r="F112" s="97">
        <v>24.04524321825998</v>
      </c>
      <c r="G112" s="97">
        <v>23.791397747843693</v>
      </c>
      <c r="H112" s="97">
        <v>23.581649133909568</v>
      </c>
      <c r="I112" s="97">
        <v>23.225135172875358</v>
      </c>
      <c r="J112" s="97">
        <v>23.066973515558189</v>
      </c>
      <c r="K112" s="97">
        <v>22.943778579932495</v>
      </c>
      <c r="L112" s="97">
        <v>22.778004776967766</v>
      </c>
      <c r="M112" s="97">
        <v>22.60367399129019</v>
      </c>
      <c r="N112" s="97">
        <v>22.458216658135512</v>
      </c>
      <c r="O112" s="97">
        <v>22.027041485025919</v>
      </c>
      <c r="P112" s="97">
        <v>21.938275723694208</v>
      </c>
      <c r="Q112" s="97">
        <v>21.899719298900429</v>
      </c>
      <c r="R112" s="97">
        <v>21.751525989624543</v>
      </c>
      <c r="S112" s="97">
        <v>21.636439056447603</v>
      </c>
      <c r="T112" s="97">
        <v>21.507837884102489</v>
      </c>
      <c r="U112" s="97">
        <v>21.332616959446021</v>
      </c>
      <c r="V112" s="97">
        <v>21.198054032737367</v>
      </c>
      <c r="W112" s="97">
        <v>20.995608725972406</v>
      </c>
      <c r="X112" s="97">
        <v>20.909339132549309</v>
      </c>
      <c r="Y112" s="97">
        <v>20.721400678646923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1.1275000000068982</v>
      </c>
      <c r="C117" s="150">
        <f>IF(TrRoad_act!C59=0,0,TrRoad_ene!C62/TrRoad_tech!C90)</f>
        <v>1.1277474459752159</v>
      </c>
      <c r="D117" s="150">
        <f>IF(TrRoad_act!D59=0,0,TrRoad_ene!D62/TrRoad_tech!D90)</f>
        <v>1.1282173168623681</v>
      </c>
      <c r="E117" s="150">
        <f>IF(TrRoad_act!E59=0,0,TrRoad_ene!E62/TrRoad_tech!E90)</f>
        <v>1.1288527665618793</v>
      </c>
      <c r="F117" s="150">
        <f>IF(TrRoad_act!F59=0,0,TrRoad_ene!F62/TrRoad_tech!F90)</f>
        <v>1.1300860956625207</v>
      </c>
      <c r="G117" s="150">
        <f>IF(TrRoad_act!G59=0,0,TrRoad_ene!G62/TrRoad_tech!G90)</f>
        <v>1.1320556777889919</v>
      </c>
      <c r="H117" s="150">
        <f>IF(TrRoad_act!H59=0,0,TrRoad_ene!H62/TrRoad_tech!H90)</f>
        <v>1.1350670886942624</v>
      </c>
      <c r="I117" s="150">
        <f>IF(TrRoad_act!I59=0,0,TrRoad_ene!I62/TrRoad_tech!I90)</f>
        <v>1.1397123196739742</v>
      </c>
      <c r="J117" s="150">
        <f>IF(TrRoad_act!J59=0,0,TrRoad_ene!J62/TrRoad_tech!J90)</f>
        <v>1.1459392648919804</v>
      </c>
      <c r="K117" s="150">
        <f>IF(TrRoad_act!K59=0,0,TrRoad_ene!K62/TrRoad_tech!K90)</f>
        <v>1.1521132219797132</v>
      </c>
      <c r="L117" s="150">
        <f>IF(TrRoad_act!L59=0,0,TrRoad_ene!L62/TrRoad_tech!L90)</f>
        <v>1.1607466980276868</v>
      </c>
      <c r="M117" s="150">
        <f>IF(TrRoad_act!M59=0,0,TrRoad_ene!M62/TrRoad_tech!M90)</f>
        <v>1.1689103573157811</v>
      </c>
      <c r="N117" s="150">
        <f>IF(TrRoad_act!N59=0,0,TrRoad_ene!N62/TrRoad_tech!N90)</f>
        <v>1.1735327086840515</v>
      </c>
      <c r="O117" s="150">
        <f>IF(TrRoad_act!O59=0,0,TrRoad_ene!O62/TrRoad_tech!O90)</f>
        <v>1.1813013361250426</v>
      </c>
      <c r="P117" s="150">
        <f>IF(TrRoad_act!P59=0,0,TrRoad_ene!P62/TrRoad_tech!P90)</f>
        <v>1.1865859310488773</v>
      </c>
      <c r="Q117" s="150">
        <f>IF(TrRoad_act!Q59=0,0,TrRoad_ene!Q62/TrRoad_tech!Q90)</f>
        <v>1.1973866889556175</v>
      </c>
      <c r="R117" s="150">
        <f>IF(TrRoad_act!R59=0,0,TrRoad_ene!R62/TrRoad_tech!R90)</f>
        <v>1.2049395971232597</v>
      </c>
      <c r="S117" s="150">
        <f>IF(TrRoad_act!S59=0,0,TrRoad_ene!S62/TrRoad_tech!S90)</f>
        <v>1.2129655513033135</v>
      </c>
      <c r="T117" s="150">
        <f>IF(TrRoad_act!T59=0,0,TrRoad_ene!T62/TrRoad_tech!T90)</f>
        <v>1.2249418215246968</v>
      </c>
      <c r="U117" s="150">
        <f>IF(TrRoad_act!U59=0,0,TrRoad_ene!U62/TrRoad_tech!U90)</f>
        <v>1.2358187881495959</v>
      </c>
      <c r="V117" s="150">
        <f>IF(TrRoad_act!V59=0,0,TrRoad_ene!V62/TrRoad_tech!V90)</f>
        <v>1.2498704058652996</v>
      </c>
      <c r="W117" s="150">
        <f>IF(TrRoad_act!W59=0,0,TrRoad_ene!W62/TrRoad_tech!W90)</f>
        <v>1.2666681260834787</v>
      </c>
      <c r="X117" s="150">
        <f>IF(TrRoad_act!X59=0,0,TrRoad_ene!X62/TrRoad_tech!X90)</f>
        <v>1.2757931280436459</v>
      </c>
      <c r="Y117" s="150">
        <f>IF(TrRoad_act!Y59=0,0,TrRoad_ene!Y62/TrRoad_tech!Y90)</f>
        <v>1.291306534253891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1.1093793423556808</v>
      </c>
      <c r="C118" s="151">
        <f>IF(TrRoad_act!C60=0,0,TrRoad_ene!C63/TrRoad_tech!C91)</f>
        <v>1.1441137557551058</v>
      </c>
      <c r="D118" s="151">
        <f>IF(TrRoad_act!D60=0,0,TrRoad_ene!D63/TrRoad_tech!D91)</f>
        <v>1.1574603844628371</v>
      </c>
      <c r="E118" s="151">
        <f>IF(TrRoad_act!E60=0,0,TrRoad_ene!E63/TrRoad_tech!E91)</f>
        <v>1.2176973920854803</v>
      </c>
      <c r="F118" s="151">
        <f>IF(TrRoad_act!F60=0,0,TrRoad_ene!F63/TrRoad_tech!F91)</f>
        <v>1.2553482190267871</v>
      </c>
      <c r="G118" s="151">
        <f>IF(TrRoad_act!G60=0,0,TrRoad_ene!G63/TrRoad_tech!G91)</f>
        <v>1.2730779238228715</v>
      </c>
      <c r="H118" s="151">
        <f>IF(TrRoad_act!H60=0,0,TrRoad_ene!H63/TrRoad_tech!H91)</f>
        <v>1.2997548937953698</v>
      </c>
      <c r="I118" s="151">
        <f>IF(TrRoad_act!I60=0,0,TrRoad_ene!I63/TrRoad_tech!I91)</f>
        <v>1.3106865138655592</v>
      </c>
      <c r="J118" s="151">
        <f>IF(TrRoad_act!J60=0,0,TrRoad_ene!J63/TrRoad_tech!J91)</f>
        <v>1.3026856953975516</v>
      </c>
      <c r="K118" s="151">
        <f>IF(TrRoad_act!K60=0,0,TrRoad_ene!K63/TrRoad_tech!K91)</f>
        <v>1.3229801865529238</v>
      </c>
      <c r="L118" s="151">
        <f>IF(TrRoad_act!L60=0,0,TrRoad_ene!L63/TrRoad_tech!L91)</f>
        <v>1.3358174844527109</v>
      </c>
      <c r="M118" s="151">
        <f>IF(TrRoad_act!M60=0,0,TrRoad_ene!M63/TrRoad_tech!M91)</f>
        <v>1.3136305121694167</v>
      </c>
      <c r="N118" s="151">
        <f>IF(TrRoad_act!N60=0,0,TrRoad_ene!N63/TrRoad_tech!N91)</f>
        <v>1.2743438895145627</v>
      </c>
      <c r="O118" s="151">
        <f>IF(TrRoad_act!O60=0,0,TrRoad_ene!O63/TrRoad_tech!O91)</f>
        <v>1.2059638413844247</v>
      </c>
      <c r="P118" s="151">
        <f>IF(TrRoad_act!P60=0,0,TrRoad_ene!P63/TrRoad_tech!P91)</f>
        <v>1.1840208931658986</v>
      </c>
      <c r="Q118" s="151">
        <f>IF(TrRoad_act!Q60=0,0,TrRoad_ene!Q63/TrRoad_tech!Q91)</f>
        <v>1.2009539157032674</v>
      </c>
      <c r="R118" s="151">
        <f>IF(TrRoad_act!R60=0,0,TrRoad_ene!R63/TrRoad_tech!R91)</f>
        <v>1.1119856513892399</v>
      </c>
      <c r="S118" s="151">
        <f>IF(TrRoad_act!S60=0,0,TrRoad_ene!S63/TrRoad_tech!S91)</f>
        <v>1.1263986667819146</v>
      </c>
      <c r="T118" s="151">
        <f>IF(TrRoad_act!T60=0,0,TrRoad_ene!T63/TrRoad_tech!T91)</f>
        <v>1.0998512986634044</v>
      </c>
      <c r="U118" s="151">
        <f>IF(TrRoad_act!U60=0,0,TrRoad_ene!U63/TrRoad_tech!U91)</f>
        <v>1.0896583162963323</v>
      </c>
      <c r="V118" s="151">
        <f>IF(TrRoad_act!V60=0,0,TrRoad_ene!V63/TrRoad_tech!V91)</f>
        <v>1.0582038401921314</v>
      </c>
      <c r="W118" s="151">
        <f>IF(TrRoad_act!W60=0,0,TrRoad_ene!W63/TrRoad_tech!W91)</f>
        <v>1.122403302853884</v>
      </c>
      <c r="X118" s="151">
        <f>IF(TrRoad_act!X60=0,0,TrRoad_ene!X63/TrRoad_tech!X91)</f>
        <v>1.0890889530111627</v>
      </c>
      <c r="Y118" s="151">
        <f>IF(TrRoad_act!Y60=0,0,TrRoad_ene!Y63/TrRoad_tech!Y91)</f>
        <v>1.1149143645439805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1.079850207981097</v>
      </c>
      <c r="C119" s="91">
        <f>IF(TrRoad_act!C61=0,0,TrRoad_ene!C64/TrRoad_tech!C92)</f>
        <v>1.1284344987268189</v>
      </c>
      <c r="D119" s="91">
        <f>IF(TrRoad_act!D61=0,0,TrRoad_ene!D64/TrRoad_tech!D92)</f>
        <v>1.1609121546112815</v>
      </c>
      <c r="E119" s="91">
        <f>IF(TrRoad_act!E61=0,0,TrRoad_ene!E64/TrRoad_tech!E92)</f>
        <v>1.2331560020101087</v>
      </c>
      <c r="F119" s="91">
        <f>IF(TrRoad_act!F61=0,0,TrRoad_ene!F64/TrRoad_tech!F92)</f>
        <v>1.2610228491017093</v>
      </c>
      <c r="G119" s="91">
        <f>IF(TrRoad_act!G61=0,0,TrRoad_ene!G64/TrRoad_tech!G92)</f>
        <v>1.2963699242913853</v>
      </c>
      <c r="H119" s="91">
        <f>IF(TrRoad_act!H61=0,0,TrRoad_ene!H64/TrRoad_tech!H92)</f>
        <v>1.3250293213859059</v>
      </c>
      <c r="I119" s="91">
        <f>IF(TrRoad_act!I61=0,0,TrRoad_ene!I64/TrRoad_tech!I92)</f>
        <v>1.330658323520127</v>
      </c>
      <c r="J119" s="91">
        <f>IF(TrRoad_act!J61=0,0,TrRoad_ene!J64/TrRoad_tech!J92)</f>
        <v>1.3260814208191489</v>
      </c>
      <c r="K119" s="91">
        <f>IF(TrRoad_act!K61=0,0,TrRoad_ene!K64/TrRoad_tech!K92)</f>
        <v>1.3374314209106966</v>
      </c>
      <c r="L119" s="91">
        <f>IF(TrRoad_act!L61=0,0,TrRoad_ene!L64/TrRoad_tech!L92)</f>
        <v>1.3465144489793166</v>
      </c>
      <c r="M119" s="91">
        <f>IF(TrRoad_act!M61=0,0,TrRoad_ene!M64/TrRoad_tech!M92)</f>
        <v>1.3253202294934454</v>
      </c>
      <c r="N119" s="91">
        <f>IF(TrRoad_act!N61=0,0,TrRoad_ene!N64/TrRoad_tech!N92)</f>
        <v>1.2998184186091946</v>
      </c>
      <c r="O119" s="91">
        <f>IF(TrRoad_act!O61=0,0,TrRoad_ene!O64/TrRoad_tech!O92)</f>
        <v>1.2332174407074075</v>
      </c>
      <c r="P119" s="91">
        <f>IF(TrRoad_act!P61=0,0,TrRoad_ene!P64/TrRoad_tech!P92)</f>
        <v>1.2127251772527508</v>
      </c>
      <c r="Q119" s="91">
        <f>IF(TrRoad_act!Q61=0,0,TrRoad_ene!Q64/TrRoad_tech!Q92)</f>
        <v>1.2279887516725274</v>
      </c>
      <c r="R119" s="91">
        <f>IF(TrRoad_act!R61=0,0,TrRoad_ene!R64/TrRoad_tech!R92)</f>
        <v>1.125834416601003</v>
      </c>
      <c r="S119" s="91">
        <f>IF(TrRoad_act!S61=0,0,TrRoad_ene!S64/TrRoad_tech!S92)</f>
        <v>1.1439839842544679</v>
      </c>
      <c r="T119" s="91">
        <f>IF(TrRoad_act!T61=0,0,TrRoad_ene!T64/TrRoad_tech!T92)</f>
        <v>1.1205608905547126</v>
      </c>
      <c r="U119" s="91">
        <f>IF(TrRoad_act!U61=0,0,TrRoad_ene!U64/TrRoad_tech!U92)</f>
        <v>1.1066417134125728</v>
      </c>
      <c r="V119" s="91">
        <f>IF(TrRoad_act!V61=0,0,TrRoad_ene!V64/TrRoad_tech!V92)</f>
        <v>1.0500834260472893</v>
      </c>
      <c r="W119" s="91">
        <f>IF(TrRoad_act!W61=0,0,TrRoad_ene!W64/TrRoad_tech!W92)</f>
        <v>1.121101224512747</v>
      </c>
      <c r="X119" s="91">
        <f>IF(TrRoad_act!X61=0,0,TrRoad_ene!X64/TrRoad_tech!X92)</f>
        <v>1.1122324659696288</v>
      </c>
      <c r="Y119" s="91">
        <f>IF(TrRoad_act!Y61=0,0,TrRoad_ene!Y64/TrRoad_tech!Y92)</f>
        <v>1.1365860385600464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1.2033115067970486</v>
      </c>
      <c r="C120" s="91">
        <f>IF(TrRoad_act!C62=0,0,TrRoad_ene!C65/TrRoad_tech!C93)</f>
        <v>1.2069564265088755</v>
      </c>
      <c r="D120" s="91">
        <f>IF(TrRoad_act!D62=0,0,TrRoad_ene!D65/TrRoad_tech!D93)</f>
        <v>1.1524122233309484</v>
      </c>
      <c r="E120" s="91">
        <f>IF(TrRoad_act!E62=0,0,TrRoad_ene!E65/TrRoad_tech!E93)</f>
        <v>1.1674695885336686</v>
      </c>
      <c r="F120" s="91">
        <f>IF(TrRoad_act!F62=0,0,TrRoad_ene!F65/TrRoad_tech!F93)</f>
        <v>1.2621938726253408</v>
      </c>
      <c r="G120" s="91">
        <f>IF(TrRoad_act!G62=0,0,TrRoad_ene!G65/TrRoad_tech!G93)</f>
        <v>1.1817322742165806</v>
      </c>
      <c r="H120" s="91">
        <f>IF(TrRoad_act!H62=0,0,TrRoad_ene!H65/TrRoad_tech!H93)</f>
        <v>1.1876203299504953</v>
      </c>
      <c r="I120" s="91">
        <f>IF(TrRoad_act!I62=0,0,TrRoad_ene!I65/TrRoad_tech!I93)</f>
        <v>1.2395705953950862</v>
      </c>
      <c r="J120" s="91">
        <f>IF(TrRoad_act!J62=0,0,TrRoad_ene!J65/TrRoad_tech!J93)</f>
        <v>1.2141451601108593</v>
      </c>
      <c r="K120" s="91">
        <f>IF(TrRoad_act!K62=0,0,TrRoad_ene!K65/TrRoad_tech!K93)</f>
        <v>1.289335714619898</v>
      </c>
      <c r="L120" s="91">
        <f>IF(TrRoad_act!L62=0,0,TrRoad_ene!L65/TrRoad_tech!L93)</f>
        <v>1.3183839036956959</v>
      </c>
      <c r="M120" s="91">
        <f>IF(TrRoad_act!M62=0,0,TrRoad_ene!M65/TrRoad_tech!M93)</f>
        <v>1.2846091993692146</v>
      </c>
      <c r="N120" s="91">
        <f>IF(TrRoad_act!N62=0,0,TrRoad_ene!N65/TrRoad_tech!N93)</f>
        <v>1.1594307191232376</v>
      </c>
      <c r="O120" s="91">
        <f>IF(TrRoad_act!O62=0,0,TrRoad_ene!O65/TrRoad_tech!O93)</f>
        <v>1.074405340987137</v>
      </c>
      <c r="P120" s="91">
        <f>IF(TrRoad_act!P62=0,0,TrRoad_ene!P65/TrRoad_tech!P93)</f>
        <v>1.0613321134720519</v>
      </c>
      <c r="Q120" s="91">
        <f>IF(TrRoad_act!Q62=0,0,TrRoad_ene!Q65/TrRoad_tech!Q93)</f>
        <v>1.1113806150324157</v>
      </c>
      <c r="R120" s="91">
        <f>IF(TrRoad_act!R62=0,0,TrRoad_ene!R65/TrRoad_tech!R93)</f>
        <v>1.1268767913353686</v>
      </c>
      <c r="S120" s="91">
        <f>IF(TrRoad_act!S62=0,0,TrRoad_ene!S65/TrRoad_tech!S93)</f>
        <v>1.1420726317883876</v>
      </c>
      <c r="T120" s="91">
        <f>IF(TrRoad_act!T62=0,0,TrRoad_ene!T65/TrRoad_tech!T93)</f>
        <v>1.1180924777975558</v>
      </c>
      <c r="U120" s="91">
        <f>IF(TrRoad_act!U62=0,0,TrRoad_ene!U65/TrRoad_tech!U93)</f>
        <v>1.1366080398080547</v>
      </c>
      <c r="V120" s="91">
        <f>IF(TrRoad_act!V62=0,0,TrRoad_ene!V65/TrRoad_tech!V93)</f>
        <v>1.1986706425911817</v>
      </c>
      <c r="W120" s="91">
        <f>IF(TrRoad_act!W62=0,0,TrRoad_ene!W65/TrRoad_tech!W93)</f>
        <v>1.2556931295564338</v>
      </c>
      <c r="X120" s="91">
        <f>IF(TrRoad_act!X62=0,0,TrRoad_ene!X65/TrRoad_tech!X93)</f>
        <v>1.1474606024385576</v>
      </c>
      <c r="Y120" s="91">
        <f>IF(TrRoad_act!Y62=0,0,TrRoad_ene!Y65/TrRoad_tech!Y93)</f>
        <v>1.2003857201826933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0</v>
      </c>
      <c r="E121" s="91">
        <f>IF(TrRoad_act!E63=0,0,TrRoad_ene!E66/TrRoad_tech!E94)</f>
        <v>0</v>
      </c>
      <c r="F121" s="91">
        <f>IF(TrRoad_act!F63=0,0,TrRoad_ene!F66/TrRoad_tech!F94)</f>
        <v>0</v>
      </c>
      <c r="G121" s="91">
        <f>IF(TrRoad_act!G63=0,0,TrRoad_ene!G66/TrRoad_tech!G94)</f>
        <v>0</v>
      </c>
      <c r="H121" s="91">
        <f>IF(TrRoad_act!H63=0,0,TrRoad_ene!H66/TrRoad_tech!H94)</f>
        <v>0</v>
      </c>
      <c r="I121" s="91">
        <f>IF(TrRoad_act!I63=0,0,TrRoad_ene!I66/TrRoad_tech!I94)</f>
        <v>0</v>
      </c>
      <c r="J121" s="91">
        <f>IF(TrRoad_act!J63=0,0,TrRoad_ene!J66/TrRoad_tech!J94)</f>
        <v>0</v>
      </c>
      <c r="K121" s="91">
        <f>IF(TrRoad_act!K63=0,0,TrRoad_ene!K66/TrRoad_tech!K94)</f>
        <v>0</v>
      </c>
      <c r="L121" s="91">
        <f>IF(TrRoad_act!L63=0,0,TrRoad_ene!L66/TrRoad_tech!L94)</f>
        <v>0</v>
      </c>
      <c r="M121" s="91">
        <f>IF(TrRoad_act!M63=0,0,TrRoad_ene!M66/TrRoad_tech!M94)</f>
        <v>0</v>
      </c>
      <c r="N121" s="91">
        <f>IF(TrRoad_act!N63=0,0,TrRoad_ene!N66/TrRoad_tech!N94)</f>
        <v>0</v>
      </c>
      <c r="O121" s="91">
        <f>IF(TrRoad_act!O63=0,0,TrRoad_ene!O66/TrRoad_tech!O94)</f>
        <v>0</v>
      </c>
      <c r="P121" s="91">
        <f>IF(TrRoad_act!P63=0,0,TrRoad_ene!P66/TrRoad_tech!P94)</f>
        <v>0</v>
      </c>
      <c r="Q121" s="91">
        <f>IF(TrRoad_act!Q63=0,0,TrRoad_ene!Q66/TrRoad_tech!Q94)</f>
        <v>0</v>
      </c>
      <c r="R121" s="91">
        <f>IF(TrRoad_act!R63=0,0,TrRoad_ene!R66/TrRoad_tech!R94)</f>
        <v>0</v>
      </c>
      <c r="S121" s="91">
        <f>IF(TrRoad_act!S63=0,0,TrRoad_ene!S66/TrRoad_tech!S94)</f>
        <v>0</v>
      </c>
      <c r="T121" s="91">
        <f>IF(TrRoad_act!T63=0,0,TrRoad_ene!T66/TrRoad_tech!T94)</f>
        <v>0.9652189306820429</v>
      </c>
      <c r="U121" s="91">
        <f>IF(TrRoad_act!U63=0,0,TrRoad_ene!U66/TrRoad_tech!U94)</f>
        <v>1.0711111111162999</v>
      </c>
      <c r="V121" s="91">
        <f>IF(TrRoad_act!V63=0,0,TrRoad_ene!V66/TrRoad_tech!V94)</f>
        <v>1.039852324101741</v>
      </c>
      <c r="W121" s="91">
        <f>IF(TrRoad_act!W63=0,0,TrRoad_ene!W66/TrRoad_tech!W94)</f>
        <v>1.1686484151551217</v>
      </c>
      <c r="X121" s="91">
        <f>IF(TrRoad_act!X63=0,0,TrRoad_ene!X66/TrRoad_tech!X94)</f>
        <v>1.2330761297339659</v>
      </c>
      <c r="Y121" s="91">
        <f>IF(TrRoad_act!Y63=0,0,TrRoad_ene!Y66/TrRoad_tech!Y94)</f>
        <v>1.0712337346650993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X122" s="91">
        <f>IF(TrRoad_act!X64=0,0,TrRoad_ene!X67/TrRoad_tech!X95)</f>
        <v>0</v>
      </c>
      <c r="Y122" s="91">
        <f>IF(TrRoad_act!Y64=0,0,TrRoad_ene!Y67/TrRoad_tech!Y95)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0</v>
      </c>
      <c r="P123" s="91">
        <f>IF(TrRoad_act!P65=0,0,TrRoad_ene!P68/TrRoad_tech!P96)</f>
        <v>1.1931084348865264</v>
      </c>
      <c r="Q123" s="91">
        <f>IF(TrRoad_act!Q65=0,0,TrRoad_ene!Q68/TrRoad_tech!Q96)</f>
        <v>1.2059178698900321</v>
      </c>
      <c r="R123" s="91">
        <f>IF(TrRoad_act!R65=0,0,TrRoad_ene!R68/TrRoad_tech!R96)</f>
        <v>1.1466850803787534</v>
      </c>
      <c r="S123" s="91">
        <f>IF(TrRoad_act!S65=0,0,TrRoad_ene!S68/TrRoad_tech!S96)</f>
        <v>1.1556584177503597</v>
      </c>
      <c r="T123" s="91">
        <f>IF(TrRoad_act!T65=0,0,TrRoad_ene!T68/TrRoad_tech!T96)</f>
        <v>1.1385738370026366</v>
      </c>
      <c r="U123" s="91">
        <f>IF(TrRoad_act!U65=0,0,TrRoad_ene!U68/TrRoad_tech!U96)</f>
        <v>1.1302649647738128</v>
      </c>
      <c r="V123" s="91">
        <f>IF(TrRoad_act!V65=0,0,TrRoad_ene!V68/TrRoad_tech!V96)</f>
        <v>1.0944601911939935</v>
      </c>
      <c r="W123" s="91">
        <f>IF(TrRoad_act!W65=0,0,TrRoad_ene!W68/TrRoad_tech!W96)</f>
        <v>1.137615291933648</v>
      </c>
      <c r="X123" s="91">
        <f>IF(TrRoad_act!X65=0,0,TrRoad_ene!X68/TrRoad_tech!X96)</f>
        <v>1.1293185119676985</v>
      </c>
      <c r="Y123" s="91">
        <f>IF(TrRoad_act!Y65=0,0,TrRoad_ene!Y68/TrRoad_tech!Y96)</f>
        <v>1.1365927265326254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0</v>
      </c>
      <c r="O124" s="91">
        <f>IF(TrRoad_act!O66=0,0,TrRoad_ene!O69/TrRoad_tech!O97)</f>
        <v>1.0711111111163001</v>
      </c>
      <c r="P124" s="91">
        <f>IF(TrRoad_act!P66=0,0,TrRoad_ene!P69/TrRoad_tech!P97)</f>
        <v>1.07470816856629</v>
      </c>
      <c r="Q124" s="91">
        <f>IF(TrRoad_act!Q66=0,0,TrRoad_ene!Q69/TrRoad_tech!Q97)</f>
        <v>1.0784337785158564</v>
      </c>
      <c r="R124" s="91">
        <f>IF(TrRoad_act!R66=0,0,TrRoad_ene!R69/TrRoad_tech!R97)</f>
        <v>1.0843237960165739</v>
      </c>
      <c r="S124" s="91">
        <f>IF(TrRoad_act!S66=0,0,TrRoad_ene!S69/TrRoad_tech!S97)</f>
        <v>1.0887773498570872</v>
      </c>
      <c r="T124" s="91">
        <f>IF(TrRoad_act!T66=0,0,TrRoad_ene!T69/TrRoad_tech!T97)</f>
        <v>1.0916139580389728</v>
      </c>
      <c r="U124" s="91">
        <f>IF(TrRoad_act!U66=0,0,TrRoad_ene!U69/TrRoad_tech!U97)</f>
        <v>1.0939946135895997</v>
      </c>
      <c r="V124" s="91">
        <f>IF(TrRoad_act!V66=0,0,TrRoad_ene!V69/TrRoad_tech!V97)</f>
        <v>1.0954665615893036</v>
      </c>
      <c r="W124" s="91">
        <f>IF(TrRoad_act!W66=0,0,TrRoad_ene!W69/TrRoad_tech!W97)</f>
        <v>1.0964609817362294</v>
      </c>
      <c r="X124" s="91">
        <f>IF(TrRoad_act!X66=0,0,TrRoad_ene!X69/TrRoad_tech!X97)</f>
        <v>1.0994931224629432</v>
      </c>
      <c r="Y124" s="91">
        <f>IF(TrRoad_act!Y66=0,0,TrRoad_ene!Y69/TrRoad_tech!Y97)</f>
        <v>1.1002097810776257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1.3400268633182015</v>
      </c>
      <c r="C125" s="151">
        <f>IF(TrRoad_act!C67=0,0,TrRoad_ene!C70/TrRoad_tech!C98)</f>
        <v>1.3370894022672408</v>
      </c>
      <c r="D125" s="151">
        <f>IF(TrRoad_act!D67=0,0,TrRoad_ene!D70/TrRoad_tech!D98)</f>
        <v>1.2683143919769124</v>
      </c>
      <c r="E125" s="151">
        <f>IF(TrRoad_act!E67=0,0,TrRoad_ene!E70/TrRoad_tech!E98)</f>
        <v>1.2844018346496204</v>
      </c>
      <c r="F125" s="151">
        <f>IF(TrRoad_act!F67=0,0,TrRoad_ene!F70/TrRoad_tech!F98)</f>
        <v>1.405866489241214</v>
      </c>
      <c r="G125" s="151">
        <f>IF(TrRoad_act!G67=0,0,TrRoad_ene!G70/TrRoad_tech!G98)</f>
        <v>1.3035232187171277</v>
      </c>
      <c r="H125" s="151">
        <f>IF(TrRoad_act!H67=0,0,TrRoad_ene!H70/TrRoad_tech!H98)</f>
        <v>1.3149367638603293</v>
      </c>
      <c r="I125" s="151">
        <f>IF(TrRoad_act!I67=0,0,TrRoad_ene!I70/TrRoad_tech!I98)</f>
        <v>1.3805395115199119</v>
      </c>
      <c r="J125" s="151">
        <f>IF(TrRoad_act!J67=0,0,TrRoad_ene!J70/TrRoad_tech!J98)</f>
        <v>1.3505193957317885</v>
      </c>
      <c r="K125" s="151">
        <f>IF(TrRoad_act!K67=0,0,TrRoad_ene!K70/TrRoad_tech!K98)</f>
        <v>1.4463177112683916</v>
      </c>
      <c r="L125" s="151">
        <f>IF(TrRoad_act!L67=0,0,TrRoad_ene!L70/TrRoad_tech!L98)</f>
        <v>1.4968685074451094</v>
      </c>
      <c r="M125" s="151">
        <f>IF(TrRoad_act!M67=0,0,TrRoad_ene!M70/TrRoad_tech!M98)</f>
        <v>1.46317670858005</v>
      </c>
      <c r="N125" s="151">
        <f>IF(TrRoad_act!N67=0,0,TrRoad_ene!N70/TrRoad_tech!N98)</f>
        <v>1.3093479255286262</v>
      </c>
      <c r="O125" s="151">
        <f>IF(TrRoad_act!O67=0,0,TrRoad_ene!O70/TrRoad_tech!O98)</f>
        <v>1.2030290348469292</v>
      </c>
      <c r="P125" s="151">
        <f>IF(TrRoad_act!P67=0,0,TrRoad_ene!P70/TrRoad_tech!P98)</f>
        <v>1.1777978433099847</v>
      </c>
      <c r="Q125" s="151">
        <f>IF(TrRoad_act!Q67=0,0,TrRoad_ene!Q70/TrRoad_tech!Q98)</f>
        <v>1.2459786829798232</v>
      </c>
      <c r="R125" s="151">
        <f>IF(TrRoad_act!R67=0,0,TrRoad_ene!R70/TrRoad_tech!R98)</f>
        <v>1.2635365293938543</v>
      </c>
      <c r="S125" s="151">
        <f>IF(TrRoad_act!S67=0,0,TrRoad_ene!S70/TrRoad_tech!S98)</f>
        <v>1.2803782996885698</v>
      </c>
      <c r="T125" s="151">
        <f>IF(TrRoad_act!T67=0,0,TrRoad_ene!T70/TrRoad_tech!T98)</f>
        <v>1.2505111705517646</v>
      </c>
      <c r="U125" s="151">
        <f>IF(TrRoad_act!U67=0,0,TrRoad_ene!U70/TrRoad_tech!U98)</f>
        <v>1.2750970540239659</v>
      </c>
      <c r="V125" s="151">
        <f>IF(TrRoad_act!V67=0,0,TrRoad_ene!V70/TrRoad_tech!V98)</f>
        <v>1.3909001203052476</v>
      </c>
      <c r="W125" s="151">
        <f>IF(TrRoad_act!W67=0,0,TrRoad_ene!W70/TrRoad_tech!W98)</f>
        <v>1.466008224824235</v>
      </c>
      <c r="X125" s="151">
        <f>IF(TrRoad_act!X67=0,0,TrRoad_ene!X70/TrRoad_tech!X98)</f>
        <v>1.3233750993396971</v>
      </c>
      <c r="Y125" s="151">
        <f>IF(TrRoad_act!Y67=0,0,TrRoad_ene!Y70/TrRoad_tech!Y98)</f>
        <v>1.3863438599678386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1.1432481486591413</v>
      </c>
      <c r="C126" s="93">
        <f>IF(TrRoad_act!C68=0,0,TrRoad_ene!C71/TrRoad_tech!C99)</f>
        <v>1.1836543571735636</v>
      </c>
      <c r="D126" s="93">
        <f>IF(TrRoad_act!D68=0,0,TrRoad_ene!D71/TrRoad_tech!D99)</f>
        <v>1.2106596596423604</v>
      </c>
      <c r="E126" s="93">
        <f>IF(TrRoad_act!E68=0,0,TrRoad_ene!E71/TrRoad_tech!E99)</f>
        <v>1.2708684070817977</v>
      </c>
      <c r="F126" s="93">
        <f>IF(TrRoad_act!F68=0,0,TrRoad_ene!F71/TrRoad_tech!F99)</f>
        <v>1.2941495856307024</v>
      </c>
      <c r="G126" s="93">
        <f>IF(TrRoad_act!G68=0,0,TrRoad_ene!G71/TrRoad_tech!G99)</f>
        <v>1.3235103551134437</v>
      </c>
      <c r="H126" s="93">
        <f>IF(TrRoad_act!H68=0,0,TrRoad_ene!H71/TrRoad_tech!H99)</f>
        <v>1.3487226940966663</v>
      </c>
      <c r="I126" s="93">
        <f>IF(TrRoad_act!I68=0,0,TrRoad_ene!I71/TrRoad_tech!I99)</f>
        <v>1.3527882380864582</v>
      </c>
      <c r="J126" s="93">
        <f>IF(TrRoad_act!J68=0,0,TrRoad_ene!J71/TrRoad_tech!J99)</f>
        <v>1.3488011522057521</v>
      </c>
      <c r="K126" s="93">
        <f>IF(TrRoad_act!K68=0,0,TrRoad_ene!K71/TrRoad_tech!K99)</f>
        <v>1.356917291313783</v>
      </c>
      <c r="L126" s="93">
        <f>IF(TrRoad_act!L68=0,0,TrRoad_ene!L71/TrRoad_tech!L99)</f>
        <v>1.367402364755792</v>
      </c>
      <c r="M126" s="93">
        <f>IF(TrRoad_act!M68=0,0,TrRoad_ene!M71/TrRoad_tech!M99)</f>
        <v>1.351360288185165</v>
      </c>
      <c r="N126" s="93">
        <f>IF(TrRoad_act!N68=0,0,TrRoad_ene!N71/TrRoad_tech!N99)</f>
        <v>1.3304507314685625</v>
      </c>
      <c r="O126" s="93">
        <f>IF(TrRoad_act!O68=0,0,TrRoad_ene!O71/TrRoad_tech!O99)</f>
        <v>1.2736939115470163</v>
      </c>
      <c r="P126" s="93">
        <f>IF(TrRoad_act!P68=0,0,TrRoad_ene!P71/TrRoad_tech!P99)</f>
        <v>1.2701107933133098</v>
      </c>
      <c r="Q126" s="93">
        <f>IF(TrRoad_act!Q68=0,0,TrRoad_ene!Q71/TrRoad_tech!Q99)</f>
        <v>1.2848170880076901</v>
      </c>
      <c r="R126" s="93">
        <f>IF(TrRoad_act!R68=0,0,TrRoad_ene!R71/TrRoad_tech!R99)</f>
        <v>1.1972402498183639</v>
      </c>
      <c r="S126" s="93">
        <f>IF(TrRoad_act!S68=0,0,TrRoad_ene!S71/TrRoad_tech!S99)</f>
        <v>1.2109505877795377</v>
      </c>
      <c r="T126" s="93">
        <f>IF(TrRoad_act!T68=0,0,TrRoad_ene!T71/TrRoad_tech!T99)</f>
        <v>1.1890052344259026</v>
      </c>
      <c r="U126" s="93">
        <f>IF(TrRoad_act!U68=0,0,TrRoad_ene!U71/TrRoad_tech!U99)</f>
        <v>1.1823786549082012</v>
      </c>
      <c r="V126" s="93">
        <f>IF(TrRoad_act!V68=0,0,TrRoad_ene!V71/TrRoad_tech!V99)</f>
        <v>1.1319414105681864</v>
      </c>
      <c r="W126" s="93">
        <f>IF(TrRoad_act!W68=0,0,TrRoad_ene!W71/TrRoad_tech!W99)</f>
        <v>1.1906065000934127</v>
      </c>
      <c r="X126" s="93">
        <f>IF(TrRoad_act!X68=0,0,TrRoad_ene!X71/TrRoad_tech!X99)</f>
        <v>1.1856012496649162</v>
      </c>
      <c r="Y126" s="93">
        <f>IF(TrRoad_act!Y68=0,0,TrRoad_ene!Y71/TrRoad_tech!Y99)</f>
        <v>1.2080604197883058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1.3248873466287112</v>
      </c>
      <c r="C127" s="93">
        <f>IF(TrRoad_act!C69=0,0,TrRoad_ene!C72/TrRoad_tech!C100)</f>
        <v>1.3285708207318125</v>
      </c>
      <c r="D127" s="93">
        <f>IF(TrRoad_act!D69=0,0,TrRoad_ene!D72/TrRoad_tech!D100)</f>
        <v>1.2612969469633037</v>
      </c>
      <c r="E127" s="93">
        <f>IF(TrRoad_act!E69=0,0,TrRoad_ene!E72/TrRoad_tech!E100)</f>
        <v>1.2814119290040167</v>
      </c>
      <c r="F127" s="93">
        <f>IF(TrRoad_act!F69=0,0,TrRoad_ene!F72/TrRoad_tech!F100)</f>
        <v>1.4045471183722189</v>
      </c>
      <c r="G127" s="93">
        <f>IF(TrRoad_act!G69=0,0,TrRoad_ene!G72/TrRoad_tech!G100)</f>
        <v>1.3018439371754511</v>
      </c>
      <c r="H127" s="93">
        <f>IF(TrRoad_act!H69=0,0,TrRoad_ene!H72/TrRoad_tech!H100)</f>
        <v>1.3132518270974938</v>
      </c>
      <c r="I127" s="93">
        <f>IF(TrRoad_act!I69=0,0,TrRoad_ene!I72/TrRoad_tech!I100)</f>
        <v>1.3808919868399949</v>
      </c>
      <c r="J127" s="93">
        <f>IF(TrRoad_act!J69=0,0,TrRoad_ene!J72/TrRoad_tech!J100)</f>
        <v>1.3520561188676021</v>
      </c>
      <c r="K127" s="93">
        <f>IF(TrRoad_act!K69=0,0,TrRoad_ene!K72/TrRoad_tech!K100)</f>
        <v>1.451265018349122</v>
      </c>
      <c r="L127" s="93">
        <f>IF(TrRoad_act!L69=0,0,TrRoad_ene!L72/TrRoad_tech!L100)</f>
        <v>1.4991561142969476</v>
      </c>
      <c r="M127" s="93">
        <f>IF(TrRoad_act!M69=0,0,TrRoad_ene!M72/TrRoad_tech!M100)</f>
        <v>1.465934554321322</v>
      </c>
      <c r="N127" s="93">
        <f>IF(TrRoad_act!N69=0,0,TrRoad_ene!N72/TrRoad_tech!N100)</f>
        <v>1.3112877751293703</v>
      </c>
      <c r="O127" s="93">
        <f>IF(TrRoad_act!O69=0,0,TrRoad_ene!O72/TrRoad_tech!O100)</f>
        <v>1.2041352204521192</v>
      </c>
      <c r="P127" s="93">
        <f>IF(TrRoad_act!P69=0,0,TrRoad_ene!P72/TrRoad_tech!P100)</f>
        <v>1.1861202922544278</v>
      </c>
      <c r="Q127" s="93">
        <f>IF(TrRoad_act!Q69=0,0,TrRoad_ene!Q72/TrRoad_tech!Q100)</f>
        <v>1.2566887609080624</v>
      </c>
      <c r="R127" s="93">
        <f>IF(TrRoad_act!R69=0,0,TrRoad_ene!R72/TrRoad_tech!R100)</f>
        <v>1.2752917505741452</v>
      </c>
      <c r="S127" s="93">
        <f>IF(TrRoad_act!S69=0,0,TrRoad_ene!S72/TrRoad_tech!S100)</f>
        <v>1.2933293540890889</v>
      </c>
      <c r="T127" s="93">
        <f>IF(TrRoad_act!T69=0,0,TrRoad_ene!T72/TrRoad_tech!T100)</f>
        <v>1.2644459055471904</v>
      </c>
      <c r="U127" s="93">
        <f>IF(TrRoad_act!U69=0,0,TrRoad_ene!U72/TrRoad_tech!U100)</f>
        <v>1.2909565438662143</v>
      </c>
      <c r="V127" s="93">
        <f>IF(TrRoad_act!V69=0,0,TrRoad_ene!V72/TrRoad_tech!V100)</f>
        <v>1.4081484818803338</v>
      </c>
      <c r="W127" s="93">
        <f>IF(TrRoad_act!W69=0,0,TrRoad_ene!W72/TrRoad_tech!W100)</f>
        <v>1.4896126810424259</v>
      </c>
      <c r="X127" s="93">
        <f>IF(TrRoad_act!X69=0,0,TrRoad_ene!X72/TrRoad_tech!X100)</f>
        <v>1.3497088773804637</v>
      </c>
      <c r="Y127" s="93">
        <f>IF(TrRoad_act!Y69=0,0,TrRoad_ene!Y72/TrRoad_tech!Y100)</f>
        <v>1.423833736006384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X129" s="93">
        <f>IF(TrRoad_act!X71=0,0,TrRoad_ene!X74/TrRoad_tech!X102)</f>
        <v>0</v>
      </c>
      <c r="Y129" s="93">
        <f>IF(TrRoad_act!Y71=0,0,TrRoad_ene!Y74/TrRoad_tech!Y102)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1.1693333333396372</v>
      </c>
      <c r="L130" s="93">
        <f>IF(TrRoad_act!L72=0,0,TrRoad_ene!L75/TrRoad_tech!L103)</f>
        <v>1.169333333339637</v>
      </c>
      <c r="M130" s="93">
        <f>IF(TrRoad_act!M72=0,0,TrRoad_ene!M75/TrRoad_tech!M103)</f>
        <v>1.1693333333396367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1.1693333333396372</v>
      </c>
      <c r="P130" s="93">
        <f>IF(TrRoad_act!P72=0,0,TrRoad_ene!P75/TrRoad_tech!P103)</f>
        <v>1.1693333333396367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1.1693333333396367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1.1693333333396367</v>
      </c>
      <c r="U130" s="93">
        <f>IF(TrRoad_act!U72=0,0,TrRoad_ene!U75/TrRoad_tech!U103)</f>
        <v>1.1693333333396372</v>
      </c>
      <c r="V130" s="93">
        <f>IF(TrRoad_act!V72=0,0,TrRoad_ene!V75/TrRoad_tech!V103)</f>
        <v>1.3533878856593002</v>
      </c>
      <c r="W130" s="93">
        <f>IF(TrRoad_act!W72=0,0,TrRoad_ene!W75/TrRoad_tech!W103)</f>
        <v>1.3533878856593007</v>
      </c>
      <c r="X130" s="93">
        <f>IF(TrRoad_act!X72=0,0,TrRoad_ene!X75/TrRoad_tech!X103)</f>
        <v>1.3533878856593005</v>
      </c>
      <c r="Y130" s="93">
        <f>IF(TrRoad_act!Y72=0,0,TrRoad_ene!Y75/TrRoad_tech!Y103)</f>
        <v>1.3629932213644032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1.3463050738796418</v>
      </c>
      <c r="C132" s="150">
        <f>IF(TrRoad_act!C74=0,0,TrRoad_ene!C77/TrRoad_tech!C105)</f>
        <v>1.3441379850751145</v>
      </c>
      <c r="D132" s="150">
        <f>IF(TrRoad_act!D74=0,0,TrRoad_ene!D77/TrRoad_tech!D105)</f>
        <v>1.2675327435357278</v>
      </c>
      <c r="E132" s="150">
        <f>IF(TrRoad_act!E74=0,0,TrRoad_ene!E77/TrRoad_tech!E105)</f>
        <v>1.2828346604729428</v>
      </c>
      <c r="F132" s="150">
        <f>IF(TrRoad_act!F74=0,0,TrRoad_ene!F77/TrRoad_tech!F105)</f>
        <v>1.4034552978854116</v>
      </c>
      <c r="G132" s="150">
        <f>IF(TrRoad_act!G74=0,0,TrRoad_ene!G77/TrRoad_tech!G105)</f>
        <v>1.2906306109490786</v>
      </c>
      <c r="H132" s="150">
        <f>IF(TrRoad_act!H74=0,0,TrRoad_ene!H77/TrRoad_tech!H105)</f>
        <v>1.2978643251680102</v>
      </c>
      <c r="I132" s="150">
        <f>IF(TrRoad_act!I74=0,0,TrRoad_ene!I77/TrRoad_tech!I105)</f>
        <v>1.360544152029169</v>
      </c>
      <c r="J132" s="150">
        <f>IF(TrRoad_act!J74=0,0,TrRoad_ene!J77/TrRoad_tech!J105)</f>
        <v>1.3213602874948289</v>
      </c>
      <c r="K132" s="150">
        <f>IF(TrRoad_act!K74=0,0,TrRoad_ene!K77/TrRoad_tech!K105)</f>
        <v>1.4193696959507602</v>
      </c>
      <c r="L132" s="150">
        <f>IF(TrRoad_act!L74=0,0,TrRoad_ene!L77/TrRoad_tech!L105)</f>
        <v>1.4553812675869284</v>
      </c>
      <c r="M132" s="150">
        <f>IF(TrRoad_act!M74=0,0,TrRoad_ene!M77/TrRoad_tech!M105)</f>
        <v>1.4204719441502813</v>
      </c>
      <c r="N132" s="150">
        <f>IF(TrRoad_act!N74=0,0,TrRoad_ene!N77/TrRoad_tech!N105)</f>
        <v>1.2667251306078273</v>
      </c>
      <c r="O132" s="150">
        <f>IF(TrRoad_act!O74=0,0,TrRoad_ene!O77/TrRoad_tech!O105)</f>
        <v>1.1650499012724504</v>
      </c>
      <c r="P132" s="150">
        <f>IF(TrRoad_act!P74=0,0,TrRoad_ene!P77/TrRoad_tech!P105)</f>
        <v>1.1550764323222988</v>
      </c>
      <c r="Q132" s="150">
        <f>IF(TrRoad_act!Q74=0,0,TrRoad_ene!Q77/TrRoad_tech!Q105)</f>
        <v>1.2305644354659617</v>
      </c>
      <c r="R132" s="150">
        <f>IF(TrRoad_act!R74=0,0,TrRoad_ene!R77/TrRoad_tech!R105)</f>
        <v>1.2432336465347078</v>
      </c>
      <c r="S132" s="150">
        <f>IF(TrRoad_act!S74=0,0,TrRoad_ene!S77/TrRoad_tech!S105)</f>
        <v>1.2558126985068152</v>
      </c>
      <c r="T132" s="150">
        <f>IF(TrRoad_act!T74=0,0,TrRoad_ene!T77/TrRoad_tech!T105)</f>
        <v>1.2221417822386451</v>
      </c>
      <c r="U132" s="150">
        <f>IF(TrRoad_act!U74=0,0,TrRoad_ene!U77/TrRoad_tech!U105)</f>
        <v>1.2427937455983407</v>
      </c>
      <c r="V132" s="150">
        <f>IF(TrRoad_act!V74=0,0,TrRoad_ene!V77/TrRoad_tech!V105)</f>
        <v>1.3211787339988592</v>
      </c>
      <c r="W132" s="150">
        <f>IF(TrRoad_act!W74=0,0,TrRoad_ene!W77/TrRoad_tech!W105)</f>
        <v>1.4059138103649242</v>
      </c>
      <c r="X132" s="150">
        <f>IF(TrRoad_act!X74=0,0,TrRoad_ene!X77/TrRoad_tech!X105)</f>
        <v>1.2710665209320506</v>
      </c>
      <c r="Y132" s="150">
        <f>IF(TrRoad_act!Y74=0,0,TrRoad_ene!Y77/TrRoad_tech!Y105)</f>
        <v>1.3423988171135892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1.1540601858222441</v>
      </c>
      <c r="C133" s="91">
        <f>IF(TrRoad_act!C75=0,0,TrRoad_ene!C78/TrRoad_tech!C106)</f>
        <v>1.2048100465567422</v>
      </c>
      <c r="D133" s="91">
        <f>IF(TrRoad_act!D75=0,0,TrRoad_ene!D78/TrRoad_tech!D106)</f>
        <v>1.2391555471782609</v>
      </c>
      <c r="E133" s="91">
        <f>IF(TrRoad_act!E75=0,0,TrRoad_ene!E78/TrRoad_tech!E106)</f>
        <v>1.3153381207032824</v>
      </c>
      <c r="F133" s="91">
        <f>IF(TrRoad_act!F75=0,0,TrRoad_ene!F78/TrRoad_tech!F106)</f>
        <v>1.3456744696196499</v>
      </c>
      <c r="G133" s="91">
        <f>IF(TrRoad_act!G75=0,0,TrRoad_ene!G78/TrRoad_tech!G106)</f>
        <v>1.3854714511478159</v>
      </c>
      <c r="H133" s="91">
        <f>IF(TrRoad_act!H75=0,0,TrRoad_ene!H78/TrRoad_tech!H106)</f>
        <v>1.4184603758787828</v>
      </c>
      <c r="I133" s="91">
        <f>IF(TrRoad_act!I75=0,0,TrRoad_ene!I78/TrRoad_tech!I106)</f>
        <v>1.4309680146522856</v>
      </c>
      <c r="J133" s="91">
        <f>IF(TrRoad_act!J75=0,0,TrRoad_ene!J78/TrRoad_tech!J106)</f>
        <v>1.4328488489343425</v>
      </c>
      <c r="K133" s="91">
        <f>IF(TrRoad_act!K75=0,0,TrRoad_ene!K78/TrRoad_tech!K106)</f>
        <v>1.4475922404893693</v>
      </c>
      <c r="L133" s="91">
        <f>IF(TrRoad_act!L75=0,0,TrRoad_ene!L78/TrRoad_tech!L106)</f>
        <v>1.4586651976830951</v>
      </c>
      <c r="M133" s="91">
        <f>IF(TrRoad_act!M75=0,0,TrRoad_ene!M78/TrRoad_tech!M106)</f>
        <v>1.4362476640716926</v>
      </c>
      <c r="N133" s="91">
        <f>IF(TrRoad_act!N75=0,0,TrRoad_ene!N78/TrRoad_tech!N106)</f>
        <v>1.4109386973190863</v>
      </c>
      <c r="O133" s="91">
        <f>IF(TrRoad_act!O75=0,0,TrRoad_ene!O78/TrRoad_tech!O106)</f>
        <v>1.3397632336898844</v>
      </c>
      <c r="P133" s="91">
        <f>IF(TrRoad_act!P75=0,0,TrRoad_ene!P78/TrRoad_tech!P106)</f>
        <v>1.3563510978256077</v>
      </c>
      <c r="Q133" s="91">
        <f>IF(TrRoad_act!Q75=0,0,TrRoad_ene!Q78/TrRoad_tech!Q106)</f>
        <v>1.3729607182502186</v>
      </c>
      <c r="R133" s="91">
        <f>IF(TrRoad_act!R75=0,0,TrRoad_ene!R78/TrRoad_tech!R106)</f>
        <v>1.2608859181915355</v>
      </c>
      <c r="S133" s="91">
        <f>IF(TrRoad_act!S75=0,0,TrRoad_ene!S78/TrRoad_tech!S106)</f>
        <v>1.287894299204033</v>
      </c>
      <c r="T133" s="91">
        <f>IF(TrRoad_act!T75=0,0,TrRoad_ene!T78/TrRoad_tech!T106)</f>
        <v>1.2761670024476046</v>
      </c>
      <c r="U133" s="91">
        <f>IF(TrRoad_act!U75=0,0,TrRoad_ene!U78/TrRoad_tech!U106)</f>
        <v>1.2825452897233049</v>
      </c>
      <c r="V133" s="91">
        <f>IF(TrRoad_act!V75=0,0,TrRoad_ene!V78/TrRoad_tech!V106)</f>
        <v>1.2299846653344275</v>
      </c>
      <c r="W133" s="91">
        <f>IF(TrRoad_act!W75=0,0,TrRoad_ene!W78/TrRoad_tech!W106)</f>
        <v>1.3275003640454472</v>
      </c>
      <c r="X133" s="91">
        <f>IF(TrRoad_act!X75=0,0,TrRoad_ene!X78/TrRoad_tech!X106)</f>
        <v>1.3381038467352715</v>
      </c>
      <c r="Y133" s="91">
        <f>IF(TrRoad_act!Y75=0,0,TrRoad_ene!Y78/TrRoad_tech!Y106)</f>
        <v>1.3853089758530979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1.3473760812909092</v>
      </c>
      <c r="C134" s="91">
        <f>IF(TrRoad_act!C76=0,0,TrRoad_ene!C79/TrRoad_tech!C107)</f>
        <v>1.3510045561702257</v>
      </c>
      <c r="D134" s="91">
        <f>IF(TrRoad_act!D76=0,0,TrRoad_ene!D79/TrRoad_tech!D107)</f>
        <v>1.2759398125957611</v>
      </c>
      <c r="E134" s="91">
        <f>IF(TrRoad_act!E76=0,0,TrRoad_ene!E79/TrRoad_tech!E107)</f>
        <v>1.295591570468769</v>
      </c>
      <c r="F134" s="91">
        <f>IF(TrRoad_act!F76=0,0,TrRoad_ene!F79/TrRoad_tech!F107)</f>
        <v>1.4290903664540666</v>
      </c>
      <c r="G134" s="91">
        <f>IF(TrRoad_act!G76=0,0,TrRoad_ene!G79/TrRoad_tech!G107)</f>
        <v>1.3143470787283396</v>
      </c>
      <c r="H134" s="91">
        <f>IF(TrRoad_act!H76=0,0,TrRoad_ene!H79/TrRoad_tech!H107)</f>
        <v>1.3236412332066563</v>
      </c>
      <c r="I134" s="91">
        <f>IF(TrRoad_act!I76=0,0,TrRoad_ene!I79/TrRoad_tech!I107)</f>
        <v>1.3923351651601141</v>
      </c>
      <c r="J134" s="91">
        <f>IF(TrRoad_act!J76=0,0,TrRoad_ene!J79/TrRoad_tech!J107)</f>
        <v>1.3549690743965397</v>
      </c>
      <c r="K134" s="91">
        <f>IF(TrRoad_act!K76=0,0,TrRoad_ene!K79/TrRoad_tech!K107)</f>
        <v>1.4586836237111642</v>
      </c>
      <c r="L134" s="91">
        <f>IF(TrRoad_act!L76=0,0,TrRoad_ene!L79/TrRoad_tech!L107)</f>
        <v>1.4951305410805704</v>
      </c>
      <c r="M134" s="91">
        <f>IF(TrRoad_act!M76=0,0,TrRoad_ene!M79/TrRoad_tech!M107)</f>
        <v>1.4545912140556811</v>
      </c>
      <c r="N134" s="91">
        <f>IF(TrRoad_act!N76=0,0,TrRoad_ene!N79/TrRoad_tech!N107)</f>
        <v>1.2880764027669973</v>
      </c>
      <c r="O134" s="91">
        <f>IF(TrRoad_act!O76=0,0,TrRoad_ene!O79/TrRoad_tech!O107)</f>
        <v>1.176427066614206</v>
      </c>
      <c r="P134" s="91">
        <f>IF(TrRoad_act!P76=0,0,TrRoad_ene!P79/TrRoad_tech!P107)</f>
        <v>1.1581504419211712</v>
      </c>
      <c r="Q134" s="91">
        <f>IF(TrRoad_act!Q76=0,0,TrRoad_ene!Q79/TrRoad_tech!Q107)</f>
        <v>1.2312157424429659</v>
      </c>
      <c r="R134" s="91">
        <f>IF(TrRoad_act!R76=0,0,TrRoad_ene!R79/TrRoad_tech!R107)</f>
        <v>1.2518003511225877</v>
      </c>
      <c r="S134" s="91">
        <f>IF(TrRoad_act!S76=0,0,TrRoad_ene!S79/TrRoad_tech!S107)</f>
        <v>1.2702127542180679</v>
      </c>
      <c r="T134" s="91">
        <f>IF(TrRoad_act!T76=0,0,TrRoad_ene!T79/TrRoad_tech!T107)</f>
        <v>1.2396206338357165</v>
      </c>
      <c r="U134" s="91">
        <f>IF(TrRoad_act!U76=0,0,TrRoad_ene!U79/TrRoad_tech!U107)</f>
        <v>1.2704806325620539</v>
      </c>
      <c r="V134" s="91">
        <f>IF(TrRoad_act!V76=0,0,TrRoad_ene!V79/TrRoad_tech!V107)</f>
        <v>1.3577596745761593</v>
      </c>
      <c r="W134" s="91">
        <f>IF(TrRoad_act!W76=0,0,TrRoad_ene!W79/TrRoad_tech!W107)</f>
        <v>1.4453571489580737</v>
      </c>
      <c r="X134" s="91">
        <f>IF(TrRoad_act!X76=0,0,TrRoad_ene!X79/TrRoad_tech!X107)</f>
        <v>1.3039246322659928</v>
      </c>
      <c r="Y134" s="91">
        <f>IF(TrRoad_act!Y76=0,0,TrRoad_ene!Y79/TrRoad_tech!Y107)</f>
        <v>1.379736542342151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1.1560000000067703</v>
      </c>
      <c r="J137" s="91">
        <f>IF(TrRoad_act!J79=0,0,TrRoad_ene!J82/TrRoad_tech!J110)</f>
        <v>1.16052399791439</v>
      </c>
      <c r="K137" s="91">
        <f>IF(TrRoad_act!K79=0,0,TrRoad_ene!K82/TrRoad_tech!K110)</f>
        <v>1.1605239979143898</v>
      </c>
      <c r="L137" s="91">
        <f>IF(TrRoad_act!L79=0,0,TrRoad_ene!L82/TrRoad_tech!L110)</f>
        <v>1.1770293179024975</v>
      </c>
      <c r="M137" s="91">
        <f>IF(TrRoad_act!M79=0,0,TrRoad_ene!M82/TrRoad_tech!M110)</f>
        <v>1.18415362454519</v>
      </c>
      <c r="N137" s="91">
        <f>IF(TrRoad_act!N79=0,0,TrRoad_ene!N82/TrRoad_tech!N110)</f>
        <v>1.1841536245451896</v>
      </c>
      <c r="O137" s="91">
        <f>IF(TrRoad_act!O79=0,0,TrRoad_ene!O82/TrRoad_tech!O110)</f>
        <v>1.1841536245451898</v>
      </c>
      <c r="P137" s="91">
        <f>IF(TrRoad_act!P79=0,0,TrRoad_ene!P82/TrRoad_tech!P110)</f>
        <v>1.1894464768204203</v>
      </c>
      <c r="Q137" s="91">
        <f>IF(TrRoad_act!Q79=0,0,TrRoad_ene!Q82/TrRoad_tech!Q110)</f>
        <v>1.1894464768204205</v>
      </c>
      <c r="R137" s="91">
        <f>IF(TrRoad_act!R79=0,0,TrRoad_ene!R82/TrRoad_tech!R110)</f>
        <v>1.1894464768204203</v>
      </c>
      <c r="S137" s="91">
        <f>IF(TrRoad_act!S79=0,0,TrRoad_ene!S82/TrRoad_tech!S110)</f>
        <v>1.18944647682042</v>
      </c>
      <c r="T137" s="91">
        <f>IF(TrRoad_act!T79=0,0,TrRoad_ene!T82/TrRoad_tech!T110)</f>
        <v>1.1971901898876567</v>
      </c>
      <c r="U137" s="91">
        <f>IF(TrRoad_act!U79=0,0,TrRoad_ene!U82/TrRoad_tech!U110)</f>
        <v>1.2845608892500353</v>
      </c>
      <c r="V137" s="91">
        <f>IF(TrRoad_act!V79=0,0,TrRoad_ene!V82/TrRoad_tech!V110)</f>
        <v>1.297563446216025</v>
      </c>
      <c r="W137" s="91">
        <f>IF(TrRoad_act!W79=0,0,TrRoad_ene!W82/TrRoad_tech!W110)</f>
        <v>1.3202359613589669</v>
      </c>
      <c r="X137" s="91">
        <f>IF(TrRoad_act!X79=0,0,TrRoad_ene!X82/TrRoad_tech!X110)</f>
        <v>1.351917381327485</v>
      </c>
      <c r="Y137" s="91">
        <f>IF(TrRoad_act!Y79=0,0,TrRoad_ene!Y82/TrRoad_tech!Y110)</f>
        <v>1.3553190359758902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1.287868531602107</v>
      </c>
      <c r="C138" s="151">
        <f>IF(TrRoad_act!C80=0,0,TrRoad_ene!C83/TrRoad_tech!C111)</f>
        <v>1.2922029466218026</v>
      </c>
      <c r="D138" s="151">
        <f>IF(TrRoad_act!D80=0,0,TrRoad_ene!D83/TrRoad_tech!D111)</f>
        <v>1.2348018694678602</v>
      </c>
      <c r="E138" s="151">
        <f>IF(TrRoad_act!E80=0,0,TrRoad_ene!E83/TrRoad_tech!E111)</f>
        <v>1.2520702029350039</v>
      </c>
      <c r="F138" s="151">
        <f>IF(TrRoad_act!F80=0,0,TrRoad_ene!F83/TrRoad_tech!F111)</f>
        <v>1.355477295679282</v>
      </c>
      <c r="G138" s="151">
        <f>IF(TrRoad_act!G80=0,0,TrRoad_ene!G83/TrRoad_tech!G111)</f>
        <v>1.2757511102080328</v>
      </c>
      <c r="H138" s="151">
        <f>IF(TrRoad_act!H80=0,0,TrRoad_ene!H83/TrRoad_tech!H111)</f>
        <v>1.2849286207016297</v>
      </c>
      <c r="I138" s="151">
        <f>IF(TrRoad_act!I80=0,0,TrRoad_ene!I83/TrRoad_tech!I111)</f>
        <v>1.3475549845586039</v>
      </c>
      <c r="J138" s="151">
        <f>IF(TrRoad_act!J80=0,0,TrRoad_ene!J83/TrRoad_tech!J111)</f>
        <v>1.3244564274237787</v>
      </c>
      <c r="K138" s="151">
        <f>IF(TrRoad_act!K80=0,0,TrRoad_ene!K83/TrRoad_tech!K111)</f>
        <v>1.4095178132850081</v>
      </c>
      <c r="L138" s="151">
        <f>IF(TrRoad_act!L80=0,0,TrRoad_ene!L83/TrRoad_tech!L111)</f>
        <v>1.4465874001766568</v>
      </c>
      <c r="M138" s="151">
        <f>IF(TrRoad_act!M80=0,0,TrRoad_ene!M83/TrRoad_tech!M111)</f>
        <v>1.415299341668379</v>
      </c>
      <c r="N138" s="151">
        <f>IF(TrRoad_act!N80=0,0,TrRoad_ene!N83/TrRoad_tech!N111)</f>
        <v>1.2816216050170552</v>
      </c>
      <c r="O138" s="151">
        <f>IF(TrRoad_act!O80=0,0,TrRoad_ene!O83/TrRoad_tech!O111)</f>
        <v>1.2072288679061949</v>
      </c>
      <c r="P138" s="151">
        <f>IF(TrRoad_act!P80=0,0,TrRoad_ene!P83/TrRoad_tech!P111)</f>
        <v>1.1907353584585747</v>
      </c>
      <c r="Q138" s="151">
        <f>IF(TrRoad_act!Q80=0,0,TrRoad_ene!Q83/TrRoad_tech!Q111)</f>
        <v>1.242674378887922</v>
      </c>
      <c r="R138" s="151">
        <f>IF(TrRoad_act!R80=0,0,TrRoad_ene!R83/TrRoad_tech!R111)</f>
        <v>1.2566240235794479</v>
      </c>
      <c r="S138" s="151">
        <f>IF(TrRoad_act!S80=0,0,TrRoad_ene!S83/TrRoad_tech!S111)</f>
        <v>1.2678194633453541</v>
      </c>
      <c r="T138" s="151">
        <f>IF(TrRoad_act!T80=0,0,TrRoad_ene!T83/TrRoad_tech!T111)</f>
        <v>1.2384021947414303</v>
      </c>
      <c r="U138" s="151">
        <f>IF(TrRoad_act!U80=0,0,TrRoad_ene!U83/TrRoad_tech!U111)</f>
        <v>1.273411291299281</v>
      </c>
      <c r="V138" s="151">
        <f>IF(TrRoad_act!V80=0,0,TrRoad_ene!V83/TrRoad_tech!V111)</f>
        <v>1.3354084559604835</v>
      </c>
      <c r="W138" s="151">
        <f>IF(TrRoad_act!W80=0,0,TrRoad_ene!W83/TrRoad_tech!W111)</f>
        <v>1.4257366909615787</v>
      </c>
      <c r="X138" s="151">
        <f>IF(TrRoad_act!X80=0,0,TrRoad_ene!X83/TrRoad_tech!X111)</f>
        <v>1.2863174219374487</v>
      </c>
      <c r="Y138" s="151">
        <f>IF(TrRoad_act!Y80=0,0,TrRoad_ene!Y83/TrRoad_tech!Y111)</f>
        <v>1.3391271480120948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1.287868531602107</v>
      </c>
      <c r="C139" s="93">
        <f>IF(TrRoad_act!C81=0,0,TrRoad_ene!C84/TrRoad_tech!C112)</f>
        <v>1.2922029466218026</v>
      </c>
      <c r="D139" s="93">
        <f>IF(TrRoad_act!D81=0,0,TrRoad_ene!D84/TrRoad_tech!D112)</f>
        <v>1.2348018694678602</v>
      </c>
      <c r="E139" s="93">
        <f>IF(TrRoad_act!E81=0,0,TrRoad_ene!E84/TrRoad_tech!E112)</f>
        <v>1.2520702029350039</v>
      </c>
      <c r="F139" s="93">
        <f>IF(TrRoad_act!F81=0,0,TrRoad_ene!F84/TrRoad_tech!F112)</f>
        <v>1.355477295679282</v>
      </c>
      <c r="G139" s="93">
        <f>IF(TrRoad_act!G81=0,0,TrRoad_ene!G84/TrRoad_tech!G112)</f>
        <v>1.2757511102080328</v>
      </c>
      <c r="H139" s="93">
        <f>IF(TrRoad_act!H81=0,0,TrRoad_ene!H84/TrRoad_tech!H112)</f>
        <v>1.2849286207016297</v>
      </c>
      <c r="I139" s="93">
        <f>IF(TrRoad_act!I81=0,0,TrRoad_ene!I84/TrRoad_tech!I112)</f>
        <v>1.3475549845586039</v>
      </c>
      <c r="J139" s="93">
        <f>IF(TrRoad_act!J81=0,0,TrRoad_ene!J84/TrRoad_tech!J112)</f>
        <v>1.3244564274237787</v>
      </c>
      <c r="K139" s="93">
        <f>IF(TrRoad_act!K81=0,0,TrRoad_ene!K84/TrRoad_tech!K112)</f>
        <v>1.4095178132850081</v>
      </c>
      <c r="L139" s="93">
        <f>IF(TrRoad_act!L81=0,0,TrRoad_ene!L84/TrRoad_tech!L112)</f>
        <v>1.4465874001766568</v>
      </c>
      <c r="M139" s="93">
        <f>IF(TrRoad_act!M81=0,0,TrRoad_ene!M84/TrRoad_tech!M112)</f>
        <v>1.415299341668379</v>
      </c>
      <c r="N139" s="93">
        <f>IF(TrRoad_act!N81=0,0,TrRoad_ene!N84/TrRoad_tech!N112)</f>
        <v>1.2816216050170552</v>
      </c>
      <c r="O139" s="93">
        <f>IF(TrRoad_act!O81=0,0,TrRoad_ene!O84/TrRoad_tech!O112)</f>
        <v>1.2072288679061949</v>
      </c>
      <c r="P139" s="93">
        <f>IF(TrRoad_act!P81=0,0,TrRoad_ene!P84/TrRoad_tech!P112)</f>
        <v>1.1907353584585747</v>
      </c>
      <c r="Q139" s="93">
        <f>IF(TrRoad_act!Q81=0,0,TrRoad_ene!Q84/TrRoad_tech!Q112)</f>
        <v>1.242674378887922</v>
      </c>
      <c r="R139" s="93">
        <f>IF(TrRoad_act!R81=0,0,TrRoad_ene!R84/TrRoad_tech!R112)</f>
        <v>1.2566240235794479</v>
      </c>
      <c r="S139" s="93">
        <f>IF(TrRoad_act!S81=0,0,TrRoad_ene!S84/TrRoad_tech!S112)</f>
        <v>1.2678194633453541</v>
      </c>
      <c r="T139" s="93">
        <f>IF(TrRoad_act!T81=0,0,TrRoad_ene!T84/TrRoad_tech!T112)</f>
        <v>1.2384021947414303</v>
      </c>
      <c r="U139" s="93">
        <f>IF(TrRoad_act!U81=0,0,TrRoad_ene!U84/TrRoad_tech!U112)</f>
        <v>1.273411291299281</v>
      </c>
      <c r="V139" s="93">
        <f>IF(TrRoad_act!V81=0,0,TrRoad_ene!V84/TrRoad_tech!V112)</f>
        <v>1.3354084559604835</v>
      </c>
      <c r="W139" s="93">
        <f>IF(TrRoad_act!W81=0,0,TrRoad_ene!W84/TrRoad_tech!W112)</f>
        <v>1.4257366909615787</v>
      </c>
      <c r="X139" s="93">
        <f>IF(TrRoad_act!X81=0,0,TrRoad_ene!X84/TrRoad_tech!X112)</f>
        <v>1.2863174219374487</v>
      </c>
      <c r="Y139" s="93">
        <f>IF(TrRoad_act!Y81=0,0,TrRoad_ene!Y84/TrRoad_tech!Y112)</f>
        <v>1.3391271480120948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</v>
      </c>
      <c r="C140" s="94">
        <f>IF(TrRoad_act!C82=0,0,TrRoad_ene!C85/TrRoad_tech!C113)</f>
        <v>0</v>
      </c>
      <c r="D140" s="94">
        <f>IF(TrRoad_act!D82=0,0,TrRoad_ene!D85/TrRoad_tech!D113)</f>
        <v>0</v>
      </c>
      <c r="E140" s="94">
        <f>IF(TrRoad_act!E82=0,0,TrRoad_ene!E85/TrRoad_tech!E113)</f>
        <v>0</v>
      </c>
      <c r="F140" s="94">
        <f>IF(TrRoad_act!F82=0,0,TrRoad_ene!F85/TrRoad_tech!F113)</f>
        <v>0</v>
      </c>
      <c r="G140" s="94">
        <f>IF(TrRoad_act!G82=0,0,TrRoad_ene!G85/TrRoad_tech!G113)</f>
        <v>0</v>
      </c>
      <c r="H140" s="94">
        <f>IF(TrRoad_act!H82=0,0,TrRoad_ene!H85/TrRoad_tech!H113)</f>
        <v>0</v>
      </c>
      <c r="I140" s="94">
        <f>IF(TrRoad_act!I82=0,0,TrRoad_ene!I85/TrRoad_tech!I113)</f>
        <v>0</v>
      </c>
      <c r="J140" s="94">
        <f>IF(TrRoad_act!J82=0,0,TrRoad_ene!J85/TrRoad_tech!J113)</f>
        <v>0</v>
      </c>
      <c r="K140" s="94">
        <f>IF(TrRoad_act!K82=0,0,TrRoad_ene!K85/TrRoad_tech!K113)</f>
        <v>0</v>
      </c>
      <c r="L140" s="94">
        <f>IF(TrRoad_act!L82=0,0,TrRoad_ene!L85/TrRoad_tech!L113)</f>
        <v>0</v>
      </c>
      <c r="M140" s="94">
        <f>IF(TrRoad_act!M82=0,0,TrRoad_ene!M85/TrRoad_tech!M113)</f>
        <v>0</v>
      </c>
      <c r="N140" s="94">
        <f>IF(TrRoad_act!N82=0,0,TrRoad_ene!N85/TrRoad_tech!N113)</f>
        <v>0</v>
      </c>
      <c r="O140" s="94">
        <f>IF(TrRoad_act!O82=0,0,TrRoad_ene!O85/TrRoad_tech!O113)</f>
        <v>0</v>
      </c>
      <c r="P140" s="94">
        <f>IF(TrRoad_act!P82=0,0,TrRoad_ene!P85/TrRoad_tech!P113)</f>
        <v>0</v>
      </c>
      <c r="Q140" s="94">
        <f>IF(TrRoad_act!Q82=0,0,TrRoad_ene!Q85/TrRoad_tech!Q113)</f>
        <v>0</v>
      </c>
      <c r="R140" s="94">
        <f>IF(TrRoad_act!R82=0,0,TrRoad_ene!R85/TrRoad_tech!R113)</f>
        <v>0</v>
      </c>
      <c r="S140" s="94">
        <f>IF(TrRoad_act!S82=0,0,TrRoad_ene!S85/TrRoad_tech!S113)</f>
        <v>0</v>
      </c>
      <c r="T140" s="94">
        <f>IF(TrRoad_act!T82=0,0,TrRoad_ene!T85/TrRoad_tech!T113)</f>
        <v>0</v>
      </c>
      <c r="U140" s="94">
        <f>IF(TrRoad_act!U82=0,0,TrRoad_ene!U85/TrRoad_tech!U113)</f>
        <v>0</v>
      </c>
      <c r="V140" s="94">
        <f>IF(TrRoad_act!V82=0,0,TrRoad_ene!V85/TrRoad_tech!V113)</f>
        <v>0</v>
      </c>
      <c r="W140" s="94">
        <f>IF(TrRoad_act!W82=0,0,TrRoad_ene!W85/TrRoad_tech!W113)</f>
        <v>0</v>
      </c>
      <c r="X140" s="94">
        <f>IF(TrRoad_act!X82=0,0,TrRoad_ene!X85/TrRoad_tech!X113)</f>
        <v>0</v>
      </c>
      <c r="Y140" s="94">
        <f>IF(TrRoad_act!Y82=0,0,TrRoad_ene!Y85/TrRoad_tech!Y113)</f>
        <v>0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3.5696486780685728</v>
      </c>
      <c r="C144" s="141">
        <v>3.5599039382106836</v>
      </c>
      <c r="D144" s="141">
        <v>3.5491076462526139</v>
      </c>
      <c r="E144" s="141">
        <v>3.5267561247531609</v>
      </c>
      <c r="F144" s="141">
        <v>3.524312460479385</v>
      </c>
      <c r="G144" s="141">
        <v>3.5004130298924578</v>
      </c>
      <c r="H144" s="141">
        <v>3.4647566361170736</v>
      </c>
      <c r="I144" s="141">
        <v>3.4391580064946785</v>
      </c>
      <c r="J144" s="141">
        <v>3.3535914410951762</v>
      </c>
      <c r="K144" s="141">
        <v>3.2586838098110218</v>
      </c>
      <c r="L144" s="141">
        <v>3.1983261332334108</v>
      </c>
      <c r="M144" s="141">
        <v>3.09894577985493</v>
      </c>
      <c r="N144" s="141">
        <v>2.9823353730485871</v>
      </c>
      <c r="O144" s="141">
        <v>2.8830092768846383</v>
      </c>
      <c r="P144" s="141">
        <v>2.6887244148760456</v>
      </c>
      <c r="Q144" s="141">
        <v>2.5667579142601542</v>
      </c>
      <c r="R144" s="141">
        <v>2.4886791300556474</v>
      </c>
      <c r="S144" s="141">
        <v>2.4262161026920421</v>
      </c>
      <c r="T144" s="141">
        <v>2.3762456808011581</v>
      </c>
      <c r="U144" s="141">
        <v>2.3362693432884507</v>
      </c>
      <c r="V144" s="141">
        <v>2.304288273278285</v>
      </c>
      <c r="W144" s="141">
        <v>2.2787034172701524</v>
      </c>
      <c r="X144" s="141">
        <v>2.2582355324636461</v>
      </c>
      <c r="Y144" s="141">
        <v>2.2418612246184413</v>
      </c>
      <c r="DA144" s="174" t="s">
        <v>887</v>
      </c>
    </row>
    <row r="145" spans="1:105" ht="11.45" customHeight="1" x14ac:dyDescent="0.25">
      <c r="A145" s="109" t="s">
        <v>20</v>
      </c>
      <c r="B145" s="130">
        <v>6.7630697462263099</v>
      </c>
      <c r="C145" s="130">
        <v>6.7468873618207894</v>
      </c>
      <c r="D145" s="130">
        <v>6.696602498649054</v>
      </c>
      <c r="E145" s="130">
        <v>6.6322760712640623</v>
      </c>
      <c r="F145" s="130">
        <v>6.6115294061086107</v>
      </c>
      <c r="G145" s="130">
        <v>6.5754914685435573</v>
      </c>
      <c r="H145" s="130">
        <v>6.5161185965285418</v>
      </c>
      <c r="I145" s="130">
        <v>6.5068516480223293</v>
      </c>
      <c r="J145" s="130">
        <v>6.3843039762491554</v>
      </c>
      <c r="K145" s="130">
        <v>6.2107176694695614</v>
      </c>
      <c r="L145" s="130">
        <v>6.1460894029744608</v>
      </c>
      <c r="M145" s="130">
        <v>5.9204455670485352</v>
      </c>
      <c r="N145" s="130">
        <v>5.6980611066420153</v>
      </c>
      <c r="O145" s="130">
        <v>5.4898431214377483</v>
      </c>
      <c r="P145" s="130">
        <v>5.1993052539687206</v>
      </c>
      <c r="Q145" s="130">
        <v>5.0139918915818535</v>
      </c>
      <c r="R145" s="130">
        <v>4.9435148289620052</v>
      </c>
      <c r="S145" s="130">
        <v>4.9418090438396431</v>
      </c>
      <c r="T145" s="130">
        <v>5.0235976704078977</v>
      </c>
      <c r="U145" s="130">
        <v>5.1032818295271793</v>
      </c>
      <c r="V145" s="130">
        <v>5.1448345864185887</v>
      </c>
      <c r="W145" s="130">
        <v>5.0352353278386586</v>
      </c>
      <c r="X145" s="130">
        <v>4.8640234835715965</v>
      </c>
      <c r="Y145" s="130">
        <v>4.7050464569529602</v>
      </c>
      <c r="DA145" s="176" t="s">
        <v>888</v>
      </c>
    </row>
    <row r="146" spans="1:105" ht="11.45" customHeight="1" x14ac:dyDescent="0.25">
      <c r="A146" s="111" t="s">
        <v>110</v>
      </c>
      <c r="B146" s="96">
        <v>6.678297391330501</v>
      </c>
      <c r="C146" s="96">
        <v>6.6600663897274686</v>
      </c>
      <c r="D146" s="96">
        <v>6.6398680859384722</v>
      </c>
      <c r="E146" s="96">
        <v>6.5980516156961331</v>
      </c>
      <c r="F146" s="96">
        <v>6.5934798725873183</v>
      </c>
      <c r="G146" s="96">
        <v>6.548767487885832</v>
      </c>
      <c r="H146" s="96">
        <v>6.4820595221979476</v>
      </c>
      <c r="I146" s="96">
        <v>6.4341681813835958</v>
      </c>
      <c r="J146" s="96">
        <v>6.2740854892118287</v>
      </c>
      <c r="K146" s="96">
        <v>6.0965270111698748</v>
      </c>
      <c r="L146" s="96">
        <v>5.9836065110345542</v>
      </c>
      <c r="M146" s="96">
        <v>5.7976802155997174</v>
      </c>
      <c r="N146" s="96">
        <v>5.5795189773912144</v>
      </c>
      <c r="O146" s="96">
        <v>5.3936941893726775</v>
      </c>
      <c r="P146" s="96">
        <v>5.030858233136783</v>
      </c>
      <c r="Q146" s="96">
        <v>4.8020335413667183</v>
      </c>
      <c r="R146" s="96">
        <v>4.6803801373940397</v>
      </c>
      <c r="S146" s="96">
        <v>4.6032123282741928</v>
      </c>
      <c r="T146" s="96">
        <v>4.6157608018695253</v>
      </c>
      <c r="U146" s="96">
        <v>5.07451024612452</v>
      </c>
      <c r="V146" s="96">
        <v>5.1284054496908782</v>
      </c>
      <c r="W146" s="96">
        <v>4.9581416834115242</v>
      </c>
      <c r="X146" s="96">
        <v>4.8486029783531377</v>
      </c>
      <c r="Y146" s="96">
        <v>4.6704624466123166</v>
      </c>
      <c r="DA146" s="171" t="s">
        <v>889</v>
      </c>
    </row>
    <row r="147" spans="1:105" ht="11.45" customHeight="1" x14ac:dyDescent="0.25">
      <c r="A147" s="111" t="s">
        <v>111</v>
      </c>
      <c r="B147" s="96">
        <v>7.3570572420677305</v>
      </c>
      <c r="C147" s="96">
        <v>7.3552292188284563</v>
      </c>
      <c r="D147" s="96">
        <v>7.3531986146096431</v>
      </c>
      <c r="E147" s="96">
        <v>7.361565326247681</v>
      </c>
      <c r="F147" s="96">
        <v>7.3372088656705063</v>
      </c>
      <c r="G147" s="96">
        <v>7.3481307329888095</v>
      </c>
      <c r="H147" s="96">
        <v>7.3716136601919438</v>
      </c>
      <c r="I147" s="96">
        <v>7.3375299781718368</v>
      </c>
      <c r="J147" s="96">
        <v>7.1681878506821324</v>
      </c>
      <c r="K147" s="96">
        <v>7.0245175084578308</v>
      </c>
      <c r="L147" s="96">
        <v>6.8869649507412776</v>
      </c>
      <c r="M147" s="96">
        <v>6.4886744720717084</v>
      </c>
      <c r="N147" s="96">
        <v>6.2414999632318731</v>
      </c>
      <c r="O147" s="96">
        <v>5.8757584317534928</v>
      </c>
      <c r="P147" s="96">
        <v>5.5606480944909755</v>
      </c>
      <c r="Q147" s="96">
        <v>5.4977752863572684</v>
      </c>
      <c r="R147" s="96">
        <v>5.3994755384058166</v>
      </c>
      <c r="S147" s="96">
        <v>5.4071863972829659</v>
      </c>
      <c r="T147" s="96">
        <v>5.5489910381045453</v>
      </c>
      <c r="U147" s="96">
        <v>5.161415519659303</v>
      </c>
      <c r="V147" s="96">
        <v>5.1975684009207841</v>
      </c>
      <c r="W147" s="96">
        <v>5.2525351733906618</v>
      </c>
      <c r="X147" s="96">
        <v>5.4792848736507107</v>
      </c>
      <c r="Y147" s="96">
        <v>5.2972336578593424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0</v>
      </c>
      <c r="P148" s="96">
        <v>0</v>
      </c>
      <c r="Q148" s="96">
        <v>0</v>
      </c>
      <c r="R148" s="96">
        <v>0</v>
      </c>
      <c r="S148" s="96">
        <v>0</v>
      </c>
      <c r="T148" s="96">
        <v>4.9117000646444851</v>
      </c>
      <c r="U148" s="96">
        <v>0</v>
      </c>
      <c r="V148" s="96">
        <v>0</v>
      </c>
      <c r="W148" s="96">
        <v>4.1258641414258408</v>
      </c>
      <c r="X148" s="96">
        <v>4.2394200352265514</v>
      </c>
      <c r="Y148" s="96">
        <v>0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X149" s="96">
        <v>0</v>
      </c>
      <c r="Y149" s="96">
        <v>0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0</v>
      </c>
      <c r="P150" s="96">
        <v>2.7021993848275483</v>
      </c>
      <c r="Q150" s="96">
        <v>2.7579852880745066</v>
      </c>
      <c r="R150" s="96">
        <v>4.2793712761553016</v>
      </c>
      <c r="S150" s="96">
        <v>3.6556558810225948</v>
      </c>
      <c r="T150" s="96">
        <v>3.6478238003395216</v>
      </c>
      <c r="U150" s="96">
        <v>3.3353860515273093</v>
      </c>
      <c r="V150" s="96">
        <v>4.4349507341953647</v>
      </c>
      <c r="W150" s="96">
        <v>3.2333958622293393</v>
      </c>
      <c r="X150" s="96">
        <v>2.9760606219286165</v>
      </c>
      <c r="Y150" s="96">
        <v>2.6066760590165154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0</v>
      </c>
      <c r="O151" s="96">
        <v>1.321055934017817</v>
      </c>
      <c r="P151" s="96">
        <v>1.3111679024807961</v>
      </c>
      <c r="Q151" s="96">
        <v>1.379374669857534</v>
      </c>
      <c r="R151" s="96">
        <v>1.3399239780743561</v>
      </c>
      <c r="S151" s="96">
        <v>1.2621256019831668</v>
      </c>
      <c r="T151" s="96">
        <v>1.4037219194819983</v>
      </c>
      <c r="U151" s="96">
        <v>1.5058878978948307</v>
      </c>
      <c r="V151" s="96">
        <v>1.4670282426086381</v>
      </c>
      <c r="W151" s="96">
        <v>1.4595872742906277</v>
      </c>
      <c r="X151" s="96">
        <v>1.5255398955724204</v>
      </c>
      <c r="Y151" s="96">
        <v>1.5126124822284464</v>
      </c>
      <c r="DA151" s="171" t="s">
        <v>894</v>
      </c>
    </row>
    <row r="152" spans="1:105" ht="11.45" customHeight="1" x14ac:dyDescent="0.25">
      <c r="A152" s="109" t="s">
        <v>21</v>
      </c>
      <c r="B152" s="130">
        <v>46.840557132676345</v>
      </c>
      <c r="C152" s="130">
        <v>46.937331653615139</v>
      </c>
      <c r="D152" s="130">
        <v>46.901663247623354</v>
      </c>
      <c r="E152" s="130">
        <v>46.730096967190484</v>
      </c>
      <c r="F152" s="130">
        <v>46.819352815590392</v>
      </c>
      <c r="G152" s="130">
        <v>46.73957300310034</v>
      </c>
      <c r="H152" s="130">
        <v>46.038007295489763</v>
      </c>
      <c r="I152" s="130">
        <v>46.533040728210992</v>
      </c>
      <c r="J152" s="130">
        <v>46.052181939505431</v>
      </c>
      <c r="K152" s="130">
        <v>45.903868410847437</v>
      </c>
      <c r="L152" s="130">
        <v>45.448003436062812</v>
      </c>
      <c r="M152" s="130">
        <v>45.026198538510222</v>
      </c>
      <c r="N152" s="130">
        <v>44.702777803239407</v>
      </c>
      <c r="O152" s="130">
        <v>44.502860640500892</v>
      </c>
      <c r="P152" s="130">
        <v>43.713191446335998</v>
      </c>
      <c r="Q152" s="130">
        <v>43.199999999908329</v>
      </c>
      <c r="R152" s="130">
        <v>42.401334720285654</v>
      </c>
      <c r="S152" s="130">
        <v>41.361606878335678</v>
      </c>
      <c r="T152" s="130">
        <v>40.124086879697664</v>
      </c>
      <c r="U152" s="130">
        <v>38.343233715174534</v>
      </c>
      <c r="V152" s="130">
        <v>37.180675518499683</v>
      </c>
      <c r="W152" s="130">
        <v>35.61719946682787</v>
      </c>
      <c r="X152" s="130">
        <v>33.963151318211736</v>
      </c>
      <c r="Y152" s="130">
        <v>31.477710151744994</v>
      </c>
      <c r="DA152" s="176" t="s">
        <v>895</v>
      </c>
    </row>
    <row r="153" spans="1:105" ht="11.45" customHeight="1" x14ac:dyDescent="0.25">
      <c r="A153" s="111" t="s">
        <v>110</v>
      </c>
      <c r="B153" s="97">
        <v>14.87353615861905</v>
      </c>
      <c r="C153" s="97">
        <v>0</v>
      </c>
      <c r="D153" s="97">
        <v>0</v>
      </c>
      <c r="E153" s="97">
        <v>14.694817186471504</v>
      </c>
      <c r="F153" s="97">
        <v>0</v>
      </c>
      <c r="G153" s="97">
        <v>0</v>
      </c>
      <c r="H153" s="97">
        <v>14.436485983821141</v>
      </c>
      <c r="I153" s="97">
        <v>0</v>
      </c>
      <c r="J153" s="97">
        <v>13.973297671229899</v>
      </c>
      <c r="K153" s="97">
        <v>0</v>
      </c>
      <c r="L153" s="97">
        <v>13.326358888472544</v>
      </c>
      <c r="M153" s="97">
        <v>12.912274082728876</v>
      </c>
      <c r="N153" s="97">
        <v>12.426397387702448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9.7468079607991065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46.969456410797548</v>
      </c>
      <c r="C154" s="97">
        <v>46.937331653615139</v>
      </c>
      <c r="D154" s="97">
        <v>46.901663247623354</v>
      </c>
      <c r="E154" s="97">
        <v>46.827468638256498</v>
      </c>
      <c r="F154" s="97">
        <v>46.819352815590392</v>
      </c>
      <c r="G154" s="97">
        <v>46.73957300310034</v>
      </c>
      <c r="H154" s="97">
        <v>46.619630387115564</v>
      </c>
      <c r="I154" s="97">
        <v>46.533040728210992</v>
      </c>
      <c r="J154" s="97">
        <v>46.238100548109138</v>
      </c>
      <c r="K154" s="97">
        <v>45.90386841084743</v>
      </c>
      <c r="L154" s="97">
        <v>45.688314991281686</v>
      </c>
      <c r="M154" s="97">
        <v>45.324932719494235</v>
      </c>
      <c r="N154" s="97">
        <v>44.88616632832769</v>
      </c>
      <c r="O154" s="97">
        <v>44.502860640500892</v>
      </c>
      <c r="P154" s="97">
        <v>43.713191446335998</v>
      </c>
      <c r="Q154" s="97">
        <v>43.199999999908329</v>
      </c>
      <c r="R154" s="97">
        <v>42.401334720285654</v>
      </c>
      <c r="S154" s="97">
        <v>41.361606878335678</v>
      </c>
      <c r="T154" s="97">
        <v>40.124086879697664</v>
      </c>
      <c r="U154" s="97">
        <v>38.729671901044476</v>
      </c>
      <c r="V154" s="97">
        <v>37.216050315684626</v>
      </c>
      <c r="W154" s="97">
        <v>35.61719946682787</v>
      </c>
      <c r="X154" s="97">
        <v>33.963151318211736</v>
      </c>
      <c r="Y154" s="97">
        <v>32.279964069577979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X156" s="97">
        <v>0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28.304879101988803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0</v>
      </c>
      <c r="V157" s="97">
        <v>26.957359132052115</v>
      </c>
      <c r="W157" s="97">
        <v>0</v>
      </c>
      <c r="X157" s="97">
        <v>0</v>
      </c>
      <c r="Y157" s="97">
        <v>25.420693072105951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6.4834876416113616</v>
      </c>
      <c r="C159" s="141">
        <v>6.6676812182274814</v>
      </c>
      <c r="D159" s="141">
        <v>6.6641305053052582</v>
      </c>
      <c r="E159" s="141">
        <v>6.661284041689056</v>
      </c>
      <c r="F159" s="141">
        <v>6.6897099093368606</v>
      </c>
      <c r="G159" s="141">
        <v>6.6859601504212209</v>
      </c>
      <c r="H159" s="141">
        <v>6.6657890185837863</v>
      </c>
      <c r="I159" s="141">
        <v>6.6518987042865589</v>
      </c>
      <c r="J159" s="141">
        <v>6.6455859781227469</v>
      </c>
      <c r="K159" s="141">
        <v>6.6576052791101983</v>
      </c>
      <c r="L159" s="141">
        <v>6.7120649883589456</v>
      </c>
      <c r="M159" s="141">
        <v>6.7355118415345556</v>
      </c>
      <c r="N159" s="141">
        <v>6.3846432405496767</v>
      </c>
      <c r="O159" s="141">
        <v>6.4253090521206992</v>
      </c>
      <c r="P159" s="141">
        <v>6.2777359435808409</v>
      </c>
      <c r="Q159" s="141">
        <v>5.9523091695814205</v>
      </c>
      <c r="R159" s="141">
        <v>5.6375086648611683</v>
      </c>
      <c r="S159" s="141">
        <v>4.6643711659901639</v>
      </c>
      <c r="T159" s="141">
        <v>5.1680369186645123</v>
      </c>
      <c r="U159" s="141">
        <v>4.1441659393303816</v>
      </c>
      <c r="V159" s="141">
        <v>5.1023398898935906</v>
      </c>
      <c r="W159" s="141">
        <v>5.2506934114371608</v>
      </c>
      <c r="X159" s="141">
        <v>4.8945517180822566</v>
      </c>
      <c r="Y159" s="141">
        <v>4.9607596262906952</v>
      </c>
      <c r="DA159" s="174" t="s">
        <v>901</v>
      </c>
    </row>
    <row r="160" spans="1:105" ht="11.45" customHeight="1" x14ac:dyDescent="0.25">
      <c r="A160" s="111" t="s">
        <v>110</v>
      </c>
      <c r="B160" s="96">
        <v>6.0076141825179006</v>
      </c>
      <c r="C160" s="96">
        <v>5.991214070726822</v>
      </c>
      <c r="D160" s="96">
        <v>5.9730442275474678</v>
      </c>
      <c r="E160" s="96">
        <v>5.9354272714626957</v>
      </c>
      <c r="F160" s="96">
        <v>5.9313146560564096</v>
      </c>
      <c r="G160" s="96">
        <v>5.8910926143103275</v>
      </c>
      <c r="H160" s="96">
        <v>5.8310839478388852</v>
      </c>
      <c r="I160" s="96">
        <v>5.7880022038797749</v>
      </c>
      <c r="J160" s="96">
        <v>5.6439961802613583</v>
      </c>
      <c r="K160" s="96">
        <v>5.4842694163266064</v>
      </c>
      <c r="L160" s="96">
        <v>5.3826892143142091</v>
      </c>
      <c r="M160" s="96">
        <v>5.2154349900852743</v>
      </c>
      <c r="N160" s="96">
        <v>5.0191830905459591</v>
      </c>
      <c r="O160" s="96">
        <v>4.8394485341607139</v>
      </c>
      <c r="P160" s="96">
        <v>7.2235962819183035</v>
      </c>
      <c r="Q160" s="96">
        <v>4.3499586784731505</v>
      </c>
      <c r="R160" s="96">
        <v>4.6615899707364958</v>
      </c>
      <c r="S160" s="96">
        <v>4.5188926246558641</v>
      </c>
      <c r="T160" s="96">
        <v>4.5390007479330672</v>
      </c>
      <c r="U160" s="96">
        <v>4.7638161548343305</v>
      </c>
      <c r="V160" s="96">
        <v>4.6925698888218728</v>
      </c>
      <c r="W160" s="96">
        <v>4.4674562992114701</v>
      </c>
      <c r="X160" s="96">
        <v>4.5507029750581225</v>
      </c>
      <c r="Y160" s="96">
        <v>4.6710803292936012</v>
      </c>
      <c r="DA160" s="171" t="s">
        <v>902</v>
      </c>
    </row>
    <row r="161" spans="1:105" ht="11.45" customHeight="1" x14ac:dyDescent="0.25">
      <c r="A161" s="111" t="s">
        <v>111</v>
      </c>
      <c r="B161" s="96">
        <v>6.7435307310894883</v>
      </c>
      <c r="C161" s="96">
        <v>6.741855152052163</v>
      </c>
      <c r="D161" s="96">
        <v>6.7399938858554096</v>
      </c>
      <c r="E161" s="96">
        <v>6.7476628729507713</v>
      </c>
      <c r="F161" s="96">
        <v>6.7253375688246093</v>
      </c>
      <c r="G161" s="96">
        <v>6.7353486296983416</v>
      </c>
      <c r="H161" s="96">
        <v>6.7568732469522033</v>
      </c>
      <c r="I161" s="96">
        <v>6.7256319028157181</v>
      </c>
      <c r="J161" s="96">
        <v>6.5704117103908004</v>
      </c>
      <c r="K161" s="96">
        <v>6.4387224580093116</v>
      </c>
      <c r="L161" s="96">
        <v>6.3126408102007483</v>
      </c>
      <c r="M161" s="96">
        <v>5.9475649389066696</v>
      </c>
      <c r="N161" s="96">
        <v>4.7303958122301131</v>
      </c>
      <c r="O161" s="96">
        <v>5.3857617589844322</v>
      </c>
      <c r="P161" s="96">
        <v>3.843621583765505</v>
      </c>
      <c r="Q161" s="96">
        <v>4.7978005818420222</v>
      </c>
      <c r="R161" s="96">
        <v>4.8599147308555946</v>
      </c>
      <c r="S161" s="96">
        <v>4.4948836069828859</v>
      </c>
      <c r="T161" s="96">
        <v>4.5821873946078</v>
      </c>
      <c r="U161" s="96">
        <v>4.5406089286195401</v>
      </c>
      <c r="V161" s="96">
        <v>6.1911371654805629</v>
      </c>
      <c r="W161" s="96">
        <v>6.3437290231530827</v>
      </c>
      <c r="X161" s="96">
        <v>6.5498742262048726</v>
      </c>
      <c r="Y161" s="96">
        <v>6.7771855998920358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1.4104152265329351</v>
      </c>
      <c r="J164" s="96">
        <v>1.3963110742676057</v>
      </c>
      <c r="K164" s="96">
        <v>0</v>
      </c>
      <c r="L164" s="96">
        <v>1.3736322702876926</v>
      </c>
      <c r="M164" s="96">
        <v>1.3598959475848158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1.8057543142999408</v>
      </c>
      <c r="V164" s="96">
        <v>2.0958241253219345</v>
      </c>
      <c r="W164" s="96">
        <v>1.6208082545141875</v>
      </c>
      <c r="X164" s="96">
        <v>1.6828399459525856</v>
      </c>
      <c r="Y164" s="96">
        <v>1.9567620685419485</v>
      </c>
      <c r="DA164" s="171" t="s">
        <v>906</v>
      </c>
    </row>
    <row r="165" spans="1:105" ht="11.45" customHeight="1" x14ac:dyDescent="0.25">
      <c r="A165" s="109" t="s">
        <v>154</v>
      </c>
      <c r="B165" s="130">
        <v>23.759779832273317</v>
      </c>
      <c r="C165" s="130">
        <v>23.633698453561188</v>
      </c>
      <c r="D165" s="130">
        <v>23.494392568285335</v>
      </c>
      <c r="E165" s="130">
        <v>23.320930811310955</v>
      </c>
      <c r="F165" s="130">
        <v>23.113753952229665</v>
      </c>
      <c r="G165" s="130">
        <v>22.873384715532183</v>
      </c>
      <c r="H165" s="130">
        <v>22.600424520913002</v>
      </c>
      <c r="I165" s="130">
        <v>22.295549778792303</v>
      </c>
      <c r="J165" s="130">
        <v>21.959507782878735</v>
      </c>
      <c r="K165" s="130">
        <v>21.593112244852609</v>
      </c>
      <c r="L165" s="130">
        <v>21.197238520351998</v>
      </c>
      <c r="M165" s="130">
        <v>20.772818576209431</v>
      </c>
      <c r="N165" s="130">
        <v>20.320835750822614</v>
      </c>
      <c r="O165" s="130">
        <v>19.842319360149059</v>
      </c>
      <c r="P165" s="130">
        <v>19.338339200580421</v>
      </c>
      <c r="Q165" s="130">
        <v>18.809999999960084</v>
      </c>
      <c r="R165" s="130">
        <v>18.569113383515369</v>
      </c>
      <c r="S165" s="130">
        <v>18.40049275200407</v>
      </c>
      <c r="T165" s="130">
        <v>18.223441088917202</v>
      </c>
      <c r="U165" s="130">
        <v>18.007044611811033</v>
      </c>
      <c r="V165" s="130">
        <v>17.288858795098811</v>
      </c>
      <c r="W165" s="130">
        <v>17.227560563588089</v>
      </c>
      <c r="X165" s="130">
        <v>17.13264748652507</v>
      </c>
      <c r="Y165" s="130">
        <v>16.96132101165982</v>
      </c>
      <c r="DA165" s="176" t="s">
        <v>907</v>
      </c>
    </row>
    <row r="166" spans="1:105" ht="11.45" customHeight="1" x14ac:dyDescent="0.25">
      <c r="A166" s="128" t="s">
        <v>27</v>
      </c>
      <c r="B166" s="97">
        <v>23.759779832273317</v>
      </c>
      <c r="C166" s="97">
        <v>23.633698453561188</v>
      </c>
      <c r="D166" s="97">
        <v>23.494392568285335</v>
      </c>
      <c r="E166" s="97">
        <v>23.320930811310955</v>
      </c>
      <c r="F166" s="97">
        <v>23.113753952229665</v>
      </c>
      <c r="G166" s="97">
        <v>22.873384715532183</v>
      </c>
      <c r="H166" s="97">
        <v>22.600424520913002</v>
      </c>
      <c r="I166" s="97">
        <v>22.295549778792303</v>
      </c>
      <c r="J166" s="97">
        <v>21.959507782878735</v>
      </c>
      <c r="K166" s="97">
        <v>21.593112244852609</v>
      </c>
      <c r="L166" s="97">
        <v>21.197238520351998</v>
      </c>
      <c r="M166" s="97">
        <v>20.772818576209431</v>
      </c>
      <c r="N166" s="97">
        <v>20.320835750822614</v>
      </c>
      <c r="O166" s="97">
        <v>19.842319360149059</v>
      </c>
      <c r="P166" s="97">
        <v>19.338339200580421</v>
      </c>
      <c r="Q166" s="97">
        <v>18.809999999960084</v>
      </c>
      <c r="R166" s="97">
        <v>18.569113383515369</v>
      </c>
      <c r="S166" s="97">
        <v>18.40049275200407</v>
      </c>
      <c r="T166" s="97">
        <v>18.223441088917202</v>
      </c>
      <c r="U166" s="97">
        <v>18.007044611811033</v>
      </c>
      <c r="V166" s="97">
        <v>17.288858795098811</v>
      </c>
      <c r="W166" s="97">
        <v>17.227560563588089</v>
      </c>
      <c r="X166" s="97">
        <v>17.13264748652507</v>
      </c>
      <c r="Y166" s="97">
        <v>16.96132101165982</v>
      </c>
      <c r="DA166" s="175" t="s">
        <v>908</v>
      </c>
    </row>
    <row r="167" spans="1:105" ht="11.45" customHeight="1" x14ac:dyDescent="0.25">
      <c r="A167" s="138" t="s">
        <v>116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116.49299536160544</v>
      </c>
      <c r="C171" s="152">
        <v>115.52151929990039</v>
      </c>
      <c r="D171" s="152">
        <v>114.68302204797887</v>
      </c>
      <c r="E171" s="152">
        <v>114.09611930519702</v>
      </c>
      <c r="F171" s="152">
        <v>113.26170798333807</v>
      </c>
      <c r="G171" s="152">
        <v>112.2067442961103</v>
      </c>
      <c r="H171" s="152">
        <v>110.99386512211183</v>
      </c>
      <c r="I171" s="152">
        <v>109.55521208006648</v>
      </c>
      <c r="J171" s="152">
        <v>107.86121734496501</v>
      </c>
      <c r="K171" s="152">
        <v>106.09195109452875</v>
      </c>
      <c r="L171" s="152">
        <v>103.75285496225797</v>
      </c>
      <c r="M171" s="152">
        <v>101.74113200703965</v>
      </c>
      <c r="N171" s="152">
        <v>100.96823322751715</v>
      </c>
      <c r="O171" s="152">
        <v>99.154029871598965</v>
      </c>
      <c r="P171" s="152">
        <v>98.128230778455475</v>
      </c>
      <c r="Q171" s="152">
        <v>95.605524493575686</v>
      </c>
      <c r="R171" s="152">
        <v>94.177238777075146</v>
      </c>
      <c r="S171" s="152">
        <v>92.700168751368295</v>
      </c>
      <c r="T171" s="152">
        <v>90.633114354180762</v>
      </c>
      <c r="U171" s="152">
        <v>88.996434638595645</v>
      </c>
      <c r="V171" s="152">
        <v>87.055380378920958</v>
      </c>
      <c r="W171" s="152">
        <v>84.869816252060957</v>
      </c>
      <c r="X171" s="152">
        <v>83.683782810671516</v>
      </c>
      <c r="Y171" s="152">
        <v>81.780187723062383</v>
      </c>
      <c r="DA171" s="174" t="s">
        <v>910</v>
      </c>
    </row>
    <row r="172" spans="1:105" ht="11.45" customHeight="1" x14ac:dyDescent="0.25">
      <c r="A172" s="109" t="s">
        <v>20</v>
      </c>
      <c r="B172" s="116">
        <v>222.57252406409879</v>
      </c>
      <c r="C172" s="116">
        <v>218.94312437788025</v>
      </c>
      <c r="D172" s="116">
        <v>215.87480662068532</v>
      </c>
      <c r="E172" s="116">
        <v>213.04136482799231</v>
      </c>
      <c r="F172" s="116">
        <v>209.98587533276543</v>
      </c>
      <c r="G172" s="116">
        <v>207.72243348700223</v>
      </c>
      <c r="H172" s="116">
        <v>205.57354260335771</v>
      </c>
      <c r="I172" s="116">
        <v>204.34980904572018</v>
      </c>
      <c r="J172" s="116">
        <v>202.80968420638956</v>
      </c>
      <c r="K172" s="116">
        <v>200.00734801126015</v>
      </c>
      <c r="L172" s="116">
        <v>198.71445222697412</v>
      </c>
      <c r="M172" s="116">
        <v>196.75904532095052</v>
      </c>
      <c r="N172" s="116">
        <v>195.90188128655976</v>
      </c>
      <c r="O172" s="116">
        <v>194.91251877460576</v>
      </c>
      <c r="P172" s="116">
        <v>195.63992640143329</v>
      </c>
      <c r="Q172" s="116">
        <v>194.00931603365117</v>
      </c>
      <c r="R172" s="116">
        <v>193.26870322072205</v>
      </c>
      <c r="S172" s="116">
        <v>191.92114563838618</v>
      </c>
      <c r="T172" s="116">
        <v>189.25758363712239</v>
      </c>
      <c r="U172" s="116">
        <v>186.79010040794384</v>
      </c>
      <c r="V172" s="116">
        <v>183.65202215987344</v>
      </c>
      <c r="W172" s="116">
        <v>179.90748583345732</v>
      </c>
      <c r="X172" s="116">
        <v>174.72475633571639</v>
      </c>
      <c r="Y172" s="116">
        <v>171.65489236604327</v>
      </c>
      <c r="DA172" s="176" t="s">
        <v>911</v>
      </c>
    </row>
    <row r="173" spans="1:105" ht="11.45" customHeight="1" x14ac:dyDescent="0.25">
      <c r="A173" s="111" t="s">
        <v>110</v>
      </c>
      <c r="B173" s="87">
        <v>217.94157834395804</v>
      </c>
      <c r="C173" s="87">
        <v>213.30115047186322</v>
      </c>
      <c r="D173" s="87">
        <v>210.5036503617057</v>
      </c>
      <c r="E173" s="87">
        <v>207.86539136880145</v>
      </c>
      <c r="F173" s="87">
        <v>204.97077632342862</v>
      </c>
      <c r="G173" s="87">
        <v>202.65805287046405</v>
      </c>
      <c r="H173" s="87">
        <v>200.64622617968249</v>
      </c>
      <c r="I173" s="87">
        <v>198.73944218907533</v>
      </c>
      <c r="J173" s="87">
        <v>196.57269117054926</v>
      </c>
      <c r="K173" s="87">
        <v>193.94884141094545</v>
      </c>
      <c r="L173" s="87">
        <v>192.10949500470593</v>
      </c>
      <c r="M173" s="87">
        <v>190.47974021892949</v>
      </c>
      <c r="N173" s="87">
        <v>189.59423013543815</v>
      </c>
      <c r="O173" s="87">
        <v>188.38287940169801</v>
      </c>
      <c r="P173" s="87">
        <v>187.42218791716573</v>
      </c>
      <c r="Q173" s="87">
        <v>185.85987264749915</v>
      </c>
      <c r="R173" s="87">
        <v>184.17841188295941</v>
      </c>
      <c r="S173" s="87">
        <v>181.92239808000795</v>
      </c>
      <c r="T173" s="87">
        <v>179.40330310721629</v>
      </c>
      <c r="U173" s="87">
        <v>177.04582837494357</v>
      </c>
      <c r="V173" s="87">
        <v>174.37132564493055</v>
      </c>
      <c r="W173" s="87">
        <v>171.50172644319673</v>
      </c>
      <c r="X173" s="87">
        <v>168.72814499376892</v>
      </c>
      <c r="Y173" s="87">
        <v>164.63734070731783</v>
      </c>
      <c r="DA173" s="171" t="s">
        <v>912</v>
      </c>
    </row>
    <row r="174" spans="1:105" ht="11.45" customHeight="1" x14ac:dyDescent="0.25">
      <c r="A174" s="111" t="s">
        <v>111</v>
      </c>
      <c r="B174" s="87">
        <v>257.36098993023279</v>
      </c>
      <c r="C174" s="87">
        <v>250.84788513401847</v>
      </c>
      <c r="D174" s="87">
        <v>248.53996234080276</v>
      </c>
      <c r="E174" s="87">
        <v>247.28457470506098</v>
      </c>
      <c r="F174" s="87">
        <v>246.27141732454157</v>
      </c>
      <c r="G174" s="87">
        <v>244.85901176800809</v>
      </c>
      <c r="H174" s="87">
        <v>243.2931400682813</v>
      </c>
      <c r="I174" s="87">
        <v>240.73161366630924</v>
      </c>
      <c r="J174" s="87">
        <v>237.21984291855441</v>
      </c>
      <c r="K174" s="87">
        <v>233.87669231418576</v>
      </c>
      <c r="L174" s="87">
        <v>231.02957839444147</v>
      </c>
      <c r="M174" s="87">
        <v>228.40739444156785</v>
      </c>
      <c r="N174" s="87">
        <v>226.13990743165348</v>
      </c>
      <c r="O174" s="87">
        <v>224.69958538533683</v>
      </c>
      <c r="P174" s="87">
        <v>220.12242181499249</v>
      </c>
      <c r="Q174" s="87">
        <v>215.67535821170969</v>
      </c>
      <c r="R174" s="87">
        <v>209.97380661606158</v>
      </c>
      <c r="S174" s="87">
        <v>203.96089653997163</v>
      </c>
      <c r="T174" s="87">
        <v>198.25351634217355</v>
      </c>
      <c r="U174" s="87">
        <v>192.84898392103145</v>
      </c>
      <c r="V174" s="87">
        <v>189.3327636739443</v>
      </c>
      <c r="W174" s="87">
        <v>186.00195557353234</v>
      </c>
      <c r="X174" s="87">
        <v>185.12495664606811</v>
      </c>
      <c r="Y174" s="87">
        <v>182.91340037751928</v>
      </c>
      <c r="DA174" s="171" t="s">
        <v>913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0</v>
      </c>
      <c r="E175" s="87">
        <v>0</v>
      </c>
      <c r="F175" s="87">
        <v>0</v>
      </c>
      <c r="G175" s="87">
        <v>0</v>
      </c>
      <c r="H175" s="87">
        <v>0</v>
      </c>
      <c r="I175" s="87">
        <v>0</v>
      </c>
      <c r="J175" s="87">
        <v>0</v>
      </c>
      <c r="K175" s="87">
        <v>0</v>
      </c>
      <c r="L175" s="87">
        <v>0</v>
      </c>
      <c r="M175" s="87">
        <v>0</v>
      </c>
      <c r="N175" s="87">
        <v>0</v>
      </c>
      <c r="O175" s="87">
        <v>0</v>
      </c>
      <c r="P175" s="87">
        <v>0</v>
      </c>
      <c r="Q175" s="87">
        <v>0</v>
      </c>
      <c r="R175" s="87">
        <v>0</v>
      </c>
      <c r="S175" s="87">
        <v>0</v>
      </c>
      <c r="T175" s="87">
        <v>135.6237072556263</v>
      </c>
      <c r="U175" s="87">
        <v>135.6237072556263</v>
      </c>
      <c r="V175" s="87">
        <v>135.6237072556263</v>
      </c>
      <c r="W175" s="87">
        <v>135.55669058809255</v>
      </c>
      <c r="X175" s="87">
        <v>135.49328006327715</v>
      </c>
      <c r="Y175" s="87">
        <v>135.49054239367527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X176" s="87">
        <v>0</v>
      </c>
      <c r="Y176" s="87">
        <v>0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0</v>
      </c>
      <c r="P177" s="87">
        <v>50.393326592517703</v>
      </c>
      <c r="Q177" s="87">
        <v>50.217990228038495</v>
      </c>
      <c r="R177" s="87">
        <v>68.931467194116365</v>
      </c>
      <c r="S177" s="87">
        <v>65.230548642090682</v>
      </c>
      <c r="T177" s="87">
        <v>63.086076087705663</v>
      </c>
      <c r="U177" s="87">
        <v>61.380790101687978</v>
      </c>
      <c r="V177" s="87">
        <v>68.293518142589249</v>
      </c>
      <c r="W177" s="87">
        <v>60.972679794446336</v>
      </c>
      <c r="X177" s="87">
        <v>52.805487656040526</v>
      </c>
      <c r="Y177" s="87">
        <v>41.592300294992135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1545.952816557294</v>
      </c>
      <c r="C179" s="116">
        <v>1526.6463320264052</v>
      </c>
      <c r="D179" s="116">
        <v>1517.568528886577</v>
      </c>
      <c r="E179" s="116">
        <v>1509.4218457080538</v>
      </c>
      <c r="F179" s="116">
        <v>1502.5648516547235</v>
      </c>
      <c r="G179" s="116">
        <v>1497.08553463711</v>
      </c>
      <c r="H179" s="116">
        <v>1488.2668405918798</v>
      </c>
      <c r="I179" s="116">
        <v>1481.3921984271647</v>
      </c>
      <c r="J179" s="116">
        <v>1468.9977720659795</v>
      </c>
      <c r="K179" s="116">
        <v>1466.3827147486252</v>
      </c>
      <c r="L179" s="116">
        <v>1442.6175930799534</v>
      </c>
      <c r="M179" s="116">
        <v>1436.9294399726321</v>
      </c>
      <c r="N179" s="116">
        <v>1432.3398137342642</v>
      </c>
      <c r="O179" s="116">
        <v>1428.2732326701259</v>
      </c>
      <c r="P179" s="116">
        <v>1450.6552615293801</v>
      </c>
      <c r="Q179" s="116">
        <v>1445.2241395195383</v>
      </c>
      <c r="R179" s="116">
        <v>1439.2458413990332</v>
      </c>
      <c r="S179" s="116">
        <v>1431.8320294835141</v>
      </c>
      <c r="T179" s="116">
        <v>1422.4364049796707</v>
      </c>
      <c r="U179" s="116">
        <v>1415.2337166157197</v>
      </c>
      <c r="V179" s="116">
        <v>1351.1467292060922</v>
      </c>
      <c r="W179" s="116">
        <v>1339.751716864572</v>
      </c>
      <c r="X179" s="116">
        <v>1326.8276494783131</v>
      </c>
      <c r="Y179" s="116">
        <v>1164.9686297181768</v>
      </c>
      <c r="DA179" s="176" t="s">
        <v>918</v>
      </c>
    </row>
    <row r="180" spans="1:105" ht="11.45" customHeight="1" x14ac:dyDescent="0.25">
      <c r="A180" s="111" t="s">
        <v>110</v>
      </c>
      <c r="B180" s="101">
        <v>474.7034290230323</v>
      </c>
      <c r="C180" s="101">
        <v>474.29992524905441</v>
      </c>
      <c r="D180" s="101">
        <v>474.28797309924846</v>
      </c>
      <c r="E180" s="101">
        <v>473.77825000233901</v>
      </c>
      <c r="F180" s="101">
        <v>473.76798668646796</v>
      </c>
      <c r="G180" s="101">
        <v>473.76276916149715</v>
      </c>
      <c r="H180" s="101">
        <v>471.84364972989761</v>
      </c>
      <c r="I180" s="101">
        <v>471.82817335010913</v>
      </c>
      <c r="J180" s="101">
        <v>471.00125448003598</v>
      </c>
      <c r="K180" s="101">
        <v>470.93392567067559</v>
      </c>
      <c r="L180" s="101">
        <v>467.58179829139016</v>
      </c>
      <c r="M180" s="101">
        <v>465.10778066680348</v>
      </c>
      <c r="N180" s="101">
        <v>463.68358713841241</v>
      </c>
      <c r="O180" s="101">
        <v>463.57125430296372</v>
      </c>
      <c r="P180" s="101">
        <v>449.1847411183191</v>
      </c>
      <c r="Q180" s="101">
        <v>446.45694810039083</v>
      </c>
      <c r="R180" s="101">
        <v>445.87730516817976</v>
      </c>
      <c r="S180" s="101">
        <v>445.8773051681797</v>
      </c>
      <c r="T180" s="101">
        <v>445.87730516817965</v>
      </c>
      <c r="U180" s="101">
        <v>437.97133072184721</v>
      </c>
      <c r="V180" s="101">
        <v>437.97133072184732</v>
      </c>
      <c r="W180" s="101">
        <v>437.22134294988797</v>
      </c>
      <c r="X180" s="101">
        <v>432.2587186274867</v>
      </c>
      <c r="Y180" s="101">
        <v>427.05135696033528</v>
      </c>
      <c r="DA180" s="175" t="s">
        <v>919</v>
      </c>
    </row>
    <row r="181" spans="1:105" ht="11.45" customHeight="1" x14ac:dyDescent="0.25">
      <c r="A181" s="111" t="s">
        <v>111</v>
      </c>
      <c r="B181" s="101">
        <v>1602.9081705410272</v>
      </c>
      <c r="C181" s="101">
        <v>1572.3861750356152</v>
      </c>
      <c r="D181" s="101">
        <v>1558.2324096790824</v>
      </c>
      <c r="E181" s="101">
        <v>1542.5698946451419</v>
      </c>
      <c r="F181" s="101">
        <v>1534.908515665292</v>
      </c>
      <c r="G181" s="101">
        <v>1527.7819308272237</v>
      </c>
      <c r="H181" s="101">
        <v>1519.4451958071757</v>
      </c>
      <c r="I181" s="101">
        <v>1509.6637441149114</v>
      </c>
      <c r="J181" s="101">
        <v>1498.8596064099656</v>
      </c>
      <c r="K181" s="101">
        <v>1490.8699126635966</v>
      </c>
      <c r="L181" s="101">
        <v>1470.7625195867213</v>
      </c>
      <c r="M181" s="101">
        <v>1464.2450099599193</v>
      </c>
      <c r="N181" s="101">
        <v>1458.2131057804595</v>
      </c>
      <c r="O181" s="101">
        <v>1454.2440285278956</v>
      </c>
      <c r="P181" s="101">
        <v>1450.1465042458251</v>
      </c>
      <c r="Q181" s="101">
        <v>1441.1644905812188</v>
      </c>
      <c r="R181" s="101">
        <v>1434.1171072319344</v>
      </c>
      <c r="S181" s="101">
        <v>1425.540923753224</v>
      </c>
      <c r="T181" s="101">
        <v>1414.7996927883466</v>
      </c>
      <c r="U181" s="101">
        <v>1406.2009639710079</v>
      </c>
      <c r="V181" s="101">
        <v>1347.7717705281204</v>
      </c>
      <c r="W181" s="101">
        <v>1327.4013369180934</v>
      </c>
      <c r="X181" s="101">
        <v>1307.8331635946224</v>
      </c>
      <c r="Y181" s="101">
        <v>1262.3725217590645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291.6939651314816</v>
      </c>
      <c r="C186" s="152">
        <v>278.73013613613733</v>
      </c>
      <c r="D186" s="152">
        <v>274.96888800385477</v>
      </c>
      <c r="E186" s="152">
        <v>269.84943697273292</v>
      </c>
      <c r="F186" s="152">
        <v>265.83223540163328</v>
      </c>
      <c r="G186" s="152">
        <v>262.66981043837495</v>
      </c>
      <c r="H186" s="152">
        <v>258.26382175240661</v>
      </c>
      <c r="I186" s="152">
        <v>251.76762220138696</v>
      </c>
      <c r="J186" s="152">
        <v>241.16897193908477</v>
      </c>
      <c r="K186" s="152">
        <v>231.76607884448578</v>
      </c>
      <c r="L186" s="152">
        <v>220.08937614600634</v>
      </c>
      <c r="M186" s="152">
        <v>201.68904749118133</v>
      </c>
      <c r="N186" s="152">
        <v>164.99726050197691</v>
      </c>
      <c r="O186" s="152">
        <v>181.2006072352458</v>
      </c>
      <c r="P186" s="152">
        <v>142.17175039277808</v>
      </c>
      <c r="Q186" s="152">
        <v>165.13636142030174</v>
      </c>
      <c r="R186" s="152">
        <v>174.89995266226927</v>
      </c>
      <c r="S186" s="152">
        <v>191.71749443294436</v>
      </c>
      <c r="T186" s="152">
        <v>173.43998695404738</v>
      </c>
      <c r="U186" s="152">
        <v>209.73512839455341</v>
      </c>
      <c r="V186" s="152">
        <v>223.52582353057713</v>
      </c>
      <c r="W186" s="152">
        <v>218.32440245736561</v>
      </c>
      <c r="X186" s="152">
        <v>232.27693608622539</v>
      </c>
      <c r="Y186" s="152">
        <v>233.17517294215531</v>
      </c>
      <c r="DA186" s="174" t="s">
        <v>924</v>
      </c>
    </row>
    <row r="187" spans="1:105" ht="11.45" customHeight="1" x14ac:dyDescent="0.25">
      <c r="A187" s="111" t="s">
        <v>110</v>
      </c>
      <c r="B187" s="87">
        <v>196.0542995163988</v>
      </c>
      <c r="C187" s="87">
        <v>193.7006292026885</v>
      </c>
      <c r="D187" s="87">
        <v>191.53323665398966</v>
      </c>
      <c r="E187" s="87">
        <v>189.5301058452909</v>
      </c>
      <c r="F187" s="87">
        <v>187.68579974536456</v>
      </c>
      <c r="G187" s="87">
        <v>183.42146050229869</v>
      </c>
      <c r="H187" s="87">
        <v>181.14094617604738</v>
      </c>
      <c r="I187" s="87">
        <v>176.93027961381839</v>
      </c>
      <c r="J187" s="87">
        <v>174.17416440139309</v>
      </c>
      <c r="K187" s="87">
        <v>172.60433706862315</v>
      </c>
      <c r="L187" s="87">
        <v>171.11894547034146</v>
      </c>
      <c r="M187" s="87">
        <v>170.94603319410729</v>
      </c>
      <c r="N187" s="87">
        <v>170.31980250029289</v>
      </c>
      <c r="O187" s="87">
        <v>170.06127076681537</v>
      </c>
      <c r="P187" s="87">
        <v>176.21570244579442</v>
      </c>
      <c r="Q187" s="87">
        <v>176.03365818135342</v>
      </c>
      <c r="R187" s="87">
        <v>175.43072829233927</v>
      </c>
      <c r="S187" s="87">
        <v>172.8527367554278</v>
      </c>
      <c r="T187" s="87">
        <v>168.0458670802598</v>
      </c>
      <c r="U187" s="87">
        <v>167.69318626329414</v>
      </c>
      <c r="V187" s="87">
        <v>162.82686154131352</v>
      </c>
      <c r="W187" s="87">
        <v>158.22417007317057</v>
      </c>
      <c r="X187" s="87">
        <v>151.67555281216013</v>
      </c>
      <c r="Y187" s="87">
        <v>147.19350044271062</v>
      </c>
      <c r="DA187" s="171" t="s">
        <v>925</v>
      </c>
    </row>
    <row r="188" spans="1:105" ht="11.45" customHeight="1" x14ac:dyDescent="0.25">
      <c r="A188" s="111" t="s">
        <v>111</v>
      </c>
      <c r="B188" s="87">
        <v>292.89759125913679</v>
      </c>
      <c r="C188" s="87">
        <v>286.2167388903764</v>
      </c>
      <c r="D188" s="87">
        <v>280.3721950663961</v>
      </c>
      <c r="E188" s="87">
        <v>273.55388958702554</v>
      </c>
      <c r="F188" s="87">
        <v>267.55747486627763</v>
      </c>
      <c r="G188" s="87">
        <v>261.79343174160516</v>
      </c>
      <c r="H188" s="87">
        <v>256.45200708083695</v>
      </c>
      <c r="I188" s="87">
        <v>250.36460004726467</v>
      </c>
      <c r="J188" s="87">
        <v>244.01792277658328</v>
      </c>
      <c r="K188" s="87">
        <v>237.30484400894676</v>
      </c>
      <c r="L188" s="87">
        <v>231.2037500290846</v>
      </c>
      <c r="M188" s="87">
        <v>225.7947216590394</v>
      </c>
      <c r="N188" s="87">
        <v>219.84885120129744</v>
      </c>
      <c r="O188" s="87">
        <v>214.63308087133279</v>
      </c>
      <c r="P188" s="87">
        <v>209.41958489166998</v>
      </c>
      <c r="Q188" s="87">
        <v>204.81128008385218</v>
      </c>
      <c r="R188" s="87">
        <v>202.20999742652558</v>
      </c>
      <c r="S188" s="87">
        <v>197.7279976986207</v>
      </c>
      <c r="T188" s="87">
        <v>194.26209449294109</v>
      </c>
      <c r="U188" s="87">
        <v>187.89914987864347</v>
      </c>
      <c r="V188" s="87">
        <v>185.6984069685615</v>
      </c>
      <c r="W188" s="87">
        <v>183.93237733716919</v>
      </c>
      <c r="X188" s="87">
        <v>181.02702227788404</v>
      </c>
      <c r="Y188" s="87">
        <v>178.5323844017924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771.06754856925102</v>
      </c>
      <c r="C192" s="116">
        <v>766.16454761201805</v>
      </c>
      <c r="D192" s="116">
        <v>757.00541232727653</v>
      </c>
      <c r="E192" s="116">
        <v>751.78095972405868</v>
      </c>
      <c r="F192" s="116">
        <v>745.98414610902273</v>
      </c>
      <c r="G192" s="116">
        <v>738.1087965118794</v>
      </c>
      <c r="H192" s="116">
        <v>731.60151608044771</v>
      </c>
      <c r="I192" s="116">
        <v>720.5409599286977</v>
      </c>
      <c r="J192" s="116">
        <v>715.63412293769818</v>
      </c>
      <c r="K192" s="116">
        <v>711.81210009419874</v>
      </c>
      <c r="L192" s="116">
        <v>706.66910246554596</v>
      </c>
      <c r="M192" s="116">
        <v>701.26063139649716</v>
      </c>
      <c r="N192" s="116">
        <v>696.74793574672799</v>
      </c>
      <c r="O192" s="116">
        <v>683.37107611524334</v>
      </c>
      <c r="P192" s="116">
        <v>680.61719044772508</v>
      </c>
      <c r="Q192" s="116">
        <v>679.42100867631518</v>
      </c>
      <c r="R192" s="116">
        <v>674.82343158899789</v>
      </c>
      <c r="S192" s="116">
        <v>671.2529529377731</v>
      </c>
      <c r="T192" s="116">
        <v>667.26320598991788</v>
      </c>
      <c r="U192" s="116">
        <v>661.82711908184172</v>
      </c>
      <c r="V192" s="116">
        <v>657.65241354580212</v>
      </c>
      <c r="W192" s="116">
        <v>651.37171228900831</v>
      </c>
      <c r="X192" s="116">
        <v>648.69526820396663</v>
      </c>
      <c r="Y192" s="116">
        <v>642.86463027766968</v>
      </c>
      <c r="DA192" s="176" t="s">
        <v>930</v>
      </c>
    </row>
    <row r="193" spans="1:105" ht="11.45" customHeight="1" x14ac:dyDescent="0.25">
      <c r="A193" s="128" t="s">
        <v>27</v>
      </c>
      <c r="B193" s="101">
        <v>721.11985311537251</v>
      </c>
      <c r="C193" s="101">
        <v>716.53445545901263</v>
      </c>
      <c r="D193" s="101">
        <v>707.96862448421416</v>
      </c>
      <c r="E193" s="101">
        <v>703.08259796055688</v>
      </c>
      <c r="F193" s="101">
        <v>697.66128644204139</v>
      </c>
      <c r="G193" s="101">
        <v>690.29608094835703</v>
      </c>
      <c r="H193" s="101">
        <v>684.21032475539835</v>
      </c>
      <c r="I193" s="101">
        <v>673.86624187663631</v>
      </c>
      <c r="J193" s="101">
        <v>669.27725667452739</v>
      </c>
      <c r="K193" s="101">
        <v>665.70281425813732</v>
      </c>
      <c r="L193" s="101">
        <v>660.89296627344584</v>
      </c>
      <c r="M193" s="101">
        <v>655.83484150846516</v>
      </c>
      <c r="N193" s="101">
        <v>651.6144662246727</v>
      </c>
      <c r="O193" s="101">
        <v>639.10412381628021</v>
      </c>
      <c r="P193" s="101">
        <v>636.528627503743</v>
      </c>
      <c r="Q193" s="101">
        <v>635.40993119120969</v>
      </c>
      <c r="R193" s="101">
        <v>631.11017286258505</v>
      </c>
      <c r="S193" s="101">
        <v>627.77098027783632</v>
      </c>
      <c r="T193" s="101">
        <v>624.03967847640092</v>
      </c>
      <c r="U193" s="101">
        <v>618.95572675265362</v>
      </c>
      <c r="V193" s="101">
        <v>615.05144748615521</v>
      </c>
      <c r="W193" s="101">
        <v>609.17759327433589</v>
      </c>
      <c r="X193" s="101">
        <v>606.67452208549116</v>
      </c>
      <c r="Y193" s="101">
        <v>601.22157730421748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0</v>
      </c>
      <c r="D194" s="88">
        <v>0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  <c r="X194" s="88">
        <v>0</v>
      </c>
      <c r="Y194" s="88">
        <v>0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1.1275000000068984</v>
      </c>
      <c r="C198" s="150">
        <f>IF(TrRoad_act!C59=0,0,TrRoad_emi!C56/TrRoad_tech!C171)</f>
        <v>1.1277474459752157</v>
      </c>
      <c r="D198" s="150">
        <f>IF(TrRoad_act!D59=0,0,TrRoad_emi!D56/TrRoad_tech!D171)</f>
        <v>1.1282173168623686</v>
      </c>
      <c r="E198" s="150">
        <f>IF(TrRoad_act!E59=0,0,TrRoad_emi!E56/TrRoad_tech!E171)</f>
        <v>1.1288527665618791</v>
      </c>
      <c r="F198" s="150">
        <f>IF(TrRoad_act!F59=0,0,TrRoad_emi!F56/TrRoad_tech!F171)</f>
        <v>1.1300860956625207</v>
      </c>
      <c r="G198" s="150">
        <f>IF(TrRoad_act!G59=0,0,TrRoad_emi!G56/TrRoad_tech!G171)</f>
        <v>1.1320556777889914</v>
      </c>
      <c r="H198" s="150">
        <f>IF(TrRoad_act!H59=0,0,TrRoad_emi!H56/TrRoad_tech!H171)</f>
        <v>1.1350670886942624</v>
      </c>
      <c r="I198" s="150">
        <f>IF(TrRoad_act!I59=0,0,TrRoad_emi!I56/TrRoad_tech!I171)</f>
        <v>1.1397123196739742</v>
      </c>
      <c r="J198" s="150">
        <f>IF(TrRoad_act!J59=0,0,TrRoad_emi!J56/TrRoad_tech!J171)</f>
        <v>1.1459392648919804</v>
      </c>
      <c r="K198" s="150">
        <f>IF(TrRoad_act!K59=0,0,TrRoad_emi!K56/TrRoad_tech!K171)</f>
        <v>1.152113221979713</v>
      </c>
      <c r="L198" s="150">
        <f>IF(TrRoad_act!L59=0,0,TrRoad_emi!L56/TrRoad_tech!L171)</f>
        <v>1.1607466980276868</v>
      </c>
      <c r="M198" s="150">
        <f>IF(TrRoad_act!M59=0,0,TrRoad_emi!M56/TrRoad_tech!M171)</f>
        <v>1.1689103573157809</v>
      </c>
      <c r="N198" s="150">
        <f>IF(TrRoad_act!N59=0,0,TrRoad_emi!N56/TrRoad_tech!N171)</f>
        <v>1.1735327086840512</v>
      </c>
      <c r="O198" s="150">
        <f>IF(TrRoad_act!O59=0,0,TrRoad_emi!O56/TrRoad_tech!O171)</f>
        <v>1.1813013361250422</v>
      </c>
      <c r="P198" s="150">
        <f>IF(TrRoad_act!P59=0,0,TrRoad_emi!P56/TrRoad_tech!P171)</f>
        <v>1.1865859310488773</v>
      </c>
      <c r="Q198" s="150">
        <f>IF(TrRoad_act!Q59=0,0,TrRoad_emi!Q56/TrRoad_tech!Q171)</f>
        <v>1.197386688955618</v>
      </c>
      <c r="R198" s="150">
        <f>IF(TrRoad_act!R59=0,0,TrRoad_emi!R56/TrRoad_tech!R171)</f>
        <v>1.2049395971232597</v>
      </c>
      <c r="S198" s="150">
        <f>IF(TrRoad_act!S59=0,0,TrRoad_emi!S56/TrRoad_tech!S171)</f>
        <v>1.2129655513033133</v>
      </c>
      <c r="T198" s="150">
        <f>IF(TrRoad_act!T59=0,0,TrRoad_emi!T56/TrRoad_tech!T171)</f>
        <v>1.2249418215246966</v>
      </c>
      <c r="U198" s="150">
        <f>IF(TrRoad_act!U59=0,0,TrRoad_emi!U56/TrRoad_tech!U171)</f>
        <v>1.2358187881495961</v>
      </c>
      <c r="V198" s="150">
        <f>IF(TrRoad_act!V59=0,0,TrRoad_emi!V56/TrRoad_tech!V171)</f>
        <v>1.247168863432063</v>
      </c>
      <c r="W198" s="150">
        <f>IF(TrRoad_act!W59=0,0,TrRoad_emi!W56/TrRoad_tech!W171)</f>
        <v>1.2666681260834787</v>
      </c>
      <c r="X198" s="150">
        <f>IF(TrRoad_act!X59=0,0,TrRoad_emi!X56/TrRoad_tech!X171)</f>
        <v>1.2757931280436459</v>
      </c>
      <c r="Y198" s="150">
        <f>IF(TrRoad_act!Y59=0,0,TrRoad_emi!Y56/TrRoad_tech!Y171)</f>
        <v>1.291306534253891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1.1144314072212527</v>
      </c>
      <c r="C199" s="151">
        <f>IF(TrRoad_act!C60=0,0,TrRoad_emi!C57/TrRoad_tech!C172)</f>
        <v>1.1491635781270131</v>
      </c>
      <c r="D199" s="151">
        <f>IF(TrRoad_act!D60=0,0,TrRoad_emi!D57/TrRoad_tech!D172)</f>
        <v>1.1650916942301537</v>
      </c>
      <c r="E199" s="151">
        <f>IF(TrRoad_act!E60=0,0,TrRoad_emi!E57/TrRoad_tech!E172)</f>
        <v>1.2276375718677441</v>
      </c>
      <c r="F199" s="151">
        <f>IF(TrRoad_act!F60=0,0,TrRoad_emi!F57/TrRoad_tech!F172)</f>
        <v>1.2668190557755103</v>
      </c>
      <c r="G199" s="151">
        <f>IF(TrRoad_act!G60=0,0,TrRoad_emi!G57/TrRoad_tech!G172)</f>
        <v>1.2817313008987754</v>
      </c>
      <c r="H199" s="151">
        <f>IF(TrRoad_act!H60=0,0,TrRoad_emi!H57/TrRoad_tech!H172)</f>
        <v>1.3070127300817829</v>
      </c>
      <c r="I199" s="151">
        <f>IF(TrRoad_act!I60=0,0,TrRoad_emi!I57/TrRoad_tech!I172)</f>
        <v>1.3131397923330059</v>
      </c>
      <c r="J199" s="151">
        <f>IF(TrRoad_act!J60=0,0,TrRoad_emi!J57/TrRoad_tech!J172)</f>
        <v>1.2944232247424874</v>
      </c>
      <c r="K199" s="151">
        <f>IF(TrRoad_act!K60=0,0,TrRoad_emi!K57/TrRoad_tech!K172)</f>
        <v>1.3141334477400644</v>
      </c>
      <c r="L199" s="151">
        <f>IF(TrRoad_act!L60=0,0,TrRoad_emi!L57/TrRoad_tech!L172)</f>
        <v>1.3214721445405802</v>
      </c>
      <c r="M199" s="151">
        <f>IF(TrRoad_act!M60=0,0,TrRoad_emi!M57/TrRoad_tech!M172)</f>
        <v>1.2992303143381008</v>
      </c>
      <c r="N199" s="151">
        <f>IF(TrRoad_act!N60=0,0,TrRoad_emi!N57/TrRoad_tech!N172)</f>
        <v>1.2588755867643031</v>
      </c>
      <c r="O199" s="151">
        <f>IF(TrRoad_act!O60=0,0,TrRoad_emi!O57/TrRoad_tech!O172)</f>
        <v>1.1888648181422306</v>
      </c>
      <c r="P199" s="151">
        <f>IF(TrRoad_act!P60=0,0,TrRoad_emi!P57/TrRoad_tech!P172)</f>
        <v>1.1598803256243384</v>
      </c>
      <c r="Q199" s="151">
        <f>IF(TrRoad_act!Q60=0,0,TrRoad_emi!Q57/TrRoad_tech!Q172)</f>
        <v>1.1778338955768399</v>
      </c>
      <c r="R199" s="151">
        <f>IF(TrRoad_act!R60=0,0,TrRoad_emi!R57/TrRoad_tech!R172)</f>
        <v>1.0873978683608807</v>
      </c>
      <c r="S199" s="151">
        <f>IF(TrRoad_act!S60=0,0,TrRoad_emi!S57/TrRoad_tech!S172)</f>
        <v>1.0985255923300494</v>
      </c>
      <c r="T199" s="151">
        <f>IF(TrRoad_act!T60=0,0,TrRoad_emi!T57/TrRoad_tech!T172)</f>
        <v>1.0745626044017338</v>
      </c>
      <c r="U199" s="151">
        <f>IF(TrRoad_act!U60=0,0,TrRoad_emi!U57/TrRoad_tech!U172)</f>
        <v>1.0650015339063696</v>
      </c>
      <c r="V199" s="151">
        <f>IF(TrRoad_act!V60=0,0,TrRoad_emi!V57/TrRoad_tech!V172)</f>
        <v>1.025045171687949</v>
      </c>
      <c r="W199" s="151">
        <f>IF(TrRoad_act!W60=0,0,TrRoad_emi!W57/TrRoad_tech!W172)</f>
        <v>1.0969265732299451</v>
      </c>
      <c r="X199" s="151">
        <f>IF(TrRoad_act!X60=0,0,TrRoad_emi!X57/TrRoad_tech!X172)</f>
        <v>1.0837273687082907</v>
      </c>
      <c r="Y199" s="151">
        <f>IF(TrRoad_act!Y60=0,0,TrRoad_emi!Y57/TrRoad_tech!Y172)</f>
        <v>1.1088869051594312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1.079850207981097</v>
      </c>
      <c r="C200" s="91">
        <f>IF(TrRoad_act!C61=0,0,TrRoad_emi!C58/TrRoad_tech!C173)</f>
        <v>1.1284344987268191</v>
      </c>
      <c r="D200" s="91">
        <f>IF(TrRoad_act!D61=0,0,TrRoad_emi!D58/TrRoad_tech!D173)</f>
        <v>1.1609121546112817</v>
      </c>
      <c r="E200" s="91">
        <f>IF(TrRoad_act!E61=0,0,TrRoad_emi!E58/TrRoad_tech!E173)</f>
        <v>1.2331560020101087</v>
      </c>
      <c r="F200" s="91">
        <f>IF(TrRoad_act!F61=0,0,TrRoad_emi!F58/TrRoad_tech!F173)</f>
        <v>1.2610228491017095</v>
      </c>
      <c r="G200" s="91">
        <f>IF(TrRoad_act!G61=0,0,TrRoad_emi!G58/TrRoad_tech!G173)</f>
        <v>1.2963699242913851</v>
      </c>
      <c r="H200" s="91">
        <f>IF(TrRoad_act!H61=0,0,TrRoad_emi!H58/TrRoad_tech!H173)</f>
        <v>1.3250293213859061</v>
      </c>
      <c r="I200" s="91">
        <f>IF(TrRoad_act!I61=0,0,TrRoad_emi!I58/TrRoad_tech!I173)</f>
        <v>1.3306583235201268</v>
      </c>
      <c r="J200" s="91">
        <f>IF(TrRoad_act!J61=0,0,TrRoad_emi!J58/TrRoad_tech!J173)</f>
        <v>1.3260814208191489</v>
      </c>
      <c r="K200" s="91">
        <f>IF(TrRoad_act!K61=0,0,TrRoad_emi!K58/TrRoad_tech!K173)</f>
        <v>1.3374314209106959</v>
      </c>
      <c r="L200" s="91">
        <f>IF(TrRoad_act!L61=0,0,TrRoad_emi!L58/TrRoad_tech!L173)</f>
        <v>1.3465144489793166</v>
      </c>
      <c r="M200" s="91">
        <f>IF(TrRoad_act!M61=0,0,TrRoad_emi!M58/TrRoad_tech!M173)</f>
        <v>1.3253202294934454</v>
      </c>
      <c r="N200" s="91">
        <f>IF(TrRoad_act!N61=0,0,TrRoad_emi!N58/TrRoad_tech!N173)</f>
        <v>1.299818418609195</v>
      </c>
      <c r="O200" s="91">
        <f>IF(TrRoad_act!O61=0,0,TrRoad_emi!O58/TrRoad_tech!O173)</f>
        <v>1.2332174407074075</v>
      </c>
      <c r="P200" s="91">
        <f>IF(TrRoad_act!P61=0,0,TrRoad_emi!P58/TrRoad_tech!P173)</f>
        <v>1.2127251772527505</v>
      </c>
      <c r="Q200" s="91">
        <f>IF(TrRoad_act!Q61=0,0,TrRoad_emi!Q58/TrRoad_tech!Q173)</f>
        <v>1.2279887516725276</v>
      </c>
      <c r="R200" s="91">
        <f>IF(TrRoad_act!R61=0,0,TrRoad_emi!R58/TrRoad_tech!R173)</f>
        <v>1.125834416601003</v>
      </c>
      <c r="S200" s="91">
        <f>IF(TrRoad_act!S61=0,0,TrRoad_emi!S58/TrRoad_tech!S173)</f>
        <v>1.1439839842544681</v>
      </c>
      <c r="T200" s="91">
        <f>IF(TrRoad_act!T61=0,0,TrRoad_emi!T58/TrRoad_tech!T173)</f>
        <v>1.1205608905547126</v>
      </c>
      <c r="U200" s="91">
        <f>IF(TrRoad_act!U61=0,0,TrRoad_emi!U58/TrRoad_tech!U173)</f>
        <v>1.1066417134125728</v>
      </c>
      <c r="V200" s="91">
        <f>IF(TrRoad_act!V61=0,0,TrRoad_emi!V58/TrRoad_tech!V173)</f>
        <v>1.0478137147871514</v>
      </c>
      <c r="W200" s="91">
        <f>IF(TrRoad_act!W61=0,0,TrRoad_emi!W58/TrRoad_tech!W173)</f>
        <v>1.1211012245127467</v>
      </c>
      <c r="X200" s="91">
        <f>IF(TrRoad_act!X61=0,0,TrRoad_emi!X58/TrRoad_tech!X173)</f>
        <v>1.1122324659696285</v>
      </c>
      <c r="Y200" s="91">
        <f>IF(TrRoad_act!Y61=0,0,TrRoad_emi!Y58/TrRoad_tech!Y173)</f>
        <v>1.1365860385600466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1.2033115067970486</v>
      </c>
      <c r="C201" s="91">
        <f>IF(TrRoad_act!C62=0,0,TrRoad_emi!C59/TrRoad_tech!C174)</f>
        <v>1.2069564265088755</v>
      </c>
      <c r="D201" s="91">
        <f>IF(TrRoad_act!D62=0,0,TrRoad_emi!D59/TrRoad_tech!D174)</f>
        <v>1.1524122233309486</v>
      </c>
      <c r="E201" s="91">
        <f>IF(TrRoad_act!E62=0,0,TrRoad_emi!E59/TrRoad_tech!E174)</f>
        <v>1.1674695885336686</v>
      </c>
      <c r="F201" s="91">
        <f>IF(TrRoad_act!F62=0,0,TrRoad_emi!F59/TrRoad_tech!F174)</f>
        <v>1.2621938726253408</v>
      </c>
      <c r="G201" s="91">
        <f>IF(TrRoad_act!G62=0,0,TrRoad_emi!G59/TrRoad_tech!G174)</f>
        <v>1.1817322742165803</v>
      </c>
      <c r="H201" s="91">
        <f>IF(TrRoad_act!H62=0,0,TrRoad_emi!H59/TrRoad_tech!H174)</f>
        <v>1.1876203299504953</v>
      </c>
      <c r="I201" s="91">
        <f>IF(TrRoad_act!I62=0,0,TrRoad_emi!I59/TrRoad_tech!I174)</f>
        <v>1.2364135814472013</v>
      </c>
      <c r="J201" s="91">
        <f>IF(TrRoad_act!J62=0,0,TrRoad_emi!J59/TrRoad_tech!J174)</f>
        <v>1.1655007981083283</v>
      </c>
      <c r="K201" s="91">
        <f>IF(TrRoad_act!K62=0,0,TrRoad_emi!K59/TrRoad_tech!K174)</f>
        <v>1.2330716730479243</v>
      </c>
      <c r="L201" s="91">
        <f>IF(TrRoad_act!L62=0,0,TrRoad_emi!L59/TrRoad_tech!L174)</f>
        <v>1.2622416460836661</v>
      </c>
      <c r="M201" s="91">
        <f>IF(TrRoad_act!M62=0,0,TrRoad_emi!M59/TrRoad_tech!M174)</f>
        <v>1.2239640479702949</v>
      </c>
      <c r="N201" s="91">
        <f>IF(TrRoad_act!N62=0,0,TrRoad_emi!N59/TrRoad_tech!N174)</f>
        <v>1.0967694805916097</v>
      </c>
      <c r="O201" s="91">
        <f>IF(TrRoad_act!O62=0,0,TrRoad_emi!O59/TrRoad_tech!O174)</f>
        <v>1.0100113989986343</v>
      </c>
      <c r="P201" s="91">
        <f>IF(TrRoad_act!P62=0,0,TrRoad_emi!P59/TrRoad_tech!P174)</f>
        <v>1.0181155047250363</v>
      </c>
      <c r="Q201" s="91">
        <f>IF(TrRoad_act!Q62=0,0,TrRoad_emi!Q59/TrRoad_tech!Q174)</f>
        <v>1.0693275652608223</v>
      </c>
      <c r="R201" s="91">
        <f>IF(TrRoad_act!R62=0,0,TrRoad_emi!R59/TrRoad_tech!R174)</f>
        <v>1.0917599740882939</v>
      </c>
      <c r="S201" s="91">
        <f>IF(TrRoad_act!S62=0,0,TrRoad_emi!S59/TrRoad_tech!S174)</f>
        <v>1.1102215078763114</v>
      </c>
      <c r="T201" s="91">
        <f>IF(TrRoad_act!T62=0,0,TrRoad_emi!T59/TrRoad_tech!T174)</f>
        <v>1.0868463436987101</v>
      </c>
      <c r="U201" s="91">
        <f>IF(TrRoad_act!U62=0,0,TrRoad_emi!U59/TrRoad_tech!U174)</f>
        <v>1.0999784863647775</v>
      </c>
      <c r="V201" s="91">
        <f>IF(TrRoad_act!V62=0,0,TrRoad_emi!V59/TrRoad_tech!V174)</f>
        <v>1.1067205536173856</v>
      </c>
      <c r="W201" s="91">
        <f>IF(TrRoad_act!W62=0,0,TrRoad_emi!W59/TrRoad_tech!W174)</f>
        <v>1.164726010675702</v>
      </c>
      <c r="X201" s="91">
        <f>IF(TrRoad_act!X62=0,0,TrRoad_emi!X59/TrRoad_tech!X174)</f>
        <v>1.0646192805900705</v>
      </c>
      <c r="Y201" s="91">
        <f>IF(TrRoad_act!Y62=0,0,TrRoad_emi!Y59/TrRoad_tech!Y174)</f>
        <v>1.1240980389578237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0</v>
      </c>
      <c r="E202" s="91">
        <f>IF(TrRoad_act!E63=0,0,TrRoad_emi!E60/TrRoad_tech!E175)</f>
        <v>0</v>
      </c>
      <c r="F202" s="91">
        <f>IF(TrRoad_act!F63=0,0,TrRoad_emi!F60/TrRoad_tech!F175)</f>
        <v>0</v>
      </c>
      <c r="G202" s="91">
        <f>IF(TrRoad_act!G63=0,0,TrRoad_emi!G60/TrRoad_tech!G175)</f>
        <v>0</v>
      </c>
      <c r="H202" s="91">
        <f>IF(TrRoad_act!H63=0,0,TrRoad_emi!H60/TrRoad_tech!H175)</f>
        <v>0</v>
      </c>
      <c r="I202" s="91">
        <f>IF(TrRoad_act!I63=0,0,TrRoad_emi!I60/TrRoad_tech!I175)</f>
        <v>0</v>
      </c>
      <c r="J202" s="91">
        <f>IF(TrRoad_act!J63=0,0,TrRoad_emi!J60/TrRoad_tech!J175)</f>
        <v>0</v>
      </c>
      <c r="K202" s="91">
        <f>IF(TrRoad_act!K63=0,0,TrRoad_emi!K60/TrRoad_tech!K175)</f>
        <v>0</v>
      </c>
      <c r="L202" s="91">
        <f>IF(TrRoad_act!L63=0,0,TrRoad_emi!L60/TrRoad_tech!L175)</f>
        <v>0</v>
      </c>
      <c r="M202" s="91">
        <f>IF(TrRoad_act!M63=0,0,TrRoad_emi!M60/TrRoad_tech!M175)</f>
        <v>0</v>
      </c>
      <c r="N202" s="91">
        <f>IF(TrRoad_act!N63=0,0,TrRoad_emi!N60/TrRoad_tech!N175)</f>
        <v>0</v>
      </c>
      <c r="O202" s="91">
        <f>IF(TrRoad_act!O63=0,0,TrRoad_emi!O60/TrRoad_tech!O175)</f>
        <v>0</v>
      </c>
      <c r="P202" s="91">
        <f>IF(TrRoad_act!P63=0,0,TrRoad_emi!P60/TrRoad_tech!P175)</f>
        <v>0</v>
      </c>
      <c r="Q202" s="91">
        <f>IF(TrRoad_act!Q63=0,0,TrRoad_emi!Q60/TrRoad_tech!Q175)</f>
        <v>0</v>
      </c>
      <c r="R202" s="91">
        <f>IF(TrRoad_act!R63=0,0,TrRoad_emi!R60/TrRoad_tech!R175)</f>
        <v>0</v>
      </c>
      <c r="S202" s="91">
        <f>IF(TrRoad_act!S63=0,0,TrRoad_emi!S60/TrRoad_tech!S175)</f>
        <v>0</v>
      </c>
      <c r="T202" s="91">
        <f>IF(TrRoad_act!T63=0,0,TrRoad_emi!T60/TrRoad_tech!T175)</f>
        <v>0.9652189306820429</v>
      </c>
      <c r="U202" s="91">
        <f>IF(TrRoad_act!U63=0,0,TrRoad_emi!U60/TrRoad_tech!U175)</f>
        <v>1.0711111111163001</v>
      </c>
      <c r="V202" s="91">
        <f>IF(TrRoad_act!V63=0,0,TrRoad_emi!V60/TrRoad_tech!V175)</f>
        <v>1.0398523241017408</v>
      </c>
      <c r="W202" s="91">
        <f>IF(TrRoad_act!W63=0,0,TrRoad_emi!W60/TrRoad_tech!W175)</f>
        <v>1.168648415155122</v>
      </c>
      <c r="X202" s="91">
        <f>IF(TrRoad_act!X63=0,0,TrRoad_emi!X60/TrRoad_tech!X175)</f>
        <v>1.2330761297339661</v>
      </c>
      <c r="Y202" s="91">
        <f>IF(TrRoad_act!Y63=0,0,TrRoad_emi!Y60/TrRoad_tech!Y175)</f>
        <v>1.0712337346650991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X203" s="91">
        <f>IF(TrRoad_act!X64=0,0,TrRoad_emi!X61/TrRoad_tech!X176)</f>
        <v>0</v>
      </c>
      <c r="Y203" s="91">
        <f>IF(TrRoad_act!Y64=0,0,TrRoad_emi!Y61/TrRoad_tech!Y176)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0</v>
      </c>
      <c r="P204" s="91">
        <f>IF(TrRoad_act!P65=0,0,TrRoad_emi!P62/TrRoad_tech!P177)</f>
        <v>1.2576234316193571</v>
      </c>
      <c r="Q204" s="91">
        <f>IF(TrRoad_act!Q65=0,0,TrRoad_emi!Q62/TrRoad_tech!Q177)</f>
        <v>1.2786397247022272</v>
      </c>
      <c r="R204" s="91">
        <f>IF(TrRoad_act!R65=0,0,TrRoad_emi!R62/TrRoad_tech!R177)</f>
        <v>1.1742164401890267</v>
      </c>
      <c r="S204" s="91">
        <f>IF(TrRoad_act!S65=0,0,TrRoad_emi!S62/TrRoad_tech!S177)</f>
        <v>1.1944990833295455</v>
      </c>
      <c r="T204" s="91">
        <f>IF(TrRoad_act!T65=0,0,TrRoad_emi!T62/TrRoad_tech!T177)</f>
        <v>1.1695305907490614</v>
      </c>
      <c r="U204" s="91">
        <f>IF(TrRoad_act!U65=0,0,TrRoad_emi!U62/TrRoad_tech!U177)</f>
        <v>1.1545767905684328</v>
      </c>
      <c r="V204" s="91">
        <f>IF(TrRoad_act!V65=0,0,TrRoad_emi!V62/TrRoad_tech!V177)</f>
        <v>1.0919860685575054</v>
      </c>
      <c r="W204" s="91">
        <f>IF(TrRoad_act!W65=0,0,TrRoad_emi!W62/TrRoad_tech!W177)</f>
        <v>1.1667654595991375</v>
      </c>
      <c r="X204" s="91">
        <f>IF(TrRoad_act!X65=0,0,TrRoad_emi!X62/TrRoad_tech!X177)</f>
        <v>1.156187138588685</v>
      </c>
      <c r="Y204" s="91">
        <f>IF(TrRoad_act!Y65=0,0,TrRoad_emi!Y62/TrRoad_tech!Y177)</f>
        <v>1.1782634046296472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1.3393201771409513</v>
      </c>
      <c r="C206" s="151">
        <f>IF(TrRoad_act!C67=0,0,TrRoad_emi!C64/TrRoad_tech!C179)</f>
        <v>1.3362722011443791</v>
      </c>
      <c r="D206" s="151">
        <f>IF(TrRoad_act!D67=0,0,TrRoad_emi!D64/TrRoad_tech!D179)</f>
        <v>1.2675262861766605</v>
      </c>
      <c r="E206" s="151">
        <f>IF(TrRoad_act!E67=0,0,TrRoad_emi!E64/TrRoad_tech!E179)</f>
        <v>1.2836966396507228</v>
      </c>
      <c r="F206" s="151">
        <f>IF(TrRoad_act!F67=0,0,TrRoad_emi!F64/TrRoad_tech!F179)</f>
        <v>1.4050480118474789</v>
      </c>
      <c r="G206" s="151">
        <f>IF(TrRoad_act!G67=0,0,TrRoad_emi!G64/TrRoad_tech!G179)</f>
        <v>1.3026992594544027</v>
      </c>
      <c r="H206" s="151">
        <f>IF(TrRoad_act!H67=0,0,TrRoad_emi!H64/TrRoad_tech!H179)</f>
        <v>1.3145700869031398</v>
      </c>
      <c r="I206" s="151">
        <f>IF(TrRoad_act!I67=0,0,TrRoad_emi!I64/TrRoad_tech!I179)</f>
        <v>1.3762145512442261</v>
      </c>
      <c r="J206" s="151">
        <f>IF(TrRoad_act!J67=0,0,TrRoad_emi!J64/TrRoad_tech!J179)</f>
        <v>1.2989816554219729</v>
      </c>
      <c r="K206" s="151">
        <f>IF(TrRoad_act!K67=0,0,TrRoad_emi!K64/TrRoad_tech!K179)</f>
        <v>1.3827508523918248</v>
      </c>
      <c r="L206" s="151">
        <f>IF(TrRoad_act!L67=0,0,TrRoad_emi!L64/TrRoad_tech!L179)</f>
        <v>1.4328425157890774</v>
      </c>
      <c r="M206" s="151">
        <f>IF(TrRoad_act!M67=0,0,TrRoad_emi!M64/TrRoad_tech!M179)</f>
        <v>1.3939267565335967</v>
      </c>
      <c r="N206" s="151">
        <f>IF(TrRoad_act!N67=0,0,TrRoad_emi!N64/TrRoad_tech!N179)</f>
        <v>1.2383996771761567</v>
      </c>
      <c r="O206" s="151">
        <f>IF(TrRoad_act!O67=0,0,TrRoad_emi!O64/TrRoad_tech!O179)</f>
        <v>1.1306932475129574</v>
      </c>
      <c r="P206" s="151">
        <f>IF(TrRoad_act!P67=0,0,TrRoad_emi!P64/TrRoad_tech!P179)</f>
        <v>1.1295638277763909</v>
      </c>
      <c r="Q206" s="151">
        <f>IF(TrRoad_act!Q67=0,0,TrRoad_emi!Q64/TrRoad_tech!Q179)</f>
        <v>1.1985712335491914</v>
      </c>
      <c r="R206" s="151">
        <f>IF(TrRoad_act!R67=0,0,TrRoad_emi!R64/TrRoad_tech!R179)</f>
        <v>1.2238934025923289</v>
      </c>
      <c r="S206" s="151">
        <f>IF(TrRoad_act!S67=0,0,TrRoad_emi!S64/TrRoad_tech!S179)</f>
        <v>1.2443951363165282</v>
      </c>
      <c r="T206" s="151">
        <f>IF(TrRoad_act!T67=0,0,TrRoad_emi!T64/TrRoad_tech!T179)</f>
        <v>1.2152939046528166</v>
      </c>
      <c r="U206" s="151">
        <f>IF(TrRoad_act!U67=0,0,TrRoad_emi!U64/TrRoad_tech!U179)</f>
        <v>1.2340229709065376</v>
      </c>
      <c r="V206" s="151">
        <f>IF(TrRoad_act!V67=0,0,TrRoad_emi!V64/TrRoad_tech!V179)</f>
        <v>1.2872544578411833</v>
      </c>
      <c r="W206" s="151">
        <f>IF(TrRoad_act!W67=0,0,TrRoad_emi!W64/TrRoad_tech!W179)</f>
        <v>1.3596343851124513</v>
      </c>
      <c r="X206" s="151">
        <f>IF(TrRoad_act!X67=0,0,TrRoad_emi!X64/TrRoad_tech!X179)</f>
        <v>1.2276751959678296</v>
      </c>
      <c r="Y206" s="151">
        <f>IF(TrRoad_act!Y67=0,0,TrRoad_emi!Y64/TrRoad_tech!Y179)</f>
        <v>1.4258733545594042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1.1432481486591415</v>
      </c>
      <c r="C207" s="93">
        <f>IF(TrRoad_act!C68=0,0,TrRoad_emi!C65/TrRoad_tech!C180)</f>
        <v>1.1836543571735634</v>
      </c>
      <c r="D207" s="93">
        <f>IF(TrRoad_act!D68=0,0,TrRoad_emi!D65/TrRoad_tech!D180)</f>
        <v>1.2106596596423602</v>
      </c>
      <c r="E207" s="93">
        <f>IF(TrRoad_act!E68=0,0,TrRoad_emi!E65/TrRoad_tech!E180)</f>
        <v>1.2708684070817979</v>
      </c>
      <c r="F207" s="93">
        <f>IF(TrRoad_act!F68=0,0,TrRoad_emi!F65/TrRoad_tech!F180)</f>
        <v>1.2941495856307024</v>
      </c>
      <c r="G207" s="93">
        <f>IF(TrRoad_act!G68=0,0,TrRoad_emi!G65/TrRoad_tech!G180)</f>
        <v>1.3235103551134435</v>
      </c>
      <c r="H207" s="93">
        <f>IF(TrRoad_act!H68=0,0,TrRoad_emi!H65/TrRoad_tech!H180)</f>
        <v>1.3487226940966663</v>
      </c>
      <c r="I207" s="93">
        <f>IF(TrRoad_act!I68=0,0,TrRoad_emi!I65/TrRoad_tech!I180)</f>
        <v>1.352788238086458</v>
      </c>
      <c r="J207" s="93">
        <f>IF(TrRoad_act!J68=0,0,TrRoad_emi!J65/TrRoad_tech!J180)</f>
        <v>1.3488011522057524</v>
      </c>
      <c r="K207" s="93">
        <f>IF(TrRoad_act!K68=0,0,TrRoad_emi!K65/TrRoad_tech!K180)</f>
        <v>1.3569172913137828</v>
      </c>
      <c r="L207" s="93">
        <f>IF(TrRoad_act!L68=0,0,TrRoad_emi!L65/TrRoad_tech!L180)</f>
        <v>1.367402364755792</v>
      </c>
      <c r="M207" s="93">
        <f>IF(TrRoad_act!M68=0,0,TrRoad_emi!M65/TrRoad_tech!M180)</f>
        <v>1.3513602881851647</v>
      </c>
      <c r="N207" s="93">
        <f>IF(TrRoad_act!N68=0,0,TrRoad_emi!N65/TrRoad_tech!N180)</f>
        <v>1.3304507314685627</v>
      </c>
      <c r="O207" s="93">
        <f>IF(TrRoad_act!O68=0,0,TrRoad_emi!O65/TrRoad_tech!O180)</f>
        <v>1.2736939115470161</v>
      </c>
      <c r="P207" s="93">
        <f>IF(TrRoad_act!P68=0,0,TrRoad_emi!P65/TrRoad_tech!P180)</f>
        <v>1.2701107933133098</v>
      </c>
      <c r="Q207" s="93">
        <f>IF(TrRoad_act!Q68=0,0,TrRoad_emi!Q65/TrRoad_tech!Q180)</f>
        <v>1.2848170880076903</v>
      </c>
      <c r="R207" s="93">
        <f>IF(TrRoad_act!R68=0,0,TrRoad_emi!R65/TrRoad_tech!R180)</f>
        <v>1.1972402498183641</v>
      </c>
      <c r="S207" s="93">
        <f>IF(TrRoad_act!S68=0,0,TrRoad_emi!S65/TrRoad_tech!S180)</f>
        <v>1.2109505877795372</v>
      </c>
      <c r="T207" s="93">
        <f>IF(TrRoad_act!T68=0,0,TrRoad_emi!T65/TrRoad_tech!T180)</f>
        <v>1.1890052344259026</v>
      </c>
      <c r="U207" s="93">
        <f>IF(TrRoad_act!U68=0,0,TrRoad_emi!U65/TrRoad_tech!U180)</f>
        <v>1.1823786549082012</v>
      </c>
      <c r="V207" s="93">
        <f>IF(TrRoad_act!V68=0,0,TrRoad_emi!V65/TrRoad_tech!V180)</f>
        <v>1.1294947667095609</v>
      </c>
      <c r="W207" s="93">
        <f>IF(TrRoad_act!W68=0,0,TrRoad_emi!W65/TrRoad_tech!W180)</f>
        <v>1.1906065000934127</v>
      </c>
      <c r="X207" s="93">
        <f>IF(TrRoad_act!X68=0,0,TrRoad_emi!X65/TrRoad_tech!X180)</f>
        <v>1.185601249664916</v>
      </c>
      <c r="Y207" s="93">
        <f>IF(TrRoad_act!Y68=0,0,TrRoad_emi!Y65/TrRoad_tech!Y180)</f>
        <v>1.2080604197883058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1.3248873466287112</v>
      </c>
      <c r="C208" s="93">
        <f>IF(TrRoad_act!C69=0,0,TrRoad_emi!C66/TrRoad_tech!C181)</f>
        <v>1.3285708207318123</v>
      </c>
      <c r="D208" s="93">
        <f>IF(TrRoad_act!D69=0,0,TrRoad_emi!D66/TrRoad_tech!D181)</f>
        <v>1.2612969469633035</v>
      </c>
      <c r="E208" s="93">
        <f>IF(TrRoad_act!E69=0,0,TrRoad_emi!E66/TrRoad_tech!E181)</f>
        <v>1.2814119290040169</v>
      </c>
      <c r="F208" s="93">
        <f>IF(TrRoad_act!F69=0,0,TrRoad_emi!F66/TrRoad_tech!F181)</f>
        <v>1.4045471183722187</v>
      </c>
      <c r="G208" s="93">
        <f>IF(TrRoad_act!G69=0,0,TrRoad_emi!G66/TrRoad_tech!G181)</f>
        <v>1.3018439371754511</v>
      </c>
      <c r="H208" s="93">
        <f>IF(TrRoad_act!H69=0,0,TrRoad_emi!H66/TrRoad_tech!H181)</f>
        <v>1.3132518270974938</v>
      </c>
      <c r="I208" s="93">
        <f>IF(TrRoad_act!I69=0,0,TrRoad_emi!I66/TrRoad_tech!I181)</f>
        <v>1.3773750469584167</v>
      </c>
      <c r="J208" s="93">
        <f>IF(TrRoad_act!J69=0,0,TrRoad_emi!J66/TrRoad_tech!J181)</f>
        <v>1.2978863956296263</v>
      </c>
      <c r="K208" s="93">
        <f>IF(TrRoad_act!K69=0,0,TrRoad_emi!K66/TrRoad_tech!K181)</f>
        <v>1.3879347046081287</v>
      </c>
      <c r="L208" s="93">
        <f>IF(TrRoad_act!L69=0,0,TrRoad_emi!L66/TrRoad_tech!L181)</f>
        <v>1.4353158257940508</v>
      </c>
      <c r="M208" s="93">
        <f>IF(TrRoad_act!M69=0,0,TrRoad_emi!M66/TrRoad_tech!M181)</f>
        <v>1.3967292092005044</v>
      </c>
      <c r="N208" s="93">
        <f>IF(TrRoad_act!N69=0,0,TrRoad_emi!N66/TrRoad_tech!N181)</f>
        <v>1.2404194475046511</v>
      </c>
      <c r="O208" s="93">
        <f>IF(TrRoad_act!O69=0,0,TrRoad_emi!O66/TrRoad_tech!O181)</f>
        <v>1.1319659835969991</v>
      </c>
      <c r="P208" s="93">
        <f>IF(TrRoad_act!P69=0,0,TrRoad_emi!P66/TrRoad_tech!P181)</f>
        <v>1.1378224070339733</v>
      </c>
      <c r="Q208" s="93">
        <f>IF(TrRoad_act!Q69=0,0,TrRoad_emi!Q66/TrRoad_tech!Q181)</f>
        <v>1.2091374591352422</v>
      </c>
      <c r="R208" s="93">
        <f>IF(TrRoad_act!R69=0,0,TrRoad_emi!R66/TrRoad_tech!R181)</f>
        <v>1.2355498837738323</v>
      </c>
      <c r="S208" s="93">
        <f>IF(TrRoad_act!S69=0,0,TrRoad_emi!S66/TrRoad_tech!S181)</f>
        <v>1.2572598499528145</v>
      </c>
      <c r="T208" s="93">
        <f>IF(TrRoad_act!T69=0,0,TrRoad_emi!T66/TrRoad_tech!T181)</f>
        <v>1.2291097888037079</v>
      </c>
      <c r="U208" s="93">
        <f>IF(TrRoad_act!U69=0,0,TrRoad_emi!U66/TrRoad_tech!U181)</f>
        <v>1.2493527894844649</v>
      </c>
      <c r="V208" s="93">
        <f>IF(TrRoad_act!V69=0,0,TrRoad_emi!V66/TrRoad_tech!V181)</f>
        <v>1.3001293366735114</v>
      </c>
      <c r="W208" s="93">
        <f>IF(TrRoad_act!W69=0,0,TrRoad_emi!W66/TrRoad_tech!W181)</f>
        <v>1.3816995527046934</v>
      </c>
      <c r="X208" s="93">
        <f>IF(TrRoad_act!X69=0,0,TrRoad_emi!X66/TrRoad_tech!X181)</f>
        <v>1.2522661701753399</v>
      </c>
      <c r="Y208" s="93">
        <f>IF(TrRoad_act!Y69=0,0,TrRoad_emi!Y66/TrRoad_tech!Y181)</f>
        <v>1.3333453435310565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X210" s="93">
        <f>IF(TrRoad_act!X71=0,0,TrRoad_emi!X68/TrRoad_tech!X183)</f>
        <v>0</v>
      </c>
      <c r="Y210" s="93">
        <f>IF(TrRoad_act!Y71=0,0,TrRoad_emi!Y68/TrRoad_tech!Y183)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1.3150435753783156</v>
      </c>
      <c r="C213" s="150">
        <f>IF(TrRoad_act!C74=0,0,TrRoad_emi!C71/TrRoad_tech!C186)</f>
        <v>1.3506323975188672</v>
      </c>
      <c r="D213" s="150">
        <f>IF(TrRoad_act!D74=0,0,TrRoad_emi!D71/TrRoad_tech!D186)</f>
        <v>1.2738348971965858</v>
      </c>
      <c r="E213" s="150">
        <f>IF(TrRoad_act!E74=0,0,TrRoad_emi!E71/TrRoad_tech!E186)</f>
        <v>1.2874144039815416</v>
      </c>
      <c r="F213" s="150">
        <f>IF(TrRoad_act!F74=0,0,TrRoad_emi!F71/TrRoad_tech!F186)</f>
        <v>1.4090842909069405</v>
      </c>
      <c r="G213" s="150">
        <f>IF(TrRoad_act!G74=0,0,TrRoad_emi!G71/TrRoad_tech!G186)</f>
        <v>1.2948141893450875</v>
      </c>
      <c r="H213" s="150">
        <f>IF(TrRoad_act!H74=0,0,TrRoad_emi!H71/TrRoad_tech!H186)</f>
        <v>1.3002264129768282</v>
      </c>
      <c r="I213" s="150">
        <f>IF(TrRoad_act!I74=0,0,TrRoad_emi!I71/TrRoad_tech!I186)</f>
        <v>1.3656979643989349</v>
      </c>
      <c r="J213" s="150">
        <f>IF(TrRoad_act!J74=0,0,TrRoad_emi!J71/TrRoad_tech!J186)</f>
        <v>1.3040339051015473</v>
      </c>
      <c r="K213" s="150">
        <f>IF(TrRoad_act!K74=0,0,TrRoad_emi!K71/TrRoad_tech!K186)</f>
        <v>1.4134556388883657</v>
      </c>
      <c r="L213" s="150">
        <f>IF(TrRoad_act!L74=0,0,TrRoad_emi!L71/TrRoad_tech!L186)</f>
        <v>1.4886833905204673</v>
      </c>
      <c r="M213" s="150">
        <f>IF(TrRoad_act!M74=0,0,TrRoad_emi!M71/TrRoad_tech!M186)</f>
        <v>1.5381741739068975</v>
      </c>
      <c r="N213" s="150">
        <f>IF(TrRoad_act!N74=0,0,TrRoad_emi!N71/TrRoad_tech!N186)</f>
        <v>1.6168544440953696</v>
      </c>
      <c r="O213" s="150">
        <f>IF(TrRoad_act!O74=0,0,TrRoad_emi!O71/TrRoad_tech!O186)</f>
        <v>1.3078303423660136</v>
      </c>
      <c r="P213" s="150">
        <f>IF(TrRoad_act!P74=0,0,TrRoad_emi!P71/TrRoad_tech!P186)</f>
        <v>1.6381936619706245</v>
      </c>
      <c r="Q213" s="150">
        <f>IF(TrRoad_act!Q74=0,0,TrRoad_emi!Q71/TrRoad_tech!Q186)</f>
        <v>1.4689716172304961</v>
      </c>
      <c r="R213" s="150">
        <f>IF(TrRoad_act!R74=0,0,TrRoad_emi!R71/TrRoad_tech!R186)</f>
        <v>1.3968731128497061</v>
      </c>
      <c r="S213" s="150">
        <f>IF(TrRoad_act!S74=0,0,TrRoad_emi!S71/TrRoad_tech!S186)</f>
        <v>1.2693149293639199</v>
      </c>
      <c r="T213" s="150">
        <f>IF(TrRoad_act!T74=0,0,TrRoad_emi!T71/TrRoad_tech!T186)</f>
        <v>1.3455349529222975</v>
      </c>
      <c r="U213" s="150">
        <f>IF(TrRoad_act!U74=0,0,TrRoad_emi!U71/TrRoad_tech!U186)</f>
        <v>1.0987090410984262</v>
      </c>
      <c r="V213" s="150">
        <f>IF(TrRoad_act!V74=0,0,TrRoad_emi!V71/TrRoad_tech!V186)</f>
        <v>1.0359189791014807</v>
      </c>
      <c r="W213" s="150">
        <f>IF(TrRoad_act!W74=0,0,TrRoad_emi!W71/TrRoad_tech!W186)</f>
        <v>1.1230163802626358</v>
      </c>
      <c r="X213" s="150">
        <f>IF(TrRoad_act!X74=0,0,TrRoad_emi!X71/TrRoad_tech!X186)</f>
        <v>0.93966006763298338</v>
      </c>
      <c r="Y213" s="150">
        <f>IF(TrRoad_act!Y74=0,0,TrRoad_emi!Y71/TrRoad_tech!Y186)</f>
        <v>0.98343485974540612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1.1540601858222441</v>
      </c>
      <c r="C214" s="91">
        <f>IF(TrRoad_act!C75=0,0,TrRoad_emi!C72/TrRoad_tech!C187)</f>
        <v>1.204810046556742</v>
      </c>
      <c r="D214" s="91">
        <f>IF(TrRoad_act!D75=0,0,TrRoad_emi!D72/TrRoad_tech!D187)</f>
        <v>1.2391555471782609</v>
      </c>
      <c r="E214" s="91">
        <f>IF(TrRoad_act!E75=0,0,TrRoad_emi!E72/TrRoad_tech!E187)</f>
        <v>1.3153381207032824</v>
      </c>
      <c r="F214" s="91">
        <f>IF(TrRoad_act!F75=0,0,TrRoad_emi!F72/TrRoad_tech!F187)</f>
        <v>1.3456744696196499</v>
      </c>
      <c r="G214" s="91">
        <f>IF(TrRoad_act!G75=0,0,TrRoad_emi!G72/TrRoad_tech!G187)</f>
        <v>1.3854714511478159</v>
      </c>
      <c r="H214" s="91">
        <f>IF(TrRoad_act!H75=0,0,TrRoad_emi!H72/TrRoad_tech!H187)</f>
        <v>1.4184603758787826</v>
      </c>
      <c r="I214" s="91">
        <f>IF(TrRoad_act!I75=0,0,TrRoad_emi!I72/TrRoad_tech!I187)</f>
        <v>1.4309680146522858</v>
      </c>
      <c r="J214" s="91">
        <f>IF(TrRoad_act!J75=0,0,TrRoad_emi!J72/TrRoad_tech!J187)</f>
        <v>1.4328488489343425</v>
      </c>
      <c r="K214" s="91">
        <f>IF(TrRoad_act!K75=0,0,TrRoad_emi!K72/TrRoad_tech!K187)</f>
        <v>1.4475922404893693</v>
      </c>
      <c r="L214" s="91">
        <f>IF(TrRoad_act!L75=0,0,TrRoad_emi!L72/TrRoad_tech!L187)</f>
        <v>1.4586651976830949</v>
      </c>
      <c r="M214" s="91">
        <f>IF(TrRoad_act!M75=0,0,TrRoad_emi!M72/TrRoad_tech!M187)</f>
        <v>1.4362476640716926</v>
      </c>
      <c r="N214" s="91">
        <f>IF(TrRoad_act!N75=0,0,TrRoad_emi!N72/TrRoad_tech!N187)</f>
        <v>1.4109386973190865</v>
      </c>
      <c r="O214" s="91">
        <f>IF(TrRoad_act!O75=0,0,TrRoad_emi!O72/TrRoad_tech!O187)</f>
        <v>1.3397632336898841</v>
      </c>
      <c r="P214" s="91">
        <f>IF(TrRoad_act!P75=0,0,TrRoad_emi!P72/TrRoad_tech!P187)</f>
        <v>1.3563510978256081</v>
      </c>
      <c r="Q214" s="91">
        <f>IF(TrRoad_act!Q75=0,0,TrRoad_emi!Q72/TrRoad_tech!Q187)</f>
        <v>1.3729607182502186</v>
      </c>
      <c r="R214" s="91">
        <f>IF(TrRoad_act!R75=0,0,TrRoad_emi!R72/TrRoad_tech!R187)</f>
        <v>1.2608859181915357</v>
      </c>
      <c r="S214" s="91">
        <f>IF(TrRoad_act!S75=0,0,TrRoad_emi!S72/TrRoad_tech!S187)</f>
        <v>1.287894299204033</v>
      </c>
      <c r="T214" s="91">
        <f>IF(TrRoad_act!T75=0,0,TrRoad_emi!T72/TrRoad_tech!T187)</f>
        <v>1.2761670024476048</v>
      </c>
      <c r="U214" s="91">
        <f>IF(TrRoad_act!U75=0,0,TrRoad_emi!U72/TrRoad_tech!U187)</f>
        <v>1.2825452897233049</v>
      </c>
      <c r="V214" s="91">
        <f>IF(TrRoad_act!V75=0,0,TrRoad_emi!V72/TrRoad_tech!V187)</f>
        <v>1.2273261050948712</v>
      </c>
      <c r="W214" s="91">
        <f>IF(TrRoad_act!W75=0,0,TrRoad_emi!W72/TrRoad_tech!W187)</f>
        <v>1.327500364045447</v>
      </c>
      <c r="X214" s="91">
        <f>IF(TrRoad_act!X75=0,0,TrRoad_emi!X72/TrRoad_tech!X187)</f>
        <v>1.3381038467352711</v>
      </c>
      <c r="Y214" s="91">
        <f>IF(TrRoad_act!Y75=0,0,TrRoad_emi!Y72/TrRoad_tech!Y187)</f>
        <v>1.3853089758530981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1.3473760812909097</v>
      </c>
      <c r="C215" s="91">
        <f>IF(TrRoad_act!C76=0,0,TrRoad_emi!C73/TrRoad_tech!C188)</f>
        <v>1.3510045561702255</v>
      </c>
      <c r="D215" s="91">
        <f>IF(TrRoad_act!D76=0,0,TrRoad_emi!D73/TrRoad_tech!D188)</f>
        <v>1.2759398125957611</v>
      </c>
      <c r="E215" s="91">
        <f>IF(TrRoad_act!E76=0,0,TrRoad_emi!E73/TrRoad_tech!E188)</f>
        <v>1.2955915704687688</v>
      </c>
      <c r="F215" s="91">
        <f>IF(TrRoad_act!F76=0,0,TrRoad_emi!F73/TrRoad_tech!F188)</f>
        <v>1.4290903664540664</v>
      </c>
      <c r="G215" s="91">
        <f>IF(TrRoad_act!G76=0,0,TrRoad_emi!G73/TrRoad_tech!G188)</f>
        <v>1.3143470787283393</v>
      </c>
      <c r="H215" s="91">
        <f>IF(TrRoad_act!H76=0,0,TrRoad_emi!H73/TrRoad_tech!H188)</f>
        <v>1.3236412332066561</v>
      </c>
      <c r="I215" s="91">
        <f>IF(TrRoad_act!I76=0,0,TrRoad_emi!I73/TrRoad_tech!I188)</f>
        <v>1.3887890810944943</v>
      </c>
      <c r="J215" s="91">
        <f>IF(TrRoad_act!J76=0,0,TrRoad_emi!J73/TrRoad_tech!J188)</f>
        <v>1.3006826444682096</v>
      </c>
      <c r="K215" s="91">
        <f>IF(TrRoad_act!K76=0,0,TrRoad_emi!K73/TrRoad_tech!K188)</f>
        <v>1.3950295768138148</v>
      </c>
      <c r="L215" s="91">
        <f>IF(TrRoad_act!L76=0,0,TrRoad_emi!L73/TrRoad_tech!L188)</f>
        <v>1.4314616781904381</v>
      </c>
      <c r="M215" s="91">
        <f>IF(TrRoad_act!M76=0,0,TrRoad_emi!M73/TrRoad_tech!M188)</f>
        <v>1.3859213770007537</v>
      </c>
      <c r="N215" s="91">
        <f>IF(TrRoad_act!N76=0,0,TrRoad_emi!N73/TrRoad_tech!N188)</f>
        <v>1.2184625298641139</v>
      </c>
      <c r="O215" s="91">
        <f>IF(TrRoad_act!O76=0,0,TrRoad_emi!O73/TrRoad_tech!O188)</f>
        <v>1.1059185039783781</v>
      </c>
      <c r="P215" s="91">
        <f>IF(TrRoad_act!P76=0,0,TrRoad_emi!P73/TrRoad_tech!P188)</f>
        <v>1.1109914670033656</v>
      </c>
      <c r="Q215" s="91">
        <f>IF(TrRoad_act!Q76=0,0,TrRoad_emi!Q73/TrRoad_tech!Q188)</f>
        <v>1.1846283031839024</v>
      </c>
      <c r="R215" s="91">
        <f>IF(TrRoad_act!R76=0,0,TrRoad_emi!R73/TrRoad_tech!R188)</f>
        <v>1.2127905458819428</v>
      </c>
      <c r="S215" s="91">
        <f>IF(TrRoad_act!S76=0,0,TrRoad_emi!S73/TrRoad_tech!S188)</f>
        <v>1.2347879461076192</v>
      </c>
      <c r="T215" s="91">
        <f>IF(TrRoad_act!T76=0,0,TrRoad_emi!T73/TrRoad_tech!T188)</f>
        <v>1.2049782823972874</v>
      </c>
      <c r="U215" s="91">
        <f>IF(TrRoad_act!U76=0,0,TrRoad_emi!U73/TrRoad_tech!U188)</f>
        <v>1.2295367569257885</v>
      </c>
      <c r="V215" s="91">
        <f>IF(TrRoad_act!V76=0,0,TrRoad_emi!V73/TrRoad_tech!V188)</f>
        <v>1.2536058574672089</v>
      </c>
      <c r="W215" s="91">
        <f>IF(TrRoad_act!W76=0,0,TrRoad_emi!W73/TrRoad_tech!W188)</f>
        <v>1.340650057313135</v>
      </c>
      <c r="X215" s="91">
        <f>IF(TrRoad_act!X76=0,0,TrRoad_emi!X73/TrRoad_tech!X188)</f>
        <v>1.2097873347429597</v>
      </c>
      <c r="Y215" s="91">
        <f>IF(TrRoad_act!Y76=0,0,TrRoad_emi!Y73/TrRoad_tech!Y188)</f>
        <v>1.2920506429293506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1.2878685316021068</v>
      </c>
      <c r="C219" s="151">
        <f>IF(TrRoad_act!C80=0,0,TrRoad_emi!C77/TrRoad_tech!C192)</f>
        <v>1.2922029466218026</v>
      </c>
      <c r="D219" s="151">
        <f>IF(TrRoad_act!D80=0,0,TrRoad_emi!D77/TrRoad_tech!D192)</f>
        <v>1.2348018694678604</v>
      </c>
      <c r="E219" s="151">
        <f>IF(TrRoad_act!E80=0,0,TrRoad_emi!E77/TrRoad_tech!E192)</f>
        <v>1.2520702029350037</v>
      </c>
      <c r="F219" s="151">
        <f>IF(TrRoad_act!F80=0,0,TrRoad_emi!F77/TrRoad_tech!F192)</f>
        <v>1.3554772956792818</v>
      </c>
      <c r="G219" s="151">
        <f>IF(TrRoad_act!G80=0,0,TrRoad_emi!G77/TrRoad_tech!G192)</f>
        <v>1.2757511102080326</v>
      </c>
      <c r="H219" s="151">
        <f>IF(TrRoad_act!H80=0,0,TrRoad_emi!H77/TrRoad_tech!H192)</f>
        <v>1.2849286207016297</v>
      </c>
      <c r="I219" s="151">
        <f>IF(TrRoad_act!I80=0,0,TrRoad_emi!I77/TrRoad_tech!I192)</f>
        <v>1.344122949386426</v>
      </c>
      <c r="J219" s="151">
        <f>IF(TrRoad_act!J80=0,0,TrRoad_emi!J77/TrRoad_tech!J192)</f>
        <v>1.2713924775528269</v>
      </c>
      <c r="K219" s="151">
        <f>IF(TrRoad_act!K80=0,0,TrRoad_emi!K77/TrRoad_tech!K192)</f>
        <v>1.348009264391298</v>
      </c>
      <c r="L219" s="151">
        <f>IF(TrRoad_act!L80=0,0,TrRoad_emi!L77/TrRoad_tech!L192)</f>
        <v>1.3849857056691826</v>
      </c>
      <c r="M219" s="151">
        <f>IF(TrRoad_act!M80=0,0,TrRoad_emi!M77/TrRoad_tech!M192)</f>
        <v>1.3484844357091068</v>
      </c>
      <c r="N219" s="151">
        <f>IF(TrRoad_act!N80=0,0,TrRoad_emi!N77/TrRoad_tech!N192)</f>
        <v>1.2123565805747232</v>
      </c>
      <c r="O219" s="151">
        <f>IF(TrRoad_act!O80=0,0,TrRoad_emi!O77/TrRoad_tech!O192)</f>
        <v>1.1348742148519075</v>
      </c>
      <c r="P219" s="151">
        <f>IF(TrRoad_act!P80=0,0,TrRoad_emi!P77/TrRoad_tech!P192)</f>
        <v>1.1422495513728024</v>
      </c>
      <c r="Q219" s="151">
        <f>IF(TrRoad_act!Q80=0,0,TrRoad_emi!Q77/TrRoad_tech!Q192)</f>
        <v>1.1956533612469644</v>
      </c>
      <c r="R219" s="151">
        <f>IF(TrRoad_act!R80=0,0,TrRoad_emi!R77/TrRoad_tech!R192)</f>
        <v>1.2174638984232364</v>
      </c>
      <c r="S219" s="151">
        <f>IF(TrRoad_act!S80=0,0,TrRoad_emi!S77/TrRoad_tech!S192)</f>
        <v>1.23246140143127</v>
      </c>
      <c r="T219" s="151">
        <f>IF(TrRoad_act!T80=0,0,TrRoad_emi!T77/TrRoad_tech!T192)</f>
        <v>1.2037938937166182</v>
      </c>
      <c r="U219" s="151">
        <f>IF(TrRoad_act!U80=0,0,TrRoad_emi!U77/TrRoad_tech!U192)</f>
        <v>1.2323729691017744</v>
      </c>
      <c r="V219" s="151">
        <f>IF(TrRoad_act!V80=0,0,TrRoad_emi!V77/TrRoad_tech!V192)</f>
        <v>1.2329692020245677</v>
      </c>
      <c r="W219" s="151">
        <f>IF(TrRoad_act!W80=0,0,TrRoad_emi!W77/TrRoad_tech!W192)</f>
        <v>1.3224509788663497</v>
      </c>
      <c r="X219" s="151">
        <f>IF(TrRoad_act!X80=0,0,TrRoad_emi!X77/TrRoad_tech!X192)</f>
        <v>1.1934512831579762</v>
      </c>
      <c r="Y219" s="151">
        <f>IF(TrRoad_act!Y80=0,0,TrRoad_emi!Y77/TrRoad_tech!Y192)</f>
        <v>1.2540220828072484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1.3770715467780101</v>
      </c>
      <c r="C220" s="93">
        <f>IF(TrRoad_act!C81=0,0,TrRoad_emi!C78/TrRoad_tech!C193)</f>
        <v>1.3817061810198499</v>
      </c>
      <c r="D220" s="93">
        <f>IF(TrRoad_act!D81=0,0,TrRoad_emi!D78/TrRoad_tech!D193)</f>
        <v>1.3203292716820842</v>
      </c>
      <c r="E220" s="93">
        <f>IF(TrRoad_act!E81=0,0,TrRoad_emi!E78/TrRoad_tech!E193)</f>
        <v>1.338793680194571</v>
      </c>
      <c r="F220" s="93">
        <f>IF(TrRoad_act!F81=0,0,TrRoad_emi!F78/TrRoad_tech!F193)</f>
        <v>1.449363168973085</v>
      </c>
      <c r="G220" s="93">
        <f>IF(TrRoad_act!G81=0,0,TrRoad_emi!G78/TrRoad_tech!G193)</f>
        <v>1.3641148234691947</v>
      </c>
      <c r="H220" s="93">
        <f>IF(TrRoad_act!H81=0,0,TrRoad_emi!H78/TrRoad_tech!H193)</f>
        <v>1.3739280056852927</v>
      </c>
      <c r="I220" s="93">
        <f>IF(TrRoad_act!I81=0,0,TrRoad_emi!I78/TrRoad_tech!I193)</f>
        <v>1.4372223744521524</v>
      </c>
      <c r="J220" s="93">
        <f>IF(TrRoad_act!J81=0,0,TrRoad_emi!J78/TrRoad_tech!J193)</f>
        <v>1.3594542941798629</v>
      </c>
      <c r="K220" s="93">
        <f>IF(TrRoad_act!K81=0,0,TrRoad_emi!K78/TrRoad_tech!K193)</f>
        <v>1.4413778714487038</v>
      </c>
      <c r="L220" s="93">
        <f>IF(TrRoad_act!L81=0,0,TrRoad_emi!L78/TrRoad_tech!L193)</f>
        <v>1.4809154515163985</v>
      </c>
      <c r="M220" s="93">
        <f>IF(TrRoad_act!M81=0,0,TrRoad_emi!M78/TrRoad_tech!M193)</f>
        <v>1.4418859550655814</v>
      </c>
      <c r="N220" s="93">
        <f>IF(TrRoad_act!N81=0,0,TrRoad_emi!N78/TrRoad_tech!N193)</f>
        <v>1.296329330744401</v>
      </c>
      <c r="O220" s="93">
        <f>IF(TrRoad_act!O81=0,0,TrRoad_emi!O78/TrRoad_tech!O193)</f>
        <v>1.2134802210754163</v>
      </c>
      <c r="P220" s="93">
        <f>IF(TrRoad_act!P81=0,0,TrRoad_emi!P78/TrRoad_tech!P193)</f>
        <v>1.2213664034159399</v>
      </c>
      <c r="Q220" s="93">
        <f>IF(TrRoad_act!Q81=0,0,TrRoad_emi!Q78/TrRoad_tech!Q193)</f>
        <v>1.2784691784761915</v>
      </c>
      <c r="R220" s="93">
        <f>IF(TrRoad_act!R81=0,0,TrRoad_emi!R78/TrRoad_tech!R193)</f>
        <v>1.3017904022101272</v>
      </c>
      <c r="S220" s="93">
        <f>IF(TrRoad_act!S81=0,0,TrRoad_emi!S78/TrRoad_tech!S193)</f>
        <v>1.3178266933052976</v>
      </c>
      <c r="T220" s="93">
        <f>IF(TrRoad_act!T81=0,0,TrRoad_emi!T78/TrRoad_tech!T193)</f>
        <v>1.2871735573506695</v>
      </c>
      <c r="U220" s="93">
        <f>IF(TrRoad_act!U81=0,0,TrRoad_emi!U78/TrRoad_tech!U193)</f>
        <v>1.3177321357928065</v>
      </c>
      <c r="V220" s="93">
        <f>IF(TrRoad_act!V81=0,0,TrRoad_emi!V78/TrRoad_tech!V193)</f>
        <v>1.3183696662340612</v>
      </c>
      <c r="W220" s="93">
        <f>IF(TrRoad_act!W81=0,0,TrRoad_emi!W78/TrRoad_tech!W193)</f>
        <v>1.4140493150648843</v>
      </c>
      <c r="X220" s="93">
        <f>IF(TrRoad_act!X81=0,0,TrRoad_emi!X78/TrRoad_tech!X193)</f>
        <v>1.2761145754979224</v>
      </c>
      <c r="Y220" s="93">
        <f>IF(TrRoad_act!Y81=0,0,TrRoad_emi!Y78/TrRoad_tech!Y193)</f>
        <v>1.3408807552094817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</v>
      </c>
      <c r="C221" s="94">
        <f>IF(TrRoad_act!C82=0,0,TrRoad_emi!C79/TrRoad_tech!C194)</f>
        <v>0</v>
      </c>
      <c r="D221" s="94">
        <f>IF(TrRoad_act!D82=0,0,TrRoad_emi!D79/TrRoad_tech!D194)</f>
        <v>0</v>
      </c>
      <c r="E221" s="94">
        <f>IF(TrRoad_act!E82=0,0,TrRoad_emi!E79/TrRoad_tech!E194)</f>
        <v>0</v>
      </c>
      <c r="F221" s="94">
        <f>IF(TrRoad_act!F82=0,0,TrRoad_emi!F79/TrRoad_tech!F194)</f>
        <v>0</v>
      </c>
      <c r="G221" s="94">
        <f>IF(TrRoad_act!G82=0,0,TrRoad_emi!G79/TrRoad_tech!G194)</f>
        <v>0</v>
      </c>
      <c r="H221" s="94">
        <f>IF(TrRoad_act!H82=0,0,TrRoad_emi!H79/TrRoad_tech!H194)</f>
        <v>0</v>
      </c>
      <c r="I221" s="94">
        <f>IF(TrRoad_act!I82=0,0,TrRoad_emi!I79/TrRoad_tech!I194)</f>
        <v>0</v>
      </c>
      <c r="J221" s="94">
        <f>IF(TrRoad_act!J82=0,0,TrRoad_emi!J79/TrRoad_tech!J194)</f>
        <v>0</v>
      </c>
      <c r="K221" s="94">
        <f>IF(TrRoad_act!K82=0,0,TrRoad_emi!K79/TrRoad_tech!K194)</f>
        <v>0</v>
      </c>
      <c r="L221" s="94">
        <f>IF(TrRoad_act!L82=0,0,TrRoad_emi!L79/TrRoad_tech!L194)</f>
        <v>0</v>
      </c>
      <c r="M221" s="94">
        <f>IF(TrRoad_act!M82=0,0,TrRoad_emi!M79/TrRoad_tech!M194)</f>
        <v>0</v>
      </c>
      <c r="N221" s="94">
        <f>IF(TrRoad_act!N82=0,0,TrRoad_emi!N79/TrRoad_tech!N194)</f>
        <v>0</v>
      </c>
      <c r="O221" s="94">
        <f>IF(TrRoad_act!O82=0,0,TrRoad_emi!O79/TrRoad_tech!O194)</f>
        <v>0</v>
      </c>
      <c r="P221" s="94">
        <f>IF(TrRoad_act!P82=0,0,TrRoad_emi!P79/TrRoad_tech!P194)</f>
        <v>0</v>
      </c>
      <c r="Q221" s="94">
        <f>IF(TrRoad_act!Q82=0,0,TrRoad_emi!Q79/TrRoad_tech!Q194)</f>
        <v>0</v>
      </c>
      <c r="R221" s="94">
        <f>IF(TrRoad_act!R82=0,0,TrRoad_emi!R79/TrRoad_tech!R194)</f>
        <v>0</v>
      </c>
      <c r="S221" s="94">
        <f>IF(TrRoad_act!S82=0,0,TrRoad_emi!S79/TrRoad_tech!S194)</f>
        <v>0</v>
      </c>
      <c r="T221" s="94">
        <f>IF(TrRoad_act!T82=0,0,TrRoad_emi!T79/TrRoad_tech!T194)</f>
        <v>0</v>
      </c>
      <c r="U221" s="94">
        <f>IF(TrRoad_act!U82=0,0,TrRoad_emi!U79/TrRoad_tech!U194)</f>
        <v>0</v>
      </c>
      <c r="V221" s="94">
        <f>IF(TrRoad_act!V82=0,0,TrRoad_emi!V79/TrRoad_tech!V194)</f>
        <v>0</v>
      </c>
      <c r="W221" s="94">
        <f>IF(TrRoad_act!W82=0,0,TrRoad_emi!W79/TrRoad_tech!W194)</f>
        <v>0</v>
      </c>
      <c r="X221" s="94">
        <f>IF(TrRoad_act!X82=0,0,TrRoad_emi!X79/TrRoad_tech!X194)</f>
        <v>0</v>
      </c>
      <c r="Y221" s="94">
        <f>IF(TrRoad_act!Y82=0,0,TrRoad_emi!Y79/TrRoad_tech!Y194)</f>
        <v>0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103.57165724138888</v>
      </c>
      <c r="C225" s="152">
        <v>103.28891825290842</v>
      </c>
      <c r="D225" s="152">
        <v>102.97566898077997</v>
      </c>
      <c r="E225" s="152">
        <v>102.3271502237976</v>
      </c>
      <c r="F225" s="152">
        <v>102.25624846807817</v>
      </c>
      <c r="G225" s="152">
        <v>101.56281786572745</v>
      </c>
      <c r="H225" s="152">
        <v>100.5282645727781</v>
      </c>
      <c r="I225" s="152">
        <v>99.785532519232007</v>
      </c>
      <c r="J225" s="152">
        <v>97.302859353850579</v>
      </c>
      <c r="K225" s="152">
        <v>94.549159608173326</v>
      </c>
      <c r="L225" s="152">
        <v>92.797910352527992</v>
      </c>
      <c r="M225" s="152">
        <v>89.91443670429959</v>
      </c>
      <c r="N225" s="152">
        <v>86.531041257367207</v>
      </c>
      <c r="O225" s="152">
        <v>83.649141856391992</v>
      </c>
      <c r="P225" s="152">
        <v>78.012059064806991</v>
      </c>
      <c r="Q225" s="152">
        <v>74.473259105491181</v>
      </c>
      <c r="R225" s="152">
        <v>72.207840347298713</v>
      </c>
      <c r="S225" s="152">
        <v>70.395505340744734</v>
      </c>
      <c r="T225" s="152">
        <v>68.945637335501544</v>
      </c>
      <c r="U225" s="152">
        <v>67.785742931306984</v>
      </c>
      <c r="V225" s="152">
        <v>66.857827407951362</v>
      </c>
      <c r="W225" s="152">
        <v>66.11549498926685</v>
      </c>
      <c r="X225" s="152">
        <v>65.521629054319249</v>
      </c>
      <c r="Y225" s="152">
        <v>65.046536306361162</v>
      </c>
      <c r="DA225" s="174" t="s">
        <v>933</v>
      </c>
    </row>
    <row r="226" spans="1:105" ht="11.45" customHeight="1" x14ac:dyDescent="0.25">
      <c r="A226" s="109" t="s">
        <v>20</v>
      </c>
      <c r="B226" s="116">
        <v>198.07381910210506</v>
      </c>
      <c r="C226" s="116">
        <v>197.60383610041453</v>
      </c>
      <c r="D226" s="116">
        <v>195.47405222583325</v>
      </c>
      <c r="E226" s="116">
        <v>193.09548562230827</v>
      </c>
      <c r="F226" s="116">
        <v>192.18823240714653</v>
      </c>
      <c r="G226" s="116">
        <v>191.27844840224037</v>
      </c>
      <c r="H226" s="116">
        <v>189.62929279663325</v>
      </c>
      <c r="I226" s="116">
        <v>189.97964733225498</v>
      </c>
      <c r="J226" s="116">
        <v>187.01336540430822</v>
      </c>
      <c r="K226" s="116">
        <v>181.93812559568724</v>
      </c>
      <c r="L226" s="116">
        <v>180.815282416222</v>
      </c>
      <c r="M226" s="116">
        <v>174.09566875419014</v>
      </c>
      <c r="N226" s="116">
        <v>167.57268527367353</v>
      </c>
      <c r="O226" s="116">
        <v>161.66532340232231</v>
      </c>
      <c r="P226" s="116">
        <v>154.43227612766398</v>
      </c>
      <c r="Q226" s="116">
        <v>148.85376362069661</v>
      </c>
      <c r="R226" s="116">
        <v>147.39448995864979</v>
      </c>
      <c r="S226" s="116">
        <v>147.92402789838084</v>
      </c>
      <c r="T226" s="116">
        <v>150.21151519205446</v>
      </c>
      <c r="U226" s="116">
        <v>152.53386512000952</v>
      </c>
      <c r="V226" s="116">
        <v>153.32901357965002</v>
      </c>
      <c r="W226" s="116">
        <v>149.1292988648039</v>
      </c>
      <c r="X226" s="116">
        <v>141.48298107914053</v>
      </c>
      <c r="Y226" s="116">
        <v>137.14922611471579</v>
      </c>
      <c r="DA226" s="176" t="s">
        <v>934</v>
      </c>
    </row>
    <row r="227" spans="1:105" ht="11.45" customHeight="1" x14ac:dyDescent="0.25">
      <c r="A227" s="111" t="s">
        <v>110</v>
      </c>
      <c r="B227" s="87">
        <v>193.76761993989624</v>
      </c>
      <c r="C227" s="87">
        <v>193.23865610634098</v>
      </c>
      <c r="D227" s="87">
        <v>192.6526119362959</v>
      </c>
      <c r="E227" s="87">
        <v>191.43932695685422</v>
      </c>
      <c r="F227" s="87">
        <v>191.3066800067017</v>
      </c>
      <c r="G227" s="87">
        <v>190.00937144768318</v>
      </c>
      <c r="H227" s="87">
        <v>188.07387157624089</v>
      </c>
      <c r="I227" s="87">
        <v>186.68432711879072</v>
      </c>
      <c r="J227" s="87">
        <v>182.03960400478834</v>
      </c>
      <c r="K227" s="87">
        <v>176.88782928223662</v>
      </c>
      <c r="L227" s="87">
        <v>173.61149472096835</v>
      </c>
      <c r="M227" s="87">
        <v>168.21693175984319</v>
      </c>
      <c r="N227" s="87">
        <v>161.88708727797285</v>
      </c>
      <c r="O227" s="87">
        <v>156.49546950621411</v>
      </c>
      <c r="P227" s="87">
        <v>145.96795694594482</v>
      </c>
      <c r="Q227" s="87">
        <v>139.32871743478964</v>
      </c>
      <c r="R227" s="87">
        <v>135.79900182554266</v>
      </c>
      <c r="S227" s="87">
        <v>133.56001457580746</v>
      </c>
      <c r="T227" s="87">
        <v>133.92410256410261</v>
      </c>
      <c r="U227" s="87">
        <v>147.2344993244258</v>
      </c>
      <c r="V227" s="87">
        <v>148.7982430017868</v>
      </c>
      <c r="W227" s="87">
        <v>143.85812086874409</v>
      </c>
      <c r="X227" s="87">
        <v>140.6799074818986</v>
      </c>
      <c r="Y227" s="87">
        <v>135.51124474833179</v>
      </c>
      <c r="DA227" s="171" t="s">
        <v>935</v>
      </c>
    </row>
    <row r="228" spans="1:105" ht="11.45" customHeight="1" x14ac:dyDescent="0.25">
      <c r="A228" s="111" t="s">
        <v>111</v>
      </c>
      <c r="B228" s="87">
        <v>228.24672700467082</v>
      </c>
      <c r="C228" s="87">
        <v>228.19001406802718</v>
      </c>
      <c r="D228" s="87">
        <v>228.12701622098913</v>
      </c>
      <c r="E228" s="87">
        <v>228.38658665578939</v>
      </c>
      <c r="F228" s="87">
        <v>227.63094724382853</v>
      </c>
      <c r="G228" s="87">
        <v>227.96978930882264</v>
      </c>
      <c r="H228" s="87">
        <v>228.69832805716297</v>
      </c>
      <c r="I228" s="87">
        <v>227.64090949843896</v>
      </c>
      <c r="J228" s="87">
        <v>222.38720749887841</v>
      </c>
      <c r="K228" s="87">
        <v>217.92995179168736</v>
      </c>
      <c r="L228" s="87">
        <v>213.66249538120815</v>
      </c>
      <c r="M228" s="87">
        <v>201.30585669235347</v>
      </c>
      <c r="N228" s="87">
        <v>193.63746826129872</v>
      </c>
      <c r="O228" s="87">
        <v>182.29063422930554</v>
      </c>
      <c r="P228" s="87">
        <v>172.51459188532979</v>
      </c>
      <c r="Q228" s="87">
        <v>170.56401406570174</v>
      </c>
      <c r="R228" s="87">
        <v>167.51434420490327</v>
      </c>
      <c r="S228" s="87">
        <v>167.75356734034943</v>
      </c>
      <c r="T228" s="87">
        <v>172.15294117647059</v>
      </c>
      <c r="U228" s="87">
        <v>160.12872542802791</v>
      </c>
      <c r="V228" s="87">
        <v>161.2503392130258</v>
      </c>
      <c r="W228" s="87">
        <v>162.95563869588449</v>
      </c>
      <c r="X228" s="87">
        <v>169.9903640256959</v>
      </c>
      <c r="Y228" s="87">
        <v>164.34237288135591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0</v>
      </c>
      <c r="M229" s="87">
        <v>0</v>
      </c>
      <c r="N229" s="87">
        <v>0</v>
      </c>
      <c r="O229" s="87">
        <v>0</v>
      </c>
      <c r="P229" s="87">
        <v>0</v>
      </c>
      <c r="Q229" s="87">
        <v>0</v>
      </c>
      <c r="R229" s="87">
        <v>0</v>
      </c>
      <c r="S229" s="87">
        <v>0</v>
      </c>
      <c r="T229" s="87">
        <v>129.7607697914238</v>
      </c>
      <c r="U229" s="87">
        <v>0</v>
      </c>
      <c r="V229" s="87">
        <v>0</v>
      </c>
      <c r="W229" s="87">
        <v>109</v>
      </c>
      <c r="X229" s="87">
        <v>112</v>
      </c>
      <c r="Y229" s="87">
        <v>0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X230" s="87">
        <v>0</v>
      </c>
      <c r="Y230" s="87">
        <v>0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0</v>
      </c>
      <c r="P231" s="87">
        <v>50.393326592517703</v>
      </c>
      <c r="Q231" s="87">
        <v>50.191342872903718</v>
      </c>
      <c r="R231" s="87">
        <v>94.475800596918631</v>
      </c>
      <c r="S231" s="87">
        <v>61.534708322155986</v>
      </c>
      <c r="T231" s="87">
        <v>58.771311202722252</v>
      </c>
      <c r="U231" s="87">
        <v>58.565217391304351</v>
      </c>
      <c r="V231" s="87">
        <v>90.258064516129039</v>
      </c>
      <c r="W231" s="87">
        <v>47.096153846153847</v>
      </c>
      <c r="X231" s="87">
        <v>39.773480662983417</v>
      </c>
      <c r="Y231" s="87">
        <v>29.67432150313152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1453.070207094552</v>
      </c>
      <c r="C233" s="116">
        <v>1456.1926014401072</v>
      </c>
      <c r="D233" s="116">
        <v>1455.0860181069575</v>
      </c>
      <c r="E233" s="116">
        <v>1449.6738237347527</v>
      </c>
      <c r="F233" s="116">
        <v>1452.5324037892055</v>
      </c>
      <c r="G233" s="116">
        <v>1450.0572998879095</v>
      </c>
      <c r="H233" s="116">
        <v>1427.7674714414618</v>
      </c>
      <c r="I233" s="116">
        <v>1443.6498037636748</v>
      </c>
      <c r="J233" s="116">
        <v>1425.3751891019085</v>
      </c>
      <c r="K233" s="116">
        <v>1424.1302435053919</v>
      </c>
      <c r="L233" s="116">
        <v>1409.7885302727623</v>
      </c>
      <c r="M233" s="116">
        <v>1396.6620840303133</v>
      </c>
      <c r="N233" s="116">
        <v>1386.7262929527528</v>
      </c>
      <c r="O233" s="116">
        <v>1380.6651150487</v>
      </c>
      <c r="P233" s="116">
        <v>1356.1662695111202</v>
      </c>
      <c r="Q233" s="116">
        <v>1340.2449215971562</v>
      </c>
      <c r="R233" s="116">
        <v>1315.4669798130697</v>
      </c>
      <c r="S233" s="116">
        <v>1283.2102677755793</v>
      </c>
      <c r="T233" s="116">
        <v>1244.8172146840736</v>
      </c>
      <c r="U233" s="116">
        <v>1189.3065205198636</v>
      </c>
      <c r="V233" s="116">
        <v>1150.6163700884617</v>
      </c>
      <c r="W233" s="116">
        <v>1104.9946922923677</v>
      </c>
      <c r="X233" s="116">
        <v>1053.6791915686488</v>
      </c>
      <c r="Y233" s="116">
        <v>884.32988750352445</v>
      </c>
      <c r="DA233" s="176" t="s">
        <v>941</v>
      </c>
    </row>
    <row r="234" spans="1:105" ht="11.45" customHeight="1" x14ac:dyDescent="0.25">
      <c r="A234" s="111" t="s">
        <v>110</v>
      </c>
      <c r="B234" s="101">
        <v>431.54857183912026</v>
      </c>
      <c r="C234" s="101">
        <v>0</v>
      </c>
      <c r="D234" s="101">
        <v>0</v>
      </c>
      <c r="E234" s="101">
        <v>426.36312593248994</v>
      </c>
      <c r="F234" s="101">
        <v>0</v>
      </c>
      <c r="G234" s="101">
        <v>0</v>
      </c>
      <c r="H234" s="101">
        <v>418.86776905324211</v>
      </c>
      <c r="I234" s="101">
        <v>0</v>
      </c>
      <c r="J234" s="101">
        <v>405.42858064104405</v>
      </c>
      <c r="K234" s="101">
        <v>0</v>
      </c>
      <c r="L234" s="101">
        <v>386.65795980219997</v>
      </c>
      <c r="M234" s="101">
        <v>374.64348626791497</v>
      </c>
      <c r="N234" s="101">
        <v>360.54600523902997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282.79899350199673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1457.1892459463884</v>
      </c>
      <c r="C235" s="101">
        <v>1456.192601440107</v>
      </c>
      <c r="D235" s="101">
        <v>1455.0860181069577</v>
      </c>
      <c r="E235" s="101">
        <v>1452.7841905973735</v>
      </c>
      <c r="F235" s="101">
        <v>1452.5324037892055</v>
      </c>
      <c r="G235" s="101">
        <v>1450.0572998879095</v>
      </c>
      <c r="H235" s="101">
        <v>1446.336177620386</v>
      </c>
      <c r="I235" s="101">
        <v>1443.6498037636748</v>
      </c>
      <c r="J235" s="101">
        <v>1434.4995241674412</v>
      </c>
      <c r="K235" s="101">
        <v>1424.1302435053919</v>
      </c>
      <c r="L235" s="101">
        <v>1417.4428736927414</v>
      </c>
      <c r="M235" s="101">
        <v>1406.1692337769402</v>
      </c>
      <c r="N235" s="101">
        <v>1392.5568627693081</v>
      </c>
      <c r="O235" s="101">
        <v>1380.6651150487</v>
      </c>
      <c r="P235" s="101">
        <v>1356.1662695111202</v>
      </c>
      <c r="Q235" s="101">
        <v>1340.2449215971562</v>
      </c>
      <c r="R235" s="101">
        <v>1315.4669798130697</v>
      </c>
      <c r="S235" s="101">
        <v>1283.2102677755793</v>
      </c>
      <c r="T235" s="101">
        <v>1244.8172146840736</v>
      </c>
      <c r="U235" s="101">
        <v>1201.5566222363213</v>
      </c>
      <c r="V235" s="101">
        <v>1154.5977416112592</v>
      </c>
      <c r="W235" s="101">
        <v>1104.9946922923677</v>
      </c>
      <c r="X235" s="101">
        <v>1053.6791915686488</v>
      </c>
      <c r="Y235" s="101">
        <v>1001.4596739278323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X237" s="101">
        <v>0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205.37583132953372</v>
      </c>
      <c r="C240" s="152">
        <v>205.277257003725</v>
      </c>
      <c r="D240" s="152">
        <v>205.12880272624196</v>
      </c>
      <c r="E240" s="152">
        <v>205.24585368035338</v>
      </c>
      <c r="F240" s="152">
        <v>206.13642220344016</v>
      </c>
      <c r="G240" s="152">
        <v>206.28411302952287</v>
      </c>
      <c r="H240" s="152">
        <v>205.94230213870304</v>
      </c>
      <c r="I240" s="152">
        <v>204.65739268592978</v>
      </c>
      <c r="J240" s="152">
        <v>200.3635948503117</v>
      </c>
      <c r="K240" s="152">
        <v>198.2142713294943</v>
      </c>
      <c r="L240" s="152">
        <v>194.76495297720416</v>
      </c>
      <c r="M240" s="152">
        <v>183.7536275364902</v>
      </c>
      <c r="N240" s="152">
        <v>146.73665950599639</v>
      </c>
      <c r="O240" s="152">
        <v>166.90010055761215</v>
      </c>
      <c r="P240" s="152">
        <v>131.59587303276436</v>
      </c>
      <c r="Q240" s="152">
        <v>148.67389372702286</v>
      </c>
      <c r="R240" s="152">
        <v>150.62332998425117</v>
      </c>
      <c r="S240" s="152">
        <v>138.99017443050235</v>
      </c>
      <c r="T240" s="152">
        <v>141.37586862404217</v>
      </c>
      <c r="U240" s="152">
        <v>140.57512253962122</v>
      </c>
      <c r="V240" s="152">
        <v>186.46052172333668</v>
      </c>
      <c r="W240" s="152">
        <v>189.20751499709098</v>
      </c>
      <c r="X240" s="152">
        <v>190.62028269373181</v>
      </c>
      <c r="Y240" s="152">
        <v>196.69622102962097</v>
      </c>
      <c r="DA240" s="174" t="s">
        <v>947</v>
      </c>
    </row>
    <row r="241" spans="1:105" ht="11.45" customHeight="1" x14ac:dyDescent="0.25">
      <c r="A241" s="111" t="s">
        <v>110</v>
      </c>
      <c r="B241" s="87">
        <v>174.30806588140601</v>
      </c>
      <c r="C241" s="87">
        <v>173.83222444424109</v>
      </c>
      <c r="D241" s="87">
        <v>173.30503509323748</v>
      </c>
      <c r="E241" s="87">
        <v>172.21359701810891</v>
      </c>
      <c r="F241" s="87">
        <v>172.09427143970046</v>
      </c>
      <c r="G241" s="87">
        <v>170.92724804412975</v>
      </c>
      <c r="H241" s="87">
        <v>169.18612515058609</v>
      </c>
      <c r="I241" s="87">
        <v>167.93612885652266</v>
      </c>
      <c r="J241" s="87">
        <v>163.75786262810152</v>
      </c>
      <c r="K241" s="87">
        <v>159.12346660247431</v>
      </c>
      <c r="L241" s="87">
        <v>156.17616539326079</v>
      </c>
      <c r="M241" s="87">
        <v>151.32336369026896</v>
      </c>
      <c r="N241" s="87">
        <v>145.62920824103992</v>
      </c>
      <c r="O241" s="87">
        <v>140.41429564117087</v>
      </c>
      <c r="P241" s="87">
        <v>209.58920768802938</v>
      </c>
      <c r="Q241" s="87">
        <v>126.21198047556754</v>
      </c>
      <c r="R241" s="87">
        <v>135.25381408409336</v>
      </c>
      <c r="S241" s="87">
        <v>131.11351851150056</v>
      </c>
      <c r="T241" s="87">
        <v>131.69694613692192</v>
      </c>
      <c r="U241" s="87">
        <v>138.21985815602841</v>
      </c>
      <c r="V241" s="87">
        <v>136.15268166089959</v>
      </c>
      <c r="W241" s="87">
        <v>129.62111801242239</v>
      </c>
      <c r="X241" s="87">
        <v>132.03648068669531</v>
      </c>
      <c r="Y241" s="87">
        <v>135.5291723202171</v>
      </c>
      <c r="DA241" s="171" t="s">
        <v>948</v>
      </c>
    </row>
    <row r="242" spans="1:105" ht="11.45" customHeight="1" x14ac:dyDescent="0.25">
      <c r="A242" s="111" t="s">
        <v>111</v>
      </c>
      <c r="B242" s="87">
        <v>209.21256518509773</v>
      </c>
      <c r="C242" s="87">
        <v>209.16058170603492</v>
      </c>
      <c r="D242" s="87">
        <v>209.10283743362879</v>
      </c>
      <c r="E242" s="87">
        <v>209.34076153104485</v>
      </c>
      <c r="F242" s="87">
        <v>208.64813709867764</v>
      </c>
      <c r="G242" s="87">
        <v>208.95872213330375</v>
      </c>
      <c r="H242" s="87">
        <v>209.6265059056156</v>
      </c>
      <c r="I242" s="87">
        <v>208.65726857175255</v>
      </c>
      <c r="J242" s="87">
        <v>203.84168814056574</v>
      </c>
      <c r="K242" s="87">
        <v>199.75613601710299</v>
      </c>
      <c r="L242" s="87">
        <v>195.84455527214033</v>
      </c>
      <c r="M242" s="87">
        <v>184.51837280684904</v>
      </c>
      <c r="N242" s="87">
        <v>146.75668899303972</v>
      </c>
      <c r="O242" s="87">
        <v>167.08888533394372</v>
      </c>
      <c r="P242" s="87">
        <v>119.24523861559878</v>
      </c>
      <c r="Q242" s="87">
        <v>148.84786723757631</v>
      </c>
      <c r="R242" s="87">
        <v>150.77490827403338</v>
      </c>
      <c r="S242" s="87">
        <v>139.45011406115518</v>
      </c>
      <c r="T242" s="87">
        <v>142.15864318154257</v>
      </c>
      <c r="U242" s="87">
        <v>140.8687050359712</v>
      </c>
      <c r="V242" s="87">
        <v>192.07500335565609</v>
      </c>
      <c r="W242" s="87">
        <v>196.80904183535759</v>
      </c>
      <c r="X242" s="87">
        <v>203.20452937013451</v>
      </c>
      <c r="Y242" s="87">
        <v>210.25668016194331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737.12787635505595</v>
      </c>
      <c r="C246" s="116">
        <v>733.21630395859165</v>
      </c>
      <c r="D246" s="116">
        <v>728.894451984287</v>
      </c>
      <c r="E246" s="116">
        <v>723.51294182510367</v>
      </c>
      <c r="F246" s="116">
        <v>717.08544799971617</v>
      </c>
      <c r="G246" s="116">
        <v>709.62818761099697</v>
      </c>
      <c r="H246" s="116">
        <v>701.15981921661501</v>
      </c>
      <c r="I246" s="116">
        <v>691.70132790061086</v>
      </c>
      <c r="J246" s="116">
        <v>681.27589784349311</v>
      </c>
      <c r="K246" s="116">
        <v>669.90877378940934</v>
      </c>
      <c r="L246" s="116">
        <v>657.62711293624216</v>
      </c>
      <c r="M246" s="116">
        <v>644.45982879821372</v>
      </c>
      <c r="N246" s="116">
        <v>630.437428650642</v>
      </c>
      <c r="O246" s="116">
        <v>615.59184618530412</v>
      </c>
      <c r="P246" s="116">
        <v>599.95627096657665</v>
      </c>
      <c r="Q246" s="116">
        <v>583.56497627876172</v>
      </c>
      <c r="R246" s="116">
        <v>576.09166460349695</v>
      </c>
      <c r="S246" s="116">
        <v>570.86034643081166</v>
      </c>
      <c r="T246" s="116">
        <v>565.36746234949203</v>
      </c>
      <c r="U246" s="116">
        <v>558.65393736121246</v>
      </c>
      <c r="V246" s="116">
        <v>536.37280556459893</v>
      </c>
      <c r="W246" s="116">
        <v>534.47107770614275</v>
      </c>
      <c r="X246" s="116">
        <v>531.52647655968121</v>
      </c>
      <c r="Y246" s="116">
        <v>526.21121179408442</v>
      </c>
      <c r="DA246" s="176" t="s">
        <v>953</v>
      </c>
    </row>
    <row r="247" spans="1:105" ht="11.45" customHeight="1" x14ac:dyDescent="0.25">
      <c r="A247" s="128" t="s">
        <v>27</v>
      </c>
      <c r="B247" s="101">
        <v>689.37870217821023</v>
      </c>
      <c r="C247" s="101">
        <v>685.7205109896139</v>
      </c>
      <c r="D247" s="101">
        <v>681.67861703793653</v>
      </c>
      <c r="E247" s="101">
        <v>676.64570672712125</v>
      </c>
      <c r="F247" s="101">
        <v>670.63456877706244</v>
      </c>
      <c r="G247" s="101">
        <v>663.66036979004184</v>
      </c>
      <c r="H247" s="101">
        <v>655.74055967221875</v>
      </c>
      <c r="I247" s="101">
        <v>646.89476414996409</v>
      </c>
      <c r="J247" s="101">
        <v>637.14466559452183</v>
      </c>
      <c r="K247" s="101">
        <v>626.51387346296997</v>
      </c>
      <c r="L247" s="101">
        <v>615.02778578247751</v>
      </c>
      <c r="M247" s="101">
        <v>602.71344312707447</v>
      </c>
      <c r="N247" s="101">
        <v>589.59937659230081</v>
      </c>
      <c r="O247" s="101">
        <v>575.71545129070955</v>
      </c>
      <c r="P247" s="101">
        <v>561.09270685538149</v>
      </c>
      <c r="Q247" s="101">
        <v>545.76319643884187</v>
      </c>
      <c r="R247" s="101">
        <v>538.77398592472787</v>
      </c>
      <c r="S247" s="101">
        <v>533.88153856484814</v>
      </c>
      <c r="T247" s="101">
        <v>528.74446883697431</v>
      </c>
      <c r="U247" s="101">
        <v>522.46582805846185</v>
      </c>
      <c r="V247" s="101">
        <v>501.62800844300557</v>
      </c>
      <c r="W247" s="101">
        <v>499.84946943368016</v>
      </c>
      <c r="X247" s="101">
        <v>497.09561168132132</v>
      </c>
      <c r="Y247" s="101">
        <v>492.1246555645082</v>
      </c>
      <c r="DA247" s="175" t="s">
        <v>954</v>
      </c>
    </row>
    <row r="248" spans="1:105" ht="11.45" customHeight="1" x14ac:dyDescent="0.25">
      <c r="A248" s="138" t="s">
        <v>116</v>
      </c>
      <c r="B248" s="88">
        <v>0</v>
      </c>
      <c r="C248" s="88">
        <v>0</v>
      </c>
      <c r="D248" s="88">
        <v>0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  <c r="X248" s="88">
        <v>0</v>
      </c>
      <c r="Y248" s="88">
        <v>0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0</v>
      </c>
      <c r="C4" s="28">
        <f t="shared" ref="C4:V4" si="1">SUM(C5,C6,C9)</f>
        <v>0</v>
      </c>
      <c r="D4" s="28">
        <f t="shared" si="1"/>
        <v>0</v>
      </c>
      <c r="E4" s="28">
        <f t="shared" si="1"/>
        <v>0</v>
      </c>
      <c r="F4" s="28">
        <f t="shared" si="1"/>
        <v>0</v>
      </c>
      <c r="G4" s="28">
        <f t="shared" si="1"/>
        <v>0</v>
      </c>
      <c r="H4" s="28">
        <f t="shared" si="1"/>
        <v>0</v>
      </c>
      <c r="I4" s="28">
        <f t="shared" si="1"/>
        <v>0</v>
      </c>
      <c r="J4" s="28">
        <f t="shared" si="1"/>
        <v>0</v>
      </c>
      <c r="K4" s="28">
        <f t="shared" si="1"/>
        <v>0</v>
      </c>
      <c r="L4" s="28">
        <f t="shared" si="1"/>
        <v>0</v>
      </c>
      <c r="M4" s="28">
        <f t="shared" si="1"/>
        <v>0</v>
      </c>
      <c r="N4" s="28">
        <f t="shared" si="1"/>
        <v>0</v>
      </c>
      <c r="O4" s="28">
        <f t="shared" si="1"/>
        <v>0</v>
      </c>
      <c r="P4" s="28">
        <f t="shared" si="1"/>
        <v>0</v>
      </c>
      <c r="Q4" s="28">
        <f t="shared" si="1"/>
        <v>0</v>
      </c>
      <c r="R4" s="28">
        <f t="shared" si="1"/>
        <v>0</v>
      </c>
      <c r="S4" s="28">
        <f t="shared" si="1"/>
        <v>0</v>
      </c>
      <c r="T4" s="28">
        <f t="shared" si="1"/>
        <v>0</v>
      </c>
      <c r="U4" s="28">
        <f t="shared" si="1"/>
        <v>0</v>
      </c>
      <c r="V4" s="28">
        <f t="shared" si="1"/>
        <v>0</v>
      </c>
      <c r="W4" s="28">
        <f t="shared" ref="W4:Y4" si="2">SUM(W5,W6,W9)</f>
        <v>0</v>
      </c>
      <c r="X4" s="28">
        <f t="shared" si="2"/>
        <v>0</v>
      </c>
      <c r="Y4" s="28">
        <f t="shared" si="2"/>
        <v>0</v>
      </c>
      <c r="DA4" s="173" t="s">
        <v>376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0</v>
      </c>
      <c r="G5" s="108">
        <v>0</v>
      </c>
      <c r="H5" s="108">
        <v>0</v>
      </c>
      <c r="I5" s="108">
        <v>0</v>
      </c>
      <c r="J5" s="108">
        <v>0</v>
      </c>
      <c r="K5" s="108">
        <v>0</v>
      </c>
      <c r="L5" s="108">
        <v>0</v>
      </c>
      <c r="M5" s="108">
        <v>0</v>
      </c>
      <c r="N5" s="108">
        <v>0</v>
      </c>
      <c r="O5" s="108">
        <v>0</v>
      </c>
      <c r="P5" s="108">
        <v>0</v>
      </c>
      <c r="Q5" s="108">
        <v>0</v>
      </c>
      <c r="R5" s="108">
        <v>0</v>
      </c>
      <c r="S5" s="108">
        <v>0</v>
      </c>
      <c r="T5" s="108">
        <v>0</v>
      </c>
      <c r="U5" s="108">
        <v>0</v>
      </c>
      <c r="V5" s="108">
        <v>0</v>
      </c>
      <c r="W5" s="108">
        <v>0</v>
      </c>
      <c r="X5" s="108">
        <v>0</v>
      </c>
      <c r="Y5" s="108">
        <v>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0</v>
      </c>
      <c r="C6" s="110">
        <f t="shared" ref="C6:V6" si="4">SUM(C7:C8)</f>
        <v>0</v>
      </c>
      <c r="D6" s="110">
        <f t="shared" si="4"/>
        <v>0</v>
      </c>
      <c r="E6" s="110">
        <f t="shared" si="4"/>
        <v>0</v>
      </c>
      <c r="F6" s="110">
        <f t="shared" si="4"/>
        <v>0</v>
      </c>
      <c r="G6" s="110">
        <f t="shared" si="4"/>
        <v>0</v>
      </c>
      <c r="H6" s="110">
        <f t="shared" si="4"/>
        <v>0</v>
      </c>
      <c r="I6" s="110">
        <f t="shared" si="4"/>
        <v>0</v>
      </c>
      <c r="J6" s="110">
        <f t="shared" si="4"/>
        <v>0</v>
      </c>
      <c r="K6" s="110">
        <f t="shared" si="4"/>
        <v>0</v>
      </c>
      <c r="L6" s="110">
        <f t="shared" si="4"/>
        <v>0</v>
      </c>
      <c r="M6" s="110">
        <f t="shared" si="4"/>
        <v>0</v>
      </c>
      <c r="N6" s="110">
        <f t="shared" si="4"/>
        <v>0</v>
      </c>
      <c r="O6" s="110">
        <f t="shared" si="4"/>
        <v>0</v>
      </c>
      <c r="P6" s="110">
        <f t="shared" si="4"/>
        <v>0</v>
      </c>
      <c r="Q6" s="110">
        <f t="shared" si="4"/>
        <v>0</v>
      </c>
      <c r="R6" s="110">
        <f t="shared" si="4"/>
        <v>0</v>
      </c>
      <c r="S6" s="110">
        <f t="shared" si="4"/>
        <v>0</v>
      </c>
      <c r="T6" s="110">
        <f t="shared" si="4"/>
        <v>0</v>
      </c>
      <c r="U6" s="110">
        <f t="shared" si="4"/>
        <v>0</v>
      </c>
      <c r="V6" s="110">
        <f t="shared" si="4"/>
        <v>0</v>
      </c>
      <c r="W6" s="110">
        <f t="shared" ref="W6:Y6" si="5">SUM(W7:W8)</f>
        <v>0</v>
      </c>
      <c r="X6" s="110">
        <f t="shared" si="5"/>
        <v>0</v>
      </c>
      <c r="Y6" s="110">
        <f t="shared" si="5"/>
        <v>0</v>
      </c>
      <c r="DA6" s="176" t="s">
        <v>378</v>
      </c>
    </row>
    <row r="7" spans="1:105" ht="11.45" customHeight="1" x14ac:dyDescent="0.25">
      <c r="A7" s="111" t="s">
        <v>90</v>
      </c>
      <c r="B7" s="84">
        <v>0</v>
      </c>
      <c r="C7" s="84">
        <v>0</v>
      </c>
      <c r="D7" s="84">
        <v>0</v>
      </c>
      <c r="E7" s="84">
        <v>0</v>
      </c>
      <c r="F7" s="84">
        <v>0</v>
      </c>
      <c r="G7" s="84">
        <v>0</v>
      </c>
      <c r="H7" s="84">
        <v>0</v>
      </c>
      <c r="I7" s="84">
        <v>0</v>
      </c>
      <c r="J7" s="84">
        <v>0</v>
      </c>
      <c r="K7" s="84">
        <v>0</v>
      </c>
      <c r="L7" s="84">
        <v>0</v>
      </c>
      <c r="M7" s="84">
        <v>0</v>
      </c>
      <c r="N7" s="84">
        <v>0</v>
      </c>
      <c r="O7" s="84">
        <v>0</v>
      </c>
      <c r="P7" s="84">
        <v>0</v>
      </c>
      <c r="Q7" s="84">
        <v>0</v>
      </c>
      <c r="R7" s="84">
        <v>0</v>
      </c>
      <c r="S7" s="84">
        <v>0</v>
      </c>
      <c r="T7" s="84">
        <v>0</v>
      </c>
      <c r="U7" s="84">
        <v>0</v>
      </c>
      <c r="V7" s="84">
        <v>0</v>
      </c>
      <c r="W7" s="84">
        <v>0</v>
      </c>
      <c r="X7" s="84">
        <v>0</v>
      </c>
      <c r="Y7" s="84">
        <v>0</v>
      </c>
      <c r="DA7" s="171" t="s">
        <v>1031</v>
      </c>
    </row>
    <row r="8" spans="1:105" ht="11.45" customHeight="1" x14ac:dyDescent="0.25">
      <c r="A8" s="111" t="s">
        <v>93</v>
      </c>
      <c r="B8" s="84">
        <v>0</v>
      </c>
      <c r="C8" s="84">
        <v>0</v>
      </c>
      <c r="D8" s="84">
        <v>0</v>
      </c>
      <c r="E8" s="84">
        <v>0</v>
      </c>
      <c r="F8" s="84">
        <v>0</v>
      </c>
      <c r="G8" s="84">
        <v>0</v>
      </c>
      <c r="H8" s="84">
        <v>0</v>
      </c>
      <c r="I8" s="84">
        <v>0</v>
      </c>
      <c r="J8" s="84">
        <v>0</v>
      </c>
      <c r="K8" s="84">
        <v>0</v>
      </c>
      <c r="L8" s="84">
        <v>0</v>
      </c>
      <c r="M8" s="84">
        <v>0</v>
      </c>
      <c r="N8" s="84">
        <v>0</v>
      </c>
      <c r="O8" s="84">
        <v>0</v>
      </c>
      <c r="P8" s="84">
        <v>0</v>
      </c>
      <c r="Q8" s="84">
        <v>0</v>
      </c>
      <c r="R8" s="84">
        <v>0</v>
      </c>
      <c r="S8" s="84">
        <v>0</v>
      </c>
      <c r="T8" s="84">
        <v>0</v>
      </c>
      <c r="U8" s="84">
        <v>0</v>
      </c>
      <c r="V8" s="84">
        <v>0</v>
      </c>
      <c r="W8" s="84">
        <v>0</v>
      </c>
      <c r="X8" s="84">
        <v>0</v>
      </c>
      <c r="Y8" s="84">
        <v>0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0</v>
      </c>
      <c r="C10" s="28">
        <f t="shared" ref="C10:V10" si="7">SUM(C11:C12)</f>
        <v>0</v>
      </c>
      <c r="D10" s="28">
        <f t="shared" si="7"/>
        <v>0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8">
        <f t="shared" si="7"/>
        <v>0</v>
      </c>
      <c r="J10" s="28">
        <f t="shared" si="7"/>
        <v>0</v>
      </c>
      <c r="K10" s="28">
        <f t="shared" si="7"/>
        <v>0</v>
      </c>
      <c r="L10" s="28">
        <f t="shared" si="7"/>
        <v>0</v>
      </c>
      <c r="M10" s="28">
        <f t="shared" si="7"/>
        <v>0</v>
      </c>
      <c r="N10" s="28">
        <f t="shared" si="7"/>
        <v>0</v>
      </c>
      <c r="O10" s="28">
        <f t="shared" si="7"/>
        <v>0</v>
      </c>
      <c r="P10" s="28">
        <f t="shared" si="7"/>
        <v>0</v>
      </c>
      <c r="Q10" s="28">
        <f t="shared" si="7"/>
        <v>0</v>
      </c>
      <c r="R10" s="28">
        <f t="shared" si="7"/>
        <v>0</v>
      </c>
      <c r="S10" s="28">
        <f t="shared" si="7"/>
        <v>0</v>
      </c>
      <c r="T10" s="28">
        <f t="shared" si="7"/>
        <v>0</v>
      </c>
      <c r="U10" s="28">
        <f t="shared" si="7"/>
        <v>0</v>
      </c>
      <c r="V10" s="28">
        <f t="shared" si="7"/>
        <v>0</v>
      </c>
      <c r="W10" s="28">
        <f t="shared" ref="W10:Y10" si="8">SUM(W11:W12)</f>
        <v>0</v>
      </c>
      <c r="X10" s="28">
        <f t="shared" si="8"/>
        <v>0</v>
      </c>
      <c r="Y10" s="28">
        <f t="shared" si="8"/>
        <v>0</v>
      </c>
      <c r="DA10" s="173" t="s">
        <v>384</v>
      </c>
    </row>
    <row r="11" spans="1:105" ht="11.45" customHeight="1" x14ac:dyDescent="0.25">
      <c r="A11" s="83" t="s">
        <v>90</v>
      </c>
      <c r="B11" s="84">
        <v>0</v>
      </c>
      <c r="C11" s="84">
        <v>0</v>
      </c>
      <c r="D11" s="84">
        <v>0</v>
      </c>
      <c r="E11" s="84">
        <v>0</v>
      </c>
      <c r="F11" s="84">
        <v>0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0</v>
      </c>
      <c r="O11" s="84">
        <v>0</v>
      </c>
      <c r="P11" s="84">
        <v>0</v>
      </c>
      <c r="Q11" s="84">
        <v>0</v>
      </c>
      <c r="R11" s="84">
        <v>0</v>
      </c>
      <c r="S11" s="84">
        <v>0</v>
      </c>
      <c r="T11" s="84">
        <v>0</v>
      </c>
      <c r="U11" s="84">
        <v>0</v>
      </c>
      <c r="V11" s="84">
        <v>0</v>
      </c>
      <c r="W11" s="84">
        <v>0</v>
      </c>
      <c r="X11" s="84">
        <v>0</v>
      </c>
      <c r="Y11" s="84">
        <v>0</v>
      </c>
      <c r="DA11" s="171" t="s">
        <v>1033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0</v>
      </c>
      <c r="C14" s="62">
        <f t="shared" ref="C14:V14" si="10">C15+C21</f>
        <v>0</v>
      </c>
      <c r="D14" s="62">
        <f t="shared" si="10"/>
        <v>0</v>
      </c>
      <c r="E14" s="62">
        <f t="shared" si="10"/>
        <v>0</v>
      </c>
      <c r="F14" s="62">
        <f t="shared" si="10"/>
        <v>0</v>
      </c>
      <c r="G14" s="62">
        <f t="shared" si="10"/>
        <v>0</v>
      </c>
      <c r="H14" s="62">
        <f t="shared" si="10"/>
        <v>0</v>
      </c>
      <c r="I14" s="62">
        <f t="shared" si="10"/>
        <v>0</v>
      </c>
      <c r="J14" s="62">
        <f t="shared" si="10"/>
        <v>0</v>
      </c>
      <c r="K14" s="62">
        <f t="shared" si="10"/>
        <v>0</v>
      </c>
      <c r="L14" s="62">
        <f t="shared" si="10"/>
        <v>0</v>
      </c>
      <c r="M14" s="62">
        <f t="shared" si="10"/>
        <v>0</v>
      </c>
      <c r="N14" s="62">
        <f t="shared" si="10"/>
        <v>0</v>
      </c>
      <c r="O14" s="62">
        <f t="shared" si="10"/>
        <v>0</v>
      </c>
      <c r="P14" s="62">
        <f t="shared" si="10"/>
        <v>0</v>
      </c>
      <c r="Q14" s="62">
        <f t="shared" si="10"/>
        <v>0</v>
      </c>
      <c r="R14" s="62">
        <f t="shared" si="10"/>
        <v>0</v>
      </c>
      <c r="S14" s="62">
        <f t="shared" si="10"/>
        <v>0</v>
      </c>
      <c r="T14" s="62">
        <f t="shared" si="10"/>
        <v>0</v>
      </c>
      <c r="U14" s="62">
        <f t="shared" si="10"/>
        <v>0</v>
      </c>
      <c r="V14" s="62">
        <f t="shared" si="10"/>
        <v>0</v>
      </c>
      <c r="W14" s="62">
        <f t="shared" ref="W14:Y14" si="11">W15+W21</f>
        <v>0</v>
      </c>
      <c r="X14" s="62">
        <f t="shared" si="11"/>
        <v>0</v>
      </c>
      <c r="Y14" s="62">
        <f t="shared" si="11"/>
        <v>0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0</v>
      </c>
      <c r="C15" s="29">
        <f t="shared" ref="C15:V15" si="13">SUM(C16,C17,C20)</f>
        <v>0</v>
      </c>
      <c r="D15" s="29">
        <f t="shared" si="13"/>
        <v>0</v>
      </c>
      <c r="E15" s="29">
        <f t="shared" si="13"/>
        <v>0</v>
      </c>
      <c r="F15" s="29">
        <f t="shared" si="13"/>
        <v>0</v>
      </c>
      <c r="G15" s="29">
        <f t="shared" si="13"/>
        <v>0</v>
      </c>
      <c r="H15" s="29">
        <f t="shared" si="13"/>
        <v>0</v>
      </c>
      <c r="I15" s="29">
        <f t="shared" si="13"/>
        <v>0</v>
      </c>
      <c r="J15" s="29">
        <f t="shared" si="13"/>
        <v>0</v>
      </c>
      <c r="K15" s="29">
        <f t="shared" si="13"/>
        <v>0</v>
      </c>
      <c r="L15" s="29">
        <f t="shared" si="13"/>
        <v>0</v>
      </c>
      <c r="M15" s="29">
        <f t="shared" si="13"/>
        <v>0</v>
      </c>
      <c r="N15" s="29">
        <f t="shared" si="13"/>
        <v>0</v>
      </c>
      <c r="O15" s="29">
        <f t="shared" si="13"/>
        <v>0</v>
      </c>
      <c r="P15" s="29">
        <f t="shared" si="13"/>
        <v>0</v>
      </c>
      <c r="Q15" s="29">
        <f t="shared" si="13"/>
        <v>0</v>
      </c>
      <c r="R15" s="29">
        <f t="shared" si="13"/>
        <v>0</v>
      </c>
      <c r="S15" s="29">
        <f t="shared" si="13"/>
        <v>0</v>
      </c>
      <c r="T15" s="29">
        <f t="shared" si="13"/>
        <v>0</v>
      </c>
      <c r="U15" s="29">
        <f t="shared" si="13"/>
        <v>0</v>
      </c>
      <c r="V15" s="29">
        <f t="shared" si="13"/>
        <v>0</v>
      </c>
      <c r="W15" s="29">
        <f t="shared" ref="W15:Y15" si="14">SUM(W16,W17,W20)</f>
        <v>0</v>
      </c>
      <c r="X15" s="29">
        <f t="shared" si="14"/>
        <v>0</v>
      </c>
      <c r="Y15" s="29">
        <f t="shared" si="14"/>
        <v>0</v>
      </c>
      <c r="DA15" s="173" t="s">
        <v>1036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  <c r="N16" s="115">
        <v>0</v>
      </c>
      <c r="O16" s="115">
        <v>0</v>
      </c>
      <c r="P16" s="115">
        <v>0</v>
      </c>
      <c r="Q16" s="115">
        <v>0</v>
      </c>
      <c r="R16" s="115">
        <v>0</v>
      </c>
      <c r="S16" s="115">
        <v>0</v>
      </c>
      <c r="T16" s="115">
        <v>0</v>
      </c>
      <c r="U16" s="115">
        <v>0</v>
      </c>
      <c r="V16" s="115">
        <v>0</v>
      </c>
      <c r="W16" s="115">
        <v>0</v>
      </c>
      <c r="X16" s="115">
        <v>0</v>
      </c>
      <c r="Y16" s="115">
        <v>0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0</v>
      </c>
      <c r="C17" s="116">
        <f t="shared" ref="C17:V17" si="16">SUM(C18:C19)</f>
        <v>0</v>
      </c>
      <c r="D17" s="116">
        <f t="shared" si="16"/>
        <v>0</v>
      </c>
      <c r="E17" s="116">
        <f t="shared" si="16"/>
        <v>0</v>
      </c>
      <c r="F17" s="116">
        <f t="shared" si="16"/>
        <v>0</v>
      </c>
      <c r="G17" s="116">
        <f t="shared" si="16"/>
        <v>0</v>
      </c>
      <c r="H17" s="116">
        <f t="shared" si="16"/>
        <v>0</v>
      </c>
      <c r="I17" s="116">
        <f t="shared" si="16"/>
        <v>0</v>
      </c>
      <c r="J17" s="116">
        <f t="shared" si="16"/>
        <v>0</v>
      </c>
      <c r="K17" s="116">
        <f t="shared" si="16"/>
        <v>0</v>
      </c>
      <c r="L17" s="116">
        <f t="shared" si="16"/>
        <v>0</v>
      </c>
      <c r="M17" s="116">
        <f t="shared" si="16"/>
        <v>0</v>
      </c>
      <c r="N17" s="116">
        <f t="shared" si="16"/>
        <v>0</v>
      </c>
      <c r="O17" s="116">
        <f t="shared" si="16"/>
        <v>0</v>
      </c>
      <c r="P17" s="116">
        <f t="shared" si="16"/>
        <v>0</v>
      </c>
      <c r="Q17" s="116">
        <f t="shared" si="16"/>
        <v>0</v>
      </c>
      <c r="R17" s="116">
        <f t="shared" si="16"/>
        <v>0</v>
      </c>
      <c r="S17" s="116">
        <f t="shared" si="16"/>
        <v>0</v>
      </c>
      <c r="T17" s="116">
        <f t="shared" si="16"/>
        <v>0</v>
      </c>
      <c r="U17" s="116">
        <f t="shared" si="16"/>
        <v>0</v>
      </c>
      <c r="V17" s="116">
        <f t="shared" si="16"/>
        <v>0</v>
      </c>
      <c r="W17" s="116">
        <f t="shared" ref="W17:Y17" si="17">SUM(W18:W19)</f>
        <v>0</v>
      </c>
      <c r="X17" s="116">
        <f t="shared" si="17"/>
        <v>0</v>
      </c>
      <c r="Y17" s="116">
        <f t="shared" si="17"/>
        <v>0</v>
      </c>
      <c r="DA17" s="176" t="s">
        <v>1038</v>
      </c>
    </row>
    <row r="18" spans="1:105" ht="11.45" customHeight="1" x14ac:dyDescent="0.25">
      <c r="A18" s="111" t="s">
        <v>92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1039</v>
      </c>
    </row>
    <row r="19" spans="1:105" ht="11.45" customHeight="1" x14ac:dyDescent="0.25">
      <c r="A19" s="111" t="s">
        <v>93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0</v>
      </c>
      <c r="C21" s="29">
        <f t="shared" ref="C21:V21" si="19">SUM(C22:C23)</f>
        <v>0</v>
      </c>
      <c r="D21" s="29">
        <f t="shared" si="19"/>
        <v>0</v>
      </c>
      <c r="E21" s="29">
        <f t="shared" si="19"/>
        <v>0</v>
      </c>
      <c r="F21" s="29">
        <f t="shared" si="19"/>
        <v>0</v>
      </c>
      <c r="G21" s="29">
        <f t="shared" si="19"/>
        <v>0</v>
      </c>
      <c r="H21" s="29">
        <f t="shared" si="19"/>
        <v>0</v>
      </c>
      <c r="I21" s="29">
        <f t="shared" si="19"/>
        <v>0</v>
      </c>
      <c r="J21" s="29">
        <f t="shared" si="19"/>
        <v>0</v>
      </c>
      <c r="K21" s="29">
        <f t="shared" si="19"/>
        <v>0</v>
      </c>
      <c r="L21" s="29">
        <f t="shared" si="19"/>
        <v>0</v>
      </c>
      <c r="M21" s="29">
        <f t="shared" si="19"/>
        <v>0</v>
      </c>
      <c r="N21" s="29">
        <f t="shared" si="19"/>
        <v>0</v>
      </c>
      <c r="O21" s="29">
        <f t="shared" si="19"/>
        <v>0</v>
      </c>
      <c r="P21" s="29">
        <f t="shared" si="19"/>
        <v>0</v>
      </c>
      <c r="Q21" s="29">
        <f t="shared" si="19"/>
        <v>0</v>
      </c>
      <c r="R21" s="29">
        <f t="shared" si="19"/>
        <v>0</v>
      </c>
      <c r="S21" s="29">
        <f t="shared" si="19"/>
        <v>0</v>
      </c>
      <c r="T21" s="29">
        <f t="shared" si="19"/>
        <v>0</v>
      </c>
      <c r="U21" s="29">
        <f t="shared" si="19"/>
        <v>0</v>
      </c>
      <c r="V21" s="29">
        <f t="shared" si="19"/>
        <v>0</v>
      </c>
      <c r="W21" s="29">
        <f t="shared" ref="W21:Y21" si="20">SUM(W22:W23)</f>
        <v>0</v>
      </c>
      <c r="X21" s="29">
        <f t="shared" si="20"/>
        <v>0</v>
      </c>
      <c r="Y21" s="29">
        <f t="shared" si="20"/>
        <v>0</v>
      </c>
      <c r="DA21" s="173" t="s">
        <v>1042</v>
      </c>
    </row>
    <row r="22" spans="1:105" ht="11.45" customHeight="1" x14ac:dyDescent="0.25">
      <c r="A22" s="83" t="s">
        <v>92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DA22" s="171" t="s">
        <v>1043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0</v>
      </c>
      <c r="C25" s="62">
        <f t="shared" ref="C25:V25" si="22">C26+C32</f>
        <v>0</v>
      </c>
      <c r="D25" s="62">
        <f t="shared" si="22"/>
        <v>0</v>
      </c>
      <c r="E25" s="62">
        <f t="shared" si="22"/>
        <v>0</v>
      </c>
      <c r="F25" s="62">
        <f t="shared" si="22"/>
        <v>0</v>
      </c>
      <c r="G25" s="62">
        <f t="shared" si="22"/>
        <v>0</v>
      </c>
      <c r="H25" s="62">
        <f t="shared" si="22"/>
        <v>0</v>
      </c>
      <c r="I25" s="62">
        <f t="shared" si="22"/>
        <v>0</v>
      </c>
      <c r="J25" s="62">
        <f t="shared" si="22"/>
        <v>0</v>
      </c>
      <c r="K25" s="62">
        <f t="shared" si="22"/>
        <v>0</v>
      </c>
      <c r="L25" s="62">
        <f t="shared" si="22"/>
        <v>0</v>
      </c>
      <c r="M25" s="62">
        <f t="shared" si="22"/>
        <v>0</v>
      </c>
      <c r="N25" s="62">
        <f t="shared" si="22"/>
        <v>0</v>
      </c>
      <c r="O25" s="62">
        <f t="shared" si="22"/>
        <v>0</v>
      </c>
      <c r="P25" s="62">
        <f t="shared" si="22"/>
        <v>0</v>
      </c>
      <c r="Q25" s="62">
        <f t="shared" si="22"/>
        <v>0</v>
      </c>
      <c r="R25" s="62">
        <f t="shared" si="22"/>
        <v>0</v>
      </c>
      <c r="S25" s="62">
        <f t="shared" si="22"/>
        <v>0</v>
      </c>
      <c r="T25" s="62">
        <f t="shared" si="22"/>
        <v>0</v>
      </c>
      <c r="U25" s="62">
        <f t="shared" si="22"/>
        <v>0</v>
      </c>
      <c r="V25" s="62">
        <f t="shared" si="22"/>
        <v>0</v>
      </c>
      <c r="W25" s="62">
        <f t="shared" ref="W25:Y25" si="23">W26+W32</f>
        <v>0</v>
      </c>
      <c r="X25" s="62">
        <f t="shared" si="23"/>
        <v>0</v>
      </c>
      <c r="Y25" s="62">
        <f t="shared" si="23"/>
        <v>0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0</v>
      </c>
      <c r="C26" s="29">
        <f t="shared" ref="C26:V26" si="25">SUM(C27,C28,C31)</f>
        <v>0</v>
      </c>
      <c r="D26" s="29">
        <f t="shared" si="25"/>
        <v>0</v>
      </c>
      <c r="E26" s="29">
        <f t="shared" si="25"/>
        <v>0</v>
      </c>
      <c r="F26" s="29">
        <f t="shared" si="25"/>
        <v>0</v>
      </c>
      <c r="G26" s="29">
        <f t="shared" si="25"/>
        <v>0</v>
      </c>
      <c r="H26" s="29">
        <f t="shared" si="25"/>
        <v>0</v>
      </c>
      <c r="I26" s="29">
        <f t="shared" si="25"/>
        <v>0</v>
      </c>
      <c r="J26" s="29">
        <f t="shared" si="25"/>
        <v>0</v>
      </c>
      <c r="K26" s="29">
        <f t="shared" si="25"/>
        <v>0</v>
      </c>
      <c r="L26" s="29">
        <f t="shared" si="25"/>
        <v>0</v>
      </c>
      <c r="M26" s="29">
        <f t="shared" si="25"/>
        <v>0</v>
      </c>
      <c r="N26" s="29">
        <f t="shared" si="25"/>
        <v>0</v>
      </c>
      <c r="O26" s="29">
        <f t="shared" si="25"/>
        <v>0</v>
      </c>
      <c r="P26" s="29">
        <f t="shared" si="25"/>
        <v>0</v>
      </c>
      <c r="Q26" s="29">
        <f t="shared" si="25"/>
        <v>0</v>
      </c>
      <c r="R26" s="29">
        <f t="shared" si="25"/>
        <v>0</v>
      </c>
      <c r="S26" s="29">
        <f t="shared" si="25"/>
        <v>0</v>
      </c>
      <c r="T26" s="29">
        <f t="shared" si="25"/>
        <v>0</v>
      </c>
      <c r="U26" s="29">
        <f t="shared" si="25"/>
        <v>0</v>
      </c>
      <c r="V26" s="29">
        <f t="shared" si="25"/>
        <v>0</v>
      </c>
      <c r="W26" s="29">
        <f t="shared" ref="W26:Y26" si="26">SUM(W27,W28,W31)</f>
        <v>0</v>
      </c>
      <c r="X26" s="29">
        <f t="shared" si="26"/>
        <v>0</v>
      </c>
      <c r="Y26" s="29">
        <f t="shared" si="26"/>
        <v>0</v>
      </c>
      <c r="DA26" s="173" t="s">
        <v>1046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0</v>
      </c>
      <c r="G27" s="115">
        <v>0</v>
      </c>
      <c r="H27" s="115">
        <v>0</v>
      </c>
      <c r="I27" s="115">
        <v>0</v>
      </c>
      <c r="J27" s="115">
        <v>0</v>
      </c>
      <c r="K27" s="115">
        <v>0</v>
      </c>
      <c r="L27" s="115">
        <v>0</v>
      </c>
      <c r="M27" s="115">
        <v>0</v>
      </c>
      <c r="N27" s="115">
        <v>0</v>
      </c>
      <c r="O27" s="115">
        <v>0</v>
      </c>
      <c r="P27" s="115">
        <v>0</v>
      </c>
      <c r="Q27" s="115">
        <v>0</v>
      </c>
      <c r="R27" s="115">
        <v>0</v>
      </c>
      <c r="S27" s="115">
        <v>0</v>
      </c>
      <c r="T27" s="115">
        <v>0</v>
      </c>
      <c r="U27" s="115">
        <v>0</v>
      </c>
      <c r="V27" s="115">
        <v>0</v>
      </c>
      <c r="W27" s="115">
        <v>0</v>
      </c>
      <c r="X27" s="115">
        <v>0</v>
      </c>
      <c r="Y27" s="115">
        <v>0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0</v>
      </c>
      <c r="C28" s="116">
        <f t="shared" ref="C28:V28" si="28">SUM(C29:C30)</f>
        <v>0</v>
      </c>
      <c r="D28" s="116">
        <f t="shared" si="28"/>
        <v>0</v>
      </c>
      <c r="E28" s="116">
        <f t="shared" si="28"/>
        <v>0</v>
      </c>
      <c r="F28" s="116">
        <f t="shared" si="28"/>
        <v>0</v>
      </c>
      <c r="G28" s="116">
        <f t="shared" si="28"/>
        <v>0</v>
      </c>
      <c r="H28" s="116">
        <f t="shared" si="28"/>
        <v>0</v>
      </c>
      <c r="I28" s="116">
        <f t="shared" si="28"/>
        <v>0</v>
      </c>
      <c r="J28" s="116">
        <f t="shared" si="28"/>
        <v>0</v>
      </c>
      <c r="K28" s="116">
        <f t="shared" si="28"/>
        <v>0</v>
      </c>
      <c r="L28" s="116">
        <f t="shared" si="28"/>
        <v>0</v>
      </c>
      <c r="M28" s="116">
        <f t="shared" si="28"/>
        <v>0</v>
      </c>
      <c r="N28" s="116">
        <f t="shared" si="28"/>
        <v>0</v>
      </c>
      <c r="O28" s="116">
        <f t="shared" si="28"/>
        <v>0</v>
      </c>
      <c r="P28" s="116">
        <f t="shared" si="28"/>
        <v>0</v>
      </c>
      <c r="Q28" s="116">
        <f t="shared" si="28"/>
        <v>0</v>
      </c>
      <c r="R28" s="116">
        <f t="shared" si="28"/>
        <v>0</v>
      </c>
      <c r="S28" s="116">
        <f t="shared" si="28"/>
        <v>0</v>
      </c>
      <c r="T28" s="116">
        <f t="shared" si="28"/>
        <v>0</v>
      </c>
      <c r="U28" s="116">
        <f t="shared" si="28"/>
        <v>0</v>
      </c>
      <c r="V28" s="116">
        <f t="shared" si="28"/>
        <v>0</v>
      </c>
      <c r="W28" s="116">
        <f t="shared" ref="W28:Y28" si="29">SUM(W29:W30)</f>
        <v>0</v>
      </c>
      <c r="X28" s="116">
        <f t="shared" si="29"/>
        <v>0</v>
      </c>
      <c r="Y28" s="116">
        <f t="shared" si="29"/>
        <v>0</v>
      </c>
      <c r="DA28" s="176" t="s">
        <v>1048</v>
      </c>
    </row>
    <row r="29" spans="1:105" ht="11.45" customHeight="1" x14ac:dyDescent="0.25">
      <c r="A29" s="111" t="s">
        <v>92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DA29" s="171" t="s">
        <v>1049</v>
      </c>
    </row>
    <row r="30" spans="1:105" ht="11.45" customHeight="1" x14ac:dyDescent="0.25">
      <c r="A30" s="111" t="s">
        <v>93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7">
        <v>0</v>
      </c>
      <c r="Y30" s="87">
        <v>0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0</v>
      </c>
      <c r="C32" s="29">
        <f t="shared" ref="C32:V32" si="31">SUM(C33:C34)</f>
        <v>0</v>
      </c>
      <c r="D32" s="29">
        <f t="shared" si="31"/>
        <v>0</v>
      </c>
      <c r="E32" s="29">
        <f t="shared" si="31"/>
        <v>0</v>
      </c>
      <c r="F32" s="29">
        <f t="shared" si="31"/>
        <v>0</v>
      </c>
      <c r="G32" s="29">
        <f t="shared" si="31"/>
        <v>0</v>
      </c>
      <c r="H32" s="29">
        <f t="shared" si="31"/>
        <v>0</v>
      </c>
      <c r="I32" s="29">
        <f t="shared" si="31"/>
        <v>0</v>
      </c>
      <c r="J32" s="29">
        <f t="shared" si="31"/>
        <v>0</v>
      </c>
      <c r="K32" s="29">
        <f t="shared" si="31"/>
        <v>0</v>
      </c>
      <c r="L32" s="29">
        <f t="shared" si="31"/>
        <v>0</v>
      </c>
      <c r="M32" s="29">
        <f t="shared" si="31"/>
        <v>0</v>
      </c>
      <c r="N32" s="29">
        <f t="shared" si="31"/>
        <v>0</v>
      </c>
      <c r="O32" s="29">
        <f t="shared" si="31"/>
        <v>0</v>
      </c>
      <c r="P32" s="29">
        <f t="shared" si="31"/>
        <v>0</v>
      </c>
      <c r="Q32" s="29">
        <f t="shared" si="31"/>
        <v>0</v>
      </c>
      <c r="R32" s="29">
        <f t="shared" si="31"/>
        <v>0</v>
      </c>
      <c r="S32" s="29">
        <f t="shared" si="31"/>
        <v>0</v>
      </c>
      <c r="T32" s="29">
        <f t="shared" si="31"/>
        <v>0</v>
      </c>
      <c r="U32" s="29">
        <f t="shared" si="31"/>
        <v>0</v>
      </c>
      <c r="V32" s="29">
        <f t="shared" si="31"/>
        <v>0</v>
      </c>
      <c r="W32" s="29">
        <f t="shared" ref="W32:Y32" si="32">SUM(W33:W34)</f>
        <v>0</v>
      </c>
      <c r="X32" s="29">
        <f t="shared" si="32"/>
        <v>0</v>
      </c>
      <c r="Y32" s="29">
        <f t="shared" si="32"/>
        <v>0</v>
      </c>
      <c r="DA32" s="173" t="s">
        <v>1052</v>
      </c>
    </row>
    <row r="33" spans="1:105" ht="11.45" customHeight="1" x14ac:dyDescent="0.25">
      <c r="A33" s="83" t="s">
        <v>92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0</v>
      </c>
      <c r="DA33" s="171" t="s">
        <v>1053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0</v>
      </c>
      <c r="D36" s="54">
        <f t="shared" ref="D36:V36" si="34">D37+D43</f>
        <v>0</v>
      </c>
      <c r="E36" s="54">
        <f t="shared" si="34"/>
        <v>0</v>
      </c>
      <c r="F36" s="54">
        <f t="shared" si="34"/>
        <v>0</v>
      </c>
      <c r="G36" s="54">
        <f t="shared" si="34"/>
        <v>0</v>
      </c>
      <c r="H36" s="54">
        <f t="shared" si="34"/>
        <v>0</v>
      </c>
      <c r="I36" s="54">
        <f t="shared" si="34"/>
        <v>0</v>
      </c>
      <c r="J36" s="54">
        <f t="shared" si="34"/>
        <v>0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0</v>
      </c>
      <c r="O36" s="54">
        <f t="shared" si="34"/>
        <v>0</v>
      </c>
      <c r="P36" s="54">
        <f t="shared" si="34"/>
        <v>0</v>
      </c>
      <c r="Q36" s="54">
        <f t="shared" si="34"/>
        <v>0</v>
      </c>
      <c r="R36" s="54">
        <f t="shared" si="34"/>
        <v>0</v>
      </c>
      <c r="S36" s="54">
        <f t="shared" si="34"/>
        <v>0</v>
      </c>
      <c r="T36" s="54">
        <f t="shared" si="34"/>
        <v>0</v>
      </c>
      <c r="U36" s="54">
        <f t="shared" si="34"/>
        <v>0</v>
      </c>
      <c r="V36" s="54">
        <f t="shared" si="34"/>
        <v>0</v>
      </c>
      <c r="W36" s="54">
        <f t="shared" ref="W36:Y36" si="35">W37+W43</f>
        <v>0</v>
      </c>
      <c r="X36" s="54">
        <f t="shared" si="35"/>
        <v>0</v>
      </c>
      <c r="Y36" s="54">
        <f t="shared" si="35"/>
        <v>0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0</v>
      </c>
      <c r="D37" s="28">
        <f t="shared" ref="D37:V37" si="37">SUM(D38,D39,D42)</f>
        <v>0</v>
      </c>
      <c r="E37" s="28">
        <f t="shared" si="37"/>
        <v>0</v>
      </c>
      <c r="F37" s="28">
        <f t="shared" si="37"/>
        <v>0</v>
      </c>
      <c r="G37" s="28">
        <f t="shared" si="37"/>
        <v>0</v>
      </c>
      <c r="H37" s="28">
        <f t="shared" si="37"/>
        <v>0</v>
      </c>
      <c r="I37" s="28">
        <f t="shared" si="37"/>
        <v>0</v>
      </c>
      <c r="J37" s="28">
        <f t="shared" si="37"/>
        <v>0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0</v>
      </c>
      <c r="O37" s="28">
        <f t="shared" si="37"/>
        <v>0</v>
      </c>
      <c r="P37" s="28">
        <f t="shared" si="37"/>
        <v>0</v>
      </c>
      <c r="Q37" s="28">
        <f t="shared" si="37"/>
        <v>0</v>
      </c>
      <c r="R37" s="28">
        <f t="shared" si="37"/>
        <v>0</v>
      </c>
      <c r="S37" s="28">
        <f t="shared" si="37"/>
        <v>0</v>
      </c>
      <c r="T37" s="28">
        <f t="shared" si="37"/>
        <v>0</v>
      </c>
      <c r="U37" s="28">
        <f t="shared" si="37"/>
        <v>0</v>
      </c>
      <c r="V37" s="28">
        <f t="shared" si="37"/>
        <v>0</v>
      </c>
      <c r="W37" s="28">
        <f t="shared" ref="W37:Y37" si="38">SUM(W38,W39,W42)</f>
        <v>0</v>
      </c>
      <c r="X37" s="28">
        <f t="shared" si="38"/>
        <v>0</v>
      </c>
      <c r="Y37" s="28">
        <f t="shared" si="38"/>
        <v>0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0</v>
      </c>
      <c r="E39" s="110">
        <f t="shared" si="40"/>
        <v>0</v>
      </c>
      <c r="F39" s="110">
        <f t="shared" si="40"/>
        <v>0</v>
      </c>
      <c r="G39" s="110">
        <f t="shared" si="40"/>
        <v>0</v>
      </c>
      <c r="H39" s="110">
        <f t="shared" si="40"/>
        <v>0</v>
      </c>
      <c r="I39" s="110">
        <f t="shared" si="40"/>
        <v>0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0</v>
      </c>
      <c r="O39" s="110">
        <f t="shared" si="40"/>
        <v>0</v>
      </c>
      <c r="P39" s="110">
        <f t="shared" si="40"/>
        <v>0</v>
      </c>
      <c r="Q39" s="110">
        <f t="shared" si="40"/>
        <v>0</v>
      </c>
      <c r="R39" s="110">
        <f t="shared" si="40"/>
        <v>0</v>
      </c>
      <c r="S39" s="110">
        <f t="shared" si="40"/>
        <v>0</v>
      </c>
      <c r="T39" s="110">
        <f t="shared" si="40"/>
        <v>0</v>
      </c>
      <c r="U39" s="110">
        <f t="shared" si="40"/>
        <v>0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0</v>
      </c>
      <c r="Y39" s="110">
        <f t="shared" si="41"/>
        <v>0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0</v>
      </c>
      <c r="G40" s="84">
        <v>0</v>
      </c>
      <c r="H40" s="84">
        <v>0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0</v>
      </c>
      <c r="O41" s="84">
        <v>0</v>
      </c>
      <c r="P41" s="84">
        <v>0</v>
      </c>
      <c r="Q41" s="84">
        <v>0</v>
      </c>
      <c r="R41" s="84">
        <v>0</v>
      </c>
      <c r="S41" s="84">
        <v>0</v>
      </c>
      <c r="T41" s="84">
        <v>0</v>
      </c>
      <c r="U41" s="84">
        <v>0</v>
      </c>
      <c r="V41" s="84">
        <v>0</v>
      </c>
      <c r="W41" s="84">
        <v>0</v>
      </c>
      <c r="X41" s="84">
        <v>0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0</v>
      </c>
      <c r="F43" s="28">
        <f t="shared" si="43"/>
        <v>0</v>
      </c>
      <c r="G43" s="28">
        <f t="shared" si="43"/>
        <v>0</v>
      </c>
      <c r="H43" s="28">
        <f t="shared" si="43"/>
        <v>0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0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0</v>
      </c>
      <c r="V43" s="28">
        <f t="shared" si="43"/>
        <v>0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0</v>
      </c>
      <c r="F45" s="86">
        <v>0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0</v>
      </c>
      <c r="C50" s="29">
        <f t="shared" si="45"/>
        <v>0</v>
      </c>
      <c r="D50" s="29">
        <f t="shared" si="45"/>
        <v>0</v>
      </c>
      <c r="E50" s="29">
        <f t="shared" si="45"/>
        <v>0</v>
      </c>
      <c r="F50" s="29">
        <f t="shared" si="45"/>
        <v>0</v>
      </c>
      <c r="G50" s="29">
        <f t="shared" si="45"/>
        <v>0</v>
      </c>
      <c r="H50" s="29">
        <f t="shared" si="45"/>
        <v>0</v>
      </c>
      <c r="I50" s="29">
        <f t="shared" si="45"/>
        <v>0</v>
      </c>
      <c r="J50" s="29">
        <f t="shared" si="45"/>
        <v>0</v>
      </c>
      <c r="K50" s="29">
        <f t="shared" ref="K50:V50" si="46">IF(K4=0,0,K4/K15)</f>
        <v>0</v>
      </c>
      <c r="L50" s="29">
        <f t="shared" si="46"/>
        <v>0</v>
      </c>
      <c r="M50" s="29">
        <f t="shared" si="46"/>
        <v>0</v>
      </c>
      <c r="N50" s="29">
        <f t="shared" si="46"/>
        <v>0</v>
      </c>
      <c r="O50" s="29">
        <f t="shared" si="46"/>
        <v>0</v>
      </c>
      <c r="P50" s="29">
        <f t="shared" si="46"/>
        <v>0</v>
      </c>
      <c r="Q50" s="29">
        <f t="shared" si="46"/>
        <v>0</v>
      </c>
      <c r="R50" s="29">
        <f t="shared" si="46"/>
        <v>0</v>
      </c>
      <c r="S50" s="29">
        <f t="shared" si="46"/>
        <v>0</v>
      </c>
      <c r="T50" s="29">
        <f t="shared" si="46"/>
        <v>0</v>
      </c>
      <c r="U50" s="29">
        <f t="shared" si="46"/>
        <v>0</v>
      </c>
      <c r="V50" s="29">
        <f t="shared" si="46"/>
        <v>0</v>
      </c>
      <c r="W50" s="29">
        <f t="shared" ref="W50:Y50" si="47">IF(W4=0,0,W4/W15)</f>
        <v>0</v>
      </c>
      <c r="X50" s="29">
        <f t="shared" si="47"/>
        <v>0</v>
      </c>
      <c r="Y50" s="29">
        <f t="shared" si="47"/>
        <v>0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0</v>
      </c>
      <c r="G51" s="115">
        <f t="shared" si="48"/>
        <v>0</v>
      </c>
      <c r="H51" s="115">
        <f t="shared" si="48"/>
        <v>0</v>
      </c>
      <c r="I51" s="115">
        <f t="shared" si="48"/>
        <v>0</v>
      </c>
      <c r="J51" s="115">
        <f t="shared" si="48"/>
        <v>0</v>
      </c>
      <c r="K51" s="115">
        <f t="shared" ref="K51:V51" si="49">IF(K5=0,0,K5/K16)</f>
        <v>0</v>
      </c>
      <c r="L51" s="115">
        <f t="shared" si="49"/>
        <v>0</v>
      </c>
      <c r="M51" s="115">
        <f t="shared" si="49"/>
        <v>0</v>
      </c>
      <c r="N51" s="115">
        <f t="shared" si="49"/>
        <v>0</v>
      </c>
      <c r="O51" s="115">
        <f t="shared" si="49"/>
        <v>0</v>
      </c>
      <c r="P51" s="115">
        <f t="shared" si="49"/>
        <v>0</v>
      </c>
      <c r="Q51" s="115">
        <f t="shared" si="49"/>
        <v>0</v>
      </c>
      <c r="R51" s="115">
        <f t="shared" si="49"/>
        <v>0</v>
      </c>
      <c r="S51" s="115">
        <f t="shared" si="49"/>
        <v>0</v>
      </c>
      <c r="T51" s="115">
        <f t="shared" si="49"/>
        <v>0</v>
      </c>
      <c r="U51" s="115">
        <f t="shared" si="49"/>
        <v>0</v>
      </c>
      <c r="V51" s="115">
        <f t="shared" si="49"/>
        <v>0</v>
      </c>
      <c r="W51" s="115">
        <f t="shared" ref="W51:Y51" si="50">IF(W5=0,0,W5/W16)</f>
        <v>0</v>
      </c>
      <c r="X51" s="115">
        <f t="shared" si="50"/>
        <v>0</v>
      </c>
      <c r="Y51" s="115">
        <f t="shared" si="50"/>
        <v>0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0</v>
      </c>
      <c r="C52" s="116">
        <f t="shared" si="51"/>
        <v>0</v>
      </c>
      <c r="D52" s="116">
        <f t="shared" si="51"/>
        <v>0</v>
      </c>
      <c r="E52" s="116">
        <f t="shared" si="51"/>
        <v>0</v>
      </c>
      <c r="F52" s="116">
        <f t="shared" si="51"/>
        <v>0</v>
      </c>
      <c r="G52" s="116">
        <f t="shared" si="51"/>
        <v>0</v>
      </c>
      <c r="H52" s="116">
        <f t="shared" si="51"/>
        <v>0</v>
      </c>
      <c r="I52" s="116">
        <f t="shared" si="51"/>
        <v>0</v>
      </c>
      <c r="J52" s="116">
        <f t="shared" si="51"/>
        <v>0</v>
      </c>
      <c r="K52" s="116">
        <f t="shared" ref="K52:V52" si="52">IF(K6=0,0,K6/K17)</f>
        <v>0</v>
      </c>
      <c r="L52" s="116">
        <f t="shared" si="52"/>
        <v>0</v>
      </c>
      <c r="M52" s="116">
        <f t="shared" si="52"/>
        <v>0</v>
      </c>
      <c r="N52" s="116">
        <f t="shared" si="52"/>
        <v>0</v>
      </c>
      <c r="O52" s="116">
        <f t="shared" si="52"/>
        <v>0</v>
      </c>
      <c r="P52" s="116">
        <f t="shared" si="52"/>
        <v>0</v>
      </c>
      <c r="Q52" s="116">
        <f t="shared" si="52"/>
        <v>0</v>
      </c>
      <c r="R52" s="116">
        <f t="shared" si="52"/>
        <v>0</v>
      </c>
      <c r="S52" s="116">
        <f t="shared" si="52"/>
        <v>0</v>
      </c>
      <c r="T52" s="116">
        <f t="shared" si="52"/>
        <v>0</v>
      </c>
      <c r="U52" s="116">
        <f t="shared" si="52"/>
        <v>0</v>
      </c>
      <c r="V52" s="116">
        <f t="shared" si="52"/>
        <v>0</v>
      </c>
      <c r="W52" s="116">
        <f t="shared" ref="W52:Y52" si="53">IF(W6=0,0,W6/W17)</f>
        <v>0</v>
      </c>
      <c r="X52" s="116">
        <f t="shared" si="53"/>
        <v>0</v>
      </c>
      <c r="Y52" s="116">
        <f t="shared" si="53"/>
        <v>0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0</v>
      </c>
      <c r="C53" s="87">
        <f t="shared" si="54"/>
        <v>0</v>
      </c>
      <c r="D53" s="87">
        <f t="shared" si="54"/>
        <v>0</v>
      </c>
      <c r="E53" s="87">
        <f t="shared" si="54"/>
        <v>0</v>
      </c>
      <c r="F53" s="87">
        <f t="shared" si="54"/>
        <v>0</v>
      </c>
      <c r="G53" s="87">
        <f t="shared" si="54"/>
        <v>0</v>
      </c>
      <c r="H53" s="87">
        <f t="shared" si="54"/>
        <v>0</v>
      </c>
      <c r="I53" s="87">
        <f t="shared" si="54"/>
        <v>0</v>
      </c>
      <c r="J53" s="87">
        <f t="shared" si="54"/>
        <v>0</v>
      </c>
      <c r="K53" s="87">
        <f t="shared" ref="K53:V53" si="55">IF(K7=0,0,K7/K18)</f>
        <v>0</v>
      </c>
      <c r="L53" s="87">
        <f t="shared" si="55"/>
        <v>0</v>
      </c>
      <c r="M53" s="87">
        <f t="shared" si="55"/>
        <v>0</v>
      </c>
      <c r="N53" s="87">
        <f t="shared" si="55"/>
        <v>0</v>
      </c>
      <c r="O53" s="87">
        <f t="shared" si="55"/>
        <v>0</v>
      </c>
      <c r="P53" s="87">
        <f t="shared" si="55"/>
        <v>0</v>
      </c>
      <c r="Q53" s="87">
        <f t="shared" si="55"/>
        <v>0</v>
      </c>
      <c r="R53" s="87">
        <f t="shared" si="55"/>
        <v>0</v>
      </c>
      <c r="S53" s="87">
        <f t="shared" si="55"/>
        <v>0</v>
      </c>
      <c r="T53" s="87">
        <f t="shared" si="55"/>
        <v>0</v>
      </c>
      <c r="U53" s="87">
        <f t="shared" si="55"/>
        <v>0</v>
      </c>
      <c r="V53" s="87">
        <f t="shared" si="55"/>
        <v>0</v>
      </c>
      <c r="W53" s="87">
        <f t="shared" ref="W53:Y53" si="56">IF(W7=0,0,W7/W18)</f>
        <v>0</v>
      </c>
      <c r="X53" s="87">
        <f t="shared" si="56"/>
        <v>0</v>
      </c>
      <c r="Y53" s="87">
        <f t="shared" si="56"/>
        <v>0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0</v>
      </c>
      <c r="C54" s="87">
        <f t="shared" si="57"/>
        <v>0</v>
      </c>
      <c r="D54" s="87">
        <f t="shared" si="57"/>
        <v>0</v>
      </c>
      <c r="E54" s="87">
        <f t="shared" si="57"/>
        <v>0</v>
      </c>
      <c r="F54" s="87">
        <f t="shared" si="57"/>
        <v>0</v>
      </c>
      <c r="G54" s="87">
        <f t="shared" si="57"/>
        <v>0</v>
      </c>
      <c r="H54" s="87">
        <f t="shared" si="57"/>
        <v>0</v>
      </c>
      <c r="I54" s="87">
        <f t="shared" si="57"/>
        <v>0</v>
      </c>
      <c r="J54" s="87">
        <f t="shared" si="57"/>
        <v>0</v>
      </c>
      <c r="K54" s="87">
        <f t="shared" ref="K54:V54" si="58">IF(K8=0,0,K8/K19)</f>
        <v>0</v>
      </c>
      <c r="L54" s="87">
        <f t="shared" si="58"/>
        <v>0</v>
      </c>
      <c r="M54" s="87">
        <f t="shared" si="58"/>
        <v>0</v>
      </c>
      <c r="N54" s="87">
        <f t="shared" si="58"/>
        <v>0</v>
      </c>
      <c r="O54" s="87">
        <f t="shared" si="58"/>
        <v>0</v>
      </c>
      <c r="P54" s="87">
        <f t="shared" si="58"/>
        <v>0</v>
      </c>
      <c r="Q54" s="87">
        <f t="shared" si="58"/>
        <v>0</v>
      </c>
      <c r="R54" s="87">
        <f t="shared" si="58"/>
        <v>0</v>
      </c>
      <c r="S54" s="87">
        <f t="shared" si="58"/>
        <v>0</v>
      </c>
      <c r="T54" s="87">
        <f t="shared" si="58"/>
        <v>0</v>
      </c>
      <c r="U54" s="87">
        <f t="shared" si="58"/>
        <v>0</v>
      </c>
      <c r="V54" s="87">
        <f t="shared" si="58"/>
        <v>0</v>
      </c>
      <c r="W54" s="87">
        <f t="shared" ref="W54:Y54" si="59">IF(W8=0,0,W8/W19)</f>
        <v>0</v>
      </c>
      <c r="X54" s="87">
        <f t="shared" si="59"/>
        <v>0</v>
      </c>
      <c r="Y54" s="87">
        <f t="shared" si="59"/>
        <v>0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0</v>
      </c>
      <c r="C56" s="29">
        <f t="shared" si="63"/>
        <v>0</v>
      </c>
      <c r="D56" s="29">
        <f t="shared" si="63"/>
        <v>0</v>
      </c>
      <c r="E56" s="29">
        <f t="shared" si="63"/>
        <v>0</v>
      </c>
      <c r="F56" s="29">
        <f t="shared" si="63"/>
        <v>0</v>
      </c>
      <c r="G56" s="29">
        <f t="shared" si="63"/>
        <v>0</v>
      </c>
      <c r="H56" s="29">
        <f t="shared" si="63"/>
        <v>0</v>
      </c>
      <c r="I56" s="29">
        <f t="shared" si="63"/>
        <v>0</v>
      </c>
      <c r="J56" s="29">
        <f t="shared" si="63"/>
        <v>0</v>
      </c>
      <c r="K56" s="29">
        <f t="shared" ref="K56:V56" si="64">IF(K10=0,0,K10/K21)</f>
        <v>0</v>
      </c>
      <c r="L56" s="29">
        <f t="shared" si="64"/>
        <v>0</v>
      </c>
      <c r="M56" s="29">
        <f t="shared" si="64"/>
        <v>0</v>
      </c>
      <c r="N56" s="29">
        <f t="shared" si="64"/>
        <v>0</v>
      </c>
      <c r="O56" s="29">
        <f t="shared" si="64"/>
        <v>0</v>
      </c>
      <c r="P56" s="29">
        <f t="shared" si="64"/>
        <v>0</v>
      </c>
      <c r="Q56" s="29">
        <f t="shared" si="64"/>
        <v>0</v>
      </c>
      <c r="R56" s="29">
        <f t="shared" si="64"/>
        <v>0</v>
      </c>
      <c r="S56" s="29">
        <f t="shared" si="64"/>
        <v>0</v>
      </c>
      <c r="T56" s="29">
        <f t="shared" si="64"/>
        <v>0</v>
      </c>
      <c r="U56" s="29">
        <f t="shared" si="64"/>
        <v>0</v>
      </c>
      <c r="V56" s="29">
        <f t="shared" si="64"/>
        <v>0</v>
      </c>
      <c r="W56" s="29">
        <f t="shared" ref="W56:Y56" si="65">IF(W10=0,0,W10/W21)</f>
        <v>0</v>
      </c>
      <c r="X56" s="29">
        <f t="shared" si="65"/>
        <v>0</v>
      </c>
      <c r="Y56" s="29">
        <f t="shared" si="65"/>
        <v>0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0</v>
      </c>
      <c r="C57" s="87">
        <f t="shared" si="66"/>
        <v>0</v>
      </c>
      <c r="D57" s="87">
        <f t="shared" si="66"/>
        <v>0</v>
      </c>
      <c r="E57" s="87">
        <f t="shared" si="66"/>
        <v>0</v>
      </c>
      <c r="F57" s="87">
        <f t="shared" si="66"/>
        <v>0</v>
      </c>
      <c r="G57" s="87">
        <f t="shared" si="66"/>
        <v>0</v>
      </c>
      <c r="H57" s="87">
        <f t="shared" si="66"/>
        <v>0</v>
      </c>
      <c r="I57" s="87">
        <f t="shared" si="66"/>
        <v>0</v>
      </c>
      <c r="J57" s="87">
        <f t="shared" si="66"/>
        <v>0</v>
      </c>
      <c r="K57" s="87">
        <f t="shared" ref="K57:V57" si="67">IF(K11=0,0,K11/K22)</f>
        <v>0</v>
      </c>
      <c r="L57" s="87">
        <f t="shared" si="67"/>
        <v>0</v>
      </c>
      <c r="M57" s="87">
        <f t="shared" si="67"/>
        <v>0</v>
      </c>
      <c r="N57" s="87">
        <f t="shared" si="67"/>
        <v>0</v>
      </c>
      <c r="O57" s="87">
        <f t="shared" si="67"/>
        <v>0</v>
      </c>
      <c r="P57" s="87">
        <f t="shared" si="67"/>
        <v>0</v>
      </c>
      <c r="Q57" s="87">
        <f t="shared" si="67"/>
        <v>0</v>
      </c>
      <c r="R57" s="87">
        <f t="shared" si="67"/>
        <v>0</v>
      </c>
      <c r="S57" s="87">
        <f t="shared" si="67"/>
        <v>0</v>
      </c>
      <c r="T57" s="87">
        <f t="shared" si="67"/>
        <v>0</v>
      </c>
      <c r="U57" s="87">
        <f t="shared" si="67"/>
        <v>0</v>
      </c>
      <c r="V57" s="87">
        <f t="shared" si="67"/>
        <v>0</v>
      </c>
      <c r="W57" s="87">
        <f t="shared" ref="W57:Y57" si="68">IF(W11=0,0,W11/W22)</f>
        <v>0</v>
      </c>
      <c r="X57" s="87">
        <f t="shared" si="68"/>
        <v>0</v>
      </c>
      <c r="Y57" s="87">
        <f t="shared" si="68"/>
        <v>0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0</v>
      </c>
      <c r="E58" s="88">
        <f t="shared" si="69"/>
        <v>0</v>
      </c>
      <c r="F58" s="88">
        <f t="shared" si="69"/>
        <v>0</v>
      </c>
      <c r="G58" s="88">
        <f t="shared" si="69"/>
        <v>0</v>
      </c>
      <c r="H58" s="88">
        <f t="shared" si="69"/>
        <v>0</v>
      </c>
      <c r="I58" s="88">
        <f t="shared" si="69"/>
        <v>0</v>
      </c>
      <c r="J58" s="88">
        <f t="shared" si="69"/>
        <v>0</v>
      </c>
      <c r="K58" s="88">
        <f t="shared" ref="K58:V58" si="70">IF(K12=0,0,K12/K23)</f>
        <v>0</v>
      </c>
      <c r="L58" s="88">
        <f t="shared" si="70"/>
        <v>0</v>
      </c>
      <c r="M58" s="88">
        <f t="shared" si="70"/>
        <v>0</v>
      </c>
      <c r="N58" s="88">
        <f t="shared" si="70"/>
        <v>0</v>
      </c>
      <c r="O58" s="88">
        <f t="shared" si="70"/>
        <v>0</v>
      </c>
      <c r="P58" s="88">
        <f t="shared" si="70"/>
        <v>0</v>
      </c>
      <c r="Q58" s="88">
        <f t="shared" si="70"/>
        <v>0</v>
      </c>
      <c r="R58" s="88">
        <f t="shared" si="70"/>
        <v>0</v>
      </c>
      <c r="S58" s="88">
        <f t="shared" si="70"/>
        <v>0</v>
      </c>
      <c r="T58" s="88">
        <f t="shared" si="70"/>
        <v>0</v>
      </c>
      <c r="U58" s="88">
        <f t="shared" si="70"/>
        <v>0</v>
      </c>
      <c r="V58" s="88">
        <f t="shared" si="70"/>
        <v>0</v>
      </c>
      <c r="W58" s="88">
        <f t="shared" ref="W58:Y58" si="71">IF(W12=0,0,W12/W23)</f>
        <v>0</v>
      </c>
      <c r="X58" s="88">
        <f t="shared" si="71"/>
        <v>0</v>
      </c>
      <c r="Y58" s="88">
        <f t="shared" si="71"/>
        <v>0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0</v>
      </c>
      <c r="C61" s="29">
        <f t="shared" ref="C61" si="73">IF(C26=0,0,(C62*C27+C64*C29+C65*C30+C66*C31)/(C27+C29+C30+C31))</f>
        <v>0</v>
      </c>
      <c r="D61" s="29">
        <f t="shared" ref="D61" si="74">IF(D26=0,0,(D62*D27+D64*D29+D65*D30+D66*D31)/(D27+D29+D30+D31))</f>
        <v>0</v>
      </c>
      <c r="E61" s="29">
        <f t="shared" ref="E61" si="75">IF(E26=0,0,(E62*E27+E64*E29+E65*E30+E66*E31)/(E27+E29+E30+E31))</f>
        <v>0</v>
      </c>
      <c r="F61" s="29">
        <f t="shared" ref="F61" si="76">IF(F26=0,0,(F62*F27+F64*F29+F65*F30+F66*F31)/(F27+F29+F30+F31))</f>
        <v>0</v>
      </c>
      <c r="G61" s="29">
        <f t="shared" ref="G61" si="77">IF(G26=0,0,(G62*G27+G64*G29+G65*G30+G66*G31)/(G27+G29+G30+G31))</f>
        <v>0</v>
      </c>
      <c r="H61" s="29">
        <f t="shared" ref="H61" si="78">IF(H26=0,0,(H62*H27+H64*H29+H65*H30+H66*H31)/(H27+H29+H30+H31))</f>
        <v>0</v>
      </c>
      <c r="I61" s="29">
        <f t="shared" ref="I61" si="79">IF(I26=0,0,(I62*I27+I64*I29+I65*I30+I66*I31)/(I27+I29+I30+I31))</f>
        <v>0</v>
      </c>
      <c r="J61" s="29">
        <f t="shared" ref="J61" si="80">IF(J26=0,0,(J62*J27+J64*J29+J65*J30+J66*J31)/(J27+J29+J30+J31))</f>
        <v>0</v>
      </c>
      <c r="K61" s="29">
        <f t="shared" ref="K61" si="81">IF(K26=0,0,(K62*K27+K64*K29+K65*K30+K66*K31)/(K27+K29+K30+K31))</f>
        <v>0</v>
      </c>
      <c r="L61" s="29">
        <f t="shared" ref="L61" si="82">IF(L26=0,0,(L62*L27+L64*L29+L65*L30+L66*L31)/(L27+L29+L30+L31))</f>
        <v>0</v>
      </c>
      <c r="M61" s="29">
        <f t="shared" ref="M61" si="83">IF(M26=0,0,(M62*M27+M64*M29+M65*M30+M66*M31)/(M27+M29+M30+M31))</f>
        <v>0</v>
      </c>
      <c r="N61" s="29">
        <f t="shared" ref="N61" si="84">IF(N26=0,0,(N62*N27+N64*N29+N65*N30+N66*N31)/(N27+N29+N30+N31))</f>
        <v>0</v>
      </c>
      <c r="O61" s="29">
        <f t="shared" ref="O61" si="85">IF(O26=0,0,(O62*O27+O64*O29+O65*O30+O66*O31)/(O27+O29+O30+O31))</f>
        <v>0</v>
      </c>
      <c r="P61" s="29">
        <f t="shared" ref="P61" si="86">IF(P26=0,0,(P62*P27+P64*P29+P65*P30+P66*P31)/(P27+P29+P30+P31))</f>
        <v>0</v>
      </c>
      <c r="Q61" s="29">
        <f t="shared" ref="Q61" si="87">IF(Q26=0,0,(Q62*Q27+Q64*Q29+Q65*Q30+Q66*Q31)/(Q27+Q29+Q30+Q31))</f>
        <v>0</v>
      </c>
      <c r="R61" s="29">
        <f t="shared" ref="R61" si="88">IF(R26=0,0,(R62*R27+R64*R29+R65*R30+R66*R31)/(R27+R29+R30+R31))</f>
        <v>0</v>
      </c>
      <c r="S61" s="29">
        <f t="shared" ref="S61" si="89">IF(S26=0,0,(S62*S27+S64*S29+S65*S30+S66*S31)/(S27+S29+S30+S31))</f>
        <v>0</v>
      </c>
      <c r="T61" s="29">
        <f t="shared" ref="T61" si="90">IF(T26=0,0,(T62*T27+T64*T29+T65*T30+T66*T31)/(T27+T29+T30+T31))</f>
        <v>0</v>
      </c>
      <c r="U61" s="29">
        <f t="shared" ref="U61" si="91">IF(U26=0,0,(U62*U27+U64*U29+U65*U30+U66*U31)/(U27+U29+U30+U31))</f>
        <v>0</v>
      </c>
      <c r="V61" s="29">
        <f t="shared" ref="V61" si="92">IF(V26=0,0,(V62*V27+V64*V29+V65*V30+V66*V31)/(V27+V29+V30+V31))</f>
        <v>0</v>
      </c>
      <c r="W61" s="29">
        <f t="shared" ref="W61:Y61" si="93">IF(W26=0,0,(W62*W27+W64*W29+W65*W30+W66*W31)/(W27+W29+W30+W31))</f>
        <v>0</v>
      </c>
      <c r="X61" s="29">
        <f t="shared" si="93"/>
        <v>0</v>
      </c>
      <c r="Y61" s="29">
        <f t="shared" si="93"/>
        <v>0</v>
      </c>
      <c r="DA61" s="173" t="s">
        <v>1074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  <c r="O62" s="115">
        <v>0</v>
      </c>
      <c r="P62" s="115">
        <v>0</v>
      </c>
      <c r="Q62" s="115">
        <v>0</v>
      </c>
      <c r="R62" s="115">
        <v>0</v>
      </c>
      <c r="S62" s="115">
        <v>0</v>
      </c>
      <c r="T62" s="115">
        <v>0</v>
      </c>
      <c r="U62" s="115">
        <v>0</v>
      </c>
      <c r="V62" s="115">
        <v>0</v>
      </c>
      <c r="W62" s="115">
        <v>0</v>
      </c>
      <c r="X62" s="115">
        <v>0</v>
      </c>
      <c r="Y62" s="115">
        <v>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0</v>
      </c>
      <c r="C63" s="116">
        <f t="shared" ref="C63" si="95">IF(C28=0,0,(C64*C29+C65*C30)/(C29+C30))</f>
        <v>0</v>
      </c>
      <c r="D63" s="116">
        <f t="shared" ref="D63" si="96">IF(D28=0,0,(D64*D29+D65*D30)/(D29+D30))</f>
        <v>0</v>
      </c>
      <c r="E63" s="116">
        <f t="shared" ref="E63" si="97">IF(E28=0,0,(E64*E29+E65*E30)/(E29+E30))</f>
        <v>0</v>
      </c>
      <c r="F63" s="116">
        <f t="shared" ref="F63" si="98">IF(F28=0,0,(F64*F29+F65*F30)/(F29+F30))</f>
        <v>0</v>
      </c>
      <c r="G63" s="116">
        <f t="shared" ref="G63" si="99">IF(G28=0,0,(G64*G29+G65*G30)/(G29+G30))</f>
        <v>0</v>
      </c>
      <c r="H63" s="116">
        <f t="shared" ref="H63" si="100">IF(H28=0,0,(H64*H29+H65*H30)/(H29+H30))</f>
        <v>0</v>
      </c>
      <c r="I63" s="116">
        <f t="shared" ref="I63" si="101">IF(I28=0,0,(I64*I29+I65*I30)/(I29+I30))</f>
        <v>0</v>
      </c>
      <c r="J63" s="116">
        <f t="shared" ref="J63" si="102">IF(J28=0,0,(J64*J29+J65*J30)/(J29+J30))</f>
        <v>0</v>
      </c>
      <c r="K63" s="116">
        <f t="shared" ref="K63" si="103">IF(K28=0,0,(K64*K29+K65*K30)/(K29+K30))</f>
        <v>0</v>
      </c>
      <c r="L63" s="116">
        <f t="shared" ref="L63" si="104">IF(L28=0,0,(L64*L29+L65*L30)/(L29+L30))</f>
        <v>0</v>
      </c>
      <c r="M63" s="116">
        <f t="shared" ref="M63" si="105">IF(M28=0,0,(M64*M29+M65*M30)/(M29+M30))</f>
        <v>0</v>
      </c>
      <c r="N63" s="116">
        <f t="shared" ref="N63" si="106">IF(N28=0,0,(N64*N29+N65*N30)/(N29+N30))</f>
        <v>0</v>
      </c>
      <c r="O63" s="116">
        <f t="shared" ref="O63" si="107">IF(O28=0,0,(O64*O29+O65*O30)/(O29+O30))</f>
        <v>0</v>
      </c>
      <c r="P63" s="116">
        <f t="shared" ref="P63" si="108">IF(P28=0,0,(P64*P29+P65*P30)/(P29+P30))</f>
        <v>0</v>
      </c>
      <c r="Q63" s="116">
        <f t="shared" ref="Q63" si="109">IF(Q28=0,0,(Q64*Q29+Q65*Q30)/(Q29+Q30))</f>
        <v>0</v>
      </c>
      <c r="R63" s="116">
        <f t="shared" ref="R63" si="110">IF(R28=0,0,(R64*R29+R65*R30)/(R29+R30))</f>
        <v>0</v>
      </c>
      <c r="S63" s="116">
        <f t="shared" ref="S63" si="111">IF(S28=0,0,(S64*S29+S65*S30)/(S29+S30))</f>
        <v>0</v>
      </c>
      <c r="T63" s="116">
        <f t="shared" ref="T63" si="112">IF(T28=0,0,(T64*T29+T65*T30)/(T29+T30))</f>
        <v>0</v>
      </c>
      <c r="U63" s="116">
        <f t="shared" ref="U63" si="113">IF(U28=0,0,(U64*U29+U65*U30)/(U29+U30))</f>
        <v>0</v>
      </c>
      <c r="V63" s="116">
        <f t="shared" ref="V63" si="114">IF(V28=0,0,(V64*V29+V65*V30)/(V29+V30))</f>
        <v>0</v>
      </c>
      <c r="W63" s="116">
        <f t="shared" ref="W63:Y63" si="115">IF(W28=0,0,(W64*W29+W65*W30)/(W29+W30))</f>
        <v>0</v>
      </c>
      <c r="X63" s="116">
        <f t="shared" si="115"/>
        <v>0</v>
      </c>
      <c r="Y63" s="116">
        <f t="shared" si="115"/>
        <v>0</v>
      </c>
      <c r="DA63" s="176" t="s">
        <v>1076</v>
      </c>
    </row>
    <row r="64" spans="1:105" ht="11.45" customHeight="1" x14ac:dyDescent="0.25">
      <c r="A64" s="111" t="s">
        <v>92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87">
        <v>0</v>
      </c>
      <c r="U64" s="87">
        <v>0</v>
      </c>
      <c r="V64" s="87">
        <v>0</v>
      </c>
      <c r="W64" s="87">
        <v>0</v>
      </c>
      <c r="X64" s="87">
        <v>0</v>
      </c>
      <c r="Y64" s="87">
        <v>0</v>
      </c>
      <c r="DA64" s="171" t="s">
        <v>1077</v>
      </c>
    </row>
    <row r="65" spans="1:105" ht="11.45" customHeight="1" x14ac:dyDescent="0.25">
      <c r="A65" s="111" t="s">
        <v>93</v>
      </c>
      <c r="B65" s="87">
        <v>0</v>
      </c>
      <c r="C65" s="87">
        <v>0</v>
      </c>
      <c r="D65" s="87">
        <v>0</v>
      </c>
      <c r="E65" s="87">
        <v>0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87">
        <v>0</v>
      </c>
      <c r="U65" s="87">
        <v>0</v>
      </c>
      <c r="V65" s="87">
        <v>0</v>
      </c>
      <c r="W65" s="87">
        <v>0</v>
      </c>
      <c r="X65" s="87">
        <v>0</v>
      </c>
      <c r="Y65" s="87">
        <v>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0</v>
      </c>
      <c r="C67" s="29">
        <f t="shared" ref="C67" si="117">IF(C32=0,0,(C68*C33+C69*C34)/(C33+C34))</f>
        <v>0</v>
      </c>
      <c r="D67" s="29">
        <f t="shared" ref="D67" si="118">IF(D32=0,0,(D68*D33+D69*D34)/(D33+D34))</f>
        <v>0</v>
      </c>
      <c r="E67" s="29">
        <f t="shared" ref="E67" si="119">IF(E32=0,0,(E68*E33+E69*E34)/(E33+E34))</f>
        <v>0</v>
      </c>
      <c r="F67" s="29">
        <f t="shared" ref="F67" si="120">IF(F32=0,0,(F68*F33+F69*F34)/(F33+F34))</f>
        <v>0</v>
      </c>
      <c r="G67" s="29">
        <f t="shared" ref="G67" si="121">IF(G32=0,0,(G68*G33+G69*G34)/(G33+G34))</f>
        <v>0</v>
      </c>
      <c r="H67" s="29">
        <f t="shared" ref="H67" si="122">IF(H32=0,0,(H68*H33+H69*H34)/(H33+H34))</f>
        <v>0</v>
      </c>
      <c r="I67" s="29">
        <f t="shared" ref="I67" si="123">IF(I32=0,0,(I68*I33+I69*I34)/(I33+I34))</f>
        <v>0</v>
      </c>
      <c r="J67" s="29">
        <f t="shared" ref="J67" si="124">IF(J32=0,0,(J68*J33+J69*J34)/(J33+J34))</f>
        <v>0</v>
      </c>
      <c r="K67" s="29">
        <f t="shared" ref="K67" si="125">IF(K32=0,0,(K68*K33+K69*K34)/(K33+K34))</f>
        <v>0</v>
      </c>
      <c r="L67" s="29">
        <f t="shared" ref="L67" si="126">IF(L32=0,0,(L68*L33+L69*L34)/(L33+L34))</f>
        <v>0</v>
      </c>
      <c r="M67" s="29">
        <f t="shared" ref="M67" si="127">IF(M32=0,0,(M68*M33+M69*M34)/(M33+M34))</f>
        <v>0</v>
      </c>
      <c r="N67" s="29">
        <f t="shared" ref="N67" si="128">IF(N32=0,0,(N68*N33+N69*N34)/(N33+N34))</f>
        <v>0</v>
      </c>
      <c r="O67" s="29">
        <f t="shared" ref="O67" si="129">IF(O32=0,0,(O68*O33+O69*O34)/(O33+O34))</f>
        <v>0</v>
      </c>
      <c r="P67" s="29">
        <f t="shared" ref="P67" si="130">IF(P32=0,0,(P68*P33+P69*P34)/(P33+P34))</f>
        <v>0</v>
      </c>
      <c r="Q67" s="29">
        <f t="shared" ref="Q67" si="131">IF(Q32=0,0,(Q68*Q33+Q69*Q34)/(Q33+Q34))</f>
        <v>0</v>
      </c>
      <c r="R67" s="29">
        <f t="shared" ref="R67" si="132">IF(R32=0,0,(R68*R33+R69*R34)/(R33+R34))</f>
        <v>0</v>
      </c>
      <c r="S67" s="29">
        <f t="shared" ref="S67" si="133">IF(S32=0,0,(S68*S33+S69*S34)/(S33+S34))</f>
        <v>0</v>
      </c>
      <c r="T67" s="29">
        <f t="shared" ref="T67" si="134">IF(T32=0,0,(T68*T33+T69*T34)/(T33+T34))</f>
        <v>0</v>
      </c>
      <c r="U67" s="29">
        <f t="shared" ref="U67" si="135">IF(U32=0,0,(U68*U33+U69*U34)/(U33+U34))</f>
        <v>0</v>
      </c>
      <c r="V67" s="29">
        <f t="shared" ref="V67" si="136">IF(V32=0,0,(V68*V33+V69*V34)/(V33+V34))</f>
        <v>0</v>
      </c>
      <c r="W67" s="29">
        <f t="shared" ref="W67:Y67" si="137">IF(W32=0,0,(W68*W33+W69*W34)/(W33+W34))</f>
        <v>0</v>
      </c>
      <c r="X67" s="29">
        <f t="shared" si="137"/>
        <v>0</v>
      </c>
      <c r="Y67" s="29">
        <f t="shared" si="137"/>
        <v>0</v>
      </c>
      <c r="DA67" s="173" t="s">
        <v>1080</v>
      </c>
    </row>
    <row r="68" spans="1:105" ht="11.45" customHeight="1" x14ac:dyDescent="0.25">
      <c r="A68" s="83" t="s">
        <v>92</v>
      </c>
      <c r="B68" s="87">
        <v>0</v>
      </c>
      <c r="C68" s="87">
        <v>0</v>
      </c>
      <c r="D68" s="87">
        <v>0</v>
      </c>
      <c r="E68" s="87">
        <v>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87">
        <v>0</v>
      </c>
      <c r="U68" s="87">
        <v>0</v>
      </c>
      <c r="V68" s="87">
        <v>0</v>
      </c>
      <c r="W68" s="87">
        <v>0</v>
      </c>
      <c r="X68" s="87">
        <v>0</v>
      </c>
      <c r="Y68" s="87">
        <v>0</v>
      </c>
      <c r="DA68" s="171" t="s">
        <v>1081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</v>
      </c>
      <c r="C72" s="30">
        <f t="shared" ref="C72:J72" si="138">IF(C50=0,0,C50/C61)</f>
        <v>0</v>
      </c>
      <c r="D72" s="30">
        <f t="shared" si="138"/>
        <v>0</v>
      </c>
      <c r="E72" s="30">
        <f t="shared" si="138"/>
        <v>0</v>
      </c>
      <c r="F72" s="30">
        <f t="shared" si="138"/>
        <v>0</v>
      </c>
      <c r="G72" s="30">
        <f t="shared" si="138"/>
        <v>0</v>
      </c>
      <c r="H72" s="30">
        <f t="shared" si="138"/>
        <v>0</v>
      </c>
      <c r="I72" s="30">
        <f t="shared" si="138"/>
        <v>0</v>
      </c>
      <c r="J72" s="30">
        <f t="shared" si="138"/>
        <v>0</v>
      </c>
      <c r="K72" s="30">
        <f t="shared" ref="K72:V72" si="139">IF(K50=0,0,K50/K61)</f>
        <v>0</v>
      </c>
      <c r="L72" s="30">
        <f t="shared" si="139"/>
        <v>0</v>
      </c>
      <c r="M72" s="30">
        <f t="shared" si="139"/>
        <v>0</v>
      </c>
      <c r="N72" s="30">
        <f t="shared" si="139"/>
        <v>0</v>
      </c>
      <c r="O72" s="30">
        <f t="shared" si="139"/>
        <v>0</v>
      </c>
      <c r="P72" s="30">
        <f t="shared" si="139"/>
        <v>0</v>
      </c>
      <c r="Q72" s="30">
        <f t="shared" si="139"/>
        <v>0</v>
      </c>
      <c r="R72" s="30">
        <f t="shared" si="139"/>
        <v>0</v>
      </c>
      <c r="S72" s="30">
        <f t="shared" si="139"/>
        <v>0</v>
      </c>
      <c r="T72" s="30">
        <f t="shared" si="139"/>
        <v>0</v>
      </c>
      <c r="U72" s="30">
        <f t="shared" si="139"/>
        <v>0</v>
      </c>
      <c r="V72" s="30">
        <f t="shared" si="139"/>
        <v>0</v>
      </c>
      <c r="W72" s="30">
        <f t="shared" ref="W72:Y72" si="140">IF(W50=0,0,W50/W61)</f>
        <v>0</v>
      </c>
      <c r="X72" s="30">
        <f t="shared" si="140"/>
        <v>0</v>
      </c>
      <c r="Y72" s="30">
        <f t="shared" si="140"/>
        <v>0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</v>
      </c>
      <c r="G73" s="118">
        <f t="shared" si="141"/>
        <v>0</v>
      </c>
      <c r="H73" s="118">
        <f t="shared" si="141"/>
        <v>0</v>
      </c>
      <c r="I73" s="118">
        <f t="shared" si="141"/>
        <v>0</v>
      </c>
      <c r="J73" s="118">
        <f t="shared" si="141"/>
        <v>0</v>
      </c>
      <c r="K73" s="118">
        <f t="shared" ref="K73:V73" si="142">IF(K51=0,0,K51/K62)</f>
        <v>0</v>
      </c>
      <c r="L73" s="118">
        <f t="shared" si="142"/>
        <v>0</v>
      </c>
      <c r="M73" s="118">
        <f t="shared" si="142"/>
        <v>0</v>
      </c>
      <c r="N73" s="118">
        <f t="shared" si="142"/>
        <v>0</v>
      </c>
      <c r="O73" s="118">
        <f t="shared" si="142"/>
        <v>0</v>
      </c>
      <c r="P73" s="118">
        <f t="shared" si="142"/>
        <v>0</v>
      </c>
      <c r="Q73" s="118">
        <f t="shared" si="142"/>
        <v>0</v>
      </c>
      <c r="R73" s="118">
        <f t="shared" si="142"/>
        <v>0</v>
      </c>
      <c r="S73" s="118">
        <f t="shared" si="142"/>
        <v>0</v>
      </c>
      <c r="T73" s="118">
        <f t="shared" si="142"/>
        <v>0</v>
      </c>
      <c r="U73" s="118">
        <f t="shared" si="142"/>
        <v>0</v>
      </c>
      <c r="V73" s="118">
        <f t="shared" si="142"/>
        <v>0</v>
      </c>
      <c r="W73" s="118">
        <f t="shared" ref="W73:Y73" si="143">IF(W51=0,0,W51/W62)</f>
        <v>0</v>
      </c>
      <c r="X73" s="118">
        <f t="shared" si="143"/>
        <v>0</v>
      </c>
      <c r="Y73" s="118">
        <f t="shared" si="143"/>
        <v>0</v>
      </c>
      <c r="DA73" s="203"/>
    </row>
    <row r="74" spans="1:105" ht="11.45" customHeight="1" x14ac:dyDescent="0.25">
      <c r="A74" s="109" t="s">
        <v>24</v>
      </c>
      <c r="B74" s="119">
        <f t="shared" si="141"/>
        <v>0</v>
      </c>
      <c r="C74" s="119">
        <f t="shared" si="141"/>
        <v>0</v>
      </c>
      <c r="D74" s="119">
        <f t="shared" si="141"/>
        <v>0</v>
      </c>
      <c r="E74" s="119">
        <f t="shared" si="141"/>
        <v>0</v>
      </c>
      <c r="F74" s="119">
        <f t="shared" si="141"/>
        <v>0</v>
      </c>
      <c r="G74" s="119">
        <f t="shared" si="141"/>
        <v>0</v>
      </c>
      <c r="H74" s="119">
        <f t="shared" si="141"/>
        <v>0</v>
      </c>
      <c r="I74" s="119">
        <f t="shared" si="141"/>
        <v>0</v>
      </c>
      <c r="J74" s="119">
        <f t="shared" si="141"/>
        <v>0</v>
      </c>
      <c r="K74" s="119">
        <f t="shared" ref="K74:V74" si="144">IF(K52=0,0,K52/K63)</f>
        <v>0</v>
      </c>
      <c r="L74" s="119">
        <f t="shared" si="144"/>
        <v>0</v>
      </c>
      <c r="M74" s="119">
        <f t="shared" si="144"/>
        <v>0</v>
      </c>
      <c r="N74" s="119">
        <f t="shared" si="144"/>
        <v>0</v>
      </c>
      <c r="O74" s="119">
        <f t="shared" si="144"/>
        <v>0</v>
      </c>
      <c r="P74" s="119">
        <f t="shared" si="144"/>
        <v>0</v>
      </c>
      <c r="Q74" s="119">
        <f t="shared" si="144"/>
        <v>0</v>
      </c>
      <c r="R74" s="119">
        <f t="shared" si="144"/>
        <v>0</v>
      </c>
      <c r="S74" s="119">
        <f t="shared" si="144"/>
        <v>0</v>
      </c>
      <c r="T74" s="119">
        <f t="shared" si="144"/>
        <v>0</v>
      </c>
      <c r="U74" s="119">
        <f t="shared" si="144"/>
        <v>0</v>
      </c>
      <c r="V74" s="119">
        <f t="shared" si="144"/>
        <v>0</v>
      </c>
      <c r="W74" s="119">
        <f t="shared" ref="W74:Y74" si="145">IF(W52=0,0,W52/W63)</f>
        <v>0</v>
      </c>
      <c r="X74" s="119">
        <f t="shared" si="145"/>
        <v>0</v>
      </c>
      <c r="Y74" s="119">
        <f t="shared" si="145"/>
        <v>0</v>
      </c>
      <c r="DA74" s="176"/>
    </row>
    <row r="75" spans="1:105" ht="11.45" customHeight="1" x14ac:dyDescent="0.25">
      <c r="A75" s="111" t="s">
        <v>92</v>
      </c>
      <c r="B75" s="120">
        <f t="shared" si="141"/>
        <v>0</v>
      </c>
      <c r="C75" s="120">
        <f t="shared" si="141"/>
        <v>0</v>
      </c>
      <c r="D75" s="120">
        <f t="shared" si="141"/>
        <v>0</v>
      </c>
      <c r="E75" s="120">
        <f t="shared" si="141"/>
        <v>0</v>
      </c>
      <c r="F75" s="120">
        <f t="shared" si="141"/>
        <v>0</v>
      </c>
      <c r="G75" s="120">
        <f t="shared" si="141"/>
        <v>0</v>
      </c>
      <c r="H75" s="120">
        <f t="shared" si="141"/>
        <v>0</v>
      </c>
      <c r="I75" s="120">
        <f t="shared" si="141"/>
        <v>0</v>
      </c>
      <c r="J75" s="120">
        <f t="shared" si="141"/>
        <v>0</v>
      </c>
      <c r="K75" s="120">
        <f t="shared" ref="K75:V75" si="146">IF(K53=0,0,K53/K64)</f>
        <v>0</v>
      </c>
      <c r="L75" s="120">
        <f t="shared" si="146"/>
        <v>0</v>
      </c>
      <c r="M75" s="120">
        <f t="shared" si="146"/>
        <v>0</v>
      </c>
      <c r="N75" s="120">
        <f t="shared" si="146"/>
        <v>0</v>
      </c>
      <c r="O75" s="120">
        <f t="shared" si="146"/>
        <v>0</v>
      </c>
      <c r="P75" s="120">
        <f t="shared" si="146"/>
        <v>0</v>
      </c>
      <c r="Q75" s="120">
        <f t="shared" si="146"/>
        <v>0</v>
      </c>
      <c r="R75" s="120">
        <f t="shared" si="146"/>
        <v>0</v>
      </c>
      <c r="S75" s="120">
        <f t="shared" si="146"/>
        <v>0</v>
      </c>
      <c r="T75" s="120">
        <f t="shared" si="146"/>
        <v>0</v>
      </c>
      <c r="U75" s="120">
        <f t="shared" si="146"/>
        <v>0</v>
      </c>
      <c r="V75" s="120">
        <f t="shared" si="146"/>
        <v>0</v>
      </c>
      <c r="W75" s="120">
        <f t="shared" ref="W75:Y75" si="147">IF(W53=0,0,W53/W64)</f>
        <v>0</v>
      </c>
      <c r="X75" s="120">
        <f t="shared" si="147"/>
        <v>0</v>
      </c>
      <c r="Y75" s="120">
        <f t="shared" si="147"/>
        <v>0</v>
      </c>
      <c r="DA75" s="171"/>
    </row>
    <row r="76" spans="1:105" ht="11.45" customHeight="1" x14ac:dyDescent="0.25">
      <c r="A76" s="111" t="s">
        <v>93</v>
      </c>
      <c r="B76" s="120">
        <f t="shared" si="141"/>
        <v>0</v>
      </c>
      <c r="C76" s="120">
        <f t="shared" si="141"/>
        <v>0</v>
      </c>
      <c r="D76" s="120">
        <f t="shared" si="141"/>
        <v>0</v>
      </c>
      <c r="E76" s="120">
        <f t="shared" si="141"/>
        <v>0</v>
      </c>
      <c r="F76" s="120">
        <f t="shared" si="141"/>
        <v>0</v>
      </c>
      <c r="G76" s="120">
        <f t="shared" si="141"/>
        <v>0</v>
      </c>
      <c r="H76" s="120">
        <f t="shared" si="141"/>
        <v>0</v>
      </c>
      <c r="I76" s="120">
        <f t="shared" si="141"/>
        <v>0</v>
      </c>
      <c r="J76" s="120">
        <f t="shared" si="141"/>
        <v>0</v>
      </c>
      <c r="K76" s="120">
        <f t="shared" ref="K76:V76" si="148">IF(K54=0,0,K54/K65)</f>
        <v>0</v>
      </c>
      <c r="L76" s="120">
        <f t="shared" si="148"/>
        <v>0</v>
      </c>
      <c r="M76" s="120">
        <f t="shared" si="148"/>
        <v>0</v>
      </c>
      <c r="N76" s="120">
        <f t="shared" si="148"/>
        <v>0</v>
      </c>
      <c r="O76" s="120">
        <f t="shared" si="148"/>
        <v>0</v>
      </c>
      <c r="P76" s="120">
        <f t="shared" si="148"/>
        <v>0</v>
      </c>
      <c r="Q76" s="120">
        <f t="shared" si="148"/>
        <v>0</v>
      </c>
      <c r="R76" s="120">
        <f t="shared" si="148"/>
        <v>0</v>
      </c>
      <c r="S76" s="120">
        <f t="shared" si="148"/>
        <v>0</v>
      </c>
      <c r="T76" s="120">
        <f t="shared" si="148"/>
        <v>0</v>
      </c>
      <c r="U76" s="120">
        <f t="shared" si="148"/>
        <v>0</v>
      </c>
      <c r="V76" s="120">
        <f t="shared" si="148"/>
        <v>0</v>
      </c>
      <c r="W76" s="120">
        <f t="shared" ref="W76:Y76" si="149">IF(W54=0,0,W54/W65)</f>
        <v>0</v>
      </c>
      <c r="X76" s="120">
        <f t="shared" si="149"/>
        <v>0</v>
      </c>
      <c r="Y76" s="120">
        <f t="shared" si="149"/>
        <v>0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</v>
      </c>
      <c r="C78" s="30">
        <f t="shared" si="141"/>
        <v>0</v>
      </c>
      <c r="D78" s="30">
        <f t="shared" si="141"/>
        <v>0</v>
      </c>
      <c r="E78" s="30">
        <f t="shared" si="141"/>
        <v>0</v>
      </c>
      <c r="F78" s="30">
        <f t="shared" si="141"/>
        <v>0</v>
      </c>
      <c r="G78" s="30">
        <f t="shared" si="141"/>
        <v>0</v>
      </c>
      <c r="H78" s="30">
        <f t="shared" si="141"/>
        <v>0</v>
      </c>
      <c r="I78" s="30">
        <f t="shared" si="141"/>
        <v>0</v>
      </c>
      <c r="J78" s="30">
        <f t="shared" si="141"/>
        <v>0</v>
      </c>
      <c r="K78" s="30">
        <f t="shared" ref="K78:V78" si="152">IF(K56=0,0,K56/K67)</f>
        <v>0</v>
      </c>
      <c r="L78" s="30">
        <f t="shared" si="152"/>
        <v>0</v>
      </c>
      <c r="M78" s="30">
        <f t="shared" si="152"/>
        <v>0</v>
      </c>
      <c r="N78" s="30">
        <f t="shared" si="152"/>
        <v>0</v>
      </c>
      <c r="O78" s="30">
        <f t="shared" si="152"/>
        <v>0</v>
      </c>
      <c r="P78" s="30">
        <f t="shared" si="152"/>
        <v>0</v>
      </c>
      <c r="Q78" s="30">
        <f t="shared" si="152"/>
        <v>0</v>
      </c>
      <c r="R78" s="30">
        <f t="shared" si="152"/>
        <v>0</v>
      </c>
      <c r="S78" s="30">
        <f t="shared" si="152"/>
        <v>0</v>
      </c>
      <c r="T78" s="30">
        <f t="shared" si="152"/>
        <v>0</v>
      </c>
      <c r="U78" s="30">
        <f t="shared" si="152"/>
        <v>0</v>
      </c>
      <c r="V78" s="30">
        <f t="shared" si="152"/>
        <v>0</v>
      </c>
      <c r="W78" s="30">
        <f t="shared" ref="W78:Y78" si="153">IF(W56=0,0,W56/W67)</f>
        <v>0</v>
      </c>
      <c r="X78" s="30">
        <f t="shared" si="153"/>
        <v>0</v>
      </c>
      <c r="Y78" s="30">
        <f t="shared" si="153"/>
        <v>0</v>
      </c>
      <c r="DA78" s="173"/>
    </row>
    <row r="79" spans="1:105" ht="11.45" customHeight="1" x14ac:dyDescent="0.25">
      <c r="A79" s="83" t="s">
        <v>92</v>
      </c>
      <c r="B79" s="120">
        <f t="shared" si="141"/>
        <v>0</v>
      </c>
      <c r="C79" s="120">
        <f t="shared" si="141"/>
        <v>0</v>
      </c>
      <c r="D79" s="120">
        <f t="shared" si="141"/>
        <v>0</v>
      </c>
      <c r="E79" s="120">
        <f t="shared" si="141"/>
        <v>0</v>
      </c>
      <c r="F79" s="120">
        <f t="shared" si="141"/>
        <v>0</v>
      </c>
      <c r="G79" s="120">
        <f t="shared" si="141"/>
        <v>0</v>
      </c>
      <c r="H79" s="120">
        <f t="shared" si="141"/>
        <v>0</v>
      </c>
      <c r="I79" s="120">
        <f t="shared" si="141"/>
        <v>0</v>
      </c>
      <c r="J79" s="120">
        <f t="shared" si="141"/>
        <v>0</v>
      </c>
      <c r="K79" s="120">
        <f t="shared" ref="K79:V79" si="154">IF(K57=0,0,K57/K68)</f>
        <v>0</v>
      </c>
      <c r="L79" s="120">
        <f t="shared" si="154"/>
        <v>0</v>
      </c>
      <c r="M79" s="120">
        <f t="shared" si="154"/>
        <v>0</v>
      </c>
      <c r="N79" s="120">
        <f t="shared" si="154"/>
        <v>0</v>
      </c>
      <c r="O79" s="120">
        <f t="shared" si="154"/>
        <v>0</v>
      </c>
      <c r="P79" s="120">
        <f t="shared" si="154"/>
        <v>0</v>
      </c>
      <c r="Q79" s="120">
        <f t="shared" si="154"/>
        <v>0</v>
      </c>
      <c r="R79" s="120">
        <f t="shared" si="154"/>
        <v>0</v>
      </c>
      <c r="S79" s="120">
        <f t="shared" si="154"/>
        <v>0</v>
      </c>
      <c r="T79" s="120">
        <f t="shared" si="154"/>
        <v>0</v>
      </c>
      <c r="U79" s="120">
        <f t="shared" si="154"/>
        <v>0</v>
      </c>
      <c r="V79" s="120">
        <f t="shared" si="154"/>
        <v>0</v>
      </c>
      <c r="W79" s="120">
        <f t="shared" ref="W79:Y79" si="155">IF(W57=0,0,W57/W68)</f>
        <v>0</v>
      </c>
      <c r="X79" s="120">
        <f t="shared" si="155"/>
        <v>0</v>
      </c>
      <c r="Y79" s="120">
        <f t="shared" si="155"/>
        <v>0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</v>
      </c>
      <c r="E80" s="122">
        <f t="shared" si="141"/>
        <v>0</v>
      </c>
      <c r="F80" s="122">
        <f t="shared" si="141"/>
        <v>0</v>
      </c>
      <c r="G80" s="122">
        <f t="shared" si="141"/>
        <v>0</v>
      </c>
      <c r="H80" s="122">
        <f t="shared" si="141"/>
        <v>0</v>
      </c>
      <c r="I80" s="122">
        <f t="shared" si="141"/>
        <v>0</v>
      </c>
      <c r="J80" s="122">
        <f t="shared" si="141"/>
        <v>0</v>
      </c>
      <c r="K80" s="122">
        <f t="shared" ref="K80:V80" si="156">IF(K58=0,0,K58/K69)</f>
        <v>0</v>
      </c>
      <c r="L80" s="122">
        <f t="shared" si="156"/>
        <v>0</v>
      </c>
      <c r="M80" s="122">
        <f t="shared" si="156"/>
        <v>0</v>
      </c>
      <c r="N80" s="122">
        <f t="shared" si="156"/>
        <v>0</v>
      </c>
      <c r="O80" s="122">
        <f t="shared" si="156"/>
        <v>0</v>
      </c>
      <c r="P80" s="122">
        <f t="shared" si="156"/>
        <v>0</v>
      </c>
      <c r="Q80" s="122">
        <f t="shared" si="156"/>
        <v>0</v>
      </c>
      <c r="R80" s="122">
        <f t="shared" si="156"/>
        <v>0</v>
      </c>
      <c r="S80" s="122">
        <f t="shared" si="156"/>
        <v>0</v>
      </c>
      <c r="T80" s="122">
        <f t="shared" si="156"/>
        <v>0</v>
      </c>
      <c r="U80" s="122">
        <f t="shared" si="156"/>
        <v>0</v>
      </c>
      <c r="V80" s="122">
        <f t="shared" si="156"/>
        <v>0</v>
      </c>
      <c r="W80" s="122">
        <f t="shared" ref="W80:Y80" si="157">IF(W58=0,0,W58/W69)</f>
        <v>0</v>
      </c>
      <c r="X80" s="122">
        <f t="shared" si="157"/>
        <v>0</v>
      </c>
      <c r="Y80" s="122">
        <f t="shared" si="157"/>
        <v>0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0</v>
      </c>
      <c r="C82" s="54">
        <f t="shared" si="158"/>
        <v>0</v>
      </c>
      <c r="D82" s="54">
        <f t="shared" si="158"/>
        <v>0</v>
      </c>
      <c r="E82" s="54">
        <f t="shared" si="158"/>
        <v>0</v>
      </c>
      <c r="F82" s="54">
        <f t="shared" si="158"/>
        <v>0</v>
      </c>
      <c r="G82" s="54">
        <f t="shared" si="158"/>
        <v>0</v>
      </c>
      <c r="H82" s="54">
        <f t="shared" si="158"/>
        <v>0</v>
      </c>
      <c r="I82" s="54">
        <f t="shared" si="158"/>
        <v>0</v>
      </c>
      <c r="J82" s="54">
        <f t="shared" si="158"/>
        <v>0</v>
      </c>
      <c r="K82" s="54">
        <f t="shared" ref="K82:V82" si="159">IF(K14=0,0,K14/K25*1000000)</f>
        <v>0</v>
      </c>
      <c r="L82" s="54">
        <f t="shared" si="159"/>
        <v>0</v>
      </c>
      <c r="M82" s="54">
        <f t="shared" si="159"/>
        <v>0</v>
      </c>
      <c r="N82" s="54">
        <f t="shared" si="159"/>
        <v>0</v>
      </c>
      <c r="O82" s="54">
        <f t="shared" si="159"/>
        <v>0</v>
      </c>
      <c r="P82" s="54">
        <f t="shared" si="159"/>
        <v>0</v>
      </c>
      <c r="Q82" s="54">
        <f t="shared" si="159"/>
        <v>0</v>
      </c>
      <c r="R82" s="54">
        <f t="shared" si="159"/>
        <v>0</v>
      </c>
      <c r="S82" s="54">
        <f t="shared" si="159"/>
        <v>0</v>
      </c>
      <c r="T82" s="54">
        <f t="shared" si="159"/>
        <v>0</v>
      </c>
      <c r="U82" s="54">
        <f t="shared" si="159"/>
        <v>0</v>
      </c>
      <c r="V82" s="54">
        <f t="shared" si="159"/>
        <v>0</v>
      </c>
      <c r="W82" s="54">
        <f t="shared" ref="W82:Y82" si="160">IF(W14=0,0,W14/W25*1000000)</f>
        <v>0</v>
      </c>
      <c r="X82" s="54">
        <f t="shared" si="160"/>
        <v>0</v>
      </c>
      <c r="Y82" s="54">
        <f t="shared" si="160"/>
        <v>0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0</v>
      </c>
      <c r="C83" s="28">
        <f t="shared" si="161"/>
        <v>0</v>
      </c>
      <c r="D83" s="28">
        <f t="shared" si="161"/>
        <v>0</v>
      </c>
      <c r="E83" s="28">
        <f t="shared" si="161"/>
        <v>0</v>
      </c>
      <c r="F83" s="28">
        <f t="shared" si="161"/>
        <v>0</v>
      </c>
      <c r="G83" s="28">
        <f t="shared" si="161"/>
        <v>0</v>
      </c>
      <c r="H83" s="28">
        <f t="shared" si="161"/>
        <v>0</v>
      </c>
      <c r="I83" s="28">
        <f t="shared" si="161"/>
        <v>0</v>
      </c>
      <c r="J83" s="28">
        <f t="shared" si="161"/>
        <v>0</v>
      </c>
      <c r="K83" s="28">
        <f t="shared" ref="K83:V83" si="162">IF(K15=0,0,K15/K26*1000000)</f>
        <v>0</v>
      </c>
      <c r="L83" s="28">
        <f t="shared" si="162"/>
        <v>0</v>
      </c>
      <c r="M83" s="28">
        <f t="shared" si="162"/>
        <v>0</v>
      </c>
      <c r="N83" s="28">
        <f t="shared" si="162"/>
        <v>0</v>
      </c>
      <c r="O83" s="28">
        <f t="shared" si="162"/>
        <v>0</v>
      </c>
      <c r="P83" s="28">
        <f t="shared" si="162"/>
        <v>0</v>
      </c>
      <c r="Q83" s="28">
        <f t="shared" si="162"/>
        <v>0</v>
      </c>
      <c r="R83" s="28">
        <f t="shared" si="162"/>
        <v>0</v>
      </c>
      <c r="S83" s="28">
        <f t="shared" si="162"/>
        <v>0</v>
      </c>
      <c r="T83" s="28">
        <f t="shared" si="162"/>
        <v>0</v>
      </c>
      <c r="U83" s="28">
        <f t="shared" si="162"/>
        <v>0</v>
      </c>
      <c r="V83" s="28">
        <f t="shared" si="162"/>
        <v>0</v>
      </c>
      <c r="W83" s="28">
        <f t="shared" ref="W83:Y83" si="163">IF(W15=0,0,W15/W26*1000000)</f>
        <v>0</v>
      </c>
      <c r="X83" s="28">
        <f t="shared" si="163"/>
        <v>0</v>
      </c>
      <c r="Y83" s="28">
        <f t="shared" si="163"/>
        <v>0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0</v>
      </c>
      <c r="G84" s="108">
        <f t="shared" si="161"/>
        <v>0</v>
      </c>
      <c r="H84" s="108">
        <f t="shared" si="161"/>
        <v>0</v>
      </c>
      <c r="I84" s="108">
        <f t="shared" si="161"/>
        <v>0</v>
      </c>
      <c r="J84" s="108">
        <f t="shared" si="161"/>
        <v>0</v>
      </c>
      <c r="K84" s="108">
        <f t="shared" ref="K84:V84" si="164">IF(K16=0,0,K16/K27*1000000)</f>
        <v>0</v>
      </c>
      <c r="L84" s="108">
        <f t="shared" si="164"/>
        <v>0</v>
      </c>
      <c r="M84" s="108">
        <f t="shared" si="164"/>
        <v>0</v>
      </c>
      <c r="N84" s="108">
        <f t="shared" si="164"/>
        <v>0</v>
      </c>
      <c r="O84" s="108">
        <f t="shared" si="164"/>
        <v>0</v>
      </c>
      <c r="P84" s="108">
        <f t="shared" si="164"/>
        <v>0</v>
      </c>
      <c r="Q84" s="108">
        <f t="shared" si="164"/>
        <v>0</v>
      </c>
      <c r="R84" s="108">
        <f t="shared" si="164"/>
        <v>0</v>
      </c>
      <c r="S84" s="108">
        <f t="shared" si="164"/>
        <v>0</v>
      </c>
      <c r="T84" s="108">
        <f t="shared" si="164"/>
        <v>0</v>
      </c>
      <c r="U84" s="108">
        <f t="shared" si="164"/>
        <v>0</v>
      </c>
      <c r="V84" s="108">
        <f t="shared" si="164"/>
        <v>0</v>
      </c>
      <c r="W84" s="108">
        <f t="shared" ref="W84:Y84" si="165">IF(W16=0,0,W16/W27*1000000)</f>
        <v>0</v>
      </c>
      <c r="X84" s="108">
        <f t="shared" si="165"/>
        <v>0</v>
      </c>
      <c r="Y84" s="108">
        <f t="shared" si="165"/>
        <v>0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0</v>
      </c>
      <c r="C85" s="110">
        <f t="shared" si="161"/>
        <v>0</v>
      </c>
      <c r="D85" s="110">
        <f t="shared" si="161"/>
        <v>0</v>
      </c>
      <c r="E85" s="110">
        <f t="shared" si="161"/>
        <v>0</v>
      </c>
      <c r="F85" s="110">
        <f t="shared" si="161"/>
        <v>0</v>
      </c>
      <c r="G85" s="110">
        <f t="shared" si="161"/>
        <v>0</v>
      </c>
      <c r="H85" s="110">
        <f t="shared" si="161"/>
        <v>0</v>
      </c>
      <c r="I85" s="110">
        <f t="shared" si="161"/>
        <v>0</v>
      </c>
      <c r="J85" s="110">
        <f t="shared" si="161"/>
        <v>0</v>
      </c>
      <c r="K85" s="110">
        <f t="shared" ref="K85:V85" si="166">IF(K17=0,0,K17/K28*1000000)</f>
        <v>0</v>
      </c>
      <c r="L85" s="110">
        <f t="shared" si="166"/>
        <v>0</v>
      </c>
      <c r="M85" s="110">
        <f t="shared" si="166"/>
        <v>0</v>
      </c>
      <c r="N85" s="110">
        <f t="shared" si="166"/>
        <v>0</v>
      </c>
      <c r="O85" s="110">
        <f t="shared" si="166"/>
        <v>0</v>
      </c>
      <c r="P85" s="110">
        <f t="shared" si="166"/>
        <v>0</v>
      </c>
      <c r="Q85" s="110">
        <f t="shared" si="166"/>
        <v>0</v>
      </c>
      <c r="R85" s="110">
        <f t="shared" si="166"/>
        <v>0</v>
      </c>
      <c r="S85" s="110">
        <f t="shared" si="166"/>
        <v>0</v>
      </c>
      <c r="T85" s="110">
        <f t="shared" si="166"/>
        <v>0</v>
      </c>
      <c r="U85" s="110">
        <f t="shared" si="166"/>
        <v>0</v>
      </c>
      <c r="V85" s="110">
        <f t="shared" si="166"/>
        <v>0</v>
      </c>
      <c r="W85" s="110">
        <f t="shared" ref="W85:Y85" si="167">IF(W17=0,0,W17/W28*1000000)</f>
        <v>0</v>
      </c>
      <c r="X85" s="110">
        <f t="shared" si="167"/>
        <v>0</v>
      </c>
      <c r="Y85" s="110">
        <f t="shared" si="167"/>
        <v>0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0</v>
      </c>
      <c r="C86" s="84">
        <f t="shared" si="161"/>
        <v>0</v>
      </c>
      <c r="D86" s="84">
        <f t="shared" si="161"/>
        <v>0</v>
      </c>
      <c r="E86" s="84">
        <f t="shared" si="161"/>
        <v>0</v>
      </c>
      <c r="F86" s="84">
        <f t="shared" si="161"/>
        <v>0</v>
      </c>
      <c r="G86" s="84">
        <f t="shared" si="161"/>
        <v>0</v>
      </c>
      <c r="H86" s="84">
        <f t="shared" si="161"/>
        <v>0</v>
      </c>
      <c r="I86" s="84">
        <f t="shared" si="161"/>
        <v>0</v>
      </c>
      <c r="J86" s="84">
        <f t="shared" si="161"/>
        <v>0</v>
      </c>
      <c r="K86" s="84">
        <f t="shared" ref="K86:V86" si="168">IF(K18=0,0,K18/K29*1000000)</f>
        <v>0</v>
      </c>
      <c r="L86" s="84">
        <f t="shared" si="168"/>
        <v>0</v>
      </c>
      <c r="M86" s="84">
        <f t="shared" si="168"/>
        <v>0</v>
      </c>
      <c r="N86" s="84">
        <f t="shared" si="168"/>
        <v>0</v>
      </c>
      <c r="O86" s="84">
        <f t="shared" si="168"/>
        <v>0</v>
      </c>
      <c r="P86" s="84">
        <f t="shared" si="168"/>
        <v>0</v>
      </c>
      <c r="Q86" s="84">
        <f t="shared" si="168"/>
        <v>0</v>
      </c>
      <c r="R86" s="84">
        <f t="shared" si="168"/>
        <v>0</v>
      </c>
      <c r="S86" s="84">
        <f t="shared" si="168"/>
        <v>0</v>
      </c>
      <c r="T86" s="84">
        <f t="shared" si="168"/>
        <v>0</v>
      </c>
      <c r="U86" s="84">
        <f t="shared" si="168"/>
        <v>0</v>
      </c>
      <c r="V86" s="84">
        <f t="shared" si="168"/>
        <v>0</v>
      </c>
      <c r="W86" s="84">
        <f t="shared" ref="W86:Y86" si="169">IF(W18=0,0,W18/W29*1000000)</f>
        <v>0</v>
      </c>
      <c r="X86" s="84">
        <f t="shared" si="169"/>
        <v>0</v>
      </c>
      <c r="Y86" s="84">
        <f t="shared" si="169"/>
        <v>0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0</v>
      </c>
      <c r="C87" s="84">
        <f t="shared" si="161"/>
        <v>0</v>
      </c>
      <c r="D87" s="84">
        <f t="shared" si="161"/>
        <v>0</v>
      </c>
      <c r="E87" s="84">
        <f t="shared" si="161"/>
        <v>0</v>
      </c>
      <c r="F87" s="84">
        <f t="shared" si="161"/>
        <v>0</v>
      </c>
      <c r="G87" s="84">
        <f t="shared" si="161"/>
        <v>0</v>
      </c>
      <c r="H87" s="84">
        <f t="shared" si="161"/>
        <v>0</v>
      </c>
      <c r="I87" s="84">
        <f t="shared" si="161"/>
        <v>0</v>
      </c>
      <c r="J87" s="84">
        <f t="shared" si="161"/>
        <v>0</v>
      </c>
      <c r="K87" s="84">
        <f t="shared" ref="K87:V87" si="170">IF(K19=0,0,K19/K30*1000000)</f>
        <v>0</v>
      </c>
      <c r="L87" s="84">
        <f t="shared" si="170"/>
        <v>0</v>
      </c>
      <c r="M87" s="84">
        <f t="shared" si="170"/>
        <v>0</v>
      </c>
      <c r="N87" s="84">
        <f t="shared" si="170"/>
        <v>0</v>
      </c>
      <c r="O87" s="84">
        <f t="shared" si="170"/>
        <v>0</v>
      </c>
      <c r="P87" s="84">
        <f t="shared" si="170"/>
        <v>0</v>
      </c>
      <c r="Q87" s="84">
        <f t="shared" si="170"/>
        <v>0</v>
      </c>
      <c r="R87" s="84">
        <f t="shared" si="170"/>
        <v>0</v>
      </c>
      <c r="S87" s="84">
        <f t="shared" si="170"/>
        <v>0</v>
      </c>
      <c r="T87" s="84">
        <f t="shared" si="170"/>
        <v>0</v>
      </c>
      <c r="U87" s="84">
        <f t="shared" si="170"/>
        <v>0</v>
      </c>
      <c r="V87" s="84">
        <f t="shared" si="170"/>
        <v>0</v>
      </c>
      <c r="W87" s="84">
        <f t="shared" ref="W87:Y87" si="171">IF(W19=0,0,W19/W30*1000000)</f>
        <v>0</v>
      </c>
      <c r="X87" s="84">
        <f t="shared" si="171"/>
        <v>0</v>
      </c>
      <c r="Y87" s="84">
        <f t="shared" si="171"/>
        <v>0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0</v>
      </c>
      <c r="C89" s="28">
        <f t="shared" si="161"/>
        <v>0</v>
      </c>
      <c r="D89" s="28">
        <f t="shared" si="161"/>
        <v>0</v>
      </c>
      <c r="E89" s="28">
        <f t="shared" si="161"/>
        <v>0</v>
      </c>
      <c r="F89" s="28">
        <f t="shared" si="161"/>
        <v>0</v>
      </c>
      <c r="G89" s="28">
        <f t="shared" si="161"/>
        <v>0</v>
      </c>
      <c r="H89" s="28">
        <f t="shared" si="161"/>
        <v>0</v>
      </c>
      <c r="I89" s="28">
        <f t="shared" si="161"/>
        <v>0</v>
      </c>
      <c r="J89" s="28">
        <f t="shared" si="161"/>
        <v>0</v>
      </c>
      <c r="K89" s="28">
        <f t="shared" ref="K89:V89" si="174">IF(K21=0,0,K21/K32*1000000)</f>
        <v>0</v>
      </c>
      <c r="L89" s="28">
        <f t="shared" si="174"/>
        <v>0</v>
      </c>
      <c r="M89" s="28">
        <f t="shared" si="174"/>
        <v>0</v>
      </c>
      <c r="N89" s="28">
        <f t="shared" si="174"/>
        <v>0</v>
      </c>
      <c r="O89" s="28">
        <f t="shared" si="174"/>
        <v>0</v>
      </c>
      <c r="P89" s="28">
        <f t="shared" si="174"/>
        <v>0</v>
      </c>
      <c r="Q89" s="28">
        <f t="shared" si="174"/>
        <v>0</v>
      </c>
      <c r="R89" s="28">
        <f t="shared" si="174"/>
        <v>0</v>
      </c>
      <c r="S89" s="28">
        <f t="shared" si="174"/>
        <v>0</v>
      </c>
      <c r="T89" s="28">
        <f t="shared" si="174"/>
        <v>0</v>
      </c>
      <c r="U89" s="28">
        <f t="shared" si="174"/>
        <v>0</v>
      </c>
      <c r="V89" s="28">
        <f t="shared" si="174"/>
        <v>0</v>
      </c>
      <c r="W89" s="28">
        <f t="shared" ref="W89:Y89" si="175">IF(W21=0,0,W21/W32*1000000)</f>
        <v>0</v>
      </c>
      <c r="X89" s="28">
        <f t="shared" si="175"/>
        <v>0</v>
      </c>
      <c r="Y89" s="28">
        <f t="shared" si="175"/>
        <v>0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0</v>
      </c>
      <c r="C90" s="84">
        <f t="shared" si="161"/>
        <v>0</v>
      </c>
      <c r="D90" s="84">
        <f t="shared" si="161"/>
        <v>0</v>
      </c>
      <c r="E90" s="84">
        <f t="shared" si="161"/>
        <v>0</v>
      </c>
      <c r="F90" s="84">
        <f t="shared" si="161"/>
        <v>0</v>
      </c>
      <c r="G90" s="84">
        <f t="shared" si="161"/>
        <v>0</v>
      </c>
      <c r="H90" s="84">
        <f t="shared" si="161"/>
        <v>0</v>
      </c>
      <c r="I90" s="84">
        <f t="shared" si="161"/>
        <v>0</v>
      </c>
      <c r="J90" s="84">
        <f t="shared" si="161"/>
        <v>0</v>
      </c>
      <c r="K90" s="84">
        <f t="shared" ref="K90:V90" si="176">IF(K22=0,0,K22/K33*1000000)</f>
        <v>0</v>
      </c>
      <c r="L90" s="84">
        <f t="shared" si="176"/>
        <v>0</v>
      </c>
      <c r="M90" s="84">
        <f t="shared" si="176"/>
        <v>0</v>
      </c>
      <c r="N90" s="84">
        <f t="shared" si="176"/>
        <v>0</v>
      </c>
      <c r="O90" s="84">
        <f t="shared" si="176"/>
        <v>0</v>
      </c>
      <c r="P90" s="84">
        <f t="shared" si="176"/>
        <v>0</v>
      </c>
      <c r="Q90" s="84">
        <f t="shared" si="176"/>
        <v>0</v>
      </c>
      <c r="R90" s="84">
        <f t="shared" si="176"/>
        <v>0</v>
      </c>
      <c r="S90" s="84">
        <f t="shared" si="176"/>
        <v>0</v>
      </c>
      <c r="T90" s="84">
        <f t="shared" si="176"/>
        <v>0</v>
      </c>
      <c r="U90" s="84">
        <f t="shared" si="176"/>
        <v>0</v>
      </c>
      <c r="V90" s="84">
        <f t="shared" si="176"/>
        <v>0</v>
      </c>
      <c r="W90" s="84">
        <f t="shared" ref="W90:Y90" si="177">IF(W22=0,0,W22/W33*1000000)</f>
        <v>0</v>
      </c>
      <c r="X90" s="84">
        <f t="shared" si="177"/>
        <v>0</v>
      </c>
      <c r="Y90" s="84">
        <f t="shared" si="177"/>
        <v>0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0</v>
      </c>
      <c r="E91" s="86">
        <f t="shared" si="161"/>
        <v>0</v>
      </c>
      <c r="F91" s="86">
        <f t="shared" si="161"/>
        <v>0</v>
      </c>
      <c r="G91" s="86">
        <f t="shared" si="161"/>
        <v>0</v>
      </c>
      <c r="H91" s="86">
        <f t="shared" si="161"/>
        <v>0</v>
      </c>
      <c r="I91" s="86">
        <f t="shared" si="161"/>
        <v>0</v>
      </c>
      <c r="J91" s="86">
        <f t="shared" si="161"/>
        <v>0</v>
      </c>
      <c r="K91" s="86">
        <f t="shared" ref="K91:V91" si="178">IF(K23=0,0,K23/K34*1000000)</f>
        <v>0</v>
      </c>
      <c r="L91" s="86">
        <f t="shared" si="178"/>
        <v>0</v>
      </c>
      <c r="M91" s="86">
        <f t="shared" si="178"/>
        <v>0</v>
      </c>
      <c r="N91" s="86">
        <f t="shared" si="178"/>
        <v>0</v>
      </c>
      <c r="O91" s="86">
        <f t="shared" si="178"/>
        <v>0</v>
      </c>
      <c r="P91" s="86">
        <f t="shared" si="178"/>
        <v>0</v>
      </c>
      <c r="Q91" s="86">
        <f t="shared" si="178"/>
        <v>0</v>
      </c>
      <c r="R91" s="86">
        <f t="shared" si="178"/>
        <v>0</v>
      </c>
      <c r="S91" s="86">
        <f t="shared" si="178"/>
        <v>0</v>
      </c>
      <c r="T91" s="86">
        <f t="shared" si="178"/>
        <v>0</v>
      </c>
      <c r="U91" s="86">
        <f t="shared" si="178"/>
        <v>0</v>
      </c>
      <c r="V91" s="86">
        <f t="shared" si="178"/>
        <v>0</v>
      </c>
      <c r="W91" s="86">
        <f t="shared" ref="W91:Y91" si="179">IF(W23=0,0,W23/W34*1000000)</f>
        <v>0</v>
      </c>
      <c r="X91" s="86">
        <f t="shared" si="179"/>
        <v>0</v>
      </c>
      <c r="Y91" s="86">
        <f t="shared" si="179"/>
        <v>0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0</v>
      </c>
      <c r="C94" s="28">
        <f t="shared" si="180"/>
        <v>0</v>
      </c>
      <c r="D94" s="28">
        <f t="shared" si="180"/>
        <v>0</v>
      </c>
      <c r="E94" s="28">
        <f t="shared" si="180"/>
        <v>0</v>
      </c>
      <c r="F94" s="28">
        <f t="shared" si="180"/>
        <v>0</v>
      </c>
      <c r="G94" s="28">
        <f t="shared" si="180"/>
        <v>0</v>
      </c>
      <c r="H94" s="28">
        <f t="shared" si="180"/>
        <v>0</v>
      </c>
      <c r="I94" s="28">
        <f t="shared" si="180"/>
        <v>0</v>
      </c>
      <c r="J94" s="28">
        <f t="shared" si="180"/>
        <v>0</v>
      </c>
      <c r="K94" s="28">
        <f t="shared" ref="K94:V94" si="181">IF(K4=0,0,K4/K26*1000000)</f>
        <v>0</v>
      </c>
      <c r="L94" s="28">
        <f t="shared" si="181"/>
        <v>0</v>
      </c>
      <c r="M94" s="28">
        <f t="shared" si="181"/>
        <v>0</v>
      </c>
      <c r="N94" s="28">
        <f t="shared" si="181"/>
        <v>0</v>
      </c>
      <c r="O94" s="28">
        <f t="shared" si="181"/>
        <v>0</v>
      </c>
      <c r="P94" s="28">
        <f t="shared" si="181"/>
        <v>0</v>
      </c>
      <c r="Q94" s="28">
        <f t="shared" si="181"/>
        <v>0</v>
      </c>
      <c r="R94" s="28">
        <f t="shared" si="181"/>
        <v>0</v>
      </c>
      <c r="S94" s="28">
        <f t="shared" si="181"/>
        <v>0</v>
      </c>
      <c r="T94" s="28">
        <f t="shared" si="181"/>
        <v>0</v>
      </c>
      <c r="U94" s="28">
        <f t="shared" si="181"/>
        <v>0</v>
      </c>
      <c r="V94" s="28">
        <f t="shared" si="181"/>
        <v>0</v>
      </c>
      <c r="W94" s="28">
        <f t="shared" ref="W94:Y94" si="182">IF(W4=0,0,W4/W26*1000000)</f>
        <v>0</v>
      </c>
      <c r="X94" s="28">
        <f t="shared" si="182"/>
        <v>0</v>
      </c>
      <c r="Y94" s="28">
        <f t="shared" si="182"/>
        <v>0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0</v>
      </c>
      <c r="G95" s="108">
        <f t="shared" si="180"/>
        <v>0</v>
      </c>
      <c r="H95" s="108">
        <f t="shared" si="180"/>
        <v>0</v>
      </c>
      <c r="I95" s="108">
        <f t="shared" si="180"/>
        <v>0</v>
      </c>
      <c r="J95" s="108">
        <f t="shared" si="180"/>
        <v>0</v>
      </c>
      <c r="K95" s="108">
        <f t="shared" ref="K95:V95" si="183">IF(K5=0,0,K5/K27*1000000)</f>
        <v>0</v>
      </c>
      <c r="L95" s="108">
        <f t="shared" si="183"/>
        <v>0</v>
      </c>
      <c r="M95" s="108">
        <f t="shared" si="183"/>
        <v>0</v>
      </c>
      <c r="N95" s="108">
        <f t="shared" si="183"/>
        <v>0</v>
      </c>
      <c r="O95" s="108">
        <f t="shared" si="183"/>
        <v>0</v>
      </c>
      <c r="P95" s="108">
        <f t="shared" si="183"/>
        <v>0</v>
      </c>
      <c r="Q95" s="108">
        <f t="shared" si="183"/>
        <v>0</v>
      </c>
      <c r="R95" s="108">
        <f t="shared" si="183"/>
        <v>0</v>
      </c>
      <c r="S95" s="108">
        <f t="shared" si="183"/>
        <v>0</v>
      </c>
      <c r="T95" s="108">
        <f t="shared" si="183"/>
        <v>0</v>
      </c>
      <c r="U95" s="108">
        <f t="shared" si="183"/>
        <v>0</v>
      </c>
      <c r="V95" s="108">
        <f t="shared" si="183"/>
        <v>0</v>
      </c>
      <c r="W95" s="108">
        <f t="shared" ref="W95:Y95" si="184">IF(W5=0,0,W5/W27*1000000)</f>
        <v>0</v>
      </c>
      <c r="X95" s="108">
        <f t="shared" si="184"/>
        <v>0</v>
      </c>
      <c r="Y95" s="108">
        <f t="shared" si="184"/>
        <v>0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0</v>
      </c>
      <c r="C96" s="110">
        <f t="shared" si="180"/>
        <v>0</v>
      </c>
      <c r="D96" s="110">
        <f t="shared" si="180"/>
        <v>0</v>
      </c>
      <c r="E96" s="110">
        <f t="shared" si="180"/>
        <v>0</v>
      </c>
      <c r="F96" s="110">
        <f t="shared" si="180"/>
        <v>0</v>
      </c>
      <c r="G96" s="110">
        <f t="shared" si="180"/>
        <v>0</v>
      </c>
      <c r="H96" s="110">
        <f t="shared" si="180"/>
        <v>0</v>
      </c>
      <c r="I96" s="110">
        <f t="shared" si="180"/>
        <v>0</v>
      </c>
      <c r="J96" s="110">
        <f t="shared" si="180"/>
        <v>0</v>
      </c>
      <c r="K96" s="110">
        <f t="shared" ref="K96:V96" si="185">IF(K6=0,0,K6/K28*1000000)</f>
        <v>0</v>
      </c>
      <c r="L96" s="110">
        <f t="shared" si="185"/>
        <v>0</v>
      </c>
      <c r="M96" s="110">
        <f t="shared" si="185"/>
        <v>0</v>
      </c>
      <c r="N96" s="110">
        <f t="shared" si="185"/>
        <v>0</v>
      </c>
      <c r="O96" s="110">
        <f t="shared" si="185"/>
        <v>0</v>
      </c>
      <c r="P96" s="110">
        <f t="shared" si="185"/>
        <v>0</v>
      </c>
      <c r="Q96" s="110">
        <f t="shared" si="185"/>
        <v>0</v>
      </c>
      <c r="R96" s="110">
        <f t="shared" si="185"/>
        <v>0</v>
      </c>
      <c r="S96" s="110">
        <f t="shared" si="185"/>
        <v>0</v>
      </c>
      <c r="T96" s="110">
        <f t="shared" si="185"/>
        <v>0</v>
      </c>
      <c r="U96" s="110">
        <f t="shared" si="185"/>
        <v>0</v>
      </c>
      <c r="V96" s="110">
        <f t="shared" si="185"/>
        <v>0</v>
      </c>
      <c r="W96" s="110">
        <f t="shared" ref="W96:Y96" si="186">IF(W6=0,0,W6/W28*1000000)</f>
        <v>0</v>
      </c>
      <c r="X96" s="110">
        <f t="shared" si="186"/>
        <v>0</v>
      </c>
      <c r="Y96" s="110">
        <f t="shared" si="186"/>
        <v>0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0</v>
      </c>
      <c r="C97" s="84">
        <f t="shared" si="180"/>
        <v>0</v>
      </c>
      <c r="D97" s="84">
        <f t="shared" si="180"/>
        <v>0</v>
      </c>
      <c r="E97" s="84">
        <f t="shared" si="180"/>
        <v>0</v>
      </c>
      <c r="F97" s="84">
        <f t="shared" si="180"/>
        <v>0</v>
      </c>
      <c r="G97" s="84">
        <f t="shared" si="180"/>
        <v>0</v>
      </c>
      <c r="H97" s="84">
        <f t="shared" si="180"/>
        <v>0</v>
      </c>
      <c r="I97" s="84">
        <f t="shared" si="180"/>
        <v>0</v>
      </c>
      <c r="J97" s="84">
        <f t="shared" si="180"/>
        <v>0</v>
      </c>
      <c r="K97" s="84">
        <f t="shared" ref="K97:V97" si="187">IF(K7=0,0,K7/K29*1000000)</f>
        <v>0</v>
      </c>
      <c r="L97" s="84">
        <f t="shared" si="187"/>
        <v>0</v>
      </c>
      <c r="M97" s="84">
        <f t="shared" si="187"/>
        <v>0</v>
      </c>
      <c r="N97" s="84">
        <f t="shared" si="187"/>
        <v>0</v>
      </c>
      <c r="O97" s="84">
        <f t="shared" si="187"/>
        <v>0</v>
      </c>
      <c r="P97" s="84">
        <f t="shared" si="187"/>
        <v>0</v>
      </c>
      <c r="Q97" s="84">
        <f t="shared" si="187"/>
        <v>0</v>
      </c>
      <c r="R97" s="84">
        <f t="shared" si="187"/>
        <v>0</v>
      </c>
      <c r="S97" s="84">
        <f t="shared" si="187"/>
        <v>0</v>
      </c>
      <c r="T97" s="84">
        <f t="shared" si="187"/>
        <v>0</v>
      </c>
      <c r="U97" s="84">
        <f t="shared" si="187"/>
        <v>0</v>
      </c>
      <c r="V97" s="84">
        <f t="shared" si="187"/>
        <v>0</v>
      </c>
      <c r="W97" s="84">
        <f t="shared" ref="W97:Y97" si="188">IF(W7=0,0,W7/W29*1000000)</f>
        <v>0</v>
      </c>
      <c r="X97" s="84">
        <f t="shared" si="188"/>
        <v>0</v>
      </c>
      <c r="Y97" s="84">
        <f t="shared" si="188"/>
        <v>0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0</v>
      </c>
      <c r="C98" s="84">
        <f t="shared" si="180"/>
        <v>0</v>
      </c>
      <c r="D98" s="84">
        <f t="shared" si="180"/>
        <v>0</v>
      </c>
      <c r="E98" s="84">
        <f t="shared" si="180"/>
        <v>0</v>
      </c>
      <c r="F98" s="84">
        <f t="shared" si="180"/>
        <v>0</v>
      </c>
      <c r="G98" s="84">
        <f t="shared" si="180"/>
        <v>0</v>
      </c>
      <c r="H98" s="84">
        <f t="shared" si="180"/>
        <v>0</v>
      </c>
      <c r="I98" s="84">
        <f t="shared" si="180"/>
        <v>0</v>
      </c>
      <c r="J98" s="84">
        <f t="shared" si="180"/>
        <v>0</v>
      </c>
      <c r="K98" s="84">
        <f t="shared" ref="K98:V98" si="189">IF(K8=0,0,K8/K30*1000000)</f>
        <v>0</v>
      </c>
      <c r="L98" s="84">
        <f t="shared" si="189"/>
        <v>0</v>
      </c>
      <c r="M98" s="84">
        <f t="shared" si="189"/>
        <v>0</v>
      </c>
      <c r="N98" s="84">
        <f t="shared" si="189"/>
        <v>0</v>
      </c>
      <c r="O98" s="84">
        <f t="shared" si="189"/>
        <v>0</v>
      </c>
      <c r="P98" s="84">
        <f t="shared" si="189"/>
        <v>0</v>
      </c>
      <c r="Q98" s="84">
        <f t="shared" si="189"/>
        <v>0</v>
      </c>
      <c r="R98" s="84">
        <f t="shared" si="189"/>
        <v>0</v>
      </c>
      <c r="S98" s="84">
        <f t="shared" si="189"/>
        <v>0</v>
      </c>
      <c r="T98" s="84">
        <f t="shared" si="189"/>
        <v>0</v>
      </c>
      <c r="U98" s="84">
        <f t="shared" si="189"/>
        <v>0</v>
      </c>
      <c r="V98" s="84">
        <f t="shared" si="189"/>
        <v>0</v>
      </c>
      <c r="W98" s="84">
        <f t="shared" ref="W98:Y98" si="190">IF(W8=0,0,W8/W30*1000000)</f>
        <v>0</v>
      </c>
      <c r="X98" s="84">
        <f t="shared" si="190"/>
        <v>0</v>
      </c>
      <c r="Y98" s="84">
        <f t="shared" si="190"/>
        <v>0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0</v>
      </c>
      <c r="C100" s="28">
        <f t="shared" si="180"/>
        <v>0</v>
      </c>
      <c r="D100" s="28">
        <f t="shared" si="180"/>
        <v>0</v>
      </c>
      <c r="E100" s="28">
        <f t="shared" si="180"/>
        <v>0</v>
      </c>
      <c r="F100" s="28">
        <f t="shared" si="180"/>
        <v>0</v>
      </c>
      <c r="G100" s="28">
        <f t="shared" si="180"/>
        <v>0</v>
      </c>
      <c r="H100" s="28">
        <f t="shared" si="180"/>
        <v>0</v>
      </c>
      <c r="I100" s="28">
        <f t="shared" si="180"/>
        <v>0</v>
      </c>
      <c r="J100" s="28">
        <f t="shared" si="180"/>
        <v>0</v>
      </c>
      <c r="K100" s="28">
        <f t="shared" ref="K100:V100" si="193">IF(K10=0,0,K10/K32*1000000)</f>
        <v>0</v>
      </c>
      <c r="L100" s="28">
        <f t="shared" si="193"/>
        <v>0</v>
      </c>
      <c r="M100" s="28">
        <f t="shared" si="193"/>
        <v>0</v>
      </c>
      <c r="N100" s="28">
        <f t="shared" si="193"/>
        <v>0</v>
      </c>
      <c r="O100" s="28">
        <f t="shared" si="193"/>
        <v>0</v>
      </c>
      <c r="P100" s="28">
        <f t="shared" si="193"/>
        <v>0</v>
      </c>
      <c r="Q100" s="28">
        <f t="shared" si="193"/>
        <v>0</v>
      </c>
      <c r="R100" s="28">
        <f t="shared" si="193"/>
        <v>0</v>
      </c>
      <c r="S100" s="28">
        <f t="shared" si="193"/>
        <v>0</v>
      </c>
      <c r="T100" s="28">
        <f t="shared" si="193"/>
        <v>0</v>
      </c>
      <c r="U100" s="28">
        <f t="shared" si="193"/>
        <v>0</v>
      </c>
      <c r="V100" s="28">
        <f t="shared" si="193"/>
        <v>0</v>
      </c>
      <c r="W100" s="28">
        <f t="shared" ref="W100:Y100" si="194">IF(W10=0,0,W10/W32*1000000)</f>
        <v>0</v>
      </c>
      <c r="X100" s="28">
        <f t="shared" si="194"/>
        <v>0</v>
      </c>
      <c r="Y100" s="28">
        <f t="shared" si="194"/>
        <v>0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0</v>
      </c>
      <c r="C101" s="84">
        <f t="shared" si="180"/>
        <v>0</v>
      </c>
      <c r="D101" s="84">
        <f t="shared" si="180"/>
        <v>0</v>
      </c>
      <c r="E101" s="84">
        <f t="shared" si="180"/>
        <v>0</v>
      </c>
      <c r="F101" s="84">
        <f t="shared" si="180"/>
        <v>0</v>
      </c>
      <c r="G101" s="84">
        <f t="shared" si="180"/>
        <v>0</v>
      </c>
      <c r="H101" s="84">
        <f t="shared" si="180"/>
        <v>0</v>
      </c>
      <c r="I101" s="84">
        <f t="shared" si="180"/>
        <v>0</v>
      </c>
      <c r="J101" s="84">
        <f t="shared" si="180"/>
        <v>0</v>
      </c>
      <c r="K101" s="84">
        <f t="shared" ref="K101:V101" si="195">IF(K11=0,0,K11/K33*1000000)</f>
        <v>0</v>
      </c>
      <c r="L101" s="84">
        <f t="shared" si="195"/>
        <v>0</v>
      </c>
      <c r="M101" s="84">
        <f t="shared" si="195"/>
        <v>0</v>
      </c>
      <c r="N101" s="84">
        <f t="shared" si="195"/>
        <v>0</v>
      </c>
      <c r="O101" s="84">
        <f t="shared" si="195"/>
        <v>0</v>
      </c>
      <c r="P101" s="84">
        <f t="shared" si="195"/>
        <v>0</v>
      </c>
      <c r="Q101" s="84">
        <f t="shared" si="195"/>
        <v>0</v>
      </c>
      <c r="R101" s="84">
        <f t="shared" si="195"/>
        <v>0</v>
      </c>
      <c r="S101" s="84">
        <f t="shared" si="195"/>
        <v>0</v>
      </c>
      <c r="T101" s="84">
        <f t="shared" si="195"/>
        <v>0</v>
      </c>
      <c r="U101" s="84">
        <f t="shared" si="195"/>
        <v>0</v>
      </c>
      <c r="V101" s="84">
        <f t="shared" si="195"/>
        <v>0</v>
      </c>
      <c r="W101" s="84">
        <f t="shared" ref="W101:Y101" si="196">IF(W11=0,0,W11/W33*1000000)</f>
        <v>0</v>
      </c>
      <c r="X101" s="84">
        <f t="shared" si="196"/>
        <v>0</v>
      </c>
      <c r="Y101" s="84">
        <f t="shared" si="196"/>
        <v>0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0</v>
      </c>
      <c r="E102" s="86">
        <f t="shared" si="180"/>
        <v>0</v>
      </c>
      <c r="F102" s="86">
        <f t="shared" si="180"/>
        <v>0</v>
      </c>
      <c r="G102" s="86">
        <f t="shared" si="180"/>
        <v>0</v>
      </c>
      <c r="H102" s="86">
        <f t="shared" si="180"/>
        <v>0</v>
      </c>
      <c r="I102" s="86">
        <f t="shared" si="180"/>
        <v>0</v>
      </c>
      <c r="J102" s="86">
        <f t="shared" si="180"/>
        <v>0</v>
      </c>
      <c r="K102" s="86">
        <f t="shared" ref="K102:V102" si="197">IF(K12=0,0,K12/K34*1000000)</f>
        <v>0</v>
      </c>
      <c r="L102" s="86">
        <f t="shared" si="197"/>
        <v>0</v>
      </c>
      <c r="M102" s="86">
        <f t="shared" si="197"/>
        <v>0</v>
      </c>
      <c r="N102" s="86">
        <f t="shared" si="197"/>
        <v>0</v>
      </c>
      <c r="O102" s="86">
        <f t="shared" si="197"/>
        <v>0</v>
      </c>
      <c r="P102" s="86">
        <f t="shared" si="197"/>
        <v>0</v>
      </c>
      <c r="Q102" s="86">
        <f t="shared" si="197"/>
        <v>0</v>
      </c>
      <c r="R102" s="86">
        <f t="shared" si="197"/>
        <v>0</v>
      </c>
      <c r="S102" s="86">
        <f t="shared" si="197"/>
        <v>0</v>
      </c>
      <c r="T102" s="86">
        <f t="shared" si="197"/>
        <v>0</v>
      </c>
      <c r="U102" s="86">
        <f t="shared" si="197"/>
        <v>0</v>
      </c>
      <c r="V102" s="86">
        <f t="shared" si="197"/>
        <v>0</v>
      </c>
      <c r="W102" s="86">
        <f t="shared" ref="W102:Y102" si="198">IF(W12=0,0,W12/W34*1000000)</f>
        <v>0</v>
      </c>
      <c r="X102" s="86">
        <f t="shared" si="198"/>
        <v>0</v>
      </c>
      <c r="Y102" s="86">
        <f t="shared" si="198"/>
        <v>0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0</v>
      </c>
      <c r="C105" s="31">
        <f t="shared" si="199"/>
        <v>0</v>
      </c>
      <c r="D105" s="31">
        <f t="shared" si="199"/>
        <v>0</v>
      </c>
      <c r="E105" s="31">
        <f t="shared" si="199"/>
        <v>0</v>
      </c>
      <c r="F105" s="31">
        <f t="shared" si="199"/>
        <v>0</v>
      </c>
      <c r="G105" s="31">
        <f t="shared" si="199"/>
        <v>0</v>
      </c>
      <c r="H105" s="31">
        <f t="shared" si="199"/>
        <v>0</v>
      </c>
      <c r="I105" s="31">
        <f t="shared" si="199"/>
        <v>0</v>
      </c>
      <c r="J105" s="31">
        <f t="shared" si="199"/>
        <v>0</v>
      </c>
      <c r="K105" s="31">
        <f t="shared" ref="K105:V105" si="200">IF(K4=0,0,K4/K$4)</f>
        <v>0</v>
      </c>
      <c r="L105" s="31">
        <f t="shared" si="200"/>
        <v>0</v>
      </c>
      <c r="M105" s="31">
        <f t="shared" si="200"/>
        <v>0</v>
      </c>
      <c r="N105" s="31">
        <f t="shared" si="200"/>
        <v>0</v>
      </c>
      <c r="O105" s="31">
        <f t="shared" si="200"/>
        <v>0</v>
      </c>
      <c r="P105" s="31">
        <f t="shared" si="200"/>
        <v>0</v>
      </c>
      <c r="Q105" s="31">
        <f t="shared" si="200"/>
        <v>0</v>
      </c>
      <c r="R105" s="31">
        <f t="shared" si="200"/>
        <v>0</v>
      </c>
      <c r="S105" s="31">
        <f t="shared" si="200"/>
        <v>0</v>
      </c>
      <c r="T105" s="31">
        <f t="shared" si="200"/>
        <v>0</v>
      </c>
      <c r="U105" s="31">
        <f t="shared" si="200"/>
        <v>0</v>
      </c>
      <c r="V105" s="31">
        <f t="shared" si="200"/>
        <v>0</v>
      </c>
      <c r="W105" s="31">
        <f t="shared" ref="W105:Y105" si="201">IF(W4=0,0,W4/W$4)</f>
        <v>0</v>
      </c>
      <c r="X105" s="31">
        <f t="shared" si="201"/>
        <v>0</v>
      </c>
      <c r="Y105" s="31">
        <f t="shared" si="201"/>
        <v>0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0</v>
      </c>
      <c r="G106" s="123">
        <f t="shared" si="199"/>
        <v>0</v>
      </c>
      <c r="H106" s="123">
        <f t="shared" si="199"/>
        <v>0</v>
      </c>
      <c r="I106" s="123">
        <f t="shared" si="199"/>
        <v>0</v>
      </c>
      <c r="J106" s="123">
        <f t="shared" si="199"/>
        <v>0</v>
      </c>
      <c r="K106" s="123">
        <f t="shared" ref="K106:V106" si="202">IF(K5=0,0,K5/K$4)</f>
        <v>0</v>
      </c>
      <c r="L106" s="123">
        <f t="shared" si="202"/>
        <v>0</v>
      </c>
      <c r="M106" s="123">
        <f t="shared" si="202"/>
        <v>0</v>
      </c>
      <c r="N106" s="123">
        <f t="shared" si="202"/>
        <v>0</v>
      </c>
      <c r="O106" s="123">
        <f t="shared" si="202"/>
        <v>0</v>
      </c>
      <c r="P106" s="123">
        <f t="shared" si="202"/>
        <v>0</v>
      </c>
      <c r="Q106" s="123">
        <f t="shared" si="202"/>
        <v>0</v>
      </c>
      <c r="R106" s="123">
        <f t="shared" si="202"/>
        <v>0</v>
      </c>
      <c r="S106" s="123">
        <f t="shared" si="202"/>
        <v>0</v>
      </c>
      <c r="T106" s="123">
        <f t="shared" si="202"/>
        <v>0</v>
      </c>
      <c r="U106" s="123">
        <f t="shared" si="202"/>
        <v>0</v>
      </c>
      <c r="V106" s="123">
        <f t="shared" si="202"/>
        <v>0</v>
      </c>
      <c r="W106" s="123">
        <f t="shared" ref="W106:Y106" si="203">IF(W5=0,0,W5/W$4)</f>
        <v>0</v>
      </c>
      <c r="X106" s="123">
        <f t="shared" si="203"/>
        <v>0</v>
      </c>
      <c r="Y106" s="123">
        <f t="shared" si="203"/>
        <v>0</v>
      </c>
      <c r="DA106" s="203"/>
    </row>
    <row r="107" spans="1:105" ht="11.45" customHeight="1" x14ac:dyDescent="0.25">
      <c r="A107" s="109" t="s">
        <v>24</v>
      </c>
      <c r="B107" s="124">
        <f t="shared" si="199"/>
        <v>0</v>
      </c>
      <c r="C107" s="124">
        <f t="shared" si="199"/>
        <v>0</v>
      </c>
      <c r="D107" s="124">
        <f t="shared" si="199"/>
        <v>0</v>
      </c>
      <c r="E107" s="124">
        <f t="shared" si="199"/>
        <v>0</v>
      </c>
      <c r="F107" s="124">
        <f t="shared" si="199"/>
        <v>0</v>
      </c>
      <c r="G107" s="124">
        <f t="shared" si="199"/>
        <v>0</v>
      </c>
      <c r="H107" s="124">
        <f t="shared" si="199"/>
        <v>0</v>
      </c>
      <c r="I107" s="124">
        <f t="shared" si="199"/>
        <v>0</v>
      </c>
      <c r="J107" s="124">
        <f t="shared" si="199"/>
        <v>0</v>
      </c>
      <c r="K107" s="124">
        <f t="shared" ref="K107:V107" si="204">IF(K6=0,0,K6/K$4)</f>
        <v>0</v>
      </c>
      <c r="L107" s="124">
        <f t="shared" si="204"/>
        <v>0</v>
      </c>
      <c r="M107" s="124">
        <f t="shared" si="204"/>
        <v>0</v>
      </c>
      <c r="N107" s="124">
        <f t="shared" si="204"/>
        <v>0</v>
      </c>
      <c r="O107" s="124">
        <f t="shared" si="204"/>
        <v>0</v>
      </c>
      <c r="P107" s="124">
        <f t="shared" si="204"/>
        <v>0</v>
      </c>
      <c r="Q107" s="124">
        <f t="shared" si="204"/>
        <v>0</v>
      </c>
      <c r="R107" s="124">
        <f t="shared" si="204"/>
        <v>0</v>
      </c>
      <c r="S107" s="124">
        <f t="shared" si="204"/>
        <v>0</v>
      </c>
      <c r="T107" s="124">
        <f t="shared" si="204"/>
        <v>0</v>
      </c>
      <c r="U107" s="124">
        <f t="shared" si="204"/>
        <v>0</v>
      </c>
      <c r="V107" s="124">
        <f t="shared" si="204"/>
        <v>0</v>
      </c>
      <c r="W107" s="124">
        <f t="shared" ref="W107:Y107" si="205">IF(W6=0,0,W6/W$4)</f>
        <v>0</v>
      </c>
      <c r="X107" s="124">
        <f t="shared" si="205"/>
        <v>0</v>
      </c>
      <c r="Y107" s="124">
        <f t="shared" si="205"/>
        <v>0</v>
      </c>
      <c r="DA107" s="176"/>
    </row>
    <row r="108" spans="1:105" ht="11.45" customHeight="1" x14ac:dyDescent="0.25">
      <c r="A108" s="111" t="s">
        <v>92</v>
      </c>
      <c r="B108" s="125">
        <f t="shared" si="199"/>
        <v>0</v>
      </c>
      <c r="C108" s="125">
        <f t="shared" si="199"/>
        <v>0</v>
      </c>
      <c r="D108" s="125">
        <f t="shared" si="199"/>
        <v>0</v>
      </c>
      <c r="E108" s="125">
        <f t="shared" si="199"/>
        <v>0</v>
      </c>
      <c r="F108" s="125">
        <f t="shared" si="199"/>
        <v>0</v>
      </c>
      <c r="G108" s="125">
        <f t="shared" si="199"/>
        <v>0</v>
      </c>
      <c r="H108" s="125">
        <f t="shared" si="199"/>
        <v>0</v>
      </c>
      <c r="I108" s="125">
        <f t="shared" si="199"/>
        <v>0</v>
      </c>
      <c r="J108" s="125">
        <f t="shared" si="199"/>
        <v>0</v>
      </c>
      <c r="K108" s="125">
        <f t="shared" ref="K108:V108" si="206">IF(K7=0,0,K7/K$4)</f>
        <v>0</v>
      </c>
      <c r="L108" s="125">
        <f t="shared" si="206"/>
        <v>0</v>
      </c>
      <c r="M108" s="125">
        <f t="shared" si="206"/>
        <v>0</v>
      </c>
      <c r="N108" s="125">
        <f t="shared" si="206"/>
        <v>0</v>
      </c>
      <c r="O108" s="125">
        <f t="shared" si="206"/>
        <v>0</v>
      </c>
      <c r="P108" s="125">
        <f t="shared" si="206"/>
        <v>0</v>
      </c>
      <c r="Q108" s="125">
        <f t="shared" si="206"/>
        <v>0</v>
      </c>
      <c r="R108" s="125">
        <f t="shared" si="206"/>
        <v>0</v>
      </c>
      <c r="S108" s="125">
        <f t="shared" si="206"/>
        <v>0</v>
      </c>
      <c r="T108" s="125">
        <f t="shared" si="206"/>
        <v>0</v>
      </c>
      <c r="U108" s="125">
        <f t="shared" si="206"/>
        <v>0</v>
      </c>
      <c r="V108" s="125">
        <f t="shared" si="206"/>
        <v>0</v>
      </c>
      <c r="W108" s="125">
        <f t="shared" ref="W108:Y108" si="207">IF(W7=0,0,W7/W$4)</f>
        <v>0</v>
      </c>
      <c r="X108" s="125">
        <f t="shared" si="207"/>
        <v>0</v>
      </c>
      <c r="Y108" s="125">
        <f t="shared" si="207"/>
        <v>0</v>
      </c>
      <c r="DA108" s="171"/>
    </row>
    <row r="109" spans="1:105" ht="11.45" customHeight="1" x14ac:dyDescent="0.25">
      <c r="A109" s="111" t="s">
        <v>93</v>
      </c>
      <c r="B109" s="125">
        <f t="shared" si="199"/>
        <v>0</v>
      </c>
      <c r="C109" s="125">
        <f t="shared" si="199"/>
        <v>0</v>
      </c>
      <c r="D109" s="125">
        <f t="shared" si="199"/>
        <v>0</v>
      </c>
      <c r="E109" s="125">
        <f t="shared" si="199"/>
        <v>0</v>
      </c>
      <c r="F109" s="125">
        <f t="shared" si="199"/>
        <v>0</v>
      </c>
      <c r="G109" s="125">
        <f t="shared" si="199"/>
        <v>0</v>
      </c>
      <c r="H109" s="125">
        <f t="shared" si="199"/>
        <v>0</v>
      </c>
      <c r="I109" s="125">
        <f t="shared" si="199"/>
        <v>0</v>
      </c>
      <c r="J109" s="125">
        <f t="shared" si="199"/>
        <v>0</v>
      </c>
      <c r="K109" s="125">
        <f t="shared" ref="K109:V109" si="208">IF(K8=0,0,K8/K$4)</f>
        <v>0</v>
      </c>
      <c r="L109" s="125">
        <f t="shared" si="208"/>
        <v>0</v>
      </c>
      <c r="M109" s="125">
        <f t="shared" si="208"/>
        <v>0</v>
      </c>
      <c r="N109" s="125">
        <f t="shared" si="208"/>
        <v>0</v>
      </c>
      <c r="O109" s="125">
        <f t="shared" si="208"/>
        <v>0</v>
      </c>
      <c r="P109" s="125">
        <f t="shared" si="208"/>
        <v>0</v>
      </c>
      <c r="Q109" s="125">
        <f t="shared" si="208"/>
        <v>0</v>
      </c>
      <c r="R109" s="125">
        <f t="shared" si="208"/>
        <v>0</v>
      </c>
      <c r="S109" s="125">
        <f t="shared" si="208"/>
        <v>0</v>
      </c>
      <c r="T109" s="125">
        <f t="shared" si="208"/>
        <v>0</v>
      </c>
      <c r="U109" s="125">
        <f t="shared" si="208"/>
        <v>0</v>
      </c>
      <c r="V109" s="125">
        <f t="shared" si="208"/>
        <v>0</v>
      </c>
      <c r="W109" s="125">
        <f t="shared" ref="W109:Y109" si="209">IF(W8=0,0,W8/W$4)</f>
        <v>0</v>
      </c>
      <c r="X109" s="125">
        <f t="shared" si="209"/>
        <v>0</v>
      </c>
      <c r="Y109" s="125">
        <f t="shared" si="209"/>
        <v>0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0</v>
      </c>
      <c r="C111" s="31">
        <f t="shared" si="212"/>
        <v>0</v>
      </c>
      <c r="D111" s="31">
        <f t="shared" si="212"/>
        <v>0</v>
      </c>
      <c r="E111" s="31">
        <f t="shared" si="212"/>
        <v>0</v>
      </c>
      <c r="F111" s="31">
        <f t="shared" si="212"/>
        <v>0</v>
      </c>
      <c r="G111" s="31">
        <f t="shared" si="212"/>
        <v>0</v>
      </c>
      <c r="H111" s="31">
        <f t="shared" si="212"/>
        <v>0</v>
      </c>
      <c r="I111" s="31">
        <f t="shared" si="212"/>
        <v>0</v>
      </c>
      <c r="J111" s="31">
        <f t="shared" si="212"/>
        <v>0</v>
      </c>
      <c r="K111" s="31">
        <f t="shared" ref="K111:V111" si="213">IF(K10=0,0,K10/K$10)</f>
        <v>0</v>
      </c>
      <c r="L111" s="31">
        <f t="shared" si="213"/>
        <v>0</v>
      </c>
      <c r="M111" s="31">
        <f t="shared" si="213"/>
        <v>0</v>
      </c>
      <c r="N111" s="31">
        <f t="shared" si="213"/>
        <v>0</v>
      </c>
      <c r="O111" s="31">
        <f t="shared" si="213"/>
        <v>0</v>
      </c>
      <c r="P111" s="31">
        <f t="shared" si="213"/>
        <v>0</v>
      </c>
      <c r="Q111" s="31">
        <f t="shared" si="213"/>
        <v>0</v>
      </c>
      <c r="R111" s="31">
        <f t="shared" si="213"/>
        <v>0</v>
      </c>
      <c r="S111" s="31">
        <f t="shared" si="213"/>
        <v>0</v>
      </c>
      <c r="T111" s="31">
        <f t="shared" si="213"/>
        <v>0</v>
      </c>
      <c r="U111" s="31">
        <f t="shared" si="213"/>
        <v>0</v>
      </c>
      <c r="V111" s="31">
        <f t="shared" si="213"/>
        <v>0</v>
      </c>
      <c r="W111" s="31">
        <f t="shared" ref="W111:Y111" si="214">IF(W10=0,0,W10/W$10)</f>
        <v>0</v>
      </c>
      <c r="X111" s="31">
        <f t="shared" si="214"/>
        <v>0</v>
      </c>
      <c r="Y111" s="31">
        <f t="shared" si="214"/>
        <v>0</v>
      </c>
      <c r="DA111" s="173"/>
    </row>
    <row r="112" spans="1:105" ht="11.45" customHeight="1" x14ac:dyDescent="0.25">
      <c r="A112" s="83" t="s">
        <v>92</v>
      </c>
      <c r="B112" s="125">
        <f t="shared" si="212"/>
        <v>0</v>
      </c>
      <c r="C112" s="125">
        <f t="shared" si="212"/>
        <v>0</v>
      </c>
      <c r="D112" s="125">
        <f t="shared" si="212"/>
        <v>0</v>
      </c>
      <c r="E112" s="125">
        <f t="shared" si="212"/>
        <v>0</v>
      </c>
      <c r="F112" s="125">
        <f t="shared" si="212"/>
        <v>0</v>
      </c>
      <c r="G112" s="125">
        <f t="shared" si="212"/>
        <v>0</v>
      </c>
      <c r="H112" s="125">
        <f t="shared" si="212"/>
        <v>0</v>
      </c>
      <c r="I112" s="125">
        <f t="shared" si="212"/>
        <v>0</v>
      </c>
      <c r="J112" s="125">
        <f t="shared" si="212"/>
        <v>0</v>
      </c>
      <c r="K112" s="125">
        <f t="shared" ref="K112:V112" si="215">IF(K11=0,0,K11/K$10)</f>
        <v>0</v>
      </c>
      <c r="L112" s="125">
        <f t="shared" si="215"/>
        <v>0</v>
      </c>
      <c r="M112" s="125">
        <f t="shared" si="215"/>
        <v>0</v>
      </c>
      <c r="N112" s="125">
        <f t="shared" si="215"/>
        <v>0</v>
      </c>
      <c r="O112" s="125">
        <f t="shared" si="215"/>
        <v>0</v>
      </c>
      <c r="P112" s="125">
        <f t="shared" si="215"/>
        <v>0</v>
      </c>
      <c r="Q112" s="125">
        <f t="shared" si="215"/>
        <v>0</v>
      </c>
      <c r="R112" s="125">
        <f t="shared" si="215"/>
        <v>0</v>
      </c>
      <c r="S112" s="125">
        <f t="shared" si="215"/>
        <v>0</v>
      </c>
      <c r="T112" s="125">
        <f t="shared" si="215"/>
        <v>0</v>
      </c>
      <c r="U112" s="125">
        <f t="shared" si="215"/>
        <v>0</v>
      </c>
      <c r="V112" s="125">
        <f t="shared" si="215"/>
        <v>0</v>
      </c>
      <c r="W112" s="125">
        <f t="shared" ref="W112:Y112" si="216">IF(W11=0,0,W11/W$10)</f>
        <v>0</v>
      </c>
      <c r="X112" s="125">
        <f t="shared" si="216"/>
        <v>0</v>
      </c>
      <c r="Y112" s="125">
        <f t="shared" si="216"/>
        <v>0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0</v>
      </c>
      <c r="E113" s="127">
        <f t="shared" si="212"/>
        <v>0</v>
      </c>
      <c r="F113" s="127">
        <f t="shared" si="212"/>
        <v>0</v>
      </c>
      <c r="G113" s="127">
        <f t="shared" si="212"/>
        <v>0</v>
      </c>
      <c r="H113" s="127">
        <f t="shared" si="212"/>
        <v>0</v>
      </c>
      <c r="I113" s="127">
        <f t="shared" si="212"/>
        <v>0</v>
      </c>
      <c r="J113" s="127">
        <f t="shared" si="212"/>
        <v>0</v>
      </c>
      <c r="K113" s="127">
        <f t="shared" ref="K113:V113" si="217">IF(K12=0,0,K12/K$10)</f>
        <v>0</v>
      </c>
      <c r="L113" s="127">
        <f t="shared" si="217"/>
        <v>0</v>
      </c>
      <c r="M113" s="127">
        <f t="shared" si="217"/>
        <v>0</v>
      </c>
      <c r="N113" s="127">
        <f t="shared" si="217"/>
        <v>0</v>
      </c>
      <c r="O113" s="127">
        <f t="shared" si="217"/>
        <v>0</v>
      </c>
      <c r="P113" s="127">
        <f t="shared" si="217"/>
        <v>0</v>
      </c>
      <c r="Q113" s="127">
        <f t="shared" si="217"/>
        <v>0</v>
      </c>
      <c r="R113" s="127">
        <f t="shared" si="217"/>
        <v>0</v>
      </c>
      <c r="S113" s="127">
        <f t="shared" si="217"/>
        <v>0</v>
      </c>
      <c r="T113" s="127">
        <f t="shared" si="217"/>
        <v>0</v>
      </c>
      <c r="U113" s="127">
        <f t="shared" si="217"/>
        <v>0</v>
      </c>
      <c r="V113" s="127">
        <f t="shared" si="217"/>
        <v>0</v>
      </c>
      <c r="W113" s="127">
        <f t="shared" ref="W113:Y113" si="218">IF(W12=0,0,W12/W$10)</f>
        <v>0</v>
      </c>
      <c r="X113" s="127">
        <f t="shared" si="218"/>
        <v>0</v>
      </c>
      <c r="Y113" s="127">
        <f t="shared" si="218"/>
        <v>0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0</v>
      </c>
      <c r="C116" s="31">
        <f t="shared" si="219"/>
        <v>0</v>
      </c>
      <c r="D116" s="31">
        <f t="shared" si="219"/>
        <v>0</v>
      </c>
      <c r="E116" s="31">
        <f t="shared" si="219"/>
        <v>0</v>
      </c>
      <c r="F116" s="31">
        <f t="shared" si="219"/>
        <v>0</v>
      </c>
      <c r="G116" s="31">
        <f t="shared" si="219"/>
        <v>0</v>
      </c>
      <c r="H116" s="31">
        <f t="shared" si="219"/>
        <v>0</v>
      </c>
      <c r="I116" s="31">
        <f t="shared" si="219"/>
        <v>0</v>
      </c>
      <c r="J116" s="31">
        <f t="shared" si="219"/>
        <v>0</v>
      </c>
      <c r="K116" s="31">
        <f t="shared" ref="K116:V116" si="220">IF(K15=0,0,K15/K$15)</f>
        <v>0</v>
      </c>
      <c r="L116" s="31">
        <f t="shared" si="220"/>
        <v>0</v>
      </c>
      <c r="M116" s="31">
        <f t="shared" si="220"/>
        <v>0</v>
      </c>
      <c r="N116" s="31">
        <f t="shared" si="220"/>
        <v>0</v>
      </c>
      <c r="O116" s="31">
        <f t="shared" si="220"/>
        <v>0</v>
      </c>
      <c r="P116" s="31">
        <f t="shared" si="220"/>
        <v>0</v>
      </c>
      <c r="Q116" s="31">
        <f t="shared" si="220"/>
        <v>0</v>
      </c>
      <c r="R116" s="31">
        <f t="shared" si="220"/>
        <v>0</v>
      </c>
      <c r="S116" s="31">
        <f t="shared" si="220"/>
        <v>0</v>
      </c>
      <c r="T116" s="31">
        <f t="shared" si="220"/>
        <v>0</v>
      </c>
      <c r="U116" s="31">
        <f t="shared" si="220"/>
        <v>0</v>
      </c>
      <c r="V116" s="31">
        <f t="shared" si="220"/>
        <v>0</v>
      </c>
      <c r="W116" s="31">
        <f t="shared" ref="W116:Y116" si="221">IF(W15=0,0,W15/W$15)</f>
        <v>0</v>
      </c>
      <c r="X116" s="31">
        <f t="shared" si="221"/>
        <v>0</v>
      </c>
      <c r="Y116" s="31">
        <f t="shared" si="221"/>
        <v>0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0</v>
      </c>
      <c r="G117" s="123">
        <f t="shared" si="219"/>
        <v>0</v>
      </c>
      <c r="H117" s="123">
        <f t="shared" si="219"/>
        <v>0</v>
      </c>
      <c r="I117" s="123">
        <f t="shared" si="219"/>
        <v>0</v>
      </c>
      <c r="J117" s="123">
        <f t="shared" si="219"/>
        <v>0</v>
      </c>
      <c r="K117" s="123">
        <f t="shared" ref="K117:V117" si="222">IF(K16=0,0,K16/K$15)</f>
        <v>0</v>
      </c>
      <c r="L117" s="123">
        <f t="shared" si="222"/>
        <v>0</v>
      </c>
      <c r="M117" s="123">
        <f t="shared" si="222"/>
        <v>0</v>
      </c>
      <c r="N117" s="123">
        <f t="shared" si="222"/>
        <v>0</v>
      </c>
      <c r="O117" s="123">
        <f t="shared" si="222"/>
        <v>0</v>
      </c>
      <c r="P117" s="123">
        <f t="shared" si="222"/>
        <v>0</v>
      </c>
      <c r="Q117" s="123">
        <f t="shared" si="222"/>
        <v>0</v>
      </c>
      <c r="R117" s="123">
        <f t="shared" si="222"/>
        <v>0</v>
      </c>
      <c r="S117" s="123">
        <f t="shared" si="222"/>
        <v>0</v>
      </c>
      <c r="T117" s="123">
        <f t="shared" si="222"/>
        <v>0</v>
      </c>
      <c r="U117" s="123">
        <f t="shared" si="222"/>
        <v>0</v>
      </c>
      <c r="V117" s="123">
        <f t="shared" si="222"/>
        <v>0</v>
      </c>
      <c r="W117" s="123">
        <f t="shared" ref="W117:Y117" si="223">IF(W16=0,0,W16/W$15)</f>
        <v>0</v>
      </c>
      <c r="X117" s="123">
        <f t="shared" si="223"/>
        <v>0</v>
      </c>
      <c r="Y117" s="123">
        <f t="shared" si="223"/>
        <v>0</v>
      </c>
      <c r="DA117" s="203"/>
    </row>
    <row r="118" spans="1:105" ht="11.45" customHeight="1" x14ac:dyDescent="0.25">
      <c r="A118" s="109" t="s">
        <v>24</v>
      </c>
      <c r="B118" s="124">
        <f t="shared" si="219"/>
        <v>0</v>
      </c>
      <c r="C118" s="124">
        <f t="shared" si="219"/>
        <v>0</v>
      </c>
      <c r="D118" s="124">
        <f t="shared" si="219"/>
        <v>0</v>
      </c>
      <c r="E118" s="124">
        <f t="shared" si="219"/>
        <v>0</v>
      </c>
      <c r="F118" s="124">
        <f t="shared" si="219"/>
        <v>0</v>
      </c>
      <c r="G118" s="124">
        <f t="shared" si="219"/>
        <v>0</v>
      </c>
      <c r="H118" s="124">
        <f t="shared" si="219"/>
        <v>0</v>
      </c>
      <c r="I118" s="124">
        <f t="shared" si="219"/>
        <v>0</v>
      </c>
      <c r="J118" s="124">
        <f t="shared" si="219"/>
        <v>0</v>
      </c>
      <c r="K118" s="124">
        <f t="shared" ref="K118:V118" si="224">IF(K17=0,0,K17/K$15)</f>
        <v>0</v>
      </c>
      <c r="L118" s="124">
        <f t="shared" si="224"/>
        <v>0</v>
      </c>
      <c r="M118" s="124">
        <f t="shared" si="224"/>
        <v>0</v>
      </c>
      <c r="N118" s="124">
        <f t="shared" si="224"/>
        <v>0</v>
      </c>
      <c r="O118" s="124">
        <f t="shared" si="224"/>
        <v>0</v>
      </c>
      <c r="P118" s="124">
        <f t="shared" si="224"/>
        <v>0</v>
      </c>
      <c r="Q118" s="124">
        <f t="shared" si="224"/>
        <v>0</v>
      </c>
      <c r="R118" s="124">
        <f t="shared" si="224"/>
        <v>0</v>
      </c>
      <c r="S118" s="124">
        <f t="shared" si="224"/>
        <v>0</v>
      </c>
      <c r="T118" s="124">
        <f t="shared" si="224"/>
        <v>0</v>
      </c>
      <c r="U118" s="124">
        <f t="shared" si="224"/>
        <v>0</v>
      </c>
      <c r="V118" s="124">
        <f t="shared" si="224"/>
        <v>0</v>
      </c>
      <c r="W118" s="124">
        <f t="shared" ref="W118:Y118" si="225">IF(W17=0,0,W17/W$15)</f>
        <v>0</v>
      </c>
      <c r="X118" s="124">
        <f t="shared" si="225"/>
        <v>0</v>
      </c>
      <c r="Y118" s="124">
        <f t="shared" si="225"/>
        <v>0</v>
      </c>
      <c r="DA118" s="176"/>
    </row>
    <row r="119" spans="1:105" ht="11.45" customHeight="1" x14ac:dyDescent="0.25">
      <c r="A119" s="111" t="s">
        <v>92</v>
      </c>
      <c r="B119" s="125">
        <f t="shared" si="219"/>
        <v>0</v>
      </c>
      <c r="C119" s="125">
        <f t="shared" si="219"/>
        <v>0</v>
      </c>
      <c r="D119" s="125">
        <f t="shared" si="219"/>
        <v>0</v>
      </c>
      <c r="E119" s="125">
        <f t="shared" si="219"/>
        <v>0</v>
      </c>
      <c r="F119" s="125">
        <f t="shared" si="219"/>
        <v>0</v>
      </c>
      <c r="G119" s="125">
        <f t="shared" si="219"/>
        <v>0</v>
      </c>
      <c r="H119" s="125">
        <f t="shared" si="219"/>
        <v>0</v>
      </c>
      <c r="I119" s="125">
        <f t="shared" si="219"/>
        <v>0</v>
      </c>
      <c r="J119" s="125">
        <f t="shared" si="219"/>
        <v>0</v>
      </c>
      <c r="K119" s="125">
        <f t="shared" ref="K119:V119" si="226">IF(K18=0,0,K18/K$15)</f>
        <v>0</v>
      </c>
      <c r="L119" s="125">
        <f t="shared" si="226"/>
        <v>0</v>
      </c>
      <c r="M119" s="125">
        <f t="shared" si="226"/>
        <v>0</v>
      </c>
      <c r="N119" s="125">
        <f t="shared" si="226"/>
        <v>0</v>
      </c>
      <c r="O119" s="125">
        <f t="shared" si="226"/>
        <v>0</v>
      </c>
      <c r="P119" s="125">
        <f t="shared" si="226"/>
        <v>0</v>
      </c>
      <c r="Q119" s="125">
        <f t="shared" si="226"/>
        <v>0</v>
      </c>
      <c r="R119" s="125">
        <f t="shared" si="226"/>
        <v>0</v>
      </c>
      <c r="S119" s="125">
        <f t="shared" si="226"/>
        <v>0</v>
      </c>
      <c r="T119" s="125">
        <f t="shared" si="226"/>
        <v>0</v>
      </c>
      <c r="U119" s="125">
        <f t="shared" si="226"/>
        <v>0</v>
      </c>
      <c r="V119" s="125">
        <f t="shared" si="226"/>
        <v>0</v>
      </c>
      <c r="W119" s="125">
        <f t="shared" ref="W119:Y119" si="227">IF(W18=0,0,W18/W$15)</f>
        <v>0</v>
      </c>
      <c r="X119" s="125">
        <f t="shared" si="227"/>
        <v>0</v>
      </c>
      <c r="Y119" s="125">
        <f t="shared" si="227"/>
        <v>0</v>
      </c>
      <c r="DA119" s="171"/>
    </row>
    <row r="120" spans="1:105" ht="11.45" customHeight="1" x14ac:dyDescent="0.25">
      <c r="A120" s="111" t="s">
        <v>93</v>
      </c>
      <c r="B120" s="125">
        <f t="shared" si="219"/>
        <v>0</v>
      </c>
      <c r="C120" s="125">
        <f t="shared" si="219"/>
        <v>0</v>
      </c>
      <c r="D120" s="125">
        <f t="shared" si="219"/>
        <v>0</v>
      </c>
      <c r="E120" s="125">
        <f t="shared" si="219"/>
        <v>0</v>
      </c>
      <c r="F120" s="125">
        <f t="shared" si="219"/>
        <v>0</v>
      </c>
      <c r="G120" s="125">
        <f t="shared" si="219"/>
        <v>0</v>
      </c>
      <c r="H120" s="125">
        <f t="shared" si="219"/>
        <v>0</v>
      </c>
      <c r="I120" s="125">
        <f t="shared" si="219"/>
        <v>0</v>
      </c>
      <c r="J120" s="125">
        <f t="shared" si="219"/>
        <v>0</v>
      </c>
      <c r="K120" s="125">
        <f t="shared" ref="K120:V120" si="228">IF(K19=0,0,K19/K$15)</f>
        <v>0</v>
      </c>
      <c r="L120" s="125">
        <f t="shared" si="228"/>
        <v>0</v>
      </c>
      <c r="M120" s="125">
        <f t="shared" si="228"/>
        <v>0</v>
      </c>
      <c r="N120" s="125">
        <f t="shared" si="228"/>
        <v>0</v>
      </c>
      <c r="O120" s="125">
        <f t="shared" si="228"/>
        <v>0</v>
      </c>
      <c r="P120" s="125">
        <f t="shared" si="228"/>
        <v>0</v>
      </c>
      <c r="Q120" s="125">
        <f t="shared" si="228"/>
        <v>0</v>
      </c>
      <c r="R120" s="125">
        <f t="shared" si="228"/>
        <v>0</v>
      </c>
      <c r="S120" s="125">
        <f t="shared" si="228"/>
        <v>0</v>
      </c>
      <c r="T120" s="125">
        <f t="shared" si="228"/>
        <v>0</v>
      </c>
      <c r="U120" s="125">
        <f t="shared" si="228"/>
        <v>0</v>
      </c>
      <c r="V120" s="125">
        <f t="shared" si="228"/>
        <v>0</v>
      </c>
      <c r="W120" s="125">
        <f t="shared" ref="W120:Y120" si="229">IF(W19=0,0,W19/W$15)</f>
        <v>0</v>
      </c>
      <c r="X120" s="125">
        <f t="shared" si="229"/>
        <v>0</v>
      </c>
      <c r="Y120" s="125">
        <f t="shared" si="229"/>
        <v>0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0</v>
      </c>
      <c r="C122" s="31">
        <f t="shared" si="232"/>
        <v>0</v>
      </c>
      <c r="D122" s="31">
        <f t="shared" si="232"/>
        <v>0</v>
      </c>
      <c r="E122" s="31">
        <f t="shared" si="232"/>
        <v>0</v>
      </c>
      <c r="F122" s="31">
        <f t="shared" si="232"/>
        <v>0</v>
      </c>
      <c r="G122" s="31">
        <f t="shared" si="232"/>
        <v>0</v>
      </c>
      <c r="H122" s="31">
        <f t="shared" si="232"/>
        <v>0</v>
      </c>
      <c r="I122" s="31">
        <f t="shared" si="232"/>
        <v>0</v>
      </c>
      <c r="J122" s="31">
        <f t="shared" si="232"/>
        <v>0</v>
      </c>
      <c r="K122" s="31">
        <f t="shared" ref="K122:V122" si="233">IF(K21=0,0,K21/K$21)</f>
        <v>0</v>
      </c>
      <c r="L122" s="31">
        <f t="shared" si="233"/>
        <v>0</v>
      </c>
      <c r="M122" s="31">
        <f t="shared" si="233"/>
        <v>0</v>
      </c>
      <c r="N122" s="31">
        <f t="shared" si="233"/>
        <v>0</v>
      </c>
      <c r="O122" s="31">
        <f t="shared" si="233"/>
        <v>0</v>
      </c>
      <c r="P122" s="31">
        <f t="shared" si="233"/>
        <v>0</v>
      </c>
      <c r="Q122" s="31">
        <f t="shared" si="233"/>
        <v>0</v>
      </c>
      <c r="R122" s="31">
        <f t="shared" si="233"/>
        <v>0</v>
      </c>
      <c r="S122" s="31">
        <f t="shared" si="233"/>
        <v>0</v>
      </c>
      <c r="T122" s="31">
        <f t="shared" si="233"/>
        <v>0</v>
      </c>
      <c r="U122" s="31">
        <f t="shared" si="233"/>
        <v>0</v>
      </c>
      <c r="V122" s="31">
        <f t="shared" si="233"/>
        <v>0</v>
      </c>
      <c r="W122" s="31">
        <f t="shared" ref="W122:Y122" si="234">IF(W21=0,0,W21/W$21)</f>
        <v>0</v>
      </c>
      <c r="X122" s="31">
        <f t="shared" si="234"/>
        <v>0</v>
      </c>
      <c r="Y122" s="31">
        <f t="shared" si="234"/>
        <v>0</v>
      </c>
      <c r="DA122" s="173"/>
    </row>
    <row r="123" spans="1:105" ht="11.45" customHeight="1" x14ac:dyDescent="0.25">
      <c r="A123" s="83" t="s">
        <v>92</v>
      </c>
      <c r="B123" s="125">
        <f t="shared" si="232"/>
        <v>0</v>
      </c>
      <c r="C123" s="125">
        <f t="shared" si="232"/>
        <v>0</v>
      </c>
      <c r="D123" s="125">
        <f t="shared" si="232"/>
        <v>0</v>
      </c>
      <c r="E123" s="125">
        <f t="shared" si="232"/>
        <v>0</v>
      </c>
      <c r="F123" s="125">
        <f t="shared" si="232"/>
        <v>0</v>
      </c>
      <c r="G123" s="125">
        <f t="shared" si="232"/>
        <v>0</v>
      </c>
      <c r="H123" s="125">
        <f t="shared" si="232"/>
        <v>0</v>
      </c>
      <c r="I123" s="125">
        <f t="shared" si="232"/>
        <v>0</v>
      </c>
      <c r="J123" s="125">
        <f t="shared" si="232"/>
        <v>0</v>
      </c>
      <c r="K123" s="125">
        <f t="shared" ref="K123:V123" si="235">IF(K22=0,0,K22/K$21)</f>
        <v>0</v>
      </c>
      <c r="L123" s="125">
        <f t="shared" si="235"/>
        <v>0</v>
      </c>
      <c r="M123" s="125">
        <f t="shared" si="235"/>
        <v>0</v>
      </c>
      <c r="N123" s="125">
        <f t="shared" si="235"/>
        <v>0</v>
      </c>
      <c r="O123" s="125">
        <f t="shared" si="235"/>
        <v>0</v>
      </c>
      <c r="P123" s="125">
        <f t="shared" si="235"/>
        <v>0</v>
      </c>
      <c r="Q123" s="125">
        <f t="shared" si="235"/>
        <v>0</v>
      </c>
      <c r="R123" s="125">
        <f t="shared" si="235"/>
        <v>0</v>
      </c>
      <c r="S123" s="125">
        <f t="shared" si="235"/>
        <v>0</v>
      </c>
      <c r="T123" s="125">
        <f t="shared" si="235"/>
        <v>0</v>
      </c>
      <c r="U123" s="125">
        <f t="shared" si="235"/>
        <v>0</v>
      </c>
      <c r="V123" s="125">
        <f t="shared" si="235"/>
        <v>0</v>
      </c>
      <c r="W123" s="125">
        <f t="shared" ref="W123:Y123" si="236">IF(W22=0,0,W22/W$21)</f>
        <v>0</v>
      </c>
      <c r="X123" s="125">
        <f t="shared" si="236"/>
        <v>0</v>
      </c>
      <c r="Y123" s="125">
        <f t="shared" si="236"/>
        <v>0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0</v>
      </c>
      <c r="E124" s="127">
        <f t="shared" si="232"/>
        <v>0</v>
      </c>
      <c r="F124" s="127">
        <f t="shared" si="232"/>
        <v>0</v>
      </c>
      <c r="G124" s="127">
        <f t="shared" si="232"/>
        <v>0</v>
      </c>
      <c r="H124" s="127">
        <f t="shared" si="232"/>
        <v>0</v>
      </c>
      <c r="I124" s="127">
        <f t="shared" si="232"/>
        <v>0</v>
      </c>
      <c r="J124" s="127">
        <f t="shared" si="232"/>
        <v>0</v>
      </c>
      <c r="K124" s="127">
        <f t="shared" ref="K124:V124" si="237">IF(K23=0,0,K23/K$21)</f>
        <v>0</v>
      </c>
      <c r="L124" s="127">
        <f t="shared" si="237"/>
        <v>0</v>
      </c>
      <c r="M124" s="127">
        <f t="shared" si="237"/>
        <v>0</v>
      </c>
      <c r="N124" s="127">
        <f t="shared" si="237"/>
        <v>0</v>
      </c>
      <c r="O124" s="127">
        <f t="shared" si="237"/>
        <v>0</v>
      </c>
      <c r="P124" s="127">
        <f t="shared" si="237"/>
        <v>0</v>
      </c>
      <c r="Q124" s="127">
        <f t="shared" si="237"/>
        <v>0</v>
      </c>
      <c r="R124" s="127">
        <f t="shared" si="237"/>
        <v>0</v>
      </c>
      <c r="S124" s="127">
        <f t="shared" si="237"/>
        <v>0</v>
      </c>
      <c r="T124" s="127">
        <f t="shared" si="237"/>
        <v>0</v>
      </c>
      <c r="U124" s="127">
        <f t="shared" si="237"/>
        <v>0</v>
      </c>
      <c r="V124" s="127">
        <f t="shared" si="237"/>
        <v>0</v>
      </c>
      <c r="W124" s="127">
        <f t="shared" ref="W124:Y124" si="238">IF(W23=0,0,W23/W$21)</f>
        <v>0</v>
      </c>
      <c r="X124" s="127">
        <f t="shared" si="238"/>
        <v>0</v>
      </c>
      <c r="Y124" s="127">
        <f t="shared" si="238"/>
        <v>0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0</v>
      </c>
      <c r="C4" s="146">
        <f t="shared" ref="C4:V4" si="0">SUM(C5,C8)</f>
        <v>0</v>
      </c>
      <c r="D4" s="146">
        <f t="shared" si="0"/>
        <v>0</v>
      </c>
      <c r="E4" s="146">
        <f t="shared" si="0"/>
        <v>0</v>
      </c>
      <c r="F4" s="146">
        <f t="shared" si="0"/>
        <v>0</v>
      </c>
      <c r="G4" s="146">
        <f t="shared" si="0"/>
        <v>0</v>
      </c>
      <c r="H4" s="146">
        <f t="shared" si="0"/>
        <v>0</v>
      </c>
      <c r="I4" s="146">
        <f t="shared" si="0"/>
        <v>0</v>
      </c>
      <c r="J4" s="146">
        <f t="shared" si="0"/>
        <v>0</v>
      </c>
      <c r="K4" s="146">
        <f t="shared" si="0"/>
        <v>0</v>
      </c>
      <c r="L4" s="146">
        <f t="shared" si="0"/>
        <v>0</v>
      </c>
      <c r="M4" s="146">
        <f t="shared" si="0"/>
        <v>0</v>
      </c>
      <c r="N4" s="146">
        <f t="shared" si="0"/>
        <v>0</v>
      </c>
      <c r="O4" s="146">
        <f t="shared" si="0"/>
        <v>0</v>
      </c>
      <c r="P4" s="146">
        <f t="shared" si="0"/>
        <v>0</v>
      </c>
      <c r="Q4" s="146">
        <f t="shared" si="0"/>
        <v>0</v>
      </c>
      <c r="R4" s="146">
        <f t="shared" si="0"/>
        <v>0</v>
      </c>
      <c r="S4" s="146">
        <f t="shared" si="0"/>
        <v>0</v>
      </c>
      <c r="T4" s="146">
        <f t="shared" si="0"/>
        <v>0</v>
      </c>
      <c r="U4" s="146">
        <f t="shared" si="0"/>
        <v>0</v>
      </c>
      <c r="V4" s="146">
        <f t="shared" si="0"/>
        <v>0</v>
      </c>
      <c r="W4" s="146">
        <f t="shared" ref="W4:Y4" si="1">SUM(W5,W8)</f>
        <v>0</v>
      </c>
      <c r="X4" s="146">
        <f t="shared" si="1"/>
        <v>0</v>
      </c>
      <c r="Y4" s="146">
        <f t="shared" si="1"/>
        <v>0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0</v>
      </c>
      <c r="C5" s="101">
        <f t="shared" ref="C5:V5" si="2">SUM(C6:C7)</f>
        <v>0</v>
      </c>
      <c r="D5" s="101">
        <f t="shared" si="2"/>
        <v>0</v>
      </c>
      <c r="E5" s="101">
        <f t="shared" si="2"/>
        <v>0</v>
      </c>
      <c r="F5" s="101">
        <f t="shared" si="2"/>
        <v>0</v>
      </c>
      <c r="G5" s="101">
        <f t="shared" si="2"/>
        <v>0</v>
      </c>
      <c r="H5" s="101">
        <f t="shared" si="2"/>
        <v>0</v>
      </c>
      <c r="I5" s="101">
        <f t="shared" si="2"/>
        <v>0</v>
      </c>
      <c r="J5" s="101">
        <f t="shared" si="2"/>
        <v>0</v>
      </c>
      <c r="K5" s="101">
        <f t="shared" si="2"/>
        <v>0</v>
      </c>
      <c r="L5" s="101">
        <f t="shared" si="2"/>
        <v>0</v>
      </c>
      <c r="M5" s="101">
        <f t="shared" si="2"/>
        <v>0</v>
      </c>
      <c r="N5" s="101">
        <f t="shared" si="2"/>
        <v>0</v>
      </c>
      <c r="O5" s="101">
        <f t="shared" si="2"/>
        <v>0</v>
      </c>
      <c r="P5" s="101">
        <f t="shared" si="2"/>
        <v>0</v>
      </c>
      <c r="Q5" s="101">
        <f t="shared" si="2"/>
        <v>0</v>
      </c>
      <c r="R5" s="101">
        <f t="shared" si="2"/>
        <v>0</v>
      </c>
      <c r="S5" s="101">
        <f t="shared" si="2"/>
        <v>0</v>
      </c>
      <c r="T5" s="101">
        <f t="shared" si="2"/>
        <v>0</v>
      </c>
      <c r="U5" s="101">
        <f t="shared" si="2"/>
        <v>0</v>
      </c>
      <c r="V5" s="101">
        <f t="shared" si="2"/>
        <v>0</v>
      </c>
      <c r="W5" s="101">
        <f t="shared" ref="W5:Y5" si="3">SUM(W6:W7)</f>
        <v>0</v>
      </c>
      <c r="X5" s="101">
        <f t="shared" si="3"/>
        <v>0</v>
      </c>
      <c r="Y5" s="101">
        <f t="shared" si="3"/>
        <v>0</v>
      </c>
      <c r="DA5" s="175"/>
    </row>
    <row r="6" spans="1:105" ht="11.45" customHeight="1" x14ac:dyDescent="0.25">
      <c r="A6" s="164" t="s">
        <v>175</v>
      </c>
      <c r="B6" s="165">
        <v>0</v>
      </c>
      <c r="C6" s="165">
        <v>0</v>
      </c>
      <c r="D6" s="165">
        <v>0</v>
      </c>
      <c r="E6" s="165">
        <v>0</v>
      </c>
      <c r="F6" s="165">
        <v>0</v>
      </c>
      <c r="G6" s="165">
        <v>0</v>
      </c>
      <c r="H6" s="165">
        <v>0</v>
      </c>
      <c r="I6" s="165">
        <v>0</v>
      </c>
      <c r="J6" s="165">
        <v>0</v>
      </c>
      <c r="K6" s="165">
        <v>0</v>
      </c>
      <c r="L6" s="165">
        <v>0</v>
      </c>
      <c r="M6" s="165">
        <v>0</v>
      </c>
      <c r="N6" s="165">
        <v>0</v>
      </c>
      <c r="O6" s="165">
        <v>0</v>
      </c>
      <c r="P6" s="165">
        <v>0</v>
      </c>
      <c r="Q6" s="165">
        <v>0</v>
      </c>
      <c r="R6" s="165">
        <v>0</v>
      </c>
      <c r="S6" s="165">
        <v>0</v>
      </c>
      <c r="T6" s="165">
        <v>0</v>
      </c>
      <c r="U6" s="165">
        <v>0</v>
      </c>
      <c r="V6" s="165">
        <v>0</v>
      </c>
      <c r="W6" s="165">
        <v>0</v>
      </c>
      <c r="X6" s="165">
        <v>0</v>
      </c>
      <c r="Y6" s="165">
        <v>0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0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0</v>
      </c>
      <c r="C10" s="62">
        <f t="shared" ref="C10:V10" si="5">SUM(C11,C17)</f>
        <v>0</v>
      </c>
      <c r="D10" s="62">
        <f t="shared" si="5"/>
        <v>0</v>
      </c>
      <c r="E10" s="62">
        <f t="shared" si="5"/>
        <v>0</v>
      </c>
      <c r="F10" s="62">
        <f t="shared" si="5"/>
        <v>0</v>
      </c>
      <c r="G10" s="62">
        <f t="shared" si="5"/>
        <v>0</v>
      </c>
      <c r="H10" s="62">
        <f t="shared" si="5"/>
        <v>0</v>
      </c>
      <c r="I10" s="62">
        <f t="shared" si="5"/>
        <v>0</v>
      </c>
      <c r="J10" s="62">
        <f t="shared" si="5"/>
        <v>0</v>
      </c>
      <c r="K10" s="62">
        <f t="shared" si="5"/>
        <v>0</v>
      </c>
      <c r="L10" s="62">
        <f t="shared" si="5"/>
        <v>0</v>
      </c>
      <c r="M10" s="62">
        <f t="shared" si="5"/>
        <v>0</v>
      </c>
      <c r="N10" s="62">
        <f t="shared" si="5"/>
        <v>0</v>
      </c>
      <c r="O10" s="62">
        <f t="shared" si="5"/>
        <v>0</v>
      </c>
      <c r="P10" s="62">
        <f t="shared" si="5"/>
        <v>0</v>
      </c>
      <c r="Q10" s="62">
        <f t="shared" si="5"/>
        <v>0</v>
      </c>
      <c r="R10" s="62">
        <f t="shared" si="5"/>
        <v>0</v>
      </c>
      <c r="S10" s="62">
        <f t="shared" si="5"/>
        <v>0</v>
      </c>
      <c r="T10" s="62">
        <f t="shared" si="5"/>
        <v>0</v>
      </c>
      <c r="U10" s="62">
        <f t="shared" si="5"/>
        <v>0</v>
      </c>
      <c r="V10" s="62">
        <f t="shared" si="5"/>
        <v>0</v>
      </c>
      <c r="W10" s="62">
        <f t="shared" ref="W10:Y10" si="6">SUM(W11,W17)</f>
        <v>0</v>
      </c>
      <c r="X10" s="62">
        <f t="shared" si="6"/>
        <v>0</v>
      </c>
      <c r="Y10" s="62">
        <f t="shared" si="6"/>
        <v>0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0</v>
      </c>
      <c r="C11" s="29">
        <f t="shared" ref="C11:V11" si="8">SUM(C12,C13,C16)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Y11" si="9">SUM(W12,W13,W16)</f>
        <v>0</v>
      </c>
      <c r="X11" s="29">
        <f t="shared" si="9"/>
        <v>0</v>
      </c>
      <c r="Y11" s="29">
        <f t="shared" si="9"/>
        <v>0</v>
      </c>
      <c r="DA11" s="173" t="s">
        <v>395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5">
        <v>0</v>
      </c>
      <c r="M12" s="115">
        <v>0</v>
      </c>
      <c r="N12" s="115">
        <v>0</v>
      </c>
      <c r="O12" s="115">
        <v>0</v>
      </c>
      <c r="P12" s="115">
        <v>0</v>
      </c>
      <c r="Q12" s="115">
        <v>0</v>
      </c>
      <c r="R12" s="115">
        <v>0</v>
      </c>
      <c r="S12" s="115">
        <v>0</v>
      </c>
      <c r="T12" s="115">
        <v>0</v>
      </c>
      <c r="U12" s="115">
        <v>0</v>
      </c>
      <c r="V12" s="115">
        <v>0</v>
      </c>
      <c r="W12" s="115">
        <v>0</v>
      </c>
      <c r="X12" s="115">
        <v>0</v>
      </c>
      <c r="Y12" s="115">
        <v>0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0</v>
      </c>
      <c r="C13" s="116">
        <f t="shared" ref="C13:V13" si="11">SUM(C14:C15)</f>
        <v>0</v>
      </c>
      <c r="D13" s="116">
        <f t="shared" si="11"/>
        <v>0</v>
      </c>
      <c r="E13" s="116">
        <f t="shared" si="11"/>
        <v>0</v>
      </c>
      <c r="F13" s="116">
        <f t="shared" si="11"/>
        <v>0</v>
      </c>
      <c r="G13" s="116">
        <f t="shared" si="11"/>
        <v>0</v>
      </c>
      <c r="H13" s="116">
        <f t="shared" si="11"/>
        <v>0</v>
      </c>
      <c r="I13" s="116">
        <f t="shared" si="11"/>
        <v>0</v>
      </c>
      <c r="J13" s="116">
        <f t="shared" si="11"/>
        <v>0</v>
      </c>
      <c r="K13" s="116">
        <f t="shared" si="11"/>
        <v>0</v>
      </c>
      <c r="L13" s="116">
        <f t="shared" si="11"/>
        <v>0</v>
      </c>
      <c r="M13" s="116">
        <f t="shared" si="11"/>
        <v>0</v>
      </c>
      <c r="N13" s="116">
        <f t="shared" si="11"/>
        <v>0</v>
      </c>
      <c r="O13" s="116">
        <f t="shared" si="11"/>
        <v>0</v>
      </c>
      <c r="P13" s="116">
        <f t="shared" si="11"/>
        <v>0</v>
      </c>
      <c r="Q13" s="116">
        <f t="shared" si="11"/>
        <v>0</v>
      </c>
      <c r="R13" s="116">
        <f t="shared" si="11"/>
        <v>0</v>
      </c>
      <c r="S13" s="116">
        <f t="shared" si="11"/>
        <v>0</v>
      </c>
      <c r="T13" s="116">
        <f t="shared" si="11"/>
        <v>0</v>
      </c>
      <c r="U13" s="116">
        <f t="shared" si="11"/>
        <v>0</v>
      </c>
      <c r="V13" s="116">
        <f t="shared" si="11"/>
        <v>0</v>
      </c>
      <c r="W13" s="116">
        <f t="shared" ref="W13:Y13" si="12">SUM(W14:W15)</f>
        <v>0</v>
      </c>
      <c r="X13" s="116">
        <f t="shared" si="12"/>
        <v>0</v>
      </c>
      <c r="Y13" s="116">
        <f t="shared" si="12"/>
        <v>0</v>
      </c>
      <c r="DA13" s="176" t="s">
        <v>397</v>
      </c>
    </row>
    <row r="14" spans="1:105" ht="11.45" customHeight="1" x14ac:dyDescent="0.25">
      <c r="A14" s="111" t="s">
        <v>95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X14" s="87">
        <v>0</v>
      </c>
      <c r="Y14" s="87">
        <v>0</v>
      </c>
      <c r="DA14" s="171" t="s">
        <v>1108</v>
      </c>
    </row>
    <row r="15" spans="1:105" ht="11.45" customHeight="1" x14ac:dyDescent="0.25">
      <c r="A15" s="111" t="s">
        <v>93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7">
        <v>0</v>
      </c>
      <c r="Y15" s="87">
        <v>0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0</v>
      </c>
      <c r="C17" s="29">
        <f t="shared" si="13"/>
        <v>0</v>
      </c>
      <c r="D17" s="29">
        <f t="shared" si="13"/>
        <v>0</v>
      </c>
      <c r="E17" s="29">
        <f t="shared" si="13"/>
        <v>0</v>
      </c>
      <c r="F17" s="29">
        <f t="shared" si="13"/>
        <v>0</v>
      </c>
      <c r="G17" s="29">
        <f t="shared" si="13"/>
        <v>0</v>
      </c>
      <c r="H17" s="29">
        <f t="shared" si="13"/>
        <v>0</v>
      </c>
      <c r="I17" s="29">
        <f t="shared" si="13"/>
        <v>0</v>
      </c>
      <c r="J17" s="29">
        <f t="shared" si="13"/>
        <v>0</v>
      </c>
      <c r="K17" s="29">
        <f t="shared" si="13"/>
        <v>0</v>
      </c>
      <c r="L17" s="29">
        <f t="shared" si="13"/>
        <v>0</v>
      </c>
      <c r="M17" s="29">
        <f t="shared" si="13"/>
        <v>0</v>
      </c>
      <c r="N17" s="29">
        <f t="shared" si="13"/>
        <v>0</v>
      </c>
      <c r="O17" s="29">
        <f t="shared" si="13"/>
        <v>0</v>
      </c>
      <c r="P17" s="29">
        <f t="shared" si="13"/>
        <v>0</v>
      </c>
      <c r="Q17" s="29">
        <f t="shared" si="13"/>
        <v>0</v>
      </c>
      <c r="R17" s="29">
        <f t="shared" si="13"/>
        <v>0</v>
      </c>
      <c r="S17" s="29">
        <f t="shared" si="13"/>
        <v>0</v>
      </c>
      <c r="T17" s="29">
        <f t="shared" si="13"/>
        <v>0</v>
      </c>
      <c r="U17" s="29">
        <f t="shared" si="13"/>
        <v>0</v>
      </c>
      <c r="V17" s="29">
        <f t="shared" si="13"/>
        <v>0</v>
      </c>
      <c r="W17" s="29">
        <f t="shared" si="13"/>
        <v>0</v>
      </c>
      <c r="X17" s="29">
        <f t="shared" ref="X17:Y17" si="14">SUM(X18:X19)</f>
        <v>0</v>
      </c>
      <c r="Y17" s="29">
        <f t="shared" si="14"/>
        <v>0</v>
      </c>
      <c r="DA17" s="173" t="s">
        <v>402</v>
      </c>
    </row>
    <row r="18" spans="1:105" ht="11.45" customHeight="1" x14ac:dyDescent="0.25">
      <c r="A18" s="83" t="s">
        <v>95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DA18" s="171" t="s">
        <v>1110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0</v>
      </c>
      <c r="C23" s="62">
        <f>IF(C10=0,0,C10/TrRail_act!C14*100)</f>
        <v>0</v>
      </c>
      <c r="D23" s="62">
        <f>IF(D10=0,0,D10/TrRail_act!D14*100)</f>
        <v>0</v>
      </c>
      <c r="E23" s="62">
        <f>IF(E10=0,0,E10/TrRail_act!E14*100)</f>
        <v>0</v>
      </c>
      <c r="F23" s="62">
        <f>IF(F10=0,0,F10/TrRail_act!F14*100)</f>
        <v>0</v>
      </c>
      <c r="G23" s="62">
        <f>IF(G10=0,0,G10/TrRail_act!G14*100)</f>
        <v>0</v>
      </c>
      <c r="H23" s="62">
        <f>IF(H10=0,0,H10/TrRail_act!H14*100)</f>
        <v>0</v>
      </c>
      <c r="I23" s="62">
        <f>IF(I10=0,0,I10/TrRail_act!I14*100)</f>
        <v>0</v>
      </c>
      <c r="J23" s="62">
        <f>IF(J10=0,0,J10/TrRail_act!J14*100)</f>
        <v>0</v>
      </c>
      <c r="K23" s="62">
        <f>IF(K10=0,0,K10/TrRail_act!K14*100)</f>
        <v>0</v>
      </c>
      <c r="L23" s="62">
        <f>IF(L10=0,0,L10/TrRail_act!L14*100)</f>
        <v>0</v>
      </c>
      <c r="M23" s="62">
        <f>IF(M10=0,0,M10/TrRail_act!M14*100)</f>
        <v>0</v>
      </c>
      <c r="N23" s="62">
        <f>IF(N10=0,0,N10/TrRail_act!N14*100)</f>
        <v>0</v>
      </c>
      <c r="O23" s="62">
        <f>IF(O10=0,0,O10/TrRail_act!O14*100)</f>
        <v>0</v>
      </c>
      <c r="P23" s="62">
        <f>IF(P10=0,0,P10/TrRail_act!P14*100)</f>
        <v>0</v>
      </c>
      <c r="Q23" s="62">
        <f>IF(Q10=0,0,Q10/TrRail_act!Q14*100)</f>
        <v>0</v>
      </c>
      <c r="R23" s="62">
        <f>IF(R10=0,0,R10/TrRail_act!R14*100)</f>
        <v>0</v>
      </c>
      <c r="S23" s="62">
        <f>IF(S10=0,0,S10/TrRail_act!S14*100)</f>
        <v>0</v>
      </c>
      <c r="T23" s="62">
        <f>IF(T10=0,0,T10/TrRail_act!T14*100)</f>
        <v>0</v>
      </c>
      <c r="U23" s="62">
        <f>IF(U10=0,0,U10/TrRail_act!U14*100)</f>
        <v>0</v>
      </c>
      <c r="V23" s="62">
        <f>IF(V10=0,0,V10/TrRail_act!V14*100)</f>
        <v>0</v>
      </c>
      <c r="W23" s="62">
        <f>IF(W10=0,0,W10/TrRail_act!W14*100)</f>
        <v>0</v>
      </c>
      <c r="X23" s="62">
        <f>IF(X10=0,0,X10/TrRail_act!X14*100)</f>
        <v>0</v>
      </c>
      <c r="Y23" s="62">
        <f>IF(Y10=0,0,Y10/TrRail_act!Y14*100)</f>
        <v>0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0</v>
      </c>
      <c r="C24" s="29">
        <f>IF(C11=0,0,C11/TrRail_act!C15*100)</f>
        <v>0</v>
      </c>
      <c r="D24" s="29">
        <f>IF(D11=0,0,D11/TrRail_act!D15*100)</f>
        <v>0</v>
      </c>
      <c r="E24" s="29">
        <f>IF(E11=0,0,E11/TrRail_act!E15*100)</f>
        <v>0</v>
      </c>
      <c r="F24" s="29">
        <f>IF(F11=0,0,F11/TrRail_act!F15*100)</f>
        <v>0</v>
      </c>
      <c r="G24" s="29">
        <f>IF(G11=0,0,G11/TrRail_act!G15*100)</f>
        <v>0</v>
      </c>
      <c r="H24" s="29">
        <f>IF(H11=0,0,H11/TrRail_act!H15*100)</f>
        <v>0</v>
      </c>
      <c r="I24" s="29">
        <f>IF(I11=0,0,I11/TrRail_act!I15*100)</f>
        <v>0</v>
      </c>
      <c r="J24" s="29">
        <f>IF(J11=0,0,J11/TrRail_act!J15*100)</f>
        <v>0</v>
      </c>
      <c r="K24" s="29">
        <f>IF(K11=0,0,K11/TrRail_act!K15*100)</f>
        <v>0</v>
      </c>
      <c r="L24" s="29">
        <f>IF(L11=0,0,L11/TrRail_act!L15*100)</f>
        <v>0</v>
      </c>
      <c r="M24" s="29">
        <f>IF(M11=0,0,M11/TrRail_act!M15*100)</f>
        <v>0</v>
      </c>
      <c r="N24" s="29">
        <f>IF(N11=0,0,N11/TrRail_act!N15*100)</f>
        <v>0</v>
      </c>
      <c r="O24" s="29">
        <f>IF(O11=0,0,O11/TrRail_act!O15*100)</f>
        <v>0</v>
      </c>
      <c r="P24" s="29">
        <f>IF(P11=0,0,P11/TrRail_act!P15*100)</f>
        <v>0</v>
      </c>
      <c r="Q24" s="29">
        <f>IF(Q11=0,0,Q11/TrRail_act!Q15*100)</f>
        <v>0</v>
      </c>
      <c r="R24" s="29">
        <f>IF(R11=0,0,R11/TrRail_act!R15*100)</f>
        <v>0</v>
      </c>
      <c r="S24" s="29">
        <f>IF(S11=0,0,S11/TrRail_act!S15*100)</f>
        <v>0</v>
      </c>
      <c r="T24" s="29">
        <f>IF(T11=0,0,T11/TrRail_act!T15*100)</f>
        <v>0</v>
      </c>
      <c r="U24" s="29">
        <f>IF(U11=0,0,U11/TrRail_act!U15*100)</f>
        <v>0</v>
      </c>
      <c r="V24" s="29">
        <f>IF(V11=0,0,V11/TrRail_act!V15*100)</f>
        <v>0</v>
      </c>
      <c r="W24" s="29">
        <f>IF(W11=0,0,W11/TrRail_act!W15*100)</f>
        <v>0</v>
      </c>
      <c r="X24" s="29">
        <f>IF(X11=0,0,X11/TrRail_act!X15*100)</f>
        <v>0</v>
      </c>
      <c r="Y24" s="29">
        <f>IF(Y11=0,0,Y11/TrRail_act!Y15*100)</f>
        <v>0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0</v>
      </c>
      <c r="G25" s="115">
        <f>IF(G12=0,0,G12/TrRail_act!G16*100)</f>
        <v>0</v>
      </c>
      <c r="H25" s="115">
        <f>IF(H12=0,0,H12/TrRail_act!H16*100)</f>
        <v>0</v>
      </c>
      <c r="I25" s="115">
        <f>IF(I12=0,0,I12/TrRail_act!I16*100)</f>
        <v>0</v>
      </c>
      <c r="J25" s="115">
        <f>IF(J12=0,0,J12/TrRail_act!J16*100)</f>
        <v>0</v>
      </c>
      <c r="K25" s="115">
        <f>IF(K12=0,0,K12/TrRail_act!K16*100)</f>
        <v>0</v>
      </c>
      <c r="L25" s="115">
        <f>IF(L12=0,0,L12/TrRail_act!L16*100)</f>
        <v>0</v>
      </c>
      <c r="M25" s="115">
        <f>IF(M12=0,0,M12/TrRail_act!M16*100)</f>
        <v>0</v>
      </c>
      <c r="N25" s="115">
        <f>IF(N12=0,0,N12/TrRail_act!N16*100)</f>
        <v>0</v>
      </c>
      <c r="O25" s="115">
        <f>IF(O12=0,0,O12/TrRail_act!O16*100)</f>
        <v>0</v>
      </c>
      <c r="P25" s="115">
        <f>IF(P12=0,0,P12/TrRail_act!P16*100)</f>
        <v>0</v>
      </c>
      <c r="Q25" s="115">
        <f>IF(Q12=0,0,Q12/TrRail_act!Q16*100)</f>
        <v>0</v>
      </c>
      <c r="R25" s="115">
        <f>IF(R12=0,0,R12/TrRail_act!R16*100)</f>
        <v>0</v>
      </c>
      <c r="S25" s="115">
        <f>IF(S12=0,0,S12/TrRail_act!S16*100)</f>
        <v>0</v>
      </c>
      <c r="T25" s="115">
        <f>IF(T12=0,0,T12/TrRail_act!T16*100)</f>
        <v>0</v>
      </c>
      <c r="U25" s="115">
        <f>IF(U12=0,0,U12/TrRail_act!U16*100)</f>
        <v>0</v>
      </c>
      <c r="V25" s="115">
        <f>IF(V12=0,0,V12/TrRail_act!V16*100)</f>
        <v>0</v>
      </c>
      <c r="W25" s="115">
        <f>IF(W12=0,0,W12/TrRail_act!W16*100)</f>
        <v>0</v>
      </c>
      <c r="X25" s="115">
        <f>IF(X12=0,0,X12/TrRail_act!X16*100)</f>
        <v>0</v>
      </c>
      <c r="Y25" s="115">
        <f>IF(Y12=0,0,Y12/TrRail_act!Y16*100)</f>
        <v>0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0</v>
      </c>
      <c r="C26" s="116">
        <f>IF(C13=0,0,C13/TrRail_act!C17*100)</f>
        <v>0</v>
      </c>
      <c r="D26" s="116">
        <f>IF(D13=0,0,D13/TrRail_act!D17*100)</f>
        <v>0</v>
      </c>
      <c r="E26" s="116">
        <f>IF(E13=0,0,E13/TrRail_act!E17*100)</f>
        <v>0</v>
      </c>
      <c r="F26" s="116">
        <f>IF(F13=0,0,F13/TrRail_act!F17*100)</f>
        <v>0</v>
      </c>
      <c r="G26" s="116">
        <f>IF(G13=0,0,G13/TrRail_act!G17*100)</f>
        <v>0</v>
      </c>
      <c r="H26" s="116">
        <f>IF(H13=0,0,H13/TrRail_act!H17*100)</f>
        <v>0</v>
      </c>
      <c r="I26" s="116">
        <f>IF(I13=0,0,I13/TrRail_act!I17*100)</f>
        <v>0</v>
      </c>
      <c r="J26" s="116">
        <f>IF(J13=0,0,J13/TrRail_act!J17*100)</f>
        <v>0</v>
      </c>
      <c r="K26" s="116">
        <f>IF(K13=0,0,K13/TrRail_act!K17*100)</f>
        <v>0</v>
      </c>
      <c r="L26" s="116">
        <f>IF(L13=0,0,L13/TrRail_act!L17*100)</f>
        <v>0</v>
      </c>
      <c r="M26" s="116">
        <f>IF(M13=0,0,M13/TrRail_act!M17*100)</f>
        <v>0</v>
      </c>
      <c r="N26" s="116">
        <f>IF(N13=0,0,N13/TrRail_act!N17*100)</f>
        <v>0</v>
      </c>
      <c r="O26" s="116">
        <f>IF(O13=0,0,O13/TrRail_act!O17*100)</f>
        <v>0</v>
      </c>
      <c r="P26" s="116">
        <f>IF(P13=0,0,P13/TrRail_act!P17*100)</f>
        <v>0</v>
      </c>
      <c r="Q26" s="116">
        <f>IF(Q13=0,0,Q13/TrRail_act!Q17*100)</f>
        <v>0</v>
      </c>
      <c r="R26" s="116">
        <f>IF(R13=0,0,R13/TrRail_act!R17*100)</f>
        <v>0</v>
      </c>
      <c r="S26" s="116">
        <f>IF(S13=0,0,S13/TrRail_act!S17*100)</f>
        <v>0</v>
      </c>
      <c r="T26" s="116">
        <f>IF(T13=0,0,T13/TrRail_act!T17*100)</f>
        <v>0</v>
      </c>
      <c r="U26" s="116">
        <f>IF(U13=0,0,U13/TrRail_act!U17*100)</f>
        <v>0</v>
      </c>
      <c r="V26" s="116">
        <f>IF(V13=0,0,V13/TrRail_act!V17*100)</f>
        <v>0</v>
      </c>
      <c r="W26" s="116">
        <f>IF(W13=0,0,W13/TrRail_act!W17*100)</f>
        <v>0</v>
      </c>
      <c r="X26" s="116">
        <f>IF(X13=0,0,X13/TrRail_act!X17*100)</f>
        <v>0</v>
      </c>
      <c r="Y26" s="116">
        <f>IF(Y13=0,0,Y13/TrRail_act!Y17*100)</f>
        <v>0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0</v>
      </c>
      <c r="C27" s="87">
        <f>IF(C14=0,0,C14/TrRail_act!C18*100)</f>
        <v>0</v>
      </c>
      <c r="D27" s="87">
        <f>IF(D14=0,0,D14/TrRail_act!D18*100)</f>
        <v>0</v>
      </c>
      <c r="E27" s="87">
        <f>IF(E14=0,0,E14/TrRail_act!E18*100)</f>
        <v>0</v>
      </c>
      <c r="F27" s="87">
        <f>IF(F14=0,0,F14/TrRail_act!F18*100)</f>
        <v>0</v>
      </c>
      <c r="G27" s="87">
        <f>IF(G14=0,0,G14/TrRail_act!G18*100)</f>
        <v>0</v>
      </c>
      <c r="H27" s="87">
        <f>IF(H14=0,0,H14/TrRail_act!H18*100)</f>
        <v>0</v>
      </c>
      <c r="I27" s="87">
        <f>IF(I14=0,0,I14/TrRail_act!I18*100)</f>
        <v>0</v>
      </c>
      <c r="J27" s="87">
        <f>IF(J14=0,0,J14/TrRail_act!J18*100)</f>
        <v>0</v>
      </c>
      <c r="K27" s="87">
        <f>IF(K14=0,0,K14/TrRail_act!K18*100)</f>
        <v>0</v>
      </c>
      <c r="L27" s="87">
        <f>IF(L14=0,0,L14/TrRail_act!L18*100)</f>
        <v>0</v>
      </c>
      <c r="M27" s="87">
        <f>IF(M14=0,0,M14/TrRail_act!M18*100)</f>
        <v>0</v>
      </c>
      <c r="N27" s="87">
        <f>IF(N14=0,0,N14/TrRail_act!N18*100)</f>
        <v>0</v>
      </c>
      <c r="O27" s="87">
        <f>IF(O14=0,0,O14/TrRail_act!O18*100)</f>
        <v>0</v>
      </c>
      <c r="P27" s="87">
        <f>IF(P14=0,0,P14/TrRail_act!P18*100)</f>
        <v>0</v>
      </c>
      <c r="Q27" s="87">
        <f>IF(Q14=0,0,Q14/TrRail_act!Q18*100)</f>
        <v>0</v>
      </c>
      <c r="R27" s="87">
        <f>IF(R14=0,0,R14/TrRail_act!R18*100)</f>
        <v>0</v>
      </c>
      <c r="S27" s="87">
        <f>IF(S14=0,0,S14/TrRail_act!S18*100)</f>
        <v>0</v>
      </c>
      <c r="T27" s="87">
        <f>IF(T14=0,0,T14/TrRail_act!T18*100)</f>
        <v>0</v>
      </c>
      <c r="U27" s="87">
        <f>IF(U14=0,0,U14/TrRail_act!U18*100)</f>
        <v>0</v>
      </c>
      <c r="V27" s="87">
        <f>IF(V14=0,0,V14/TrRail_act!V18*100)</f>
        <v>0</v>
      </c>
      <c r="W27" s="87">
        <f>IF(W14=0,0,W14/TrRail_act!W18*100)</f>
        <v>0</v>
      </c>
      <c r="X27" s="87">
        <f>IF(X14=0,0,X14/TrRail_act!X18*100)</f>
        <v>0</v>
      </c>
      <c r="Y27" s="87">
        <f>IF(Y14=0,0,Y14/TrRail_act!Y18*100)</f>
        <v>0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0</v>
      </c>
      <c r="C28" s="87">
        <f>IF(C15=0,0,C15/TrRail_act!C19*100)</f>
        <v>0</v>
      </c>
      <c r="D28" s="87">
        <f>IF(D15=0,0,D15/TrRail_act!D19*100)</f>
        <v>0</v>
      </c>
      <c r="E28" s="87">
        <f>IF(E15=0,0,E15/TrRail_act!E19*100)</f>
        <v>0</v>
      </c>
      <c r="F28" s="87">
        <f>IF(F15=0,0,F15/TrRail_act!F19*100)</f>
        <v>0</v>
      </c>
      <c r="G28" s="87">
        <f>IF(G15=0,0,G15/TrRail_act!G19*100)</f>
        <v>0</v>
      </c>
      <c r="H28" s="87">
        <f>IF(H15=0,0,H15/TrRail_act!H19*100)</f>
        <v>0</v>
      </c>
      <c r="I28" s="87">
        <f>IF(I15=0,0,I15/TrRail_act!I19*100)</f>
        <v>0</v>
      </c>
      <c r="J28" s="87">
        <f>IF(J15=0,0,J15/TrRail_act!J19*100)</f>
        <v>0</v>
      </c>
      <c r="K28" s="87">
        <f>IF(K15=0,0,K15/TrRail_act!K19*100)</f>
        <v>0</v>
      </c>
      <c r="L28" s="87">
        <f>IF(L15=0,0,L15/TrRail_act!L19*100)</f>
        <v>0</v>
      </c>
      <c r="M28" s="87">
        <f>IF(M15=0,0,M15/TrRail_act!M19*100)</f>
        <v>0</v>
      </c>
      <c r="N28" s="87">
        <f>IF(N15=0,0,N15/TrRail_act!N19*100)</f>
        <v>0</v>
      </c>
      <c r="O28" s="87">
        <f>IF(O15=0,0,O15/TrRail_act!O19*100)</f>
        <v>0</v>
      </c>
      <c r="P28" s="87">
        <f>IF(P15=0,0,P15/TrRail_act!P19*100)</f>
        <v>0</v>
      </c>
      <c r="Q28" s="87">
        <f>IF(Q15=0,0,Q15/TrRail_act!Q19*100)</f>
        <v>0</v>
      </c>
      <c r="R28" s="87">
        <f>IF(R15=0,0,R15/TrRail_act!R19*100)</f>
        <v>0</v>
      </c>
      <c r="S28" s="87">
        <f>IF(S15=0,0,S15/TrRail_act!S19*100)</f>
        <v>0</v>
      </c>
      <c r="T28" s="87">
        <f>IF(T15=0,0,T15/TrRail_act!T19*100)</f>
        <v>0</v>
      </c>
      <c r="U28" s="87">
        <f>IF(U15=0,0,U15/TrRail_act!U19*100)</f>
        <v>0</v>
      </c>
      <c r="V28" s="87">
        <f>IF(V15=0,0,V15/TrRail_act!V19*100)</f>
        <v>0</v>
      </c>
      <c r="W28" s="87">
        <f>IF(W15=0,0,W15/TrRail_act!W19*100)</f>
        <v>0</v>
      </c>
      <c r="X28" s="87">
        <f>IF(X15=0,0,X15/TrRail_act!X19*100)</f>
        <v>0</v>
      </c>
      <c r="Y28" s="87">
        <f>IF(Y15=0,0,Y15/TrRail_act!Y19*100)</f>
        <v>0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0</v>
      </c>
      <c r="C30" s="29">
        <f>IF(C17=0,0,C17/TrRail_act!C21*100)</f>
        <v>0</v>
      </c>
      <c r="D30" s="29">
        <f>IF(D17=0,0,D17/TrRail_act!D21*100)</f>
        <v>0</v>
      </c>
      <c r="E30" s="29">
        <f>IF(E17=0,0,E17/TrRail_act!E21*100)</f>
        <v>0</v>
      </c>
      <c r="F30" s="29">
        <f>IF(F17=0,0,F17/TrRail_act!F21*100)</f>
        <v>0</v>
      </c>
      <c r="G30" s="29">
        <f>IF(G17=0,0,G17/TrRail_act!G21*100)</f>
        <v>0</v>
      </c>
      <c r="H30" s="29">
        <f>IF(H17=0,0,H17/TrRail_act!H21*100)</f>
        <v>0</v>
      </c>
      <c r="I30" s="29">
        <f>IF(I17=0,0,I17/TrRail_act!I21*100)</f>
        <v>0</v>
      </c>
      <c r="J30" s="29">
        <f>IF(J17=0,0,J17/TrRail_act!J21*100)</f>
        <v>0</v>
      </c>
      <c r="K30" s="29">
        <f>IF(K17=0,0,K17/TrRail_act!K21*100)</f>
        <v>0</v>
      </c>
      <c r="L30" s="29">
        <f>IF(L17=0,0,L17/TrRail_act!L21*100)</f>
        <v>0</v>
      </c>
      <c r="M30" s="29">
        <f>IF(M17=0,0,M17/TrRail_act!M21*100)</f>
        <v>0</v>
      </c>
      <c r="N30" s="29">
        <f>IF(N17=0,0,N17/TrRail_act!N21*100)</f>
        <v>0</v>
      </c>
      <c r="O30" s="29">
        <f>IF(O17=0,0,O17/TrRail_act!O21*100)</f>
        <v>0</v>
      </c>
      <c r="P30" s="29">
        <f>IF(P17=0,0,P17/TrRail_act!P21*100)</f>
        <v>0</v>
      </c>
      <c r="Q30" s="29">
        <f>IF(Q17=0,0,Q17/TrRail_act!Q21*100)</f>
        <v>0</v>
      </c>
      <c r="R30" s="29">
        <f>IF(R17=0,0,R17/TrRail_act!R21*100)</f>
        <v>0</v>
      </c>
      <c r="S30" s="29">
        <f>IF(S17=0,0,S17/TrRail_act!S21*100)</f>
        <v>0</v>
      </c>
      <c r="T30" s="29">
        <f>IF(T17=0,0,T17/TrRail_act!T21*100)</f>
        <v>0</v>
      </c>
      <c r="U30" s="29">
        <f>IF(U17=0,0,U17/TrRail_act!U21*100)</f>
        <v>0</v>
      </c>
      <c r="V30" s="29">
        <f>IF(V17=0,0,V17/TrRail_act!V21*100)</f>
        <v>0</v>
      </c>
      <c r="W30" s="29">
        <f>IF(W17=0,0,W17/TrRail_act!W21*100)</f>
        <v>0</v>
      </c>
      <c r="X30" s="29">
        <f>IF(X17=0,0,X17/TrRail_act!X21*100)</f>
        <v>0</v>
      </c>
      <c r="Y30" s="29">
        <f>IF(Y17=0,0,Y17/TrRail_act!Y21*100)</f>
        <v>0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0</v>
      </c>
      <c r="C31" s="87">
        <f>IF(C18=0,0,C18/TrRail_act!C22*100)</f>
        <v>0</v>
      </c>
      <c r="D31" s="87">
        <f>IF(D18=0,0,D18/TrRail_act!D22*100)</f>
        <v>0</v>
      </c>
      <c r="E31" s="87">
        <f>IF(E18=0,0,E18/TrRail_act!E22*100)</f>
        <v>0</v>
      </c>
      <c r="F31" s="87">
        <f>IF(F18=0,0,F18/TrRail_act!F22*100)</f>
        <v>0</v>
      </c>
      <c r="G31" s="87">
        <f>IF(G18=0,0,G18/TrRail_act!G22*100)</f>
        <v>0</v>
      </c>
      <c r="H31" s="87">
        <f>IF(H18=0,0,H18/TrRail_act!H22*100)</f>
        <v>0</v>
      </c>
      <c r="I31" s="87">
        <f>IF(I18=0,0,I18/TrRail_act!I22*100)</f>
        <v>0</v>
      </c>
      <c r="J31" s="87">
        <f>IF(J18=0,0,J18/TrRail_act!J22*100)</f>
        <v>0</v>
      </c>
      <c r="K31" s="87">
        <f>IF(K18=0,0,K18/TrRail_act!K22*100)</f>
        <v>0</v>
      </c>
      <c r="L31" s="87">
        <f>IF(L18=0,0,L18/TrRail_act!L22*100)</f>
        <v>0</v>
      </c>
      <c r="M31" s="87">
        <f>IF(M18=0,0,M18/TrRail_act!M22*100)</f>
        <v>0</v>
      </c>
      <c r="N31" s="87">
        <f>IF(N18=0,0,N18/TrRail_act!N22*100)</f>
        <v>0</v>
      </c>
      <c r="O31" s="87">
        <f>IF(O18=0,0,O18/TrRail_act!O22*100)</f>
        <v>0</v>
      </c>
      <c r="P31" s="87">
        <f>IF(P18=0,0,P18/TrRail_act!P22*100)</f>
        <v>0</v>
      </c>
      <c r="Q31" s="87">
        <f>IF(Q18=0,0,Q18/TrRail_act!Q22*100)</f>
        <v>0</v>
      </c>
      <c r="R31" s="87">
        <f>IF(R18=0,0,R18/TrRail_act!R22*100)</f>
        <v>0</v>
      </c>
      <c r="S31" s="87">
        <f>IF(S18=0,0,S18/TrRail_act!S22*100)</f>
        <v>0</v>
      </c>
      <c r="T31" s="87">
        <f>IF(T18=0,0,T18/TrRail_act!T22*100)</f>
        <v>0</v>
      </c>
      <c r="U31" s="87">
        <f>IF(U18=0,0,U18/TrRail_act!U22*100)</f>
        <v>0</v>
      </c>
      <c r="V31" s="87">
        <f>IF(V18=0,0,V18/TrRail_act!V22*100)</f>
        <v>0</v>
      </c>
      <c r="W31" s="87">
        <f>IF(W18=0,0,W18/TrRail_act!W22*100)</f>
        <v>0</v>
      </c>
      <c r="X31" s="87">
        <f>IF(X18=0,0,X18/TrRail_act!X22*100)</f>
        <v>0</v>
      </c>
      <c r="Y31" s="87">
        <f>IF(Y18=0,0,Y18/TrRail_act!Y22*100)</f>
        <v>0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0</v>
      </c>
      <c r="E32" s="88">
        <f>IF(E19=0,0,E19/TrRail_act!E23*100)</f>
        <v>0</v>
      </c>
      <c r="F32" s="88">
        <f>IF(F19=0,0,F19/TrRail_act!F23*100)</f>
        <v>0</v>
      </c>
      <c r="G32" s="88">
        <f>IF(G19=0,0,G19/TrRail_act!G23*100)</f>
        <v>0</v>
      </c>
      <c r="H32" s="88">
        <f>IF(H19=0,0,H19/TrRail_act!H23*100)</f>
        <v>0</v>
      </c>
      <c r="I32" s="88">
        <f>IF(I19=0,0,I19/TrRail_act!I23*100)</f>
        <v>0</v>
      </c>
      <c r="J32" s="88">
        <f>IF(J19=0,0,J19/TrRail_act!J23*100)</f>
        <v>0</v>
      </c>
      <c r="K32" s="88">
        <f>IF(K19=0,0,K19/TrRail_act!K23*100)</f>
        <v>0</v>
      </c>
      <c r="L32" s="88">
        <f>IF(L19=0,0,L19/TrRail_act!L23*100)</f>
        <v>0</v>
      </c>
      <c r="M32" s="88">
        <f>IF(M19=0,0,M19/TrRail_act!M23*100)</f>
        <v>0</v>
      </c>
      <c r="N32" s="88">
        <f>IF(N19=0,0,N19/TrRail_act!N23*100)</f>
        <v>0</v>
      </c>
      <c r="O32" s="88">
        <f>IF(O19=0,0,O19/TrRail_act!O23*100)</f>
        <v>0</v>
      </c>
      <c r="P32" s="88">
        <f>IF(P19=0,0,P19/TrRail_act!P23*100)</f>
        <v>0</v>
      </c>
      <c r="Q32" s="88">
        <f>IF(Q19=0,0,Q19/TrRail_act!Q23*100)</f>
        <v>0</v>
      </c>
      <c r="R32" s="88">
        <f>IF(R19=0,0,R19/TrRail_act!R23*100)</f>
        <v>0</v>
      </c>
      <c r="S32" s="88">
        <f>IF(S19=0,0,S19/TrRail_act!S23*100)</f>
        <v>0</v>
      </c>
      <c r="T32" s="88">
        <f>IF(T19=0,0,T19/TrRail_act!T23*100)</f>
        <v>0</v>
      </c>
      <c r="U32" s="88">
        <f>IF(U19=0,0,U19/TrRail_act!U23*100)</f>
        <v>0</v>
      </c>
      <c r="V32" s="88">
        <f>IF(V19=0,0,V19/TrRail_act!V23*100)</f>
        <v>0</v>
      </c>
      <c r="W32" s="88">
        <f>IF(W19=0,0,W19/TrRail_act!W23*100)</f>
        <v>0</v>
      </c>
      <c r="X32" s="88">
        <f>IF(X19=0,0,X19/TrRail_act!X23*100)</f>
        <v>0</v>
      </c>
      <c r="Y32" s="88">
        <f>IF(Y19=0,0,Y19/TrRail_act!Y23*100)</f>
        <v>0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0</v>
      </c>
      <c r="C35" s="29">
        <f>IF(C11=0,0,C11/TrRail_act!C4*1000)</f>
        <v>0</v>
      </c>
      <c r="D35" s="29">
        <f>IF(D11=0,0,D11/TrRail_act!D4*1000)</f>
        <v>0</v>
      </c>
      <c r="E35" s="29">
        <f>IF(E11=0,0,E11/TrRail_act!E4*1000)</f>
        <v>0</v>
      </c>
      <c r="F35" s="29">
        <f>IF(F11=0,0,F11/TrRail_act!F4*1000)</f>
        <v>0</v>
      </c>
      <c r="G35" s="29">
        <f>IF(G11=0,0,G11/TrRail_act!G4*1000)</f>
        <v>0</v>
      </c>
      <c r="H35" s="29">
        <f>IF(H11=0,0,H11/TrRail_act!H4*1000)</f>
        <v>0</v>
      </c>
      <c r="I35" s="29">
        <f>IF(I11=0,0,I11/TrRail_act!I4*1000)</f>
        <v>0</v>
      </c>
      <c r="J35" s="29">
        <f>IF(J11=0,0,J11/TrRail_act!J4*1000)</f>
        <v>0</v>
      </c>
      <c r="K35" s="29">
        <f>IF(K11=0,0,K11/TrRail_act!K4*1000)</f>
        <v>0</v>
      </c>
      <c r="L35" s="29">
        <f>IF(L11=0,0,L11/TrRail_act!L4*1000)</f>
        <v>0</v>
      </c>
      <c r="M35" s="29">
        <f>IF(M11=0,0,M11/TrRail_act!M4*1000)</f>
        <v>0</v>
      </c>
      <c r="N35" s="29">
        <f>IF(N11=0,0,N11/TrRail_act!N4*1000)</f>
        <v>0</v>
      </c>
      <c r="O35" s="29">
        <f>IF(O11=0,0,O11/TrRail_act!O4*1000)</f>
        <v>0</v>
      </c>
      <c r="P35" s="29">
        <f>IF(P11=0,0,P11/TrRail_act!P4*1000)</f>
        <v>0</v>
      </c>
      <c r="Q35" s="29">
        <f>IF(Q11=0,0,Q11/TrRail_act!Q4*1000)</f>
        <v>0</v>
      </c>
      <c r="R35" s="29">
        <f>IF(R11=0,0,R11/TrRail_act!R4*1000)</f>
        <v>0</v>
      </c>
      <c r="S35" s="29">
        <f>IF(S11=0,0,S11/TrRail_act!S4*1000)</f>
        <v>0</v>
      </c>
      <c r="T35" s="29">
        <f>IF(T11=0,0,T11/TrRail_act!T4*1000)</f>
        <v>0</v>
      </c>
      <c r="U35" s="29">
        <f>IF(U11=0,0,U11/TrRail_act!U4*1000)</f>
        <v>0</v>
      </c>
      <c r="V35" s="29">
        <f>IF(V11=0,0,V11/TrRail_act!V4*1000)</f>
        <v>0</v>
      </c>
      <c r="W35" s="29">
        <f>IF(W11=0,0,W11/TrRail_act!W4*1000)</f>
        <v>0</v>
      </c>
      <c r="X35" s="29">
        <f>IF(X11=0,0,X11/TrRail_act!X4*1000)</f>
        <v>0</v>
      </c>
      <c r="Y35" s="29">
        <f>IF(Y11=0,0,Y11/TrRail_act!Y4*1000)</f>
        <v>0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0</v>
      </c>
      <c r="G36" s="115">
        <f>IF(G12=0,0,G12/TrRail_act!G5*1000)</f>
        <v>0</v>
      </c>
      <c r="H36" s="115">
        <f>IF(H12=0,0,H12/TrRail_act!H5*1000)</f>
        <v>0</v>
      </c>
      <c r="I36" s="115">
        <f>IF(I12=0,0,I12/TrRail_act!I5*1000)</f>
        <v>0</v>
      </c>
      <c r="J36" s="115">
        <f>IF(J12=0,0,J12/TrRail_act!J5*1000)</f>
        <v>0</v>
      </c>
      <c r="K36" s="115">
        <f>IF(K12=0,0,K12/TrRail_act!K5*1000)</f>
        <v>0</v>
      </c>
      <c r="L36" s="115">
        <f>IF(L12=0,0,L12/TrRail_act!L5*1000)</f>
        <v>0</v>
      </c>
      <c r="M36" s="115">
        <f>IF(M12=0,0,M12/TrRail_act!M5*1000)</f>
        <v>0</v>
      </c>
      <c r="N36" s="115">
        <f>IF(N12=0,0,N12/TrRail_act!N5*1000)</f>
        <v>0</v>
      </c>
      <c r="O36" s="115">
        <f>IF(O12=0,0,O12/TrRail_act!O5*1000)</f>
        <v>0</v>
      </c>
      <c r="P36" s="115">
        <f>IF(P12=0,0,P12/TrRail_act!P5*1000)</f>
        <v>0</v>
      </c>
      <c r="Q36" s="115">
        <f>IF(Q12=0,0,Q12/TrRail_act!Q5*1000)</f>
        <v>0</v>
      </c>
      <c r="R36" s="115">
        <f>IF(R12=0,0,R12/TrRail_act!R5*1000)</f>
        <v>0</v>
      </c>
      <c r="S36" s="115">
        <f>IF(S12=0,0,S12/TrRail_act!S5*1000)</f>
        <v>0</v>
      </c>
      <c r="T36" s="115">
        <f>IF(T12=0,0,T12/TrRail_act!T5*1000)</f>
        <v>0</v>
      </c>
      <c r="U36" s="115">
        <f>IF(U12=0,0,U12/TrRail_act!U5*1000)</f>
        <v>0</v>
      </c>
      <c r="V36" s="115">
        <f>IF(V12=0,0,V12/TrRail_act!V5*1000)</f>
        <v>0</v>
      </c>
      <c r="W36" s="115">
        <f>IF(W12=0,0,W12/TrRail_act!W5*1000)</f>
        <v>0</v>
      </c>
      <c r="X36" s="115">
        <f>IF(X12=0,0,X12/TrRail_act!X5*1000)</f>
        <v>0</v>
      </c>
      <c r="Y36" s="115">
        <f>IF(Y12=0,0,Y12/TrRail_act!Y5*1000)</f>
        <v>0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0</v>
      </c>
      <c r="C37" s="116">
        <f>IF(C13=0,0,C13/TrRail_act!C6*1000)</f>
        <v>0</v>
      </c>
      <c r="D37" s="116">
        <f>IF(D13=0,0,D13/TrRail_act!D6*1000)</f>
        <v>0</v>
      </c>
      <c r="E37" s="116">
        <f>IF(E13=0,0,E13/TrRail_act!E6*1000)</f>
        <v>0</v>
      </c>
      <c r="F37" s="116">
        <f>IF(F13=0,0,F13/TrRail_act!F6*1000)</f>
        <v>0</v>
      </c>
      <c r="G37" s="116">
        <f>IF(G13=0,0,G13/TrRail_act!G6*1000)</f>
        <v>0</v>
      </c>
      <c r="H37" s="116">
        <f>IF(H13=0,0,H13/TrRail_act!H6*1000)</f>
        <v>0</v>
      </c>
      <c r="I37" s="116">
        <f>IF(I13=0,0,I13/TrRail_act!I6*1000)</f>
        <v>0</v>
      </c>
      <c r="J37" s="116">
        <f>IF(J13=0,0,J13/TrRail_act!J6*1000)</f>
        <v>0</v>
      </c>
      <c r="K37" s="116">
        <f>IF(K13=0,0,K13/TrRail_act!K6*1000)</f>
        <v>0</v>
      </c>
      <c r="L37" s="116">
        <f>IF(L13=0,0,L13/TrRail_act!L6*1000)</f>
        <v>0</v>
      </c>
      <c r="M37" s="116">
        <f>IF(M13=0,0,M13/TrRail_act!M6*1000)</f>
        <v>0</v>
      </c>
      <c r="N37" s="116">
        <f>IF(N13=0,0,N13/TrRail_act!N6*1000)</f>
        <v>0</v>
      </c>
      <c r="O37" s="116">
        <f>IF(O13=0,0,O13/TrRail_act!O6*1000)</f>
        <v>0</v>
      </c>
      <c r="P37" s="116">
        <f>IF(P13=0,0,P13/TrRail_act!P6*1000)</f>
        <v>0</v>
      </c>
      <c r="Q37" s="116">
        <f>IF(Q13=0,0,Q13/TrRail_act!Q6*1000)</f>
        <v>0</v>
      </c>
      <c r="R37" s="116">
        <f>IF(R13=0,0,R13/TrRail_act!R6*1000)</f>
        <v>0</v>
      </c>
      <c r="S37" s="116">
        <f>IF(S13=0,0,S13/TrRail_act!S6*1000)</f>
        <v>0</v>
      </c>
      <c r="T37" s="116">
        <f>IF(T13=0,0,T13/TrRail_act!T6*1000)</f>
        <v>0</v>
      </c>
      <c r="U37" s="116">
        <f>IF(U13=0,0,U13/TrRail_act!U6*1000)</f>
        <v>0</v>
      </c>
      <c r="V37" s="116">
        <f>IF(V13=0,0,V13/TrRail_act!V6*1000)</f>
        <v>0</v>
      </c>
      <c r="W37" s="116">
        <f>IF(W13=0,0,W13/TrRail_act!W6*1000)</f>
        <v>0</v>
      </c>
      <c r="X37" s="116">
        <f>IF(X13=0,0,X13/TrRail_act!X6*1000)</f>
        <v>0</v>
      </c>
      <c r="Y37" s="116">
        <f>IF(Y13=0,0,Y13/TrRail_act!Y6*1000)</f>
        <v>0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0</v>
      </c>
      <c r="C38" s="87">
        <f>IF(C14=0,0,C14/TrRail_act!C7*1000)</f>
        <v>0</v>
      </c>
      <c r="D38" s="87">
        <f>IF(D14=0,0,D14/TrRail_act!D7*1000)</f>
        <v>0</v>
      </c>
      <c r="E38" s="87">
        <f>IF(E14=0,0,E14/TrRail_act!E7*1000)</f>
        <v>0</v>
      </c>
      <c r="F38" s="87">
        <f>IF(F14=0,0,F14/TrRail_act!F7*1000)</f>
        <v>0</v>
      </c>
      <c r="G38" s="87">
        <f>IF(G14=0,0,G14/TrRail_act!G7*1000)</f>
        <v>0</v>
      </c>
      <c r="H38" s="87">
        <f>IF(H14=0,0,H14/TrRail_act!H7*1000)</f>
        <v>0</v>
      </c>
      <c r="I38" s="87">
        <f>IF(I14=0,0,I14/TrRail_act!I7*1000)</f>
        <v>0</v>
      </c>
      <c r="J38" s="87">
        <f>IF(J14=0,0,J14/TrRail_act!J7*1000)</f>
        <v>0</v>
      </c>
      <c r="K38" s="87">
        <f>IF(K14=0,0,K14/TrRail_act!K7*1000)</f>
        <v>0</v>
      </c>
      <c r="L38" s="87">
        <f>IF(L14=0,0,L14/TrRail_act!L7*1000)</f>
        <v>0</v>
      </c>
      <c r="M38" s="87">
        <f>IF(M14=0,0,M14/TrRail_act!M7*1000)</f>
        <v>0</v>
      </c>
      <c r="N38" s="87">
        <f>IF(N14=0,0,N14/TrRail_act!N7*1000)</f>
        <v>0</v>
      </c>
      <c r="O38" s="87">
        <f>IF(O14=0,0,O14/TrRail_act!O7*1000)</f>
        <v>0</v>
      </c>
      <c r="P38" s="87">
        <f>IF(P14=0,0,P14/TrRail_act!P7*1000)</f>
        <v>0</v>
      </c>
      <c r="Q38" s="87">
        <f>IF(Q14=0,0,Q14/TrRail_act!Q7*1000)</f>
        <v>0</v>
      </c>
      <c r="R38" s="87">
        <f>IF(R14=0,0,R14/TrRail_act!R7*1000)</f>
        <v>0</v>
      </c>
      <c r="S38" s="87">
        <f>IF(S14=0,0,S14/TrRail_act!S7*1000)</f>
        <v>0</v>
      </c>
      <c r="T38" s="87">
        <f>IF(T14=0,0,T14/TrRail_act!T7*1000)</f>
        <v>0</v>
      </c>
      <c r="U38" s="87">
        <f>IF(U14=0,0,U14/TrRail_act!U7*1000)</f>
        <v>0</v>
      </c>
      <c r="V38" s="87">
        <f>IF(V14=0,0,V14/TrRail_act!V7*1000)</f>
        <v>0</v>
      </c>
      <c r="W38" s="87">
        <f>IF(W14=0,0,W14/TrRail_act!W7*1000)</f>
        <v>0</v>
      </c>
      <c r="X38" s="87">
        <f>IF(X14=0,0,X14/TrRail_act!X7*1000)</f>
        <v>0</v>
      </c>
      <c r="Y38" s="87">
        <f>IF(Y14=0,0,Y14/TrRail_act!Y7*1000)</f>
        <v>0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0</v>
      </c>
      <c r="C39" s="87">
        <f>IF(C15=0,0,C15/TrRail_act!C8*1000)</f>
        <v>0</v>
      </c>
      <c r="D39" s="87">
        <f>IF(D15=0,0,D15/TrRail_act!D8*1000)</f>
        <v>0</v>
      </c>
      <c r="E39" s="87">
        <f>IF(E15=0,0,E15/TrRail_act!E8*1000)</f>
        <v>0</v>
      </c>
      <c r="F39" s="87">
        <f>IF(F15=0,0,F15/TrRail_act!F8*1000)</f>
        <v>0</v>
      </c>
      <c r="G39" s="87">
        <f>IF(G15=0,0,G15/TrRail_act!G8*1000)</f>
        <v>0</v>
      </c>
      <c r="H39" s="87">
        <f>IF(H15=0,0,H15/TrRail_act!H8*1000)</f>
        <v>0</v>
      </c>
      <c r="I39" s="87">
        <f>IF(I15=0,0,I15/TrRail_act!I8*1000)</f>
        <v>0</v>
      </c>
      <c r="J39" s="87">
        <f>IF(J15=0,0,J15/TrRail_act!J8*1000)</f>
        <v>0</v>
      </c>
      <c r="K39" s="87">
        <f>IF(K15=0,0,K15/TrRail_act!K8*1000)</f>
        <v>0</v>
      </c>
      <c r="L39" s="87">
        <f>IF(L15=0,0,L15/TrRail_act!L8*1000)</f>
        <v>0</v>
      </c>
      <c r="M39" s="87">
        <f>IF(M15=0,0,M15/TrRail_act!M8*1000)</f>
        <v>0</v>
      </c>
      <c r="N39" s="87">
        <f>IF(N15=0,0,N15/TrRail_act!N8*1000)</f>
        <v>0</v>
      </c>
      <c r="O39" s="87">
        <f>IF(O15=0,0,O15/TrRail_act!O8*1000)</f>
        <v>0</v>
      </c>
      <c r="P39" s="87">
        <f>IF(P15=0,0,P15/TrRail_act!P8*1000)</f>
        <v>0</v>
      </c>
      <c r="Q39" s="87">
        <f>IF(Q15=0,0,Q15/TrRail_act!Q8*1000)</f>
        <v>0</v>
      </c>
      <c r="R39" s="87">
        <f>IF(R15=0,0,R15/TrRail_act!R8*1000)</f>
        <v>0</v>
      </c>
      <c r="S39" s="87">
        <f>IF(S15=0,0,S15/TrRail_act!S8*1000)</f>
        <v>0</v>
      </c>
      <c r="T39" s="87">
        <f>IF(T15=0,0,T15/TrRail_act!T8*1000)</f>
        <v>0</v>
      </c>
      <c r="U39" s="87">
        <f>IF(U15=0,0,U15/TrRail_act!U8*1000)</f>
        <v>0</v>
      </c>
      <c r="V39" s="87">
        <f>IF(V15=0,0,V15/TrRail_act!V8*1000)</f>
        <v>0</v>
      </c>
      <c r="W39" s="87">
        <f>IF(W15=0,0,W15/TrRail_act!W8*1000)</f>
        <v>0</v>
      </c>
      <c r="X39" s="87">
        <f>IF(X15=0,0,X15/TrRail_act!X8*1000)</f>
        <v>0</v>
      </c>
      <c r="Y39" s="87">
        <f>IF(Y15=0,0,Y15/TrRail_act!Y8*1000)</f>
        <v>0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0</v>
      </c>
      <c r="C41" s="29">
        <f>IF(C17=0,0,C17/TrRail_act!C10*1000)</f>
        <v>0</v>
      </c>
      <c r="D41" s="29">
        <f>IF(D17=0,0,D17/TrRail_act!D10*1000)</f>
        <v>0</v>
      </c>
      <c r="E41" s="29">
        <f>IF(E17=0,0,E17/TrRail_act!E10*1000)</f>
        <v>0</v>
      </c>
      <c r="F41" s="29">
        <f>IF(F17=0,0,F17/TrRail_act!F10*1000)</f>
        <v>0</v>
      </c>
      <c r="G41" s="29">
        <f>IF(G17=0,0,G17/TrRail_act!G10*1000)</f>
        <v>0</v>
      </c>
      <c r="H41" s="29">
        <f>IF(H17=0,0,H17/TrRail_act!H10*1000)</f>
        <v>0</v>
      </c>
      <c r="I41" s="29">
        <f>IF(I17=0,0,I17/TrRail_act!I10*1000)</f>
        <v>0</v>
      </c>
      <c r="J41" s="29">
        <f>IF(J17=0,0,J17/TrRail_act!J10*1000)</f>
        <v>0</v>
      </c>
      <c r="K41" s="29">
        <f>IF(K17=0,0,K17/TrRail_act!K10*1000)</f>
        <v>0</v>
      </c>
      <c r="L41" s="29">
        <f>IF(L17=0,0,L17/TrRail_act!L10*1000)</f>
        <v>0</v>
      </c>
      <c r="M41" s="29">
        <f>IF(M17=0,0,M17/TrRail_act!M10*1000)</f>
        <v>0</v>
      </c>
      <c r="N41" s="29">
        <f>IF(N17=0,0,N17/TrRail_act!N10*1000)</f>
        <v>0</v>
      </c>
      <c r="O41" s="29">
        <f>IF(O17=0,0,O17/TrRail_act!O10*1000)</f>
        <v>0</v>
      </c>
      <c r="P41" s="29">
        <f>IF(P17=0,0,P17/TrRail_act!P10*1000)</f>
        <v>0</v>
      </c>
      <c r="Q41" s="29">
        <f>IF(Q17=0,0,Q17/TrRail_act!Q10*1000)</f>
        <v>0</v>
      </c>
      <c r="R41" s="29">
        <f>IF(R17=0,0,R17/TrRail_act!R10*1000)</f>
        <v>0</v>
      </c>
      <c r="S41" s="29">
        <f>IF(S17=0,0,S17/TrRail_act!S10*1000)</f>
        <v>0</v>
      </c>
      <c r="T41" s="29">
        <f>IF(T17=0,0,T17/TrRail_act!T10*1000)</f>
        <v>0</v>
      </c>
      <c r="U41" s="29">
        <f>IF(U17=0,0,U17/TrRail_act!U10*1000)</f>
        <v>0</v>
      </c>
      <c r="V41" s="29">
        <f>IF(V17=0,0,V17/TrRail_act!V10*1000)</f>
        <v>0</v>
      </c>
      <c r="W41" s="29">
        <f>IF(W17=0,0,W17/TrRail_act!W10*1000)</f>
        <v>0</v>
      </c>
      <c r="X41" s="29">
        <f>IF(X17=0,0,X17/TrRail_act!X10*1000)</f>
        <v>0</v>
      </c>
      <c r="Y41" s="29">
        <f>IF(Y17=0,0,Y17/TrRail_act!Y10*1000)</f>
        <v>0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0</v>
      </c>
      <c r="C42" s="87">
        <f>IF(C18=0,0,C18/TrRail_act!C11*1000)</f>
        <v>0</v>
      </c>
      <c r="D42" s="87">
        <f>IF(D18=0,0,D18/TrRail_act!D11*1000)</f>
        <v>0</v>
      </c>
      <c r="E42" s="87">
        <f>IF(E18=0,0,E18/TrRail_act!E11*1000)</f>
        <v>0</v>
      </c>
      <c r="F42" s="87">
        <f>IF(F18=0,0,F18/TrRail_act!F11*1000)</f>
        <v>0</v>
      </c>
      <c r="G42" s="87">
        <f>IF(G18=0,0,G18/TrRail_act!G11*1000)</f>
        <v>0</v>
      </c>
      <c r="H42" s="87">
        <f>IF(H18=0,0,H18/TrRail_act!H11*1000)</f>
        <v>0</v>
      </c>
      <c r="I42" s="87">
        <f>IF(I18=0,0,I18/TrRail_act!I11*1000)</f>
        <v>0</v>
      </c>
      <c r="J42" s="87">
        <f>IF(J18=0,0,J18/TrRail_act!J11*1000)</f>
        <v>0</v>
      </c>
      <c r="K42" s="87">
        <f>IF(K18=0,0,K18/TrRail_act!K11*1000)</f>
        <v>0</v>
      </c>
      <c r="L42" s="87">
        <f>IF(L18=0,0,L18/TrRail_act!L11*1000)</f>
        <v>0</v>
      </c>
      <c r="M42" s="87">
        <f>IF(M18=0,0,M18/TrRail_act!M11*1000)</f>
        <v>0</v>
      </c>
      <c r="N42" s="87">
        <f>IF(N18=0,0,N18/TrRail_act!N11*1000)</f>
        <v>0</v>
      </c>
      <c r="O42" s="87">
        <f>IF(O18=0,0,O18/TrRail_act!O11*1000)</f>
        <v>0</v>
      </c>
      <c r="P42" s="87">
        <f>IF(P18=0,0,P18/TrRail_act!P11*1000)</f>
        <v>0</v>
      </c>
      <c r="Q42" s="87">
        <f>IF(Q18=0,0,Q18/TrRail_act!Q11*1000)</f>
        <v>0</v>
      </c>
      <c r="R42" s="87">
        <f>IF(R18=0,0,R18/TrRail_act!R11*1000)</f>
        <v>0</v>
      </c>
      <c r="S42" s="87">
        <f>IF(S18=0,0,S18/TrRail_act!S11*1000)</f>
        <v>0</v>
      </c>
      <c r="T42" s="87">
        <f>IF(T18=0,0,T18/TrRail_act!T11*1000)</f>
        <v>0</v>
      </c>
      <c r="U42" s="87">
        <f>IF(U18=0,0,U18/TrRail_act!U11*1000)</f>
        <v>0</v>
      </c>
      <c r="V42" s="87">
        <f>IF(V18=0,0,V18/TrRail_act!V11*1000)</f>
        <v>0</v>
      </c>
      <c r="W42" s="87">
        <f>IF(W18=0,0,W18/TrRail_act!W11*1000)</f>
        <v>0</v>
      </c>
      <c r="X42" s="87">
        <f>IF(X18=0,0,X18/TrRail_act!X11*1000)</f>
        <v>0</v>
      </c>
      <c r="Y42" s="87">
        <f>IF(Y18=0,0,Y18/TrRail_act!Y11*1000)</f>
        <v>0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0</v>
      </c>
      <c r="E43" s="88">
        <f>IF(E19=0,0,E19/TrRail_act!E12*1000)</f>
        <v>0</v>
      </c>
      <c r="F43" s="88">
        <f>IF(F19=0,0,F19/TrRail_act!F12*1000)</f>
        <v>0</v>
      </c>
      <c r="G43" s="88">
        <f>IF(G19=0,0,G19/TrRail_act!G12*1000)</f>
        <v>0</v>
      </c>
      <c r="H43" s="88">
        <f>IF(H19=0,0,H19/TrRail_act!H12*1000)</f>
        <v>0</v>
      </c>
      <c r="I43" s="88">
        <f>IF(I19=0,0,I19/TrRail_act!I12*1000)</f>
        <v>0</v>
      </c>
      <c r="J43" s="88">
        <f>IF(J19=0,0,J19/TrRail_act!J12*1000)</f>
        <v>0</v>
      </c>
      <c r="K43" s="88">
        <f>IF(K19=0,0,K19/TrRail_act!K12*1000)</f>
        <v>0</v>
      </c>
      <c r="L43" s="88">
        <f>IF(L19=0,0,L19/TrRail_act!L12*1000)</f>
        <v>0</v>
      </c>
      <c r="M43" s="88">
        <f>IF(M19=0,0,M19/TrRail_act!M12*1000)</f>
        <v>0</v>
      </c>
      <c r="N43" s="88">
        <f>IF(N19=0,0,N19/TrRail_act!N12*1000)</f>
        <v>0</v>
      </c>
      <c r="O43" s="88">
        <f>IF(O19=0,0,O19/TrRail_act!O12*1000)</f>
        <v>0</v>
      </c>
      <c r="P43" s="88">
        <f>IF(P19=0,0,P19/TrRail_act!P12*1000)</f>
        <v>0</v>
      </c>
      <c r="Q43" s="88">
        <f>IF(Q19=0,0,Q19/TrRail_act!Q12*1000)</f>
        <v>0</v>
      </c>
      <c r="R43" s="88">
        <f>IF(R19=0,0,R19/TrRail_act!R12*1000)</f>
        <v>0</v>
      </c>
      <c r="S43" s="88">
        <f>IF(S19=0,0,S19/TrRail_act!S12*1000)</f>
        <v>0</v>
      </c>
      <c r="T43" s="88">
        <f>IF(T19=0,0,T19/TrRail_act!T12*1000)</f>
        <v>0</v>
      </c>
      <c r="U43" s="88">
        <f>IF(U19=0,0,U19/TrRail_act!U12*1000)</f>
        <v>0</v>
      </c>
      <c r="V43" s="88">
        <f>IF(V19=0,0,V19/TrRail_act!V12*1000)</f>
        <v>0</v>
      </c>
      <c r="W43" s="88">
        <f>IF(W19=0,0,W19/TrRail_act!W12*1000)</f>
        <v>0</v>
      </c>
      <c r="X43" s="88">
        <f>IF(X19=0,0,X19/TrRail_act!X12*1000)</f>
        <v>0</v>
      </c>
      <c r="Y43" s="88">
        <f>IF(Y19=0,0,Y19/TrRail_act!Y12*1000)</f>
        <v>0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0</v>
      </c>
      <c r="C45" s="54">
        <f>IF(C10=0,0,1000000*C10/TrRail_act!C25)</f>
        <v>0</v>
      </c>
      <c r="D45" s="54">
        <f>IF(D10=0,0,1000000*D10/TrRail_act!D25)</f>
        <v>0</v>
      </c>
      <c r="E45" s="54">
        <f>IF(E10=0,0,1000000*E10/TrRail_act!E25)</f>
        <v>0</v>
      </c>
      <c r="F45" s="54">
        <f>IF(F10=0,0,1000000*F10/TrRail_act!F25)</f>
        <v>0</v>
      </c>
      <c r="G45" s="54">
        <f>IF(G10=0,0,1000000*G10/TrRail_act!G25)</f>
        <v>0</v>
      </c>
      <c r="H45" s="54">
        <f>IF(H10=0,0,1000000*H10/TrRail_act!H25)</f>
        <v>0</v>
      </c>
      <c r="I45" s="54">
        <f>IF(I10=0,0,1000000*I10/TrRail_act!I25)</f>
        <v>0</v>
      </c>
      <c r="J45" s="54">
        <f>IF(J10=0,0,1000000*J10/TrRail_act!J25)</f>
        <v>0</v>
      </c>
      <c r="K45" s="54">
        <f>IF(K10=0,0,1000000*K10/TrRail_act!K25)</f>
        <v>0</v>
      </c>
      <c r="L45" s="54">
        <f>IF(L10=0,0,1000000*L10/TrRail_act!L25)</f>
        <v>0</v>
      </c>
      <c r="M45" s="54">
        <f>IF(M10=0,0,1000000*M10/TrRail_act!M25)</f>
        <v>0</v>
      </c>
      <c r="N45" s="54">
        <f>IF(N10=0,0,1000000*N10/TrRail_act!N25)</f>
        <v>0</v>
      </c>
      <c r="O45" s="54">
        <f>IF(O10=0,0,1000000*O10/TrRail_act!O25)</f>
        <v>0</v>
      </c>
      <c r="P45" s="54">
        <f>IF(P10=0,0,1000000*P10/TrRail_act!P25)</f>
        <v>0</v>
      </c>
      <c r="Q45" s="54">
        <f>IF(Q10=0,0,1000000*Q10/TrRail_act!Q25)</f>
        <v>0</v>
      </c>
      <c r="R45" s="54">
        <f>IF(R10=0,0,1000000*R10/TrRail_act!R25)</f>
        <v>0</v>
      </c>
      <c r="S45" s="54">
        <f>IF(S10=0,0,1000000*S10/TrRail_act!S25)</f>
        <v>0</v>
      </c>
      <c r="T45" s="54">
        <f>IF(T10=0,0,1000000*T10/TrRail_act!T25)</f>
        <v>0</v>
      </c>
      <c r="U45" s="54">
        <f>IF(U10=0,0,1000000*U10/TrRail_act!U25)</f>
        <v>0</v>
      </c>
      <c r="V45" s="54">
        <f>IF(V10=0,0,1000000*V10/TrRail_act!V25)</f>
        <v>0</v>
      </c>
      <c r="W45" s="54">
        <f>IF(W10=0,0,1000000*W10/TrRail_act!W25)</f>
        <v>0</v>
      </c>
      <c r="X45" s="54">
        <f>IF(X10=0,0,1000000*X10/TrRail_act!X25)</f>
        <v>0</v>
      </c>
      <c r="Y45" s="54">
        <f>IF(Y10=0,0,1000000*Y10/TrRail_act!Y25)</f>
        <v>0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0</v>
      </c>
      <c r="C46" s="28">
        <f>IF(C11=0,0,1000000*C11/TrRail_act!C26)</f>
        <v>0</v>
      </c>
      <c r="D46" s="28">
        <f>IF(D11=0,0,1000000*D11/TrRail_act!D26)</f>
        <v>0</v>
      </c>
      <c r="E46" s="28">
        <f>IF(E11=0,0,1000000*E11/TrRail_act!E26)</f>
        <v>0</v>
      </c>
      <c r="F46" s="28">
        <f>IF(F11=0,0,1000000*F11/TrRail_act!F26)</f>
        <v>0</v>
      </c>
      <c r="G46" s="28">
        <f>IF(G11=0,0,1000000*G11/TrRail_act!G26)</f>
        <v>0</v>
      </c>
      <c r="H46" s="28">
        <f>IF(H11=0,0,1000000*H11/TrRail_act!H26)</f>
        <v>0</v>
      </c>
      <c r="I46" s="28">
        <f>IF(I11=0,0,1000000*I11/TrRail_act!I26)</f>
        <v>0</v>
      </c>
      <c r="J46" s="28">
        <f>IF(J11=0,0,1000000*J11/TrRail_act!J26)</f>
        <v>0</v>
      </c>
      <c r="K46" s="28">
        <f>IF(K11=0,0,1000000*K11/TrRail_act!K26)</f>
        <v>0</v>
      </c>
      <c r="L46" s="28">
        <f>IF(L11=0,0,1000000*L11/TrRail_act!L26)</f>
        <v>0</v>
      </c>
      <c r="M46" s="28">
        <f>IF(M11=0,0,1000000*M11/TrRail_act!M26)</f>
        <v>0</v>
      </c>
      <c r="N46" s="28">
        <f>IF(N11=0,0,1000000*N11/TrRail_act!N26)</f>
        <v>0</v>
      </c>
      <c r="O46" s="28">
        <f>IF(O11=0,0,1000000*O11/TrRail_act!O26)</f>
        <v>0</v>
      </c>
      <c r="P46" s="28">
        <f>IF(P11=0,0,1000000*P11/TrRail_act!P26)</f>
        <v>0</v>
      </c>
      <c r="Q46" s="28">
        <f>IF(Q11=0,0,1000000*Q11/TrRail_act!Q26)</f>
        <v>0</v>
      </c>
      <c r="R46" s="28">
        <f>IF(R11=0,0,1000000*R11/TrRail_act!R26)</f>
        <v>0</v>
      </c>
      <c r="S46" s="28">
        <f>IF(S11=0,0,1000000*S11/TrRail_act!S26)</f>
        <v>0</v>
      </c>
      <c r="T46" s="28">
        <f>IF(T11=0,0,1000000*T11/TrRail_act!T26)</f>
        <v>0</v>
      </c>
      <c r="U46" s="28">
        <f>IF(U11=0,0,1000000*U11/TrRail_act!U26)</f>
        <v>0</v>
      </c>
      <c r="V46" s="28">
        <f>IF(V11=0,0,1000000*V11/TrRail_act!V26)</f>
        <v>0</v>
      </c>
      <c r="W46" s="28">
        <f>IF(W11=0,0,1000000*W11/TrRail_act!W26)</f>
        <v>0</v>
      </c>
      <c r="X46" s="28">
        <f>IF(X11=0,0,1000000*X11/TrRail_act!X26)</f>
        <v>0</v>
      </c>
      <c r="Y46" s="28">
        <f>IF(Y11=0,0,1000000*Y11/TrRail_act!Y26)</f>
        <v>0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0</v>
      </c>
      <c r="G47" s="108">
        <f>IF(G12=0,0,1000000*G12/TrRail_act!G27)</f>
        <v>0</v>
      </c>
      <c r="H47" s="108">
        <f>IF(H12=0,0,1000000*H12/TrRail_act!H27)</f>
        <v>0</v>
      </c>
      <c r="I47" s="108">
        <f>IF(I12=0,0,1000000*I12/TrRail_act!I27)</f>
        <v>0</v>
      </c>
      <c r="J47" s="108">
        <f>IF(J12=0,0,1000000*J12/TrRail_act!J27)</f>
        <v>0</v>
      </c>
      <c r="K47" s="108">
        <f>IF(K12=0,0,1000000*K12/TrRail_act!K27)</f>
        <v>0</v>
      </c>
      <c r="L47" s="108">
        <f>IF(L12=0,0,1000000*L12/TrRail_act!L27)</f>
        <v>0</v>
      </c>
      <c r="M47" s="108">
        <f>IF(M12=0,0,1000000*M12/TrRail_act!M27)</f>
        <v>0</v>
      </c>
      <c r="N47" s="108">
        <f>IF(N12=0,0,1000000*N12/TrRail_act!N27)</f>
        <v>0</v>
      </c>
      <c r="O47" s="108">
        <f>IF(O12=0,0,1000000*O12/TrRail_act!O27)</f>
        <v>0</v>
      </c>
      <c r="P47" s="108">
        <f>IF(P12=0,0,1000000*P12/TrRail_act!P27)</f>
        <v>0</v>
      </c>
      <c r="Q47" s="108">
        <f>IF(Q12=0,0,1000000*Q12/TrRail_act!Q27)</f>
        <v>0</v>
      </c>
      <c r="R47" s="108">
        <f>IF(R12=0,0,1000000*R12/TrRail_act!R27)</f>
        <v>0</v>
      </c>
      <c r="S47" s="108">
        <f>IF(S12=0,0,1000000*S12/TrRail_act!S27)</f>
        <v>0</v>
      </c>
      <c r="T47" s="108">
        <f>IF(T12=0,0,1000000*T12/TrRail_act!T27)</f>
        <v>0</v>
      </c>
      <c r="U47" s="108">
        <f>IF(U12=0,0,1000000*U12/TrRail_act!U27)</f>
        <v>0</v>
      </c>
      <c r="V47" s="108">
        <f>IF(V12=0,0,1000000*V12/TrRail_act!V27)</f>
        <v>0</v>
      </c>
      <c r="W47" s="108">
        <f>IF(W12=0,0,1000000*W12/TrRail_act!W27)</f>
        <v>0</v>
      </c>
      <c r="X47" s="108">
        <f>IF(X12=0,0,1000000*X12/TrRail_act!X27)</f>
        <v>0</v>
      </c>
      <c r="Y47" s="108">
        <f>IF(Y12=0,0,1000000*Y12/TrRail_act!Y27)</f>
        <v>0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0</v>
      </c>
      <c r="C48" s="110">
        <f>IF(C13=0,0,1000000*C13/TrRail_act!C28)</f>
        <v>0</v>
      </c>
      <c r="D48" s="110">
        <f>IF(D13=0,0,1000000*D13/TrRail_act!D28)</f>
        <v>0</v>
      </c>
      <c r="E48" s="110">
        <f>IF(E13=0,0,1000000*E13/TrRail_act!E28)</f>
        <v>0</v>
      </c>
      <c r="F48" s="110">
        <f>IF(F13=0,0,1000000*F13/TrRail_act!F28)</f>
        <v>0</v>
      </c>
      <c r="G48" s="110">
        <f>IF(G13=0,0,1000000*G13/TrRail_act!G28)</f>
        <v>0</v>
      </c>
      <c r="H48" s="110">
        <f>IF(H13=0,0,1000000*H13/TrRail_act!H28)</f>
        <v>0</v>
      </c>
      <c r="I48" s="110">
        <f>IF(I13=0,0,1000000*I13/TrRail_act!I28)</f>
        <v>0</v>
      </c>
      <c r="J48" s="110">
        <f>IF(J13=0,0,1000000*J13/TrRail_act!J28)</f>
        <v>0</v>
      </c>
      <c r="K48" s="110">
        <f>IF(K13=0,0,1000000*K13/TrRail_act!K28)</f>
        <v>0</v>
      </c>
      <c r="L48" s="110">
        <f>IF(L13=0,0,1000000*L13/TrRail_act!L28)</f>
        <v>0</v>
      </c>
      <c r="M48" s="110">
        <f>IF(M13=0,0,1000000*M13/TrRail_act!M28)</f>
        <v>0</v>
      </c>
      <c r="N48" s="110">
        <f>IF(N13=0,0,1000000*N13/TrRail_act!N28)</f>
        <v>0</v>
      </c>
      <c r="O48" s="110">
        <f>IF(O13=0,0,1000000*O13/TrRail_act!O28)</f>
        <v>0</v>
      </c>
      <c r="P48" s="110">
        <f>IF(P13=0,0,1000000*P13/TrRail_act!P28)</f>
        <v>0</v>
      </c>
      <c r="Q48" s="110">
        <f>IF(Q13=0,0,1000000*Q13/TrRail_act!Q28)</f>
        <v>0</v>
      </c>
      <c r="R48" s="110">
        <f>IF(R13=0,0,1000000*R13/TrRail_act!R28)</f>
        <v>0</v>
      </c>
      <c r="S48" s="110">
        <f>IF(S13=0,0,1000000*S13/TrRail_act!S28)</f>
        <v>0</v>
      </c>
      <c r="T48" s="110">
        <f>IF(T13=0,0,1000000*T13/TrRail_act!T28)</f>
        <v>0</v>
      </c>
      <c r="U48" s="110">
        <f>IF(U13=0,0,1000000*U13/TrRail_act!U28)</f>
        <v>0</v>
      </c>
      <c r="V48" s="110">
        <f>IF(V13=0,0,1000000*V13/TrRail_act!V28)</f>
        <v>0</v>
      </c>
      <c r="W48" s="110">
        <f>IF(W13=0,0,1000000*W13/TrRail_act!W28)</f>
        <v>0</v>
      </c>
      <c r="X48" s="110">
        <f>IF(X13=0,0,1000000*X13/TrRail_act!X28)</f>
        <v>0</v>
      </c>
      <c r="Y48" s="110">
        <f>IF(Y13=0,0,1000000*Y13/TrRail_act!Y28)</f>
        <v>0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0</v>
      </c>
      <c r="C49" s="84">
        <f>IF(C14=0,0,1000000*C14/TrRail_act!C29)</f>
        <v>0</v>
      </c>
      <c r="D49" s="84">
        <f>IF(D14=0,0,1000000*D14/TrRail_act!D29)</f>
        <v>0</v>
      </c>
      <c r="E49" s="84">
        <f>IF(E14=0,0,1000000*E14/TrRail_act!E29)</f>
        <v>0</v>
      </c>
      <c r="F49" s="84">
        <f>IF(F14=0,0,1000000*F14/TrRail_act!F29)</f>
        <v>0</v>
      </c>
      <c r="G49" s="84">
        <f>IF(G14=0,0,1000000*G14/TrRail_act!G29)</f>
        <v>0</v>
      </c>
      <c r="H49" s="84">
        <f>IF(H14=0,0,1000000*H14/TrRail_act!H29)</f>
        <v>0</v>
      </c>
      <c r="I49" s="84">
        <f>IF(I14=0,0,1000000*I14/TrRail_act!I29)</f>
        <v>0</v>
      </c>
      <c r="J49" s="84">
        <f>IF(J14=0,0,1000000*J14/TrRail_act!J29)</f>
        <v>0</v>
      </c>
      <c r="K49" s="84">
        <f>IF(K14=0,0,1000000*K14/TrRail_act!K29)</f>
        <v>0</v>
      </c>
      <c r="L49" s="84">
        <f>IF(L14=0,0,1000000*L14/TrRail_act!L29)</f>
        <v>0</v>
      </c>
      <c r="M49" s="84">
        <f>IF(M14=0,0,1000000*M14/TrRail_act!M29)</f>
        <v>0</v>
      </c>
      <c r="N49" s="84">
        <f>IF(N14=0,0,1000000*N14/TrRail_act!N29)</f>
        <v>0</v>
      </c>
      <c r="O49" s="84">
        <f>IF(O14=0,0,1000000*O14/TrRail_act!O29)</f>
        <v>0</v>
      </c>
      <c r="P49" s="84">
        <f>IF(P14=0,0,1000000*P14/TrRail_act!P29)</f>
        <v>0</v>
      </c>
      <c r="Q49" s="84">
        <f>IF(Q14=0,0,1000000*Q14/TrRail_act!Q29)</f>
        <v>0</v>
      </c>
      <c r="R49" s="84">
        <f>IF(R14=0,0,1000000*R14/TrRail_act!R29)</f>
        <v>0</v>
      </c>
      <c r="S49" s="84">
        <f>IF(S14=0,0,1000000*S14/TrRail_act!S29)</f>
        <v>0</v>
      </c>
      <c r="T49" s="84">
        <f>IF(T14=0,0,1000000*T14/TrRail_act!T29)</f>
        <v>0</v>
      </c>
      <c r="U49" s="84">
        <f>IF(U14=0,0,1000000*U14/TrRail_act!U29)</f>
        <v>0</v>
      </c>
      <c r="V49" s="84">
        <f>IF(V14=0,0,1000000*V14/TrRail_act!V29)</f>
        <v>0</v>
      </c>
      <c r="W49" s="84">
        <f>IF(W14=0,0,1000000*W14/TrRail_act!W29)</f>
        <v>0</v>
      </c>
      <c r="X49" s="84">
        <f>IF(X14=0,0,1000000*X14/TrRail_act!X29)</f>
        <v>0</v>
      </c>
      <c r="Y49" s="84">
        <f>IF(Y14=0,0,1000000*Y14/TrRail_act!Y29)</f>
        <v>0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0</v>
      </c>
      <c r="C50" s="84">
        <f>IF(C15=0,0,1000000*C15/TrRail_act!C30)</f>
        <v>0</v>
      </c>
      <c r="D50" s="84">
        <f>IF(D15=0,0,1000000*D15/TrRail_act!D30)</f>
        <v>0</v>
      </c>
      <c r="E50" s="84">
        <f>IF(E15=0,0,1000000*E15/TrRail_act!E30)</f>
        <v>0</v>
      </c>
      <c r="F50" s="84">
        <f>IF(F15=0,0,1000000*F15/TrRail_act!F30)</f>
        <v>0</v>
      </c>
      <c r="G50" s="84">
        <f>IF(G15=0,0,1000000*G15/TrRail_act!G30)</f>
        <v>0</v>
      </c>
      <c r="H50" s="84">
        <f>IF(H15=0,0,1000000*H15/TrRail_act!H30)</f>
        <v>0</v>
      </c>
      <c r="I50" s="84">
        <f>IF(I15=0,0,1000000*I15/TrRail_act!I30)</f>
        <v>0</v>
      </c>
      <c r="J50" s="84">
        <f>IF(J15=0,0,1000000*J15/TrRail_act!J30)</f>
        <v>0</v>
      </c>
      <c r="K50" s="84">
        <f>IF(K15=0,0,1000000*K15/TrRail_act!K30)</f>
        <v>0</v>
      </c>
      <c r="L50" s="84">
        <f>IF(L15=0,0,1000000*L15/TrRail_act!L30)</f>
        <v>0</v>
      </c>
      <c r="M50" s="84">
        <f>IF(M15=0,0,1000000*M15/TrRail_act!M30)</f>
        <v>0</v>
      </c>
      <c r="N50" s="84">
        <f>IF(N15=0,0,1000000*N15/TrRail_act!N30)</f>
        <v>0</v>
      </c>
      <c r="O50" s="84">
        <f>IF(O15=0,0,1000000*O15/TrRail_act!O30)</f>
        <v>0</v>
      </c>
      <c r="P50" s="84">
        <f>IF(P15=0,0,1000000*P15/TrRail_act!P30)</f>
        <v>0</v>
      </c>
      <c r="Q50" s="84">
        <f>IF(Q15=0,0,1000000*Q15/TrRail_act!Q30)</f>
        <v>0</v>
      </c>
      <c r="R50" s="84">
        <f>IF(R15=0,0,1000000*R15/TrRail_act!R30)</f>
        <v>0</v>
      </c>
      <c r="S50" s="84">
        <f>IF(S15=0,0,1000000*S15/TrRail_act!S30)</f>
        <v>0</v>
      </c>
      <c r="T50" s="84">
        <f>IF(T15=0,0,1000000*T15/TrRail_act!T30)</f>
        <v>0</v>
      </c>
      <c r="U50" s="84">
        <f>IF(U15=0,0,1000000*U15/TrRail_act!U30)</f>
        <v>0</v>
      </c>
      <c r="V50" s="84">
        <f>IF(V15=0,0,1000000*V15/TrRail_act!V30)</f>
        <v>0</v>
      </c>
      <c r="W50" s="84">
        <f>IF(W15=0,0,1000000*W15/TrRail_act!W30)</f>
        <v>0</v>
      </c>
      <c r="X50" s="84">
        <f>IF(X15=0,0,1000000*X15/TrRail_act!X30)</f>
        <v>0</v>
      </c>
      <c r="Y50" s="84">
        <f>IF(Y15=0,0,1000000*Y15/TrRail_act!Y30)</f>
        <v>0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0</v>
      </c>
      <c r="C52" s="28">
        <f>IF(C17=0,0,1000000*C17/TrRail_act!C32)</f>
        <v>0</v>
      </c>
      <c r="D52" s="28">
        <f>IF(D17=0,0,1000000*D17/TrRail_act!D32)</f>
        <v>0</v>
      </c>
      <c r="E52" s="28">
        <f>IF(E17=0,0,1000000*E17/TrRail_act!E32)</f>
        <v>0</v>
      </c>
      <c r="F52" s="28">
        <f>IF(F17=0,0,1000000*F17/TrRail_act!F32)</f>
        <v>0</v>
      </c>
      <c r="G52" s="28">
        <f>IF(G17=0,0,1000000*G17/TrRail_act!G32)</f>
        <v>0</v>
      </c>
      <c r="H52" s="28">
        <f>IF(H17=0,0,1000000*H17/TrRail_act!H32)</f>
        <v>0</v>
      </c>
      <c r="I52" s="28">
        <f>IF(I17=0,0,1000000*I17/TrRail_act!I32)</f>
        <v>0</v>
      </c>
      <c r="J52" s="28">
        <f>IF(J17=0,0,1000000*J17/TrRail_act!J32)</f>
        <v>0</v>
      </c>
      <c r="K52" s="28">
        <f>IF(K17=0,0,1000000*K17/TrRail_act!K32)</f>
        <v>0</v>
      </c>
      <c r="L52" s="28">
        <f>IF(L17=0,0,1000000*L17/TrRail_act!L32)</f>
        <v>0</v>
      </c>
      <c r="M52" s="28">
        <f>IF(M17=0,0,1000000*M17/TrRail_act!M32)</f>
        <v>0</v>
      </c>
      <c r="N52" s="28">
        <f>IF(N17=0,0,1000000*N17/TrRail_act!N32)</f>
        <v>0</v>
      </c>
      <c r="O52" s="28">
        <f>IF(O17=0,0,1000000*O17/TrRail_act!O32)</f>
        <v>0</v>
      </c>
      <c r="P52" s="28">
        <f>IF(P17=0,0,1000000*P17/TrRail_act!P32)</f>
        <v>0</v>
      </c>
      <c r="Q52" s="28">
        <f>IF(Q17=0,0,1000000*Q17/TrRail_act!Q32)</f>
        <v>0</v>
      </c>
      <c r="R52" s="28">
        <f>IF(R17=0,0,1000000*R17/TrRail_act!R32)</f>
        <v>0</v>
      </c>
      <c r="S52" s="28">
        <f>IF(S17=0,0,1000000*S17/TrRail_act!S32)</f>
        <v>0</v>
      </c>
      <c r="T52" s="28">
        <f>IF(T17=0,0,1000000*T17/TrRail_act!T32)</f>
        <v>0</v>
      </c>
      <c r="U52" s="28">
        <f>IF(U17=0,0,1000000*U17/TrRail_act!U32)</f>
        <v>0</v>
      </c>
      <c r="V52" s="28">
        <f>IF(V17=0,0,1000000*V17/TrRail_act!V32)</f>
        <v>0</v>
      </c>
      <c r="W52" s="28">
        <f>IF(W17=0,0,1000000*W17/TrRail_act!W32)</f>
        <v>0</v>
      </c>
      <c r="X52" s="28">
        <f>IF(X17=0,0,1000000*X17/TrRail_act!X32)</f>
        <v>0</v>
      </c>
      <c r="Y52" s="28">
        <f>IF(Y17=0,0,1000000*Y17/TrRail_act!Y32)</f>
        <v>0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0</v>
      </c>
      <c r="C53" s="84">
        <f>IF(C18=0,0,1000000*C18/TrRail_act!C33)</f>
        <v>0</v>
      </c>
      <c r="D53" s="84">
        <f>IF(D18=0,0,1000000*D18/TrRail_act!D33)</f>
        <v>0</v>
      </c>
      <c r="E53" s="84">
        <f>IF(E18=0,0,1000000*E18/TrRail_act!E33)</f>
        <v>0</v>
      </c>
      <c r="F53" s="84">
        <f>IF(F18=0,0,1000000*F18/TrRail_act!F33)</f>
        <v>0</v>
      </c>
      <c r="G53" s="84">
        <f>IF(G18=0,0,1000000*G18/TrRail_act!G33)</f>
        <v>0</v>
      </c>
      <c r="H53" s="84">
        <f>IF(H18=0,0,1000000*H18/TrRail_act!H33)</f>
        <v>0</v>
      </c>
      <c r="I53" s="84">
        <f>IF(I18=0,0,1000000*I18/TrRail_act!I33)</f>
        <v>0</v>
      </c>
      <c r="J53" s="84">
        <f>IF(J18=0,0,1000000*J18/TrRail_act!J33)</f>
        <v>0</v>
      </c>
      <c r="K53" s="84">
        <f>IF(K18=0,0,1000000*K18/TrRail_act!K33)</f>
        <v>0</v>
      </c>
      <c r="L53" s="84">
        <f>IF(L18=0,0,1000000*L18/TrRail_act!L33)</f>
        <v>0</v>
      </c>
      <c r="M53" s="84">
        <f>IF(M18=0,0,1000000*M18/TrRail_act!M33)</f>
        <v>0</v>
      </c>
      <c r="N53" s="84">
        <f>IF(N18=0,0,1000000*N18/TrRail_act!N33)</f>
        <v>0</v>
      </c>
      <c r="O53" s="84">
        <f>IF(O18=0,0,1000000*O18/TrRail_act!O33)</f>
        <v>0</v>
      </c>
      <c r="P53" s="84">
        <f>IF(P18=0,0,1000000*P18/TrRail_act!P33)</f>
        <v>0</v>
      </c>
      <c r="Q53" s="84">
        <f>IF(Q18=0,0,1000000*Q18/TrRail_act!Q33)</f>
        <v>0</v>
      </c>
      <c r="R53" s="84">
        <f>IF(R18=0,0,1000000*R18/TrRail_act!R33)</f>
        <v>0</v>
      </c>
      <c r="S53" s="84">
        <f>IF(S18=0,0,1000000*S18/TrRail_act!S33)</f>
        <v>0</v>
      </c>
      <c r="T53" s="84">
        <f>IF(T18=0,0,1000000*T18/TrRail_act!T33)</f>
        <v>0</v>
      </c>
      <c r="U53" s="84">
        <f>IF(U18=0,0,1000000*U18/TrRail_act!U33)</f>
        <v>0</v>
      </c>
      <c r="V53" s="84">
        <f>IF(V18=0,0,1000000*V18/TrRail_act!V33)</f>
        <v>0</v>
      </c>
      <c r="W53" s="84">
        <f>IF(W18=0,0,1000000*W18/TrRail_act!W33)</f>
        <v>0</v>
      </c>
      <c r="X53" s="84">
        <f>IF(X18=0,0,1000000*X18/TrRail_act!X33)</f>
        <v>0</v>
      </c>
      <c r="Y53" s="84">
        <f>IF(Y18=0,0,1000000*Y18/TrRail_act!Y33)</f>
        <v>0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0</v>
      </c>
      <c r="E54" s="86">
        <f>IF(E19=0,0,1000000*E19/TrRail_act!E34)</f>
        <v>0</v>
      </c>
      <c r="F54" s="86">
        <f>IF(F19=0,0,1000000*F19/TrRail_act!F34)</f>
        <v>0</v>
      </c>
      <c r="G54" s="86">
        <f>IF(G19=0,0,1000000*G19/TrRail_act!G34)</f>
        <v>0</v>
      </c>
      <c r="H54" s="86">
        <f>IF(H19=0,0,1000000*H19/TrRail_act!H34)</f>
        <v>0</v>
      </c>
      <c r="I54" s="86">
        <f>IF(I19=0,0,1000000*I19/TrRail_act!I34)</f>
        <v>0</v>
      </c>
      <c r="J54" s="86">
        <f>IF(J19=0,0,1000000*J19/TrRail_act!J34)</f>
        <v>0</v>
      </c>
      <c r="K54" s="86">
        <f>IF(K19=0,0,1000000*K19/TrRail_act!K34)</f>
        <v>0</v>
      </c>
      <c r="L54" s="86">
        <f>IF(L19=0,0,1000000*L19/TrRail_act!L34)</f>
        <v>0</v>
      </c>
      <c r="M54" s="86">
        <f>IF(M19=0,0,1000000*M19/TrRail_act!M34)</f>
        <v>0</v>
      </c>
      <c r="N54" s="86">
        <f>IF(N19=0,0,1000000*N19/TrRail_act!N34)</f>
        <v>0</v>
      </c>
      <c r="O54" s="86">
        <f>IF(O19=0,0,1000000*O19/TrRail_act!O34)</f>
        <v>0</v>
      </c>
      <c r="P54" s="86">
        <f>IF(P19=0,0,1000000*P19/TrRail_act!P34)</f>
        <v>0</v>
      </c>
      <c r="Q54" s="86">
        <f>IF(Q19=0,0,1000000*Q19/TrRail_act!Q34)</f>
        <v>0</v>
      </c>
      <c r="R54" s="86">
        <f>IF(R19=0,0,1000000*R19/TrRail_act!R34)</f>
        <v>0</v>
      </c>
      <c r="S54" s="86">
        <f>IF(S19=0,0,1000000*S19/TrRail_act!S34)</f>
        <v>0</v>
      </c>
      <c r="T54" s="86">
        <f>IF(T19=0,0,1000000*T19/TrRail_act!T34)</f>
        <v>0</v>
      </c>
      <c r="U54" s="86">
        <f>IF(U19=0,0,1000000*U19/TrRail_act!U34)</f>
        <v>0</v>
      </c>
      <c r="V54" s="86">
        <f>IF(V19=0,0,1000000*V19/TrRail_act!V34)</f>
        <v>0</v>
      </c>
      <c r="W54" s="86">
        <f>IF(W19=0,0,1000000*W19/TrRail_act!W34)</f>
        <v>0</v>
      </c>
      <c r="X54" s="86">
        <f>IF(X19=0,0,1000000*X19/TrRail_act!X34)</f>
        <v>0</v>
      </c>
      <c r="Y54" s="86">
        <f>IF(Y19=0,0,1000000*Y19/TrRail_act!Y34)</f>
        <v>0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0</v>
      </c>
      <c r="C56" s="65">
        <f t="shared" ref="C56:V56" si="16">IF(C10=0,0,C10/C$10)</f>
        <v>0</v>
      </c>
      <c r="D56" s="65">
        <f t="shared" si="16"/>
        <v>0</v>
      </c>
      <c r="E56" s="65">
        <f t="shared" si="16"/>
        <v>0</v>
      </c>
      <c r="F56" s="65">
        <f t="shared" si="16"/>
        <v>0</v>
      </c>
      <c r="G56" s="65">
        <f t="shared" si="16"/>
        <v>0</v>
      </c>
      <c r="H56" s="65">
        <f t="shared" si="16"/>
        <v>0</v>
      </c>
      <c r="I56" s="65">
        <f t="shared" si="16"/>
        <v>0</v>
      </c>
      <c r="J56" s="65">
        <f t="shared" si="16"/>
        <v>0</v>
      </c>
      <c r="K56" s="65">
        <f t="shared" si="16"/>
        <v>0</v>
      </c>
      <c r="L56" s="65">
        <f t="shared" si="16"/>
        <v>0</v>
      </c>
      <c r="M56" s="65">
        <f t="shared" si="16"/>
        <v>0</v>
      </c>
      <c r="N56" s="65">
        <f t="shared" si="16"/>
        <v>0</v>
      </c>
      <c r="O56" s="65">
        <f t="shared" si="16"/>
        <v>0</v>
      </c>
      <c r="P56" s="65">
        <f t="shared" si="16"/>
        <v>0</v>
      </c>
      <c r="Q56" s="65">
        <f t="shared" si="16"/>
        <v>0</v>
      </c>
      <c r="R56" s="65">
        <f t="shared" si="16"/>
        <v>0</v>
      </c>
      <c r="S56" s="65">
        <f t="shared" si="16"/>
        <v>0</v>
      </c>
      <c r="T56" s="65">
        <f t="shared" si="16"/>
        <v>0</v>
      </c>
      <c r="U56" s="65">
        <f t="shared" si="16"/>
        <v>0</v>
      </c>
      <c r="V56" s="65">
        <f t="shared" si="16"/>
        <v>0</v>
      </c>
      <c r="W56" s="65">
        <f t="shared" ref="W56:Y56" si="17">IF(W10=0,0,W10/W$10)</f>
        <v>0</v>
      </c>
      <c r="X56" s="65">
        <f t="shared" si="17"/>
        <v>0</v>
      </c>
      <c r="Y56" s="65">
        <f t="shared" si="17"/>
        <v>0</v>
      </c>
      <c r="DA56" s="172"/>
    </row>
    <row r="57" spans="1:105" ht="11.45" customHeight="1" x14ac:dyDescent="0.25">
      <c r="A57" s="27" t="s">
        <v>33</v>
      </c>
      <c r="B57" s="31">
        <f t="shared" si="15"/>
        <v>0</v>
      </c>
      <c r="C57" s="31">
        <f t="shared" ref="C57:V57" si="18">IF(C11=0,0,C11/C$10)</f>
        <v>0</v>
      </c>
      <c r="D57" s="31">
        <f t="shared" si="18"/>
        <v>0</v>
      </c>
      <c r="E57" s="31">
        <f t="shared" si="18"/>
        <v>0</v>
      </c>
      <c r="F57" s="31">
        <f t="shared" si="18"/>
        <v>0</v>
      </c>
      <c r="G57" s="31">
        <f t="shared" si="18"/>
        <v>0</v>
      </c>
      <c r="H57" s="31">
        <f t="shared" si="18"/>
        <v>0</v>
      </c>
      <c r="I57" s="31">
        <f t="shared" si="18"/>
        <v>0</v>
      </c>
      <c r="J57" s="31">
        <f t="shared" si="18"/>
        <v>0</v>
      </c>
      <c r="K57" s="31">
        <f t="shared" si="18"/>
        <v>0</v>
      </c>
      <c r="L57" s="31">
        <f t="shared" si="18"/>
        <v>0</v>
      </c>
      <c r="M57" s="31">
        <f t="shared" si="18"/>
        <v>0</v>
      </c>
      <c r="N57" s="31">
        <f t="shared" si="18"/>
        <v>0</v>
      </c>
      <c r="O57" s="31">
        <f t="shared" si="18"/>
        <v>0</v>
      </c>
      <c r="P57" s="31">
        <f t="shared" si="18"/>
        <v>0</v>
      </c>
      <c r="Q57" s="31">
        <f t="shared" si="18"/>
        <v>0</v>
      </c>
      <c r="R57" s="31">
        <f t="shared" si="18"/>
        <v>0</v>
      </c>
      <c r="S57" s="31">
        <f t="shared" si="18"/>
        <v>0</v>
      </c>
      <c r="T57" s="31">
        <f t="shared" si="18"/>
        <v>0</v>
      </c>
      <c r="U57" s="31">
        <f t="shared" si="18"/>
        <v>0</v>
      </c>
      <c r="V57" s="31">
        <f t="shared" si="18"/>
        <v>0</v>
      </c>
      <c r="W57" s="31">
        <f t="shared" ref="W57:Y57" si="19">IF(W11=0,0,W11/W$10)</f>
        <v>0</v>
      </c>
      <c r="X57" s="31">
        <f t="shared" si="19"/>
        <v>0</v>
      </c>
      <c r="Y57" s="31">
        <f t="shared" si="19"/>
        <v>0</v>
      </c>
      <c r="DA57" s="173"/>
    </row>
    <row r="58" spans="1:105" ht="11.45" customHeight="1" x14ac:dyDescent="0.25">
      <c r="A58" s="107" t="s">
        <v>23</v>
      </c>
      <c r="B58" s="123">
        <f t="shared" si="15"/>
        <v>0</v>
      </c>
      <c r="C58" s="123">
        <f t="shared" ref="C58:V58" si="20">IF(C12=0,0,C12/C$10)</f>
        <v>0</v>
      </c>
      <c r="D58" s="123">
        <f t="shared" si="20"/>
        <v>0</v>
      </c>
      <c r="E58" s="123">
        <f t="shared" si="20"/>
        <v>0</v>
      </c>
      <c r="F58" s="123">
        <f t="shared" si="20"/>
        <v>0</v>
      </c>
      <c r="G58" s="123">
        <f t="shared" si="20"/>
        <v>0</v>
      </c>
      <c r="H58" s="123">
        <f t="shared" si="20"/>
        <v>0</v>
      </c>
      <c r="I58" s="123">
        <f t="shared" si="20"/>
        <v>0</v>
      </c>
      <c r="J58" s="123">
        <f t="shared" si="20"/>
        <v>0</v>
      </c>
      <c r="K58" s="123">
        <f t="shared" si="20"/>
        <v>0</v>
      </c>
      <c r="L58" s="123">
        <f t="shared" si="20"/>
        <v>0</v>
      </c>
      <c r="M58" s="123">
        <f t="shared" si="20"/>
        <v>0</v>
      </c>
      <c r="N58" s="123">
        <f t="shared" si="20"/>
        <v>0</v>
      </c>
      <c r="O58" s="123">
        <f t="shared" si="20"/>
        <v>0</v>
      </c>
      <c r="P58" s="123">
        <f t="shared" si="20"/>
        <v>0</v>
      </c>
      <c r="Q58" s="123">
        <f t="shared" si="20"/>
        <v>0</v>
      </c>
      <c r="R58" s="123">
        <f t="shared" si="20"/>
        <v>0</v>
      </c>
      <c r="S58" s="123">
        <f t="shared" si="20"/>
        <v>0</v>
      </c>
      <c r="T58" s="123">
        <f t="shared" si="20"/>
        <v>0</v>
      </c>
      <c r="U58" s="123">
        <f t="shared" si="20"/>
        <v>0</v>
      </c>
      <c r="V58" s="123">
        <f t="shared" si="20"/>
        <v>0</v>
      </c>
      <c r="W58" s="123">
        <f t="shared" ref="W58:Y58" si="21">IF(W12=0,0,W12/W$10)</f>
        <v>0</v>
      </c>
      <c r="X58" s="123">
        <f t="shared" si="21"/>
        <v>0</v>
      </c>
      <c r="Y58" s="123">
        <f t="shared" si="21"/>
        <v>0</v>
      </c>
      <c r="DA58" s="203"/>
    </row>
    <row r="59" spans="1:105" ht="11.45" customHeight="1" x14ac:dyDescent="0.25">
      <c r="A59" s="109" t="s">
        <v>24</v>
      </c>
      <c r="B59" s="124">
        <f t="shared" si="15"/>
        <v>0</v>
      </c>
      <c r="C59" s="124">
        <f t="shared" ref="C59:V59" si="22">IF(C13=0,0,C13/C$10)</f>
        <v>0</v>
      </c>
      <c r="D59" s="124">
        <f t="shared" si="22"/>
        <v>0</v>
      </c>
      <c r="E59" s="124">
        <f t="shared" si="22"/>
        <v>0</v>
      </c>
      <c r="F59" s="124">
        <f t="shared" si="22"/>
        <v>0</v>
      </c>
      <c r="G59" s="124">
        <f t="shared" si="22"/>
        <v>0</v>
      </c>
      <c r="H59" s="124">
        <f t="shared" si="22"/>
        <v>0</v>
      </c>
      <c r="I59" s="124">
        <f t="shared" si="22"/>
        <v>0</v>
      </c>
      <c r="J59" s="124">
        <f t="shared" si="22"/>
        <v>0</v>
      </c>
      <c r="K59" s="124">
        <f t="shared" si="22"/>
        <v>0</v>
      </c>
      <c r="L59" s="124">
        <f t="shared" si="22"/>
        <v>0</v>
      </c>
      <c r="M59" s="124">
        <f t="shared" si="22"/>
        <v>0</v>
      </c>
      <c r="N59" s="124">
        <f t="shared" si="22"/>
        <v>0</v>
      </c>
      <c r="O59" s="124">
        <f t="shared" si="22"/>
        <v>0</v>
      </c>
      <c r="P59" s="124">
        <f t="shared" si="22"/>
        <v>0</v>
      </c>
      <c r="Q59" s="124">
        <f t="shared" si="22"/>
        <v>0</v>
      </c>
      <c r="R59" s="124">
        <f t="shared" si="22"/>
        <v>0</v>
      </c>
      <c r="S59" s="124">
        <f t="shared" si="22"/>
        <v>0</v>
      </c>
      <c r="T59" s="124">
        <f t="shared" si="22"/>
        <v>0</v>
      </c>
      <c r="U59" s="124">
        <f t="shared" si="22"/>
        <v>0</v>
      </c>
      <c r="V59" s="124">
        <f t="shared" si="22"/>
        <v>0</v>
      </c>
      <c r="W59" s="124">
        <f t="shared" ref="W59:Y59" si="23">IF(W13=0,0,W13/W$10)</f>
        <v>0</v>
      </c>
      <c r="X59" s="124">
        <f t="shared" si="23"/>
        <v>0</v>
      </c>
      <c r="Y59" s="124">
        <f t="shared" si="23"/>
        <v>0</v>
      </c>
      <c r="DA59" s="176"/>
    </row>
    <row r="60" spans="1:105" ht="11.45" customHeight="1" x14ac:dyDescent="0.25">
      <c r="A60" s="111" t="s">
        <v>92</v>
      </c>
      <c r="B60" s="125">
        <f t="shared" si="15"/>
        <v>0</v>
      </c>
      <c r="C60" s="125">
        <f t="shared" ref="C60:V60" si="24">IF(C14=0,0,C14/C$10)</f>
        <v>0</v>
      </c>
      <c r="D60" s="125">
        <f t="shared" si="24"/>
        <v>0</v>
      </c>
      <c r="E60" s="125">
        <f t="shared" si="24"/>
        <v>0</v>
      </c>
      <c r="F60" s="125">
        <f t="shared" si="24"/>
        <v>0</v>
      </c>
      <c r="G60" s="125">
        <f t="shared" si="24"/>
        <v>0</v>
      </c>
      <c r="H60" s="125">
        <f t="shared" si="24"/>
        <v>0</v>
      </c>
      <c r="I60" s="125">
        <f t="shared" si="24"/>
        <v>0</v>
      </c>
      <c r="J60" s="125">
        <f t="shared" si="24"/>
        <v>0</v>
      </c>
      <c r="K60" s="125">
        <f t="shared" si="24"/>
        <v>0</v>
      </c>
      <c r="L60" s="125">
        <f t="shared" si="24"/>
        <v>0</v>
      </c>
      <c r="M60" s="125">
        <f t="shared" si="24"/>
        <v>0</v>
      </c>
      <c r="N60" s="125">
        <f t="shared" si="24"/>
        <v>0</v>
      </c>
      <c r="O60" s="125">
        <f t="shared" si="24"/>
        <v>0</v>
      </c>
      <c r="P60" s="125">
        <f t="shared" si="24"/>
        <v>0</v>
      </c>
      <c r="Q60" s="125">
        <f t="shared" si="24"/>
        <v>0</v>
      </c>
      <c r="R60" s="125">
        <f t="shared" si="24"/>
        <v>0</v>
      </c>
      <c r="S60" s="125">
        <f t="shared" si="24"/>
        <v>0</v>
      </c>
      <c r="T60" s="125">
        <f t="shared" si="24"/>
        <v>0</v>
      </c>
      <c r="U60" s="125">
        <f t="shared" si="24"/>
        <v>0</v>
      </c>
      <c r="V60" s="125">
        <f t="shared" si="24"/>
        <v>0</v>
      </c>
      <c r="W60" s="125">
        <f t="shared" ref="W60:Y60" si="25">IF(W14=0,0,W14/W$10)</f>
        <v>0</v>
      </c>
      <c r="X60" s="125">
        <f t="shared" si="25"/>
        <v>0</v>
      </c>
      <c r="Y60" s="125">
        <f t="shared" si="25"/>
        <v>0</v>
      </c>
      <c r="DA60" s="171"/>
    </row>
    <row r="61" spans="1:105" ht="11.45" customHeight="1" x14ac:dyDescent="0.25">
      <c r="A61" s="111" t="s">
        <v>93</v>
      </c>
      <c r="B61" s="125">
        <f t="shared" si="15"/>
        <v>0</v>
      </c>
      <c r="C61" s="125">
        <f t="shared" ref="C61:V61" si="26">IF(C15=0,0,C15/C$10)</f>
        <v>0</v>
      </c>
      <c r="D61" s="125">
        <f t="shared" si="26"/>
        <v>0</v>
      </c>
      <c r="E61" s="125">
        <f t="shared" si="26"/>
        <v>0</v>
      </c>
      <c r="F61" s="125">
        <f t="shared" si="26"/>
        <v>0</v>
      </c>
      <c r="G61" s="125">
        <f t="shared" si="26"/>
        <v>0</v>
      </c>
      <c r="H61" s="125">
        <f t="shared" si="26"/>
        <v>0</v>
      </c>
      <c r="I61" s="125">
        <f t="shared" si="26"/>
        <v>0</v>
      </c>
      <c r="J61" s="125">
        <f t="shared" si="26"/>
        <v>0</v>
      </c>
      <c r="K61" s="125">
        <f t="shared" si="26"/>
        <v>0</v>
      </c>
      <c r="L61" s="125">
        <f t="shared" si="26"/>
        <v>0</v>
      </c>
      <c r="M61" s="125">
        <f t="shared" si="26"/>
        <v>0</v>
      </c>
      <c r="N61" s="125">
        <f t="shared" si="26"/>
        <v>0</v>
      </c>
      <c r="O61" s="125">
        <f t="shared" si="26"/>
        <v>0</v>
      </c>
      <c r="P61" s="125">
        <f t="shared" si="26"/>
        <v>0</v>
      </c>
      <c r="Q61" s="125">
        <f t="shared" si="26"/>
        <v>0</v>
      </c>
      <c r="R61" s="125">
        <f t="shared" si="26"/>
        <v>0</v>
      </c>
      <c r="S61" s="125">
        <f t="shared" si="26"/>
        <v>0</v>
      </c>
      <c r="T61" s="125">
        <f t="shared" si="26"/>
        <v>0</v>
      </c>
      <c r="U61" s="125">
        <f t="shared" si="26"/>
        <v>0</v>
      </c>
      <c r="V61" s="125">
        <f t="shared" si="26"/>
        <v>0</v>
      </c>
      <c r="W61" s="125">
        <f t="shared" ref="W61:Y61" si="27">IF(W15=0,0,W15/W$10)</f>
        <v>0</v>
      </c>
      <c r="X61" s="125">
        <f t="shared" si="27"/>
        <v>0</v>
      </c>
      <c r="Y61" s="125">
        <f t="shared" si="27"/>
        <v>0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0</v>
      </c>
      <c r="C63" s="31">
        <f t="shared" ref="C63:V63" si="30">IF(C17=0,0,C17/C$10)</f>
        <v>0</v>
      </c>
      <c r="D63" s="31">
        <f t="shared" si="30"/>
        <v>0</v>
      </c>
      <c r="E63" s="31">
        <f t="shared" si="30"/>
        <v>0</v>
      </c>
      <c r="F63" s="31">
        <f t="shared" si="30"/>
        <v>0</v>
      </c>
      <c r="G63" s="31">
        <f t="shared" si="30"/>
        <v>0</v>
      </c>
      <c r="H63" s="31">
        <f t="shared" si="30"/>
        <v>0</v>
      </c>
      <c r="I63" s="31">
        <f t="shared" si="30"/>
        <v>0</v>
      </c>
      <c r="J63" s="31">
        <f t="shared" si="30"/>
        <v>0</v>
      </c>
      <c r="K63" s="31">
        <f t="shared" si="30"/>
        <v>0</v>
      </c>
      <c r="L63" s="31">
        <f t="shared" si="30"/>
        <v>0</v>
      </c>
      <c r="M63" s="31">
        <f t="shared" si="30"/>
        <v>0</v>
      </c>
      <c r="N63" s="31">
        <f t="shared" si="30"/>
        <v>0</v>
      </c>
      <c r="O63" s="31">
        <f t="shared" si="30"/>
        <v>0</v>
      </c>
      <c r="P63" s="31">
        <f t="shared" si="30"/>
        <v>0</v>
      </c>
      <c r="Q63" s="31">
        <f t="shared" si="30"/>
        <v>0</v>
      </c>
      <c r="R63" s="31">
        <f t="shared" si="30"/>
        <v>0</v>
      </c>
      <c r="S63" s="31">
        <f t="shared" si="30"/>
        <v>0</v>
      </c>
      <c r="T63" s="31">
        <f t="shared" si="30"/>
        <v>0</v>
      </c>
      <c r="U63" s="31">
        <f t="shared" si="30"/>
        <v>0</v>
      </c>
      <c r="V63" s="31">
        <f t="shared" si="30"/>
        <v>0</v>
      </c>
      <c r="W63" s="31">
        <f t="shared" ref="W63:Y63" si="31">IF(W17=0,0,W17/W$10)</f>
        <v>0</v>
      </c>
      <c r="X63" s="31">
        <f t="shared" si="31"/>
        <v>0</v>
      </c>
      <c r="Y63" s="31">
        <f t="shared" si="31"/>
        <v>0</v>
      </c>
      <c r="DA63" s="173"/>
    </row>
    <row r="64" spans="1:105" ht="11.45" customHeight="1" x14ac:dyDescent="0.25">
      <c r="A64" s="83" t="s">
        <v>92</v>
      </c>
      <c r="B64" s="125">
        <f t="shared" si="15"/>
        <v>0</v>
      </c>
      <c r="C64" s="125">
        <f t="shared" ref="C64:V64" si="32">IF(C18=0,0,C18/C$10)</f>
        <v>0</v>
      </c>
      <c r="D64" s="125">
        <f t="shared" si="32"/>
        <v>0</v>
      </c>
      <c r="E64" s="125">
        <f t="shared" si="32"/>
        <v>0</v>
      </c>
      <c r="F64" s="125">
        <f t="shared" si="32"/>
        <v>0</v>
      </c>
      <c r="G64" s="125">
        <f t="shared" si="32"/>
        <v>0</v>
      </c>
      <c r="H64" s="125">
        <f t="shared" si="32"/>
        <v>0</v>
      </c>
      <c r="I64" s="125">
        <f t="shared" si="32"/>
        <v>0</v>
      </c>
      <c r="J64" s="125">
        <f t="shared" si="32"/>
        <v>0</v>
      </c>
      <c r="K64" s="125">
        <f t="shared" si="32"/>
        <v>0</v>
      </c>
      <c r="L64" s="125">
        <f t="shared" si="32"/>
        <v>0</v>
      </c>
      <c r="M64" s="125">
        <f t="shared" si="32"/>
        <v>0</v>
      </c>
      <c r="N64" s="125">
        <f t="shared" si="32"/>
        <v>0</v>
      </c>
      <c r="O64" s="125">
        <f t="shared" si="32"/>
        <v>0</v>
      </c>
      <c r="P64" s="125">
        <f t="shared" si="32"/>
        <v>0</v>
      </c>
      <c r="Q64" s="125">
        <f t="shared" si="32"/>
        <v>0</v>
      </c>
      <c r="R64" s="125">
        <f t="shared" si="32"/>
        <v>0</v>
      </c>
      <c r="S64" s="125">
        <f t="shared" si="32"/>
        <v>0</v>
      </c>
      <c r="T64" s="125">
        <f t="shared" si="32"/>
        <v>0</v>
      </c>
      <c r="U64" s="125">
        <f t="shared" si="32"/>
        <v>0</v>
      </c>
      <c r="V64" s="125">
        <f t="shared" si="32"/>
        <v>0</v>
      </c>
      <c r="W64" s="125">
        <f t="shared" ref="W64:Y64" si="33">IF(W18=0,0,W18/W$10)</f>
        <v>0</v>
      </c>
      <c r="X64" s="125">
        <f t="shared" si="33"/>
        <v>0</v>
      </c>
      <c r="Y64" s="125">
        <f t="shared" si="33"/>
        <v>0</v>
      </c>
      <c r="DA64" s="171"/>
    </row>
    <row r="65" spans="1:105" ht="11.45" customHeight="1" x14ac:dyDescent="0.25">
      <c r="A65" s="85" t="s">
        <v>93</v>
      </c>
      <c r="B65" s="127">
        <f t="shared" si="15"/>
        <v>0</v>
      </c>
      <c r="C65" s="127">
        <f t="shared" ref="C65:V65" si="34">IF(C19=0,0,C19/C$10)</f>
        <v>0</v>
      </c>
      <c r="D65" s="127">
        <f t="shared" si="34"/>
        <v>0</v>
      </c>
      <c r="E65" s="127">
        <f t="shared" si="34"/>
        <v>0</v>
      </c>
      <c r="F65" s="127">
        <f t="shared" si="34"/>
        <v>0</v>
      </c>
      <c r="G65" s="127">
        <f t="shared" si="34"/>
        <v>0</v>
      </c>
      <c r="H65" s="127">
        <f t="shared" si="34"/>
        <v>0</v>
      </c>
      <c r="I65" s="127">
        <f t="shared" si="34"/>
        <v>0</v>
      </c>
      <c r="J65" s="127">
        <f t="shared" si="34"/>
        <v>0</v>
      </c>
      <c r="K65" s="127">
        <f t="shared" si="34"/>
        <v>0</v>
      </c>
      <c r="L65" s="127">
        <f t="shared" si="34"/>
        <v>0</v>
      </c>
      <c r="M65" s="127">
        <f t="shared" si="34"/>
        <v>0</v>
      </c>
      <c r="N65" s="127">
        <f t="shared" si="34"/>
        <v>0</v>
      </c>
      <c r="O65" s="127">
        <f t="shared" si="34"/>
        <v>0</v>
      </c>
      <c r="P65" s="127">
        <f t="shared" si="34"/>
        <v>0</v>
      </c>
      <c r="Q65" s="127">
        <f t="shared" si="34"/>
        <v>0</v>
      </c>
      <c r="R65" s="127">
        <f t="shared" si="34"/>
        <v>0</v>
      </c>
      <c r="S65" s="127">
        <f t="shared" si="34"/>
        <v>0</v>
      </c>
      <c r="T65" s="127">
        <f t="shared" si="34"/>
        <v>0</v>
      </c>
      <c r="U65" s="127">
        <f t="shared" si="34"/>
        <v>0</v>
      </c>
      <c r="V65" s="127">
        <f t="shared" si="34"/>
        <v>0</v>
      </c>
      <c r="W65" s="127">
        <f t="shared" ref="W65:Y65" si="35">IF(W19=0,0,W19/W$10)</f>
        <v>0</v>
      </c>
      <c r="X65" s="127">
        <f t="shared" si="35"/>
        <v>0</v>
      </c>
      <c r="Y65" s="127">
        <f t="shared" si="35"/>
        <v>0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0</v>
      </c>
      <c r="C4" s="26">
        <f t="shared" ref="C4:W4" si="0">SUM(C5:C6)</f>
        <v>0</v>
      </c>
      <c r="D4" s="26">
        <f t="shared" si="0"/>
        <v>0</v>
      </c>
      <c r="E4" s="26">
        <f t="shared" si="0"/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6">
        <f t="shared" si="0"/>
        <v>0</v>
      </c>
      <c r="Q4" s="26">
        <f t="shared" si="0"/>
        <v>0</v>
      </c>
      <c r="R4" s="26">
        <f t="shared" si="0"/>
        <v>0</v>
      </c>
      <c r="S4" s="26">
        <f t="shared" si="0"/>
        <v>0</v>
      </c>
      <c r="T4" s="26">
        <f t="shared" si="0"/>
        <v>0</v>
      </c>
      <c r="U4" s="26">
        <f t="shared" si="0"/>
        <v>0</v>
      </c>
      <c r="V4" s="26">
        <f t="shared" si="0"/>
        <v>0</v>
      </c>
      <c r="W4" s="26">
        <f t="shared" si="0"/>
        <v>0</v>
      </c>
      <c r="X4" s="26">
        <f t="shared" ref="X4:Y4" si="1">SUM(X5:X6)</f>
        <v>0</v>
      </c>
      <c r="Y4" s="26">
        <f t="shared" si="1"/>
        <v>0</v>
      </c>
      <c r="DA4" s="202" t="s">
        <v>1137</v>
      </c>
    </row>
    <row r="5" spans="1:105" ht="11.45" customHeight="1" x14ac:dyDescent="0.25">
      <c r="A5" s="107" t="s">
        <v>92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  <c r="G5" s="129">
        <v>0</v>
      </c>
      <c r="H5" s="129">
        <v>0</v>
      </c>
      <c r="I5" s="129">
        <v>0</v>
      </c>
      <c r="J5" s="129">
        <v>0</v>
      </c>
      <c r="K5" s="129">
        <v>0</v>
      </c>
      <c r="L5" s="129">
        <v>0</v>
      </c>
      <c r="M5" s="129">
        <v>0</v>
      </c>
      <c r="N5" s="129">
        <v>0</v>
      </c>
      <c r="O5" s="129">
        <v>0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X5" s="129">
        <v>0</v>
      </c>
      <c r="Y5" s="129">
        <v>0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0</v>
      </c>
      <c r="C8" s="79">
        <f t="shared" si="2"/>
        <v>0</v>
      </c>
      <c r="D8" s="79">
        <f t="shared" si="2"/>
        <v>0</v>
      </c>
      <c r="E8" s="79">
        <f t="shared" si="2"/>
        <v>0</v>
      </c>
      <c r="F8" s="79">
        <f t="shared" si="2"/>
        <v>0</v>
      </c>
      <c r="G8" s="79">
        <f t="shared" si="2"/>
        <v>0</v>
      </c>
      <c r="H8" s="79">
        <f t="shared" si="2"/>
        <v>0</v>
      </c>
      <c r="I8" s="79">
        <f t="shared" si="2"/>
        <v>0</v>
      </c>
      <c r="J8" s="79">
        <f t="shared" si="2"/>
        <v>0</v>
      </c>
      <c r="K8" s="79">
        <f t="shared" si="2"/>
        <v>0</v>
      </c>
      <c r="L8" s="79">
        <f t="shared" si="2"/>
        <v>0</v>
      </c>
      <c r="M8" s="79">
        <f t="shared" si="2"/>
        <v>0</v>
      </c>
      <c r="N8" s="79">
        <f t="shared" si="2"/>
        <v>0</v>
      </c>
      <c r="O8" s="79">
        <f t="shared" si="2"/>
        <v>0</v>
      </c>
      <c r="P8" s="79">
        <f t="shared" si="2"/>
        <v>0</v>
      </c>
      <c r="Q8" s="79">
        <f t="shared" si="2"/>
        <v>0</v>
      </c>
      <c r="R8" s="79">
        <f t="shared" si="2"/>
        <v>0</v>
      </c>
      <c r="S8" s="79">
        <f t="shared" si="2"/>
        <v>0</v>
      </c>
      <c r="T8" s="79">
        <f t="shared" si="2"/>
        <v>0</v>
      </c>
      <c r="U8" s="79">
        <f t="shared" si="2"/>
        <v>0</v>
      </c>
      <c r="V8" s="79">
        <f t="shared" si="2"/>
        <v>0</v>
      </c>
      <c r="W8" s="79">
        <f t="shared" si="2"/>
        <v>0</v>
      </c>
      <c r="X8" s="79">
        <f t="shared" ref="X8:Y8" si="3">SUM(X9,X15)</f>
        <v>0</v>
      </c>
      <c r="Y8" s="79">
        <f t="shared" si="3"/>
        <v>0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0</v>
      </c>
      <c r="C9" s="32">
        <f t="shared" si="4"/>
        <v>0</v>
      </c>
      <c r="D9" s="32">
        <f t="shared" si="4"/>
        <v>0</v>
      </c>
      <c r="E9" s="32">
        <f t="shared" si="4"/>
        <v>0</v>
      </c>
      <c r="F9" s="32">
        <f t="shared" si="4"/>
        <v>0</v>
      </c>
      <c r="G9" s="32">
        <f t="shared" si="4"/>
        <v>0</v>
      </c>
      <c r="H9" s="32">
        <f t="shared" si="4"/>
        <v>0</v>
      </c>
      <c r="I9" s="32">
        <f t="shared" si="4"/>
        <v>0</v>
      </c>
      <c r="J9" s="32">
        <f t="shared" si="4"/>
        <v>0</v>
      </c>
      <c r="K9" s="32">
        <f t="shared" si="4"/>
        <v>0</v>
      </c>
      <c r="L9" s="32">
        <f t="shared" si="4"/>
        <v>0</v>
      </c>
      <c r="M9" s="32">
        <f t="shared" si="4"/>
        <v>0</v>
      </c>
      <c r="N9" s="32">
        <f t="shared" si="4"/>
        <v>0</v>
      </c>
      <c r="O9" s="32">
        <f t="shared" si="4"/>
        <v>0</v>
      </c>
      <c r="P9" s="32">
        <f t="shared" si="4"/>
        <v>0</v>
      </c>
      <c r="Q9" s="32">
        <f t="shared" si="4"/>
        <v>0</v>
      </c>
      <c r="R9" s="32">
        <f t="shared" si="4"/>
        <v>0</v>
      </c>
      <c r="S9" s="32">
        <f t="shared" si="4"/>
        <v>0</v>
      </c>
      <c r="T9" s="32">
        <f t="shared" si="4"/>
        <v>0</v>
      </c>
      <c r="U9" s="32">
        <f t="shared" si="4"/>
        <v>0</v>
      </c>
      <c r="V9" s="32">
        <f t="shared" si="4"/>
        <v>0</v>
      </c>
      <c r="W9" s="32">
        <f t="shared" si="4"/>
        <v>0</v>
      </c>
      <c r="X9" s="32">
        <f t="shared" ref="X9:Y9" si="5">SUM(X10,X11,X14)</f>
        <v>0</v>
      </c>
      <c r="Y9" s="32">
        <f t="shared" si="5"/>
        <v>0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0</v>
      </c>
      <c r="C11" s="130">
        <f t="shared" si="6"/>
        <v>0</v>
      </c>
      <c r="D11" s="130">
        <f t="shared" si="6"/>
        <v>0</v>
      </c>
      <c r="E11" s="130">
        <f t="shared" si="6"/>
        <v>0</v>
      </c>
      <c r="F11" s="130">
        <f t="shared" si="6"/>
        <v>0</v>
      </c>
      <c r="G11" s="130">
        <f t="shared" si="6"/>
        <v>0</v>
      </c>
      <c r="H11" s="130">
        <f t="shared" si="6"/>
        <v>0</v>
      </c>
      <c r="I11" s="130">
        <f t="shared" si="6"/>
        <v>0</v>
      </c>
      <c r="J11" s="130">
        <f t="shared" si="6"/>
        <v>0</v>
      </c>
      <c r="K11" s="130">
        <f t="shared" si="6"/>
        <v>0</v>
      </c>
      <c r="L11" s="130">
        <f t="shared" si="6"/>
        <v>0</v>
      </c>
      <c r="M11" s="130">
        <f t="shared" si="6"/>
        <v>0</v>
      </c>
      <c r="N11" s="130">
        <f t="shared" si="6"/>
        <v>0</v>
      </c>
      <c r="O11" s="130">
        <f t="shared" si="6"/>
        <v>0</v>
      </c>
      <c r="P11" s="130">
        <f t="shared" si="6"/>
        <v>0</v>
      </c>
      <c r="Q11" s="130">
        <f t="shared" si="6"/>
        <v>0</v>
      </c>
      <c r="R11" s="130">
        <f t="shared" si="6"/>
        <v>0</v>
      </c>
      <c r="S11" s="130">
        <f t="shared" si="6"/>
        <v>0</v>
      </c>
      <c r="T11" s="130">
        <f t="shared" si="6"/>
        <v>0</v>
      </c>
      <c r="U11" s="130">
        <f t="shared" si="6"/>
        <v>0</v>
      </c>
      <c r="V11" s="130">
        <f t="shared" si="6"/>
        <v>0</v>
      </c>
      <c r="W11" s="130">
        <f t="shared" si="6"/>
        <v>0</v>
      </c>
      <c r="X11" s="130">
        <f t="shared" ref="X11:Y11" si="7">SUM(X12:X13)</f>
        <v>0</v>
      </c>
      <c r="Y11" s="130">
        <f t="shared" si="7"/>
        <v>0</v>
      </c>
      <c r="DA11" s="176" t="s">
        <v>409</v>
      </c>
    </row>
    <row r="12" spans="1:105" ht="11.45" customHeight="1" x14ac:dyDescent="0.25">
      <c r="A12" s="111" t="s">
        <v>92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96">
        <v>0</v>
      </c>
      <c r="N12" s="96">
        <v>0</v>
      </c>
      <c r="O12" s="96">
        <v>0</v>
      </c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6">
        <v>0</v>
      </c>
      <c r="W12" s="96">
        <v>0</v>
      </c>
      <c r="X12" s="96">
        <v>0</v>
      </c>
      <c r="Y12" s="96">
        <v>0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0</v>
      </c>
      <c r="C15" s="32">
        <f t="shared" si="8"/>
        <v>0</v>
      </c>
      <c r="D15" s="32">
        <f t="shared" si="8"/>
        <v>0</v>
      </c>
      <c r="E15" s="32">
        <f t="shared" si="8"/>
        <v>0</v>
      </c>
      <c r="F15" s="32">
        <f t="shared" si="8"/>
        <v>0</v>
      </c>
      <c r="G15" s="32">
        <f t="shared" si="8"/>
        <v>0</v>
      </c>
      <c r="H15" s="32">
        <f t="shared" si="8"/>
        <v>0</v>
      </c>
      <c r="I15" s="32">
        <f t="shared" si="8"/>
        <v>0</v>
      </c>
      <c r="J15" s="32">
        <f t="shared" si="8"/>
        <v>0</v>
      </c>
      <c r="K15" s="32">
        <f t="shared" si="8"/>
        <v>0</v>
      </c>
      <c r="L15" s="32">
        <f t="shared" si="8"/>
        <v>0</v>
      </c>
      <c r="M15" s="32">
        <f t="shared" si="8"/>
        <v>0</v>
      </c>
      <c r="N15" s="32">
        <f t="shared" si="8"/>
        <v>0</v>
      </c>
      <c r="O15" s="32">
        <f t="shared" si="8"/>
        <v>0</v>
      </c>
      <c r="P15" s="32">
        <f t="shared" si="8"/>
        <v>0</v>
      </c>
      <c r="Q15" s="32">
        <f t="shared" si="8"/>
        <v>0</v>
      </c>
      <c r="R15" s="32">
        <f t="shared" si="8"/>
        <v>0</v>
      </c>
      <c r="S15" s="32">
        <f t="shared" si="8"/>
        <v>0</v>
      </c>
      <c r="T15" s="32">
        <f t="shared" si="8"/>
        <v>0</v>
      </c>
      <c r="U15" s="32">
        <f t="shared" si="8"/>
        <v>0</v>
      </c>
      <c r="V15" s="32">
        <f t="shared" si="8"/>
        <v>0</v>
      </c>
      <c r="W15" s="32">
        <f t="shared" si="8"/>
        <v>0</v>
      </c>
      <c r="X15" s="32">
        <f t="shared" ref="X15:Y15" si="9">SUM(X16:X17)</f>
        <v>0</v>
      </c>
      <c r="Y15" s="32">
        <f t="shared" si="9"/>
        <v>0</v>
      </c>
      <c r="DA15" s="173" t="s">
        <v>414</v>
      </c>
    </row>
    <row r="16" spans="1:105" ht="11.45" customHeight="1" x14ac:dyDescent="0.25">
      <c r="A16" s="83" t="s">
        <v>92</v>
      </c>
      <c r="B16" s="96">
        <v>0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  <c r="V16" s="96">
        <v>0</v>
      </c>
      <c r="W16" s="96">
        <v>0</v>
      </c>
      <c r="X16" s="96">
        <v>0</v>
      </c>
      <c r="Y16" s="96">
        <v>0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</v>
      </c>
      <c r="C22" s="134">
        <f>IF(C4=0,0,C4/TrRail_ene!C4)</f>
        <v>0</v>
      </c>
      <c r="D22" s="134">
        <f>IF(D4=0,0,D4/TrRail_ene!D4)</f>
        <v>0</v>
      </c>
      <c r="E22" s="134">
        <f>IF(E4=0,0,E4/TrRail_ene!E4)</f>
        <v>0</v>
      </c>
      <c r="F22" s="134">
        <f>IF(F4=0,0,F4/TrRail_ene!F4)</f>
        <v>0</v>
      </c>
      <c r="G22" s="134">
        <f>IF(G4=0,0,G4/TrRail_ene!G4)</f>
        <v>0</v>
      </c>
      <c r="H22" s="134">
        <f>IF(H4=0,0,H4/TrRail_ene!H4)</f>
        <v>0</v>
      </c>
      <c r="I22" s="134">
        <f>IF(I4=0,0,I4/TrRail_ene!I4)</f>
        <v>0</v>
      </c>
      <c r="J22" s="134">
        <f>IF(J4=0,0,J4/TrRail_ene!J4)</f>
        <v>0</v>
      </c>
      <c r="K22" s="134">
        <f>IF(K4=0,0,K4/TrRail_ene!K4)</f>
        <v>0</v>
      </c>
      <c r="L22" s="134">
        <f>IF(L4=0,0,L4/TrRail_ene!L4)</f>
        <v>0</v>
      </c>
      <c r="M22" s="134">
        <f>IF(M4=0,0,M4/TrRail_ene!M4)</f>
        <v>0</v>
      </c>
      <c r="N22" s="134">
        <f>IF(N4=0,0,N4/TrRail_ene!N4)</f>
        <v>0</v>
      </c>
      <c r="O22" s="134">
        <f>IF(O4=0,0,O4/TrRail_ene!O4)</f>
        <v>0</v>
      </c>
      <c r="P22" s="134">
        <f>IF(P4=0,0,P4/TrRail_ene!P4)</f>
        <v>0</v>
      </c>
      <c r="Q22" s="134">
        <f>IF(Q4=0,0,Q4/TrRail_ene!Q4)</f>
        <v>0</v>
      </c>
      <c r="R22" s="134">
        <f>IF(R4=0,0,R4/TrRail_ene!R4)</f>
        <v>0</v>
      </c>
      <c r="S22" s="134">
        <f>IF(S4=0,0,S4/TrRail_ene!S4)</f>
        <v>0</v>
      </c>
      <c r="T22" s="134">
        <f>IF(T4=0,0,T4/TrRail_ene!T4)</f>
        <v>0</v>
      </c>
      <c r="U22" s="134">
        <f>IF(U4=0,0,U4/TrRail_ene!U4)</f>
        <v>0</v>
      </c>
      <c r="V22" s="134">
        <f>IF(V4=0,0,V4/TrRail_ene!V4)</f>
        <v>0</v>
      </c>
      <c r="W22" s="134">
        <f>IF(W4=0,0,W4/TrRail_ene!W4)</f>
        <v>0</v>
      </c>
      <c r="X22" s="134">
        <f>IF(X4=0,0,X4/TrRail_ene!X4)</f>
        <v>0</v>
      </c>
      <c r="Y22" s="134">
        <f>IF(Y4=0,0,Y4/TrRail_ene!Y4)</f>
        <v>0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0</v>
      </c>
      <c r="C23" s="129">
        <f>IF(C5=0,0,C5/SUM(TrRail_ene!C5:C7))</f>
        <v>0</v>
      </c>
      <c r="D23" s="129">
        <f>IF(D5=0,0,D5/SUM(TrRail_ene!D5:D7))</f>
        <v>0</v>
      </c>
      <c r="E23" s="129">
        <f>IF(E5=0,0,E5/SUM(TrRail_ene!E5:E7))</f>
        <v>0</v>
      </c>
      <c r="F23" s="129">
        <f>IF(F5=0,0,F5/SUM(TrRail_ene!F5:F7))</f>
        <v>0</v>
      </c>
      <c r="G23" s="129">
        <f>IF(G5=0,0,G5/SUM(TrRail_ene!G5:G7))</f>
        <v>0</v>
      </c>
      <c r="H23" s="129">
        <f>IF(H5=0,0,H5/SUM(TrRail_ene!H5:H7))</f>
        <v>0</v>
      </c>
      <c r="I23" s="129">
        <f>IF(I5=0,0,I5/SUM(TrRail_ene!I5:I7))</f>
        <v>0</v>
      </c>
      <c r="J23" s="129">
        <f>IF(J5=0,0,J5/SUM(TrRail_ene!J5:J7))</f>
        <v>0</v>
      </c>
      <c r="K23" s="129">
        <f>IF(K5=0,0,K5/SUM(TrRail_ene!K5:K7))</f>
        <v>0</v>
      </c>
      <c r="L23" s="129">
        <f>IF(L5=0,0,L5/SUM(TrRail_ene!L5:L7))</f>
        <v>0</v>
      </c>
      <c r="M23" s="129">
        <f>IF(M5=0,0,M5/SUM(TrRail_ene!M5:M7))</f>
        <v>0</v>
      </c>
      <c r="N23" s="129">
        <f>IF(N5=0,0,N5/SUM(TrRail_ene!N5:N7))</f>
        <v>0</v>
      </c>
      <c r="O23" s="129">
        <f>IF(O5=0,0,O5/SUM(TrRail_ene!O5:O7))</f>
        <v>0</v>
      </c>
      <c r="P23" s="129">
        <f>IF(P5=0,0,P5/SUM(TrRail_ene!P5:P7))</f>
        <v>0</v>
      </c>
      <c r="Q23" s="129">
        <f>IF(Q5=0,0,Q5/SUM(TrRail_ene!Q5:Q7))</f>
        <v>0</v>
      </c>
      <c r="R23" s="129">
        <f>IF(R5=0,0,R5/SUM(TrRail_ene!R5:R7))</f>
        <v>0</v>
      </c>
      <c r="S23" s="129">
        <f>IF(S5=0,0,S5/SUM(TrRail_ene!S5:S7))</f>
        <v>0</v>
      </c>
      <c r="T23" s="129">
        <f>IF(T5=0,0,T5/SUM(TrRail_ene!T5:T7))</f>
        <v>0</v>
      </c>
      <c r="U23" s="129">
        <f>IF(U5=0,0,U5/SUM(TrRail_ene!U5:U7))</f>
        <v>0</v>
      </c>
      <c r="V23" s="129">
        <f>IF(V5=0,0,V5/SUM(TrRail_ene!V5:V7))</f>
        <v>0</v>
      </c>
      <c r="W23" s="129">
        <f>IF(W5=0,0,W5/SUM(TrRail_ene!W5:W7))</f>
        <v>0</v>
      </c>
      <c r="X23" s="129">
        <f>IF(X5=0,0,X5/SUM(TrRail_ene!X5:X7))</f>
        <v>0</v>
      </c>
      <c r="Y23" s="129">
        <f>IF(Y5=0,0,Y5/SUM(TrRail_ene!Y5:Y7))</f>
        <v>0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0</v>
      </c>
      <c r="C26" s="54">
        <f>IF(C8=0,0,C8/TrRail_act!C14*1000)</f>
        <v>0</v>
      </c>
      <c r="D26" s="54">
        <f>IF(D8=0,0,D8/TrRail_act!D14*1000)</f>
        <v>0</v>
      </c>
      <c r="E26" s="54">
        <f>IF(E8=0,0,E8/TrRail_act!E14*1000)</f>
        <v>0</v>
      </c>
      <c r="F26" s="54">
        <f>IF(F8=0,0,F8/TrRail_act!F14*1000)</f>
        <v>0</v>
      </c>
      <c r="G26" s="54">
        <f>IF(G8=0,0,G8/TrRail_act!G14*1000)</f>
        <v>0</v>
      </c>
      <c r="H26" s="54">
        <f>IF(H8=0,0,H8/TrRail_act!H14*1000)</f>
        <v>0</v>
      </c>
      <c r="I26" s="54">
        <f>IF(I8=0,0,I8/TrRail_act!I14*1000)</f>
        <v>0</v>
      </c>
      <c r="J26" s="54">
        <f>IF(J8=0,0,J8/TrRail_act!J14*1000)</f>
        <v>0</v>
      </c>
      <c r="K26" s="54">
        <f>IF(K8=0,0,K8/TrRail_act!K14*1000)</f>
        <v>0</v>
      </c>
      <c r="L26" s="54">
        <f>IF(L8=0,0,L8/TrRail_act!L14*1000)</f>
        <v>0</v>
      </c>
      <c r="M26" s="54">
        <f>IF(M8=0,0,M8/TrRail_act!M14*1000)</f>
        <v>0</v>
      </c>
      <c r="N26" s="54">
        <f>IF(N8=0,0,N8/TrRail_act!N14*1000)</f>
        <v>0</v>
      </c>
      <c r="O26" s="54">
        <f>IF(O8=0,0,O8/TrRail_act!O14*1000)</f>
        <v>0</v>
      </c>
      <c r="P26" s="54">
        <f>IF(P8=0,0,P8/TrRail_act!P14*1000)</f>
        <v>0</v>
      </c>
      <c r="Q26" s="54">
        <f>IF(Q8=0,0,Q8/TrRail_act!Q14*1000)</f>
        <v>0</v>
      </c>
      <c r="R26" s="54">
        <f>IF(R8=0,0,R8/TrRail_act!R14*1000)</f>
        <v>0</v>
      </c>
      <c r="S26" s="54">
        <f>IF(S8=0,0,S8/TrRail_act!S14*1000)</f>
        <v>0</v>
      </c>
      <c r="T26" s="54">
        <f>IF(T8=0,0,T8/TrRail_act!T14*1000)</f>
        <v>0</v>
      </c>
      <c r="U26" s="54">
        <f>IF(U8=0,0,U8/TrRail_act!U14*1000)</f>
        <v>0</v>
      </c>
      <c r="V26" s="54">
        <f>IF(V8=0,0,V8/TrRail_act!V14*1000)</f>
        <v>0</v>
      </c>
      <c r="W26" s="54">
        <f>IF(W8=0,0,W8/TrRail_act!W14*1000)</f>
        <v>0</v>
      </c>
      <c r="X26" s="54">
        <f>IF(X8=0,0,X8/TrRail_act!X14*1000)</f>
        <v>0</v>
      </c>
      <c r="Y26" s="54">
        <f>IF(Y8=0,0,Y8/TrRail_act!Y14*1000)</f>
        <v>0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0</v>
      </c>
      <c r="C27" s="28">
        <f>IF(C9=0,0,C9/TrRail_act!C15*1000)</f>
        <v>0</v>
      </c>
      <c r="D27" s="28">
        <f>IF(D9=0,0,D9/TrRail_act!D15*1000)</f>
        <v>0</v>
      </c>
      <c r="E27" s="28">
        <f>IF(E9=0,0,E9/TrRail_act!E15*1000)</f>
        <v>0</v>
      </c>
      <c r="F27" s="28">
        <f>IF(F9=0,0,F9/TrRail_act!F15*1000)</f>
        <v>0</v>
      </c>
      <c r="G27" s="28">
        <f>IF(G9=0,0,G9/TrRail_act!G15*1000)</f>
        <v>0</v>
      </c>
      <c r="H27" s="28">
        <f>IF(H9=0,0,H9/TrRail_act!H15*1000)</f>
        <v>0</v>
      </c>
      <c r="I27" s="28">
        <f>IF(I9=0,0,I9/TrRail_act!I15*1000)</f>
        <v>0</v>
      </c>
      <c r="J27" s="28">
        <f>IF(J9=0,0,J9/TrRail_act!J15*1000)</f>
        <v>0</v>
      </c>
      <c r="K27" s="28">
        <f>IF(K9=0,0,K9/TrRail_act!K15*1000)</f>
        <v>0</v>
      </c>
      <c r="L27" s="28">
        <f>IF(L9=0,0,L9/TrRail_act!L15*1000)</f>
        <v>0</v>
      </c>
      <c r="M27" s="28">
        <f>IF(M9=0,0,M9/TrRail_act!M15*1000)</f>
        <v>0</v>
      </c>
      <c r="N27" s="28">
        <f>IF(N9=0,0,N9/TrRail_act!N15*1000)</f>
        <v>0</v>
      </c>
      <c r="O27" s="28">
        <f>IF(O9=0,0,O9/TrRail_act!O15*1000)</f>
        <v>0</v>
      </c>
      <c r="P27" s="28">
        <f>IF(P9=0,0,P9/TrRail_act!P15*1000)</f>
        <v>0</v>
      </c>
      <c r="Q27" s="28">
        <f>IF(Q9=0,0,Q9/TrRail_act!Q15*1000)</f>
        <v>0</v>
      </c>
      <c r="R27" s="28">
        <f>IF(R9=0,0,R9/TrRail_act!R15*1000)</f>
        <v>0</v>
      </c>
      <c r="S27" s="28">
        <f>IF(S9=0,0,S9/TrRail_act!S15*1000)</f>
        <v>0</v>
      </c>
      <c r="T27" s="28">
        <f>IF(T9=0,0,T9/TrRail_act!T15*1000)</f>
        <v>0</v>
      </c>
      <c r="U27" s="28">
        <f>IF(U9=0,0,U9/TrRail_act!U15*1000)</f>
        <v>0</v>
      </c>
      <c r="V27" s="28">
        <f>IF(V9=0,0,V9/TrRail_act!V15*1000)</f>
        <v>0</v>
      </c>
      <c r="W27" s="28">
        <f>IF(W9=0,0,W9/TrRail_act!W15*1000)</f>
        <v>0</v>
      </c>
      <c r="X27" s="28">
        <f>IF(X9=0,0,X9/TrRail_act!X15*1000)</f>
        <v>0</v>
      </c>
      <c r="Y27" s="28">
        <f>IF(Y9=0,0,Y9/TrRail_act!Y15*1000)</f>
        <v>0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0</v>
      </c>
      <c r="C29" s="110">
        <f>IF(C11=0,0,C11/TrRail_act!C17*1000)</f>
        <v>0</v>
      </c>
      <c r="D29" s="110">
        <f>IF(D11=0,0,D11/TrRail_act!D17*1000)</f>
        <v>0</v>
      </c>
      <c r="E29" s="110">
        <f>IF(E11=0,0,E11/TrRail_act!E17*1000)</f>
        <v>0</v>
      </c>
      <c r="F29" s="110">
        <f>IF(F11=0,0,F11/TrRail_act!F17*1000)</f>
        <v>0</v>
      </c>
      <c r="G29" s="110">
        <f>IF(G11=0,0,G11/TrRail_act!G17*1000)</f>
        <v>0</v>
      </c>
      <c r="H29" s="110">
        <f>IF(H11=0,0,H11/TrRail_act!H17*1000)</f>
        <v>0</v>
      </c>
      <c r="I29" s="110">
        <f>IF(I11=0,0,I11/TrRail_act!I17*1000)</f>
        <v>0</v>
      </c>
      <c r="J29" s="110">
        <f>IF(J11=0,0,J11/TrRail_act!J17*1000)</f>
        <v>0</v>
      </c>
      <c r="K29" s="110">
        <f>IF(K11=0,0,K11/TrRail_act!K17*1000)</f>
        <v>0</v>
      </c>
      <c r="L29" s="110">
        <f>IF(L11=0,0,L11/TrRail_act!L17*1000)</f>
        <v>0</v>
      </c>
      <c r="M29" s="110">
        <f>IF(M11=0,0,M11/TrRail_act!M17*1000)</f>
        <v>0</v>
      </c>
      <c r="N29" s="110">
        <f>IF(N11=0,0,N11/TrRail_act!N17*1000)</f>
        <v>0</v>
      </c>
      <c r="O29" s="110">
        <f>IF(O11=0,0,O11/TrRail_act!O17*1000)</f>
        <v>0</v>
      </c>
      <c r="P29" s="110">
        <f>IF(P11=0,0,P11/TrRail_act!P17*1000)</f>
        <v>0</v>
      </c>
      <c r="Q29" s="110">
        <f>IF(Q11=0,0,Q11/TrRail_act!Q17*1000)</f>
        <v>0</v>
      </c>
      <c r="R29" s="110">
        <f>IF(R11=0,0,R11/TrRail_act!R17*1000)</f>
        <v>0</v>
      </c>
      <c r="S29" s="110">
        <f>IF(S11=0,0,S11/TrRail_act!S17*1000)</f>
        <v>0</v>
      </c>
      <c r="T29" s="110">
        <f>IF(T11=0,0,T11/TrRail_act!T17*1000)</f>
        <v>0</v>
      </c>
      <c r="U29" s="110">
        <f>IF(U11=0,0,U11/TrRail_act!U17*1000)</f>
        <v>0</v>
      </c>
      <c r="V29" s="110">
        <f>IF(V11=0,0,V11/TrRail_act!V17*1000)</f>
        <v>0</v>
      </c>
      <c r="W29" s="110">
        <f>IF(W11=0,0,W11/TrRail_act!W17*1000)</f>
        <v>0</v>
      </c>
      <c r="X29" s="110">
        <f>IF(X11=0,0,X11/TrRail_act!X17*1000)</f>
        <v>0</v>
      </c>
      <c r="Y29" s="110">
        <f>IF(Y11=0,0,Y11/TrRail_act!Y17*1000)</f>
        <v>0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0</v>
      </c>
      <c r="C30" s="84">
        <f>IF(C12=0,0,C12/TrRail_act!C18*1000)</f>
        <v>0</v>
      </c>
      <c r="D30" s="84">
        <f>IF(D12=0,0,D12/TrRail_act!D18*1000)</f>
        <v>0</v>
      </c>
      <c r="E30" s="84">
        <f>IF(E12=0,0,E12/TrRail_act!E18*1000)</f>
        <v>0</v>
      </c>
      <c r="F30" s="84">
        <f>IF(F12=0,0,F12/TrRail_act!F18*1000)</f>
        <v>0</v>
      </c>
      <c r="G30" s="84">
        <f>IF(G12=0,0,G12/TrRail_act!G18*1000)</f>
        <v>0</v>
      </c>
      <c r="H30" s="84">
        <f>IF(H12=0,0,H12/TrRail_act!H18*1000)</f>
        <v>0</v>
      </c>
      <c r="I30" s="84">
        <f>IF(I12=0,0,I12/TrRail_act!I18*1000)</f>
        <v>0</v>
      </c>
      <c r="J30" s="84">
        <f>IF(J12=0,0,J12/TrRail_act!J18*1000)</f>
        <v>0</v>
      </c>
      <c r="K30" s="84">
        <f>IF(K12=0,0,K12/TrRail_act!K18*1000)</f>
        <v>0</v>
      </c>
      <c r="L30" s="84">
        <f>IF(L12=0,0,L12/TrRail_act!L18*1000)</f>
        <v>0</v>
      </c>
      <c r="M30" s="84">
        <f>IF(M12=0,0,M12/TrRail_act!M18*1000)</f>
        <v>0</v>
      </c>
      <c r="N30" s="84">
        <f>IF(N12=0,0,N12/TrRail_act!N18*1000)</f>
        <v>0</v>
      </c>
      <c r="O30" s="84">
        <f>IF(O12=0,0,O12/TrRail_act!O18*1000)</f>
        <v>0</v>
      </c>
      <c r="P30" s="84">
        <f>IF(P12=0,0,P12/TrRail_act!P18*1000)</f>
        <v>0</v>
      </c>
      <c r="Q30" s="84">
        <f>IF(Q12=0,0,Q12/TrRail_act!Q18*1000)</f>
        <v>0</v>
      </c>
      <c r="R30" s="84">
        <f>IF(R12=0,0,R12/TrRail_act!R18*1000)</f>
        <v>0</v>
      </c>
      <c r="S30" s="84">
        <f>IF(S12=0,0,S12/TrRail_act!S18*1000)</f>
        <v>0</v>
      </c>
      <c r="T30" s="84">
        <f>IF(T12=0,0,T12/TrRail_act!T18*1000)</f>
        <v>0</v>
      </c>
      <c r="U30" s="84">
        <f>IF(U12=0,0,U12/TrRail_act!U18*1000)</f>
        <v>0</v>
      </c>
      <c r="V30" s="84">
        <f>IF(V12=0,0,V12/TrRail_act!V18*1000)</f>
        <v>0</v>
      </c>
      <c r="W30" s="84">
        <f>IF(W12=0,0,W12/TrRail_act!W18*1000)</f>
        <v>0</v>
      </c>
      <c r="X30" s="84">
        <f>IF(X12=0,0,X12/TrRail_act!X18*1000)</f>
        <v>0</v>
      </c>
      <c r="Y30" s="84">
        <f>IF(Y12=0,0,Y12/TrRail_act!Y18*1000)</f>
        <v>0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0</v>
      </c>
      <c r="C33" s="28">
        <f>IF(C15=0,0,C15/TrRail_act!C21*1000)</f>
        <v>0</v>
      </c>
      <c r="D33" s="28">
        <f>IF(D15=0,0,D15/TrRail_act!D21*1000)</f>
        <v>0</v>
      </c>
      <c r="E33" s="28">
        <f>IF(E15=0,0,E15/TrRail_act!E21*1000)</f>
        <v>0</v>
      </c>
      <c r="F33" s="28">
        <f>IF(F15=0,0,F15/TrRail_act!F21*1000)</f>
        <v>0</v>
      </c>
      <c r="G33" s="28">
        <f>IF(G15=0,0,G15/TrRail_act!G21*1000)</f>
        <v>0</v>
      </c>
      <c r="H33" s="28">
        <f>IF(H15=0,0,H15/TrRail_act!H21*1000)</f>
        <v>0</v>
      </c>
      <c r="I33" s="28">
        <f>IF(I15=0,0,I15/TrRail_act!I21*1000)</f>
        <v>0</v>
      </c>
      <c r="J33" s="28">
        <f>IF(J15=0,0,J15/TrRail_act!J21*1000)</f>
        <v>0</v>
      </c>
      <c r="K33" s="28">
        <f>IF(K15=0,0,K15/TrRail_act!K21*1000)</f>
        <v>0</v>
      </c>
      <c r="L33" s="28">
        <f>IF(L15=0,0,L15/TrRail_act!L21*1000)</f>
        <v>0</v>
      </c>
      <c r="M33" s="28">
        <f>IF(M15=0,0,M15/TrRail_act!M21*1000)</f>
        <v>0</v>
      </c>
      <c r="N33" s="28">
        <f>IF(N15=0,0,N15/TrRail_act!N21*1000)</f>
        <v>0</v>
      </c>
      <c r="O33" s="28">
        <f>IF(O15=0,0,O15/TrRail_act!O21*1000)</f>
        <v>0</v>
      </c>
      <c r="P33" s="28">
        <f>IF(P15=0,0,P15/TrRail_act!P21*1000)</f>
        <v>0</v>
      </c>
      <c r="Q33" s="28">
        <f>IF(Q15=0,0,Q15/TrRail_act!Q21*1000)</f>
        <v>0</v>
      </c>
      <c r="R33" s="28">
        <f>IF(R15=0,0,R15/TrRail_act!R21*1000)</f>
        <v>0</v>
      </c>
      <c r="S33" s="28">
        <f>IF(S15=0,0,S15/TrRail_act!S21*1000)</f>
        <v>0</v>
      </c>
      <c r="T33" s="28">
        <f>IF(T15=0,0,T15/TrRail_act!T21*1000)</f>
        <v>0</v>
      </c>
      <c r="U33" s="28">
        <f>IF(U15=0,0,U15/TrRail_act!U21*1000)</f>
        <v>0</v>
      </c>
      <c r="V33" s="28">
        <f>IF(V15=0,0,V15/TrRail_act!V21*1000)</f>
        <v>0</v>
      </c>
      <c r="W33" s="28">
        <f>IF(W15=0,0,W15/TrRail_act!W21*1000)</f>
        <v>0</v>
      </c>
      <c r="X33" s="28">
        <f>IF(X15=0,0,X15/TrRail_act!X21*1000)</f>
        <v>0</v>
      </c>
      <c r="Y33" s="28">
        <f>IF(Y15=0,0,Y15/TrRail_act!Y21*1000)</f>
        <v>0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0</v>
      </c>
      <c r="C34" s="84">
        <f>IF(C16=0,0,C16/TrRail_act!C22*1000)</f>
        <v>0</v>
      </c>
      <c r="D34" s="84">
        <f>IF(D16=0,0,D16/TrRail_act!D22*1000)</f>
        <v>0</v>
      </c>
      <c r="E34" s="84">
        <f>IF(E16=0,0,E16/TrRail_act!E22*1000)</f>
        <v>0</v>
      </c>
      <c r="F34" s="84">
        <f>IF(F16=0,0,F16/TrRail_act!F22*1000)</f>
        <v>0</v>
      </c>
      <c r="G34" s="84">
        <f>IF(G16=0,0,G16/TrRail_act!G22*1000)</f>
        <v>0</v>
      </c>
      <c r="H34" s="84">
        <f>IF(H16=0,0,H16/TrRail_act!H22*1000)</f>
        <v>0</v>
      </c>
      <c r="I34" s="84">
        <f>IF(I16=0,0,I16/TrRail_act!I22*1000)</f>
        <v>0</v>
      </c>
      <c r="J34" s="84">
        <f>IF(J16=0,0,J16/TrRail_act!J22*1000)</f>
        <v>0</v>
      </c>
      <c r="K34" s="84">
        <f>IF(K16=0,0,K16/TrRail_act!K22*1000)</f>
        <v>0</v>
      </c>
      <c r="L34" s="84">
        <f>IF(L16=0,0,L16/TrRail_act!L22*1000)</f>
        <v>0</v>
      </c>
      <c r="M34" s="84">
        <f>IF(M16=0,0,M16/TrRail_act!M22*1000)</f>
        <v>0</v>
      </c>
      <c r="N34" s="84">
        <f>IF(N16=0,0,N16/TrRail_act!N22*1000)</f>
        <v>0</v>
      </c>
      <c r="O34" s="84">
        <f>IF(O16=0,0,O16/TrRail_act!O22*1000)</f>
        <v>0</v>
      </c>
      <c r="P34" s="84">
        <f>IF(P16=0,0,P16/TrRail_act!P22*1000)</f>
        <v>0</v>
      </c>
      <c r="Q34" s="84">
        <f>IF(Q16=0,0,Q16/TrRail_act!Q22*1000)</f>
        <v>0</v>
      </c>
      <c r="R34" s="84">
        <f>IF(R16=0,0,R16/TrRail_act!R22*1000)</f>
        <v>0</v>
      </c>
      <c r="S34" s="84">
        <f>IF(S16=0,0,S16/TrRail_act!S22*1000)</f>
        <v>0</v>
      </c>
      <c r="T34" s="84">
        <f>IF(T16=0,0,T16/TrRail_act!T22*1000)</f>
        <v>0</v>
      </c>
      <c r="U34" s="84">
        <f>IF(U16=0,0,U16/TrRail_act!U22*1000)</f>
        <v>0</v>
      </c>
      <c r="V34" s="84">
        <f>IF(V16=0,0,V16/TrRail_act!V22*1000)</f>
        <v>0</v>
      </c>
      <c r="W34" s="84">
        <f>IF(W16=0,0,W16/TrRail_act!W22*1000)</f>
        <v>0</v>
      </c>
      <c r="X34" s="84">
        <f>IF(X16=0,0,X16/TrRail_act!X22*1000)</f>
        <v>0</v>
      </c>
      <c r="Y34" s="84">
        <f>IF(Y16=0,0,Y16/TrRail_act!Y22*1000)</f>
        <v>0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0</v>
      </c>
      <c r="C38" s="29">
        <f>IF(C9=0,0,C9/TrRail_act!C4*1000)</f>
        <v>0</v>
      </c>
      <c r="D38" s="29">
        <f>IF(D9=0,0,D9/TrRail_act!D4*1000)</f>
        <v>0</v>
      </c>
      <c r="E38" s="29">
        <f>IF(E9=0,0,E9/TrRail_act!E4*1000)</f>
        <v>0</v>
      </c>
      <c r="F38" s="29">
        <f>IF(F9=0,0,F9/TrRail_act!F4*1000)</f>
        <v>0</v>
      </c>
      <c r="G38" s="29">
        <f>IF(G9=0,0,G9/TrRail_act!G4*1000)</f>
        <v>0</v>
      </c>
      <c r="H38" s="29">
        <f>IF(H9=0,0,H9/TrRail_act!H4*1000)</f>
        <v>0</v>
      </c>
      <c r="I38" s="29">
        <f>IF(I9=0,0,I9/TrRail_act!I4*1000)</f>
        <v>0</v>
      </c>
      <c r="J38" s="29">
        <f>IF(J9=0,0,J9/TrRail_act!J4*1000)</f>
        <v>0</v>
      </c>
      <c r="K38" s="29">
        <f>IF(K9=0,0,K9/TrRail_act!K4*1000)</f>
        <v>0</v>
      </c>
      <c r="L38" s="29">
        <f>IF(L9=0,0,L9/TrRail_act!L4*1000)</f>
        <v>0</v>
      </c>
      <c r="M38" s="29">
        <f>IF(M9=0,0,M9/TrRail_act!M4*1000)</f>
        <v>0</v>
      </c>
      <c r="N38" s="29">
        <f>IF(N9=0,0,N9/TrRail_act!N4*1000)</f>
        <v>0</v>
      </c>
      <c r="O38" s="29">
        <f>IF(O9=0,0,O9/TrRail_act!O4*1000)</f>
        <v>0</v>
      </c>
      <c r="P38" s="29">
        <f>IF(P9=0,0,P9/TrRail_act!P4*1000)</f>
        <v>0</v>
      </c>
      <c r="Q38" s="29">
        <f>IF(Q9=0,0,Q9/TrRail_act!Q4*1000)</f>
        <v>0</v>
      </c>
      <c r="R38" s="29">
        <f>IF(R9=0,0,R9/TrRail_act!R4*1000)</f>
        <v>0</v>
      </c>
      <c r="S38" s="29">
        <f>IF(S9=0,0,S9/TrRail_act!S4*1000)</f>
        <v>0</v>
      </c>
      <c r="T38" s="29">
        <f>IF(T9=0,0,T9/TrRail_act!T4*1000)</f>
        <v>0</v>
      </c>
      <c r="U38" s="29">
        <f>IF(U9=0,0,U9/TrRail_act!U4*1000)</f>
        <v>0</v>
      </c>
      <c r="V38" s="29">
        <f>IF(V9=0,0,V9/TrRail_act!V4*1000)</f>
        <v>0</v>
      </c>
      <c r="W38" s="29">
        <f>IF(W9=0,0,W9/TrRail_act!W4*1000)</f>
        <v>0</v>
      </c>
      <c r="X38" s="29">
        <f>IF(X9=0,0,X9/TrRail_act!X4*1000)</f>
        <v>0</v>
      </c>
      <c r="Y38" s="29">
        <f>IF(Y9=0,0,Y9/TrRail_act!Y4*1000)</f>
        <v>0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0</v>
      </c>
      <c r="C40" s="116">
        <f>IF(C11=0,0,C11/TrRail_act!C6*1000)</f>
        <v>0</v>
      </c>
      <c r="D40" s="116">
        <f>IF(D11=0,0,D11/TrRail_act!D6*1000)</f>
        <v>0</v>
      </c>
      <c r="E40" s="116">
        <f>IF(E11=0,0,E11/TrRail_act!E6*1000)</f>
        <v>0</v>
      </c>
      <c r="F40" s="116">
        <f>IF(F11=0,0,F11/TrRail_act!F6*1000)</f>
        <v>0</v>
      </c>
      <c r="G40" s="116">
        <f>IF(G11=0,0,G11/TrRail_act!G6*1000)</f>
        <v>0</v>
      </c>
      <c r="H40" s="116">
        <f>IF(H11=0,0,H11/TrRail_act!H6*1000)</f>
        <v>0</v>
      </c>
      <c r="I40" s="116">
        <f>IF(I11=0,0,I11/TrRail_act!I6*1000)</f>
        <v>0</v>
      </c>
      <c r="J40" s="116">
        <f>IF(J11=0,0,J11/TrRail_act!J6*1000)</f>
        <v>0</v>
      </c>
      <c r="K40" s="116">
        <f>IF(K11=0,0,K11/TrRail_act!K6*1000)</f>
        <v>0</v>
      </c>
      <c r="L40" s="116">
        <f>IF(L11=0,0,L11/TrRail_act!L6*1000)</f>
        <v>0</v>
      </c>
      <c r="M40" s="116">
        <f>IF(M11=0,0,M11/TrRail_act!M6*1000)</f>
        <v>0</v>
      </c>
      <c r="N40" s="116">
        <f>IF(N11=0,0,N11/TrRail_act!N6*1000)</f>
        <v>0</v>
      </c>
      <c r="O40" s="116">
        <f>IF(O11=0,0,O11/TrRail_act!O6*1000)</f>
        <v>0</v>
      </c>
      <c r="P40" s="116">
        <f>IF(P11=0,0,P11/TrRail_act!P6*1000)</f>
        <v>0</v>
      </c>
      <c r="Q40" s="116">
        <f>IF(Q11=0,0,Q11/TrRail_act!Q6*1000)</f>
        <v>0</v>
      </c>
      <c r="R40" s="116">
        <f>IF(R11=0,0,R11/TrRail_act!R6*1000)</f>
        <v>0</v>
      </c>
      <c r="S40" s="116">
        <f>IF(S11=0,0,S11/TrRail_act!S6*1000)</f>
        <v>0</v>
      </c>
      <c r="T40" s="116">
        <f>IF(T11=0,0,T11/TrRail_act!T6*1000)</f>
        <v>0</v>
      </c>
      <c r="U40" s="116">
        <f>IF(U11=0,0,U11/TrRail_act!U6*1000)</f>
        <v>0</v>
      </c>
      <c r="V40" s="116">
        <f>IF(V11=0,0,V11/TrRail_act!V6*1000)</f>
        <v>0</v>
      </c>
      <c r="W40" s="116">
        <f>IF(W11=0,0,W11/TrRail_act!W6*1000)</f>
        <v>0</v>
      </c>
      <c r="X40" s="116">
        <f>IF(X11=0,0,X11/TrRail_act!X6*1000)</f>
        <v>0</v>
      </c>
      <c r="Y40" s="116">
        <f>IF(Y11=0,0,Y11/TrRail_act!Y6*1000)</f>
        <v>0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0</v>
      </c>
      <c r="C41" s="87">
        <f>IF(C12=0,0,C12/TrRail_act!C7*1000)</f>
        <v>0</v>
      </c>
      <c r="D41" s="87">
        <f>IF(D12=0,0,D12/TrRail_act!D7*1000)</f>
        <v>0</v>
      </c>
      <c r="E41" s="87">
        <f>IF(E12=0,0,E12/TrRail_act!E7*1000)</f>
        <v>0</v>
      </c>
      <c r="F41" s="87">
        <f>IF(F12=0,0,F12/TrRail_act!F7*1000)</f>
        <v>0</v>
      </c>
      <c r="G41" s="87">
        <f>IF(G12=0,0,G12/TrRail_act!G7*1000)</f>
        <v>0</v>
      </c>
      <c r="H41" s="87">
        <f>IF(H12=0,0,H12/TrRail_act!H7*1000)</f>
        <v>0</v>
      </c>
      <c r="I41" s="87">
        <f>IF(I12=0,0,I12/TrRail_act!I7*1000)</f>
        <v>0</v>
      </c>
      <c r="J41" s="87">
        <f>IF(J12=0,0,J12/TrRail_act!J7*1000)</f>
        <v>0</v>
      </c>
      <c r="K41" s="87">
        <f>IF(K12=0,0,K12/TrRail_act!K7*1000)</f>
        <v>0</v>
      </c>
      <c r="L41" s="87">
        <f>IF(L12=0,0,L12/TrRail_act!L7*1000)</f>
        <v>0</v>
      </c>
      <c r="M41" s="87">
        <f>IF(M12=0,0,M12/TrRail_act!M7*1000)</f>
        <v>0</v>
      </c>
      <c r="N41" s="87">
        <f>IF(N12=0,0,N12/TrRail_act!N7*1000)</f>
        <v>0</v>
      </c>
      <c r="O41" s="87">
        <f>IF(O12=0,0,O12/TrRail_act!O7*1000)</f>
        <v>0</v>
      </c>
      <c r="P41" s="87">
        <f>IF(P12=0,0,P12/TrRail_act!P7*1000)</f>
        <v>0</v>
      </c>
      <c r="Q41" s="87">
        <f>IF(Q12=0,0,Q12/TrRail_act!Q7*1000)</f>
        <v>0</v>
      </c>
      <c r="R41" s="87">
        <f>IF(R12=0,0,R12/TrRail_act!R7*1000)</f>
        <v>0</v>
      </c>
      <c r="S41" s="87">
        <f>IF(S12=0,0,S12/TrRail_act!S7*1000)</f>
        <v>0</v>
      </c>
      <c r="T41" s="87">
        <f>IF(T12=0,0,T12/TrRail_act!T7*1000)</f>
        <v>0</v>
      </c>
      <c r="U41" s="87">
        <f>IF(U12=0,0,U12/TrRail_act!U7*1000)</f>
        <v>0</v>
      </c>
      <c r="V41" s="87">
        <f>IF(V12=0,0,V12/TrRail_act!V7*1000)</f>
        <v>0</v>
      </c>
      <c r="W41" s="87">
        <f>IF(W12=0,0,W12/TrRail_act!W7*1000)</f>
        <v>0</v>
      </c>
      <c r="X41" s="87">
        <f>IF(X12=0,0,X12/TrRail_act!X7*1000)</f>
        <v>0</v>
      </c>
      <c r="Y41" s="87">
        <f>IF(Y12=0,0,Y12/TrRail_act!Y7*1000)</f>
        <v>0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0</v>
      </c>
      <c r="C44" s="29">
        <f>IF(C15=0,0,C15/TrRail_act!C10*1000)</f>
        <v>0</v>
      </c>
      <c r="D44" s="29">
        <f>IF(D15=0,0,D15/TrRail_act!D10*1000)</f>
        <v>0</v>
      </c>
      <c r="E44" s="29">
        <f>IF(E15=0,0,E15/TrRail_act!E10*1000)</f>
        <v>0</v>
      </c>
      <c r="F44" s="29">
        <f>IF(F15=0,0,F15/TrRail_act!F10*1000)</f>
        <v>0</v>
      </c>
      <c r="G44" s="29">
        <f>IF(G15=0,0,G15/TrRail_act!G10*1000)</f>
        <v>0</v>
      </c>
      <c r="H44" s="29">
        <f>IF(H15=0,0,H15/TrRail_act!H10*1000)</f>
        <v>0</v>
      </c>
      <c r="I44" s="29">
        <f>IF(I15=0,0,I15/TrRail_act!I10*1000)</f>
        <v>0</v>
      </c>
      <c r="J44" s="29">
        <f>IF(J15=0,0,J15/TrRail_act!J10*1000)</f>
        <v>0</v>
      </c>
      <c r="K44" s="29">
        <f>IF(K15=0,0,K15/TrRail_act!K10*1000)</f>
        <v>0</v>
      </c>
      <c r="L44" s="29">
        <f>IF(L15=0,0,L15/TrRail_act!L10*1000)</f>
        <v>0</v>
      </c>
      <c r="M44" s="29">
        <f>IF(M15=0,0,M15/TrRail_act!M10*1000)</f>
        <v>0</v>
      </c>
      <c r="N44" s="29">
        <f>IF(N15=0,0,N15/TrRail_act!N10*1000)</f>
        <v>0</v>
      </c>
      <c r="O44" s="29">
        <f>IF(O15=0,0,O15/TrRail_act!O10*1000)</f>
        <v>0</v>
      </c>
      <c r="P44" s="29">
        <f>IF(P15=0,0,P15/TrRail_act!P10*1000)</f>
        <v>0</v>
      </c>
      <c r="Q44" s="29">
        <f>IF(Q15=0,0,Q15/TrRail_act!Q10*1000)</f>
        <v>0</v>
      </c>
      <c r="R44" s="29">
        <f>IF(R15=0,0,R15/TrRail_act!R10*1000)</f>
        <v>0</v>
      </c>
      <c r="S44" s="29">
        <f>IF(S15=0,0,S15/TrRail_act!S10*1000)</f>
        <v>0</v>
      </c>
      <c r="T44" s="29">
        <f>IF(T15=0,0,T15/TrRail_act!T10*1000)</f>
        <v>0</v>
      </c>
      <c r="U44" s="29">
        <f>IF(U15=0,0,U15/TrRail_act!U10*1000)</f>
        <v>0</v>
      </c>
      <c r="V44" s="29">
        <f>IF(V15=0,0,V15/TrRail_act!V10*1000)</f>
        <v>0</v>
      </c>
      <c r="W44" s="29">
        <f>IF(W15=0,0,W15/TrRail_act!W10*1000)</f>
        <v>0</v>
      </c>
      <c r="X44" s="29">
        <f>IF(X15=0,0,X15/TrRail_act!X10*1000)</f>
        <v>0</v>
      </c>
      <c r="Y44" s="29">
        <f>IF(Y15=0,0,Y15/TrRail_act!Y10*1000)</f>
        <v>0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0</v>
      </c>
      <c r="C45" s="87">
        <f>IF(C16=0,0,C16/TrRail_act!C11*1000)</f>
        <v>0</v>
      </c>
      <c r="D45" s="87">
        <f>IF(D16=0,0,D16/TrRail_act!D11*1000)</f>
        <v>0</v>
      </c>
      <c r="E45" s="87">
        <f>IF(E16=0,0,E16/TrRail_act!E11*1000)</f>
        <v>0</v>
      </c>
      <c r="F45" s="87">
        <f>IF(F16=0,0,F16/TrRail_act!F11*1000)</f>
        <v>0</v>
      </c>
      <c r="G45" s="87">
        <f>IF(G16=0,0,G16/TrRail_act!G11*1000)</f>
        <v>0</v>
      </c>
      <c r="H45" s="87">
        <f>IF(H16=0,0,H16/TrRail_act!H11*1000)</f>
        <v>0</v>
      </c>
      <c r="I45" s="87">
        <f>IF(I16=0,0,I16/TrRail_act!I11*1000)</f>
        <v>0</v>
      </c>
      <c r="J45" s="87">
        <f>IF(J16=0,0,J16/TrRail_act!J11*1000)</f>
        <v>0</v>
      </c>
      <c r="K45" s="87">
        <f>IF(K16=0,0,K16/TrRail_act!K11*1000)</f>
        <v>0</v>
      </c>
      <c r="L45" s="87">
        <f>IF(L16=0,0,L16/TrRail_act!L11*1000)</f>
        <v>0</v>
      </c>
      <c r="M45" s="87">
        <f>IF(M16=0,0,M16/TrRail_act!M11*1000)</f>
        <v>0</v>
      </c>
      <c r="N45" s="87">
        <f>IF(N16=0,0,N16/TrRail_act!N11*1000)</f>
        <v>0</v>
      </c>
      <c r="O45" s="87">
        <f>IF(O16=0,0,O16/TrRail_act!O11*1000)</f>
        <v>0</v>
      </c>
      <c r="P45" s="87">
        <f>IF(P16=0,0,P16/TrRail_act!P11*1000)</f>
        <v>0</v>
      </c>
      <c r="Q45" s="87">
        <f>IF(Q16=0,0,Q16/TrRail_act!Q11*1000)</f>
        <v>0</v>
      </c>
      <c r="R45" s="87">
        <f>IF(R16=0,0,R16/TrRail_act!R11*1000)</f>
        <v>0</v>
      </c>
      <c r="S45" s="87">
        <f>IF(S16=0,0,S16/TrRail_act!S11*1000)</f>
        <v>0</v>
      </c>
      <c r="T45" s="87">
        <f>IF(T16=0,0,T16/TrRail_act!T11*1000)</f>
        <v>0</v>
      </c>
      <c r="U45" s="87">
        <f>IF(U16=0,0,U16/TrRail_act!U11*1000)</f>
        <v>0</v>
      </c>
      <c r="V45" s="87">
        <f>IF(V16=0,0,V16/TrRail_act!V11*1000)</f>
        <v>0</v>
      </c>
      <c r="W45" s="87">
        <f>IF(W16=0,0,W16/TrRail_act!W11*1000)</f>
        <v>0</v>
      </c>
      <c r="X45" s="87">
        <f>IF(X16=0,0,X16/TrRail_act!X11*1000)</f>
        <v>0</v>
      </c>
      <c r="Y45" s="87">
        <f>IF(Y16=0,0,Y16/TrRail_act!Y11*1000)</f>
        <v>0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0</v>
      </c>
      <c r="C48" s="62">
        <f>IF(C8=0,0,1000000*C8/TrRail_act!C25/1000)</f>
        <v>0</v>
      </c>
      <c r="D48" s="62">
        <f>IF(D8=0,0,1000000*D8/TrRail_act!D25/1000)</f>
        <v>0</v>
      </c>
      <c r="E48" s="62">
        <f>IF(E8=0,0,1000000*E8/TrRail_act!E25/1000)</f>
        <v>0</v>
      </c>
      <c r="F48" s="62">
        <f>IF(F8=0,0,1000000*F8/TrRail_act!F25/1000)</f>
        <v>0</v>
      </c>
      <c r="G48" s="62">
        <f>IF(G8=0,0,1000000*G8/TrRail_act!G25/1000)</f>
        <v>0</v>
      </c>
      <c r="H48" s="62">
        <f>IF(H8=0,0,1000000*H8/TrRail_act!H25/1000)</f>
        <v>0</v>
      </c>
      <c r="I48" s="62">
        <f>IF(I8=0,0,1000000*I8/TrRail_act!I25/1000)</f>
        <v>0</v>
      </c>
      <c r="J48" s="62">
        <f>IF(J8=0,0,1000000*J8/TrRail_act!J25/1000)</f>
        <v>0</v>
      </c>
      <c r="K48" s="62">
        <f>IF(K8=0,0,1000000*K8/TrRail_act!K25/1000)</f>
        <v>0</v>
      </c>
      <c r="L48" s="62">
        <f>IF(L8=0,0,1000000*L8/TrRail_act!L25/1000)</f>
        <v>0</v>
      </c>
      <c r="M48" s="62">
        <f>IF(M8=0,0,1000000*M8/TrRail_act!M25/1000)</f>
        <v>0</v>
      </c>
      <c r="N48" s="62">
        <f>IF(N8=0,0,1000000*N8/TrRail_act!N25/1000)</f>
        <v>0</v>
      </c>
      <c r="O48" s="62">
        <f>IF(O8=0,0,1000000*O8/TrRail_act!O25/1000)</f>
        <v>0</v>
      </c>
      <c r="P48" s="62">
        <f>IF(P8=0,0,1000000*P8/TrRail_act!P25/1000)</f>
        <v>0</v>
      </c>
      <c r="Q48" s="62">
        <f>IF(Q8=0,0,1000000*Q8/TrRail_act!Q25/1000)</f>
        <v>0</v>
      </c>
      <c r="R48" s="62">
        <f>IF(R8=0,0,1000000*R8/TrRail_act!R25/1000)</f>
        <v>0</v>
      </c>
      <c r="S48" s="62">
        <f>IF(S8=0,0,1000000*S8/TrRail_act!S25/1000)</f>
        <v>0</v>
      </c>
      <c r="T48" s="62">
        <f>IF(T8=0,0,1000000*T8/TrRail_act!T25/1000)</f>
        <v>0</v>
      </c>
      <c r="U48" s="62">
        <f>IF(U8=0,0,1000000*U8/TrRail_act!U25/1000)</f>
        <v>0</v>
      </c>
      <c r="V48" s="62">
        <f>IF(V8=0,0,1000000*V8/TrRail_act!V25/1000)</f>
        <v>0</v>
      </c>
      <c r="W48" s="62">
        <f>IF(W8=0,0,1000000*W8/TrRail_act!W25/1000)</f>
        <v>0</v>
      </c>
      <c r="X48" s="62">
        <f>IF(X8=0,0,1000000*X8/TrRail_act!X25/1000)</f>
        <v>0</v>
      </c>
      <c r="Y48" s="62">
        <f>IF(Y8=0,0,1000000*Y8/TrRail_act!Y25/1000)</f>
        <v>0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0</v>
      </c>
      <c r="C49" s="29">
        <f>IF(C9=0,0,1000000*C9/TrRail_act!C26/1000)</f>
        <v>0</v>
      </c>
      <c r="D49" s="29">
        <f>IF(D9=0,0,1000000*D9/TrRail_act!D26/1000)</f>
        <v>0</v>
      </c>
      <c r="E49" s="29">
        <f>IF(E9=0,0,1000000*E9/TrRail_act!E26/1000)</f>
        <v>0</v>
      </c>
      <c r="F49" s="29">
        <f>IF(F9=0,0,1000000*F9/TrRail_act!F26/1000)</f>
        <v>0</v>
      </c>
      <c r="G49" s="29">
        <f>IF(G9=0,0,1000000*G9/TrRail_act!G26/1000)</f>
        <v>0</v>
      </c>
      <c r="H49" s="29">
        <f>IF(H9=0,0,1000000*H9/TrRail_act!H26/1000)</f>
        <v>0</v>
      </c>
      <c r="I49" s="29">
        <f>IF(I9=0,0,1000000*I9/TrRail_act!I26/1000)</f>
        <v>0</v>
      </c>
      <c r="J49" s="29">
        <f>IF(J9=0,0,1000000*J9/TrRail_act!J26/1000)</f>
        <v>0</v>
      </c>
      <c r="K49" s="29">
        <f>IF(K9=0,0,1000000*K9/TrRail_act!K26/1000)</f>
        <v>0</v>
      </c>
      <c r="L49" s="29">
        <f>IF(L9=0,0,1000000*L9/TrRail_act!L26/1000)</f>
        <v>0</v>
      </c>
      <c r="M49" s="29">
        <f>IF(M9=0,0,1000000*M9/TrRail_act!M26/1000)</f>
        <v>0</v>
      </c>
      <c r="N49" s="29">
        <f>IF(N9=0,0,1000000*N9/TrRail_act!N26/1000)</f>
        <v>0</v>
      </c>
      <c r="O49" s="29">
        <f>IF(O9=0,0,1000000*O9/TrRail_act!O26/1000)</f>
        <v>0</v>
      </c>
      <c r="P49" s="29">
        <f>IF(P9=0,0,1000000*P9/TrRail_act!P26/1000)</f>
        <v>0</v>
      </c>
      <c r="Q49" s="29">
        <f>IF(Q9=0,0,1000000*Q9/TrRail_act!Q26/1000)</f>
        <v>0</v>
      </c>
      <c r="R49" s="29">
        <f>IF(R9=0,0,1000000*R9/TrRail_act!R26/1000)</f>
        <v>0</v>
      </c>
      <c r="S49" s="29">
        <f>IF(S9=0,0,1000000*S9/TrRail_act!S26/1000)</f>
        <v>0</v>
      </c>
      <c r="T49" s="29">
        <f>IF(T9=0,0,1000000*T9/TrRail_act!T26/1000)</f>
        <v>0</v>
      </c>
      <c r="U49" s="29">
        <f>IF(U9=0,0,1000000*U9/TrRail_act!U26/1000)</f>
        <v>0</v>
      </c>
      <c r="V49" s="29">
        <f>IF(V9=0,0,1000000*V9/TrRail_act!V26/1000)</f>
        <v>0</v>
      </c>
      <c r="W49" s="29">
        <f>IF(W9=0,0,1000000*W9/TrRail_act!W26/1000)</f>
        <v>0</v>
      </c>
      <c r="X49" s="29">
        <f>IF(X9=0,0,1000000*X9/TrRail_act!X26/1000)</f>
        <v>0</v>
      </c>
      <c r="Y49" s="29">
        <f>IF(Y9=0,0,1000000*Y9/TrRail_act!Y26/1000)</f>
        <v>0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0</v>
      </c>
      <c r="C51" s="116">
        <f>IF(C11=0,0,1000000*C11/TrRail_act!C28/1000)</f>
        <v>0</v>
      </c>
      <c r="D51" s="116">
        <f>IF(D11=0,0,1000000*D11/TrRail_act!D28/1000)</f>
        <v>0</v>
      </c>
      <c r="E51" s="116">
        <f>IF(E11=0,0,1000000*E11/TrRail_act!E28/1000)</f>
        <v>0</v>
      </c>
      <c r="F51" s="116">
        <f>IF(F11=0,0,1000000*F11/TrRail_act!F28/1000)</f>
        <v>0</v>
      </c>
      <c r="G51" s="116">
        <f>IF(G11=0,0,1000000*G11/TrRail_act!G28/1000)</f>
        <v>0</v>
      </c>
      <c r="H51" s="116">
        <f>IF(H11=0,0,1000000*H11/TrRail_act!H28/1000)</f>
        <v>0</v>
      </c>
      <c r="I51" s="116">
        <f>IF(I11=0,0,1000000*I11/TrRail_act!I28/1000)</f>
        <v>0</v>
      </c>
      <c r="J51" s="116">
        <f>IF(J11=0,0,1000000*J11/TrRail_act!J28/1000)</f>
        <v>0</v>
      </c>
      <c r="K51" s="116">
        <f>IF(K11=0,0,1000000*K11/TrRail_act!K28/1000)</f>
        <v>0</v>
      </c>
      <c r="L51" s="116">
        <f>IF(L11=0,0,1000000*L11/TrRail_act!L28/1000)</f>
        <v>0</v>
      </c>
      <c r="M51" s="116">
        <f>IF(M11=0,0,1000000*M11/TrRail_act!M28/1000)</f>
        <v>0</v>
      </c>
      <c r="N51" s="116">
        <f>IF(N11=0,0,1000000*N11/TrRail_act!N28/1000)</f>
        <v>0</v>
      </c>
      <c r="O51" s="116">
        <f>IF(O11=0,0,1000000*O11/TrRail_act!O28/1000)</f>
        <v>0</v>
      </c>
      <c r="P51" s="116">
        <f>IF(P11=0,0,1000000*P11/TrRail_act!P28/1000)</f>
        <v>0</v>
      </c>
      <c r="Q51" s="116">
        <f>IF(Q11=0,0,1000000*Q11/TrRail_act!Q28/1000)</f>
        <v>0</v>
      </c>
      <c r="R51" s="116">
        <f>IF(R11=0,0,1000000*R11/TrRail_act!R28/1000)</f>
        <v>0</v>
      </c>
      <c r="S51" s="116">
        <f>IF(S11=0,0,1000000*S11/TrRail_act!S28/1000)</f>
        <v>0</v>
      </c>
      <c r="T51" s="116">
        <f>IF(T11=0,0,1000000*T11/TrRail_act!T28/1000)</f>
        <v>0</v>
      </c>
      <c r="U51" s="116">
        <f>IF(U11=0,0,1000000*U11/TrRail_act!U28/1000)</f>
        <v>0</v>
      </c>
      <c r="V51" s="116">
        <f>IF(V11=0,0,1000000*V11/TrRail_act!V28/1000)</f>
        <v>0</v>
      </c>
      <c r="W51" s="116">
        <f>IF(W11=0,0,1000000*W11/TrRail_act!W28/1000)</f>
        <v>0</v>
      </c>
      <c r="X51" s="116">
        <f>IF(X11=0,0,1000000*X11/TrRail_act!X28/1000)</f>
        <v>0</v>
      </c>
      <c r="Y51" s="116">
        <f>IF(Y11=0,0,1000000*Y11/TrRail_act!Y28/1000)</f>
        <v>0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0</v>
      </c>
      <c r="C52" s="87">
        <f>IF(C12=0,0,1000000*C12/TrRail_act!C29/1000)</f>
        <v>0</v>
      </c>
      <c r="D52" s="87">
        <f>IF(D12=0,0,1000000*D12/TrRail_act!D29/1000)</f>
        <v>0</v>
      </c>
      <c r="E52" s="87">
        <f>IF(E12=0,0,1000000*E12/TrRail_act!E29/1000)</f>
        <v>0</v>
      </c>
      <c r="F52" s="87">
        <f>IF(F12=0,0,1000000*F12/TrRail_act!F29/1000)</f>
        <v>0</v>
      </c>
      <c r="G52" s="87">
        <f>IF(G12=0,0,1000000*G12/TrRail_act!G29/1000)</f>
        <v>0</v>
      </c>
      <c r="H52" s="87">
        <f>IF(H12=0,0,1000000*H12/TrRail_act!H29/1000)</f>
        <v>0</v>
      </c>
      <c r="I52" s="87">
        <f>IF(I12=0,0,1000000*I12/TrRail_act!I29/1000)</f>
        <v>0</v>
      </c>
      <c r="J52" s="87">
        <f>IF(J12=0,0,1000000*J12/TrRail_act!J29/1000)</f>
        <v>0</v>
      </c>
      <c r="K52" s="87">
        <f>IF(K12=0,0,1000000*K12/TrRail_act!K29/1000)</f>
        <v>0</v>
      </c>
      <c r="L52" s="87">
        <f>IF(L12=0,0,1000000*L12/TrRail_act!L29/1000)</f>
        <v>0</v>
      </c>
      <c r="M52" s="87">
        <f>IF(M12=0,0,1000000*M12/TrRail_act!M29/1000)</f>
        <v>0</v>
      </c>
      <c r="N52" s="87">
        <f>IF(N12=0,0,1000000*N12/TrRail_act!N29/1000)</f>
        <v>0</v>
      </c>
      <c r="O52" s="87">
        <f>IF(O12=0,0,1000000*O12/TrRail_act!O29/1000)</f>
        <v>0</v>
      </c>
      <c r="P52" s="87">
        <f>IF(P12=0,0,1000000*P12/TrRail_act!P29/1000)</f>
        <v>0</v>
      </c>
      <c r="Q52" s="87">
        <f>IF(Q12=0,0,1000000*Q12/TrRail_act!Q29/1000)</f>
        <v>0</v>
      </c>
      <c r="R52" s="87">
        <f>IF(R12=0,0,1000000*R12/TrRail_act!R29/1000)</f>
        <v>0</v>
      </c>
      <c r="S52" s="87">
        <f>IF(S12=0,0,1000000*S12/TrRail_act!S29/1000)</f>
        <v>0</v>
      </c>
      <c r="T52" s="87">
        <f>IF(T12=0,0,1000000*T12/TrRail_act!T29/1000)</f>
        <v>0</v>
      </c>
      <c r="U52" s="87">
        <f>IF(U12=0,0,1000000*U12/TrRail_act!U29/1000)</f>
        <v>0</v>
      </c>
      <c r="V52" s="87">
        <f>IF(V12=0,0,1000000*V12/TrRail_act!V29/1000)</f>
        <v>0</v>
      </c>
      <c r="W52" s="87">
        <f>IF(W12=0,0,1000000*W12/TrRail_act!W29/1000)</f>
        <v>0</v>
      </c>
      <c r="X52" s="87">
        <f>IF(X12=0,0,1000000*X12/TrRail_act!X29/1000)</f>
        <v>0</v>
      </c>
      <c r="Y52" s="87">
        <f>IF(Y12=0,0,1000000*Y12/TrRail_act!Y29/1000)</f>
        <v>0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0</v>
      </c>
      <c r="C55" s="29">
        <f>IF(C15=0,0,1000000*C15/TrRail_act!C32/1000)</f>
        <v>0</v>
      </c>
      <c r="D55" s="29">
        <f>IF(D15=0,0,1000000*D15/TrRail_act!D32/1000)</f>
        <v>0</v>
      </c>
      <c r="E55" s="29">
        <f>IF(E15=0,0,1000000*E15/TrRail_act!E32/1000)</f>
        <v>0</v>
      </c>
      <c r="F55" s="29">
        <f>IF(F15=0,0,1000000*F15/TrRail_act!F32/1000)</f>
        <v>0</v>
      </c>
      <c r="G55" s="29">
        <f>IF(G15=0,0,1000000*G15/TrRail_act!G32/1000)</f>
        <v>0</v>
      </c>
      <c r="H55" s="29">
        <f>IF(H15=0,0,1000000*H15/TrRail_act!H32/1000)</f>
        <v>0</v>
      </c>
      <c r="I55" s="29">
        <f>IF(I15=0,0,1000000*I15/TrRail_act!I32/1000)</f>
        <v>0</v>
      </c>
      <c r="J55" s="29">
        <f>IF(J15=0,0,1000000*J15/TrRail_act!J32/1000)</f>
        <v>0</v>
      </c>
      <c r="K55" s="29">
        <f>IF(K15=0,0,1000000*K15/TrRail_act!K32/1000)</f>
        <v>0</v>
      </c>
      <c r="L55" s="29">
        <f>IF(L15=0,0,1000000*L15/TrRail_act!L32/1000)</f>
        <v>0</v>
      </c>
      <c r="M55" s="29">
        <f>IF(M15=0,0,1000000*M15/TrRail_act!M32/1000)</f>
        <v>0</v>
      </c>
      <c r="N55" s="29">
        <f>IF(N15=0,0,1000000*N15/TrRail_act!N32/1000)</f>
        <v>0</v>
      </c>
      <c r="O55" s="29">
        <f>IF(O15=0,0,1000000*O15/TrRail_act!O32/1000)</f>
        <v>0</v>
      </c>
      <c r="P55" s="29">
        <f>IF(P15=0,0,1000000*P15/TrRail_act!P32/1000)</f>
        <v>0</v>
      </c>
      <c r="Q55" s="29">
        <f>IF(Q15=0,0,1000000*Q15/TrRail_act!Q32/1000)</f>
        <v>0</v>
      </c>
      <c r="R55" s="29">
        <f>IF(R15=0,0,1000000*R15/TrRail_act!R32/1000)</f>
        <v>0</v>
      </c>
      <c r="S55" s="29">
        <f>IF(S15=0,0,1000000*S15/TrRail_act!S32/1000)</f>
        <v>0</v>
      </c>
      <c r="T55" s="29">
        <f>IF(T15=0,0,1000000*T15/TrRail_act!T32/1000)</f>
        <v>0</v>
      </c>
      <c r="U55" s="29">
        <f>IF(U15=0,0,1000000*U15/TrRail_act!U32/1000)</f>
        <v>0</v>
      </c>
      <c r="V55" s="29">
        <f>IF(V15=0,0,1000000*V15/TrRail_act!V32/1000)</f>
        <v>0</v>
      </c>
      <c r="W55" s="29">
        <f>IF(W15=0,0,1000000*W15/TrRail_act!W32/1000)</f>
        <v>0</v>
      </c>
      <c r="X55" s="29">
        <f>IF(X15=0,0,1000000*X15/TrRail_act!X32/1000)</f>
        <v>0</v>
      </c>
      <c r="Y55" s="29">
        <f>IF(Y15=0,0,1000000*Y15/TrRail_act!Y32/1000)</f>
        <v>0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0</v>
      </c>
      <c r="C56" s="87">
        <f>IF(C16=0,0,1000000*C16/TrRail_act!C33/1000)</f>
        <v>0</v>
      </c>
      <c r="D56" s="87">
        <f>IF(D16=0,0,1000000*D16/TrRail_act!D33/1000)</f>
        <v>0</v>
      </c>
      <c r="E56" s="87">
        <f>IF(E16=0,0,1000000*E16/TrRail_act!E33/1000)</f>
        <v>0</v>
      </c>
      <c r="F56" s="87">
        <f>IF(F16=0,0,1000000*F16/TrRail_act!F33/1000)</f>
        <v>0</v>
      </c>
      <c r="G56" s="87">
        <f>IF(G16=0,0,1000000*G16/TrRail_act!G33/1000)</f>
        <v>0</v>
      </c>
      <c r="H56" s="87">
        <f>IF(H16=0,0,1000000*H16/TrRail_act!H33/1000)</f>
        <v>0</v>
      </c>
      <c r="I56" s="87">
        <f>IF(I16=0,0,1000000*I16/TrRail_act!I33/1000)</f>
        <v>0</v>
      </c>
      <c r="J56" s="87">
        <f>IF(J16=0,0,1000000*J16/TrRail_act!J33/1000)</f>
        <v>0</v>
      </c>
      <c r="K56" s="87">
        <f>IF(K16=0,0,1000000*K16/TrRail_act!K33/1000)</f>
        <v>0</v>
      </c>
      <c r="L56" s="87">
        <f>IF(L16=0,0,1000000*L16/TrRail_act!L33/1000)</f>
        <v>0</v>
      </c>
      <c r="M56" s="87">
        <f>IF(M16=0,0,1000000*M16/TrRail_act!M33/1000)</f>
        <v>0</v>
      </c>
      <c r="N56" s="87">
        <f>IF(N16=0,0,1000000*N16/TrRail_act!N33/1000)</f>
        <v>0</v>
      </c>
      <c r="O56" s="87">
        <f>IF(O16=0,0,1000000*O16/TrRail_act!O33/1000)</f>
        <v>0</v>
      </c>
      <c r="P56" s="87">
        <f>IF(P16=0,0,1000000*P16/TrRail_act!P33/1000)</f>
        <v>0</v>
      </c>
      <c r="Q56" s="87">
        <f>IF(Q16=0,0,1000000*Q16/TrRail_act!Q33/1000)</f>
        <v>0</v>
      </c>
      <c r="R56" s="87">
        <f>IF(R16=0,0,1000000*R16/TrRail_act!R33/1000)</f>
        <v>0</v>
      </c>
      <c r="S56" s="87">
        <f>IF(S16=0,0,1000000*S16/TrRail_act!S33/1000)</f>
        <v>0</v>
      </c>
      <c r="T56" s="87">
        <f>IF(T16=0,0,1000000*T16/TrRail_act!T33/1000)</f>
        <v>0</v>
      </c>
      <c r="U56" s="87">
        <f>IF(U16=0,0,1000000*U16/TrRail_act!U33/1000)</f>
        <v>0</v>
      </c>
      <c r="V56" s="87">
        <f>IF(V16=0,0,1000000*V16/TrRail_act!V33/1000)</f>
        <v>0</v>
      </c>
      <c r="W56" s="87">
        <f>IF(W16=0,0,1000000*W16/TrRail_act!W33/1000)</f>
        <v>0</v>
      </c>
      <c r="X56" s="87">
        <f>IF(X16=0,0,1000000*X16/TrRail_act!X33/1000)</f>
        <v>0</v>
      </c>
      <c r="Y56" s="87">
        <f>IF(Y16=0,0,1000000*Y16/TrRail_act!Y33/1000)</f>
        <v>0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0</v>
      </c>
      <c r="C59" s="65">
        <f t="shared" ref="C59:V59" si="11">IF(C8=0,0,C8/C$8)</f>
        <v>0</v>
      </c>
      <c r="D59" s="65">
        <f t="shared" si="11"/>
        <v>0</v>
      </c>
      <c r="E59" s="65">
        <f t="shared" si="11"/>
        <v>0</v>
      </c>
      <c r="F59" s="65">
        <f t="shared" si="11"/>
        <v>0</v>
      </c>
      <c r="G59" s="65">
        <f t="shared" si="11"/>
        <v>0</v>
      </c>
      <c r="H59" s="65">
        <f t="shared" si="11"/>
        <v>0</v>
      </c>
      <c r="I59" s="65">
        <f t="shared" si="11"/>
        <v>0</v>
      </c>
      <c r="J59" s="65">
        <f t="shared" si="11"/>
        <v>0</v>
      </c>
      <c r="K59" s="65">
        <f t="shared" si="11"/>
        <v>0</v>
      </c>
      <c r="L59" s="65">
        <f t="shared" si="11"/>
        <v>0</v>
      </c>
      <c r="M59" s="65">
        <f t="shared" si="11"/>
        <v>0</v>
      </c>
      <c r="N59" s="65">
        <f t="shared" si="11"/>
        <v>0</v>
      </c>
      <c r="O59" s="65">
        <f t="shared" si="11"/>
        <v>0</v>
      </c>
      <c r="P59" s="65">
        <f t="shared" si="11"/>
        <v>0</v>
      </c>
      <c r="Q59" s="65">
        <f t="shared" si="11"/>
        <v>0</v>
      </c>
      <c r="R59" s="65">
        <f t="shared" si="11"/>
        <v>0</v>
      </c>
      <c r="S59" s="65">
        <f t="shared" si="11"/>
        <v>0</v>
      </c>
      <c r="T59" s="65">
        <f t="shared" si="11"/>
        <v>0</v>
      </c>
      <c r="U59" s="65">
        <f t="shared" si="11"/>
        <v>0</v>
      </c>
      <c r="V59" s="65">
        <f t="shared" si="11"/>
        <v>0</v>
      </c>
      <c r="W59" s="65">
        <f t="shared" ref="W59:Y59" si="12">IF(W8=0,0,W8/W$8)</f>
        <v>0</v>
      </c>
      <c r="X59" s="65">
        <f t="shared" si="12"/>
        <v>0</v>
      </c>
      <c r="Y59" s="65">
        <f t="shared" si="12"/>
        <v>0</v>
      </c>
      <c r="DA59" s="172"/>
    </row>
    <row r="60" spans="1:105" ht="11.45" customHeight="1" x14ac:dyDescent="0.25">
      <c r="A60" s="27" t="s">
        <v>33</v>
      </c>
      <c r="B60" s="31">
        <f t="shared" si="10"/>
        <v>0</v>
      </c>
      <c r="C60" s="31">
        <f t="shared" ref="C60:V60" si="13">IF(C9=0,0,C9/C$8)</f>
        <v>0</v>
      </c>
      <c r="D60" s="31">
        <f t="shared" si="13"/>
        <v>0</v>
      </c>
      <c r="E60" s="31">
        <f t="shared" si="13"/>
        <v>0</v>
      </c>
      <c r="F60" s="31">
        <f t="shared" si="13"/>
        <v>0</v>
      </c>
      <c r="G60" s="31">
        <f t="shared" si="13"/>
        <v>0</v>
      </c>
      <c r="H60" s="31">
        <f t="shared" si="13"/>
        <v>0</v>
      </c>
      <c r="I60" s="31">
        <f t="shared" si="13"/>
        <v>0</v>
      </c>
      <c r="J60" s="31">
        <f t="shared" si="13"/>
        <v>0</v>
      </c>
      <c r="K60" s="31">
        <f t="shared" si="13"/>
        <v>0</v>
      </c>
      <c r="L60" s="31">
        <f t="shared" si="13"/>
        <v>0</v>
      </c>
      <c r="M60" s="31">
        <f t="shared" si="13"/>
        <v>0</v>
      </c>
      <c r="N60" s="31">
        <f t="shared" si="13"/>
        <v>0</v>
      </c>
      <c r="O60" s="31">
        <f t="shared" si="13"/>
        <v>0</v>
      </c>
      <c r="P60" s="31">
        <f t="shared" si="13"/>
        <v>0</v>
      </c>
      <c r="Q60" s="31">
        <f t="shared" si="13"/>
        <v>0</v>
      </c>
      <c r="R60" s="31">
        <f t="shared" si="13"/>
        <v>0</v>
      </c>
      <c r="S60" s="31">
        <f t="shared" si="13"/>
        <v>0</v>
      </c>
      <c r="T60" s="31">
        <f t="shared" si="13"/>
        <v>0</v>
      </c>
      <c r="U60" s="31">
        <f t="shared" si="13"/>
        <v>0</v>
      </c>
      <c r="V60" s="31">
        <f t="shared" si="13"/>
        <v>0</v>
      </c>
      <c r="W60" s="31">
        <f t="shared" ref="W60:Y60" si="14">IF(W9=0,0,W9/W$8)</f>
        <v>0</v>
      </c>
      <c r="X60" s="31">
        <f t="shared" si="14"/>
        <v>0</v>
      </c>
      <c r="Y60" s="31">
        <f t="shared" si="14"/>
        <v>0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</v>
      </c>
      <c r="C62" s="124">
        <f t="shared" ref="C62:V62" si="17">IF(C11=0,0,C11/C$8)</f>
        <v>0</v>
      </c>
      <c r="D62" s="124">
        <f t="shared" si="17"/>
        <v>0</v>
      </c>
      <c r="E62" s="124">
        <f t="shared" si="17"/>
        <v>0</v>
      </c>
      <c r="F62" s="124">
        <f t="shared" si="17"/>
        <v>0</v>
      </c>
      <c r="G62" s="124">
        <f t="shared" si="17"/>
        <v>0</v>
      </c>
      <c r="H62" s="124">
        <f t="shared" si="17"/>
        <v>0</v>
      </c>
      <c r="I62" s="124">
        <f t="shared" si="17"/>
        <v>0</v>
      </c>
      <c r="J62" s="124">
        <f t="shared" si="17"/>
        <v>0</v>
      </c>
      <c r="K62" s="124">
        <f t="shared" si="17"/>
        <v>0</v>
      </c>
      <c r="L62" s="124">
        <f t="shared" si="17"/>
        <v>0</v>
      </c>
      <c r="M62" s="124">
        <f t="shared" si="17"/>
        <v>0</v>
      </c>
      <c r="N62" s="124">
        <f t="shared" si="17"/>
        <v>0</v>
      </c>
      <c r="O62" s="124">
        <f t="shared" si="17"/>
        <v>0</v>
      </c>
      <c r="P62" s="124">
        <f t="shared" si="17"/>
        <v>0</v>
      </c>
      <c r="Q62" s="124">
        <f t="shared" si="17"/>
        <v>0</v>
      </c>
      <c r="R62" s="124">
        <f t="shared" si="17"/>
        <v>0</v>
      </c>
      <c r="S62" s="124">
        <f t="shared" si="17"/>
        <v>0</v>
      </c>
      <c r="T62" s="124">
        <f t="shared" si="17"/>
        <v>0</v>
      </c>
      <c r="U62" s="124">
        <f t="shared" si="17"/>
        <v>0</v>
      </c>
      <c r="V62" s="124">
        <f t="shared" si="17"/>
        <v>0</v>
      </c>
      <c r="W62" s="124">
        <f t="shared" ref="W62:Y62" si="18">IF(W11=0,0,W11/W$8)</f>
        <v>0</v>
      </c>
      <c r="X62" s="124">
        <f t="shared" si="18"/>
        <v>0</v>
      </c>
      <c r="Y62" s="124">
        <f t="shared" si="18"/>
        <v>0</v>
      </c>
      <c r="DA62" s="176"/>
    </row>
    <row r="63" spans="1:105" ht="11.45" customHeight="1" x14ac:dyDescent="0.25">
      <c r="A63" s="111" t="s">
        <v>92</v>
      </c>
      <c r="B63" s="125">
        <f t="shared" si="10"/>
        <v>0</v>
      </c>
      <c r="C63" s="125">
        <f t="shared" ref="C63:V63" si="19">IF(C12=0,0,C12/C$8)</f>
        <v>0</v>
      </c>
      <c r="D63" s="125">
        <f t="shared" si="19"/>
        <v>0</v>
      </c>
      <c r="E63" s="125">
        <f t="shared" si="19"/>
        <v>0</v>
      </c>
      <c r="F63" s="125">
        <f t="shared" si="19"/>
        <v>0</v>
      </c>
      <c r="G63" s="125">
        <f t="shared" si="19"/>
        <v>0</v>
      </c>
      <c r="H63" s="125">
        <f t="shared" si="19"/>
        <v>0</v>
      </c>
      <c r="I63" s="125">
        <f t="shared" si="19"/>
        <v>0</v>
      </c>
      <c r="J63" s="125">
        <f t="shared" si="19"/>
        <v>0</v>
      </c>
      <c r="K63" s="125">
        <f t="shared" si="19"/>
        <v>0</v>
      </c>
      <c r="L63" s="125">
        <f t="shared" si="19"/>
        <v>0</v>
      </c>
      <c r="M63" s="125">
        <f t="shared" si="19"/>
        <v>0</v>
      </c>
      <c r="N63" s="125">
        <f t="shared" si="19"/>
        <v>0</v>
      </c>
      <c r="O63" s="125">
        <f t="shared" si="19"/>
        <v>0</v>
      </c>
      <c r="P63" s="125">
        <f t="shared" si="19"/>
        <v>0</v>
      </c>
      <c r="Q63" s="125">
        <f t="shared" si="19"/>
        <v>0</v>
      </c>
      <c r="R63" s="125">
        <f t="shared" si="19"/>
        <v>0</v>
      </c>
      <c r="S63" s="125">
        <f t="shared" si="19"/>
        <v>0</v>
      </c>
      <c r="T63" s="125">
        <f t="shared" si="19"/>
        <v>0</v>
      </c>
      <c r="U63" s="125">
        <f t="shared" si="19"/>
        <v>0</v>
      </c>
      <c r="V63" s="125">
        <f t="shared" si="19"/>
        <v>0</v>
      </c>
      <c r="W63" s="125">
        <f t="shared" ref="W63:Y63" si="20">IF(W12=0,0,W12/W$8)</f>
        <v>0</v>
      </c>
      <c r="X63" s="125">
        <f t="shared" si="20"/>
        <v>0</v>
      </c>
      <c r="Y63" s="125">
        <f t="shared" si="20"/>
        <v>0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</v>
      </c>
      <c r="C66" s="31">
        <f t="shared" ref="C66:V66" si="25">IF(C15=0,0,C15/C$8)</f>
        <v>0</v>
      </c>
      <c r="D66" s="31">
        <f t="shared" si="25"/>
        <v>0</v>
      </c>
      <c r="E66" s="31">
        <f t="shared" si="25"/>
        <v>0</v>
      </c>
      <c r="F66" s="31">
        <f t="shared" si="25"/>
        <v>0</v>
      </c>
      <c r="G66" s="31">
        <f t="shared" si="25"/>
        <v>0</v>
      </c>
      <c r="H66" s="31">
        <f t="shared" si="25"/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1">
        <f t="shared" si="25"/>
        <v>0</v>
      </c>
      <c r="S66" s="31">
        <f t="shared" si="25"/>
        <v>0</v>
      </c>
      <c r="T66" s="31">
        <f t="shared" si="25"/>
        <v>0</v>
      </c>
      <c r="U66" s="31">
        <f t="shared" si="25"/>
        <v>0</v>
      </c>
      <c r="V66" s="31">
        <f t="shared" si="25"/>
        <v>0</v>
      </c>
      <c r="W66" s="31">
        <f t="shared" ref="W66:Y66" si="26">IF(W15=0,0,W15/W$8)</f>
        <v>0</v>
      </c>
      <c r="X66" s="31">
        <f t="shared" si="26"/>
        <v>0</v>
      </c>
      <c r="Y66" s="31">
        <f t="shared" si="26"/>
        <v>0</v>
      </c>
      <c r="DA66" s="173"/>
    </row>
    <row r="67" spans="1:105" ht="11.45" customHeight="1" x14ac:dyDescent="0.25">
      <c r="A67" s="83" t="s">
        <v>92</v>
      </c>
      <c r="B67" s="125">
        <f t="shared" si="10"/>
        <v>0</v>
      </c>
      <c r="C67" s="125">
        <f t="shared" ref="C67:V67" si="27">IF(C16=0,0,C16/C$8)</f>
        <v>0</v>
      </c>
      <c r="D67" s="125">
        <f t="shared" si="27"/>
        <v>0</v>
      </c>
      <c r="E67" s="125">
        <f t="shared" si="27"/>
        <v>0</v>
      </c>
      <c r="F67" s="125">
        <f t="shared" si="27"/>
        <v>0</v>
      </c>
      <c r="G67" s="125">
        <f t="shared" si="27"/>
        <v>0</v>
      </c>
      <c r="H67" s="125">
        <f t="shared" si="27"/>
        <v>0</v>
      </c>
      <c r="I67" s="125">
        <f t="shared" si="27"/>
        <v>0</v>
      </c>
      <c r="J67" s="125">
        <f t="shared" si="27"/>
        <v>0</v>
      </c>
      <c r="K67" s="125">
        <f t="shared" si="27"/>
        <v>0</v>
      </c>
      <c r="L67" s="125">
        <f t="shared" si="27"/>
        <v>0</v>
      </c>
      <c r="M67" s="125">
        <f t="shared" si="27"/>
        <v>0</v>
      </c>
      <c r="N67" s="125">
        <f t="shared" si="27"/>
        <v>0</v>
      </c>
      <c r="O67" s="125">
        <f t="shared" si="27"/>
        <v>0</v>
      </c>
      <c r="P67" s="125">
        <f t="shared" si="27"/>
        <v>0</v>
      </c>
      <c r="Q67" s="125">
        <f t="shared" si="27"/>
        <v>0</v>
      </c>
      <c r="R67" s="125">
        <f t="shared" si="27"/>
        <v>0</v>
      </c>
      <c r="S67" s="125">
        <f t="shared" si="27"/>
        <v>0</v>
      </c>
      <c r="T67" s="125">
        <f t="shared" si="27"/>
        <v>0</v>
      </c>
      <c r="U67" s="125">
        <f t="shared" si="27"/>
        <v>0</v>
      </c>
      <c r="V67" s="125">
        <f t="shared" si="27"/>
        <v>0</v>
      </c>
      <c r="W67" s="125">
        <f t="shared" ref="W67:Y67" si="28">IF(W16=0,0,W16/W$8)</f>
        <v>0</v>
      </c>
      <c r="X67" s="125">
        <f t="shared" si="28"/>
        <v>0</v>
      </c>
      <c r="Y67" s="125">
        <f t="shared" si="28"/>
        <v>0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9034.3618001182913</v>
      </c>
      <c r="C4" s="11">
        <f t="shared" si="0"/>
        <v>10413.555994528064</v>
      </c>
      <c r="D4" s="11">
        <f t="shared" ref="D4:V4" si="1">SUM(D5:D7)</f>
        <v>8258.2821402007412</v>
      </c>
      <c r="E4" s="11">
        <f t="shared" si="1"/>
        <v>8660.8680175241097</v>
      </c>
      <c r="F4" s="11">
        <f t="shared" si="1"/>
        <v>8679.8533505006781</v>
      </c>
      <c r="G4" s="11">
        <f t="shared" si="1"/>
        <v>9125.8885539863877</v>
      </c>
      <c r="H4" s="11">
        <f t="shared" si="1"/>
        <v>9130.9699736279963</v>
      </c>
      <c r="I4" s="11">
        <f t="shared" si="1"/>
        <v>9097.4113520480678</v>
      </c>
      <c r="J4" s="11">
        <f t="shared" si="1"/>
        <v>9436.5340404405506</v>
      </c>
      <c r="K4" s="11">
        <f t="shared" si="1"/>
        <v>8755.1354360837249</v>
      </c>
      <c r="L4" s="11">
        <f t="shared" si="1"/>
        <v>8985.6199634164586</v>
      </c>
      <c r="M4" s="11">
        <f t="shared" si="1"/>
        <v>9310.0182269515171</v>
      </c>
      <c r="N4" s="11">
        <f t="shared" si="1"/>
        <v>9330.8134826765327</v>
      </c>
      <c r="O4" s="11">
        <f t="shared" si="1"/>
        <v>9298.4528322970491</v>
      </c>
      <c r="P4" s="11">
        <f t="shared" si="1"/>
        <v>9437.5708417472088</v>
      </c>
      <c r="Q4" s="11">
        <f t="shared" si="1"/>
        <v>9403.7740166092226</v>
      </c>
      <c r="R4" s="11">
        <f t="shared" si="1"/>
        <v>11278.01540638903</v>
      </c>
      <c r="S4" s="11">
        <f t="shared" si="1"/>
        <v>12562.309066005284</v>
      </c>
      <c r="T4" s="11">
        <f t="shared" si="1"/>
        <v>13410.638942035604</v>
      </c>
      <c r="U4" s="11">
        <f t="shared" si="1"/>
        <v>13756.549496628002</v>
      </c>
      <c r="V4" s="11">
        <f t="shared" si="1"/>
        <v>2665.9790993357969</v>
      </c>
      <c r="W4" s="11">
        <f t="shared" ref="W4:Y4" si="2">SUM(W5:W7)</f>
        <v>5808.0898950634837</v>
      </c>
      <c r="X4" s="11">
        <f t="shared" si="2"/>
        <v>10544.770536263137</v>
      </c>
      <c r="Y4" s="11">
        <f t="shared" si="2"/>
        <v>13257.280159981667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8460.1104428330636</v>
      </c>
      <c r="C6" s="84">
        <v>9725.4523987182038</v>
      </c>
      <c r="D6" s="84">
        <v>7470.2587995972108</v>
      </c>
      <c r="E6" s="84">
        <v>7792.6785657935479</v>
      </c>
      <c r="F6" s="84">
        <v>7917.8820910960685</v>
      </c>
      <c r="G6" s="84">
        <v>8402.4372964201648</v>
      </c>
      <c r="H6" s="84">
        <v>8285.1607647210858</v>
      </c>
      <c r="I6" s="84">
        <v>8173.7635297230563</v>
      </c>
      <c r="J6" s="84">
        <v>8387.1407772064595</v>
      </c>
      <c r="K6" s="84">
        <v>7805.1915526466873</v>
      </c>
      <c r="L6" s="84">
        <v>7816.3287042524416</v>
      </c>
      <c r="M6" s="84">
        <v>7893.1168216743381</v>
      </c>
      <c r="N6" s="84">
        <v>7421.2945742348084</v>
      </c>
      <c r="O6" s="84">
        <v>6693.5082307556495</v>
      </c>
      <c r="P6" s="84">
        <v>6666.8000431961827</v>
      </c>
      <c r="Q6" s="84">
        <v>6792.6101201248521</v>
      </c>
      <c r="R6" s="84">
        <v>7720.8945249554599</v>
      </c>
      <c r="S6" s="84">
        <v>8850.5279881719762</v>
      </c>
      <c r="T6" s="84">
        <v>9567.6194204803396</v>
      </c>
      <c r="U6" s="84">
        <v>9870.0060149104156</v>
      </c>
      <c r="V6" s="84">
        <v>2303.873193594769</v>
      </c>
      <c r="W6" s="84">
        <v>3654.6700312209523</v>
      </c>
      <c r="X6" s="84">
        <v>9625.5118211649005</v>
      </c>
      <c r="Y6" s="84">
        <v>11699.818845728585</v>
      </c>
      <c r="DA6" s="171" t="s">
        <v>192</v>
      </c>
    </row>
    <row r="7" spans="1:105" ht="11.45" customHeight="1" x14ac:dyDescent="0.25">
      <c r="A7" s="83" t="s">
        <v>182</v>
      </c>
      <c r="B7" s="84">
        <v>574.25135728522855</v>
      </c>
      <c r="C7" s="84">
        <v>688.10359580985937</v>
      </c>
      <c r="D7" s="84">
        <v>788.02334060352996</v>
      </c>
      <c r="E7" s="84">
        <v>868.18945173056227</v>
      </c>
      <c r="F7" s="84">
        <v>761.97125940461046</v>
      </c>
      <c r="G7" s="84">
        <v>723.45125756622213</v>
      </c>
      <c r="H7" s="84">
        <v>845.80920890691061</v>
      </c>
      <c r="I7" s="84">
        <v>923.64782232501227</v>
      </c>
      <c r="J7" s="84">
        <v>1049.3932632340907</v>
      </c>
      <c r="K7" s="84">
        <v>949.9438834370369</v>
      </c>
      <c r="L7" s="84">
        <v>1169.2912591640168</v>
      </c>
      <c r="M7" s="84">
        <v>1416.9014052771786</v>
      </c>
      <c r="N7" s="84">
        <v>1909.5189084417243</v>
      </c>
      <c r="O7" s="84">
        <v>2604.9446015414001</v>
      </c>
      <c r="P7" s="84">
        <v>2770.7707985510251</v>
      </c>
      <c r="Q7" s="84">
        <v>2611.1638964843714</v>
      </c>
      <c r="R7" s="84">
        <v>3557.1208814335705</v>
      </c>
      <c r="S7" s="84">
        <v>3711.7810778333087</v>
      </c>
      <c r="T7" s="84">
        <v>3843.0195215552644</v>
      </c>
      <c r="U7" s="84">
        <v>3886.543481717586</v>
      </c>
      <c r="V7" s="84">
        <v>362.10590574102793</v>
      </c>
      <c r="W7" s="84">
        <v>2153.419863842531</v>
      </c>
      <c r="X7" s="84">
        <v>919.25871509823594</v>
      </c>
      <c r="Y7" s="84">
        <v>1557.4613142530811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42.006924409449034</v>
      </c>
      <c r="C8" s="13">
        <f t="shared" si="3"/>
        <v>40.806801102219467</v>
      </c>
      <c r="D8" s="13">
        <f t="shared" ref="D8:V8" si="4">SUM(D9:D11)</f>
        <v>37.379878960388666</v>
      </c>
      <c r="E8" s="13">
        <f t="shared" si="4"/>
        <v>35.130671781011529</v>
      </c>
      <c r="F8" s="13">
        <f t="shared" si="4"/>
        <v>39.713934240498645</v>
      </c>
      <c r="G8" s="13">
        <f t="shared" si="4"/>
        <v>45.286723755256361</v>
      </c>
      <c r="H8" s="13">
        <f t="shared" si="4"/>
        <v>49.657950533360975</v>
      </c>
      <c r="I8" s="13">
        <f t="shared" si="4"/>
        <v>46.918032729261441</v>
      </c>
      <c r="J8" s="13">
        <f t="shared" si="4"/>
        <v>48.54746623346503</v>
      </c>
      <c r="K8" s="13">
        <f t="shared" si="4"/>
        <v>46.089283941118509</v>
      </c>
      <c r="L8" s="13">
        <f t="shared" si="4"/>
        <v>46.443956486739879</v>
      </c>
      <c r="M8" s="13">
        <f t="shared" si="4"/>
        <v>32.400505634735154</v>
      </c>
      <c r="N8" s="13">
        <f t="shared" si="4"/>
        <v>24.497946279150966</v>
      </c>
      <c r="O8" s="13">
        <f t="shared" si="4"/>
        <v>24.562647037241423</v>
      </c>
      <c r="P8" s="13">
        <f t="shared" si="4"/>
        <v>23.864074346834823</v>
      </c>
      <c r="Q8" s="13">
        <f t="shared" si="4"/>
        <v>21.876769311865431</v>
      </c>
      <c r="R8" s="13">
        <f t="shared" si="4"/>
        <v>20.153622210076474</v>
      </c>
      <c r="S8" s="13">
        <f t="shared" si="4"/>
        <v>18.35699095990762</v>
      </c>
      <c r="T8" s="13">
        <f t="shared" si="4"/>
        <v>18.137027701217121</v>
      </c>
      <c r="U8" s="13">
        <f t="shared" si="4"/>
        <v>22.356534780725536</v>
      </c>
      <c r="V8" s="13">
        <f t="shared" si="4"/>
        <v>13.809508796502023</v>
      </c>
      <c r="W8" s="13">
        <f t="shared" ref="W8:Y8" si="5">SUM(W9:W11)</f>
        <v>12.003366312484285</v>
      </c>
      <c r="X8" s="13">
        <f t="shared" si="5"/>
        <v>13.27928380153385</v>
      </c>
      <c r="Y8" s="13">
        <f t="shared" si="5"/>
        <v>15.803500619688601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33.221897336838161</v>
      </c>
      <c r="C10" s="102">
        <v>31.984374277252879</v>
      </c>
      <c r="D10" s="102">
        <v>29.593188336735928</v>
      </c>
      <c r="E10" s="102">
        <v>28.137743719200088</v>
      </c>
      <c r="F10" s="102">
        <v>31.888715057380615</v>
      </c>
      <c r="G10" s="102">
        <v>38.107018763931194</v>
      </c>
      <c r="H10" s="102">
        <v>40.266871027811561</v>
      </c>
      <c r="I10" s="102">
        <v>37.125926365790939</v>
      </c>
      <c r="J10" s="102">
        <v>36.98636486676898</v>
      </c>
      <c r="K10" s="102">
        <v>34.305895356524694</v>
      </c>
      <c r="L10" s="102">
        <v>33.958390650178863</v>
      </c>
      <c r="M10" s="102">
        <v>24.536666111885978</v>
      </c>
      <c r="N10" s="102">
        <v>20.829235315186008</v>
      </c>
      <c r="O10" s="102">
        <v>19.083539299533154</v>
      </c>
      <c r="P10" s="102">
        <v>18.136497557872776</v>
      </c>
      <c r="Q10" s="102">
        <v>16.278121976091761</v>
      </c>
      <c r="R10" s="102">
        <v>15.133646565342966</v>
      </c>
      <c r="S10" s="102">
        <v>14.676721303191917</v>
      </c>
      <c r="T10" s="102">
        <v>13.494088605376504</v>
      </c>
      <c r="U10" s="102">
        <v>11.785034078957649</v>
      </c>
      <c r="V10" s="102">
        <v>9.3604702961211981</v>
      </c>
      <c r="W10" s="102">
        <v>8.8588273491444358</v>
      </c>
      <c r="X10" s="102">
        <v>10.450885783901082</v>
      </c>
      <c r="Y10" s="102">
        <v>11.881732101898754</v>
      </c>
      <c r="DA10" s="175" t="s">
        <v>196</v>
      </c>
    </row>
    <row r="11" spans="1:105" ht="11.45" customHeight="1" x14ac:dyDescent="0.25">
      <c r="A11" s="85" t="s">
        <v>182</v>
      </c>
      <c r="B11" s="86">
        <v>8.7850270726108715</v>
      </c>
      <c r="C11" s="86">
        <v>8.8224268249665858</v>
      </c>
      <c r="D11" s="86">
        <v>7.7866906236527402</v>
      </c>
      <c r="E11" s="86">
        <v>6.9929280618114387</v>
      </c>
      <c r="F11" s="86">
        <v>7.8252191831180271</v>
      </c>
      <c r="G11" s="86">
        <v>7.1797049913251652</v>
      </c>
      <c r="H11" s="86">
        <v>9.3910795055494134</v>
      </c>
      <c r="I11" s="86">
        <v>9.7921063634705003</v>
      </c>
      <c r="J11" s="86">
        <v>11.561101366696048</v>
      </c>
      <c r="K11" s="86">
        <v>11.783388584593812</v>
      </c>
      <c r="L11" s="86">
        <v>12.485565836561015</v>
      </c>
      <c r="M11" s="86">
        <v>7.8638395228491724</v>
      </c>
      <c r="N11" s="86">
        <v>3.6687109639649584</v>
      </c>
      <c r="O11" s="86">
        <v>5.4791077377082686</v>
      </c>
      <c r="P11" s="86">
        <v>5.7275767889620459</v>
      </c>
      <c r="Q11" s="86">
        <v>5.5986473357736681</v>
      </c>
      <c r="R11" s="86">
        <v>5.019975644733508</v>
      </c>
      <c r="S11" s="86">
        <v>3.6802696567157036</v>
      </c>
      <c r="T11" s="86">
        <v>4.6429390958406191</v>
      </c>
      <c r="U11" s="86">
        <v>10.571500701767887</v>
      </c>
      <c r="V11" s="86">
        <v>4.4490385003808237</v>
      </c>
      <c r="W11" s="86">
        <v>3.1445389633398491</v>
      </c>
      <c r="X11" s="86">
        <v>2.8283980176327672</v>
      </c>
      <c r="Y11" s="86">
        <v>3.9217685177898467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63.972154716292579</v>
      </c>
      <c r="C13" s="54">
        <f t="shared" si="6"/>
        <v>74.387504781730016</v>
      </c>
      <c r="D13" s="54">
        <f t="shared" ref="D13:V13" si="7">SUM(D14,D18)</f>
        <v>62.920061645932044</v>
      </c>
      <c r="E13" s="54">
        <f t="shared" si="7"/>
        <v>67.173715679190593</v>
      </c>
      <c r="F13" s="54">
        <f t="shared" si="7"/>
        <v>62.686300883737047</v>
      </c>
      <c r="G13" s="54">
        <f t="shared" si="7"/>
        <v>66.853211563732216</v>
      </c>
      <c r="H13" s="54">
        <f t="shared" si="7"/>
        <v>71.43083201226473</v>
      </c>
      <c r="I13" s="54">
        <f t="shared" si="7"/>
        <v>72.954464480788317</v>
      </c>
      <c r="J13" s="54">
        <f t="shared" si="7"/>
        <v>75.099524761435731</v>
      </c>
      <c r="K13" s="54">
        <f t="shared" si="7"/>
        <v>69.717761597823682</v>
      </c>
      <c r="L13" s="54">
        <f t="shared" si="7"/>
        <v>68.951022560881228</v>
      </c>
      <c r="M13" s="54">
        <f t="shared" si="7"/>
        <v>69.16245185132918</v>
      </c>
      <c r="N13" s="54">
        <f t="shared" si="7"/>
        <v>65.680950530314661</v>
      </c>
      <c r="O13" s="54">
        <f t="shared" si="7"/>
        <v>60.155043697480856</v>
      </c>
      <c r="P13" s="54">
        <f t="shared" si="7"/>
        <v>62.089425260060224</v>
      </c>
      <c r="Q13" s="54">
        <f t="shared" si="7"/>
        <v>61.663247358392894</v>
      </c>
      <c r="R13" s="54">
        <f t="shared" si="7"/>
        <v>72.491292097820789</v>
      </c>
      <c r="S13" s="54">
        <f t="shared" si="7"/>
        <v>79.966905236075959</v>
      </c>
      <c r="T13" s="54">
        <f t="shared" si="7"/>
        <v>84.970177974185077</v>
      </c>
      <c r="U13" s="54">
        <f t="shared" si="7"/>
        <v>82.138780301051227</v>
      </c>
      <c r="V13" s="54">
        <f t="shared" si="7"/>
        <v>26.192199937412177</v>
      </c>
      <c r="W13" s="54">
        <f t="shared" ref="W13:Y13" si="8">SUM(W14,W18)</f>
        <v>45.041260031983896</v>
      </c>
      <c r="X13" s="54">
        <f t="shared" si="8"/>
        <v>68.823522750880471</v>
      </c>
      <c r="Y13" s="54">
        <f t="shared" si="8"/>
        <v>81.816037609946875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61.929040666922695</v>
      </c>
      <c r="C14" s="11">
        <f t="shared" si="9"/>
        <v>72.632852254318124</v>
      </c>
      <c r="D14" s="11">
        <f t="shared" ref="D14:V14" si="10">SUM(D15:D17)</f>
        <v>61.209998634868754</v>
      </c>
      <c r="E14" s="11">
        <f t="shared" si="10"/>
        <v>65.529230169162503</v>
      </c>
      <c r="F14" s="11">
        <f t="shared" si="10"/>
        <v>60.608139531110055</v>
      </c>
      <c r="G14" s="11">
        <f t="shared" si="10"/>
        <v>64.313827505754915</v>
      </c>
      <c r="H14" s="11">
        <f t="shared" si="10"/>
        <v>68.520953891952658</v>
      </c>
      <c r="I14" s="11">
        <f t="shared" si="10"/>
        <v>70.318666922428946</v>
      </c>
      <c r="J14" s="11">
        <f t="shared" si="10"/>
        <v>72.421927946745285</v>
      </c>
      <c r="K14" s="11">
        <f t="shared" si="10"/>
        <v>67.259805649403262</v>
      </c>
      <c r="L14" s="11">
        <f t="shared" si="10"/>
        <v>66.723031104007916</v>
      </c>
      <c r="M14" s="11">
        <f t="shared" si="10"/>
        <v>67.617074782001708</v>
      </c>
      <c r="N14" s="11">
        <f t="shared" si="10"/>
        <v>64.523016305297574</v>
      </c>
      <c r="O14" s="11">
        <f t="shared" si="10"/>
        <v>59.038820893101416</v>
      </c>
      <c r="P14" s="11">
        <f t="shared" si="10"/>
        <v>61.135771831369119</v>
      </c>
      <c r="Q14" s="11">
        <f t="shared" si="10"/>
        <v>60.762390573505101</v>
      </c>
      <c r="R14" s="11">
        <f t="shared" si="10"/>
        <v>71.762585510469478</v>
      </c>
      <c r="S14" s="11">
        <f t="shared" si="10"/>
        <v>79.210861273085428</v>
      </c>
      <c r="T14" s="11">
        <f t="shared" si="10"/>
        <v>84.281800491651964</v>
      </c>
      <c r="U14" s="11">
        <f t="shared" si="10"/>
        <v>81.554717483994381</v>
      </c>
      <c r="V14" s="11">
        <f t="shared" si="10"/>
        <v>25.663494912405763</v>
      </c>
      <c r="W14" s="11">
        <f t="shared" ref="W14:Y14" si="11">SUM(W15:W17)</f>
        <v>44.540108831531178</v>
      </c>
      <c r="X14" s="11">
        <f t="shared" si="11"/>
        <v>68.274178770349479</v>
      </c>
      <c r="Y14" s="11">
        <f t="shared" si="11"/>
        <v>81.208283550859576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53.298995565675291</v>
      </c>
      <c r="C16" s="84">
        <v>62.510850427319411</v>
      </c>
      <c r="D16" s="84">
        <v>50.201435086286068</v>
      </c>
      <c r="E16" s="84">
        <v>53.743025339076162</v>
      </c>
      <c r="F16" s="84">
        <v>51.482886382520746</v>
      </c>
      <c r="G16" s="84">
        <v>55.327881436350637</v>
      </c>
      <c r="H16" s="84">
        <v>54.822047586865601</v>
      </c>
      <c r="I16" s="84">
        <v>54.626047786693796</v>
      </c>
      <c r="J16" s="84">
        <v>55.821481149208722</v>
      </c>
      <c r="K16" s="84">
        <v>54.768332786985425</v>
      </c>
      <c r="L16" s="84">
        <v>55.480816146845733</v>
      </c>
      <c r="M16" s="84">
        <v>54.434936299649166</v>
      </c>
      <c r="N16" s="84">
        <v>50.974651644575701</v>
      </c>
      <c r="O16" s="84">
        <v>44.471537452038703</v>
      </c>
      <c r="P16" s="84">
        <v>43.536951541755649</v>
      </c>
      <c r="Q16" s="84">
        <v>44.643843858150909</v>
      </c>
      <c r="R16" s="84">
        <v>49.687056798544639</v>
      </c>
      <c r="S16" s="84">
        <v>57.807151855379033</v>
      </c>
      <c r="T16" s="84">
        <v>61.616433589222524</v>
      </c>
      <c r="U16" s="84">
        <v>59.520480504632282</v>
      </c>
      <c r="V16" s="84">
        <v>21.011252909932264</v>
      </c>
      <c r="W16" s="84">
        <v>30.609122057037936</v>
      </c>
      <c r="X16" s="84">
        <v>62.371295334306957</v>
      </c>
      <c r="Y16" s="84">
        <v>71.52958098138707</v>
      </c>
      <c r="DA16" s="171" t="s">
        <v>201</v>
      </c>
    </row>
    <row r="17" spans="1:105" ht="11.45" customHeight="1" x14ac:dyDescent="0.25">
      <c r="A17" s="83" t="s">
        <v>182</v>
      </c>
      <c r="B17" s="84">
        <v>8.630045101247406</v>
      </c>
      <c r="C17" s="84">
        <v>10.122001826998718</v>
      </c>
      <c r="D17" s="84">
        <v>11.008563548582689</v>
      </c>
      <c r="E17" s="84">
        <v>11.786204830086344</v>
      </c>
      <c r="F17" s="84">
        <v>9.1252531485893087</v>
      </c>
      <c r="G17" s="84">
        <v>8.9859460694042799</v>
      </c>
      <c r="H17" s="84">
        <v>13.698906305087055</v>
      </c>
      <c r="I17" s="84">
        <v>15.692619135735155</v>
      </c>
      <c r="J17" s="84">
        <v>16.600446797536563</v>
      </c>
      <c r="K17" s="84">
        <v>12.491472862417831</v>
      </c>
      <c r="L17" s="84">
        <v>11.242214957162183</v>
      </c>
      <c r="M17" s="84">
        <v>13.182138482352542</v>
      </c>
      <c r="N17" s="84">
        <v>13.548364660721868</v>
      </c>
      <c r="O17" s="84">
        <v>14.56728344106271</v>
      </c>
      <c r="P17" s="84">
        <v>17.598820289613471</v>
      </c>
      <c r="Q17" s="84">
        <v>16.118546715354196</v>
      </c>
      <c r="R17" s="84">
        <v>22.075528711924846</v>
      </c>
      <c r="S17" s="84">
        <v>21.403709417706398</v>
      </c>
      <c r="T17" s="84">
        <v>22.665366902429437</v>
      </c>
      <c r="U17" s="84">
        <v>22.034236979362099</v>
      </c>
      <c r="V17" s="84">
        <v>4.6522420024734989</v>
      </c>
      <c r="W17" s="84">
        <v>13.930986774493242</v>
      </c>
      <c r="X17" s="84">
        <v>5.902883436042524</v>
      </c>
      <c r="Y17" s="84">
        <v>9.6787025694725006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2.0431140493698825</v>
      </c>
      <c r="C18" s="13">
        <f t="shared" si="12"/>
        <v>1.7546525274118898</v>
      </c>
      <c r="D18" s="13">
        <f t="shared" ref="D18:V18" si="13">SUM(D19:D21)</f>
        <v>1.7100630110632908</v>
      </c>
      <c r="E18" s="13">
        <f t="shared" si="13"/>
        <v>1.6444855100280922</v>
      </c>
      <c r="F18" s="13">
        <f t="shared" si="13"/>
        <v>2.0781613526269891</v>
      </c>
      <c r="G18" s="13">
        <f t="shared" si="13"/>
        <v>2.5393840579773008</v>
      </c>
      <c r="H18" s="13">
        <f t="shared" si="13"/>
        <v>2.9098781203120705</v>
      </c>
      <c r="I18" s="13">
        <f t="shared" si="13"/>
        <v>2.635797558359374</v>
      </c>
      <c r="J18" s="13">
        <f t="shared" si="13"/>
        <v>2.6775968146904496</v>
      </c>
      <c r="K18" s="13">
        <f t="shared" si="13"/>
        <v>2.4579559484204205</v>
      </c>
      <c r="L18" s="13">
        <f t="shared" si="13"/>
        <v>2.227991456873315</v>
      </c>
      <c r="M18" s="13">
        <f t="shared" si="13"/>
        <v>1.545377069327466</v>
      </c>
      <c r="N18" s="13">
        <f t="shared" si="13"/>
        <v>1.1579342250170881</v>
      </c>
      <c r="O18" s="13">
        <f t="shared" si="13"/>
        <v>1.1162228043794404</v>
      </c>
      <c r="P18" s="13">
        <f t="shared" si="13"/>
        <v>0.95365342869110781</v>
      </c>
      <c r="Q18" s="13">
        <f t="shared" si="13"/>
        <v>0.90085678488779175</v>
      </c>
      <c r="R18" s="13">
        <f t="shared" si="13"/>
        <v>0.72870658735130889</v>
      </c>
      <c r="S18" s="13">
        <f t="shared" si="13"/>
        <v>0.75604396299053844</v>
      </c>
      <c r="T18" s="13">
        <f t="shared" si="13"/>
        <v>0.68837748253310793</v>
      </c>
      <c r="U18" s="13">
        <f t="shared" si="13"/>
        <v>0.58406281705684593</v>
      </c>
      <c r="V18" s="13">
        <f t="shared" si="13"/>
        <v>0.52870502500641192</v>
      </c>
      <c r="W18" s="13">
        <f t="shared" ref="W18:Y18" si="14">SUM(W19:W21)</f>
        <v>0.50115120045271633</v>
      </c>
      <c r="X18" s="13">
        <f t="shared" si="14"/>
        <v>0.54934398053099387</v>
      </c>
      <c r="Y18" s="13">
        <f t="shared" si="14"/>
        <v>0.60775405908729863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1.9242301407009073</v>
      </c>
      <c r="C20" s="102">
        <v>1.6407221149374553</v>
      </c>
      <c r="D20" s="102">
        <v>1.6035628428806672</v>
      </c>
      <c r="E20" s="102">
        <v>1.5392237158941038</v>
      </c>
      <c r="F20" s="102">
        <v>1.9568006958607436</v>
      </c>
      <c r="G20" s="102">
        <v>2.4209806135328562</v>
      </c>
      <c r="H20" s="102">
        <v>2.749672541527949</v>
      </c>
      <c r="I20" s="102">
        <v>2.4659167724026196</v>
      </c>
      <c r="J20" s="102">
        <v>2.4729019713115235</v>
      </c>
      <c r="K20" s="102">
        <v>2.2729672201009787</v>
      </c>
      <c r="L20" s="102">
        <v>2.0351771549865227</v>
      </c>
      <c r="M20" s="102">
        <v>1.4299841488642446</v>
      </c>
      <c r="N20" s="102">
        <v>1.1121107834586466</v>
      </c>
      <c r="O20" s="102">
        <v>1.0529569762117816</v>
      </c>
      <c r="P20" s="102">
        <v>0.89218808060037103</v>
      </c>
      <c r="Q20" s="102">
        <v>0.84300339586868911</v>
      </c>
      <c r="R20" s="102">
        <v>0.68241031034946531</v>
      </c>
      <c r="S20" s="102">
        <v>0.72192725502344524</v>
      </c>
      <c r="T20" s="102">
        <v>0.64500672829581984</v>
      </c>
      <c r="U20" s="102">
        <v>0.48638312398753902</v>
      </c>
      <c r="V20" s="102">
        <v>0.45705666786355476</v>
      </c>
      <c r="W20" s="102">
        <v>0.45777702188128777</v>
      </c>
      <c r="X20" s="102">
        <v>0.5146173695887446</v>
      </c>
      <c r="Y20" s="102">
        <v>0.56163942716547455</v>
      </c>
      <c r="DA20" s="175" t="s">
        <v>205</v>
      </c>
    </row>
    <row r="21" spans="1:105" ht="11.45" customHeight="1" x14ac:dyDescent="0.25">
      <c r="A21" s="85" t="s">
        <v>182</v>
      </c>
      <c r="B21" s="86">
        <v>0.11888390866897518</v>
      </c>
      <c r="C21" s="86">
        <v>0.11393041247443453</v>
      </c>
      <c r="D21" s="86">
        <v>0.10650016818262359</v>
      </c>
      <c r="E21" s="86">
        <v>0.10526179413398842</v>
      </c>
      <c r="F21" s="86">
        <v>0.12136065676624549</v>
      </c>
      <c r="G21" s="86">
        <v>0.11840344444444444</v>
      </c>
      <c r="H21" s="86">
        <v>0.16020557878412123</v>
      </c>
      <c r="I21" s="86">
        <v>0.16988078595675432</v>
      </c>
      <c r="J21" s="86">
        <v>0.20469484337892602</v>
      </c>
      <c r="K21" s="86">
        <v>0.18498872831944174</v>
      </c>
      <c r="L21" s="86">
        <v>0.19281430188679247</v>
      </c>
      <c r="M21" s="86">
        <v>0.11539292046322142</v>
      </c>
      <c r="N21" s="86">
        <v>4.5823441558441556E-2</v>
      </c>
      <c r="O21" s="86">
        <v>6.3265828167658814E-2</v>
      </c>
      <c r="P21" s="86">
        <v>6.1465348090736768E-2</v>
      </c>
      <c r="Q21" s="86">
        <v>5.7853389019102607E-2</v>
      </c>
      <c r="R21" s="86">
        <v>4.6296277001843605E-2</v>
      </c>
      <c r="S21" s="86">
        <v>3.4116707967093159E-2</v>
      </c>
      <c r="T21" s="86">
        <v>4.3370754237288131E-2</v>
      </c>
      <c r="U21" s="86">
        <v>9.7679693069306919E-2</v>
      </c>
      <c r="V21" s="86">
        <v>7.1648357142857139E-2</v>
      </c>
      <c r="W21" s="86">
        <v>4.3374178571428577E-2</v>
      </c>
      <c r="X21" s="86">
        <v>3.4726610942249242E-2</v>
      </c>
      <c r="Y21" s="86">
        <v>4.6114631921824106E-2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27263</v>
      </c>
      <c r="C23" s="54">
        <f t="shared" si="15"/>
        <v>31724</v>
      </c>
      <c r="D23" s="54">
        <f t="shared" ref="D23:V23" si="16">SUM(D24,D28)</f>
        <v>28907</v>
      </c>
      <c r="E23" s="54">
        <f t="shared" si="16"/>
        <v>30874</v>
      </c>
      <c r="F23" s="54">
        <f t="shared" si="16"/>
        <v>28444</v>
      </c>
      <c r="G23" s="54">
        <f t="shared" si="16"/>
        <v>29646</v>
      </c>
      <c r="H23" s="54">
        <f t="shared" si="16"/>
        <v>31827</v>
      </c>
      <c r="I23" s="54">
        <f t="shared" si="16"/>
        <v>33593</v>
      </c>
      <c r="J23" s="54">
        <f t="shared" si="16"/>
        <v>34251</v>
      </c>
      <c r="K23" s="54">
        <f t="shared" si="16"/>
        <v>31032</v>
      </c>
      <c r="L23" s="54">
        <f t="shared" si="16"/>
        <v>30245</v>
      </c>
      <c r="M23" s="54">
        <f t="shared" si="16"/>
        <v>29475</v>
      </c>
      <c r="N23" s="54">
        <f t="shared" si="16"/>
        <v>28458</v>
      </c>
      <c r="O23" s="54">
        <f t="shared" si="16"/>
        <v>25490</v>
      </c>
      <c r="P23" s="54">
        <f t="shared" si="16"/>
        <v>26676</v>
      </c>
      <c r="Q23" s="54">
        <f t="shared" si="16"/>
        <v>27223</v>
      </c>
      <c r="R23" s="54">
        <f t="shared" si="16"/>
        <v>32457</v>
      </c>
      <c r="S23" s="54">
        <f t="shared" si="16"/>
        <v>36393</v>
      </c>
      <c r="T23" s="54">
        <f t="shared" si="16"/>
        <v>38246</v>
      </c>
      <c r="U23" s="54">
        <f t="shared" si="16"/>
        <v>37165</v>
      </c>
      <c r="V23" s="54">
        <f t="shared" si="16"/>
        <v>12417</v>
      </c>
      <c r="W23" s="54">
        <f t="shared" ref="W23:Y23" si="17">SUM(W24,W28)</f>
        <v>21303</v>
      </c>
      <c r="X23" s="54">
        <f t="shared" si="17"/>
        <v>31426</v>
      </c>
      <c r="Y23" s="54">
        <f t="shared" si="17"/>
        <v>38723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26447</v>
      </c>
      <c r="C24" s="11">
        <f t="shared" si="18"/>
        <v>31018</v>
      </c>
      <c r="D24" s="11">
        <f t="shared" ref="D24:V24" si="19">SUM(D25:D27)</f>
        <v>28221</v>
      </c>
      <c r="E24" s="11">
        <f t="shared" si="19"/>
        <v>30213</v>
      </c>
      <c r="F24" s="11">
        <f t="shared" si="19"/>
        <v>27614</v>
      </c>
      <c r="G24" s="11">
        <f t="shared" si="19"/>
        <v>28633</v>
      </c>
      <c r="H24" s="11">
        <f t="shared" si="19"/>
        <v>30699</v>
      </c>
      <c r="I24" s="11">
        <f t="shared" si="19"/>
        <v>32548</v>
      </c>
      <c r="J24" s="11">
        <f t="shared" si="19"/>
        <v>33174</v>
      </c>
      <c r="K24" s="11">
        <f t="shared" si="19"/>
        <v>30042</v>
      </c>
      <c r="L24" s="11">
        <f t="shared" si="19"/>
        <v>29387</v>
      </c>
      <c r="M24" s="11">
        <f t="shared" si="19"/>
        <v>28840</v>
      </c>
      <c r="N24" s="11">
        <f t="shared" si="19"/>
        <v>27913</v>
      </c>
      <c r="O24" s="11">
        <f t="shared" si="19"/>
        <v>24935</v>
      </c>
      <c r="P24" s="11">
        <f t="shared" si="19"/>
        <v>26208</v>
      </c>
      <c r="Q24" s="11">
        <f t="shared" si="19"/>
        <v>26761</v>
      </c>
      <c r="R24" s="11">
        <f t="shared" si="19"/>
        <v>32064</v>
      </c>
      <c r="S24" s="11">
        <f t="shared" si="19"/>
        <v>35968</v>
      </c>
      <c r="T24" s="11">
        <f t="shared" si="19"/>
        <v>37829</v>
      </c>
      <c r="U24" s="11">
        <f t="shared" si="19"/>
        <v>36744</v>
      </c>
      <c r="V24" s="11">
        <f t="shared" si="19"/>
        <v>12043</v>
      </c>
      <c r="W24" s="11">
        <f t="shared" ref="W24:Y24" si="20">SUM(W25:W27)</f>
        <v>20964</v>
      </c>
      <c r="X24" s="11">
        <f t="shared" si="20"/>
        <v>31111</v>
      </c>
      <c r="Y24" s="11">
        <f t="shared" si="20"/>
        <v>38419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19633</v>
      </c>
      <c r="C26" s="84">
        <v>23026</v>
      </c>
      <c r="D26" s="84">
        <v>19529</v>
      </c>
      <c r="E26" s="84">
        <v>20907</v>
      </c>
      <c r="F26" s="84">
        <v>20409</v>
      </c>
      <c r="G26" s="84">
        <v>21655</v>
      </c>
      <c r="H26" s="84">
        <v>21203</v>
      </c>
      <c r="I26" s="84">
        <v>21663</v>
      </c>
      <c r="J26" s="84">
        <v>22188</v>
      </c>
      <c r="K26" s="84">
        <v>21904</v>
      </c>
      <c r="L26" s="84">
        <v>22202</v>
      </c>
      <c r="M26" s="84">
        <v>21547</v>
      </c>
      <c r="N26" s="84">
        <v>20577</v>
      </c>
      <c r="O26" s="84">
        <v>17388</v>
      </c>
      <c r="P26" s="84">
        <v>17371</v>
      </c>
      <c r="Q26" s="84">
        <v>18267</v>
      </c>
      <c r="R26" s="84">
        <v>20318</v>
      </c>
      <c r="S26" s="84">
        <v>23332</v>
      </c>
      <c r="T26" s="84">
        <v>25116</v>
      </c>
      <c r="U26" s="84">
        <v>23904</v>
      </c>
      <c r="V26" s="84">
        <v>9200</v>
      </c>
      <c r="W26" s="84">
        <v>13687</v>
      </c>
      <c r="X26" s="84">
        <v>25274</v>
      </c>
      <c r="Y26" s="84">
        <v>29321</v>
      </c>
      <c r="DA26" s="171" t="s">
        <v>210</v>
      </c>
    </row>
    <row r="27" spans="1:105" ht="11.45" customHeight="1" x14ac:dyDescent="0.25">
      <c r="A27" s="83" t="s">
        <v>182</v>
      </c>
      <c r="B27" s="84">
        <v>6814</v>
      </c>
      <c r="C27" s="84">
        <v>7992</v>
      </c>
      <c r="D27" s="84">
        <v>8692</v>
      </c>
      <c r="E27" s="84">
        <v>9306</v>
      </c>
      <c r="F27" s="84">
        <v>7205</v>
      </c>
      <c r="G27" s="84">
        <v>6978</v>
      </c>
      <c r="H27" s="84">
        <v>9496</v>
      </c>
      <c r="I27" s="84">
        <v>10885</v>
      </c>
      <c r="J27" s="84">
        <v>10986</v>
      </c>
      <c r="K27" s="84">
        <v>8138</v>
      </c>
      <c r="L27" s="84">
        <v>7185</v>
      </c>
      <c r="M27" s="84">
        <v>7293</v>
      </c>
      <c r="N27" s="84">
        <v>7336</v>
      </c>
      <c r="O27" s="84">
        <v>7547</v>
      </c>
      <c r="P27" s="84">
        <v>8837</v>
      </c>
      <c r="Q27" s="84">
        <v>8494</v>
      </c>
      <c r="R27" s="84">
        <v>11746</v>
      </c>
      <c r="S27" s="84">
        <v>12636</v>
      </c>
      <c r="T27" s="84">
        <v>12713</v>
      </c>
      <c r="U27" s="84">
        <v>12840</v>
      </c>
      <c r="V27" s="84">
        <v>2843</v>
      </c>
      <c r="W27" s="84">
        <v>7277</v>
      </c>
      <c r="X27" s="84">
        <v>5837</v>
      </c>
      <c r="Y27" s="84">
        <v>9098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816</v>
      </c>
      <c r="C28" s="13">
        <f t="shared" si="21"/>
        <v>706</v>
      </c>
      <c r="D28" s="13">
        <f t="shared" ref="D28:V28" si="22">SUM(D29:D31)</f>
        <v>686</v>
      </c>
      <c r="E28" s="13">
        <f t="shared" si="22"/>
        <v>661</v>
      </c>
      <c r="F28" s="13">
        <f t="shared" si="22"/>
        <v>830</v>
      </c>
      <c r="G28" s="13">
        <f t="shared" si="22"/>
        <v>1013</v>
      </c>
      <c r="H28" s="13">
        <f t="shared" si="22"/>
        <v>1128</v>
      </c>
      <c r="I28" s="13">
        <f t="shared" si="22"/>
        <v>1045</v>
      </c>
      <c r="J28" s="13">
        <f t="shared" si="22"/>
        <v>1077</v>
      </c>
      <c r="K28" s="13">
        <f t="shared" si="22"/>
        <v>990</v>
      </c>
      <c r="L28" s="13">
        <f t="shared" si="22"/>
        <v>858</v>
      </c>
      <c r="M28" s="13">
        <f t="shared" si="22"/>
        <v>635</v>
      </c>
      <c r="N28" s="13">
        <f t="shared" si="22"/>
        <v>545</v>
      </c>
      <c r="O28" s="13">
        <f t="shared" si="22"/>
        <v>555</v>
      </c>
      <c r="P28" s="13">
        <f t="shared" si="22"/>
        <v>468</v>
      </c>
      <c r="Q28" s="13">
        <f t="shared" si="22"/>
        <v>462</v>
      </c>
      <c r="R28" s="13">
        <f t="shared" si="22"/>
        <v>393</v>
      </c>
      <c r="S28" s="13">
        <f t="shared" si="22"/>
        <v>425</v>
      </c>
      <c r="T28" s="13">
        <f t="shared" si="22"/>
        <v>417</v>
      </c>
      <c r="U28" s="13">
        <f t="shared" si="22"/>
        <v>421</v>
      </c>
      <c r="V28" s="13">
        <f t="shared" si="22"/>
        <v>374</v>
      </c>
      <c r="W28" s="13">
        <f t="shared" ref="W28:Y28" si="23">SUM(W29:W31)</f>
        <v>339</v>
      </c>
      <c r="X28" s="13">
        <f t="shared" si="23"/>
        <v>315</v>
      </c>
      <c r="Y28" s="13">
        <f t="shared" si="23"/>
        <v>304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720</v>
      </c>
      <c r="C30" s="102">
        <v>614</v>
      </c>
      <c r="D30" s="102">
        <v>600</v>
      </c>
      <c r="E30" s="102">
        <v>576</v>
      </c>
      <c r="F30" s="102">
        <v>732</v>
      </c>
      <c r="G30" s="102">
        <v>919</v>
      </c>
      <c r="H30" s="102">
        <v>1024</v>
      </c>
      <c r="I30" s="102">
        <v>943</v>
      </c>
      <c r="J30" s="102">
        <v>967</v>
      </c>
      <c r="K30" s="102">
        <v>898</v>
      </c>
      <c r="L30" s="102">
        <v>769</v>
      </c>
      <c r="M30" s="102">
        <v>555</v>
      </c>
      <c r="N30" s="102">
        <v>456</v>
      </c>
      <c r="O30" s="102">
        <v>450</v>
      </c>
      <c r="P30" s="102">
        <v>376</v>
      </c>
      <c r="Q30" s="102">
        <v>362</v>
      </c>
      <c r="R30" s="102">
        <v>311</v>
      </c>
      <c r="S30" s="102">
        <v>336</v>
      </c>
      <c r="T30" s="102">
        <v>326</v>
      </c>
      <c r="U30" s="102">
        <v>318</v>
      </c>
      <c r="V30" s="102">
        <v>277</v>
      </c>
      <c r="W30" s="102">
        <v>262</v>
      </c>
      <c r="X30" s="102">
        <v>256</v>
      </c>
      <c r="Y30" s="102">
        <v>253</v>
      </c>
      <c r="DA30" s="175" t="s">
        <v>214</v>
      </c>
    </row>
    <row r="31" spans="1:105" ht="11.45" customHeight="1" x14ac:dyDescent="0.25">
      <c r="A31" s="85" t="s">
        <v>182</v>
      </c>
      <c r="B31" s="86">
        <v>96</v>
      </c>
      <c r="C31" s="86">
        <v>92</v>
      </c>
      <c r="D31" s="86">
        <v>86</v>
      </c>
      <c r="E31" s="86">
        <v>85</v>
      </c>
      <c r="F31" s="86">
        <v>98</v>
      </c>
      <c r="G31" s="86">
        <v>94</v>
      </c>
      <c r="H31" s="86">
        <v>104</v>
      </c>
      <c r="I31" s="86">
        <v>102</v>
      </c>
      <c r="J31" s="86">
        <v>110</v>
      </c>
      <c r="K31" s="86">
        <v>92</v>
      </c>
      <c r="L31" s="86">
        <v>89</v>
      </c>
      <c r="M31" s="86">
        <v>80</v>
      </c>
      <c r="N31" s="86">
        <v>89</v>
      </c>
      <c r="O31" s="86">
        <v>105</v>
      </c>
      <c r="P31" s="86">
        <v>92</v>
      </c>
      <c r="Q31" s="86">
        <v>100</v>
      </c>
      <c r="R31" s="86">
        <v>82</v>
      </c>
      <c r="S31" s="86">
        <v>89</v>
      </c>
      <c r="T31" s="86">
        <v>91</v>
      </c>
      <c r="U31" s="86">
        <v>103</v>
      </c>
      <c r="V31" s="86">
        <v>97</v>
      </c>
      <c r="W31" s="86">
        <v>77</v>
      </c>
      <c r="X31" s="86">
        <v>59</v>
      </c>
      <c r="Y31" s="86">
        <v>51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3077435</v>
      </c>
      <c r="C34" s="11">
        <f t="shared" si="24"/>
        <v>3623418</v>
      </c>
      <c r="D34" s="11">
        <f t="shared" ref="D34:V34" si="25">SUM(D35:D37)</f>
        <v>3092240</v>
      </c>
      <c r="E34" s="11">
        <f t="shared" si="25"/>
        <v>3336219</v>
      </c>
      <c r="F34" s="11">
        <f t="shared" si="25"/>
        <v>3357883</v>
      </c>
      <c r="G34" s="11">
        <f t="shared" si="25"/>
        <v>3498802</v>
      </c>
      <c r="H34" s="11">
        <f t="shared" si="25"/>
        <v>3497973</v>
      </c>
      <c r="I34" s="11">
        <f t="shared" si="25"/>
        <v>3610751</v>
      </c>
      <c r="J34" s="11">
        <f t="shared" si="25"/>
        <v>3742964</v>
      </c>
      <c r="K34" s="11">
        <f t="shared" si="25"/>
        <v>3471262</v>
      </c>
      <c r="L34" s="11">
        <f t="shared" si="25"/>
        <v>3594185</v>
      </c>
      <c r="M34" s="11">
        <f t="shared" si="25"/>
        <v>3606600</v>
      </c>
      <c r="N34" s="11">
        <f t="shared" si="25"/>
        <v>3667685</v>
      </c>
      <c r="O34" s="11">
        <f t="shared" si="25"/>
        <v>3582629</v>
      </c>
      <c r="P34" s="11">
        <f t="shared" si="25"/>
        <v>3715821</v>
      </c>
      <c r="Q34" s="11">
        <f t="shared" si="25"/>
        <v>3872583</v>
      </c>
      <c r="R34" s="11">
        <f t="shared" si="25"/>
        <v>4538471</v>
      </c>
      <c r="S34" s="11">
        <f t="shared" si="25"/>
        <v>5209276</v>
      </c>
      <c r="T34" s="11">
        <f t="shared" si="25"/>
        <v>5539902</v>
      </c>
      <c r="U34" s="11">
        <f t="shared" si="25"/>
        <v>5699341</v>
      </c>
      <c r="V34" s="11">
        <f t="shared" si="25"/>
        <v>1164052</v>
      </c>
      <c r="W34" s="11">
        <f t="shared" ref="W34:Y34" si="26">SUM(W35:W37)</f>
        <v>2552843</v>
      </c>
      <c r="X34" s="11">
        <f t="shared" si="26"/>
        <v>4652780</v>
      </c>
      <c r="Y34" s="11">
        <f t="shared" si="26"/>
        <v>5915874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2678004</v>
      </c>
      <c r="C36" s="84">
        <v>3144795</v>
      </c>
      <c r="D36" s="84">
        <v>2544116</v>
      </c>
      <c r="E36" s="84">
        <v>2732334</v>
      </c>
      <c r="F36" s="84">
        <v>2827880</v>
      </c>
      <c r="G36" s="84">
        <v>3003891</v>
      </c>
      <c r="H36" s="84">
        <v>2981464</v>
      </c>
      <c r="I36" s="84">
        <v>3046347</v>
      </c>
      <c r="J36" s="84">
        <v>3131165</v>
      </c>
      <c r="K36" s="84">
        <v>2926066</v>
      </c>
      <c r="L36" s="84">
        <v>2935848</v>
      </c>
      <c r="M36" s="84">
        <v>2922315</v>
      </c>
      <c r="N36" s="84">
        <v>2829986</v>
      </c>
      <c r="O36" s="84">
        <v>2562515</v>
      </c>
      <c r="P36" s="84">
        <v>2592995</v>
      </c>
      <c r="Q36" s="84">
        <v>2805579</v>
      </c>
      <c r="R36" s="84">
        <v>3112857</v>
      </c>
      <c r="S36" s="84">
        <v>3558731</v>
      </c>
      <c r="T36" s="84">
        <v>3874225</v>
      </c>
      <c r="U36" s="84">
        <v>3894140</v>
      </c>
      <c r="V36" s="84">
        <v>962715</v>
      </c>
      <c r="W36" s="84">
        <v>1644226</v>
      </c>
      <c r="X36" s="84">
        <v>3923420</v>
      </c>
      <c r="Y36" s="84">
        <v>4748954</v>
      </c>
      <c r="DA36" s="171" t="s">
        <v>218</v>
      </c>
    </row>
    <row r="37" spans="1:105" ht="11.45" customHeight="1" x14ac:dyDescent="0.25">
      <c r="A37" s="83" t="s">
        <v>182</v>
      </c>
      <c r="B37" s="84">
        <v>399431</v>
      </c>
      <c r="C37" s="84">
        <v>478623</v>
      </c>
      <c r="D37" s="84">
        <v>548124</v>
      </c>
      <c r="E37" s="84">
        <v>603885</v>
      </c>
      <c r="F37" s="84">
        <v>530003</v>
      </c>
      <c r="G37" s="84">
        <v>494911</v>
      </c>
      <c r="H37" s="84">
        <v>516509</v>
      </c>
      <c r="I37" s="84">
        <v>564404</v>
      </c>
      <c r="J37" s="84">
        <v>611799</v>
      </c>
      <c r="K37" s="84">
        <v>545196</v>
      </c>
      <c r="L37" s="84">
        <v>658337</v>
      </c>
      <c r="M37" s="84">
        <v>684285</v>
      </c>
      <c r="N37" s="84">
        <v>837699</v>
      </c>
      <c r="O37" s="84">
        <v>1020114</v>
      </c>
      <c r="P37" s="84">
        <v>1122826</v>
      </c>
      <c r="Q37" s="84">
        <v>1067004</v>
      </c>
      <c r="R37" s="84">
        <v>1425614</v>
      </c>
      <c r="S37" s="84">
        <v>1650545</v>
      </c>
      <c r="T37" s="84">
        <v>1665677</v>
      </c>
      <c r="U37" s="84">
        <v>1805201</v>
      </c>
      <c r="V37" s="84">
        <v>201337</v>
      </c>
      <c r="W37" s="84">
        <v>908617</v>
      </c>
      <c r="X37" s="84">
        <v>729360</v>
      </c>
      <c r="Y37" s="84">
        <v>1166920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16646.100575695025</v>
      </c>
      <c r="C38" s="13">
        <f t="shared" si="27"/>
        <v>14993.183658914895</v>
      </c>
      <c r="D38" s="13">
        <f t="shared" ref="D38:V38" si="28">SUM(D39:D41)</f>
        <v>14368.760566510809</v>
      </c>
      <c r="E38" s="13">
        <f t="shared" si="28"/>
        <v>14061.458712678235</v>
      </c>
      <c r="F38" s="13">
        <f t="shared" si="28"/>
        <v>16470.117998344995</v>
      </c>
      <c r="G38" s="13">
        <f t="shared" si="28"/>
        <v>18127.33622888046</v>
      </c>
      <c r="H38" s="13">
        <f t="shared" si="28"/>
        <v>19051.345991067745</v>
      </c>
      <c r="I38" s="13">
        <f t="shared" si="28"/>
        <v>17609.947526109623</v>
      </c>
      <c r="J38" s="13">
        <f t="shared" si="28"/>
        <v>18194.19305562535</v>
      </c>
      <c r="K38" s="13">
        <f t="shared" si="28"/>
        <v>16892.400918420797</v>
      </c>
      <c r="L38" s="13">
        <f t="shared" si="28"/>
        <v>15829.156924617666</v>
      </c>
      <c r="M38" s="13">
        <f t="shared" si="28"/>
        <v>13059.978075296553</v>
      </c>
      <c r="N38" s="13">
        <f t="shared" si="28"/>
        <v>12859.035220997832</v>
      </c>
      <c r="O38" s="13">
        <f t="shared" si="28"/>
        <v>13805.445527029873</v>
      </c>
      <c r="P38" s="13">
        <f t="shared" si="28"/>
        <v>13051.46549784817</v>
      </c>
      <c r="Q38" s="13">
        <f t="shared" si="28"/>
        <v>13315.33649194733</v>
      </c>
      <c r="R38" s="13">
        <f t="shared" si="28"/>
        <v>12505.972912311567</v>
      </c>
      <c r="S38" s="13">
        <f t="shared" si="28"/>
        <v>13036.856314055061</v>
      </c>
      <c r="T38" s="13">
        <f t="shared" si="28"/>
        <v>12964.439763485689</v>
      </c>
      <c r="U38" s="13">
        <f t="shared" si="28"/>
        <v>14031.783242391326</v>
      </c>
      <c r="V38" s="13">
        <f t="shared" si="28"/>
        <v>9787.6590129983815</v>
      </c>
      <c r="W38" s="13">
        <f t="shared" ref="W38:Y38" si="29">SUM(W39:W41)</f>
        <v>8781.5196152272438</v>
      </c>
      <c r="X38" s="13">
        <f t="shared" si="29"/>
        <v>8149.5601469443855</v>
      </c>
      <c r="Y38" s="13">
        <f t="shared" si="29"/>
        <v>7762.8589042741178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11640.821591110735</v>
      </c>
      <c r="C40" s="102">
        <v>10037.384513070581</v>
      </c>
      <c r="D40" s="102">
        <v>9819.0863610458091</v>
      </c>
      <c r="E40" s="102">
        <v>9919.6972861298109</v>
      </c>
      <c r="F40" s="102">
        <v>11760.27336966546</v>
      </c>
      <c r="G40" s="102">
        <v>13971.075346625823</v>
      </c>
      <c r="H40" s="102">
        <v>14354.276190480554</v>
      </c>
      <c r="I40" s="102">
        <v>13000.993667855148</v>
      </c>
      <c r="J40" s="102">
        <v>13253.749881634778</v>
      </c>
      <c r="K40" s="102">
        <v>12301.607040364468</v>
      </c>
      <c r="L40" s="102">
        <v>11154.171543265036</v>
      </c>
      <c r="M40" s="102">
        <v>8654.6649922169763</v>
      </c>
      <c r="N40" s="102">
        <v>7600.7322347829568</v>
      </c>
      <c r="O40" s="102">
        <v>7540.6529632729125</v>
      </c>
      <c r="P40" s="102">
        <v>6936.9791671778557</v>
      </c>
      <c r="Q40" s="102">
        <v>6688.89357417468</v>
      </c>
      <c r="R40" s="102">
        <v>6483.7029343401691</v>
      </c>
      <c r="S40" s="102">
        <v>6510.8484621858643</v>
      </c>
      <c r="T40" s="102">
        <v>6267.5003499965305</v>
      </c>
      <c r="U40" s="102">
        <v>6265.426360406962</v>
      </c>
      <c r="V40" s="102">
        <v>4886.4201937133803</v>
      </c>
      <c r="W40" s="102">
        <v>4655.3196879330872</v>
      </c>
      <c r="X40" s="102">
        <v>4579.9613773161027</v>
      </c>
      <c r="Y40" s="102">
        <v>4546.4194225657029</v>
      </c>
      <c r="DA40" s="175" t="s">
        <v>222</v>
      </c>
    </row>
    <row r="41" spans="1:105" ht="11.45" customHeight="1" x14ac:dyDescent="0.25">
      <c r="A41" s="85" t="s">
        <v>182</v>
      </c>
      <c r="B41" s="86">
        <v>5005.2789845842908</v>
      </c>
      <c r="C41" s="86">
        <v>4955.7991458443148</v>
      </c>
      <c r="D41" s="86">
        <v>4549.6742054650013</v>
      </c>
      <c r="E41" s="86">
        <v>4141.7614265484235</v>
      </c>
      <c r="F41" s="86">
        <v>4709.8446286795361</v>
      </c>
      <c r="G41" s="86">
        <v>4156.2608822546372</v>
      </c>
      <c r="H41" s="86">
        <v>4697.06980058719</v>
      </c>
      <c r="I41" s="86">
        <v>4608.9538582544774</v>
      </c>
      <c r="J41" s="86">
        <v>4940.4431739905713</v>
      </c>
      <c r="K41" s="86">
        <v>4590.793878056329</v>
      </c>
      <c r="L41" s="86">
        <v>4674.9853813526306</v>
      </c>
      <c r="M41" s="86">
        <v>4405.3130830795762</v>
      </c>
      <c r="N41" s="86">
        <v>5258.3029862148751</v>
      </c>
      <c r="O41" s="86">
        <v>6264.7925637569606</v>
      </c>
      <c r="P41" s="86">
        <v>6114.4863306703137</v>
      </c>
      <c r="Q41" s="86">
        <v>6626.4429177726497</v>
      </c>
      <c r="R41" s="86">
        <v>6022.2699779713976</v>
      </c>
      <c r="S41" s="86">
        <v>6526.007851869198</v>
      </c>
      <c r="T41" s="86">
        <v>6696.9394134891581</v>
      </c>
      <c r="U41" s="86">
        <v>7766.356881984364</v>
      </c>
      <c r="V41" s="86">
        <v>4901.2388192850021</v>
      </c>
      <c r="W41" s="86">
        <v>4126.1999272941575</v>
      </c>
      <c r="X41" s="86">
        <v>3569.5987696282828</v>
      </c>
      <c r="Y41" s="86">
        <v>3216.4394817084149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32.732058681817435</v>
      </c>
      <c r="C43" s="54">
        <f t="shared" si="30"/>
        <v>38.066560194900049</v>
      </c>
      <c r="D43" s="54">
        <f t="shared" ref="D43:V43" si="31">SUM(D44,D48)</f>
        <v>37.3173482261817</v>
      </c>
      <c r="E43" s="54">
        <f t="shared" si="31"/>
        <v>37.272570059229352</v>
      </c>
      <c r="F43" s="54">
        <f t="shared" si="31"/>
        <v>35.625477734296318</v>
      </c>
      <c r="G43" s="54">
        <f t="shared" si="31"/>
        <v>35.773411142953151</v>
      </c>
      <c r="H43" s="54">
        <f t="shared" si="31"/>
        <v>37.854177892432382</v>
      </c>
      <c r="I43" s="54">
        <f t="shared" si="31"/>
        <v>39.397290851281163</v>
      </c>
      <c r="J43" s="54">
        <f t="shared" si="31"/>
        <v>40.435701391922606</v>
      </c>
      <c r="K43" s="54">
        <f t="shared" si="31"/>
        <v>39.205403527850464</v>
      </c>
      <c r="L43" s="54">
        <f t="shared" si="31"/>
        <v>38.72545319956928</v>
      </c>
      <c r="M43" s="54">
        <f t="shared" si="31"/>
        <v>37.374390366217703</v>
      </c>
      <c r="N43" s="54">
        <f t="shared" si="31"/>
        <v>35.036628675039402</v>
      </c>
      <c r="O43" s="54">
        <f t="shared" si="31"/>
        <v>33.747321983045161</v>
      </c>
      <c r="P43" s="54">
        <f t="shared" si="31"/>
        <v>34.50618684713649</v>
      </c>
      <c r="Q43" s="54">
        <f t="shared" si="31"/>
        <v>33.507357515807222</v>
      </c>
      <c r="R43" s="54">
        <f t="shared" si="31"/>
        <v>39.767123204505275</v>
      </c>
      <c r="S43" s="54">
        <f t="shared" si="31"/>
        <v>43.533103573641505</v>
      </c>
      <c r="T43" s="54">
        <f t="shared" si="31"/>
        <v>45.871636248776319</v>
      </c>
      <c r="U43" s="54">
        <f t="shared" si="31"/>
        <v>44.617407364365086</v>
      </c>
      <c r="V43" s="54">
        <f t="shared" si="31"/>
        <v>42.993850323910586</v>
      </c>
      <c r="W43" s="54">
        <f t="shared" ref="W43:Y43" si="32">SUM(W44,W48)</f>
        <v>41.405898314822643</v>
      </c>
      <c r="X43" s="54">
        <f t="shared" si="32"/>
        <v>44.880710264922257</v>
      </c>
      <c r="Y43" s="54">
        <f t="shared" si="32"/>
        <v>48.952257378236013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31.521191514005487</v>
      </c>
      <c r="C44" s="11">
        <f t="shared" si="33"/>
        <v>36.969334989990315</v>
      </c>
      <c r="D44" s="11">
        <f t="shared" ref="D44:V44" si="34">SUM(D45:D47)</f>
        <v>36.30130174482796</v>
      </c>
      <c r="E44" s="11">
        <f t="shared" si="34"/>
        <v>36.293775962345684</v>
      </c>
      <c r="F44" s="11">
        <f t="shared" si="34"/>
        <v>34.39378763354177</v>
      </c>
      <c r="G44" s="11">
        <f t="shared" si="34"/>
        <v>34.271563052149872</v>
      </c>
      <c r="H44" s="11">
        <f t="shared" si="34"/>
        <v>36.150239450059232</v>
      </c>
      <c r="I44" s="11">
        <f t="shared" si="34"/>
        <v>37.777173580569695</v>
      </c>
      <c r="J44" s="11">
        <f t="shared" si="34"/>
        <v>38.826230774058672</v>
      </c>
      <c r="K44" s="11">
        <f t="shared" si="34"/>
        <v>37.690976232012503</v>
      </c>
      <c r="L44" s="11">
        <f t="shared" si="34"/>
        <v>37.327895909210426</v>
      </c>
      <c r="M44" s="11">
        <f t="shared" si="34"/>
        <v>36.097919792640042</v>
      </c>
      <c r="N44" s="11">
        <f t="shared" si="34"/>
        <v>33.881244818242934</v>
      </c>
      <c r="O44" s="11">
        <f t="shared" si="34"/>
        <v>32.713024843029885</v>
      </c>
      <c r="P44" s="11">
        <f t="shared" si="34"/>
        <v>33.592976423902414</v>
      </c>
      <c r="Q44" s="11">
        <f t="shared" si="34"/>
        <v>32.712096927880189</v>
      </c>
      <c r="R44" s="11">
        <f t="shared" si="34"/>
        <v>39.092949333359435</v>
      </c>
      <c r="S44" s="11">
        <f t="shared" si="34"/>
        <v>42.956861224734723</v>
      </c>
      <c r="T44" s="11">
        <f t="shared" si="34"/>
        <v>45.367836997674374</v>
      </c>
      <c r="U44" s="11">
        <f t="shared" si="34"/>
        <v>44.122019003692976</v>
      </c>
      <c r="V44" s="11">
        <f t="shared" si="34"/>
        <v>42.545959427992699</v>
      </c>
      <c r="W44" s="11">
        <f t="shared" ref="W44:Y44" si="35">SUM(W45:W47)</f>
        <v>40.969899852292428</v>
      </c>
      <c r="X44" s="11">
        <f t="shared" si="35"/>
        <v>44.458891315325211</v>
      </c>
      <c r="Y44" s="11">
        <f t="shared" si="35"/>
        <v>48.521690653850001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24.56813028951569</v>
      </c>
      <c r="C46" s="84">
        <v>28.814232949173991</v>
      </c>
      <c r="D46" s="84">
        <v>27.431913989725921</v>
      </c>
      <c r="E46" s="84">
        <v>26.797857594998746</v>
      </c>
      <c r="F46" s="84">
        <v>25.593175388643811</v>
      </c>
      <c r="G46" s="84">
        <v>26.166256929700889</v>
      </c>
      <c r="H46" s="84">
        <v>25.692089670323547</v>
      </c>
      <c r="I46" s="84">
        <v>25.789288118014628</v>
      </c>
      <c r="J46" s="84">
        <v>26.370448461133503</v>
      </c>
      <c r="K46" s="84">
        <v>25.930500041536312</v>
      </c>
      <c r="L46" s="84">
        <v>26.262725841183219</v>
      </c>
      <c r="M46" s="84">
        <v>25.728055847061807</v>
      </c>
      <c r="N46" s="84">
        <v>24.206686995113682</v>
      </c>
      <c r="O46" s="84">
        <v>22.690448481808108</v>
      </c>
      <c r="P46" s="84">
        <v>21.602474388624263</v>
      </c>
      <c r="Q46" s="84">
        <v>21.416901015051014</v>
      </c>
      <c r="R46" s="84">
        <v>23.778738120843137</v>
      </c>
      <c r="S46" s="84">
        <v>27.565874623029487</v>
      </c>
      <c r="T46" s="84">
        <v>29.356501985079916</v>
      </c>
      <c r="U46" s="84">
        <v>28.348063229737203</v>
      </c>
      <c r="V46" s="84">
        <v>27.119656715261414</v>
      </c>
      <c r="W46" s="84">
        <v>25.891250200785635</v>
      </c>
      <c r="X46" s="84">
        <v>29.727894725042908</v>
      </c>
      <c r="Y46" s="84">
        <v>34.138347124792183</v>
      </c>
      <c r="DA46" s="171" t="s">
        <v>227</v>
      </c>
    </row>
    <row r="47" spans="1:105" ht="11.45" customHeight="1" x14ac:dyDescent="0.25">
      <c r="A47" s="83" t="s">
        <v>182</v>
      </c>
      <c r="B47" s="84">
        <v>6.9530612244897956</v>
      </c>
      <c r="C47" s="84">
        <v>8.1551020408163257</v>
      </c>
      <c r="D47" s="84">
        <v>8.869387755102041</v>
      </c>
      <c r="E47" s="84">
        <v>9.4959183673469383</v>
      </c>
      <c r="F47" s="84">
        <v>8.8006122448979589</v>
      </c>
      <c r="G47" s="84">
        <v>8.1053061224489795</v>
      </c>
      <c r="H47" s="84">
        <v>10.458149779735683</v>
      </c>
      <c r="I47" s="84">
        <v>11.987885462555067</v>
      </c>
      <c r="J47" s="84">
        <v>12.455782312925169</v>
      </c>
      <c r="K47" s="84">
        <v>11.76047619047619</v>
      </c>
      <c r="L47" s="84">
        <v>11.065170068027211</v>
      </c>
      <c r="M47" s="84">
        <v>10.369863945578231</v>
      </c>
      <c r="N47" s="84">
        <v>9.6745578231292519</v>
      </c>
      <c r="O47" s="84">
        <v>10.02257636122178</v>
      </c>
      <c r="P47" s="84">
        <v>11.990502035278155</v>
      </c>
      <c r="Q47" s="84">
        <v>11.295195912829175</v>
      </c>
      <c r="R47" s="84">
        <v>15.314211212516298</v>
      </c>
      <c r="S47" s="84">
        <v>15.390986601705238</v>
      </c>
      <c r="T47" s="84">
        <v>16.011335012594458</v>
      </c>
      <c r="U47" s="84">
        <v>15.773955773955773</v>
      </c>
      <c r="V47" s="84">
        <v>15.426302712731284</v>
      </c>
      <c r="W47" s="84">
        <v>15.078649651506794</v>
      </c>
      <c r="X47" s="84">
        <v>14.730996590282304</v>
      </c>
      <c r="Y47" s="84">
        <v>14.383343529057814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1.2108671678119443</v>
      </c>
      <c r="C48" s="13">
        <f t="shared" si="36"/>
        <v>1.0972252049097329</v>
      </c>
      <c r="D48" s="13">
        <f t="shared" ref="D48:V48" si="37">SUM(D49:D51)</f>
        <v>1.0160464813537395</v>
      </c>
      <c r="E48" s="13">
        <f t="shared" si="37"/>
        <v>0.97879409688366836</v>
      </c>
      <c r="F48" s="13">
        <f t="shared" si="37"/>
        <v>1.2316901007545471</v>
      </c>
      <c r="G48" s="13">
        <f t="shared" si="37"/>
        <v>1.5018480908032765</v>
      </c>
      <c r="H48" s="13">
        <f t="shared" si="37"/>
        <v>1.7039384423731501</v>
      </c>
      <c r="I48" s="13">
        <f t="shared" si="37"/>
        <v>1.6201172707114677</v>
      </c>
      <c r="J48" s="13">
        <f t="shared" si="37"/>
        <v>1.6094706178639369</v>
      </c>
      <c r="K48" s="13">
        <f t="shared" si="37"/>
        <v>1.5144272958379583</v>
      </c>
      <c r="L48" s="13">
        <f t="shared" si="37"/>
        <v>1.3975572903588573</v>
      </c>
      <c r="M48" s="13">
        <f t="shared" si="37"/>
        <v>1.2764705735776629</v>
      </c>
      <c r="N48" s="13">
        <f t="shared" si="37"/>
        <v>1.1553838567964685</v>
      </c>
      <c r="O48" s="13">
        <f t="shared" si="37"/>
        <v>1.0342971400152741</v>
      </c>
      <c r="P48" s="13">
        <f t="shared" si="37"/>
        <v>0.91321042323407953</v>
      </c>
      <c r="Q48" s="13">
        <f t="shared" si="37"/>
        <v>0.79526058792703203</v>
      </c>
      <c r="R48" s="13">
        <f t="shared" si="37"/>
        <v>0.6741738711458376</v>
      </c>
      <c r="S48" s="13">
        <f t="shared" si="37"/>
        <v>0.57624234890678039</v>
      </c>
      <c r="T48" s="13">
        <f t="shared" si="37"/>
        <v>0.50379925110194768</v>
      </c>
      <c r="U48" s="13">
        <f t="shared" si="37"/>
        <v>0.49538836067210751</v>
      </c>
      <c r="V48" s="13">
        <f t="shared" si="37"/>
        <v>0.44789089591788445</v>
      </c>
      <c r="W48" s="13">
        <f t="shared" ref="W48:Y48" si="38">SUM(W49:W51)</f>
        <v>0.43599846253021302</v>
      </c>
      <c r="X48" s="13">
        <f t="shared" si="38"/>
        <v>0.42181894959704658</v>
      </c>
      <c r="Y48" s="13">
        <f t="shared" si="38"/>
        <v>0.43056672438600846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1.0992392608352002</v>
      </c>
      <c r="C50" s="102">
        <v>0.99024846072368633</v>
      </c>
      <c r="D50" s="102">
        <v>0.91604648135373945</v>
      </c>
      <c r="E50" s="102">
        <v>0.87995688758134283</v>
      </c>
      <c r="F50" s="102">
        <v>1.1177366123824541</v>
      </c>
      <c r="G50" s="102">
        <v>1.391648794203042</v>
      </c>
      <c r="H50" s="102">
        <v>1.5690486888063537</v>
      </c>
      <c r="I50" s="102">
        <v>1.48227943287363</v>
      </c>
      <c r="J50" s="102">
        <v>1.4514246408524425</v>
      </c>
      <c r="K50" s="102">
        <v>1.3675441095241385</v>
      </c>
      <c r="L50" s="102">
        <v>1.2576201834406184</v>
      </c>
      <c r="M50" s="102">
        <v>1.1476962573570983</v>
      </c>
      <c r="N50" s="102">
        <v>1.0377723312735783</v>
      </c>
      <c r="O50" s="102">
        <v>0.92784840519005829</v>
      </c>
      <c r="P50" s="102">
        <v>0.8179244791065382</v>
      </c>
      <c r="Q50" s="102">
        <v>0.70800055302301812</v>
      </c>
      <c r="R50" s="102">
        <v>0.59807662693949804</v>
      </c>
      <c r="S50" s="102">
        <v>0.50627379544766093</v>
      </c>
      <c r="T50" s="102">
        <v>0.42853043389764661</v>
      </c>
      <c r="U50" s="102">
        <v>0.38876310187293567</v>
      </c>
      <c r="V50" s="102">
        <v>0.34684703246754983</v>
      </c>
      <c r="W50" s="102">
        <v>0.34053599442871557</v>
      </c>
      <c r="X50" s="102">
        <v>0.33193787684438636</v>
      </c>
      <c r="Y50" s="102">
        <v>0.34626704698218547</v>
      </c>
      <c r="DA50" s="175" t="s">
        <v>231</v>
      </c>
    </row>
    <row r="51" spans="1:105" ht="11.45" customHeight="1" x14ac:dyDescent="0.25">
      <c r="A51" s="85" t="s">
        <v>182</v>
      </c>
      <c r="B51" s="86">
        <v>0.11162790697674418</v>
      </c>
      <c r="C51" s="86">
        <v>0.10697674418604651</v>
      </c>
      <c r="D51" s="86">
        <v>0.1</v>
      </c>
      <c r="E51" s="86">
        <v>9.8837209302325577E-2</v>
      </c>
      <c r="F51" s="86">
        <v>0.11395348837209303</v>
      </c>
      <c r="G51" s="86">
        <v>0.11019929660023446</v>
      </c>
      <c r="H51" s="86">
        <v>0.13488975356679636</v>
      </c>
      <c r="I51" s="86">
        <v>0.13783783783783785</v>
      </c>
      <c r="J51" s="86">
        <v>0.15804597701149425</v>
      </c>
      <c r="K51" s="86">
        <v>0.14688318631381983</v>
      </c>
      <c r="L51" s="86">
        <v>0.13993710691823899</v>
      </c>
      <c r="M51" s="86">
        <v>0.12877431622056457</v>
      </c>
      <c r="N51" s="86">
        <v>0.11761152552289014</v>
      </c>
      <c r="O51" s="86">
        <v>0.10644873482521572</v>
      </c>
      <c r="P51" s="86">
        <v>9.5285944127541294E-2</v>
      </c>
      <c r="Q51" s="86">
        <v>8.7260034904013961E-2</v>
      </c>
      <c r="R51" s="86">
        <v>7.6097244206339537E-2</v>
      </c>
      <c r="S51" s="86">
        <v>6.9968553459119495E-2</v>
      </c>
      <c r="T51" s="86">
        <v>7.5268817204301078E-2</v>
      </c>
      <c r="U51" s="86">
        <v>0.10662525879917184</v>
      </c>
      <c r="V51" s="86">
        <v>0.10104386345033463</v>
      </c>
      <c r="W51" s="86">
        <v>9.5462468101497416E-2</v>
      </c>
      <c r="X51" s="86">
        <v>8.9881072752660204E-2</v>
      </c>
      <c r="Y51" s="86">
        <v>8.4299677403822992E-2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1.8513589109838851</v>
      </c>
      <c r="C53" s="54">
        <f t="shared" si="39"/>
        <v>6.6807656843098346</v>
      </c>
      <c r="D53" s="54">
        <f t="shared" ref="D53:V53" si="40">SUM(D54,D58)</f>
        <v>1.4703119184569919</v>
      </c>
      <c r="E53" s="54">
        <f t="shared" si="40"/>
        <v>2.1180112863115554</v>
      </c>
      <c r="F53" s="54">
        <f t="shared" si="40"/>
        <v>0.96066277730212457</v>
      </c>
      <c r="G53" s="54">
        <f t="shared" si="40"/>
        <v>1.9181868415861278</v>
      </c>
      <c r="H53" s="54">
        <f t="shared" si="40"/>
        <v>3.4034070053710224</v>
      </c>
      <c r="I53" s="54">
        <f t="shared" si="40"/>
        <v>2.9027498773692875</v>
      </c>
      <c r="J53" s="54">
        <f t="shared" si="40"/>
        <v>2.3676238468065058</v>
      </c>
      <c r="K53" s="54">
        <f t="shared" si="40"/>
        <v>0.52998172907257279</v>
      </c>
      <c r="L53" s="54">
        <f t="shared" si="40"/>
        <v>1.2927002312869087</v>
      </c>
      <c r="M53" s="54">
        <f t="shared" si="40"/>
        <v>0.86072055918779433</v>
      </c>
      <c r="N53" s="54">
        <f t="shared" si="40"/>
        <v>7.8766373578840643E-2</v>
      </c>
      <c r="O53" s="54">
        <f t="shared" si="40"/>
        <v>0.66241014741250259</v>
      </c>
      <c r="P53" s="54">
        <f t="shared" si="40"/>
        <v>2.7177785428335897</v>
      </c>
      <c r="Q53" s="54">
        <f t="shared" si="40"/>
        <v>0.81449517950897565</v>
      </c>
      <c r="R53" s="54">
        <f t="shared" si="40"/>
        <v>7.6377411447779231</v>
      </c>
      <c r="S53" s="54">
        <f t="shared" si="40"/>
        <v>5.155281210515156</v>
      </c>
      <c r="T53" s="54">
        <f t="shared" si="40"/>
        <v>3.6702442606782339</v>
      </c>
      <c r="U53" s="54">
        <f t="shared" si="40"/>
        <v>0.6559226444162074</v>
      </c>
      <c r="V53" s="54">
        <f t="shared" si="40"/>
        <v>0</v>
      </c>
      <c r="W53" s="54">
        <f t="shared" ref="W53:Y53" si="41">SUM(W54,W58)</f>
        <v>3.1592101473396361E-2</v>
      </c>
      <c r="X53" s="54">
        <f t="shared" si="41"/>
        <v>4.82606252151629</v>
      </c>
      <c r="Y53" s="54">
        <f t="shared" si="41"/>
        <v>5.4184198045460761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1.7329243696210128</v>
      </c>
      <c r="C54" s="11">
        <f t="shared" si="42"/>
        <v>6.6804546423188347</v>
      </c>
      <c r="D54" s="11">
        <f t="shared" ref="D54:V54" si="43">SUM(D55:D57)</f>
        <v>1.470000876465992</v>
      </c>
      <c r="E54" s="11">
        <f t="shared" si="43"/>
        <v>2.1156081855362299</v>
      </c>
      <c r="F54" s="11">
        <f t="shared" si="43"/>
        <v>0.67119259993424585</v>
      </c>
      <c r="G54" s="11">
        <f t="shared" si="43"/>
        <v>1.6112663777415399</v>
      </c>
      <c r="H54" s="11">
        <f t="shared" si="43"/>
        <v>3.1641203963231428</v>
      </c>
      <c r="I54" s="11">
        <f t="shared" si="43"/>
        <v>2.8896689091999046</v>
      </c>
      <c r="J54" s="11">
        <f t="shared" si="43"/>
        <v>2.2813683598229719</v>
      </c>
      <c r="K54" s="11">
        <f t="shared" si="43"/>
        <v>0.52052601204281168</v>
      </c>
      <c r="L54" s="11">
        <f t="shared" si="43"/>
        <v>1.2927002312869087</v>
      </c>
      <c r="M54" s="11">
        <f t="shared" si="43"/>
        <v>0.86072055918779433</v>
      </c>
      <c r="N54" s="11">
        <f t="shared" si="43"/>
        <v>7.8766373578840643E-2</v>
      </c>
      <c r="O54" s="11">
        <f t="shared" si="43"/>
        <v>0.66241014741250259</v>
      </c>
      <c r="P54" s="11">
        <f t="shared" si="43"/>
        <v>2.7177785428335897</v>
      </c>
      <c r="Q54" s="11">
        <f t="shared" si="43"/>
        <v>0.81449517950897565</v>
      </c>
      <c r="R54" s="11">
        <f t="shared" si="43"/>
        <v>7.6377411447779231</v>
      </c>
      <c r="S54" s="11">
        <f t="shared" si="43"/>
        <v>5.155281210515156</v>
      </c>
      <c r="T54" s="11">
        <f t="shared" si="43"/>
        <v>3.6613781054600523</v>
      </c>
      <c r="U54" s="11">
        <f t="shared" si="43"/>
        <v>0.56743139501498252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4.8014968360816157</v>
      </c>
      <c r="Y54" s="11">
        <f t="shared" si="44"/>
        <v>5.3709268313892737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1.3508835532943595</v>
      </c>
      <c r="C56" s="84">
        <v>5.2065770912983043</v>
      </c>
      <c r="D56" s="84">
        <v>0.48387842748627641</v>
      </c>
      <c r="E56" s="84">
        <v>1.2172408385973326</v>
      </c>
      <c r="F56" s="84">
        <v>0.67119259993424585</v>
      </c>
      <c r="G56" s="84">
        <v>1.6112663777415399</v>
      </c>
      <c r="H56" s="84">
        <v>0.53944000434243944</v>
      </c>
      <c r="I56" s="84">
        <v>1.0880964916865206</v>
      </c>
      <c r="J56" s="84">
        <v>1.5416347747588688</v>
      </c>
      <c r="K56" s="84">
        <v>0.52052601204281168</v>
      </c>
      <c r="L56" s="84">
        <v>1.2927002312869087</v>
      </c>
      <c r="M56" s="84">
        <v>0.86072055918779433</v>
      </c>
      <c r="N56" s="84">
        <v>7.8766373578840643E-2</v>
      </c>
      <c r="O56" s="84">
        <v>4.2554874625973849E-2</v>
      </c>
      <c r="P56" s="84">
        <v>0.47801613408321486</v>
      </c>
      <c r="Q56" s="84">
        <v>0.81449517950897565</v>
      </c>
      <c r="R56" s="84">
        <v>3.3468891103967997</v>
      </c>
      <c r="S56" s="84">
        <v>4.8066690866322155</v>
      </c>
      <c r="T56" s="84">
        <v>2.7691929598768343</v>
      </c>
      <c r="U56" s="84">
        <v>0.53297389895966862</v>
      </c>
      <c r="V56" s="84">
        <v>0</v>
      </c>
      <c r="W56" s="84">
        <v>0</v>
      </c>
      <c r="X56" s="84">
        <v>4.8014968360816157</v>
      </c>
      <c r="Y56" s="84">
        <v>5.3709268313892737</v>
      </c>
      <c r="DA56" s="171" t="s">
        <v>236</v>
      </c>
    </row>
    <row r="57" spans="1:105" ht="11.45" customHeight="1" x14ac:dyDescent="0.25">
      <c r="A57" s="83" t="s">
        <v>182</v>
      </c>
      <c r="B57" s="84">
        <v>0.38204081632665332</v>
      </c>
      <c r="C57" s="84">
        <v>1.4738775510205304</v>
      </c>
      <c r="D57" s="84">
        <v>0.98612244897971557</v>
      </c>
      <c r="E57" s="84">
        <v>0.89836734693889753</v>
      </c>
      <c r="F57" s="84">
        <v>0</v>
      </c>
      <c r="G57" s="84">
        <v>0</v>
      </c>
      <c r="H57" s="84">
        <v>2.6246803919807036</v>
      </c>
      <c r="I57" s="84">
        <v>1.801572417513384</v>
      </c>
      <c r="J57" s="84">
        <v>0.73973358506410314</v>
      </c>
      <c r="K57" s="84">
        <v>0</v>
      </c>
      <c r="L57" s="84">
        <v>0</v>
      </c>
      <c r="M57" s="84">
        <v>0</v>
      </c>
      <c r="N57" s="84">
        <v>0</v>
      </c>
      <c r="O57" s="84">
        <v>0.61985527278652874</v>
      </c>
      <c r="P57" s="84">
        <v>2.2397624087503747</v>
      </c>
      <c r="Q57" s="84">
        <v>0</v>
      </c>
      <c r="R57" s="84">
        <v>4.2908520343811229</v>
      </c>
      <c r="S57" s="84">
        <v>0.34861212388294049</v>
      </c>
      <c r="T57" s="84">
        <v>0.89218514558321793</v>
      </c>
      <c r="U57" s="84">
        <v>3.4457496055313896E-2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0.11843454136287222</v>
      </c>
      <c r="C58" s="13">
        <f t="shared" si="45"/>
        <v>3.1104199100000056E-4</v>
      </c>
      <c r="D58" s="13">
        <f t="shared" ref="D58:V58" si="46">SUM(D59:D61)</f>
        <v>3.1104199100000056E-4</v>
      </c>
      <c r="E58" s="13">
        <f t="shared" si="46"/>
        <v>2.4031007753255729E-3</v>
      </c>
      <c r="F58" s="13">
        <f t="shared" si="46"/>
        <v>0.28947017736787872</v>
      </c>
      <c r="G58" s="13">
        <f t="shared" si="46"/>
        <v>0.30692046384458782</v>
      </c>
      <c r="H58" s="13">
        <f t="shared" si="46"/>
        <v>0.23928660904787979</v>
      </c>
      <c r="I58" s="13">
        <f t="shared" si="46"/>
        <v>1.3080968169382673E-2</v>
      </c>
      <c r="J58" s="13">
        <f t="shared" si="46"/>
        <v>8.6255486983533913E-2</v>
      </c>
      <c r="K58" s="13">
        <f t="shared" si="46"/>
        <v>9.4557170297611126E-3</v>
      </c>
      <c r="L58" s="13">
        <f t="shared" si="46"/>
        <v>0</v>
      </c>
      <c r="M58" s="13">
        <f t="shared" si="46"/>
        <v>0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0</v>
      </c>
      <c r="R58" s="13">
        <f t="shared" si="46"/>
        <v>0</v>
      </c>
      <c r="S58" s="13">
        <f t="shared" si="46"/>
        <v>0</v>
      </c>
      <c r="T58" s="13">
        <f t="shared" si="46"/>
        <v>8.8661552181815845E-3</v>
      </c>
      <c r="U58" s="13">
        <f t="shared" si="46"/>
        <v>8.8491249401224908E-2</v>
      </c>
      <c r="V58" s="13">
        <f t="shared" si="46"/>
        <v>0</v>
      </c>
      <c r="W58" s="13">
        <f t="shared" ref="W58:Y58" si="47">SUM(W59:W61)</f>
        <v>3.1592101473396361E-2</v>
      </c>
      <c r="X58" s="13">
        <f t="shared" si="47"/>
        <v>2.456568543467387E-2</v>
      </c>
      <c r="Y58" s="13">
        <f t="shared" si="47"/>
        <v>4.7492973156802232E-2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0.11719423128522106</v>
      </c>
      <c r="C60" s="102">
        <v>3.1104199100000056E-4</v>
      </c>
      <c r="D60" s="102">
        <v>3.1104199100000056E-4</v>
      </c>
      <c r="E60" s="102">
        <v>0</v>
      </c>
      <c r="F60" s="102">
        <v>0.27078800682511128</v>
      </c>
      <c r="G60" s="102">
        <v>0.30692046384458782</v>
      </c>
      <c r="H60" s="102">
        <v>0.21103026060831792</v>
      </c>
      <c r="I60" s="102">
        <v>6.5669924253412004E-3</v>
      </c>
      <c r="J60" s="102">
        <v>6.2481456336877517E-2</v>
      </c>
      <c r="K60" s="102">
        <v>9.4557170297611126E-3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0</v>
      </c>
      <c r="T60" s="102">
        <v>0</v>
      </c>
      <c r="U60" s="102">
        <v>5.3568916333354144E-2</v>
      </c>
      <c r="V60" s="102">
        <v>0</v>
      </c>
      <c r="W60" s="102">
        <v>3.1592101473396361E-2</v>
      </c>
      <c r="X60" s="102">
        <v>2.456568543467387E-2</v>
      </c>
      <c r="Y60" s="102">
        <v>4.7492973156802232E-2</v>
      </c>
      <c r="DA60" s="175" t="s">
        <v>240</v>
      </c>
    </row>
    <row r="61" spans="1:105" ht="11.45" customHeight="1" x14ac:dyDescent="0.25">
      <c r="A61" s="85" t="s">
        <v>182</v>
      </c>
      <c r="B61" s="86">
        <v>1.2403100776511577E-3</v>
      </c>
      <c r="C61" s="86">
        <v>0</v>
      </c>
      <c r="D61" s="86">
        <v>0</v>
      </c>
      <c r="E61" s="86">
        <v>2.4031007753255729E-3</v>
      </c>
      <c r="F61" s="86">
        <v>1.8682170542767454E-2</v>
      </c>
      <c r="G61" s="86">
        <v>0</v>
      </c>
      <c r="H61" s="86">
        <v>2.8256348439561887E-2</v>
      </c>
      <c r="I61" s="86">
        <v>6.5139757440414725E-3</v>
      </c>
      <c r="J61" s="86">
        <v>2.3774030646656397E-2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</v>
      </c>
      <c r="T61" s="86">
        <v>8.8661552181815845E-3</v>
      </c>
      <c r="U61" s="86">
        <v>3.4922333067870764E-2</v>
      </c>
      <c r="V61" s="86">
        <v>0</v>
      </c>
      <c r="W61" s="86">
        <v>0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116.3623473361818</v>
      </c>
      <c r="C66" s="14">
        <f t="shared" si="48"/>
        <v>116.81662260622865</v>
      </c>
      <c r="D66" s="14">
        <f t="shared" ref="D66:V66" si="49">IF(D34=0,0,D34/D24)</f>
        <v>109.57230431239148</v>
      </c>
      <c r="E66" s="14">
        <f t="shared" si="49"/>
        <v>110.4232946082812</v>
      </c>
      <c r="F66" s="14">
        <f t="shared" si="49"/>
        <v>121.60074599840661</v>
      </c>
      <c r="G66" s="14">
        <f t="shared" si="49"/>
        <v>122.19474033457898</v>
      </c>
      <c r="H66" s="14">
        <f t="shared" si="49"/>
        <v>113.94420013681227</v>
      </c>
      <c r="I66" s="14">
        <f t="shared" si="49"/>
        <v>110.93618655524149</v>
      </c>
      <c r="J66" s="14">
        <f t="shared" si="49"/>
        <v>112.82823898233556</v>
      </c>
      <c r="K66" s="14">
        <f t="shared" si="49"/>
        <v>115.54696757872313</v>
      </c>
      <c r="L66" s="14">
        <f t="shared" si="49"/>
        <v>122.30527103821417</v>
      </c>
      <c r="M66" s="14">
        <f t="shared" si="49"/>
        <v>125.05547850208045</v>
      </c>
      <c r="N66" s="14">
        <f t="shared" si="49"/>
        <v>131.39701930999894</v>
      </c>
      <c r="O66" s="14">
        <f t="shared" si="49"/>
        <v>143.67872468417886</v>
      </c>
      <c r="P66" s="14">
        <f t="shared" si="49"/>
        <v>141.7819368131868</v>
      </c>
      <c r="Q66" s="14">
        <f t="shared" si="49"/>
        <v>144.70995104816711</v>
      </c>
      <c r="R66" s="14">
        <f t="shared" si="49"/>
        <v>141.54413048902197</v>
      </c>
      <c r="S66" s="14">
        <f t="shared" si="49"/>
        <v>144.83084964412811</v>
      </c>
      <c r="T66" s="14">
        <f t="shared" si="49"/>
        <v>146.44590129265907</v>
      </c>
      <c r="U66" s="14">
        <f t="shared" si="49"/>
        <v>155.10943283257131</v>
      </c>
      <c r="V66" s="14">
        <f t="shared" si="49"/>
        <v>96.657975587478205</v>
      </c>
      <c r="W66" s="14">
        <f t="shared" ref="W66:Y66" si="50">IF(W34=0,0,W34/W24)</f>
        <v>121.77270559053616</v>
      </c>
      <c r="X66" s="14">
        <f t="shared" si="50"/>
        <v>149.5541769792035</v>
      </c>
      <c r="Y66" s="14">
        <f t="shared" si="50"/>
        <v>153.98302923032875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136.40319869607293</v>
      </c>
      <c r="C68" s="87">
        <f t="shared" si="48"/>
        <v>136.57582732563191</v>
      </c>
      <c r="D68" s="87">
        <f t="shared" ref="D68:V68" si="53">IF(D36=0,0,D36/D26)</f>
        <v>130.27374673562394</v>
      </c>
      <c r="E68" s="87">
        <f t="shared" si="53"/>
        <v>130.68991246950782</v>
      </c>
      <c r="F68" s="87">
        <f t="shared" si="53"/>
        <v>138.56043902200011</v>
      </c>
      <c r="G68" s="87">
        <f t="shared" si="53"/>
        <v>138.71581620872777</v>
      </c>
      <c r="H68" s="87">
        <f t="shared" si="53"/>
        <v>140.61519596283546</v>
      </c>
      <c r="I68" s="87">
        <f t="shared" si="53"/>
        <v>140.62442874948067</v>
      </c>
      <c r="J68" s="87">
        <f t="shared" si="53"/>
        <v>141.1197494140977</v>
      </c>
      <c r="K68" s="87">
        <f t="shared" si="53"/>
        <v>133.58592037983931</v>
      </c>
      <c r="L68" s="87">
        <f t="shared" si="53"/>
        <v>132.23349247815511</v>
      </c>
      <c r="M68" s="87">
        <f t="shared" si="53"/>
        <v>135.62514503179096</v>
      </c>
      <c r="N68" s="87">
        <f t="shared" si="53"/>
        <v>137.5315157700345</v>
      </c>
      <c r="O68" s="87">
        <f t="shared" si="53"/>
        <v>147.37261329652634</v>
      </c>
      <c r="P68" s="87">
        <f t="shared" si="53"/>
        <v>149.27148696102699</v>
      </c>
      <c r="Q68" s="87">
        <f t="shared" si="53"/>
        <v>153.58728855312859</v>
      </c>
      <c r="R68" s="87">
        <f t="shared" si="53"/>
        <v>153.20686091150705</v>
      </c>
      <c r="S68" s="87">
        <f t="shared" si="53"/>
        <v>152.525758614778</v>
      </c>
      <c r="T68" s="87">
        <f t="shared" si="53"/>
        <v>154.25326485109093</v>
      </c>
      <c r="U68" s="87">
        <f t="shared" si="53"/>
        <v>162.90746318607765</v>
      </c>
      <c r="V68" s="87">
        <f t="shared" si="53"/>
        <v>104.64293478260869</v>
      </c>
      <c r="W68" s="87">
        <f t="shared" ref="W68:Y68" si="54">IF(W36=0,0,W36/W26)</f>
        <v>120.13048878497845</v>
      </c>
      <c r="X68" s="87">
        <f t="shared" si="54"/>
        <v>155.23541979900293</v>
      </c>
      <c r="Y68" s="87">
        <f t="shared" si="54"/>
        <v>161.96425769925992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58.619166422072205</v>
      </c>
      <c r="C69" s="87">
        <f t="shared" si="48"/>
        <v>59.887762762762762</v>
      </c>
      <c r="D69" s="87">
        <f t="shared" ref="D69:V69" si="55">IF(D37=0,0,D37/D27)</f>
        <v>63.060745513115506</v>
      </c>
      <c r="E69" s="87">
        <f t="shared" si="55"/>
        <v>64.8920051579626</v>
      </c>
      <c r="F69" s="87">
        <f t="shared" si="55"/>
        <v>73.560444136016656</v>
      </c>
      <c r="G69" s="87">
        <f t="shared" si="55"/>
        <v>70.924476927486381</v>
      </c>
      <c r="H69" s="87">
        <f t="shared" si="55"/>
        <v>54.392270429654594</v>
      </c>
      <c r="I69" s="87">
        <f t="shared" si="55"/>
        <v>51.851538814882865</v>
      </c>
      <c r="J69" s="87">
        <f t="shared" si="55"/>
        <v>55.688967777170944</v>
      </c>
      <c r="K69" s="87">
        <f t="shared" si="55"/>
        <v>66.99385598427132</v>
      </c>
      <c r="L69" s="87">
        <f t="shared" si="55"/>
        <v>91.626583159359782</v>
      </c>
      <c r="M69" s="87">
        <f t="shared" si="55"/>
        <v>93.827642945290009</v>
      </c>
      <c r="N69" s="87">
        <f t="shared" si="55"/>
        <v>114.19015812431843</v>
      </c>
      <c r="O69" s="87">
        <f t="shared" si="55"/>
        <v>135.16814628329138</v>
      </c>
      <c r="P69" s="87">
        <f t="shared" si="55"/>
        <v>127.05963562294896</v>
      </c>
      <c r="Q69" s="87">
        <f t="shared" si="55"/>
        <v>125.6185542736049</v>
      </c>
      <c r="R69" s="87">
        <f t="shared" si="55"/>
        <v>121.37016856802316</v>
      </c>
      <c r="S69" s="87">
        <f t="shared" si="55"/>
        <v>130.6224279835391</v>
      </c>
      <c r="T69" s="87">
        <f t="shared" si="55"/>
        <v>131.02155274128845</v>
      </c>
      <c r="U69" s="87">
        <f t="shared" si="55"/>
        <v>140.59197819314642</v>
      </c>
      <c r="V69" s="87">
        <f t="shared" si="55"/>
        <v>70.81850158283504</v>
      </c>
      <c r="W69" s="87">
        <f t="shared" ref="W69:Y69" si="56">IF(W37=0,0,W37/W27)</f>
        <v>124.86148137968944</v>
      </c>
      <c r="X69" s="87">
        <f t="shared" si="56"/>
        <v>124.95459996573582</v>
      </c>
      <c r="Y69" s="87">
        <f t="shared" si="56"/>
        <v>128.26115629808749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20.399633058449787</v>
      </c>
      <c r="C70" s="15">
        <f t="shared" si="48"/>
        <v>21.236804049454527</v>
      </c>
      <c r="D70" s="15">
        <f t="shared" ref="D70:V70" si="57">IF(D38=0,0,D38/D28)</f>
        <v>20.945715111531793</v>
      </c>
      <c r="E70" s="15">
        <f t="shared" si="57"/>
        <v>21.27300864247842</v>
      </c>
      <c r="F70" s="15">
        <f t="shared" si="57"/>
        <v>19.843515660656621</v>
      </c>
      <c r="G70" s="15">
        <f t="shared" si="57"/>
        <v>17.89470506306067</v>
      </c>
      <c r="H70" s="15">
        <f t="shared" si="57"/>
        <v>16.889491126833107</v>
      </c>
      <c r="I70" s="15">
        <f t="shared" si="57"/>
        <v>16.851624426899161</v>
      </c>
      <c r="J70" s="15">
        <f t="shared" si="57"/>
        <v>16.893401165854549</v>
      </c>
      <c r="K70" s="15">
        <f t="shared" si="57"/>
        <v>17.063031230728079</v>
      </c>
      <c r="L70" s="15">
        <f t="shared" si="57"/>
        <v>18.448900844542734</v>
      </c>
      <c r="M70" s="15">
        <f t="shared" si="57"/>
        <v>20.566894606766226</v>
      </c>
      <c r="N70" s="15">
        <f t="shared" si="57"/>
        <v>23.594560038528133</v>
      </c>
      <c r="O70" s="15">
        <f t="shared" si="57"/>
        <v>24.874676625279051</v>
      </c>
      <c r="P70" s="15">
        <f t="shared" si="57"/>
        <v>27.887746790273869</v>
      </c>
      <c r="Q70" s="15">
        <f t="shared" si="57"/>
        <v>28.821074657894652</v>
      </c>
      <c r="R70" s="15">
        <f t="shared" si="57"/>
        <v>31.821814026238084</v>
      </c>
      <c r="S70" s="15">
        <f t="shared" si="57"/>
        <v>30.674956033070732</v>
      </c>
      <c r="T70" s="15">
        <f t="shared" si="57"/>
        <v>31.089783605481269</v>
      </c>
      <c r="U70" s="15">
        <f t="shared" si="57"/>
        <v>33.329651407105288</v>
      </c>
      <c r="V70" s="15">
        <f t="shared" si="57"/>
        <v>26.170211264701553</v>
      </c>
      <c r="W70" s="15">
        <f t="shared" ref="W70:Y70" si="58">IF(W38=0,0,W38/W28)</f>
        <v>25.904187655537591</v>
      </c>
      <c r="X70" s="15">
        <f t="shared" si="58"/>
        <v>25.87161951410916</v>
      </c>
      <c r="Y70" s="15">
        <f t="shared" si="58"/>
        <v>25.535720079849071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16.365143935076347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15.202475894043333</v>
      </c>
      <c r="H72" s="41">
        <f t="shared" si="61"/>
        <v>14.017847842266166</v>
      </c>
      <c r="I72" s="41">
        <f t="shared" si="61"/>
        <v>13.786843762306626</v>
      </c>
      <c r="J72" s="41">
        <f t="shared" si="61"/>
        <v>13.706049515651269</v>
      </c>
      <c r="K72" s="41">
        <f t="shared" si="61"/>
        <v>13.698894254303417</v>
      </c>
      <c r="L72" s="41">
        <f t="shared" si="61"/>
        <v>14.504774438576121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20.847919403023052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17.970037243342698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53.867382020046897</v>
      </c>
      <c r="D73" s="40">
        <f t="shared" ref="D73:V73" si="63">IF(D41=0,0,D41/D31)</f>
        <v>52.903188435639549</v>
      </c>
      <c r="E73" s="40">
        <f t="shared" si="63"/>
        <v>48.726605018216745</v>
      </c>
      <c r="F73" s="40">
        <f t="shared" si="63"/>
        <v>48.059639068158532</v>
      </c>
      <c r="G73" s="40">
        <f t="shared" si="63"/>
        <v>44.215541300581243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52.527925633175627</v>
      </c>
      <c r="M73" s="40">
        <f t="shared" si="63"/>
        <v>55.0664135384947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2346.48258505273</v>
      </c>
      <c r="C75" s="62">
        <f t="shared" si="65"/>
        <v>2344.8337152228601</v>
      </c>
      <c r="D75" s="62">
        <f t="shared" ref="D75:V75" si="66">IF(D13=0,0,D13*1000000/D23)</f>
        <v>2176.6375495877137</v>
      </c>
      <c r="E75" s="62">
        <f t="shared" si="66"/>
        <v>2175.7373738158512</v>
      </c>
      <c r="F75" s="62">
        <f t="shared" si="66"/>
        <v>2203.8497005954523</v>
      </c>
      <c r="G75" s="62">
        <f t="shared" si="66"/>
        <v>2255.0499751646839</v>
      </c>
      <c r="H75" s="62">
        <f t="shared" si="66"/>
        <v>2244.3470013593719</v>
      </c>
      <c r="I75" s="62">
        <f t="shared" si="66"/>
        <v>2171.7162647214695</v>
      </c>
      <c r="J75" s="62">
        <f t="shared" si="66"/>
        <v>2192.6228361634912</v>
      </c>
      <c r="K75" s="62">
        <f t="shared" si="66"/>
        <v>2246.6409383160503</v>
      </c>
      <c r="L75" s="62">
        <f t="shared" si="66"/>
        <v>2279.7494647340463</v>
      </c>
      <c r="M75" s="62">
        <f t="shared" si="66"/>
        <v>2346.4784343114225</v>
      </c>
      <c r="N75" s="62">
        <f t="shared" si="66"/>
        <v>2307.9960127315576</v>
      </c>
      <c r="O75" s="62">
        <f t="shared" si="66"/>
        <v>2359.9467907995627</v>
      </c>
      <c r="P75" s="62">
        <f t="shared" si="66"/>
        <v>2327.5388086692242</v>
      </c>
      <c r="Q75" s="62">
        <f t="shared" si="66"/>
        <v>2265.1157976120521</v>
      </c>
      <c r="R75" s="62">
        <f t="shared" si="66"/>
        <v>2233.4563298462826</v>
      </c>
      <c r="S75" s="62">
        <f t="shared" si="66"/>
        <v>2197.3155616760355</v>
      </c>
      <c r="T75" s="62">
        <f t="shared" si="66"/>
        <v>2221.6748934316029</v>
      </c>
      <c r="U75" s="62">
        <f t="shared" si="66"/>
        <v>2210.1111341598607</v>
      </c>
      <c r="V75" s="62">
        <f t="shared" si="66"/>
        <v>2109.3822934212913</v>
      </c>
      <c r="W75" s="62">
        <f t="shared" ref="W75:Y75" si="67">IF(W13=0,0,W13*1000000/W23)</f>
        <v>2114.3153561462655</v>
      </c>
      <c r="X75" s="62">
        <f t="shared" si="67"/>
        <v>2190.0185435906724</v>
      </c>
      <c r="Y75" s="62">
        <f t="shared" si="67"/>
        <v>2112.8537977415717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2341.6281872016748</v>
      </c>
      <c r="C76" s="14">
        <f t="shared" si="65"/>
        <v>2341.6355746443392</v>
      </c>
      <c r="D76" s="14">
        <f t="shared" ref="D76:V76" si="68">IF(D14=0,0,D14*1000000/D24)</f>
        <v>2168.9521503443802</v>
      </c>
      <c r="E76" s="14">
        <f t="shared" si="68"/>
        <v>2168.9084225056267</v>
      </c>
      <c r="F76" s="14">
        <f t="shared" si="68"/>
        <v>2194.8337629865305</v>
      </c>
      <c r="G76" s="14">
        <f t="shared" si="68"/>
        <v>2246.143523408477</v>
      </c>
      <c r="H76" s="14">
        <f t="shared" si="68"/>
        <v>2232.0255999202795</v>
      </c>
      <c r="I76" s="14">
        <f t="shared" si="68"/>
        <v>2160.4604560166199</v>
      </c>
      <c r="J76" s="14">
        <f t="shared" si="68"/>
        <v>2183.0930230525501</v>
      </c>
      <c r="K76" s="14">
        <f t="shared" si="68"/>
        <v>2238.859118880343</v>
      </c>
      <c r="L76" s="14">
        <f t="shared" si="68"/>
        <v>2270.4948141698001</v>
      </c>
      <c r="M76" s="14">
        <f t="shared" si="68"/>
        <v>2344.5587649792546</v>
      </c>
      <c r="N76" s="14">
        <f t="shared" si="68"/>
        <v>2311.5758358219314</v>
      </c>
      <c r="O76" s="14">
        <f t="shared" si="68"/>
        <v>2367.70887880896</v>
      </c>
      <c r="P76" s="14">
        <f t="shared" si="68"/>
        <v>2332.7141266548047</v>
      </c>
      <c r="Q76" s="14">
        <f t="shared" si="68"/>
        <v>2270.5575491762306</v>
      </c>
      <c r="R76" s="14">
        <f t="shared" si="68"/>
        <v>2238.104588026119</v>
      </c>
      <c r="S76" s="14">
        <f t="shared" si="68"/>
        <v>2202.2592658219928</v>
      </c>
      <c r="T76" s="14">
        <f t="shared" si="68"/>
        <v>2227.9679740847491</v>
      </c>
      <c r="U76" s="14">
        <f t="shared" si="68"/>
        <v>2219.5383595687563</v>
      </c>
      <c r="V76" s="14">
        <f t="shared" si="68"/>
        <v>2130.9885337877408</v>
      </c>
      <c r="W76" s="14">
        <f t="shared" ref="W76:Y76" si="69">IF(W14=0,0,W14*1000000/W24)</f>
        <v>2124.5997343794684</v>
      </c>
      <c r="X76" s="14">
        <f t="shared" si="69"/>
        <v>2194.5350123862772</v>
      </c>
      <c r="Y76" s="14">
        <f t="shared" si="69"/>
        <v>2113.7531833431262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2714.7657294185956</v>
      </c>
      <c r="C78" s="39">
        <f t="shared" si="65"/>
        <v>2714.7941643064109</v>
      </c>
      <c r="D78" s="39">
        <f t="shared" ref="D78:V78" si="72">IF(D16=0,0,D16*1000000/D26)</f>
        <v>2570.6096106449932</v>
      </c>
      <c r="E78" s="39">
        <f t="shared" si="72"/>
        <v>2570.5756607392818</v>
      </c>
      <c r="F78" s="39">
        <f t="shared" si="72"/>
        <v>2522.5580078651938</v>
      </c>
      <c r="G78" s="39">
        <f t="shared" si="72"/>
        <v>2554.970281059831</v>
      </c>
      <c r="H78" s="39">
        <f t="shared" si="72"/>
        <v>2585.5797569620149</v>
      </c>
      <c r="I78" s="39">
        <f t="shared" si="72"/>
        <v>2521.6289427454089</v>
      </c>
      <c r="J78" s="39">
        <f t="shared" si="72"/>
        <v>2515.8410469266596</v>
      </c>
      <c r="K78" s="39">
        <f t="shared" si="72"/>
        <v>2500.380423072746</v>
      </c>
      <c r="L78" s="39">
        <f t="shared" si="72"/>
        <v>2498.9107353772515</v>
      </c>
      <c r="M78" s="39">
        <f t="shared" si="72"/>
        <v>2526.3348168955849</v>
      </c>
      <c r="N78" s="39">
        <f t="shared" si="72"/>
        <v>2477.263529405438</v>
      </c>
      <c r="O78" s="39">
        <f t="shared" si="72"/>
        <v>2557.5993473682256</v>
      </c>
      <c r="P78" s="39">
        <f t="shared" si="72"/>
        <v>2506.3008198581342</v>
      </c>
      <c r="Q78" s="39">
        <f t="shared" si="72"/>
        <v>2443.9614527919694</v>
      </c>
      <c r="R78" s="39">
        <f t="shared" si="72"/>
        <v>2445.4698690099735</v>
      </c>
      <c r="S78" s="39">
        <f t="shared" si="72"/>
        <v>2477.590941855779</v>
      </c>
      <c r="T78" s="39">
        <f t="shared" si="72"/>
        <v>2453.2741515059133</v>
      </c>
      <c r="U78" s="39">
        <f t="shared" si="72"/>
        <v>2489.979940789503</v>
      </c>
      <c r="V78" s="39">
        <f t="shared" si="72"/>
        <v>2283.8318380361156</v>
      </c>
      <c r="W78" s="39">
        <f t="shared" ref="W78:Y78" si="73">IF(W16=0,0,W16*1000000/W26)</f>
        <v>2236.3645836953265</v>
      </c>
      <c r="X78" s="39">
        <f t="shared" si="73"/>
        <v>2467.8046741436638</v>
      </c>
      <c r="Y78" s="39">
        <f t="shared" si="73"/>
        <v>2439.5341557718721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1266.5167451199598</v>
      </c>
      <c r="C79" s="39">
        <f t="shared" si="65"/>
        <v>1266.5167451199598</v>
      </c>
      <c r="D79" s="39">
        <f t="shared" ref="D79:V79" si="74">IF(D17=0,0,D17*1000000/D27)</f>
        <v>1266.5167451199598</v>
      </c>
      <c r="E79" s="39">
        <f t="shared" si="74"/>
        <v>1266.5167451199598</v>
      </c>
      <c r="F79" s="39">
        <f t="shared" si="74"/>
        <v>1266.5167451199598</v>
      </c>
      <c r="G79" s="39">
        <f t="shared" si="74"/>
        <v>1287.7538075959128</v>
      </c>
      <c r="H79" s="39">
        <f t="shared" si="74"/>
        <v>1442.5975468710042</v>
      </c>
      <c r="I79" s="39">
        <f t="shared" si="74"/>
        <v>1441.6737837147593</v>
      </c>
      <c r="J79" s="39">
        <f t="shared" si="74"/>
        <v>1511.0546875602188</v>
      </c>
      <c r="K79" s="39">
        <f t="shared" si="74"/>
        <v>1534.9561148215571</v>
      </c>
      <c r="L79" s="39">
        <f t="shared" si="74"/>
        <v>1564.6784909063581</v>
      </c>
      <c r="M79" s="39">
        <f t="shared" si="74"/>
        <v>1807.5056194093709</v>
      </c>
      <c r="N79" s="39">
        <f t="shared" si="74"/>
        <v>1846.8326963906582</v>
      </c>
      <c r="O79" s="39">
        <f t="shared" si="74"/>
        <v>1930.2084856317358</v>
      </c>
      <c r="P79" s="39">
        <f t="shared" si="74"/>
        <v>1991.4926207551737</v>
      </c>
      <c r="Q79" s="39">
        <f t="shared" si="74"/>
        <v>1897.63912354064</v>
      </c>
      <c r="R79" s="39">
        <f t="shared" si="74"/>
        <v>1879.408199550898</v>
      </c>
      <c r="S79" s="39">
        <f t="shared" si="74"/>
        <v>1693.8674752854067</v>
      </c>
      <c r="T79" s="39">
        <f t="shared" si="74"/>
        <v>1782.8495950939539</v>
      </c>
      <c r="U79" s="39">
        <f t="shared" si="74"/>
        <v>1716.0620700437773</v>
      </c>
      <c r="V79" s="39">
        <f t="shared" si="74"/>
        <v>1636.3848056537104</v>
      </c>
      <c r="W79" s="39">
        <f t="shared" ref="W79:Y79" si="75">IF(W17=0,0,W17*1000000/W27)</f>
        <v>1914.3859797297296</v>
      </c>
      <c r="X79" s="39">
        <f t="shared" si="75"/>
        <v>1011.2872085048011</v>
      </c>
      <c r="Y79" s="39">
        <f t="shared" si="75"/>
        <v>1063.8274971941637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2503.8162369728952</v>
      </c>
      <c r="C80" s="15">
        <f t="shared" si="65"/>
        <v>2485.3435232463025</v>
      </c>
      <c r="D80" s="15">
        <f t="shared" ref="D80:V80" si="76">IF(D18=0,0,D18*1000000/D28)</f>
        <v>2492.8032231243305</v>
      </c>
      <c r="E80" s="15">
        <f t="shared" si="76"/>
        <v>2487.8752042785054</v>
      </c>
      <c r="F80" s="15">
        <f t="shared" si="76"/>
        <v>2503.808858586734</v>
      </c>
      <c r="G80" s="15">
        <f t="shared" si="76"/>
        <v>2506.7957136992109</v>
      </c>
      <c r="H80" s="15">
        <f t="shared" si="76"/>
        <v>2579.6791846738215</v>
      </c>
      <c r="I80" s="15">
        <f t="shared" si="76"/>
        <v>2522.2943142194963</v>
      </c>
      <c r="J80" s="15">
        <f t="shared" si="76"/>
        <v>2486.1623163328222</v>
      </c>
      <c r="K80" s="15">
        <f t="shared" si="76"/>
        <v>2482.7837862832534</v>
      </c>
      <c r="L80" s="15">
        <f t="shared" si="76"/>
        <v>2596.7266397124881</v>
      </c>
      <c r="M80" s="15">
        <f t="shared" si="76"/>
        <v>2433.6646761062457</v>
      </c>
      <c r="N80" s="15">
        <f t="shared" si="76"/>
        <v>2124.6499541597946</v>
      </c>
      <c r="O80" s="15">
        <f t="shared" si="76"/>
        <v>2011.2122601431358</v>
      </c>
      <c r="P80" s="15">
        <f t="shared" si="76"/>
        <v>2037.7210014767261</v>
      </c>
      <c r="Q80" s="15">
        <f t="shared" si="76"/>
        <v>1949.9064607960861</v>
      </c>
      <c r="R80" s="15">
        <f t="shared" si="76"/>
        <v>1854.215234990608</v>
      </c>
      <c r="S80" s="15">
        <f t="shared" si="76"/>
        <v>1778.9269717424434</v>
      </c>
      <c r="T80" s="15">
        <f t="shared" si="76"/>
        <v>1650.7853298156067</v>
      </c>
      <c r="U80" s="15">
        <f t="shared" si="76"/>
        <v>1387.3226058357384</v>
      </c>
      <c r="V80" s="15">
        <f t="shared" si="76"/>
        <v>1413.6497994823849</v>
      </c>
      <c r="W80" s="15">
        <f t="shared" ref="W80:Y80" si="77">IF(W18=0,0,W18*1000000/W28)</f>
        <v>1478.3221252292517</v>
      </c>
      <c r="X80" s="15">
        <f t="shared" si="77"/>
        <v>1743.9491445428378</v>
      </c>
      <c r="Y80" s="15">
        <f t="shared" si="77"/>
        <v>1999.190983839798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2672.5418620845935</v>
      </c>
      <c r="C82" s="41">
        <f t="shared" si="65"/>
        <v>2672.1858549469957</v>
      </c>
      <c r="D82" s="41">
        <f t="shared" ref="D82:V82" si="80">IF(D20=0,0,D20*1000000/D30)</f>
        <v>2672.6047381344451</v>
      </c>
      <c r="E82" s="41">
        <f t="shared" si="80"/>
        <v>2672.2633956494856</v>
      </c>
      <c r="F82" s="41">
        <f t="shared" si="80"/>
        <v>2673.224994345278</v>
      </c>
      <c r="G82" s="41">
        <f t="shared" si="80"/>
        <v>2634.364106129332</v>
      </c>
      <c r="H82" s="41">
        <f t="shared" si="80"/>
        <v>2685.227091335888</v>
      </c>
      <c r="I82" s="41">
        <f t="shared" si="80"/>
        <v>2614.9700661745701</v>
      </c>
      <c r="J82" s="41">
        <f t="shared" si="80"/>
        <v>2557.292628036736</v>
      </c>
      <c r="K82" s="41">
        <f t="shared" si="80"/>
        <v>2531.14389766256</v>
      </c>
      <c r="L82" s="41">
        <f t="shared" si="80"/>
        <v>2646.5242587601074</v>
      </c>
      <c r="M82" s="41">
        <f t="shared" si="80"/>
        <v>2576.5480159716117</v>
      </c>
      <c r="N82" s="41">
        <f t="shared" si="80"/>
        <v>2438.8394374093127</v>
      </c>
      <c r="O82" s="41">
        <f t="shared" si="80"/>
        <v>2339.9043915817369</v>
      </c>
      <c r="P82" s="41">
        <f t="shared" si="80"/>
        <v>2372.8406398946036</v>
      </c>
      <c r="Q82" s="41">
        <f t="shared" si="80"/>
        <v>2328.738662620688</v>
      </c>
      <c r="R82" s="41">
        <f t="shared" si="80"/>
        <v>2194.2453708986022</v>
      </c>
      <c r="S82" s="41">
        <f t="shared" si="80"/>
        <v>2148.5930209031108</v>
      </c>
      <c r="T82" s="41">
        <f t="shared" si="80"/>
        <v>1978.5482463061958</v>
      </c>
      <c r="U82" s="41">
        <f t="shared" si="80"/>
        <v>1529.5066792060975</v>
      </c>
      <c r="V82" s="41">
        <f t="shared" si="80"/>
        <v>1650.0240717095839</v>
      </c>
      <c r="W82" s="41">
        <f t="shared" ref="W82:Y82" si="81">IF(W20=0,0,W20*1000000/W30)</f>
        <v>1747.2405415316325</v>
      </c>
      <c r="X82" s="41">
        <f t="shared" si="81"/>
        <v>2010.2240999560336</v>
      </c>
      <c r="Y82" s="41">
        <f t="shared" si="81"/>
        <v>2219.9186844485157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1238.374048635158</v>
      </c>
      <c r="C83" s="40">
        <f t="shared" si="65"/>
        <v>1238.374048635158</v>
      </c>
      <c r="D83" s="40">
        <f t="shared" ref="D83:V83" si="82">IF(D21=0,0,D21*1000000/D31)</f>
        <v>1238.374048635158</v>
      </c>
      <c r="E83" s="40">
        <f t="shared" si="82"/>
        <v>1238.374048635158</v>
      </c>
      <c r="F83" s="40">
        <f t="shared" si="82"/>
        <v>1238.374048635158</v>
      </c>
      <c r="G83" s="40">
        <f t="shared" si="82"/>
        <v>1259.6111111111111</v>
      </c>
      <c r="H83" s="40">
        <f t="shared" si="82"/>
        <v>1540.4382575396271</v>
      </c>
      <c r="I83" s="40">
        <f t="shared" si="82"/>
        <v>1665.4979015368071</v>
      </c>
      <c r="J83" s="40">
        <f t="shared" si="82"/>
        <v>1860.862212535691</v>
      </c>
      <c r="K83" s="40">
        <f t="shared" si="82"/>
        <v>2010.7470469504538</v>
      </c>
      <c r="L83" s="40">
        <f t="shared" si="82"/>
        <v>2166.4528301886794</v>
      </c>
      <c r="M83" s="40">
        <f t="shared" si="82"/>
        <v>1442.4115057902677</v>
      </c>
      <c r="N83" s="40">
        <f t="shared" si="82"/>
        <v>514.87012987012986</v>
      </c>
      <c r="O83" s="40">
        <f t="shared" si="82"/>
        <v>602.53169683484589</v>
      </c>
      <c r="P83" s="40">
        <f t="shared" si="82"/>
        <v>668.10160968192145</v>
      </c>
      <c r="Q83" s="40">
        <f t="shared" si="82"/>
        <v>578.5338901910261</v>
      </c>
      <c r="R83" s="40">
        <f t="shared" si="82"/>
        <v>564.58874392492203</v>
      </c>
      <c r="S83" s="40">
        <f t="shared" si="82"/>
        <v>383.33379738306917</v>
      </c>
      <c r="T83" s="40">
        <f t="shared" si="82"/>
        <v>476.60169491525414</v>
      </c>
      <c r="U83" s="40">
        <f t="shared" si="82"/>
        <v>948.34653465346514</v>
      </c>
      <c r="V83" s="40">
        <f t="shared" si="82"/>
        <v>738.64285714285711</v>
      </c>
      <c r="W83" s="40">
        <f t="shared" ref="W83:Y83" si="83">IF(W21=0,0,W21*1000000/W31)</f>
        <v>563.30102040816337</v>
      </c>
      <c r="X83" s="40">
        <f t="shared" si="83"/>
        <v>588.58662613981767</v>
      </c>
      <c r="Y83" s="40">
        <f t="shared" si="83"/>
        <v>904.20846905537462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341602.51824850804</v>
      </c>
      <c r="C86" s="11">
        <f t="shared" si="84"/>
        <v>335726.22330672719</v>
      </c>
      <c r="D86" s="11">
        <f t="shared" ref="D86:V86" si="85">IF(D4=0,0,D4*1000000/D24)</f>
        <v>292628.96921444102</v>
      </c>
      <c r="E86" s="11">
        <f t="shared" si="85"/>
        <v>286660.312366336</v>
      </c>
      <c r="F86" s="11">
        <f t="shared" si="85"/>
        <v>314327.99849716364</v>
      </c>
      <c r="G86" s="11">
        <f t="shared" si="85"/>
        <v>318719.25938554772</v>
      </c>
      <c r="H86" s="11">
        <f t="shared" si="85"/>
        <v>297435.42049017875</v>
      </c>
      <c r="I86" s="11">
        <f t="shared" si="85"/>
        <v>279507.53816050349</v>
      </c>
      <c r="J86" s="11">
        <f t="shared" si="85"/>
        <v>284455.71955267829</v>
      </c>
      <c r="K86" s="11">
        <f t="shared" si="85"/>
        <v>291429.84608493856</v>
      </c>
      <c r="L86" s="11">
        <f t="shared" si="85"/>
        <v>305768.53586335655</v>
      </c>
      <c r="M86" s="11">
        <f t="shared" si="85"/>
        <v>322816.1659830623</v>
      </c>
      <c r="N86" s="11">
        <f t="shared" si="85"/>
        <v>334282.00059744681</v>
      </c>
      <c r="O86" s="11">
        <f t="shared" si="85"/>
        <v>372907.67324231198</v>
      </c>
      <c r="P86" s="11">
        <f t="shared" si="85"/>
        <v>360102.67253308947</v>
      </c>
      <c r="Q86" s="11">
        <f t="shared" si="85"/>
        <v>351398.45359325968</v>
      </c>
      <c r="R86" s="11">
        <f t="shared" si="85"/>
        <v>351734.51242480759</v>
      </c>
      <c r="S86" s="11">
        <f t="shared" si="85"/>
        <v>349263.48604329635</v>
      </c>
      <c r="T86" s="11">
        <f t="shared" si="85"/>
        <v>354506.83184952295</v>
      </c>
      <c r="U86" s="11">
        <f t="shared" si="85"/>
        <v>374389.00219431752</v>
      </c>
      <c r="V86" s="11">
        <f t="shared" si="85"/>
        <v>221371.67643741568</v>
      </c>
      <c r="W86" s="11">
        <f t="shared" ref="W86:Y86" si="86">IF(W4=0,0,W4*1000000/W24)</f>
        <v>277050.6532657643</v>
      </c>
      <c r="X86" s="11">
        <f t="shared" si="86"/>
        <v>338940.26345225598</v>
      </c>
      <c r="Y86" s="11">
        <f t="shared" si="86"/>
        <v>345070.93261099106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430912.77149865351</v>
      </c>
      <c r="C88" s="36">
        <f t="shared" si="84"/>
        <v>422368.29665240186</v>
      </c>
      <c r="D88" s="36">
        <f t="shared" ref="D88:V88" si="89">IF(D6=0,0,D6*1000000/D26)</f>
        <v>382521.31699509505</v>
      </c>
      <c r="E88" s="36">
        <f t="shared" si="89"/>
        <v>372730.59577144246</v>
      </c>
      <c r="F88" s="36">
        <f t="shared" si="89"/>
        <v>387960.31609074766</v>
      </c>
      <c r="G88" s="36">
        <f t="shared" si="89"/>
        <v>388013.72876565065</v>
      </c>
      <c r="H88" s="36">
        <f t="shared" si="89"/>
        <v>390754.17463194294</v>
      </c>
      <c r="I88" s="36">
        <f t="shared" si="89"/>
        <v>377314.47766805411</v>
      </c>
      <c r="J88" s="36">
        <f t="shared" si="89"/>
        <v>378003.46030315751</v>
      </c>
      <c r="K88" s="36">
        <f t="shared" si="89"/>
        <v>356336.3564940964</v>
      </c>
      <c r="L88" s="36">
        <f t="shared" si="89"/>
        <v>352055.16188867856</v>
      </c>
      <c r="M88" s="36">
        <f t="shared" si="89"/>
        <v>366320.91807093046</v>
      </c>
      <c r="N88" s="36">
        <f t="shared" si="89"/>
        <v>360659.69646862068</v>
      </c>
      <c r="O88" s="36">
        <f t="shared" si="89"/>
        <v>384949.86374256096</v>
      </c>
      <c r="P88" s="36">
        <f t="shared" si="89"/>
        <v>383789.0762302794</v>
      </c>
      <c r="Q88" s="36">
        <f t="shared" si="89"/>
        <v>371851.43264492537</v>
      </c>
      <c r="R88" s="36">
        <f t="shared" si="89"/>
        <v>380002.68357886898</v>
      </c>
      <c r="S88" s="36">
        <f t="shared" si="89"/>
        <v>379330.01835127617</v>
      </c>
      <c r="T88" s="36">
        <f t="shared" si="89"/>
        <v>380937.22808091808</v>
      </c>
      <c r="U88" s="36">
        <f t="shared" si="89"/>
        <v>412901.85805348126</v>
      </c>
      <c r="V88" s="36">
        <f t="shared" si="89"/>
        <v>250420.99930377924</v>
      </c>
      <c r="W88" s="36">
        <f t="shared" ref="W88:Y88" si="90">IF(W6=0,0,W6*1000000/W26)</f>
        <v>267017.61023021501</v>
      </c>
      <c r="X88" s="36">
        <f t="shared" si="90"/>
        <v>380846.39634268021</v>
      </c>
      <c r="Y88" s="36">
        <f t="shared" si="90"/>
        <v>399025.23262264533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84275.221204172092</v>
      </c>
      <c r="C89" s="36">
        <f t="shared" si="84"/>
        <v>86099.048524757178</v>
      </c>
      <c r="D89" s="36">
        <f t="shared" ref="D89:V89" si="91">IF(D7=0,0,D7*1000000/D27)</f>
        <v>90660.761689315448</v>
      </c>
      <c r="E89" s="36">
        <f t="shared" si="91"/>
        <v>93293.515122562021</v>
      </c>
      <c r="F89" s="36">
        <f t="shared" si="91"/>
        <v>105755.89998676065</v>
      </c>
      <c r="G89" s="36">
        <f t="shared" si="91"/>
        <v>103676.0185678163</v>
      </c>
      <c r="H89" s="36">
        <f t="shared" si="91"/>
        <v>89070.051485563468</v>
      </c>
      <c r="I89" s="36">
        <f t="shared" si="91"/>
        <v>84855.105404227128</v>
      </c>
      <c r="J89" s="36">
        <f t="shared" si="91"/>
        <v>95520.959697259299</v>
      </c>
      <c r="K89" s="36">
        <f t="shared" si="91"/>
        <v>116729.40322401535</v>
      </c>
      <c r="L89" s="36">
        <f t="shared" si="91"/>
        <v>162740.6067034122</v>
      </c>
      <c r="M89" s="36">
        <f t="shared" si="91"/>
        <v>194282.38108832834</v>
      </c>
      <c r="N89" s="36">
        <f t="shared" si="91"/>
        <v>260294.28959129285</v>
      </c>
      <c r="O89" s="36">
        <f t="shared" si="91"/>
        <v>345162.92587006756</v>
      </c>
      <c r="P89" s="36">
        <f t="shared" si="91"/>
        <v>313542.01635747706</v>
      </c>
      <c r="Q89" s="36">
        <f t="shared" si="91"/>
        <v>307412.74976269976</v>
      </c>
      <c r="R89" s="36">
        <f t="shared" si="91"/>
        <v>302836.78541065642</v>
      </c>
      <c r="S89" s="36">
        <f t="shared" si="91"/>
        <v>293746.52404505451</v>
      </c>
      <c r="T89" s="36">
        <f t="shared" si="91"/>
        <v>302290.53107490478</v>
      </c>
      <c r="U89" s="36">
        <f t="shared" si="91"/>
        <v>302690.30231445376</v>
      </c>
      <c r="V89" s="36">
        <f t="shared" si="91"/>
        <v>127367.53631411465</v>
      </c>
      <c r="W89" s="36">
        <f t="shared" ref="W89:Y89" si="92">IF(W7=0,0,W7*1000000/W27)</f>
        <v>295921.37746908487</v>
      </c>
      <c r="X89" s="36">
        <f t="shared" si="92"/>
        <v>157488.21570982283</v>
      </c>
      <c r="Y89" s="36">
        <f t="shared" si="92"/>
        <v>171187.21853737975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51479.074031187542</v>
      </c>
      <c r="C90" s="13">
        <f t="shared" si="84"/>
        <v>57800.001561217381</v>
      </c>
      <c r="D90" s="13">
        <f t="shared" ref="D90:V90" si="93">IF(D8=0,0,D8*1000000/D28)</f>
        <v>54489.619475785228</v>
      </c>
      <c r="E90" s="13">
        <f t="shared" si="93"/>
        <v>53147.763662649821</v>
      </c>
      <c r="F90" s="13">
        <f t="shared" si="93"/>
        <v>47848.113542769453</v>
      </c>
      <c r="G90" s="13">
        <f t="shared" si="93"/>
        <v>44705.551584655834</v>
      </c>
      <c r="H90" s="13">
        <f t="shared" si="93"/>
        <v>44023.005791986681</v>
      </c>
      <c r="I90" s="13">
        <f t="shared" si="93"/>
        <v>44897.638975369802</v>
      </c>
      <c r="J90" s="13">
        <f t="shared" si="93"/>
        <v>45076.570318909035</v>
      </c>
      <c r="K90" s="13">
        <f t="shared" si="93"/>
        <v>46554.83226375607</v>
      </c>
      <c r="L90" s="13">
        <f t="shared" si="93"/>
        <v>54130.485415780749</v>
      </c>
      <c r="M90" s="13">
        <f t="shared" si="93"/>
        <v>51024.418322417565</v>
      </c>
      <c r="N90" s="13">
        <f t="shared" si="93"/>
        <v>44950.360145231134</v>
      </c>
      <c r="O90" s="13">
        <f t="shared" si="93"/>
        <v>44257.021688723282</v>
      </c>
      <c r="P90" s="13">
        <f t="shared" si="93"/>
        <v>50991.611852211165</v>
      </c>
      <c r="Q90" s="13">
        <f t="shared" si="93"/>
        <v>47352.314527847251</v>
      </c>
      <c r="R90" s="13">
        <f t="shared" si="93"/>
        <v>51281.48145057627</v>
      </c>
      <c r="S90" s="13">
        <f t="shared" si="93"/>
        <v>43192.919905664989</v>
      </c>
      <c r="T90" s="13">
        <f t="shared" si="93"/>
        <v>43494.071225940344</v>
      </c>
      <c r="U90" s="13">
        <f t="shared" si="93"/>
        <v>53103.408030226921</v>
      </c>
      <c r="V90" s="13">
        <f t="shared" si="93"/>
        <v>36923.820311502735</v>
      </c>
      <c r="W90" s="13">
        <f t="shared" ref="W90:Y90" si="94">IF(W8=0,0,W8*1000000/W28)</f>
        <v>35408.160213817951</v>
      </c>
      <c r="X90" s="13">
        <f t="shared" si="94"/>
        <v>42156.456512805875</v>
      </c>
      <c r="Y90" s="13">
        <f t="shared" si="94"/>
        <v>51985.199406870393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46141.524078941889</v>
      </c>
      <c r="C92" s="34">
        <f t="shared" si="84"/>
        <v>52091.814783799477</v>
      </c>
      <c r="D92" s="34">
        <f t="shared" ref="D92:V92" si="97">IF(D10=0,0,D10*1000000/D30)</f>
        <v>49321.980561226541</v>
      </c>
      <c r="E92" s="34">
        <f t="shared" si="97"/>
        <v>48850.249512500159</v>
      </c>
      <c r="F92" s="34">
        <f t="shared" si="97"/>
        <v>43563.818384399747</v>
      </c>
      <c r="G92" s="34">
        <f t="shared" si="97"/>
        <v>41465.744030393027</v>
      </c>
      <c r="H92" s="34">
        <f t="shared" si="97"/>
        <v>39323.116238097231</v>
      </c>
      <c r="I92" s="34">
        <f t="shared" si="97"/>
        <v>39370.017355027507</v>
      </c>
      <c r="J92" s="34">
        <f t="shared" si="97"/>
        <v>38248.567597486021</v>
      </c>
      <c r="K92" s="34">
        <f t="shared" si="97"/>
        <v>38202.556076308116</v>
      </c>
      <c r="L92" s="34">
        <f t="shared" si="97"/>
        <v>44159.155591910094</v>
      </c>
      <c r="M92" s="34">
        <f t="shared" si="97"/>
        <v>44210.209210605368</v>
      </c>
      <c r="N92" s="34">
        <f t="shared" si="97"/>
        <v>45678.147621021948</v>
      </c>
      <c r="O92" s="34">
        <f t="shared" si="97"/>
        <v>42407.865110073675</v>
      </c>
      <c r="P92" s="34">
        <f t="shared" si="97"/>
        <v>48235.365845406319</v>
      </c>
      <c r="Q92" s="34">
        <f t="shared" si="97"/>
        <v>44967.187779259009</v>
      </c>
      <c r="R92" s="34">
        <f t="shared" si="97"/>
        <v>48661.242975379311</v>
      </c>
      <c r="S92" s="34">
        <f t="shared" si="97"/>
        <v>43680.718164261656</v>
      </c>
      <c r="T92" s="34">
        <f t="shared" si="97"/>
        <v>41392.909832443263</v>
      </c>
      <c r="U92" s="34">
        <f t="shared" si="97"/>
        <v>37059.855594206441</v>
      </c>
      <c r="V92" s="34">
        <f t="shared" si="97"/>
        <v>33792.311538343674</v>
      </c>
      <c r="W92" s="34">
        <f t="shared" ref="W92:Y92" si="98">IF(W10=0,0,W10*1000000/W30)</f>
        <v>33812.318126505481</v>
      </c>
      <c r="X92" s="34">
        <f t="shared" si="98"/>
        <v>40823.772593363603</v>
      </c>
      <c r="Y92" s="34">
        <f t="shared" si="98"/>
        <v>46963.367991694678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91510.69867302991</v>
      </c>
      <c r="C93" s="35">
        <f t="shared" si="84"/>
        <v>95895.94374963679</v>
      </c>
      <c r="D93" s="35">
        <f t="shared" ref="D93:V93" si="99">IF(D11=0,0,D11*1000000/D31)</f>
        <v>90542.91422852024</v>
      </c>
      <c r="E93" s="35">
        <f t="shared" si="99"/>
        <v>82269.741903663991</v>
      </c>
      <c r="F93" s="35">
        <f t="shared" si="99"/>
        <v>79849.175337939043</v>
      </c>
      <c r="G93" s="35">
        <f t="shared" si="99"/>
        <v>76379.840333246437</v>
      </c>
      <c r="H93" s="35">
        <f t="shared" si="99"/>
        <v>90298.841399513592</v>
      </c>
      <c r="I93" s="35">
        <f t="shared" si="99"/>
        <v>96001.042779122552</v>
      </c>
      <c r="J93" s="35">
        <f t="shared" si="99"/>
        <v>105100.92151541862</v>
      </c>
      <c r="K93" s="35">
        <f t="shared" si="99"/>
        <v>128080.31070210665</v>
      </c>
      <c r="L93" s="35">
        <f t="shared" si="99"/>
        <v>140287.2565905732</v>
      </c>
      <c r="M93" s="35">
        <f t="shared" si="99"/>
        <v>98297.994035614654</v>
      </c>
      <c r="N93" s="35">
        <f t="shared" si="99"/>
        <v>41221.471505224246</v>
      </c>
      <c r="O93" s="35">
        <f t="shared" si="99"/>
        <v>52181.978454364464</v>
      </c>
      <c r="P93" s="35">
        <f t="shared" si="99"/>
        <v>62256.269445239624</v>
      </c>
      <c r="Q93" s="35">
        <f t="shared" si="99"/>
        <v>55986.473357736686</v>
      </c>
      <c r="R93" s="35">
        <f t="shared" si="99"/>
        <v>61219.215179676925</v>
      </c>
      <c r="S93" s="35">
        <f t="shared" si="99"/>
        <v>41351.34445747982</v>
      </c>
      <c r="T93" s="35">
        <f t="shared" si="99"/>
        <v>51021.308745501308</v>
      </c>
      <c r="U93" s="35">
        <f t="shared" si="99"/>
        <v>102635.92914337754</v>
      </c>
      <c r="V93" s="35">
        <f t="shared" si="99"/>
        <v>45866.37629258581</v>
      </c>
      <c r="W93" s="35">
        <f t="shared" ref="W93:Y93" si="100">IF(W11=0,0,W11*1000000/W31)</f>
        <v>40838.168355062975</v>
      </c>
      <c r="X93" s="35">
        <f t="shared" si="100"/>
        <v>47938.949451402834</v>
      </c>
      <c r="Y93" s="35">
        <f t="shared" si="100"/>
        <v>76897.42191744798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832.91430780504243</v>
      </c>
      <c r="C95" s="62">
        <f t="shared" si="101"/>
        <v>833.38236598142134</v>
      </c>
      <c r="D95" s="62">
        <f t="shared" ref="D95:V95" si="102">IF(D23=0,0,D23/D43)</f>
        <v>774.62631655373002</v>
      </c>
      <c r="E95" s="62">
        <f t="shared" si="102"/>
        <v>828.33032310190936</v>
      </c>
      <c r="F95" s="62">
        <f t="shared" si="102"/>
        <v>798.41736333032316</v>
      </c>
      <c r="G95" s="62">
        <f t="shared" si="102"/>
        <v>828.71605063135939</v>
      </c>
      <c r="H95" s="62">
        <f t="shared" si="102"/>
        <v>840.7790572137269</v>
      </c>
      <c r="I95" s="62">
        <f t="shared" si="102"/>
        <v>852.67284308478247</v>
      </c>
      <c r="J95" s="62">
        <f t="shared" si="102"/>
        <v>847.0484947947989</v>
      </c>
      <c r="K95" s="62">
        <f t="shared" si="102"/>
        <v>791.52354542035778</v>
      </c>
      <c r="L95" s="62">
        <f t="shared" si="102"/>
        <v>781.01087272327641</v>
      </c>
      <c r="M95" s="62">
        <f t="shared" si="102"/>
        <v>788.64162628969927</v>
      </c>
      <c r="N95" s="62">
        <f t="shared" si="102"/>
        <v>812.23568237528195</v>
      </c>
      <c r="O95" s="62">
        <f t="shared" si="102"/>
        <v>755.31919281791647</v>
      </c>
      <c r="P95" s="62">
        <f t="shared" si="102"/>
        <v>773.0787559394937</v>
      </c>
      <c r="Q95" s="62">
        <f t="shared" si="102"/>
        <v>812.44842978612826</v>
      </c>
      <c r="R95" s="62">
        <f t="shared" si="102"/>
        <v>816.17671545129269</v>
      </c>
      <c r="S95" s="62">
        <f t="shared" si="102"/>
        <v>835.98450403235881</v>
      </c>
      <c r="T95" s="62">
        <f t="shared" si="102"/>
        <v>833.76140743225085</v>
      </c>
      <c r="U95" s="62">
        <f t="shared" si="102"/>
        <v>832.97085589251083</v>
      </c>
      <c r="V95" s="62">
        <f t="shared" si="102"/>
        <v>288.80874605209328</v>
      </c>
      <c r="W95" s="62">
        <f t="shared" ref="W95:Y95" si="103">IF(W23=0,0,W23/W43)</f>
        <v>514.49191702173187</v>
      </c>
      <c r="X95" s="62">
        <f t="shared" si="103"/>
        <v>700.21173494132177</v>
      </c>
      <c r="Y95" s="62">
        <f t="shared" si="103"/>
        <v>791.03604356386836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839.02285192008287</v>
      </c>
      <c r="C96" s="11">
        <f t="shared" si="104"/>
        <v>839.01969046503871</v>
      </c>
      <c r="D96" s="11">
        <f t="shared" ref="D96:V96" si="105">IF(D24=0,0,D24/D44)</f>
        <v>777.41013802682153</v>
      </c>
      <c r="E96" s="11">
        <f t="shared" si="105"/>
        <v>832.45678353626226</v>
      </c>
      <c r="F96" s="11">
        <f t="shared" si="105"/>
        <v>802.87755144100697</v>
      </c>
      <c r="G96" s="11">
        <f t="shared" si="105"/>
        <v>835.4740038098098</v>
      </c>
      <c r="H96" s="11">
        <f t="shared" si="105"/>
        <v>849.20599329390336</v>
      </c>
      <c r="I96" s="11">
        <f t="shared" si="105"/>
        <v>861.57848549952746</v>
      </c>
      <c r="J96" s="11">
        <f t="shared" si="105"/>
        <v>854.42236700877106</v>
      </c>
      <c r="K96" s="11">
        <f t="shared" si="105"/>
        <v>797.06080880134084</v>
      </c>
      <c r="L96" s="11">
        <f t="shared" si="105"/>
        <v>787.26644736353705</v>
      </c>
      <c r="M96" s="11">
        <f t="shared" si="105"/>
        <v>798.93800434118509</v>
      </c>
      <c r="N96" s="11">
        <f t="shared" si="105"/>
        <v>823.84812452258518</v>
      </c>
      <c r="O96" s="11">
        <f t="shared" si="105"/>
        <v>762.23461815738699</v>
      </c>
      <c r="P96" s="11">
        <f t="shared" si="105"/>
        <v>780.16308139198463</v>
      </c>
      <c r="Q96" s="11">
        <f t="shared" si="105"/>
        <v>818.07656840218851</v>
      </c>
      <c r="R96" s="11">
        <f t="shared" si="105"/>
        <v>820.19905243216385</v>
      </c>
      <c r="S96" s="11">
        <f t="shared" si="105"/>
        <v>837.3051236641445</v>
      </c>
      <c r="T96" s="11">
        <f t="shared" si="105"/>
        <v>833.82859980605144</v>
      </c>
      <c r="U96" s="11">
        <f t="shared" si="105"/>
        <v>832.78147350701602</v>
      </c>
      <c r="V96" s="11">
        <f t="shared" si="105"/>
        <v>283.05860678455934</v>
      </c>
      <c r="W96" s="11">
        <f t="shared" ref="W96:Y96" si="106">IF(W24=0,0,W24/W44)</f>
        <v>511.69273236158472</v>
      </c>
      <c r="X96" s="11">
        <f t="shared" si="106"/>
        <v>699.77003653430904</v>
      </c>
      <c r="Y96" s="11">
        <f t="shared" si="106"/>
        <v>791.79021757667476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799.12471029096878</v>
      </c>
      <c r="C98" s="36">
        <f t="shared" si="104"/>
        <v>799.1189645969763</v>
      </c>
      <c r="D98" s="36">
        <f t="shared" ref="D98:V98" si="109">IF(D26=0,0,D26/D46)</f>
        <v>711.90803555720538</v>
      </c>
      <c r="E98" s="36">
        <f t="shared" si="109"/>
        <v>780.1743078111532</v>
      </c>
      <c r="F98" s="36">
        <f t="shared" si="109"/>
        <v>797.43914891685813</v>
      </c>
      <c r="G98" s="36">
        <f t="shared" si="109"/>
        <v>827.59257688935111</v>
      </c>
      <c r="H98" s="36">
        <f t="shared" si="109"/>
        <v>825.27347024213407</v>
      </c>
      <c r="I98" s="36">
        <f t="shared" si="109"/>
        <v>839.99992170655207</v>
      </c>
      <c r="J98" s="36">
        <f t="shared" si="109"/>
        <v>841.39638477146605</v>
      </c>
      <c r="K98" s="36">
        <f t="shared" si="109"/>
        <v>844.71953741398988</v>
      </c>
      <c r="L98" s="36">
        <f t="shared" si="109"/>
        <v>845.38064077052138</v>
      </c>
      <c r="M98" s="36">
        <f t="shared" si="109"/>
        <v>837.49040845076945</v>
      </c>
      <c r="N98" s="36">
        <f t="shared" si="109"/>
        <v>850.05436738012259</v>
      </c>
      <c r="O98" s="36">
        <f t="shared" si="109"/>
        <v>766.31363253752761</v>
      </c>
      <c r="P98" s="36">
        <f t="shared" si="109"/>
        <v>804.12084687610911</v>
      </c>
      <c r="Q98" s="36">
        <f t="shared" si="109"/>
        <v>852.92451915254321</v>
      </c>
      <c r="R98" s="36">
        <f t="shared" si="109"/>
        <v>854.46081691737697</v>
      </c>
      <c r="S98" s="36">
        <f t="shared" si="109"/>
        <v>846.40884133266854</v>
      </c>
      <c r="T98" s="36">
        <f t="shared" si="109"/>
        <v>855.55152356928966</v>
      </c>
      <c r="U98" s="36">
        <f t="shared" si="109"/>
        <v>843.23220977314008</v>
      </c>
      <c r="V98" s="36">
        <f t="shared" si="109"/>
        <v>339.23733241146664</v>
      </c>
      <c r="W98" s="36">
        <f t="shared" ref="W98:Y98" si="110">IF(W26=0,0,W26/W46)</f>
        <v>528.63418698818521</v>
      </c>
      <c r="X98" s="36">
        <f t="shared" si="110"/>
        <v>850.17792997998856</v>
      </c>
      <c r="Y98" s="36">
        <f t="shared" si="110"/>
        <v>858.88751124410192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980</v>
      </c>
      <c r="C99" s="36">
        <f t="shared" si="104"/>
        <v>980.00000000000011</v>
      </c>
      <c r="D99" s="36">
        <f t="shared" ref="D99:V99" si="111">IF(D27=0,0,D27/D47)</f>
        <v>980</v>
      </c>
      <c r="E99" s="36">
        <f t="shared" si="111"/>
        <v>980</v>
      </c>
      <c r="F99" s="36">
        <f t="shared" si="111"/>
        <v>818.69304083667646</v>
      </c>
      <c r="G99" s="36">
        <f t="shared" si="111"/>
        <v>860.91751435189849</v>
      </c>
      <c r="H99" s="36">
        <f t="shared" si="111"/>
        <v>908</v>
      </c>
      <c r="I99" s="36">
        <f t="shared" si="111"/>
        <v>908</v>
      </c>
      <c r="J99" s="36">
        <f t="shared" si="111"/>
        <v>882</v>
      </c>
      <c r="K99" s="36">
        <f t="shared" si="111"/>
        <v>691.97878284811918</v>
      </c>
      <c r="L99" s="36">
        <f t="shared" si="111"/>
        <v>649.33480062462343</v>
      </c>
      <c r="M99" s="36">
        <f t="shared" si="111"/>
        <v>703.28791566352004</v>
      </c>
      <c r="N99" s="36">
        <f t="shared" si="111"/>
        <v>758.27754964279688</v>
      </c>
      <c r="O99" s="36">
        <f t="shared" si="111"/>
        <v>752.99999999999989</v>
      </c>
      <c r="P99" s="36">
        <f t="shared" si="111"/>
        <v>737</v>
      </c>
      <c r="Q99" s="36">
        <f t="shared" si="111"/>
        <v>752.00112203033552</v>
      </c>
      <c r="R99" s="36">
        <f t="shared" si="111"/>
        <v>767</v>
      </c>
      <c r="S99" s="36">
        <f t="shared" si="111"/>
        <v>821</v>
      </c>
      <c r="T99" s="36">
        <f t="shared" si="111"/>
        <v>794</v>
      </c>
      <c r="U99" s="36">
        <f t="shared" si="111"/>
        <v>814</v>
      </c>
      <c r="V99" s="36">
        <f t="shared" si="111"/>
        <v>184.29561852521411</v>
      </c>
      <c r="W99" s="36">
        <f t="shared" ref="W99:Y99" si="112">IF(W27=0,0,W27/W47)</f>
        <v>482.60289669060762</v>
      </c>
      <c r="X99" s="36">
        <f t="shared" si="112"/>
        <v>396.23931512213733</v>
      </c>
      <c r="Y99" s="36">
        <f t="shared" si="112"/>
        <v>632.53721094958564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673.89720498783083</v>
      </c>
      <c r="C100" s="13">
        <f t="shared" si="104"/>
        <v>643.44128884469217</v>
      </c>
      <c r="D100" s="13">
        <f t="shared" ref="D100:V100" si="113">IF(D28=0,0,D28/D48)</f>
        <v>675.1659619804019</v>
      </c>
      <c r="E100" s="13">
        <f t="shared" si="113"/>
        <v>675.32078718550054</v>
      </c>
      <c r="F100" s="13">
        <f t="shared" si="113"/>
        <v>673.87080523869827</v>
      </c>
      <c r="G100" s="13">
        <f t="shared" si="113"/>
        <v>674.50230566141227</v>
      </c>
      <c r="H100" s="13">
        <f t="shared" si="113"/>
        <v>661.99574582576156</v>
      </c>
      <c r="I100" s="13">
        <f t="shared" si="113"/>
        <v>645.01503618999914</v>
      </c>
      <c r="J100" s="13">
        <f t="shared" si="113"/>
        <v>669.164126419019</v>
      </c>
      <c r="K100" s="13">
        <f t="shared" si="113"/>
        <v>653.71246458696203</v>
      </c>
      <c r="L100" s="13">
        <f t="shared" si="113"/>
        <v>613.92832044809222</v>
      </c>
      <c r="M100" s="13">
        <f t="shared" si="113"/>
        <v>497.46544350038272</v>
      </c>
      <c r="N100" s="13">
        <f t="shared" si="113"/>
        <v>471.70470384718794</v>
      </c>
      <c r="O100" s="13">
        <f t="shared" si="113"/>
        <v>536.59628217845022</v>
      </c>
      <c r="P100" s="13">
        <f t="shared" si="113"/>
        <v>512.47772484090387</v>
      </c>
      <c r="Q100" s="13">
        <f t="shared" si="113"/>
        <v>580.94165235105322</v>
      </c>
      <c r="R100" s="13">
        <f t="shared" si="113"/>
        <v>582.93567404511009</v>
      </c>
      <c r="S100" s="13">
        <f t="shared" si="113"/>
        <v>737.53690752908005</v>
      </c>
      <c r="T100" s="13">
        <f t="shared" si="113"/>
        <v>827.7106388862353</v>
      </c>
      <c r="U100" s="13">
        <f t="shared" si="113"/>
        <v>849.83829541093235</v>
      </c>
      <c r="V100" s="13">
        <f t="shared" si="113"/>
        <v>835.02478708245167</v>
      </c>
      <c r="W100" s="13">
        <f t="shared" ref="W100:Y100" si="114">IF(W28=0,0,W28/W48)</f>
        <v>777.52567757394013</v>
      </c>
      <c r="X100" s="13">
        <f t="shared" si="114"/>
        <v>746.76588214188075</v>
      </c>
      <c r="Y100" s="13">
        <f t="shared" si="114"/>
        <v>706.04620093089261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654.99843905952298</v>
      </c>
      <c r="C102" s="34">
        <f t="shared" si="104"/>
        <v>620.04640688992424</v>
      </c>
      <c r="D102" s="34">
        <f t="shared" ref="D102:V102" si="117">IF(D30=0,0,D30/D50)</f>
        <v>654.98859742719173</v>
      </c>
      <c r="E102" s="34">
        <f t="shared" si="117"/>
        <v>654.57752320479995</v>
      </c>
      <c r="F102" s="34">
        <f t="shared" si="117"/>
        <v>654.89489374401273</v>
      </c>
      <c r="G102" s="34">
        <f t="shared" si="117"/>
        <v>660.36776220273691</v>
      </c>
      <c r="H102" s="34">
        <f t="shared" si="117"/>
        <v>652.62474472924293</v>
      </c>
      <c r="I102" s="34">
        <f t="shared" si="117"/>
        <v>636.18234125521622</v>
      </c>
      <c r="J102" s="34">
        <f t="shared" si="117"/>
        <v>666.24196171291885</v>
      </c>
      <c r="K102" s="34">
        <f t="shared" si="117"/>
        <v>656.65157982543997</v>
      </c>
      <c r="L102" s="34">
        <f t="shared" si="117"/>
        <v>611.47237466892182</v>
      </c>
      <c r="M102" s="34">
        <f t="shared" si="117"/>
        <v>483.57742428998381</v>
      </c>
      <c r="N102" s="34">
        <f t="shared" si="117"/>
        <v>439.40273435541127</v>
      </c>
      <c r="O102" s="34">
        <f t="shared" si="117"/>
        <v>484.99301985416793</v>
      </c>
      <c r="P102" s="34">
        <f t="shared" si="117"/>
        <v>459.70014298963702</v>
      </c>
      <c r="Q102" s="34">
        <f t="shared" si="117"/>
        <v>511.29903564952565</v>
      </c>
      <c r="R102" s="34">
        <f t="shared" si="117"/>
        <v>520.00025747781149</v>
      </c>
      <c r="S102" s="34">
        <f t="shared" si="117"/>
        <v>663.67250887022453</v>
      </c>
      <c r="T102" s="34">
        <f t="shared" si="117"/>
        <v>760.73943461822887</v>
      </c>
      <c r="U102" s="34">
        <f t="shared" si="117"/>
        <v>817.97886288070606</v>
      </c>
      <c r="V102" s="34">
        <f t="shared" si="117"/>
        <v>798.62294922738147</v>
      </c>
      <c r="W102" s="34">
        <f t="shared" ref="W102:Y102" si="118">IF(W30=0,0,W30/W50)</f>
        <v>769.37535029015703</v>
      </c>
      <c r="X102" s="34">
        <f t="shared" si="118"/>
        <v>771.22864806420898</v>
      </c>
      <c r="Y102" s="34">
        <f t="shared" si="118"/>
        <v>730.64994837067525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860</v>
      </c>
      <c r="C103" s="35">
        <f t="shared" si="104"/>
        <v>860</v>
      </c>
      <c r="D103" s="35">
        <f t="shared" ref="D103:V103" si="119">IF(D31=0,0,D31/D51)</f>
        <v>860</v>
      </c>
      <c r="E103" s="35">
        <f t="shared" si="119"/>
        <v>860</v>
      </c>
      <c r="F103" s="35">
        <f t="shared" si="119"/>
        <v>860</v>
      </c>
      <c r="G103" s="35">
        <f t="shared" si="119"/>
        <v>853</v>
      </c>
      <c r="H103" s="35">
        <f t="shared" si="119"/>
        <v>771</v>
      </c>
      <c r="I103" s="35">
        <f t="shared" si="119"/>
        <v>740</v>
      </c>
      <c r="J103" s="35">
        <f t="shared" si="119"/>
        <v>696</v>
      </c>
      <c r="K103" s="35">
        <f t="shared" si="119"/>
        <v>626.34806820870267</v>
      </c>
      <c r="L103" s="35">
        <f t="shared" si="119"/>
        <v>636</v>
      </c>
      <c r="M103" s="35">
        <f t="shared" si="119"/>
        <v>621.24189316583943</v>
      </c>
      <c r="N103" s="35">
        <f t="shared" si="119"/>
        <v>756.72855703821631</v>
      </c>
      <c r="O103" s="35">
        <f t="shared" si="119"/>
        <v>986.39030489564311</v>
      </c>
      <c r="P103" s="35">
        <f t="shared" si="119"/>
        <v>965.51491242881514</v>
      </c>
      <c r="Q103" s="35">
        <f t="shared" si="119"/>
        <v>1146</v>
      </c>
      <c r="R103" s="35">
        <f t="shared" si="119"/>
        <v>1077.5685881298803</v>
      </c>
      <c r="S103" s="35">
        <f t="shared" si="119"/>
        <v>1272</v>
      </c>
      <c r="T103" s="35">
        <f t="shared" si="119"/>
        <v>1209</v>
      </c>
      <c r="U103" s="35">
        <f t="shared" si="119"/>
        <v>966</v>
      </c>
      <c r="V103" s="35">
        <f t="shared" si="119"/>
        <v>959.97912874419853</v>
      </c>
      <c r="W103" s="35">
        <f t="shared" ref="W103:Y103" si="120">IF(W31=0,0,W31/W51)</f>
        <v>806.59971956866036</v>
      </c>
      <c r="X103" s="35">
        <f t="shared" si="120"/>
        <v>656.42296195506617</v>
      </c>
      <c r="Y103" s="35">
        <f t="shared" si="120"/>
        <v>604.98452153847916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0.93643697584950514</v>
      </c>
      <c r="C108" s="43">
        <f t="shared" si="127"/>
        <v>0.93392232238714301</v>
      </c>
      <c r="D108" s="43">
        <f t="shared" ref="D108:V108" si="128">IF(D6=0,0,D6/D$4)</f>
        <v>0.90457781325156139</v>
      </c>
      <c r="E108" s="43">
        <f t="shared" si="128"/>
        <v>0.89975722410572512</v>
      </c>
      <c r="F108" s="43">
        <f t="shared" si="128"/>
        <v>0.91221380953853826</v>
      </c>
      <c r="G108" s="43">
        <f t="shared" si="128"/>
        <v>0.92072538983064789</v>
      </c>
      <c r="H108" s="43">
        <f t="shared" si="128"/>
        <v>0.90736918297291846</v>
      </c>
      <c r="I108" s="43">
        <f t="shared" si="128"/>
        <v>0.89847135777617948</v>
      </c>
      <c r="J108" s="43">
        <f t="shared" si="128"/>
        <v>0.88879462960268196</v>
      </c>
      <c r="K108" s="43">
        <f t="shared" si="128"/>
        <v>0.89149866494104646</v>
      </c>
      <c r="L108" s="43">
        <f t="shared" si="128"/>
        <v>0.86987083095828632</v>
      </c>
      <c r="M108" s="43">
        <f t="shared" si="128"/>
        <v>0.84780895474775764</v>
      </c>
      <c r="N108" s="43">
        <f t="shared" si="128"/>
        <v>0.79535343708381778</v>
      </c>
      <c r="O108" s="43">
        <f t="shared" si="128"/>
        <v>0.71985182389768754</v>
      </c>
      <c r="P108" s="43">
        <f t="shared" si="128"/>
        <v>0.70641059600903999</v>
      </c>
      <c r="Q108" s="43">
        <f t="shared" si="128"/>
        <v>0.72232808956569394</v>
      </c>
      <c r="R108" s="43">
        <f t="shared" si="128"/>
        <v>0.68459691237711473</v>
      </c>
      <c r="S108" s="43">
        <f t="shared" si="128"/>
        <v>0.70453034881320387</v>
      </c>
      <c r="T108" s="43">
        <f t="shared" si="128"/>
        <v>0.71343501691710354</v>
      </c>
      <c r="U108" s="43">
        <f t="shared" si="128"/>
        <v>0.71747686564350643</v>
      </c>
      <c r="V108" s="43">
        <f t="shared" si="128"/>
        <v>0.86417526460307093</v>
      </c>
      <c r="W108" s="43">
        <f t="shared" ref="W108:Y108" si="129">IF(W6=0,0,W6/W$4)</f>
        <v>0.6292378556893885</v>
      </c>
      <c r="X108" s="43">
        <f t="shared" si="129"/>
        <v>0.91282326040790229</v>
      </c>
      <c r="Y108" s="43">
        <f t="shared" si="129"/>
        <v>0.88252029862396486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6.3563024150495015E-2</v>
      </c>
      <c r="C109" s="43">
        <f t="shared" si="130"/>
        <v>6.6077677612856947E-2</v>
      </c>
      <c r="D109" s="43">
        <f t="shared" ref="D109:V109" si="131">IF(D7=0,0,D7/D$4)</f>
        <v>9.5422186748438553E-2</v>
      </c>
      <c r="E109" s="43">
        <f t="shared" si="131"/>
        <v>0.1002427758942749</v>
      </c>
      <c r="F109" s="43">
        <f t="shared" si="131"/>
        <v>8.7786190461461869E-2</v>
      </c>
      <c r="G109" s="43">
        <f t="shared" si="131"/>
        <v>7.9274610169351986E-2</v>
      </c>
      <c r="H109" s="43">
        <f t="shared" si="131"/>
        <v>9.263081702708155E-2</v>
      </c>
      <c r="I109" s="43">
        <f t="shared" si="131"/>
        <v>0.10152864222382059</v>
      </c>
      <c r="J109" s="43">
        <f t="shared" si="131"/>
        <v>0.11120537039731794</v>
      </c>
      <c r="K109" s="43">
        <f t="shared" si="131"/>
        <v>0.10850133505895347</v>
      </c>
      <c r="L109" s="43">
        <f t="shared" si="131"/>
        <v>0.13012916904171359</v>
      </c>
      <c r="M109" s="43">
        <f t="shared" si="131"/>
        <v>0.15219104525224225</v>
      </c>
      <c r="N109" s="43">
        <f t="shared" si="131"/>
        <v>0.20464656291618222</v>
      </c>
      <c r="O109" s="43">
        <f t="shared" si="131"/>
        <v>0.28014817610231246</v>
      </c>
      <c r="P109" s="43">
        <f t="shared" si="131"/>
        <v>0.29358940399095995</v>
      </c>
      <c r="Q109" s="43">
        <f t="shared" si="131"/>
        <v>0.27767191043430617</v>
      </c>
      <c r="R109" s="43">
        <f t="shared" si="131"/>
        <v>0.31540308762288538</v>
      </c>
      <c r="S109" s="43">
        <f t="shared" si="131"/>
        <v>0.29546965118679619</v>
      </c>
      <c r="T109" s="43">
        <f t="shared" si="131"/>
        <v>0.28656498308289641</v>
      </c>
      <c r="U109" s="43">
        <f t="shared" si="131"/>
        <v>0.28252313435649351</v>
      </c>
      <c r="V109" s="43">
        <f t="shared" si="131"/>
        <v>0.13582473539692907</v>
      </c>
      <c r="W109" s="43">
        <f t="shared" ref="W109:Y109" si="132">IF(W7=0,0,W7/W$4)</f>
        <v>0.37076214431061139</v>
      </c>
      <c r="X109" s="43">
        <f t="shared" si="132"/>
        <v>8.7176739592097707E-2</v>
      </c>
      <c r="Y109" s="43">
        <f t="shared" si="132"/>
        <v>0.11747970137603511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0.79086716782734112</v>
      </c>
      <c r="C112" s="44">
        <f t="shared" si="139"/>
        <v>0.78380008756710073</v>
      </c>
      <c r="D112" s="44">
        <f t="shared" ref="D112:V112" si="140">IF(D10=0,0,D10/D$8)</f>
        <v>0.79168764479135234</v>
      </c>
      <c r="E112" s="44">
        <f t="shared" si="140"/>
        <v>0.80094522230026965</v>
      </c>
      <c r="F112" s="44">
        <f t="shared" si="140"/>
        <v>0.80296036308741747</v>
      </c>
      <c r="G112" s="44">
        <f t="shared" si="140"/>
        <v>0.84146115249743958</v>
      </c>
      <c r="H112" s="44">
        <f t="shared" si="140"/>
        <v>0.81088467396091302</v>
      </c>
      <c r="I112" s="44">
        <f t="shared" si="140"/>
        <v>0.79129333022176263</v>
      </c>
      <c r="J112" s="44">
        <f t="shared" si="140"/>
        <v>0.76185984020054409</v>
      </c>
      <c r="K112" s="44">
        <f t="shared" si="140"/>
        <v>0.74433561173031637</v>
      </c>
      <c r="L112" s="44">
        <f t="shared" si="140"/>
        <v>0.73116920303450583</v>
      </c>
      <c r="M112" s="44">
        <f t="shared" si="140"/>
        <v>0.75729269130853627</v>
      </c>
      <c r="N112" s="44">
        <f t="shared" si="140"/>
        <v>0.85024414201253995</v>
      </c>
      <c r="O112" s="44">
        <f t="shared" si="140"/>
        <v>0.77693333583302526</v>
      </c>
      <c r="P112" s="44">
        <f t="shared" si="140"/>
        <v>0.75999166337990742</v>
      </c>
      <c r="Q112" s="44">
        <f t="shared" si="140"/>
        <v>0.74408253540722313</v>
      </c>
      <c r="R112" s="44">
        <f t="shared" si="140"/>
        <v>0.75091447123467447</v>
      </c>
      <c r="S112" s="44">
        <f t="shared" si="140"/>
        <v>0.79951672554867215</v>
      </c>
      <c r="T112" s="44">
        <f t="shared" si="140"/>
        <v>0.74400771877692817</v>
      </c>
      <c r="U112" s="44">
        <f t="shared" si="140"/>
        <v>0.52714046226510913</v>
      </c>
      <c r="V112" s="44">
        <f t="shared" si="140"/>
        <v>0.67782789627479179</v>
      </c>
      <c r="W112" s="44">
        <f t="shared" ref="W112:Y112" si="141">IF(W10=0,0,W10/W$8)</f>
        <v>0.73802857619455275</v>
      </c>
      <c r="X112" s="44">
        <f t="shared" si="141"/>
        <v>0.78700673470763027</v>
      </c>
      <c r="Y112" s="44">
        <f t="shared" si="141"/>
        <v>0.75184178416116498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0.20913283217265885</v>
      </c>
      <c r="C113" s="45">
        <f t="shared" si="142"/>
        <v>0.21619991243289927</v>
      </c>
      <c r="D113" s="45">
        <f t="shared" ref="D113:V113" si="143">IF(D11=0,0,D11/D$8)</f>
        <v>0.20831235520864769</v>
      </c>
      <c r="E113" s="45">
        <f t="shared" si="143"/>
        <v>0.19905477769973032</v>
      </c>
      <c r="F113" s="45">
        <f t="shared" si="143"/>
        <v>0.19703963691258242</v>
      </c>
      <c r="G113" s="45">
        <f t="shared" si="143"/>
        <v>0.15853884750256034</v>
      </c>
      <c r="H113" s="45">
        <f t="shared" si="143"/>
        <v>0.18911532603908696</v>
      </c>
      <c r="I113" s="45">
        <f t="shared" si="143"/>
        <v>0.20870666977823737</v>
      </c>
      <c r="J113" s="45">
        <f t="shared" si="143"/>
        <v>0.23814015979945583</v>
      </c>
      <c r="K113" s="45">
        <f t="shared" si="143"/>
        <v>0.25566438826968352</v>
      </c>
      <c r="L113" s="45">
        <f t="shared" si="143"/>
        <v>0.26883079696549417</v>
      </c>
      <c r="M113" s="45">
        <f t="shared" si="143"/>
        <v>0.24270730869146365</v>
      </c>
      <c r="N113" s="45">
        <f t="shared" si="143"/>
        <v>0.14975585798746008</v>
      </c>
      <c r="O113" s="45">
        <f t="shared" si="143"/>
        <v>0.22306666416697471</v>
      </c>
      <c r="P113" s="45">
        <f t="shared" si="143"/>
        <v>0.24000833662009249</v>
      </c>
      <c r="Q113" s="45">
        <f t="shared" si="143"/>
        <v>0.25591746459277681</v>
      </c>
      <c r="R113" s="45">
        <f t="shared" si="143"/>
        <v>0.24908552876532558</v>
      </c>
      <c r="S113" s="45">
        <f t="shared" si="143"/>
        <v>0.20048327445132785</v>
      </c>
      <c r="T113" s="45">
        <f t="shared" si="143"/>
        <v>0.25599228122307194</v>
      </c>
      <c r="U113" s="45">
        <f t="shared" si="143"/>
        <v>0.47285953773489087</v>
      </c>
      <c r="V113" s="45">
        <f t="shared" si="143"/>
        <v>0.3221721037252081</v>
      </c>
      <c r="W113" s="45">
        <f t="shared" ref="W113:Y113" si="144">IF(W11=0,0,W11/W$8)</f>
        <v>0.26197142380544725</v>
      </c>
      <c r="X113" s="45">
        <f t="shared" si="144"/>
        <v>0.21299326529236973</v>
      </c>
      <c r="Y113" s="45">
        <f t="shared" si="144"/>
        <v>0.24815821583883502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0.86064623303850318</v>
      </c>
      <c r="C118" s="43">
        <f t="shared" si="151"/>
        <v>0.86064154837872353</v>
      </c>
      <c r="D118" s="43">
        <f t="shared" ref="D118:V118" si="152">IF(D16=0,0,D16/D$14)</f>
        <v>0.82015089374121353</v>
      </c>
      <c r="E118" s="43">
        <f t="shared" si="152"/>
        <v>0.82013820703126727</v>
      </c>
      <c r="F118" s="43">
        <f t="shared" si="152"/>
        <v>0.84943848764891827</v>
      </c>
      <c r="G118" s="43">
        <f t="shared" si="152"/>
        <v>0.86027971871833941</v>
      </c>
      <c r="H118" s="43">
        <f t="shared" si="152"/>
        <v>0.80007712200434056</v>
      </c>
      <c r="I118" s="43">
        <f t="shared" si="152"/>
        <v>0.77683565655409481</v>
      </c>
      <c r="J118" s="43">
        <f t="shared" si="152"/>
        <v>0.77078148472181618</v>
      </c>
      <c r="K118" s="43">
        <f t="shared" si="152"/>
        <v>0.8142802712286954</v>
      </c>
      <c r="L118" s="43">
        <f t="shared" si="152"/>
        <v>0.83150922895517432</v>
      </c>
      <c r="M118" s="43">
        <f t="shared" si="152"/>
        <v>0.80504719370289357</v>
      </c>
      <c r="N118" s="43">
        <f t="shared" si="152"/>
        <v>0.79002276340249922</v>
      </c>
      <c r="O118" s="43">
        <f t="shared" si="152"/>
        <v>0.75325924161935842</v>
      </c>
      <c r="P118" s="43">
        <f t="shared" si="152"/>
        <v>0.71213546893369861</v>
      </c>
      <c r="Q118" s="43">
        <f t="shared" si="152"/>
        <v>0.73472823298722312</v>
      </c>
      <c r="R118" s="43">
        <f t="shared" si="152"/>
        <v>0.6923810847268842</v>
      </c>
      <c r="S118" s="43">
        <f t="shared" si="152"/>
        <v>0.72978819982886578</v>
      </c>
      <c r="T118" s="43">
        <f t="shared" si="152"/>
        <v>0.73107637983274432</v>
      </c>
      <c r="U118" s="43">
        <f t="shared" si="152"/>
        <v>0.729822655768669</v>
      </c>
      <c r="V118" s="43">
        <f t="shared" si="152"/>
        <v>0.8187214166132688</v>
      </c>
      <c r="W118" s="43">
        <f t="shared" ref="W118:Y118" si="153">IF(W16=0,0,W16/W$14)</f>
        <v>0.68722602750734385</v>
      </c>
      <c r="X118" s="43">
        <f t="shared" si="153"/>
        <v>0.91354149486150893</v>
      </c>
      <c r="Y118" s="43">
        <f t="shared" si="153"/>
        <v>0.88081631397355076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0.13935376696149684</v>
      </c>
      <c r="C119" s="43">
        <f t="shared" si="154"/>
        <v>0.13935845162127652</v>
      </c>
      <c r="D119" s="43">
        <f t="shared" ref="D119:V119" si="155">IF(D17=0,0,D17/D$14)</f>
        <v>0.17984910625878653</v>
      </c>
      <c r="E119" s="43">
        <f t="shared" si="155"/>
        <v>0.17986179296873278</v>
      </c>
      <c r="F119" s="43">
        <f t="shared" si="155"/>
        <v>0.15056151235108167</v>
      </c>
      <c r="G119" s="43">
        <f t="shared" si="155"/>
        <v>0.13972028128166064</v>
      </c>
      <c r="H119" s="43">
        <f t="shared" si="155"/>
        <v>0.19992287799565941</v>
      </c>
      <c r="I119" s="43">
        <f t="shared" si="155"/>
        <v>0.22316434344590533</v>
      </c>
      <c r="J119" s="43">
        <f t="shared" si="155"/>
        <v>0.22921851527818382</v>
      </c>
      <c r="K119" s="43">
        <f t="shared" si="155"/>
        <v>0.18571972877130455</v>
      </c>
      <c r="L119" s="43">
        <f t="shared" si="155"/>
        <v>0.16849077104482571</v>
      </c>
      <c r="M119" s="43">
        <f t="shared" si="155"/>
        <v>0.19495280629710648</v>
      </c>
      <c r="N119" s="43">
        <f t="shared" si="155"/>
        <v>0.20997723659750075</v>
      </c>
      <c r="O119" s="43">
        <f t="shared" si="155"/>
        <v>0.24674075838064158</v>
      </c>
      <c r="P119" s="43">
        <f t="shared" si="155"/>
        <v>0.28786453106630144</v>
      </c>
      <c r="Q119" s="43">
        <f t="shared" si="155"/>
        <v>0.26527176701277688</v>
      </c>
      <c r="R119" s="43">
        <f t="shared" si="155"/>
        <v>0.30761891527311591</v>
      </c>
      <c r="S119" s="43">
        <f t="shared" si="155"/>
        <v>0.27021180017113428</v>
      </c>
      <c r="T119" s="43">
        <f t="shared" si="155"/>
        <v>0.26892362016725568</v>
      </c>
      <c r="U119" s="43">
        <f t="shared" si="155"/>
        <v>0.270177344231331</v>
      </c>
      <c r="V119" s="43">
        <f t="shared" si="155"/>
        <v>0.18127858338673117</v>
      </c>
      <c r="W119" s="43">
        <f t="shared" ref="W119:Y119" si="156">IF(W17=0,0,W17/W$14)</f>
        <v>0.31277397249265609</v>
      </c>
      <c r="X119" s="43">
        <f t="shared" si="156"/>
        <v>8.6458505138491154E-2</v>
      </c>
      <c r="Y119" s="43">
        <f t="shared" si="156"/>
        <v>0.11918368602644912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0.9418123972542598</v>
      </c>
      <c r="C122" s="44">
        <f t="shared" si="163"/>
        <v>0.93506953046568042</v>
      </c>
      <c r="D122" s="44">
        <f t="shared" ref="D122:V122" si="164">IF(D20=0,0,D20/D$18)</f>
        <v>0.93772149476737499</v>
      </c>
      <c r="E122" s="44">
        <f t="shared" si="164"/>
        <v>0.93599104796478849</v>
      </c>
      <c r="F122" s="44">
        <f t="shared" si="164"/>
        <v>0.94160190852705716</v>
      </c>
      <c r="G122" s="44">
        <f t="shared" si="164"/>
        <v>0.95337316382983173</v>
      </c>
      <c r="H122" s="44">
        <f t="shared" si="164"/>
        <v>0.94494423059652399</v>
      </c>
      <c r="I122" s="44">
        <f t="shared" si="164"/>
        <v>0.93554862154797092</v>
      </c>
      <c r="J122" s="44">
        <f t="shared" si="164"/>
        <v>0.92355277603562935</v>
      </c>
      <c r="K122" s="44">
        <f t="shared" si="164"/>
        <v>0.92473879426589278</v>
      </c>
      <c r="L122" s="44">
        <f t="shared" si="164"/>
        <v>0.91345824002512954</v>
      </c>
      <c r="M122" s="44">
        <f t="shared" si="164"/>
        <v>0.92533024932650298</v>
      </c>
      <c r="N122" s="44">
        <f t="shared" si="164"/>
        <v>0.96042655915299047</v>
      </c>
      <c r="O122" s="44">
        <f t="shared" si="164"/>
        <v>0.94332150542038851</v>
      </c>
      <c r="P122" s="44">
        <f t="shared" si="164"/>
        <v>0.93554749949874538</v>
      </c>
      <c r="Q122" s="44">
        <f t="shared" si="164"/>
        <v>0.93577959339418337</v>
      </c>
      <c r="R122" s="44">
        <f t="shared" si="164"/>
        <v>0.93646787636417483</v>
      </c>
      <c r="S122" s="44">
        <f t="shared" si="164"/>
        <v>0.95487470353953452</v>
      </c>
      <c r="T122" s="44">
        <f t="shared" si="164"/>
        <v>0.93699568138444711</v>
      </c>
      <c r="U122" s="44">
        <f t="shared" si="164"/>
        <v>0.83275824069485338</v>
      </c>
      <c r="V122" s="44">
        <f t="shared" si="164"/>
        <v>0.86448330590013167</v>
      </c>
      <c r="W122" s="44">
        <f t="shared" ref="W122:Y122" si="165">IF(W20=0,0,W20/W$18)</f>
        <v>0.91345091355214481</v>
      </c>
      <c r="X122" s="44">
        <f t="shared" si="165"/>
        <v>0.93678530725196507</v>
      </c>
      <c r="Y122" s="44">
        <f t="shared" si="165"/>
        <v>0.92412287300708906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5.8187602745740113E-2</v>
      </c>
      <c r="C123" s="45">
        <f t="shared" si="166"/>
        <v>6.4930469534319565E-2</v>
      </c>
      <c r="D123" s="45">
        <f t="shared" ref="D123:V123" si="167">IF(D21=0,0,D21/D$18)</f>
        <v>6.227850523262498E-2</v>
      </c>
      <c r="E123" s="45">
        <f t="shared" si="167"/>
        <v>6.4008952035211467E-2</v>
      </c>
      <c r="F123" s="45">
        <f t="shared" si="167"/>
        <v>5.8398091472942823E-2</v>
      </c>
      <c r="G123" s="45">
        <f t="shared" si="167"/>
        <v>4.6626836170168169E-2</v>
      </c>
      <c r="H123" s="45">
        <f t="shared" si="167"/>
        <v>5.5055769403475889E-2</v>
      </c>
      <c r="I123" s="45">
        <f t="shared" si="167"/>
        <v>6.4451378452029112E-2</v>
      </c>
      <c r="J123" s="45">
        <f t="shared" si="167"/>
        <v>7.6447223964370564E-2</v>
      </c>
      <c r="K123" s="45">
        <f t="shared" si="167"/>
        <v>7.5261205734107148E-2</v>
      </c>
      <c r="L123" s="45">
        <f t="shared" si="167"/>
        <v>8.65417599748705E-2</v>
      </c>
      <c r="M123" s="45">
        <f t="shared" si="167"/>
        <v>7.4669750673497029E-2</v>
      </c>
      <c r="N123" s="45">
        <f t="shared" si="167"/>
        <v>3.9573440847009526E-2</v>
      </c>
      <c r="O123" s="45">
        <f t="shared" si="167"/>
        <v>5.6678494579611459E-2</v>
      </c>
      <c r="P123" s="45">
        <f t="shared" si="167"/>
        <v>6.4452500501254575E-2</v>
      </c>
      <c r="Q123" s="45">
        <f t="shared" si="167"/>
        <v>6.4220406605816557E-2</v>
      </c>
      <c r="R123" s="45">
        <f t="shared" si="167"/>
        <v>6.3532123635825194E-2</v>
      </c>
      <c r="S123" s="45">
        <f t="shared" si="167"/>
        <v>4.5125296460465376E-2</v>
      </c>
      <c r="T123" s="45">
        <f t="shared" si="167"/>
        <v>6.300431861555289E-2</v>
      </c>
      <c r="U123" s="45">
        <f t="shared" si="167"/>
        <v>0.16724175930514665</v>
      </c>
      <c r="V123" s="45">
        <f t="shared" si="167"/>
        <v>0.1355166940998683</v>
      </c>
      <c r="W123" s="45">
        <f t="shared" ref="W123:Y123" si="168">IF(W21=0,0,W21/W$18)</f>
        <v>8.654908644785525E-2</v>
      </c>
      <c r="X123" s="45">
        <f t="shared" si="168"/>
        <v>6.3214692748034901E-2</v>
      </c>
      <c r="Y123" s="45">
        <f t="shared" si="168"/>
        <v>7.587712699291102E-2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282.28718830610489</v>
      </c>
      <c r="C3" s="79">
        <f t="shared" si="0"/>
        <v>330.73946689595869</v>
      </c>
      <c r="D3" s="79">
        <f t="shared" ref="D3" si="1">SUM(D4:D5)</f>
        <v>318.09974204643163</v>
      </c>
      <c r="E3" s="79">
        <f t="shared" ref="E3" si="2">SUM(E4:E5)</f>
        <v>340.21926053310398</v>
      </c>
      <c r="F3" s="79">
        <f t="shared" ref="F3" si="3">SUM(F4:F5)</f>
        <v>310.72656921754083</v>
      </c>
      <c r="G3" s="79">
        <f t="shared" ref="G3" si="4">SUM(G4:G5)</f>
        <v>306.51332760103179</v>
      </c>
      <c r="H3" s="79">
        <f t="shared" ref="H3" si="5">SUM(H4:H5)</f>
        <v>315.99312123817714</v>
      </c>
      <c r="I3" s="79">
        <f t="shared" ref="I3" si="6">SUM(I4:I5)</f>
        <v>302.30008598452275</v>
      </c>
      <c r="J3" s="79">
        <f t="shared" ref="J3" si="7">SUM(J4:J5)</f>
        <v>301.24677558039554</v>
      </c>
      <c r="K3" s="79">
        <f t="shared" ref="K3" si="8">SUM(K4:K5)</f>
        <v>279.12725709372307</v>
      </c>
      <c r="L3" s="79">
        <f t="shared" ref="L3" si="9">SUM(L4:L5)</f>
        <v>284.39380911435933</v>
      </c>
      <c r="M3" s="79">
        <f t="shared" ref="M3" si="10">SUM(M4:M5)</f>
        <v>309.67325881341361</v>
      </c>
      <c r="N3" s="79">
        <f t="shared" ref="N3" si="11">SUM(N4:N5)</f>
        <v>278.07394668959591</v>
      </c>
      <c r="O3" s="79">
        <f t="shared" ref="O3" si="12">SUM(O4:O5)</f>
        <v>247.52794496990541</v>
      </c>
      <c r="P3" s="79">
        <f t="shared" ref="P3" si="13">SUM(P4:P5)</f>
        <v>243.31470335339645</v>
      </c>
      <c r="Q3" s="79">
        <f t="shared" ref="Q3" si="14">SUM(Q4:Q5)</f>
        <v>245.42132416165092</v>
      </c>
      <c r="R3" s="79">
        <f t="shared" ref="R3" si="15">SUM(R4:R5)</f>
        <v>277.02063628546858</v>
      </c>
      <c r="S3" s="79">
        <f t="shared" ref="S3" si="16">SUM(S4:S5)</f>
        <v>313.68220120378334</v>
      </c>
      <c r="T3" s="79">
        <f t="shared" ref="T3" si="17">SUM(T4:T5)</f>
        <v>324.6650042992261</v>
      </c>
      <c r="U3" s="79">
        <f t="shared" ref="U3" si="18">SUM(U4:U5)</f>
        <v>310.94780739466893</v>
      </c>
      <c r="V3" s="79">
        <f t="shared" ref="V3:W3" si="19">SUM(V4:V5)</f>
        <v>95.191917454858171</v>
      </c>
      <c r="W3" s="79">
        <f t="shared" si="19"/>
        <v>157.67953568357689</v>
      </c>
      <c r="X3" s="79">
        <f t="shared" ref="X3:Y3" si="20">SUM(X4:X5)</f>
        <v>264.67377472055017</v>
      </c>
      <c r="Y3" s="79">
        <f t="shared" si="20"/>
        <v>306.5059329320722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282.28718830610489</v>
      </c>
      <c r="C5" s="96">
        <f t="shared" si="24"/>
        <v>330.73946689595869</v>
      </c>
      <c r="D5" s="96">
        <f t="shared" ref="D5:V5" si="25">SUM(D8:D9,D12:D13)</f>
        <v>318.09974204643163</v>
      </c>
      <c r="E5" s="96">
        <f t="shared" si="25"/>
        <v>340.21926053310398</v>
      </c>
      <c r="F5" s="96">
        <f t="shared" si="25"/>
        <v>310.72656921754083</v>
      </c>
      <c r="G5" s="96">
        <f t="shared" si="25"/>
        <v>306.51332760103179</v>
      </c>
      <c r="H5" s="96">
        <f t="shared" si="25"/>
        <v>315.99312123817714</v>
      </c>
      <c r="I5" s="96">
        <f t="shared" si="25"/>
        <v>302.30008598452275</v>
      </c>
      <c r="J5" s="96">
        <f t="shared" si="25"/>
        <v>301.24677558039554</v>
      </c>
      <c r="K5" s="96">
        <f t="shared" si="25"/>
        <v>279.12725709372307</v>
      </c>
      <c r="L5" s="96">
        <f t="shared" si="25"/>
        <v>284.39380911435933</v>
      </c>
      <c r="M5" s="96">
        <f t="shared" si="25"/>
        <v>309.67325881341361</v>
      </c>
      <c r="N5" s="96">
        <f t="shared" si="25"/>
        <v>278.07394668959591</v>
      </c>
      <c r="O5" s="96">
        <f t="shared" si="25"/>
        <v>247.52794496990541</v>
      </c>
      <c r="P5" s="96">
        <f t="shared" si="25"/>
        <v>243.31470335339645</v>
      </c>
      <c r="Q5" s="96">
        <f t="shared" si="25"/>
        <v>245.42132416165092</v>
      </c>
      <c r="R5" s="96">
        <f t="shared" si="25"/>
        <v>277.02063628546858</v>
      </c>
      <c r="S5" s="96">
        <f t="shared" si="25"/>
        <v>313.68220120378334</v>
      </c>
      <c r="T5" s="96">
        <f t="shared" si="25"/>
        <v>324.6650042992261</v>
      </c>
      <c r="U5" s="96">
        <f t="shared" si="25"/>
        <v>310.94780739466893</v>
      </c>
      <c r="V5" s="96">
        <f t="shared" si="25"/>
        <v>95.191917454858171</v>
      </c>
      <c r="W5" s="96">
        <f t="shared" ref="W5:Y5" si="26">SUM(W8:W9,W12:W13)</f>
        <v>157.67953568357689</v>
      </c>
      <c r="X5" s="96">
        <f t="shared" si="26"/>
        <v>264.67377472055017</v>
      </c>
      <c r="Y5" s="96">
        <f t="shared" si="26"/>
        <v>306.5059329320722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273.04630850536705</v>
      </c>
      <c r="C6" s="21">
        <f t="shared" si="27"/>
        <v>322.75837376032206</v>
      </c>
      <c r="D6" s="21">
        <f t="shared" ref="D6:V6" si="28">SUM(D7:D9)</f>
        <v>309.13634202040686</v>
      </c>
      <c r="E6" s="21">
        <f t="shared" si="28"/>
        <v>331.57997914036599</v>
      </c>
      <c r="F6" s="21">
        <f t="shared" si="28"/>
        <v>300.02029911497084</v>
      </c>
      <c r="G6" s="21">
        <f t="shared" si="28"/>
        <v>294.47305567236504</v>
      </c>
      <c r="H6" s="21">
        <f t="shared" si="28"/>
        <v>302.12825223099327</v>
      </c>
      <c r="I6" s="21">
        <f t="shared" si="28"/>
        <v>290.26728444848243</v>
      </c>
      <c r="J6" s="21">
        <f t="shared" si="28"/>
        <v>289.26098849538141</v>
      </c>
      <c r="K6" s="21">
        <f t="shared" si="28"/>
        <v>268.59282711543807</v>
      </c>
      <c r="L6" s="21">
        <f t="shared" si="28"/>
        <v>274.56774066194305</v>
      </c>
      <c r="M6" s="21">
        <f t="shared" si="28"/>
        <v>302.18878898652179</v>
      </c>
      <c r="N6" s="21">
        <f t="shared" si="28"/>
        <v>272.59559718258924</v>
      </c>
      <c r="O6" s="21">
        <f t="shared" si="28"/>
        <v>242.59348066024344</v>
      </c>
      <c r="P6" s="21">
        <f t="shared" si="28"/>
        <v>239.18010511481771</v>
      </c>
      <c r="Q6" s="21">
        <f t="shared" si="28"/>
        <v>241.50847885689154</v>
      </c>
      <c r="R6" s="21">
        <f t="shared" si="28"/>
        <v>273.76295592349828</v>
      </c>
      <c r="S6" s="21">
        <f t="shared" si="28"/>
        <v>310.25630276492473</v>
      </c>
      <c r="T6" s="21">
        <f t="shared" si="28"/>
        <v>321.66202317161526</v>
      </c>
      <c r="U6" s="21">
        <f t="shared" si="28"/>
        <v>308.54362918269305</v>
      </c>
      <c r="V6" s="21">
        <f t="shared" si="28"/>
        <v>93.169397651568147</v>
      </c>
      <c r="W6" s="21">
        <f t="shared" ref="W6:Y6" si="29">SUM(W7:W9)</f>
        <v>155.74897704470217</v>
      </c>
      <c r="X6" s="21">
        <f t="shared" si="29"/>
        <v>262.56467079967177</v>
      </c>
      <c r="Y6" s="21">
        <f t="shared" si="29"/>
        <v>304.24734196878245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238.28285077483665</v>
      </c>
      <c r="C8" s="96">
        <v>281.6643083363337</v>
      </c>
      <c r="D8" s="96">
        <v>257.65535866998493</v>
      </c>
      <c r="E8" s="96">
        <v>276.3577531043656</v>
      </c>
      <c r="F8" s="96">
        <v>258.1540969698745</v>
      </c>
      <c r="G8" s="96">
        <v>255.18252009079097</v>
      </c>
      <c r="H8" s="96">
        <v>261.98682130862619</v>
      </c>
      <c r="I8" s="96">
        <v>251.83284539915397</v>
      </c>
      <c r="J8" s="96">
        <v>250.50067264248125</v>
      </c>
      <c r="K8" s="96">
        <v>230.73717765684918</v>
      </c>
      <c r="L8" s="96">
        <v>234.67768655883398</v>
      </c>
      <c r="M8" s="96">
        <v>258.99204113642469</v>
      </c>
      <c r="N8" s="96">
        <v>231.26524678164088</v>
      </c>
      <c r="O8" s="96">
        <v>204.11111156124656</v>
      </c>
      <c r="P8" s="96">
        <v>200.92632100209707</v>
      </c>
      <c r="Q8" s="96">
        <v>203.13937256077875</v>
      </c>
      <c r="R8" s="96">
        <v>233.88905411330708</v>
      </c>
      <c r="S8" s="96">
        <v>267.51621367207167</v>
      </c>
      <c r="T8" s="96">
        <v>276.62858670879842</v>
      </c>
      <c r="U8" s="96">
        <v>263.70307309181482</v>
      </c>
      <c r="V8" s="96">
        <v>70.937726760585448</v>
      </c>
      <c r="W8" s="96">
        <v>123.72868284898821</v>
      </c>
      <c r="X8" s="96">
        <v>225.05668331263209</v>
      </c>
      <c r="Y8" s="96">
        <v>260.98957587731627</v>
      </c>
      <c r="DA8" s="171" t="s">
        <v>282</v>
      </c>
    </row>
    <row r="9" spans="1:105" ht="11.45" customHeight="1" x14ac:dyDescent="0.25">
      <c r="A9" s="83" t="s">
        <v>182</v>
      </c>
      <c r="B9" s="96">
        <v>34.763457730530433</v>
      </c>
      <c r="C9" s="96">
        <v>41.094065423988376</v>
      </c>
      <c r="D9" s="96">
        <v>51.480983350421923</v>
      </c>
      <c r="E9" s="96">
        <v>55.222226036000393</v>
      </c>
      <c r="F9" s="96">
        <v>41.866202145096352</v>
      </c>
      <c r="G9" s="96">
        <v>39.290535581574048</v>
      </c>
      <c r="H9" s="96">
        <v>40.141430922367064</v>
      </c>
      <c r="I9" s="96">
        <v>38.434439049328475</v>
      </c>
      <c r="J9" s="96">
        <v>38.760315852900149</v>
      </c>
      <c r="K9" s="96">
        <v>37.855649458588879</v>
      </c>
      <c r="L9" s="96">
        <v>39.890054103109094</v>
      </c>
      <c r="M9" s="96">
        <v>43.196747850097111</v>
      </c>
      <c r="N9" s="96">
        <v>41.330350400948355</v>
      </c>
      <c r="O9" s="96">
        <v>38.482369098996877</v>
      </c>
      <c r="P9" s="96">
        <v>38.253784112720638</v>
      </c>
      <c r="Q9" s="96">
        <v>38.369106296112776</v>
      </c>
      <c r="R9" s="96">
        <v>39.873901810191207</v>
      </c>
      <c r="S9" s="96">
        <v>42.74008909285304</v>
      </c>
      <c r="T9" s="96">
        <v>45.033436462816809</v>
      </c>
      <c r="U9" s="96">
        <v>44.840556090878209</v>
      </c>
      <c r="V9" s="96">
        <v>22.231670890982691</v>
      </c>
      <c r="W9" s="96">
        <v>32.020294195713966</v>
      </c>
      <c r="X9" s="96">
        <v>37.507987487039699</v>
      </c>
      <c r="Y9" s="96">
        <v>43.257766091466159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9.2408798007378525</v>
      </c>
      <c r="C10" s="22">
        <f t="shared" si="30"/>
        <v>7.9810931356366233</v>
      </c>
      <c r="D10" s="22">
        <f t="shared" ref="D10:V10" si="31">SUM(D11:D13)</f>
        <v>8.9634000260247859</v>
      </c>
      <c r="E10" s="22">
        <f t="shared" si="31"/>
        <v>8.6392813927379795</v>
      </c>
      <c r="F10" s="22">
        <f t="shared" si="31"/>
        <v>10.706270102569984</v>
      </c>
      <c r="G10" s="22">
        <f t="shared" si="31"/>
        <v>12.040271928666753</v>
      </c>
      <c r="H10" s="22">
        <f t="shared" si="31"/>
        <v>13.864869007183829</v>
      </c>
      <c r="I10" s="22">
        <f t="shared" si="31"/>
        <v>12.032801536040365</v>
      </c>
      <c r="J10" s="22">
        <f t="shared" si="31"/>
        <v>11.985787085014126</v>
      </c>
      <c r="K10" s="22">
        <f t="shared" si="31"/>
        <v>10.534429978285008</v>
      </c>
      <c r="L10" s="22">
        <f t="shared" si="31"/>
        <v>9.8260684524163029</v>
      </c>
      <c r="M10" s="22">
        <f t="shared" si="31"/>
        <v>7.4844698268918641</v>
      </c>
      <c r="N10" s="22">
        <f t="shared" si="31"/>
        <v>5.4783495070066612</v>
      </c>
      <c r="O10" s="22">
        <f t="shared" si="31"/>
        <v>4.9344643096619674</v>
      </c>
      <c r="P10" s="22">
        <f t="shared" si="31"/>
        <v>4.1345982385787421</v>
      </c>
      <c r="Q10" s="22">
        <f t="shared" si="31"/>
        <v>3.9128453047593563</v>
      </c>
      <c r="R10" s="22">
        <f t="shared" si="31"/>
        <v>3.2576803619702766</v>
      </c>
      <c r="S10" s="22">
        <f t="shared" si="31"/>
        <v>3.4258984388585891</v>
      </c>
      <c r="T10" s="22">
        <f t="shared" si="31"/>
        <v>3.0029811276108411</v>
      </c>
      <c r="U10" s="22">
        <f t="shared" si="31"/>
        <v>2.4041782119758506</v>
      </c>
      <c r="V10" s="22">
        <f t="shared" si="31"/>
        <v>2.0225198032900273</v>
      </c>
      <c r="W10" s="22">
        <f t="shared" ref="W10:Y10" si="32">SUM(W11:W13)</f>
        <v>1.9305586388747085</v>
      </c>
      <c r="X10" s="22">
        <f t="shared" si="32"/>
        <v>2.1091039208784306</v>
      </c>
      <c r="Y10" s="22">
        <f t="shared" si="32"/>
        <v>2.2585909632897363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8.8057766655306686</v>
      </c>
      <c r="C12" s="97">
        <v>7.560839381005291</v>
      </c>
      <c r="D12" s="97">
        <v>8.5108926012566357</v>
      </c>
      <c r="E12" s="97">
        <v>8.1911865671762563</v>
      </c>
      <c r="F12" s="97">
        <v>10.200380447465541</v>
      </c>
      <c r="G12" s="97">
        <v>11.570069379375436</v>
      </c>
      <c r="H12" s="97">
        <v>13.434798644166143</v>
      </c>
      <c r="I12" s="97">
        <v>11.644916649226756</v>
      </c>
      <c r="J12" s="97">
        <v>11.525728631306269</v>
      </c>
      <c r="K12" s="97">
        <v>9.9761606881603875</v>
      </c>
      <c r="L12" s="97">
        <v>9.1168959650674477</v>
      </c>
      <c r="M12" s="97">
        <v>7.162570815292745</v>
      </c>
      <c r="N12" s="97">
        <v>5.3195341780835754</v>
      </c>
      <c r="O12" s="97">
        <v>4.7655191421536198</v>
      </c>
      <c r="P12" s="97">
        <v>4.0094041515863044</v>
      </c>
      <c r="Q12" s="97">
        <v>3.7713851670878231</v>
      </c>
      <c r="R12" s="97">
        <v>3.1708451281748853</v>
      </c>
      <c r="S12" s="97">
        <v>3.3323582582648834</v>
      </c>
      <c r="T12" s="97">
        <v>2.9032134578910607</v>
      </c>
      <c r="U12" s="97">
        <v>2.1021745277327311</v>
      </c>
      <c r="V12" s="97">
        <v>1.591802844287783</v>
      </c>
      <c r="W12" s="97">
        <v>1.821758254052277</v>
      </c>
      <c r="X12" s="97">
        <v>1.8760050738806806</v>
      </c>
      <c r="Y12" s="97">
        <v>1.9915063102975119</v>
      </c>
      <c r="DA12" s="175" t="s">
        <v>286</v>
      </c>
    </row>
    <row r="13" spans="1:105" ht="11.45" customHeight="1" x14ac:dyDescent="0.25">
      <c r="A13" s="85" t="s">
        <v>182</v>
      </c>
      <c r="B13" s="98">
        <v>0.43510313520718402</v>
      </c>
      <c r="C13" s="98">
        <v>0.42025375463133213</v>
      </c>
      <c r="D13" s="98">
        <v>0.4525074247681502</v>
      </c>
      <c r="E13" s="98">
        <v>0.44809482556172286</v>
      </c>
      <c r="F13" s="98">
        <v>0.50588965510444339</v>
      </c>
      <c r="G13" s="98">
        <v>0.47020254929131627</v>
      </c>
      <c r="H13" s="98">
        <v>0.43007036301768603</v>
      </c>
      <c r="I13" s="98">
        <v>0.38788488681360928</v>
      </c>
      <c r="J13" s="98">
        <v>0.46005845370785742</v>
      </c>
      <c r="K13" s="98">
        <v>0.55826929012462045</v>
      </c>
      <c r="L13" s="98">
        <v>0.70917248734885507</v>
      </c>
      <c r="M13" s="98">
        <v>0.32189901159911954</v>
      </c>
      <c r="N13" s="98">
        <v>0.15881532892308586</v>
      </c>
      <c r="O13" s="98">
        <v>0.16894516750834768</v>
      </c>
      <c r="P13" s="98">
        <v>0.12519408699243748</v>
      </c>
      <c r="Q13" s="98">
        <v>0.14146013767153309</v>
      </c>
      <c r="R13" s="98">
        <v>8.6835233795391348E-2</v>
      </c>
      <c r="S13" s="98">
        <v>9.3540180593705863E-2</v>
      </c>
      <c r="T13" s="98">
        <v>9.9767669719780308E-2</v>
      </c>
      <c r="U13" s="98">
        <v>0.30200368424311952</v>
      </c>
      <c r="V13" s="98">
        <v>0.43071695900224416</v>
      </c>
      <c r="W13" s="98">
        <v>0.10880038482243157</v>
      </c>
      <c r="X13" s="98">
        <v>0.23309884699775002</v>
      </c>
      <c r="Y13" s="98">
        <v>0.26708465299222445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441.26571874592696</v>
      </c>
      <c r="C17" s="62">
        <f>IF(C3=0,0,C3/TrAvia_act!C13*100)</f>
        <v>444.61696607034213</v>
      </c>
      <c r="D17" s="62">
        <f>IF(D3=0,0,D3/TrAvia_act!D13*100)</f>
        <v>505.56171390368883</v>
      </c>
      <c r="E17" s="62">
        <f>IF(E3=0,0,E3/TrAvia_act!E13*100)</f>
        <v>506.47676266402931</v>
      </c>
      <c r="F17" s="62">
        <f>IF(F3=0,0,F3/TrAvia_act!F13*100)</f>
        <v>495.68496599255207</v>
      </c>
      <c r="G17" s="62">
        <f>IF(G3=0,0,G3/TrAvia_act!G13*100)</f>
        <v>458.48706506616787</v>
      </c>
      <c r="H17" s="62">
        <f>IF(H3=0,0,H3/TrAvia_act!H13*100)</f>
        <v>442.37636933015267</v>
      </c>
      <c r="I17" s="62">
        <f>IF(I3=0,0,I3/TrAvia_act!I13*100)</f>
        <v>414.36817902231314</v>
      </c>
      <c r="J17" s="62">
        <f>IF(J3=0,0,J3/TrAvia_act!J13*100)</f>
        <v>401.1300691147494</v>
      </c>
      <c r="K17" s="62">
        <f>IF(K3=0,0,K3/TrAvia_act!K13*100)</f>
        <v>400.36749702881502</v>
      </c>
      <c r="L17" s="62">
        <f>IF(L3=0,0,L3/TrAvia_act!L13*100)</f>
        <v>412.45771063547318</v>
      </c>
      <c r="M17" s="62">
        <f>IF(M3=0,0,M3/TrAvia_act!M13*100)</f>
        <v>447.74765862708819</v>
      </c>
      <c r="N17" s="62">
        <f>IF(N3=0,0,N3/TrAvia_act!N13*100)</f>
        <v>423.37077104457023</v>
      </c>
      <c r="O17" s="62">
        <f>IF(O3=0,0,O3/TrAvia_act!O13*100)</f>
        <v>411.48327680505241</v>
      </c>
      <c r="P17" s="62">
        <f>IF(P3=0,0,P3/TrAvia_act!P13*100)</f>
        <v>391.8778476919025</v>
      </c>
      <c r="Q17" s="62">
        <f>IF(Q3=0,0,Q3/TrAvia_act!Q13*100)</f>
        <v>398.00259421181295</v>
      </c>
      <c r="R17" s="62">
        <f>IF(R3=0,0,R3/TrAvia_act!R13*100)</f>
        <v>382.14332821058423</v>
      </c>
      <c r="S17" s="62">
        <f>IF(S3=0,0,S3/TrAvia_act!S13*100)</f>
        <v>392.26502548490515</v>
      </c>
      <c r="T17" s="62">
        <f>IF(T3=0,0,T3/TrAvia_act!T13*100)</f>
        <v>382.09288486822174</v>
      </c>
      <c r="U17" s="62">
        <f>IF(U3=0,0,U3/TrAvia_act!U13*100)</f>
        <v>378.56394537999898</v>
      </c>
      <c r="V17" s="62">
        <f>IF(V3=0,0,V3/TrAvia_act!V13*100)</f>
        <v>363.4361286273201</v>
      </c>
      <c r="W17" s="62">
        <f>IF(W3=0,0,W3/TrAvia_act!W13*100)</f>
        <v>350.07798532192112</v>
      </c>
      <c r="X17" s="62">
        <f>IF(X3=0,0,X3/TrAvia_act!X13*100)</f>
        <v>384.56876971930961</v>
      </c>
      <c r="Y17" s="62">
        <f>IF(Y3=0,0,Y3/TrAvia_act!Y13*100)</f>
        <v>374.62818034933582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440.90188636040909</v>
      </c>
      <c r="C18" s="14">
        <f>IF(C6=0,0,C6/TrAvia_act!C14*100)</f>
        <v>444.36968085765028</v>
      </c>
      <c r="D18" s="14">
        <f>IF(D6=0,0,D6/TrAvia_act!D14*100)</f>
        <v>505.04222988873738</v>
      </c>
      <c r="E18" s="14">
        <f>IF(E6=0,0,E6/TrAvia_act!E14*100)</f>
        <v>506.00316573901193</v>
      </c>
      <c r="F18" s="14">
        <f>IF(F6=0,0,F6/TrAvia_act!F14*100)</f>
        <v>495.01651335291513</v>
      </c>
      <c r="G18" s="14">
        <f>IF(G6=0,0,G6/TrAvia_act!G14*100)</f>
        <v>457.86896394249749</v>
      </c>
      <c r="H18" s="14">
        <f>IF(H6=0,0,H6/TrAvia_act!H14*100)</f>
        <v>440.9282636482331</v>
      </c>
      <c r="I18" s="14">
        <f>IF(I6=0,0,I6/TrAvia_act!I14*100)</f>
        <v>412.78837775563454</v>
      </c>
      <c r="J18" s="14">
        <f>IF(J6=0,0,J6/TrAvia_act!J14*100)</f>
        <v>399.41078164625287</v>
      </c>
      <c r="K18" s="14">
        <f>IF(K6=0,0,K6/TrAvia_act!K14*100)</f>
        <v>399.33631166806839</v>
      </c>
      <c r="L18" s="14">
        <f>IF(L6=0,0,L6/TrAvia_act!L14*100)</f>
        <v>411.50369837657206</v>
      </c>
      <c r="M18" s="14">
        <f>IF(M6=0,0,M6/TrAvia_act!M14*100)</f>
        <v>446.91195228539857</v>
      </c>
      <c r="N18" s="14">
        <f>IF(N6=0,0,N6/TrAvia_act!N14*100)</f>
        <v>422.47807494425541</v>
      </c>
      <c r="O18" s="14">
        <f>IF(O6=0,0,O6/TrAvia_act!O14*100)</f>
        <v>410.90502315331651</v>
      </c>
      <c r="P18" s="14">
        <f>IF(P6=0,0,P6/TrAvia_act!P14*100)</f>
        <v>391.22775087316882</v>
      </c>
      <c r="Q18" s="14">
        <f>IF(Q6=0,0,Q6/TrAvia_act!Q14*100)</f>
        <v>397.46375443332073</v>
      </c>
      <c r="R18" s="14">
        <f>IF(R6=0,0,R6/TrAvia_act!R14*100)</f>
        <v>381.4842427654155</v>
      </c>
      <c r="S18" s="14">
        <f>IF(S6=0,0,S6/TrAvia_act!S14*100)</f>
        <v>391.68404152972494</v>
      </c>
      <c r="T18" s="14">
        <f>IF(T6=0,0,T6/TrAvia_act!T14*100)</f>
        <v>381.65063073548788</v>
      </c>
      <c r="U18" s="14">
        <f>IF(U6=0,0,U6/TrAvia_act!U14*100)</f>
        <v>378.32713876207913</v>
      </c>
      <c r="V18" s="14">
        <f>IF(V6=0,0,V6/TrAvia_act!V14*100)</f>
        <v>363.04251610925348</v>
      </c>
      <c r="W18" s="14">
        <f>IF(W6=0,0,W6/TrAvia_act!W14*100)</f>
        <v>349.68252465167564</v>
      </c>
      <c r="X18" s="14">
        <f>IF(X6=0,0,X6/TrAvia_act!X14*100)</f>
        <v>384.57389825639314</v>
      </c>
      <c r="Y18" s="14">
        <f>IF(Y6=0,0,Y6/TrAvia_act!Y14*100)</f>
        <v>374.6506251154006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447.06818251616642</v>
      </c>
      <c r="C20" s="87">
        <f>IF(C8=0,0,C8/TrAvia_act!C16*100)</f>
        <v>450.58466875894015</v>
      </c>
      <c r="D20" s="87">
        <f>IF(D8=0,0,D8/TrAvia_act!D16*100)</f>
        <v>513.24301432245454</v>
      </c>
      <c r="E20" s="87">
        <f>IF(E8=0,0,E8/TrAvia_act!E16*100)</f>
        <v>514.22068512288956</v>
      </c>
      <c r="F20" s="87">
        <f>IF(F8=0,0,F8/TrAvia_act!F16*100)</f>
        <v>501.43672025646549</v>
      </c>
      <c r="G20" s="87">
        <f>IF(G8=0,0,G8/TrAvia_act!G16*100)</f>
        <v>461.21867215240064</v>
      </c>
      <c r="H20" s="87">
        <f>IF(H8=0,0,H8/TrAvia_act!H16*100)</f>
        <v>477.8858740974747</v>
      </c>
      <c r="I20" s="87">
        <f>IF(I8=0,0,I8/TrAvia_act!I16*100)</f>
        <v>461.01238438944358</v>
      </c>
      <c r="J20" s="87">
        <f>IF(J8=0,0,J8/TrAvia_act!J16*100)</f>
        <v>448.75318154475758</v>
      </c>
      <c r="K20" s="87">
        <f>IF(K8=0,0,K8/TrAvia_act!K16*100)</f>
        <v>421.29669813808749</v>
      </c>
      <c r="L20" s="87">
        <f>IF(L8=0,0,L8/TrAvia_act!L16*100)</f>
        <v>422.98888671300875</v>
      </c>
      <c r="M20" s="87">
        <f>IF(M8=0,0,M8/TrAvia_act!M16*100)</f>
        <v>475.78275780602672</v>
      </c>
      <c r="N20" s="87">
        <f>IF(N8=0,0,N8/TrAvia_act!N16*100)</f>
        <v>453.68676257790617</v>
      </c>
      <c r="O20" s="87">
        <f>IF(O8=0,0,O8/TrAvia_act!O16*100)</f>
        <v>458.97021613290212</v>
      </c>
      <c r="P20" s="87">
        <f>IF(P8=0,0,P8/TrAvia_act!P16*100)</f>
        <v>461.50755596517035</v>
      </c>
      <c r="Q20" s="87">
        <f>IF(Q8=0,0,Q8/TrAvia_act!Q16*100)</f>
        <v>455.02213744457924</v>
      </c>
      <c r="R20" s="87">
        <f>IF(R8=0,0,R8/TrAvia_act!R16*100)</f>
        <v>470.72430766347549</v>
      </c>
      <c r="S20" s="87">
        <f>IF(S8=0,0,S8/TrAvia_act!S16*100)</f>
        <v>462.77355843674724</v>
      </c>
      <c r="T20" s="87">
        <f>IF(T8=0,0,T8/TrAvia_act!T16*100)</f>
        <v>448.95260987189653</v>
      </c>
      <c r="U20" s="87">
        <f>IF(U8=0,0,U8/TrAvia_act!U16*100)</f>
        <v>443.04594125595418</v>
      </c>
      <c r="V20" s="87">
        <f>IF(V8=0,0,V8/TrAvia_act!V16*100)</f>
        <v>337.61778540608759</v>
      </c>
      <c r="W20" s="87">
        <f>IF(W8=0,0,W8/TrAvia_act!W16*100)</f>
        <v>404.22159975195814</v>
      </c>
      <c r="X20" s="87">
        <f>IF(X8=0,0,X8/TrAvia_act!X16*100)</f>
        <v>360.83374909297578</v>
      </c>
      <c r="Y20" s="87">
        <f>IF(Y8=0,0,Y8/TrAvia_act!Y16*100)</f>
        <v>364.86943205389275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402.81895775383197</v>
      </c>
      <c r="C21" s="87">
        <f>IF(C9=0,0,C9/TrAvia_act!C17*100)</f>
        <v>405.98753217349702</v>
      </c>
      <c r="D21" s="87">
        <f>IF(D9=0,0,D9/TrAvia_act!D17*100)</f>
        <v>467.6448759479606</v>
      </c>
      <c r="E21" s="87">
        <f>IF(E9=0,0,E9/TrAvia_act!E17*100)</f>
        <v>468.53271966762389</v>
      </c>
      <c r="F21" s="87">
        <f>IF(F9=0,0,F9/TrAvia_act!F17*100)</f>
        <v>458.79496670805821</v>
      </c>
      <c r="G21" s="87">
        <f>IF(G9=0,0,G9/TrAvia_act!G17*100)</f>
        <v>437.24428433141929</v>
      </c>
      <c r="H21" s="87">
        <f>IF(H9=0,0,H9/TrAvia_act!H17*100)</f>
        <v>293.02653823875448</v>
      </c>
      <c r="I21" s="87">
        <f>IF(I9=0,0,I9/TrAvia_act!I17*100)</f>
        <v>244.92048597423585</v>
      </c>
      <c r="J21" s="87">
        <f>IF(J9=0,0,J9/TrAvia_act!J17*100)</f>
        <v>233.48959413943015</v>
      </c>
      <c r="K21" s="87">
        <f>IF(K9=0,0,K9/TrAvia_act!K17*100)</f>
        <v>303.05192890809832</v>
      </c>
      <c r="L21" s="87">
        <f>IF(L9=0,0,L9/TrAvia_act!L17*100)</f>
        <v>354.82379811369793</v>
      </c>
      <c r="M21" s="87">
        <f>IF(M9=0,0,M9/TrAvia_act!M17*100)</f>
        <v>327.6915039841702</v>
      </c>
      <c r="N21" s="87">
        <f>IF(N9=0,0,N9/TrAvia_act!N17*100)</f>
        <v>305.05785337155402</v>
      </c>
      <c r="O21" s="87">
        <f>IF(O9=0,0,O9/TrAvia_act!O17*100)</f>
        <v>264.16983821789029</v>
      </c>
      <c r="P21" s="87">
        <f>IF(P9=0,0,P9/TrAvia_act!P17*100)</f>
        <v>217.36561589470506</v>
      </c>
      <c r="Q21" s="87">
        <f>IF(Q9=0,0,Q9/TrAvia_act!Q17*100)</f>
        <v>238.04321179627911</v>
      </c>
      <c r="R21" s="87">
        <f>IF(R9=0,0,R9/TrAvia_act!R17*100)</f>
        <v>180.62490067860512</v>
      </c>
      <c r="S21" s="87">
        <f>IF(S9=0,0,S9/TrAvia_act!S17*100)</f>
        <v>199.68542956155039</v>
      </c>
      <c r="T21" s="87">
        <f>IF(T9=0,0,T9/TrAvia_act!T17*100)</f>
        <v>198.68831886409833</v>
      </c>
      <c r="U21" s="87">
        <f>IF(U9=0,0,U9/TrAvia_act!U17*100)</f>
        <v>203.50401120255341</v>
      </c>
      <c r="V21" s="87">
        <f>IF(V9=0,0,V9/TrAvia_act!V17*100)</f>
        <v>477.87004371575216</v>
      </c>
      <c r="W21" s="87">
        <f>IF(W9=0,0,W9/TrAvia_act!W17*100)</f>
        <v>229.84943359749005</v>
      </c>
      <c r="X21" s="87">
        <f>IF(X9=0,0,X9/TrAvia_act!X17*100)</f>
        <v>635.41806124815196</v>
      </c>
      <c r="Y21" s="87">
        <f>IF(Y9=0,0,Y9/TrAvia_act!Y17*100)</f>
        <v>446.93765286170742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452.29387970719677</v>
      </c>
      <c r="C22" s="15">
        <f>IF(C10=0,0,C10/TrAvia_act!C18*100)</f>
        <v>454.85319805219353</v>
      </c>
      <c r="D22" s="15">
        <f>IF(D10=0,0,D10/TrAvia_act!D18*100)</f>
        <v>524.15612571208601</v>
      </c>
      <c r="E22" s="15">
        <f>IF(E10=0,0,E10/TrAvia_act!E18*100)</f>
        <v>525.34858714506993</v>
      </c>
      <c r="F22" s="15">
        <f>IF(F10=0,0,F10/TrAvia_act!F18*100)</f>
        <v>515.17992522747397</v>
      </c>
      <c r="G22" s="15">
        <f>IF(G10=0,0,G10/TrAvia_act!G18*100)</f>
        <v>474.1414316925817</v>
      </c>
      <c r="H22" s="15">
        <f>IF(H10=0,0,H10/TrAvia_act!H18*100)</f>
        <v>476.47593589579236</v>
      </c>
      <c r="I22" s="15">
        <f>IF(I10=0,0,I10/TrAvia_act!I18*100)</f>
        <v>456.51463246403728</v>
      </c>
      <c r="J22" s="15">
        <f>IF(J10=0,0,J10/TrAvia_act!J18*100)</f>
        <v>447.6322581224677</v>
      </c>
      <c r="K22" s="15">
        <f>IF(K10=0,0,K10/TrAvia_act!K18*100)</f>
        <v>428.58497871187842</v>
      </c>
      <c r="L22" s="15">
        <f>IF(L10=0,0,L10/TrAvia_act!L18*100)</f>
        <v>441.0281027830269</v>
      </c>
      <c r="M22" s="15">
        <f>IF(M10=0,0,M10/TrAvia_act!M18*100)</f>
        <v>484.31350350947275</v>
      </c>
      <c r="N22" s="15">
        <f>IF(N10=0,0,N10/TrAvia_act!N18*100)</f>
        <v>473.11404988705766</v>
      </c>
      <c r="O22" s="15">
        <f>IF(O10=0,0,O10/TrAvia_act!O18*100)</f>
        <v>442.06804325282201</v>
      </c>
      <c r="P22" s="15">
        <f>IF(P10=0,0,P10/TrAvia_act!P18*100)</f>
        <v>433.55354410600614</v>
      </c>
      <c r="Q22" s="15">
        <f>IF(Q10=0,0,Q10/TrAvia_act!Q18*100)</f>
        <v>434.34709827342084</v>
      </c>
      <c r="R22" s="15">
        <f>IF(R10=0,0,R10/TrAvia_act!R18*100)</f>
        <v>447.0496656015203</v>
      </c>
      <c r="S22" s="15">
        <f>IF(S10=0,0,S10/TrAvia_act!S18*100)</f>
        <v>453.1348184181536</v>
      </c>
      <c r="T22" s="15">
        <f>IF(T10=0,0,T10/TrAvia_act!T18*100)</f>
        <v>436.24046454285514</v>
      </c>
      <c r="U22" s="15">
        <f>IF(U10=0,0,U10/TrAvia_act!U18*100)</f>
        <v>411.63007501329361</v>
      </c>
      <c r="V22" s="15">
        <f>IF(V10=0,0,V10/TrAvia_act!V18*100)</f>
        <v>382.54219415930442</v>
      </c>
      <c r="W22" s="15">
        <f>IF(W10=0,0,W10/TrAvia_act!W18*100)</f>
        <v>385.22478587913844</v>
      </c>
      <c r="X22" s="15">
        <f>IF(X10=0,0,X10/TrAvia_act!X18*100)</f>
        <v>383.93137917699187</v>
      </c>
      <c r="Y22" s="15">
        <f>IF(Y10=0,0,Y10/TrAvia_act!Y18*100)</f>
        <v>371.6291038321653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457.6259605996575</v>
      </c>
      <c r="C24" s="101">
        <f>IF(C12=0,0,C12/TrAvia_act!C20*100)</f>
        <v>460.82388432324581</v>
      </c>
      <c r="D24" s="101">
        <f>IF(D12=0,0,D12/TrAvia_act!D20*100)</f>
        <v>530.7489281784259</v>
      </c>
      <c r="E24" s="101">
        <f>IF(E12=0,0,E12/TrAvia_act!E20*100)</f>
        <v>532.16348491734107</v>
      </c>
      <c r="F24" s="101">
        <f>IF(F12=0,0,F12/TrAvia_act!F20*100)</f>
        <v>521.27845564663755</v>
      </c>
      <c r="G24" s="101">
        <f>IF(G12=0,0,G12/TrAvia_act!G20*100)</f>
        <v>477.90838615975611</v>
      </c>
      <c r="H24" s="101">
        <f>IF(H12=0,0,H12/TrAvia_act!H20*100)</f>
        <v>488.59631251584022</v>
      </c>
      <c r="I24" s="101">
        <f>IF(I12=0,0,I12/TrAvia_act!I20*100)</f>
        <v>472.23478016578599</v>
      </c>
      <c r="J24" s="101">
        <f>IF(J12=0,0,J12/TrAvia_act!J20*100)</f>
        <v>466.08109682542357</v>
      </c>
      <c r="K24" s="101">
        <f>IF(K12=0,0,K12/TrAvia_act!K20*100)</f>
        <v>438.90473210243596</v>
      </c>
      <c r="L24" s="101">
        <f>IF(L12=0,0,L12/TrAvia_act!L20*100)</f>
        <v>447.96571849922424</v>
      </c>
      <c r="M24" s="101">
        <f>IF(M12=0,0,M12/TrAvia_act!M20*100)</f>
        <v>500.88463015352784</v>
      </c>
      <c r="N24" s="101">
        <f>IF(N12=0,0,N12/TrAvia_act!N20*100)</f>
        <v>478.32772213033581</v>
      </c>
      <c r="O24" s="101">
        <f>IF(O12=0,0,O12/TrAvia_act!O20*100)</f>
        <v>452.58441226141127</v>
      </c>
      <c r="P24" s="101">
        <f>IF(P12=0,0,P12/TrAvia_act!P20*100)</f>
        <v>449.3900152631827</v>
      </c>
      <c r="Q24" s="101">
        <f>IF(Q12=0,0,Q12/TrAvia_act!Q20*100)</f>
        <v>447.37484873373808</v>
      </c>
      <c r="R24" s="101">
        <f>IF(R12=0,0,R12/TrAvia_act!R20*100)</f>
        <v>464.65375450600703</v>
      </c>
      <c r="S24" s="101">
        <f>IF(S12=0,0,S12/TrAvia_act!S20*100)</f>
        <v>461.59197274753978</v>
      </c>
      <c r="T24" s="101">
        <f>IF(T12=0,0,T12/TrAvia_act!T20*100)</f>
        <v>450.10591836176292</v>
      </c>
      <c r="U24" s="101">
        <f>IF(U12=0,0,U12/TrAvia_act!U20*100)</f>
        <v>432.20548248022442</v>
      </c>
      <c r="V24" s="101">
        <f>IF(V12=0,0,V12/TrAvia_act!V20*100)</f>
        <v>348.27253516034131</v>
      </c>
      <c r="W24" s="101">
        <f>IF(W12=0,0,W12/TrAvia_act!W20*100)</f>
        <v>397.95755727658633</v>
      </c>
      <c r="X24" s="101">
        <f>IF(X12=0,0,X12/TrAvia_act!X20*100)</f>
        <v>364.54367550397421</v>
      </c>
      <c r="Y24" s="101">
        <f>IF(Y12=0,0,Y12/TrAvia_act!Y20*100)</f>
        <v>354.5880531123679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365.98993091546271</v>
      </c>
      <c r="C25" s="88">
        <f>IF(C13=0,0,C13/TrAvia_act!C21*100)</f>
        <v>368.86880816448826</v>
      </c>
      <c r="D25" s="88">
        <f>IF(D13=0,0,D13/TrAvia_act!D21*100)</f>
        <v>424.88892974535287</v>
      </c>
      <c r="E25" s="88">
        <f>IF(E13=0,0,E13/TrAvia_act!E21*100)</f>
        <v>425.69559947965547</v>
      </c>
      <c r="F25" s="88">
        <f>IF(F13=0,0,F13/TrAvia_act!F21*100)</f>
        <v>416.84815209829054</v>
      </c>
      <c r="G25" s="88">
        <f>IF(G13=0,0,G13/TrAvia_act!G21*100)</f>
        <v>397.11897867290338</v>
      </c>
      <c r="H25" s="88">
        <f>IF(H13=0,0,H13/TrAvia_act!H21*100)</f>
        <v>268.44905544594712</v>
      </c>
      <c r="I25" s="88">
        <f>IF(I13=0,0,I13/TrAvia_act!I21*100)</f>
        <v>228.32769734909934</v>
      </c>
      <c r="J25" s="88">
        <f>IF(J13=0,0,J13/TrAvia_act!J21*100)</f>
        <v>224.7533187029087</v>
      </c>
      <c r="K25" s="88">
        <f>IF(K13=0,0,K13/TrAvia_act!K21*100)</f>
        <v>301.78557104332941</v>
      </c>
      <c r="L25" s="88">
        <f>IF(L13=0,0,L13/TrAvia_act!L21*100)</f>
        <v>367.80077017587274</v>
      </c>
      <c r="M25" s="88">
        <f>IF(M13=0,0,M13/TrAvia_act!M21*100)</f>
        <v>278.95906465225198</v>
      </c>
      <c r="N25" s="88">
        <f>IF(N13=0,0,N13/TrAvia_act!N21*100)</f>
        <v>346.58097148931637</v>
      </c>
      <c r="O25" s="88">
        <f>IF(O13=0,0,O13/TrAvia_act!O21*100)</f>
        <v>267.04015801489442</v>
      </c>
      <c r="P25" s="88">
        <f>IF(P13=0,0,P13/TrAvia_act!P21*100)</f>
        <v>203.68238508569522</v>
      </c>
      <c r="Q25" s="88">
        <f>IF(Q13=0,0,Q13/TrAvia_act!Q21*100)</f>
        <v>244.514867789032</v>
      </c>
      <c r="R25" s="88">
        <f>IF(R13=0,0,R13/TrAvia_act!R21*100)</f>
        <v>187.56418316732771</v>
      </c>
      <c r="S25" s="88">
        <f>IF(S13=0,0,S13/TrAvia_act!S21*100)</f>
        <v>274.17704159477773</v>
      </c>
      <c r="T25" s="88">
        <f>IF(T13=0,0,T13/TrAvia_act!T21*100)</f>
        <v>230.03443558748344</v>
      </c>
      <c r="U25" s="88">
        <f>IF(U13=0,0,U13/TrAvia_act!U21*100)</f>
        <v>309.17755242006962</v>
      </c>
      <c r="V25" s="88">
        <f>IF(V13=0,0,V13/TrAvia_act!V21*100)</f>
        <v>601.15399177046413</v>
      </c>
      <c r="W25" s="88">
        <f>IF(W13=0,0,W13/TrAvia_act!W21*100)</f>
        <v>250.84137246140386</v>
      </c>
      <c r="X25" s="88">
        <f>IF(X13=0,0,X13/TrAvia_act!X21*100)</f>
        <v>671.23983790239743</v>
      </c>
      <c r="Y25" s="88">
        <f>IF(Y13=0,0,Y13/TrAvia_act!Y21*100)</f>
        <v>579.17550647482142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30.223087645415301</v>
      </c>
      <c r="C28" s="14">
        <f>IF(C6=0,0,C6/TrAvia_act!C4*1000)</f>
        <v>30.994059467286636</v>
      </c>
      <c r="D28" s="14">
        <f>IF(D6=0,0,D6/TrAvia_act!D4*1000)</f>
        <v>37.433492434891846</v>
      </c>
      <c r="E28" s="14">
        <f>IF(E6=0,0,E6/TrAvia_act!E4*1000)</f>
        <v>38.284843790421263</v>
      </c>
      <c r="F28" s="14">
        <f>IF(F6=0,0,F6/TrAvia_act!F4*1000)</f>
        <v>34.56513457081217</v>
      </c>
      <c r="G28" s="14">
        <f>IF(G6=0,0,G6/TrAvia_act!G4*1000)</f>
        <v>32.267877689973844</v>
      </c>
      <c r="H28" s="14">
        <f>IF(H6=0,0,H6/TrAvia_act!H4*1000)</f>
        <v>33.088297640184777</v>
      </c>
      <c r="I28" s="14">
        <f>IF(I6=0,0,I6/TrAvia_act!I4*1000)</f>
        <v>31.906580148553534</v>
      </c>
      <c r="J28" s="14">
        <f>IF(J6=0,0,J6/TrAvia_act!J4*1000)</f>
        <v>30.653308434616434</v>
      </c>
      <c r="K28" s="14">
        <f>IF(K6=0,0,K6/TrAvia_act!K4*1000)</f>
        <v>30.678317780036856</v>
      </c>
      <c r="L28" s="14">
        <f>IF(L6=0,0,L6/TrAvia_act!L4*1000)</f>
        <v>30.556349120016481</v>
      </c>
      <c r="M28" s="14">
        <f>IF(M6=0,0,M6/TrAvia_act!M4*1000)</f>
        <v>32.45845299332683</v>
      </c>
      <c r="N28" s="14">
        <f>IF(N6=0,0,N6/TrAvia_act!N4*1000)</f>
        <v>29.214558590061486</v>
      </c>
      <c r="O28" s="14">
        <f>IF(O6=0,0,O6/TrAvia_act!O4*1000)</f>
        <v>26.08966083235099</v>
      </c>
      <c r="P28" s="14">
        <f>IF(P6=0,0,P6/TrAvia_act!P4*1000)</f>
        <v>25.343397058997599</v>
      </c>
      <c r="Q28" s="14">
        <f>IF(Q6=0,0,Q6/TrAvia_act!Q4*1000)</f>
        <v>25.682080240372869</v>
      </c>
      <c r="R28" s="14">
        <f>IF(R6=0,0,R6/TrAvia_act!R4*1000)</f>
        <v>24.274036349374974</v>
      </c>
      <c r="S28" s="14">
        <f>IF(S6=0,0,S6/TrAvia_act!S4*1000)</f>
        <v>24.697394494496688</v>
      </c>
      <c r="T28" s="14">
        <f>IF(T6=0,0,T6/TrAvia_act!T4*1000)</f>
        <v>23.985585217969493</v>
      </c>
      <c r="U28" s="14">
        <f>IF(U6=0,0,U6/TrAvia_act!U4*1000)</f>
        <v>22.428853198857976</v>
      </c>
      <c r="V28" s="14">
        <f>IF(V6=0,0,V6/TrAvia_act!V4*1000)</f>
        <v>34.947534913075806</v>
      </c>
      <c r="W28" s="14">
        <f>IF(W6=0,0,W6/TrAvia_act!W4*1000)</f>
        <v>26.815868875769148</v>
      </c>
      <c r="X28" s="14">
        <f>IF(X6=0,0,X6/TrAvia_act!X4*1000)</f>
        <v>24.899989041650556</v>
      </c>
      <c r="Y28" s="14">
        <f>IF(Y6=0,0,Y6/TrAvia_act!Y4*1000)</f>
        <v>22.949454058245021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28.165453912802835</v>
      </c>
      <c r="C30" s="87">
        <f>IF(C8=0,0,C8/TrAvia_act!C6*1000)</f>
        <v>28.961563615637719</v>
      </c>
      <c r="D30" s="87">
        <f>IF(D8=0,0,D8/TrAvia_act!D6*1000)</f>
        <v>34.490820945035729</v>
      </c>
      <c r="E30" s="87">
        <f>IF(E8=0,0,E8/TrAvia_act!E6*1000)</f>
        <v>35.46376907132489</v>
      </c>
      <c r="F30" s="87">
        <f>IF(F8=0,0,F8/TrAvia_act!F6*1000)</f>
        <v>32.603932970936469</v>
      </c>
      <c r="G30" s="87">
        <f>IF(G8=0,0,G8/TrAvia_act!G6*1000)</f>
        <v>30.370059434958328</v>
      </c>
      <c r="H30" s="87">
        <f>IF(H8=0,0,H8/TrAvia_act!H6*1000)</f>
        <v>31.621211555023557</v>
      </c>
      <c r="I30" s="87">
        <f>IF(I8=0,0,I8/TrAvia_act!I6*1000)</f>
        <v>30.809901030705078</v>
      </c>
      <c r="J30" s="87">
        <f>IF(J8=0,0,J8/TrAvia_act!J6*1000)</f>
        <v>29.867231193169093</v>
      </c>
      <c r="K30" s="87">
        <f>IF(K8=0,0,K8/TrAvia_act!K6*1000)</f>
        <v>29.562013449702945</v>
      </c>
      <c r="L30" s="87">
        <f>IF(L8=0,0,L8/TrAvia_act!L6*1000)</f>
        <v>30.024029878779093</v>
      </c>
      <c r="M30" s="87">
        <f>IF(M8=0,0,M8/TrAvia_act!M6*1000)</f>
        <v>32.812391731646215</v>
      </c>
      <c r="N30" s="87">
        <f>IF(N8=0,0,N8/TrAvia_act!N6*1000)</f>
        <v>31.162386086188484</v>
      </c>
      <c r="O30" s="87">
        <f>IF(O8=0,0,O8/TrAvia_act!O6*1000)</f>
        <v>30.493891174046389</v>
      </c>
      <c r="P30" s="87">
        <f>IF(P8=0,0,P8/TrAvia_act!P6*1000)</f>
        <v>30.138345188131577</v>
      </c>
      <c r="Q30" s="87">
        <f>IF(Q8=0,0,Q8/TrAvia_act!Q6*1000)</f>
        <v>29.905937330176833</v>
      </c>
      <c r="R30" s="87">
        <f>IF(R8=0,0,R8/TrAvia_act!R6*1000)</f>
        <v>30.292999516743993</v>
      </c>
      <c r="S30" s="87">
        <f>IF(S8=0,0,S8/TrAvia_act!S6*1000)</f>
        <v>30.226017479362334</v>
      </c>
      <c r="T30" s="87">
        <f>IF(T8=0,0,T8/TrAvia_act!T6*1000)</f>
        <v>28.913000669388076</v>
      </c>
      <c r="U30" s="87">
        <f>IF(U8=0,0,U8/TrAvia_act!U6*1000)</f>
        <v>26.717620302707417</v>
      </c>
      <c r="V30" s="87">
        <f>IF(V8=0,0,V8/TrAvia_act!V6*1000)</f>
        <v>30.790638546343004</v>
      </c>
      <c r="W30" s="87">
        <f>IF(W8=0,0,W8/TrAvia_act!W6*1000)</f>
        <v>33.854953194680867</v>
      </c>
      <c r="X30" s="87">
        <f>IF(X8=0,0,X8/TrAvia_act!X6*1000)</f>
        <v>23.381269224330477</v>
      </c>
      <c r="Y30" s="87">
        <f>IF(Y8=0,0,Y8/TrAvia_act!Y6*1000)</f>
        <v>22.307146744635226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60.537005771957716</v>
      </c>
      <c r="C31" s="87">
        <f>IF(C9=0,0,C9/TrAvia_act!C7*1000)</f>
        <v>59.72075378507936</v>
      </c>
      <c r="D31" s="87">
        <f>IF(D9=0,0,D9/TrAvia_act!D7*1000)</f>
        <v>65.329262088853568</v>
      </c>
      <c r="E31" s="87">
        <f>IF(E9=0,0,E9/TrAvia_act!E7*1000)</f>
        <v>63.606193240341625</v>
      </c>
      <c r="F31" s="87">
        <f>IF(F9=0,0,F9/TrAvia_act!F7*1000)</f>
        <v>54.944594862816466</v>
      </c>
      <c r="G31" s="87">
        <f>IF(G9=0,0,G9/TrAvia_act!G7*1000)</f>
        <v>54.309858709420425</v>
      </c>
      <c r="H31" s="87">
        <f>IF(H9=0,0,H9/TrAvia_act!H7*1000)</f>
        <v>47.459202973498257</v>
      </c>
      <c r="I31" s="87">
        <f>IF(I9=0,0,I9/TrAvia_act!I7*1000)</f>
        <v>41.611573286213201</v>
      </c>
      <c r="J31" s="87">
        <f>IF(J9=0,0,J9/TrAvia_act!J7*1000)</f>
        <v>36.935929751870141</v>
      </c>
      <c r="K31" s="87">
        <f>IF(K9=0,0,K9/TrAvia_act!K7*1000)</f>
        <v>39.850406027797725</v>
      </c>
      <c r="L31" s="87">
        <f>IF(L9=0,0,L9/TrAvia_act!L7*1000)</f>
        <v>34.114728721762987</v>
      </c>
      <c r="M31" s="87">
        <f>IF(M9=0,0,M9/TrAvia_act!M7*1000)</f>
        <v>30.48677041974338</v>
      </c>
      <c r="N31" s="87">
        <f>IF(N9=0,0,N9/TrAvia_act!N7*1000)</f>
        <v>21.644378706192683</v>
      </c>
      <c r="O31" s="87">
        <f>IF(O9=0,0,O9/TrAvia_act!O7*1000)</f>
        <v>14.772816694921671</v>
      </c>
      <c r="P31" s="87">
        <f>IF(P9=0,0,P9/TrAvia_act!P7*1000)</f>
        <v>13.806188564108391</v>
      </c>
      <c r="Q31" s="87">
        <f>IF(Q9=0,0,Q9/TrAvia_act!Q7*1000)</f>
        <v>14.694254293180261</v>
      </c>
      <c r="R31" s="87">
        <f>IF(R9=0,0,R9/TrAvia_act!R7*1000)</f>
        <v>11.209599881272929</v>
      </c>
      <c r="S31" s="87">
        <f>IF(S9=0,0,S9/TrAvia_act!S7*1000)</f>
        <v>11.514711723731795</v>
      </c>
      <c r="T31" s="87">
        <f>IF(T9=0,0,T9/TrAvia_act!T7*1000)</f>
        <v>11.71824296239636</v>
      </c>
      <c r="U31" s="87">
        <f>IF(U9=0,0,U9/TrAvia_act!U7*1000)</f>
        <v>11.537386961398862</v>
      </c>
      <c r="V31" s="87">
        <f>IF(V9=0,0,V9/TrAvia_act!V7*1000)</f>
        <v>61.395493800320423</v>
      </c>
      <c r="W31" s="87">
        <f>IF(W9=0,0,W9/TrAvia_act!W7*1000)</f>
        <v>14.869508140682523</v>
      </c>
      <c r="X31" s="87">
        <f>IF(X9=0,0,X9/TrAvia_act!X7*1000)</f>
        <v>40.8024279465563</v>
      </c>
      <c r="Y31" s="87">
        <f>IF(Y9=0,0,Y9/TrAvia_act!Y7*1000)</f>
        <v>27.774536481640627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219.98467944630599</v>
      </c>
      <c r="C32" s="15">
        <f>IF(C10=0,0,C10/TrAvia_act!C8*1000)</f>
        <v>195.58242547962269</v>
      </c>
      <c r="D32" s="15">
        <f>IF(D10=0,0,D10/TrAvia_act!D8*1000)</f>
        <v>239.79210942665895</v>
      </c>
      <c r="E32" s="15">
        <f>IF(E10=0,0,E10/TrAvia_act!E8*1000)</f>
        <v>245.9184796291768</v>
      </c>
      <c r="F32" s="15">
        <f>IF(F10=0,0,F10/TrAvia_act!F8*1000)</f>
        <v>269.58472655303353</v>
      </c>
      <c r="G32" s="15">
        <f>IF(G10=0,0,G10/TrAvia_act!G8*1000)</f>
        <v>265.86758613266335</v>
      </c>
      <c r="H32" s="15">
        <f>IF(H10=0,0,H10/TrAvia_act!H8*1000)</f>
        <v>279.20743522971611</v>
      </c>
      <c r="I32" s="15">
        <f>IF(I10=0,0,I10/TrAvia_act!I8*1000)</f>
        <v>256.4643237595904</v>
      </c>
      <c r="J32" s="15">
        <f>IF(J10=0,0,J10/TrAvia_act!J8*1000)</f>
        <v>246.88800497588093</v>
      </c>
      <c r="K32" s="15">
        <f>IF(K10=0,0,K10/TrAvia_act!K8*1000)</f>
        <v>228.56571153813755</v>
      </c>
      <c r="L32" s="15">
        <f>IF(L10=0,0,L10/TrAvia_act!L8*1000)</f>
        <v>211.56828995009769</v>
      </c>
      <c r="M32" s="15">
        <f>IF(M10=0,0,M10/TrAvia_act!M8*1000)</f>
        <v>230.99855018521976</v>
      </c>
      <c r="N32" s="15">
        <f>IF(N10=0,0,N10/TrAvia_act!N8*1000)</f>
        <v>223.62484775587183</v>
      </c>
      <c r="O32" s="15">
        <f>IF(O10=0,0,O10/TrAvia_act!O8*1000)</f>
        <v>200.89301866286746</v>
      </c>
      <c r="P32" s="15">
        <f>IF(P10=0,0,P10/TrAvia_act!P8*1000)</f>
        <v>173.25617488813802</v>
      </c>
      <c r="Q32" s="15">
        <f>IF(Q10=0,0,Q10/TrAvia_act!Q8*1000)</f>
        <v>178.85846163935747</v>
      </c>
      <c r="R32" s="15">
        <f>IF(R10=0,0,R10/TrAvia_act!R8*1000)</f>
        <v>161.64242477173613</v>
      </c>
      <c r="S32" s="15">
        <f>IF(S10=0,0,S10/TrAvia_act!S8*1000)</f>
        <v>186.62636193158693</v>
      </c>
      <c r="T32" s="15">
        <f>IF(T10=0,0,T10/TrAvia_act!T8*1000)</f>
        <v>165.57184435514316</v>
      </c>
      <c r="U32" s="15">
        <f>IF(U10=0,0,U10/TrAvia_act!U8*1000)</f>
        <v>107.5380525450925</v>
      </c>
      <c r="V32" s="15">
        <f>IF(V10=0,0,V10/TrAvia_act!V8*1000)</f>
        <v>146.45848980539668</v>
      </c>
      <c r="W32" s="15">
        <f>IF(W10=0,0,W10/TrAvia_act!W8*1000)</f>
        <v>160.83476823220843</v>
      </c>
      <c r="X32" s="15">
        <f>IF(X10=0,0,X10/TrAvia_act!X8*1000)</f>
        <v>158.82663194793793</v>
      </c>
      <c r="Y32" s="15">
        <f>IF(Y10=0,0,Y10/TrAvia_act!Y8*1000)</f>
        <v>142.91713068153379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265.05941476636758</v>
      </c>
      <c r="C34" s="101">
        <f>IF(C12=0,0,C12/TrAvia_act!C10*1000)</f>
        <v>236.39166161154262</v>
      </c>
      <c r="D34" s="101">
        <f>IF(D12=0,0,D12/TrAvia_act!D10*1000)</f>
        <v>287.59633819825751</v>
      </c>
      <c r="E34" s="101">
        <f>IF(E12=0,0,E12/TrAvia_act!E10*1000)</f>
        <v>291.11028406968234</v>
      </c>
      <c r="F34" s="101">
        <f>IF(F12=0,0,F12/TrAvia_act!F10*1000)</f>
        <v>319.87430127275297</v>
      </c>
      <c r="G34" s="101">
        <f>IF(G12=0,0,G12/TrAvia_act!G10*1000)</f>
        <v>303.6204288519852</v>
      </c>
      <c r="H34" s="101">
        <f>IF(H12=0,0,H12/TrAvia_act!H10*1000)</f>
        <v>333.64396838500278</v>
      </c>
      <c r="I34" s="101">
        <f>IF(I12=0,0,I12/TrAvia_act!I10*1000)</f>
        <v>313.6599618954362</v>
      </c>
      <c r="J34" s="101">
        <f>IF(J12=0,0,J12/TrAvia_act!J10*1000)</f>
        <v>311.621016902414</v>
      </c>
      <c r="K34" s="101">
        <f>IF(K12=0,0,K12/TrAvia_act!K10*1000)</f>
        <v>290.8001841806763</v>
      </c>
      <c r="L34" s="101">
        <f>IF(L12=0,0,L12/TrAvia_act!L10*1000)</f>
        <v>268.47255687069577</v>
      </c>
      <c r="M34" s="101">
        <f>IF(M12=0,0,M12/TrAvia_act!M10*1000)</f>
        <v>291.91295926805128</v>
      </c>
      <c r="N34" s="101">
        <f>IF(N12=0,0,N12/TrAvia_act!N10*1000)</f>
        <v>255.38787658734901</v>
      </c>
      <c r="O34" s="101">
        <f>IF(O12=0,0,O12/TrAvia_act!O10*1000)</f>
        <v>249.71883188723803</v>
      </c>
      <c r="P34" s="101">
        <f>IF(P12=0,0,P12/TrAvia_act!P10*1000)</f>
        <v>221.06827069518081</v>
      </c>
      <c r="Q34" s="101">
        <f>IF(Q12=0,0,Q12/TrAvia_act!Q10*1000)</f>
        <v>231.68429212085931</v>
      </c>
      <c r="R34" s="101">
        <f>IF(R12=0,0,R12/TrAvia_act!R10*1000)</f>
        <v>209.52287437690839</v>
      </c>
      <c r="S34" s="101">
        <f>IF(S12=0,0,S12/TrAvia_act!S10*1000)</f>
        <v>227.05059184711484</v>
      </c>
      <c r="T34" s="101">
        <f>IF(T12=0,0,T12/TrAvia_act!T10*1000)</f>
        <v>215.14705755928722</v>
      </c>
      <c r="U34" s="101">
        <f>IF(U12=0,0,U12/TrAvia_act!U10*1000)</f>
        <v>178.37661848481156</v>
      </c>
      <c r="V34" s="101">
        <f>IF(V12=0,0,V12/TrAvia_act!V10*1000)</f>
        <v>170.05586193114632</v>
      </c>
      <c r="W34" s="101">
        <f>IF(W12=0,0,W12/TrAvia_act!W10*1000)</f>
        <v>205.64327334229151</v>
      </c>
      <c r="X34" s="101">
        <f>IF(X12=0,0,X12/TrAvia_act!X10*1000)</f>
        <v>179.50680092308977</v>
      </c>
      <c r="Y34" s="101">
        <f>IF(Y12=0,0,Y12/TrAvia_act!Y10*1000)</f>
        <v>167.61077368334711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49.527808122949047</v>
      </c>
      <c r="C35" s="88">
        <f>IF(C13=0,0,C13/TrAvia_act!C11*1000)</f>
        <v>47.634711283980963</v>
      </c>
      <c r="D35" s="88">
        <f>IF(D13=0,0,D13/TrAvia_act!D11*1000)</f>
        <v>58.112932263370027</v>
      </c>
      <c r="E35" s="88">
        <f>IF(E13=0,0,E13/TrAvia_act!E11*1000)</f>
        <v>64.078283317224489</v>
      </c>
      <c r="F35" s="88">
        <f>IF(F13=0,0,F13/TrAvia_act!F11*1000)</f>
        <v>64.648624308931787</v>
      </c>
      <c r="G35" s="88">
        <f>IF(G13=0,0,G13/TrAvia_act!G11*1000)</f>
        <v>65.490511080808417</v>
      </c>
      <c r="H35" s="88">
        <f>IF(H13=0,0,H13/TrAvia_act!H11*1000)</f>
        <v>45.795625813150359</v>
      </c>
      <c r="I35" s="88">
        <f>IF(I13=0,0,I13/TrAvia_act!I11*1000)</f>
        <v>39.611996889720857</v>
      </c>
      <c r="J35" s="88">
        <f>IF(J13=0,0,J13/TrAvia_act!J11*1000)</f>
        <v>39.793652794459817</v>
      </c>
      <c r="K35" s="88">
        <f>IF(K13=0,0,K13/TrAvia_act!K11*1000)</f>
        <v>47.377652541691575</v>
      </c>
      <c r="L35" s="88">
        <f>IF(L13=0,0,L13/TrAvia_act!L11*1000)</f>
        <v>56.799387118861034</v>
      </c>
      <c r="M35" s="88">
        <f>IF(M13=0,0,M13/TrAvia_act!M11*1000)</f>
        <v>40.934076879851091</v>
      </c>
      <c r="N35" s="88">
        <f>IF(N13=0,0,N13/TrAvia_act!N11*1000)</f>
        <v>43.289136288743293</v>
      </c>
      <c r="O35" s="88">
        <f>IF(O13=0,0,O13/TrAvia_act!O11*1000)</f>
        <v>30.834430640163305</v>
      </c>
      <c r="P35" s="88">
        <f>IF(P13=0,0,P13/TrAvia_act!P11*1000)</f>
        <v>21.858124579613921</v>
      </c>
      <c r="Q35" s="88">
        <f>IF(Q13=0,0,Q13/TrAvia_act!Q11*1000)</f>
        <v>25.266842004433009</v>
      </c>
      <c r="R35" s="88">
        <f>IF(R13=0,0,R13/TrAvia_act!R11*1000)</f>
        <v>17.297939261217493</v>
      </c>
      <c r="S35" s="88">
        <f>IF(S13=0,0,S13/TrAvia_act!S11*1000)</f>
        <v>25.416664896555901</v>
      </c>
      <c r="T35" s="88">
        <f>IF(T13=0,0,T13/TrAvia_act!T11*1000)</f>
        <v>21.488041876137739</v>
      </c>
      <c r="U35" s="88">
        <f>IF(U13=0,0,U13/TrAvia_act!U11*1000)</f>
        <v>28.567721155485049</v>
      </c>
      <c r="V35" s="88">
        <f>IF(V13=0,0,V13/TrAvia_act!V11*1000)</f>
        <v>96.811245613041137</v>
      </c>
      <c r="W35" s="88">
        <f>IF(W13=0,0,W13/TrAvia_act!W11*1000)</f>
        <v>34.599789059975109</v>
      </c>
      <c r="X35" s="88">
        <f>IF(X13=0,0,X13/TrAvia_act!X11*1000)</f>
        <v>82.413735812487431</v>
      </c>
      <c r="Y35" s="88">
        <f>IF(Y13=0,0,Y13/TrAvia_act!Y11*1000)</f>
        <v>68.103115158551674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10354.223244180937</v>
      </c>
      <c r="C37" s="62">
        <f>IF(C3=0,0,C3/TrAvia_act!C23*1000000)</f>
        <v>10425.528524018368</v>
      </c>
      <c r="D37" s="62">
        <f>IF(D3=0,0,D3/TrAvia_act!D23*1000000)</f>
        <v>11004.246101166902</v>
      </c>
      <c r="E37" s="62">
        <f>IF(E3=0,0,E3/TrAvia_act!E23*1000000)</f>
        <v>11019.604214973893</v>
      </c>
      <c r="F37" s="62">
        <f>IF(F3=0,0,F3/TrAvia_act!F23*1000000)</f>
        <v>10924.151638923529</v>
      </c>
      <c r="G37" s="62">
        <f>IF(G3=0,0,G3/TrAvia_act!G23*1000000)</f>
        <v>10339.112446907906</v>
      </c>
      <c r="H37" s="62">
        <f>IF(H3=0,0,H3/TrAvia_act!H23*1000000)</f>
        <v>9928.4607797837416</v>
      </c>
      <c r="I37" s="62">
        <f>IF(I3=0,0,I3/TrAvia_act!I23*1000000)</f>
        <v>8998.9011396577498</v>
      </c>
      <c r="J37" s="62">
        <f>IF(J3=0,0,J3/TrAvia_act!J23*1000000)</f>
        <v>8795.2694981283912</v>
      </c>
      <c r="K37" s="62">
        <f>IF(K3=0,0,K3/TrAvia_act!K23*1000000)</f>
        <v>8994.820091960657</v>
      </c>
      <c r="L37" s="62">
        <f>IF(L3=0,0,L3/TrAvia_act!L23*1000000)</f>
        <v>9403.0024504665016</v>
      </c>
      <c r="M37" s="62">
        <f>IF(M3=0,0,M3/TrAvia_act!M23*1000000)</f>
        <v>10506.302249818953</v>
      </c>
      <c r="N37" s="62">
        <f>IF(N3=0,0,N3/TrAvia_act!N23*1000000)</f>
        <v>9771.3805147795319</v>
      </c>
      <c r="O37" s="62">
        <f>IF(O3=0,0,O3/TrAvia_act!O23*1000000)</f>
        <v>9710.7863856377171</v>
      </c>
      <c r="P37" s="62">
        <f>IF(P3=0,0,P3/TrAvia_act!P23*1000000)</f>
        <v>9121.1089876067035</v>
      </c>
      <c r="Q37" s="62">
        <f>IF(Q3=0,0,Q3/TrAvia_act!Q23*1000000)</f>
        <v>9015.2196363975654</v>
      </c>
      <c r="R37" s="62">
        <f>IF(R3=0,0,R3/TrAvia_act!R23*1000000)</f>
        <v>8535.0043530045459</v>
      </c>
      <c r="S37" s="62">
        <f>IF(S3=0,0,S3/TrAvia_act!S23*1000000)</f>
        <v>8619.3004479922874</v>
      </c>
      <c r="T37" s="62">
        <f>IF(T3=0,0,T3/TrAvia_act!T23*1000000)</f>
        <v>8488.861692705801</v>
      </c>
      <c r="U37" s="62">
        <f>IF(U3=0,0,U3/TrAvia_act!U23*1000000)</f>
        <v>8366.6839067582114</v>
      </c>
      <c r="V37" s="62">
        <f>IF(V3=0,0,V3/TrAvia_act!V23*1000000)</f>
        <v>7666.2573451605194</v>
      </c>
      <c r="W37" s="62">
        <f>IF(W3=0,0,W3/TrAvia_act!W23*1000000)</f>
        <v>7401.7526021488466</v>
      </c>
      <c r="X37" s="62">
        <f>IF(X3=0,0,X3/TrAvia_act!X23*1000000)</f>
        <v>8422.127369711392</v>
      </c>
      <c r="Y37" s="62">
        <f>IF(Y3=0,0,Y3/TrAvia_act!Y23*1000000)</f>
        <v>7915.3457359210852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10324.282848919236</v>
      </c>
      <c r="C38" s="14">
        <f>IF(C6=0,0,C6/TrAvia_act!C24*1000000)</f>
        <v>10405.518529896257</v>
      </c>
      <c r="D38" s="14">
        <f>IF(D6=0,0,D6/TrAvia_act!D24*1000000)</f>
        <v>10954.124305318977</v>
      </c>
      <c r="E38" s="14">
        <f>IF(E6=0,0,E6/TrAvia_act!E24*1000000)</f>
        <v>10974.745279858536</v>
      </c>
      <c r="F38" s="14">
        <f>IF(F6=0,0,F6/TrAvia_act!F24*1000000)</f>
        <v>10864.789567428508</v>
      </c>
      <c r="G38" s="14">
        <f>IF(G6=0,0,G6/TrAvia_act!G24*1000000)</f>
        <v>10284.394079291902</v>
      </c>
      <c r="H38" s="14">
        <f>IF(H6=0,0,H6/TrAvia_act!H24*1000000)</f>
        <v>9841.6317219125467</v>
      </c>
      <c r="I38" s="14">
        <f>IF(I6=0,0,I6/TrAvia_act!I24*1000000)</f>
        <v>8918.1296684429908</v>
      </c>
      <c r="J38" s="14">
        <f>IF(J6=0,0,J6/TrAvia_act!J24*1000000)</f>
        <v>8719.5089074390016</v>
      </c>
      <c r="K38" s="14">
        <f>IF(K6=0,0,K6/TrAvia_act!K24*1000000)</f>
        <v>8940.5774287809763</v>
      </c>
      <c r="L38" s="14">
        <f>IF(L6=0,0,L6/TrAvia_act!L24*1000000)</f>
        <v>9343.1701317570023</v>
      </c>
      <c r="M38" s="14">
        <f>IF(M6=0,0,M6/TrAvia_act!M24*1000000)</f>
        <v>10478.113349047218</v>
      </c>
      <c r="N38" s="14">
        <f>IF(N6=0,0,N6/TrAvia_act!N24*1000000)</f>
        <v>9765.9010920570799</v>
      </c>
      <c r="O38" s="14">
        <f>IF(O6=0,0,O6/TrAvia_act!O24*1000000)</f>
        <v>9729.034716673088</v>
      </c>
      <c r="P38" s="14">
        <f>IF(P6=0,0,P6/TrAvia_act!P24*1000000)</f>
        <v>9126.2250120122753</v>
      </c>
      <c r="Q38" s="14">
        <f>IF(Q6=0,0,Q6/TrAvia_act!Q24*1000000)</f>
        <v>9024.6432815250391</v>
      </c>
      <c r="R38" s="14">
        <f>IF(R6=0,0,R6/TrAvia_act!R24*1000000)</f>
        <v>8538.0163399294615</v>
      </c>
      <c r="S38" s="14">
        <f>IF(S6=0,0,S6/TrAvia_act!S24*1000000)</f>
        <v>8625.8980973344278</v>
      </c>
      <c r="T38" s="14">
        <f>IF(T6=0,0,T6/TrAvia_act!T24*1000000)</f>
        <v>8503.0538256791151</v>
      </c>
      <c r="U38" s="14">
        <f>IF(U6=0,0,U6/TrAvia_act!U24*1000000)</f>
        <v>8397.1159694832641</v>
      </c>
      <c r="V38" s="14">
        <f>IF(V6=0,0,V6/TrAvia_act!V24*1000000)</f>
        <v>7736.3943910627049</v>
      </c>
      <c r="W38" s="14">
        <f>IF(W6=0,0,W6/TrAvia_act!W24*1000000)</f>
        <v>7429.35398992092</v>
      </c>
      <c r="X38" s="14">
        <f>IF(X6=0,0,X6/TrAvia_act!X24*1000000)</f>
        <v>8439.6088457353271</v>
      </c>
      <c r="Y38" s="14">
        <f>IF(Y6=0,0,Y6/TrAvia_act!Y24*1000000)</f>
        <v>7919.1895147917039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12136.853806083463</v>
      </c>
      <c r="C40" s="87">
        <f>IF(C8=0,0,C8/TrAvia_act!C26*1000000)</f>
        <v>12232.446292727078</v>
      </c>
      <c r="D40" s="87">
        <f>IF(D8=0,0,D8/TrAvia_act!D26*1000000)</f>
        <v>13193.474252137075</v>
      </c>
      <c r="E40" s="87">
        <f>IF(E8=0,0,E8/TrAvia_act!E26*1000000)</f>
        <v>13218.43177425578</v>
      </c>
      <c r="F40" s="87">
        <f>IF(F8=0,0,F8/TrAvia_act!F26*1000000)</f>
        <v>12649.032141206062</v>
      </c>
      <c r="G40" s="87">
        <f>IF(G8=0,0,G8/TrAvia_act!G26*1000000)</f>
        <v>11784.000004192611</v>
      </c>
      <c r="H40" s="87">
        <f>IF(H8=0,0,H8/TrAvia_act!H26*1000000)</f>
        <v>12356.120422045286</v>
      </c>
      <c r="I40" s="87">
        <f>IF(I8=0,0,I8/TrAvia_act!I26*1000000)</f>
        <v>11625.021714404929</v>
      </c>
      <c r="J40" s="87">
        <f>IF(J8=0,0,J8/TrAvia_act!J26*1000000)</f>
        <v>11289.916740692322</v>
      </c>
      <c r="K40" s="87">
        <f>IF(K8=0,0,K8/TrAvia_act!K26*1000000)</f>
        <v>10534.02016329662</v>
      </c>
      <c r="L40" s="87">
        <f>IF(L8=0,0,L8/TrAvia_act!L26*1000000)</f>
        <v>10570.114699524096</v>
      </c>
      <c r="M40" s="87">
        <f>IF(M8=0,0,M8/TrAvia_act!M26*1000000)</f>
        <v>12019.865463239648</v>
      </c>
      <c r="N40" s="87">
        <f>IF(N8=0,0,N8/TrAvia_act!N26*1000000)</f>
        <v>11239.016707082708</v>
      </c>
      <c r="O40" s="87">
        <f>IF(O8=0,0,O8/TrAvia_act!O26*1000000)</f>
        <v>11738.619252429638</v>
      </c>
      <c r="P40" s="87">
        <f>IF(P8=0,0,P8/TrAvia_act!P26*1000000)</f>
        <v>11566.767658862304</v>
      </c>
      <c r="Q40" s="87">
        <f>IF(Q8=0,0,Q8/TrAvia_act!Q26*1000000)</f>
        <v>11120.56564081561</v>
      </c>
      <c r="R40" s="87">
        <f>IF(R8=0,0,R8/TrAvia_act!R26*1000000)</f>
        <v>11511.421110016097</v>
      </c>
      <c r="S40" s="87">
        <f>IF(S8=0,0,S8/TrAvia_act!S26*1000000)</f>
        <v>11465.635765132507</v>
      </c>
      <c r="T40" s="87">
        <f>IF(T8=0,0,T8/TrAvia_act!T26*1000000)</f>
        <v>11014.038330498424</v>
      </c>
      <c r="U40" s="87">
        <f>IF(U8=0,0,U8/TrAvia_act!U26*1000000)</f>
        <v>11031.755065755304</v>
      </c>
      <c r="V40" s="87">
        <f>IF(V8=0,0,V8/TrAvia_act!V26*1000000)</f>
        <v>7710.6224739766794</v>
      </c>
      <c r="W40" s="87">
        <f>IF(W8=0,0,W8/TrAvia_act!W26*1000000)</f>
        <v>9039.8686964994668</v>
      </c>
      <c r="X40" s="87">
        <f>IF(X8=0,0,X8/TrAvia_act!X26*1000000)</f>
        <v>8904.6721260042777</v>
      </c>
      <c r="Y40" s="87">
        <f>IF(Y8=0,0,Y8/TrAvia_act!Y26*1000000)</f>
        <v>8901.1144189255574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5101.7695524699784</v>
      </c>
      <c r="C41" s="87">
        <f>IF(C9=0,0,C9/TrAvia_act!C27*1000000)</f>
        <v>5141.9000780766237</v>
      </c>
      <c r="D41" s="87">
        <f>IF(D9=0,0,D9/TrAvia_act!D27*1000000)</f>
        <v>5922.8006615763825</v>
      </c>
      <c r="E41" s="87">
        <f>IF(E9=0,0,E9/TrAvia_act!E27*1000000)</f>
        <v>5934.0453509564149</v>
      </c>
      <c r="F41" s="87">
        <f>IF(F9=0,0,F9/TrAvia_act!F27*1000000)</f>
        <v>5810.7150791251006</v>
      </c>
      <c r="G41" s="87">
        <f>IF(G9=0,0,G9/TrAvia_act!G27*1000000)</f>
        <v>5630.6299199733521</v>
      </c>
      <c r="H41" s="87">
        <f>IF(H9=0,0,H9/TrAvia_act!H27*1000000)</f>
        <v>4227.1936523132972</v>
      </c>
      <c r="I41" s="87">
        <f>IF(I9=0,0,I9/TrAvia_act!I27*1000000)</f>
        <v>3530.9544372373425</v>
      </c>
      <c r="J41" s="87">
        <f>IF(J9=0,0,J9/TrAvia_act!J27*1000000)</f>
        <v>3528.1554572091886</v>
      </c>
      <c r="K41" s="87">
        <f>IF(K9=0,0,K9/TrAvia_act!K27*1000000)</f>
        <v>4651.7141138595334</v>
      </c>
      <c r="L41" s="87">
        <f>IF(L9=0,0,L9/TrAvia_act!L27*1000000)</f>
        <v>5551.851649702031</v>
      </c>
      <c r="M41" s="87">
        <f>IF(M9=0,0,M9/TrAvia_act!M27*1000000)</f>
        <v>5923.0423488409588</v>
      </c>
      <c r="N41" s="87">
        <f>IF(N9=0,0,N9/TrAvia_act!N27*1000000)</f>
        <v>5633.9081789733309</v>
      </c>
      <c r="O41" s="87">
        <f>IF(O9=0,0,O9/TrAvia_act!O27*1000000)</f>
        <v>5099.0286337613461</v>
      </c>
      <c r="P41" s="87">
        <f>IF(P9=0,0,P9/TrAvia_act!P27*1000000)</f>
        <v>4328.8202006020865</v>
      </c>
      <c r="Q41" s="87">
        <f>IF(Q9=0,0,Q9/TrAvia_act!Q27*1000000)</f>
        <v>4517.2011179789006</v>
      </c>
      <c r="R41" s="87">
        <f>IF(R9=0,0,R9/TrAvia_act!R27*1000000)</f>
        <v>3394.67919378437</v>
      </c>
      <c r="S41" s="87">
        <f>IF(S9=0,0,S9/TrAvia_act!S27*1000000)</f>
        <v>3382.406544227053</v>
      </c>
      <c r="T41" s="87">
        <f>IF(T9=0,0,T9/TrAvia_act!T27*1000000)</f>
        <v>3542.3138883675615</v>
      </c>
      <c r="U41" s="87">
        <f>IF(U9=0,0,U9/TrAvia_act!U27*1000000)</f>
        <v>3492.2551472646578</v>
      </c>
      <c r="V41" s="87">
        <f>IF(V9=0,0,V9/TrAvia_act!V27*1000000)</f>
        <v>7819.7927861353119</v>
      </c>
      <c r="W41" s="87">
        <f>IF(W9=0,0,W9/TrAvia_act!W27*1000000)</f>
        <v>4400.2053312785447</v>
      </c>
      <c r="X41" s="87">
        <f>IF(X9=0,0,X9/TrAvia_act!X27*1000000)</f>
        <v>6425.9015739317629</v>
      </c>
      <c r="Y41" s="87">
        <f>IF(Y9=0,0,Y9/TrAvia_act!Y27*1000000)</f>
        <v>4754.645646457041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11324.607598943447</v>
      </c>
      <c r="C42" s="15">
        <f>IF(C10=0,0,C10/TrAvia_act!C28*1000000)</f>
        <v>11304.664498068872</v>
      </c>
      <c r="D42" s="15">
        <f>IF(D10=0,0,D10/TrAvia_act!D28*1000000)</f>
        <v>13066.180795954499</v>
      </c>
      <c r="E42" s="15">
        <f>IF(E10=0,0,E10/TrAvia_act!E28*1000000)</f>
        <v>13070.017235609652</v>
      </c>
      <c r="F42" s="15">
        <f>IF(F10=0,0,F10/TrAvia_act!F28*1000000)</f>
        <v>12899.120605506005</v>
      </c>
      <c r="G42" s="15">
        <f>IF(G10=0,0,G10/TrAvia_act!G28*1000000)</f>
        <v>11885.757086541711</v>
      </c>
      <c r="H42" s="15">
        <f>IF(H10=0,0,H10/TrAvia_act!H28*1000000)</f>
        <v>12291.550538283536</v>
      </c>
      <c r="I42" s="15">
        <f>IF(I10=0,0,I10/TrAvia_act!I28*1000000)</f>
        <v>11514.642618220445</v>
      </c>
      <c r="J42" s="15">
        <f>IF(J10=0,0,J10/TrAvia_act!J28*1000000)</f>
        <v>11128.864517190461</v>
      </c>
      <c r="K42" s="15">
        <f>IF(K10=0,0,K10/TrAvia_act!K28*1000000)</f>
        <v>10640.838361904049</v>
      </c>
      <c r="L42" s="15">
        <f>IF(L10=0,0,L10/TrAvia_act!L28*1000000)</f>
        <v>11452.294233585433</v>
      </c>
      <c r="M42" s="15">
        <f>IF(M10=0,0,M10/TrAvia_act!M28*1000000)</f>
        <v>11786.56665652262</v>
      </c>
      <c r="N42" s="15">
        <f>IF(N10=0,0,N10/TrAvia_act!N28*1000000)</f>
        <v>10052.017444048919</v>
      </c>
      <c r="O42" s="15">
        <f>IF(O10=0,0,O10/TrAvia_act!O28*1000000)</f>
        <v>8890.9266840756172</v>
      </c>
      <c r="P42" s="15">
        <f>IF(P10=0,0,P10/TrAvia_act!P28*1000000)</f>
        <v>8834.6116208947478</v>
      </c>
      <c r="Q42" s="15">
        <f>IF(Q10=0,0,Q10/TrAvia_act!Q28*1000000)</f>
        <v>8469.362131513757</v>
      </c>
      <c r="R42" s="15">
        <f>IF(R10=0,0,R10/TrAvia_act!R28*1000000)</f>
        <v>8289.2630075579564</v>
      </c>
      <c r="S42" s="15">
        <f>IF(S10=0,0,S10/TrAvia_act!S28*1000000)</f>
        <v>8060.9375031966811</v>
      </c>
      <c r="T42" s="15">
        <f>IF(T10=0,0,T10/TrAvia_act!T28*1000000)</f>
        <v>7201.3935913929045</v>
      </c>
      <c r="U42" s="15">
        <f>IF(U10=0,0,U10/TrAvia_act!U28*1000000)</f>
        <v>5710.6370830780297</v>
      </c>
      <c r="V42" s="15">
        <f>IF(V10=0,0,V10/TrAvia_act!V28*1000000)</f>
        <v>5407.8069606685222</v>
      </c>
      <c r="W42" s="15">
        <f>IF(W10=0,0,W10/TrAvia_act!W28*1000000)</f>
        <v>5694.8632415183138</v>
      </c>
      <c r="X42" s="15">
        <f>IF(X10=0,0,X10/TrAvia_act!X28*1000000)</f>
        <v>6695.5680027886683</v>
      </c>
      <c r="Y42" s="15">
        <f>IF(Y10=0,0,Y10/TrAvia_act!Y28*1000000)</f>
        <v>7429.5755371372907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12230.245368792595</v>
      </c>
      <c r="C44" s="101">
        <f>IF(C12=0,0,C12/TrAvia_act!C30*1000000)</f>
        <v>12314.070653103081</v>
      </c>
      <c r="D44" s="101">
        <f>IF(D12=0,0,D12/TrAvia_act!D30*1000000)</f>
        <v>14184.821002094393</v>
      </c>
      <c r="E44" s="101">
        <f>IF(E12=0,0,E12/TrAvia_act!E30*1000000)</f>
        <v>14220.810012458778</v>
      </c>
      <c r="F44" s="101">
        <f>IF(F12=0,0,F12/TrAvia_act!F30*1000000)</f>
        <v>13934.945966482979</v>
      </c>
      <c r="G44" s="101">
        <f>IF(G12=0,0,G12/TrAvia_act!G30*1000000)</f>
        <v>12589.846985174578</v>
      </c>
      <c r="H44" s="101">
        <f>IF(H12=0,0,H12/TrAvia_act!H30*1000000)</f>
        <v>13119.9205509435</v>
      </c>
      <c r="I44" s="101">
        <f>IF(I12=0,0,I12/TrAvia_act!I30*1000000)</f>
        <v>12348.798143400589</v>
      </c>
      <c r="J44" s="101">
        <f>IF(J12=0,0,J12/TrAvia_act!J30*1000000)</f>
        <v>11919.057529789317</v>
      </c>
      <c r="K44" s="101">
        <f>IF(K12=0,0,K12/TrAvia_act!K30*1000000)</f>
        <v>11109.310343163015</v>
      </c>
      <c r="L44" s="101">
        <f>IF(L12=0,0,L12/TrAvia_act!L30*1000000)</f>
        <v>11855.521411010985</v>
      </c>
      <c r="M44" s="101">
        <f>IF(M12=0,0,M12/TrAvia_act!M30*1000000)</f>
        <v>12905.533000527468</v>
      </c>
      <c r="N44" s="101">
        <f>IF(N12=0,0,N12/TrAvia_act!N30*1000000)</f>
        <v>11665.645127376261</v>
      </c>
      <c r="O44" s="101">
        <f>IF(O12=0,0,O12/TrAvia_act!O30*1000000)</f>
        <v>10590.042538119154</v>
      </c>
      <c r="P44" s="101">
        <f>IF(P12=0,0,P12/TrAvia_act!P30*1000000)</f>
        <v>10663.308913793362</v>
      </c>
      <c r="Q44" s="101">
        <f>IF(Q12=0,0,Q12/TrAvia_act!Q30*1000000)</f>
        <v>10418.191069303379</v>
      </c>
      <c r="R44" s="101">
        <f>IF(R12=0,0,R12/TrAvia_act!R30*1000000)</f>
        <v>10195.643498954614</v>
      </c>
      <c r="S44" s="101">
        <f>IF(S12=0,0,S12/TrAvia_act!S30*1000000)</f>
        <v>9917.7329115026296</v>
      </c>
      <c r="T44" s="101">
        <f>IF(T12=0,0,T12/TrAvia_act!T30*1000000)</f>
        <v>8905.5627542670572</v>
      </c>
      <c r="U44" s="101">
        <f>IF(U12=0,0,U12/TrAvia_act!U30*1000000)</f>
        <v>6610.6117224299715</v>
      </c>
      <c r="V44" s="101">
        <f>IF(V12=0,0,V12/TrAvia_act!V30*1000000)</f>
        <v>5746.5806652988549</v>
      </c>
      <c r="W44" s="101">
        <f>IF(W12=0,0,W12/TrAvia_act!W30*1000000)</f>
        <v>6953.2757788254848</v>
      </c>
      <c r="X44" s="101">
        <f>IF(X12=0,0,X12/TrAvia_act!X30*1000000)</f>
        <v>7328.1448198464086</v>
      </c>
      <c r="Y44" s="101">
        <f>IF(Y12=0,0,Y12/TrAvia_act!Y30*1000000)</f>
        <v>7871.5664438636841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4532.3243250748337</v>
      </c>
      <c r="C45" s="88">
        <f>IF(C13=0,0,C13/TrAvia_act!C31*1000000)</f>
        <v>4567.9755938188273</v>
      </c>
      <c r="D45" s="88">
        <f>IF(D13=0,0,D13/TrAvia_act!D31*1000000)</f>
        <v>5261.7142414901182</v>
      </c>
      <c r="E45" s="88">
        <f>IF(E13=0,0,E13/TrAvia_act!E31*1000000)</f>
        <v>5271.7038301379162</v>
      </c>
      <c r="F45" s="88">
        <f>IF(F13=0,0,F13/TrAvia_act!F31*1000000)</f>
        <v>5162.1393378004423</v>
      </c>
      <c r="G45" s="88">
        <f>IF(G13=0,0,G13/TrAvia_act!G31*1000000)</f>
        <v>5002.1547796948535</v>
      </c>
      <c r="H45" s="88">
        <f>IF(H13=0,0,H13/TrAvia_act!H31*1000000)</f>
        <v>4135.2919520931346</v>
      </c>
      <c r="I45" s="88">
        <f>IF(I13=0,0,I13/TrAvia_act!I31*1000000)</f>
        <v>3802.7930079765615</v>
      </c>
      <c r="J45" s="88">
        <f>IF(J13=0,0,J13/TrAvia_act!J31*1000000)</f>
        <v>4182.34957916234</v>
      </c>
      <c r="K45" s="88">
        <f>IF(K13=0,0,K13/TrAvia_act!K31*1000000)</f>
        <v>6068.1444578763094</v>
      </c>
      <c r="L45" s="88">
        <f>IF(L13=0,0,L13/TrAvia_act!L31*1000000)</f>
        <v>7968.2301949309567</v>
      </c>
      <c r="M45" s="88">
        <f>IF(M13=0,0,M13/TrAvia_act!M31*1000000)</f>
        <v>4023.7376449889939</v>
      </c>
      <c r="N45" s="88">
        <f>IF(N13=0,0,N13/TrAvia_act!N31*1000000)</f>
        <v>1784.4418980122007</v>
      </c>
      <c r="O45" s="88">
        <f>IF(O13=0,0,O13/TrAvia_act!O31*1000000)</f>
        <v>1609.0015953175969</v>
      </c>
      <c r="P45" s="88">
        <f>IF(P13=0,0,P13/TrAvia_act!P31*1000000)</f>
        <v>1360.8052933960596</v>
      </c>
      <c r="Q45" s="88">
        <f>IF(Q13=0,0,Q13/TrAvia_act!Q31*1000000)</f>
        <v>1414.6013767153308</v>
      </c>
      <c r="R45" s="88">
        <f>IF(R13=0,0,R13/TrAvia_act!R31*1000000)</f>
        <v>1058.9662657974554</v>
      </c>
      <c r="S45" s="88">
        <f>IF(S13=0,0,S13/TrAvia_act!S31*1000000)</f>
        <v>1051.0132650978187</v>
      </c>
      <c r="T45" s="88">
        <f>IF(T13=0,0,T13/TrAvia_act!T31*1000000)</f>
        <v>1096.3480188986848</v>
      </c>
      <c r="U45" s="88">
        <f>IF(U13=0,0,U13/TrAvia_act!U31*1000000)</f>
        <v>2932.0746043021313</v>
      </c>
      <c r="V45" s="88">
        <f>IF(V13=0,0,V13/TrAvia_act!V31*1000000)</f>
        <v>4440.3810206416929</v>
      </c>
      <c r="W45" s="88">
        <f>IF(W13=0,0,W13/TrAvia_act!W31*1000000)</f>
        <v>1412.9920106809295</v>
      </c>
      <c r="X45" s="88">
        <f>IF(X13=0,0,X13/TrAvia_act!X31*1000000)</f>
        <v>3950.8279152161022</v>
      </c>
      <c r="Y45" s="88">
        <f>IF(Y13=0,0,Y13/TrAvia_act!Y31*1000000)</f>
        <v>5236.9539802396948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0.96726426071197646</v>
      </c>
      <c r="C48" s="16">
        <f t="shared" si="36"/>
        <v>0.97586894237164856</v>
      </c>
      <c r="D48" s="16">
        <f t="shared" ref="D48:V48" si="37">IF(D6=0,0,D6/D$3)</f>
        <v>0.9718220456000356</v>
      </c>
      <c r="E48" s="16">
        <f t="shared" si="37"/>
        <v>0.97460672455991837</v>
      </c>
      <c r="F48" s="16">
        <f t="shared" si="37"/>
        <v>0.96554440088747451</v>
      </c>
      <c r="G48" s="16">
        <f t="shared" si="37"/>
        <v>0.96071860227774897</v>
      </c>
      <c r="H48" s="16">
        <f t="shared" si="37"/>
        <v>0.95612287712828614</v>
      </c>
      <c r="I48" s="16">
        <f t="shared" si="37"/>
        <v>0.96019583819550625</v>
      </c>
      <c r="J48" s="16">
        <f t="shared" si="37"/>
        <v>0.96021272904275312</v>
      </c>
      <c r="K48" s="16">
        <f t="shared" si="37"/>
        <v>0.96225940064768434</v>
      </c>
      <c r="L48" s="16">
        <f t="shared" si="37"/>
        <v>0.96544907752030196</v>
      </c>
      <c r="M48" s="16">
        <f t="shared" si="37"/>
        <v>0.9758310748058443</v>
      </c>
      <c r="N48" s="16">
        <f t="shared" si="37"/>
        <v>0.98029894719650967</v>
      </c>
      <c r="O48" s="16">
        <f t="shared" si="37"/>
        <v>0.98006502130391016</v>
      </c>
      <c r="P48" s="16">
        <f t="shared" si="37"/>
        <v>0.98300719939405568</v>
      </c>
      <c r="Q48" s="16">
        <f t="shared" si="37"/>
        <v>0.98405662051524867</v>
      </c>
      <c r="R48" s="16">
        <f t="shared" si="37"/>
        <v>0.9882402971646731</v>
      </c>
      <c r="S48" s="16">
        <f t="shared" si="37"/>
        <v>0.98907844172952297</v>
      </c>
      <c r="T48" s="16">
        <f t="shared" si="37"/>
        <v>0.99075052411610354</v>
      </c>
      <c r="U48" s="16">
        <f t="shared" si="37"/>
        <v>0.99226822587327534</v>
      </c>
      <c r="V48" s="16">
        <f t="shared" si="37"/>
        <v>0.97875324021864418</v>
      </c>
      <c r="W48" s="16">
        <f t="shared" ref="W48:Y48" si="38">IF(W6=0,0,W6/W$3)</f>
        <v>0.98775644137645824</v>
      </c>
      <c r="X48" s="16">
        <f t="shared" si="38"/>
        <v>0.99203130751014057</v>
      </c>
      <c r="Y48" s="16">
        <f t="shared" si="38"/>
        <v>0.99263116722836719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0.84411500289715202</v>
      </c>
      <c r="C50" s="103">
        <f t="shared" si="42"/>
        <v>0.85161988975732783</v>
      </c>
      <c r="D50" s="103">
        <f t="shared" ref="D50:V50" si="43">IF(D8=0,0,D8/D$3)</f>
        <v>0.80998292237651703</v>
      </c>
      <c r="E50" s="103">
        <f t="shared" si="43"/>
        <v>0.81229308614488471</v>
      </c>
      <c r="F50" s="103">
        <f t="shared" si="43"/>
        <v>0.83080792743262277</v>
      </c>
      <c r="G50" s="103">
        <f t="shared" si="43"/>
        <v>0.83253319549923532</v>
      </c>
      <c r="H50" s="103">
        <f t="shared" si="43"/>
        <v>0.82909026716172041</v>
      </c>
      <c r="I50" s="103">
        <f t="shared" si="43"/>
        <v>0.83305581795979833</v>
      </c>
      <c r="J50" s="103">
        <f t="shared" si="43"/>
        <v>0.83154640297761007</v>
      </c>
      <c r="K50" s="103">
        <f t="shared" si="43"/>
        <v>0.82663792873289377</v>
      </c>
      <c r="L50" s="103">
        <f t="shared" si="43"/>
        <v>0.82518563709122905</v>
      </c>
      <c r="M50" s="103">
        <f t="shared" si="43"/>
        <v>0.83633970246192391</v>
      </c>
      <c r="N50" s="103">
        <f t="shared" si="43"/>
        <v>0.83166815710280861</v>
      </c>
      <c r="O50" s="103">
        <f t="shared" si="43"/>
        <v>0.8245982553043153</v>
      </c>
      <c r="P50" s="103">
        <f t="shared" si="43"/>
        <v>0.82578783046360571</v>
      </c>
      <c r="Q50" s="103">
        <f t="shared" si="43"/>
        <v>0.82771687934899074</v>
      </c>
      <c r="R50" s="103">
        <f t="shared" si="43"/>
        <v>0.84430191645464781</v>
      </c>
      <c r="S50" s="103">
        <f t="shared" si="43"/>
        <v>0.85282560708084298</v>
      </c>
      <c r="T50" s="103">
        <f t="shared" si="43"/>
        <v>0.85204313075222882</v>
      </c>
      <c r="U50" s="103">
        <f t="shared" si="43"/>
        <v>0.8480621725597538</v>
      </c>
      <c r="V50" s="103">
        <f t="shared" si="43"/>
        <v>0.7452074572846531</v>
      </c>
      <c r="W50" s="103">
        <f t="shared" ref="W50:Y50" si="44">IF(W8=0,0,W8/W$3)</f>
        <v>0.78468446975440442</v>
      </c>
      <c r="X50" s="103">
        <f t="shared" si="44"/>
        <v>0.85031727661818068</v>
      </c>
      <c r="Y50" s="103">
        <f t="shared" si="44"/>
        <v>0.85149926261021758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0.12314925781482454</v>
      </c>
      <c r="C51" s="103">
        <f t="shared" si="45"/>
        <v>0.12424905261432077</v>
      </c>
      <c r="D51" s="103">
        <f t="shared" ref="D51:V51" si="46">IF(D9=0,0,D9/D$3)</f>
        <v>0.16183912322351857</v>
      </c>
      <c r="E51" s="103">
        <f t="shared" si="46"/>
        <v>0.16231363841503371</v>
      </c>
      <c r="F51" s="103">
        <f t="shared" si="46"/>
        <v>0.13473647345485176</v>
      </c>
      <c r="G51" s="103">
        <f t="shared" si="46"/>
        <v>0.12818540677851356</v>
      </c>
      <c r="H51" s="103">
        <f t="shared" si="46"/>
        <v>0.12703260996656571</v>
      </c>
      <c r="I51" s="103">
        <f t="shared" si="46"/>
        <v>0.12714002023570795</v>
      </c>
      <c r="J51" s="103">
        <f t="shared" si="46"/>
        <v>0.12866632606514306</v>
      </c>
      <c r="K51" s="103">
        <f t="shared" si="46"/>
        <v>0.13562147191479051</v>
      </c>
      <c r="L51" s="103">
        <f t="shared" si="46"/>
        <v>0.14026344042907299</v>
      </c>
      <c r="M51" s="103">
        <f t="shared" si="46"/>
        <v>0.13949137234392042</v>
      </c>
      <c r="N51" s="103">
        <f t="shared" si="46"/>
        <v>0.14863079009370109</v>
      </c>
      <c r="O51" s="103">
        <f t="shared" si="46"/>
        <v>0.15546676599959486</v>
      </c>
      <c r="P51" s="103">
        <f t="shared" si="46"/>
        <v>0.15721936893044999</v>
      </c>
      <c r="Q51" s="103">
        <f t="shared" si="46"/>
        <v>0.15633974116625787</v>
      </c>
      <c r="R51" s="103">
        <f t="shared" si="46"/>
        <v>0.14393838071002524</v>
      </c>
      <c r="S51" s="103">
        <f t="shared" si="46"/>
        <v>0.13625283464867993</v>
      </c>
      <c r="T51" s="103">
        <f t="shared" si="46"/>
        <v>0.13870739336387464</v>
      </c>
      <c r="U51" s="103">
        <f t="shared" si="46"/>
        <v>0.1442060533135214</v>
      </c>
      <c r="V51" s="103">
        <f t="shared" si="46"/>
        <v>0.23354578293399095</v>
      </c>
      <c r="W51" s="103">
        <f t="shared" ref="W51:Y51" si="47">IF(W9=0,0,W9/W$3)</f>
        <v>0.20307197162205393</v>
      </c>
      <c r="X51" s="103">
        <f t="shared" si="47"/>
        <v>0.14171403089195997</v>
      </c>
      <c r="Y51" s="103">
        <f t="shared" si="47"/>
        <v>0.14113190461814956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3.2735739288023522E-2</v>
      </c>
      <c r="C52" s="17">
        <f t="shared" si="48"/>
        <v>2.4131057628351472E-2</v>
      </c>
      <c r="D52" s="17">
        <f t="shared" ref="D52:V52" si="49">IF(D10=0,0,D10/D$3)</f>
        <v>2.817795439996439E-2</v>
      </c>
      <c r="E52" s="17">
        <f t="shared" si="49"/>
        <v>2.5393275440081561E-2</v>
      </c>
      <c r="F52" s="17">
        <f t="shared" si="49"/>
        <v>3.4455599112525472E-2</v>
      </c>
      <c r="G52" s="17">
        <f t="shared" si="49"/>
        <v>3.9281397722251025E-2</v>
      </c>
      <c r="H52" s="17">
        <f t="shared" si="49"/>
        <v>4.387712287171372E-2</v>
      </c>
      <c r="I52" s="17">
        <f t="shared" si="49"/>
        <v>3.9804161804493907E-2</v>
      </c>
      <c r="J52" s="17">
        <f t="shared" si="49"/>
        <v>3.978727095724683E-2</v>
      </c>
      <c r="K52" s="17">
        <f t="shared" si="49"/>
        <v>3.7740599352315649E-2</v>
      </c>
      <c r="L52" s="17">
        <f t="shared" si="49"/>
        <v>3.4550922479698154E-2</v>
      </c>
      <c r="M52" s="17">
        <f t="shared" si="49"/>
        <v>2.4168925194155873E-2</v>
      </c>
      <c r="N52" s="17">
        <f t="shared" si="49"/>
        <v>1.9701052803490247E-2</v>
      </c>
      <c r="O52" s="17">
        <f t="shared" si="49"/>
        <v>1.9934978696089858E-2</v>
      </c>
      <c r="P52" s="17">
        <f t="shared" si="49"/>
        <v>1.6992800605944255E-2</v>
      </c>
      <c r="Q52" s="17">
        <f t="shared" si="49"/>
        <v>1.5943379484751271E-2</v>
      </c>
      <c r="R52" s="17">
        <f t="shared" si="49"/>
        <v>1.1759702835326864E-2</v>
      </c>
      <c r="S52" s="17">
        <f t="shared" si="49"/>
        <v>1.0921558270476932E-2</v>
      </c>
      <c r="T52" s="17">
        <f t="shared" si="49"/>
        <v>9.2494758838964873E-3</v>
      </c>
      <c r="U52" s="17">
        <f t="shared" si="49"/>
        <v>7.7317741267246163E-3</v>
      </c>
      <c r="V52" s="17">
        <f t="shared" si="49"/>
        <v>2.1246759781355859E-2</v>
      </c>
      <c r="W52" s="17">
        <f t="shared" ref="W52:Y52" si="50">IF(W10=0,0,W10/W$3)</f>
        <v>1.2243558623541697E-2</v>
      </c>
      <c r="X52" s="17">
        <f t="shared" si="50"/>
        <v>7.9686924898595655E-3</v>
      </c>
      <c r="Y52" s="17">
        <f t="shared" si="50"/>
        <v>7.368832771632792E-3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3.1194390076186927E-2</v>
      </c>
      <c r="C54" s="104">
        <f t="shared" si="54"/>
        <v>2.2860408683502288E-2</v>
      </c>
      <c r="D54" s="104">
        <f t="shared" ref="D54:V54" si="55">IF(D12=0,0,D12/D$3)</f>
        <v>2.6755421260336445E-2</v>
      </c>
      <c r="E54" s="104">
        <f t="shared" si="55"/>
        <v>2.4076198844066438E-2</v>
      </c>
      <c r="F54" s="104">
        <f t="shared" si="55"/>
        <v>3.2827512861715459E-2</v>
      </c>
      <c r="G54" s="104">
        <f t="shared" si="55"/>
        <v>3.7747361492990066E-2</v>
      </c>
      <c r="H54" s="104">
        <f t="shared" si="55"/>
        <v>4.251611108344279E-2</v>
      </c>
      <c r="I54" s="104">
        <f t="shared" si="55"/>
        <v>3.8521049742020107E-2</v>
      </c>
      <c r="J54" s="104">
        <f t="shared" si="55"/>
        <v>3.8260089619549562E-2</v>
      </c>
      <c r="K54" s="104">
        <f t="shared" si="55"/>
        <v>3.5740546416112538E-2</v>
      </c>
      <c r="L54" s="104">
        <f t="shared" si="55"/>
        <v>3.2057294051015706E-2</v>
      </c>
      <c r="M54" s="104">
        <f t="shared" si="55"/>
        <v>2.3129445670374737E-2</v>
      </c>
      <c r="N54" s="104">
        <f t="shared" si="55"/>
        <v>1.9129926558785398E-2</v>
      </c>
      <c r="O54" s="104">
        <f t="shared" si="55"/>
        <v>1.9252449022404378E-2</v>
      </c>
      <c r="P54" s="104">
        <f t="shared" si="55"/>
        <v>1.6478264964378021E-2</v>
      </c>
      <c r="Q54" s="104">
        <f t="shared" si="55"/>
        <v>1.5366982392303189E-2</v>
      </c>
      <c r="R54" s="104">
        <f t="shared" si="55"/>
        <v>1.1446241589407595E-2</v>
      </c>
      <c r="S54" s="104">
        <f t="shared" si="55"/>
        <v>1.0623357798041019E-2</v>
      </c>
      <c r="T54" s="104">
        <f t="shared" si="55"/>
        <v>8.9421816932733732E-3</v>
      </c>
      <c r="U54" s="104">
        <f t="shared" si="55"/>
        <v>6.760538192393673E-3</v>
      </c>
      <c r="V54" s="104">
        <f t="shared" si="55"/>
        <v>1.6722037824720218E-2</v>
      </c>
      <c r="W54" s="104">
        <f t="shared" ref="W54:Y54" si="56">IF(W12=0,0,W12/W$3)</f>
        <v>1.1553549077592967E-2</v>
      </c>
      <c r="X54" s="104">
        <f t="shared" si="56"/>
        <v>7.0879900203993321E-3</v>
      </c>
      <c r="Y54" s="104">
        <f t="shared" si="56"/>
        <v>6.497447834847847E-3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1.5413492118365978E-3</v>
      </c>
      <c r="C55" s="105">
        <f t="shared" si="57"/>
        <v>1.2706489448491857E-3</v>
      </c>
      <c r="D55" s="105">
        <f t="shared" ref="D55:V55" si="58">IF(D13=0,0,D13/D$3)</f>
        <v>1.4225331396279463E-3</v>
      </c>
      <c r="E55" s="105">
        <f t="shared" si="58"/>
        <v>1.317076596015123E-3</v>
      </c>
      <c r="F55" s="105">
        <f t="shared" si="58"/>
        <v>1.6280862508100109E-3</v>
      </c>
      <c r="G55" s="105">
        <f t="shared" si="58"/>
        <v>1.5340362292609604E-3</v>
      </c>
      <c r="H55" s="105">
        <f t="shared" si="58"/>
        <v>1.3610117882709356E-3</v>
      </c>
      <c r="I55" s="105">
        <f t="shared" si="58"/>
        <v>1.283112062473804E-3</v>
      </c>
      <c r="J55" s="105">
        <f t="shared" si="58"/>
        <v>1.5271813376972689E-3</v>
      </c>
      <c r="K55" s="105">
        <f t="shared" si="58"/>
        <v>2.0000529362031072E-3</v>
      </c>
      <c r="L55" s="105">
        <f t="shared" si="58"/>
        <v>2.4936284286824449E-3</v>
      </c>
      <c r="M55" s="105">
        <f t="shared" si="58"/>
        <v>1.0394795237811357E-3</v>
      </c>
      <c r="N55" s="105">
        <f t="shared" si="58"/>
        <v>5.7112624470485103E-4</v>
      </c>
      <c r="O55" s="105">
        <f t="shared" si="58"/>
        <v>6.825296736854828E-4</v>
      </c>
      <c r="P55" s="105">
        <f t="shared" si="58"/>
        <v>5.1453564156623286E-4</v>
      </c>
      <c r="Q55" s="105">
        <f t="shared" si="58"/>
        <v>5.7639709244807912E-4</v>
      </c>
      <c r="R55" s="105">
        <f t="shared" si="58"/>
        <v>3.1346124591926793E-4</v>
      </c>
      <c r="S55" s="105">
        <f t="shared" si="58"/>
        <v>2.9820047243591475E-4</v>
      </c>
      <c r="T55" s="105">
        <f t="shared" si="58"/>
        <v>3.0729419062311338E-4</v>
      </c>
      <c r="U55" s="105">
        <f t="shared" si="58"/>
        <v>9.7123593433094343E-4</v>
      </c>
      <c r="V55" s="105">
        <f t="shared" si="58"/>
        <v>4.5247219566356394E-3</v>
      </c>
      <c r="W55" s="105">
        <f t="shared" ref="W55:Y55" si="59">IF(W13=0,0,W13/W$3)</f>
        <v>6.9000954594873067E-4</v>
      </c>
      <c r="X55" s="105">
        <f t="shared" si="59"/>
        <v>8.8070246946023341E-4</v>
      </c>
      <c r="Y55" s="105">
        <f t="shared" si="59"/>
        <v>8.7138493678494541E-4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429.59576174809121</v>
      </c>
      <c r="C57" s="62">
        <v>429.4097319326192</v>
      </c>
      <c r="D57" s="62">
        <v>420.78701207583185</v>
      </c>
      <c r="E57" s="62">
        <v>420.71328205375039</v>
      </c>
      <c r="F57" s="62">
        <v>419.4336260189944</v>
      </c>
      <c r="G57" s="62">
        <v>422.02309952177825</v>
      </c>
      <c r="H57" s="62">
        <v>418.34848757576839</v>
      </c>
      <c r="I57" s="62">
        <v>414.24271789911279</v>
      </c>
      <c r="J57" s="62">
        <v>412.52881587739967</v>
      </c>
      <c r="K57" s="62">
        <v>415.20624426458244</v>
      </c>
      <c r="L57" s="62">
        <v>414.50730409793641</v>
      </c>
      <c r="M57" s="62">
        <v>413.70112430905766</v>
      </c>
      <c r="N57" s="62">
        <v>407.83774253599631</v>
      </c>
      <c r="O57" s="62">
        <v>411.00736178883233</v>
      </c>
      <c r="P57" s="62">
        <v>408.84493981121386</v>
      </c>
      <c r="Q57" s="62">
        <v>406.60578746713639</v>
      </c>
      <c r="R57" s="62">
        <v>406.08486510691387</v>
      </c>
      <c r="S57" s="62">
        <v>404.76950671569318</v>
      </c>
      <c r="T57" s="62">
        <v>401.97595750619178</v>
      </c>
      <c r="U57" s="62">
        <v>400.40837916962056</v>
      </c>
      <c r="V57" s="62">
        <v>390.49616477048625</v>
      </c>
      <c r="W57" s="62">
        <v>389.40425338720507</v>
      </c>
      <c r="X57" s="62">
        <v>401.93893879278198</v>
      </c>
      <c r="Y57" s="62">
        <v>397.83901741360398</v>
      </c>
      <c r="DA57" s="172" t="s">
        <v>314</v>
      </c>
    </row>
    <row r="58" spans="1:105" ht="11.45" customHeight="1" x14ac:dyDescent="0.25">
      <c r="A58" s="10" t="s">
        <v>33</v>
      </c>
      <c r="B58" s="14">
        <v>428.94671159270428</v>
      </c>
      <c r="C58" s="14">
        <v>428.94885227937999</v>
      </c>
      <c r="D58" s="14">
        <v>420.00964673110366</v>
      </c>
      <c r="E58" s="14">
        <v>420.00820259446141</v>
      </c>
      <c r="F58" s="14">
        <v>418.40926339459082</v>
      </c>
      <c r="G58" s="14">
        <v>420.96704455496956</v>
      </c>
      <c r="H58" s="14">
        <v>417.09550245588343</v>
      </c>
      <c r="I58" s="14">
        <v>413.05842160971201</v>
      </c>
      <c r="J58" s="14">
        <v>411.37916172061045</v>
      </c>
      <c r="K58" s="14">
        <v>413.99474209502165</v>
      </c>
      <c r="L58" s="14">
        <v>413.18766043509908</v>
      </c>
      <c r="M58" s="14">
        <v>412.89928569528013</v>
      </c>
      <c r="N58" s="14">
        <v>407.06303705902235</v>
      </c>
      <c r="O58" s="14">
        <v>410.41125168674114</v>
      </c>
      <c r="P58" s="14">
        <v>408.3171195757273</v>
      </c>
      <c r="Q58" s="14">
        <v>406.02309913097088</v>
      </c>
      <c r="R58" s="14">
        <v>405.70272889281972</v>
      </c>
      <c r="S58" s="14">
        <v>404.42394434772285</v>
      </c>
      <c r="T58" s="14">
        <v>401.77976124326062</v>
      </c>
      <c r="U58" s="14">
        <v>400.19988412445275</v>
      </c>
      <c r="V58" s="14">
        <v>389.62934587161055</v>
      </c>
      <c r="W58" s="14">
        <v>389.17231252590807</v>
      </c>
      <c r="X58" s="14">
        <v>402.00078351872577</v>
      </c>
      <c r="Y58" s="14">
        <v>397.81888452886642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435.91421858782741</v>
      </c>
      <c r="C60" s="87">
        <v>435.91697805670572</v>
      </c>
      <c r="D60" s="87">
        <v>427.48607365800086</v>
      </c>
      <c r="E60" s="87">
        <v>427.48495586702671</v>
      </c>
      <c r="F60" s="87">
        <v>424.16872358224492</v>
      </c>
      <c r="G60" s="87">
        <v>426.83938977476265</v>
      </c>
      <c r="H60" s="87">
        <v>426.39240542136395</v>
      </c>
      <c r="I60" s="87">
        <v>422.5444136746118</v>
      </c>
      <c r="J60" s="87">
        <v>420.89174916656305</v>
      </c>
      <c r="K60" s="87">
        <v>421.87488821273166</v>
      </c>
      <c r="L60" s="87">
        <v>419.99231752251188</v>
      </c>
      <c r="M60" s="87">
        <v>419.19923450688037</v>
      </c>
      <c r="N60" s="87">
        <v>411.40944704184267</v>
      </c>
      <c r="O60" s="87">
        <v>415.60464418314467</v>
      </c>
      <c r="P60" s="87">
        <v>412.53693218825526</v>
      </c>
      <c r="Q60" s="87">
        <v>410.76377030144545</v>
      </c>
      <c r="R60" s="87">
        <v>411.78277981169487</v>
      </c>
      <c r="S60" s="87">
        <v>411.3710636029096</v>
      </c>
      <c r="T60" s="87">
        <v>406.79993716245684</v>
      </c>
      <c r="U60" s="87">
        <v>406.55473441377654</v>
      </c>
      <c r="V60" s="87">
        <v>391.57853587491638</v>
      </c>
      <c r="W60" s="87">
        <v>388.24107002782847</v>
      </c>
      <c r="X60" s="87">
        <v>401.59022714369075</v>
      </c>
      <c r="Y60" s="87">
        <v>398.57639914937806</v>
      </c>
      <c r="DA60" s="171" t="s">
        <v>317</v>
      </c>
    </row>
    <row r="61" spans="1:105" ht="11.45" customHeight="1" x14ac:dyDescent="0.25">
      <c r="A61" s="83" t="s">
        <v>182</v>
      </c>
      <c r="B61" s="87">
        <v>385.91551997318408</v>
      </c>
      <c r="C61" s="87">
        <v>385.91551997318408</v>
      </c>
      <c r="D61" s="87">
        <v>385.91551997318413</v>
      </c>
      <c r="E61" s="87">
        <v>385.91551997318413</v>
      </c>
      <c r="F61" s="87">
        <v>385.91551997318413</v>
      </c>
      <c r="G61" s="87">
        <v>384.81009262530233</v>
      </c>
      <c r="H61" s="87">
        <v>379.88995878450476</v>
      </c>
      <c r="I61" s="87">
        <v>380.03765870459478</v>
      </c>
      <c r="J61" s="87">
        <v>379.3916660061434</v>
      </c>
      <c r="K61" s="87">
        <v>379.44457577450049</v>
      </c>
      <c r="L61" s="87">
        <v>379.60638394753613</v>
      </c>
      <c r="M61" s="87">
        <v>386.88398379949007</v>
      </c>
      <c r="N61" s="87">
        <v>390.71001288769293</v>
      </c>
      <c r="O61" s="87">
        <v>394.55667249623036</v>
      </c>
      <c r="P61" s="87">
        <v>397.87790977623035</v>
      </c>
      <c r="Q61" s="87">
        <v>392.89277247962957</v>
      </c>
      <c r="R61" s="87">
        <v>392.01789990020745</v>
      </c>
      <c r="S61" s="87">
        <v>385.66116029451643</v>
      </c>
      <c r="T61" s="87">
        <v>388.13227265580656</v>
      </c>
      <c r="U61" s="87">
        <v>383.03370119241708</v>
      </c>
      <c r="V61" s="87">
        <v>380.82607981038808</v>
      </c>
      <c r="W61" s="87">
        <v>391.21843572951428</v>
      </c>
      <c r="X61" s="87">
        <v>406.33882156337683</v>
      </c>
      <c r="Y61" s="87">
        <v>392.22054084555373</v>
      </c>
      <c r="DA61" s="171" t="s">
        <v>318</v>
      </c>
    </row>
    <row r="62" spans="1:105" ht="11.45" customHeight="1" x14ac:dyDescent="0.25">
      <c r="A62" s="12" t="s">
        <v>34</v>
      </c>
      <c r="B62" s="15">
        <v>449.26918794778373</v>
      </c>
      <c r="C62" s="15">
        <v>448.48758537527004</v>
      </c>
      <c r="D62" s="15">
        <v>448.61202868736564</v>
      </c>
      <c r="E62" s="15">
        <v>448.80919040536389</v>
      </c>
      <c r="F62" s="15">
        <v>449.30845397295411</v>
      </c>
      <c r="G62" s="15">
        <v>448.769324362627</v>
      </c>
      <c r="H62" s="15">
        <v>447.85341255102122</v>
      </c>
      <c r="I62" s="15">
        <v>445.83776056379844</v>
      </c>
      <c r="J62" s="15">
        <v>443.62392700461442</v>
      </c>
      <c r="K62" s="15">
        <v>448.35793704444984</v>
      </c>
      <c r="L62" s="15">
        <v>454.02748488232191</v>
      </c>
      <c r="M62" s="15">
        <v>448.78510645620202</v>
      </c>
      <c r="N62" s="15">
        <v>451.00628617400452</v>
      </c>
      <c r="O62" s="15">
        <v>442.53658463918629</v>
      </c>
      <c r="P62" s="15">
        <v>442.68186265326983</v>
      </c>
      <c r="Q62" s="15">
        <v>445.90785729516512</v>
      </c>
      <c r="R62" s="15">
        <v>443.71740914669948</v>
      </c>
      <c r="S62" s="15">
        <v>440.97413783558966</v>
      </c>
      <c r="T62" s="15">
        <v>425.99733343604748</v>
      </c>
      <c r="U62" s="15">
        <v>429.52126567582616</v>
      </c>
      <c r="V62" s="15">
        <v>432.57180496513496</v>
      </c>
      <c r="W62" s="15">
        <v>410.01813437823955</v>
      </c>
      <c r="X62" s="15">
        <v>394.25268386921823</v>
      </c>
      <c r="Y62" s="15">
        <v>400.52917963960624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452.95625749268811</v>
      </c>
      <c r="C64" s="101">
        <v>452.57731303444058</v>
      </c>
      <c r="D64" s="101">
        <v>452.53189015539408</v>
      </c>
      <c r="E64" s="101">
        <v>452.8588991529258</v>
      </c>
      <c r="F64" s="101">
        <v>453.01212365720284</v>
      </c>
      <c r="G64" s="101">
        <v>451.72526572830645</v>
      </c>
      <c r="H64" s="101">
        <v>451.41662959546113</v>
      </c>
      <c r="I64" s="101">
        <v>449.43259621847784</v>
      </c>
      <c r="J64" s="101">
        <v>446.75698810074346</v>
      </c>
      <c r="K64" s="101">
        <v>450.67863960124612</v>
      </c>
      <c r="L64" s="101">
        <v>455.62070996765749</v>
      </c>
      <c r="M64" s="101">
        <v>455.47006408235671</v>
      </c>
      <c r="N64" s="101">
        <v>449.26719863672281</v>
      </c>
      <c r="O64" s="101">
        <v>442.49914728383607</v>
      </c>
      <c r="P64" s="101">
        <v>444.64012564215983</v>
      </c>
      <c r="Q64" s="101">
        <v>445.73573628103492</v>
      </c>
      <c r="R64" s="101">
        <v>443.13450432921223</v>
      </c>
      <c r="S64" s="101">
        <v>434.00868554714953</v>
      </c>
      <c r="T64" s="101">
        <v>421.06869899777485</v>
      </c>
      <c r="U64" s="101">
        <v>385.92749081888593</v>
      </c>
      <c r="V64" s="101">
        <v>416.93768109861264</v>
      </c>
      <c r="W64" s="101">
        <v>403.91923713175356</v>
      </c>
      <c r="X64" s="101">
        <v>388.6728897408907</v>
      </c>
      <c r="Y64" s="101">
        <v>387.04602266222543</v>
      </c>
      <c r="DA64" s="175" t="s">
        <v>321</v>
      </c>
    </row>
    <row r="65" spans="1:105" ht="11.45" customHeight="1" x14ac:dyDescent="0.25">
      <c r="A65" s="85" t="s">
        <v>182</v>
      </c>
      <c r="B65" s="88">
        <v>389.59104959753512</v>
      </c>
      <c r="C65" s="88">
        <v>389.59104959753518</v>
      </c>
      <c r="D65" s="88">
        <v>389.59104959753518</v>
      </c>
      <c r="E65" s="88">
        <v>389.59104959753518</v>
      </c>
      <c r="F65" s="88">
        <v>389.59104959753518</v>
      </c>
      <c r="G65" s="88">
        <v>388.32955612254364</v>
      </c>
      <c r="H65" s="88">
        <v>386.69649067002138</v>
      </c>
      <c r="I65" s="88">
        <v>393.65666495030479</v>
      </c>
      <c r="J65" s="88">
        <v>405.77366740371912</v>
      </c>
      <c r="K65" s="88">
        <v>419.84333030530945</v>
      </c>
      <c r="L65" s="88">
        <v>437.21081067974956</v>
      </c>
      <c r="M65" s="88">
        <v>365.94307938161086</v>
      </c>
      <c r="N65" s="88">
        <v>493.21302442440202</v>
      </c>
      <c r="O65" s="88">
        <v>443.15966862668324</v>
      </c>
      <c r="P65" s="88">
        <v>414.25708427587688</v>
      </c>
      <c r="Q65" s="88">
        <v>448.41589704654785</v>
      </c>
      <c r="R65" s="88">
        <v>452.30946628748973</v>
      </c>
      <c r="S65" s="88">
        <v>588.36672493515925</v>
      </c>
      <c r="T65" s="88">
        <v>499.29562925547219</v>
      </c>
      <c r="U65" s="88">
        <v>646.59070698010623</v>
      </c>
      <c r="V65" s="88">
        <v>532.30445543123415</v>
      </c>
      <c r="W65" s="88">
        <v>474.38673132258538</v>
      </c>
      <c r="X65" s="88">
        <v>476.94025110524666</v>
      </c>
      <c r="Y65" s="88">
        <v>564.74327494011482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1.0271649723692546</v>
      </c>
      <c r="C67" s="59">
        <f t="shared" ref="C67:W67" si="61">IF(C3=0,0,C17/C57)</f>
        <v>1.0354142745421271</v>
      </c>
      <c r="D67" s="59">
        <f t="shared" si="61"/>
        <v>1.2014670115639865</v>
      </c>
      <c r="E67" s="59">
        <f t="shared" si="61"/>
        <v>1.203852562466335</v>
      </c>
      <c r="F67" s="59">
        <f t="shared" si="61"/>
        <v>1.1817959630401798</v>
      </c>
      <c r="G67" s="59">
        <f t="shared" si="61"/>
        <v>1.0864027717575395</v>
      </c>
      <c r="H67" s="59">
        <f t="shared" si="61"/>
        <v>1.0574350869382132</v>
      </c>
      <c r="I67" s="59">
        <f t="shared" si="61"/>
        <v>1.000302868626965</v>
      </c>
      <c r="J67" s="59">
        <f t="shared" si="61"/>
        <v>0.9723686047521154</v>
      </c>
      <c r="K67" s="59">
        <f t="shared" si="61"/>
        <v>0.96426174355337557</v>
      </c>
      <c r="L67" s="59">
        <f t="shared" si="61"/>
        <v>0.9950553501899716</v>
      </c>
      <c r="M67" s="59">
        <f t="shared" si="61"/>
        <v>1.0822974179122509</v>
      </c>
      <c r="N67" s="59">
        <f t="shared" si="61"/>
        <v>1.0380862948386955</v>
      </c>
      <c r="O67" s="59">
        <f t="shared" si="61"/>
        <v>1.0011579233377932</v>
      </c>
      <c r="P67" s="59">
        <f t="shared" si="61"/>
        <v>0.95849993367376396</v>
      </c>
      <c r="Q67" s="59">
        <f t="shared" si="61"/>
        <v>0.97884143925024969</v>
      </c>
      <c r="R67" s="59">
        <f t="shared" si="61"/>
        <v>0.94104302092119019</v>
      </c>
      <c r="S67" s="59">
        <f t="shared" si="61"/>
        <v>0.96910715599045583</v>
      </c>
      <c r="T67" s="59">
        <f t="shared" si="61"/>
        <v>0.95053666203988385</v>
      </c>
      <c r="U67" s="59">
        <f t="shared" si="61"/>
        <v>0.94544461373429989</v>
      </c>
      <c r="V67" s="59">
        <f t="shared" si="61"/>
        <v>0.93070345221169926</v>
      </c>
      <c r="W67" s="59">
        <f t="shared" si="61"/>
        <v>0.89900914609122207</v>
      </c>
      <c r="X67" s="59">
        <f t="shared" ref="X67:Y67" si="62">IF(X3=0,0,X17/X57)</f>
        <v>0.95678405997278237</v>
      </c>
      <c r="Y67" s="59">
        <f t="shared" si="62"/>
        <v>0.94165771568820877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1.0278710022587993</v>
      </c>
      <c r="C68" s="23">
        <f t="shared" ref="C68:W68" si="64">IF(C6=0,0,C18/C58)</f>
        <v>1.0359502735496924</v>
      </c>
      <c r="D68" s="23">
        <f t="shared" si="64"/>
        <v>1.2024538812844763</v>
      </c>
      <c r="E68" s="23">
        <f t="shared" si="64"/>
        <v>1.204745913563938</v>
      </c>
      <c r="F68" s="23">
        <f t="shared" si="64"/>
        <v>1.1830916680400501</v>
      </c>
      <c r="G68" s="23">
        <f t="shared" si="64"/>
        <v>1.0876598770968859</v>
      </c>
      <c r="H68" s="23">
        <f t="shared" si="64"/>
        <v>1.0571398182239342</v>
      </c>
      <c r="I68" s="23">
        <f t="shared" si="64"/>
        <v>0.99934623326883132</v>
      </c>
      <c r="J68" s="23">
        <f t="shared" si="64"/>
        <v>0.97090669341563307</v>
      </c>
      <c r="K68" s="23">
        <f t="shared" si="64"/>
        <v>0.96459271353840337</v>
      </c>
      <c r="L68" s="23">
        <f t="shared" si="64"/>
        <v>0.99592446188554196</v>
      </c>
      <c r="M68" s="23">
        <f t="shared" si="64"/>
        <v>1.0823752129598494</v>
      </c>
      <c r="N68" s="23">
        <f t="shared" si="64"/>
        <v>1.0378689207367113</v>
      </c>
      <c r="O68" s="23">
        <f t="shared" si="64"/>
        <v>1.0012031138633408</v>
      </c>
      <c r="P68" s="23">
        <f t="shared" si="64"/>
        <v>0.95814682293920062</v>
      </c>
      <c r="Q68" s="23">
        <f t="shared" si="64"/>
        <v>0.97891906958995656</v>
      </c>
      <c r="R68" s="23">
        <f t="shared" si="64"/>
        <v>0.94030484785375368</v>
      </c>
      <c r="S68" s="23">
        <f t="shared" si="64"/>
        <v>0.96849864357426829</v>
      </c>
      <c r="T68" s="23">
        <f t="shared" si="64"/>
        <v>0.94990008843281326</v>
      </c>
      <c r="U68" s="23">
        <f t="shared" si="64"/>
        <v>0.94534544803723208</v>
      </c>
      <c r="V68" s="23">
        <f t="shared" si="64"/>
        <v>0.93176379026871892</v>
      </c>
      <c r="W68" s="23">
        <f t="shared" si="64"/>
        <v>0.89852878377208933</v>
      </c>
      <c r="X68" s="23">
        <f t="shared" ref="X68:Y68" si="65">IF(X6=0,0,X18/X58)</f>
        <v>0.95664962364054484</v>
      </c>
      <c r="Y68" s="23">
        <f t="shared" si="65"/>
        <v>0.94176179081869427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1.0255875203256113</v>
      </c>
      <c r="C70" s="91">
        <f t="shared" ref="C70:W70" si="68">IF(C8=0,0,C20/C60)</f>
        <v>1.0336478995785441</v>
      </c>
      <c r="D70" s="91">
        <f t="shared" si="68"/>
        <v>1.2006075658339721</v>
      </c>
      <c r="E70" s="91">
        <f t="shared" si="68"/>
        <v>1.2028977349154781</v>
      </c>
      <c r="F70" s="91">
        <f t="shared" si="68"/>
        <v>1.1821633524076618</v>
      </c>
      <c r="G70" s="91">
        <f t="shared" si="68"/>
        <v>1.0805438373337088</v>
      </c>
      <c r="H70" s="91">
        <f t="shared" si="68"/>
        <v>1.1207654452129008</v>
      </c>
      <c r="I70" s="91">
        <f t="shared" si="68"/>
        <v>1.091038881286583</v>
      </c>
      <c r="J70" s="91">
        <f t="shared" si="68"/>
        <v>1.0661961951816943</v>
      </c>
      <c r="K70" s="91">
        <f t="shared" si="68"/>
        <v>0.99862947501546329</v>
      </c>
      <c r="L70" s="91">
        <f t="shared" si="68"/>
        <v>1.0071348190561515</v>
      </c>
      <c r="M70" s="91">
        <f t="shared" si="68"/>
        <v>1.1349800253469156</v>
      </c>
      <c r="N70" s="91">
        <f t="shared" si="68"/>
        <v>1.1027621408308683</v>
      </c>
      <c r="O70" s="91">
        <f t="shared" si="68"/>
        <v>1.1043433285857305</v>
      </c>
      <c r="P70" s="91">
        <f t="shared" si="68"/>
        <v>1.1187060356442657</v>
      </c>
      <c r="Q70" s="91">
        <f t="shared" si="68"/>
        <v>1.1077465208546851</v>
      </c>
      <c r="R70" s="91">
        <f t="shared" si="68"/>
        <v>1.1431374276474944</v>
      </c>
      <c r="S70" s="91">
        <f t="shared" si="68"/>
        <v>1.1249540849656254</v>
      </c>
      <c r="T70" s="91">
        <f t="shared" si="68"/>
        <v>1.1036201554097238</v>
      </c>
      <c r="U70" s="91">
        <f t="shared" si="68"/>
        <v>1.0897571808991362</v>
      </c>
      <c r="V70" s="91">
        <f t="shared" si="68"/>
        <v>0.86219686339992418</v>
      </c>
      <c r="W70" s="91">
        <f t="shared" si="68"/>
        <v>1.0411613581298449</v>
      </c>
      <c r="X70" s="91">
        <f t="shared" ref="X70:Y70" si="69">IF(X8=0,0,X20/X60)</f>
        <v>0.89851227620603391</v>
      </c>
      <c r="Y70" s="91">
        <f t="shared" si="69"/>
        <v>0.9154316031570835</v>
      </c>
      <c r="DA70" s="171"/>
    </row>
    <row r="71" spans="1:105" ht="11.45" customHeight="1" x14ac:dyDescent="0.25">
      <c r="A71" s="83" t="s">
        <v>182</v>
      </c>
      <c r="B71" s="91">
        <f t="shared" si="63"/>
        <v>1.0438008758544421</v>
      </c>
      <c r="C71" s="91">
        <f t="shared" ref="C71:W71" si="70">IF(C9=0,0,C21/C61)</f>
        <v>1.0520114148342821</v>
      </c>
      <c r="D71" s="91">
        <f t="shared" si="70"/>
        <v>1.2117804331384638</v>
      </c>
      <c r="E71" s="91">
        <f t="shared" si="70"/>
        <v>1.2140810499152264</v>
      </c>
      <c r="F71" s="91">
        <f t="shared" si="70"/>
        <v>1.1888481881732516</v>
      </c>
      <c r="G71" s="91">
        <f t="shared" si="70"/>
        <v>1.1362599181024424</v>
      </c>
      <c r="H71" s="91">
        <f t="shared" si="70"/>
        <v>0.77134583703218074</v>
      </c>
      <c r="I71" s="91">
        <f t="shared" si="70"/>
        <v>0.64446372711872169</v>
      </c>
      <c r="J71" s="91">
        <f t="shared" si="70"/>
        <v>0.61543153173968068</v>
      </c>
      <c r="K71" s="91">
        <f t="shared" si="70"/>
        <v>0.79867244982887453</v>
      </c>
      <c r="L71" s="91">
        <f t="shared" si="70"/>
        <v>0.9347150446309056</v>
      </c>
      <c r="M71" s="91">
        <f t="shared" si="70"/>
        <v>0.84700198950081762</v>
      </c>
      <c r="N71" s="91">
        <f t="shared" si="70"/>
        <v>0.78077818153905598</v>
      </c>
      <c r="O71" s="91">
        <f t="shared" si="70"/>
        <v>0.66953585285118755</v>
      </c>
      <c r="P71" s="91">
        <f t="shared" si="70"/>
        <v>0.54631234997930189</v>
      </c>
      <c r="Q71" s="91">
        <f t="shared" si="70"/>
        <v>0.6058732266667517</v>
      </c>
      <c r="R71" s="91">
        <f t="shared" si="70"/>
        <v>0.46075676831232759</v>
      </c>
      <c r="S71" s="91">
        <f t="shared" si="70"/>
        <v>0.51777427991207969</v>
      </c>
      <c r="T71" s="91">
        <f t="shared" si="70"/>
        <v>0.51190878177835519</v>
      </c>
      <c r="U71" s="91">
        <f t="shared" si="70"/>
        <v>0.5312953157098913</v>
      </c>
      <c r="V71" s="91">
        <f t="shared" si="70"/>
        <v>1.254824890022453</v>
      </c>
      <c r="W71" s="91">
        <f t="shared" si="70"/>
        <v>0.58752198926639121</v>
      </c>
      <c r="X71" s="91">
        <f t="shared" ref="X71:Y71" si="71">IF(X9=0,0,X21/X61)</f>
        <v>1.563764099141203</v>
      </c>
      <c r="Y71" s="91">
        <f t="shared" si="71"/>
        <v>1.139505982777429</v>
      </c>
      <c r="DA71" s="171"/>
    </row>
    <row r="72" spans="1:105" ht="11.45" customHeight="1" x14ac:dyDescent="0.25">
      <c r="A72" s="12" t="s">
        <v>34</v>
      </c>
      <c r="B72" s="24">
        <f t="shared" si="63"/>
        <v>1.0067324709562868</v>
      </c>
      <c r="C72" s="24">
        <f t="shared" ref="C72:W72" si="72">IF(C10=0,0,C22/C62)</f>
        <v>1.0141935092174226</v>
      </c>
      <c r="D72" s="24">
        <f t="shared" si="72"/>
        <v>1.1683951659650358</v>
      </c>
      <c r="E72" s="24">
        <f t="shared" si="72"/>
        <v>1.1705388356031117</v>
      </c>
      <c r="F72" s="24">
        <f t="shared" si="72"/>
        <v>1.1466063473145442</v>
      </c>
      <c r="G72" s="24">
        <f t="shared" si="72"/>
        <v>1.0565370803050986</v>
      </c>
      <c r="H72" s="24">
        <f t="shared" si="72"/>
        <v>1.0639104728079087</v>
      </c>
      <c r="I72" s="24">
        <f t="shared" si="72"/>
        <v>1.0239478860802123</v>
      </c>
      <c r="J72" s="24">
        <f t="shared" si="72"/>
        <v>1.0090354258953476</v>
      </c>
      <c r="K72" s="24">
        <f t="shared" si="72"/>
        <v>0.9558991673864109</v>
      </c>
      <c r="L72" s="24">
        <f t="shared" si="72"/>
        <v>0.97136873310067495</v>
      </c>
      <c r="M72" s="24">
        <f t="shared" si="72"/>
        <v>1.0791657221733983</v>
      </c>
      <c r="N72" s="24">
        <f t="shared" si="72"/>
        <v>1.049018748498161</v>
      </c>
      <c r="O72" s="24">
        <f t="shared" si="72"/>
        <v>0.99894123694485892</v>
      </c>
      <c r="P72" s="24">
        <f t="shared" si="72"/>
        <v>0.9793795063286489</v>
      </c>
      <c r="Q72" s="24">
        <f t="shared" si="72"/>
        <v>0.97407365931636469</v>
      </c>
      <c r="R72" s="24">
        <f t="shared" si="72"/>
        <v>1.0075098618763438</v>
      </c>
      <c r="S72" s="24">
        <f t="shared" si="72"/>
        <v>1.0275768566434567</v>
      </c>
      <c r="T72" s="24">
        <f t="shared" si="72"/>
        <v>1.0240450592124315</v>
      </c>
      <c r="U72" s="24">
        <f t="shared" si="72"/>
        <v>0.95834620520038316</v>
      </c>
      <c r="V72" s="24">
        <f t="shared" si="72"/>
        <v>0.88434380088673858</v>
      </c>
      <c r="W72" s="24">
        <f t="shared" si="72"/>
        <v>0.93953109284617786</v>
      </c>
      <c r="X72" s="24">
        <f t="shared" ref="X72:Y72" si="73">IF(X10=0,0,X22/X62)</f>
        <v>0.97382058483170619</v>
      </c>
      <c r="Y72" s="24">
        <f t="shared" si="73"/>
        <v>0.92784526751972218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1.0103093908732341</v>
      </c>
      <c r="C74" s="93">
        <f t="shared" ref="C74:W74" si="76">IF(C12=0,0,C24/C64)</f>
        <v>1.0182213536810178</v>
      </c>
      <c r="D74" s="93">
        <f t="shared" si="76"/>
        <v>1.1728431514432562</v>
      </c>
      <c r="E74" s="93">
        <f t="shared" si="76"/>
        <v>1.1751198572287191</v>
      </c>
      <c r="F74" s="93">
        <f t="shared" si="76"/>
        <v>1.1506942715755932</v>
      </c>
      <c r="G74" s="93">
        <f t="shared" si="76"/>
        <v>1.0579624883041139</v>
      </c>
      <c r="H74" s="93">
        <f t="shared" si="76"/>
        <v>1.0823622358655636</v>
      </c>
      <c r="I74" s="93">
        <f t="shared" si="76"/>
        <v>1.0507354921275527</v>
      </c>
      <c r="J74" s="93">
        <f t="shared" si="76"/>
        <v>1.0432541834585083</v>
      </c>
      <c r="K74" s="93">
        <f t="shared" si="76"/>
        <v>0.97387515967202809</v>
      </c>
      <c r="L74" s="93">
        <f t="shared" si="76"/>
        <v>0.98319876313573051</v>
      </c>
      <c r="M74" s="93">
        <f t="shared" si="76"/>
        <v>1.0997092227403982</v>
      </c>
      <c r="N74" s="93">
        <f t="shared" si="76"/>
        <v>1.0646842760428441</v>
      </c>
      <c r="O74" s="93">
        <f t="shared" si="76"/>
        <v>1.022791603191737</v>
      </c>
      <c r="P74" s="93">
        <f t="shared" si="76"/>
        <v>1.0106825483061452</v>
      </c>
      <c r="Q74" s="93">
        <f t="shared" si="76"/>
        <v>1.0036773189118264</v>
      </c>
      <c r="R74" s="93">
        <f t="shared" si="76"/>
        <v>1.0485614412025288</v>
      </c>
      <c r="S74" s="93">
        <f t="shared" si="76"/>
        <v>1.0635546893851129</v>
      </c>
      <c r="T74" s="93">
        <f t="shared" si="76"/>
        <v>1.0689607644384451</v>
      </c>
      <c r="U74" s="93">
        <f t="shared" si="76"/>
        <v>1.1199136956093563</v>
      </c>
      <c r="V74" s="93">
        <f t="shared" si="76"/>
        <v>0.83531076932806436</v>
      </c>
      <c r="W74" s="93">
        <f t="shared" si="76"/>
        <v>0.98524041613491509</v>
      </c>
      <c r="X74" s="93">
        <f t="shared" ref="X74:Y74" si="77">IF(X12=0,0,X24/X64)</f>
        <v>0.93791896766197858</v>
      </c>
      <c r="Y74" s="93">
        <f t="shared" si="77"/>
        <v>0.91613925050410983</v>
      </c>
      <c r="DA74" s="175"/>
    </row>
    <row r="75" spans="1:105" ht="11.45" customHeight="1" x14ac:dyDescent="0.25">
      <c r="A75" s="85" t="s">
        <v>182</v>
      </c>
      <c r="B75" s="94">
        <f t="shared" si="63"/>
        <v>0.93942078826899789</v>
      </c>
      <c r="C75" s="94">
        <f t="shared" ref="C75:W75" si="78">IF(C13=0,0,C25/C65)</f>
        <v>0.94681027335085366</v>
      </c>
      <c r="D75" s="94">
        <f t="shared" si="78"/>
        <v>1.0906023898246173</v>
      </c>
      <c r="E75" s="94">
        <f t="shared" si="78"/>
        <v>1.0926729449237038</v>
      </c>
      <c r="F75" s="94">
        <f t="shared" si="78"/>
        <v>1.0699633693559263</v>
      </c>
      <c r="G75" s="94">
        <f t="shared" si="78"/>
        <v>1.0226339262921984</v>
      </c>
      <c r="H75" s="94">
        <f t="shared" si="78"/>
        <v>0.69421125332896283</v>
      </c>
      <c r="I75" s="94">
        <f t="shared" si="78"/>
        <v>0.58001735440684954</v>
      </c>
      <c r="J75" s="94">
        <f t="shared" si="78"/>
        <v>0.55388837856571249</v>
      </c>
      <c r="K75" s="94">
        <f t="shared" si="78"/>
        <v>0.7188052048459872</v>
      </c>
      <c r="L75" s="94">
        <f t="shared" si="78"/>
        <v>0.84124354016781477</v>
      </c>
      <c r="M75" s="94">
        <f t="shared" si="78"/>
        <v>0.76230179055073577</v>
      </c>
      <c r="N75" s="94">
        <f t="shared" si="78"/>
        <v>0.70270036338515041</v>
      </c>
      <c r="O75" s="94">
        <f t="shared" si="78"/>
        <v>0.60258226756606881</v>
      </c>
      <c r="P75" s="94">
        <f t="shared" si="78"/>
        <v>0.49168111498137174</v>
      </c>
      <c r="Q75" s="94">
        <f t="shared" si="78"/>
        <v>0.54528590400007626</v>
      </c>
      <c r="R75" s="94">
        <f t="shared" si="78"/>
        <v>0.41468109148109483</v>
      </c>
      <c r="S75" s="94">
        <f t="shared" si="78"/>
        <v>0.46599685192087181</v>
      </c>
      <c r="T75" s="94">
        <f t="shared" si="78"/>
        <v>0.46071790360051967</v>
      </c>
      <c r="U75" s="94">
        <f t="shared" si="78"/>
        <v>0.47816578413890215</v>
      </c>
      <c r="V75" s="94">
        <f t="shared" si="78"/>
        <v>1.1293424010202078</v>
      </c>
      <c r="W75" s="94">
        <f t="shared" si="78"/>
        <v>0.52876979033975224</v>
      </c>
      <c r="X75" s="94">
        <f t="shared" ref="X75:Y75" si="79">IF(X13=0,0,X25/X65)</f>
        <v>1.4073876892270822</v>
      </c>
      <c r="Y75" s="94">
        <f t="shared" si="79"/>
        <v>1.0255553844996861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849.7717200000003</v>
      </c>
      <c r="C3" s="79">
        <f t="shared" si="0"/>
        <v>995.62806</v>
      </c>
      <c r="D3" s="79">
        <f t="shared" ref="D3" si="1">SUM(D4:D5)</f>
        <v>957.57858000000022</v>
      </c>
      <c r="E3" s="79">
        <f t="shared" ref="E3" si="2">SUM(E4:E5)</f>
        <v>1024.16517</v>
      </c>
      <c r="F3" s="79">
        <f t="shared" ref="F3" si="3">SUM(F4:F5)</f>
        <v>935.38305000000003</v>
      </c>
      <c r="G3" s="79">
        <f t="shared" ref="G3" si="4">SUM(G4:G5)</f>
        <v>922.69988999999975</v>
      </c>
      <c r="H3" s="79">
        <f t="shared" ref="H3" si="5">SUM(H4:H5)</f>
        <v>951.23699999999974</v>
      </c>
      <c r="I3" s="79">
        <f t="shared" ref="I3" si="6">SUM(I4:I5)</f>
        <v>910.01673000000017</v>
      </c>
      <c r="J3" s="79">
        <f t="shared" ref="J3" si="7">SUM(J4:J5)</f>
        <v>906.84593999999993</v>
      </c>
      <c r="K3" s="79">
        <f t="shared" ref="K3" si="8">SUM(K4:K5)</f>
        <v>840.25935000000004</v>
      </c>
      <c r="L3" s="79">
        <f t="shared" ref="L3" si="9">SUM(L4:L5)</f>
        <v>856.11330000000021</v>
      </c>
      <c r="M3" s="79">
        <f t="shared" ref="M3" si="10">SUM(M4:M5)</f>
        <v>932.21226000000013</v>
      </c>
      <c r="N3" s="79">
        <f t="shared" ref="N3" si="11">SUM(N4:N5)</f>
        <v>837.08856000000014</v>
      </c>
      <c r="O3" s="79">
        <f t="shared" ref="O3" si="12">SUM(O4:O5)</f>
        <v>745.13565000000006</v>
      </c>
      <c r="P3" s="79">
        <f t="shared" ref="P3" si="13">SUM(P4:P5)</f>
        <v>732.45249000000013</v>
      </c>
      <c r="Q3" s="79">
        <f t="shared" ref="Q3" si="14">SUM(Q4:Q5)</f>
        <v>738.79407000000003</v>
      </c>
      <c r="R3" s="79">
        <f t="shared" ref="R3" si="15">SUM(R4:R5)</f>
        <v>833.9177699999999</v>
      </c>
      <c r="S3" s="79">
        <f t="shared" ref="S3" si="16">SUM(S4:S5)</f>
        <v>944.28041616000007</v>
      </c>
      <c r="T3" s="79">
        <f t="shared" ref="T3" si="17">SUM(T4:T5)</f>
        <v>977.34204935999981</v>
      </c>
      <c r="U3" s="79">
        <f t="shared" ref="U3" si="18">SUM(U4:U5)</f>
        <v>936.04904532000012</v>
      </c>
      <c r="V3" s="79">
        <f t="shared" ref="V3:W3" si="19">SUM(V4:V5)</f>
        <v>286.55710488000005</v>
      </c>
      <c r="W3" s="79">
        <f t="shared" si="19"/>
        <v>474.66415691999981</v>
      </c>
      <c r="X3" s="79">
        <f t="shared" ref="X3:Y3" si="20">SUM(X4:X5)</f>
        <v>796.74989904000017</v>
      </c>
      <c r="Y3" s="79">
        <f t="shared" si="20"/>
        <v>922.67762976000017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849.7717200000003</v>
      </c>
      <c r="C5" s="96">
        <f t="shared" si="24"/>
        <v>995.62806</v>
      </c>
      <c r="D5" s="96">
        <f t="shared" ref="D5:V5" si="25">SUM(D8:D9,D12:D13)</f>
        <v>957.57858000000022</v>
      </c>
      <c r="E5" s="96">
        <f t="shared" si="25"/>
        <v>1024.16517</v>
      </c>
      <c r="F5" s="96">
        <f t="shared" si="25"/>
        <v>935.38305000000003</v>
      </c>
      <c r="G5" s="96">
        <f t="shared" si="25"/>
        <v>922.69988999999975</v>
      </c>
      <c r="H5" s="96">
        <f t="shared" si="25"/>
        <v>951.23699999999974</v>
      </c>
      <c r="I5" s="96">
        <f t="shared" si="25"/>
        <v>910.01673000000017</v>
      </c>
      <c r="J5" s="96">
        <f t="shared" si="25"/>
        <v>906.84593999999993</v>
      </c>
      <c r="K5" s="96">
        <f t="shared" si="25"/>
        <v>840.25935000000004</v>
      </c>
      <c r="L5" s="96">
        <f t="shared" si="25"/>
        <v>856.11330000000021</v>
      </c>
      <c r="M5" s="96">
        <f t="shared" si="25"/>
        <v>932.21226000000013</v>
      </c>
      <c r="N5" s="96">
        <f t="shared" si="25"/>
        <v>837.08856000000014</v>
      </c>
      <c r="O5" s="96">
        <f t="shared" si="25"/>
        <v>745.13565000000006</v>
      </c>
      <c r="P5" s="96">
        <f t="shared" si="25"/>
        <v>732.45249000000013</v>
      </c>
      <c r="Q5" s="96">
        <f t="shared" si="25"/>
        <v>738.79407000000003</v>
      </c>
      <c r="R5" s="96">
        <f t="shared" si="25"/>
        <v>833.9177699999999</v>
      </c>
      <c r="S5" s="96">
        <f t="shared" si="25"/>
        <v>944.28041616000007</v>
      </c>
      <c r="T5" s="96">
        <f t="shared" si="25"/>
        <v>977.34204935999981</v>
      </c>
      <c r="U5" s="96">
        <f t="shared" si="25"/>
        <v>936.04904532000012</v>
      </c>
      <c r="V5" s="96">
        <f t="shared" si="25"/>
        <v>286.55710488000005</v>
      </c>
      <c r="W5" s="96">
        <f t="shared" ref="W5:Y5" si="26">SUM(W8:W9,W12:W13)</f>
        <v>474.66415691999981</v>
      </c>
      <c r="X5" s="96">
        <f t="shared" si="26"/>
        <v>796.74989904000017</v>
      </c>
      <c r="Y5" s="96">
        <f t="shared" si="26"/>
        <v>922.67762976000017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821.95381451974504</v>
      </c>
      <c r="C6" s="21">
        <f t="shared" si="27"/>
        <v>971.60250190773615</v>
      </c>
      <c r="D6" s="21">
        <f t="shared" ref="D6:V6" si="28">SUM(D7:D9)</f>
        <v>930.59597443837754</v>
      </c>
      <c r="E6" s="21">
        <f t="shared" si="28"/>
        <v>998.1582617420521</v>
      </c>
      <c r="F6" s="21">
        <f t="shared" si="28"/>
        <v>903.15386661254865</v>
      </c>
      <c r="G6" s="21">
        <f t="shared" si="28"/>
        <v>886.45494864263253</v>
      </c>
      <c r="H6" s="21">
        <f t="shared" si="28"/>
        <v>909.49945727087936</v>
      </c>
      <c r="I6" s="21">
        <f t="shared" si="28"/>
        <v>873.79427683428366</v>
      </c>
      <c r="J6" s="21">
        <f t="shared" si="28"/>
        <v>870.76501486874076</v>
      </c>
      <c r="K6" s="21">
        <f t="shared" si="28"/>
        <v>808.54745851961286</v>
      </c>
      <c r="L6" s="21">
        <f t="shared" si="28"/>
        <v>826.53379573786162</v>
      </c>
      <c r="M6" s="21">
        <f t="shared" si="28"/>
        <v>909.68169162298523</v>
      </c>
      <c r="N6" s="21">
        <f t="shared" si="28"/>
        <v>820.59703407824259</v>
      </c>
      <c r="O6" s="21">
        <f t="shared" si="28"/>
        <v>730.28138669155305</v>
      </c>
      <c r="P6" s="21">
        <f t="shared" si="28"/>
        <v>720.00607088410266</v>
      </c>
      <c r="Q6" s="21">
        <f t="shared" si="28"/>
        <v>727.0151957809062</v>
      </c>
      <c r="R6" s="21">
        <f t="shared" si="28"/>
        <v>824.11114483570145</v>
      </c>
      <c r="S6" s="21">
        <f t="shared" si="28"/>
        <v>933.96740257123838</v>
      </c>
      <c r="T6" s="21">
        <f t="shared" si="28"/>
        <v>968.30214764412653</v>
      </c>
      <c r="U6" s="21">
        <f t="shared" si="28"/>
        <v>928.81172553004967</v>
      </c>
      <c r="V6" s="21">
        <f t="shared" si="28"/>
        <v>280.46869490897393</v>
      </c>
      <c r="W6" s="21">
        <f t="shared" ref="W6:Y6" si="29">SUM(W7:W9)</f>
        <v>468.8525784882558</v>
      </c>
      <c r="X6" s="21">
        <f t="shared" si="29"/>
        <v>790.40084410322379</v>
      </c>
      <c r="Y6" s="21">
        <f t="shared" si="29"/>
        <v>915.87857260417218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717.30505788971811</v>
      </c>
      <c r="C8" s="96">
        <v>847.89665869650207</v>
      </c>
      <c r="D8" s="96">
        <v>775.62229663355561</v>
      </c>
      <c r="E8" s="96">
        <v>831.92228666140056</v>
      </c>
      <c r="F8" s="96">
        <v>777.1236531261053</v>
      </c>
      <c r="G8" s="96">
        <v>768.17828790849285</v>
      </c>
      <c r="H8" s="96">
        <v>788.66133846411333</v>
      </c>
      <c r="I8" s="96">
        <v>758.09473136725092</v>
      </c>
      <c r="J8" s="96">
        <v>754.08447946184958</v>
      </c>
      <c r="K8" s="96">
        <v>694.59024868244774</v>
      </c>
      <c r="L8" s="96">
        <v>706.45239888277456</v>
      </c>
      <c r="M8" s="96">
        <v>779.64612415975773</v>
      </c>
      <c r="N8" s="96">
        <v>696.17990002704403</v>
      </c>
      <c r="O8" s="96">
        <v>614.43755695504706</v>
      </c>
      <c r="P8" s="96">
        <v>604.85035263476584</v>
      </c>
      <c r="Q8" s="96">
        <v>611.51232210193996</v>
      </c>
      <c r="R8" s="96">
        <v>704.07837137658623</v>
      </c>
      <c r="S8" s="96">
        <v>805.3065191662032</v>
      </c>
      <c r="T8" s="96">
        <v>832.73757955249357</v>
      </c>
      <c r="U8" s="96">
        <v>793.82778699656285</v>
      </c>
      <c r="V8" s="96">
        <v>213.54449149447652</v>
      </c>
      <c r="W8" s="96">
        <v>372.46159228419145</v>
      </c>
      <c r="X8" s="96">
        <v>677.49020429750328</v>
      </c>
      <c r="Y8" s="96">
        <v>785.65932136758352</v>
      </c>
      <c r="DA8" s="171" t="s">
        <v>329</v>
      </c>
    </row>
    <row r="9" spans="1:105" ht="11.45" customHeight="1" x14ac:dyDescent="0.25">
      <c r="A9" s="83" t="s">
        <v>182</v>
      </c>
      <c r="B9" s="96">
        <v>104.64875663002691</v>
      </c>
      <c r="C9" s="96">
        <v>123.70584321123413</v>
      </c>
      <c r="D9" s="96">
        <v>154.97367780482193</v>
      </c>
      <c r="E9" s="96">
        <v>166.23597508065154</v>
      </c>
      <c r="F9" s="96">
        <v>126.0302134864433</v>
      </c>
      <c r="G9" s="96">
        <v>118.27666073413971</v>
      </c>
      <c r="H9" s="96">
        <v>120.83811880676606</v>
      </c>
      <c r="I9" s="96">
        <v>115.69954546703276</v>
      </c>
      <c r="J9" s="96">
        <v>116.68053540689114</v>
      </c>
      <c r="K9" s="96">
        <v>113.95720983716512</v>
      </c>
      <c r="L9" s="96">
        <v>120.08139685508711</v>
      </c>
      <c r="M9" s="96">
        <v>130.03556746322755</v>
      </c>
      <c r="N9" s="96">
        <v>124.41713405119854</v>
      </c>
      <c r="O9" s="96">
        <v>115.84382973650602</v>
      </c>
      <c r="P9" s="96">
        <v>115.15571824933676</v>
      </c>
      <c r="Q9" s="96">
        <v>115.50287367896621</v>
      </c>
      <c r="R9" s="96">
        <v>120.03277345911526</v>
      </c>
      <c r="S9" s="96">
        <v>128.66088340503515</v>
      </c>
      <c r="T9" s="96">
        <v>135.56456809163291</v>
      </c>
      <c r="U9" s="96">
        <v>134.98393853348676</v>
      </c>
      <c r="V9" s="96">
        <v>66.924203414497384</v>
      </c>
      <c r="W9" s="96">
        <v>96.390986204064362</v>
      </c>
      <c r="X9" s="96">
        <v>112.91063980572055</v>
      </c>
      <c r="Y9" s="96">
        <v>130.21925123658863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27.817905480255337</v>
      </c>
      <c r="C10" s="22">
        <f t="shared" si="30"/>
        <v>24.025558092263779</v>
      </c>
      <c r="D10" s="22">
        <f t="shared" ref="D10:V10" si="31">SUM(D11:D13)</f>
        <v>26.982605561622659</v>
      </c>
      <c r="E10" s="22">
        <f t="shared" si="31"/>
        <v>26.006908257947952</v>
      </c>
      <c r="F10" s="22">
        <f t="shared" si="31"/>
        <v>32.229183387451371</v>
      </c>
      <c r="G10" s="22">
        <f t="shared" si="31"/>
        <v>36.244941357367267</v>
      </c>
      <c r="H10" s="22">
        <f t="shared" si="31"/>
        <v>41.737542729120342</v>
      </c>
      <c r="I10" s="22">
        <f t="shared" si="31"/>
        <v>36.222453165716445</v>
      </c>
      <c r="J10" s="22">
        <f t="shared" si="31"/>
        <v>36.080925131259207</v>
      </c>
      <c r="K10" s="22">
        <f t="shared" si="31"/>
        <v>31.711891480387163</v>
      </c>
      <c r="L10" s="22">
        <f t="shared" si="31"/>
        <v>29.579504262138574</v>
      </c>
      <c r="M10" s="22">
        <f t="shared" si="31"/>
        <v>22.530568377014987</v>
      </c>
      <c r="N10" s="22">
        <f t="shared" si="31"/>
        <v>16.491525921757621</v>
      </c>
      <c r="O10" s="22">
        <f t="shared" si="31"/>
        <v>14.854263308447072</v>
      </c>
      <c r="P10" s="22">
        <f t="shared" si="31"/>
        <v>12.446419115897379</v>
      </c>
      <c r="Q10" s="22">
        <f t="shared" si="31"/>
        <v>11.778874219093895</v>
      </c>
      <c r="R10" s="22">
        <f t="shared" si="31"/>
        <v>9.8066251642984543</v>
      </c>
      <c r="S10" s="22">
        <f t="shared" si="31"/>
        <v>10.313013588761649</v>
      </c>
      <c r="T10" s="22">
        <f t="shared" si="31"/>
        <v>9.0399017158732899</v>
      </c>
      <c r="U10" s="22">
        <f t="shared" si="31"/>
        <v>7.2373197899504547</v>
      </c>
      <c r="V10" s="22">
        <f t="shared" si="31"/>
        <v>6.0884099710261577</v>
      </c>
      <c r="W10" s="22">
        <f t="shared" ref="W10:Y10" si="32">SUM(W11:W13)</f>
        <v>5.8115784317440138</v>
      </c>
      <c r="X10" s="22">
        <f t="shared" si="32"/>
        <v>6.3490549367764153</v>
      </c>
      <c r="Y10" s="22">
        <f t="shared" si="32"/>
        <v>6.7990571558279571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26.508110509392306</v>
      </c>
      <c r="C12" s="97">
        <v>22.760464348362536</v>
      </c>
      <c r="D12" s="97">
        <v>25.620418297774787</v>
      </c>
      <c r="E12" s="97">
        <v>24.658004282087102</v>
      </c>
      <c r="F12" s="97">
        <v>30.706299104505636</v>
      </c>
      <c r="G12" s="97">
        <v>34.829486297372164</v>
      </c>
      <c r="H12" s="97">
        <v>40.442897958680859</v>
      </c>
      <c r="I12" s="97">
        <v>35.054799722400475</v>
      </c>
      <c r="J12" s="97">
        <v>34.696006935524672</v>
      </c>
      <c r="K12" s="97">
        <v>30.031328300247548</v>
      </c>
      <c r="L12" s="97">
        <v>27.444675799085431</v>
      </c>
      <c r="M12" s="97">
        <v>21.56155282092725</v>
      </c>
      <c r="N12" s="97">
        <v>16.013442675999428</v>
      </c>
      <c r="O12" s="97">
        <v>14.345686116401152</v>
      </c>
      <c r="P12" s="97">
        <v>12.069546204038444</v>
      </c>
      <c r="Q12" s="97">
        <v>11.353035465228013</v>
      </c>
      <c r="R12" s="97">
        <v>9.5452242611200369</v>
      </c>
      <c r="S12" s="97">
        <v>10.031428722550755</v>
      </c>
      <c r="T12" s="97">
        <v>8.7395701818532743</v>
      </c>
      <c r="U12" s="97">
        <v>6.3281953208394963</v>
      </c>
      <c r="V12" s="97">
        <v>4.7918187467456796</v>
      </c>
      <c r="W12" s="97">
        <v>5.4840556323495075</v>
      </c>
      <c r="X12" s="97">
        <v>5.6473553331496955</v>
      </c>
      <c r="Y12" s="97">
        <v>5.9950497677466563</v>
      </c>
      <c r="DA12" s="175" t="s">
        <v>333</v>
      </c>
    </row>
    <row r="13" spans="1:105" ht="11.45" customHeight="1" x14ac:dyDescent="0.25">
      <c r="A13" s="85" t="s">
        <v>182</v>
      </c>
      <c r="B13" s="98">
        <v>1.3097949708630303</v>
      </c>
      <c r="C13" s="98">
        <v>1.2650937439012417</v>
      </c>
      <c r="D13" s="98">
        <v>1.3621872638478705</v>
      </c>
      <c r="E13" s="98">
        <v>1.3489039758608499</v>
      </c>
      <c r="F13" s="98">
        <v>1.5228842829457327</v>
      </c>
      <c r="G13" s="98">
        <v>1.4154550599951028</v>
      </c>
      <c r="H13" s="98">
        <v>1.2946447704394799</v>
      </c>
      <c r="I13" s="98">
        <v>1.1676534433159669</v>
      </c>
      <c r="J13" s="98">
        <v>1.3849181957345371</v>
      </c>
      <c r="K13" s="98">
        <v>1.6805631801396141</v>
      </c>
      <c r="L13" s="98">
        <v>2.1348284630531427</v>
      </c>
      <c r="M13" s="98">
        <v>0.96901555608773626</v>
      </c>
      <c r="N13" s="98">
        <v>0.4780832457581915</v>
      </c>
      <c r="O13" s="98">
        <v>0.50857719204592011</v>
      </c>
      <c r="P13" s="98">
        <v>0.37687291185893484</v>
      </c>
      <c r="Q13" s="98">
        <v>0.42583875386588266</v>
      </c>
      <c r="R13" s="98">
        <v>0.26140090317841752</v>
      </c>
      <c r="S13" s="98">
        <v>0.28158486621089424</v>
      </c>
      <c r="T13" s="98">
        <v>0.30033153402001611</v>
      </c>
      <c r="U13" s="98">
        <v>0.90912446911095801</v>
      </c>
      <c r="V13" s="98">
        <v>1.2965912242804782</v>
      </c>
      <c r="W13" s="98">
        <v>0.32752279939450613</v>
      </c>
      <c r="X13" s="98">
        <v>0.70169960362671968</v>
      </c>
      <c r="Y13" s="98">
        <v>0.8040073880813009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3.0103092000000014</v>
      </c>
      <c r="C19" s="98">
        <f>IF(C5=0,0,C5/TrAvia_ene!C5)</f>
        <v>3.0103092000000005</v>
      </c>
      <c r="D19" s="98">
        <f>IF(D5=0,0,D5/TrAvia_ene!D5)</f>
        <v>3.0103092000000009</v>
      </c>
      <c r="E19" s="98">
        <f>IF(E5=0,0,E5/TrAvia_ene!E5)</f>
        <v>3.0103092000000005</v>
      </c>
      <c r="F19" s="98">
        <f>IF(F5=0,0,F5/TrAvia_ene!F5)</f>
        <v>3.0103092</v>
      </c>
      <c r="G19" s="98">
        <f>IF(G5=0,0,G5/TrAvia_ene!G5)</f>
        <v>3.0103091999999996</v>
      </c>
      <c r="H19" s="98">
        <f>IF(H5=0,0,H5/TrAvia_ene!H5)</f>
        <v>3.0103091999999991</v>
      </c>
      <c r="I19" s="98">
        <f>IF(I5=0,0,I5/TrAvia_ene!I5)</f>
        <v>3.0103092000000009</v>
      </c>
      <c r="J19" s="98">
        <f>IF(J5=0,0,J5/TrAvia_ene!J5)</f>
        <v>3.0103091999999996</v>
      </c>
      <c r="K19" s="98">
        <f>IF(K5=0,0,K5/TrAvia_ene!K5)</f>
        <v>3.0103092000000009</v>
      </c>
      <c r="L19" s="98">
        <f>IF(L5=0,0,L5/TrAvia_ene!L5)</f>
        <v>3.0103092000000018</v>
      </c>
      <c r="M19" s="98">
        <f>IF(M5=0,0,M5/TrAvia_ene!M5)</f>
        <v>3.0103092</v>
      </c>
      <c r="N19" s="98">
        <f>IF(N5=0,0,N5/TrAvia_ene!N5)</f>
        <v>3.0103092</v>
      </c>
      <c r="O19" s="98">
        <f>IF(O5=0,0,O5/TrAvia_ene!O5)</f>
        <v>3.0103092000000005</v>
      </c>
      <c r="P19" s="98">
        <f>IF(P5=0,0,P5/TrAvia_ene!P5)</f>
        <v>3.0103091999999996</v>
      </c>
      <c r="Q19" s="98">
        <f>IF(Q5=0,0,Q5/TrAvia_ene!Q5)</f>
        <v>3.0103092</v>
      </c>
      <c r="R19" s="98">
        <f>IF(R5=0,0,R5/TrAvia_ene!R5)</f>
        <v>3.0103092</v>
      </c>
      <c r="S19" s="98">
        <f>IF(S5=0,0,S5/TrAvia_ene!S5)</f>
        <v>3.0103092</v>
      </c>
      <c r="T19" s="98">
        <f>IF(T5=0,0,T5/TrAvia_ene!T5)</f>
        <v>3.0103091999999996</v>
      </c>
      <c r="U19" s="98">
        <f>IF(U5=0,0,U5/TrAvia_ene!U5)</f>
        <v>3.0103092000000009</v>
      </c>
      <c r="V19" s="98">
        <f>IF(V5=0,0,V5/TrAvia_ene!V5)</f>
        <v>3.0103091999999991</v>
      </c>
      <c r="W19" s="98">
        <f>IF(W5=0,0,W5/TrAvia_ene!W5)</f>
        <v>3.0103092</v>
      </c>
      <c r="X19" s="98">
        <f>IF(X5=0,0,X5/TrAvia_ene!X5)</f>
        <v>3.0103092000000022</v>
      </c>
      <c r="Y19" s="98">
        <f>IF(Y5=0,0,Y5/TrAvia_ene!Y5)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13283.46252785477</v>
      </c>
      <c r="C21" s="54">
        <f>IF(C3=0,0,C3/TrAvia_act!C13*1000)</f>
        <v>13384.34543437639</v>
      </c>
      <c r="D21" s="54">
        <f>IF(D3=0,0,D3/TrAvia_act!D13*1000)</f>
        <v>15218.970785320429</v>
      </c>
      <c r="E21" s="54">
        <f>IF(E3=0,0,E3/TrAvia_act!E13*1000)</f>
        <v>15246.516582337443</v>
      </c>
      <c r="F21" s="54">
        <f>IF(F3=0,0,F3/TrAvia_act!F13*1000)</f>
        <v>14921.650134290667</v>
      </c>
      <c r="G21" s="54">
        <f>IF(G3=0,0,G3/TrAvia_act!G13*1000)</f>
        <v>13801.878300496835</v>
      </c>
      <c r="H21" s="54">
        <f>IF(H3=0,0,H3/TrAvia_act!H13*1000)</f>
        <v>13316.896544571558</v>
      </c>
      <c r="I21" s="54">
        <f>IF(I3=0,0,I3/TrAvia_act!I13*1000)</f>
        <v>12473.763414981164</v>
      </c>
      <c r="J21" s="54">
        <f>IF(J3=0,0,J3/TrAvia_act!J13*1000)</f>
        <v>12075.25537452766</v>
      </c>
      <c r="K21" s="54">
        <f>IF(K3=0,0,K3/TrAvia_act!K13*1000)</f>
        <v>12052.29959686815</v>
      </c>
      <c r="L21" s="54">
        <f>IF(L3=0,0,L3/TrAvia_act!L13*1000)</f>
        <v>12416.252409369035</v>
      </c>
      <c r="M21" s="54">
        <f>IF(M3=0,0,M3/TrAvia_act!M13*1000)</f>
        <v>13478.588960435831</v>
      </c>
      <c r="N21" s="54">
        <f>IF(N3=0,0,N3/TrAvia_act!N13*1000)</f>
        <v>12744.769270865634</v>
      </c>
      <c r="O21" s="54">
        <f>IF(O3=0,0,O3/TrAvia_act!O13*1000)</f>
        <v>12386.918938123961</v>
      </c>
      <c r="P21" s="54">
        <f>IF(P3=0,0,P3/TrAvia_act!P13*1000)</f>
        <v>11796.734901831329</v>
      </c>
      <c r="Q21" s="54">
        <f>IF(Q3=0,0,Q3/TrAvia_act!Q13*1000)</f>
        <v>11981.10870979687</v>
      </c>
      <c r="R21" s="54">
        <f>IF(R3=0,0,R3/TrAvia_act!R13*1000)</f>
        <v>11503.695766309411</v>
      </c>
      <c r="S21" s="54">
        <f>IF(S3=0,0,S3/TrAvia_act!S13*1000)</f>
        <v>11808.390150554445</v>
      </c>
      <c r="T21" s="54">
        <f>IF(T3=0,0,T3/TrAvia_act!T13*1000)</f>
        <v>11502.177265733486</v>
      </c>
      <c r="U21" s="54">
        <f>IF(U3=0,0,U3/TrAvia_act!U13*1000)</f>
        <v>11395.945275657088</v>
      </c>
      <c r="V21" s="54">
        <f>IF(V3=0,0,V3/TrAvia_act!V13*1000)</f>
        <v>10940.551216192047</v>
      </c>
      <c r="W21" s="54">
        <f>IF(W3=0,0,W3/TrAvia_act!W13*1000)</f>
        <v>10538.42979932044</v>
      </c>
      <c r="X21" s="54">
        <f>IF(X3=0,0,X3/TrAvia_act!X13*1000)</f>
        <v>11576.709055187201</v>
      </c>
      <c r="Y21" s="54">
        <f>IF(Y3=0,0,Y3/TrAvia_act!Y13*1000)</f>
        <v>11277.466578848651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13272.510048080945</v>
      </c>
      <c r="C22" s="11">
        <f>IF(C6=0,0,C6/TrAvia_act!C14*1000)</f>
        <v>13376.901384868484</v>
      </c>
      <c r="D22" s="11">
        <f>IF(D6=0,0,D6/TrAvia_act!D14*1000)</f>
        <v>15203.332710225814</v>
      </c>
      <c r="E22" s="11">
        <f>IF(E6=0,0,E6/TrAvia_act!E14*1000)</f>
        <v>15232.25985053273</v>
      </c>
      <c r="F22" s="11">
        <f>IF(F6=0,0,F6/TrAvia_act!F14*1000)</f>
        <v>14901.527642982033</v>
      </c>
      <c r="G22" s="11">
        <f>IF(G6=0,0,G6/TrAvia_act!G14*1000)</f>
        <v>13783.271545505684</v>
      </c>
      <c r="H22" s="11">
        <f>IF(H6=0,0,H6/TrAvia_act!H14*1000)</f>
        <v>13273.304086003014</v>
      </c>
      <c r="I22" s="11">
        <f>IF(I6=0,0,I6/TrAvia_act!I14*1000)</f>
        <v>12426.206512108622</v>
      </c>
      <c r="J22" s="11">
        <f>IF(J6=0,0,J6/TrAvia_act!J14*1000)</f>
        <v>12023.499505689062</v>
      </c>
      <c r="K22" s="11">
        <f>IF(K6=0,0,K6/TrAvia_act!K14*1000)</f>
        <v>12021.257729084538</v>
      </c>
      <c r="L22" s="11">
        <f>IF(L6=0,0,L6/TrAvia_act!L14*1000)</f>
        <v>12387.533690570202</v>
      </c>
      <c r="M22" s="11">
        <f>IF(M6=0,0,M6/TrAvia_act!M14*1000)</f>
        <v>13453.431615546966</v>
      </c>
      <c r="N22" s="11">
        <f>IF(N6=0,0,N6/TrAvia_act!N14*1000)</f>
        <v>12717.896358029819</v>
      </c>
      <c r="O22" s="11">
        <f>IF(O6=0,0,O6/TrAvia_act!O14*1000)</f>
        <v>12369.511715246419</v>
      </c>
      <c r="P22" s="11">
        <f>IF(P6=0,0,P6/TrAvia_act!P14*1000)</f>
        <v>11777.164977488079</v>
      </c>
      <c r="Q22" s="11">
        <f>IF(Q6=0,0,Q6/TrAvia_act!Q14*1000)</f>
        <v>11964.887966371665</v>
      </c>
      <c r="R22" s="11">
        <f>IF(R6=0,0,R6/TrAvia_act!R14*1000)</f>
        <v>11483.85525651764</v>
      </c>
      <c r="S22" s="11">
        <f>IF(S6=0,0,S6/TrAvia_act!S14*1000)</f>
        <v>11790.90073710113</v>
      </c>
      <c r="T22" s="11">
        <f>IF(T6=0,0,T6/TrAvia_act!T14*1000)</f>
        <v>11488.864048888419</v>
      </c>
      <c r="U22" s="11">
        <f>IF(U6=0,0,U6/TrAvia_act!U14*1000)</f>
        <v>11388.816664251639</v>
      </c>
      <c r="V22" s="11">
        <f>IF(V6=0,0,V6/TrAvia_act!V14*1000)</f>
        <v>10928.702262348339</v>
      </c>
      <c r="W22" s="11">
        <f>IF(W6=0,0,W6/TrAvia_act!W14*1000)</f>
        <v>10526.52521038166</v>
      </c>
      <c r="X22" s="11">
        <f>IF(X6=0,0,X6/TrAvia_act!X14*1000)</f>
        <v>11576.863440010849</v>
      </c>
      <c r="Y22" s="11">
        <f>IF(Y6=0,0,Y6/TrAvia_act!Y14*1000)</f>
        <v>11278.142235706418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13458.134628556953</v>
      </c>
      <c r="C24" s="84">
        <f>IF(C8=0,0,C8/TrAvia_act!C16*1000)</f>
        <v>13563.991737439903</v>
      </c>
      <c r="D24" s="84">
        <f>IF(D8=0,0,D8/TrAvia_act!D16*1000)</f>
        <v>15450.201678506171</v>
      </c>
      <c r="E24" s="84">
        <f>IF(E8=0,0,E8/TrAvia_act!E16*1000)</f>
        <v>15479.632592557382</v>
      </c>
      <c r="F24" s="84">
        <f>IF(F8=0,0,F8/TrAvia_act!F16*1000)</f>
        <v>15094.795722058641</v>
      </c>
      <c r="G24" s="84">
        <f>IF(G8=0,0,G8/TrAvia_act!G16*1000)</f>
        <v>13884.108119921553</v>
      </c>
      <c r="H24" s="84">
        <f>IF(H8=0,0,H8/TrAvia_act!H16*1000)</f>
        <v>14385.842433456695</v>
      </c>
      <c r="I24" s="84">
        <f>IF(I8=0,0,I8/TrAvia_act!I16*1000)</f>
        <v>13877.898220414787</v>
      </c>
      <c r="J24" s="84">
        <f>IF(J8=0,0,J8/TrAvia_act!J16*1000)</f>
        <v>13508.858309334539</v>
      </c>
      <c r="K24" s="84">
        <f>IF(K8=0,0,K8/TrAvia_act!K16*1000)</f>
        <v>12682.33326334708</v>
      </c>
      <c r="L24" s="84">
        <f>IF(L8=0,0,L8/TrAvia_act!L16*1000)</f>
        <v>12733.273371699286</v>
      </c>
      <c r="M24" s="84">
        <f>IF(M8=0,0,M8/TrAvia_act!M16*1000)</f>
        <v>14322.532130248539</v>
      </c>
      <c r="N24" s="84">
        <f>IF(N8=0,0,N8/TrAvia_act!N16*1000)</f>
        <v>13657.374353064866</v>
      </c>
      <c r="O24" s="84">
        <f>IF(O8=0,0,O8/TrAvia_act!O16*1000)</f>
        <v>13816.422641508641</v>
      </c>
      <c r="P24" s="84">
        <f>IF(P8=0,0,P8/TrAvia_act!P16*1000)</f>
        <v>13892.80441591467</v>
      </c>
      <c r="Q24" s="84">
        <f>IF(Q8=0,0,Q8/TrAvia_act!Q16*1000)</f>
        <v>13697.573265530815</v>
      </c>
      <c r="R24" s="84">
        <f>IF(R8=0,0,R8/TrAvia_act!R16*1000)</f>
        <v>14170.257140229909</v>
      </c>
      <c r="S24" s="84">
        <f>IF(S8=0,0,S8/TrAvia_act!S16*1000)</f>
        <v>13930.915004788778</v>
      </c>
      <c r="T24" s="84">
        <f>IF(T8=0,0,T8/TrAvia_act!T16*1000)</f>
        <v>13514.861718613811</v>
      </c>
      <c r="U24" s="84">
        <f>IF(U8=0,0,U8/TrAvia_act!U16*1000)</f>
        <v>13337.052729854589</v>
      </c>
      <c r="V24" s="84">
        <f>IF(V8=0,0,V8/TrAvia_act!V16*1000)</f>
        <v>10163.339254915711</v>
      </c>
      <c r="W24" s="84">
        <f>IF(W8=0,0,W8/TrAvia_act!W16*1000)</f>
        <v>12168.320005720374</v>
      </c>
      <c r="X24" s="84">
        <f>IF(X8=0,0,X8/TrAvia_act!X16*1000)</f>
        <v>10862.211545650774</v>
      </c>
      <c r="Y24" s="84">
        <f>IF(Y8=0,0,Y8/TrAvia_act!Y16*1000)</f>
        <v>10983.698081106086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12126.09614460772</v>
      </c>
      <c r="C25" s="84">
        <f>IF(C9=0,0,C9/TrAvia_act!C17*1000)</f>
        <v>12221.480031871743</v>
      </c>
      <c r="D25" s="84">
        <f>IF(D9=0,0,D9/TrAvia_act!D17*1000)</f>
        <v>14077.556723990045</v>
      </c>
      <c r="E25" s="84">
        <f>IF(E9=0,0,E9/TrAvia_act!E17*1000)</f>
        <v>14104.283565164693</v>
      </c>
      <c r="F25" s="84">
        <f>IF(F9=0,0,F9/TrAvia_act!F17*1000)</f>
        <v>13811.147091949617</v>
      </c>
      <c r="G25" s="84">
        <f>IF(G9=0,0,G9/TrAvia_act!G17*1000)</f>
        <v>13162.404917702874</v>
      </c>
      <c r="H25" s="84">
        <f>IF(H9=0,0,H9/TrAvia_act!H17*1000)</f>
        <v>8821.0048390427437</v>
      </c>
      <c r="I25" s="84">
        <f>IF(I9=0,0,I9/TrAvia_act!I17*1000)</f>
        <v>7372.8639219671313</v>
      </c>
      <c r="J25" s="84">
        <f>IF(J9=0,0,J9/TrAvia_act!J17*1000)</f>
        <v>7028.7587334219252</v>
      </c>
      <c r="K25" s="84">
        <f>IF(K9=0,0,K9/TrAvia_act!K17*1000)</f>
        <v>9122.8000966979434</v>
      </c>
      <c r="L25" s="84">
        <f>IF(L9=0,0,L9/TrAvia_act!L17*1000)</f>
        <v>10681.293438406079</v>
      </c>
      <c r="M25" s="84">
        <f>IF(M9=0,0,M9/TrAvia_act!M17*1000)</f>
        <v>9864.5274920538413</v>
      </c>
      <c r="N25" s="84">
        <f>IF(N9=0,0,N9/TrAvia_act!N17*1000)</f>
        <v>9183.1846253664007</v>
      </c>
      <c r="O25" s="84">
        <f>IF(O9=0,0,O9/TrAvia_act!O17*1000)</f>
        <v>7952.328943498268</v>
      </c>
      <c r="P25" s="84">
        <f>IF(P9=0,0,P9/TrAvia_act!P17*1000)</f>
        <v>6543.3771329149677</v>
      </c>
      <c r="Q25" s="84">
        <f>IF(Q9=0,0,Q9/TrAvia_act!Q17*1000)</f>
        <v>7165.8367046788753</v>
      </c>
      <c r="R25" s="84">
        <f>IF(R9=0,0,R9/TrAvia_act!R17*1000)</f>
        <v>5437.3680026189122</v>
      </c>
      <c r="S25" s="84">
        <f>IF(S9=0,0,S9/TrAvia_act!S17*1000)</f>
        <v>6011.1488571508708</v>
      </c>
      <c r="T25" s="84">
        <f>IF(T9=0,0,T9/TrAvia_act!T17*1000)</f>
        <v>5981.1327420912885</v>
      </c>
      <c r="U25" s="84">
        <f>IF(U9=0,0,U9/TrAvia_act!U17*1000)</f>
        <v>6126.0999715994976</v>
      </c>
      <c r="V25" s="84">
        <f>IF(V9=0,0,V9/TrAvia_act!V17*1000)</f>
        <v>14385.365890019306</v>
      </c>
      <c r="W25" s="84">
        <f>IF(W9=0,0,W9/TrAvia_act!W17*1000)</f>
        <v>6919.1786457331355</v>
      </c>
      <c r="X25" s="84">
        <f>IF(X9=0,0,X9/TrAvia_act!X17*1000)</f>
        <v>19128.048356214764</v>
      </c>
      <c r="Y25" s="84">
        <f>IF(Y9=0,0,Y9/TrAvia_act!Y17*1000)</f>
        <v>13454.205282360042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13615.444271862683</v>
      </c>
      <c r="C26" s="13">
        <f>IF(C10=0,0,C10/TrAvia_act!C18*1000)</f>
        <v>13692.487667459407</v>
      </c>
      <c r="D26" s="13">
        <f>IF(D10=0,0,D10/TrAvia_act!D18*1000)</f>
        <v>15778.720074674495</v>
      </c>
      <c r="E26" s="13">
        <f>IF(E10=0,0,E10/TrAvia_act!E18*1000)</f>
        <v>15814.616850898057</v>
      </c>
      <c r="F26" s="13">
        <f>IF(F10=0,0,F10/TrAvia_act!F18*1000)</f>
        <v>15508.508685675772</v>
      </c>
      <c r="G26" s="13">
        <f>IF(G10=0,0,G10/TrAvia_act!G18*1000)</f>
        <v>14273.123139253501</v>
      </c>
      <c r="H26" s="13">
        <f>IF(H10=0,0,H10/TrAvia_act!H18*1000)</f>
        <v>14343.398934057139</v>
      </c>
      <c r="I26" s="13">
        <f>IF(I10=0,0,I10/TrAvia_act!I18*1000)</f>
        <v>13742.501980411102</v>
      </c>
      <c r="J26" s="13">
        <f>IF(J10=0,0,J10/TrAvia_act!J18*1000)</f>
        <v>13475.115048428393</v>
      </c>
      <c r="K26" s="13">
        <f>IF(K10=0,0,K10/TrAvia_act!K18*1000)</f>
        <v>12901.733043981718</v>
      </c>
      <c r="L26" s="13">
        <f>IF(L10=0,0,L10/TrAvia_act!L18*1000)</f>
        <v>13276.309552662922</v>
      </c>
      <c r="M26" s="13">
        <f>IF(M10=0,0,M10/TrAvia_act!M18*1000)</f>
        <v>14579.333952987981</v>
      </c>
      <c r="N26" s="13">
        <f>IF(N10=0,0,N10/TrAvia_act!N18*1000)</f>
        <v>14242.195770242692</v>
      </c>
      <c r="O26" s="13">
        <f>IF(O10=0,0,O10/TrAvia_act!O18*1000)</f>
        <v>13307.614976299683</v>
      </c>
      <c r="P26" s="13">
        <f>IF(P10=0,0,P10/TrAvia_act!P18*1000)</f>
        <v>13051.302225149158</v>
      </c>
      <c r="Q26" s="13">
        <f>IF(Q10=0,0,Q10/TrAvia_act!Q18*1000)</f>
        <v>13075.190659257829</v>
      </c>
      <c r="R26" s="13">
        <f>IF(R10=0,0,R10/TrAvia_act!R18*1000)</f>
        <v>13457.5772121718</v>
      </c>
      <c r="S26" s="13">
        <f>IF(S10=0,0,S10/TrAvia_act!S18*1000)</f>
        <v>13640.759127244975</v>
      </c>
      <c r="T26" s="13">
        <f>IF(T10=0,0,T10/TrAvia_act!T18*1000)</f>
        <v>13132.186838256306</v>
      </c>
      <c r="U26" s="13">
        <f>IF(U10=0,0,U10/TrAvia_act!U18*1000)</f>
        <v>12391.338018092079</v>
      </c>
      <c r="V26" s="13">
        <f>IF(V10=0,0,V10/TrAvia_act!V18*1000)</f>
        <v>11515.702864659401</v>
      </c>
      <c r="W26" s="13">
        <f>IF(W10=0,0,W10/TrAvia_act!W18*1000)</f>
        <v>11596.457170000009</v>
      </c>
      <c r="X26" s="13">
        <f>IF(X10=0,0,X10/TrAvia_act!X18*1000)</f>
        <v>11557.521629051878</v>
      </c>
      <c r="Y26" s="13">
        <f>IF(Y10=0,0,Y10/TrAvia_act!Y18*1000)</f>
        <v>11187.185102537227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13775.956393519871</v>
      </c>
      <c r="C28" s="102">
        <f>IF(C12=0,0,C12/TrAvia_act!C20*1000)</f>
        <v>13872.223785580029</v>
      </c>
      <c r="D28" s="102">
        <f>IF(D12=0,0,D12/TrAvia_act!D20*1000)</f>
        <v>15977.183813856549</v>
      </c>
      <c r="E28" s="102">
        <f>IF(E12=0,0,E12/TrAvia_act!E20*1000)</f>
        <v>16019.766345507333</v>
      </c>
      <c r="F28" s="102">
        <f>IF(F12=0,0,F12/TrAvia_act!F20*1000)</f>
        <v>15692.093307948649</v>
      </c>
      <c r="G28" s="102">
        <f>IF(G12=0,0,G12/TrAvia_act!G20*1000)</f>
        <v>14386.520116138665</v>
      </c>
      <c r="H28" s="102">
        <f>IF(H12=0,0,H12/TrAvia_act!H20*1000)</f>
        <v>14708.259746525086</v>
      </c>
      <c r="I28" s="102">
        <f>IF(I12=0,0,I12/TrAvia_act!I20*1000)</f>
        <v>14215.72703293043</v>
      </c>
      <c r="J28" s="102">
        <f>IF(J12=0,0,J12/TrAvia_act!J20*1000)</f>
        <v>14030.482137196634</v>
      </c>
      <c r="K28" s="102">
        <f>IF(K12=0,0,K12/TrAvia_act!K20*1000)</f>
        <v>13212.389529714985</v>
      </c>
      <c r="L28" s="102">
        <f>IF(L12=0,0,L12/TrAvia_act!L20*1000)</f>
        <v>13485.153236828257</v>
      </c>
      <c r="M28" s="102">
        <f>IF(M12=0,0,M12/TrAvia_act!M20*1000)</f>
        <v>15078.176102897623</v>
      </c>
      <c r="N28" s="102">
        <f>IF(N12=0,0,N12/TrAvia_act!N20*1000)</f>
        <v>14399.143425439937</v>
      </c>
      <c r="O28" s="102">
        <f>IF(O12=0,0,O12/TrAvia_act!O20*1000)</f>
        <v>13624.190200071194</v>
      </c>
      <c r="P28" s="102">
        <f>IF(P12=0,0,P12/TrAvia_act!P20*1000)</f>
        <v>13528.028973348992</v>
      </c>
      <c r="Q28" s="102">
        <f>IF(Q12=0,0,Q12/TrAvia_act!Q20*1000)</f>
        <v>13467.366229917803</v>
      </c>
      <c r="R28" s="102">
        <f>IF(R12=0,0,R12/TrAvia_act!R20*1000)</f>
        <v>13987.514720039744</v>
      </c>
      <c r="S28" s="102">
        <f>IF(S12=0,0,S12/TrAvia_act!S20*1000)</f>
        <v>13895.345622080684</v>
      </c>
      <c r="T28" s="102">
        <f>IF(T12=0,0,T12/TrAvia_act!T20*1000)</f>
        <v>13549.579870188642</v>
      </c>
      <c r="U28" s="102">
        <f>IF(U12=0,0,U12/TrAvia_act!U20*1000)</f>
        <v>13010.721402006584</v>
      </c>
      <c r="V28" s="102">
        <f>IF(V12=0,0,V12/TrAvia_act!V20*1000)</f>
        <v>10484.080167004986</v>
      </c>
      <c r="W28" s="102">
        <f>IF(W12=0,0,W12/TrAvia_act!W20*1000)</f>
        <v>11979.752958792349</v>
      </c>
      <c r="X28" s="102">
        <f>IF(X12=0,0,X12/TrAvia_act!X20*1000)</f>
        <v>10973.891801714286</v>
      </c>
      <c r="Y28" s="102">
        <f>IF(Y12=0,0,Y12/TrAvia_act!Y20*1000)</f>
        <v>10674.1967849425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11017.428561421821</v>
      </c>
      <c r="C29" s="86">
        <f>IF(C13=0,0,C13/TrAvia_act!C21*1000)</f>
        <v>11104.091668105943</v>
      </c>
      <c r="D29" s="86">
        <f>IF(D13=0,0,D13/TrAvia_act!D21*1000)</f>
        <v>12790.470541905896</v>
      </c>
      <c r="E29" s="86">
        <f>IF(E13=0,0,E13/TrAvia_act!E21*1000)</f>
        <v>12814.753795131224</v>
      </c>
      <c r="F29" s="86">
        <f>IF(F13=0,0,F13/TrAvia_act!F21*1000)</f>
        <v>12548.418272644833</v>
      </c>
      <c r="G29" s="86">
        <f>IF(G13=0,0,G13/TrAvia_act!G21*1000)</f>
        <v>11954.509149936446</v>
      </c>
      <c r="H29" s="86">
        <f>IF(H13=0,0,H13/TrAvia_act!H21*1000)</f>
        <v>8081.1466134024458</v>
      </c>
      <c r="I29" s="86">
        <f>IF(I13=0,0,I13/TrAvia_act!I21*1000)</f>
        <v>6873.3696794480948</v>
      </c>
      <c r="J29" s="86">
        <f>IF(J13=0,0,J13/TrAvia_act!J21*1000)</f>
        <v>6765.7698302189801</v>
      </c>
      <c r="K29" s="86">
        <f>IF(K13=0,0,K13/TrAvia_act!K21*1000)</f>
        <v>9084.6788093898813</v>
      </c>
      <c r="L29" s="86">
        <f>IF(L13=0,0,L13/TrAvia_act!L21*1000)</f>
        <v>11071.940422275156</v>
      </c>
      <c r="M29" s="86">
        <f>IF(M13=0,0,M13/TrAvia_act!M21*1000)</f>
        <v>8397.5303874606889</v>
      </c>
      <c r="N29" s="86">
        <f>IF(N13=0,0,N13/TrAvia_act!N21*1000)</f>
        <v>10433.158870192266</v>
      </c>
      <c r="O29" s="86">
        <f>IF(O13=0,0,O13/TrAvia_act!O21*1000)</f>
        <v>8038.7344444169048</v>
      </c>
      <c r="P29" s="86">
        <f>IF(P13=0,0,P13/TrAvia_act!P21*1000)</f>
        <v>6131.4695770141107</v>
      </c>
      <c r="Q29" s="86">
        <f>IF(Q13=0,0,Q13/TrAvia_act!Q21*1000)</f>
        <v>7360.6535604210667</v>
      </c>
      <c r="R29" s="86">
        <f>IF(R13=0,0,R13/TrAvia_act!R21*1000)</f>
        <v>5646.2618617909175</v>
      </c>
      <c r="S29" s="86">
        <f>IF(S13=0,0,S13/TrAvia_act!S21*1000)</f>
        <v>8253.576707415421</v>
      </c>
      <c r="T29" s="86">
        <f>IF(T13=0,0,T13/TrAvia_act!T21*1000)</f>
        <v>6924.7477776580881</v>
      </c>
      <c r="U29" s="86">
        <f>IF(U13=0,0,U13/TrAvia_act!U21*1000)</f>
        <v>9307.2003048361803</v>
      </c>
      <c r="V29" s="86">
        <f>IF(V13=0,0,V13/TrAvia_act!V21*1000)</f>
        <v>18096.593920433523</v>
      </c>
      <c r="W29" s="86">
        <f>IF(W13=0,0,W13/TrAvia_act!W21*1000)</f>
        <v>7551.1009126119061</v>
      </c>
      <c r="X29" s="86">
        <f>IF(X13=0,0,X13/TrAvia_act!X21*1000)</f>
        <v>20206.394594440968</v>
      </c>
      <c r="Y29" s="86">
        <f>IF(Y13=0,0,Y13/TrAvia_act!Y21*1000)</f>
        <v>17434.973555558146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90.980838791400046</v>
      </c>
      <c r="C32" s="14">
        <f>IF(C6=0,0,C6/TrAvia_act!C4*1000)</f>
        <v>93.301702359720068</v>
      </c>
      <c r="D32" s="14">
        <f>IF(D6=0,0,D6/TrAvia_act!D4*1000)</f>
        <v>112.68638666488535</v>
      </c>
      <c r="E32" s="14">
        <f>IF(E6=0,0,E6/TrAvia_act!E4*1000)</f>
        <v>115.24921748286802</v>
      </c>
      <c r="F32" s="14">
        <f>IF(F6=0,0,F6/TrAvia_act!F4*1000)</f>
        <v>104.05174259775393</v>
      </c>
      <c r="G32" s="14">
        <f>IF(G6=0,0,G6/TrAvia_act!G4*1000)</f>
        <v>97.136289074602999</v>
      </c>
      <c r="H32" s="14">
        <f>IF(H6=0,0,H6/TrAvia_act!H4*1000)</f>
        <v>99.606006798586506</v>
      </c>
      <c r="I32" s="14">
        <f>IF(I6=0,0,I6/TrAvia_act!I4*1000)</f>
        <v>96.048671761728073</v>
      </c>
      <c r="J32" s="14">
        <f>IF(J6=0,0,J6/TrAvia_act!J4*1000)</f>
        <v>92.275936391163441</v>
      </c>
      <c r="K32" s="14">
        <f>IF(K6=0,0,K6/TrAvia_act!K4*1000)</f>
        <v>92.35122225376854</v>
      </c>
      <c r="L32" s="14">
        <f>IF(L6=0,0,L6/TrAvia_act!L4*1000)</f>
        <v>91.984058874397562</v>
      </c>
      <c r="M32" s="14">
        <f>IF(M6=0,0,M6/TrAvia_act!M4*1000)</f>
        <v>97.70997966357929</v>
      </c>
      <c r="N32" s="14">
        <f>IF(N6=0,0,N6/TrAvia_act!N4*1000)</f>
        <v>87.944854497601128</v>
      </c>
      <c r="O32" s="14">
        <f>IF(O6=0,0,O6/TrAvia_act!O4*1000)</f>
        <v>78.537946028505857</v>
      </c>
      <c r="P32" s="14">
        <f>IF(P6=0,0,P6/TrAvia_act!P4*1000)</f>
        <v>76.291461325953392</v>
      </c>
      <c r="Q32" s="14">
        <f>IF(Q6=0,0,Q6/TrAvia_act!Q4*1000)</f>
        <v>77.31100242273267</v>
      </c>
      <c r="R32" s="14">
        <f>IF(R6=0,0,R6/TrAvia_act!R4*1000)</f>
        <v>73.072354943657913</v>
      </c>
      <c r="S32" s="14">
        <f>IF(S6=0,0,S6/TrAvia_act!S4*1000)</f>
        <v>74.346793862812731</v>
      </c>
      <c r="T32" s="14">
        <f>IF(T6=0,0,T6/TrAvia_act!T4*1000)</f>
        <v>72.204027849037573</v>
      </c>
      <c r="U32" s="14">
        <f>IF(U6=0,0,U6/TrAvia_act!U4*1000)</f>
        <v>67.517783129971619</v>
      </c>
      <c r="V32" s="14">
        <f>IF(V6=0,0,V6/TrAvia_act!V4*1000)</f>
        <v>105.20288586615327</v>
      </c>
      <c r="W32" s="14">
        <f>IF(W6=0,0,W6/TrAvia_act!W4*1000)</f>
        <v>80.724056782721533</v>
      </c>
      <c r="X32" s="14">
        <f>IF(X6=0,0,X6/TrAvia_act!X4*1000)</f>
        <v>74.956666091979898</v>
      </c>
      <c r="Y32" s="14">
        <f>IF(Y6=0,0,Y6/TrAvia_act!Y4*1000)</f>
        <v>69.084952686512338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84.786725035886391</v>
      </c>
      <c r="C34" s="87">
        <f>IF(C8=0,0,C8/TrAvia_act!C6*1000)</f>
        <v>87.183261398539486</v>
      </c>
      <c r="D34" s="87">
        <f>IF(D8=0,0,D8/TrAvia_act!D6*1000)</f>
        <v>103.82803560639377</v>
      </c>
      <c r="E34" s="87">
        <f>IF(E8=0,0,E8/TrAvia_act!E6*1000)</f>
        <v>106.7569103020848</v>
      </c>
      <c r="F34" s="87">
        <f>IF(F8=0,0,F8/TrAvia_act!F6*1000)</f>
        <v>98.147919378593386</v>
      </c>
      <c r="G34" s="87">
        <f>IF(G8=0,0,G8/TrAvia_act!G6*1000)</f>
        <v>91.423269321601865</v>
      </c>
      <c r="H34" s="87">
        <f>IF(H8=0,0,H8/TrAvia_act!H6*1000)</f>
        <v>95.189624059233708</v>
      </c>
      <c r="I34" s="87">
        <f>IF(I8=0,0,I8/TrAvia_act!I6*1000)</f>
        <v>92.747328523820997</v>
      </c>
      <c r="J34" s="87">
        <f>IF(J8=0,0,J8/TrAvia_act!J6*1000)</f>
        <v>89.9096008393239</v>
      </c>
      <c r="K34" s="87">
        <f>IF(K8=0,0,K8/TrAvia_act!K6*1000)</f>
        <v>88.990801058164536</v>
      </c>
      <c r="L34" s="87">
        <f>IF(L8=0,0,L8/TrAvia_act!L6*1000)</f>
        <v>90.381613365163616</v>
      </c>
      <c r="M34" s="87">
        <f>IF(M8=0,0,M8/TrAvia_act!M6*1000)</f>
        <v>98.775444703778533</v>
      </c>
      <c r="N34" s="87">
        <f>IF(N8=0,0,N8/TrAvia_act!N6*1000)</f>
        <v>93.808417529205201</v>
      </c>
      <c r="O34" s="87">
        <f>IF(O8=0,0,O8/TrAvia_act!O6*1000)</f>
        <v>91.796041145030671</v>
      </c>
      <c r="P34" s="87">
        <f>IF(P8=0,0,P8/TrAvia_act!P6*1000)</f>
        <v>90.725737792608186</v>
      </c>
      <c r="Q34" s="87">
        <f>IF(Q8=0,0,Q8/TrAvia_act!Q6*1000)</f>
        <v>90.026118279654767</v>
      </c>
      <c r="R34" s="87">
        <f>IF(R8=0,0,R8/TrAvia_act!R6*1000)</f>
        <v>91.191295140850002</v>
      </c>
      <c r="S34" s="87">
        <f>IF(S8=0,0,S8/TrAvia_act!S6*1000)</f>
        <v>90.989658497485237</v>
      </c>
      <c r="T34" s="87">
        <f>IF(T8=0,0,T8/TrAvia_act!T6*1000)</f>
        <v>87.037071914665091</v>
      </c>
      <c r="U34" s="87">
        <f>IF(U8=0,0,U8/TrAvia_act!U6*1000)</f>
        <v>80.428298199346941</v>
      </c>
      <c r="V34" s="87">
        <f>IF(V8=0,0,V8/TrAvia_act!V6*1000)</f>
        <v>92.689342489930937</v>
      </c>
      <c r="W34" s="87">
        <f>IF(W8=0,0,W8/TrAvia_act!W6*1000)</f>
        <v>101.91387706751722</v>
      </c>
      <c r="X34" s="87">
        <f>IF(X8=0,0,X8/TrAvia_act!X6*1000)</f>
        <v>70.384849853678944</v>
      </c>
      <c r="Y34" s="87">
        <f>IF(Y8=0,0,Y8/TrAvia_act!Y6*1000)</f>
        <v>67.151409071125485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182.23510541577744</v>
      </c>
      <c r="C35" s="87">
        <f>IF(C9=0,0,C9/TrAvia_act!C7*1000)</f>
        <v>179.77793455015924</v>
      </c>
      <c r="D35" s="87">
        <f>IF(D9=0,0,D9/TrAvia_act!D7*1000)</f>
        <v>196.66127869528708</v>
      </c>
      <c r="E35" s="87">
        <f>IF(E9=0,0,E9/TrAvia_act!E7*1000)</f>
        <v>191.47430868837824</v>
      </c>
      <c r="F35" s="87">
        <f>IF(F9=0,0,F9/TrAvia_act!F7*1000)</f>
        <v>165.40021940580917</v>
      </c>
      <c r="G35" s="87">
        <f>IF(G9=0,0,G9/TrAvia_act!G7*1000)</f>
        <v>163.48946732366844</v>
      </c>
      <c r="H35" s="87">
        <f>IF(H9=0,0,H9/TrAvia_act!H7*1000)</f>
        <v>142.86687533578919</v>
      </c>
      <c r="I35" s="87">
        <f>IF(I9=0,0,I9/TrAvia_act!I7*1000)</f>
        <v>125.26370188996184</v>
      </c>
      <c r="J35" s="87">
        <f>IF(J9=0,0,J9/TrAvia_act!J7*1000)</f>
        <v>111.18856914260839</v>
      </c>
      <c r="K35" s="87">
        <f>IF(K9=0,0,K9/TrAvia_act!K7*1000)</f>
        <v>119.96204388921495</v>
      </c>
      <c r="L35" s="87">
        <f>IF(L9=0,0,L9/TrAvia_act!L7*1000)</f>
        <v>102.69588172662742</v>
      </c>
      <c r="M35" s="87">
        <f>IF(M9=0,0,M9/TrAvia_act!M7*1000)</f>
        <v>91.774605472841344</v>
      </c>
      <c r="N35" s="87">
        <f>IF(N9=0,0,N9/TrAvia_act!N7*1000)</f>
        <v>65.156272347535946</v>
      </c>
      <c r="O35" s="87">
        <f>IF(O9=0,0,O9/TrAvia_act!O7*1000)</f>
        <v>44.470746006636311</v>
      </c>
      <c r="P35" s="87">
        <f>IF(P9=0,0,P9/TrAvia_act!P7*1000)</f>
        <v>41.560896451470271</v>
      </c>
      <c r="Q35" s="87">
        <f>IF(Q9=0,0,Q9/TrAvia_act!Q7*1000)</f>
        <v>44.234248885900037</v>
      </c>
      <c r="R35" s="87">
        <f>IF(R9=0,0,R9/TrAvia_act!R7*1000)</f>
        <v>33.744361650914811</v>
      </c>
      <c r="S35" s="87">
        <f>IF(S9=0,0,S9/TrAvia_act!S7*1000)</f>
        <v>34.662842637297679</v>
      </c>
      <c r="T35" s="87">
        <f>IF(T9=0,0,T9/TrAvia_act!T7*1000)</f>
        <v>35.275534597537025</v>
      </c>
      <c r="U35" s="87">
        <f>IF(U9=0,0,U9/TrAvia_act!U7*1000)</f>
        <v>34.731102113859045</v>
      </c>
      <c r="V35" s="87">
        <f>IF(V9=0,0,V9/TrAvia_act!V7*1000)</f>
        <v>184.81941982564751</v>
      </c>
      <c r="W35" s="87">
        <f>IF(W9=0,0,W9/TrAvia_act!W7*1000)</f>
        <v>44.761817155371503</v>
      </c>
      <c r="X35" s="87">
        <f>IF(X9=0,0,X9/TrAvia_act!X7*1000)</f>
        <v>122.82792422985561</v>
      </c>
      <c r="Y35" s="87">
        <f>IF(Y9=0,0,Y9/TrAvia_act!Y7*1000)</f>
        <v>83.609942696418415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662.22190439626615</v>
      </c>
      <c r="C36" s="15">
        <f>IF(C10=0,0,C10/TrAvia_act!C8*1000)</f>
        <v>588.76357477962256</v>
      </c>
      <c r="D36" s="15">
        <f>IF(D10=0,0,D10/TrAvia_act!D8*1000)</f>
        <v>721.8483930944783</v>
      </c>
      <c r="E36" s="15">
        <f>IF(E10=0,0,E10/TrAvia_act!E8*1000)</f>
        <v>740.29066167772351</v>
      </c>
      <c r="F36" s="15">
        <f>IF(F10=0,0,F10/TrAvia_act!F8*1000)</f>
        <v>811.53338252208141</v>
      </c>
      <c r="G36" s="15">
        <f>IF(G10=0,0,G10/TrAvia_act!G8*1000)</f>
        <v>800.34364051694899</v>
      </c>
      <c r="H36" s="15">
        <f>IF(H10=0,0,H10/TrAvia_act!H8*1000)</f>
        <v>840.50071098041838</v>
      </c>
      <c r="I36" s="15">
        <f>IF(I10=0,0,I10/TrAvia_act!I8*1000)</f>
        <v>772.03691328527361</v>
      </c>
      <c r="J36" s="15">
        <f>IF(J10=0,0,J10/TrAvia_act!J8*1000)</f>
        <v>743.20923274854022</v>
      </c>
      <c r="K36" s="15">
        <f>IF(K10=0,0,K10/TrAvia_act!K8*1000)</f>
        <v>688.05346424780168</v>
      </c>
      <c r="L36" s="15">
        <f>IF(L10=0,0,L10/TrAvia_act!L8*1000)</f>
        <v>636.88596966504701</v>
      </c>
      <c r="M36" s="15">
        <f>IF(M10=0,0,M10/TrAvia_act!M8*1000)</f>
        <v>695.37706080922874</v>
      </c>
      <c r="N36" s="15">
        <f>IF(N10=0,0,N10/TrAvia_act!N8*1000)</f>
        <v>673.1799365481005</v>
      </c>
      <c r="O36" s="15">
        <f>IF(O10=0,0,O10/TrAvia_act!O8*1000)</f>
        <v>604.75010229660177</v>
      </c>
      <c r="P36" s="15">
        <f>IF(P10=0,0,P10/TrAvia_act!P8*1000)</f>
        <v>521.55465722257077</v>
      </c>
      <c r="Q36" s="15">
        <f>IF(Q10=0,0,Q10/TrAvia_act!Q8*1000)</f>
        <v>538.41927257080499</v>
      </c>
      <c r="R36" s="15">
        <f>IF(R10=0,0,R10/TrAvia_act!R8*1000)</f>
        <v>486.59367840066517</v>
      </c>
      <c r="S36" s="15">
        <f>IF(S10=0,0,S10/TrAvia_act!S8*1000)</f>
        <v>561.80305428518591</v>
      </c>
      <c r="T36" s="15">
        <f>IF(T10=0,0,T10/TrAvia_act!T8*1000)</f>
        <v>498.42244632325554</v>
      </c>
      <c r="U36" s="15">
        <f>IF(U10=0,0,U10/TrAvia_act!U8*1000)</f>
        <v>323.72278892657539</v>
      </c>
      <c r="V36" s="15">
        <f>IF(V10=0,0,V10/TrAvia_act!V8*1000)</f>
        <v>440.88533927929171</v>
      </c>
      <c r="W36" s="15">
        <f>IF(W10=0,0,W10/TrAvia_act!W8*1000)</f>
        <v>484.16238248928488</v>
      </c>
      <c r="X36" s="15">
        <f>IF(X10=0,0,X10/TrAvia_act!X8*1000)</f>
        <v>478.1172713578917</v>
      </c>
      <c r="Y36" s="15">
        <f>IF(Y10=0,0,Y10/TrAvia_act!Y8*1000)</f>
        <v>430.22475332822364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797.91079481781253</v>
      </c>
      <c r="C38" s="101">
        <f>IF(C12=0,0,C12/TrAvia_act!C10*1000)</f>
        <v>711.61199375251374</v>
      </c>
      <c r="D38" s="101">
        <f>IF(D12=0,0,D12/TrAvia_act!D10*1000)</f>
        <v>865.75390276452629</v>
      </c>
      <c r="E38" s="101">
        <f>IF(E12=0,0,E12/TrAvia_act!E10*1000)</f>
        <v>876.33196634957801</v>
      </c>
      <c r="F38" s="101">
        <f>IF(F12=0,0,F12/TrAvia_act!F10*1000)</f>
        <v>962.92055196493993</v>
      </c>
      <c r="G38" s="101">
        <f>IF(G12=0,0,G12/TrAvia_act!G10*1000)</f>
        <v>913.99137028107646</v>
      </c>
      <c r="H38" s="101">
        <f>IF(H12=0,0,H12/TrAvia_act!H10*1000)</f>
        <v>1004.3715075538826</v>
      </c>
      <c r="I38" s="101">
        <f>IF(I12=0,0,I12/TrAvia_act!I10*1000)</f>
        <v>944.21346896548096</v>
      </c>
      <c r="J38" s="101">
        <f>IF(J12=0,0,J12/TrAvia_act!J10*1000)</f>
        <v>938.07561409469258</v>
      </c>
      <c r="K38" s="101">
        <f>IF(K12=0,0,K12/TrAvia_act!K10*1000)</f>
        <v>875.39846980078426</v>
      </c>
      <c r="L38" s="101">
        <f>IF(L12=0,0,L12/TrAvia_act!L10*1000)</f>
        <v>808.18540789537906</v>
      </c>
      <c r="M38" s="101">
        <f>IF(M12=0,0,M12/TrAvia_act!M10*1000)</f>
        <v>878.74826688383985</v>
      </c>
      <c r="N38" s="101">
        <f>IF(N12=0,0,N12/TrAvia_act!N10*1000)</f>
        <v>768.79647445936143</v>
      </c>
      <c r="O38" s="101">
        <f>IF(O12=0,0,O12/TrAvia_act!O10*1000)</f>
        <v>751.73089704340612</v>
      </c>
      <c r="P38" s="101">
        <f>IF(P12=0,0,P12/TrAvia_act!P10*1000)</f>
        <v>665.483849101793</v>
      </c>
      <c r="Q38" s="101">
        <f>IF(Q12=0,0,Q12/TrAvia_act!Q10*1000)</f>
        <v>697.44135606691043</v>
      </c>
      <c r="R38" s="101">
        <f>IF(R12=0,0,R12/TrAvia_act!R10*1000)</f>
        <v>630.72863634725161</v>
      </c>
      <c r="S38" s="101">
        <f>IF(S12=0,0,S12/TrAvia_act!S10*1000)</f>
        <v>683.49248550281482</v>
      </c>
      <c r="T38" s="101">
        <f>IF(T12=0,0,T12/TrAvia_act!T10*1000)</f>
        <v>647.65916672365199</v>
      </c>
      <c r="U38" s="101">
        <f>IF(U12=0,0,U12/TrAvia_act!U10*1000)</f>
        <v>536.96877568971831</v>
      </c>
      <c r="V38" s="101">
        <f>IF(V12=0,0,V12/TrAvia_act!V10*1000)</f>
        <v>511.92072568525947</v>
      </c>
      <c r="W38" s="101">
        <f>IF(W12=0,0,W12/TrAvia_act!W10*1000)</f>
        <v>619.04983766041494</v>
      </c>
      <c r="X38" s="101">
        <f>IF(X12=0,0,X12/TrAvia_act!X10*1000)</f>
        <v>540.37097428134598</v>
      </c>
      <c r="Y38" s="101">
        <f>IF(Y12=0,0,Y12/TrAvia_act!Y10*1000)</f>
        <v>504.56025403809781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149.0940164483483</v>
      </c>
      <c r="C39" s="88">
        <f>IF(C13=0,0,C13/TrAvia_act!C11*1000)</f>
        <v>143.39520961751171</v>
      </c>
      <c r="D39" s="88">
        <f>IF(D13=0,0,D13/TrAvia_act!D11*1000)</f>
        <v>174.93789463139962</v>
      </c>
      <c r="E39" s="88">
        <f>IF(E13=0,0,E13/TrAvia_act!E11*1000)</f>
        <v>192.89544579004743</v>
      </c>
      <c r="F39" s="88">
        <f>IF(F13=0,0,F13/TrAvia_act!F11*1000)</f>
        <v>194.61234852452097</v>
      </c>
      <c r="G39" s="88">
        <f>IF(G13=0,0,G13/TrAvia_act!G11*1000)</f>
        <v>197.14668801925953</v>
      </c>
      <c r="H39" s="88">
        <f>IF(H13=0,0,H13/TrAvia_act!H11*1000)</f>
        <v>137.858993705084</v>
      </c>
      <c r="I39" s="88">
        <f>IF(I13=0,0,I13/TrAvia_act!I11*1000)</f>
        <v>119.2443586674981</v>
      </c>
      <c r="J39" s="88">
        <f>IF(J13=0,0,J13/TrAvia_act!J11*1000)</f>
        <v>119.79119910876808</v>
      </c>
      <c r="K39" s="88">
        <f>IF(K13=0,0,K13/TrAvia_act!K11*1000)</f>
        <v>142.62138332065751</v>
      </c>
      <c r="L39" s="88">
        <f>IF(L13=0,0,L13/TrAvia_act!L11*1000)</f>
        <v>170.98371759826892</v>
      </c>
      <c r="M39" s="88">
        <f>IF(M13=0,0,M13/TrAvia_act!M11*1000)</f>
        <v>123.22422822492302</v>
      </c>
      <c r="N39" s="88">
        <f>IF(N13=0,0,N13/TrAvia_act!N11*1000)</f>
        <v>130.31368523005779</v>
      </c>
      <c r="O39" s="88">
        <f>IF(O13=0,0,O13/TrAvia_act!O11*1000)</f>
        <v>92.821170232845489</v>
      </c>
      <c r="P39" s="88">
        <f>IF(P13=0,0,P13/TrAvia_act!P11*1000)</f>
        <v>65.799713516757919</v>
      </c>
      <c r="Q39" s="88">
        <f>IF(Q13=0,0,Q13/TrAvia_act!Q11*1000)</f>
        <v>76.061006940891147</v>
      </c>
      <c r="R39" s="88">
        <f>IF(R13=0,0,R13/TrAvia_act!R11*1000)</f>
        <v>52.072145699084231</v>
      </c>
      <c r="S39" s="88">
        <f>IF(S13=0,0,S13/TrAvia_act!S11*1000)</f>
        <v>76.51202017141928</v>
      </c>
      <c r="T39" s="88">
        <f>IF(T13=0,0,T13/TrAvia_act!T11*1000)</f>
        <v>64.685650149722704</v>
      </c>
      <c r="U39" s="88">
        <f>IF(U13=0,0,U13/TrAvia_act!U11*1000)</f>
        <v>85.997673817391302</v>
      </c>
      <c r="V39" s="88">
        <f>IF(V13=0,0,V13/TrAvia_act!V11*1000)</f>
        <v>291.43178333239734</v>
      </c>
      <c r="W39" s="88">
        <f>IF(W13=0,0,W13/TrAvia_act!W11*1000)</f>
        <v>104.15606332530241</v>
      </c>
      <c r="X39" s="88">
        <f>IF(X13=0,0,X13/TrAvia_act!X11*1000)</f>
        <v>248.09082712270049</v>
      </c>
      <c r="Y39" s="88">
        <f>IF(Y13=0,0,Y13/TrAvia_act!Y11*1000)</f>
        <v>205.0114341104476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31169.413490811734</v>
      </c>
      <c r="C41" s="54">
        <f>IF(C3=0,0,C3/TrAvia_act!C23*1000000)</f>
        <v>31384.06443071492</v>
      </c>
      <c r="D41" s="54">
        <f>IF(D3=0,0,D3/TrAvia_act!D23*1000000)</f>
        <v>33126.183277406868</v>
      </c>
      <c r="E41" s="54">
        <f>IF(E3=0,0,E3/TrAvia_act!E23*1000000)</f>
        <v>33172.415948694696</v>
      </c>
      <c r="F41" s="54">
        <f>IF(F3=0,0,F3/TrAvia_act!F23*1000000)</f>
        <v>32885.074180846575</v>
      </c>
      <c r="G41" s="54">
        <f>IF(G3=0,0,G3/TrAvia_act!G23*1000000)</f>
        <v>31123.925318761376</v>
      </c>
      <c r="H41" s="54">
        <f>IF(H3=0,0,H3/TrAvia_act!H23*1000000)</f>
        <v>29887.736827222161</v>
      </c>
      <c r="I41" s="54">
        <f>IF(I3=0,0,I3/TrAvia_act!I23*1000000)</f>
        <v>27089.474890602211</v>
      </c>
      <c r="J41" s="54">
        <f>IF(J3=0,0,J3/TrAvia_act!J23*1000000)</f>
        <v>26476.480686695279</v>
      </c>
      <c r="K41" s="54">
        <f>IF(K3=0,0,K3/TrAvia_act!K23*1000000)</f>
        <v>27077.189675174017</v>
      </c>
      <c r="L41" s="54">
        <f>IF(L3=0,0,L3/TrAvia_act!L23*1000000)</f>
        <v>28305.944784261868</v>
      </c>
      <c r="M41" s="54">
        <f>IF(M3=0,0,M3/TrAvia_act!M23*1000000)</f>
        <v>31627.218320610689</v>
      </c>
      <c r="N41" s="54">
        <f>IF(N3=0,0,N3/TrAvia_act!N23*1000000)</f>
        <v>29414.876660341561</v>
      </c>
      <c r="O41" s="54">
        <f>IF(O3=0,0,O3/TrAvia_act!O23*1000000)</f>
        <v>29232.469595919971</v>
      </c>
      <c r="P41" s="54">
        <f>IF(P3=0,0,P3/TrAvia_act!P23*1000000)</f>
        <v>27457.358299595144</v>
      </c>
      <c r="Q41" s="54">
        <f>IF(Q3=0,0,Q3/TrAvia_act!Q23*1000000)</f>
        <v>27138.598611468246</v>
      </c>
      <c r="R41" s="54">
        <f>IF(R3=0,0,R3/TrAvia_act!R23*1000000)</f>
        <v>25693.002125889634</v>
      </c>
      <c r="S41" s="54">
        <f>IF(S3=0,0,S3/TrAvia_act!S23*1000000)</f>
        <v>25946.759436155306</v>
      </c>
      <c r="T41" s="54">
        <f>IF(T3=0,0,T3/TrAvia_act!T23*1000000)</f>
        <v>25554.098451079848</v>
      </c>
      <c r="U41" s="54">
        <f>IF(U3=0,0,U3/TrAvia_act!U23*1000000)</f>
        <v>25186.305538006192</v>
      </c>
      <c r="V41" s="54">
        <f>IF(V3=0,0,V3/TrAvia_act!V23*1000000)</f>
        <v>23077.805015704282</v>
      </c>
      <c r="W41" s="54">
        <f>IF(W3=0,0,W3/TrAvia_act!W23*1000000)</f>
        <v>22281.563954372617</v>
      </c>
      <c r="X41" s="54">
        <f>IF(X3=0,0,X3/TrAvia_act!X23*1000000)</f>
        <v>25353.20750461402</v>
      </c>
      <c r="Y41" s="54">
        <f>IF(Y3=0,0,Y3/TrAvia_act!Y23*1000000)</f>
        <v>23827.638090024022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31079.283643503801</v>
      </c>
      <c r="C42" s="11">
        <f>IF(C6=0,0,C6/TrAvia_act!C24*1000000)</f>
        <v>31323.828161317171</v>
      </c>
      <c r="D42" s="11">
        <f>IF(D6=0,0,D6/TrAvia_act!D24*1000000)</f>
        <v>32975.301174245331</v>
      </c>
      <c r="E42" s="11">
        <f>IF(E6=0,0,E6/TrAvia_act!E24*1000000)</f>
        <v>33037.376683614741</v>
      </c>
      <c r="F42" s="11">
        <f>IF(F6=0,0,F6/TrAvia_act!F24*1000000)</f>
        <v>32706.375990894063</v>
      </c>
      <c r="G42" s="11">
        <f>IF(G6=0,0,G6/TrAvia_act!G24*1000000)</f>
        <v>30959.206113317938</v>
      </c>
      <c r="H42" s="11">
        <f>IF(H6=0,0,H6/TrAvia_act!H24*1000000)</f>
        <v>29626.354515485171</v>
      </c>
      <c r="I42" s="11">
        <f>IF(I6=0,0,I6/TrAvia_act!I24*1000000)</f>
        <v>26846.327787706887</v>
      </c>
      <c r="J42" s="11">
        <f>IF(J6=0,0,J6/TrAvia_act!J24*1000000)</f>
        <v>26248.417883545571</v>
      </c>
      <c r="K42" s="11">
        <f>IF(K6=0,0,K6/TrAvia_act!K24*1000000)</f>
        <v>26913.902487171723</v>
      </c>
      <c r="L42" s="11">
        <f>IF(L6=0,0,L6/TrAvia_act!L24*1000000)</f>
        <v>28125.831004793334</v>
      </c>
      <c r="M42" s="11">
        <f>IF(M6=0,0,M6/TrAvia_act!M24*1000000)</f>
        <v>31542.361013279653</v>
      </c>
      <c r="N42" s="11">
        <f>IF(N6=0,0,N6/TrAvia_act!N24*1000000)</f>
        <v>29398.381903709476</v>
      </c>
      <c r="O42" s="11">
        <f>IF(O6=0,0,O6/TrAvia_act!O24*1000000)</f>
        <v>29287.402714720396</v>
      </c>
      <c r="P42" s="11">
        <f>IF(P6=0,0,P6/TrAvia_act!P24*1000000)</f>
        <v>27472.759114930657</v>
      </c>
      <c r="Q42" s="11">
        <f>IF(Q6=0,0,Q6/TrAvia_act!Q24*1000000)</f>
        <v>27166.966697093016</v>
      </c>
      <c r="R42" s="11">
        <f>IF(R6=0,0,R6/TrAvia_act!R24*1000000)</f>
        <v>25702.06913783999</v>
      </c>
      <c r="S42" s="11">
        <f>IF(S6=0,0,S6/TrAvia_act!S24*1000000)</f>
        <v>25966.620400668329</v>
      </c>
      <c r="T42" s="11">
        <f>IF(T6=0,0,T6/TrAvia_act!T24*1000000)</f>
        <v>25596.821159537034</v>
      </c>
      <c r="U42" s="11">
        <f>IF(U6=0,0,U6/TrAvia_act!U24*1000000)</f>
        <v>25277.915456402396</v>
      </c>
      <c r="V42" s="11">
        <f>IF(V6=0,0,V6/TrAvia_act!V24*1000000)</f>
        <v>23288.939210244451</v>
      </c>
      <c r="W42" s="11">
        <f>IF(W6=0,0,W6/TrAvia_act!W24*1000000)</f>
        <v>22364.652665915655</v>
      </c>
      <c r="X42" s="11">
        <f>IF(X6=0,0,X6/TrAvia_act!X24*1000000)</f>
        <v>25405.832152718453</v>
      </c>
      <c r="Y42" s="11">
        <f>IF(Y6=0,0,Y6/TrAvia_act!Y24*1000000)</f>
        <v>23839.209052921007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36535.682671508075</v>
      </c>
      <c r="C44" s="84">
        <f>IF(C8=0,0,C8/TrAvia_act!C26*1000000)</f>
        <v>36823.445613502219</v>
      </c>
      <c r="D44" s="84">
        <f>IF(D8=0,0,D8/TrAvia_act!D26*1000000)</f>
        <v>39716.436921171371</v>
      </c>
      <c r="E44" s="84">
        <f>IF(E8=0,0,E8/TrAvia_act!E26*1000000)</f>
        <v>39791.566779614514</v>
      </c>
      <c r="F44" s="84">
        <f>IF(F8=0,0,F8/TrAvia_act!F26*1000000)</f>
        <v>38077.497825768303</v>
      </c>
      <c r="G44" s="84">
        <f>IF(G8=0,0,G8/TrAvia_act!G26*1000000)</f>
        <v>35473.483625421046</v>
      </c>
      <c r="H44" s="84">
        <f>IF(H8=0,0,H8/TrAvia_act!H26*1000000)</f>
        <v>37195.742982790798</v>
      </c>
      <c r="I44" s="84">
        <f>IF(I8=0,0,I8/TrAvia_act!I26*1000000)</f>
        <v>34994.909817072934</v>
      </c>
      <c r="J44" s="84">
        <f>IF(J8=0,0,J8/TrAvia_act!J26*1000000)</f>
        <v>33986.140231740108</v>
      </c>
      <c r="K44" s="84">
        <f>IF(K8=0,0,K8/TrAvia_act!K26*1000000)</f>
        <v>31710.657810557324</v>
      </c>
      <c r="L44" s="84">
        <f>IF(L8=0,0,L8/TrAvia_act!L26*1000000)</f>
        <v>31819.313525032638</v>
      </c>
      <c r="M44" s="84">
        <f>IF(M8=0,0,M8/TrAvia_act!M26*1000000)</f>
        <v>36183.511586752575</v>
      </c>
      <c r="N44" s="84">
        <f>IF(N8=0,0,N8/TrAvia_act!N26*1000000)</f>
        <v>33832.915392284784</v>
      </c>
      <c r="O44" s="84">
        <f>IF(O8=0,0,O8/TrAvia_act!O26*1000000)</f>
        <v>35336.873530886078</v>
      </c>
      <c r="P44" s="84">
        <f>IF(P8=0,0,P8/TrAvia_act!P26*1000000)</f>
        <v>34819.547097735645</v>
      </c>
      <c r="Q44" s="84">
        <f>IF(Q8=0,0,Q8/TrAvia_act!Q26*1000000)</f>
        <v>33476.341057751139</v>
      </c>
      <c r="R44" s="84">
        <f>IF(R8=0,0,R8/TrAvia_act!R26*1000000)</f>
        <v>34652.936872555678</v>
      </c>
      <c r="S44" s="84">
        <f>IF(S8=0,0,S8/TrAvia_act!S26*1000000)</f>
        <v>34515.108827627424</v>
      </c>
      <c r="T44" s="84">
        <f>IF(T8=0,0,T8/TrAvia_act!T26*1000000)</f>
        <v>33155.660915452041</v>
      </c>
      <c r="U44" s="84">
        <f>IF(U8=0,0,U8/TrAvia_act!U26*1000000)</f>
        <v>33208.993766589811</v>
      </c>
      <c r="V44" s="84">
        <f>IF(V8=0,0,V8/TrAvia_act!V26*1000000)</f>
        <v>23211.357771138752</v>
      </c>
      <c r="W44" s="84">
        <f>IF(W8=0,0,W8/TrAvia_act!W26*1000000)</f>
        <v>27212.799903864357</v>
      </c>
      <c r="X44" s="84">
        <f>IF(X8=0,0,X8/TrAvia_act!X26*1000000)</f>
        <v>26805.816423894248</v>
      </c>
      <c r="Y44" s="84">
        <f>IF(Y8=0,0,Y8/TrAvia_act!Y26*1000000)</f>
        <v>26795.106625544267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15357.903820080262</v>
      </c>
      <c r="C45" s="84">
        <f>IF(C9=0,0,C9/TrAvia_act!C27*1000000)</f>
        <v>15478.709110514779</v>
      </c>
      <c r="D45" s="84">
        <f>IF(D9=0,0,D9/TrAvia_act!D27*1000000)</f>
        <v>17829.461321309474</v>
      </c>
      <c r="E45" s="84">
        <f>IF(E9=0,0,E9/TrAvia_act!E27*1000000)</f>
        <v>17863.311313201324</v>
      </c>
      <c r="F45" s="84">
        <f>IF(F9=0,0,F9/TrAvia_act!F27*1000000)</f>
        <v>17492.049061269019</v>
      </c>
      <c r="G45" s="84">
        <f>IF(G9=0,0,G9/TrAvia_act!G27*1000000)</f>
        <v>16949.937049891043</v>
      </c>
      <c r="H45" s="84">
        <f>IF(H9=0,0,H9/TrAvia_act!H27*1000000)</f>
        <v>12725.159941740318</v>
      </c>
      <c r="I45" s="84">
        <f>IF(I9=0,0,I9/TrAvia_act!I27*1000000)</f>
        <v>10629.264627196395</v>
      </c>
      <c r="J45" s="84">
        <f>IF(J9=0,0,J9/TrAvia_act!J27*1000000)</f>
        <v>10620.838831867026</v>
      </c>
      <c r="K45" s="84">
        <f>IF(K9=0,0,K9/TrAvia_act!K27*1000000)</f>
        <v>14003.097792721201</v>
      </c>
      <c r="L45" s="84">
        <f>IF(L9=0,0,L9/TrAvia_act!L27*1000000)</f>
        <v>16712.79009813321</v>
      </c>
      <c r="M45" s="84">
        <f>IF(M9=0,0,M9/TrAvia_act!M27*1000000)</f>
        <v>17830.188874705549</v>
      </c>
      <c r="N45" s="84">
        <f>IF(N9=0,0,N9/TrAvia_act!N27*1000000)</f>
        <v>16959.805623118667</v>
      </c>
      <c r="O45" s="84">
        <f>IF(O9=0,0,O9/TrAvia_act!O27*1000000)</f>
        <v>15349.652807275212</v>
      </c>
      <c r="P45" s="84">
        <f>IF(P9=0,0,P9/TrAvia_act!P27*1000000)</f>
        <v>13031.087275018304</v>
      </c>
      <c r="Q45" s="84">
        <f>IF(Q9=0,0,Q9/TrAvia_act!Q27*1000000)</f>
        <v>13598.172083702168</v>
      </c>
      <c r="R45" s="84">
        <f>IF(R9=0,0,R9/TrAvia_act!R27*1000000)</f>
        <v>10219.034008097671</v>
      </c>
      <c r="S45" s="84">
        <f>IF(S9=0,0,S9/TrAvia_act!S27*1000000)</f>
        <v>10182.089538226905</v>
      </c>
      <c r="T45" s="84">
        <f>IF(T9=0,0,T9/TrAvia_act!T27*1000000)</f>
        <v>10663.460087440644</v>
      </c>
      <c r="U45" s="84">
        <f>IF(U9=0,0,U9/TrAvia_act!U27*1000000)</f>
        <v>10512.767798558159</v>
      </c>
      <c r="V45" s="84">
        <f>IF(V9=0,0,V9/TrAvia_act!V27*1000000)</f>
        <v>23539.99416619676</v>
      </c>
      <c r="W45" s="84">
        <f>IF(W9=0,0,W9/TrAvia_act!W27*1000000)</f>
        <v>13245.978590636851</v>
      </c>
      <c r="X45" s="84">
        <f>IF(X9=0,0,X9/TrAvia_act!X27*1000000)</f>
        <v>19343.950626301277</v>
      </c>
      <c r="Y45" s="84">
        <f>IF(Y9=0,0,Y9/TrAvia_act!Y27*1000000)</f>
        <v>14312.953532269579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34090.570441489384</v>
      </c>
      <c r="C46" s="13">
        <f>IF(C10=0,0,C10/TrAvia_act!C28*1000000)</f>
        <v>34030.535541450117</v>
      </c>
      <c r="D46" s="13">
        <f>IF(D10=0,0,D10/TrAvia_act!D28*1000000)</f>
        <v>39333.244258925159</v>
      </c>
      <c r="E46" s="13">
        <f>IF(E10=0,0,E10/TrAvia_act!E28*1000000)</f>
        <v>39344.793128514299</v>
      </c>
      <c r="F46" s="13">
        <f>IF(F10=0,0,F10/TrAvia_act!F28*1000000)</f>
        <v>38830.341430664303</v>
      </c>
      <c r="G46" s="13">
        <f>IF(G10=0,0,G10/TrAvia_act!G28*1000000)</f>
        <v>35779.803906581707</v>
      </c>
      <c r="H46" s="13">
        <f>IF(H10=0,0,H10/TrAvia_act!H28*1000000)</f>
        <v>37001.367667659877</v>
      </c>
      <c r="I46" s="13">
        <f>IF(I10=0,0,I10/TrAvia_act!I28*1000000)</f>
        <v>34662.634608341097</v>
      </c>
      <c r="J46" s="13">
        <f>IF(J10=0,0,J10/TrAvia_act!J28*1000000)</f>
        <v>33501.323241652004</v>
      </c>
      <c r="K46" s="13">
        <f>IF(K10=0,0,K10/TrAvia_act!K28*1000000)</f>
        <v>32032.213616552686</v>
      </c>
      <c r="L46" s="13">
        <f>IF(L10=0,0,L10/TrAvia_act!L28*1000000)</f>
        <v>34474.946692469202</v>
      </c>
      <c r="M46" s="13">
        <f>IF(M10=0,0,M10/TrAvia_act!M28*1000000)</f>
        <v>35481.210042543287</v>
      </c>
      <c r="N46" s="13">
        <f>IF(N10=0,0,N10/TrAvia_act!N28*1000000)</f>
        <v>30259.680590380958</v>
      </c>
      <c r="O46" s="13">
        <f>IF(O10=0,0,O10/TrAvia_act!O28*1000000)</f>
        <v>26764.438393598328</v>
      </c>
      <c r="P46" s="13">
        <f>IF(P10=0,0,P10/TrAvia_act!P28*1000000)</f>
        <v>26594.912640806364</v>
      </c>
      <c r="Q46" s="13">
        <f>IF(Q10=0,0,Q10/TrAvia_act!Q28*1000000)</f>
        <v>25495.39874262748</v>
      </c>
      <c r="R46" s="13">
        <f>IF(R10=0,0,R10/TrAvia_act!R28*1000000)</f>
        <v>24953.244692871383</v>
      </c>
      <c r="S46" s="13">
        <f>IF(S10=0,0,S10/TrAvia_act!S28*1000000)</f>
        <v>24265.914326497998</v>
      </c>
      <c r="T46" s="13">
        <f>IF(T10=0,0,T10/TrAvia_act!T28*1000000)</f>
        <v>21678.421380991102</v>
      </c>
      <c r="U46" s="13">
        <f>IF(U10=0,0,U10/TrAvia_act!U28*1000000)</f>
        <v>17190.783349050962</v>
      </c>
      <c r="V46" s="13">
        <f>IF(V10=0,0,V10/TrAvia_act!V28*1000000)</f>
        <v>16279.171045524485</v>
      </c>
      <c r="W46" s="13">
        <f>IF(W10=0,0,W10/TrAvia_act!W28*1000000)</f>
        <v>17143.299208684406</v>
      </c>
      <c r="X46" s="13">
        <f>IF(X10=0,0,X10/TrAvia_act!X28*1000000)</f>
        <v>20155.729958020365</v>
      </c>
      <c r="Y46" s="13">
        <f>IF(Y10=0,0,Y10/TrAvia_act!Y28*1000000)</f>
        <v>22365.319591539333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36816.82015193376</v>
      </c>
      <c r="C48" s="102">
        <f>IF(C12=0,0,C12/TrAvia_act!C30*1000000)</f>
        <v>37069.160176486221</v>
      </c>
      <c r="D48" s="102">
        <f>IF(D12=0,0,D12/TrAvia_act!D30*1000000)</f>
        <v>42700.697162957978</v>
      </c>
      <c r="E48" s="102">
        <f>IF(E12=0,0,E12/TrAvia_act!E30*1000000)</f>
        <v>42809.035211956776</v>
      </c>
      <c r="F48" s="102">
        <f>IF(F12=0,0,F12/TrAvia_act!F30*1000000)</f>
        <v>41948.496044406602</v>
      </c>
      <c r="G48" s="102">
        <f>IF(G12=0,0,G12/TrAvia_act!G30*1000000)</f>
        <v>37899.332206063293</v>
      </c>
      <c r="H48" s="102">
        <f>IF(H12=0,0,H12/TrAvia_act!H30*1000000)</f>
        <v>39495.017537774278</v>
      </c>
      <c r="I48" s="102">
        <f>IF(I12=0,0,I12/TrAvia_act!I30*1000000)</f>
        <v>37173.700660021714</v>
      </c>
      <c r="J48" s="102">
        <f>IF(J12=0,0,J12/TrAvia_act!J30*1000000)</f>
        <v>35880.048537254057</v>
      </c>
      <c r="K48" s="102">
        <f>IF(K12=0,0,K12/TrAvia_act!K30*1000000)</f>
        <v>33442.459131678785</v>
      </c>
      <c r="L48" s="102">
        <f>IF(L12=0,0,L12/TrAvia_act!L30*1000000)</f>
        <v>35688.785174363373</v>
      </c>
      <c r="M48" s="102">
        <f>IF(M12=0,0,M12/TrAvia_act!M30*1000000)</f>
        <v>38849.644722391444</v>
      </c>
      <c r="N48" s="102">
        <f>IF(N12=0,0,N12/TrAvia_act!N30*1000000)</f>
        <v>35117.198850875939</v>
      </c>
      <c r="O48" s="102">
        <f>IF(O12=0,0,O12/TrAvia_act!O30*1000000)</f>
        <v>31879.302480891449</v>
      </c>
      <c r="P48" s="102">
        <f>IF(P12=0,0,P12/TrAvia_act!P30*1000000)</f>
        <v>32099.856925634154</v>
      </c>
      <c r="Q48" s="102">
        <f>IF(Q12=0,0,Q12/TrAvia_act!Q30*1000000)</f>
        <v>31361.976423281805</v>
      </c>
      <c r="R48" s="102">
        <f>IF(R12=0,0,R12/TrAvia_act!R30*1000000)</f>
        <v>30692.03942482327</v>
      </c>
      <c r="S48" s="102">
        <f>IF(S12=0,0,S12/TrAvia_act!S30*1000000)</f>
        <v>29855.442626639153</v>
      </c>
      <c r="T48" s="102">
        <f>IF(T12=0,0,T12/TrAvia_act!T30*1000000)</f>
        <v>26808.497490347469</v>
      </c>
      <c r="U48" s="102">
        <f>IF(U12=0,0,U12/TrAvia_act!U30*1000000)</f>
        <v>19899.985285658793</v>
      </c>
      <c r="V48" s="102">
        <f>IF(V12=0,0,V12/TrAvia_act!V30*1000000)</f>
        <v>17298.984645291261</v>
      </c>
      <c r="W48" s="102">
        <f>IF(W12=0,0,W12/TrAvia_act!W30*1000000)</f>
        <v>20931.510047135525</v>
      </c>
      <c r="X48" s="102">
        <f>IF(X12=0,0,X12/TrAvia_act!X30*1000000)</f>
        <v>22059.981770115999</v>
      </c>
      <c r="Y48" s="102">
        <f>IF(Y12=0,0,Y12/TrAvia_act!Y30*1000000)</f>
        <v>23695.848884374136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13643.697613156564</v>
      </c>
      <c r="C49" s="86">
        <f>IF(C13=0,0,C13/TrAvia_act!C31*1000000)</f>
        <v>13751.01895544828</v>
      </c>
      <c r="D49" s="86">
        <f>IF(D13=0,0,D13/TrAvia_act!D31*1000000)</f>
        <v>15839.386788928725</v>
      </c>
      <c r="E49" s="86">
        <f>IF(E13=0,0,E13/TrAvia_act!E31*1000000)</f>
        <v>15869.45853953941</v>
      </c>
      <c r="F49" s="86">
        <f>IF(F13=0,0,F13/TrAvia_act!F31*1000000)</f>
        <v>15539.63554026258</v>
      </c>
      <c r="G49" s="86">
        <f>IF(G13=0,0,G13/TrAvia_act!G31*1000000)</f>
        <v>15058.03255313939</v>
      </c>
      <c r="H49" s="86">
        <f>IF(H13=0,0,H13/TrAvia_act!H31*1000000)</f>
        <v>12448.507408071922</v>
      </c>
      <c r="I49" s="86">
        <f>IF(I13=0,0,I13/TrAvia_act!I31*1000000)</f>
        <v>11447.582777607518</v>
      </c>
      <c r="J49" s="86">
        <f>IF(J13=0,0,J13/TrAvia_act!J31*1000000)</f>
        <v>12590.165415768519</v>
      </c>
      <c r="K49" s="86">
        <f>IF(K13=0,0,K13/TrAvia_act!K31*1000000)</f>
        <v>18266.991088474068</v>
      </c>
      <c r="L49" s="86">
        <f>IF(L13=0,0,L13/TrAvia_act!L31*1000000)</f>
        <v>23986.836663518457</v>
      </c>
      <c r="M49" s="86">
        <f>IF(M13=0,0,M13/TrAvia_act!M31*1000000)</f>
        <v>12112.694451096704</v>
      </c>
      <c r="N49" s="86">
        <f>IF(N13=0,0,N13/TrAvia_act!N31*1000000)</f>
        <v>5371.7218624515899</v>
      </c>
      <c r="O49" s="86">
        <f>IF(O13=0,0,O13/TrAvia_act!O31*1000000)</f>
        <v>4843.5923051992386</v>
      </c>
      <c r="P49" s="86">
        <f>IF(P13=0,0,P13/TrAvia_act!P31*1000000)</f>
        <v>4096.4446941188571</v>
      </c>
      <c r="Q49" s="86">
        <f>IF(Q13=0,0,Q13/TrAvia_act!Q31*1000000)</f>
        <v>4258.3875386588261</v>
      </c>
      <c r="R49" s="86">
        <f>IF(R13=0,0,R13/TrAvia_act!R31*1000000)</f>
        <v>3187.815892419726</v>
      </c>
      <c r="S49" s="86">
        <f>IF(S13=0,0,S13/TrAvia_act!S31*1000000)</f>
        <v>3163.874901246003</v>
      </c>
      <c r="T49" s="86">
        <f>IF(T13=0,0,T13/TrAvia_act!T31*1000000)</f>
        <v>3300.3465276924849</v>
      </c>
      <c r="U49" s="86">
        <f>IF(U13=0,0,U13/TrAvia_act!U31*1000000)</f>
        <v>8826.451156417068</v>
      </c>
      <c r="V49" s="86">
        <f>IF(V13=0,0,V13/TrAvia_act!V31*1000000)</f>
        <v>13366.919837943075</v>
      </c>
      <c r="W49" s="86">
        <f>IF(W13=0,0,W13/TrAvia_act!W31*1000000)</f>
        <v>4253.5428492793008</v>
      </c>
      <c r="X49" s="86">
        <f>IF(X13=0,0,X13/TrAvia_act!X31*1000000)</f>
        <v>11893.213620791859</v>
      </c>
      <c r="Y49" s="86">
        <f>IF(Y13=0,0,Y13/TrAvia_act!Y31*1000000)</f>
        <v>15764.850746692175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0.96726426071197658</v>
      </c>
      <c r="C52" s="16">
        <f t="shared" si="36"/>
        <v>0.97586894237164845</v>
      </c>
      <c r="D52" s="16">
        <f t="shared" ref="D52:V52" si="37">IF(D6=0,0,D6/D$3)</f>
        <v>0.9718220456000356</v>
      </c>
      <c r="E52" s="16">
        <f t="shared" si="37"/>
        <v>0.97460672455991848</v>
      </c>
      <c r="F52" s="16">
        <f t="shared" si="37"/>
        <v>0.96554440088747451</v>
      </c>
      <c r="G52" s="16">
        <f t="shared" si="37"/>
        <v>0.96071860227774897</v>
      </c>
      <c r="H52" s="16">
        <f t="shared" si="37"/>
        <v>0.95612287712828625</v>
      </c>
      <c r="I52" s="16">
        <f t="shared" si="37"/>
        <v>0.96019583819550602</v>
      </c>
      <c r="J52" s="16">
        <f t="shared" si="37"/>
        <v>0.96021272904275323</v>
      </c>
      <c r="K52" s="16">
        <f t="shared" si="37"/>
        <v>0.96225940064768434</v>
      </c>
      <c r="L52" s="16">
        <f t="shared" si="37"/>
        <v>0.96544907752030185</v>
      </c>
      <c r="M52" s="16">
        <f t="shared" si="37"/>
        <v>0.97583107480584419</v>
      </c>
      <c r="N52" s="16">
        <f t="shared" si="37"/>
        <v>0.98029894719650978</v>
      </c>
      <c r="O52" s="16">
        <f t="shared" si="37"/>
        <v>0.98006502130391027</v>
      </c>
      <c r="P52" s="16">
        <f t="shared" si="37"/>
        <v>0.98300719939405568</v>
      </c>
      <c r="Q52" s="16">
        <f t="shared" si="37"/>
        <v>0.98405662051524878</v>
      </c>
      <c r="R52" s="16">
        <f t="shared" si="37"/>
        <v>0.9882402971646731</v>
      </c>
      <c r="S52" s="16">
        <f t="shared" si="37"/>
        <v>0.98907844172952297</v>
      </c>
      <c r="T52" s="16">
        <f t="shared" si="37"/>
        <v>0.99075052411610354</v>
      </c>
      <c r="U52" s="16">
        <f t="shared" si="37"/>
        <v>0.99226822587327534</v>
      </c>
      <c r="V52" s="16">
        <f t="shared" si="37"/>
        <v>0.97875324021864429</v>
      </c>
      <c r="W52" s="16">
        <f t="shared" ref="W52:Y52" si="38">IF(W6=0,0,W6/W$3)</f>
        <v>0.98775644137645835</v>
      </c>
      <c r="X52" s="16">
        <f t="shared" si="38"/>
        <v>0.99203130751014046</v>
      </c>
      <c r="Y52" s="16">
        <f t="shared" si="38"/>
        <v>0.99263116722836719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0.84411500289715202</v>
      </c>
      <c r="C54" s="103">
        <f t="shared" si="42"/>
        <v>0.85161988975732772</v>
      </c>
      <c r="D54" s="103">
        <f t="shared" ref="D54:V54" si="43">IF(D8=0,0,D8/D$3)</f>
        <v>0.80998292237651703</v>
      </c>
      <c r="E54" s="103">
        <f t="shared" si="43"/>
        <v>0.81229308614488482</v>
      </c>
      <c r="F54" s="103">
        <f t="shared" si="43"/>
        <v>0.83080792743262266</v>
      </c>
      <c r="G54" s="103">
        <f t="shared" si="43"/>
        <v>0.83253319549923543</v>
      </c>
      <c r="H54" s="103">
        <f t="shared" si="43"/>
        <v>0.82909026716172052</v>
      </c>
      <c r="I54" s="103">
        <f t="shared" si="43"/>
        <v>0.83305581795979811</v>
      </c>
      <c r="J54" s="103">
        <f t="shared" si="43"/>
        <v>0.83154640297761007</v>
      </c>
      <c r="K54" s="103">
        <f t="shared" si="43"/>
        <v>0.82663792873289388</v>
      </c>
      <c r="L54" s="103">
        <f t="shared" si="43"/>
        <v>0.82518563709122894</v>
      </c>
      <c r="M54" s="103">
        <f t="shared" si="43"/>
        <v>0.83633970246192391</v>
      </c>
      <c r="N54" s="103">
        <f t="shared" si="43"/>
        <v>0.83166815710280872</v>
      </c>
      <c r="O54" s="103">
        <f t="shared" si="43"/>
        <v>0.82459825530431541</v>
      </c>
      <c r="P54" s="103">
        <f t="shared" si="43"/>
        <v>0.8257878304636056</v>
      </c>
      <c r="Q54" s="103">
        <f t="shared" si="43"/>
        <v>0.82771687934899085</v>
      </c>
      <c r="R54" s="103">
        <f t="shared" si="43"/>
        <v>0.84430191645464792</v>
      </c>
      <c r="S54" s="103">
        <f t="shared" si="43"/>
        <v>0.8528256070808431</v>
      </c>
      <c r="T54" s="103">
        <f t="shared" si="43"/>
        <v>0.85204313075222882</v>
      </c>
      <c r="U54" s="103">
        <f t="shared" si="43"/>
        <v>0.84806217255975391</v>
      </c>
      <c r="V54" s="103">
        <f t="shared" si="43"/>
        <v>0.74520745728465321</v>
      </c>
      <c r="W54" s="103">
        <f t="shared" ref="W54:Y54" si="44">IF(W8=0,0,W8/W$3)</f>
        <v>0.78468446975440442</v>
      </c>
      <c r="X54" s="103">
        <f t="shared" si="44"/>
        <v>0.85031727661818057</v>
      </c>
      <c r="Y54" s="103">
        <f t="shared" si="44"/>
        <v>0.85149926261021758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0.12314925781482451</v>
      </c>
      <c r="C55" s="103">
        <f t="shared" si="45"/>
        <v>0.12424905261432077</v>
      </c>
      <c r="D55" s="103">
        <f t="shared" ref="D55:V55" si="46">IF(D9=0,0,D9/D$3)</f>
        <v>0.16183912322351854</v>
      </c>
      <c r="E55" s="103">
        <f t="shared" si="46"/>
        <v>0.16231363841503371</v>
      </c>
      <c r="F55" s="103">
        <f t="shared" si="46"/>
        <v>0.13473647345485179</v>
      </c>
      <c r="G55" s="103">
        <f t="shared" si="46"/>
        <v>0.12818540677851359</v>
      </c>
      <c r="H55" s="103">
        <f t="shared" si="46"/>
        <v>0.12703260996656573</v>
      </c>
      <c r="I55" s="103">
        <f t="shared" si="46"/>
        <v>0.12714002023570792</v>
      </c>
      <c r="J55" s="103">
        <f t="shared" si="46"/>
        <v>0.12866632606514306</v>
      </c>
      <c r="K55" s="103">
        <f t="shared" si="46"/>
        <v>0.13562147191479049</v>
      </c>
      <c r="L55" s="103">
        <f t="shared" si="46"/>
        <v>0.14026344042907296</v>
      </c>
      <c r="M55" s="103">
        <f t="shared" si="46"/>
        <v>0.13949137234392039</v>
      </c>
      <c r="N55" s="103">
        <f t="shared" si="46"/>
        <v>0.14863079009370112</v>
      </c>
      <c r="O55" s="103">
        <f t="shared" si="46"/>
        <v>0.15546676599959486</v>
      </c>
      <c r="P55" s="103">
        <f t="shared" si="46"/>
        <v>0.15721936893044999</v>
      </c>
      <c r="Q55" s="103">
        <f t="shared" si="46"/>
        <v>0.15633974116625787</v>
      </c>
      <c r="R55" s="103">
        <f t="shared" si="46"/>
        <v>0.14393838071002527</v>
      </c>
      <c r="S55" s="103">
        <f t="shared" si="46"/>
        <v>0.1362528346486799</v>
      </c>
      <c r="T55" s="103">
        <f t="shared" si="46"/>
        <v>0.13870739336387466</v>
      </c>
      <c r="U55" s="103">
        <f t="shared" si="46"/>
        <v>0.14420605331352143</v>
      </c>
      <c r="V55" s="103">
        <f t="shared" si="46"/>
        <v>0.233545782933991</v>
      </c>
      <c r="W55" s="103">
        <f t="shared" ref="W55:Y55" si="47">IF(W9=0,0,W9/W$3)</f>
        <v>0.20307197162205395</v>
      </c>
      <c r="X55" s="103">
        <f t="shared" si="47"/>
        <v>0.14171403089195994</v>
      </c>
      <c r="Y55" s="103">
        <f t="shared" si="47"/>
        <v>0.14113190461814953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3.2735739288023528E-2</v>
      </c>
      <c r="C56" s="17">
        <f t="shared" si="48"/>
        <v>2.4131057628351472E-2</v>
      </c>
      <c r="D56" s="17">
        <f t="shared" ref="D56:V56" si="49">IF(D10=0,0,D10/D$3)</f>
        <v>2.817795439996439E-2</v>
      </c>
      <c r="E56" s="17">
        <f t="shared" si="49"/>
        <v>2.5393275440081558E-2</v>
      </c>
      <c r="F56" s="17">
        <f t="shared" si="49"/>
        <v>3.4455599112525472E-2</v>
      </c>
      <c r="G56" s="17">
        <f t="shared" si="49"/>
        <v>3.9281397722251032E-2</v>
      </c>
      <c r="H56" s="17">
        <f t="shared" si="49"/>
        <v>4.3877122871713733E-2</v>
      </c>
      <c r="I56" s="17">
        <f t="shared" si="49"/>
        <v>3.98041618044939E-2</v>
      </c>
      <c r="J56" s="17">
        <f t="shared" si="49"/>
        <v>3.9787270957246837E-2</v>
      </c>
      <c r="K56" s="17">
        <f t="shared" si="49"/>
        <v>3.7740599352315642E-2</v>
      </c>
      <c r="L56" s="17">
        <f t="shared" si="49"/>
        <v>3.4550922479698154E-2</v>
      </c>
      <c r="M56" s="17">
        <f t="shared" si="49"/>
        <v>2.4168925194155873E-2</v>
      </c>
      <c r="N56" s="17">
        <f t="shared" si="49"/>
        <v>1.970105280349025E-2</v>
      </c>
      <c r="O56" s="17">
        <f t="shared" si="49"/>
        <v>1.9934978696089862E-2</v>
      </c>
      <c r="P56" s="17">
        <f t="shared" si="49"/>
        <v>1.6992800605944252E-2</v>
      </c>
      <c r="Q56" s="17">
        <f t="shared" si="49"/>
        <v>1.5943379484751271E-2</v>
      </c>
      <c r="R56" s="17">
        <f t="shared" si="49"/>
        <v>1.1759702835326864E-2</v>
      </c>
      <c r="S56" s="17">
        <f t="shared" si="49"/>
        <v>1.0921558270476934E-2</v>
      </c>
      <c r="T56" s="17">
        <f t="shared" si="49"/>
        <v>9.249475883896489E-3</v>
      </c>
      <c r="U56" s="17">
        <f t="shared" si="49"/>
        <v>7.7317741267246163E-3</v>
      </c>
      <c r="V56" s="17">
        <f t="shared" si="49"/>
        <v>2.1246759781355859E-2</v>
      </c>
      <c r="W56" s="17">
        <f t="shared" ref="W56:Y56" si="50">IF(W10=0,0,W10/W$3)</f>
        <v>1.2243558623541699E-2</v>
      </c>
      <c r="X56" s="17">
        <f t="shared" si="50"/>
        <v>7.9686924898595638E-3</v>
      </c>
      <c r="Y56" s="17">
        <f t="shared" si="50"/>
        <v>7.368832771632792E-3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3.1194390076186927E-2</v>
      </c>
      <c r="C58" s="104">
        <f t="shared" si="54"/>
        <v>2.2860408683502288E-2</v>
      </c>
      <c r="D58" s="104">
        <f t="shared" ref="D58:V58" si="55">IF(D12=0,0,D12/D$3)</f>
        <v>2.6755421260336441E-2</v>
      </c>
      <c r="E58" s="104">
        <f t="shared" si="55"/>
        <v>2.4076198844066435E-2</v>
      </c>
      <c r="F58" s="104">
        <f t="shared" si="55"/>
        <v>3.2827512861715459E-2</v>
      </c>
      <c r="G58" s="104">
        <f t="shared" si="55"/>
        <v>3.7747361492990072E-2</v>
      </c>
      <c r="H58" s="104">
        <f t="shared" si="55"/>
        <v>4.251611108344279E-2</v>
      </c>
      <c r="I58" s="104">
        <f t="shared" si="55"/>
        <v>3.8521049742020093E-2</v>
      </c>
      <c r="J58" s="104">
        <f t="shared" si="55"/>
        <v>3.8260089619549575E-2</v>
      </c>
      <c r="K58" s="104">
        <f t="shared" si="55"/>
        <v>3.5740546416112531E-2</v>
      </c>
      <c r="L58" s="104">
        <f t="shared" si="55"/>
        <v>3.2057294051015706E-2</v>
      </c>
      <c r="M58" s="104">
        <f t="shared" si="55"/>
        <v>2.3129445670374737E-2</v>
      </c>
      <c r="N58" s="104">
        <f t="shared" si="55"/>
        <v>1.9129926558785398E-2</v>
      </c>
      <c r="O58" s="104">
        <f t="shared" si="55"/>
        <v>1.9252449022404378E-2</v>
      </c>
      <c r="P58" s="104">
        <f t="shared" si="55"/>
        <v>1.6478264964378021E-2</v>
      </c>
      <c r="Q58" s="104">
        <f t="shared" si="55"/>
        <v>1.5366982392303193E-2</v>
      </c>
      <c r="R58" s="104">
        <f t="shared" si="55"/>
        <v>1.1446241589407595E-2</v>
      </c>
      <c r="S58" s="104">
        <f t="shared" si="55"/>
        <v>1.0623357798041019E-2</v>
      </c>
      <c r="T58" s="104">
        <f t="shared" si="55"/>
        <v>8.9421816932733766E-3</v>
      </c>
      <c r="U58" s="104">
        <f t="shared" si="55"/>
        <v>6.7605381923936721E-3</v>
      </c>
      <c r="V58" s="104">
        <f t="shared" si="55"/>
        <v>1.6722037824720218E-2</v>
      </c>
      <c r="W58" s="104">
        <f t="shared" ref="W58:Y58" si="56">IF(W12=0,0,W12/W$3)</f>
        <v>1.1553549077592968E-2</v>
      </c>
      <c r="X58" s="104">
        <f t="shared" si="56"/>
        <v>7.0879900203993304E-3</v>
      </c>
      <c r="Y58" s="104">
        <f t="shared" si="56"/>
        <v>6.497447834847847E-3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1.5413492118365975E-3</v>
      </c>
      <c r="C59" s="105">
        <f t="shared" si="57"/>
        <v>1.2706489448491857E-3</v>
      </c>
      <c r="D59" s="105">
        <f t="shared" ref="D59:V59" si="58">IF(D13=0,0,D13/D$3)</f>
        <v>1.4225331396279458E-3</v>
      </c>
      <c r="E59" s="105">
        <f t="shared" si="58"/>
        <v>1.317076596015123E-3</v>
      </c>
      <c r="F59" s="105">
        <f t="shared" si="58"/>
        <v>1.6280862508100107E-3</v>
      </c>
      <c r="G59" s="105">
        <f t="shared" si="58"/>
        <v>1.5340362292609606E-3</v>
      </c>
      <c r="H59" s="105">
        <f t="shared" si="58"/>
        <v>1.3610117882709358E-3</v>
      </c>
      <c r="I59" s="105">
        <f t="shared" si="58"/>
        <v>1.2831120624738038E-3</v>
      </c>
      <c r="J59" s="105">
        <f t="shared" si="58"/>
        <v>1.5271813376972689E-3</v>
      </c>
      <c r="K59" s="105">
        <f t="shared" si="58"/>
        <v>2.0000529362031068E-3</v>
      </c>
      <c r="L59" s="105">
        <f t="shared" si="58"/>
        <v>2.4936284286824445E-3</v>
      </c>
      <c r="M59" s="105">
        <f t="shared" si="58"/>
        <v>1.0394795237811355E-3</v>
      </c>
      <c r="N59" s="105">
        <f t="shared" si="58"/>
        <v>5.7112624470485103E-4</v>
      </c>
      <c r="O59" s="105">
        <f t="shared" si="58"/>
        <v>6.8252967368548269E-4</v>
      </c>
      <c r="P59" s="105">
        <f t="shared" si="58"/>
        <v>5.1453564156623286E-4</v>
      </c>
      <c r="Q59" s="105">
        <f t="shared" si="58"/>
        <v>5.7639709244807912E-4</v>
      </c>
      <c r="R59" s="105">
        <f t="shared" si="58"/>
        <v>3.1346124591926798E-4</v>
      </c>
      <c r="S59" s="105">
        <f t="shared" si="58"/>
        <v>2.9820047243591475E-4</v>
      </c>
      <c r="T59" s="105">
        <f t="shared" si="58"/>
        <v>3.0729419062311343E-4</v>
      </c>
      <c r="U59" s="105">
        <f t="shared" si="58"/>
        <v>9.7123593433094354E-4</v>
      </c>
      <c r="V59" s="105">
        <f t="shared" si="58"/>
        <v>4.5247219566356403E-3</v>
      </c>
      <c r="W59" s="105">
        <f t="shared" ref="W59:Y59" si="59">IF(W13=0,0,W13/W$3)</f>
        <v>6.9000954594873067E-4</v>
      </c>
      <c r="X59" s="105">
        <f t="shared" si="59"/>
        <v>8.807024694602333E-4</v>
      </c>
      <c r="Y59" s="105">
        <f t="shared" si="59"/>
        <v>8.713849367849453E-4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4372527</v>
      </c>
      <c r="C4" s="11">
        <f t="shared" si="0"/>
        <v>5124064</v>
      </c>
      <c r="D4" s="11">
        <f t="shared" ref="D4" si="1">SUM(D5:D7)</f>
        <v>4447899</v>
      </c>
      <c r="E4" s="11">
        <f t="shared" ref="E4" si="2">SUM(E5:E7)</f>
        <v>4782931</v>
      </c>
      <c r="F4" s="11">
        <f t="shared" ref="F4" si="3">SUM(F5:F7)</f>
        <v>4212289</v>
      </c>
      <c r="G4" s="11">
        <f t="shared" ref="G4" si="4">SUM(G5:G7)</f>
        <v>4731224</v>
      </c>
      <c r="H4" s="11">
        <f t="shared" ref="H4" si="5">SUM(H5:H7)</f>
        <v>4674614</v>
      </c>
      <c r="I4" s="11">
        <f t="shared" ref="I4" si="6">SUM(I5:I7)</f>
        <v>4797533</v>
      </c>
      <c r="J4" s="11">
        <f t="shared" ref="J4" si="7">SUM(J5:J7)</f>
        <v>5038218</v>
      </c>
      <c r="K4" s="11">
        <f t="shared" ref="K4" si="8">SUM(K5:K7)</f>
        <v>4744691</v>
      </c>
      <c r="L4" s="11">
        <f t="shared" ref="L4" si="9">SUM(L5:L7)</f>
        <v>4814891</v>
      </c>
      <c r="M4" s="11">
        <f t="shared" ref="M4" si="10">SUM(M5:M7)</f>
        <v>4754700</v>
      </c>
      <c r="N4" s="11">
        <f t="shared" ref="N4" si="11">SUM(N5:N7)</f>
        <v>4766232</v>
      </c>
      <c r="O4" s="11">
        <f t="shared" ref="O4" si="12">SUM(O5:O7)</f>
        <v>4394630</v>
      </c>
      <c r="P4" s="11">
        <f t="shared" ref="P4" si="13">SUM(P5:P7)</f>
        <v>4596308</v>
      </c>
      <c r="Q4" s="11">
        <f t="shared" ref="Q4" si="14">SUM(Q5:Q7)</f>
        <v>4661291</v>
      </c>
      <c r="R4" s="11">
        <f t="shared" ref="R4" si="15">SUM(R5:R7)</f>
        <v>5486138</v>
      </c>
      <c r="S4" s="11">
        <f t="shared" ref="S4" si="16">SUM(S5:S7)</f>
        <v>6289085</v>
      </c>
      <c r="T4" s="11">
        <f t="shared" ref="T4" si="17">SUM(T5:T7)</f>
        <v>6657059</v>
      </c>
      <c r="U4" s="11">
        <f t="shared" ref="U4" si="18">SUM(U5:U7)</f>
        <v>6644306</v>
      </c>
      <c r="V4" s="11">
        <f t="shared" ref="V4:W4" si="19">SUM(V5:V7)</f>
        <v>1941160</v>
      </c>
      <c r="W4" s="11">
        <f t="shared" si="19"/>
        <v>3678722</v>
      </c>
      <c r="X4" s="11">
        <f t="shared" ref="X4:Y4" si="20">SUM(X5:X7)</f>
        <v>5689222</v>
      </c>
      <c r="Y4" s="11">
        <f t="shared" si="20"/>
        <v>7147721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3578626</v>
      </c>
      <c r="C6" s="84">
        <v>4185906</v>
      </c>
      <c r="D6" s="84">
        <v>3383417</v>
      </c>
      <c r="E6" s="84">
        <v>3625237</v>
      </c>
      <c r="F6" s="84">
        <v>3573255</v>
      </c>
      <c r="G6" s="84">
        <v>3890850</v>
      </c>
      <c r="H6" s="84">
        <v>3821382</v>
      </c>
      <c r="I6" s="84">
        <v>3891220</v>
      </c>
      <c r="J6" s="84">
        <v>4053239</v>
      </c>
      <c r="K6" s="84">
        <v>3866150</v>
      </c>
      <c r="L6" s="84">
        <v>3828005</v>
      </c>
      <c r="M6" s="84">
        <v>3776648</v>
      </c>
      <c r="N6" s="84">
        <v>3676444</v>
      </c>
      <c r="O6" s="84">
        <v>3136589</v>
      </c>
      <c r="P6" s="84">
        <v>3158289</v>
      </c>
      <c r="Q6" s="84">
        <v>3343943</v>
      </c>
      <c r="R6" s="84">
        <v>3718139</v>
      </c>
      <c r="S6" s="84">
        <v>4245013</v>
      </c>
      <c r="T6" s="84">
        <v>4565398</v>
      </c>
      <c r="U6" s="84">
        <v>4453684</v>
      </c>
      <c r="V6" s="84">
        <v>1553257</v>
      </c>
      <c r="W6" s="84">
        <v>2365401</v>
      </c>
      <c r="X6" s="84">
        <v>4663192</v>
      </c>
      <c r="Y6" s="84">
        <v>5593758</v>
      </c>
      <c r="DA6" s="171" t="s">
        <v>364</v>
      </c>
    </row>
    <row r="7" spans="1:105" ht="11.45" customHeight="1" x14ac:dyDescent="0.25">
      <c r="A7" s="85" t="s">
        <v>182</v>
      </c>
      <c r="B7" s="86">
        <v>793901</v>
      </c>
      <c r="C7" s="86">
        <v>938158</v>
      </c>
      <c r="D7" s="86">
        <v>1064482</v>
      </c>
      <c r="E7" s="86">
        <v>1157694</v>
      </c>
      <c r="F7" s="86">
        <v>639034</v>
      </c>
      <c r="G7" s="86">
        <v>840374</v>
      </c>
      <c r="H7" s="86">
        <v>853232</v>
      </c>
      <c r="I7" s="86">
        <v>906313</v>
      </c>
      <c r="J7" s="86">
        <v>984979</v>
      </c>
      <c r="K7" s="86">
        <v>878541</v>
      </c>
      <c r="L7" s="86">
        <v>986886</v>
      </c>
      <c r="M7" s="86">
        <v>978052</v>
      </c>
      <c r="N7" s="86">
        <v>1089788</v>
      </c>
      <c r="O7" s="86">
        <v>1258041</v>
      </c>
      <c r="P7" s="86">
        <v>1438019</v>
      </c>
      <c r="Q7" s="86">
        <v>1317348</v>
      </c>
      <c r="R7" s="86">
        <v>1767999</v>
      </c>
      <c r="S7" s="86">
        <v>2044072</v>
      </c>
      <c r="T7" s="86">
        <v>2091661</v>
      </c>
      <c r="U7" s="86">
        <v>2190622</v>
      </c>
      <c r="V7" s="86">
        <v>387903</v>
      </c>
      <c r="W7" s="86">
        <v>1313321</v>
      </c>
      <c r="X7" s="86">
        <v>1026030</v>
      </c>
      <c r="Y7" s="86">
        <v>1553963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165.33168223238931</v>
      </c>
      <c r="C12" s="14">
        <f>IF(C4=0,0,C4/TrAvia_act!C24)</f>
        <v>165.19646656779935</v>
      </c>
      <c r="D12" s="14">
        <f>IF(D4=0,0,D4/TrAvia_act!D24)</f>
        <v>157.60954608270436</v>
      </c>
      <c r="E12" s="14">
        <f>IF(E4=0,0,E4/TrAvia_act!E24)</f>
        <v>158.30705325522126</v>
      </c>
      <c r="F12" s="14">
        <f>IF(F4=0,0,F4/TrAvia_act!F24)</f>
        <v>152.54179039617586</v>
      </c>
      <c r="G12" s="14">
        <f>IF(G4=0,0,G4/TrAvia_act!G24)</f>
        <v>165.23675479342018</v>
      </c>
      <c r="H12" s="14">
        <f>IF(H4=0,0,H4/TrAvia_act!H24)</f>
        <v>152.27251702009838</v>
      </c>
      <c r="I12" s="14">
        <f>IF(I4=0,0,I4/TrAvia_act!I24)</f>
        <v>147.39870345336118</v>
      </c>
      <c r="J12" s="14">
        <f>IF(J4=0,0,J4/TrAvia_act!J24)</f>
        <v>151.87249050461205</v>
      </c>
      <c r="K12" s="14">
        <f>IF(K4=0,0,K4/TrAvia_act!K24)</f>
        <v>157.93525730643765</v>
      </c>
      <c r="L12" s="14">
        <f>IF(L4=0,0,L4/TrAvia_act!L24)</f>
        <v>163.84425085922348</v>
      </c>
      <c r="M12" s="14">
        <f>IF(M4=0,0,M4/TrAvia_act!M24)</f>
        <v>164.86477115117893</v>
      </c>
      <c r="N12" s="14">
        <f>IF(N4=0,0,N4/TrAvia_act!N24)</f>
        <v>170.75312578368502</v>
      </c>
      <c r="O12" s="14">
        <f>IF(O4=0,0,O4/TrAvia_act!O24)</f>
        <v>176.24343292560658</v>
      </c>
      <c r="P12" s="14">
        <f>IF(P4=0,0,P4/TrAvia_act!P24)</f>
        <v>175.37805250305252</v>
      </c>
      <c r="Q12" s="14">
        <f>IF(Q4=0,0,Q4/TrAvia_act!Q24)</f>
        <v>174.18224281603827</v>
      </c>
      <c r="R12" s="14">
        <f>IF(R4=0,0,R4/TrAvia_act!R24)</f>
        <v>171.09961327345309</v>
      </c>
      <c r="S12" s="14">
        <f>IF(S4=0,0,S4/TrAvia_act!S24)</f>
        <v>174.85222975978647</v>
      </c>
      <c r="T12" s="14">
        <f>IF(T4=0,0,T4/TrAvia_act!T24)</f>
        <v>175.97766263977371</v>
      </c>
      <c r="U12" s="14">
        <f>IF(U4=0,0,U4/TrAvia_act!U24)</f>
        <v>180.82696494665797</v>
      </c>
      <c r="V12" s="14">
        <f>IF(V4=0,0,V4/TrAvia_act!V24)</f>
        <v>161.1857510587063</v>
      </c>
      <c r="W12" s="14">
        <f>IF(W4=0,0,W4/TrAvia_act!W24)</f>
        <v>175.47805762259111</v>
      </c>
      <c r="X12" s="14">
        <f>IF(X4=0,0,X4/TrAvia_act!X24)</f>
        <v>182.86850310179679</v>
      </c>
      <c r="Y12" s="14">
        <f>IF(Y4=0,0,Y4/TrAvia_act!Y24)</f>
        <v>186.04651344386892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182.2760658075689</v>
      </c>
      <c r="C14" s="87">
        <f>IF(C6=0,0,C6/TrAvia_act!C26)</f>
        <v>181.7904108399201</v>
      </c>
      <c r="D14" s="87">
        <f>IF(D6=0,0,D6/TrAvia_act!D26)</f>
        <v>173.25090890470582</v>
      </c>
      <c r="E14" s="87">
        <f>IF(E6=0,0,E6/TrAvia_act!E26)</f>
        <v>173.39823982398241</v>
      </c>
      <c r="F14" s="87">
        <f>IF(F6=0,0,F6/TrAvia_act!F26)</f>
        <v>175.08231662501836</v>
      </c>
      <c r="G14" s="87">
        <f>IF(G6=0,0,G6/TrAvia_act!G26)</f>
        <v>179.67444008312168</v>
      </c>
      <c r="H14" s="87">
        <f>IF(H6=0,0,H6/TrAvia_act!H26)</f>
        <v>180.22836391076734</v>
      </c>
      <c r="I14" s="87">
        <f>IF(I6=0,0,I6/TrAvia_act!I26)</f>
        <v>179.62516733601072</v>
      </c>
      <c r="J14" s="87">
        <f>IF(J6=0,0,J6/TrAvia_act!J26)</f>
        <v>182.67707769965747</v>
      </c>
      <c r="K14" s="87">
        <f>IF(K6=0,0,K6/TrAvia_act!K26)</f>
        <v>176.50429145361576</v>
      </c>
      <c r="L14" s="87">
        <f>IF(L6=0,0,L6/TrAvia_act!L26)</f>
        <v>172.41712458337088</v>
      </c>
      <c r="M14" s="87">
        <f>IF(M6=0,0,M6/TrAvia_act!M26)</f>
        <v>175.2748874553302</v>
      </c>
      <c r="N14" s="87">
        <f>IF(N6=0,0,N6/TrAvia_act!N26)</f>
        <v>178.66763862565</v>
      </c>
      <c r="O14" s="87">
        <f>IF(O6=0,0,O6/TrAvia_act!O26)</f>
        <v>180.38814124683691</v>
      </c>
      <c r="P14" s="87">
        <f>IF(P6=0,0,P6/TrAvia_act!P26)</f>
        <v>181.81388521098381</v>
      </c>
      <c r="Q14" s="87">
        <f>IF(Q6=0,0,Q6/TrAvia_act!Q26)</f>
        <v>183.05923249575739</v>
      </c>
      <c r="R14" s="87">
        <f>IF(R6=0,0,R6/TrAvia_act!R26)</f>
        <v>182.9972930406536</v>
      </c>
      <c r="S14" s="87">
        <f>IF(S6=0,0,S6/TrAvia_act!S26)</f>
        <v>181.9395251157209</v>
      </c>
      <c r="T14" s="87">
        <f>IF(T6=0,0,T6/TrAvia_act!T26)</f>
        <v>181.77249562032171</v>
      </c>
      <c r="U14" s="87">
        <f>IF(U6=0,0,U6/TrAvia_act!U26)</f>
        <v>186.31542838018743</v>
      </c>
      <c r="V14" s="87">
        <f>IF(V6=0,0,V6/TrAvia_act!V26)</f>
        <v>168.83228260869566</v>
      </c>
      <c r="W14" s="87">
        <f>IF(W6=0,0,W6/TrAvia_act!W26)</f>
        <v>172.8209980273252</v>
      </c>
      <c r="X14" s="87">
        <f>IF(X6=0,0,X6/TrAvia_act!X26)</f>
        <v>184.50549972303554</v>
      </c>
      <c r="Y14" s="87">
        <f>IF(Y6=0,0,Y6/TrAvia_act!Y26)</f>
        <v>190.77650830462809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116.51027296742002</v>
      </c>
      <c r="C15" s="88">
        <f>IF(C7=0,0,C7/TrAvia_act!C27)</f>
        <v>117.38713713713713</v>
      </c>
      <c r="D15" s="88">
        <f>IF(D7=0,0,D7/TrAvia_act!D27)</f>
        <v>122.46686608375518</v>
      </c>
      <c r="E15" s="88">
        <f>IF(E7=0,0,E7/TrAvia_act!E27)</f>
        <v>124.40296582849774</v>
      </c>
      <c r="F15" s="88">
        <f>IF(F7=0,0,F7/TrAvia_act!F27)</f>
        <v>88.693129770992371</v>
      </c>
      <c r="G15" s="88">
        <f>IF(G7=0,0,G7/TrAvia_act!G27)</f>
        <v>120.43192891946116</v>
      </c>
      <c r="H15" s="88">
        <f>IF(H7=0,0,H7/TrAvia_act!H27)</f>
        <v>89.851727042965464</v>
      </c>
      <c r="I15" s="88">
        <f>IF(I7=0,0,I7/TrAvia_act!I27)</f>
        <v>83.262563160312354</v>
      </c>
      <c r="J15" s="88">
        <f>IF(J7=0,0,J7/TrAvia_act!J27)</f>
        <v>89.657655197524122</v>
      </c>
      <c r="K15" s="88">
        <f>IF(K7=0,0,K7/TrAvia_act!K27)</f>
        <v>107.95539444580979</v>
      </c>
      <c r="L15" s="88">
        <f>IF(L7=0,0,L7/TrAvia_act!L27)</f>
        <v>137.35365344467641</v>
      </c>
      <c r="M15" s="88">
        <f>IF(M7=0,0,M7/TrAvia_act!M27)</f>
        <v>134.10832304949952</v>
      </c>
      <c r="N15" s="88">
        <f>IF(N7=0,0,N7/TrAvia_act!N27)</f>
        <v>148.55343511450383</v>
      </c>
      <c r="O15" s="88">
        <f>IF(O7=0,0,O7/TrAvia_act!O27)</f>
        <v>166.69418311912017</v>
      </c>
      <c r="P15" s="88">
        <f>IF(P7=0,0,P7/TrAvia_act!P27)</f>
        <v>162.72705669344799</v>
      </c>
      <c r="Q15" s="88">
        <f>IF(Q7=0,0,Q7/TrAvia_act!Q27)</f>
        <v>155.09159406639981</v>
      </c>
      <c r="R15" s="88">
        <f>IF(R7=0,0,R7/TrAvia_act!R27)</f>
        <v>150.51924059254213</v>
      </c>
      <c r="S15" s="88">
        <f>IF(S7=0,0,S7/TrAvia_act!S27)</f>
        <v>161.76574865463755</v>
      </c>
      <c r="T15" s="88">
        <f>IF(T7=0,0,T7/TrAvia_act!T27)</f>
        <v>164.52930071580272</v>
      </c>
      <c r="U15" s="88">
        <f>IF(U7=0,0,U7/TrAvia_act!U27)</f>
        <v>170.60919003115265</v>
      </c>
      <c r="V15" s="88">
        <f>IF(V7=0,0,V7/TrAvia_act!V27)</f>
        <v>136.44143510376364</v>
      </c>
      <c r="W15" s="88">
        <f>IF(W7=0,0,W7/TrAvia_act!W27)</f>
        <v>180.47560808025284</v>
      </c>
      <c r="X15" s="88">
        <f>IF(X7=0,0,X7/TrAvia_act!X27)</f>
        <v>175.7803666266918</v>
      </c>
      <c r="Y15" s="88">
        <f>IF(Y7=0,0,Y7/TrAvia_act!Y27)</f>
        <v>170.80270389096503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0.70381154879089369</v>
      </c>
      <c r="C18" s="25">
        <f>IF(TrAvia_act!C34=0,0,(TrAvia_act!C34/TrAvia_act!C24)/TrAvia_png!C12)</f>
        <v>0.70713753770444709</v>
      </c>
      <c r="D18" s="25">
        <f>IF(TrAvia_act!D34=0,0,(TrAvia_act!D34/TrAvia_act!D24)/TrAvia_png!D12)</f>
        <v>0.69521362782743046</v>
      </c>
      <c r="E18" s="25">
        <f>IF(TrAvia_act!E34=0,0,(TrAvia_act!E34/TrAvia_act!E24)/TrAvia_png!E12)</f>
        <v>0.69752605672128654</v>
      </c>
      <c r="F18" s="25">
        <f>IF(TrAvia_act!F34=0,0,(TrAvia_act!F34/TrAvia_act!F24)/TrAvia_png!F12)</f>
        <v>0.79716348996946795</v>
      </c>
      <c r="G18" s="25">
        <f>IF(TrAvia_act!G34=0,0,(TrAvia_act!G34/TrAvia_act!G24)/TrAvia_png!G12)</f>
        <v>0.7395130731497811</v>
      </c>
      <c r="H18" s="25">
        <f>IF(TrAvia_act!H34=0,0,(TrAvia_act!H34/TrAvia_act!H24)/TrAvia_png!H12)</f>
        <v>0.74829130276852807</v>
      </c>
      <c r="I18" s="25">
        <f>IF(TrAvia_act!I34=0,0,(TrAvia_act!I34/TrAvia_act!I24)/TrAvia_png!I12)</f>
        <v>0.75262661038496248</v>
      </c>
      <c r="J18" s="25">
        <f>IF(TrAvia_act!J34=0,0,(TrAvia_act!J34/TrAvia_act!J24)/TrAvia_png!J12)</f>
        <v>0.74291426055799892</v>
      </c>
      <c r="K18" s="25">
        <f>IF(TrAvia_act!K34=0,0,(TrAvia_act!K34/TrAvia_act!K24)/TrAvia_png!K12)</f>
        <v>0.73160970861959196</v>
      </c>
      <c r="L18" s="25">
        <f>IF(TrAvia_act!L34=0,0,(TrAvia_act!L34/TrAvia_act!L24)/TrAvia_png!L12)</f>
        <v>0.74647276542708851</v>
      </c>
      <c r="M18" s="25">
        <f>IF(TrAvia_act!M34=0,0,(TrAvia_act!M34/TrAvia_act!M24)/TrAvia_png!M12)</f>
        <v>0.75853366142974321</v>
      </c>
      <c r="N18" s="25">
        <f>IF(TrAvia_act!N34=0,0,(TrAvia_act!N34/TrAvia_act!N24)/TrAvia_png!N12)</f>
        <v>0.76951457671384871</v>
      </c>
      <c r="O18" s="25">
        <f>IF(TrAvia_act!O34=0,0,(TrAvia_act!O34/TrAvia_act!O24)/TrAvia_png!O12)</f>
        <v>0.81522881334719866</v>
      </c>
      <c r="P18" s="25">
        <f>IF(TrAvia_act!P34=0,0,(TrAvia_act!P34/TrAvia_act!P24)/TrAvia_png!P12)</f>
        <v>0.80843603170196587</v>
      </c>
      <c r="Q18" s="25">
        <f>IF(TrAvia_act!Q34=0,0,(TrAvia_act!Q34/TrAvia_act!Q24)/TrAvia_png!Q12)</f>
        <v>0.83079623220262366</v>
      </c>
      <c r="R18" s="25">
        <f>IF(TrAvia_act!R34=0,0,(TrAvia_act!R34/TrAvia_act!R24)/TrAvia_png!R12)</f>
        <v>0.82726154537126129</v>
      </c>
      <c r="S18" s="25">
        <f>IF(TrAvia_act!S34=0,0,(TrAvia_act!S34/TrAvia_act!S24)/TrAvia_png!S12)</f>
        <v>0.82830427637724724</v>
      </c>
      <c r="T18" s="25">
        <f>IF(TrAvia_act!T34=0,0,(TrAvia_act!T34/TrAvia_act!T24)/TrAvia_png!T12)</f>
        <v>0.83218460284038343</v>
      </c>
      <c r="U18" s="25">
        <f>IF(TrAvia_act!U34=0,0,(TrAvia_act!U34/TrAvia_act!U24)/TrAvia_png!U12)</f>
        <v>0.85777822394092029</v>
      </c>
      <c r="V18" s="25">
        <f>IF(TrAvia_act!V34=0,0,(TrAvia_act!V34/TrAvia_act!V24)/TrAvia_png!V12)</f>
        <v>0.59966823960930582</v>
      </c>
      <c r="W18" s="25">
        <f>IF(TrAvia_act!W34=0,0,(TrAvia_act!W34/TrAvia_act!W24)/TrAvia_png!W12)</f>
        <v>0.69394833314395599</v>
      </c>
      <c r="X18" s="25">
        <f>IF(TrAvia_act!X34=0,0,(TrAvia_act!X34/TrAvia_act!X24)/TrAvia_png!X12)</f>
        <v>0.8178235969698493</v>
      </c>
      <c r="Y18" s="25">
        <f>IF(TrAvia_act!Y34=0,0,(TrAvia_act!Y34/TrAvia_act!Y24)/TrAvia_png!Y12)</f>
        <v>0.82765877403440902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0.74833301943259778</v>
      </c>
      <c r="C20" s="89">
        <f>IF(TrAvia_act!C36=0,0,(TrAvia_act!C36/TrAvia_act!C26)/TrAvia_png!C14)</f>
        <v>0.75128180135913236</v>
      </c>
      <c r="D20" s="89">
        <f>IF(TrAvia_act!D36=0,0,(TrAvia_act!D36/TrAvia_act!D26)/TrAvia_png!D14)</f>
        <v>0.75193687328520253</v>
      </c>
      <c r="E20" s="89">
        <f>IF(TrAvia_act!E36=0,0,(TrAvia_act!E36/TrAvia_act!E26)/TrAvia_png!E14)</f>
        <v>0.75369803408715064</v>
      </c>
      <c r="F20" s="89">
        <f>IF(TrAvia_act!F36=0,0,(TrAvia_act!F36/TrAvia_act!F26)/TrAvia_png!F14)</f>
        <v>0.79140167718228904</v>
      </c>
      <c r="G20" s="89">
        <f>IF(TrAvia_act!G36=0,0,(TrAvia_act!G36/TrAvia_act!G26)/TrAvia_png!G14)</f>
        <v>0.77203978565095033</v>
      </c>
      <c r="H20" s="89">
        <f>IF(TrAvia_act!H36=0,0,(TrAvia_act!H36/TrAvia_act!H26)/TrAvia_png!H14)</f>
        <v>0.78020569521707073</v>
      </c>
      <c r="I20" s="89">
        <f>IF(TrAvia_act!I36=0,0,(TrAvia_act!I36/TrAvia_act!I26)/TrAvia_png!I14)</f>
        <v>0.78287709253139104</v>
      </c>
      <c r="J20" s="89">
        <f>IF(TrAvia_act!J36=0,0,(TrAvia_act!J36/TrAvia_act!J26)/TrAvia_png!J14)</f>
        <v>0.77250934376186542</v>
      </c>
      <c r="K20" s="89">
        <f>IF(TrAvia_act!K36=0,0,(TrAvia_act!K36/TrAvia_act!K26)/TrAvia_png!K14)</f>
        <v>0.75684233669154077</v>
      </c>
      <c r="L20" s="89">
        <f>IF(TrAvia_act!L36=0,0,(TrAvia_act!L36/TrAvia_act!L26)/TrAvia_png!L14)</f>
        <v>0.76693943712194723</v>
      </c>
      <c r="M20" s="89">
        <f>IF(TrAvia_act!M36=0,0,(TrAvia_act!M36/TrAvia_act!M26)/TrAvia_png!M14)</f>
        <v>0.77378537793302427</v>
      </c>
      <c r="N20" s="89">
        <f>IF(TrAvia_act!N36=0,0,(TrAvia_act!N36/TrAvia_act!N26)/TrAvia_png!N14)</f>
        <v>0.76976175891704046</v>
      </c>
      <c r="O20" s="89">
        <f>IF(TrAvia_act!O36=0,0,(TrAvia_act!O36/TrAvia_act!O26)/TrAvia_png!O14)</f>
        <v>0.81697506431349465</v>
      </c>
      <c r="P20" s="89">
        <f>IF(TrAvia_act!P36=0,0,(TrAvia_act!P36/TrAvia_act!P26)/TrAvia_png!P14)</f>
        <v>0.82101257991273124</v>
      </c>
      <c r="Q20" s="89">
        <f>IF(TrAvia_act!Q36=0,0,(TrAvia_act!Q36/TrAvia_act!Q26)/TrAvia_png!Q14)</f>
        <v>0.83900323659823139</v>
      </c>
      <c r="R20" s="89">
        <f>IF(TrAvia_act!R36=0,0,(TrAvia_act!R36/TrAvia_act!R26)/TrAvia_png!R14)</f>
        <v>0.83720834535771804</v>
      </c>
      <c r="S20" s="89">
        <f>IF(TrAvia_act!S36=0,0,(TrAvia_act!S36/TrAvia_act!S26)/TrAvia_png!S14)</f>
        <v>0.83833217943031046</v>
      </c>
      <c r="T20" s="89">
        <f>IF(TrAvia_act!T36=0,0,(TrAvia_act!T36/TrAvia_act!T26)/TrAvia_png!T14)</f>
        <v>0.84860618942751542</v>
      </c>
      <c r="U20" s="89">
        <f>IF(TrAvia_act!U36=0,0,(TrAvia_act!U36/TrAvia_act!U26)/TrAvia_png!U14)</f>
        <v>0.87436378512709922</v>
      </c>
      <c r="V20" s="89">
        <f>IF(TrAvia_act!V36=0,0,(TrAvia_act!V36/TrAvia_act!V26)/TrAvia_png!V14)</f>
        <v>0.61980406333272597</v>
      </c>
      <c r="W20" s="89">
        <f>IF(TrAvia_act!W36=0,0,(TrAvia_act!W36/TrAvia_act!W26)/TrAvia_png!W14)</f>
        <v>0.6951151200155915</v>
      </c>
      <c r="X20" s="89">
        <f>IF(TrAvia_act!X36=0,0,(TrAvia_act!X36/TrAvia_act!X26)/TrAvia_png!X14)</f>
        <v>0.84135930924568403</v>
      </c>
      <c r="Y20" s="89">
        <f>IF(TrAvia_act!Y36=0,0,(TrAvia_act!Y36/TrAvia_act!Y26)/TrAvia_png!Y14)</f>
        <v>0.8489738025849527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0.50312444498747322</v>
      </c>
      <c r="C21" s="90">
        <f>IF(TrAvia_act!C37=0,0,(TrAvia_act!C37/TrAvia_act!C27)/TrAvia_png!C15)</f>
        <v>0.51017312648828872</v>
      </c>
      <c r="D21" s="90">
        <f>IF(TrAvia_act!D37=0,0,(TrAvia_act!D37/TrAvia_act!D27)/TrAvia_png!D15)</f>
        <v>0.51492087231160322</v>
      </c>
      <c r="E21" s="90">
        <f>IF(TrAvia_act!E37=0,0,(TrAvia_act!E37/TrAvia_act!E27)/TrAvia_png!E15)</f>
        <v>0.52162747669073173</v>
      </c>
      <c r="F21" s="90">
        <f>IF(TrAvia_act!F37=0,0,(TrAvia_act!F37/TrAvia_act!F27)/TrAvia_png!F15)</f>
        <v>0.82938153525477509</v>
      </c>
      <c r="G21" s="90">
        <f>IF(TrAvia_act!G37=0,0,(TrAvia_act!G37/TrAvia_act!G27)/TrAvia_png!G15)</f>
        <v>0.58891755337504492</v>
      </c>
      <c r="H21" s="90">
        <f>IF(TrAvia_act!H37=0,0,(TrAvia_act!H37/TrAvia_act!H27)/TrAvia_png!H15)</f>
        <v>0.60535587038460814</v>
      </c>
      <c r="I21" s="90">
        <f>IF(TrAvia_act!I37=0,0,(TrAvia_act!I37/TrAvia_act!I27)/TrAvia_png!I15)</f>
        <v>0.62274732901326579</v>
      </c>
      <c r="J21" s="90">
        <f>IF(TrAvia_act!J37=0,0,(TrAvia_act!J37/TrAvia_act!J27)/TrAvia_png!J15)</f>
        <v>0.62112897838431069</v>
      </c>
      <c r="K21" s="90">
        <f>IF(TrAvia_act!K37=0,0,(TrAvia_act!K37/TrAvia_act!K27)/TrAvia_png!K15)</f>
        <v>0.62056978558769593</v>
      </c>
      <c r="L21" s="90">
        <f>IF(TrAvia_act!L37=0,0,(TrAvia_act!L37/TrAvia_act!L27)/TrAvia_png!L15)</f>
        <v>0.66708515471898477</v>
      </c>
      <c r="M21" s="90">
        <f>IF(TrAvia_act!M37=0,0,(TrAvia_act!M37/TrAvia_act!M27)/TrAvia_png!M15)</f>
        <v>0.69964071439964337</v>
      </c>
      <c r="N21" s="90">
        <f>IF(TrAvia_act!N37=0,0,(TrAvia_act!N37/TrAvia_act!N27)/TrAvia_png!N15)</f>
        <v>0.76868069753016177</v>
      </c>
      <c r="O21" s="90">
        <f>IF(TrAvia_act!O37=0,0,(TrAvia_act!O37/TrAvia_act!O27)/TrAvia_png!O15)</f>
        <v>0.81087500327890749</v>
      </c>
      <c r="P21" s="90">
        <f>IF(TrAvia_act!P37=0,0,(TrAvia_act!P37/TrAvia_act!P27)/TrAvia_png!P15)</f>
        <v>0.78081443986484189</v>
      </c>
      <c r="Q21" s="90">
        <f>IF(TrAvia_act!Q37=0,0,(TrAvia_act!Q37/TrAvia_act!Q27)/TrAvia_png!Q15)</f>
        <v>0.80996365425081307</v>
      </c>
      <c r="R21" s="90">
        <f>IF(TrAvia_act!R37=0,0,(TrAvia_act!R37/TrAvia_act!R27)/TrAvia_png!R15)</f>
        <v>0.80634321625747529</v>
      </c>
      <c r="S21" s="90">
        <f>IF(TrAvia_act!S37=0,0,(TrAvia_act!S37/TrAvia_act!S27)/TrAvia_png!S15)</f>
        <v>0.80747889506827553</v>
      </c>
      <c r="T21" s="90">
        <f>IF(TrAvia_act!T37=0,0,(TrAvia_act!T37/TrAvia_act!T27)/TrAvia_png!T15)</f>
        <v>0.79634175901353044</v>
      </c>
      <c r="U21" s="90">
        <f>IF(TrAvia_act!U37=0,0,(TrAvia_act!U37/TrAvia_act!U27)/TrAvia_png!U15)</f>
        <v>0.82405864635706205</v>
      </c>
      <c r="V21" s="90">
        <f>IF(TrAvia_act!V37=0,0,(TrAvia_act!V37/TrAvia_act!V27)/TrAvia_png!V15)</f>
        <v>0.5190395537028587</v>
      </c>
      <c r="W21" s="90">
        <f>IF(TrAvia_act!W37=0,0,(TrAvia_act!W37/TrAvia_act!W27)/TrAvia_png!W15)</f>
        <v>0.6918468523689183</v>
      </c>
      <c r="X21" s="90">
        <f>IF(TrAvia_act!X37=0,0,(TrAvia_act!X37/TrAvia_act!X27)/TrAvia_png!X15)</f>
        <v>0.7108564077073769</v>
      </c>
      <c r="Y21" s="90">
        <f>IF(TrAvia_act!Y37=0,0,(TrAvia_act!Y37/TrAvia_act!Y27)/TrAvia_png!Y15)</f>
        <v>0.75093165023877662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2.6667719121171211E-2</v>
      </c>
      <c r="C24" s="23">
        <f>IF(TrAvia_ene!C6=0,0,TrAvia_ene!C6/(C12*TrAvia_act!C14))</f>
        <v>2.689946644078332E-2</v>
      </c>
      <c r="D24" s="23">
        <f>IF(TrAvia_ene!D6=0,0,TrAvia_ene!D6/(D12*TrAvia_act!D14))</f>
        <v>3.2043885820451541E-2</v>
      </c>
      <c r="E24" s="23">
        <f>IF(TrAvia_ene!E6=0,0,TrAvia_ene!E6/(E12*TrAvia_act!E14))</f>
        <v>3.1963399945499467E-2</v>
      </c>
      <c r="F24" s="23">
        <f>IF(TrAvia_ene!F6=0,0,TrAvia_ene!F6/(F12*TrAvia_act!F14))</f>
        <v>3.2451206457409253E-2</v>
      </c>
      <c r="G24" s="23">
        <f>IF(TrAvia_ene!G6=0,0,TrAvia_ene!G6/(G12*TrAvia_act!G14))</f>
        <v>2.770987390274807E-2</v>
      </c>
      <c r="H24" s="23">
        <f>IF(TrAvia_ene!H6=0,0,TrAvia_ene!H6/(H12*TrAvia_act!H14))</f>
        <v>2.8956522967965071E-2</v>
      </c>
      <c r="I24" s="23">
        <f>IF(TrAvia_ene!I6=0,0,TrAvia_ene!I6/(I12*TrAvia_act!I14))</f>
        <v>2.8004885259132965E-2</v>
      </c>
      <c r="J24" s="23">
        <f>IF(TrAvia_ene!J6=0,0,TrAvia_ene!J6/(J12*TrAvia_act!J14))</f>
        <v>2.6299086840491603E-2</v>
      </c>
      <c r="K24" s="23">
        <f>IF(TrAvia_ene!K6=0,0,TrAvia_ene!K6/(K12*TrAvia_act!K14))</f>
        <v>2.5284810907880217E-2</v>
      </c>
      <c r="L24" s="23">
        <f>IF(TrAvia_ene!L6=0,0,TrAvia_ene!L6/(L12*TrAvia_act!L14))</f>
        <v>2.5115540900494573E-2</v>
      </c>
      <c r="M24" s="23">
        <f>IF(TrAvia_ene!M6=0,0,TrAvia_ene!M6/(M12*TrAvia_act!M14))</f>
        <v>2.7107789563822943E-2</v>
      </c>
      <c r="N24" s="23">
        <f>IF(TrAvia_ene!N6=0,0,TrAvia_ene!N6/(N12*TrAvia_act!N14))</f>
        <v>2.474204047540909E-2</v>
      </c>
      <c r="O24" s="23">
        <f>IF(TrAvia_ene!O6=0,0,TrAvia_ene!O6/(O12*TrAvia_act!O14))</f>
        <v>2.3314628881903474E-2</v>
      </c>
      <c r="P24" s="23">
        <f>IF(TrAvia_ene!P6=0,0,TrAvia_ene!P6/(P12*TrAvia_act!P14))</f>
        <v>2.2307680196549075E-2</v>
      </c>
      <c r="Q24" s="23">
        <f>IF(TrAvia_ene!Q6=0,0,TrAvia_ene!Q6/(Q12*TrAvia_act!Q14))</f>
        <v>2.281884467712935E-2</v>
      </c>
      <c r="R24" s="23">
        <f>IF(TrAvia_ene!R6=0,0,TrAvia_ene!R6/(R12*TrAvia_act!R14))</f>
        <v>2.2296031853428194E-2</v>
      </c>
      <c r="S24" s="23">
        <f>IF(TrAvia_ene!S6=0,0,TrAvia_ene!S6/(S12*TrAvia_act!S14))</f>
        <v>2.2400860547664957E-2</v>
      </c>
      <c r="T24" s="23">
        <f>IF(TrAvia_ene!T6=0,0,TrAvia_ene!T6/(T12*TrAvia_act!T14))</f>
        <v>2.1687447430002907E-2</v>
      </c>
      <c r="U24" s="23">
        <f>IF(TrAvia_ene!U6=0,0,TrAvia_ene!U6/(U12*TrAvia_act!U14))</f>
        <v>2.0922053238778941E-2</v>
      </c>
      <c r="V24" s="23">
        <f>IF(TrAvia_ene!V6=0,0,TrAvia_ene!V6/(V12*TrAvia_act!V14))</f>
        <v>2.2523238792802963E-2</v>
      </c>
      <c r="W24" s="23">
        <f>IF(TrAvia_ene!W6=0,0,TrAvia_ene!W6/(W12*TrAvia_act!W14))</f>
        <v>1.9927421661103308E-2</v>
      </c>
      <c r="X24" s="23">
        <f>IF(TrAvia_ene!X6=0,0,TrAvia_ene!X6/(X12*TrAvia_act!X14))</f>
        <v>2.1030078539130036E-2</v>
      </c>
      <c r="Y24" s="23">
        <f>IF(TrAvia_ene!Y6=0,0,TrAvia_ene!Y6/(Y12*TrAvia_act!Y14))</f>
        <v>2.0137470903395047E-2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2.4526982219823738E-2</v>
      </c>
      <c r="C26" s="93">
        <f>IF(TrAvia_ene!C8=0,0,TrAvia_ene!C8/(C14*TrAvia_act!C16))</f>
        <v>2.478594259604338E-2</v>
      </c>
      <c r="D26" s="93">
        <f>IF(TrAvia_ene!D8=0,0,TrAvia_ene!D8/(D14*TrAvia_act!D16))</f>
        <v>2.9624260996215412E-2</v>
      </c>
      <c r="E26" s="93">
        <f>IF(TrAvia_ene!E8=0,0,TrAvia_ene!E8/(E14*TrAvia_act!E16))</f>
        <v>2.9655473183861504E-2</v>
      </c>
      <c r="F26" s="93">
        <f>IF(TrAvia_ene!F8=0,0,TrAvia_ene!F8/(F14*TrAvia_act!F16))</f>
        <v>2.8640055142200048E-2</v>
      </c>
      <c r="G26" s="93">
        <f>IF(TrAvia_ene!G8=0,0,TrAvia_ene!G8/(G14*TrAvia_act!G16))</f>
        <v>2.5669687460221378E-2</v>
      </c>
      <c r="H26" s="93">
        <f>IF(TrAvia_ene!H8=0,0,TrAvia_ene!H8/(H14*TrAvia_act!H16))</f>
        <v>2.6515575225111637E-2</v>
      </c>
      <c r="I26" s="93">
        <f>IF(TrAvia_ene!I8=0,0,TrAvia_ene!I8/(I14*TrAvia_act!I16))</f>
        <v>2.5665244532636338E-2</v>
      </c>
      <c r="J26" s="93">
        <f>IF(TrAvia_ene!J8=0,0,TrAvia_ene!J8/(J14*TrAvia_act!J16))</f>
        <v>2.4565379914964502E-2</v>
      </c>
      <c r="K26" s="93">
        <f>IF(TrAvia_ene!K8=0,0,TrAvia_ene!K8/(K14*TrAvia_act!K16))</f>
        <v>2.3868920957584857E-2</v>
      </c>
      <c r="L26" s="93">
        <f>IF(TrAvia_ene!L8=0,0,TrAvia_ene!L8/(L14*TrAvia_act!L16))</f>
        <v>2.453288139070409E-2</v>
      </c>
      <c r="M26" s="93">
        <f>IF(TrAvia_ene!M8=0,0,TrAvia_ene!M8/(M14*TrAvia_act!M16))</f>
        <v>2.7144947271883577E-2</v>
      </c>
      <c r="N26" s="93">
        <f>IF(TrAvia_ene!N8=0,0,TrAvia_ene!N8/(N14*TrAvia_act!N16))</f>
        <v>2.5392777677466526E-2</v>
      </c>
      <c r="O26" s="93">
        <f>IF(TrAvia_ene!O8=0,0,TrAvia_ene!O8/(O14*TrAvia_act!O16))</f>
        <v>2.5443480539270213E-2</v>
      </c>
      <c r="P26" s="93">
        <f>IF(TrAvia_ene!P8=0,0,TrAvia_ene!P8/(P14*TrAvia_act!P16))</f>
        <v>2.5383515424557333E-2</v>
      </c>
      <c r="Q26" s="93">
        <f>IF(TrAvia_ene!Q8=0,0,TrAvia_ene!Q8/(Q14*TrAvia_act!Q16))</f>
        <v>2.48565522339948E-2</v>
      </c>
      <c r="R26" s="93">
        <f>IF(TrAvia_ene!R8=0,0,TrAvia_ene!R8/(R14*TrAvia_act!R16))</f>
        <v>2.5723020261228791E-2</v>
      </c>
      <c r="S26" s="93">
        <f>IF(TrAvia_ene!S8=0,0,TrAvia_ene!S8/(S14*TrAvia_act!S16))</f>
        <v>2.5435570316147876E-2</v>
      </c>
      <c r="T26" s="93">
        <f>IF(TrAvia_ene!T8=0,0,TrAvia_ene!T8/(T14*TrAvia_act!T16))</f>
        <v>2.4698599661064715E-2</v>
      </c>
      <c r="U26" s="93">
        <f>IF(TrAvia_ene!U8=0,0,TrAvia_ene!U8/(U14*TrAvia_act!U16))</f>
        <v>2.3779348017915796E-2</v>
      </c>
      <c r="V26" s="93">
        <f>IF(TrAvia_ene!V8=0,0,TrAvia_ene!V8/(V14*TrAvia_act!V16))</f>
        <v>1.9997229214070857E-2</v>
      </c>
      <c r="W26" s="93">
        <f>IF(TrAvia_ene!W8=0,0,TrAvia_ene!W8/(W14*TrAvia_act!W16))</f>
        <v>2.3389611468858981E-2</v>
      </c>
      <c r="X26" s="93">
        <f>IF(TrAvia_ene!X8=0,0,TrAvia_ene!X8/(X14*TrAvia_act!X16))</f>
        <v>1.9556801809953075E-2</v>
      </c>
      <c r="Y26" s="93">
        <f>IF(TrAvia_ene!Y8=0,0,TrAvia_ene!Y8/(Y14*TrAvia_act!Y16))</f>
        <v>1.9125490622318997E-2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3.4573685864290521E-2</v>
      </c>
      <c r="C27" s="94">
        <f>IF(TrAvia_ene!C9=0,0,TrAvia_ene!C9/(C15*TrAvia_act!C17))</f>
        <v>3.4585350837818239E-2</v>
      </c>
      <c r="D27" s="94">
        <f>IF(TrAvia_ene!D9=0,0,TrAvia_ene!D9/(D15*TrAvia_act!D17))</f>
        <v>3.8185420342849129E-2</v>
      </c>
      <c r="E27" s="94">
        <f>IF(TrAvia_ene!E9=0,0,TrAvia_ene!E9/(E15*TrAvia_act!E17))</f>
        <v>3.7662503988332902E-2</v>
      </c>
      <c r="F27" s="94">
        <f>IF(TrAvia_ene!F9=0,0,TrAvia_ene!F9/(F15*TrAvia_act!F17))</f>
        <v>5.1728354596649935E-2</v>
      </c>
      <c r="G27" s="94">
        <f>IF(TrAvia_ene!G9=0,0,TrAvia_ene!G9/(G15*TrAvia_act!G17))</f>
        <v>3.6306342367382186E-2</v>
      </c>
      <c r="H27" s="94">
        <f>IF(TrAvia_ene!H9=0,0,TrAvia_ene!H9/(H15*TrAvia_act!H17))</f>
        <v>3.2612232160950508E-2</v>
      </c>
      <c r="I27" s="94">
        <f>IF(TrAvia_ene!I9=0,0,TrAvia_ene!I9/(I15*TrAvia_act!I17))</f>
        <v>2.9415439145522103E-2</v>
      </c>
      <c r="J27" s="94">
        <f>IF(TrAvia_ene!J9=0,0,TrAvia_ene!J9/(J15*TrAvia_act!J17))</f>
        <v>2.6042348935518215E-2</v>
      </c>
      <c r="K27" s="94">
        <f>IF(TrAvia_ene!K9=0,0,TrAvia_ene!K9/(K15*TrAvia_act!K17))</f>
        <v>2.8071957910377591E-2</v>
      </c>
      <c r="L27" s="94">
        <f>IF(TrAvia_ene!L9=0,0,TrAvia_ene!L9/(L15*TrAvia_act!L17))</f>
        <v>2.5832862047358251E-2</v>
      </c>
      <c r="M27" s="94">
        <f>IF(TrAvia_ene!M9=0,0,TrAvia_ene!M9/(M15*TrAvia_act!M17))</f>
        <v>2.4434837192261284E-2</v>
      </c>
      <c r="N27" s="94">
        <f>IF(TrAvia_ene!N9=0,0,TrAvia_ene!N9/(N15*TrAvia_act!N17))</f>
        <v>2.0535227148158357E-2</v>
      </c>
      <c r="O27" s="94">
        <f>IF(TrAvia_ene!O9=0,0,TrAvia_ene!O9/(O15*TrAvia_act!O17))</f>
        <v>1.5847573878994548E-2</v>
      </c>
      <c r="P27" s="94">
        <f>IF(TrAvia_ene!P9=0,0,TrAvia_ene!P9/(P15*TrAvia_act!P17))</f>
        <v>1.3357681280021396E-2</v>
      </c>
      <c r="Q27" s="94">
        <f>IF(TrAvia_ene!Q9=0,0,TrAvia_ene!Q9/(Q15*TrAvia_act!Q17))</f>
        <v>1.534855665319714E-2</v>
      </c>
      <c r="R27" s="94">
        <f>IF(TrAvia_ene!R9=0,0,TrAvia_ene!R9/(R15*TrAvia_act!R17))</f>
        <v>1.200012038112519E-2</v>
      </c>
      <c r="S27" s="94">
        <f>IF(TrAvia_ene!S9=0,0,TrAvia_ene!S9/(S15*TrAvia_act!S17))</f>
        <v>1.2344110618117908E-2</v>
      </c>
      <c r="T27" s="94">
        <f>IF(TrAvia_ene!T9=0,0,TrAvia_ene!T9/(T15*TrAvia_act!T17))</f>
        <v>1.2076166251219879E-2</v>
      </c>
      <c r="U27" s="94">
        <f>IF(TrAvia_ene!U9=0,0,TrAvia_ene!U9/(U15*TrAvia_act!U17))</f>
        <v>1.1928080261408795E-2</v>
      </c>
      <c r="V27" s="94">
        <f>IF(TrAvia_ene!V9=0,0,TrAvia_ene!V9/(V15*TrAvia_act!V17))</f>
        <v>3.5023821271912906E-2</v>
      </c>
      <c r="W27" s="94">
        <f>IF(TrAvia_ene!W9=0,0,TrAvia_ene!W9/(W15*TrAvia_act!W17))</f>
        <v>1.2735761693363124E-2</v>
      </c>
      <c r="X27" s="94">
        <f>IF(TrAvia_ene!X9=0,0,TrAvia_ene!X9/(X15*TrAvia_act!X17))</f>
        <v>3.6148409145010017E-2</v>
      </c>
      <c r="Y27" s="94">
        <f>IF(TrAvia_ene!Y9=0,0,TrAvia_ene!Y9/(Y15*TrAvia_act!Y17))</f>
        <v>2.6166895645107473E-2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0</v>
      </c>
      <c r="J3" s="54">
        <f t="shared" si="0"/>
        <v>0</v>
      </c>
      <c r="K3" s="54">
        <f t="shared" si="0"/>
        <v>0</v>
      </c>
      <c r="L3" s="54">
        <f t="shared" si="0"/>
        <v>0</v>
      </c>
      <c r="M3" s="54">
        <f t="shared" si="0"/>
        <v>0</v>
      </c>
      <c r="N3" s="54">
        <f t="shared" si="0"/>
        <v>0</v>
      </c>
      <c r="O3" s="54">
        <f t="shared" si="0"/>
        <v>0</v>
      </c>
      <c r="P3" s="54">
        <f t="shared" si="0"/>
        <v>0</v>
      </c>
      <c r="Q3" s="54">
        <f t="shared" si="0"/>
        <v>0</v>
      </c>
      <c r="R3" s="54">
        <f t="shared" ref="R3:V3" si="1">SUM(R4:R5)</f>
        <v>0</v>
      </c>
      <c r="S3" s="54">
        <f t="shared" si="1"/>
        <v>9.2010000000000005</v>
      </c>
      <c r="T3" s="54">
        <f t="shared" si="1"/>
        <v>9.6850000000000005</v>
      </c>
      <c r="U3" s="54">
        <f t="shared" si="1"/>
        <v>12.295999999999999</v>
      </c>
      <c r="V3" s="54">
        <f t="shared" si="1"/>
        <v>5.8979999999999997</v>
      </c>
      <c r="W3" s="54">
        <f t="shared" ref="W3:Y3" si="2">SUM(W4:W5)</f>
        <v>12.448</v>
      </c>
      <c r="X3" s="54">
        <f t="shared" si="2"/>
        <v>19.895</v>
      </c>
      <c r="Y3" s="54">
        <f t="shared" si="2"/>
        <v>24.87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9.2010000000000005</v>
      </c>
      <c r="T4" s="56">
        <v>9.6850000000000005</v>
      </c>
      <c r="U4" s="56">
        <v>12.295999999999999</v>
      </c>
      <c r="V4" s="56">
        <v>5.8979999999999997</v>
      </c>
      <c r="W4" s="56">
        <v>12.448</v>
      </c>
      <c r="X4" s="56">
        <v>19.895</v>
      </c>
      <c r="Y4" s="56">
        <v>24.87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0</v>
      </c>
      <c r="C7" s="59">
        <f t="shared" si="3"/>
        <v>0</v>
      </c>
      <c r="D7" s="59">
        <f t="shared" si="3"/>
        <v>0</v>
      </c>
      <c r="E7" s="59">
        <f t="shared" si="3"/>
        <v>0</v>
      </c>
      <c r="F7" s="59">
        <f t="shared" si="3"/>
        <v>0</v>
      </c>
      <c r="G7" s="59">
        <f t="shared" si="3"/>
        <v>0</v>
      </c>
      <c r="H7" s="59">
        <f t="shared" si="3"/>
        <v>0</v>
      </c>
      <c r="I7" s="59">
        <f t="shared" si="3"/>
        <v>0</v>
      </c>
      <c r="J7" s="59">
        <f t="shared" si="3"/>
        <v>0</v>
      </c>
      <c r="K7" s="59">
        <f t="shared" si="3"/>
        <v>0</v>
      </c>
      <c r="L7" s="59">
        <f t="shared" si="3"/>
        <v>0</v>
      </c>
      <c r="M7" s="59">
        <f t="shared" si="3"/>
        <v>0</v>
      </c>
      <c r="N7" s="59">
        <f t="shared" si="3"/>
        <v>0</v>
      </c>
      <c r="O7" s="59">
        <f t="shared" si="3"/>
        <v>0</v>
      </c>
      <c r="P7" s="59">
        <f t="shared" si="3"/>
        <v>0</v>
      </c>
      <c r="Q7" s="59">
        <f t="shared" si="3"/>
        <v>0</v>
      </c>
      <c r="R7" s="59">
        <f t="shared" ref="R7:V7" si="4">SUM(R8:R9)</f>
        <v>0</v>
      </c>
      <c r="S7" s="59">
        <f t="shared" si="4"/>
        <v>1.2E-2</v>
      </c>
      <c r="T7" s="59">
        <f t="shared" si="4"/>
        <v>1.2999999999999999E-2</v>
      </c>
      <c r="U7" s="59">
        <f t="shared" si="4"/>
        <v>1.6E-2</v>
      </c>
      <c r="V7" s="59">
        <f t="shared" si="4"/>
        <v>8.0000000000000002E-3</v>
      </c>
      <c r="W7" s="59">
        <f t="shared" ref="W7:Y7" si="5">SUM(W8:W9)</f>
        <v>1.6E-2</v>
      </c>
      <c r="X7" s="59">
        <f t="shared" si="5"/>
        <v>2.5000000000000001E-2</v>
      </c>
      <c r="Y7" s="59">
        <f t="shared" si="5"/>
        <v>3.1E-2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1.2E-2</v>
      </c>
      <c r="T8" s="60">
        <v>1.2999999999999999E-2</v>
      </c>
      <c r="U8" s="60">
        <v>1.6E-2</v>
      </c>
      <c r="V8" s="60">
        <v>8.0000000000000002E-3</v>
      </c>
      <c r="W8" s="60">
        <v>1.6E-2</v>
      </c>
      <c r="X8" s="60">
        <v>2.5000000000000001E-2</v>
      </c>
      <c r="Y8" s="60">
        <v>3.1E-2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0</v>
      </c>
      <c r="C13" s="62">
        <f t="shared" si="6"/>
        <v>0</v>
      </c>
      <c r="D13" s="62">
        <f t="shared" si="6"/>
        <v>0</v>
      </c>
      <c r="E13" s="62">
        <f t="shared" si="6"/>
        <v>0</v>
      </c>
      <c r="F13" s="62">
        <f t="shared" ref="F13:V13" si="7">IF(F3=0,0,F3/F7)</f>
        <v>0</v>
      </c>
      <c r="G13" s="62">
        <f t="shared" si="7"/>
        <v>0</v>
      </c>
      <c r="H13" s="62">
        <f t="shared" si="7"/>
        <v>0</v>
      </c>
      <c r="I13" s="62">
        <f t="shared" si="7"/>
        <v>0</v>
      </c>
      <c r="J13" s="62">
        <f t="shared" si="7"/>
        <v>0</v>
      </c>
      <c r="K13" s="62">
        <f t="shared" si="7"/>
        <v>0</v>
      </c>
      <c r="L13" s="62">
        <f t="shared" si="7"/>
        <v>0</v>
      </c>
      <c r="M13" s="62">
        <f t="shared" si="7"/>
        <v>0</v>
      </c>
      <c r="N13" s="62">
        <f t="shared" si="7"/>
        <v>0</v>
      </c>
      <c r="O13" s="62">
        <f t="shared" si="7"/>
        <v>0</v>
      </c>
      <c r="P13" s="62">
        <f t="shared" si="7"/>
        <v>0</v>
      </c>
      <c r="Q13" s="62">
        <f t="shared" si="7"/>
        <v>0</v>
      </c>
      <c r="R13" s="62">
        <f t="shared" si="7"/>
        <v>0</v>
      </c>
      <c r="S13" s="62">
        <f t="shared" si="7"/>
        <v>766.75</v>
      </c>
      <c r="T13" s="62">
        <f t="shared" si="7"/>
        <v>745.00000000000011</v>
      </c>
      <c r="U13" s="62">
        <f t="shared" si="7"/>
        <v>768.5</v>
      </c>
      <c r="V13" s="62">
        <f t="shared" si="7"/>
        <v>737.25</v>
      </c>
      <c r="W13" s="62">
        <f t="shared" ref="W13:Y13" si="8">IF(W3=0,0,W3/W7)</f>
        <v>778</v>
      </c>
      <c r="X13" s="62">
        <f t="shared" si="8"/>
        <v>795.8</v>
      </c>
      <c r="Y13" s="62">
        <f t="shared" si="8"/>
        <v>802.25806451612902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766.75</v>
      </c>
      <c r="T14" s="63">
        <f t="shared" si="9"/>
        <v>745.00000000000011</v>
      </c>
      <c r="U14" s="63">
        <f t="shared" si="9"/>
        <v>768.5</v>
      </c>
      <c r="V14" s="63">
        <f t="shared" si="9"/>
        <v>737.25</v>
      </c>
      <c r="W14" s="63">
        <f t="shared" ref="W14:Y14" si="10">IF(W4=0,0,W4/W8)</f>
        <v>778</v>
      </c>
      <c r="X14" s="63">
        <f t="shared" si="10"/>
        <v>795.8</v>
      </c>
      <c r="Y14" s="63">
        <f t="shared" si="10"/>
        <v>802.25806451612902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0</v>
      </c>
      <c r="C17" s="65">
        <f t="shared" si="13"/>
        <v>0</v>
      </c>
      <c r="D17" s="65">
        <f t="shared" si="13"/>
        <v>0</v>
      </c>
      <c r="E17" s="65">
        <f t="shared" si="13"/>
        <v>0</v>
      </c>
      <c r="F17" s="65">
        <f t="shared" ref="F17:V17" si="14">IF(F3=0,0,F3/F$3)</f>
        <v>0</v>
      </c>
      <c r="G17" s="65">
        <f t="shared" si="14"/>
        <v>0</v>
      </c>
      <c r="H17" s="65">
        <f t="shared" si="14"/>
        <v>0</v>
      </c>
      <c r="I17" s="65">
        <f t="shared" si="14"/>
        <v>0</v>
      </c>
      <c r="J17" s="65">
        <f t="shared" si="14"/>
        <v>0</v>
      </c>
      <c r="K17" s="65">
        <f t="shared" si="14"/>
        <v>0</v>
      </c>
      <c r="L17" s="65">
        <f t="shared" si="14"/>
        <v>0</v>
      </c>
      <c r="M17" s="65">
        <f t="shared" si="14"/>
        <v>0</v>
      </c>
      <c r="N17" s="65">
        <f t="shared" si="14"/>
        <v>0</v>
      </c>
      <c r="O17" s="65">
        <f t="shared" si="14"/>
        <v>0</v>
      </c>
      <c r="P17" s="65">
        <f t="shared" si="14"/>
        <v>0</v>
      </c>
      <c r="Q17" s="65">
        <f t="shared" si="14"/>
        <v>0</v>
      </c>
      <c r="R17" s="65">
        <f t="shared" si="14"/>
        <v>0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0</v>
      </c>
      <c r="C21" s="65">
        <f t="shared" si="22"/>
        <v>0</v>
      </c>
      <c r="D21" s="65">
        <f t="shared" si="22"/>
        <v>0</v>
      </c>
      <c r="E21" s="65">
        <f t="shared" si="22"/>
        <v>0</v>
      </c>
      <c r="F21" s="65">
        <f t="shared" ref="F21:V21" si="23">IF(F7=0,0,F7/F$7)</f>
        <v>0</v>
      </c>
      <c r="G21" s="65">
        <f t="shared" si="23"/>
        <v>0</v>
      </c>
      <c r="H21" s="65">
        <f t="shared" si="23"/>
        <v>0</v>
      </c>
      <c r="I21" s="65">
        <f t="shared" si="23"/>
        <v>0</v>
      </c>
      <c r="J21" s="65">
        <f t="shared" si="23"/>
        <v>0</v>
      </c>
      <c r="K21" s="65">
        <f t="shared" si="23"/>
        <v>0</v>
      </c>
      <c r="L21" s="65">
        <f t="shared" si="23"/>
        <v>0</v>
      </c>
      <c r="M21" s="65">
        <f t="shared" si="23"/>
        <v>0</v>
      </c>
      <c r="N21" s="65">
        <f t="shared" si="23"/>
        <v>0</v>
      </c>
      <c r="O21" s="65">
        <f t="shared" si="23"/>
        <v>0</v>
      </c>
      <c r="P21" s="65">
        <f t="shared" si="23"/>
        <v>0</v>
      </c>
      <c r="Q21" s="65">
        <f t="shared" si="23"/>
        <v>0</v>
      </c>
      <c r="R21" s="65">
        <f t="shared" si="23"/>
        <v>0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0</v>
      </c>
      <c r="C3" s="62">
        <f t="shared" ref="C3:V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0</v>
      </c>
      <c r="J3" s="62">
        <f t="shared" si="0"/>
        <v>0</v>
      </c>
      <c r="K3" s="62">
        <f t="shared" si="0"/>
        <v>0</v>
      </c>
      <c r="L3" s="62">
        <f t="shared" si="0"/>
        <v>0</v>
      </c>
      <c r="M3" s="62">
        <f t="shared" si="0"/>
        <v>0</v>
      </c>
      <c r="N3" s="62">
        <f t="shared" si="0"/>
        <v>0</v>
      </c>
      <c r="O3" s="62">
        <f t="shared" si="0"/>
        <v>0</v>
      </c>
      <c r="P3" s="62">
        <f t="shared" si="0"/>
        <v>0</v>
      </c>
      <c r="Q3" s="62">
        <f t="shared" si="0"/>
        <v>0</v>
      </c>
      <c r="R3" s="62">
        <f t="shared" si="0"/>
        <v>0</v>
      </c>
      <c r="S3" s="62">
        <f t="shared" si="0"/>
        <v>0.66053310404127252</v>
      </c>
      <c r="T3" s="62">
        <f t="shared" si="0"/>
        <v>0.68916595012897675</v>
      </c>
      <c r="U3" s="62">
        <f t="shared" si="0"/>
        <v>0.89845227858985377</v>
      </c>
      <c r="V3" s="62">
        <f t="shared" si="0"/>
        <v>0.3971625107480653</v>
      </c>
      <c r="W3" s="62">
        <f t="shared" ref="W3:Y3" si="1">SUM(W4,W10)</f>
        <v>0.91083404987102301</v>
      </c>
      <c r="X3" s="62">
        <f t="shared" si="1"/>
        <v>1.5336199484092865</v>
      </c>
      <c r="Y3" s="62">
        <f t="shared" si="1"/>
        <v>1.9652622527944972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0.66053310404127252</v>
      </c>
      <c r="T4" s="71">
        <f t="shared" si="2"/>
        <v>0.68916595012897675</v>
      </c>
      <c r="U4" s="71">
        <f t="shared" si="2"/>
        <v>0.89845227858985377</v>
      </c>
      <c r="V4" s="71">
        <f t="shared" si="2"/>
        <v>0.3971625107480653</v>
      </c>
      <c r="W4" s="71">
        <f t="shared" ref="W4:Y4" si="3">SUM(W5:W9)</f>
        <v>0.91083404987102301</v>
      </c>
      <c r="X4" s="71">
        <f t="shared" si="3"/>
        <v>1.5336199484092865</v>
      </c>
      <c r="Y4" s="71">
        <f t="shared" si="3"/>
        <v>1.9652622527944972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0.66053310404127252</v>
      </c>
      <c r="T5" s="73">
        <v>0.68916595012897675</v>
      </c>
      <c r="U5" s="73">
        <v>0.89845227858985377</v>
      </c>
      <c r="V5" s="73">
        <v>0.3671539122957867</v>
      </c>
      <c r="W5" s="73">
        <v>0.84453998280309528</v>
      </c>
      <c r="X5" s="73">
        <v>1.423129836629407</v>
      </c>
      <c r="Y5" s="73">
        <v>1.863628546861565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3.000859845227859E-2</v>
      </c>
      <c r="W7" s="73">
        <v>6.6294067067927773E-2</v>
      </c>
      <c r="X7" s="73">
        <v>0.11049011177987959</v>
      </c>
      <c r="Y7" s="73">
        <v>0.1016337059329321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0</v>
      </c>
      <c r="C19" s="62">
        <f>IF(C3=0,0,C3/TrNavi_act!C7*100)</f>
        <v>0</v>
      </c>
      <c r="D19" s="62">
        <f>IF(D3=0,0,D3/TrNavi_act!D7*100)</f>
        <v>0</v>
      </c>
      <c r="E19" s="62">
        <f>IF(E3=0,0,E3/TrNavi_act!E7*100)</f>
        <v>0</v>
      </c>
      <c r="F19" s="62">
        <f>IF(F3=0,0,F3/TrNavi_act!F7*100)</f>
        <v>0</v>
      </c>
      <c r="G19" s="62">
        <f>IF(G3=0,0,G3/TrNavi_act!G7*100)</f>
        <v>0</v>
      </c>
      <c r="H19" s="62">
        <f>IF(H3=0,0,H3/TrNavi_act!H7*100)</f>
        <v>0</v>
      </c>
      <c r="I19" s="62">
        <f>IF(I3=0,0,I3/TrNavi_act!I7*100)</f>
        <v>0</v>
      </c>
      <c r="J19" s="62">
        <f>IF(J3=0,0,J3/TrNavi_act!J7*100)</f>
        <v>0</v>
      </c>
      <c r="K19" s="62">
        <f>IF(K3=0,0,K3/TrNavi_act!K7*100)</f>
        <v>0</v>
      </c>
      <c r="L19" s="62">
        <f>IF(L3=0,0,L3/TrNavi_act!L7*100)</f>
        <v>0</v>
      </c>
      <c r="M19" s="62">
        <f>IF(M3=0,0,M3/TrNavi_act!M7*100)</f>
        <v>0</v>
      </c>
      <c r="N19" s="62">
        <f>IF(N3=0,0,N3/TrNavi_act!N7*100)</f>
        <v>0</v>
      </c>
      <c r="O19" s="62">
        <f>IF(O3=0,0,O3/TrNavi_act!O7*100)</f>
        <v>0</v>
      </c>
      <c r="P19" s="62">
        <f>IF(P3=0,0,P3/TrNavi_act!P7*100)</f>
        <v>0</v>
      </c>
      <c r="Q19" s="62">
        <f>IF(Q3=0,0,Q3/TrNavi_act!Q7*100)</f>
        <v>0</v>
      </c>
      <c r="R19" s="62">
        <f>IF(R3=0,0,R3/TrNavi_act!R7*100)</f>
        <v>0</v>
      </c>
      <c r="S19" s="62">
        <f>IF(S3=0,0,S3/TrNavi_act!S7*100)</f>
        <v>5504.4425336772711</v>
      </c>
      <c r="T19" s="62">
        <f>IF(T3=0,0,T3/TrNavi_act!T7*100)</f>
        <v>5301.2765394536673</v>
      </c>
      <c r="U19" s="62">
        <f>IF(U3=0,0,U3/TrNavi_act!U7*100)</f>
        <v>5615.3267411865863</v>
      </c>
      <c r="V19" s="62">
        <f>IF(V3=0,0,V3/TrNavi_act!V7*100)</f>
        <v>4964.5313843508166</v>
      </c>
      <c r="W19" s="62">
        <f>IF(W3=0,0,W3/TrNavi_act!W7*100)</f>
        <v>5692.7128116938939</v>
      </c>
      <c r="X19" s="62">
        <f>IF(X3=0,0,X3/TrNavi_act!X7*100)</f>
        <v>6134.479793637146</v>
      </c>
      <c r="Y19" s="62">
        <f>IF(Y3=0,0,Y3/TrNavi_act!Y7*100)</f>
        <v>6339.5556541757978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5504.4425336772711</v>
      </c>
      <c r="T20" s="63">
        <f>IF(T4=0,0,T4/TrNavi_act!T8*100)</f>
        <v>5301.2765394536673</v>
      </c>
      <c r="U20" s="63">
        <f>IF(U4=0,0,U4/TrNavi_act!U8*100)</f>
        <v>5615.3267411865863</v>
      </c>
      <c r="V20" s="63">
        <f>IF(V4=0,0,V4/TrNavi_act!V8*100)</f>
        <v>4964.5313843508166</v>
      </c>
      <c r="W20" s="63">
        <f>IF(W4=0,0,W4/TrNavi_act!W8*100)</f>
        <v>5692.7128116938939</v>
      </c>
      <c r="X20" s="63">
        <f>IF(X4=0,0,X4/TrNavi_act!X8*100)</f>
        <v>6134.479793637146</v>
      </c>
      <c r="Y20" s="63">
        <f>IF(Y4=0,0,Y4/TrNavi_act!Y8*100)</f>
        <v>6339.5556541757978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0</v>
      </c>
      <c r="C23" s="62">
        <f>IF(C3=0,0,C3/TrNavi_act!C3*1000)</f>
        <v>0</v>
      </c>
      <c r="D23" s="62">
        <f>IF(D3=0,0,D3/TrNavi_act!D3*1000)</f>
        <v>0</v>
      </c>
      <c r="E23" s="62">
        <f>IF(E3=0,0,E3/TrNavi_act!E3*1000)</f>
        <v>0</v>
      </c>
      <c r="F23" s="62">
        <f>IF(F3=0,0,F3/TrNavi_act!F3*1000)</f>
        <v>0</v>
      </c>
      <c r="G23" s="62">
        <f>IF(G3=0,0,G3/TrNavi_act!G3*1000)</f>
        <v>0</v>
      </c>
      <c r="H23" s="62">
        <f>IF(H3=0,0,H3/TrNavi_act!H3*1000)</f>
        <v>0</v>
      </c>
      <c r="I23" s="62">
        <f>IF(I3=0,0,I3/TrNavi_act!I3*1000)</f>
        <v>0</v>
      </c>
      <c r="J23" s="62">
        <f>IF(J3=0,0,J3/TrNavi_act!J3*1000)</f>
        <v>0</v>
      </c>
      <c r="K23" s="62">
        <f>IF(K3=0,0,K3/TrNavi_act!K3*1000)</f>
        <v>0</v>
      </c>
      <c r="L23" s="62">
        <f>IF(L3=0,0,L3/TrNavi_act!L3*1000)</f>
        <v>0</v>
      </c>
      <c r="M23" s="62">
        <f>IF(M3=0,0,M3/TrNavi_act!M3*1000)</f>
        <v>0</v>
      </c>
      <c r="N23" s="62">
        <f>IF(N3=0,0,N3/TrNavi_act!N3*1000)</f>
        <v>0</v>
      </c>
      <c r="O23" s="62">
        <f>IF(O3=0,0,O3/TrNavi_act!O3*1000)</f>
        <v>0</v>
      </c>
      <c r="P23" s="62">
        <f>IF(P3=0,0,P3/TrNavi_act!P3*1000)</f>
        <v>0</v>
      </c>
      <c r="Q23" s="62">
        <f>IF(Q3=0,0,Q3/TrNavi_act!Q3*1000)</f>
        <v>0</v>
      </c>
      <c r="R23" s="62">
        <f>IF(R3=0,0,R3/TrNavi_act!R3*1000)</f>
        <v>0</v>
      </c>
      <c r="S23" s="62">
        <f>IF(S3=0,0,S3/TrNavi_act!S3*1000)</f>
        <v>71.789273344340018</v>
      </c>
      <c r="T23" s="62">
        <f>IF(T3=0,0,T3/TrNavi_act!T3*1000)</f>
        <v>71.158074355082789</v>
      </c>
      <c r="U23" s="62">
        <f>IF(U3=0,0,U3/TrNavi_act!U3*1000)</f>
        <v>73.068662865147516</v>
      </c>
      <c r="V23" s="62">
        <f>IF(V3=0,0,V3/TrNavi_act!V3*1000)</f>
        <v>67.338506400146713</v>
      </c>
      <c r="W23" s="62">
        <f>IF(W3=0,0,W3/TrNavi_act!W3*1000)</f>
        <v>73.171115831541059</v>
      </c>
      <c r="X23" s="62">
        <f>IF(X3=0,0,X3/TrNavi_act!X3*1000)</f>
        <v>77.085697331454469</v>
      </c>
      <c r="Y23" s="62">
        <f>IF(Y3=0,0,Y3/TrNavi_act!Y3*1000)</f>
        <v>79.02140139905498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71.789273344340018</v>
      </c>
      <c r="T24" s="63">
        <f>IF(T4=0,0,T4/TrNavi_act!T4*1000)</f>
        <v>71.158074355082789</v>
      </c>
      <c r="U24" s="63">
        <f>IF(U4=0,0,U4/TrNavi_act!U4*1000)</f>
        <v>73.068662865147516</v>
      </c>
      <c r="V24" s="63">
        <f>IF(V4=0,0,V4/TrNavi_act!V4*1000)</f>
        <v>67.338506400146713</v>
      </c>
      <c r="W24" s="63">
        <f>IF(W4=0,0,W4/TrNavi_act!W4*1000)</f>
        <v>73.171115831541059</v>
      </c>
      <c r="X24" s="63">
        <f>IF(X4=0,0,X4/TrNavi_act!X4*1000)</f>
        <v>77.085697331454469</v>
      </c>
      <c r="Y24" s="63">
        <f>IF(Y4=0,0,Y4/TrNavi_act!Y4*1000)</f>
        <v>79.02140139905498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0</v>
      </c>
      <c r="C27" s="76">
        <f t="shared" si="6"/>
        <v>0</v>
      </c>
      <c r="D27" s="76">
        <f t="shared" si="6"/>
        <v>0</v>
      </c>
      <c r="E27" s="76">
        <f t="shared" si="6"/>
        <v>0</v>
      </c>
      <c r="F27" s="76">
        <f t="shared" si="6"/>
        <v>0</v>
      </c>
      <c r="G27" s="76">
        <f t="shared" si="6"/>
        <v>0</v>
      </c>
      <c r="H27" s="76">
        <f t="shared" si="6"/>
        <v>0</v>
      </c>
      <c r="I27" s="76">
        <f t="shared" si="6"/>
        <v>0</v>
      </c>
      <c r="J27" s="76">
        <f t="shared" si="6"/>
        <v>0</v>
      </c>
      <c r="K27" s="76">
        <f t="shared" si="6"/>
        <v>0</v>
      </c>
      <c r="L27" s="76">
        <f t="shared" si="6"/>
        <v>0</v>
      </c>
      <c r="M27" s="76">
        <f t="shared" si="6"/>
        <v>0</v>
      </c>
      <c r="N27" s="76">
        <f t="shared" si="6"/>
        <v>0</v>
      </c>
      <c r="O27" s="76">
        <f t="shared" si="6"/>
        <v>0</v>
      </c>
      <c r="P27" s="76">
        <f t="shared" si="6"/>
        <v>0</v>
      </c>
      <c r="Q27" s="76">
        <f t="shared" si="6"/>
        <v>0</v>
      </c>
      <c r="R27" s="76">
        <f t="shared" si="6"/>
        <v>0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0</v>
      </c>
      <c r="C28" s="77">
        <f t="shared" si="9"/>
        <v>0</v>
      </c>
      <c r="D28" s="77">
        <f t="shared" si="9"/>
        <v>0</v>
      </c>
      <c r="E28" s="77">
        <f t="shared" si="9"/>
        <v>0</v>
      </c>
      <c r="F28" s="77">
        <f t="shared" si="9"/>
        <v>0</v>
      </c>
      <c r="G28" s="77">
        <f t="shared" si="9"/>
        <v>0</v>
      </c>
      <c r="H28" s="77">
        <f t="shared" si="9"/>
        <v>0</v>
      </c>
      <c r="I28" s="77">
        <f t="shared" si="9"/>
        <v>0</v>
      </c>
      <c r="J28" s="77">
        <f t="shared" si="9"/>
        <v>0</v>
      </c>
      <c r="K28" s="77">
        <f t="shared" si="9"/>
        <v>0</v>
      </c>
      <c r="L28" s="77">
        <f t="shared" si="9"/>
        <v>0</v>
      </c>
      <c r="M28" s="77">
        <f t="shared" si="9"/>
        <v>0</v>
      </c>
      <c r="N28" s="77">
        <f t="shared" si="9"/>
        <v>0</v>
      </c>
      <c r="O28" s="77">
        <f t="shared" si="9"/>
        <v>0</v>
      </c>
      <c r="P28" s="77">
        <f t="shared" si="9"/>
        <v>0</v>
      </c>
      <c r="Q28" s="77">
        <f t="shared" si="9"/>
        <v>0</v>
      </c>
      <c r="R28" s="77">
        <f t="shared" si="9"/>
        <v>0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0</v>
      </c>
      <c r="C3" s="54">
        <f t="shared" ref="C3:V3" si="1">SUM(C4:C5)</f>
        <v>0</v>
      </c>
      <c r="D3" s="54">
        <f t="shared" si="1"/>
        <v>0</v>
      </c>
      <c r="E3" s="54">
        <f t="shared" si="1"/>
        <v>0</v>
      </c>
      <c r="F3" s="54">
        <f t="shared" si="1"/>
        <v>0</v>
      </c>
      <c r="G3" s="54">
        <f t="shared" si="1"/>
        <v>0</v>
      </c>
      <c r="H3" s="54">
        <f t="shared" si="1"/>
        <v>0</v>
      </c>
      <c r="I3" s="54">
        <f t="shared" si="1"/>
        <v>0</v>
      </c>
      <c r="J3" s="54">
        <f t="shared" si="1"/>
        <v>0</v>
      </c>
      <c r="K3" s="54">
        <f t="shared" si="1"/>
        <v>0</v>
      </c>
      <c r="L3" s="54">
        <f t="shared" si="1"/>
        <v>0</v>
      </c>
      <c r="M3" s="54">
        <f t="shared" si="1"/>
        <v>0</v>
      </c>
      <c r="N3" s="54">
        <f t="shared" si="1"/>
        <v>0</v>
      </c>
      <c r="O3" s="54">
        <f t="shared" si="1"/>
        <v>0</v>
      </c>
      <c r="P3" s="54">
        <f t="shared" si="1"/>
        <v>0</v>
      </c>
      <c r="Q3" s="54">
        <f t="shared" si="1"/>
        <v>0</v>
      </c>
      <c r="R3" s="54">
        <f t="shared" si="1"/>
        <v>0</v>
      </c>
      <c r="S3" s="54">
        <f t="shared" si="1"/>
        <v>2.0492503200000001</v>
      </c>
      <c r="T3" s="54">
        <f t="shared" si="1"/>
        <v>2.1380813999999999</v>
      </c>
      <c r="U3" s="54">
        <f t="shared" si="1"/>
        <v>2.7873752399999998</v>
      </c>
      <c r="V3" s="54">
        <f t="shared" si="1"/>
        <v>1.1390651999999999</v>
      </c>
      <c r="W3" s="54">
        <f t="shared" ref="W3:Y3" si="2">SUM(W4:W5)</f>
        <v>2.6201167199999995</v>
      </c>
      <c r="X3" s="54">
        <f t="shared" si="2"/>
        <v>4.4151447600000013</v>
      </c>
      <c r="Y3" s="54">
        <f t="shared" si="2"/>
        <v>5.7817562400000009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2.0492503200000001</v>
      </c>
      <c r="T4" s="56">
        <v>2.1380813999999999</v>
      </c>
      <c r="U4" s="56">
        <v>2.7873752399999998</v>
      </c>
      <c r="V4" s="56">
        <v>1.1390651999999999</v>
      </c>
      <c r="W4" s="56">
        <v>2.6201167199999995</v>
      </c>
      <c r="X4" s="56">
        <v>4.4151447600000013</v>
      </c>
      <c r="Y4" s="56">
        <v>5.7817562400000009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0</v>
      </c>
      <c r="C9" s="79">
        <f>IF(C3=0,0,C3/TrNavi_ene!C3)</f>
        <v>0</v>
      </c>
      <c r="D9" s="79">
        <f>IF(D3=0,0,D3/TrNavi_ene!D3)</f>
        <v>0</v>
      </c>
      <c r="E9" s="79">
        <f>IF(E3=0,0,E3/TrNavi_ene!E3)</f>
        <v>0</v>
      </c>
      <c r="F9" s="79">
        <f>IF(F3=0,0,F3/TrNavi_ene!F3)</f>
        <v>0</v>
      </c>
      <c r="G9" s="79">
        <f>IF(G3=0,0,G3/TrNavi_ene!G3)</f>
        <v>0</v>
      </c>
      <c r="H9" s="79">
        <f>IF(H3=0,0,H3/TrNavi_ene!H3)</f>
        <v>0</v>
      </c>
      <c r="I9" s="79">
        <f>IF(I3=0,0,I3/TrNavi_ene!I3)</f>
        <v>0</v>
      </c>
      <c r="J9" s="79">
        <f>IF(J3=0,0,J3/TrNavi_ene!J3)</f>
        <v>0</v>
      </c>
      <c r="K9" s="79">
        <f>IF(K3=0,0,K3/TrNavi_ene!K3)</f>
        <v>0</v>
      </c>
      <c r="L9" s="79">
        <f>IF(L3=0,0,L3/TrNavi_ene!L3)</f>
        <v>0</v>
      </c>
      <c r="M9" s="79">
        <f>IF(M3=0,0,M3/TrNavi_ene!M3)</f>
        <v>0</v>
      </c>
      <c r="N9" s="79">
        <f>IF(N3=0,0,N3/TrNavi_ene!N3)</f>
        <v>0</v>
      </c>
      <c r="O9" s="79">
        <f>IF(O3=0,0,O3/TrNavi_ene!O3)</f>
        <v>0</v>
      </c>
      <c r="P9" s="79">
        <f>IF(P3=0,0,P3/TrNavi_ene!P3)</f>
        <v>0</v>
      </c>
      <c r="Q9" s="79">
        <f>IF(Q3=0,0,Q3/TrNavi_ene!Q3)</f>
        <v>0</v>
      </c>
      <c r="R9" s="79">
        <f>IF(R3=0,0,R3/TrNavi_ene!R3)</f>
        <v>0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2.8680078536479758</v>
      </c>
      <c r="W9" s="79">
        <f>IF(W3=0,0,W3/TrNavi_ene!W3)</f>
        <v>2.876612617162277</v>
      </c>
      <c r="X9" s="79">
        <f>IF(X3=0,0,X3/TrNavi_ene!X3)</f>
        <v>2.8789041017492716</v>
      </c>
      <c r="Y9" s="79">
        <f>IF(Y3=0,0,Y3/TrNavi_ene!Y3)</f>
        <v>2.9419769457122857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2.8680078536479758</v>
      </c>
      <c r="W10" s="80">
        <f>IF(W4=0,0,W4/TrNavi_ene!W4)</f>
        <v>2.876612617162277</v>
      </c>
      <c r="X10" s="80">
        <f>IF(X4=0,0,X4/TrNavi_ene!X4)</f>
        <v>2.8789041017492716</v>
      </c>
      <c r="Y10" s="80">
        <f>IF(Y4=0,0,Y4/TrNavi_ene!Y4)</f>
        <v>2.9419769457122857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0</v>
      </c>
      <c r="C13" s="54">
        <f>IF(C3=0,0,C3/TrNavi_act!C7*1000)</f>
        <v>0</v>
      </c>
      <c r="D13" s="54">
        <f>IF(D3=0,0,D3/TrNavi_act!D7*1000)</f>
        <v>0</v>
      </c>
      <c r="E13" s="54">
        <f>IF(E3=0,0,E3/TrNavi_act!E7*1000)</f>
        <v>0</v>
      </c>
      <c r="F13" s="54">
        <f>IF(F3=0,0,F3/TrNavi_act!F7*1000)</f>
        <v>0</v>
      </c>
      <c r="G13" s="54">
        <f>IF(G3=0,0,G3/TrNavi_act!G7*1000)</f>
        <v>0</v>
      </c>
      <c r="H13" s="54">
        <f>IF(H3=0,0,H3/TrNavi_act!H7*1000)</f>
        <v>0</v>
      </c>
      <c r="I13" s="54">
        <f>IF(I3=0,0,I3/TrNavi_act!I7*1000)</f>
        <v>0</v>
      </c>
      <c r="J13" s="54">
        <f>IF(J3=0,0,J3/TrNavi_act!J7*1000)</f>
        <v>0</v>
      </c>
      <c r="K13" s="54">
        <f>IF(K3=0,0,K3/TrNavi_act!K7*1000)</f>
        <v>0</v>
      </c>
      <c r="L13" s="54">
        <f>IF(L3=0,0,L3/TrNavi_act!L7*1000)</f>
        <v>0</v>
      </c>
      <c r="M13" s="54">
        <f>IF(M3=0,0,M3/TrNavi_act!M7*1000)</f>
        <v>0</v>
      </c>
      <c r="N13" s="54">
        <f>IF(N3=0,0,N3/TrNavi_act!N7*1000)</f>
        <v>0</v>
      </c>
      <c r="O13" s="54">
        <f>IF(O3=0,0,O3/TrNavi_act!O7*1000)</f>
        <v>0</v>
      </c>
      <c r="P13" s="54">
        <f>IF(P3=0,0,P3/TrNavi_act!P7*1000)</f>
        <v>0</v>
      </c>
      <c r="Q13" s="54">
        <f>IF(Q3=0,0,Q3/TrNavi_act!Q7*1000)</f>
        <v>0</v>
      </c>
      <c r="R13" s="54">
        <f>IF(R3=0,0,R3/TrNavi_act!R7*1000)</f>
        <v>0</v>
      </c>
      <c r="S13" s="54">
        <f>IF(S3=0,0,S3/TrNavi_act!S7*1000)</f>
        <v>170770.86</v>
      </c>
      <c r="T13" s="54">
        <f>IF(T3=0,0,T3/TrNavi_act!T7*1000)</f>
        <v>164467.80000000002</v>
      </c>
      <c r="U13" s="54">
        <f>IF(U3=0,0,U3/TrNavi_act!U7*1000)</f>
        <v>174210.95249999998</v>
      </c>
      <c r="V13" s="54">
        <f>IF(V3=0,0,V3/TrNavi_act!V7*1000)</f>
        <v>142383.14999999997</v>
      </c>
      <c r="W13" s="54">
        <f>IF(W3=0,0,W3/TrNavi_act!W7*1000)</f>
        <v>163757.29499999998</v>
      </c>
      <c r="X13" s="54">
        <f>IF(X3=0,0,X3/TrNavi_act!X7*1000)</f>
        <v>176605.79040000006</v>
      </c>
      <c r="Y13" s="54">
        <f>IF(Y3=0,0,Y3/TrNavi_act!Y7*1000)</f>
        <v>186508.26580645164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170770.86</v>
      </c>
      <c r="T14" s="56">
        <f>IF(T4=0,0,T4/TrNavi_act!T8*1000)</f>
        <v>164467.80000000002</v>
      </c>
      <c r="U14" s="56">
        <f>IF(U4=0,0,U4/TrNavi_act!U8*1000)</f>
        <v>174210.95249999998</v>
      </c>
      <c r="V14" s="56">
        <f>IF(V4=0,0,V4/TrNavi_act!V8*1000)</f>
        <v>142383.14999999997</v>
      </c>
      <c r="W14" s="56">
        <f>IF(W4=0,0,W4/TrNavi_act!W8*1000)</f>
        <v>163757.29499999998</v>
      </c>
      <c r="X14" s="56">
        <f>IF(X4=0,0,X4/TrNavi_act!X8*1000)</f>
        <v>176605.79040000006</v>
      </c>
      <c r="Y14" s="56">
        <f>IF(Y4=0,0,Y4/TrNavi_act!Y8*1000)</f>
        <v>186508.26580645164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0</v>
      </c>
      <c r="C17" s="62">
        <f>IF(C3=0,0,C3/TrNavi_act!C3*1000)</f>
        <v>0</v>
      </c>
      <c r="D17" s="62">
        <f>IF(D3=0,0,D3/TrNavi_act!D3*1000)</f>
        <v>0</v>
      </c>
      <c r="E17" s="62">
        <f>IF(E3=0,0,E3/TrNavi_act!E3*1000)</f>
        <v>0</v>
      </c>
      <c r="F17" s="62">
        <f>IF(F3=0,0,F3/TrNavi_act!F3*1000)</f>
        <v>0</v>
      </c>
      <c r="G17" s="62">
        <f>IF(G3=0,0,G3/TrNavi_act!G3*1000)</f>
        <v>0</v>
      </c>
      <c r="H17" s="62">
        <f>IF(H3=0,0,H3/TrNavi_act!H3*1000)</f>
        <v>0</v>
      </c>
      <c r="I17" s="62">
        <f>IF(I3=0,0,I3/TrNavi_act!I3*1000)</f>
        <v>0</v>
      </c>
      <c r="J17" s="62">
        <f>IF(J3=0,0,J3/TrNavi_act!J3*1000)</f>
        <v>0</v>
      </c>
      <c r="K17" s="62">
        <f>IF(K3=0,0,K3/TrNavi_act!K3*1000)</f>
        <v>0</v>
      </c>
      <c r="L17" s="62">
        <f>IF(L3=0,0,L3/TrNavi_act!L3*1000)</f>
        <v>0</v>
      </c>
      <c r="M17" s="62">
        <f>IF(M3=0,0,M3/TrNavi_act!M3*1000)</f>
        <v>0</v>
      </c>
      <c r="N17" s="62">
        <f>IF(N3=0,0,N3/TrNavi_act!N3*1000)</f>
        <v>0</v>
      </c>
      <c r="O17" s="62">
        <f>IF(O3=0,0,O3/TrNavi_act!O3*1000)</f>
        <v>0</v>
      </c>
      <c r="P17" s="62">
        <f>IF(P3=0,0,P3/TrNavi_act!P3*1000)</f>
        <v>0</v>
      </c>
      <c r="Q17" s="62">
        <f>IF(Q3=0,0,Q3/TrNavi_act!Q3*1000)</f>
        <v>0</v>
      </c>
      <c r="R17" s="62">
        <f>IF(R3=0,0,R3/TrNavi_act!R3*1000)</f>
        <v>0</v>
      </c>
      <c r="S17" s="62">
        <f>IF(S3=0,0,S3/TrNavi_act!S3*1000)</f>
        <v>222.72039126181937</v>
      </c>
      <c r="T17" s="62">
        <f>IF(T3=0,0,T3/TrNavi_act!T3*1000)</f>
        <v>220.76214765100667</v>
      </c>
      <c r="U17" s="62">
        <f>IF(U3=0,0,U3/TrNavi_act!U3*1000)</f>
        <v>226.68959336369551</v>
      </c>
      <c r="V17" s="62">
        <f>IF(V3=0,0,V3/TrNavi_act!V3*1000)</f>
        <v>193.12736520854526</v>
      </c>
      <c r="W17" s="62">
        <f>IF(W3=0,0,W3/TrNavi_act!W3*1000)</f>
        <v>210.48495501285342</v>
      </c>
      <c r="X17" s="62">
        <f>IF(X3=0,0,X3/TrNavi_act!X3*1000)</f>
        <v>221.92233023372714</v>
      </c>
      <c r="Y17" s="62">
        <f>IF(Y3=0,0,Y3/TrNavi_act!Y3*1000)</f>
        <v>232.47914113389629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222.72039126181937</v>
      </c>
      <c r="T18" s="63">
        <f>IF(T4=0,0,T4/TrNavi_act!T4*1000)</f>
        <v>220.76214765100667</v>
      </c>
      <c r="U18" s="63">
        <f>IF(U4=0,0,U4/TrNavi_act!U4*1000)</f>
        <v>226.68959336369551</v>
      </c>
      <c r="V18" s="63">
        <f>IF(V4=0,0,V4/TrNavi_act!V4*1000)</f>
        <v>193.12736520854526</v>
      </c>
      <c r="W18" s="63">
        <f>IF(W4=0,0,W4/TrNavi_act!W4*1000)</f>
        <v>210.48495501285342</v>
      </c>
      <c r="X18" s="63">
        <f>IF(X4=0,0,X4/TrNavi_act!X4*1000)</f>
        <v>221.92233023372714</v>
      </c>
      <c r="Y18" s="63">
        <f>IF(Y4=0,0,Y4/TrNavi_act!Y4*1000)</f>
        <v>232.47914113389629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0</v>
      </c>
      <c r="C21" s="76">
        <f t="shared" si="3"/>
        <v>0</v>
      </c>
      <c r="D21" s="76">
        <f t="shared" si="3"/>
        <v>0</v>
      </c>
      <c r="E21" s="76">
        <f t="shared" si="3"/>
        <v>0</v>
      </c>
      <c r="F21" s="76">
        <f t="shared" si="3"/>
        <v>0</v>
      </c>
      <c r="G21" s="76">
        <f t="shared" si="3"/>
        <v>0</v>
      </c>
      <c r="H21" s="76">
        <f t="shared" si="3"/>
        <v>0</v>
      </c>
      <c r="I21" s="76">
        <f t="shared" si="3"/>
        <v>0</v>
      </c>
      <c r="J21" s="76">
        <f t="shared" si="3"/>
        <v>0</v>
      </c>
      <c r="K21" s="76">
        <f t="shared" si="3"/>
        <v>0</v>
      </c>
      <c r="L21" s="76">
        <f t="shared" si="3"/>
        <v>0</v>
      </c>
      <c r="M21" s="76">
        <f t="shared" si="3"/>
        <v>0</v>
      </c>
      <c r="N21" s="76">
        <f t="shared" si="3"/>
        <v>0</v>
      </c>
      <c r="O21" s="76">
        <f t="shared" si="3"/>
        <v>0</v>
      </c>
      <c r="P21" s="76">
        <f t="shared" si="3"/>
        <v>0</v>
      </c>
      <c r="Q21" s="76">
        <f t="shared" si="3"/>
        <v>0</v>
      </c>
      <c r="R21" s="76">
        <f t="shared" si="3"/>
        <v>0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0</v>
      </c>
      <c r="C22" s="77">
        <f t="shared" si="6"/>
        <v>0</v>
      </c>
      <c r="D22" s="77">
        <f t="shared" si="6"/>
        <v>0</v>
      </c>
      <c r="E22" s="77">
        <f t="shared" si="6"/>
        <v>0</v>
      </c>
      <c r="F22" s="77">
        <f t="shared" si="6"/>
        <v>0</v>
      </c>
      <c r="G22" s="77">
        <f t="shared" si="6"/>
        <v>0</v>
      </c>
      <c r="H22" s="77">
        <f t="shared" si="6"/>
        <v>0</v>
      </c>
      <c r="I22" s="77">
        <f t="shared" si="6"/>
        <v>0</v>
      </c>
      <c r="J22" s="77">
        <f t="shared" si="6"/>
        <v>0</v>
      </c>
      <c r="K22" s="77">
        <f t="shared" si="6"/>
        <v>0</v>
      </c>
      <c r="L22" s="77">
        <f t="shared" si="6"/>
        <v>0</v>
      </c>
      <c r="M22" s="77">
        <f t="shared" si="6"/>
        <v>0</v>
      </c>
      <c r="N22" s="77">
        <f t="shared" si="6"/>
        <v>0</v>
      </c>
      <c r="O22" s="77">
        <f t="shared" si="6"/>
        <v>0</v>
      </c>
      <c r="P22" s="77">
        <f t="shared" si="6"/>
        <v>0</v>
      </c>
      <c r="Q22" s="77">
        <f t="shared" si="6"/>
        <v>0</v>
      </c>
      <c r="R22" s="77">
        <f t="shared" si="6"/>
        <v>0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4642.6260259999999</v>
      </c>
      <c r="C3" s="54">
        <f t="shared" si="0"/>
        <v>4482.4564840000003</v>
      </c>
      <c r="D3" s="54">
        <f t="shared" si="0"/>
        <v>3250.4747100000004</v>
      </c>
      <c r="E3" s="54">
        <f t="shared" si="0"/>
        <v>2529.8710769999998</v>
      </c>
      <c r="F3" s="54">
        <f t="shared" si="0"/>
        <v>3287.5057969999998</v>
      </c>
      <c r="G3" s="54">
        <f t="shared" si="0"/>
        <v>4280.4795960000001</v>
      </c>
      <c r="H3" s="54">
        <f t="shared" si="0"/>
        <v>4529.4411209999998</v>
      </c>
      <c r="I3" s="54">
        <f t="shared" si="0"/>
        <v>6994.2827719999987</v>
      </c>
      <c r="J3" s="54">
        <f t="shared" si="0"/>
        <v>6894.2891739999995</v>
      </c>
      <c r="K3" s="54">
        <f t="shared" si="0"/>
        <v>4637.2199079999991</v>
      </c>
      <c r="L3" s="54">
        <f t="shared" si="0"/>
        <v>4781.2907539999997</v>
      </c>
      <c r="M3" s="54">
        <f t="shared" si="0"/>
        <v>8192.423573</v>
      </c>
      <c r="N3" s="54">
        <f t="shared" si="0"/>
        <v>10105.108783</v>
      </c>
      <c r="O3" s="54">
        <f t="shared" si="0"/>
        <v>9480.6817100000007</v>
      </c>
      <c r="P3" s="54">
        <f t="shared" si="0"/>
        <v>10049.629362</v>
      </c>
      <c r="Q3" s="54">
        <f t="shared" si="0"/>
        <v>10432.390090999999</v>
      </c>
      <c r="R3" s="54">
        <f t="shared" ref="R3:W3" si="1">SUM(R4:R5)</f>
        <v>14189.408504999999</v>
      </c>
      <c r="S3" s="54">
        <f t="shared" si="1"/>
        <v>11620.333605</v>
      </c>
      <c r="T3" s="54">
        <f t="shared" si="1"/>
        <v>11171.937195</v>
      </c>
      <c r="U3" s="54">
        <f t="shared" si="1"/>
        <v>11372.364174</v>
      </c>
      <c r="V3" s="54">
        <f t="shared" si="1"/>
        <v>11213.616641999999</v>
      </c>
      <c r="W3" s="54">
        <f t="shared" si="1"/>
        <v>11048.166509999999</v>
      </c>
      <c r="X3" s="54">
        <f t="shared" ref="X3:Y3" si="2">SUM(X4:X5)</f>
        <v>11424.744674</v>
      </c>
      <c r="Y3" s="54">
        <f t="shared" si="2"/>
        <v>13949.615757</v>
      </c>
      <c r="DA3" s="172" t="s">
        <v>388</v>
      </c>
    </row>
    <row r="4" spans="1:105" ht="11.45" customHeight="1" x14ac:dyDescent="0.25">
      <c r="A4" s="55" t="s">
        <v>166</v>
      </c>
      <c r="B4" s="56">
        <v>3338.106131</v>
      </c>
      <c r="C4" s="56">
        <v>3224.0436759999998</v>
      </c>
      <c r="D4" s="56">
        <v>2328.7379110000002</v>
      </c>
      <c r="E4" s="56">
        <v>1914.9399249999999</v>
      </c>
      <c r="F4" s="56">
        <v>2625.6528779999999</v>
      </c>
      <c r="G4" s="56">
        <v>2236.5014610000003</v>
      </c>
      <c r="H4" s="56">
        <v>2536.3532989999999</v>
      </c>
      <c r="I4" s="56">
        <v>2114.1158879999998</v>
      </c>
      <c r="J4" s="56">
        <v>3241.7815500000002</v>
      </c>
      <c r="K4" s="56">
        <v>2457.9579089999997</v>
      </c>
      <c r="L4" s="56">
        <v>2292.6987429999999</v>
      </c>
      <c r="M4" s="56">
        <v>5243.4848320000001</v>
      </c>
      <c r="N4" s="56">
        <v>6530.9141319999999</v>
      </c>
      <c r="O4" s="56">
        <v>6052.1713589999999</v>
      </c>
      <c r="P4" s="56">
        <v>6137.8556769999996</v>
      </c>
      <c r="Q4" s="56">
        <v>6298.9144209999995</v>
      </c>
      <c r="R4" s="56">
        <v>8450.1782910000002</v>
      </c>
      <c r="S4" s="56">
        <v>6326.2804939999996</v>
      </c>
      <c r="T4" s="56">
        <v>5478.8703750000004</v>
      </c>
      <c r="U4" s="56">
        <v>6668.7080880000003</v>
      </c>
      <c r="V4" s="56">
        <v>6760.9502909999992</v>
      </c>
      <c r="W4" s="56">
        <v>7048.0579600000001</v>
      </c>
      <c r="X4" s="56">
        <v>6341.3472279999996</v>
      </c>
      <c r="Y4" s="56">
        <v>8102.4561050000002</v>
      </c>
      <c r="DA4" s="181" t="s">
        <v>389</v>
      </c>
    </row>
    <row r="5" spans="1:105" ht="11.45" customHeight="1" x14ac:dyDescent="0.25">
      <c r="A5" s="57" t="s">
        <v>167</v>
      </c>
      <c r="B5" s="58">
        <v>1304.5198949999999</v>
      </c>
      <c r="C5" s="58">
        <v>1258.412808</v>
      </c>
      <c r="D5" s="58">
        <v>921.73679900000002</v>
      </c>
      <c r="E5" s="58">
        <v>614.931152</v>
      </c>
      <c r="F5" s="58">
        <v>661.85291899999993</v>
      </c>
      <c r="G5" s="58">
        <v>2043.9781349999998</v>
      </c>
      <c r="H5" s="58">
        <v>1993.087822</v>
      </c>
      <c r="I5" s="58">
        <v>4880.1668839999993</v>
      </c>
      <c r="J5" s="58">
        <v>3652.5076239999999</v>
      </c>
      <c r="K5" s="58">
        <v>2179.2619989999998</v>
      </c>
      <c r="L5" s="58">
        <v>2488.5920109999997</v>
      </c>
      <c r="M5" s="58">
        <v>2948.9387409999999</v>
      </c>
      <c r="N5" s="58">
        <v>3574.1946510000002</v>
      </c>
      <c r="O5" s="58">
        <v>3428.5103509999999</v>
      </c>
      <c r="P5" s="58">
        <v>3911.7736850000001</v>
      </c>
      <c r="Q5" s="58">
        <v>4133.4756699999998</v>
      </c>
      <c r="R5" s="58">
        <v>5739.2302140000002</v>
      </c>
      <c r="S5" s="58">
        <v>5294.0531110000002</v>
      </c>
      <c r="T5" s="58">
        <v>5693.06682</v>
      </c>
      <c r="U5" s="58">
        <v>4703.656086</v>
      </c>
      <c r="V5" s="58">
        <v>4452.6663509999998</v>
      </c>
      <c r="W5" s="58">
        <v>4000.1085499999999</v>
      </c>
      <c r="X5" s="58">
        <v>5083.3974459999999</v>
      </c>
      <c r="Y5" s="58">
        <v>5847.1596519999994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0.72455400000000003</v>
      </c>
      <c r="C7" s="59">
        <f t="shared" si="3"/>
        <v>0.67533699999999997</v>
      </c>
      <c r="D7" s="59">
        <f t="shared" si="3"/>
        <v>0.46785899999999997</v>
      </c>
      <c r="E7" s="59">
        <f t="shared" si="3"/>
        <v>0.36170000000000002</v>
      </c>
      <c r="F7" s="59">
        <f t="shared" si="3"/>
        <v>0.480346</v>
      </c>
      <c r="G7" s="59">
        <f t="shared" si="3"/>
        <v>0.46459300000000003</v>
      </c>
      <c r="H7" s="59">
        <f t="shared" si="3"/>
        <v>0.508432</v>
      </c>
      <c r="I7" s="59">
        <f t="shared" si="3"/>
        <v>0.53587099999999999</v>
      </c>
      <c r="J7" s="59">
        <f t="shared" si="3"/>
        <v>0.63909499999999997</v>
      </c>
      <c r="K7" s="59">
        <f t="shared" si="3"/>
        <v>0.50188299999999997</v>
      </c>
      <c r="L7" s="59">
        <f t="shared" si="3"/>
        <v>0.45275199999999999</v>
      </c>
      <c r="M7" s="59">
        <f t="shared" si="3"/>
        <v>1.014475</v>
      </c>
      <c r="N7" s="59">
        <f t="shared" si="3"/>
        <v>1.1940230000000001</v>
      </c>
      <c r="O7" s="59">
        <f t="shared" si="3"/>
        <v>1.097321</v>
      </c>
      <c r="P7" s="59">
        <f t="shared" si="3"/>
        <v>1.158998</v>
      </c>
      <c r="Q7" s="59">
        <f t="shared" si="3"/>
        <v>1.0754679999999999</v>
      </c>
      <c r="R7" s="59">
        <f t="shared" si="3"/>
        <v>1.424255</v>
      </c>
      <c r="S7" s="59">
        <f t="shared" si="3"/>
        <v>1.0890759999999999</v>
      </c>
      <c r="T7" s="59">
        <f t="shared" si="3"/>
        <v>1.0372219999999999</v>
      </c>
      <c r="U7" s="59">
        <f t="shared" si="3"/>
        <v>1.199821</v>
      </c>
      <c r="V7" s="59">
        <f t="shared" si="3"/>
        <v>1.0784389999999999</v>
      </c>
      <c r="W7" s="59">
        <f t="shared" si="3"/>
        <v>1.124009</v>
      </c>
      <c r="X7" s="59">
        <f t="shared" ref="X7:Y7" si="4">SUM(X8:X9)</f>
        <v>1.177216</v>
      </c>
      <c r="Y7" s="59">
        <f t="shared" si="4"/>
        <v>1.3796360000000001</v>
      </c>
      <c r="DA7" s="172" t="s">
        <v>963</v>
      </c>
    </row>
    <row r="8" spans="1:105" ht="11.45" customHeight="1" x14ac:dyDescent="0.25">
      <c r="A8" s="55" t="s">
        <v>166</v>
      </c>
      <c r="B8" s="60">
        <v>0.54963300000000004</v>
      </c>
      <c r="C8" s="60">
        <v>0.51324999999999998</v>
      </c>
      <c r="D8" s="60">
        <v>0.35381599999999996</v>
      </c>
      <c r="E8" s="60">
        <v>0.28915800000000003</v>
      </c>
      <c r="F8" s="60">
        <v>0.39561099999999999</v>
      </c>
      <c r="G8" s="60">
        <v>0.339783</v>
      </c>
      <c r="H8" s="60">
        <v>0.38245199999999996</v>
      </c>
      <c r="I8" s="60">
        <v>0.31167100000000003</v>
      </c>
      <c r="J8" s="60">
        <v>0.460287</v>
      </c>
      <c r="K8" s="60">
        <v>0.34647499999999998</v>
      </c>
      <c r="L8" s="60">
        <v>0.32219100000000001</v>
      </c>
      <c r="M8" s="60">
        <v>0.78923600000000005</v>
      </c>
      <c r="N8" s="60">
        <v>0.97385599999999994</v>
      </c>
      <c r="O8" s="60">
        <v>0.89893299999999998</v>
      </c>
      <c r="P8" s="60">
        <v>0.92333799999999999</v>
      </c>
      <c r="Q8" s="60">
        <v>0.86619299999999999</v>
      </c>
      <c r="R8" s="60">
        <v>1.1285670000000001</v>
      </c>
      <c r="S8" s="60">
        <v>0.83069900000000008</v>
      </c>
      <c r="T8" s="60">
        <v>0.75194499999999997</v>
      </c>
      <c r="U8" s="60">
        <v>0.93827799999999995</v>
      </c>
      <c r="V8" s="60">
        <v>0.85126100000000005</v>
      </c>
      <c r="W8" s="60">
        <v>0.93301299999999998</v>
      </c>
      <c r="X8" s="60">
        <v>0.92647599999999997</v>
      </c>
      <c r="Y8" s="60">
        <v>1.1046720000000001</v>
      </c>
      <c r="DA8" s="181" t="s">
        <v>964</v>
      </c>
    </row>
    <row r="9" spans="1:105" ht="11.45" customHeight="1" x14ac:dyDescent="0.25">
      <c r="A9" s="57" t="s">
        <v>167</v>
      </c>
      <c r="B9" s="61">
        <v>0.17492099999999999</v>
      </c>
      <c r="C9" s="61">
        <v>0.16208700000000001</v>
      </c>
      <c r="D9" s="61">
        <v>0.11404300000000001</v>
      </c>
      <c r="E9" s="61">
        <v>7.2541999999999995E-2</v>
      </c>
      <c r="F9" s="61">
        <v>8.4735000000000005E-2</v>
      </c>
      <c r="G9" s="61">
        <v>0.12481</v>
      </c>
      <c r="H9" s="61">
        <v>0.12598000000000001</v>
      </c>
      <c r="I9" s="61">
        <v>0.22419999999999998</v>
      </c>
      <c r="J9" s="61">
        <v>0.17880799999999999</v>
      </c>
      <c r="K9" s="61">
        <v>0.15540799999999999</v>
      </c>
      <c r="L9" s="61">
        <v>0.13056099999999998</v>
      </c>
      <c r="M9" s="61">
        <v>0.22523899999999999</v>
      </c>
      <c r="N9" s="61">
        <v>0.220167</v>
      </c>
      <c r="O9" s="61">
        <v>0.19838800000000001</v>
      </c>
      <c r="P9" s="61">
        <v>0.23565999999999998</v>
      </c>
      <c r="Q9" s="61">
        <v>0.20927499999999999</v>
      </c>
      <c r="R9" s="61">
        <v>0.29568800000000001</v>
      </c>
      <c r="S9" s="61">
        <v>0.25837699999999997</v>
      </c>
      <c r="T9" s="61">
        <v>0.285277</v>
      </c>
      <c r="U9" s="61">
        <v>0.26154299999999997</v>
      </c>
      <c r="V9" s="61">
        <v>0.22717799999999999</v>
      </c>
      <c r="W9" s="61">
        <v>0.190996</v>
      </c>
      <c r="X9" s="61">
        <v>0.25074000000000002</v>
      </c>
      <c r="Y9" s="61">
        <v>0.27496399999999999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6407.5638613547089</v>
      </c>
      <c r="C13" s="62">
        <f t="shared" si="5"/>
        <v>6637.3625079034618</v>
      </c>
      <c r="D13" s="62">
        <f t="shared" si="5"/>
        <v>6947.5519547556005</v>
      </c>
      <c r="E13" s="62">
        <f t="shared" si="5"/>
        <v>6994.3905916505382</v>
      </c>
      <c r="F13" s="62">
        <f t="shared" si="5"/>
        <v>6844.0370004122024</v>
      </c>
      <c r="G13" s="62">
        <f t="shared" si="5"/>
        <v>9213.3966633160635</v>
      </c>
      <c r="H13" s="62">
        <f t="shared" si="5"/>
        <v>8908.6468219938943</v>
      </c>
      <c r="I13" s="62">
        <f t="shared" si="5"/>
        <v>13052.176311089794</v>
      </c>
      <c r="J13" s="62">
        <f t="shared" si="5"/>
        <v>10787.581148342579</v>
      </c>
      <c r="K13" s="62">
        <f t="shared" si="5"/>
        <v>9239.6433192596669</v>
      </c>
      <c r="L13" s="62">
        <f t="shared" si="5"/>
        <v>10560.507195992508</v>
      </c>
      <c r="M13" s="62">
        <f t="shared" si="5"/>
        <v>8075.5302723083369</v>
      </c>
      <c r="N13" s="62">
        <f t="shared" si="5"/>
        <v>8463.0771626677197</v>
      </c>
      <c r="O13" s="62">
        <f t="shared" si="5"/>
        <v>8639.8435006711807</v>
      </c>
      <c r="P13" s="62">
        <f t="shared" si="5"/>
        <v>8670.9635064081212</v>
      </c>
      <c r="Q13" s="62">
        <f t="shared" si="5"/>
        <v>9700.325896260978</v>
      </c>
      <c r="R13" s="62">
        <f t="shared" si="5"/>
        <v>9962.6882159444758</v>
      </c>
      <c r="S13" s="62">
        <f t="shared" si="5"/>
        <v>10669.901462340553</v>
      </c>
      <c r="T13" s="62">
        <f t="shared" si="5"/>
        <v>10771.018349977152</v>
      </c>
      <c r="U13" s="62">
        <f t="shared" si="5"/>
        <v>9478.3840039472561</v>
      </c>
      <c r="V13" s="62">
        <f t="shared" si="5"/>
        <v>10398.007343948058</v>
      </c>
      <c r="W13" s="62">
        <f t="shared" si="5"/>
        <v>9829.2509312647835</v>
      </c>
      <c r="X13" s="62">
        <f t="shared" ref="X13:Y13" si="6">IF(X3=0,0,X3/X7)</f>
        <v>9704.8839584239413</v>
      </c>
      <c r="Y13" s="62">
        <f t="shared" si="6"/>
        <v>10111.084196846125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6073.3364463196349</v>
      </c>
      <c r="C14" s="63">
        <f t="shared" si="5"/>
        <v>6281.6243078421821</v>
      </c>
      <c r="D14" s="63">
        <f t="shared" si="5"/>
        <v>6581.7767172767781</v>
      </c>
      <c r="E14" s="63">
        <f t="shared" si="5"/>
        <v>6622.4691172300254</v>
      </c>
      <c r="F14" s="63">
        <f t="shared" si="5"/>
        <v>6636.9561968701573</v>
      </c>
      <c r="G14" s="63">
        <f t="shared" si="5"/>
        <v>6582.1464316931697</v>
      </c>
      <c r="H14" s="63">
        <f t="shared" si="5"/>
        <v>6631.8212455419243</v>
      </c>
      <c r="I14" s="63">
        <f t="shared" si="5"/>
        <v>6783.1652223017209</v>
      </c>
      <c r="J14" s="63">
        <f t="shared" si="5"/>
        <v>7042.9570029134002</v>
      </c>
      <c r="K14" s="63">
        <f t="shared" si="5"/>
        <v>7094.1854650407677</v>
      </c>
      <c r="L14" s="63">
        <f t="shared" si="5"/>
        <v>7115.9614731634338</v>
      </c>
      <c r="M14" s="63">
        <f t="shared" si="5"/>
        <v>6643.7476648302909</v>
      </c>
      <c r="N14" s="63">
        <f t="shared" si="5"/>
        <v>6706.2421261459604</v>
      </c>
      <c r="O14" s="63">
        <f t="shared" si="5"/>
        <v>6732.6167345063541</v>
      </c>
      <c r="P14" s="63">
        <f t="shared" si="5"/>
        <v>6647.4635258161143</v>
      </c>
      <c r="Q14" s="63">
        <f t="shared" si="5"/>
        <v>7271.9525798522955</v>
      </c>
      <c r="R14" s="63">
        <f t="shared" si="5"/>
        <v>7487.5291329624197</v>
      </c>
      <c r="S14" s="63">
        <f t="shared" si="5"/>
        <v>7615.6110624907442</v>
      </c>
      <c r="T14" s="63">
        <f t="shared" si="5"/>
        <v>7286.2647866532798</v>
      </c>
      <c r="U14" s="63">
        <f t="shared" si="5"/>
        <v>7107.3904407862074</v>
      </c>
      <c r="V14" s="63">
        <f t="shared" si="5"/>
        <v>7942.2765650018018</v>
      </c>
      <c r="W14" s="63">
        <f t="shared" si="5"/>
        <v>7554.0833407465925</v>
      </c>
      <c r="X14" s="63">
        <f t="shared" ref="X14:Y14" si="7">IF(X4=0,0,X4/X8)</f>
        <v>6844.5887729417709</v>
      </c>
      <c r="Y14" s="63">
        <f t="shared" si="7"/>
        <v>7334.716644397613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7457.7660486734012</v>
      </c>
      <c r="C15" s="64">
        <f t="shared" si="5"/>
        <v>7763.810842325418</v>
      </c>
      <c r="D15" s="64">
        <f t="shared" si="5"/>
        <v>8082.3619073507361</v>
      </c>
      <c r="E15" s="64">
        <f t="shared" si="5"/>
        <v>8476.8982382619724</v>
      </c>
      <c r="F15" s="64">
        <f t="shared" si="5"/>
        <v>7810.856422965715</v>
      </c>
      <c r="G15" s="64">
        <f t="shared" si="5"/>
        <v>16376.717690890151</v>
      </c>
      <c r="H15" s="64">
        <f t="shared" si="5"/>
        <v>15820.668534688044</v>
      </c>
      <c r="I15" s="64">
        <f t="shared" si="5"/>
        <v>21767.024460303299</v>
      </c>
      <c r="J15" s="64">
        <f t="shared" si="5"/>
        <v>20426.981029931547</v>
      </c>
      <c r="K15" s="64">
        <f t="shared" si="5"/>
        <v>14022.843090445795</v>
      </c>
      <c r="L15" s="64">
        <f t="shared" si="5"/>
        <v>19060.760954649551</v>
      </c>
      <c r="M15" s="64">
        <f t="shared" si="5"/>
        <v>13092.487273518351</v>
      </c>
      <c r="N15" s="64">
        <f t="shared" si="5"/>
        <v>16234.016228590117</v>
      </c>
      <c r="O15" s="64">
        <f t="shared" si="5"/>
        <v>17281.843412908038</v>
      </c>
      <c r="P15" s="64">
        <f t="shared" si="5"/>
        <v>16599.226364253587</v>
      </c>
      <c r="Q15" s="64">
        <f t="shared" si="5"/>
        <v>19751.406857006332</v>
      </c>
      <c r="R15" s="64">
        <f t="shared" si="5"/>
        <v>19409.750189388815</v>
      </c>
      <c r="S15" s="64">
        <f t="shared" si="5"/>
        <v>20489.645405744322</v>
      </c>
      <c r="T15" s="64">
        <f t="shared" si="5"/>
        <v>19956.276951874843</v>
      </c>
      <c r="U15" s="64">
        <f t="shared" si="5"/>
        <v>17984.255307922598</v>
      </c>
      <c r="V15" s="64">
        <f t="shared" si="5"/>
        <v>19599.901183213162</v>
      </c>
      <c r="W15" s="64">
        <f t="shared" si="5"/>
        <v>20943.415307126852</v>
      </c>
      <c r="X15" s="64">
        <f t="shared" ref="X15:Y15" si="8">IF(X5=0,0,X5/X9)</f>
        <v>20273.579987237776</v>
      </c>
      <c r="Y15" s="64">
        <f t="shared" si="8"/>
        <v>21265.182540259815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0.71901249687260516</v>
      </c>
      <c r="C18" s="66">
        <f t="shared" si="9"/>
        <v>0.7192582209126025</v>
      </c>
      <c r="D18" s="66">
        <f t="shared" si="9"/>
        <v>0.71643009675962066</v>
      </c>
      <c r="E18" s="66">
        <f t="shared" si="9"/>
        <v>0.75693182249855817</v>
      </c>
      <c r="F18" s="66">
        <f t="shared" si="9"/>
        <v>0.79867627317829493</v>
      </c>
      <c r="G18" s="66">
        <f t="shared" si="9"/>
        <v>0.52248852280243419</v>
      </c>
      <c r="H18" s="66">
        <f t="shared" si="9"/>
        <v>0.5599704756599263</v>
      </c>
      <c r="I18" s="66">
        <f t="shared" si="9"/>
        <v>0.30226342813352874</v>
      </c>
      <c r="J18" s="66">
        <f t="shared" si="9"/>
        <v>0.47021258728536186</v>
      </c>
      <c r="K18" s="66">
        <f t="shared" si="9"/>
        <v>0.53004989147907366</v>
      </c>
      <c r="L18" s="66">
        <f t="shared" si="9"/>
        <v>0.47951460410181951</v>
      </c>
      <c r="M18" s="66">
        <f t="shared" si="9"/>
        <v>0.64004073828422403</v>
      </c>
      <c r="N18" s="66">
        <f t="shared" si="9"/>
        <v>0.6462982509388786</v>
      </c>
      <c r="O18" s="66">
        <f t="shared" si="9"/>
        <v>0.63836879500092403</v>
      </c>
      <c r="P18" s="66">
        <f t="shared" si="9"/>
        <v>0.61075443241804206</v>
      </c>
      <c r="Q18" s="66">
        <f t="shared" si="9"/>
        <v>0.60378440281235835</v>
      </c>
      <c r="R18" s="66">
        <f t="shared" si="9"/>
        <v>0.59552717000305999</v>
      </c>
      <c r="S18" s="66">
        <f t="shared" si="9"/>
        <v>0.54441470520931745</v>
      </c>
      <c r="T18" s="66">
        <f t="shared" si="9"/>
        <v>0.49041363904659868</v>
      </c>
      <c r="U18" s="66">
        <f t="shared" si="9"/>
        <v>0.58639593192471751</v>
      </c>
      <c r="V18" s="66">
        <f t="shared" si="9"/>
        <v>0.6029232590025615</v>
      </c>
      <c r="W18" s="66">
        <f t="shared" si="9"/>
        <v>0.63793915068356444</v>
      </c>
      <c r="X18" s="66">
        <f t="shared" ref="X18:Y18" si="11">IF(X4=0,0,X4/X$3)</f>
        <v>0.55505373721229823</v>
      </c>
      <c r="Y18" s="66">
        <f t="shared" si="11"/>
        <v>0.58083722492027356</v>
      </c>
      <c r="DA18" s="181"/>
    </row>
    <row r="19" spans="1:105" ht="11.45" customHeight="1" x14ac:dyDescent="0.25">
      <c r="A19" s="57" t="s">
        <v>167</v>
      </c>
      <c r="B19" s="67">
        <f t="shared" si="9"/>
        <v>0.2809875031273949</v>
      </c>
      <c r="C19" s="67">
        <f t="shared" si="9"/>
        <v>0.28074177908739739</v>
      </c>
      <c r="D19" s="67">
        <f t="shared" si="9"/>
        <v>0.28356990324037928</v>
      </c>
      <c r="E19" s="67">
        <f t="shared" si="9"/>
        <v>0.24306817750144191</v>
      </c>
      <c r="F19" s="67">
        <f t="shared" si="9"/>
        <v>0.20132372682170513</v>
      </c>
      <c r="G19" s="67">
        <f t="shared" si="9"/>
        <v>0.47751147719756581</v>
      </c>
      <c r="H19" s="67">
        <f t="shared" si="9"/>
        <v>0.44002952434007364</v>
      </c>
      <c r="I19" s="67">
        <f t="shared" si="9"/>
        <v>0.69773657186647131</v>
      </c>
      <c r="J19" s="67">
        <f t="shared" si="9"/>
        <v>0.52978741271463825</v>
      </c>
      <c r="K19" s="67">
        <f t="shared" si="9"/>
        <v>0.46995010852092639</v>
      </c>
      <c r="L19" s="67">
        <f t="shared" si="9"/>
        <v>0.52048539589818044</v>
      </c>
      <c r="M19" s="67">
        <f t="shared" si="9"/>
        <v>0.35995926171577602</v>
      </c>
      <c r="N19" s="67">
        <f t="shared" si="9"/>
        <v>0.35370174906112145</v>
      </c>
      <c r="O19" s="67">
        <f t="shared" si="9"/>
        <v>0.36163120499907592</v>
      </c>
      <c r="P19" s="67">
        <f t="shared" si="9"/>
        <v>0.389245567581958</v>
      </c>
      <c r="Q19" s="67">
        <f t="shared" si="9"/>
        <v>0.39621559718764165</v>
      </c>
      <c r="R19" s="67">
        <f t="shared" si="9"/>
        <v>0.40447282999694006</v>
      </c>
      <c r="S19" s="67">
        <f t="shared" si="9"/>
        <v>0.4555852947906826</v>
      </c>
      <c r="T19" s="67">
        <f t="shared" si="9"/>
        <v>0.50958636095340126</v>
      </c>
      <c r="U19" s="67">
        <f t="shared" si="9"/>
        <v>0.41360406807528249</v>
      </c>
      <c r="V19" s="67">
        <f t="shared" si="9"/>
        <v>0.3970767409974385</v>
      </c>
      <c r="W19" s="67">
        <f t="shared" si="9"/>
        <v>0.36206084931643562</v>
      </c>
      <c r="X19" s="67">
        <f t="shared" ref="X19:Y19" si="12">IF(X5=0,0,X5/X$3)</f>
        <v>0.44494626278770177</v>
      </c>
      <c r="Y19" s="67">
        <f t="shared" si="12"/>
        <v>0.41916277507972649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0.75858114095015694</v>
      </c>
      <c r="C22" s="66">
        <f t="shared" si="13"/>
        <v>0.75999093785769178</v>
      </c>
      <c r="D22" s="66">
        <f t="shared" si="13"/>
        <v>0.756244937042998</v>
      </c>
      <c r="E22" s="66">
        <f t="shared" si="13"/>
        <v>0.79944152612662434</v>
      </c>
      <c r="F22" s="66">
        <f t="shared" si="13"/>
        <v>0.82359590794968629</v>
      </c>
      <c r="G22" s="66">
        <f t="shared" si="13"/>
        <v>0.73135626236297147</v>
      </c>
      <c r="H22" s="66">
        <f t="shared" si="13"/>
        <v>0.75221858576958167</v>
      </c>
      <c r="I22" s="66">
        <f t="shared" si="13"/>
        <v>0.581615724680007</v>
      </c>
      <c r="J22" s="66">
        <f t="shared" si="13"/>
        <v>0.72021686916655592</v>
      </c>
      <c r="K22" s="66">
        <f t="shared" si="13"/>
        <v>0.69035014136760953</v>
      </c>
      <c r="L22" s="66">
        <f t="shared" si="13"/>
        <v>0.71162799943456911</v>
      </c>
      <c r="M22" s="66">
        <f t="shared" si="13"/>
        <v>0.77797481455925477</v>
      </c>
      <c r="N22" s="66">
        <f t="shared" si="13"/>
        <v>0.81560907955709383</v>
      </c>
      <c r="O22" s="66">
        <f t="shared" si="13"/>
        <v>0.81920695949498823</v>
      </c>
      <c r="P22" s="66">
        <f t="shared" si="13"/>
        <v>0.79666919183639662</v>
      </c>
      <c r="Q22" s="66">
        <f t="shared" si="13"/>
        <v>0.80541029579680667</v>
      </c>
      <c r="R22" s="66">
        <f t="shared" si="13"/>
        <v>0.79239110973807358</v>
      </c>
      <c r="S22" s="66">
        <f t="shared" si="13"/>
        <v>0.76275576727427663</v>
      </c>
      <c r="T22" s="66">
        <f t="shared" si="13"/>
        <v>0.72496051954162177</v>
      </c>
      <c r="U22" s="66">
        <f t="shared" si="13"/>
        <v>0.78201498390176527</v>
      </c>
      <c r="V22" s="66">
        <f t="shared" si="13"/>
        <v>0.78934552626527799</v>
      </c>
      <c r="W22" s="66">
        <f t="shared" si="13"/>
        <v>0.83007609369675861</v>
      </c>
      <c r="X22" s="66">
        <f t="shared" ref="X22:Y22" si="15">IF(X8=0,0,X8/X$7)</f>
        <v>0.78700595302816134</v>
      </c>
      <c r="Y22" s="66">
        <f t="shared" si="15"/>
        <v>0.80069815516556542</v>
      </c>
      <c r="DA22" s="181"/>
    </row>
    <row r="23" spans="1:105" ht="11.45" customHeight="1" x14ac:dyDescent="0.25">
      <c r="A23" s="57" t="s">
        <v>167</v>
      </c>
      <c r="B23" s="67">
        <f t="shared" si="13"/>
        <v>0.24141885904984306</v>
      </c>
      <c r="C23" s="67">
        <f t="shared" si="13"/>
        <v>0.24000906214230824</v>
      </c>
      <c r="D23" s="67">
        <f t="shared" si="13"/>
        <v>0.24375506295700203</v>
      </c>
      <c r="E23" s="67">
        <f t="shared" si="13"/>
        <v>0.20055847387337569</v>
      </c>
      <c r="F23" s="67">
        <f t="shared" si="13"/>
        <v>0.17640409205031374</v>
      </c>
      <c r="G23" s="67">
        <f t="shared" si="13"/>
        <v>0.26864373763702853</v>
      </c>
      <c r="H23" s="67">
        <f t="shared" si="13"/>
        <v>0.24778141423041825</v>
      </c>
      <c r="I23" s="67">
        <f t="shared" si="13"/>
        <v>0.41838427531999306</v>
      </c>
      <c r="J23" s="67">
        <f t="shared" si="13"/>
        <v>0.27978313083344419</v>
      </c>
      <c r="K23" s="67">
        <f t="shared" si="13"/>
        <v>0.30964985863239042</v>
      </c>
      <c r="L23" s="67">
        <f t="shared" si="13"/>
        <v>0.28837200056543094</v>
      </c>
      <c r="M23" s="67">
        <f t="shared" si="13"/>
        <v>0.2220251854407452</v>
      </c>
      <c r="N23" s="67">
        <f t="shared" si="13"/>
        <v>0.18439092044290603</v>
      </c>
      <c r="O23" s="67">
        <f t="shared" si="13"/>
        <v>0.18079304050501177</v>
      </c>
      <c r="P23" s="67">
        <f t="shared" si="13"/>
        <v>0.20333080816360338</v>
      </c>
      <c r="Q23" s="67">
        <f t="shared" si="13"/>
        <v>0.19458970420319341</v>
      </c>
      <c r="R23" s="67">
        <f t="shared" si="13"/>
        <v>0.20760889026192642</v>
      </c>
      <c r="S23" s="67">
        <f t="shared" si="13"/>
        <v>0.23724423272572345</v>
      </c>
      <c r="T23" s="67">
        <f t="shared" si="13"/>
        <v>0.27503948045837828</v>
      </c>
      <c r="U23" s="67">
        <f t="shared" si="13"/>
        <v>0.21798501609823462</v>
      </c>
      <c r="V23" s="67">
        <f t="shared" si="13"/>
        <v>0.21065447373472213</v>
      </c>
      <c r="W23" s="67">
        <f t="shared" si="13"/>
        <v>0.16992390630324133</v>
      </c>
      <c r="X23" s="67">
        <f t="shared" ref="X23:Y23" si="16">IF(X9=0,0,X9/X$7)</f>
        <v>0.21299404697183866</v>
      </c>
      <c r="Y23" s="67">
        <f t="shared" si="16"/>
        <v>0.19930184483443456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190.30490111779872</v>
      </c>
      <c r="C3" s="62">
        <f t="shared" ref="C3:W3" si="0">SUM(C4,C10)</f>
        <v>189.15726569217543</v>
      </c>
      <c r="D3" s="62">
        <f t="shared" si="0"/>
        <v>136.17841788478069</v>
      </c>
      <c r="E3" s="62">
        <f t="shared" si="0"/>
        <v>122.85219260533103</v>
      </c>
      <c r="F3" s="62">
        <f t="shared" si="0"/>
        <v>54.745485812553738</v>
      </c>
      <c r="G3" s="62">
        <f t="shared" si="0"/>
        <v>286.88804815133273</v>
      </c>
      <c r="H3" s="62">
        <f t="shared" si="0"/>
        <v>293.16878761822869</v>
      </c>
      <c r="I3" s="62">
        <f t="shared" si="0"/>
        <v>272.89071367153912</v>
      </c>
      <c r="J3" s="62">
        <f t="shared" si="0"/>
        <v>251.53310404127254</v>
      </c>
      <c r="K3" s="62">
        <f t="shared" si="0"/>
        <v>217.0680997420464</v>
      </c>
      <c r="L3" s="62">
        <f t="shared" si="0"/>
        <v>184.45047291487532</v>
      </c>
      <c r="M3" s="62">
        <f t="shared" si="0"/>
        <v>196.64135855546002</v>
      </c>
      <c r="N3" s="62">
        <f t="shared" si="0"/>
        <v>195.30060189165951</v>
      </c>
      <c r="O3" s="62">
        <f t="shared" si="0"/>
        <v>236.93490971625107</v>
      </c>
      <c r="P3" s="62">
        <f t="shared" si="0"/>
        <v>230.46001719690457</v>
      </c>
      <c r="Q3" s="62">
        <f t="shared" si="0"/>
        <v>241.89724849527076</v>
      </c>
      <c r="R3" s="62">
        <f t="shared" si="0"/>
        <v>284.72622527944969</v>
      </c>
      <c r="S3" s="62">
        <f t="shared" si="0"/>
        <v>253.27824591573517</v>
      </c>
      <c r="T3" s="62">
        <f t="shared" si="0"/>
        <v>269.36887360275148</v>
      </c>
      <c r="U3" s="62">
        <f t="shared" si="0"/>
        <v>277.39097162510751</v>
      </c>
      <c r="V3" s="62">
        <f t="shared" si="0"/>
        <v>275.59157351676697</v>
      </c>
      <c r="W3" s="62">
        <f t="shared" si="0"/>
        <v>252.59294926913151</v>
      </c>
      <c r="X3" s="62">
        <f t="shared" ref="X3:Y3" si="1">SUM(X4,X10)</f>
        <v>288.16337059329322</v>
      </c>
      <c r="Y3" s="62">
        <f t="shared" si="1"/>
        <v>231.91865864144449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114.78349630894564</v>
      </c>
      <c r="C4" s="71">
        <f t="shared" ref="C4:W4" si="2">SUM(C5:C9)</f>
        <v>114.34033346621621</v>
      </c>
      <c r="D4" s="71">
        <f t="shared" si="2"/>
        <v>81.949818892331677</v>
      </c>
      <c r="E4" s="71">
        <f t="shared" si="2"/>
        <v>78.194466150406726</v>
      </c>
      <c r="F4" s="71">
        <f t="shared" si="2"/>
        <v>35.763633819068602</v>
      </c>
      <c r="G4" s="71">
        <f t="shared" si="2"/>
        <v>176.56830459200827</v>
      </c>
      <c r="H4" s="71">
        <f t="shared" si="2"/>
        <v>183.2683542384967</v>
      </c>
      <c r="I4" s="71">
        <f t="shared" si="2"/>
        <v>144.77746739099462</v>
      </c>
      <c r="J4" s="71">
        <f t="shared" si="2"/>
        <v>154.46074043917622</v>
      </c>
      <c r="K4" s="71">
        <f t="shared" si="2"/>
        <v>123.13792635173061</v>
      </c>
      <c r="L4" s="71">
        <f t="shared" si="2"/>
        <v>109.8105925078921</v>
      </c>
      <c r="M4" s="71">
        <f t="shared" si="2"/>
        <v>123.10916422926749</v>
      </c>
      <c r="N4" s="71">
        <f t="shared" si="2"/>
        <v>128.31509921452704</v>
      </c>
      <c r="O4" s="71">
        <f t="shared" si="2"/>
        <v>156.63292242556008</v>
      </c>
      <c r="P4" s="71">
        <f t="shared" si="2"/>
        <v>148.25050861821762</v>
      </c>
      <c r="Q4" s="71">
        <f t="shared" si="2"/>
        <v>158.01682141526544</v>
      </c>
      <c r="R4" s="71">
        <f t="shared" si="2"/>
        <v>183.36448353555465</v>
      </c>
      <c r="S4" s="71">
        <f t="shared" si="2"/>
        <v>157.92332180194626</v>
      </c>
      <c r="T4" s="71">
        <f t="shared" si="2"/>
        <v>159.99954181758048</v>
      </c>
      <c r="U4" s="71">
        <f t="shared" si="2"/>
        <v>175.752960772927</v>
      </c>
      <c r="V4" s="71">
        <f t="shared" si="2"/>
        <v>166.93655356186545</v>
      </c>
      <c r="W4" s="71">
        <f t="shared" si="2"/>
        <v>152.96098596082649</v>
      </c>
      <c r="X4" s="71">
        <f t="shared" ref="X4:Y4" si="3">SUM(X5:X9)</f>
        <v>183.426044199496</v>
      </c>
      <c r="Y4" s="71">
        <f t="shared" si="3"/>
        <v>152.23477874892262</v>
      </c>
      <c r="DA4" s="186" t="s">
        <v>971</v>
      </c>
    </row>
    <row r="5" spans="1:105" ht="11.45" customHeight="1" x14ac:dyDescent="0.25">
      <c r="A5" s="72" t="s">
        <v>144</v>
      </c>
      <c r="B5" s="73">
        <v>45.405269586147341</v>
      </c>
      <c r="C5" s="73">
        <v>42.70955146938595</v>
      </c>
      <c r="D5" s="73">
        <v>29.947600128317021</v>
      </c>
      <c r="E5" s="73">
        <v>33.219517746773619</v>
      </c>
      <c r="F5" s="73">
        <v>25.096054734279807</v>
      </c>
      <c r="G5" s="73">
        <v>61.274500625401288</v>
      </c>
      <c r="H5" s="73">
        <v>97.304915637104614</v>
      </c>
      <c r="I5" s="73">
        <v>91.906467234801866</v>
      </c>
      <c r="J5" s="73">
        <v>81.033648128180573</v>
      </c>
      <c r="K5" s="73">
        <v>64.972424799763019</v>
      </c>
      <c r="L5" s="73">
        <v>47.91375587640475</v>
      </c>
      <c r="M5" s="73">
        <v>53.307749321036049</v>
      </c>
      <c r="N5" s="73">
        <v>64.18672867754627</v>
      </c>
      <c r="O5" s="73">
        <v>77.080958787548255</v>
      </c>
      <c r="P5" s="73">
        <v>73.632935002066418</v>
      </c>
      <c r="Q5" s="73">
        <v>70.598551935447631</v>
      </c>
      <c r="R5" s="73">
        <v>87.711075587744915</v>
      </c>
      <c r="S5" s="73">
        <v>92.573779588927664</v>
      </c>
      <c r="T5" s="73">
        <v>106.12949668399267</v>
      </c>
      <c r="U5" s="73">
        <v>113.56824811295881</v>
      </c>
      <c r="V5" s="73">
        <v>107.79948266383387</v>
      </c>
      <c r="W5" s="73">
        <v>102.6832589114624</v>
      </c>
      <c r="X5" s="73">
        <v>113.1604256960072</v>
      </c>
      <c r="Y5" s="73">
        <v>80.794084051582303</v>
      </c>
      <c r="DA5" s="187" t="s">
        <v>972</v>
      </c>
    </row>
    <row r="6" spans="1:105" ht="11.45" customHeight="1" x14ac:dyDescent="0.25">
      <c r="A6" s="72" t="s">
        <v>145</v>
      </c>
      <c r="B6" s="73">
        <v>69.378226722798303</v>
      </c>
      <c r="C6" s="73">
        <v>71.630781996830251</v>
      </c>
      <c r="D6" s="73">
        <v>52.002218764014664</v>
      </c>
      <c r="E6" s="73">
        <v>44.974948403633114</v>
      </c>
      <c r="F6" s="73">
        <v>10.667579084788798</v>
      </c>
      <c r="G6" s="73">
        <v>115.29380396660699</v>
      </c>
      <c r="H6" s="73">
        <v>85.963438601392085</v>
      </c>
      <c r="I6" s="73">
        <v>52.871000156192736</v>
      </c>
      <c r="J6" s="73">
        <v>73.427092310995647</v>
      </c>
      <c r="K6" s="73">
        <v>58.165501551967587</v>
      </c>
      <c r="L6" s="73">
        <v>61.896836631487339</v>
      </c>
      <c r="M6" s="73">
        <v>69.80141490823145</v>
      </c>
      <c r="N6" s="73">
        <v>64.128370536980754</v>
      </c>
      <c r="O6" s="73">
        <v>79.551963638011827</v>
      </c>
      <c r="P6" s="73">
        <v>74.617573616151205</v>
      </c>
      <c r="Q6" s="73">
        <v>87.418269479817823</v>
      </c>
      <c r="R6" s="73">
        <v>95.653407947809725</v>
      </c>
      <c r="S6" s="73">
        <v>65.349542213018594</v>
      </c>
      <c r="T6" s="73">
        <v>53.870045133587809</v>
      </c>
      <c r="U6" s="73">
        <v>62.184712659968177</v>
      </c>
      <c r="V6" s="73">
        <v>59.137070898031574</v>
      </c>
      <c r="W6" s="73">
        <v>50.277727049364096</v>
      </c>
      <c r="X6" s="73">
        <v>70.26561850348881</v>
      </c>
      <c r="Y6" s="73">
        <v>71.440694697340334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75.521404808853077</v>
      </c>
      <c r="C10" s="71">
        <f t="shared" ref="C10:W10" si="4">SUM(C11:C15)</f>
        <v>74.816932225959235</v>
      </c>
      <c r="D10" s="71">
        <f t="shared" si="4"/>
        <v>54.228598992449022</v>
      </c>
      <c r="E10" s="71">
        <f t="shared" si="4"/>
        <v>44.657726454924301</v>
      </c>
      <c r="F10" s="71">
        <f t="shared" si="4"/>
        <v>18.981851993485133</v>
      </c>
      <c r="G10" s="71">
        <f t="shared" si="4"/>
        <v>110.31974355932445</v>
      </c>
      <c r="H10" s="71">
        <f t="shared" si="4"/>
        <v>109.90043337973199</v>
      </c>
      <c r="I10" s="71">
        <f t="shared" si="4"/>
        <v>128.1132462805445</v>
      </c>
      <c r="J10" s="71">
        <f t="shared" si="4"/>
        <v>97.072363602096317</v>
      </c>
      <c r="K10" s="71">
        <f t="shared" si="4"/>
        <v>93.930173390315773</v>
      </c>
      <c r="L10" s="71">
        <f t="shared" si="4"/>
        <v>74.639880406983238</v>
      </c>
      <c r="M10" s="71">
        <f t="shared" si="4"/>
        <v>73.532194326192524</v>
      </c>
      <c r="N10" s="71">
        <f t="shared" si="4"/>
        <v>66.985502677132473</v>
      </c>
      <c r="O10" s="71">
        <f t="shared" si="4"/>
        <v>80.301987290690988</v>
      </c>
      <c r="P10" s="71">
        <f t="shared" si="4"/>
        <v>82.209508578686965</v>
      </c>
      <c r="Q10" s="71">
        <f t="shared" si="4"/>
        <v>83.880427080005319</v>
      </c>
      <c r="R10" s="71">
        <f t="shared" si="4"/>
        <v>101.36174174389504</v>
      </c>
      <c r="S10" s="71">
        <f t="shared" si="4"/>
        <v>95.354924113788925</v>
      </c>
      <c r="T10" s="71">
        <f t="shared" si="4"/>
        <v>109.369331785171</v>
      </c>
      <c r="U10" s="71">
        <f t="shared" si="4"/>
        <v>101.63801085218051</v>
      </c>
      <c r="V10" s="71">
        <f t="shared" si="4"/>
        <v>108.65501995490153</v>
      </c>
      <c r="W10" s="71">
        <f t="shared" si="4"/>
        <v>99.631963308305018</v>
      </c>
      <c r="X10" s="71">
        <f t="shared" ref="X10:Y10" si="5">SUM(X11:X15)</f>
        <v>104.7373263937972</v>
      </c>
      <c r="Y10" s="71">
        <f t="shared" si="5"/>
        <v>79.683879892521873</v>
      </c>
      <c r="DA10" s="186" t="s">
        <v>977</v>
      </c>
    </row>
    <row r="11" spans="1:105" ht="11.45" customHeight="1" x14ac:dyDescent="0.25">
      <c r="A11" s="72" t="s">
        <v>144</v>
      </c>
      <c r="B11" s="73">
        <v>5.9465790810925503</v>
      </c>
      <c r="C11" s="73">
        <v>5.5612137928668375</v>
      </c>
      <c r="D11" s="73">
        <v>3.9446612646322539</v>
      </c>
      <c r="E11" s="73">
        <v>3.753827051162749</v>
      </c>
      <c r="F11" s="73">
        <v>2.6339538641724736</v>
      </c>
      <c r="G11" s="73">
        <v>7.5370213006520181</v>
      </c>
      <c r="H11" s="73">
        <v>11.561034491872192</v>
      </c>
      <c r="I11" s="73">
        <v>14.905398629342621</v>
      </c>
      <c r="J11" s="73">
        <v>9.3077964118022258</v>
      </c>
      <c r="K11" s="73">
        <v>9.903671502902494</v>
      </c>
      <c r="L11" s="73">
        <v>6.4989698329675587</v>
      </c>
      <c r="M11" s="73">
        <v>6.1828783659802795</v>
      </c>
      <c r="N11" s="73">
        <v>6.4431939363832251</v>
      </c>
      <c r="O11" s="73">
        <v>7.5862811092702955</v>
      </c>
      <c r="P11" s="73">
        <v>8.1574347313815601</v>
      </c>
      <c r="Q11" s="73">
        <v>6.3271574368653418</v>
      </c>
      <c r="R11" s="73">
        <v>9.6804979290220547</v>
      </c>
      <c r="S11" s="73">
        <v>11.157518777366436</v>
      </c>
      <c r="T11" s="73">
        <v>14.47282489812252</v>
      </c>
      <c r="U11" s="73">
        <v>13.076377854367083</v>
      </c>
      <c r="V11" s="73">
        <v>14.004816562305436</v>
      </c>
      <c r="W11" s="73">
        <v>13.325253556293404</v>
      </c>
      <c r="X11" s="73">
        <v>12.884630193932614</v>
      </c>
      <c r="Y11" s="73">
        <v>8.4242306517710794</v>
      </c>
      <c r="DA11" s="187" t="s">
        <v>978</v>
      </c>
    </row>
    <row r="12" spans="1:105" ht="11.45" customHeight="1" x14ac:dyDescent="0.25">
      <c r="A12" s="72" t="s">
        <v>145</v>
      </c>
      <c r="B12" s="73">
        <v>69.574825727760526</v>
      </c>
      <c r="C12" s="73">
        <v>69.255718433092397</v>
      </c>
      <c r="D12" s="73">
        <v>50.28393772781677</v>
      </c>
      <c r="E12" s="73">
        <v>40.90389940376155</v>
      </c>
      <c r="F12" s="73">
        <v>16.347898129312661</v>
      </c>
      <c r="G12" s="73">
        <v>102.78272225867244</v>
      </c>
      <c r="H12" s="73">
        <v>98.339398887859801</v>
      </c>
      <c r="I12" s="73">
        <v>113.20784765120189</v>
      </c>
      <c r="J12" s="73">
        <v>87.764567190294088</v>
      </c>
      <c r="K12" s="73">
        <v>84.026501887413275</v>
      </c>
      <c r="L12" s="73">
        <v>68.140910574015678</v>
      </c>
      <c r="M12" s="73">
        <v>67.349315960212252</v>
      </c>
      <c r="N12" s="73">
        <v>60.542308740749242</v>
      </c>
      <c r="O12" s="73">
        <v>72.715706181420686</v>
      </c>
      <c r="P12" s="73">
        <v>74.052073847305408</v>
      </c>
      <c r="Q12" s="73">
        <v>77.553269643139984</v>
      </c>
      <c r="R12" s="73">
        <v>91.681243814872985</v>
      </c>
      <c r="S12" s="73">
        <v>84.197405336422491</v>
      </c>
      <c r="T12" s="73">
        <v>94.896506887048474</v>
      </c>
      <c r="U12" s="73">
        <v>88.561632997813433</v>
      </c>
      <c r="V12" s="73">
        <v>94.650203392596097</v>
      </c>
      <c r="W12" s="73">
        <v>86.306709752011614</v>
      </c>
      <c r="X12" s="73">
        <v>91.852696199864596</v>
      </c>
      <c r="Y12" s="73">
        <v>71.25964924075079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26265.109449095406</v>
      </c>
      <c r="C19" s="62">
        <f>IF(C3=0,0,C3/MBunk_act!C7*100)</f>
        <v>28009.314711347884</v>
      </c>
      <c r="D19" s="62">
        <f>IF(D3=0,0,D3/MBunk_act!D7*100)</f>
        <v>29106.721872354854</v>
      </c>
      <c r="E19" s="62">
        <f>IF(E3=0,0,E3/MBunk_act!E7*100)</f>
        <v>33965.21775099005</v>
      </c>
      <c r="F19" s="62">
        <f>IF(F3=0,0,F3/MBunk_act!F7*100)</f>
        <v>11397.094138923554</v>
      </c>
      <c r="G19" s="62">
        <f>IF(G3=0,0,G3/MBunk_act!G7*100)</f>
        <v>61750.40264303008</v>
      </c>
      <c r="H19" s="62">
        <f>IF(H3=0,0,H3/MBunk_act!H7*100)</f>
        <v>57661.356409161635</v>
      </c>
      <c r="I19" s="62">
        <f>IF(I3=0,0,I3/MBunk_act!I7*100)</f>
        <v>50924.702712320526</v>
      </c>
      <c r="J19" s="62">
        <f>IF(J3=0,0,J3/MBunk_act!J7*100)</f>
        <v>39357.701756589013</v>
      </c>
      <c r="K19" s="62">
        <f>IF(K3=0,0,K3/MBunk_act!K7*100)</f>
        <v>43250.737670342773</v>
      </c>
      <c r="L19" s="62">
        <f>IF(L3=0,0,L3/MBunk_act!L7*100)</f>
        <v>40739.847182315112</v>
      </c>
      <c r="M19" s="62">
        <f>IF(M3=0,0,M3/MBunk_act!M7*100)</f>
        <v>19383.558841317925</v>
      </c>
      <c r="N19" s="62">
        <f>IF(N3=0,0,N3/MBunk_act!N7*100)</f>
        <v>16356.519253955701</v>
      </c>
      <c r="O19" s="62">
        <f>IF(O3=0,0,O3/MBunk_act!O7*100)</f>
        <v>21592.123883189244</v>
      </c>
      <c r="P19" s="62">
        <f>IF(P3=0,0,P3/MBunk_act!P7*100)</f>
        <v>19884.418885701663</v>
      </c>
      <c r="Q19" s="62">
        <f>IF(Q3=0,0,Q3/MBunk_act!Q7*100)</f>
        <v>22492.277640550048</v>
      </c>
      <c r="R19" s="62">
        <f>IF(R3=0,0,R3/MBunk_act!R7*100)</f>
        <v>19991.23929910372</v>
      </c>
      <c r="S19" s="62">
        <f>IF(S3=0,0,S3/MBunk_act!S7*100)</f>
        <v>23256.250795696094</v>
      </c>
      <c r="T19" s="62">
        <f>IF(T3=0,0,T3/MBunk_act!T7*100)</f>
        <v>25970.223693939341</v>
      </c>
      <c r="U19" s="62">
        <f>IF(U3=0,0,U3/MBunk_act!U7*100)</f>
        <v>23119.362940397568</v>
      </c>
      <c r="V19" s="62">
        <f>IF(V3=0,0,V3/MBunk_act!V7*100)</f>
        <v>25554.674257585917</v>
      </c>
      <c r="W19" s="62">
        <f>IF(W3=0,0,W3/MBunk_act!W7*100)</f>
        <v>22472.502379352078</v>
      </c>
      <c r="X19" s="62">
        <f>IF(X3=0,0,X3/MBunk_act!X7*100)</f>
        <v>24478.377000762241</v>
      </c>
      <c r="Y19" s="62">
        <f>IF(Y3=0,0,Y3/MBunk_act!Y7*100)</f>
        <v>16810.133878895918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20883.661699524164</v>
      </c>
      <c r="C20" s="63">
        <f>IF(C4=0,0,C4/MBunk_act!C8*100)</f>
        <v>22277.707445926197</v>
      </c>
      <c r="D20" s="63">
        <f>IF(D4=0,0,D4/MBunk_act!D8*100)</f>
        <v>23161.70520618957</v>
      </c>
      <c r="E20" s="63">
        <f>IF(E4=0,0,E4/MBunk_act!E8*100)</f>
        <v>27042.124426924631</v>
      </c>
      <c r="F20" s="63">
        <f>IF(F4=0,0,F4/MBunk_act!F8*100)</f>
        <v>9040.1009625790502</v>
      </c>
      <c r="G20" s="63">
        <f>IF(G4=0,0,G4/MBunk_act!G8*100)</f>
        <v>51965.020201719417</v>
      </c>
      <c r="H20" s="63">
        <f>IF(H4=0,0,H4/MBunk_act!H8*100)</f>
        <v>47919.308629186591</v>
      </c>
      <c r="I20" s="63">
        <f>IF(I4=0,0,I4/MBunk_act!I8*100)</f>
        <v>46452.01747708147</v>
      </c>
      <c r="J20" s="63">
        <f>IF(J4=0,0,J4/MBunk_act!J8*100)</f>
        <v>33557.484882079276</v>
      </c>
      <c r="K20" s="63">
        <f>IF(K4=0,0,K4/MBunk_act!K8*100)</f>
        <v>35540.205311127967</v>
      </c>
      <c r="L20" s="63">
        <f>IF(L4=0,0,L4/MBunk_act!L8*100)</f>
        <v>34082.451871061603</v>
      </c>
      <c r="M20" s="63">
        <f>IF(M4=0,0,M4/MBunk_act!M8*100)</f>
        <v>15598.52366456516</v>
      </c>
      <c r="N20" s="63">
        <f>IF(N4=0,0,N4/MBunk_act!N8*100)</f>
        <v>13175.982816199423</v>
      </c>
      <c r="O20" s="63">
        <f>IF(O4=0,0,O4/MBunk_act!O8*100)</f>
        <v>17424.315541376283</v>
      </c>
      <c r="P20" s="63">
        <f>IF(P4=0,0,P4/MBunk_act!P8*100)</f>
        <v>16055.930614598079</v>
      </c>
      <c r="Q20" s="63">
        <f>IF(Q4=0,0,Q4/MBunk_act!Q8*100)</f>
        <v>18242.680489829108</v>
      </c>
      <c r="R20" s="63">
        <f>IF(R4=0,0,R4/MBunk_act!R8*100)</f>
        <v>16247.549639104691</v>
      </c>
      <c r="S20" s="63">
        <f>IF(S4=0,0,S4/MBunk_act!S8*100)</f>
        <v>19010.895860226898</v>
      </c>
      <c r="T20" s="63">
        <f>IF(T4=0,0,T4/MBunk_act!T8*100)</f>
        <v>21278.091059529685</v>
      </c>
      <c r="U20" s="63">
        <f>IF(U4=0,0,U4/MBunk_act!U8*100)</f>
        <v>18731.437886524785</v>
      </c>
      <c r="V20" s="63">
        <f>IF(V4=0,0,V4/MBunk_act!V8*100)</f>
        <v>19610.501780519186</v>
      </c>
      <c r="W20" s="63">
        <f>IF(W4=0,0,W4/MBunk_act!W8*100)</f>
        <v>16394.303826509007</v>
      </c>
      <c r="X20" s="63">
        <f>IF(X4=0,0,X4/MBunk_act!X8*100)</f>
        <v>19798.251028574516</v>
      </c>
      <c r="Y20" s="63">
        <f>IF(Y4=0,0,Y4/MBunk_act!Y8*100)</f>
        <v>13780.993702105476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43174.578700586593</v>
      </c>
      <c r="C21" s="64">
        <f>IF(C10=0,0,C10/MBunk_act!C9*100)</f>
        <v>46158.502671996663</v>
      </c>
      <c r="D21" s="64">
        <f>IF(D10=0,0,D10/MBunk_act!D9*100)</f>
        <v>47551.010577106026</v>
      </c>
      <c r="E21" s="64">
        <f>IF(E10=0,0,E10/MBunk_act!E9*100)</f>
        <v>61561.201035157981</v>
      </c>
      <c r="F21" s="64">
        <f>IF(F10=0,0,F10/MBunk_act!F9*100)</f>
        <v>22401.430333964872</v>
      </c>
      <c r="G21" s="64">
        <f>IF(G10=0,0,G10/MBunk_act!G9*100)</f>
        <v>88390.147872225338</v>
      </c>
      <c r="H21" s="64">
        <f>IF(H10=0,0,H10/MBunk_act!H9*100)</f>
        <v>87236.413224108575</v>
      </c>
      <c r="I21" s="64">
        <f>IF(I10=0,0,I10/MBunk_act!I9*100)</f>
        <v>57142.393523882478</v>
      </c>
      <c r="J21" s="64">
        <f>IF(J10=0,0,J10/MBunk_act!J9*100)</f>
        <v>54288.602077142139</v>
      </c>
      <c r="K21" s="64">
        <f>IF(K10=0,0,K10/MBunk_act!K9*100)</f>
        <v>60441.01551420505</v>
      </c>
      <c r="L21" s="64">
        <f>IF(L10=0,0,L10/MBunk_act!L9*100)</f>
        <v>57168.588174863282</v>
      </c>
      <c r="M21" s="64">
        <f>IF(M10=0,0,M10/MBunk_act!M9*100)</f>
        <v>32646.297633266233</v>
      </c>
      <c r="N21" s="64">
        <f>IF(N10=0,0,N10/MBunk_act!N9*100)</f>
        <v>30424.86052729631</v>
      </c>
      <c r="O21" s="64">
        <f>IF(O10=0,0,O10/MBunk_act!O9*100)</f>
        <v>40477.240201368521</v>
      </c>
      <c r="P21" s="64">
        <f>IF(P10=0,0,P10/MBunk_act!P9*100)</f>
        <v>34884.795289267153</v>
      </c>
      <c r="Q21" s="64">
        <f>IF(Q10=0,0,Q10/MBunk_act!Q9*100)</f>
        <v>40081.436903598289</v>
      </c>
      <c r="R21" s="64">
        <f>IF(R10=0,0,R10/MBunk_act!R9*100)</f>
        <v>34279.964605900488</v>
      </c>
      <c r="S21" s="64">
        <f>IF(S10=0,0,S10/MBunk_act!S9*100)</f>
        <v>36905.345334061829</v>
      </c>
      <c r="T21" s="64">
        <f>IF(T10=0,0,T10/MBunk_act!T9*100)</f>
        <v>38337.942345569747</v>
      </c>
      <c r="U21" s="64">
        <f>IF(U10=0,0,U10/MBunk_act!U9*100)</f>
        <v>38860.918033432565</v>
      </c>
      <c r="V21" s="64">
        <f>IF(V10=0,0,V10/MBunk_act!V9*100)</f>
        <v>47828.143550388479</v>
      </c>
      <c r="W21" s="64">
        <f>IF(W10=0,0,W10/MBunk_act!W9*100)</f>
        <v>52164.424023699459</v>
      </c>
      <c r="X21" s="64">
        <f>IF(X10=0,0,X10/MBunk_act!X9*100)</f>
        <v>41771.287546381587</v>
      </c>
      <c r="Y21" s="64">
        <f>IF(Y10=0,0,Y10/MBunk_act!Y9*100)</f>
        <v>28979.750037285561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40.990788414151439</v>
      </c>
      <c r="C23" s="62">
        <f>IF(C3=0,0,C3/MBunk_act!C3*1000)</f>
        <v>42.199465040512237</v>
      </c>
      <c r="D23" s="62">
        <f>IF(D3=0,0,D3/MBunk_act!D3*1000)</f>
        <v>41.894932289684135</v>
      </c>
      <c r="E23" s="62">
        <f>IF(E3=0,0,E3/MBunk_act!E3*1000)</f>
        <v>48.560653434961992</v>
      </c>
      <c r="F23" s="62">
        <f>IF(F3=0,0,F3/MBunk_act!F3*1000)</f>
        <v>16.652589894293577</v>
      </c>
      <c r="G23" s="62">
        <f>IF(G3=0,0,G3/MBunk_act!G3*1000)</f>
        <v>67.022407587089617</v>
      </c>
      <c r="H23" s="62">
        <f>IF(H3=0,0,H3/MBunk_act!H3*1000)</f>
        <v>64.725156986587251</v>
      </c>
      <c r="I23" s="62">
        <f>IF(I3=0,0,I3/MBunk_act!I3*1000)</f>
        <v>39.016254070252103</v>
      </c>
      <c r="J23" s="62">
        <f>IF(J3=0,0,J3/MBunk_act!J3*1000)</f>
        <v>36.484269471878775</v>
      </c>
      <c r="K23" s="62">
        <f>IF(K3=0,0,K3/MBunk_act!K3*1000)</f>
        <v>46.809964601326485</v>
      </c>
      <c r="L23" s="62">
        <f>IF(L3=0,0,L3/MBunk_act!L3*1000)</f>
        <v>38.577547864154702</v>
      </c>
      <c r="M23" s="62">
        <f>IF(M3=0,0,M3/MBunk_act!M3*1000)</f>
        <v>24.00283100638698</v>
      </c>
      <c r="N23" s="62">
        <f>IF(N3=0,0,N3/MBunk_act!N3*1000)</f>
        <v>19.326917313370945</v>
      </c>
      <c r="O23" s="62">
        <f>IF(O3=0,0,O3/MBunk_act!O3*1000)</f>
        <v>24.99133680084816</v>
      </c>
      <c r="P23" s="62">
        <f>IF(P3=0,0,P3/MBunk_act!P3*1000)</f>
        <v>22.932190720219776</v>
      </c>
      <c r="Q23" s="62">
        <f>IF(Q3=0,0,Q3/MBunk_act!Q3*1000)</f>
        <v>23.187136062325255</v>
      </c>
      <c r="R23" s="62">
        <f>IF(R3=0,0,R3/MBunk_act!R3*1000)</f>
        <v>20.066109533679235</v>
      </c>
      <c r="S23" s="62">
        <f>IF(S3=0,0,S3/MBunk_act!S3*1000)</f>
        <v>21.796125182391886</v>
      </c>
      <c r="T23" s="62">
        <f>IF(T3=0,0,T3/MBunk_act!T3*1000)</f>
        <v>24.111205505461264</v>
      </c>
      <c r="U23" s="62">
        <f>IF(U3=0,0,U3/MBunk_act!U3*1000)</f>
        <v>24.391671545243948</v>
      </c>
      <c r="V23" s="62">
        <f>IF(V3=0,0,V3/MBunk_act!V3*1000)</f>
        <v>24.576511068209122</v>
      </c>
      <c r="W23" s="62">
        <f>IF(W3=0,0,W3/MBunk_act!W3*1000)</f>
        <v>22.862883994416872</v>
      </c>
      <c r="X23" s="62">
        <f>IF(X3=0,0,X3/MBunk_act!X3*1000)</f>
        <v>25.222740535207276</v>
      </c>
      <c r="Y23" s="62">
        <f>IF(Y3=0,0,Y3/MBunk_act!Y3*1000)</f>
        <v>16.625451387438133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34.385813932932031</v>
      </c>
      <c r="C24" s="63">
        <f>IF(C4=0,0,C4/MBunk_act!C4*1000)</f>
        <v>35.464883530385592</v>
      </c>
      <c r="D24" s="63">
        <f>IF(D4=0,0,D4/MBunk_act!D4*1000)</f>
        <v>35.190657783013897</v>
      </c>
      <c r="E24" s="63">
        <f>IF(E4=0,0,E4/MBunk_act!E4*1000)</f>
        <v>40.833900390064059</v>
      </c>
      <c r="F24" s="63">
        <f>IF(F4=0,0,F4/MBunk_act!F4*1000)</f>
        <v>13.62085373840822</v>
      </c>
      <c r="G24" s="63">
        <f>IF(G4=0,0,G4/MBunk_act!G4*1000)</f>
        <v>78.948441425591469</v>
      </c>
      <c r="H24" s="63">
        <f>IF(H4=0,0,H4/MBunk_act!H4*1000)</f>
        <v>72.256634874468531</v>
      </c>
      <c r="I24" s="63">
        <f>IF(I4=0,0,I4/MBunk_act!I4*1000)</f>
        <v>68.481329813928639</v>
      </c>
      <c r="J24" s="63">
        <f>IF(J4=0,0,J4/MBunk_act!J4*1000)</f>
        <v>47.646868876521374</v>
      </c>
      <c r="K24" s="63">
        <f>IF(K4=0,0,K4/MBunk_act!K4*1000)</f>
        <v>50.097654602160496</v>
      </c>
      <c r="L24" s="63">
        <f>IF(L4=0,0,L4/MBunk_act!L4*1000)</f>
        <v>47.895779087052993</v>
      </c>
      <c r="M24" s="63">
        <f>IF(M4=0,0,M4/MBunk_act!M4*1000)</f>
        <v>23.478501068212395</v>
      </c>
      <c r="N24" s="63">
        <f>IF(N4=0,0,N4/MBunk_act!N4*1000)</f>
        <v>19.647341340136769</v>
      </c>
      <c r="O24" s="63">
        <f>IF(O4=0,0,O4/MBunk_act!O4*1000)</f>
        <v>25.88045069025285</v>
      </c>
      <c r="P24" s="63">
        <f>IF(P4=0,0,P4/MBunk_act!P4*1000)</f>
        <v>24.153469292826067</v>
      </c>
      <c r="Q24" s="63">
        <f>IF(Q4=0,0,Q4/MBunk_act!Q4*1000)</f>
        <v>25.086357879137385</v>
      </c>
      <c r="R24" s="63">
        <f>IF(R4=0,0,R4/MBunk_act!R4*1000)</f>
        <v>21.699481031169483</v>
      </c>
      <c r="S24" s="63">
        <f>IF(S4=0,0,S4/MBunk_act!S4*1000)</f>
        <v>24.963060356195815</v>
      </c>
      <c r="T24" s="63">
        <f>IF(T4=0,0,T4/MBunk_act!T4*1000)</f>
        <v>29.203016473551898</v>
      </c>
      <c r="U24" s="63">
        <f>IF(U4=0,0,U4/MBunk_act!U4*1000)</f>
        <v>26.354873905664796</v>
      </c>
      <c r="V24" s="63">
        <f>IF(V4=0,0,V4/MBunk_act!V4*1000)</f>
        <v>24.691285452000294</v>
      </c>
      <c r="W24" s="63">
        <f>IF(W4=0,0,W4/MBunk_act!W4*1000)</f>
        <v>21.702572088500034</v>
      </c>
      <c r="X24" s="63">
        <f>IF(X4=0,0,X4/MBunk_act!X4*1000)</f>
        <v>28.925406164416394</v>
      </c>
      <c r="Y24" s="63">
        <f>IF(Y4=0,0,Y4/MBunk_act!Y4*1000)</f>
        <v>18.788719960479519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57.892106589032188</v>
      </c>
      <c r="C25" s="64">
        <f>IF(C10=0,0,C10/MBunk_act!C5*1000)</f>
        <v>59.453409684272088</v>
      </c>
      <c r="D25" s="64">
        <f>IF(D10=0,0,D10/MBunk_act!D5*1000)</f>
        <v>58.8330628128139</v>
      </c>
      <c r="E25" s="64">
        <f>IF(E10=0,0,E10/MBunk_act!E5*1000)</f>
        <v>72.622319278637391</v>
      </c>
      <c r="F25" s="64">
        <f>IF(F10=0,0,F10/MBunk_act!F5*1000)</f>
        <v>28.679864435991309</v>
      </c>
      <c r="G25" s="64">
        <f>IF(G10=0,0,G10/MBunk_act!G5*1000)</f>
        <v>53.97305463804507</v>
      </c>
      <c r="H25" s="64">
        <f>IF(H10=0,0,H10/MBunk_act!H5*1000)</f>
        <v>55.140788161281534</v>
      </c>
      <c r="I25" s="64">
        <f>IF(I10=0,0,I10/MBunk_act!I5*1000)</f>
        <v>26.251816654174998</v>
      </c>
      <c r="J25" s="64">
        <f>IF(J10=0,0,J10/MBunk_act!J5*1000)</f>
        <v>26.576909234699606</v>
      </c>
      <c r="K25" s="64">
        <f>IF(K10=0,0,K10/MBunk_act!K5*1000)</f>
        <v>43.101826872316231</v>
      </c>
      <c r="L25" s="64">
        <f>IF(L10=0,0,L10/MBunk_act!L5*1000)</f>
        <v>29.992815245352503</v>
      </c>
      <c r="M25" s="64">
        <f>IF(M10=0,0,M10/MBunk_act!M5*1000)</f>
        <v>24.935137954495922</v>
      </c>
      <c r="N25" s="64">
        <f>IF(N10=0,0,N10/MBunk_act!N5*1000)</f>
        <v>18.741425472837928</v>
      </c>
      <c r="O25" s="64">
        <f>IF(O10=0,0,O10/MBunk_act!O5*1000)</f>
        <v>23.421830203099475</v>
      </c>
      <c r="P25" s="64">
        <f>IF(P10=0,0,P10/MBunk_act!P5*1000)</f>
        <v>21.015916358843995</v>
      </c>
      <c r="Q25" s="64">
        <f>IF(Q10=0,0,Q10/MBunk_act!Q5*1000)</f>
        <v>20.292952898886984</v>
      </c>
      <c r="R25" s="64">
        <f>IF(R10=0,0,R10/MBunk_act!R5*1000)</f>
        <v>17.661208553132809</v>
      </c>
      <c r="S25" s="64">
        <f>IF(S10=0,0,S10/MBunk_act!S5*1000)</f>
        <v>18.011705231226369</v>
      </c>
      <c r="T25" s="64">
        <f>IF(T10=0,0,T10/MBunk_act!T5*1000)</f>
        <v>19.210969279501796</v>
      </c>
      <c r="U25" s="64">
        <f>IF(U10=0,0,U10/MBunk_act!U5*1000)</f>
        <v>21.608299797831034</v>
      </c>
      <c r="V25" s="64">
        <f>IF(V10=0,0,V10/MBunk_act!V5*1000)</f>
        <v>24.402237084415564</v>
      </c>
      <c r="W25" s="64">
        <f>IF(W10=0,0,W10/MBunk_act!W5*1000)</f>
        <v>24.907314904818026</v>
      </c>
      <c r="X25" s="64">
        <f>IF(X10=0,0,X10/MBunk_act!X5*1000)</f>
        <v>20.603804346680079</v>
      </c>
      <c r="Y25" s="64">
        <f>IF(Y10=0,0,Y10/MBunk_act!Y5*1000)</f>
        <v>13.627792746392053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0.60315575497393348</v>
      </c>
      <c r="C28" s="77">
        <f t="shared" si="6"/>
        <v>0.60447233178072923</v>
      </c>
      <c r="D28" s="77">
        <f t="shared" si="6"/>
        <v>0.60178272126548471</v>
      </c>
      <c r="E28" s="77">
        <f t="shared" si="6"/>
        <v>0.63649223096579532</v>
      </c>
      <c r="F28" s="77">
        <f t="shared" si="6"/>
        <v>0.65327091883925903</v>
      </c>
      <c r="G28" s="77">
        <f t="shared" si="6"/>
        <v>0.6154606499984584</v>
      </c>
      <c r="H28" s="77">
        <f t="shared" si="6"/>
        <v>0.6251291473673285</v>
      </c>
      <c r="I28" s="77">
        <f t="shared" si="6"/>
        <v>0.53053277424915923</v>
      </c>
      <c r="J28" s="77">
        <f t="shared" si="6"/>
        <v>0.61407718490140251</v>
      </c>
      <c r="K28" s="77">
        <f t="shared" si="6"/>
        <v>0.56727785657156427</v>
      </c>
      <c r="L28" s="77">
        <f t="shared" si="6"/>
        <v>0.59533917572859874</v>
      </c>
      <c r="M28" s="77">
        <f t="shared" si="6"/>
        <v>0.62605936581009858</v>
      </c>
      <c r="N28" s="77">
        <f t="shared" si="6"/>
        <v>0.65701333212330904</v>
      </c>
      <c r="O28" s="77">
        <f t="shared" si="6"/>
        <v>0.66107996754526721</v>
      </c>
      <c r="P28" s="77">
        <f t="shared" si="6"/>
        <v>0.64328081903922052</v>
      </c>
      <c r="Q28" s="77">
        <f t="shared" si="6"/>
        <v>0.65323943285098907</v>
      </c>
      <c r="R28" s="77">
        <f t="shared" si="6"/>
        <v>0.64400279024381502</v>
      </c>
      <c r="S28" s="77">
        <f t="shared" si="6"/>
        <v>0.62351711743331806</v>
      </c>
      <c r="T28" s="77">
        <f t="shared" si="6"/>
        <v>0.59397932536755482</v>
      </c>
      <c r="U28" s="77">
        <f t="shared" si="6"/>
        <v>0.63359293831111496</v>
      </c>
      <c r="V28" s="77">
        <f t="shared" si="6"/>
        <v>0.60573896157862406</v>
      </c>
      <c r="W28" s="77">
        <f t="shared" si="6"/>
        <v>0.60556316557296441</v>
      </c>
      <c r="X28" s="77">
        <f t="shared" ref="X28:Y28" si="8">IF(X4=0,0,X4/X$3)</f>
        <v>0.63653490664633805</v>
      </c>
      <c r="Y28" s="77">
        <f t="shared" si="8"/>
        <v>0.65641453620290069</v>
      </c>
      <c r="DA28" s="184"/>
    </row>
    <row r="29" spans="1:105" ht="11.45" customHeight="1" x14ac:dyDescent="0.25">
      <c r="A29" s="57" t="s">
        <v>167</v>
      </c>
      <c r="B29" s="78">
        <f>IF(B10=0,0,B10/B$3)</f>
        <v>0.39684424502606652</v>
      </c>
      <c r="C29" s="78">
        <f t="shared" ref="C29:W29" si="9">IF(C10=0,0,C10/C$3)</f>
        <v>0.39552766821927088</v>
      </c>
      <c r="D29" s="78">
        <f t="shared" si="9"/>
        <v>0.39821727873451535</v>
      </c>
      <c r="E29" s="78">
        <f t="shared" si="9"/>
        <v>0.36350776903420468</v>
      </c>
      <c r="F29" s="78">
        <f t="shared" si="9"/>
        <v>0.34672908116074086</v>
      </c>
      <c r="G29" s="78">
        <f t="shared" si="9"/>
        <v>0.3845393500015416</v>
      </c>
      <c r="H29" s="78">
        <f t="shared" si="9"/>
        <v>0.37487085263267156</v>
      </c>
      <c r="I29" s="78">
        <f t="shared" si="9"/>
        <v>0.46946722575084077</v>
      </c>
      <c r="J29" s="78">
        <f t="shared" si="9"/>
        <v>0.38592281509859755</v>
      </c>
      <c r="K29" s="78">
        <f t="shared" si="9"/>
        <v>0.43272214342843562</v>
      </c>
      <c r="L29" s="78">
        <f t="shared" si="9"/>
        <v>0.40466082427140138</v>
      </c>
      <c r="M29" s="78">
        <f t="shared" si="9"/>
        <v>0.37394063418990148</v>
      </c>
      <c r="N29" s="78">
        <f t="shared" si="9"/>
        <v>0.34298666787669102</v>
      </c>
      <c r="O29" s="78">
        <f t="shared" si="9"/>
        <v>0.33892003245473273</v>
      </c>
      <c r="P29" s="78">
        <f t="shared" si="9"/>
        <v>0.35671918096077954</v>
      </c>
      <c r="Q29" s="78">
        <f t="shared" si="9"/>
        <v>0.34676056714901093</v>
      </c>
      <c r="R29" s="78">
        <f t="shared" si="9"/>
        <v>0.35599720975618498</v>
      </c>
      <c r="S29" s="78">
        <f t="shared" si="9"/>
        <v>0.376482882566682</v>
      </c>
      <c r="T29" s="78">
        <f t="shared" si="9"/>
        <v>0.40602067463244512</v>
      </c>
      <c r="U29" s="78">
        <f t="shared" si="9"/>
        <v>0.36640706168888498</v>
      </c>
      <c r="V29" s="78">
        <f t="shared" si="9"/>
        <v>0.394261038421376</v>
      </c>
      <c r="W29" s="78">
        <f t="shared" si="9"/>
        <v>0.39443683442703553</v>
      </c>
      <c r="X29" s="78">
        <f t="shared" ref="X29:Y29" si="10">IF(X10=0,0,X10/X$3)</f>
        <v>0.36346509335366195</v>
      </c>
      <c r="Y29" s="78">
        <f t="shared" si="10"/>
        <v>0.34358546379709937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609.43904315999976</v>
      </c>
      <c r="C3" s="62">
        <f t="shared" ref="C3:W3" si="1">SUM(C4:C5)</f>
        <v>606.14573112000016</v>
      </c>
      <c r="D3" s="62">
        <f t="shared" si="1"/>
        <v>436.44996431999982</v>
      </c>
      <c r="E3" s="62">
        <f t="shared" si="1"/>
        <v>392.83952651999999</v>
      </c>
      <c r="F3" s="62">
        <f t="shared" si="1"/>
        <v>173.41117668000001</v>
      </c>
      <c r="G3" s="62">
        <f t="shared" si="1"/>
        <v>920.01246156000002</v>
      </c>
      <c r="H3" s="62">
        <f t="shared" si="1"/>
        <v>934.83162432000017</v>
      </c>
      <c r="I3" s="62">
        <f t="shared" si="1"/>
        <v>869.40263988000015</v>
      </c>
      <c r="J3" s="62">
        <f t="shared" si="1"/>
        <v>802.4671548</v>
      </c>
      <c r="K3" s="62">
        <f t="shared" si="1"/>
        <v>693.0820263600001</v>
      </c>
      <c r="L3" s="62">
        <f t="shared" si="1"/>
        <v>590.2092021599999</v>
      </c>
      <c r="M3" s="62">
        <f t="shared" si="1"/>
        <v>629.01319608000017</v>
      </c>
      <c r="N3" s="62">
        <f t="shared" si="1"/>
        <v>623.12930856000003</v>
      </c>
      <c r="O3" s="62">
        <f t="shared" si="1"/>
        <v>756.10928952000017</v>
      </c>
      <c r="P3" s="62">
        <f t="shared" si="1"/>
        <v>735.52434264000021</v>
      </c>
      <c r="Q3" s="62">
        <f t="shared" si="1"/>
        <v>773.25976511999988</v>
      </c>
      <c r="R3" s="62">
        <f t="shared" si="1"/>
        <v>909.22297392000019</v>
      </c>
      <c r="S3" s="62">
        <f t="shared" si="1"/>
        <v>806.43725604000019</v>
      </c>
      <c r="T3" s="62">
        <f t="shared" si="1"/>
        <v>856.24929900000006</v>
      </c>
      <c r="U3" s="62">
        <f t="shared" si="1"/>
        <v>881.41074372000014</v>
      </c>
      <c r="V3" s="62">
        <f t="shared" si="1"/>
        <v>876.24840528000004</v>
      </c>
      <c r="W3" s="62">
        <f t="shared" si="1"/>
        <v>802.52022131999979</v>
      </c>
      <c r="X3" s="62">
        <f t="shared" ref="X3:Y3" si="2">SUM(X4:X5)</f>
        <v>916.40243808000014</v>
      </c>
      <c r="Y3" s="62">
        <f t="shared" si="2"/>
        <v>739.22491403999993</v>
      </c>
      <c r="DA3" s="172" t="s">
        <v>987</v>
      </c>
    </row>
    <row r="4" spans="1:105" ht="11.45" customHeight="1" x14ac:dyDescent="0.25">
      <c r="A4" s="55" t="s">
        <v>166</v>
      </c>
      <c r="B4" s="63">
        <v>365.60978208885035</v>
      </c>
      <c r="C4" s="63">
        <v>364.54462239135086</v>
      </c>
      <c r="D4" s="63">
        <v>261.34371725487114</v>
      </c>
      <c r="E4" s="63">
        <v>248.7195994157936</v>
      </c>
      <c r="F4" s="63">
        <v>112.36256530081826</v>
      </c>
      <c r="G4" s="63">
        <v>563.6311864244409</v>
      </c>
      <c r="H4" s="63">
        <v>580.37539609862586</v>
      </c>
      <c r="I4" s="63">
        <v>456.41275485043235</v>
      </c>
      <c r="J4" s="63">
        <v>489.27183301411742</v>
      </c>
      <c r="K4" s="63">
        <v>390.06181932925125</v>
      </c>
      <c r="L4" s="63">
        <v>349.23038593071101</v>
      </c>
      <c r="M4" s="63">
        <v>391.58025616711393</v>
      </c>
      <c r="N4" s="63">
        <v>406.94743396523353</v>
      </c>
      <c r="O4" s="63">
        <v>496.93217255686704</v>
      </c>
      <c r="P4" s="63">
        <v>470.24465733485181</v>
      </c>
      <c r="Q4" s="63">
        <v>502.31245022667963</v>
      </c>
      <c r="R4" s="63">
        <v>582.0893166900596</v>
      </c>
      <c r="S4" s="63">
        <v>498.97326280694438</v>
      </c>
      <c r="T4" s="63">
        <v>503.82850899010299</v>
      </c>
      <c r="U4" s="63">
        <v>553.85100317142815</v>
      </c>
      <c r="V4" s="63">
        <v>526.07774009592231</v>
      </c>
      <c r="W4" s="63">
        <v>481.49563050254335</v>
      </c>
      <c r="X4" s="63">
        <v>578.77261495531081</v>
      </c>
      <c r="Y4" s="63">
        <v>482.1666003229393</v>
      </c>
      <c r="DA4" s="181" t="s">
        <v>988</v>
      </c>
    </row>
    <row r="5" spans="1:105" ht="11.45" customHeight="1" x14ac:dyDescent="0.25">
      <c r="A5" s="57" t="s">
        <v>167</v>
      </c>
      <c r="B5" s="64">
        <v>243.8292610711494</v>
      </c>
      <c r="C5" s="64">
        <v>241.60110872864931</v>
      </c>
      <c r="D5" s="64">
        <v>175.10624706512868</v>
      </c>
      <c r="E5" s="64">
        <v>144.1199271042064</v>
      </c>
      <c r="F5" s="64">
        <v>61.04861137918175</v>
      </c>
      <c r="G5" s="64">
        <v>356.38127513555912</v>
      </c>
      <c r="H5" s="64">
        <v>354.45622822137432</v>
      </c>
      <c r="I5" s="64">
        <v>412.9898850295678</v>
      </c>
      <c r="J5" s="64">
        <v>313.19532178588258</v>
      </c>
      <c r="K5" s="64">
        <v>303.02020703074891</v>
      </c>
      <c r="L5" s="64">
        <v>240.97881622928895</v>
      </c>
      <c r="M5" s="64">
        <v>237.43293991288624</v>
      </c>
      <c r="N5" s="64">
        <v>216.18187459476653</v>
      </c>
      <c r="O5" s="64">
        <v>259.17711696313313</v>
      </c>
      <c r="P5" s="64">
        <v>265.2796853051484</v>
      </c>
      <c r="Q5" s="64">
        <v>270.94731489332031</v>
      </c>
      <c r="R5" s="64">
        <v>327.13365722994052</v>
      </c>
      <c r="S5" s="64">
        <v>307.46399323305587</v>
      </c>
      <c r="T5" s="64">
        <v>352.42079000989702</v>
      </c>
      <c r="U5" s="64">
        <v>327.55974054857199</v>
      </c>
      <c r="V5" s="64">
        <v>350.17066518407779</v>
      </c>
      <c r="W5" s="64">
        <v>321.0245908174565</v>
      </c>
      <c r="X5" s="64">
        <v>337.62982312468932</v>
      </c>
      <c r="Y5" s="64">
        <v>257.05831371706063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3.2024348273760803</v>
      </c>
      <c r="C9" s="79">
        <f>IF(C3=0,0,C3/MBunk_ene!C3)</f>
        <v>3.2044538648936163</v>
      </c>
      <c r="D9" s="79">
        <f>IF(D3=0,0,D3/MBunk_ene!D3)</f>
        <v>3.2049863047261731</v>
      </c>
      <c r="E9" s="79">
        <f>IF(E3=0,0,E3/MBunk_ene!E3)</f>
        <v>3.1976598723151577</v>
      </c>
      <c r="F9" s="79">
        <f>IF(F3=0,0,F3/MBunk_ene!F3)</f>
        <v>3.1675885985148193</v>
      </c>
      <c r="G9" s="79">
        <f>IF(G3=0,0,G3/MBunk_ene!G3)</f>
        <v>3.2068692561033276</v>
      </c>
      <c r="H9" s="79">
        <f>IF(H3=0,0,H3/MBunk_ene!H3)</f>
        <v>3.1887147056642333</v>
      </c>
      <c r="I9" s="79">
        <f>IF(I3=0,0,I3/MBunk_ene!I3)</f>
        <v>3.1859004221244547</v>
      </c>
      <c r="J9" s="79">
        <f>IF(J3=0,0,J3/MBunk_ene!J3)</f>
        <v>3.1903043452615605</v>
      </c>
      <c r="K9" s="79">
        <f>IF(K3=0,0,K3/MBunk_ene!K3)</f>
        <v>3.1929243734276316</v>
      </c>
      <c r="L9" s="79">
        <f>IF(L3=0,0,L3/MBunk_ene!L3)</f>
        <v>3.1998248246963508</v>
      </c>
      <c r="M9" s="79">
        <f>IF(M3=0,0,M3/MBunk_ene!M3)</f>
        <v>3.1987838199490244</v>
      </c>
      <c r="N9" s="79">
        <f>IF(N3=0,0,N3/MBunk_ene!N3)</f>
        <v>3.1906164268027855</v>
      </c>
      <c r="O9" s="79">
        <f>IF(O3=0,0,O3/MBunk_ene!O3)</f>
        <v>3.19121099725449</v>
      </c>
      <c r="P9" s="79">
        <f>IF(P3=0,0,P3/MBunk_ene!P3)</f>
        <v>3.1915485887149342</v>
      </c>
      <c r="Q9" s="79">
        <f>IF(Q3=0,0,Q3/MBunk_ene!Q3)</f>
        <v>3.1966455589308516</v>
      </c>
      <c r="R9" s="79">
        <f>IF(R3=0,0,R3/MBunk_ene!R3)</f>
        <v>3.1933235971769967</v>
      </c>
      <c r="S9" s="79">
        <f>IF(S3=0,0,S3/MBunk_ene!S3)</f>
        <v>3.1839973193287952</v>
      </c>
      <c r="T9" s="79">
        <f>IF(T3=0,0,T3/MBunk_ene!T3)</f>
        <v>3.1787239837619228</v>
      </c>
      <c r="U9" s="79">
        <f>IF(U3=0,0,U3/MBunk_ene!U3)</f>
        <v>3.1775033576479275</v>
      </c>
      <c r="V9" s="79">
        <f>IF(V3=0,0,V3/MBunk_ene!V3)</f>
        <v>3.1795181329326425</v>
      </c>
      <c r="W9" s="79">
        <f>IF(W3=0,0,W3/MBunk_ene!W3)</f>
        <v>3.1771283546989841</v>
      </c>
      <c r="X9" s="79">
        <f>IF(X3=0,0,X3/MBunk_ene!X3)</f>
        <v>3.1801489418771003</v>
      </c>
      <c r="Y9" s="79">
        <f>IF(Y3=0,0,Y3/MBunk_ene!Y3)</f>
        <v>3.1874318279102809</v>
      </c>
      <c r="DA9" s="172"/>
    </row>
    <row r="10" spans="1:105" ht="11.45" customHeight="1" x14ac:dyDescent="0.25">
      <c r="A10" s="55" t="s">
        <v>166</v>
      </c>
      <c r="B10" s="80">
        <f>IF(B4=0,0,B4/MBunk_ene!B4)</f>
        <v>3.1852121066672594</v>
      </c>
      <c r="C10" s="80">
        <f>IF(C4=0,0,C4/MBunk_ene!C4)</f>
        <v>3.188241728357927</v>
      </c>
      <c r="D10" s="80">
        <f>IF(D4=0,0,D4/MBunk_ene!D4)</f>
        <v>3.1890701015243605</v>
      </c>
      <c r="E10" s="80">
        <f>IF(E4=0,0,E4/MBunk_ene!E4)</f>
        <v>3.1807826264506045</v>
      </c>
      <c r="F10" s="80">
        <f>IF(F4=0,0,F4/MBunk_ene!F4)</f>
        <v>3.1418106412024698</v>
      </c>
      <c r="G10" s="80">
        <f>IF(G4=0,0,G4/MBunk_ene!G4)</f>
        <v>3.1921424840477943</v>
      </c>
      <c r="H10" s="80">
        <f>IF(H4=0,0,H4/MBunk_ene!H4)</f>
        <v>3.1668063944272289</v>
      </c>
      <c r="I10" s="80">
        <f>IF(I4=0,0,I4/MBunk_ene!I4)</f>
        <v>3.1525123562067638</v>
      </c>
      <c r="J10" s="80">
        <f>IF(J4=0,0,J4/MBunk_ene!J4)</f>
        <v>3.1676128938847317</v>
      </c>
      <c r="K10" s="80">
        <f>IF(K4=0,0,K4/MBunk_ene!K4)</f>
        <v>3.167682215267134</v>
      </c>
      <c r="L10" s="80">
        <f>IF(L4=0,0,L4/MBunk_ene!L4)</f>
        <v>3.1802978014676664</v>
      </c>
      <c r="M10" s="80">
        <f>IF(M4=0,0,M4/MBunk_ene!M4)</f>
        <v>3.180756352450496</v>
      </c>
      <c r="N10" s="80">
        <f>IF(N4=0,0,N4/MBunk_ene!N4)</f>
        <v>3.1714695811820834</v>
      </c>
      <c r="O10" s="80">
        <f>IF(O4=0,0,O4/MBunk_ene!O4)</f>
        <v>3.1725908248505958</v>
      </c>
      <c r="P10" s="80">
        <f>IF(P4=0,0,P4/MBunk_ene!P4)</f>
        <v>3.1719598247440093</v>
      </c>
      <c r="Q10" s="80">
        <f>IF(Q4=0,0,Q4/MBunk_ene!Q4)</f>
        <v>3.1788542873331904</v>
      </c>
      <c r="R10" s="80">
        <f>IF(R4=0,0,R4/MBunk_ene!R4)</f>
        <v>3.1744932577261702</v>
      </c>
      <c r="S10" s="80">
        <f>IF(S4=0,0,S4/MBunk_ene!S4)</f>
        <v>3.1595919913128054</v>
      </c>
      <c r="T10" s="80">
        <f>IF(T4=0,0,T4/MBunk_ene!T4)</f>
        <v>3.1489371986110473</v>
      </c>
      <c r="U10" s="80">
        <f>IF(U4=0,0,U4/MBunk_ene!U4)</f>
        <v>3.151303970844646</v>
      </c>
      <c r="V10" s="80">
        <f>IF(V4=0,0,V4/MBunk_ene!V4)</f>
        <v>3.1513633705212549</v>
      </c>
      <c r="W10" s="80">
        <f>IF(W4=0,0,W4/MBunk_ene!W4)</f>
        <v>3.1478329423546931</v>
      </c>
      <c r="X10" s="80">
        <f>IF(X4=0,0,X4/MBunk_ene!X4)</f>
        <v>3.1553458914800121</v>
      </c>
      <c r="Y10" s="80">
        <f>IF(Y4=0,0,Y4/MBunk_ene!Y4)</f>
        <v>3.1672565512652384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3.2286113015017204</v>
      </c>
      <c r="C11" s="81">
        <f>IF(C5=0,0,C5/MBunk_ene!C10)</f>
        <v>3.2292303565585248</v>
      </c>
      <c r="D11" s="81">
        <f>IF(D5=0,0,D5/MBunk_ene!D10)</f>
        <v>3.229038741891729</v>
      </c>
      <c r="E11" s="81">
        <f>IF(E5=0,0,E5/MBunk_ene!E10)</f>
        <v>3.2272114714499676</v>
      </c>
      <c r="F11" s="81">
        <f>IF(F5=0,0,F5/MBunk_ene!F10)</f>
        <v>3.2161567480420028</v>
      </c>
      <c r="G11" s="81">
        <f>IF(G5=0,0,G5/MBunk_ene!G10)</f>
        <v>3.2304396623612077</v>
      </c>
      <c r="H11" s="81">
        <f>IF(H5=0,0,H5/MBunk_ene!H10)</f>
        <v>3.2252486848404338</v>
      </c>
      <c r="I11" s="81">
        <f>IF(I5=0,0,I5/MBunk_ene!I10)</f>
        <v>3.2236314122053837</v>
      </c>
      <c r="J11" s="81">
        <f>IF(J5=0,0,J5/MBunk_ene!J10)</f>
        <v>3.2264107946282561</v>
      </c>
      <c r="K11" s="81">
        <f>IF(K5=0,0,K5/MBunk_ene!K10)</f>
        <v>3.2260156251557648</v>
      </c>
      <c r="L11" s="81">
        <f>IF(L5=0,0,L5/MBunk_ene!L10)</f>
        <v>3.2285530860355345</v>
      </c>
      <c r="M11" s="81">
        <f>IF(M5=0,0,M5/MBunk_ene!M10)</f>
        <v>3.2289657895917228</v>
      </c>
      <c r="N11" s="81">
        <f>IF(N5=0,0,N5/MBunk_ene!N10)</f>
        <v>3.2272934583585164</v>
      </c>
      <c r="O11" s="81">
        <f>IF(O5=0,0,O5/MBunk_ene!O10)</f>
        <v>3.2275305469703892</v>
      </c>
      <c r="P11" s="81">
        <f>IF(P5=0,0,P5/MBunk_ene!P10)</f>
        <v>3.2268735075971842</v>
      </c>
      <c r="Q11" s="81">
        <f>IF(Q5=0,0,Q5/MBunk_ene!Q10)</f>
        <v>3.2301613657127688</v>
      </c>
      <c r="R11" s="81">
        <f>IF(R5=0,0,R5/MBunk_ene!R10)</f>
        <v>3.2273878842422676</v>
      </c>
      <c r="S11" s="81">
        <f>IF(S5=0,0,S5/MBunk_ene!S10)</f>
        <v>3.2244165268922345</v>
      </c>
      <c r="T11" s="81">
        <f>IF(T5=0,0,T5/MBunk_ene!T10)</f>
        <v>3.2222999286686735</v>
      </c>
      <c r="U11" s="81">
        <f>IF(U5=0,0,U5/MBunk_ene!U10)</f>
        <v>3.2228074693921918</v>
      </c>
      <c r="V11" s="81">
        <f>IF(V5=0,0,V5/MBunk_ene!V10)</f>
        <v>3.2227748458324337</v>
      </c>
      <c r="W11" s="81">
        <f>IF(W5=0,0,W5/MBunk_ene!W10)</f>
        <v>3.2221044347391361</v>
      </c>
      <c r="X11" s="81">
        <f>IF(X5=0,0,X5/MBunk_ene!X10)</f>
        <v>3.223586420902611</v>
      </c>
      <c r="Y11" s="81">
        <f>IF(Y5=0,0,Y5/MBunk_ene!Y10)</f>
        <v>3.2259763714289833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84112.301244627684</v>
      </c>
      <c r="C13" s="62">
        <f>IF(C3=0,0,C3/MBunk_act!C7*100)</f>
        <v>89754.556779800332</v>
      </c>
      <c r="D13" s="62">
        <f>IF(D3=0,0,D3/MBunk_act!D7*100)</f>
        <v>93286.644976371055</v>
      </c>
      <c r="E13" s="62">
        <f>IF(E3=0,0,E3/MBunk_act!E7*100)</f>
        <v>108609.21385678739</v>
      </c>
      <c r="F13" s="62">
        <f>IF(F3=0,0,F3/MBunk_act!F7*100)</f>
        <v>36101.305450654319</v>
      </c>
      <c r="G13" s="62">
        <f>IF(G3=0,0,G3/MBunk_act!G7*100)</f>
        <v>198025.46778793482</v>
      </c>
      <c r="H13" s="62">
        <f>IF(H3=0,0,H3/MBunk_act!H7*100)</f>
        <v>183865.6151304403</v>
      </c>
      <c r="I13" s="62">
        <f>IF(I3=0,0,I3/MBunk_act!I7*100)</f>
        <v>162241.03186774431</v>
      </c>
      <c r="J13" s="62">
        <f>IF(J3=0,0,J3/MBunk_act!J7*100)</f>
        <v>125563.04693355448</v>
      </c>
      <c r="K13" s="62">
        <f>IF(K3=0,0,K3/MBunk_act!K7*100)</f>
        <v>138096.33447636204</v>
      </c>
      <c r="L13" s="62">
        <f>IF(L3=0,0,L3/MBunk_act!L7*100)</f>
        <v>130360.37436830756</v>
      </c>
      <c r="M13" s="62">
        <f>IF(M3=0,0,M3/MBunk_act!M7*100)</f>
        <v>62003.814394637644</v>
      </c>
      <c r="N13" s="62">
        <f>IF(N3=0,0,N3/MBunk_act!N7*100)</f>
        <v>52187.379016987106</v>
      </c>
      <c r="O13" s="62">
        <f>IF(O3=0,0,O3/MBunk_act!O7*100)</f>
        <v>68905.023190114851</v>
      </c>
      <c r="P13" s="62">
        <f>IF(P3=0,0,P3/MBunk_act!P7*100)</f>
        <v>63462.089032077733</v>
      </c>
      <c r="Q13" s="62">
        <f>IF(Q3=0,0,Q3/MBunk_act!Q7*100)</f>
        <v>71899.839429903994</v>
      </c>
      <c r="R13" s="62">
        <f>IF(R3=0,0,R3/MBunk_act!R7*100)</f>
        <v>63838.496190640035</v>
      </c>
      <c r="S13" s="62">
        <f>IF(S3=0,0,S3/MBunk_act!S7*100)</f>
        <v>74047.840191134528</v>
      </c>
      <c r="T13" s="62">
        <f>IF(T3=0,0,T3/MBunk_act!T7*100)</f>
        <v>82552.172919587145</v>
      </c>
      <c r="U13" s="62">
        <f>IF(U3=0,0,U3/MBunk_act!U7*100)</f>
        <v>73461.853369794335</v>
      </c>
      <c r="V13" s="62">
        <f>IF(V3=0,0,V3/MBunk_act!V7*100)</f>
        <v>81251.550183181433</v>
      </c>
      <c r="W13" s="62">
        <f>IF(W3=0,0,W3/MBunk_act!W7*100)</f>
        <v>71398.024510479881</v>
      </c>
      <c r="X13" s="62">
        <f>IF(X3=0,0,X3/MBunk_act!X7*100)</f>
        <v>77844.884717842782</v>
      </c>
      <c r="Y13" s="62">
        <f>IF(Y3=0,0,Y3/MBunk_act!Y7*100)</f>
        <v>53581.155757025757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66518.892076867705</v>
      </c>
      <c r="C14" s="63">
        <f>IF(C4=0,0,C4/MBunk_act!C8*100)</f>
        <v>71026.716491251995</v>
      </c>
      <c r="D14" s="63">
        <f>IF(D4=0,0,D4/MBunk_act!D8*100)</f>
        <v>73864.301573380289</v>
      </c>
      <c r="E14" s="63">
        <f>IF(E4=0,0,E4/MBunk_act!E8*100)</f>
        <v>86015.119559477374</v>
      </c>
      <c r="F14" s="63">
        <f>IF(F4=0,0,F4/MBunk_act!F8*100)</f>
        <v>28402.285401775549</v>
      </c>
      <c r="G14" s="63">
        <f>IF(G4=0,0,G4/MBunk_act!G8*100)</f>
        <v>165879.74867031042</v>
      </c>
      <c r="H14" s="63">
        <f>IF(H4=0,0,H4/MBunk_act!H8*100)</f>
        <v>151751.17298343999</v>
      </c>
      <c r="I14" s="63">
        <f>IF(I4=0,0,I4/MBunk_act!I8*100)</f>
        <v>146440.55906723189</v>
      </c>
      <c r="J14" s="63">
        <f>IF(J4=0,0,J4/MBunk_act!J8*100)</f>
        <v>106297.12179881625</v>
      </c>
      <c r="K14" s="63">
        <f>IF(K4=0,0,K4/MBunk_act!K8*100)</f>
        <v>112580.07629100261</v>
      </c>
      <c r="L14" s="63">
        <f>IF(L4=0,0,L4/MBunk_act!L8*100)</f>
        <v>108392.34675416476</v>
      </c>
      <c r="M14" s="63">
        <f>IF(M4=0,0,M4/MBunk_act!M8*100)</f>
        <v>49615.103234915019</v>
      </c>
      <c r="N14" s="63">
        <f>IF(N4=0,0,N4/MBunk_act!N8*100)</f>
        <v>41787.228703754306</v>
      </c>
      <c r="O14" s="63">
        <f>IF(O4=0,0,O4/MBunk_act!O8*100)</f>
        <v>55280.223615872048</v>
      </c>
      <c r="P14" s="63">
        <f>IF(P4=0,0,P4/MBunk_act!P8*100)</f>
        <v>50928.7668583825</v>
      </c>
      <c r="Q14" s="63">
        <f>IF(Q4=0,0,Q4/MBunk_act!Q8*100)</f>
        <v>57990.823087542798</v>
      </c>
      <c r="R14" s="63">
        <f>IF(R4=0,0,R4/MBunk_act!R8*100)</f>
        <v>51577.736783909109</v>
      </c>
      <c r="S14" s="63">
        <f>IF(S4=0,0,S4/MBunk_act!S8*100)</f>
        <v>60066.674307654685</v>
      </c>
      <c r="T14" s="63">
        <f>IF(T4=0,0,T4/MBunk_act!T8*100)</f>
        <v>67003.372452786178</v>
      </c>
      <c r="U14" s="63">
        <f>IF(U4=0,0,U4/MBunk_act!U8*100)</f>
        <v>59028.454591435388</v>
      </c>
      <c r="V14" s="63">
        <f>IF(V4=0,0,V4/MBunk_act!V8*100)</f>
        <v>61799.81698867002</v>
      </c>
      <c r="W14" s="63">
        <f>IF(W4=0,0,W4/MBunk_act!W8*100)</f>
        <v>51606.529652056655</v>
      </c>
      <c r="X14" s="63">
        <f>IF(X4=0,0,X4/MBunk_act!X8*100)</f>
        <v>62470.330041502515</v>
      </c>
      <c r="Y14" s="63">
        <f>IF(Y4=0,0,Y4/MBunk_act!Y8*100)</f>
        <v>43647.942585938566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139393.93273028935</v>
      </c>
      <c r="C15" s="64">
        <f>IF(C5=0,0,C5/MBunk_act!C9*100)</f>
        <v>149056.43804169941</v>
      </c>
      <c r="D15" s="64">
        <f>IF(D5=0,0,D5/MBunk_act!D9*100)</f>
        <v>153544.05536957871</v>
      </c>
      <c r="E15" s="64">
        <f>IF(E5=0,0,E5/MBunk_act!E9*100)</f>
        <v>198671.01417689945</v>
      </c>
      <c r="F15" s="64">
        <f>IF(F5=0,0,F5/MBunk_act!F9*100)</f>
        <v>72046.511334373936</v>
      </c>
      <c r="G15" s="64">
        <f>IF(G5=0,0,G5/MBunk_act!G9*100)</f>
        <v>285539.03944840888</v>
      </c>
      <c r="H15" s="64">
        <f>IF(H5=0,0,H5/MBunk_act!H9*100)</f>
        <v>281359.12702125282</v>
      </c>
      <c r="I15" s="64">
        <f>IF(I5=0,0,I5/MBunk_act!I9*100)</f>
        <v>184206.01473218904</v>
      </c>
      <c r="J15" s="64">
        <f>IF(J5=0,0,J5/MBunk_act!J9*100)</f>
        <v>175157.33176696938</v>
      </c>
      <c r="K15" s="64">
        <f>IF(K5=0,0,K5/MBunk_act!K9*100)</f>
        <v>194983.66044910747</v>
      </c>
      <c r="L15" s="64">
        <f>IF(L5=0,0,L5/MBunk_act!L9*100)</f>
        <v>184571.82177624942</v>
      </c>
      <c r="M15" s="64">
        <f>IF(M5=0,0,M5/MBunk_act!M9*100)</f>
        <v>105413.77821464589</v>
      </c>
      <c r="N15" s="64">
        <f>IF(N5=0,0,N5/MBunk_act!N9*100)</f>
        <v>98189.95335121364</v>
      </c>
      <c r="O15" s="64">
        <f>IF(O5=0,0,O5/MBunk_act!O9*100)</f>
        <v>130641.52920697477</v>
      </c>
      <c r="P15" s="64">
        <f>IF(P5=0,0,P5/MBunk_act!P9*100)</f>
        <v>112568.82173688723</v>
      </c>
      <c r="Q15" s="64">
        <f>IF(Q5=0,0,Q5/MBunk_act!Q9*100)</f>
        <v>129469.50896825724</v>
      </c>
      <c r="R15" s="64">
        <f>IF(R5=0,0,R5/MBunk_act!R9*100)</f>
        <v>110634.74244133699</v>
      </c>
      <c r="S15" s="64">
        <f>IF(S5=0,0,S5/MBunk_act!S9*100)</f>
        <v>118998.2054258142</v>
      </c>
      <c r="T15" s="64">
        <f>IF(T5=0,0,T5/MBunk_act!T9*100)</f>
        <v>123536.34888543311</v>
      </c>
      <c r="U15" s="64">
        <f>IF(U5=0,0,U5/MBunk_act!U9*100)</f>
        <v>125241.25690558419</v>
      </c>
      <c r="V15" s="64">
        <f>IF(V5=0,0,V5/MBunk_act!V9*100)</f>
        <v>154139.33795705473</v>
      </c>
      <c r="W15" s="64">
        <f>IF(W5=0,0,W5/MBunk_act!W9*100)</f>
        <v>168079.22198237476</v>
      </c>
      <c r="X15" s="64">
        <f>IF(X5=0,0,X5/MBunk_act!X9*100)</f>
        <v>134653.35531813404</v>
      </c>
      <c r="Y15" s="64">
        <f>IF(Y5=0,0,Y5/MBunk_act!Y9*100)</f>
        <v>93487.988870201429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131.27032841908249</v>
      </c>
      <c r="C17" s="62">
        <f>IF(C3=0,0,C3/MBunk_act!C3*1000)</f>
        <v>135.22623884551248</v>
      </c>
      <c r="D17" s="62">
        <f>IF(D3=0,0,D3/MBunk_act!D3*1000)</f>
        <v>134.27268422586798</v>
      </c>
      <c r="E17" s="62">
        <f>IF(E3=0,0,E3/MBunk_act!E3*1000)</f>
        <v>155.28045286238117</v>
      </c>
      <c r="F17" s="62">
        <f>IF(F3=0,0,F3/MBunk_act!F3*1000)</f>
        <v>52.748553884907423</v>
      </c>
      <c r="G17" s="62">
        <f>IF(G3=0,0,G3/MBunk_act!G3*1000)</f>
        <v>214.93209836106411</v>
      </c>
      <c r="H17" s="62">
        <f>IF(H3=0,0,H3/MBunk_act!H3*1000)</f>
        <v>206.39005990955684</v>
      </c>
      <c r="I17" s="62">
        <f>IF(I3=0,0,I3/MBunk_act!I3*1000)</f>
        <v>124.30190031213115</v>
      </c>
      <c r="J17" s="62">
        <f>IF(J3=0,0,J3/MBunk_act!J3*1000)</f>
        <v>116.39592342982857</v>
      </c>
      <c r="K17" s="62">
        <f>IF(K3=0,0,K3/MBunk_act!K3*1000)</f>
        <v>149.46067689485994</v>
      </c>
      <c r="L17" s="62">
        <f>IF(L3=0,0,L3/MBunk_act!L3*1000)</f>
        <v>123.44139533163391</v>
      </c>
      <c r="M17" s="62">
        <f>IF(M3=0,0,M3/MBunk_act!M3*1000)</f>
        <v>76.779867456201444</v>
      </c>
      <c r="N17" s="62">
        <f>IF(N3=0,0,N3/MBunk_act!N3*1000)</f>
        <v>61.664779859500499</v>
      </c>
      <c r="O17" s="62">
        <f>IF(O3=0,0,O3/MBunk_act!O3*1000)</f>
        <v>79.752628834957491</v>
      </c>
      <c r="P17" s="62">
        <f>IF(P3=0,0,P3/MBunk_act!P3*1000)</f>
        <v>73.18920092925913</v>
      </c>
      <c r="Q17" s="62">
        <f>IF(Q3=0,0,Q3/MBunk_act!Q3*1000)</f>
        <v>74.12105551795743</v>
      </c>
      <c r="R17" s="62">
        <f>IF(R3=0,0,R3/MBunk_act!R3*1000)</f>
        <v>64.077581077436193</v>
      </c>
      <c r="S17" s="62">
        <f>IF(S3=0,0,S3/MBunk_act!S3*1000)</f>
        <v>69.398804152490612</v>
      </c>
      <c r="T17" s="62">
        <f>IF(T3=0,0,T3/MBunk_act!T3*1000)</f>
        <v>76.642867217622239</v>
      </c>
      <c r="U17" s="62">
        <f>IF(U3=0,0,U3/MBunk_act!U3*1000)</f>
        <v>77.504618233658064</v>
      </c>
      <c r="V17" s="62">
        <f>IF(V3=0,0,V3/MBunk_act!V3*1000)</f>
        <v>78.141462585590702</v>
      </c>
      <c r="W17" s="62">
        <f>IF(W3=0,0,W3/MBunk_act!W3*1000)</f>
        <v>72.638317008855424</v>
      </c>
      <c r="X17" s="62">
        <f>IF(X3=0,0,X3/MBunk_act!X3*1000)</f>
        <v>80.212071624280071</v>
      </c>
      <c r="Y17" s="62">
        <f>IF(Y3=0,0,Y3/MBunk_act!Y3*1000)</f>
        <v>52.99249290569545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109.52611083678285</v>
      </c>
      <c r="C18" s="63">
        <f>IF(C4=0,0,C4/MBunk_act!C4*1000)</f>
        <v>113.07062156292913</v>
      </c>
      <c r="D18" s="63">
        <f>IF(D4=0,0,D4/MBunk_act!D4*1000)</f>
        <v>112.22547458878515</v>
      </c>
      <c r="E18" s="63">
        <f>IF(E4=0,0,E4/MBunk_act!E4*1000)</f>
        <v>129.88376093093029</v>
      </c>
      <c r="F18" s="63">
        <f>IF(F4=0,0,F4/MBunk_act!F4*1000)</f>
        <v>42.794143217593387</v>
      </c>
      <c r="G18" s="63">
        <f>IF(G4=0,0,G4/MBunk_act!G4*1000)</f>
        <v>252.01467392398936</v>
      </c>
      <c r="H18" s="63">
        <f>IF(H4=0,0,H4/MBunk_act!H4*1000)</f>
        <v>228.82277336026044</v>
      </c>
      <c r="I18" s="63">
        <f>IF(I4=0,0,I4/MBunk_act!I4*1000)</f>
        <v>215.88823840788069</v>
      </c>
      <c r="J18" s="63">
        <f>IF(J4=0,0,J4/MBunk_act!J4*1000)</f>
        <v>150.92683620650425</v>
      </c>
      <c r="K18" s="63">
        <f>IF(K4=0,0,K4/MBunk_act!K4*1000)</f>
        <v>158.69344950985948</v>
      </c>
      <c r="L18" s="63">
        <f>IF(L4=0,0,L4/MBunk_act!L4*1000)</f>
        <v>152.32284093013567</v>
      </c>
      <c r="M18" s="63">
        <f>IF(M4=0,0,M4/MBunk_act!M4*1000)</f>
        <v>74.679391418732322</v>
      </c>
      <c r="N18" s="63">
        <f>IF(N4=0,0,N4/MBunk_act!N4*1000)</f>
        <v>62.310945411344989</v>
      </c>
      <c r="O18" s="63">
        <f>IF(O4=0,0,O4/MBunk_act!O4*1000)</f>
        <v>82.108080402894473</v>
      </c>
      <c r="P18" s="63">
        <f>IF(P4=0,0,P4/MBunk_act!P4*1000)</f>
        <v>76.613834225032377</v>
      </c>
      <c r="Q18" s="63">
        <f>IF(Q4=0,0,Q4/MBunk_act!Q4*1000)</f>
        <v>79.745876297670634</v>
      </c>
      <c r="R18" s="63">
        <f>IF(R4=0,0,R4/MBunk_act!R4*1000)</f>
        <v>68.884856229604438</v>
      </c>
      <c r="S18" s="63">
        <f>IF(S4=0,0,S4/MBunk_act!S4*1000)</f>
        <v>78.873085580094482</v>
      </c>
      <c r="T18" s="63">
        <f>IF(T4=0,0,T4/MBunk_act!T4*1000)</f>
        <v>91.958464885218774</v>
      </c>
      <c r="U18" s="63">
        <f>IF(U4=0,0,U4/MBunk_act!U4*1000)</f>
        <v>83.052218790031432</v>
      </c>
      <c r="V18" s="63">
        <f>IF(V4=0,0,V4/MBunk_act!V4*1000)</f>
        <v>77.811212544518085</v>
      </c>
      <c r="W18" s="63">
        <f>IF(W4=0,0,W4/MBunk_act!W4*1000)</f>
        <v>68.316071354007903</v>
      </c>
      <c r="X18" s="63">
        <f>IF(X4=0,0,X4/MBunk_act!X4*1000)</f>
        <v>91.269661500281885</v>
      </c>
      <c r="Y18" s="63">
        <f>IF(Y4=0,0,Y4/MBunk_act!Y4*1000)</f>
        <v>59.5086963847167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186.91110960109154</v>
      </c>
      <c r="C19" s="64">
        <f>IF(C5=0,0,C5/MBunk_act!C5*1000)</f>
        <v>191.988755353362</v>
      </c>
      <c r="D19" s="64">
        <f>IF(D5=0,0,D5/MBunk_act!D5*1000)</f>
        <v>189.97423912672568</v>
      </c>
      <c r="E19" s="64">
        <f>IF(E5=0,0,E5/MBunk_act!E5*1000)</f>
        <v>234.36758185932072</v>
      </c>
      <c r="F19" s="64">
        <f>IF(F5=0,0,F5/MBunk_act!F5*1000)</f>
        <v>92.238939538743281</v>
      </c>
      <c r="G19" s="64">
        <f>IF(G5=0,0,G5/MBunk_act!G5*1000)</f>
        <v>174.35669640152935</v>
      </c>
      <c r="H19" s="64">
        <f>IF(H5=0,0,H5/MBunk_act!H5*1000)</f>
        <v>177.84275449823821</v>
      </c>
      <c r="I19" s="64">
        <f>IF(I5=0,0,I5/MBunk_act!I5*1000)</f>
        <v>84.626180793854971</v>
      </c>
      <c r="J19" s="64">
        <f>IF(J5=0,0,J5/MBunk_act!J5*1000)</f>
        <v>85.748026842690194</v>
      </c>
      <c r="K19" s="64">
        <f>IF(K5=0,0,K5/MBunk_act!K5*1000)</f>
        <v>139.04716696285078</v>
      </c>
      <c r="L19" s="64">
        <f>IF(L5=0,0,L5/MBunk_act!L5*1000)</f>
        <v>96.833396219276452</v>
      </c>
      <c r="M19" s="64">
        <f>IF(M5=0,0,M5/MBunk_act!M5*1000)</f>
        <v>80.514707413817476</v>
      </c>
      <c r="N19" s="64">
        <f>IF(N5=0,0,N5/MBunk_act!N5*1000)</f>
        <v>60.484079828803516</v>
      </c>
      <c r="O19" s="64">
        <f>IF(O5=0,0,O5/MBunk_act!O5*1000)</f>
        <v>75.594672446457238</v>
      </c>
      <c r="P19" s="64">
        <f>IF(P5=0,0,P5/MBunk_act!P5*1000)</f>
        <v>67.815703736231967</v>
      </c>
      <c r="Q19" s="64">
        <f>IF(Q5=0,0,Q5/MBunk_act!Q5*1000)</f>
        <v>65.549512450213683</v>
      </c>
      <c r="R19" s="64">
        <f>IF(R5=0,0,R5/MBunk_act!R5*1000)</f>
        <v>56.999570505456731</v>
      </c>
      <c r="S19" s="64">
        <f>IF(S5=0,0,S5/MBunk_act!S5*1000)</f>
        <v>58.077240025077614</v>
      </c>
      <c r="T19" s="64">
        <f>IF(T5=0,0,T5/MBunk_act!T5*1000)</f>
        <v>61.903504938994729</v>
      </c>
      <c r="U19" s="64">
        <f>IF(U5=0,0,U5/MBunk_act!U5*1000)</f>
        <v>69.639389989315646</v>
      </c>
      <c r="V19" s="64">
        <f>IF(V5=0,0,V5/MBunk_act!V5*1000)</f>
        <v>78.642915857693865</v>
      </c>
      <c r="W19" s="64">
        <f>IF(W5=0,0,W5/MBunk_act!W5*1000)</f>
        <v>80.253969812258347</v>
      </c>
      <c r="X19" s="64">
        <f>IF(X5=0,0,X5/MBunk_act!X5*1000)</f>
        <v>66.418143910892098</v>
      </c>
      <c r="Y19" s="64">
        <f>IF(Y5=0,0,Y5/MBunk_act!Y5*1000)</f>
        <v>43.962937394592053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0.59991197838774601</v>
      </c>
      <c r="C22" s="77">
        <f t="shared" si="3"/>
        <v>0.60141415450995073</v>
      </c>
      <c r="D22" s="77">
        <f t="shared" si="3"/>
        <v>0.59879422298052265</v>
      </c>
      <c r="E22" s="77">
        <f t="shared" si="3"/>
        <v>0.63313282555626682</v>
      </c>
      <c r="F22" s="77">
        <f t="shared" si="3"/>
        <v>0.64795457508580157</v>
      </c>
      <c r="G22" s="77">
        <f t="shared" si="3"/>
        <v>0.61263429570152927</v>
      </c>
      <c r="H22" s="77">
        <f t="shared" si="3"/>
        <v>0.62083414916648005</v>
      </c>
      <c r="I22" s="77">
        <f t="shared" si="3"/>
        <v>0.52497281916860639</v>
      </c>
      <c r="J22" s="77">
        <f t="shared" si="3"/>
        <v>0.60970948167474759</v>
      </c>
      <c r="K22" s="77">
        <f t="shared" si="3"/>
        <v>0.56279315361533511</v>
      </c>
      <c r="L22" s="77">
        <f t="shared" si="3"/>
        <v>0.5917061012478726</v>
      </c>
      <c r="M22" s="77">
        <f t="shared" si="3"/>
        <v>0.62253106708640715</v>
      </c>
      <c r="N22" s="77">
        <f t="shared" si="3"/>
        <v>0.65307060408642181</v>
      </c>
      <c r="O22" s="77">
        <f t="shared" si="3"/>
        <v>0.65722267857908978</v>
      </c>
      <c r="P22" s="77">
        <f t="shared" si="3"/>
        <v>0.63933255512253162</v>
      </c>
      <c r="Q22" s="77">
        <f t="shared" si="3"/>
        <v>0.64960375915683033</v>
      </c>
      <c r="R22" s="77">
        <f t="shared" si="3"/>
        <v>0.64020524490318909</v>
      </c>
      <c r="S22" s="77">
        <f t="shared" si="3"/>
        <v>0.61873786096781558</v>
      </c>
      <c r="T22" s="77">
        <f t="shared" si="3"/>
        <v>0.58841333894055892</v>
      </c>
      <c r="U22" s="77">
        <f t="shared" si="3"/>
        <v>0.62836879073415441</v>
      </c>
      <c r="V22" s="77">
        <f t="shared" si="3"/>
        <v>0.600375118432104</v>
      </c>
      <c r="W22" s="77">
        <f t="shared" si="3"/>
        <v>0.59997943691757771</v>
      </c>
      <c r="X22" s="77">
        <f t="shared" ref="X22:Y22" si="5">IF(X4=0,0,X4/X$3)</f>
        <v>0.63157035697976294</v>
      </c>
      <c r="Y22" s="77">
        <f t="shared" si="5"/>
        <v>0.65225967248291228</v>
      </c>
      <c r="DA22" s="184"/>
    </row>
    <row r="23" spans="1:105" ht="11.45" customHeight="1" x14ac:dyDescent="0.25">
      <c r="A23" s="57" t="s">
        <v>167</v>
      </c>
      <c r="B23" s="78">
        <f t="shared" si="3"/>
        <v>0.40008802161225404</v>
      </c>
      <c r="C23" s="78">
        <f t="shared" si="3"/>
        <v>0.39858584549004922</v>
      </c>
      <c r="D23" s="78">
        <f t="shared" si="3"/>
        <v>0.40120577701947735</v>
      </c>
      <c r="E23" s="78">
        <f t="shared" si="3"/>
        <v>0.36686717444373323</v>
      </c>
      <c r="F23" s="78">
        <f t="shared" si="3"/>
        <v>0.35204542491419849</v>
      </c>
      <c r="G23" s="78">
        <f t="shared" si="3"/>
        <v>0.38736570429847073</v>
      </c>
      <c r="H23" s="78">
        <f t="shared" si="3"/>
        <v>0.37916585083351995</v>
      </c>
      <c r="I23" s="78">
        <f t="shared" si="3"/>
        <v>0.47502718083139361</v>
      </c>
      <c r="J23" s="78">
        <f t="shared" si="3"/>
        <v>0.39029051832525241</v>
      </c>
      <c r="K23" s="78">
        <f t="shared" si="3"/>
        <v>0.437206846384665</v>
      </c>
      <c r="L23" s="78">
        <f t="shared" si="3"/>
        <v>0.40829389875212752</v>
      </c>
      <c r="M23" s="78">
        <f t="shared" si="3"/>
        <v>0.3774689329135929</v>
      </c>
      <c r="N23" s="78">
        <f t="shared" si="3"/>
        <v>0.3469293959135783</v>
      </c>
      <c r="O23" s="78">
        <f t="shared" si="3"/>
        <v>0.34277732142091016</v>
      </c>
      <c r="P23" s="78">
        <f t="shared" si="3"/>
        <v>0.36066744487746832</v>
      </c>
      <c r="Q23" s="78">
        <f t="shared" si="3"/>
        <v>0.35039624084316967</v>
      </c>
      <c r="R23" s="78">
        <f t="shared" si="3"/>
        <v>0.35979475509681086</v>
      </c>
      <c r="S23" s="78">
        <f t="shared" si="3"/>
        <v>0.38126213903218442</v>
      </c>
      <c r="T23" s="78">
        <f t="shared" si="3"/>
        <v>0.41158666105944103</v>
      </c>
      <c r="U23" s="78">
        <f t="shared" si="3"/>
        <v>0.37163120926584564</v>
      </c>
      <c r="V23" s="78">
        <f t="shared" si="3"/>
        <v>0.39962488156789605</v>
      </c>
      <c r="W23" s="78">
        <f t="shared" si="3"/>
        <v>0.40002056308242234</v>
      </c>
      <c r="X23" s="78">
        <f t="shared" ref="X23:Y23" si="6">IF(X5=0,0,X5/X$3)</f>
        <v>0.36842964302023701</v>
      </c>
      <c r="Y23" s="78">
        <f t="shared" si="6"/>
        <v>0.34774032751708778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2025-11-06T10:20:27Z</dcterms:created>
  <dcterms:modified xsi:type="dcterms:W3CDTF">2025-11-06T10:20:27Z</dcterms:modified>
</cp:coreProperties>
</file>