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3\Calibration_output\Results\xCountries\CY\"/>
    </mc:Choice>
  </mc:AlternateContent>
  <bookViews>
    <workbookView xWindow="480" yWindow="120" windowWidth="27795" windowHeight="12075"/>
  </bookViews>
  <sheets>
    <sheet name="cover" sheetId="60" r:id="rId1"/>
    <sheet name="index" sheetId="4" r:id="rId2"/>
    <sheet name="Macro_CurrPrices" sheetId="57" r:id="rId3"/>
    <sheet name="Macro_euro2023" sheetId="55" r:id="rId4"/>
    <sheet name="Macro_JRC-IDEES" sheetId="59" r:id="rId5"/>
    <sheet name="definitions" sheetId="58" r:id="rId6"/>
  </sheets>
  <definedNames>
    <definedName name="_xlnm.Print_Area" localSheetId="5">definitions!$A$1:$D$112</definedName>
  </definedNames>
  <calcPr calcId="162913"/>
</workbook>
</file>

<file path=xl/calcChain.xml><?xml version="1.0" encoding="utf-8"?>
<calcChain xmlns="http://schemas.openxmlformats.org/spreadsheetml/2006/main">
  <c r="AA78" i="59" l="1"/>
  <c r="AA121" i="59"/>
  <c r="AA88" i="59"/>
  <c r="AA117" i="59"/>
  <c r="AA84" i="59"/>
  <c r="AA82" i="59"/>
  <c r="AA114" i="59"/>
  <c r="AA81" i="59"/>
  <c r="AA113" i="59"/>
  <c r="AA79" i="59"/>
  <c r="AA110" i="59"/>
  <c r="AA109" i="59"/>
  <c r="AA74" i="59"/>
  <c r="AA106" i="59"/>
  <c r="AA105" i="59"/>
  <c r="AA70" i="59"/>
  <c r="AA102" i="59"/>
  <c r="AA101" i="59"/>
  <c r="AA66" i="59"/>
  <c r="AA98" i="59"/>
  <c r="AA89" i="59"/>
  <c r="AA97" i="59"/>
  <c r="AA94" i="59"/>
  <c r="AA93" i="59"/>
  <c r="AA5" i="59"/>
  <c r="Z115" i="59"/>
  <c r="Z107" i="59"/>
  <c r="Z103" i="59"/>
  <c r="Z99" i="59"/>
  <c r="W75" i="57"/>
  <c r="V75" i="57"/>
  <c r="G75" i="57"/>
  <c r="E75" i="57"/>
  <c r="H54" i="57"/>
  <c r="V54" i="57"/>
  <c r="N54" i="57"/>
  <c r="F54" i="57"/>
  <c r="U54" i="57"/>
  <c r="T54" i="57"/>
  <c r="M54" i="57"/>
  <c r="K54" i="57"/>
  <c r="E54" i="57"/>
  <c r="D54" i="57"/>
  <c r="S39" i="57"/>
  <c r="Q39" i="57"/>
  <c r="K39" i="57"/>
  <c r="H39" i="57"/>
  <c r="Q16" i="57"/>
  <c r="I16" i="57"/>
  <c r="W16" i="57"/>
  <c r="E16" i="57"/>
  <c r="K75" i="57"/>
  <c r="Y75" i="57"/>
  <c r="T75" i="57"/>
  <c r="Q75" i="57"/>
  <c r="D75" i="57"/>
  <c r="U75" i="57"/>
  <c r="O75" i="57"/>
  <c r="J75" i="57"/>
  <c r="F75" i="57"/>
  <c r="S54" i="57"/>
  <c r="P54" i="57"/>
  <c r="L54" i="57"/>
  <c r="R54" i="57"/>
  <c r="Q54" i="57"/>
  <c r="I54" i="57"/>
  <c r="O39" i="57"/>
  <c r="I39" i="57"/>
  <c r="U39" i="57"/>
  <c r="E39" i="57"/>
  <c r="S16" i="57"/>
  <c r="Y16" i="57"/>
  <c r="O16" i="57"/>
  <c r="M16" i="57"/>
  <c r="G16" i="57"/>
  <c r="AA80" i="59" l="1"/>
  <c r="Z54" i="55"/>
  <c r="J54" i="57"/>
  <c r="Z111" i="59"/>
  <c r="F16" i="57"/>
  <c r="N16" i="57"/>
  <c r="V16" i="57"/>
  <c r="H16" i="57"/>
  <c r="P16" i="57"/>
  <c r="X16" i="57"/>
  <c r="J16" i="57"/>
  <c r="J39" i="57"/>
  <c r="R39" i="57"/>
  <c r="D39" i="57"/>
  <c r="L39" i="57"/>
  <c r="T39" i="57"/>
  <c r="F39" i="57"/>
  <c r="N39" i="57"/>
  <c r="V39" i="57"/>
  <c r="X54" i="57"/>
  <c r="K16" i="57"/>
  <c r="U16" i="57"/>
  <c r="M39" i="57"/>
  <c r="G39" i="57"/>
  <c r="W39" i="57"/>
  <c r="Y39" i="57"/>
  <c r="G54" i="57"/>
  <c r="O54" i="57"/>
  <c r="W54" i="57"/>
  <c r="Y54" i="57"/>
  <c r="I75" i="57"/>
  <c r="S75" i="57"/>
  <c r="M75" i="57"/>
  <c r="AA54" i="57"/>
  <c r="Z5" i="59"/>
  <c r="AA39" i="55"/>
  <c r="AA16" i="57"/>
  <c r="AA75" i="57"/>
  <c r="AA21" i="59"/>
  <c r="AA68" i="59"/>
  <c r="AA72" i="59"/>
  <c r="AA76" i="59"/>
  <c r="AA86" i="59"/>
  <c r="AA90" i="59"/>
  <c r="Z80" i="59"/>
  <c r="Z87" i="59"/>
  <c r="AA54" i="55"/>
  <c r="AA69" i="59"/>
  <c r="AA73" i="59"/>
  <c r="AA87" i="59"/>
  <c r="L16" i="57"/>
  <c r="R16" i="57"/>
  <c r="P39" i="57"/>
  <c r="X39" i="57"/>
  <c r="Z75" i="55"/>
  <c r="Z39" i="57"/>
  <c r="Z79" i="59"/>
  <c r="Z84" i="59"/>
  <c r="Z88" i="59"/>
  <c r="D16" i="57"/>
  <c r="T16" i="57"/>
  <c r="AA16" i="55"/>
  <c r="AA75" i="55"/>
  <c r="AA39" i="57"/>
  <c r="N75" i="57"/>
  <c r="H75" i="57"/>
  <c r="P75" i="57"/>
  <c r="X75" i="57"/>
  <c r="R75" i="57"/>
  <c r="L75" i="57"/>
  <c r="Z16" i="55"/>
  <c r="Z54" i="57"/>
  <c r="Z67" i="59"/>
  <c r="Z71" i="59"/>
  <c r="Z75" i="59"/>
  <c r="Z83" i="59"/>
  <c r="AA20" i="59"/>
  <c r="AA67" i="59"/>
  <c r="AA71" i="59"/>
  <c r="AA75" i="59"/>
  <c r="AA77" i="59"/>
  <c r="AA83" i="59"/>
  <c r="Z39" i="55"/>
  <c r="Z16" i="57"/>
  <c r="Z75" i="57"/>
  <c r="Z68" i="59"/>
  <c r="Z72" i="59"/>
  <c r="Z76" i="59"/>
  <c r="AA118" i="59"/>
  <c r="AA122" i="59"/>
  <c r="Z65" i="59"/>
  <c r="Z69" i="59"/>
  <c r="Z73" i="59"/>
  <c r="Z77" i="59"/>
  <c r="Z81" i="59"/>
  <c r="Z85" i="59"/>
  <c r="Z89" i="59"/>
  <c r="Z119" i="59"/>
  <c r="AA65" i="59"/>
  <c r="AA85" i="59"/>
  <c r="AA99" i="59"/>
  <c r="AA103" i="59"/>
  <c r="AA107" i="59"/>
  <c r="AA111" i="59"/>
  <c r="AA115" i="59"/>
  <c r="AA119" i="59"/>
  <c r="Z66" i="59"/>
  <c r="Z70" i="59"/>
  <c r="Z74" i="59"/>
  <c r="Z78" i="59"/>
  <c r="Z82" i="59"/>
  <c r="Z86" i="59"/>
  <c r="Z90" i="59"/>
  <c r="Z100" i="59"/>
  <c r="Z104" i="59"/>
  <c r="Z108" i="59"/>
  <c r="Z112" i="59"/>
  <c r="Z116" i="59"/>
  <c r="Z120" i="59"/>
  <c r="AA100" i="59"/>
  <c r="AA104" i="59"/>
  <c r="AA108" i="59"/>
  <c r="AA112" i="59"/>
  <c r="AA116" i="59"/>
  <c r="AA120" i="59"/>
  <c r="Z20" i="59"/>
  <c r="Z93" i="59"/>
  <c r="Z97" i="59"/>
  <c r="Z101" i="59"/>
  <c r="Z105" i="59"/>
  <c r="Z109" i="59"/>
  <c r="Z113" i="59"/>
  <c r="Z117" i="59"/>
  <c r="Z121" i="59"/>
  <c r="Z21" i="59"/>
  <c r="Z94" i="59"/>
  <c r="Z98" i="59"/>
  <c r="Z102" i="59"/>
  <c r="Z106" i="59"/>
  <c r="Z110" i="59"/>
  <c r="Z114" i="59"/>
  <c r="Z118" i="59"/>
  <c r="Z122" i="59"/>
  <c r="AA95" i="59" l="1"/>
  <c r="AA9" i="59"/>
  <c r="AA10" i="59" s="1"/>
  <c r="Z9" i="59"/>
  <c r="Z10" i="59" s="1"/>
  <c r="AA12" i="59"/>
  <c r="AA13" i="59" s="1"/>
  <c r="Z12" i="59"/>
  <c r="Z13" i="59" s="1"/>
  <c r="AA96" i="59"/>
  <c r="X12" i="59"/>
  <c r="X13" i="59" s="1"/>
  <c r="P12" i="59"/>
  <c r="H12" i="59"/>
  <c r="O12" i="59"/>
  <c r="M12" i="59"/>
  <c r="J12" i="59"/>
  <c r="W12" i="59"/>
  <c r="W13" i="59" s="1"/>
  <c r="G12" i="59"/>
  <c r="Y12" i="59"/>
  <c r="Y13" i="59" s="1"/>
  <c r="V12" i="59"/>
  <c r="V13" i="59" s="1"/>
  <c r="N12" i="59"/>
  <c r="F12" i="59"/>
  <c r="U12" i="59"/>
  <c r="U13" i="59" s="1"/>
  <c r="E12" i="59"/>
  <c r="Q12" i="59"/>
  <c r="T12" i="59"/>
  <c r="T13" i="59" s="1"/>
  <c r="L12" i="59"/>
  <c r="D12" i="59"/>
  <c r="S12" i="59"/>
  <c r="K12" i="59"/>
  <c r="R12" i="59"/>
  <c r="I12" i="59"/>
  <c r="U9" i="59"/>
  <c r="U10" i="59" s="1"/>
  <c r="M9" i="59"/>
  <c r="E9" i="59"/>
  <c r="T9" i="59"/>
  <c r="T10" i="59" s="1"/>
  <c r="D9" i="59"/>
  <c r="V9" i="59"/>
  <c r="V10" i="59" s="1"/>
  <c r="N9" i="59"/>
  <c r="L9" i="59"/>
  <c r="R9" i="59"/>
  <c r="J9" i="59"/>
  <c r="O9" i="59"/>
  <c r="G9" i="59"/>
  <c r="F9" i="59"/>
  <c r="S9" i="59"/>
  <c r="K9" i="59"/>
  <c r="X9" i="59"/>
  <c r="X10" i="59" s="1"/>
  <c r="W9" i="59"/>
  <c r="W10" i="59" s="1"/>
  <c r="Q9" i="59"/>
  <c r="I9" i="59"/>
  <c r="Y9" i="59"/>
  <c r="Y10" i="59" s="1"/>
  <c r="P9" i="59"/>
  <c r="H9" i="59"/>
  <c r="Y21" i="59"/>
  <c r="Z96" i="59" s="1"/>
  <c r="W21" i="59"/>
  <c r="Y20" i="59"/>
  <c r="Z95" i="59" s="1"/>
  <c r="W20" i="59"/>
  <c r="V20" i="59"/>
  <c r="U93" i="59"/>
  <c r="Y89" i="59"/>
  <c r="T118" i="59"/>
  <c r="W117" i="59"/>
  <c r="U117" i="59"/>
  <c r="Y84" i="59"/>
  <c r="U116" i="59"/>
  <c r="Y115" i="59"/>
  <c r="Y114" i="59"/>
  <c r="W81" i="59"/>
  <c r="W112" i="59"/>
  <c r="T112" i="59"/>
  <c r="V111" i="59"/>
  <c r="W78" i="59"/>
  <c r="U110" i="59"/>
  <c r="Y77" i="59"/>
  <c r="U109" i="59"/>
  <c r="Y107" i="59"/>
  <c r="U107" i="59"/>
  <c r="Y74" i="59"/>
  <c r="T106" i="59"/>
  <c r="R106" i="59"/>
  <c r="L106" i="59"/>
  <c r="J106" i="59"/>
  <c r="Y105" i="59"/>
  <c r="W73" i="59"/>
  <c r="W105" i="59"/>
  <c r="Y71" i="59"/>
  <c r="Y103" i="59"/>
  <c r="U103" i="59"/>
  <c r="Y102" i="59"/>
  <c r="X102" i="59"/>
  <c r="W69" i="59"/>
  <c r="W101" i="59"/>
  <c r="U101" i="59"/>
  <c r="Y68" i="59"/>
  <c r="X100" i="59"/>
  <c r="T67" i="59"/>
  <c r="Y66" i="59"/>
  <c r="W98" i="59"/>
  <c r="T98" i="59"/>
  <c r="Y97" i="59"/>
  <c r="W67" i="59"/>
  <c r="V74" i="59"/>
  <c r="E106" i="59"/>
  <c r="X122" i="59"/>
  <c r="U115" i="59"/>
  <c r="V113" i="59"/>
  <c r="X110" i="59"/>
  <c r="W104" i="59"/>
  <c r="Y93" i="59"/>
  <c r="W90" i="59"/>
  <c r="T80" i="59"/>
  <c r="Y122" i="59"/>
  <c r="W122" i="59"/>
  <c r="T90" i="59"/>
  <c r="U121" i="59"/>
  <c r="Y120" i="59"/>
  <c r="W87" i="59"/>
  <c r="W84" i="59"/>
  <c r="V115" i="59"/>
  <c r="T83" i="59"/>
  <c r="Y82" i="59"/>
  <c r="W113" i="59"/>
  <c r="U113" i="59"/>
  <c r="Y80" i="59"/>
  <c r="W80" i="59"/>
  <c r="Y111" i="59"/>
  <c r="W110" i="59"/>
  <c r="U108" i="59"/>
  <c r="Y75" i="59"/>
  <c r="W75" i="59"/>
  <c r="W74" i="59"/>
  <c r="Y73" i="59"/>
  <c r="Y72" i="59"/>
  <c r="W72" i="59"/>
  <c r="V103" i="59"/>
  <c r="T71" i="59"/>
  <c r="Y70" i="59"/>
  <c r="V101" i="59"/>
  <c r="U100" i="59"/>
  <c r="Y67" i="59"/>
  <c r="Y99" i="59"/>
  <c r="Y65" i="59"/>
  <c r="W65" i="59"/>
  <c r="U94" i="59"/>
  <c r="X20" i="59"/>
  <c r="U20" i="59"/>
  <c r="W5" i="59"/>
  <c r="T5" i="59"/>
  <c r="Y5" i="59"/>
  <c r="X21" i="59"/>
  <c r="U5" i="59"/>
  <c r="U71" i="59" l="1"/>
  <c r="Y69" i="59"/>
  <c r="V94" i="59"/>
  <c r="U104" i="59"/>
  <c r="W111" i="59"/>
  <c r="X112" i="59"/>
  <c r="Y118" i="59"/>
  <c r="T119" i="59"/>
  <c r="W85" i="59"/>
  <c r="M106" i="59"/>
  <c r="G106" i="59"/>
  <c r="O106" i="59"/>
  <c r="W88" i="59"/>
  <c r="X78" i="59"/>
  <c r="W114" i="59"/>
  <c r="T110" i="59"/>
  <c r="X72" i="59"/>
  <c r="W76" i="59"/>
  <c r="X77" i="59"/>
  <c r="W86" i="59"/>
  <c r="W102" i="59"/>
  <c r="Y112" i="59"/>
  <c r="U75" i="59"/>
  <c r="X80" i="59"/>
  <c r="U87" i="59"/>
  <c r="U67" i="59"/>
  <c r="W79" i="59"/>
  <c r="V87" i="59"/>
  <c r="N106" i="59"/>
  <c r="V21" i="59"/>
  <c r="W96" i="59" s="1"/>
  <c r="T78" i="59"/>
  <c r="X69" i="59"/>
  <c r="X73" i="59"/>
  <c r="X76" i="59"/>
  <c r="V80" i="59"/>
  <c r="X114" i="59"/>
  <c r="H106" i="59"/>
  <c r="P106" i="59"/>
  <c r="X106" i="59"/>
  <c r="T75" i="59"/>
  <c r="Y98" i="59"/>
  <c r="V105" i="59"/>
  <c r="I106" i="59"/>
  <c r="Q106" i="59"/>
  <c r="Y106" i="59"/>
  <c r="W118" i="59"/>
  <c r="U120" i="59"/>
  <c r="W94" i="59"/>
  <c r="W68" i="59"/>
  <c r="V75" i="59"/>
  <c r="U99" i="59"/>
  <c r="K106" i="59"/>
  <c r="S106" i="59"/>
  <c r="T20" i="59"/>
  <c r="U95" i="59" s="1"/>
  <c r="U106" i="59"/>
  <c r="W97" i="59"/>
  <c r="V67" i="59"/>
  <c r="V72" i="59"/>
  <c r="F106" i="59"/>
  <c r="V106" i="59"/>
  <c r="W106" i="59"/>
  <c r="Y85" i="59"/>
  <c r="Y90" i="59"/>
  <c r="Y76" i="59"/>
  <c r="Y81" i="59"/>
  <c r="Y83" i="59"/>
  <c r="U90" i="59"/>
  <c r="V68" i="59"/>
  <c r="Y101" i="59"/>
  <c r="T70" i="59"/>
  <c r="W71" i="59"/>
  <c r="V76" i="59"/>
  <c r="W77" i="59"/>
  <c r="Y78" i="59"/>
  <c r="U111" i="59"/>
  <c r="U80" i="59"/>
  <c r="Y113" i="59"/>
  <c r="T82" i="59"/>
  <c r="W83" i="59"/>
  <c r="X84" i="59"/>
  <c r="Y119" i="59"/>
  <c r="W89" i="59"/>
  <c r="Y88" i="59"/>
  <c r="Y86" i="59"/>
  <c r="Y79" i="59"/>
  <c r="Y95" i="59"/>
  <c r="W95" i="59"/>
  <c r="Y94" i="59"/>
  <c r="W93" i="59"/>
  <c r="V95" i="59"/>
  <c r="Y96" i="59"/>
  <c r="U78" i="59"/>
  <c r="Y87" i="59"/>
  <c r="U66" i="59"/>
  <c r="U70" i="59"/>
  <c r="U74" i="59"/>
  <c r="U112" i="59"/>
  <c r="U84" i="59"/>
  <c r="W121" i="59"/>
  <c r="U97" i="59"/>
  <c r="U105" i="59"/>
  <c r="Y110" i="59"/>
  <c r="X81" i="59"/>
  <c r="U86" i="59"/>
  <c r="V97" i="59"/>
  <c r="X98" i="59"/>
  <c r="W109" i="59"/>
  <c r="U83" i="59"/>
  <c r="W108" i="59"/>
  <c r="X74" i="59"/>
  <c r="T79" i="59"/>
  <c r="U88" i="59"/>
  <c r="U68" i="59"/>
  <c r="U72" i="59"/>
  <c r="U76" i="59"/>
  <c r="U79" i="59"/>
  <c r="U82" i="59"/>
  <c r="W100" i="59"/>
  <c r="X96" i="59"/>
  <c r="X95" i="59"/>
  <c r="W70" i="59"/>
  <c r="T66" i="59"/>
  <c r="X68" i="59"/>
  <c r="V71" i="59"/>
  <c r="T74" i="59"/>
  <c r="V83" i="59"/>
  <c r="T86" i="59"/>
  <c r="X88" i="59"/>
  <c r="V93" i="59"/>
  <c r="X94" i="59"/>
  <c r="T100" i="59"/>
  <c r="T104" i="59"/>
  <c r="T116" i="59"/>
  <c r="V117" i="59"/>
  <c r="X118" i="59"/>
  <c r="V121" i="59"/>
  <c r="V5" i="59"/>
  <c r="T65" i="59"/>
  <c r="V66" i="59"/>
  <c r="X67" i="59"/>
  <c r="T69" i="59"/>
  <c r="V70" i="59"/>
  <c r="X71" i="59"/>
  <c r="T73" i="59"/>
  <c r="X75" i="59"/>
  <c r="T77" i="59"/>
  <c r="V78" i="59"/>
  <c r="X79" i="59"/>
  <c r="T81" i="59"/>
  <c r="V82" i="59"/>
  <c r="X83" i="59"/>
  <c r="T85" i="59"/>
  <c r="V86" i="59"/>
  <c r="X87" i="59"/>
  <c r="T89" i="59"/>
  <c r="V90" i="59"/>
  <c r="X93" i="59"/>
  <c r="X97" i="59"/>
  <c r="T99" i="59"/>
  <c r="V100" i="59"/>
  <c r="X101" i="59"/>
  <c r="T103" i="59"/>
  <c r="V104" i="59"/>
  <c r="X105" i="59"/>
  <c r="T107" i="59"/>
  <c r="V108" i="59"/>
  <c r="X109" i="59"/>
  <c r="T111" i="59"/>
  <c r="V112" i="59"/>
  <c r="X113" i="59"/>
  <c r="T115" i="59"/>
  <c r="V116" i="59"/>
  <c r="X117" i="59"/>
  <c r="V120" i="59"/>
  <c r="X121" i="59"/>
  <c r="W66" i="59"/>
  <c r="U89" i="59"/>
  <c r="Y117" i="59"/>
  <c r="Y121" i="59"/>
  <c r="T21" i="59"/>
  <c r="V65" i="59"/>
  <c r="V69" i="59"/>
  <c r="T84" i="59"/>
  <c r="T94" i="59"/>
  <c r="T102" i="59"/>
  <c r="V107" i="59"/>
  <c r="T122" i="59"/>
  <c r="U21" i="59"/>
  <c r="U98" i="59"/>
  <c r="W99" i="59"/>
  <c r="Y100" i="59"/>
  <c r="U102" i="59"/>
  <c r="W103" i="59"/>
  <c r="Y104" i="59"/>
  <c r="W107" i="59"/>
  <c r="Y108" i="59"/>
  <c r="U114" i="59"/>
  <c r="W115" i="59"/>
  <c r="Y116" i="59"/>
  <c r="U118" i="59"/>
  <c r="W119" i="59"/>
  <c r="U122" i="59"/>
  <c r="U81" i="59"/>
  <c r="Y109" i="59"/>
  <c r="W116" i="59"/>
  <c r="U119" i="59"/>
  <c r="X5" i="59"/>
  <c r="X66" i="59"/>
  <c r="X70" i="59"/>
  <c r="V73" i="59"/>
  <c r="T76" i="59"/>
  <c r="V77" i="59"/>
  <c r="V81" i="59"/>
  <c r="V85" i="59"/>
  <c r="T88" i="59"/>
  <c r="X90" i="59"/>
  <c r="V99" i="59"/>
  <c r="X104" i="59"/>
  <c r="X108" i="59"/>
  <c r="X120" i="59"/>
  <c r="X65" i="59"/>
  <c r="V84" i="59"/>
  <c r="X85" i="59"/>
  <c r="T87" i="59"/>
  <c r="V88" i="59"/>
  <c r="X89" i="59"/>
  <c r="T93" i="59"/>
  <c r="T97" i="59"/>
  <c r="V98" i="59"/>
  <c r="X99" i="59"/>
  <c r="T101" i="59"/>
  <c r="V102" i="59"/>
  <c r="X103" i="59"/>
  <c r="T105" i="59"/>
  <c r="X107" i="59"/>
  <c r="T109" i="59"/>
  <c r="V110" i="59"/>
  <c r="X111" i="59"/>
  <c r="T113" i="59"/>
  <c r="V114" i="59"/>
  <c r="X115" i="59"/>
  <c r="T117" i="59"/>
  <c r="V118" i="59"/>
  <c r="X119" i="59"/>
  <c r="T121" i="59"/>
  <c r="V122" i="59"/>
  <c r="U69" i="59"/>
  <c r="U73" i="59"/>
  <c r="W82" i="59"/>
  <c r="U85" i="59"/>
  <c r="W120" i="59"/>
  <c r="T68" i="59"/>
  <c r="T72" i="59"/>
  <c r="X82" i="59"/>
  <c r="X86" i="59"/>
  <c r="V89" i="59"/>
  <c r="T114" i="59"/>
  <c r="X116" i="59"/>
  <c r="V119" i="59"/>
  <c r="U65" i="59"/>
  <c r="U77" i="59"/>
  <c r="V79" i="59"/>
  <c r="T108" i="59"/>
  <c r="V109" i="59"/>
  <c r="T120" i="59"/>
  <c r="V96" i="59" l="1"/>
  <c r="U96" i="59"/>
  <c r="D13" i="59" l="1"/>
  <c r="D10" i="59"/>
  <c r="O13" i="59"/>
  <c r="E13" i="59"/>
  <c r="S13" i="59"/>
  <c r="R13" i="59"/>
  <c r="Q13" i="59"/>
  <c r="P13" i="59"/>
  <c r="N13" i="59"/>
  <c r="M13" i="59"/>
  <c r="L13" i="59"/>
  <c r="K13" i="59"/>
  <c r="J13" i="59"/>
  <c r="I13" i="59"/>
  <c r="H13" i="59"/>
  <c r="G13" i="59"/>
  <c r="F13" i="59"/>
  <c r="S10" i="59"/>
  <c r="R10" i="59"/>
  <c r="Q10" i="59"/>
  <c r="P10" i="59"/>
  <c r="O10" i="59"/>
  <c r="N10" i="59"/>
  <c r="M10" i="59"/>
  <c r="L10" i="59"/>
  <c r="K10" i="59"/>
  <c r="J10" i="59"/>
  <c r="I10" i="59"/>
  <c r="H10" i="59"/>
  <c r="G10" i="59"/>
  <c r="F10" i="59"/>
  <c r="E10" i="59"/>
  <c r="B6" i="4"/>
  <c r="B7" i="4"/>
  <c r="B4" i="4"/>
  <c r="B5" i="4"/>
  <c r="G5" i="59" l="1"/>
  <c r="S5" i="59"/>
  <c r="O5" i="59"/>
  <c r="R5" i="59"/>
  <c r="N5" i="59"/>
  <c r="J5" i="59"/>
  <c r="F5" i="59"/>
  <c r="K5" i="59"/>
  <c r="Q5" i="59"/>
  <c r="M5" i="59"/>
  <c r="I5" i="59"/>
  <c r="E5" i="59"/>
  <c r="P5" i="59"/>
  <c r="L5" i="59"/>
  <c r="H5" i="59"/>
  <c r="D5" i="59"/>
  <c r="S21" i="59" l="1"/>
  <c r="T96" i="59" s="1"/>
  <c r="N21" i="59" l="1"/>
  <c r="F21" i="59"/>
  <c r="I21" i="59"/>
  <c r="P21" i="59"/>
  <c r="K21" i="59"/>
  <c r="I94" i="59"/>
  <c r="H21" i="59"/>
  <c r="Q94" i="59"/>
  <c r="I96" i="59" l="1"/>
  <c r="F94" i="59"/>
  <c r="E21" i="59"/>
  <c r="F96" i="59" s="1"/>
  <c r="P94" i="59"/>
  <c r="O21" i="59"/>
  <c r="P96" i="59" s="1"/>
  <c r="N94" i="59"/>
  <c r="M21" i="59"/>
  <c r="N96" i="59" s="1"/>
  <c r="Q21" i="59"/>
  <c r="O94" i="59"/>
  <c r="O96" i="59" l="1"/>
  <c r="S94" i="59"/>
  <c r="R21" i="59"/>
  <c r="S96" i="59" s="1"/>
  <c r="E94" i="59"/>
  <c r="D21" i="59"/>
  <c r="E96" i="59" s="1"/>
  <c r="G21" i="59"/>
  <c r="H94" i="59"/>
  <c r="G94" i="59"/>
  <c r="M94" i="59"/>
  <c r="L21" i="59"/>
  <c r="L94" i="59"/>
  <c r="J21" i="59"/>
  <c r="K94" i="59"/>
  <c r="J94" i="59"/>
  <c r="R94" i="59"/>
  <c r="Q96" i="59"/>
  <c r="R96" i="59" l="1"/>
  <c r="H96" i="59"/>
  <c r="G96" i="59"/>
  <c r="K96" i="59"/>
  <c r="J96" i="59"/>
  <c r="M96" i="59"/>
  <c r="L96" i="59"/>
  <c r="S20" i="59" l="1"/>
  <c r="T95" i="59" s="1"/>
  <c r="S71" i="59"/>
  <c r="S70" i="59"/>
  <c r="S66" i="59"/>
  <c r="S72" i="59" l="1"/>
  <c r="G108" i="59"/>
  <c r="S69" i="59"/>
  <c r="S73" i="59"/>
  <c r="F108" i="59"/>
  <c r="I108" i="59"/>
  <c r="S108" i="59"/>
  <c r="M108" i="59"/>
  <c r="R108" i="59"/>
  <c r="L108" i="59"/>
  <c r="P108" i="59"/>
  <c r="S84" i="59"/>
  <c r="O103" i="59"/>
  <c r="N71" i="59"/>
  <c r="I81" i="59"/>
  <c r="J113" i="59"/>
  <c r="H77" i="59"/>
  <c r="I109" i="59"/>
  <c r="N100" i="59"/>
  <c r="M68" i="59"/>
  <c r="E81" i="59"/>
  <c r="F113" i="59"/>
  <c r="K107" i="59"/>
  <c r="J75" i="59"/>
  <c r="P102" i="59"/>
  <c r="O70" i="59"/>
  <c r="O73" i="59"/>
  <c r="P105" i="59"/>
  <c r="K70" i="59"/>
  <c r="L102" i="59"/>
  <c r="N105" i="59"/>
  <c r="M73" i="59"/>
  <c r="M100" i="59"/>
  <c r="L68" i="59"/>
  <c r="O99" i="59"/>
  <c r="N67" i="59"/>
  <c r="R70" i="59"/>
  <c r="S102" i="59"/>
  <c r="R73" i="59"/>
  <c r="S105" i="59"/>
  <c r="O107" i="59"/>
  <c r="N75" i="59"/>
  <c r="E103" i="59"/>
  <c r="D71" i="59"/>
  <c r="H70" i="59"/>
  <c r="I102" i="59"/>
  <c r="R65" i="59"/>
  <c r="R76" i="59"/>
  <c r="S97" i="59"/>
  <c r="Q101" i="59"/>
  <c r="P69" i="59"/>
  <c r="Q69" i="59"/>
  <c r="R101" i="59"/>
  <c r="K115" i="59"/>
  <c r="J83" i="59"/>
  <c r="K75" i="59"/>
  <c r="L107" i="59"/>
  <c r="O100" i="59"/>
  <c r="N68" i="59"/>
  <c r="K20" i="59"/>
  <c r="L93" i="59"/>
  <c r="Q70" i="59"/>
  <c r="R102" i="59"/>
  <c r="F115" i="59"/>
  <c r="E83" i="59"/>
  <c r="Q109" i="59"/>
  <c r="P77" i="59"/>
  <c r="O93" i="59"/>
  <c r="N20" i="59"/>
  <c r="G97" i="59"/>
  <c r="F65" i="59"/>
  <c r="F76" i="59"/>
  <c r="K104" i="59"/>
  <c r="J72" i="59"/>
  <c r="G105" i="59"/>
  <c r="F73" i="59"/>
  <c r="Q81" i="59"/>
  <c r="R113" i="59"/>
  <c r="E104" i="59"/>
  <c r="D72" i="59"/>
  <c r="I83" i="59"/>
  <c r="J115" i="59"/>
  <c r="F74" i="59"/>
  <c r="L99" i="59"/>
  <c r="K67" i="59"/>
  <c r="H68" i="59"/>
  <c r="I100" i="59"/>
  <c r="H82" i="59"/>
  <c r="I114" i="59"/>
  <c r="O77" i="59"/>
  <c r="P109" i="59"/>
  <c r="M77" i="59"/>
  <c r="N109" i="59"/>
  <c r="H73" i="59"/>
  <c r="I105" i="59"/>
  <c r="K74" i="59"/>
  <c r="F100" i="59"/>
  <c r="E68" i="59"/>
  <c r="N74" i="59"/>
  <c r="S82" i="59"/>
  <c r="H113" i="59"/>
  <c r="G81" i="59"/>
  <c r="I93" i="59"/>
  <c r="H20" i="59"/>
  <c r="M107" i="59"/>
  <c r="L75" i="59"/>
  <c r="S65" i="59"/>
  <c r="S76" i="59"/>
  <c r="E71" i="59"/>
  <c r="F103" i="59"/>
  <c r="H71" i="59"/>
  <c r="I103" i="59"/>
  <c r="H83" i="59"/>
  <c r="I115" i="59"/>
  <c r="J103" i="59"/>
  <c r="I71" i="59"/>
  <c r="K103" i="59"/>
  <c r="J71" i="59"/>
  <c r="K71" i="59"/>
  <c r="L103" i="59"/>
  <c r="Q102" i="59"/>
  <c r="P70" i="59"/>
  <c r="J100" i="59"/>
  <c r="I68" i="59"/>
  <c r="M104" i="59"/>
  <c r="L72" i="59"/>
  <c r="H115" i="59"/>
  <c r="G83" i="59"/>
  <c r="L105" i="59"/>
  <c r="K73" i="59"/>
  <c r="R67" i="59"/>
  <c r="S99" i="59"/>
  <c r="K102" i="59"/>
  <c r="J70" i="59"/>
  <c r="L114" i="59"/>
  <c r="K82" i="59"/>
  <c r="H85" i="59"/>
  <c r="S85" i="59"/>
  <c r="K98" i="59"/>
  <c r="J66" i="59"/>
  <c r="R116" i="59"/>
  <c r="Q84" i="59"/>
  <c r="S80" i="59"/>
  <c r="L66" i="59"/>
  <c r="H98" i="59"/>
  <c r="G66" i="59"/>
  <c r="Q98" i="59"/>
  <c r="P66" i="59"/>
  <c r="F84" i="59"/>
  <c r="S86" i="59"/>
  <c r="H80" i="59"/>
  <c r="P116" i="59"/>
  <c r="O84" i="59"/>
  <c r="M119" i="59"/>
  <c r="L87" i="59"/>
  <c r="G93" i="59"/>
  <c r="F20" i="59"/>
  <c r="M102" i="59"/>
  <c r="L70" i="59"/>
  <c r="J74" i="59"/>
  <c r="N102" i="59"/>
  <c r="M70" i="59"/>
  <c r="M82" i="59"/>
  <c r="N114" i="59"/>
  <c r="P101" i="59"/>
  <c r="O69" i="59"/>
  <c r="O74" i="59"/>
  <c r="M20" i="59"/>
  <c r="N93" i="59"/>
  <c r="D69" i="59"/>
  <c r="E101" i="59"/>
  <c r="N99" i="59"/>
  <c r="M67" i="59"/>
  <c r="Q74" i="59"/>
  <c r="Q103" i="59"/>
  <c r="P71" i="59"/>
  <c r="L113" i="59"/>
  <c r="K81" i="59"/>
  <c r="K113" i="59"/>
  <c r="J81" i="59"/>
  <c r="P104" i="59"/>
  <c r="O72" i="59"/>
  <c r="H74" i="59"/>
  <c r="R68" i="59"/>
  <c r="S100" i="59"/>
  <c r="F107" i="59"/>
  <c r="E75" i="59"/>
  <c r="M114" i="59"/>
  <c r="L82" i="59"/>
  <c r="Q71" i="59"/>
  <c r="R103" i="59"/>
  <c r="R75" i="59"/>
  <c r="S107" i="59"/>
  <c r="P74" i="59"/>
  <c r="P76" i="59"/>
  <c r="Q97" i="59"/>
  <c r="P65" i="59"/>
  <c r="Q72" i="59"/>
  <c r="R104" i="59"/>
  <c r="H103" i="59"/>
  <c r="G71" i="59"/>
  <c r="M113" i="59"/>
  <c r="L81" i="59"/>
  <c r="G113" i="59"/>
  <c r="F81" i="59"/>
  <c r="P103" i="59"/>
  <c r="O71" i="59"/>
  <c r="L74" i="59"/>
  <c r="G115" i="59"/>
  <c r="F83" i="59"/>
  <c r="R74" i="59"/>
  <c r="H100" i="59"/>
  <c r="G68" i="59"/>
  <c r="O109" i="59"/>
  <c r="N77" i="59"/>
  <c r="M103" i="59"/>
  <c r="L71" i="59"/>
  <c r="S81" i="59"/>
  <c r="P115" i="59"/>
  <c r="O83" i="59"/>
  <c r="F102" i="59"/>
  <c r="E70" i="59"/>
  <c r="G100" i="59"/>
  <c r="F68" i="59"/>
  <c r="P114" i="59"/>
  <c r="O82" i="59"/>
  <c r="L65" i="59"/>
  <c r="M97" i="59"/>
  <c r="L76" i="59"/>
  <c r="M76" i="59"/>
  <c r="N97" i="59"/>
  <c r="M65" i="59"/>
  <c r="E73" i="59"/>
  <c r="F105" i="59"/>
  <c r="G109" i="59"/>
  <c r="F77" i="59"/>
  <c r="H75" i="59"/>
  <c r="I107" i="59"/>
  <c r="G77" i="59"/>
  <c r="H109" i="59"/>
  <c r="J105" i="59"/>
  <c r="I73" i="59"/>
  <c r="F114" i="59"/>
  <c r="E82" i="59"/>
  <c r="K105" i="59"/>
  <c r="J73" i="59"/>
  <c r="G72" i="59"/>
  <c r="H104" i="59"/>
  <c r="H81" i="59"/>
  <c r="I113" i="59"/>
  <c r="J102" i="59"/>
  <c r="I70" i="59"/>
  <c r="J20" i="59"/>
  <c r="K93" i="59"/>
  <c r="O102" i="59"/>
  <c r="N70" i="59"/>
  <c r="H67" i="59"/>
  <c r="I99" i="59"/>
  <c r="G74" i="59"/>
  <c r="Q100" i="59"/>
  <c r="P68" i="59"/>
  <c r="P20" i="59"/>
  <c r="Q93" i="59"/>
  <c r="H72" i="59"/>
  <c r="I104" i="59"/>
  <c r="H66" i="59"/>
  <c r="F98" i="59"/>
  <c r="E66" i="59"/>
  <c r="R98" i="59"/>
  <c r="Q66" i="59"/>
  <c r="K84" i="59"/>
  <c r="K66" i="59"/>
  <c r="L98" i="59"/>
  <c r="R84" i="59"/>
  <c r="S116" i="59"/>
  <c r="K101" i="59"/>
  <c r="J69" i="59"/>
  <c r="Q105" i="59"/>
  <c r="P73" i="59"/>
  <c r="D81" i="59"/>
  <c r="E113" i="59"/>
  <c r="N104" i="59"/>
  <c r="M72" i="59"/>
  <c r="R115" i="59"/>
  <c r="Q83" i="59"/>
  <c r="P93" i="59"/>
  <c r="O20" i="59"/>
  <c r="O81" i="59"/>
  <c r="P113" i="59"/>
  <c r="N101" i="59"/>
  <c r="M69" i="59"/>
  <c r="Q82" i="59"/>
  <c r="R114" i="59"/>
  <c r="Q76" i="59"/>
  <c r="R97" i="59"/>
  <c r="Q65" i="59"/>
  <c r="R69" i="59"/>
  <c r="S101" i="59"/>
  <c r="S77" i="59"/>
  <c r="O115" i="59"/>
  <c r="N83" i="59"/>
  <c r="E77" i="59"/>
  <c r="F109" i="59"/>
  <c r="O65" i="59"/>
  <c r="P97" i="59"/>
  <c r="O76" i="59"/>
  <c r="Q73" i="59"/>
  <c r="R105" i="59"/>
  <c r="R77" i="59"/>
  <c r="S109" i="59"/>
  <c r="E107" i="59"/>
  <c r="D75" i="59"/>
  <c r="F97" i="59"/>
  <c r="E65" i="59"/>
  <c r="E76" i="59"/>
  <c r="Q99" i="59"/>
  <c r="P67" i="59"/>
  <c r="M81" i="59"/>
  <c r="N113" i="59"/>
  <c r="G114" i="59"/>
  <c r="F82" i="59"/>
  <c r="P107" i="59"/>
  <c r="O75" i="59"/>
  <c r="G107" i="59"/>
  <c r="F75" i="59"/>
  <c r="G102" i="59"/>
  <c r="F70" i="59"/>
  <c r="G65" i="59"/>
  <c r="H97" i="59"/>
  <c r="G76" i="59"/>
  <c r="S75" i="59"/>
  <c r="D77" i="59"/>
  <c r="E109" i="59"/>
  <c r="M99" i="59"/>
  <c r="L67" i="59"/>
  <c r="K99" i="59"/>
  <c r="J67" i="59"/>
  <c r="O101" i="59"/>
  <c r="N69" i="59"/>
  <c r="K114" i="59"/>
  <c r="J82" i="59"/>
  <c r="M93" i="59"/>
  <c r="L20" i="59"/>
  <c r="F104" i="59"/>
  <c r="E72" i="59"/>
  <c r="O105" i="59"/>
  <c r="N73" i="59"/>
  <c r="O114" i="59"/>
  <c r="N82" i="59"/>
  <c r="K69" i="59"/>
  <c r="L101" i="59"/>
  <c r="G101" i="59"/>
  <c r="F69" i="59"/>
  <c r="M101" i="59"/>
  <c r="L69" i="59"/>
  <c r="G20" i="59"/>
  <c r="H93" i="59"/>
  <c r="E67" i="59"/>
  <c r="F99" i="59"/>
  <c r="J114" i="59"/>
  <c r="I82" i="59"/>
  <c r="S68" i="59"/>
  <c r="I67" i="59"/>
  <c r="J99" i="59"/>
  <c r="M74" i="59"/>
  <c r="O113" i="59"/>
  <c r="N81" i="59"/>
  <c r="L109" i="59"/>
  <c r="K77" i="59"/>
  <c r="J104" i="59"/>
  <c r="I72" i="59"/>
  <c r="O104" i="59"/>
  <c r="N72" i="59"/>
  <c r="S67" i="59"/>
  <c r="M109" i="59"/>
  <c r="L77" i="59"/>
  <c r="E105" i="59"/>
  <c r="D73" i="59"/>
  <c r="E99" i="59"/>
  <c r="D67" i="59"/>
  <c r="H84" i="59"/>
  <c r="I116" i="59"/>
  <c r="I84" i="59"/>
  <c r="J116" i="59"/>
  <c r="S88" i="59"/>
  <c r="G98" i="59"/>
  <c r="F66" i="59"/>
  <c r="K116" i="59"/>
  <c r="J84" i="59"/>
  <c r="R93" i="59"/>
  <c r="Q20" i="59"/>
  <c r="Q107" i="59"/>
  <c r="P75" i="59"/>
  <c r="E114" i="59"/>
  <c r="D82" i="59"/>
  <c r="I75" i="59"/>
  <c r="J107" i="59"/>
  <c r="K72" i="59"/>
  <c r="L104" i="59"/>
  <c r="N76" i="59"/>
  <c r="O97" i="59"/>
  <c r="N65" i="59"/>
  <c r="Q113" i="59"/>
  <c r="P81" i="59"/>
  <c r="M105" i="59"/>
  <c r="L73" i="59"/>
  <c r="N103" i="59"/>
  <c r="M71" i="59"/>
  <c r="R72" i="59"/>
  <c r="S104" i="59"/>
  <c r="Q115" i="59"/>
  <c r="P83" i="59"/>
  <c r="R71" i="59"/>
  <c r="S103" i="59"/>
  <c r="G103" i="59"/>
  <c r="F71" i="59"/>
  <c r="K83" i="59"/>
  <c r="L115" i="59"/>
  <c r="K76" i="59"/>
  <c r="L97" i="59"/>
  <c r="K65" i="59"/>
  <c r="E97" i="59"/>
  <c r="D76" i="59"/>
  <c r="D65" i="59"/>
  <c r="S74" i="59"/>
  <c r="G99" i="59"/>
  <c r="F67" i="59"/>
  <c r="Q67" i="59"/>
  <c r="R99" i="59"/>
  <c r="I77" i="59"/>
  <c r="J109" i="59"/>
  <c r="R82" i="59"/>
  <c r="S114" i="59"/>
  <c r="S93" i="59"/>
  <c r="R20" i="59"/>
  <c r="S95" i="59" s="1"/>
  <c r="R100" i="59"/>
  <c r="Q68" i="59"/>
  <c r="D74" i="59"/>
  <c r="H107" i="59"/>
  <c r="G75" i="59"/>
  <c r="G82" i="59"/>
  <c r="H114" i="59"/>
  <c r="J76" i="59"/>
  <c r="K97" i="59"/>
  <c r="J65" i="59"/>
  <c r="N107" i="59"/>
  <c r="M75" i="59"/>
  <c r="Q75" i="59"/>
  <c r="R107" i="59"/>
  <c r="G104" i="59"/>
  <c r="F72" i="59"/>
  <c r="E93" i="59"/>
  <c r="D20" i="59"/>
  <c r="S83" i="59"/>
  <c r="H99" i="59"/>
  <c r="G67" i="59"/>
  <c r="Q114" i="59"/>
  <c r="P82" i="59"/>
  <c r="I20" i="59"/>
  <c r="J93" i="59"/>
  <c r="E102" i="59"/>
  <c r="D70" i="59"/>
  <c r="O67" i="59"/>
  <c r="P99" i="59"/>
  <c r="I76" i="59"/>
  <c r="I65" i="59"/>
  <c r="J97" i="59"/>
  <c r="E74" i="59"/>
  <c r="L100" i="59"/>
  <c r="K68" i="59"/>
  <c r="R83" i="59"/>
  <c r="S115" i="59"/>
  <c r="G70" i="59"/>
  <c r="H102" i="59"/>
  <c r="R81" i="59"/>
  <c r="S113" i="59"/>
  <c r="Q104" i="59"/>
  <c r="P72" i="59"/>
  <c r="F101" i="59"/>
  <c r="E69" i="59"/>
  <c r="M83" i="59"/>
  <c r="N115" i="59"/>
  <c r="E100" i="59"/>
  <c r="D68" i="59"/>
  <c r="J101" i="59"/>
  <c r="I69" i="59"/>
  <c r="Q77" i="59"/>
  <c r="R109" i="59"/>
  <c r="H76" i="59"/>
  <c r="H65" i="59"/>
  <c r="I97" i="59"/>
  <c r="K100" i="59"/>
  <c r="J68" i="59"/>
  <c r="H105" i="59"/>
  <c r="G73" i="59"/>
  <c r="I74" i="59"/>
  <c r="H69" i="59"/>
  <c r="I101" i="59"/>
  <c r="F93" i="59"/>
  <c r="E20" i="59"/>
  <c r="K109" i="59"/>
  <c r="J77" i="59"/>
  <c r="O68" i="59"/>
  <c r="P100" i="59"/>
  <c r="H101" i="59"/>
  <c r="G69" i="59"/>
  <c r="E115" i="59"/>
  <c r="D83" i="59"/>
  <c r="M115" i="59"/>
  <c r="L83" i="59"/>
  <c r="O98" i="59"/>
  <c r="N66" i="59"/>
  <c r="S90" i="59"/>
  <c r="Q116" i="59"/>
  <c r="P84" i="59"/>
  <c r="M84" i="59"/>
  <c r="N116" i="59"/>
  <c r="S87" i="59"/>
  <c r="S89" i="59"/>
  <c r="N95" i="59" l="1"/>
  <c r="F95" i="59"/>
  <c r="P95" i="59"/>
  <c r="H95" i="59"/>
  <c r="J95" i="59"/>
  <c r="M95" i="59"/>
  <c r="K95" i="59"/>
  <c r="E108" i="59"/>
  <c r="K108" i="59"/>
  <c r="H108" i="59"/>
  <c r="J108" i="59"/>
  <c r="Q108" i="59"/>
  <c r="O108" i="59"/>
  <c r="N108" i="59"/>
  <c r="R118" i="59"/>
  <c r="Q86" i="59"/>
  <c r="H87" i="59"/>
  <c r="I119" i="59"/>
  <c r="F117" i="59"/>
  <c r="E85" i="59"/>
  <c r="O80" i="59"/>
  <c r="P112" i="59"/>
  <c r="R89" i="59"/>
  <c r="S121" i="59"/>
  <c r="O118" i="59"/>
  <c r="N86" i="59"/>
  <c r="E119" i="59"/>
  <c r="D87" i="59"/>
  <c r="E116" i="59"/>
  <c r="D84" i="59"/>
  <c r="K110" i="59"/>
  <c r="J78" i="59"/>
  <c r="O110" i="59"/>
  <c r="N78" i="59"/>
  <c r="N121" i="59"/>
  <c r="M89" i="59"/>
  <c r="E122" i="59"/>
  <c r="D90" i="59"/>
  <c r="J98" i="59"/>
  <c r="I66" i="59"/>
  <c r="E120" i="59"/>
  <c r="D88" i="59"/>
  <c r="S78" i="59"/>
  <c r="E121" i="59"/>
  <c r="D89" i="59"/>
  <c r="P117" i="59"/>
  <c r="O85" i="59"/>
  <c r="M118" i="59"/>
  <c r="L86" i="59"/>
  <c r="L122" i="59"/>
  <c r="K90" i="59"/>
  <c r="F116" i="59"/>
  <c r="E84" i="59"/>
  <c r="M87" i="59"/>
  <c r="N119" i="59"/>
  <c r="K112" i="59"/>
  <c r="J80" i="59"/>
  <c r="R122" i="59"/>
  <c r="Q90" i="59"/>
  <c r="F120" i="59"/>
  <c r="E88" i="59"/>
  <c r="P121" i="59"/>
  <c r="O89" i="59"/>
  <c r="R88" i="59"/>
  <c r="S120" i="59"/>
  <c r="H120" i="59"/>
  <c r="G88" i="59"/>
  <c r="M88" i="59"/>
  <c r="N120" i="59"/>
  <c r="Q79" i="59"/>
  <c r="R111" i="59"/>
  <c r="H112" i="59"/>
  <c r="G80" i="59"/>
  <c r="H117" i="59"/>
  <c r="G85" i="59"/>
  <c r="H121" i="59"/>
  <c r="G89" i="59"/>
  <c r="R86" i="59"/>
  <c r="S118" i="59"/>
  <c r="I88" i="59"/>
  <c r="J120" i="59"/>
  <c r="O121" i="59"/>
  <c r="N89" i="59"/>
  <c r="M122" i="59"/>
  <c r="L90" i="59"/>
  <c r="M111" i="59"/>
  <c r="L79" i="59"/>
  <c r="M78" i="59"/>
  <c r="N110" i="59"/>
  <c r="G121" i="59"/>
  <c r="F89" i="59"/>
  <c r="R79" i="59"/>
  <c r="S111" i="59"/>
  <c r="G110" i="59"/>
  <c r="F78" i="59"/>
  <c r="H86" i="59"/>
  <c r="I118" i="59"/>
  <c r="Q89" i="59"/>
  <c r="R121" i="59"/>
  <c r="I86" i="59"/>
  <c r="J118" i="59"/>
  <c r="L120" i="59"/>
  <c r="K88" i="59"/>
  <c r="Q111" i="59"/>
  <c r="P79" i="59"/>
  <c r="I90" i="59"/>
  <c r="J122" i="59"/>
  <c r="G90" i="59"/>
  <c r="H122" i="59"/>
  <c r="Q95" i="59"/>
  <c r="G95" i="59"/>
  <c r="M85" i="59"/>
  <c r="N117" i="59"/>
  <c r="Q80" i="59"/>
  <c r="R112" i="59"/>
  <c r="L111" i="59"/>
  <c r="K79" i="59"/>
  <c r="J117" i="59"/>
  <c r="I85" i="59"/>
  <c r="J121" i="59"/>
  <c r="I89" i="59"/>
  <c r="H110" i="59"/>
  <c r="G78" i="59"/>
  <c r="I95" i="59"/>
  <c r="J111" i="59"/>
  <c r="I79" i="59"/>
  <c r="K89" i="59"/>
  <c r="L121" i="59"/>
  <c r="E118" i="59"/>
  <c r="D86" i="59"/>
  <c r="G117" i="59"/>
  <c r="F85" i="59"/>
  <c r="O112" i="59"/>
  <c r="N80" i="59"/>
  <c r="F112" i="59"/>
  <c r="E80" i="59"/>
  <c r="H111" i="59"/>
  <c r="G79" i="59"/>
  <c r="J112" i="59"/>
  <c r="I80" i="59"/>
  <c r="E95" i="59"/>
  <c r="I98" i="59"/>
  <c r="R87" i="59"/>
  <c r="S119" i="59"/>
  <c r="F118" i="59"/>
  <c r="E86" i="59"/>
  <c r="K122" i="59"/>
  <c r="J90" i="59"/>
  <c r="O119" i="59"/>
  <c r="N87" i="59"/>
  <c r="O117" i="59"/>
  <c r="N85" i="59"/>
  <c r="Q112" i="59"/>
  <c r="P80" i="59"/>
  <c r="H118" i="59"/>
  <c r="G86" i="59"/>
  <c r="E110" i="59"/>
  <c r="D78" i="59"/>
  <c r="I117" i="59"/>
  <c r="R95" i="59"/>
  <c r="M117" i="59"/>
  <c r="L85" i="59"/>
  <c r="P120" i="59"/>
  <c r="O88" i="59"/>
  <c r="K120" i="59"/>
  <c r="J88" i="59"/>
  <c r="M90" i="59"/>
  <c r="N122" i="59"/>
  <c r="G112" i="59"/>
  <c r="F80" i="59"/>
  <c r="F119" i="59"/>
  <c r="E87" i="59"/>
  <c r="M121" i="59"/>
  <c r="L89" i="59"/>
  <c r="M116" i="59"/>
  <c r="L84" i="59"/>
  <c r="P98" i="59"/>
  <c r="O66" i="59"/>
  <c r="H90" i="59"/>
  <c r="I122" i="59"/>
  <c r="F111" i="59"/>
  <c r="E79" i="59"/>
  <c r="H79" i="59"/>
  <c r="I111" i="59"/>
  <c r="N98" i="59"/>
  <c r="M66" i="59"/>
  <c r="M86" i="59"/>
  <c r="N118" i="59"/>
  <c r="G118" i="59"/>
  <c r="F86" i="59"/>
  <c r="G119" i="59"/>
  <c r="F87" i="59"/>
  <c r="P111" i="59"/>
  <c r="O79" i="59"/>
  <c r="L117" i="59"/>
  <c r="K85" i="59"/>
  <c r="E98" i="59"/>
  <c r="D66" i="59"/>
  <c r="M120" i="59"/>
  <c r="L88" i="59"/>
  <c r="K80" i="59"/>
  <c r="L112" i="59"/>
  <c r="O95" i="59"/>
  <c r="E112" i="59"/>
  <c r="D80" i="59"/>
  <c r="K121" i="59"/>
  <c r="J89" i="59"/>
  <c r="P110" i="59"/>
  <c r="O78" i="59"/>
  <c r="Q78" i="59"/>
  <c r="R110" i="59"/>
  <c r="R120" i="59"/>
  <c r="Q88" i="59"/>
  <c r="P88" i="59"/>
  <c r="Q120" i="59"/>
  <c r="K111" i="59"/>
  <c r="J79" i="59"/>
  <c r="R78" i="59"/>
  <c r="S110" i="59"/>
  <c r="O90" i="59"/>
  <c r="P122" i="59"/>
  <c r="E111" i="59"/>
  <c r="D79" i="59"/>
  <c r="L116" i="59"/>
  <c r="M80" i="59"/>
  <c r="N112" i="59"/>
  <c r="H89" i="59"/>
  <c r="I121" i="59"/>
  <c r="G87" i="59"/>
  <c r="H119" i="59"/>
  <c r="L110" i="59"/>
  <c r="K78" i="59"/>
  <c r="R90" i="59"/>
  <c r="S122" i="59"/>
  <c r="O116" i="59"/>
  <c r="N84" i="59"/>
  <c r="M112" i="59"/>
  <c r="L80" i="59"/>
  <c r="R119" i="59"/>
  <c r="Q87" i="59"/>
  <c r="I87" i="59"/>
  <c r="J119" i="59"/>
  <c r="F122" i="59"/>
  <c r="E90" i="59"/>
  <c r="Q119" i="59"/>
  <c r="P87" i="59"/>
  <c r="O120" i="59"/>
  <c r="N88" i="59"/>
  <c r="P118" i="59"/>
  <c r="O86" i="59"/>
  <c r="H78" i="59"/>
  <c r="I110" i="59"/>
  <c r="G120" i="59"/>
  <c r="F88" i="59"/>
  <c r="K87" i="59"/>
  <c r="L119" i="59"/>
  <c r="R85" i="59"/>
  <c r="S117" i="59"/>
  <c r="L118" i="59"/>
  <c r="K86" i="59"/>
  <c r="E89" i="59"/>
  <c r="F121" i="59"/>
  <c r="S79" i="59"/>
  <c r="Q118" i="59"/>
  <c r="P86" i="59"/>
  <c r="P89" i="59"/>
  <c r="Q121" i="59"/>
  <c r="R80" i="59"/>
  <c r="S112" i="59"/>
  <c r="K117" i="59"/>
  <c r="J85" i="59"/>
  <c r="G111" i="59"/>
  <c r="F79" i="59"/>
  <c r="K118" i="59"/>
  <c r="J86" i="59"/>
  <c r="I112" i="59"/>
  <c r="M98" i="59"/>
  <c r="J110" i="59"/>
  <c r="I78" i="59"/>
  <c r="P90" i="59"/>
  <c r="Q122" i="59"/>
  <c r="P119" i="59"/>
  <c r="O87" i="59"/>
  <c r="R66" i="59"/>
  <c r="S98" i="59"/>
  <c r="Q110" i="59"/>
  <c r="P78" i="59"/>
  <c r="D85" i="59"/>
  <c r="E117" i="59"/>
  <c r="M79" i="59"/>
  <c r="N111" i="59"/>
  <c r="O111" i="59"/>
  <c r="N79" i="59"/>
  <c r="F110" i="59"/>
  <c r="E78" i="59"/>
  <c r="H116" i="59"/>
  <c r="G84" i="59"/>
  <c r="Q85" i="59"/>
  <c r="R117" i="59"/>
  <c r="O122" i="59"/>
  <c r="N90" i="59"/>
  <c r="K119" i="59"/>
  <c r="J87" i="59"/>
  <c r="G116" i="59"/>
  <c r="H88" i="59"/>
  <c r="I120" i="59"/>
  <c r="M110" i="59"/>
  <c r="L78" i="59"/>
  <c r="Q117" i="59"/>
  <c r="P85" i="59"/>
  <c r="G122" i="59"/>
  <c r="F90" i="59"/>
  <c r="L95" i="59"/>
  <c r="S16" i="55" l="1"/>
  <c r="V54" i="55"/>
  <c r="J16" i="55"/>
  <c r="P16" i="55"/>
  <c r="Y16" i="55"/>
  <c r="O16" i="55"/>
  <c r="R54" i="55"/>
  <c r="M16" i="55"/>
  <c r="X54" i="55"/>
  <c r="H54" i="55"/>
  <c r="L16" i="55"/>
  <c r="G54" i="55"/>
  <c r="F54" i="55"/>
  <c r="N16" i="55"/>
  <c r="W54" i="55"/>
  <c r="I54" i="55"/>
  <c r="E16" i="55"/>
  <c r="R16" i="55"/>
  <c r="T54" i="55"/>
  <c r="D54" i="55"/>
  <c r="X16" i="55"/>
  <c r="H16" i="55"/>
  <c r="Q54" i="55"/>
  <c r="W16" i="55"/>
  <c r="G16" i="55"/>
  <c r="Y54" i="55"/>
  <c r="N54" i="55"/>
  <c r="K54" i="55"/>
  <c r="M54" i="55"/>
  <c r="P54" i="55"/>
  <c r="Q16" i="55"/>
  <c r="O54" i="55"/>
  <c r="K16" i="55"/>
  <c r="U54" i="55"/>
  <c r="J54" i="55"/>
  <c r="V16" i="55"/>
  <c r="U16" i="55"/>
  <c r="T16" i="55"/>
  <c r="D16" i="55"/>
  <c r="L54" i="55"/>
  <c r="S54" i="55"/>
  <c r="F16" i="55"/>
  <c r="I16" i="55"/>
  <c r="E54" i="55"/>
  <c r="Y39" i="55" l="1"/>
  <c r="T39" i="55"/>
  <c r="G75" i="55"/>
  <c r="S39" i="55"/>
  <c r="R75" i="55"/>
  <c r="P75" i="55"/>
  <c r="Y75" i="55"/>
  <c r="I39" i="55"/>
  <c r="L75" i="55"/>
  <c r="H75" i="55"/>
  <c r="M75" i="55"/>
  <c r="O39" i="55"/>
  <c r="X39" i="55"/>
  <c r="J39" i="55"/>
  <c r="H39" i="55"/>
  <c r="K75" i="55"/>
  <c r="K39" i="55"/>
  <c r="Q39" i="55"/>
  <c r="N75" i="55"/>
  <c r="E75" i="55"/>
  <c r="G39" i="55"/>
  <c r="W75" i="55"/>
  <c r="D75" i="55"/>
  <c r="U75" i="55"/>
  <c r="X75" i="55"/>
  <c r="R39" i="55"/>
  <c r="I75" i="55"/>
  <c r="M39" i="55"/>
  <c r="U39" i="55"/>
  <c r="E39" i="55"/>
  <c r="F39" i="55"/>
  <c r="V39" i="55"/>
  <c r="F75" i="55"/>
  <c r="L39" i="55"/>
  <c r="S75" i="55"/>
  <c r="D39" i="55"/>
  <c r="V75" i="55"/>
  <c r="Q75" i="55"/>
  <c r="J75" i="55"/>
  <c r="W39" i="55"/>
  <c r="P39" i="55"/>
  <c r="N39" i="55"/>
  <c r="T75" i="55"/>
  <c r="O75" i="55"/>
</calcChain>
</file>

<file path=xl/sharedStrings.xml><?xml version="1.0" encoding="utf-8"?>
<sst xmlns="http://schemas.openxmlformats.org/spreadsheetml/2006/main" count="722" uniqueCount="281">
  <si>
    <t>Wood and wood products</t>
  </si>
  <si>
    <t>Textiles and leather</t>
  </si>
  <si>
    <t>Food, beverages and tobacco</t>
  </si>
  <si>
    <t>Pulp, paper and printing</t>
  </si>
  <si>
    <t>Non-metallic mineral products</t>
  </si>
  <si>
    <t>Iron and steel</t>
  </si>
  <si>
    <t>Click on the link to jump to the sheet</t>
  </si>
  <si>
    <t>Printing and reproduction of recorded media</t>
  </si>
  <si>
    <t>Pulp production</t>
  </si>
  <si>
    <t>Ceramics &amp; other NMM</t>
  </si>
  <si>
    <t>Cement</t>
  </si>
  <si>
    <t>Pharmaceutical products etc.</t>
  </si>
  <si>
    <t>Other chemicals</t>
  </si>
  <si>
    <t>Other non-ferrous metals</t>
  </si>
  <si>
    <t>Alumina production</t>
  </si>
  <si>
    <t>Electric arc</t>
  </si>
  <si>
    <t>Printing and media reproduction</t>
  </si>
  <si>
    <t xml:space="preserve">Paper production </t>
  </si>
  <si>
    <t xml:space="preserve">Glass production </t>
  </si>
  <si>
    <t>Aluminium production</t>
  </si>
  <si>
    <t xml:space="preserve">Basic chemicals </t>
  </si>
  <si>
    <t>Paper and paper products</t>
  </si>
  <si>
    <t>Legal Notice</t>
  </si>
  <si>
    <t>Neither the European Commission nor any person acting on behalf of the Commission is responsible for the use which might be made of this information.</t>
  </si>
  <si>
    <t>B1GM</t>
  </si>
  <si>
    <t>Gross domestic product at market prices</t>
  </si>
  <si>
    <t>P31_S14_S15</t>
  </si>
  <si>
    <t>Household and NPISH final consumption expenditure</t>
  </si>
  <si>
    <t>B1G</t>
  </si>
  <si>
    <t>Value added, gross</t>
  </si>
  <si>
    <t/>
  </si>
  <si>
    <t>nace 10</t>
  </si>
  <si>
    <t>A</t>
  </si>
  <si>
    <t>Agriculture, forestry and fishing</t>
  </si>
  <si>
    <t>B_E</t>
  </si>
  <si>
    <t>Industry (except construction)</t>
  </si>
  <si>
    <t>F</t>
  </si>
  <si>
    <t>Construction</t>
  </si>
  <si>
    <t>G_I</t>
  </si>
  <si>
    <t>Wholesale and retail trade, transport, accomodation and food service activities</t>
  </si>
  <si>
    <t>J</t>
  </si>
  <si>
    <t>Information and communication</t>
  </si>
  <si>
    <t>K</t>
  </si>
  <si>
    <t>Financial and insurance activities</t>
  </si>
  <si>
    <t>L</t>
  </si>
  <si>
    <t>Real estate activities</t>
  </si>
  <si>
    <t>M_N</t>
  </si>
  <si>
    <t>Professional, scientific and technical activities; administrative and support service activities</t>
  </si>
  <si>
    <t>O_Q</t>
  </si>
  <si>
    <t>Public administration, defence, education, human health and social work activities</t>
  </si>
  <si>
    <t>R_U</t>
  </si>
  <si>
    <t>Arts, entertainment and recreation; other service activities; activities of household and extra-territorial organizations and bodies</t>
  </si>
  <si>
    <t>TOTAL</t>
  </si>
  <si>
    <t>Total - All NACE activities</t>
  </si>
  <si>
    <t>nace 21</t>
  </si>
  <si>
    <t>B</t>
  </si>
  <si>
    <t>Mining and quarrying</t>
  </si>
  <si>
    <t>C</t>
  </si>
  <si>
    <t>Manufacturing</t>
  </si>
  <si>
    <t>D</t>
  </si>
  <si>
    <t>Electricity, gas, steam and air conditioning supply</t>
  </si>
  <si>
    <t>E</t>
  </si>
  <si>
    <t>Water supply; sewerage, waste management and remediation activities</t>
  </si>
  <si>
    <t>G</t>
  </si>
  <si>
    <t>Wholesale and retail trade; repair of motor vehicles and motorcycles</t>
  </si>
  <si>
    <t>H</t>
  </si>
  <si>
    <t>Transportation and storage</t>
  </si>
  <si>
    <t>I</t>
  </si>
  <si>
    <t>Accommodation and food service activities</t>
  </si>
  <si>
    <t>M</t>
  </si>
  <si>
    <t>Professional, scientific and technical activities</t>
  </si>
  <si>
    <t>N</t>
  </si>
  <si>
    <t>Administrative and support service activities</t>
  </si>
  <si>
    <t>O</t>
  </si>
  <si>
    <t>Public administration and defence; compulsory social security</t>
  </si>
  <si>
    <t>P</t>
  </si>
  <si>
    <t>Education</t>
  </si>
  <si>
    <t>Q</t>
  </si>
  <si>
    <t>Human health and social work activities</t>
  </si>
  <si>
    <t>R</t>
  </si>
  <si>
    <t>Arts, entertainment and recreation</t>
  </si>
  <si>
    <t>S</t>
  </si>
  <si>
    <t>Other service activities</t>
  </si>
  <si>
    <t>T</t>
  </si>
  <si>
    <t>Activities of households as employers; undifferentiated goods- and services-producing activities of households for own use</t>
  </si>
  <si>
    <t>U</t>
  </si>
  <si>
    <t>Activities of extraterritorial organisations and bodies</t>
  </si>
  <si>
    <t>nace 38 - industry</t>
  </si>
  <si>
    <t>C10_C12</t>
  </si>
  <si>
    <t>Manufacture of food products; beverages and tobacco products</t>
  </si>
  <si>
    <t>C13_C15</t>
  </si>
  <si>
    <t>Manufacture of textiles, wearing apparel, leather and related products</t>
  </si>
  <si>
    <t>C16_C18</t>
  </si>
  <si>
    <t>Manufacture of wood, paper, printing and reproduction</t>
  </si>
  <si>
    <t>C19</t>
  </si>
  <si>
    <t>Manufacture of coke and refined petroleum products</t>
  </si>
  <si>
    <t>C20</t>
  </si>
  <si>
    <t>Manufacture of chemicals and chemical products</t>
  </si>
  <si>
    <t>C21</t>
  </si>
  <si>
    <t>Manufacture of basic pharmaceutical products and pharmaceutical preparations</t>
  </si>
  <si>
    <t>C22_C23</t>
  </si>
  <si>
    <t>Manufacture of rubber and plastic products and other non-metallic mineral products</t>
  </si>
  <si>
    <t>C24_C25</t>
  </si>
  <si>
    <t>Manufacture of basic metals and fabricated metal products, except machinery and equipment</t>
  </si>
  <si>
    <t>C26</t>
  </si>
  <si>
    <t>Manufacture of computer, electronic and optical products</t>
  </si>
  <si>
    <t>C27</t>
  </si>
  <si>
    <t>Manufacture of electrical equipment</t>
  </si>
  <si>
    <t>C28</t>
  </si>
  <si>
    <t>Manufacture of machinery and equipment n.e.c.</t>
  </si>
  <si>
    <t>C29_C30</t>
  </si>
  <si>
    <t>Manufacture of motor vehicles, trailers, semi-trailers and of other transport equipment</t>
  </si>
  <si>
    <t>C31_C33</t>
  </si>
  <si>
    <t>Manufacture of furniture; jewellery, musical instruments, toys; repair and installation of machinery and equipment</t>
  </si>
  <si>
    <t>nace 64 - industry</t>
  </si>
  <si>
    <t>C16</t>
  </si>
  <si>
    <t>Manufacture of wood and of products of wood and cork, except furniture; manufacture of articles of straw and plaiting materials</t>
  </si>
  <si>
    <t>C17</t>
  </si>
  <si>
    <t>Manufacture of paper and paper products</t>
  </si>
  <si>
    <t>C18</t>
  </si>
  <si>
    <t>C22</t>
  </si>
  <si>
    <t>Manufacture of rubber and plastic products</t>
  </si>
  <si>
    <t>C23</t>
  </si>
  <si>
    <t>Manufacture of other non-metallic mineral products</t>
  </si>
  <si>
    <t>C24</t>
  </si>
  <si>
    <t>Manufacture of basic metals</t>
  </si>
  <si>
    <t>C25</t>
  </si>
  <si>
    <t>Manufacture of fabricated metal products, except machinery and equipment</t>
  </si>
  <si>
    <t>C29</t>
  </si>
  <si>
    <t>Manufacture of motor vehicles, trailers and semi-trailers</t>
  </si>
  <si>
    <t>C30</t>
  </si>
  <si>
    <t>Manufacture of other transport equipment</t>
  </si>
  <si>
    <t>C31_C32</t>
  </si>
  <si>
    <t>Manufacture of furniture; other manufacturing</t>
  </si>
  <si>
    <t>C33</t>
  </si>
  <si>
    <t>Repair and installation of machinery and equipment</t>
  </si>
  <si>
    <t>NACE code</t>
  </si>
  <si>
    <t>NACE Description</t>
  </si>
  <si>
    <t>Source</t>
  </si>
  <si>
    <t>Gross domestic product</t>
  </si>
  <si>
    <t>EUROSTAT Statistics: nama_gdp</t>
  </si>
  <si>
    <t>Household consumption expenditure</t>
  </si>
  <si>
    <t>Gross value added</t>
  </si>
  <si>
    <t>Gross value added (at basic prices)</t>
  </si>
  <si>
    <t>EUROSTAT Statistics: nama_nace10</t>
  </si>
  <si>
    <t>EUROSTAT Statistics: nama_nace21</t>
  </si>
  <si>
    <t>Services</t>
  </si>
  <si>
    <t>C33, E, G to U</t>
  </si>
  <si>
    <t>Heat-use intensive services</t>
  </si>
  <si>
    <t>H,I,O,P,Q,R</t>
  </si>
  <si>
    <t>Offices</t>
  </si>
  <si>
    <t>J,K,L,M,N,S,T,U</t>
  </si>
  <si>
    <t>Trade</t>
  </si>
  <si>
    <t>C33,E,G</t>
  </si>
  <si>
    <t>Energy sector</t>
  </si>
  <si>
    <t>C19, D</t>
  </si>
  <si>
    <t>EUROSTAT Statistics: nama_nace64</t>
  </si>
  <si>
    <t>C excluding C33</t>
  </si>
  <si>
    <t>Basic metals</t>
  </si>
  <si>
    <t>C241</t>
  </si>
  <si>
    <t>Manufacture of basic iron and steel and of ferro-alloys</t>
  </si>
  <si>
    <t>EUROSTAT Structural business statistics: sbs_ind_co</t>
  </si>
  <si>
    <t>C242</t>
  </si>
  <si>
    <t>Manufacture of tubes, pipes, hollow profiles and related fittings, of steel</t>
  </si>
  <si>
    <t>C243</t>
  </si>
  <si>
    <t>Manufacture of other products of first processing of steel</t>
  </si>
  <si>
    <t>C2451</t>
  </si>
  <si>
    <t>Casting of iron</t>
  </si>
  <si>
    <t>C2452</t>
  </si>
  <si>
    <t>Casting of steel</t>
  </si>
  <si>
    <t>Non ferrous metals</t>
  </si>
  <si>
    <t>C2442</t>
  </si>
  <si>
    <t>C2453</t>
  </si>
  <si>
    <t>Casting of light metals</t>
  </si>
  <si>
    <t>C2441</t>
  </si>
  <si>
    <t>Precious metals production</t>
  </si>
  <si>
    <t>C2443</t>
  </si>
  <si>
    <t>Lead, zinc and tin production</t>
  </si>
  <si>
    <t>C2444</t>
  </si>
  <si>
    <t>Copper production</t>
  </si>
  <si>
    <t>C2445</t>
  </si>
  <si>
    <t>Other non-ferrous metal production</t>
  </si>
  <si>
    <t>C2446</t>
  </si>
  <si>
    <t>Processing of nuclear fuel</t>
  </si>
  <si>
    <t>C2454</t>
  </si>
  <si>
    <t>Casting of other non-ferrous metals</t>
  </si>
  <si>
    <t>C20, C21</t>
  </si>
  <si>
    <t>C2013</t>
  </si>
  <si>
    <t>Manufacture of other inorganic basic chemicals</t>
  </si>
  <si>
    <t>C2014</t>
  </si>
  <si>
    <t>Manufacture of other organic basic chemicals</t>
  </si>
  <si>
    <t>C2015</t>
  </si>
  <si>
    <t>Manufacture of fertilisers and nitrogen compounds</t>
  </si>
  <si>
    <t>C2016</t>
  </si>
  <si>
    <t>Manufacture of plastics in primary forms</t>
  </si>
  <si>
    <t>C2011</t>
  </si>
  <si>
    <t>Manufacture of industrial gases</t>
  </si>
  <si>
    <t>C2012</t>
  </si>
  <si>
    <t>Manufacture of dyes and pigments</t>
  </si>
  <si>
    <t>C202</t>
  </si>
  <si>
    <t>Manufacture of pesticides and other agrochemical products</t>
  </si>
  <si>
    <t>C203</t>
  </si>
  <si>
    <t>Manufacture of paints, varnishes and similar coatings, printing ink and mastics</t>
  </si>
  <si>
    <t>C204</t>
  </si>
  <si>
    <t>Manufacture of soap and detergents, cleaning and polishing preparations, perfumes and toilet preparations</t>
  </si>
  <si>
    <t>C205</t>
  </si>
  <si>
    <t>Manufacture of other chemical products</t>
  </si>
  <si>
    <t>C206</t>
  </si>
  <si>
    <t>Manufacture of man-made fibres</t>
  </si>
  <si>
    <t>Cement (incl. lime)</t>
  </si>
  <si>
    <t>C235</t>
  </si>
  <si>
    <t>Manufacture of cement, lime and plaster</t>
  </si>
  <si>
    <t>C236</t>
  </si>
  <si>
    <t>Manufacture of articles of concrete, cement and plaster</t>
  </si>
  <si>
    <t>C231</t>
  </si>
  <si>
    <t>Manufacture of glass and glass products</t>
  </si>
  <si>
    <t>C232</t>
  </si>
  <si>
    <t>Manufacture of refractory products</t>
  </si>
  <si>
    <t>C233</t>
  </si>
  <si>
    <t>Manufacture of clay building materials</t>
  </si>
  <si>
    <t>C234</t>
  </si>
  <si>
    <t>Manufacture of other porcelain and ceramic products</t>
  </si>
  <si>
    <t>C237</t>
  </si>
  <si>
    <t>Cutting, shaping and finishing of stone</t>
  </si>
  <si>
    <t>C239</t>
  </si>
  <si>
    <t>Manufacture of abrasive products and non-metallic mineral products n.e.c.</t>
  </si>
  <si>
    <t>C17, C18</t>
  </si>
  <si>
    <t>C1711</t>
  </si>
  <si>
    <t>Manufacture of pulp</t>
  </si>
  <si>
    <t>C1712</t>
  </si>
  <si>
    <t>Manufacture of paper and paperboard</t>
  </si>
  <si>
    <t>C172</t>
  </si>
  <si>
    <t>Manufacture of articles of paper and paperboard</t>
  </si>
  <si>
    <t>EUROSTAT Statistics: nama_nace38</t>
  </si>
  <si>
    <t>C25, C26, C27, C28</t>
  </si>
  <si>
    <t>C22, C31_C32</t>
  </si>
  <si>
    <t>Annual growth rates (%)</t>
  </si>
  <si>
    <t>Demographics</t>
  </si>
  <si>
    <t>Population</t>
  </si>
  <si>
    <t>Number of households</t>
  </si>
  <si>
    <t>Inhabitants per household</t>
  </si>
  <si>
    <t>Market shares (%)</t>
  </si>
  <si>
    <t>Gross domestic product per capita</t>
  </si>
  <si>
    <t>Household consumption expenditure per capita</t>
  </si>
  <si>
    <t>JRC-IDEES Description</t>
  </si>
  <si>
    <t>JRC-IDEES structure</t>
  </si>
  <si>
    <t>Macro-economic data at current prices  - NACE structure</t>
  </si>
  <si>
    <t>JRC-IDEES and NACE structure correspondence</t>
  </si>
  <si>
    <t>Climate</t>
  </si>
  <si>
    <t>Actual heating degree-days</t>
  </si>
  <si>
    <t>Relative heating degree-days</t>
  </si>
  <si>
    <t>Actual cooling degree-days</t>
  </si>
  <si>
    <t>Relative cooling degree-days</t>
  </si>
  <si>
    <t>Prepared by JRC C.6</t>
  </si>
  <si>
    <t>The information made available is property of the Joint Research Centre of the European Commission.</t>
  </si>
  <si>
    <t>Use conditions</t>
  </si>
  <si>
    <t>This work is licensed under</t>
  </si>
  <si>
    <t>CC BY 4.0</t>
  </si>
  <si>
    <t>Macro-economic and demographic data</t>
  </si>
  <si>
    <t>Mean heating degree-days over period 2000-2020</t>
  </si>
  <si>
    <t>Mean cooling degree-days over period 2000-2020</t>
  </si>
  <si>
    <t>Demographic and macro-economic data at 2015 prices - JRC-IDEES structure</t>
  </si>
  <si>
    <t>ESA2010 [million euro, current prices]</t>
  </si>
  <si>
    <t>Non-ferrous metals</t>
  </si>
  <si>
    <t>Integrated steelworks</t>
  </si>
  <si>
    <t>Chemical industry</t>
  </si>
  <si>
    <t>Basic and other chemicals</t>
  </si>
  <si>
    <t>Primary production</t>
  </si>
  <si>
    <t>Secondary production</t>
  </si>
  <si>
    <t>Transport equipment</t>
  </si>
  <si>
    <t>Machinery equipment</t>
  </si>
  <si>
    <t>Non-specifed industries</t>
  </si>
  <si>
    <t>Non-specified industries</t>
  </si>
  <si>
    <t>Macro-economic data at 2023 prices - NACE structure</t>
  </si>
  <si>
    <t>ESA2010 [million euro, 2023 prices]</t>
  </si>
  <si>
    <t>ESA2010 [euro, 2023 prices per capita]</t>
  </si>
  <si>
    <t>Gross value added [million euro, 2023 prices]</t>
  </si>
  <si>
    <t>JRC-IDEES-2023 - Integrated Database of the European Energy System</t>
  </si>
  <si>
    <t>v2023-1.00</t>
  </si>
  <si>
    <t>CY</t>
  </si>
  <si>
    <t>Cyprus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</si>
</sst>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_(* #,##0.00_);_(* \(#,##0.00\);_(* &quot;-&quot;??_);_(@_)"/>
    <numFmt numFmtId="165" formatCode="#,##0.000;\-#,##0.000;&quot;-&quot;"/>
    <numFmt numFmtId="166" formatCode="0.00%;\-0.00%;&quot;-&quot;"/>
    <numFmt numFmtId="167" formatCode="#,##0;\-#,##0;&quot;-&quot;"/>
    <numFmt numFmtId="168" formatCode="0.000"/>
    <numFmt numFmtId="169" formatCode="0.0"/>
    <numFmt numFmtId="170" formatCode="mmmm\ yyyy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sz val="8"/>
      <name val="Calibri"/>
      <family val="2"/>
      <scheme val="minor"/>
    </font>
    <font>
      <sz val="11"/>
      <color indexed="8"/>
      <name val="Calibri"/>
      <family val="2"/>
    </font>
    <font>
      <u/>
      <sz val="9"/>
      <color rgb="FF0564C3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b/>
      <sz val="8"/>
      <color indexed="8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b/>
      <sz val="14"/>
      <color rgb="FF006EBE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6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D7C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ashed">
        <color auto="1"/>
      </top>
      <bottom/>
      <diagonal/>
    </border>
    <border>
      <left/>
      <right/>
      <top/>
      <bottom style="dashed">
        <color auto="1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hair">
        <color auto="1"/>
      </bottom>
      <diagonal/>
    </border>
  </borders>
  <cellStyleXfs count="12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0" fontId="9" fillId="0" borderId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9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</cellStyleXfs>
  <cellXfs count="154">
    <xf numFmtId="0" fontId="0" fillId="0" borderId="0" xfId="0"/>
    <xf numFmtId="0" fontId="10" fillId="2" borderId="0" xfId="4" applyFont="1" applyFill="1" applyAlignment="1">
      <alignment vertical="center"/>
    </xf>
    <xf numFmtId="0" fontId="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0" fillId="2" borderId="0" xfId="0" applyFill="1"/>
    <xf numFmtId="0" fontId="6" fillId="2" borderId="1" xfId="0" applyFont="1" applyFill="1" applyBorder="1"/>
    <xf numFmtId="0" fontId="5" fillId="2" borderId="0" xfId="0" applyFont="1" applyFill="1"/>
    <xf numFmtId="0" fontId="12" fillId="2" borderId="0" xfId="2" applyFont="1" applyFill="1"/>
    <xf numFmtId="0" fontId="4" fillId="2" borderId="0" xfId="2" applyFont="1" applyFill="1"/>
    <xf numFmtId="0" fontId="10" fillId="2" borderId="0" xfId="5" applyFont="1" applyFill="1"/>
    <xf numFmtId="3" fontId="10" fillId="2" borderId="0" xfId="5" applyNumberFormat="1" applyFont="1" applyFill="1"/>
    <xf numFmtId="0" fontId="10" fillId="2" borderId="0" xfId="5" applyFont="1" applyFill="1" applyAlignment="1">
      <alignment wrapText="1"/>
    </xf>
    <xf numFmtId="0" fontId="13" fillId="2" borderId="0" xfId="5" applyFont="1" applyFill="1"/>
    <xf numFmtId="3" fontId="14" fillId="2" borderId="0" xfId="5" applyNumberFormat="1" applyFont="1" applyFill="1"/>
    <xf numFmtId="0" fontId="14" fillId="2" borderId="0" xfId="5" applyFont="1" applyFill="1" applyBorder="1"/>
    <xf numFmtId="0" fontId="13" fillId="2" borderId="8" xfId="5" applyFont="1" applyFill="1" applyBorder="1" applyAlignment="1">
      <alignment horizontal="center" vertical="center" textRotation="90"/>
    </xf>
    <xf numFmtId="0" fontId="13" fillId="2" borderId="8" xfId="5" applyFont="1" applyFill="1" applyBorder="1"/>
    <xf numFmtId="0" fontId="13" fillId="2" borderId="8" xfId="5" applyFont="1" applyFill="1" applyBorder="1" applyAlignment="1"/>
    <xf numFmtId="3" fontId="13" fillId="2" borderId="8" xfId="5" applyNumberFormat="1" applyFont="1" applyFill="1" applyBorder="1"/>
    <xf numFmtId="0" fontId="13" fillId="2" borderId="0" xfId="5" applyFont="1" applyFill="1" applyBorder="1" applyAlignment="1">
      <alignment horizontal="center" vertical="center" textRotation="90"/>
    </xf>
    <xf numFmtId="0" fontId="13" fillId="2" borderId="0" xfId="5" applyFont="1" applyFill="1" applyBorder="1"/>
    <xf numFmtId="0" fontId="13" fillId="2" borderId="0" xfId="5" applyFont="1" applyFill="1" applyBorder="1" applyAlignment="1"/>
    <xf numFmtId="3" fontId="13" fillId="2" borderId="0" xfId="5" applyNumberFormat="1" applyFont="1" applyFill="1" applyBorder="1"/>
    <xf numFmtId="0" fontId="13" fillId="2" borderId="1" xfId="5" applyFont="1" applyFill="1" applyBorder="1" applyAlignment="1">
      <alignment horizontal="center" vertical="center" textRotation="90"/>
    </xf>
    <xf numFmtId="0" fontId="13" fillId="2" borderId="1" xfId="5" applyFont="1" applyFill="1" applyBorder="1"/>
    <xf numFmtId="0" fontId="13" fillId="2" borderId="1" xfId="5" applyFont="1" applyFill="1" applyBorder="1" applyAlignment="1"/>
    <xf numFmtId="3" fontId="13" fillId="2" borderId="1" xfId="5" applyNumberFormat="1" applyFont="1" applyFill="1" applyBorder="1"/>
    <xf numFmtId="0" fontId="14" fillId="2" borderId="1" xfId="5" applyFont="1" applyFill="1" applyBorder="1"/>
    <xf numFmtId="0" fontId="14" fillId="2" borderId="1" xfId="5" applyFont="1" applyFill="1" applyBorder="1" applyAlignment="1"/>
    <xf numFmtId="3" fontId="14" fillId="2" borderId="1" xfId="5" applyNumberFormat="1" applyFont="1" applyFill="1" applyBorder="1"/>
    <xf numFmtId="0" fontId="14" fillId="2" borderId="1" xfId="5" applyFont="1" applyFill="1" applyBorder="1" applyAlignment="1">
      <alignment wrapText="1"/>
    </xf>
    <xf numFmtId="0" fontId="14" fillId="2" borderId="0" xfId="5" applyFont="1" applyFill="1"/>
    <xf numFmtId="0" fontId="15" fillId="2" borderId="0" xfId="5" applyFont="1" applyFill="1"/>
    <xf numFmtId="1" fontId="10" fillId="2" borderId="0" xfId="4" applyNumberFormat="1" applyFont="1" applyFill="1" applyBorder="1" applyAlignment="1">
      <alignment vertical="center"/>
    </xf>
    <xf numFmtId="0" fontId="10" fillId="2" borderId="0" xfId="4" applyFont="1" applyFill="1" applyBorder="1" applyAlignment="1">
      <alignment horizontal="left" vertical="center"/>
    </xf>
    <xf numFmtId="164" fontId="10" fillId="2" borderId="0" xfId="8" applyFont="1" applyFill="1" applyBorder="1" applyAlignment="1">
      <alignment vertical="center"/>
    </xf>
    <xf numFmtId="1" fontId="10" fillId="2" borderId="0" xfId="4" applyNumberFormat="1" applyFont="1" applyFill="1" applyAlignment="1">
      <alignment vertical="center"/>
    </xf>
    <xf numFmtId="0" fontId="10" fillId="2" borderId="0" xfId="4" applyFont="1" applyFill="1" applyBorder="1" applyAlignment="1">
      <alignment horizontal="left" vertical="center" indent="2"/>
    </xf>
    <xf numFmtId="0" fontId="13" fillId="2" borderId="0" xfId="4" applyFont="1" applyFill="1" applyBorder="1" applyAlignment="1">
      <alignment vertical="center"/>
    </xf>
    <xf numFmtId="169" fontId="13" fillId="2" borderId="8" xfId="4" applyNumberFormat="1" applyFont="1" applyFill="1" applyBorder="1" applyAlignment="1">
      <alignment vertical="center"/>
    </xf>
    <xf numFmtId="1" fontId="13" fillId="2" borderId="8" xfId="4" applyNumberFormat="1" applyFont="1" applyFill="1" applyBorder="1" applyAlignment="1">
      <alignment vertical="center"/>
    </xf>
    <xf numFmtId="167" fontId="13" fillId="2" borderId="8" xfId="4" applyNumberFormat="1" applyFont="1" applyFill="1" applyBorder="1" applyAlignment="1">
      <alignment vertical="center"/>
    </xf>
    <xf numFmtId="169" fontId="13" fillId="2" borderId="0" xfId="4" applyNumberFormat="1" applyFont="1" applyFill="1" applyBorder="1" applyAlignment="1">
      <alignment vertical="center"/>
    </xf>
    <xf numFmtId="1" fontId="13" fillId="2" borderId="0" xfId="4" applyNumberFormat="1" applyFont="1" applyFill="1" applyBorder="1" applyAlignment="1">
      <alignment vertical="center"/>
    </xf>
    <xf numFmtId="167" fontId="13" fillId="2" borderId="0" xfId="4" applyNumberFormat="1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/>
    </xf>
    <xf numFmtId="1" fontId="13" fillId="2" borderId="1" xfId="4" applyNumberFormat="1" applyFont="1" applyFill="1" applyBorder="1" applyAlignment="1">
      <alignment vertical="center"/>
    </xf>
    <xf numFmtId="168" fontId="13" fillId="2" borderId="1" xfId="4" applyNumberFormat="1" applyFont="1" applyFill="1" applyBorder="1" applyAlignment="1">
      <alignment vertical="center"/>
    </xf>
    <xf numFmtId="0" fontId="14" fillId="3" borderId="2" xfId="5" applyFont="1" applyFill="1" applyBorder="1"/>
    <xf numFmtId="0" fontId="14" fillId="3" borderId="2" xfId="4" applyFont="1" applyFill="1" applyBorder="1" applyAlignment="1">
      <alignment horizontal="right" vertical="center"/>
    </xf>
    <xf numFmtId="169" fontId="16" fillId="2" borderId="13" xfId="4" applyNumberFormat="1" applyFont="1" applyFill="1" applyBorder="1" applyAlignment="1">
      <alignment vertical="center"/>
    </xf>
    <xf numFmtId="1" fontId="13" fillId="2" borderId="13" xfId="4" applyNumberFormat="1" applyFont="1" applyFill="1" applyBorder="1" applyAlignment="1">
      <alignment vertical="center"/>
    </xf>
    <xf numFmtId="165" fontId="16" fillId="2" borderId="13" xfId="4" applyNumberFormat="1" applyFont="1" applyFill="1" applyBorder="1" applyAlignment="1">
      <alignment vertical="center"/>
    </xf>
    <xf numFmtId="0" fontId="16" fillId="2" borderId="1" xfId="4" applyFont="1" applyFill="1" applyBorder="1" applyAlignment="1">
      <alignment horizontal="left" vertical="center"/>
    </xf>
    <xf numFmtId="165" fontId="16" fillId="2" borderId="1" xfId="4" applyNumberFormat="1" applyFont="1" applyFill="1" applyBorder="1" applyAlignment="1">
      <alignment vertical="center"/>
    </xf>
    <xf numFmtId="1" fontId="14" fillId="3" borderId="2" xfId="4" applyNumberFormat="1" applyFont="1" applyFill="1" applyBorder="1" applyAlignment="1">
      <alignment horizontal="right" vertical="center"/>
    </xf>
    <xf numFmtId="167" fontId="13" fillId="2" borderId="1" xfId="4" applyNumberFormat="1" applyFont="1" applyFill="1" applyBorder="1" applyAlignment="1">
      <alignment vertical="center"/>
    </xf>
    <xf numFmtId="0" fontId="14" fillId="3" borderId="2" xfId="4" applyFont="1" applyFill="1" applyBorder="1" applyAlignment="1">
      <alignment horizontal="left" vertical="center"/>
    </xf>
    <xf numFmtId="1" fontId="13" fillId="3" borderId="2" xfId="4" applyNumberFormat="1" applyFont="1" applyFill="1" applyBorder="1" applyAlignment="1">
      <alignment vertical="center"/>
    </xf>
    <xf numFmtId="167" fontId="13" fillId="3" borderId="2" xfId="4" applyNumberFormat="1" applyFont="1" applyFill="1" applyBorder="1" applyAlignment="1">
      <alignment vertical="center"/>
    </xf>
    <xf numFmtId="0" fontId="13" fillId="2" borderId="6" xfId="4" applyFont="1" applyFill="1" applyBorder="1" applyAlignment="1">
      <alignment horizontal="left" vertical="center" wrapText="1" indent="1"/>
    </xf>
    <xf numFmtId="1" fontId="13" fillId="2" borderId="6" xfId="4" applyNumberFormat="1" applyFont="1" applyFill="1" applyBorder="1" applyAlignment="1">
      <alignment vertical="center"/>
    </xf>
    <xf numFmtId="167" fontId="13" fillId="2" borderId="6" xfId="4" applyNumberFormat="1" applyFont="1" applyFill="1" applyBorder="1" applyAlignment="1">
      <alignment vertical="center"/>
    </xf>
    <xf numFmtId="0" fontId="13" fillId="2" borderId="4" xfId="4" applyFont="1" applyFill="1" applyBorder="1" applyAlignment="1">
      <alignment horizontal="left" vertical="center" wrapText="1" indent="1"/>
    </xf>
    <xf numFmtId="1" fontId="13" fillId="2" borderId="4" xfId="4" applyNumberFormat="1" applyFont="1" applyFill="1" applyBorder="1" applyAlignment="1">
      <alignment vertical="center"/>
    </xf>
    <xf numFmtId="167" fontId="13" fillId="2" borderId="4" xfId="4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wrapText="1" indent="1"/>
    </xf>
    <xf numFmtId="0" fontId="13" fillId="2" borderId="0" xfId="4" applyFont="1" applyFill="1" applyBorder="1" applyAlignment="1">
      <alignment horizontal="left" vertical="center" wrapText="1" indent="2"/>
    </xf>
    <xf numFmtId="1" fontId="13" fillId="2" borderId="0" xfId="4" applyNumberFormat="1" applyFont="1" applyFill="1" applyBorder="1" applyAlignment="1">
      <alignment horizontal="left" vertical="center" wrapText="1" indent="1"/>
    </xf>
    <xf numFmtId="167" fontId="13" fillId="2" borderId="0" xfId="4" applyNumberFormat="1" applyFont="1" applyFill="1" applyAlignment="1">
      <alignment vertical="center"/>
    </xf>
    <xf numFmtId="1" fontId="13" fillId="2" borderId="0" xfId="4" applyNumberFormat="1" applyFont="1" applyFill="1" applyAlignment="1">
      <alignment vertical="center"/>
    </xf>
    <xf numFmtId="0" fontId="13" fillId="2" borderId="4" xfId="4" applyFont="1" applyFill="1" applyBorder="1" applyAlignment="1">
      <alignment horizontal="left" vertical="center" wrapText="1" indent="2"/>
    </xf>
    <xf numFmtId="0" fontId="13" fillId="2" borderId="4" xfId="4" applyFont="1" applyFill="1" applyBorder="1" applyAlignment="1">
      <alignment horizontal="left" vertical="center" wrapText="1" indent="3"/>
    </xf>
    <xf numFmtId="0" fontId="16" fillId="2" borderId="0" xfId="4" applyFont="1" applyFill="1" applyBorder="1" applyAlignment="1">
      <alignment horizontal="left" vertical="center" wrapText="1" indent="4"/>
    </xf>
    <xf numFmtId="0" fontId="16" fillId="2" borderId="0" xfId="4" applyFont="1" applyFill="1" applyBorder="1" applyAlignment="1">
      <alignment horizontal="left" vertical="center" wrapText="1" indent="5"/>
    </xf>
    <xf numFmtId="1" fontId="16" fillId="2" borderId="0" xfId="4" applyNumberFormat="1" applyFont="1" applyFill="1" applyBorder="1" applyAlignment="1">
      <alignment vertical="center"/>
    </xf>
    <xf numFmtId="0" fontId="16" fillId="2" borderId="0" xfId="4" applyFont="1" applyFill="1" applyBorder="1" applyAlignment="1">
      <alignment horizontal="left" vertical="center" wrapText="1" indent="3"/>
    </xf>
    <xf numFmtId="0" fontId="13" fillId="2" borderId="7" xfId="4" applyFont="1" applyFill="1" applyBorder="1" applyAlignment="1">
      <alignment horizontal="left" vertical="center" wrapText="1" indent="2"/>
    </xf>
    <xf numFmtId="1" fontId="13" fillId="2" borderId="7" xfId="4" applyNumberFormat="1" applyFont="1" applyFill="1" applyBorder="1" applyAlignment="1">
      <alignment vertical="center"/>
    </xf>
    <xf numFmtId="167" fontId="13" fillId="2" borderId="7" xfId="4" applyNumberFormat="1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/>
    </xf>
    <xf numFmtId="166" fontId="13" fillId="2" borderId="8" xfId="4" applyNumberFormat="1" applyFont="1" applyFill="1" applyBorder="1" applyAlignment="1">
      <alignment vertical="center"/>
    </xf>
    <xf numFmtId="166" fontId="13" fillId="2" borderId="4" xfId="4" applyNumberFormat="1" applyFont="1" applyFill="1" applyBorder="1" applyAlignment="1">
      <alignment vertical="center"/>
    </xf>
    <xf numFmtId="166" fontId="13" fillId="2" borderId="0" xfId="4" applyNumberFormat="1" applyFont="1" applyFill="1" applyAlignment="1">
      <alignment vertical="center"/>
    </xf>
    <xf numFmtId="0" fontId="13" fillId="2" borderId="3" xfId="4" applyFont="1" applyFill="1" applyBorder="1" applyAlignment="1">
      <alignment horizontal="left" vertical="center" wrapText="1" indent="2"/>
    </xf>
    <xf numFmtId="1" fontId="13" fillId="2" borderId="3" xfId="4" applyNumberFormat="1" applyFont="1" applyFill="1" applyBorder="1" applyAlignment="1">
      <alignment vertical="center"/>
    </xf>
    <xf numFmtId="166" fontId="13" fillId="2" borderId="3" xfId="4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wrapText="1" indent="3"/>
    </xf>
    <xf numFmtId="166" fontId="13" fillId="2" borderId="0" xfId="4" applyNumberFormat="1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 wrapText="1" indent="2"/>
    </xf>
    <xf numFmtId="166" fontId="13" fillId="2" borderId="1" xfId="4" applyNumberFormat="1" applyFont="1" applyFill="1" applyBorder="1" applyAlignment="1">
      <alignment vertical="center"/>
    </xf>
    <xf numFmtId="10" fontId="13" fillId="2" borderId="8" xfId="1" applyNumberFormat="1" applyFont="1" applyFill="1" applyBorder="1" applyAlignment="1">
      <alignment vertical="center"/>
    </xf>
    <xf numFmtId="10" fontId="13" fillId="2" borderId="1" xfId="1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/>
    </xf>
    <xf numFmtId="0" fontId="14" fillId="2" borderId="0" xfId="4" applyFont="1" applyFill="1" applyBorder="1" applyAlignment="1">
      <alignment horizontal="left" vertical="center"/>
    </xf>
    <xf numFmtId="0" fontId="14" fillId="2" borderId="0" xfId="4" applyFont="1" applyFill="1" applyBorder="1" applyAlignment="1">
      <alignment horizontal="right" vertical="center"/>
    </xf>
    <xf numFmtId="169" fontId="13" fillId="2" borderId="8" xfId="4" applyNumberFormat="1" applyFont="1" applyFill="1" applyBorder="1" applyAlignment="1">
      <alignment horizontal="right" vertical="center"/>
    </xf>
    <xf numFmtId="0" fontId="13" fillId="2" borderId="8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right" vertical="center"/>
    </xf>
    <xf numFmtId="0" fontId="13" fillId="2" borderId="1" xfId="4" applyFont="1" applyFill="1" applyBorder="1" applyAlignment="1">
      <alignment horizontal="right" vertical="center"/>
    </xf>
    <xf numFmtId="0" fontId="13" fillId="2" borderId="1" xfId="4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 wrapText="1"/>
    </xf>
    <xf numFmtId="0" fontId="13" fillId="2" borderId="8" xfId="4" applyFont="1" applyFill="1" applyBorder="1" applyAlignment="1">
      <alignment horizontal="left" vertical="center" indent="1"/>
    </xf>
    <xf numFmtId="0" fontId="13" fillId="2" borderId="1" xfId="4" applyFont="1" applyFill="1" applyBorder="1" applyAlignment="1">
      <alignment horizontal="right" vertical="center" indent="1"/>
    </xf>
    <xf numFmtId="0" fontId="13" fillId="2" borderId="0" xfId="4" applyFont="1" applyFill="1" applyBorder="1" applyAlignment="1">
      <alignment horizontal="left" vertical="center" wrapText="1"/>
    </xf>
    <xf numFmtId="0" fontId="13" fillId="2" borderId="0" xfId="4" applyFont="1" applyFill="1" applyBorder="1" applyAlignment="1">
      <alignment horizontal="left" vertical="center" indent="1"/>
    </xf>
    <xf numFmtId="0" fontId="13" fillId="2" borderId="0" xfId="4" applyFont="1" applyFill="1" applyAlignment="1">
      <alignment vertical="center"/>
    </xf>
    <xf numFmtId="0" fontId="13" fillId="2" borderId="5" xfId="4" applyFont="1" applyFill="1" applyBorder="1" applyAlignment="1">
      <alignment horizontal="left" vertical="center" wrapText="1" indent="1"/>
    </xf>
    <xf numFmtId="0" fontId="13" fillId="2" borderId="5" xfId="4" applyFont="1" applyFill="1" applyBorder="1" applyAlignment="1">
      <alignment horizontal="left" vertical="center" indent="1"/>
    </xf>
    <xf numFmtId="0" fontId="13" fillId="2" borderId="9" xfId="4" applyFont="1" applyFill="1" applyBorder="1" applyAlignment="1">
      <alignment horizontal="right" vertical="center" indent="1"/>
    </xf>
    <xf numFmtId="0" fontId="13" fillId="2" borderId="9" xfId="4" applyFont="1" applyFill="1" applyBorder="1" applyAlignment="1">
      <alignment horizontal="left" vertical="center" indent="1"/>
    </xf>
    <xf numFmtId="0" fontId="13" fillId="2" borderId="9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right" vertical="center" indent="1"/>
    </xf>
    <xf numFmtId="0" fontId="13" fillId="2" borderId="10" xfId="4" applyFont="1" applyFill="1" applyBorder="1" applyAlignment="1">
      <alignment horizontal="right" vertical="center" indent="1"/>
    </xf>
    <xf numFmtId="0" fontId="13" fillId="2" borderId="10" xfId="4" applyFont="1" applyFill="1" applyBorder="1" applyAlignment="1">
      <alignment horizontal="left" vertical="center" indent="1"/>
    </xf>
    <xf numFmtId="0" fontId="13" fillId="2" borderId="10" xfId="4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 indent="1"/>
    </xf>
    <xf numFmtId="0" fontId="13" fillId="2" borderId="8" xfId="4" applyFont="1" applyFill="1" applyBorder="1" applyAlignment="1">
      <alignment horizontal="left" vertical="center" wrapText="1" indent="1"/>
    </xf>
    <xf numFmtId="0" fontId="13" fillId="2" borderId="11" xfId="4" applyFont="1" applyFill="1" applyBorder="1" applyAlignment="1">
      <alignment horizontal="left" vertical="center" wrapText="1" indent="2"/>
    </xf>
    <xf numFmtId="0" fontId="13" fillId="2" borderId="11" xfId="4" applyFont="1" applyFill="1" applyBorder="1" applyAlignment="1">
      <alignment horizontal="left" vertical="center" indent="2"/>
    </xf>
    <xf numFmtId="0" fontId="13" fillId="2" borderId="11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indent="2"/>
    </xf>
    <xf numFmtId="0" fontId="13" fillId="2" borderId="10" xfId="4" applyFont="1" applyFill="1" applyBorder="1" applyAlignment="1">
      <alignment horizontal="left" vertical="center" wrapText="1" indent="3"/>
    </xf>
    <xf numFmtId="0" fontId="13" fillId="2" borderId="12" xfId="4" applyFont="1" applyFill="1" applyBorder="1" applyAlignment="1">
      <alignment horizontal="left" vertical="center" wrapText="1" indent="2"/>
    </xf>
    <xf numFmtId="0" fontId="13" fillId="2" borderId="12" xfId="4" applyFont="1" applyFill="1" applyBorder="1" applyAlignment="1">
      <alignment horizontal="right" vertical="center" indent="1"/>
    </xf>
    <xf numFmtId="0" fontId="13" fillId="2" borderId="12" xfId="4" applyFont="1" applyFill="1" applyBorder="1" applyAlignment="1">
      <alignment horizontal="left" vertical="center" indent="1"/>
    </xf>
    <xf numFmtId="0" fontId="13" fillId="2" borderId="12" xfId="4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 wrapText="1" indent="2"/>
    </xf>
    <xf numFmtId="0" fontId="13" fillId="2" borderId="8" xfId="4" applyFont="1" applyFill="1" applyBorder="1" applyAlignment="1">
      <alignment horizontal="left" vertical="center" indent="2"/>
    </xf>
    <xf numFmtId="0" fontId="13" fillId="2" borderId="10" xfId="4" applyFont="1" applyFill="1" applyBorder="1" applyAlignment="1">
      <alignment horizontal="left" vertical="center" wrapText="1" indent="2"/>
    </xf>
    <xf numFmtId="0" fontId="13" fillId="2" borderId="1" xfId="4" applyFont="1" applyFill="1" applyBorder="1" applyAlignment="1">
      <alignment horizontal="left" vertical="center" wrapText="1" indent="3"/>
    </xf>
    <xf numFmtId="0" fontId="13" fillId="2" borderId="12" xfId="4" applyFont="1" applyFill="1" applyBorder="1" applyAlignment="1">
      <alignment horizontal="left" vertical="center" wrapText="1" indent="3"/>
    </xf>
    <xf numFmtId="0" fontId="17" fillId="2" borderId="0" xfId="5" applyFont="1" applyFill="1"/>
    <xf numFmtId="0" fontId="13" fillId="2" borderId="0" xfId="5" applyFont="1" applyFill="1" applyAlignment="1">
      <alignment vertical="center"/>
    </xf>
    <xf numFmtId="0" fontId="13" fillId="2" borderId="0" xfId="5" applyFont="1" applyFill="1" applyAlignment="1">
      <alignment horizontal="center" vertical="center"/>
    </xf>
    <xf numFmtId="0" fontId="18" fillId="2" borderId="2" xfId="5" applyFont="1" applyFill="1" applyBorder="1" applyAlignment="1">
      <alignment vertical="center"/>
    </xf>
    <xf numFmtId="0" fontId="19" fillId="2" borderId="2" xfId="5" applyFont="1" applyFill="1" applyBorder="1" applyAlignment="1">
      <alignment vertical="center"/>
    </xf>
    <xf numFmtId="0" fontId="20" fillId="2" borderId="0" xfId="5" applyFont="1" applyFill="1" applyAlignment="1">
      <alignment vertical="center"/>
    </xf>
    <xf numFmtId="0" fontId="19" fillId="2" borderId="0" xfId="5" applyFont="1" applyFill="1" applyAlignment="1">
      <alignment vertical="center"/>
    </xf>
    <xf numFmtId="0" fontId="23" fillId="2" borderId="0" xfId="5" applyFont="1" applyFill="1" applyAlignment="1">
      <alignment vertical="center"/>
    </xf>
    <xf numFmtId="0" fontId="24" fillId="2" borderId="0" xfId="5" applyFont="1" applyFill="1" applyAlignment="1">
      <alignment vertical="center"/>
    </xf>
    <xf numFmtId="0" fontId="25" fillId="2" borderId="0" xfId="11" applyFont="1" applyFill="1" applyAlignment="1">
      <alignment vertical="center"/>
    </xf>
    <xf numFmtId="0" fontId="26" fillId="2" borderId="0" xfId="2" applyFont="1" applyFill="1" applyAlignment="1">
      <alignment horizontal="left" vertical="center" indent="1"/>
    </xf>
    <xf numFmtId="0" fontId="27" fillId="2" borderId="0" xfId="0" applyFont="1" applyFill="1"/>
    <xf numFmtId="0" fontId="27" fillId="2" borderId="0" xfId="0" applyFont="1" applyFill="1" applyAlignment="1">
      <alignment horizontal="left"/>
    </xf>
    <xf numFmtId="0" fontId="28" fillId="2" borderId="1" xfId="0" applyFont="1" applyFill="1" applyBorder="1"/>
    <xf numFmtId="0" fontId="29" fillId="2" borderId="0" xfId="0" applyFont="1" applyFill="1"/>
    <xf numFmtId="0" fontId="21" fillId="2" borderId="0" xfId="5" applyFont="1" applyFill="1" applyAlignment="1">
      <alignment horizontal="left" vertical="center"/>
    </xf>
    <xf numFmtId="170" fontId="22" fillId="2" borderId="0" xfId="5" quotePrefix="1" applyNumberFormat="1" applyFont="1" applyFill="1" applyAlignment="1">
      <alignment horizontal="left" vertical="center"/>
    </xf>
    <xf numFmtId="0" fontId="30" fillId="0" borderId="0" xfId="5" applyFont="1" applyAlignment="1">
      <alignment horizontal="left" vertical="center"/>
    </xf>
    <xf numFmtId="0" fontId="13" fillId="2" borderId="8" xfId="5" applyFont="1" applyFill="1" applyBorder="1" applyAlignment="1">
      <alignment horizontal="center" vertical="center" textRotation="90"/>
    </xf>
    <xf numFmtId="0" fontId="13" fillId="2" borderId="0" xfId="5" applyFont="1" applyFill="1" applyBorder="1" applyAlignment="1">
      <alignment horizontal="center" vertical="center" textRotation="90"/>
    </xf>
    <xf numFmtId="0" fontId="13" fillId="2" borderId="1" xfId="5" applyFont="1" applyFill="1" applyBorder="1" applyAlignment="1">
      <alignment horizontal="center" vertical="center" textRotation="90"/>
    </xf>
  </cellXfs>
  <cellStyles count="12">
    <cellStyle name="Comma" xfId="8" builtinId="3"/>
    <cellStyle name="Comma 2" xfId="3"/>
    <cellStyle name="Comma 3" xfId="9"/>
    <cellStyle name="Hyperlink" xfId="2" builtinId="8"/>
    <cellStyle name="Normal" xfId="0" builtinId="0"/>
    <cellStyle name="Normal 2" xfId="4"/>
    <cellStyle name="Normal 2 2" xfId="11"/>
    <cellStyle name="Normal 3" xfId="5"/>
    <cellStyle name="Percent" xfId="1" builtinId="5"/>
    <cellStyle name="Percent 2" xfId="6"/>
    <cellStyle name="Percent 3" xfId="7"/>
    <cellStyle name="Percent 4" xfId="10"/>
  </cellStyles>
  <dxfs count="0"/>
  <tableStyles count="0" defaultTableStyle="TableStyleMedium2" defaultPivotStyle="PivotStyleLight16"/>
  <colors>
    <mruColors>
      <color rgb="FF050505"/>
      <color rgb="FF006EBE"/>
      <color rgb="FFDCD7C3"/>
      <color rgb="FF0564C3"/>
      <color rgb="FF007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39940" y="3505200"/>
          <a:ext cx="295757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134"/>
    <col min="5" max="21" width="9.7109375" style="134" customWidth="1"/>
    <col min="22" max="22" width="9.7109375" style="135" customWidth="1"/>
    <col min="23" max="23" width="107.42578125" style="134" customWidth="1"/>
    <col min="24" max="24" width="44.7109375" style="134" customWidth="1"/>
    <col min="25" max="26" width="9.7109375" style="134" customWidth="1"/>
    <col min="27" max="16384" width="9.140625" style="134"/>
  </cols>
  <sheetData>
    <row r="2" spans="1:23" ht="21" x14ac:dyDescent="0.35">
      <c r="A2" s="133"/>
      <c r="B2" s="150"/>
      <c r="C2" s="150"/>
      <c r="D2" s="150"/>
      <c r="E2" s="150"/>
      <c r="F2" s="150"/>
      <c r="G2" s="150"/>
      <c r="H2" s="150"/>
      <c r="I2" s="150"/>
      <c r="J2" s="150"/>
      <c r="K2" s="150"/>
    </row>
    <row r="3" spans="1:23" ht="15" customHeight="1" x14ac:dyDescent="0.25">
      <c r="B3" s="150"/>
      <c r="C3" s="150"/>
      <c r="D3" s="150"/>
      <c r="E3" s="150"/>
      <c r="F3" s="150"/>
      <c r="G3" s="150"/>
      <c r="H3" s="150"/>
      <c r="I3" s="150"/>
      <c r="J3" s="150"/>
      <c r="K3" s="150"/>
    </row>
    <row r="6" spans="1:23" ht="31.5" x14ac:dyDescent="0.25">
      <c r="A6" s="136"/>
      <c r="B6" s="137" t="s">
        <v>277</v>
      </c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V6" s="134"/>
    </row>
    <row r="7" spans="1:23" ht="15" customHeight="1" x14ac:dyDescent="0.25">
      <c r="V7" s="134"/>
    </row>
    <row r="8" spans="1:23" ht="15" customHeight="1" x14ac:dyDescent="0.25">
      <c r="V8" s="134"/>
    </row>
    <row r="9" spans="1:23" ht="15" customHeight="1" x14ac:dyDescent="0.25">
      <c r="V9" s="134"/>
    </row>
    <row r="10" spans="1:23" ht="28.5" x14ac:dyDescent="0.25">
      <c r="C10" s="138" t="s">
        <v>280</v>
      </c>
      <c r="V10" s="134"/>
    </row>
    <row r="11" spans="1:23" ht="15" customHeight="1" x14ac:dyDescent="0.25">
      <c r="V11" s="134"/>
    </row>
    <row r="15" spans="1:23" ht="30" customHeight="1" x14ac:dyDescent="0.25">
      <c r="C15" s="138" t="s">
        <v>258</v>
      </c>
    </row>
    <row r="16" spans="1:23" ht="15" customHeight="1" x14ac:dyDescent="0.25">
      <c r="W16" s="139"/>
    </row>
    <row r="17" spans="12:32" ht="15" customHeight="1" x14ac:dyDescent="0.25">
      <c r="W17" s="139"/>
    </row>
    <row r="28" spans="12:32" ht="21" x14ac:dyDescent="0.25">
      <c r="L28" s="148" t="s">
        <v>253</v>
      </c>
      <c r="M28" s="148"/>
      <c r="N28" s="148"/>
      <c r="O28" s="148"/>
    </row>
    <row r="29" spans="12:32" ht="15" customHeight="1" x14ac:dyDescent="0.25">
      <c r="V29" s="134"/>
    </row>
    <row r="30" spans="12:32" ht="18.75" x14ac:dyDescent="0.25">
      <c r="L30" s="149">
        <v>45967.472326388888</v>
      </c>
      <c r="M30" s="149"/>
      <c r="N30" s="149"/>
      <c r="O30" s="149"/>
      <c r="V30" s="134"/>
    </row>
    <row r="31" spans="12:32" ht="15" customHeight="1" x14ac:dyDescent="0.25">
      <c r="L31" s="140" t="s">
        <v>278</v>
      </c>
      <c r="V31" s="134"/>
      <c r="AA31" s="141"/>
      <c r="AB31" s="141"/>
      <c r="AC31" s="141"/>
      <c r="AD31" s="141"/>
      <c r="AE31" s="141"/>
      <c r="AF31" s="141"/>
    </row>
    <row r="32" spans="12:32" ht="15" customHeight="1" x14ac:dyDescent="0.25">
      <c r="V32" s="134"/>
    </row>
    <row r="33" spans="2:32" ht="15" customHeight="1" x14ac:dyDescent="0.25">
      <c r="B33" s="142" t="s">
        <v>22</v>
      </c>
      <c r="V33" s="134"/>
    </row>
    <row r="34" spans="2:32" ht="15" customHeight="1" x14ac:dyDescent="0.25">
      <c r="B34" s="142"/>
      <c r="V34" s="142"/>
    </row>
    <row r="35" spans="2:32" ht="15" customHeight="1" x14ac:dyDescent="0.25">
      <c r="B35" s="142" t="s">
        <v>254</v>
      </c>
      <c r="V35" s="142"/>
    </row>
    <row r="36" spans="2:32" ht="15" customHeight="1" x14ac:dyDescent="0.25">
      <c r="B36" s="142" t="s">
        <v>23</v>
      </c>
      <c r="E36" s="141"/>
      <c r="F36" s="141"/>
      <c r="G36" s="141"/>
      <c r="H36" s="141"/>
      <c r="I36" s="141"/>
      <c r="J36" s="141"/>
      <c r="K36" s="141"/>
      <c r="L36" s="141"/>
      <c r="M36" s="141"/>
      <c r="N36" s="141"/>
      <c r="O36" s="141"/>
      <c r="P36" s="141"/>
      <c r="Q36" s="141"/>
      <c r="R36" s="141"/>
      <c r="S36" s="141"/>
      <c r="T36" s="141"/>
      <c r="U36" s="141"/>
      <c r="W36" s="141"/>
      <c r="X36" s="141"/>
      <c r="Y36" s="141"/>
      <c r="Z36" s="141"/>
    </row>
    <row r="38" spans="2:32" ht="15" customHeight="1" x14ac:dyDescent="0.25">
      <c r="B38" s="142" t="s">
        <v>255</v>
      </c>
    </row>
    <row r="39" spans="2:32" ht="15" customHeight="1" x14ac:dyDescent="0.25">
      <c r="B39" s="142" t="s">
        <v>256</v>
      </c>
    </row>
    <row r="40" spans="2:32" ht="15" customHeight="1" x14ac:dyDescent="0.25">
      <c r="B40" s="143" t="s">
        <v>257</v>
      </c>
      <c r="AA40" s="141"/>
      <c r="AB40" s="141"/>
      <c r="AC40" s="141"/>
      <c r="AD40" s="141"/>
      <c r="AE40" s="141"/>
      <c r="AF40" s="141"/>
    </row>
  </sheetData>
  <mergeCells count="3">
    <mergeCell ref="L28:O28"/>
    <mergeCell ref="L30:O30"/>
    <mergeCell ref="B2:K3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7"/>
  <sheetViews>
    <sheetView showGridLines="0" zoomScaleNormal="100" workbookViewId="0"/>
  </sheetViews>
  <sheetFormatPr defaultColWidth="9.140625" defaultRowHeight="15" x14ac:dyDescent="0.25"/>
  <cols>
    <col min="1" max="1" width="7.7109375" style="5" customWidth="1"/>
    <col min="2" max="2" width="15.85546875" style="5" customWidth="1"/>
    <col min="3" max="3" width="2.85546875" style="5" customWidth="1"/>
    <col min="4" max="4" width="54.7109375" style="5" customWidth="1"/>
    <col min="5" max="16384" width="9.140625" style="5"/>
  </cols>
  <sheetData>
    <row r="1" spans="1:4" ht="18.75" x14ac:dyDescent="0.3">
      <c r="A1" s="144" t="s">
        <v>279</v>
      </c>
      <c r="B1" s="145" t="s">
        <v>280</v>
      </c>
      <c r="C1" s="3"/>
      <c r="D1" s="4"/>
    </row>
    <row r="2" spans="1:4" ht="18.75" x14ac:dyDescent="0.3">
      <c r="A2" s="2"/>
      <c r="B2" s="3"/>
      <c r="C2" s="3"/>
      <c r="D2" s="4"/>
    </row>
    <row r="3" spans="1:4" ht="18.75" x14ac:dyDescent="0.3">
      <c r="A3" s="2"/>
      <c r="B3" s="146" t="s">
        <v>6</v>
      </c>
      <c r="C3" s="6"/>
      <c r="D3" s="6"/>
    </row>
    <row r="4" spans="1:4" ht="15" customHeight="1" x14ac:dyDescent="0.3">
      <c r="A4" s="7"/>
      <c r="B4" s="8" t="str">
        <f ca="1">HYPERLINK("#"&amp;CELL("address",Macro_CurrPrices!D$2),MID(CELL("filename",Macro_CurrPrices!D$2),FIND("]",CELL("filename",Macro_CurrPrices!D$2))+1,256))</f>
        <v>Macro_CurrPrices</v>
      </c>
      <c r="C4" s="9"/>
      <c r="D4" s="147" t="s">
        <v>246</v>
      </c>
    </row>
    <row r="5" spans="1:4" ht="15" customHeight="1" x14ac:dyDescent="0.3">
      <c r="A5" s="7"/>
      <c r="B5" s="8" t="str">
        <f ca="1">HYPERLINK("#"&amp;CELL("address",Macro_euro2023!D$2),MID(CELL("filename",Macro_euro2023!D$2),FIND("]",CELL("filename",Macro_euro2023!D$2))+1,256))</f>
        <v>Macro_euro2023</v>
      </c>
      <c r="C5" s="9"/>
      <c r="D5" s="147" t="s">
        <v>273</v>
      </c>
    </row>
    <row r="6" spans="1:4" ht="15" customHeight="1" x14ac:dyDescent="0.3">
      <c r="A6" s="7"/>
      <c r="B6" s="8" t="str">
        <f ca="1">HYPERLINK("#"&amp;CELL("address",'Macro_JRC-IDEES'!$D$2),MID(CELL("filename",'Macro_JRC-IDEES'!$D$2),FIND("]",CELL("filename",'Macro_JRC-IDEES'!$D$2))+1,256))</f>
        <v>Macro_JRC-IDEES</v>
      </c>
      <c r="C6" s="9"/>
      <c r="D6" s="147" t="s">
        <v>261</v>
      </c>
    </row>
    <row r="7" spans="1:4" ht="15" customHeight="1" x14ac:dyDescent="0.3">
      <c r="A7" s="7"/>
      <c r="B7" s="8" t="str">
        <f ca="1">HYPERLINK("#"&amp;CELL("address",definitions!$D$2),MID(CELL("filename",definitions!$D$2),FIND("]",CELL("filename",definitions!$D$2))+1,256))</f>
        <v>definitions</v>
      </c>
      <c r="C7" s="9"/>
      <c r="D7" s="147" t="s">
        <v>247</v>
      </c>
    </row>
  </sheetData>
  <pageMargins left="0.39370078740157483" right="0.39370078740157483" top="0.39370078740157483" bottom="0.39370078740157483" header="0.31496062992125984" footer="0.31496062992125984"/>
  <pageSetup paperSize="9" scale="9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AA75"/>
  <sheetViews>
    <sheetView showGridLines="0" zoomScaleNormal="100" workbookViewId="0">
      <pane xSplit="3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9.140625" defaultRowHeight="11.25" x14ac:dyDescent="0.2"/>
  <cols>
    <col min="1" max="1" width="3.28515625" style="10" customWidth="1" collapsed="1"/>
    <col min="2" max="2" width="9.28515625" style="10" customWidth="1"/>
    <col min="3" max="3" width="42.7109375" style="10" customWidth="1" collapsed="1"/>
    <col min="4" max="27" width="8.7109375" style="10" customWidth="1"/>
    <col min="28" max="16384" width="9.140625" style="10"/>
  </cols>
  <sheetData>
    <row r="1" spans="1:27" ht="12.75" customHeight="1" x14ac:dyDescent="0.2">
      <c r="A1" s="13"/>
      <c r="B1" s="14" t="s">
        <v>279</v>
      </c>
      <c r="C1" s="15" t="s">
        <v>262</v>
      </c>
      <c r="D1" s="33">
        <v>2000</v>
      </c>
      <c r="E1" s="33">
        <v>2001</v>
      </c>
      <c r="F1" s="33">
        <v>2002</v>
      </c>
      <c r="G1" s="33">
        <v>2003</v>
      </c>
      <c r="H1" s="33">
        <v>2004</v>
      </c>
      <c r="I1" s="33">
        <v>2005</v>
      </c>
      <c r="J1" s="33">
        <v>2006</v>
      </c>
      <c r="K1" s="33">
        <v>2007</v>
      </c>
      <c r="L1" s="33">
        <v>2008</v>
      </c>
      <c r="M1" s="33">
        <v>2009</v>
      </c>
      <c r="N1" s="33">
        <v>2010</v>
      </c>
      <c r="O1" s="33">
        <v>2011</v>
      </c>
      <c r="P1" s="33">
        <v>2012</v>
      </c>
      <c r="Q1" s="33">
        <v>2013</v>
      </c>
      <c r="R1" s="33">
        <v>2014</v>
      </c>
      <c r="S1" s="33">
        <v>2015</v>
      </c>
      <c r="T1" s="33">
        <v>2016</v>
      </c>
      <c r="U1" s="33">
        <v>2017</v>
      </c>
      <c r="V1" s="33">
        <v>2018</v>
      </c>
      <c r="W1" s="33">
        <v>2019</v>
      </c>
      <c r="X1" s="33">
        <v>2020</v>
      </c>
      <c r="Y1" s="33">
        <v>2021</v>
      </c>
      <c r="Z1" s="33">
        <v>2022</v>
      </c>
      <c r="AA1" s="33">
        <v>2023</v>
      </c>
    </row>
    <row r="2" spans="1:27" ht="12.75" customHeight="1" x14ac:dyDescent="0.2">
      <c r="A2" s="16"/>
      <c r="B2" s="17" t="s">
        <v>24</v>
      </c>
      <c r="C2" s="18" t="s">
        <v>25</v>
      </c>
      <c r="D2" s="19">
        <v>10804.6</v>
      </c>
      <c r="E2" s="19">
        <v>11602.9</v>
      </c>
      <c r="F2" s="19">
        <v>12083</v>
      </c>
      <c r="G2" s="19">
        <v>12871.3</v>
      </c>
      <c r="H2" s="19">
        <v>13938</v>
      </c>
      <c r="I2" s="19">
        <v>15039.3</v>
      </c>
      <c r="J2" s="19">
        <v>16263.8</v>
      </c>
      <c r="K2" s="19">
        <v>17591</v>
      </c>
      <c r="L2" s="19">
        <v>19009.5</v>
      </c>
      <c r="M2" s="19">
        <v>18675.5</v>
      </c>
      <c r="N2" s="19">
        <v>19461.099999999999</v>
      </c>
      <c r="O2" s="19">
        <v>19858.099999999999</v>
      </c>
      <c r="P2" s="19">
        <v>19495.400000000001</v>
      </c>
      <c r="Q2" s="19">
        <v>18040.3</v>
      </c>
      <c r="R2" s="19">
        <v>17482.8</v>
      </c>
      <c r="S2" s="19">
        <v>17944.2</v>
      </c>
      <c r="T2" s="19">
        <v>19013.8</v>
      </c>
      <c r="U2" s="19">
        <v>20312.400000000001</v>
      </c>
      <c r="V2" s="19">
        <v>21807.8</v>
      </c>
      <c r="W2" s="19">
        <v>23400.9</v>
      </c>
      <c r="X2" s="19">
        <v>22373.599999999999</v>
      </c>
      <c r="Y2" s="19">
        <v>25679.9</v>
      </c>
      <c r="Z2" s="19">
        <v>29377.200000000001</v>
      </c>
      <c r="AA2" s="19">
        <v>31340</v>
      </c>
    </row>
    <row r="3" spans="1:27" ht="12.75" customHeight="1" x14ac:dyDescent="0.2">
      <c r="A3" s="20"/>
      <c r="B3" s="21" t="s">
        <v>26</v>
      </c>
      <c r="C3" s="22" t="s">
        <v>27</v>
      </c>
      <c r="D3" s="23">
        <v>6688.4</v>
      </c>
      <c r="E3" s="23">
        <v>7147.5</v>
      </c>
      <c r="F3" s="23">
        <v>7462.5</v>
      </c>
      <c r="G3" s="23">
        <v>7837.7</v>
      </c>
      <c r="H3" s="23">
        <v>8568.6</v>
      </c>
      <c r="I3" s="23">
        <v>9259.7999999999993</v>
      </c>
      <c r="J3" s="23">
        <v>9991.1</v>
      </c>
      <c r="K3" s="23">
        <v>11246.2</v>
      </c>
      <c r="L3" s="23">
        <v>12689.8</v>
      </c>
      <c r="M3" s="23">
        <v>11895.4</v>
      </c>
      <c r="N3" s="23">
        <v>12805.2</v>
      </c>
      <c r="O3" s="23">
        <v>13066.6</v>
      </c>
      <c r="P3" s="23">
        <v>13036.2</v>
      </c>
      <c r="Q3" s="23">
        <v>12093.2</v>
      </c>
      <c r="R3" s="23">
        <v>12007.3</v>
      </c>
      <c r="S3" s="23">
        <v>12078.2</v>
      </c>
      <c r="T3" s="23">
        <v>12456.5</v>
      </c>
      <c r="U3" s="23">
        <v>13187.7</v>
      </c>
      <c r="V3" s="23">
        <v>14163.5</v>
      </c>
      <c r="W3" s="23">
        <v>14850.8</v>
      </c>
      <c r="X3" s="23">
        <v>13765.6</v>
      </c>
      <c r="Y3" s="23">
        <v>14607.3</v>
      </c>
      <c r="Z3" s="23">
        <v>17029.599999999999</v>
      </c>
      <c r="AA3" s="23">
        <v>18702.7</v>
      </c>
    </row>
    <row r="4" spans="1:27" ht="12.75" customHeight="1" x14ac:dyDescent="0.2">
      <c r="A4" s="24"/>
      <c r="B4" s="25" t="s">
        <v>28</v>
      </c>
      <c r="C4" s="26" t="s">
        <v>29</v>
      </c>
      <c r="D4" s="27">
        <v>9844.7000000000007</v>
      </c>
      <c r="E4" s="27">
        <v>10511.1</v>
      </c>
      <c r="F4" s="27">
        <v>10889.4</v>
      </c>
      <c r="G4" s="27">
        <v>11419.7</v>
      </c>
      <c r="H4" s="27">
        <v>12261.9</v>
      </c>
      <c r="I4" s="27">
        <v>13139.3</v>
      </c>
      <c r="J4" s="27">
        <v>14165.6</v>
      </c>
      <c r="K4" s="27">
        <v>15184.6</v>
      </c>
      <c r="L4" s="27">
        <v>16416.5</v>
      </c>
      <c r="M4" s="27">
        <v>16419.5</v>
      </c>
      <c r="N4" s="27">
        <v>17160.5</v>
      </c>
      <c r="O4" s="27">
        <v>17649.099999999999</v>
      </c>
      <c r="P4" s="27">
        <v>17293.900000000001</v>
      </c>
      <c r="Q4" s="27">
        <v>16037.8</v>
      </c>
      <c r="R4" s="27">
        <v>15322.8</v>
      </c>
      <c r="S4" s="27">
        <v>15714.9</v>
      </c>
      <c r="T4" s="27">
        <v>16646.5</v>
      </c>
      <c r="U4" s="27">
        <v>17740.5</v>
      </c>
      <c r="V4" s="27">
        <v>19024.599999999999</v>
      </c>
      <c r="W4" s="27">
        <v>20551.3</v>
      </c>
      <c r="X4" s="27">
        <v>19958.599999999999</v>
      </c>
      <c r="Y4" s="27">
        <v>22796.7</v>
      </c>
      <c r="Z4" s="27">
        <v>26032.400000000001</v>
      </c>
      <c r="AA4" s="27">
        <v>27679.200000000001</v>
      </c>
    </row>
    <row r="5" spans="1:27" ht="12.75" customHeight="1" x14ac:dyDescent="0.2">
      <c r="B5" s="10" t="s">
        <v>30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spans="1:27" ht="12.75" customHeight="1" x14ac:dyDescent="0.2">
      <c r="A6" s="151" t="s">
        <v>31</v>
      </c>
      <c r="B6" s="17" t="s">
        <v>32</v>
      </c>
      <c r="C6" s="18" t="s">
        <v>33</v>
      </c>
      <c r="D6" s="19">
        <v>394.1</v>
      </c>
      <c r="E6" s="19">
        <v>448</v>
      </c>
      <c r="F6" s="19">
        <v>457.7</v>
      </c>
      <c r="G6" s="19">
        <v>431.6</v>
      </c>
      <c r="H6" s="19">
        <v>429.8</v>
      </c>
      <c r="I6" s="19">
        <v>411.9</v>
      </c>
      <c r="J6" s="19">
        <v>370.2</v>
      </c>
      <c r="K6" s="19">
        <v>356</v>
      </c>
      <c r="L6" s="19">
        <v>397.9</v>
      </c>
      <c r="M6" s="19">
        <v>371.4</v>
      </c>
      <c r="N6" s="19">
        <v>400.4</v>
      </c>
      <c r="O6" s="19">
        <v>426</v>
      </c>
      <c r="P6" s="19">
        <v>390.2</v>
      </c>
      <c r="Q6" s="19">
        <v>367.4</v>
      </c>
      <c r="R6" s="19">
        <v>322.5</v>
      </c>
      <c r="S6" s="19">
        <v>335.2</v>
      </c>
      <c r="T6" s="19">
        <v>407.6</v>
      </c>
      <c r="U6" s="19">
        <v>376.3</v>
      </c>
      <c r="V6" s="19">
        <v>374.7</v>
      </c>
      <c r="W6" s="19">
        <v>409.1</v>
      </c>
      <c r="X6" s="19">
        <v>408.4</v>
      </c>
      <c r="Y6" s="19">
        <v>385.8</v>
      </c>
      <c r="Z6" s="19">
        <v>345.4</v>
      </c>
      <c r="AA6" s="19">
        <v>369.5</v>
      </c>
    </row>
    <row r="7" spans="1:27" ht="12.75" customHeight="1" x14ac:dyDescent="0.2">
      <c r="A7" s="152"/>
      <c r="B7" s="21" t="s">
        <v>34</v>
      </c>
      <c r="C7" s="22" t="s">
        <v>35</v>
      </c>
      <c r="D7" s="23">
        <v>1099.7</v>
      </c>
      <c r="E7" s="23">
        <v>1146.2</v>
      </c>
      <c r="F7" s="23">
        <v>1198.4000000000001</v>
      </c>
      <c r="G7" s="23">
        <v>1236.9000000000001</v>
      </c>
      <c r="H7" s="23">
        <v>1311.8</v>
      </c>
      <c r="I7" s="23">
        <v>1330.6</v>
      </c>
      <c r="J7" s="23">
        <v>1327.5</v>
      </c>
      <c r="K7" s="23">
        <v>1382.2</v>
      </c>
      <c r="L7" s="23">
        <v>1387.4</v>
      </c>
      <c r="M7" s="23">
        <v>1395.4</v>
      </c>
      <c r="N7" s="23">
        <v>1395.2</v>
      </c>
      <c r="O7" s="23">
        <v>1298</v>
      </c>
      <c r="P7" s="23">
        <v>1262.2</v>
      </c>
      <c r="Q7" s="23">
        <v>1157.3</v>
      </c>
      <c r="R7" s="23">
        <v>1090.0999999999999</v>
      </c>
      <c r="S7" s="23">
        <v>1193.9000000000001</v>
      </c>
      <c r="T7" s="23">
        <v>1301.2</v>
      </c>
      <c r="U7" s="23">
        <v>1382.4</v>
      </c>
      <c r="V7" s="23">
        <v>1527.5</v>
      </c>
      <c r="W7" s="23">
        <v>1688</v>
      </c>
      <c r="X7" s="23">
        <v>1640</v>
      </c>
      <c r="Y7" s="23">
        <v>1687.2</v>
      </c>
      <c r="Z7" s="23">
        <v>1747.4</v>
      </c>
      <c r="AA7" s="23">
        <v>1895.6</v>
      </c>
    </row>
    <row r="8" spans="1:27" ht="12.75" customHeight="1" x14ac:dyDescent="0.2">
      <c r="A8" s="152"/>
      <c r="B8" s="21" t="s">
        <v>36</v>
      </c>
      <c r="C8" s="22" t="s">
        <v>37</v>
      </c>
      <c r="D8" s="23">
        <v>811.2</v>
      </c>
      <c r="E8" s="23">
        <v>872</v>
      </c>
      <c r="F8" s="23">
        <v>968.1</v>
      </c>
      <c r="G8" s="23">
        <v>1081.5999999999999</v>
      </c>
      <c r="H8" s="23">
        <v>1206.4000000000001</v>
      </c>
      <c r="I8" s="23">
        <v>1360.1</v>
      </c>
      <c r="J8" s="23">
        <v>1572.4</v>
      </c>
      <c r="K8" s="23">
        <v>1818.9</v>
      </c>
      <c r="L8" s="23">
        <v>2014.7</v>
      </c>
      <c r="M8" s="23">
        <v>1584.1</v>
      </c>
      <c r="N8" s="23">
        <v>1422.6</v>
      </c>
      <c r="O8" s="23">
        <v>1233</v>
      </c>
      <c r="P8" s="23">
        <v>1030.0999999999999</v>
      </c>
      <c r="Q8" s="23">
        <v>781.9</v>
      </c>
      <c r="R8" s="23">
        <v>653.4</v>
      </c>
      <c r="S8" s="23">
        <v>634.79999999999995</v>
      </c>
      <c r="T8" s="23">
        <v>759.2</v>
      </c>
      <c r="U8" s="23">
        <v>922.5</v>
      </c>
      <c r="V8" s="23">
        <v>1094.3</v>
      </c>
      <c r="W8" s="23">
        <v>1304.7</v>
      </c>
      <c r="X8" s="23">
        <v>1229.0999999999999</v>
      </c>
      <c r="Y8" s="23">
        <v>1261</v>
      </c>
      <c r="Z8" s="23">
        <v>1282.7</v>
      </c>
      <c r="AA8" s="23">
        <v>1393.3</v>
      </c>
    </row>
    <row r="9" spans="1:27" ht="12.75" customHeight="1" x14ac:dyDescent="0.2">
      <c r="A9" s="152"/>
      <c r="B9" s="21" t="s">
        <v>38</v>
      </c>
      <c r="C9" s="22" t="s">
        <v>39</v>
      </c>
      <c r="D9" s="23">
        <v>2931.3</v>
      </c>
      <c r="E9" s="23">
        <v>3011.4</v>
      </c>
      <c r="F9" s="23">
        <v>2972.6</v>
      </c>
      <c r="G9" s="23">
        <v>2935.5</v>
      </c>
      <c r="H9" s="23">
        <v>3105.5</v>
      </c>
      <c r="I9" s="23">
        <v>3264.5</v>
      </c>
      <c r="J9" s="23">
        <v>3531.7</v>
      </c>
      <c r="K9" s="23">
        <v>3734.7</v>
      </c>
      <c r="L9" s="23">
        <v>3957.9</v>
      </c>
      <c r="M9" s="23">
        <v>3902.1</v>
      </c>
      <c r="N9" s="23">
        <v>4128.3</v>
      </c>
      <c r="O9" s="23">
        <v>4328.3999999999996</v>
      </c>
      <c r="P9" s="23">
        <v>4154.2</v>
      </c>
      <c r="Q9" s="23">
        <v>3821.6</v>
      </c>
      <c r="R9" s="23">
        <v>3791.4</v>
      </c>
      <c r="S9" s="23">
        <v>3901</v>
      </c>
      <c r="T9" s="23">
        <v>4156</v>
      </c>
      <c r="U9" s="23">
        <v>4511.3999999999996</v>
      </c>
      <c r="V9" s="23">
        <v>4925.8999999999996</v>
      </c>
      <c r="W9" s="23">
        <v>5101.6000000000004</v>
      </c>
      <c r="X9" s="23">
        <v>3716.9</v>
      </c>
      <c r="Y9" s="23">
        <v>5124.8999999999996</v>
      </c>
      <c r="Z9" s="23">
        <v>6396.9</v>
      </c>
      <c r="AA9" s="23">
        <v>6541.2</v>
      </c>
    </row>
    <row r="10" spans="1:27" ht="12.75" customHeight="1" x14ac:dyDescent="0.2">
      <c r="A10" s="152"/>
      <c r="B10" s="21" t="s">
        <v>40</v>
      </c>
      <c r="C10" s="22" t="s">
        <v>41</v>
      </c>
      <c r="D10" s="23">
        <v>392.3</v>
      </c>
      <c r="E10" s="23">
        <v>453.6</v>
      </c>
      <c r="F10" s="23">
        <v>456.8</v>
      </c>
      <c r="G10" s="23">
        <v>453.3</v>
      </c>
      <c r="H10" s="23">
        <v>495.2</v>
      </c>
      <c r="I10" s="23">
        <v>512.20000000000005</v>
      </c>
      <c r="J10" s="23">
        <v>479.7</v>
      </c>
      <c r="K10" s="23">
        <v>525.4</v>
      </c>
      <c r="L10" s="23">
        <v>556.79999999999995</v>
      </c>
      <c r="M10" s="23">
        <v>556.9</v>
      </c>
      <c r="N10" s="23">
        <v>622.6</v>
      </c>
      <c r="O10" s="23">
        <v>642.6</v>
      </c>
      <c r="P10" s="23">
        <v>619.4</v>
      </c>
      <c r="Q10" s="23">
        <v>688.9</v>
      </c>
      <c r="R10" s="23">
        <v>737.6</v>
      </c>
      <c r="S10" s="23">
        <v>756.3</v>
      </c>
      <c r="T10" s="23">
        <v>969.2</v>
      </c>
      <c r="U10" s="23">
        <v>1154.5999999999999</v>
      </c>
      <c r="V10" s="23">
        <v>1237.9000000000001</v>
      </c>
      <c r="W10" s="23">
        <v>1436.1</v>
      </c>
      <c r="X10" s="23">
        <v>1730.9</v>
      </c>
      <c r="Y10" s="23">
        <v>2026.9</v>
      </c>
      <c r="Z10" s="23">
        <v>2788.3</v>
      </c>
      <c r="AA10" s="23">
        <v>3089.9</v>
      </c>
    </row>
    <row r="11" spans="1:27" ht="12.75" customHeight="1" x14ac:dyDescent="0.2">
      <c r="A11" s="152"/>
      <c r="B11" s="21" t="s">
        <v>42</v>
      </c>
      <c r="C11" s="22" t="s">
        <v>43</v>
      </c>
      <c r="D11" s="23">
        <v>669.3</v>
      </c>
      <c r="E11" s="23">
        <v>736</v>
      </c>
      <c r="F11" s="23">
        <v>709.4</v>
      </c>
      <c r="G11" s="23">
        <v>727.9</v>
      </c>
      <c r="H11" s="23">
        <v>825.9</v>
      </c>
      <c r="I11" s="23">
        <v>938.7</v>
      </c>
      <c r="J11" s="23">
        <v>1108.9000000000001</v>
      </c>
      <c r="K11" s="23">
        <v>1267.2</v>
      </c>
      <c r="L11" s="23">
        <v>1303.2</v>
      </c>
      <c r="M11" s="23">
        <v>1420.5</v>
      </c>
      <c r="N11" s="23">
        <v>1531.7</v>
      </c>
      <c r="O11" s="23">
        <v>1707.1</v>
      </c>
      <c r="P11" s="23">
        <v>1857</v>
      </c>
      <c r="Q11" s="23">
        <v>1922.4</v>
      </c>
      <c r="R11" s="23">
        <v>1898.5</v>
      </c>
      <c r="S11" s="23">
        <v>2025.6</v>
      </c>
      <c r="T11" s="23">
        <v>1925</v>
      </c>
      <c r="U11" s="23">
        <v>1817.4</v>
      </c>
      <c r="V11" s="23">
        <v>1597.2</v>
      </c>
      <c r="W11" s="23">
        <v>1553.9</v>
      </c>
      <c r="X11" s="23">
        <v>2047.7</v>
      </c>
      <c r="Y11" s="23">
        <v>2361.3000000000002</v>
      </c>
      <c r="Z11" s="23">
        <v>2439</v>
      </c>
      <c r="AA11" s="23">
        <v>2790.2</v>
      </c>
    </row>
    <row r="12" spans="1:27" ht="12.75" customHeight="1" x14ac:dyDescent="0.2">
      <c r="A12" s="152"/>
      <c r="B12" s="21" t="s">
        <v>44</v>
      </c>
      <c r="C12" s="22" t="s">
        <v>45</v>
      </c>
      <c r="D12" s="23">
        <v>622.79999999999995</v>
      </c>
      <c r="E12" s="23">
        <v>657.7</v>
      </c>
      <c r="F12" s="23">
        <v>714.9</v>
      </c>
      <c r="G12" s="23">
        <v>784.6</v>
      </c>
      <c r="H12" s="23">
        <v>896.3</v>
      </c>
      <c r="I12" s="23">
        <v>1034.7</v>
      </c>
      <c r="J12" s="23">
        <v>1155.8</v>
      </c>
      <c r="K12" s="23">
        <v>1251.5999999999999</v>
      </c>
      <c r="L12" s="23">
        <v>1366.5</v>
      </c>
      <c r="M12" s="23">
        <v>1521</v>
      </c>
      <c r="N12" s="23">
        <v>1612.1</v>
      </c>
      <c r="O12" s="23">
        <v>1751.6</v>
      </c>
      <c r="P12" s="23">
        <v>1815.3</v>
      </c>
      <c r="Q12" s="23">
        <v>1663.9</v>
      </c>
      <c r="R12" s="23">
        <v>1463.9</v>
      </c>
      <c r="S12" s="23">
        <v>1483.9</v>
      </c>
      <c r="T12" s="23">
        <v>1573.1</v>
      </c>
      <c r="U12" s="23">
        <v>1599.5</v>
      </c>
      <c r="V12" s="23">
        <v>1829.5</v>
      </c>
      <c r="W12" s="23">
        <v>2083.4</v>
      </c>
      <c r="X12" s="23">
        <v>2147.8000000000002</v>
      </c>
      <c r="Y12" s="23">
        <v>2339.6</v>
      </c>
      <c r="Z12" s="23">
        <v>2662</v>
      </c>
      <c r="AA12" s="23">
        <v>2833.2</v>
      </c>
    </row>
    <row r="13" spans="1:27" ht="12.75" customHeight="1" x14ac:dyDescent="0.2">
      <c r="A13" s="152"/>
      <c r="B13" s="21" t="s">
        <v>46</v>
      </c>
      <c r="C13" s="22" t="s">
        <v>47</v>
      </c>
      <c r="D13" s="23">
        <v>763.4</v>
      </c>
      <c r="E13" s="23">
        <v>896.1</v>
      </c>
      <c r="F13" s="23">
        <v>942.2</v>
      </c>
      <c r="G13" s="23">
        <v>939.5</v>
      </c>
      <c r="H13" s="23">
        <v>965.4</v>
      </c>
      <c r="I13" s="23">
        <v>1037.5</v>
      </c>
      <c r="J13" s="23">
        <v>1129</v>
      </c>
      <c r="K13" s="23">
        <v>1232.9000000000001</v>
      </c>
      <c r="L13" s="23">
        <v>1388.6</v>
      </c>
      <c r="M13" s="23">
        <v>1381</v>
      </c>
      <c r="N13" s="23">
        <v>1555.4</v>
      </c>
      <c r="O13" s="23">
        <v>1633.7</v>
      </c>
      <c r="P13" s="23">
        <v>1560.5</v>
      </c>
      <c r="Q13" s="23">
        <v>1443.6</v>
      </c>
      <c r="R13" s="23">
        <v>1480.8</v>
      </c>
      <c r="S13" s="23">
        <v>1567.4</v>
      </c>
      <c r="T13" s="23">
        <v>1682.1</v>
      </c>
      <c r="U13" s="23">
        <v>1902.3</v>
      </c>
      <c r="V13" s="23">
        <v>2133.6999999999998</v>
      </c>
      <c r="W13" s="23">
        <v>2294.8000000000002</v>
      </c>
      <c r="X13" s="23">
        <v>2238</v>
      </c>
      <c r="Y13" s="23">
        <v>2439.5</v>
      </c>
      <c r="Z13" s="23">
        <v>2691.9</v>
      </c>
      <c r="AA13" s="23">
        <v>2744.5</v>
      </c>
    </row>
    <row r="14" spans="1:27" ht="12.75" customHeight="1" x14ac:dyDescent="0.2">
      <c r="A14" s="152"/>
      <c r="B14" s="21" t="s">
        <v>48</v>
      </c>
      <c r="C14" s="22" t="s">
        <v>49</v>
      </c>
      <c r="D14" s="23">
        <v>1800.6000000000004</v>
      </c>
      <c r="E14" s="23">
        <v>1892.6000000000004</v>
      </c>
      <c r="F14" s="23">
        <v>2045.2999999999993</v>
      </c>
      <c r="G14" s="23">
        <v>2376.7999999999993</v>
      </c>
      <c r="H14" s="23">
        <v>2536.8000000000011</v>
      </c>
      <c r="I14" s="23">
        <v>2717.8999999999978</v>
      </c>
      <c r="J14" s="23">
        <v>2896.5000000000018</v>
      </c>
      <c r="K14" s="23">
        <v>2984.5</v>
      </c>
      <c r="L14" s="23">
        <v>3298.7000000000007</v>
      </c>
      <c r="M14" s="23">
        <v>3529.8999999999996</v>
      </c>
      <c r="N14" s="23">
        <v>3659.0999999999985</v>
      </c>
      <c r="O14" s="23">
        <v>3756.2999999999975</v>
      </c>
      <c r="P14" s="23">
        <v>3759.0000000000036</v>
      </c>
      <c r="Q14" s="23">
        <v>3493.6999999999989</v>
      </c>
      <c r="R14" s="23">
        <v>3207.5</v>
      </c>
      <c r="S14" s="23">
        <v>3134.8000000000011</v>
      </c>
      <c r="T14" s="23">
        <v>3162.2999999999993</v>
      </c>
      <c r="U14" s="23">
        <v>3330.2000000000025</v>
      </c>
      <c r="V14" s="23">
        <v>3524.9999999999982</v>
      </c>
      <c r="W14" s="23">
        <v>3843.7999999999956</v>
      </c>
      <c r="X14" s="23">
        <v>4121.5999999999985</v>
      </c>
      <c r="Y14" s="23">
        <v>4369.9000000000051</v>
      </c>
      <c r="Z14" s="23">
        <v>4739.8999999999978</v>
      </c>
      <c r="AA14" s="23">
        <v>5031.1000000000022</v>
      </c>
    </row>
    <row r="15" spans="1:27" ht="12.75" customHeight="1" x14ac:dyDescent="0.2">
      <c r="A15" s="152"/>
      <c r="B15" s="21" t="s">
        <v>50</v>
      </c>
      <c r="C15" s="22" t="s">
        <v>51</v>
      </c>
      <c r="D15" s="23">
        <v>360</v>
      </c>
      <c r="E15" s="23">
        <v>397.5</v>
      </c>
      <c r="F15" s="23">
        <v>424</v>
      </c>
      <c r="G15" s="23">
        <v>452</v>
      </c>
      <c r="H15" s="23">
        <v>488.8</v>
      </c>
      <c r="I15" s="23">
        <v>531.20000000000005</v>
      </c>
      <c r="J15" s="23">
        <v>593.9</v>
      </c>
      <c r="K15" s="23">
        <v>631.20000000000005</v>
      </c>
      <c r="L15" s="23">
        <v>744.8</v>
      </c>
      <c r="M15" s="23">
        <v>757.2</v>
      </c>
      <c r="N15" s="23">
        <v>833.1</v>
      </c>
      <c r="O15" s="23">
        <v>872.4</v>
      </c>
      <c r="P15" s="23">
        <v>846</v>
      </c>
      <c r="Q15" s="23">
        <v>697.1</v>
      </c>
      <c r="R15" s="23">
        <v>677.1</v>
      </c>
      <c r="S15" s="23">
        <v>682</v>
      </c>
      <c r="T15" s="23">
        <v>710.8</v>
      </c>
      <c r="U15" s="23">
        <v>743.9</v>
      </c>
      <c r="V15" s="23">
        <v>778.9</v>
      </c>
      <c r="W15" s="23">
        <v>835.9</v>
      </c>
      <c r="X15" s="23">
        <v>678.2</v>
      </c>
      <c r="Y15" s="23">
        <v>800.6</v>
      </c>
      <c r="Z15" s="23">
        <v>938.9</v>
      </c>
      <c r="AA15" s="23">
        <v>990.7</v>
      </c>
    </row>
    <row r="16" spans="1:27" ht="12.75" customHeight="1" x14ac:dyDescent="0.2">
      <c r="A16" s="153"/>
      <c r="B16" s="28" t="s">
        <v>52</v>
      </c>
      <c r="C16" s="29" t="s">
        <v>53</v>
      </c>
      <c r="D16" s="30">
        <f>SUM(D6:D15)</f>
        <v>9844.7000000000007</v>
      </c>
      <c r="E16" s="30">
        <f t="shared" ref="E16:Y16" si="0">SUM(E6:E15)</f>
        <v>10511.1</v>
      </c>
      <c r="F16" s="30">
        <f t="shared" si="0"/>
        <v>10889.4</v>
      </c>
      <c r="G16" s="30">
        <f t="shared" si="0"/>
        <v>11419.7</v>
      </c>
      <c r="H16" s="30">
        <f t="shared" si="0"/>
        <v>12261.9</v>
      </c>
      <c r="I16" s="30">
        <f t="shared" si="0"/>
        <v>13139.3</v>
      </c>
      <c r="J16" s="30">
        <f t="shared" si="0"/>
        <v>14165.6</v>
      </c>
      <c r="K16" s="30">
        <f t="shared" si="0"/>
        <v>15184.6</v>
      </c>
      <c r="L16" s="30">
        <f t="shared" si="0"/>
        <v>16416.5</v>
      </c>
      <c r="M16" s="30">
        <f t="shared" si="0"/>
        <v>16419.5</v>
      </c>
      <c r="N16" s="30">
        <f t="shared" si="0"/>
        <v>17160.5</v>
      </c>
      <c r="O16" s="30">
        <f t="shared" si="0"/>
        <v>17649.099999999999</v>
      </c>
      <c r="P16" s="30">
        <f t="shared" si="0"/>
        <v>17293.900000000001</v>
      </c>
      <c r="Q16" s="30">
        <f t="shared" si="0"/>
        <v>16037.8</v>
      </c>
      <c r="R16" s="30">
        <f t="shared" si="0"/>
        <v>15322.8</v>
      </c>
      <c r="S16" s="30">
        <f t="shared" si="0"/>
        <v>15714.9</v>
      </c>
      <c r="T16" s="30">
        <f t="shared" si="0"/>
        <v>16646.5</v>
      </c>
      <c r="U16" s="30">
        <f t="shared" si="0"/>
        <v>17740.5</v>
      </c>
      <c r="V16" s="30">
        <f t="shared" si="0"/>
        <v>19024.599999999999</v>
      </c>
      <c r="W16" s="30">
        <f t="shared" si="0"/>
        <v>20551.3</v>
      </c>
      <c r="X16" s="30">
        <f t="shared" si="0"/>
        <v>19958.599999999999</v>
      </c>
      <c r="Y16" s="30">
        <f t="shared" si="0"/>
        <v>22796.7</v>
      </c>
      <c r="Z16" s="30">
        <f t="shared" ref="Z16:AA16" si="1">SUM(Z6:Z15)</f>
        <v>26032.400000000001</v>
      </c>
      <c r="AA16" s="30">
        <f t="shared" si="1"/>
        <v>27679.200000000001</v>
      </c>
    </row>
    <row r="17" spans="1:27" ht="12.75" customHeight="1" x14ac:dyDescent="0.2"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spans="1:27" ht="12.75" customHeight="1" x14ac:dyDescent="0.2">
      <c r="A18" s="151" t="s">
        <v>54</v>
      </c>
      <c r="B18" s="17" t="s">
        <v>32</v>
      </c>
      <c r="C18" s="18" t="s">
        <v>33</v>
      </c>
      <c r="D18" s="19">
        <v>394.1</v>
      </c>
      <c r="E18" s="19">
        <v>448</v>
      </c>
      <c r="F18" s="19">
        <v>457.7</v>
      </c>
      <c r="G18" s="19">
        <v>431.6</v>
      </c>
      <c r="H18" s="19">
        <v>429.8</v>
      </c>
      <c r="I18" s="19">
        <v>411.9</v>
      </c>
      <c r="J18" s="19">
        <v>370.2</v>
      </c>
      <c r="K18" s="19">
        <v>356</v>
      </c>
      <c r="L18" s="19">
        <v>397.9</v>
      </c>
      <c r="M18" s="19">
        <v>371.4</v>
      </c>
      <c r="N18" s="19">
        <v>400.4</v>
      </c>
      <c r="O18" s="19">
        <v>426</v>
      </c>
      <c r="P18" s="19">
        <v>390.2</v>
      </c>
      <c r="Q18" s="19">
        <v>367.4</v>
      </c>
      <c r="R18" s="19">
        <v>322.5</v>
      </c>
      <c r="S18" s="19">
        <v>335.2</v>
      </c>
      <c r="T18" s="19">
        <v>407.6</v>
      </c>
      <c r="U18" s="19">
        <v>376.3</v>
      </c>
      <c r="V18" s="19">
        <v>374.7</v>
      </c>
      <c r="W18" s="19">
        <v>409.1</v>
      </c>
      <c r="X18" s="19">
        <v>408.4</v>
      </c>
      <c r="Y18" s="19">
        <v>385.8</v>
      </c>
      <c r="Z18" s="19">
        <v>345.4</v>
      </c>
      <c r="AA18" s="19">
        <v>369.5</v>
      </c>
    </row>
    <row r="19" spans="1:27" ht="12.75" customHeight="1" x14ac:dyDescent="0.2">
      <c r="A19" s="152"/>
      <c r="B19" s="21" t="s">
        <v>55</v>
      </c>
      <c r="C19" s="22" t="s">
        <v>56</v>
      </c>
      <c r="D19" s="23">
        <v>28.713099041533553</v>
      </c>
      <c r="E19" s="23">
        <v>26.489297253634891</v>
      </c>
      <c r="F19" s="23">
        <v>30.588409090909103</v>
      </c>
      <c r="G19" s="23">
        <v>35.112020547945221</v>
      </c>
      <c r="H19" s="23">
        <v>41.899999999999991</v>
      </c>
      <c r="I19" s="23">
        <v>44.999999999999979</v>
      </c>
      <c r="J19" s="23">
        <v>46.814173228346448</v>
      </c>
      <c r="K19" s="23">
        <v>50.999999999999993</v>
      </c>
      <c r="L19" s="23">
        <v>63.481679169070972</v>
      </c>
      <c r="M19" s="23">
        <v>47.787778061876764</v>
      </c>
      <c r="N19" s="23">
        <v>48.000000000000007</v>
      </c>
      <c r="O19" s="23">
        <v>36.490507152145639</v>
      </c>
      <c r="P19" s="23">
        <v>18.3</v>
      </c>
      <c r="Q19" s="23">
        <v>19.2</v>
      </c>
      <c r="R19" s="23">
        <v>20.799999999999994</v>
      </c>
      <c r="S19" s="23">
        <v>25.705985095482077</v>
      </c>
      <c r="T19" s="23">
        <v>18.500000000000004</v>
      </c>
      <c r="U19" s="23">
        <v>17.79542181069959</v>
      </c>
      <c r="V19" s="23">
        <v>24.293473005640614</v>
      </c>
      <c r="W19" s="23">
        <v>27.000000000000007</v>
      </c>
      <c r="X19" s="23">
        <v>25.399999999999991</v>
      </c>
      <c r="Y19" s="23">
        <v>30.292544291338576</v>
      </c>
      <c r="Z19" s="23">
        <v>42.90000000000002</v>
      </c>
      <c r="AA19" s="23">
        <v>52.499999999999993</v>
      </c>
    </row>
    <row r="20" spans="1:27" ht="12.75" customHeight="1" x14ac:dyDescent="0.2">
      <c r="A20" s="152"/>
      <c r="B20" s="21" t="s">
        <v>57</v>
      </c>
      <c r="C20" s="22" t="s">
        <v>58</v>
      </c>
      <c r="D20" s="23">
        <v>880.5</v>
      </c>
      <c r="E20" s="23">
        <v>898.7</v>
      </c>
      <c r="F20" s="23">
        <v>934.5</v>
      </c>
      <c r="G20" s="23">
        <v>944.8</v>
      </c>
      <c r="H20" s="23">
        <v>1004.8</v>
      </c>
      <c r="I20" s="23">
        <v>1023.1</v>
      </c>
      <c r="J20" s="23">
        <v>997.2</v>
      </c>
      <c r="K20" s="23">
        <v>1010.2</v>
      </c>
      <c r="L20" s="23">
        <v>1040.9000000000001</v>
      </c>
      <c r="M20" s="23">
        <v>1004.4</v>
      </c>
      <c r="N20" s="23">
        <v>983.4</v>
      </c>
      <c r="O20" s="23">
        <v>913.6</v>
      </c>
      <c r="P20" s="23">
        <v>816.8</v>
      </c>
      <c r="Q20" s="23">
        <v>700.8</v>
      </c>
      <c r="R20" s="23">
        <v>712.9</v>
      </c>
      <c r="S20" s="23">
        <v>764.4</v>
      </c>
      <c r="T20" s="23">
        <v>869</v>
      </c>
      <c r="U20" s="23">
        <v>993.7</v>
      </c>
      <c r="V20" s="23">
        <v>1155.3</v>
      </c>
      <c r="W20" s="23">
        <v>1265.0999999999999</v>
      </c>
      <c r="X20" s="23">
        <v>1259.9000000000001</v>
      </c>
      <c r="Y20" s="23">
        <v>1280.9000000000001</v>
      </c>
      <c r="Z20" s="23">
        <v>1263.5999999999999</v>
      </c>
      <c r="AA20" s="23">
        <v>1362.5</v>
      </c>
    </row>
    <row r="21" spans="1:27" ht="12.75" customHeight="1" x14ac:dyDescent="0.2">
      <c r="A21" s="152"/>
      <c r="B21" s="21" t="s">
        <v>59</v>
      </c>
      <c r="C21" s="22" t="s">
        <v>60</v>
      </c>
      <c r="D21" s="23">
        <v>132.46042902784123</v>
      </c>
      <c r="E21" s="23">
        <v>156.83663166397415</v>
      </c>
      <c r="F21" s="23">
        <v>164.23776515151522</v>
      </c>
      <c r="G21" s="23">
        <v>180.46178082191793</v>
      </c>
      <c r="H21" s="23">
        <v>179.4</v>
      </c>
      <c r="I21" s="23">
        <v>169.59999999999994</v>
      </c>
      <c r="J21" s="23">
        <v>173.752604482132</v>
      </c>
      <c r="K21" s="23">
        <v>203.8</v>
      </c>
      <c r="L21" s="23">
        <v>181.64757645701093</v>
      </c>
      <c r="M21" s="23">
        <v>236.23958066990548</v>
      </c>
      <c r="N21" s="23">
        <v>256.3</v>
      </c>
      <c r="O21" s="23">
        <v>230.04015604681405</v>
      </c>
      <c r="P21" s="23">
        <v>295.10000000000008</v>
      </c>
      <c r="Q21" s="23">
        <v>300.89999999999998</v>
      </c>
      <c r="R21" s="23">
        <v>223.99999999999991</v>
      </c>
      <c r="S21" s="23">
        <v>270.96308802980911</v>
      </c>
      <c r="T21" s="23">
        <v>275.40000000000003</v>
      </c>
      <c r="U21" s="23">
        <v>222.94264403292183</v>
      </c>
      <c r="V21" s="23">
        <v>218.74123019070643</v>
      </c>
      <c r="W21" s="23">
        <v>256.30000000000007</v>
      </c>
      <c r="X21" s="23">
        <v>217.99999999999994</v>
      </c>
      <c r="Y21" s="23">
        <v>222.74517716535431</v>
      </c>
      <c r="Z21" s="23">
        <v>260.50000000000011</v>
      </c>
      <c r="AA21" s="23">
        <v>286.79999999999995</v>
      </c>
    </row>
    <row r="22" spans="1:27" ht="12.75" customHeight="1" x14ac:dyDescent="0.2">
      <c r="A22" s="152"/>
      <c r="B22" s="21" t="s">
        <v>61</v>
      </c>
      <c r="C22" s="22" t="s">
        <v>62</v>
      </c>
      <c r="D22" s="23">
        <v>58.026471930625291</v>
      </c>
      <c r="E22" s="23">
        <v>64.174071082390952</v>
      </c>
      <c r="F22" s="23">
        <v>69.073825757575776</v>
      </c>
      <c r="G22" s="23">
        <v>76.526198630137017</v>
      </c>
      <c r="H22" s="23">
        <v>85.7</v>
      </c>
      <c r="I22" s="23">
        <v>92.899999999999963</v>
      </c>
      <c r="J22" s="23">
        <v>109.73322228952151</v>
      </c>
      <c r="K22" s="23">
        <v>117.2</v>
      </c>
      <c r="L22" s="23">
        <v>101.37074437391806</v>
      </c>
      <c r="M22" s="23">
        <v>106.97264126821787</v>
      </c>
      <c r="N22" s="23">
        <v>107.50000000000003</v>
      </c>
      <c r="O22" s="23">
        <v>117.86933680104032</v>
      </c>
      <c r="P22" s="23">
        <v>132.00000000000003</v>
      </c>
      <c r="Q22" s="23">
        <v>136.4</v>
      </c>
      <c r="R22" s="23">
        <v>132.39999999999998</v>
      </c>
      <c r="S22" s="23">
        <v>132.83092687470895</v>
      </c>
      <c r="T22" s="23">
        <v>138.30000000000004</v>
      </c>
      <c r="U22" s="23">
        <v>147.96193415637862</v>
      </c>
      <c r="V22" s="23">
        <v>129.16529680365298</v>
      </c>
      <c r="W22" s="23">
        <v>139.60000000000002</v>
      </c>
      <c r="X22" s="23">
        <v>136.69999999999996</v>
      </c>
      <c r="Y22" s="23">
        <v>153.26227854330708</v>
      </c>
      <c r="Z22" s="23">
        <v>180.40000000000009</v>
      </c>
      <c r="AA22" s="23">
        <v>193.79999999999998</v>
      </c>
    </row>
    <row r="23" spans="1:27" ht="12.75" customHeight="1" x14ac:dyDescent="0.2">
      <c r="A23" s="152"/>
      <c r="B23" s="21" t="s">
        <v>36</v>
      </c>
      <c r="C23" s="22" t="s">
        <v>37</v>
      </c>
      <c r="D23" s="23">
        <v>811.2</v>
      </c>
      <c r="E23" s="23">
        <v>872</v>
      </c>
      <c r="F23" s="23">
        <v>968.1</v>
      </c>
      <c r="G23" s="23">
        <v>1081.5999999999999</v>
      </c>
      <c r="H23" s="23">
        <v>1206.4000000000001</v>
      </c>
      <c r="I23" s="23">
        <v>1360.1</v>
      </c>
      <c r="J23" s="23">
        <v>1572.4</v>
      </c>
      <c r="K23" s="23">
        <v>1818.9</v>
      </c>
      <c r="L23" s="23">
        <v>2014.7</v>
      </c>
      <c r="M23" s="23">
        <v>1584.1</v>
      </c>
      <c r="N23" s="23">
        <v>1422.6</v>
      </c>
      <c r="O23" s="23">
        <v>1233</v>
      </c>
      <c r="P23" s="23">
        <v>1030.0999999999999</v>
      </c>
      <c r="Q23" s="23">
        <v>781.9</v>
      </c>
      <c r="R23" s="23">
        <v>653.4</v>
      </c>
      <c r="S23" s="23">
        <v>634.79999999999995</v>
      </c>
      <c r="T23" s="23">
        <v>759.2</v>
      </c>
      <c r="U23" s="23">
        <v>922.5</v>
      </c>
      <c r="V23" s="23">
        <v>1094.3</v>
      </c>
      <c r="W23" s="23">
        <v>1304.7</v>
      </c>
      <c r="X23" s="23">
        <v>1229.0999999999999</v>
      </c>
      <c r="Y23" s="23">
        <v>1261</v>
      </c>
      <c r="Z23" s="23">
        <v>1282.7</v>
      </c>
      <c r="AA23" s="23">
        <v>1393.3</v>
      </c>
    </row>
    <row r="24" spans="1:27" ht="12.75" customHeight="1" x14ac:dyDescent="0.2">
      <c r="A24" s="152"/>
      <c r="B24" s="21" t="s">
        <v>63</v>
      </c>
      <c r="C24" s="22" t="s">
        <v>64</v>
      </c>
      <c r="D24" s="23">
        <v>1217.1000000000004</v>
      </c>
      <c r="E24" s="23">
        <v>1280</v>
      </c>
      <c r="F24" s="23">
        <v>1298.0999999999999</v>
      </c>
      <c r="G24" s="23">
        <v>1279.4000000000001</v>
      </c>
      <c r="H24" s="23">
        <v>1435.9</v>
      </c>
      <c r="I24" s="23">
        <v>1552.6999999999998</v>
      </c>
      <c r="J24" s="23">
        <v>1688.6</v>
      </c>
      <c r="K24" s="23">
        <v>1819</v>
      </c>
      <c r="L24" s="23">
        <v>1959.3</v>
      </c>
      <c r="M24" s="23">
        <v>1878.2</v>
      </c>
      <c r="N24" s="23">
        <v>1949.1000000000004</v>
      </c>
      <c r="O24" s="23">
        <v>1910.8999999999996</v>
      </c>
      <c r="P24" s="23">
        <v>1858.5</v>
      </c>
      <c r="Q24" s="23">
        <v>1615.6999999999998</v>
      </c>
      <c r="R24" s="23">
        <v>1616.3000000000002</v>
      </c>
      <c r="S24" s="23">
        <v>1641</v>
      </c>
      <c r="T24" s="23">
        <v>1770.3000000000002</v>
      </c>
      <c r="U24" s="23">
        <v>1996.9999999999995</v>
      </c>
      <c r="V24" s="23">
        <v>2146.3999999999996</v>
      </c>
      <c r="W24" s="23">
        <v>2235.8000000000002</v>
      </c>
      <c r="X24" s="23">
        <v>2160.6000000000004</v>
      </c>
      <c r="Y24" s="23">
        <v>2949.2999999999997</v>
      </c>
      <c r="Z24" s="23">
        <v>3497.8999999999996</v>
      </c>
      <c r="AA24" s="23">
        <v>3312.1</v>
      </c>
    </row>
    <row r="25" spans="1:27" ht="12.75" customHeight="1" x14ac:dyDescent="0.2">
      <c r="A25" s="152"/>
      <c r="B25" s="21" t="s">
        <v>65</v>
      </c>
      <c r="C25" s="22" t="s">
        <v>66</v>
      </c>
      <c r="D25" s="23">
        <v>887.9</v>
      </c>
      <c r="E25" s="23">
        <v>850.2</v>
      </c>
      <c r="F25" s="23">
        <v>862.1</v>
      </c>
      <c r="G25" s="23">
        <v>878.1</v>
      </c>
      <c r="H25" s="23">
        <v>884.1</v>
      </c>
      <c r="I25" s="23">
        <v>896.6</v>
      </c>
      <c r="J25" s="23">
        <v>959.1</v>
      </c>
      <c r="K25" s="23">
        <v>979.3</v>
      </c>
      <c r="L25" s="23">
        <v>1056.4000000000001</v>
      </c>
      <c r="M25" s="23">
        <v>1151.5999999999999</v>
      </c>
      <c r="N25" s="23">
        <v>1288.9000000000001</v>
      </c>
      <c r="O25" s="23">
        <v>1413.5</v>
      </c>
      <c r="P25" s="23">
        <v>1253.5999999999999</v>
      </c>
      <c r="Q25" s="23">
        <v>1219</v>
      </c>
      <c r="R25" s="23">
        <v>1163.5999999999999</v>
      </c>
      <c r="S25" s="23">
        <v>1239.8</v>
      </c>
      <c r="T25" s="23">
        <v>1211.2</v>
      </c>
      <c r="U25" s="23">
        <v>1243.4000000000001</v>
      </c>
      <c r="V25" s="23">
        <v>1386.5</v>
      </c>
      <c r="W25" s="23">
        <v>1427</v>
      </c>
      <c r="X25" s="23">
        <v>1112.0999999999999</v>
      </c>
      <c r="Y25" s="23">
        <v>1196.0999999999999</v>
      </c>
      <c r="Z25" s="23">
        <v>1433.6</v>
      </c>
      <c r="AA25" s="23">
        <v>1487.1</v>
      </c>
    </row>
    <row r="26" spans="1:27" ht="12.75" customHeight="1" x14ac:dyDescent="0.2">
      <c r="A26" s="152"/>
      <c r="B26" s="21" t="s">
        <v>67</v>
      </c>
      <c r="C26" s="22" t="s">
        <v>68</v>
      </c>
      <c r="D26" s="23">
        <v>826.3</v>
      </c>
      <c r="E26" s="23">
        <v>881.2</v>
      </c>
      <c r="F26" s="23">
        <v>812.4</v>
      </c>
      <c r="G26" s="23">
        <v>778</v>
      </c>
      <c r="H26" s="23">
        <v>785.5</v>
      </c>
      <c r="I26" s="23">
        <v>815.2</v>
      </c>
      <c r="J26" s="23">
        <v>884</v>
      </c>
      <c r="K26" s="23">
        <v>936.4</v>
      </c>
      <c r="L26" s="23">
        <v>942.2</v>
      </c>
      <c r="M26" s="23">
        <v>872.3</v>
      </c>
      <c r="N26" s="23">
        <v>890.3</v>
      </c>
      <c r="O26" s="23">
        <v>1004</v>
      </c>
      <c r="P26" s="23">
        <v>1042.0999999999999</v>
      </c>
      <c r="Q26" s="23">
        <v>986.9</v>
      </c>
      <c r="R26" s="23">
        <v>1011.5</v>
      </c>
      <c r="S26" s="23">
        <v>1020.2</v>
      </c>
      <c r="T26" s="23">
        <v>1174.5</v>
      </c>
      <c r="U26" s="23">
        <v>1271</v>
      </c>
      <c r="V26" s="23">
        <v>1393</v>
      </c>
      <c r="W26" s="23">
        <v>1438.8</v>
      </c>
      <c r="X26" s="23">
        <v>444.2</v>
      </c>
      <c r="Y26" s="23">
        <v>979.5</v>
      </c>
      <c r="Z26" s="23">
        <v>1465.4</v>
      </c>
      <c r="AA26" s="23">
        <v>1742</v>
      </c>
    </row>
    <row r="27" spans="1:27" ht="12.75" customHeight="1" x14ac:dyDescent="0.2">
      <c r="A27" s="152"/>
      <c r="B27" s="21" t="s">
        <v>40</v>
      </c>
      <c r="C27" s="22" t="s">
        <v>41</v>
      </c>
      <c r="D27" s="23">
        <v>392.3</v>
      </c>
      <c r="E27" s="23">
        <v>453.6</v>
      </c>
      <c r="F27" s="23">
        <v>456.8</v>
      </c>
      <c r="G27" s="23">
        <v>453.3</v>
      </c>
      <c r="H27" s="23">
        <v>495.2</v>
      </c>
      <c r="I27" s="23">
        <v>512.20000000000005</v>
      </c>
      <c r="J27" s="23">
        <v>479.7</v>
      </c>
      <c r="K27" s="23">
        <v>525.4</v>
      </c>
      <c r="L27" s="23">
        <v>556.79999999999995</v>
      </c>
      <c r="M27" s="23">
        <v>556.9</v>
      </c>
      <c r="N27" s="23">
        <v>622.6</v>
      </c>
      <c r="O27" s="23">
        <v>642.6</v>
      </c>
      <c r="P27" s="23">
        <v>619.4</v>
      </c>
      <c r="Q27" s="23">
        <v>688.9</v>
      </c>
      <c r="R27" s="23">
        <v>737.6</v>
      </c>
      <c r="S27" s="23">
        <v>756.3</v>
      </c>
      <c r="T27" s="23">
        <v>969.2</v>
      </c>
      <c r="U27" s="23">
        <v>1154.5999999999999</v>
      </c>
      <c r="V27" s="23">
        <v>1237.9000000000001</v>
      </c>
      <c r="W27" s="23">
        <v>1436.1</v>
      </c>
      <c r="X27" s="23">
        <v>1730.9</v>
      </c>
      <c r="Y27" s="23">
        <v>2026.9</v>
      </c>
      <c r="Z27" s="23">
        <v>2788.3</v>
      </c>
      <c r="AA27" s="23">
        <v>3089.9</v>
      </c>
    </row>
    <row r="28" spans="1:27" ht="12.75" customHeight="1" x14ac:dyDescent="0.2">
      <c r="A28" s="152"/>
      <c r="B28" s="21" t="s">
        <v>42</v>
      </c>
      <c r="C28" s="22" t="s">
        <v>43</v>
      </c>
      <c r="D28" s="23">
        <v>669.3</v>
      </c>
      <c r="E28" s="23">
        <v>736</v>
      </c>
      <c r="F28" s="23">
        <v>709.4</v>
      </c>
      <c r="G28" s="23">
        <v>727.9</v>
      </c>
      <c r="H28" s="23">
        <v>825.9</v>
      </c>
      <c r="I28" s="23">
        <v>938.7</v>
      </c>
      <c r="J28" s="23">
        <v>1108.9000000000001</v>
      </c>
      <c r="K28" s="23">
        <v>1267.2</v>
      </c>
      <c r="L28" s="23">
        <v>1303.2</v>
      </c>
      <c r="M28" s="23">
        <v>1420.5</v>
      </c>
      <c r="N28" s="23">
        <v>1531.7</v>
      </c>
      <c r="O28" s="23">
        <v>1707.1</v>
      </c>
      <c r="P28" s="23">
        <v>1857</v>
      </c>
      <c r="Q28" s="23">
        <v>1922.4</v>
      </c>
      <c r="R28" s="23">
        <v>1898.5</v>
      </c>
      <c r="S28" s="23">
        <v>2025.6</v>
      </c>
      <c r="T28" s="23">
        <v>1925</v>
      </c>
      <c r="U28" s="23">
        <v>1817.4</v>
      </c>
      <c r="V28" s="23">
        <v>1597.2</v>
      </c>
      <c r="W28" s="23">
        <v>1553.9</v>
      </c>
      <c r="X28" s="23">
        <v>2047.7</v>
      </c>
      <c r="Y28" s="23">
        <v>2361.3000000000002</v>
      </c>
      <c r="Z28" s="23">
        <v>2439</v>
      </c>
      <c r="AA28" s="23">
        <v>2790.2</v>
      </c>
    </row>
    <row r="29" spans="1:27" ht="12.75" customHeight="1" x14ac:dyDescent="0.2">
      <c r="A29" s="152"/>
      <c r="B29" s="21" t="s">
        <v>44</v>
      </c>
      <c r="C29" s="22" t="s">
        <v>45</v>
      </c>
      <c r="D29" s="23">
        <v>622.79999999999995</v>
      </c>
      <c r="E29" s="23">
        <v>657.7</v>
      </c>
      <c r="F29" s="23">
        <v>714.9</v>
      </c>
      <c r="G29" s="23">
        <v>784.6</v>
      </c>
      <c r="H29" s="23">
        <v>896.3</v>
      </c>
      <c r="I29" s="23">
        <v>1034.7</v>
      </c>
      <c r="J29" s="23">
        <v>1155.8</v>
      </c>
      <c r="K29" s="23">
        <v>1251.5999999999999</v>
      </c>
      <c r="L29" s="23">
        <v>1366.5</v>
      </c>
      <c r="M29" s="23">
        <v>1521</v>
      </c>
      <c r="N29" s="23">
        <v>1612.1</v>
      </c>
      <c r="O29" s="23">
        <v>1751.6</v>
      </c>
      <c r="P29" s="23">
        <v>1815.3</v>
      </c>
      <c r="Q29" s="23">
        <v>1663.9</v>
      </c>
      <c r="R29" s="23">
        <v>1463.9</v>
      </c>
      <c r="S29" s="23">
        <v>1483.9</v>
      </c>
      <c r="T29" s="23">
        <v>1573.1</v>
      </c>
      <c r="U29" s="23">
        <v>1599.5</v>
      </c>
      <c r="V29" s="23">
        <v>1829.5</v>
      </c>
      <c r="W29" s="23">
        <v>2083.4</v>
      </c>
      <c r="X29" s="23">
        <v>2147.8000000000002</v>
      </c>
      <c r="Y29" s="23">
        <v>2339.6</v>
      </c>
      <c r="Z29" s="23">
        <v>2662</v>
      </c>
      <c r="AA29" s="23">
        <v>2833.2</v>
      </c>
    </row>
    <row r="30" spans="1:27" ht="12.75" customHeight="1" x14ac:dyDescent="0.2">
      <c r="A30" s="152"/>
      <c r="B30" s="21" t="s">
        <v>69</v>
      </c>
      <c r="C30" s="22" t="s">
        <v>70</v>
      </c>
      <c r="D30" s="23">
        <v>611.70000000000005</v>
      </c>
      <c r="E30" s="23">
        <v>729.7</v>
      </c>
      <c r="F30" s="23">
        <v>774.90000000000009</v>
      </c>
      <c r="G30" s="23">
        <v>768.8</v>
      </c>
      <c r="H30" s="23">
        <v>793.2</v>
      </c>
      <c r="I30" s="23">
        <v>844.3</v>
      </c>
      <c r="J30" s="23">
        <v>909.1</v>
      </c>
      <c r="K30" s="23">
        <v>993.7</v>
      </c>
      <c r="L30" s="23">
        <v>1137.5999999999999</v>
      </c>
      <c r="M30" s="23">
        <v>1131</v>
      </c>
      <c r="N30" s="23">
        <v>1281.7</v>
      </c>
      <c r="O30" s="23">
        <v>1362.1</v>
      </c>
      <c r="P30" s="23">
        <v>1297.7</v>
      </c>
      <c r="Q30" s="23">
        <v>1199.5</v>
      </c>
      <c r="R30" s="23">
        <v>1222.0999999999999</v>
      </c>
      <c r="S30" s="23">
        <v>1297.4000000000001</v>
      </c>
      <c r="T30" s="23">
        <v>1393.8</v>
      </c>
      <c r="U30" s="23">
        <v>1573.1</v>
      </c>
      <c r="V30" s="23">
        <v>1693.1999999999998</v>
      </c>
      <c r="W30" s="23">
        <v>1799.7000000000003</v>
      </c>
      <c r="X30" s="23">
        <v>1801.2</v>
      </c>
      <c r="Y30" s="23">
        <v>1905.2</v>
      </c>
      <c r="Z30" s="23">
        <v>2029.8000000000002</v>
      </c>
      <c r="AA30" s="23">
        <v>2025.4</v>
      </c>
    </row>
    <row r="31" spans="1:27" ht="12.75" customHeight="1" x14ac:dyDescent="0.2">
      <c r="A31" s="152"/>
      <c r="B31" s="21" t="s">
        <v>71</v>
      </c>
      <c r="C31" s="22" t="s">
        <v>72</v>
      </c>
      <c r="D31" s="23">
        <v>151.69999999999999</v>
      </c>
      <c r="E31" s="23">
        <v>166.4</v>
      </c>
      <c r="F31" s="23">
        <v>167.3</v>
      </c>
      <c r="G31" s="23">
        <v>170.7</v>
      </c>
      <c r="H31" s="23">
        <v>172.2</v>
      </c>
      <c r="I31" s="23">
        <v>193.2</v>
      </c>
      <c r="J31" s="23">
        <v>219.9</v>
      </c>
      <c r="K31" s="23">
        <v>239.2</v>
      </c>
      <c r="L31" s="23">
        <v>251</v>
      </c>
      <c r="M31" s="23">
        <v>250</v>
      </c>
      <c r="N31" s="23">
        <v>273.7</v>
      </c>
      <c r="O31" s="23">
        <v>271.60000000000002</v>
      </c>
      <c r="P31" s="23">
        <v>262.8</v>
      </c>
      <c r="Q31" s="23">
        <v>244.1</v>
      </c>
      <c r="R31" s="23">
        <v>258.7</v>
      </c>
      <c r="S31" s="23">
        <v>270</v>
      </c>
      <c r="T31" s="23">
        <v>288.3</v>
      </c>
      <c r="U31" s="23">
        <v>329.2</v>
      </c>
      <c r="V31" s="23">
        <v>440.5</v>
      </c>
      <c r="W31" s="23">
        <v>495.1</v>
      </c>
      <c r="X31" s="23">
        <v>436.8</v>
      </c>
      <c r="Y31" s="23">
        <v>534.29999999999995</v>
      </c>
      <c r="Z31" s="23">
        <v>662.1</v>
      </c>
      <c r="AA31" s="23">
        <v>719.1</v>
      </c>
    </row>
    <row r="32" spans="1:27" ht="12.75" customHeight="1" x14ac:dyDescent="0.2">
      <c r="A32" s="152"/>
      <c r="B32" s="21" t="s">
        <v>73</v>
      </c>
      <c r="C32" s="22" t="s">
        <v>74</v>
      </c>
      <c r="D32" s="23">
        <v>939.90000000000032</v>
      </c>
      <c r="E32" s="23">
        <v>965.80000000000041</v>
      </c>
      <c r="F32" s="23">
        <v>1048.1999999999994</v>
      </c>
      <c r="G32" s="23">
        <v>1258.2999999999993</v>
      </c>
      <c r="H32" s="23">
        <v>1367.8000000000011</v>
      </c>
      <c r="I32" s="23">
        <v>1466.3999999999978</v>
      </c>
      <c r="J32" s="23">
        <v>1570.0000000000018</v>
      </c>
      <c r="K32" s="23">
        <v>1608.3</v>
      </c>
      <c r="L32" s="23">
        <v>1741.7000000000007</v>
      </c>
      <c r="M32" s="23">
        <v>1858.4999999999998</v>
      </c>
      <c r="N32" s="23">
        <v>1865.0999999999985</v>
      </c>
      <c r="O32" s="23">
        <v>1999.7999999999975</v>
      </c>
      <c r="P32" s="23">
        <v>2027.1000000000038</v>
      </c>
      <c r="Q32" s="23">
        <v>1794.1999999999989</v>
      </c>
      <c r="R32" s="23">
        <v>1547.7</v>
      </c>
      <c r="S32" s="23">
        <v>1510.900000000001</v>
      </c>
      <c r="T32" s="23">
        <v>1478.5999999999992</v>
      </c>
      <c r="U32" s="23">
        <v>1558.6000000000024</v>
      </c>
      <c r="V32" s="23">
        <v>1586.5999999999981</v>
      </c>
      <c r="W32" s="23">
        <v>1774.5999999999958</v>
      </c>
      <c r="X32" s="23">
        <v>1865.2999999999984</v>
      </c>
      <c r="Y32" s="23">
        <v>1912.8000000000047</v>
      </c>
      <c r="Z32" s="23">
        <v>2113.7999999999979</v>
      </c>
      <c r="AA32" s="23">
        <v>2322.7000000000025</v>
      </c>
    </row>
    <row r="33" spans="1:27" ht="12.75" customHeight="1" x14ac:dyDescent="0.2">
      <c r="A33" s="152"/>
      <c r="B33" s="21" t="s">
        <v>75</v>
      </c>
      <c r="C33" s="22" t="s">
        <v>76</v>
      </c>
      <c r="D33" s="23">
        <v>529.1</v>
      </c>
      <c r="E33" s="23">
        <v>571.9</v>
      </c>
      <c r="F33" s="23">
        <v>614.6</v>
      </c>
      <c r="G33" s="23">
        <v>697</v>
      </c>
      <c r="H33" s="23">
        <v>726.8</v>
      </c>
      <c r="I33" s="23">
        <v>778.4</v>
      </c>
      <c r="J33" s="23">
        <v>828.3</v>
      </c>
      <c r="K33" s="23">
        <v>859.6</v>
      </c>
      <c r="L33" s="23">
        <v>972</v>
      </c>
      <c r="M33" s="23">
        <v>1052.5999999999999</v>
      </c>
      <c r="N33" s="23">
        <v>1127.4000000000001</v>
      </c>
      <c r="O33" s="23">
        <v>1074.9000000000001</v>
      </c>
      <c r="P33" s="23">
        <v>1045.5999999999999</v>
      </c>
      <c r="Q33" s="23">
        <v>1035.9000000000001</v>
      </c>
      <c r="R33" s="23">
        <v>1014.4</v>
      </c>
      <c r="S33" s="23">
        <v>995.4</v>
      </c>
      <c r="T33" s="23">
        <v>1029.5</v>
      </c>
      <c r="U33" s="23">
        <v>1078.4000000000001</v>
      </c>
      <c r="V33" s="23">
        <v>1188.5</v>
      </c>
      <c r="W33" s="23">
        <v>1244.4000000000001</v>
      </c>
      <c r="X33" s="23">
        <v>1310.9</v>
      </c>
      <c r="Y33" s="23">
        <v>1379.7</v>
      </c>
      <c r="Z33" s="23">
        <v>1491.3</v>
      </c>
      <c r="AA33" s="23">
        <v>1530.8</v>
      </c>
    </row>
    <row r="34" spans="1:27" ht="12.75" customHeight="1" x14ac:dyDescent="0.2">
      <c r="A34" s="152"/>
      <c r="B34" s="21" t="s">
        <v>77</v>
      </c>
      <c r="C34" s="22" t="s">
        <v>78</v>
      </c>
      <c r="D34" s="23">
        <v>331.6</v>
      </c>
      <c r="E34" s="23">
        <v>354.9</v>
      </c>
      <c r="F34" s="23">
        <v>382.5</v>
      </c>
      <c r="G34" s="23">
        <v>421.5</v>
      </c>
      <c r="H34" s="23">
        <v>442.2</v>
      </c>
      <c r="I34" s="23">
        <v>473.1</v>
      </c>
      <c r="J34" s="23">
        <v>498.2</v>
      </c>
      <c r="K34" s="23">
        <v>516.6</v>
      </c>
      <c r="L34" s="23">
        <v>585</v>
      </c>
      <c r="M34" s="23">
        <v>618.79999999999995</v>
      </c>
      <c r="N34" s="23">
        <v>666.6</v>
      </c>
      <c r="O34" s="23">
        <v>681.6</v>
      </c>
      <c r="P34" s="23">
        <v>686.3</v>
      </c>
      <c r="Q34" s="23">
        <v>663.6</v>
      </c>
      <c r="R34" s="23">
        <v>645.4</v>
      </c>
      <c r="S34" s="23">
        <v>628.5</v>
      </c>
      <c r="T34" s="23">
        <v>654.20000000000005</v>
      </c>
      <c r="U34" s="23">
        <v>693.2</v>
      </c>
      <c r="V34" s="23">
        <v>749.9</v>
      </c>
      <c r="W34" s="23">
        <v>824.8</v>
      </c>
      <c r="X34" s="23">
        <v>945.4</v>
      </c>
      <c r="Y34" s="23">
        <v>1077.4000000000001</v>
      </c>
      <c r="Z34" s="23">
        <v>1134.8</v>
      </c>
      <c r="AA34" s="23">
        <v>1177.5999999999999</v>
      </c>
    </row>
    <row r="35" spans="1:27" ht="12.75" customHeight="1" x14ac:dyDescent="0.2">
      <c r="A35" s="152"/>
      <c r="B35" s="21" t="s">
        <v>79</v>
      </c>
      <c r="C35" s="22" t="s">
        <v>80</v>
      </c>
      <c r="D35" s="23">
        <v>116.80000000000001</v>
      </c>
      <c r="E35" s="23">
        <v>138.69999999999999</v>
      </c>
      <c r="F35" s="23">
        <v>154.39999999999998</v>
      </c>
      <c r="G35" s="23">
        <v>159.5</v>
      </c>
      <c r="H35" s="23">
        <v>162.80000000000001</v>
      </c>
      <c r="I35" s="23">
        <v>179.60000000000002</v>
      </c>
      <c r="J35" s="23">
        <v>195.60000000000002</v>
      </c>
      <c r="K35" s="23">
        <v>217.00000000000006</v>
      </c>
      <c r="L35" s="23">
        <v>232.89999999999998</v>
      </c>
      <c r="M35" s="23">
        <v>246.00000000000006</v>
      </c>
      <c r="N35" s="23">
        <v>294</v>
      </c>
      <c r="O35" s="23">
        <v>346.69999999999993</v>
      </c>
      <c r="P35" s="23">
        <v>345.7</v>
      </c>
      <c r="Q35" s="23">
        <v>269.60000000000002</v>
      </c>
      <c r="R35" s="23">
        <v>260.8</v>
      </c>
      <c r="S35" s="23">
        <v>263</v>
      </c>
      <c r="T35" s="23">
        <v>273.19999999999993</v>
      </c>
      <c r="U35" s="23">
        <v>289.89999999999998</v>
      </c>
      <c r="V35" s="23">
        <v>311.89999999999998</v>
      </c>
      <c r="W35" s="23">
        <v>343</v>
      </c>
      <c r="X35" s="23">
        <v>248.90000000000009</v>
      </c>
      <c r="Y35" s="23">
        <v>311.2</v>
      </c>
      <c r="Z35" s="23">
        <v>382.5</v>
      </c>
      <c r="AA35" s="23">
        <v>405.70000000000005</v>
      </c>
    </row>
    <row r="36" spans="1:27" ht="12.75" customHeight="1" x14ac:dyDescent="0.2">
      <c r="A36" s="152"/>
      <c r="B36" s="21" t="s">
        <v>81</v>
      </c>
      <c r="C36" s="22" t="s">
        <v>82</v>
      </c>
      <c r="D36" s="23">
        <v>195.2</v>
      </c>
      <c r="E36" s="23">
        <v>201.1</v>
      </c>
      <c r="F36" s="23">
        <v>203.7</v>
      </c>
      <c r="G36" s="23">
        <v>217.2</v>
      </c>
      <c r="H36" s="23">
        <v>238.1</v>
      </c>
      <c r="I36" s="23">
        <v>253.5</v>
      </c>
      <c r="J36" s="23">
        <v>271.2</v>
      </c>
      <c r="K36" s="23">
        <v>280.89999999999998</v>
      </c>
      <c r="L36" s="23">
        <v>347</v>
      </c>
      <c r="M36" s="23">
        <v>322.39999999999998</v>
      </c>
      <c r="N36" s="23">
        <v>328.3</v>
      </c>
      <c r="O36" s="23">
        <v>295</v>
      </c>
      <c r="P36" s="23">
        <v>282.60000000000002</v>
      </c>
      <c r="Q36" s="23">
        <v>247.8</v>
      </c>
      <c r="R36" s="23">
        <v>248</v>
      </c>
      <c r="S36" s="23">
        <v>259.7</v>
      </c>
      <c r="T36" s="23">
        <v>274.8</v>
      </c>
      <c r="U36" s="23">
        <v>287.89999999999998</v>
      </c>
      <c r="V36" s="23">
        <v>294.7</v>
      </c>
      <c r="W36" s="23">
        <v>303.89999999999998</v>
      </c>
      <c r="X36" s="23">
        <v>245.7</v>
      </c>
      <c r="Y36" s="23">
        <v>290.60000000000002</v>
      </c>
      <c r="Z36" s="23">
        <v>348.9</v>
      </c>
      <c r="AA36" s="23">
        <v>374.2</v>
      </c>
    </row>
    <row r="37" spans="1:27" ht="12.75" customHeight="1" x14ac:dyDescent="0.2">
      <c r="A37" s="152"/>
      <c r="B37" s="21" t="s">
        <v>83</v>
      </c>
      <c r="C37" s="22" t="s">
        <v>84</v>
      </c>
      <c r="D37" s="23">
        <v>48</v>
      </c>
      <c r="E37" s="23">
        <v>57.7</v>
      </c>
      <c r="F37" s="23">
        <v>65.900000000000006</v>
      </c>
      <c r="G37" s="23">
        <v>75.3</v>
      </c>
      <c r="H37" s="23">
        <v>87.9</v>
      </c>
      <c r="I37" s="23">
        <v>98.1</v>
      </c>
      <c r="J37" s="23">
        <v>127.1</v>
      </c>
      <c r="K37" s="23">
        <v>133.30000000000001</v>
      </c>
      <c r="L37" s="23">
        <v>164.9</v>
      </c>
      <c r="M37" s="23">
        <v>188.8</v>
      </c>
      <c r="N37" s="23">
        <v>210.8</v>
      </c>
      <c r="O37" s="23">
        <v>230.7</v>
      </c>
      <c r="P37" s="23">
        <v>217.7</v>
      </c>
      <c r="Q37" s="23">
        <v>179.7</v>
      </c>
      <c r="R37" s="23">
        <v>168.3</v>
      </c>
      <c r="S37" s="23">
        <v>159.30000000000001</v>
      </c>
      <c r="T37" s="23">
        <v>162.80000000000001</v>
      </c>
      <c r="U37" s="23">
        <v>166.1</v>
      </c>
      <c r="V37" s="23">
        <v>172.3</v>
      </c>
      <c r="W37" s="23">
        <v>189</v>
      </c>
      <c r="X37" s="23">
        <v>183.6</v>
      </c>
      <c r="Y37" s="23">
        <v>198.8</v>
      </c>
      <c r="Z37" s="23">
        <v>207.5</v>
      </c>
      <c r="AA37" s="23">
        <v>210.8</v>
      </c>
    </row>
    <row r="38" spans="1:27" ht="12.75" customHeight="1" x14ac:dyDescent="0.2">
      <c r="A38" s="152"/>
      <c r="B38" s="21" t="s">
        <v>85</v>
      </c>
      <c r="C38" s="22" t="s">
        <v>86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  <c r="Z38" s="23">
        <v>0</v>
      </c>
      <c r="AA38" s="23">
        <v>0</v>
      </c>
    </row>
    <row r="39" spans="1:27" ht="12.75" customHeight="1" x14ac:dyDescent="0.2">
      <c r="A39" s="153"/>
      <c r="B39" s="28" t="s">
        <v>52</v>
      </c>
      <c r="C39" s="29" t="s">
        <v>53</v>
      </c>
      <c r="D39" s="30">
        <f>SUM(D18:D38)</f>
        <v>9844.7000000000007</v>
      </c>
      <c r="E39" s="30">
        <f t="shared" ref="E39:Y39" si="2">SUM(E18:E38)</f>
        <v>10511.100000000002</v>
      </c>
      <c r="F39" s="30">
        <f t="shared" si="2"/>
        <v>10889.399999999998</v>
      </c>
      <c r="G39" s="30">
        <f t="shared" si="2"/>
        <v>11419.7</v>
      </c>
      <c r="H39" s="30">
        <f t="shared" si="2"/>
        <v>12261.900000000001</v>
      </c>
      <c r="I39" s="30">
        <f t="shared" si="2"/>
        <v>13139.299999999997</v>
      </c>
      <c r="J39" s="30">
        <f t="shared" si="2"/>
        <v>14165.600000000004</v>
      </c>
      <c r="K39" s="30">
        <f t="shared" si="2"/>
        <v>15184.6</v>
      </c>
      <c r="L39" s="30">
        <f t="shared" si="2"/>
        <v>16416.500000000004</v>
      </c>
      <c r="M39" s="30">
        <f t="shared" si="2"/>
        <v>16419.499999999996</v>
      </c>
      <c r="N39" s="30">
        <f t="shared" si="2"/>
        <v>17160.5</v>
      </c>
      <c r="O39" s="30">
        <f t="shared" si="2"/>
        <v>17649.099999999999</v>
      </c>
      <c r="P39" s="30">
        <f t="shared" si="2"/>
        <v>17293.900000000005</v>
      </c>
      <c r="Q39" s="30">
        <f t="shared" si="2"/>
        <v>16037.799999999997</v>
      </c>
      <c r="R39" s="30">
        <f t="shared" si="2"/>
        <v>15322.8</v>
      </c>
      <c r="S39" s="30">
        <f t="shared" si="2"/>
        <v>15714.9</v>
      </c>
      <c r="T39" s="30">
        <f t="shared" si="2"/>
        <v>16646.5</v>
      </c>
      <c r="U39" s="30">
        <f t="shared" si="2"/>
        <v>17740.500000000004</v>
      </c>
      <c r="V39" s="30">
        <f t="shared" si="2"/>
        <v>19024.600000000002</v>
      </c>
      <c r="W39" s="30">
        <f t="shared" si="2"/>
        <v>20551.3</v>
      </c>
      <c r="X39" s="30">
        <f t="shared" si="2"/>
        <v>19958.600000000006</v>
      </c>
      <c r="Y39" s="30">
        <f t="shared" si="2"/>
        <v>22796.7</v>
      </c>
      <c r="Z39" s="30">
        <f t="shared" ref="Z39:AA39" si="3">SUM(Z18:Z38)</f>
        <v>26032.399999999998</v>
      </c>
      <c r="AA39" s="30">
        <f t="shared" si="3"/>
        <v>27679.200000000004</v>
      </c>
    </row>
    <row r="40" spans="1:27" ht="12.75" customHeight="1" x14ac:dyDescent="0.2">
      <c r="C40" s="12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 spans="1:27" ht="12.75" customHeight="1" x14ac:dyDescent="0.2">
      <c r="A41" s="151" t="s">
        <v>87</v>
      </c>
      <c r="B41" s="17" t="s">
        <v>88</v>
      </c>
      <c r="C41" s="18" t="s">
        <v>89</v>
      </c>
      <c r="D41" s="19">
        <v>331.8</v>
      </c>
      <c r="E41" s="19">
        <v>350.9</v>
      </c>
      <c r="F41" s="19">
        <v>366.6</v>
      </c>
      <c r="G41" s="19">
        <v>370</v>
      </c>
      <c r="H41" s="19">
        <v>389.1</v>
      </c>
      <c r="I41" s="19">
        <v>394.1</v>
      </c>
      <c r="J41" s="19">
        <v>323.60000000000002</v>
      </c>
      <c r="K41" s="19">
        <v>301.7</v>
      </c>
      <c r="L41" s="19">
        <v>317.39999999999998</v>
      </c>
      <c r="M41" s="19">
        <v>356</v>
      </c>
      <c r="N41" s="19">
        <v>327.8</v>
      </c>
      <c r="O41" s="19">
        <v>304.5</v>
      </c>
      <c r="P41" s="19">
        <v>283.89999999999998</v>
      </c>
      <c r="Q41" s="19">
        <v>257</v>
      </c>
      <c r="R41" s="19">
        <v>253.2</v>
      </c>
      <c r="S41" s="19">
        <v>255</v>
      </c>
      <c r="T41" s="19">
        <v>302.7</v>
      </c>
      <c r="U41" s="19">
        <v>321.2</v>
      </c>
      <c r="V41" s="19">
        <v>363.1</v>
      </c>
      <c r="W41" s="19">
        <v>385.7</v>
      </c>
      <c r="X41" s="19">
        <v>369.9</v>
      </c>
      <c r="Y41" s="19">
        <v>377.6</v>
      </c>
      <c r="Z41" s="19">
        <v>356.8</v>
      </c>
      <c r="AA41" s="19">
        <v>374.26641072343511</v>
      </c>
    </row>
    <row r="42" spans="1:27" ht="12.75" customHeight="1" x14ac:dyDescent="0.2">
      <c r="A42" s="152"/>
      <c r="B42" s="21" t="s">
        <v>90</v>
      </c>
      <c r="C42" s="22" t="s">
        <v>91</v>
      </c>
      <c r="D42" s="23">
        <v>66.3</v>
      </c>
      <c r="E42" s="23">
        <v>59.2</v>
      </c>
      <c r="F42" s="23">
        <v>55.3</v>
      </c>
      <c r="G42" s="23">
        <v>46</v>
      </c>
      <c r="H42" s="23">
        <v>37.5</v>
      </c>
      <c r="I42" s="23">
        <v>36.200000000000003</v>
      </c>
      <c r="J42" s="23">
        <v>35.6</v>
      </c>
      <c r="K42" s="23">
        <v>34.5</v>
      </c>
      <c r="L42" s="23">
        <v>29.3</v>
      </c>
      <c r="M42" s="23">
        <v>25.1</v>
      </c>
      <c r="N42" s="23">
        <v>21.1</v>
      </c>
      <c r="O42" s="23">
        <v>19.899999999999999</v>
      </c>
      <c r="P42" s="23">
        <v>15.3</v>
      </c>
      <c r="Q42" s="23">
        <v>11.4</v>
      </c>
      <c r="R42" s="23">
        <v>11.6</v>
      </c>
      <c r="S42" s="23">
        <v>12.5</v>
      </c>
      <c r="T42" s="23">
        <v>13.5</v>
      </c>
      <c r="U42" s="23">
        <v>15.1</v>
      </c>
      <c r="V42" s="23">
        <v>17.7</v>
      </c>
      <c r="W42" s="23">
        <v>18.7</v>
      </c>
      <c r="X42" s="23">
        <v>15.3</v>
      </c>
      <c r="Y42" s="23">
        <v>16.8</v>
      </c>
      <c r="Z42" s="23">
        <v>19.100000000000001</v>
      </c>
      <c r="AA42" s="23">
        <v>22.10119215589598</v>
      </c>
    </row>
    <row r="43" spans="1:27" ht="12.75" customHeight="1" x14ac:dyDescent="0.2">
      <c r="A43" s="152"/>
      <c r="B43" s="21" t="s">
        <v>92</v>
      </c>
      <c r="C43" s="22" t="s">
        <v>93</v>
      </c>
      <c r="D43" s="23">
        <v>108</v>
      </c>
      <c r="E43" s="23">
        <v>109.8</v>
      </c>
      <c r="F43" s="23">
        <v>114.4</v>
      </c>
      <c r="G43" s="23">
        <v>119</v>
      </c>
      <c r="H43" s="23">
        <v>126.7</v>
      </c>
      <c r="I43" s="23">
        <v>127.2</v>
      </c>
      <c r="J43" s="23">
        <v>132.5</v>
      </c>
      <c r="K43" s="23">
        <v>141.9</v>
      </c>
      <c r="L43" s="23">
        <v>146.4</v>
      </c>
      <c r="M43" s="23">
        <v>130.69999999999999</v>
      </c>
      <c r="N43" s="23">
        <v>126</v>
      </c>
      <c r="O43" s="23">
        <v>115.4</v>
      </c>
      <c r="P43" s="23">
        <v>99.1</v>
      </c>
      <c r="Q43" s="23">
        <v>71.3</v>
      </c>
      <c r="R43" s="23">
        <v>67</v>
      </c>
      <c r="S43" s="23">
        <v>70.099999999999994</v>
      </c>
      <c r="T43" s="23">
        <v>78.599999999999994</v>
      </c>
      <c r="U43" s="23">
        <v>88.7</v>
      </c>
      <c r="V43" s="23">
        <v>98.1</v>
      </c>
      <c r="W43" s="23">
        <v>107.9</v>
      </c>
      <c r="X43" s="23">
        <v>94</v>
      </c>
      <c r="Y43" s="23">
        <v>96.1</v>
      </c>
      <c r="Z43" s="23">
        <v>100.9</v>
      </c>
      <c r="AA43" s="23">
        <v>112.20064306075504</v>
      </c>
    </row>
    <row r="44" spans="1:27" ht="12.75" customHeight="1" x14ac:dyDescent="0.2">
      <c r="A44" s="152"/>
      <c r="B44" s="21" t="s">
        <v>94</v>
      </c>
      <c r="C44" s="22" t="s">
        <v>95</v>
      </c>
      <c r="D44" s="23">
        <v>8.6</v>
      </c>
      <c r="E44" s="23">
        <v>9</v>
      </c>
      <c r="F44" s="23">
        <v>9</v>
      </c>
      <c r="G44" s="23">
        <v>11.5</v>
      </c>
      <c r="H44" s="23">
        <v>4.9000000000000004</v>
      </c>
      <c r="I44" s="23">
        <v>0.5</v>
      </c>
      <c r="J44" s="23">
        <v>0.4</v>
      </c>
      <c r="K44" s="23">
        <v>0.3</v>
      </c>
      <c r="L44" s="23">
        <v>0.4</v>
      </c>
      <c r="M44" s="23">
        <v>0.6</v>
      </c>
      <c r="N44" s="23">
        <v>0.3</v>
      </c>
      <c r="O44" s="23">
        <v>0.3</v>
      </c>
      <c r="P44" s="23">
        <v>0.4</v>
      </c>
      <c r="Q44" s="23">
        <v>0.4</v>
      </c>
      <c r="R44" s="23">
        <v>0.6</v>
      </c>
      <c r="S44" s="23">
        <v>1.2</v>
      </c>
      <c r="T44" s="23">
        <v>1.3</v>
      </c>
      <c r="U44" s="23">
        <v>1.2</v>
      </c>
      <c r="V44" s="23">
        <v>2.4</v>
      </c>
      <c r="W44" s="23">
        <v>2.2999999999999998</v>
      </c>
      <c r="X44" s="23">
        <v>1.8</v>
      </c>
      <c r="Y44" s="23">
        <v>2.1</v>
      </c>
      <c r="Z44" s="23">
        <v>4.9000000000000004</v>
      </c>
      <c r="AA44" s="23">
        <v>6.8566093426786026</v>
      </c>
    </row>
    <row r="45" spans="1:27" ht="12.75" customHeight="1" x14ac:dyDescent="0.2">
      <c r="A45" s="152"/>
      <c r="B45" s="21" t="s">
        <v>96</v>
      </c>
      <c r="C45" s="22" t="s">
        <v>97</v>
      </c>
      <c r="D45" s="23">
        <v>28.9</v>
      </c>
      <c r="E45" s="23">
        <v>26.2</v>
      </c>
      <c r="F45" s="23">
        <v>26</v>
      </c>
      <c r="G45" s="23">
        <v>25.1</v>
      </c>
      <c r="H45" s="23">
        <v>28.3</v>
      </c>
      <c r="I45" s="23">
        <v>23</v>
      </c>
      <c r="J45" s="23">
        <v>25.8</v>
      </c>
      <c r="K45" s="23">
        <v>26.3</v>
      </c>
      <c r="L45" s="23">
        <v>23.7</v>
      </c>
      <c r="M45" s="23">
        <v>23.8</v>
      </c>
      <c r="N45" s="23">
        <v>28.9</v>
      </c>
      <c r="O45" s="23">
        <v>24.4</v>
      </c>
      <c r="P45" s="23">
        <v>20.9</v>
      </c>
      <c r="Q45" s="23">
        <v>18.600000000000001</v>
      </c>
      <c r="R45" s="23">
        <v>17.3</v>
      </c>
      <c r="S45" s="23">
        <v>19.3</v>
      </c>
      <c r="T45" s="23">
        <v>21.6</v>
      </c>
      <c r="U45" s="23">
        <v>23.3</v>
      </c>
      <c r="V45" s="23">
        <v>27.2</v>
      </c>
      <c r="W45" s="23">
        <v>27.8</v>
      </c>
      <c r="X45" s="23">
        <v>29.4</v>
      </c>
      <c r="Y45" s="23">
        <v>28.7</v>
      </c>
      <c r="Z45" s="23">
        <v>29.6</v>
      </c>
      <c r="AA45" s="23">
        <v>32.62247513051404</v>
      </c>
    </row>
    <row r="46" spans="1:27" ht="12.75" customHeight="1" x14ac:dyDescent="0.2">
      <c r="A46" s="152"/>
      <c r="B46" s="21" t="s">
        <v>98</v>
      </c>
      <c r="C46" s="22" t="s">
        <v>99</v>
      </c>
      <c r="D46" s="23">
        <v>28.2</v>
      </c>
      <c r="E46" s="23">
        <v>29.6</v>
      </c>
      <c r="F46" s="23">
        <v>29.9</v>
      </c>
      <c r="G46" s="23">
        <v>29.6</v>
      </c>
      <c r="H46" s="23">
        <v>32.799999999999997</v>
      </c>
      <c r="I46" s="23">
        <v>39.9</v>
      </c>
      <c r="J46" s="23">
        <v>41.6</v>
      </c>
      <c r="K46" s="23">
        <v>40.299999999999997</v>
      </c>
      <c r="L46" s="23">
        <v>44.8</v>
      </c>
      <c r="M46" s="23">
        <v>45.7</v>
      </c>
      <c r="N46" s="23">
        <v>55.3</v>
      </c>
      <c r="O46" s="23">
        <v>57.1</v>
      </c>
      <c r="P46" s="23">
        <v>61.2</v>
      </c>
      <c r="Q46" s="23">
        <v>68</v>
      </c>
      <c r="R46" s="23">
        <v>74</v>
      </c>
      <c r="S46" s="23">
        <v>88.5</v>
      </c>
      <c r="T46" s="23">
        <v>99.5</v>
      </c>
      <c r="U46" s="23">
        <v>125.3</v>
      </c>
      <c r="V46" s="23">
        <v>138.30000000000001</v>
      </c>
      <c r="W46" s="23">
        <v>155.6</v>
      </c>
      <c r="X46" s="23">
        <v>200.3</v>
      </c>
      <c r="Y46" s="23">
        <v>160</v>
      </c>
      <c r="Z46" s="23">
        <v>168.2</v>
      </c>
      <c r="AA46" s="23">
        <v>189.03424545930966</v>
      </c>
    </row>
    <row r="47" spans="1:27" ht="12.75" customHeight="1" x14ac:dyDescent="0.2">
      <c r="A47" s="152"/>
      <c r="B47" s="21" t="s">
        <v>100</v>
      </c>
      <c r="C47" s="22" t="s">
        <v>101</v>
      </c>
      <c r="D47" s="23">
        <v>128.6</v>
      </c>
      <c r="E47" s="23">
        <v>131.69999999999999</v>
      </c>
      <c r="F47" s="23">
        <v>147.80000000000001</v>
      </c>
      <c r="G47" s="23">
        <v>156.5</v>
      </c>
      <c r="H47" s="23">
        <v>177.8</v>
      </c>
      <c r="I47" s="23">
        <v>191.6</v>
      </c>
      <c r="J47" s="23">
        <v>205.2</v>
      </c>
      <c r="K47" s="23">
        <v>211.9</v>
      </c>
      <c r="L47" s="23">
        <v>218.5</v>
      </c>
      <c r="M47" s="23">
        <v>190.3</v>
      </c>
      <c r="N47" s="23">
        <v>177.7</v>
      </c>
      <c r="O47" s="23">
        <v>159.30000000000001</v>
      </c>
      <c r="P47" s="23">
        <v>115.5</v>
      </c>
      <c r="Q47" s="23">
        <v>84.1</v>
      </c>
      <c r="R47" s="23">
        <v>93.8</v>
      </c>
      <c r="S47" s="23">
        <v>107.4</v>
      </c>
      <c r="T47" s="23">
        <v>129.69999999999999</v>
      </c>
      <c r="U47" s="23">
        <v>136</v>
      </c>
      <c r="V47" s="23">
        <v>152.80000000000001</v>
      </c>
      <c r="W47" s="23">
        <v>172.7</v>
      </c>
      <c r="X47" s="23">
        <v>187.8</v>
      </c>
      <c r="Y47" s="23">
        <v>180.8</v>
      </c>
      <c r="Z47" s="23">
        <v>170.9</v>
      </c>
      <c r="AA47" s="23">
        <v>180.31596129413646</v>
      </c>
    </row>
    <row r="48" spans="1:27" ht="12.75" customHeight="1" x14ac:dyDescent="0.2">
      <c r="A48" s="152"/>
      <c r="B48" s="21" t="s">
        <v>102</v>
      </c>
      <c r="C48" s="22" t="s">
        <v>103</v>
      </c>
      <c r="D48" s="23">
        <v>77.8</v>
      </c>
      <c r="E48" s="23">
        <v>77.599999999999994</v>
      </c>
      <c r="F48" s="23">
        <v>81.2</v>
      </c>
      <c r="G48" s="23">
        <v>92.8</v>
      </c>
      <c r="H48" s="23">
        <v>108.4</v>
      </c>
      <c r="I48" s="23">
        <v>115.9</v>
      </c>
      <c r="J48" s="23">
        <v>127.4</v>
      </c>
      <c r="K48" s="23">
        <v>141.30000000000001</v>
      </c>
      <c r="L48" s="23">
        <v>143.1</v>
      </c>
      <c r="M48" s="23">
        <v>124.2</v>
      </c>
      <c r="N48" s="23">
        <v>132.19999999999999</v>
      </c>
      <c r="O48" s="23">
        <v>124.7</v>
      </c>
      <c r="P48" s="23">
        <v>117.9</v>
      </c>
      <c r="Q48" s="23">
        <v>86.6</v>
      </c>
      <c r="R48" s="23">
        <v>80.099999999999994</v>
      </c>
      <c r="S48" s="23">
        <v>73.3</v>
      </c>
      <c r="T48" s="23">
        <v>84.2</v>
      </c>
      <c r="U48" s="23">
        <v>101.8</v>
      </c>
      <c r="V48" s="23">
        <v>131.1</v>
      </c>
      <c r="W48" s="23">
        <v>145.80000000000001</v>
      </c>
      <c r="X48" s="23">
        <v>148</v>
      </c>
      <c r="Y48" s="23">
        <v>165.1</v>
      </c>
      <c r="Z48" s="23">
        <v>163.4</v>
      </c>
      <c r="AA48" s="23">
        <v>176.41066299725551</v>
      </c>
    </row>
    <row r="49" spans="1:27" ht="12.75" customHeight="1" x14ac:dyDescent="0.2">
      <c r="A49" s="152"/>
      <c r="B49" s="21" t="s">
        <v>104</v>
      </c>
      <c r="C49" s="22" t="s">
        <v>105</v>
      </c>
      <c r="D49" s="23">
        <v>3.5</v>
      </c>
      <c r="E49" s="23">
        <v>3.6</v>
      </c>
      <c r="F49" s="23">
        <v>3.6</v>
      </c>
      <c r="G49" s="23">
        <v>4</v>
      </c>
      <c r="H49" s="23">
        <v>4.9000000000000004</v>
      </c>
      <c r="I49" s="23">
        <v>5.7</v>
      </c>
      <c r="J49" s="23">
        <v>10.9</v>
      </c>
      <c r="K49" s="23">
        <v>11.6</v>
      </c>
      <c r="L49" s="23">
        <v>11.9</v>
      </c>
      <c r="M49" s="23">
        <v>9</v>
      </c>
      <c r="N49" s="23">
        <v>4.8</v>
      </c>
      <c r="O49" s="23">
        <v>2.2000000000000002</v>
      </c>
      <c r="P49" s="23">
        <v>2.2000000000000002</v>
      </c>
      <c r="Q49" s="23">
        <v>12.7</v>
      </c>
      <c r="R49" s="23">
        <v>19.899999999999999</v>
      </c>
      <c r="S49" s="23">
        <v>26.9</v>
      </c>
      <c r="T49" s="23">
        <v>8.9</v>
      </c>
      <c r="U49" s="23">
        <v>15.3</v>
      </c>
      <c r="V49" s="23">
        <v>35</v>
      </c>
      <c r="W49" s="23">
        <v>37.799999999999997</v>
      </c>
      <c r="X49" s="23">
        <v>33.9</v>
      </c>
      <c r="Y49" s="23">
        <v>50.3</v>
      </c>
      <c r="Z49" s="23">
        <v>20.9</v>
      </c>
      <c r="AA49" s="23">
        <v>14.620281247380502</v>
      </c>
    </row>
    <row r="50" spans="1:27" ht="12.75" customHeight="1" x14ac:dyDescent="0.2">
      <c r="A50" s="152"/>
      <c r="B50" s="21" t="s">
        <v>106</v>
      </c>
      <c r="C50" s="22" t="s">
        <v>107</v>
      </c>
      <c r="D50" s="23">
        <v>8.3000000000000007</v>
      </c>
      <c r="E50" s="23">
        <v>7</v>
      </c>
      <c r="F50" s="23">
        <v>7.3</v>
      </c>
      <c r="G50" s="23">
        <v>6.3</v>
      </c>
      <c r="H50" s="23">
        <v>6.3</v>
      </c>
      <c r="I50" s="23">
        <v>6.9</v>
      </c>
      <c r="J50" s="23">
        <v>7.9</v>
      </c>
      <c r="K50" s="23">
        <v>10.4</v>
      </c>
      <c r="L50" s="23">
        <v>12.2</v>
      </c>
      <c r="M50" s="23">
        <v>15.1</v>
      </c>
      <c r="N50" s="23">
        <v>17.600000000000001</v>
      </c>
      <c r="O50" s="23">
        <v>15.9</v>
      </c>
      <c r="P50" s="23">
        <v>12.2</v>
      </c>
      <c r="Q50" s="23">
        <v>9.6</v>
      </c>
      <c r="R50" s="23">
        <v>9.1</v>
      </c>
      <c r="S50" s="23">
        <v>8.8000000000000007</v>
      </c>
      <c r="T50" s="23">
        <v>9.3000000000000007</v>
      </c>
      <c r="U50" s="23">
        <v>10.3</v>
      </c>
      <c r="V50" s="23">
        <v>12.5</v>
      </c>
      <c r="W50" s="23">
        <v>13.5</v>
      </c>
      <c r="X50" s="23">
        <v>16.399999999999999</v>
      </c>
      <c r="Y50" s="23">
        <v>16.3</v>
      </c>
      <c r="Z50" s="23">
        <v>15.9</v>
      </c>
      <c r="AA50" s="23">
        <v>17.042063326952153</v>
      </c>
    </row>
    <row r="51" spans="1:27" ht="12.75" customHeight="1" x14ac:dyDescent="0.2">
      <c r="A51" s="152"/>
      <c r="B51" s="21" t="s">
        <v>108</v>
      </c>
      <c r="C51" s="22" t="s">
        <v>109</v>
      </c>
      <c r="D51" s="23">
        <v>18</v>
      </c>
      <c r="E51" s="23">
        <v>19.8</v>
      </c>
      <c r="F51" s="23">
        <v>20.5</v>
      </c>
      <c r="G51" s="23">
        <v>21.2</v>
      </c>
      <c r="H51" s="23">
        <v>22.6</v>
      </c>
      <c r="I51" s="23">
        <v>20.9</v>
      </c>
      <c r="J51" s="23">
        <v>22.4</v>
      </c>
      <c r="K51" s="23">
        <v>24.4</v>
      </c>
      <c r="L51" s="23">
        <v>26.1</v>
      </c>
      <c r="M51" s="23">
        <v>17.3</v>
      </c>
      <c r="N51" s="23">
        <v>22.7</v>
      </c>
      <c r="O51" s="23">
        <v>25.7</v>
      </c>
      <c r="P51" s="23">
        <v>24.3</v>
      </c>
      <c r="Q51" s="23">
        <v>18.100000000000001</v>
      </c>
      <c r="R51" s="23">
        <v>16.8</v>
      </c>
      <c r="S51" s="23">
        <v>18.7</v>
      </c>
      <c r="T51" s="23">
        <v>19.7</v>
      </c>
      <c r="U51" s="23">
        <v>23.8</v>
      </c>
      <c r="V51" s="23">
        <v>24.6</v>
      </c>
      <c r="W51" s="23">
        <v>27.4</v>
      </c>
      <c r="X51" s="23">
        <v>25.3</v>
      </c>
      <c r="Y51" s="23">
        <v>27.6</v>
      </c>
      <c r="Z51" s="23">
        <v>26.2</v>
      </c>
      <c r="AA51" s="23">
        <v>27.702418537065373</v>
      </c>
    </row>
    <row r="52" spans="1:27" ht="12.75" customHeight="1" x14ac:dyDescent="0.2">
      <c r="A52" s="152"/>
      <c r="B52" s="21" t="s">
        <v>110</v>
      </c>
      <c r="C52" s="22" t="s">
        <v>111</v>
      </c>
      <c r="D52" s="23">
        <v>6.7</v>
      </c>
      <c r="E52" s="23">
        <v>7.3</v>
      </c>
      <c r="F52" s="23">
        <v>7.9</v>
      </c>
      <c r="G52" s="23">
        <v>7</v>
      </c>
      <c r="H52" s="23">
        <v>6.6</v>
      </c>
      <c r="I52" s="23">
        <v>6.4</v>
      </c>
      <c r="J52" s="23">
        <v>6.8</v>
      </c>
      <c r="K52" s="23">
        <v>7.8</v>
      </c>
      <c r="L52" s="23">
        <v>7</v>
      </c>
      <c r="M52" s="23">
        <v>7.4</v>
      </c>
      <c r="N52" s="23">
        <v>6.3</v>
      </c>
      <c r="O52" s="23">
        <v>5.3</v>
      </c>
      <c r="P52" s="23">
        <v>3.1</v>
      </c>
      <c r="Q52" s="23">
        <v>2.9</v>
      </c>
      <c r="R52" s="23">
        <v>3.1</v>
      </c>
      <c r="S52" s="23">
        <v>4.4000000000000004</v>
      </c>
      <c r="T52" s="23">
        <v>5.4</v>
      </c>
      <c r="U52" s="23">
        <v>5.7</v>
      </c>
      <c r="V52" s="23">
        <v>6.4</v>
      </c>
      <c r="W52" s="23">
        <v>6.6</v>
      </c>
      <c r="X52" s="23">
        <v>6.6</v>
      </c>
      <c r="Y52" s="23">
        <v>7.9</v>
      </c>
      <c r="Z52" s="23">
        <v>10.199999999999999</v>
      </c>
      <c r="AA52" s="23">
        <v>13.237367272687518</v>
      </c>
    </row>
    <row r="53" spans="1:27" ht="12.75" customHeight="1" x14ac:dyDescent="0.2">
      <c r="A53" s="152"/>
      <c r="B53" s="21" t="s">
        <v>112</v>
      </c>
      <c r="C53" s="22" t="s">
        <v>113</v>
      </c>
      <c r="D53" s="23">
        <v>65.799999999999955</v>
      </c>
      <c r="E53" s="23">
        <v>67</v>
      </c>
      <c r="F53" s="23">
        <v>65</v>
      </c>
      <c r="G53" s="23">
        <v>55.799999999999955</v>
      </c>
      <c r="H53" s="23">
        <v>58.900000000000091</v>
      </c>
      <c r="I53" s="23">
        <v>54.800000000000068</v>
      </c>
      <c r="J53" s="23">
        <v>57.100000000000136</v>
      </c>
      <c r="K53" s="23">
        <v>57.800000000000068</v>
      </c>
      <c r="L53" s="23">
        <v>60.100000000000023</v>
      </c>
      <c r="M53" s="23">
        <v>59.199999999999932</v>
      </c>
      <c r="N53" s="23">
        <v>62.700000000000045</v>
      </c>
      <c r="O53" s="23">
        <v>58.900000000000091</v>
      </c>
      <c r="P53" s="23">
        <v>60.799999999999955</v>
      </c>
      <c r="Q53" s="23">
        <v>60.099999999999909</v>
      </c>
      <c r="R53" s="23">
        <v>66.399999999999977</v>
      </c>
      <c r="S53" s="23">
        <v>78.300000000000068</v>
      </c>
      <c r="T53" s="23">
        <v>94.599999999999909</v>
      </c>
      <c r="U53" s="23">
        <v>126.00000000000023</v>
      </c>
      <c r="V53" s="23">
        <v>146.10000000000002</v>
      </c>
      <c r="W53" s="23">
        <v>163.30000000000018</v>
      </c>
      <c r="X53" s="23">
        <v>131.20000000000005</v>
      </c>
      <c r="Y53" s="23">
        <v>151.60000000000014</v>
      </c>
      <c r="Z53" s="23">
        <v>176.59999999999968</v>
      </c>
      <c r="AA53" s="23">
        <v>196.08966945193401</v>
      </c>
    </row>
    <row r="54" spans="1:27" ht="12.75" customHeight="1" x14ac:dyDescent="0.2">
      <c r="A54" s="153"/>
      <c r="B54" s="28" t="s">
        <v>52</v>
      </c>
      <c r="C54" s="31" t="s">
        <v>58</v>
      </c>
      <c r="D54" s="30">
        <f>SUM(D41:D53)</f>
        <v>880.5</v>
      </c>
      <c r="E54" s="30">
        <f t="shared" ref="E54:Y54" si="4">SUM(E41:E53)</f>
        <v>898.7</v>
      </c>
      <c r="F54" s="30">
        <f t="shared" si="4"/>
        <v>934.5</v>
      </c>
      <c r="G54" s="30">
        <f t="shared" si="4"/>
        <v>944.8</v>
      </c>
      <c r="H54" s="30">
        <f t="shared" si="4"/>
        <v>1004.8</v>
      </c>
      <c r="I54" s="30">
        <f t="shared" si="4"/>
        <v>1023.1</v>
      </c>
      <c r="J54" s="30">
        <f t="shared" si="4"/>
        <v>997.2</v>
      </c>
      <c r="K54" s="30">
        <f t="shared" si="4"/>
        <v>1010.2</v>
      </c>
      <c r="L54" s="30">
        <f t="shared" si="4"/>
        <v>1040.9000000000001</v>
      </c>
      <c r="M54" s="30">
        <f t="shared" si="4"/>
        <v>1004.4</v>
      </c>
      <c r="N54" s="30">
        <f t="shared" si="4"/>
        <v>983.4</v>
      </c>
      <c r="O54" s="30">
        <f t="shared" si="4"/>
        <v>913.6</v>
      </c>
      <c r="P54" s="30">
        <f t="shared" si="4"/>
        <v>816.8</v>
      </c>
      <c r="Q54" s="30">
        <f t="shared" si="4"/>
        <v>700.8</v>
      </c>
      <c r="R54" s="30">
        <f t="shared" si="4"/>
        <v>712.9</v>
      </c>
      <c r="S54" s="30">
        <f t="shared" si="4"/>
        <v>764.4</v>
      </c>
      <c r="T54" s="30">
        <f t="shared" si="4"/>
        <v>869</v>
      </c>
      <c r="U54" s="30">
        <f t="shared" si="4"/>
        <v>993.7</v>
      </c>
      <c r="V54" s="30">
        <f t="shared" si="4"/>
        <v>1155.3</v>
      </c>
      <c r="W54" s="30">
        <f t="shared" si="4"/>
        <v>1265.0999999999999</v>
      </c>
      <c r="X54" s="30">
        <f t="shared" si="4"/>
        <v>1259.9000000000001</v>
      </c>
      <c r="Y54" s="30">
        <f t="shared" si="4"/>
        <v>1280.9000000000001</v>
      </c>
      <c r="Z54" s="30">
        <f t="shared" ref="Z54:AA54" si="5">SUM(Z41:Z53)</f>
        <v>1263.5999999999999</v>
      </c>
      <c r="AA54" s="30">
        <f t="shared" si="5"/>
        <v>1362.5</v>
      </c>
    </row>
    <row r="55" spans="1:27" ht="12.75" customHeight="1" x14ac:dyDescent="0.2">
      <c r="C55" s="12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spans="1:27" ht="12.75" customHeight="1" x14ac:dyDescent="0.2">
      <c r="A56" s="151" t="s">
        <v>114</v>
      </c>
      <c r="B56" s="17" t="s">
        <v>88</v>
      </c>
      <c r="C56" s="18" t="s">
        <v>89</v>
      </c>
      <c r="D56" s="19">
        <v>331.8</v>
      </c>
      <c r="E56" s="19">
        <v>350.9</v>
      </c>
      <c r="F56" s="19">
        <v>366.6</v>
      </c>
      <c r="G56" s="19">
        <v>370</v>
      </c>
      <c r="H56" s="19">
        <v>389.1</v>
      </c>
      <c r="I56" s="19">
        <v>394.1</v>
      </c>
      <c r="J56" s="19">
        <v>323.60000000000002</v>
      </c>
      <c r="K56" s="19">
        <v>301.7</v>
      </c>
      <c r="L56" s="19">
        <v>317.39999999999998</v>
      </c>
      <c r="M56" s="19">
        <v>356</v>
      </c>
      <c r="N56" s="19">
        <v>327.8</v>
      </c>
      <c r="O56" s="19">
        <v>304.5</v>
      </c>
      <c r="P56" s="19">
        <v>283.89999999999998</v>
      </c>
      <c r="Q56" s="19">
        <v>257</v>
      </c>
      <c r="R56" s="19">
        <v>253.2</v>
      </c>
      <c r="S56" s="19">
        <v>255</v>
      </c>
      <c r="T56" s="19">
        <v>302.7</v>
      </c>
      <c r="U56" s="19">
        <v>321.2</v>
      </c>
      <c r="V56" s="19">
        <v>363.1</v>
      </c>
      <c r="W56" s="19">
        <v>385.7</v>
      </c>
      <c r="X56" s="19">
        <v>369.9</v>
      </c>
      <c r="Y56" s="19">
        <v>377.6</v>
      </c>
      <c r="Z56" s="19">
        <v>356.8</v>
      </c>
      <c r="AA56" s="19">
        <v>374.26641072343511</v>
      </c>
    </row>
    <row r="57" spans="1:27" ht="12.75" customHeight="1" x14ac:dyDescent="0.2">
      <c r="A57" s="152"/>
      <c r="B57" s="21" t="s">
        <v>90</v>
      </c>
      <c r="C57" s="22" t="s">
        <v>91</v>
      </c>
      <c r="D57" s="23">
        <v>66.3</v>
      </c>
      <c r="E57" s="23">
        <v>59.2</v>
      </c>
      <c r="F57" s="23">
        <v>55.3</v>
      </c>
      <c r="G57" s="23">
        <v>46</v>
      </c>
      <c r="H57" s="23">
        <v>37.5</v>
      </c>
      <c r="I57" s="23">
        <v>36.200000000000003</v>
      </c>
      <c r="J57" s="23">
        <v>35.6</v>
      </c>
      <c r="K57" s="23">
        <v>34.5</v>
      </c>
      <c r="L57" s="23">
        <v>29.3</v>
      </c>
      <c r="M57" s="23">
        <v>25.1</v>
      </c>
      <c r="N57" s="23">
        <v>21.1</v>
      </c>
      <c r="O57" s="23">
        <v>19.899999999999999</v>
      </c>
      <c r="P57" s="23">
        <v>15.3</v>
      </c>
      <c r="Q57" s="23">
        <v>11.4</v>
      </c>
      <c r="R57" s="23">
        <v>11.6</v>
      </c>
      <c r="S57" s="23">
        <v>12.5</v>
      </c>
      <c r="T57" s="23">
        <v>13.5</v>
      </c>
      <c r="U57" s="23">
        <v>15.1</v>
      </c>
      <c r="V57" s="23">
        <v>17.7</v>
      </c>
      <c r="W57" s="23">
        <v>18.7</v>
      </c>
      <c r="X57" s="23">
        <v>15.3</v>
      </c>
      <c r="Y57" s="23">
        <v>16.8</v>
      </c>
      <c r="Z57" s="23">
        <v>19.100000000000001</v>
      </c>
      <c r="AA57" s="23">
        <v>22.10119215589598</v>
      </c>
    </row>
    <row r="58" spans="1:27" ht="12.75" customHeight="1" x14ac:dyDescent="0.2">
      <c r="A58" s="152"/>
      <c r="B58" s="21" t="s">
        <v>115</v>
      </c>
      <c r="C58" s="22" t="s">
        <v>116</v>
      </c>
      <c r="D58" s="23">
        <v>54.8</v>
      </c>
      <c r="E58" s="23">
        <v>52.7</v>
      </c>
      <c r="F58" s="23">
        <v>55.3</v>
      </c>
      <c r="G58" s="23">
        <v>61.6</v>
      </c>
      <c r="H58" s="23">
        <v>67.400000000000006</v>
      </c>
      <c r="I58" s="23">
        <v>68.900000000000006</v>
      </c>
      <c r="J58" s="23">
        <v>72.8</v>
      </c>
      <c r="K58" s="23">
        <v>79.099999999999994</v>
      </c>
      <c r="L58" s="23">
        <v>79</v>
      </c>
      <c r="M58" s="23">
        <v>71.8</v>
      </c>
      <c r="N58" s="23">
        <v>66.7</v>
      </c>
      <c r="O58" s="23">
        <v>59.4</v>
      </c>
      <c r="P58" s="23">
        <v>51.3</v>
      </c>
      <c r="Q58" s="23">
        <v>31.4</v>
      </c>
      <c r="R58" s="23">
        <v>28</v>
      </c>
      <c r="S58" s="23">
        <v>33.299999999999997</v>
      </c>
      <c r="T58" s="23">
        <v>36.9</v>
      </c>
      <c r="U58" s="23">
        <v>45.5</v>
      </c>
      <c r="V58" s="23">
        <v>54.9</v>
      </c>
      <c r="W58" s="23">
        <v>62.2</v>
      </c>
      <c r="X58" s="23">
        <v>56.1</v>
      </c>
      <c r="Y58" s="23">
        <v>58.3</v>
      </c>
      <c r="Z58" s="23">
        <v>61.5</v>
      </c>
      <c r="AA58" s="23">
        <v>68.547737155314664</v>
      </c>
    </row>
    <row r="59" spans="1:27" ht="12.75" customHeight="1" x14ac:dyDescent="0.2">
      <c r="A59" s="152"/>
      <c r="B59" s="21" t="s">
        <v>117</v>
      </c>
      <c r="C59" s="22" t="s">
        <v>118</v>
      </c>
      <c r="D59" s="23">
        <v>0</v>
      </c>
      <c r="E59" s="23">
        <v>0</v>
      </c>
      <c r="F59" s="23">
        <v>0</v>
      </c>
      <c r="G59" s="23">
        <v>0</v>
      </c>
      <c r="H59" s="23">
        <v>0</v>
      </c>
      <c r="I59" s="23">
        <v>0</v>
      </c>
      <c r="J59" s="23">
        <v>0</v>
      </c>
      <c r="K59" s="23">
        <v>0</v>
      </c>
      <c r="L59" s="23">
        <v>0</v>
      </c>
      <c r="M59" s="23">
        <v>0</v>
      </c>
      <c r="N59" s="23">
        <v>0</v>
      </c>
      <c r="O59" s="23">
        <v>0</v>
      </c>
      <c r="P59" s="23">
        <v>0</v>
      </c>
      <c r="Q59" s="23">
        <v>0</v>
      </c>
      <c r="R59" s="23">
        <v>0</v>
      </c>
      <c r="S59" s="23">
        <v>0</v>
      </c>
      <c r="T59" s="23">
        <v>0</v>
      </c>
      <c r="U59" s="23">
        <v>0</v>
      </c>
      <c r="V59" s="23">
        <v>0</v>
      </c>
      <c r="W59" s="23">
        <v>0</v>
      </c>
      <c r="X59" s="23">
        <v>0</v>
      </c>
      <c r="Y59" s="23">
        <v>0</v>
      </c>
      <c r="Z59" s="23">
        <v>0</v>
      </c>
      <c r="AA59" s="23">
        <v>0</v>
      </c>
    </row>
    <row r="60" spans="1:27" ht="12.75" customHeight="1" x14ac:dyDescent="0.2">
      <c r="A60" s="152"/>
      <c r="B60" s="21" t="s">
        <v>119</v>
      </c>
      <c r="C60" s="22" t="s">
        <v>7</v>
      </c>
      <c r="D60" s="23">
        <v>53.2</v>
      </c>
      <c r="E60" s="23">
        <v>57.099999999999994</v>
      </c>
      <c r="F60" s="23">
        <v>59.100000000000009</v>
      </c>
      <c r="G60" s="23">
        <v>57.4</v>
      </c>
      <c r="H60" s="23">
        <v>59.3</v>
      </c>
      <c r="I60" s="23">
        <v>58.3</v>
      </c>
      <c r="J60" s="23">
        <v>59.7</v>
      </c>
      <c r="K60" s="23">
        <v>62.800000000000011</v>
      </c>
      <c r="L60" s="23">
        <v>67.400000000000006</v>
      </c>
      <c r="M60" s="23">
        <v>58.899999999999991</v>
      </c>
      <c r="N60" s="23">
        <v>59.3</v>
      </c>
      <c r="O60" s="23">
        <v>56.000000000000007</v>
      </c>
      <c r="P60" s="23">
        <v>47.8</v>
      </c>
      <c r="Q60" s="23">
        <v>39.9</v>
      </c>
      <c r="R60" s="23">
        <v>39</v>
      </c>
      <c r="S60" s="23">
        <v>36.799999999999997</v>
      </c>
      <c r="T60" s="23">
        <v>41.699999999999996</v>
      </c>
      <c r="U60" s="23">
        <v>43.2</v>
      </c>
      <c r="V60" s="23">
        <v>43.199999999999996</v>
      </c>
      <c r="W60" s="23">
        <v>45.7</v>
      </c>
      <c r="X60" s="23">
        <v>37.9</v>
      </c>
      <c r="Y60" s="23">
        <v>37.799999999999997</v>
      </c>
      <c r="Z60" s="23">
        <v>39.400000000000006</v>
      </c>
      <c r="AA60" s="23">
        <v>43.652905905440377</v>
      </c>
    </row>
    <row r="61" spans="1:27" ht="12.75" customHeight="1" x14ac:dyDescent="0.2">
      <c r="A61" s="152"/>
      <c r="B61" s="21" t="s">
        <v>94</v>
      </c>
      <c r="C61" s="22" t="s">
        <v>95</v>
      </c>
      <c r="D61" s="23">
        <v>8.6</v>
      </c>
      <c r="E61" s="23">
        <v>9</v>
      </c>
      <c r="F61" s="23">
        <v>9</v>
      </c>
      <c r="G61" s="23">
        <v>11.5</v>
      </c>
      <c r="H61" s="23">
        <v>4.9000000000000004</v>
      </c>
      <c r="I61" s="23">
        <v>0.5</v>
      </c>
      <c r="J61" s="23">
        <v>0.4</v>
      </c>
      <c r="K61" s="23">
        <v>0.3</v>
      </c>
      <c r="L61" s="23">
        <v>0.4</v>
      </c>
      <c r="M61" s="23">
        <v>0.6</v>
      </c>
      <c r="N61" s="23">
        <v>0.3</v>
      </c>
      <c r="O61" s="23">
        <v>0.3</v>
      </c>
      <c r="P61" s="23">
        <v>0.4</v>
      </c>
      <c r="Q61" s="23">
        <v>0.4</v>
      </c>
      <c r="R61" s="23">
        <v>0.6</v>
      </c>
      <c r="S61" s="23">
        <v>1.2</v>
      </c>
      <c r="T61" s="23">
        <v>1.3</v>
      </c>
      <c r="U61" s="23">
        <v>1.2</v>
      </c>
      <c r="V61" s="23">
        <v>2.4</v>
      </c>
      <c r="W61" s="23">
        <v>2.2999999999999998</v>
      </c>
      <c r="X61" s="23">
        <v>1.8</v>
      </c>
      <c r="Y61" s="23">
        <v>2.1</v>
      </c>
      <c r="Z61" s="23">
        <v>4.9000000000000004</v>
      </c>
      <c r="AA61" s="23">
        <v>6.8566093426786026</v>
      </c>
    </row>
    <row r="62" spans="1:27" ht="12.75" customHeight="1" x14ac:dyDescent="0.2">
      <c r="A62" s="152"/>
      <c r="B62" s="21" t="s">
        <v>96</v>
      </c>
      <c r="C62" s="22" t="s">
        <v>97</v>
      </c>
      <c r="D62" s="23">
        <v>28.9</v>
      </c>
      <c r="E62" s="23">
        <v>26.2</v>
      </c>
      <c r="F62" s="23">
        <v>26</v>
      </c>
      <c r="G62" s="23">
        <v>25.1</v>
      </c>
      <c r="H62" s="23">
        <v>28.3</v>
      </c>
      <c r="I62" s="23">
        <v>23</v>
      </c>
      <c r="J62" s="23">
        <v>25.8</v>
      </c>
      <c r="K62" s="23">
        <v>26.3</v>
      </c>
      <c r="L62" s="23">
        <v>23.7</v>
      </c>
      <c r="M62" s="23">
        <v>23.8</v>
      </c>
      <c r="N62" s="23">
        <v>28.9</v>
      </c>
      <c r="O62" s="23">
        <v>24.4</v>
      </c>
      <c r="P62" s="23">
        <v>20.9</v>
      </c>
      <c r="Q62" s="23">
        <v>18.600000000000001</v>
      </c>
      <c r="R62" s="23">
        <v>17.3</v>
      </c>
      <c r="S62" s="23">
        <v>19.3</v>
      </c>
      <c r="T62" s="23">
        <v>21.6</v>
      </c>
      <c r="U62" s="23">
        <v>23.3</v>
      </c>
      <c r="V62" s="23">
        <v>27.2</v>
      </c>
      <c r="W62" s="23">
        <v>27.8</v>
      </c>
      <c r="X62" s="23">
        <v>29.4</v>
      </c>
      <c r="Y62" s="23">
        <v>28.7</v>
      </c>
      <c r="Z62" s="23">
        <v>29.6</v>
      </c>
      <c r="AA62" s="23">
        <v>32.62247513051404</v>
      </c>
    </row>
    <row r="63" spans="1:27" ht="12.75" customHeight="1" x14ac:dyDescent="0.2">
      <c r="A63" s="152"/>
      <c r="B63" s="21" t="s">
        <v>98</v>
      </c>
      <c r="C63" s="22" t="s">
        <v>99</v>
      </c>
      <c r="D63" s="23">
        <v>28.2</v>
      </c>
      <c r="E63" s="23">
        <v>29.6</v>
      </c>
      <c r="F63" s="23">
        <v>29.9</v>
      </c>
      <c r="G63" s="23">
        <v>29.6</v>
      </c>
      <c r="H63" s="23">
        <v>32.799999999999997</v>
      </c>
      <c r="I63" s="23">
        <v>39.9</v>
      </c>
      <c r="J63" s="23">
        <v>41.6</v>
      </c>
      <c r="K63" s="23">
        <v>40.299999999999997</v>
      </c>
      <c r="L63" s="23">
        <v>44.8</v>
      </c>
      <c r="M63" s="23">
        <v>45.7</v>
      </c>
      <c r="N63" s="23">
        <v>55.3</v>
      </c>
      <c r="O63" s="23">
        <v>57.1</v>
      </c>
      <c r="P63" s="23">
        <v>61.2</v>
      </c>
      <c r="Q63" s="23">
        <v>68</v>
      </c>
      <c r="R63" s="23">
        <v>74</v>
      </c>
      <c r="S63" s="23">
        <v>88.5</v>
      </c>
      <c r="T63" s="23">
        <v>99.5</v>
      </c>
      <c r="U63" s="23">
        <v>125.3</v>
      </c>
      <c r="V63" s="23">
        <v>138.30000000000001</v>
      </c>
      <c r="W63" s="23">
        <v>155.6</v>
      </c>
      <c r="X63" s="23">
        <v>200.3</v>
      </c>
      <c r="Y63" s="23">
        <v>160</v>
      </c>
      <c r="Z63" s="23">
        <v>168.2</v>
      </c>
      <c r="AA63" s="23">
        <v>189.03424545930966</v>
      </c>
    </row>
    <row r="64" spans="1:27" ht="12.75" customHeight="1" x14ac:dyDescent="0.2">
      <c r="A64" s="152"/>
      <c r="B64" s="21" t="s">
        <v>120</v>
      </c>
      <c r="C64" s="22" t="s">
        <v>121</v>
      </c>
      <c r="D64" s="23">
        <v>25.1</v>
      </c>
      <c r="E64" s="23">
        <v>24.7</v>
      </c>
      <c r="F64" s="23">
        <v>26.8</v>
      </c>
      <c r="G64" s="23">
        <v>27.2</v>
      </c>
      <c r="H64" s="23">
        <v>29</v>
      </c>
      <c r="I64" s="23">
        <v>29.9</v>
      </c>
      <c r="J64" s="23">
        <v>30.8</v>
      </c>
      <c r="K64" s="23">
        <v>32.4</v>
      </c>
      <c r="L64" s="23">
        <v>36.799999999999997</v>
      </c>
      <c r="M64" s="23">
        <v>36.700000000000003</v>
      </c>
      <c r="N64" s="23">
        <v>37.5</v>
      </c>
      <c r="O64" s="23">
        <v>29.9</v>
      </c>
      <c r="P64" s="23">
        <v>22.8</v>
      </c>
      <c r="Q64" s="23">
        <v>21.7</v>
      </c>
      <c r="R64" s="23">
        <v>21.8</v>
      </c>
      <c r="S64" s="23">
        <v>21.7</v>
      </c>
      <c r="T64" s="23">
        <v>26.4</v>
      </c>
      <c r="U64" s="23">
        <v>26.9</v>
      </c>
      <c r="V64" s="23">
        <v>29.6</v>
      </c>
      <c r="W64" s="23">
        <v>32.1</v>
      </c>
      <c r="X64" s="23">
        <v>36.6</v>
      </c>
      <c r="Y64" s="23">
        <v>37.299999999999997</v>
      </c>
      <c r="Z64" s="23">
        <v>34.200000000000003</v>
      </c>
      <c r="AA64" s="23">
        <v>35.864161460326031</v>
      </c>
    </row>
    <row r="65" spans="1:27" ht="12.75" customHeight="1" x14ac:dyDescent="0.2">
      <c r="A65" s="152"/>
      <c r="B65" s="21" t="s">
        <v>122</v>
      </c>
      <c r="C65" s="22" t="s">
        <v>123</v>
      </c>
      <c r="D65" s="23">
        <v>103.5</v>
      </c>
      <c r="E65" s="23">
        <v>106.99999999999999</v>
      </c>
      <c r="F65" s="23">
        <v>121.00000000000001</v>
      </c>
      <c r="G65" s="23">
        <v>129.30000000000001</v>
      </c>
      <c r="H65" s="23">
        <v>148.80000000000001</v>
      </c>
      <c r="I65" s="23">
        <v>161.69999999999999</v>
      </c>
      <c r="J65" s="23">
        <v>174.39999999999998</v>
      </c>
      <c r="K65" s="23">
        <v>179.5</v>
      </c>
      <c r="L65" s="23">
        <v>181.7</v>
      </c>
      <c r="M65" s="23">
        <v>153.60000000000002</v>
      </c>
      <c r="N65" s="23">
        <v>140.19999999999999</v>
      </c>
      <c r="O65" s="23">
        <v>129.4</v>
      </c>
      <c r="P65" s="23">
        <v>92.7</v>
      </c>
      <c r="Q65" s="23">
        <v>62.399999999999991</v>
      </c>
      <c r="R65" s="23">
        <v>72</v>
      </c>
      <c r="S65" s="23">
        <v>85.7</v>
      </c>
      <c r="T65" s="23">
        <v>103.29999999999998</v>
      </c>
      <c r="U65" s="23">
        <v>109.1</v>
      </c>
      <c r="V65" s="23">
        <v>123.20000000000002</v>
      </c>
      <c r="W65" s="23">
        <v>140.6</v>
      </c>
      <c r="X65" s="23">
        <v>151.20000000000002</v>
      </c>
      <c r="Y65" s="23">
        <v>143.5</v>
      </c>
      <c r="Z65" s="23">
        <v>136.69999999999999</v>
      </c>
      <c r="AA65" s="23">
        <v>144.45179983381041</v>
      </c>
    </row>
    <row r="66" spans="1:27" ht="12.75" customHeight="1" x14ac:dyDescent="0.2">
      <c r="A66" s="152"/>
      <c r="B66" s="21" t="s">
        <v>124</v>
      </c>
      <c r="C66" s="22" t="s">
        <v>125</v>
      </c>
      <c r="D66" s="23">
        <v>12.7</v>
      </c>
      <c r="E66" s="23">
        <v>13.2</v>
      </c>
      <c r="F66" s="23">
        <v>12.1</v>
      </c>
      <c r="G66" s="23">
        <v>14.8</v>
      </c>
      <c r="H66" s="23">
        <v>18.100000000000001</v>
      </c>
      <c r="I66" s="23">
        <v>19</v>
      </c>
      <c r="J66" s="23">
        <v>23</v>
      </c>
      <c r="K66" s="23">
        <v>30.7</v>
      </c>
      <c r="L66" s="23">
        <v>23.9</v>
      </c>
      <c r="M66" s="23">
        <v>20.5</v>
      </c>
      <c r="N66" s="23">
        <v>25.9</v>
      </c>
      <c r="O66" s="23">
        <v>28.4</v>
      </c>
      <c r="P66" s="23">
        <v>28.4</v>
      </c>
      <c r="Q66" s="23">
        <v>22</v>
      </c>
      <c r="R66" s="23">
        <v>16</v>
      </c>
      <c r="S66" s="23">
        <v>12.5</v>
      </c>
      <c r="T66" s="23">
        <v>15.9</v>
      </c>
      <c r="U66" s="23">
        <v>17.3</v>
      </c>
      <c r="V66" s="23">
        <v>22.8</v>
      </c>
      <c r="W66" s="23">
        <v>23.7</v>
      </c>
      <c r="X66" s="23">
        <v>26.5</v>
      </c>
      <c r="Y66" s="23">
        <v>36.299999999999997</v>
      </c>
      <c r="Z66" s="23">
        <v>27.7</v>
      </c>
      <c r="AA66" s="23">
        <v>27.287148275513076</v>
      </c>
    </row>
    <row r="67" spans="1:27" ht="12.75" customHeight="1" x14ac:dyDescent="0.2">
      <c r="A67" s="152"/>
      <c r="B67" s="21" t="s">
        <v>126</v>
      </c>
      <c r="C67" s="22" t="s">
        <v>127</v>
      </c>
      <c r="D67" s="23">
        <v>65.099999999999994</v>
      </c>
      <c r="E67" s="23">
        <v>64.399999999999991</v>
      </c>
      <c r="F67" s="23">
        <v>69.100000000000009</v>
      </c>
      <c r="G67" s="23">
        <v>78</v>
      </c>
      <c r="H67" s="23">
        <v>90.300000000000011</v>
      </c>
      <c r="I67" s="23">
        <v>96.9</v>
      </c>
      <c r="J67" s="23">
        <v>104.4</v>
      </c>
      <c r="K67" s="23">
        <v>110.60000000000001</v>
      </c>
      <c r="L67" s="23">
        <v>119.19999999999999</v>
      </c>
      <c r="M67" s="23">
        <v>103.7</v>
      </c>
      <c r="N67" s="23">
        <v>106.29999999999998</v>
      </c>
      <c r="O67" s="23">
        <v>96.300000000000011</v>
      </c>
      <c r="P67" s="23">
        <v>89.5</v>
      </c>
      <c r="Q67" s="23">
        <v>64.599999999999994</v>
      </c>
      <c r="R67" s="23">
        <v>64.099999999999994</v>
      </c>
      <c r="S67" s="23">
        <v>60.8</v>
      </c>
      <c r="T67" s="23">
        <v>68.3</v>
      </c>
      <c r="U67" s="23">
        <v>84.5</v>
      </c>
      <c r="V67" s="23">
        <v>108.3</v>
      </c>
      <c r="W67" s="23">
        <v>122.10000000000001</v>
      </c>
      <c r="X67" s="23">
        <v>121.5</v>
      </c>
      <c r="Y67" s="23">
        <v>128.80000000000001</v>
      </c>
      <c r="Z67" s="23">
        <v>135.70000000000002</v>
      </c>
      <c r="AA67" s="23">
        <v>149.12351472174242</v>
      </c>
    </row>
    <row r="68" spans="1:27" ht="12.75" customHeight="1" x14ac:dyDescent="0.2">
      <c r="A68" s="152"/>
      <c r="B68" s="21" t="s">
        <v>104</v>
      </c>
      <c r="C68" s="22" t="s">
        <v>105</v>
      </c>
      <c r="D68" s="23">
        <v>3.5</v>
      </c>
      <c r="E68" s="23">
        <v>3.6</v>
      </c>
      <c r="F68" s="23">
        <v>3.6</v>
      </c>
      <c r="G68" s="23">
        <v>4</v>
      </c>
      <c r="H68" s="23">
        <v>4.9000000000000004</v>
      </c>
      <c r="I68" s="23">
        <v>5.7</v>
      </c>
      <c r="J68" s="23">
        <v>10.9</v>
      </c>
      <c r="K68" s="23">
        <v>11.6</v>
      </c>
      <c r="L68" s="23">
        <v>11.9</v>
      </c>
      <c r="M68" s="23">
        <v>9</v>
      </c>
      <c r="N68" s="23">
        <v>4.8</v>
      </c>
      <c r="O68" s="23">
        <v>2.2000000000000002</v>
      </c>
      <c r="P68" s="23">
        <v>2.2000000000000002</v>
      </c>
      <c r="Q68" s="23">
        <v>12.7</v>
      </c>
      <c r="R68" s="23">
        <v>19.899999999999999</v>
      </c>
      <c r="S68" s="23">
        <v>26.9</v>
      </c>
      <c r="T68" s="23">
        <v>8.9</v>
      </c>
      <c r="U68" s="23">
        <v>15.3</v>
      </c>
      <c r="V68" s="23">
        <v>35</v>
      </c>
      <c r="W68" s="23">
        <v>37.799999999999997</v>
      </c>
      <c r="X68" s="23">
        <v>33.9</v>
      </c>
      <c r="Y68" s="23">
        <v>50.3</v>
      </c>
      <c r="Z68" s="23">
        <v>20.9</v>
      </c>
      <c r="AA68" s="23">
        <v>14.620281247380502</v>
      </c>
    </row>
    <row r="69" spans="1:27" ht="12.75" customHeight="1" x14ac:dyDescent="0.2">
      <c r="A69" s="152"/>
      <c r="B69" s="21" t="s">
        <v>106</v>
      </c>
      <c r="C69" s="22" t="s">
        <v>107</v>
      </c>
      <c r="D69" s="23">
        <v>8.3000000000000007</v>
      </c>
      <c r="E69" s="23">
        <v>7</v>
      </c>
      <c r="F69" s="23">
        <v>7.3</v>
      </c>
      <c r="G69" s="23">
        <v>6.3</v>
      </c>
      <c r="H69" s="23">
        <v>6.3</v>
      </c>
      <c r="I69" s="23">
        <v>6.9</v>
      </c>
      <c r="J69" s="23">
        <v>7.9</v>
      </c>
      <c r="K69" s="23">
        <v>10.4</v>
      </c>
      <c r="L69" s="23">
        <v>12.2</v>
      </c>
      <c r="M69" s="23">
        <v>15.1</v>
      </c>
      <c r="N69" s="23">
        <v>17.600000000000001</v>
      </c>
      <c r="O69" s="23">
        <v>15.9</v>
      </c>
      <c r="P69" s="23">
        <v>12.2</v>
      </c>
      <c r="Q69" s="23">
        <v>9.6</v>
      </c>
      <c r="R69" s="23">
        <v>9.1</v>
      </c>
      <c r="S69" s="23">
        <v>8.8000000000000007</v>
      </c>
      <c r="T69" s="23">
        <v>9.3000000000000007</v>
      </c>
      <c r="U69" s="23">
        <v>10.3</v>
      </c>
      <c r="V69" s="23">
        <v>12.5</v>
      </c>
      <c r="W69" s="23">
        <v>13.5</v>
      </c>
      <c r="X69" s="23">
        <v>16.399999999999999</v>
      </c>
      <c r="Y69" s="23">
        <v>16.3</v>
      </c>
      <c r="Z69" s="23">
        <v>15.9</v>
      </c>
      <c r="AA69" s="23">
        <v>17.042063326952153</v>
      </c>
    </row>
    <row r="70" spans="1:27" ht="12.75" customHeight="1" x14ac:dyDescent="0.2">
      <c r="A70" s="152"/>
      <c r="B70" s="21" t="s">
        <v>108</v>
      </c>
      <c r="C70" s="22" t="s">
        <v>109</v>
      </c>
      <c r="D70" s="23">
        <v>18</v>
      </c>
      <c r="E70" s="23">
        <v>19.8</v>
      </c>
      <c r="F70" s="23">
        <v>20.5</v>
      </c>
      <c r="G70" s="23">
        <v>21.2</v>
      </c>
      <c r="H70" s="23">
        <v>22.6</v>
      </c>
      <c r="I70" s="23">
        <v>20.9</v>
      </c>
      <c r="J70" s="23">
        <v>22.4</v>
      </c>
      <c r="K70" s="23">
        <v>24.4</v>
      </c>
      <c r="L70" s="23">
        <v>26.1</v>
      </c>
      <c r="M70" s="23">
        <v>17.3</v>
      </c>
      <c r="N70" s="23">
        <v>22.7</v>
      </c>
      <c r="O70" s="23">
        <v>25.7</v>
      </c>
      <c r="P70" s="23">
        <v>24.3</v>
      </c>
      <c r="Q70" s="23">
        <v>18.100000000000001</v>
      </c>
      <c r="R70" s="23">
        <v>16.8</v>
      </c>
      <c r="S70" s="23">
        <v>18.7</v>
      </c>
      <c r="T70" s="23">
        <v>19.7</v>
      </c>
      <c r="U70" s="23">
        <v>23.8</v>
      </c>
      <c r="V70" s="23">
        <v>24.6</v>
      </c>
      <c r="W70" s="23">
        <v>27.4</v>
      </c>
      <c r="X70" s="23">
        <v>25.3</v>
      </c>
      <c r="Y70" s="23">
        <v>27.6</v>
      </c>
      <c r="Z70" s="23">
        <v>26.2</v>
      </c>
      <c r="AA70" s="23">
        <v>27.702418537065373</v>
      </c>
    </row>
    <row r="71" spans="1:27" ht="12.75" customHeight="1" x14ac:dyDescent="0.2">
      <c r="A71" s="152"/>
      <c r="B71" s="21" t="s">
        <v>128</v>
      </c>
      <c r="C71" s="22" t="s">
        <v>129</v>
      </c>
      <c r="D71" s="23">
        <v>5.8</v>
      </c>
      <c r="E71" s="23">
        <v>6.2</v>
      </c>
      <c r="F71" s="23">
        <v>6.6</v>
      </c>
      <c r="G71" s="23">
        <v>5.8</v>
      </c>
      <c r="H71" s="23">
        <v>5.2</v>
      </c>
      <c r="I71" s="23">
        <v>5</v>
      </c>
      <c r="J71" s="23">
        <v>5.4</v>
      </c>
      <c r="K71" s="23">
        <v>6.3</v>
      </c>
      <c r="L71" s="23">
        <v>6.2</v>
      </c>
      <c r="M71" s="23">
        <v>6.9</v>
      </c>
      <c r="N71" s="23">
        <v>5.3</v>
      </c>
      <c r="O71" s="23">
        <v>4.5999999999999996</v>
      </c>
      <c r="P71" s="23">
        <v>2.2999999999999998</v>
      </c>
      <c r="Q71" s="23">
        <v>2.2999999999999998</v>
      </c>
      <c r="R71" s="23">
        <v>2.2999999999999998</v>
      </c>
      <c r="S71" s="23">
        <v>3.6</v>
      </c>
      <c r="T71" s="23">
        <v>4.4000000000000004</v>
      </c>
      <c r="U71" s="23">
        <v>4.0999999999999996</v>
      </c>
      <c r="V71" s="23">
        <v>4.8</v>
      </c>
      <c r="W71" s="23">
        <v>4.8</v>
      </c>
      <c r="X71" s="23">
        <v>4.7</v>
      </c>
      <c r="Y71" s="23">
        <v>5.0999999999999996</v>
      </c>
      <c r="Z71" s="23">
        <v>5.3</v>
      </c>
      <c r="AA71" s="23">
        <v>6.5716308775965349</v>
      </c>
    </row>
    <row r="72" spans="1:27" ht="12.75" customHeight="1" x14ac:dyDescent="0.2">
      <c r="A72" s="152"/>
      <c r="B72" s="21" t="s">
        <v>130</v>
      </c>
      <c r="C72" s="22" t="s">
        <v>131</v>
      </c>
      <c r="D72" s="23">
        <v>0.90000000000000036</v>
      </c>
      <c r="E72" s="23">
        <v>1.0999999999999996</v>
      </c>
      <c r="F72" s="23">
        <v>1.3000000000000007</v>
      </c>
      <c r="G72" s="23">
        <v>1.2000000000000002</v>
      </c>
      <c r="H72" s="23">
        <v>1.3999999999999995</v>
      </c>
      <c r="I72" s="23">
        <v>1.4000000000000004</v>
      </c>
      <c r="J72" s="23">
        <v>1.3999999999999995</v>
      </c>
      <c r="K72" s="23">
        <v>1.5</v>
      </c>
      <c r="L72" s="23">
        <v>0.79999999999999982</v>
      </c>
      <c r="M72" s="23">
        <v>0.5</v>
      </c>
      <c r="N72" s="23">
        <v>1</v>
      </c>
      <c r="O72" s="23">
        <v>0.70000000000000018</v>
      </c>
      <c r="P72" s="23">
        <v>0.80000000000000027</v>
      </c>
      <c r="Q72" s="23">
        <v>0.60000000000000009</v>
      </c>
      <c r="R72" s="23">
        <v>0.80000000000000027</v>
      </c>
      <c r="S72" s="23">
        <v>0.80000000000000027</v>
      </c>
      <c r="T72" s="23">
        <v>1</v>
      </c>
      <c r="U72" s="23">
        <v>1.6000000000000005</v>
      </c>
      <c r="V72" s="23">
        <v>1.6000000000000005</v>
      </c>
      <c r="W72" s="23">
        <v>1.7999999999999998</v>
      </c>
      <c r="X72" s="23">
        <v>1.8999999999999995</v>
      </c>
      <c r="Y72" s="23">
        <v>2.8000000000000007</v>
      </c>
      <c r="Z72" s="23">
        <v>4.8999999999999995</v>
      </c>
      <c r="AA72" s="23">
        <v>6.6657363950909829</v>
      </c>
    </row>
    <row r="73" spans="1:27" ht="12.75" customHeight="1" x14ac:dyDescent="0.2">
      <c r="A73" s="152"/>
      <c r="B73" s="21" t="s">
        <v>132</v>
      </c>
      <c r="C73" s="22" t="s">
        <v>133</v>
      </c>
      <c r="D73" s="23">
        <v>55.3</v>
      </c>
      <c r="E73" s="23">
        <v>53.6</v>
      </c>
      <c r="F73" s="23">
        <v>52.6</v>
      </c>
      <c r="G73" s="23">
        <v>45.4</v>
      </c>
      <c r="H73" s="23">
        <v>48.2</v>
      </c>
      <c r="I73" s="23">
        <v>45.2</v>
      </c>
      <c r="J73" s="23">
        <v>47.1</v>
      </c>
      <c r="K73" s="23">
        <v>47.7</v>
      </c>
      <c r="L73" s="23">
        <v>48</v>
      </c>
      <c r="M73" s="23">
        <v>44.1</v>
      </c>
      <c r="N73" s="23">
        <v>45.8</v>
      </c>
      <c r="O73" s="23">
        <v>40.4</v>
      </c>
      <c r="P73" s="23">
        <v>33.9</v>
      </c>
      <c r="Q73" s="23">
        <v>31.7</v>
      </c>
      <c r="R73" s="23">
        <v>30.4</v>
      </c>
      <c r="S73" s="23">
        <v>29.1</v>
      </c>
      <c r="T73" s="23">
        <v>33.200000000000003</v>
      </c>
      <c r="U73" s="23">
        <v>36.5</v>
      </c>
      <c r="V73" s="23">
        <v>39.700000000000003</v>
      </c>
      <c r="W73" s="23">
        <v>40.5</v>
      </c>
      <c r="X73" s="23">
        <v>33.9</v>
      </c>
      <c r="Y73" s="23">
        <v>42.4</v>
      </c>
      <c r="Z73" s="23">
        <v>42.6</v>
      </c>
      <c r="AA73" s="23">
        <v>46.604139099833148</v>
      </c>
    </row>
    <row r="74" spans="1:27" ht="12.75" customHeight="1" x14ac:dyDescent="0.2">
      <c r="A74" s="152"/>
      <c r="B74" s="21" t="s">
        <v>134</v>
      </c>
      <c r="C74" s="22" t="s">
        <v>135</v>
      </c>
      <c r="D74" s="23">
        <v>10.499999999999957</v>
      </c>
      <c r="E74" s="23">
        <v>13.399999999999999</v>
      </c>
      <c r="F74" s="23">
        <v>12.399999999999999</v>
      </c>
      <c r="G74" s="23">
        <v>10.399999999999956</v>
      </c>
      <c r="H74" s="23">
        <v>10.700000000000088</v>
      </c>
      <c r="I74" s="23">
        <v>9.6000000000000654</v>
      </c>
      <c r="J74" s="23">
        <v>10.000000000000135</v>
      </c>
      <c r="K74" s="23">
        <v>10.100000000000065</v>
      </c>
      <c r="L74" s="23">
        <v>12.100000000000023</v>
      </c>
      <c r="M74" s="23">
        <v>15.09999999999993</v>
      </c>
      <c r="N74" s="23">
        <v>16.900000000000048</v>
      </c>
      <c r="O74" s="23">
        <v>18.500000000000092</v>
      </c>
      <c r="P74" s="23">
        <v>26.899999999999956</v>
      </c>
      <c r="Q74" s="23">
        <v>28.39999999999991</v>
      </c>
      <c r="R74" s="23">
        <v>35.999999999999979</v>
      </c>
      <c r="S74" s="23">
        <v>49.200000000000067</v>
      </c>
      <c r="T74" s="23">
        <v>61.399999999999906</v>
      </c>
      <c r="U74" s="23">
        <v>89.500000000000227</v>
      </c>
      <c r="V74" s="23">
        <v>106.40000000000002</v>
      </c>
      <c r="W74" s="23">
        <v>122.80000000000018</v>
      </c>
      <c r="X74" s="23">
        <v>97.30000000000004</v>
      </c>
      <c r="Y74" s="23">
        <v>109.20000000000013</v>
      </c>
      <c r="Z74" s="23">
        <v>133.99999999999969</v>
      </c>
      <c r="AA74" s="23">
        <v>149.48553035210085</v>
      </c>
    </row>
    <row r="75" spans="1:27" ht="12.75" customHeight="1" x14ac:dyDescent="0.2">
      <c r="A75" s="153"/>
      <c r="B75" s="28" t="s">
        <v>52</v>
      </c>
      <c r="C75" s="31" t="s">
        <v>58</v>
      </c>
      <c r="D75" s="30">
        <f>SUM(D56:D74)</f>
        <v>880.5</v>
      </c>
      <c r="E75" s="30">
        <f t="shared" ref="E75:Y75" si="6">SUM(E56:E74)</f>
        <v>898.70000000000016</v>
      </c>
      <c r="F75" s="30">
        <f t="shared" si="6"/>
        <v>934.5</v>
      </c>
      <c r="G75" s="30">
        <f t="shared" si="6"/>
        <v>944.8</v>
      </c>
      <c r="H75" s="30">
        <f t="shared" si="6"/>
        <v>1004.8000000000001</v>
      </c>
      <c r="I75" s="30">
        <f t="shared" si="6"/>
        <v>1023.1</v>
      </c>
      <c r="J75" s="30">
        <f t="shared" si="6"/>
        <v>997.19999999999993</v>
      </c>
      <c r="K75" s="30">
        <f t="shared" si="6"/>
        <v>1010.2</v>
      </c>
      <c r="L75" s="30">
        <f t="shared" si="6"/>
        <v>1040.9000000000001</v>
      </c>
      <c r="M75" s="30">
        <f t="shared" si="6"/>
        <v>1004.4</v>
      </c>
      <c r="N75" s="30">
        <f t="shared" si="6"/>
        <v>983.39999999999986</v>
      </c>
      <c r="O75" s="30">
        <f t="shared" si="6"/>
        <v>913.60000000000014</v>
      </c>
      <c r="P75" s="30">
        <f t="shared" si="6"/>
        <v>816.79999999999984</v>
      </c>
      <c r="Q75" s="30">
        <f t="shared" si="6"/>
        <v>700.8</v>
      </c>
      <c r="R75" s="30">
        <f t="shared" si="6"/>
        <v>712.89999999999986</v>
      </c>
      <c r="S75" s="30">
        <f t="shared" si="6"/>
        <v>764.4</v>
      </c>
      <c r="T75" s="30">
        <f t="shared" si="6"/>
        <v>868.99999999999977</v>
      </c>
      <c r="U75" s="30">
        <f t="shared" si="6"/>
        <v>993.7</v>
      </c>
      <c r="V75" s="30">
        <f t="shared" si="6"/>
        <v>1155.3</v>
      </c>
      <c r="W75" s="30">
        <f t="shared" si="6"/>
        <v>1265.1000000000001</v>
      </c>
      <c r="X75" s="30">
        <f t="shared" si="6"/>
        <v>1259.9000000000003</v>
      </c>
      <c r="Y75" s="30">
        <f t="shared" si="6"/>
        <v>1280.8999999999999</v>
      </c>
      <c r="Z75" s="30">
        <f t="shared" ref="Z75:AA75" si="7">SUM(Z56:Z74)</f>
        <v>1263.6000000000001</v>
      </c>
      <c r="AA75" s="30">
        <f t="shared" si="7"/>
        <v>1362.5</v>
      </c>
    </row>
  </sheetData>
  <mergeCells count="4">
    <mergeCell ref="A6:A16"/>
    <mergeCell ref="A18:A39"/>
    <mergeCell ref="A41:A54"/>
    <mergeCell ref="A56:A75"/>
  </mergeCells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AA75"/>
  <sheetViews>
    <sheetView showGridLines="0" zoomScaleNormal="100" workbookViewId="0">
      <pane xSplit="3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9.140625" defaultRowHeight="11.25" x14ac:dyDescent="0.2"/>
  <cols>
    <col min="1" max="1" width="3.28515625" style="10" customWidth="1" collapsed="1"/>
    <col min="2" max="2" width="9.28515625" style="10" customWidth="1"/>
    <col min="3" max="3" width="42.7109375" style="10" customWidth="1" collapsed="1"/>
    <col min="4" max="27" width="8.7109375" style="10" customWidth="1"/>
    <col min="28" max="16384" width="9.140625" style="10"/>
  </cols>
  <sheetData>
    <row r="1" spans="1:27" ht="12.75" customHeight="1" x14ac:dyDescent="0.2">
      <c r="A1" s="13"/>
      <c r="B1" s="14" t="s">
        <v>279</v>
      </c>
      <c r="C1" s="15" t="s">
        <v>274</v>
      </c>
      <c r="D1" s="32">
        <v>2000</v>
      </c>
      <c r="E1" s="32">
        <v>2001</v>
      </c>
      <c r="F1" s="32">
        <v>2002</v>
      </c>
      <c r="G1" s="32">
        <v>2003</v>
      </c>
      <c r="H1" s="32">
        <v>2004</v>
      </c>
      <c r="I1" s="32">
        <v>2005</v>
      </c>
      <c r="J1" s="32">
        <v>2006</v>
      </c>
      <c r="K1" s="32">
        <v>2007</v>
      </c>
      <c r="L1" s="32">
        <v>2008</v>
      </c>
      <c r="M1" s="32">
        <v>2009</v>
      </c>
      <c r="N1" s="32">
        <v>2010</v>
      </c>
      <c r="O1" s="32">
        <v>2011</v>
      </c>
      <c r="P1" s="32">
        <v>2012</v>
      </c>
      <c r="Q1" s="32">
        <v>2013</v>
      </c>
      <c r="R1" s="32">
        <v>2014</v>
      </c>
      <c r="S1" s="32">
        <v>2015</v>
      </c>
      <c r="T1" s="32">
        <v>2016</v>
      </c>
      <c r="U1" s="32">
        <v>2017</v>
      </c>
      <c r="V1" s="32">
        <v>2018</v>
      </c>
      <c r="W1" s="32">
        <v>2019</v>
      </c>
      <c r="X1" s="32">
        <v>2020</v>
      </c>
      <c r="Y1" s="32">
        <v>2021</v>
      </c>
      <c r="Z1" s="32">
        <v>2022</v>
      </c>
      <c r="AA1" s="32">
        <v>2023</v>
      </c>
    </row>
    <row r="2" spans="1:27" ht="12.75" customHeight="1" x14ac:dyDescent="0.2">
      <c r="A2" s="16"/>
      <c r="B2" s="17" t="s">
        <v>24</v>
      </c>
      <c r="C2" s="18" t="s">
        <v>25</v>
      </c>
      <c r="D2" s="19">
        <v>16237.913501885521</v>
      </c>
      <c r="E2" s="19">
        <v>16879.644732682704</v>
      </c>
      <c r="F2" s="19">
        <v>17508.242240991553</v>
      </c>
      <c r="G2" s="19">
        <v>17967.361229672963</v>
      </c>
      <c r="H2" s="19">
        <v>18870.59861308926</v>
      </c>
      <c r="I2" s="19">
        <v>19786.469342469481</v>
      </c>
      <c r="J2" s="19">
        <v>20719.131462969875</v>
      </c>
      <c r="K2" s="19">
        <v>21775.309829538786</v>
      </c>
      <c r="L2" s="19">
        <v>22569.536276988911</v>
      </c>
      <c r="M2" s="19">
        <v>22114.800338996891</v>
      </c>
      <c r="N2" s="19">
        <v>22619.415800920029</v>
      </c>
      <c r="O2" s="19">
        <v>22713.885583533051</v>
      </c>
      <c r="P2" s="19">
        <v>21930.883074505542</v>
      </c>
      <c r="Q2" s="19">
        <v>20485.960339577192</v>
      </c>
      <c r="R2" s="19">
        <v>20122.223914251685</v>
      </c>
      <c r="S2" s="19">
        <v>20810.247624</v>
      </c>
      <c r="T2" s="19">
        <v>22178.208836811667</v>
      </c>
      <c r="U2" s="19">
        <v>23453.501123058544</v>
      </c>
      <c r="V2" s="19">
        <v>24924.550917512566</v>
      </c>
      <c r="W2" s="19">
        <v>26389.042928821473</v>
      </c>
      <c r="X2" s="19">
        <v>25538.998200751983</v>
      </c>
      <c r="Y2" s="19">
        <v>28447.586306106663</v>
      </c>
      <c r="Z2" s="19">
        <v>30497.190464851898</v>
      </c>
      <c r="AA2" s="19">
        <v>31340</v>
      </c>
    </row>
    <row r="3" spans="1:27" ht="12.75" customHeight="1" x14ac:dyDescent="0.2">
      <c r="A3" s="20"/>
      <c r="B3" s="21" t="s">
        <v>26</v>
      </c>
      <c r="C3" s="22" t="s">
        <v>27</v>
      </c>
      <c r="D3" s="23">
        <v>9481.4728313653322</v>
      </c>
      <c r="E3" s="23">
        <v>10007.221696327149</v>
      </c>
      <c r="F3" s="23">
        <v>10315.83890986579</v>
      </c>
      <c r="G3" s="23">
        <v>10765.410230058693</v>
      </c>
      <c r="H3" s="23">
        <v>11539.995362220307</v>
      </c>
      <c r="I3" s="23">
        <v>11991.053476997071</v>
      </c>
      <c r="J3" s="23">
        <v>12460.652346955987</v>
      </c>
      <c r="K3" s="23">
        <v>13675.278604783725</v>
      </c>
      <c r="L3" s="23">
        <v>14798.674481192573</v>
      </c>
      <c r="M3" s="23">
        <v>13832.846456238927</v>
      </c>
      <c r="N3" s="23">
        <v>14503.878331189122</v>
      </c>
      <c r="O3" s="23">
        <v>14374.607659962714</v>
      </c>
      <c r="P3" s="23">
        <v>13975.951387345247</v>
      </c>
      <c r="Q3" s="23">
        <v>12997.129060698542</v>
      </c>
      <c r="R3" s="23">
        <v>12991.91195146455</v>
      </c>
      <c r="S3" s="23">
        <v>13398.347260000002</v>
      </c>
      <c r="T3" s="23">
        <v>14086.771041471273</v>
      </c>
      <c r="U3" s="23">
        <v>14767.486962841829</v>
      </c>
      <c r="V3" s="23">
        <v>15655.367779670984</v>
      </c>
      <c r="W3" s="23">
        <v>16360.450910679883</v>
      </c>
      <c r="X3" s="23">
        <v>15360.808852228149</v>
      </c>
      <c r="Y3" s="23">
        <v>16085.64837444781</v>
      </c>
      <c r="Z3" s="23">
        <v>17658.215271870704</v>
      </c>
      <c r="AA3" s="23">
        <v>18702.7</v>
      </c>
    </row>
    <row r="4" spans="1:27" ht="12.75" customHeight="1" x14ac:dyDescent="0.2">
      <c r="A4" s="24"/>
      <c r="B4" s="25" t="s">
        <v>28</v>
      </c>
      <c r="C4" s="26" t="s">
        <v>29</v>
      </c>
      <c r="D4" s="27">
        <v>14301.584049332221</v>
      </c>
      <c r="E4" s="27">
        <v>14866.817960516732</v>
      </c>
      <c r="F4" s="27">
        <v>15420.417589497358</v>
      </c>
      <c r="G4" s="27">
        <v>15824.922697642329</v>
      </c>
      <c r="H4" s="27">
        <v>16620.320206874083</v>
      </c>
      <c r="I4" s="27">
        <v>17426.768147869843</v>
      </c>
      <c r="J4" s="27">
        <v>18248.203865888183</v>
      </c>
      <c r="K4" s="27">
        <v>19178.719094910772</v>
      </c>
      <c r="L4" s="27">
        <v>19878.182349700652</v>
      </c>
      <c r="M4" s="27">
        <v>19477.517972608322</v>
      </c>
      <c r="N4" s="27">
        <v>19929.343510118633</v>
      </c>
      <c r="O4" s="27">
        <v>20012.380078451984</v>
      </c>
      <c r="P4" s="27">
        <v>19322.612603583217</v>
      </c>
      <c r="Q4" s="27">
        <v>18049.690957395418</v>
      </c>
      <c r="R4" s="27">
        <v>17729.029299590798</v>
      </c>
      <c r="S4" s="27">
        <v>18307.072755000001</v>
      </c>
      <c r="T4" s="27">
        <v>19510.574254985208</v>
      </c>
      <c r="U4" s="27">
        <v>20636.25381934737</v>
      </c>
      <c r="V4" s="27">
        <v>21953.708465409301</v>
      </c>
      <c r="W4" s="27">
        <v>23286.422727891688</v>
      </c>
      <c r="X4" s="27">
        <v>22555.826068819664</v>
      </c>
      <c r="Y4" s="27">
        <v>25124.658863208486</v>
      </c>
      <c r="Z4" s="27">
        <v>26934.81275756715</v>
      </c>
      <c r="AA4" s="27">
        <v>27679.200000000001</v>
      </c>
    </row>
    <row r="5" spans="1:27" ht="12.75" customHeight="1" x14ac:dyDescent="0.2">
      <c r="B5" s="10" t="s">
        <v>30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spans="1:27" ht="12.75" customHeight="1" x14ac:dyDescent="0.2">
      <c r="A6" s="151" t="s">
        <v>31</v>
      </c>
      <c r="B6" s="17" t="s">
        <v>32</v>
      </c>
      <c r="C6" s="18" t="s">
        <v>33</v>
      </c>
      <c r="D6" s="19">
        <v>572.51661034280664</v>
      </c>
      <c r="E6" s="19">
        <v>633.64771016463499</v>
      </c>
      <c r="F6" s="19">
        <v>648.1463745213639</v>
      </c>
      <c r="G6" s="19">
        <v>598.09247496015041</v>
      </c>
      <c r="H6" s="19">
        <v>582.56988108812516</v>
      </c>
      <c r="I6" s="19">
        <v>546.30656124052189</v>
      </c>
      <c r="J6" s="19">
        <v>476.89367701698518</v>
      </c>
      <c r="K6" s="19">
        <v>449.64134700869528</v>
      </c>
      <c r="L6" s="19">
        <v>481.80359741393653</v>
      </c>
      <c r="M6" s="19">
        <v>440.57067359095771</v>
      </c>
      <c r="N6" s="19">
        <v>465.00446615491973</v>
      </c>
      <c r="O6" s="19">
        <v>483.04298312211648</v>
      </c>
      <c r="P6" s="19">
        <v>435.97357668994096</v>
      </c>
      <c r="Q6" s="19">
        <v>413.48916046758762</v>
      </c>
      <c r="R6" s="19">
        <v>373.144069564181</v>
      </c>
      <c r="S6" s="19">
        <v>390.49124000000006</v>
      </c>
      <c r="T6" s="19">
        <v>477.72865565325873</v>
      </c>
      <c r="U6" s="19">
        <v>437.72285517434204</v>
      </c>
      <c r="V6" s="19">
        <v>432.39040831286155</v>
      </c>
      <c r="W6" s="19">
        <v>463.54612788390472</v>
      </c>
      <c r="X6" s="19">
        <v>461.54536723547494</v>
      </c>
      <c r="Y6" s="19">
        <v>425.1972166772311</v>
      </c>
      <c r="Z6" s="19">
        <v>357.37328584624129</v>
      </c>
      <c r="AA6" s="19">
        <v>369.5</v>
      </c>
    </row>
    <row r="7" spans="1:27" ht="12.75" customHeight="1" x14ac:dyDescent="0.2">
      <c r="A7" s="152"/>
      <c r="B7" s="21" t="s">
        <v>34</v>
      </c>
      <c r="C7" s="22" t="s">
        <v>35</v>
      </c>
      <c r="D7" s="23">
        <v>1597.5552306368547</v>
      </c>
      <c r="E7" s="23">
        <v>1621.1763513185372</v>
      </c>
      <c r="F7" s="23">
        <v>1697.0474442350942</v>
      </c>
      <c r="G7" s="23">
        <v>1714.0421276140178</v>
      </c>
      <c r="H7" s="23">
        <v>1778.0715914644079</v>
      </c>
      <c r="I7" s="23">
        <v>1764.7863811280367</v>
      </c>
      <c r="J7" s="23">
        <v>1710.0928045382168</v>
      </c>
      <c r="K7" s="23">
        <v>1745.7704208860075</v>
      </c>
      <c r="L7" s="23">
        <v>1679.9555442374858</v>
      </c>
      <c r="M7" s="23">
        <v>1655.2835700829899</v>
      </c>
      <c r="N7" s="23">
        <v>1620.3152626856745</v>
      </c>
      <c r="O7" s="23">
        <v>1471.8070236913313</v>
      </c>
      <c r="P7" s="23">
        <v>1410.2661417171796</v>
      </c>
      <c r="Q7" s="23">
        <v>1302.4796010047337</v>
      </c>
      <c r="R7" s="23">
        <v>1261.2848069206625</v>
      </c>
      <c r="S7" s="23">
        <v>1390.8338050000002</v>
      </c>
      <c r="T7" s="23">
        <v>1525.074893856772</v>
      </c>
      <c r="U7" s="23">
        <v>1608.0469704836844</v>
      </c>
      <c r="V7" s="23">
        <v>1762.6804075204059</v>
      </c>
      <c r="W7" s="23">
        <v>1912.6518305256197</v>
      </c>
      <c r="X7" s="23">
        <v>1853.4143052550905</v>
      </c>
      <c r="Y7" s="23">
        <v>1859.4938931514369</v>
      </c>
      <c r="Z7" s="23">
        <v>1807.9735949268156</v>
      </c>
      <c r="AA7" s="23">
        <v>1895.6</v>
      </c>
    </row>
    <row r="8" spans="1:27" ht="12.75" customHeight="1" x14ac:dyDescent="0.2">
      <c r="A8" s="152"/>
      <c r="B8" s="21" t="s">
        <v>36</v>
      </c>
      <c r="C8" s="22" t="s">
        <v>37</v>
      </c>
      <c r="D8" s="23">
        <v>1178.4457607462186</v>
      </c>
      <c r="E8" s="23">
        <v>1233.350007284736</v>
      </c>
      <c r="F8" s="23">
        <v>1370.9209201969247</v>
      </c>
      <c r="G8" s="23">
        <v>1498.8341541170032</v>
      </c>
      <c r="H8" s="23">
        <v>1635.2077816303261</v>
      </c>
      <c r="I8" s="23">
        <v>1803.9124883302593</v>
      </c>
      <c r="J8" s="23">
        <v>2025.5743320948341</v>
      </c>
      <c r="K8" s="23">
        <v>2297.3388934666177</v>
      </c>
      <c r="L8" s="23">
        <v>2439.5318112838854</v>
      </c>
      <c r="M8" s="23">
        <v>1879.1276360674101</v>
      </c>
      <c r="N8" s="23">
        <v>1652.1362476323397</v>
      </c>
      <c r="O8" s="23">
        <v>1398.1032821351398</v>
      </c>
      <c r="P8" s="23">
        <v>1150.9389578377964</v>
      </c>
      <c r="Q8" s="23">
        <v>879.9868660032846</v>
      </c>
      <c r="R8" s="23">
        <v>756.00724047514996</v>
      </c>
      <c r="S8" s="23">
        <v>739.51026000000002</v>
      </c>
      <c r="T8" s="23">
        <v>889.82236352294899</v>
      </c>
      <c r="U8" s="23">
        <v>1073.0782192355316</v>
      </c>
      <c r="V8" s="23">
        <v>1262.7830899833584</v>
      </c>
      <c r="W8" s="23">
        <v>1478.3393621367159</v>
      </c>
      <c r="X8" s="23">
        <v>1389.0436113347755</v>
      </c>
      <c r="Y8" s="23">
        <v>1389.7710996111675</v>
      </c>
      <c r="Z8" s="23">
        <v>1327.1647763606652</v>
      </c>
      <c r="AA8" s="23">
        <v>1393.3</v>
      </c>
    </row>
    <row r="9" spans="1:27" ht="12.75" customHeight="1" x14ac:dyDescent="0.2">
      <c r="A9" s="152"/>
      <c r="B9" s="21" t="s">
        <v>38</v>
      </c>
      <c r="C9" s="22" t="s">
        <v>39</v>
      </c>
      <c r="D9" s="23">
        <v>4258.3555947674931</v>
      </c>
      <c r="E9" s="23">
        <v>4259.3007017629061</v>
      </c>
      <c r="F9" s="23">
        <v>4209.4820032820762</v>
      </c>
      <c r="G9" s="23">
        <v>4067.887998715295</v>
      </c>
      <c r="H9" s="23">
        <v>4209.3317024643384</v>
      </c>
      <c r="I9" s="23">
        <v>4329.7348122594894</v>
      </c>
      <c r="J9" s="23">
        <v>4549.5553730980182</v>
      </c>
      <c r="K9" s="23">
        <v>4717.0661198690286</v>
      </c>
      <c r="L9" s="23">
        <v>4792.4867006901723</v>
      </c>
      <c r="M9" s="23">
        <v>4628.8390560562093</v>
      </c>
      <c r="N9" s="23">
        <v>4794.4004436247633</v>
      </c>
      <c r="O9" s="23">
        <v>4907.988845412603</v>
      </c>
      <c r="P9" s="23">
        <v>4641.5208413258651</v>
      </c>
      <c r="Q9" s="23">
        <v>4301.00755482562</v>
      </c>
      <c r="R9" s="23">
        <v>4386.7858150252277</v>
      </c>
      <c r="S9" s="23">
        <v>4544.4699500000006</v>
      </c>
      <c r="T9" s="23">
        <v>4871.0507676519701</v>
      </c>
      <c r="U9" s="23">
        <v>5247.7887027199749</v>
      </c>
      <c r="V9" s="23">
        <v>5684.3125495284885</v>
      </c>
      <c r="W9" s="23">
        <v>5780.5595844843028</v>
      </c>
      <c r="X9" s="23">
        <v>4200.5827019528333</v>
      </c>
      <c r="Y9" s="23">
        <v>5648.2457639946642</v>
      </c>
      <c r="Z9" s="23">
        <v>6618.6484430510163</v>
      </c>
      <c r="AA9" s="23">
        <v>6541.2</v>
      </c>
    </row>
    <row r="10" spans="1:27" ht="12.75" customHeight="1" x14ac:dyDescent="0.2">
      <c r="A10" s="152"/>
      <c r="B10" s="21" t="s">
        <v>40</v>
      </c>
      <c r="C10" s="22" t="s">
        <v>41</v>
      </c>
      <c r="D10" s="23">
        <v>569.901715903281</v>
      </c>
      <c r="E10" s="23">
        <v>641.568306541693</v>
      </c>
      <c r="F10" s="23">
        <v>646.87188962499249</v>
      </c>
      <c r="G10" s="23">
        <v>628.1633894796945</v>
      </c>
      <c r="H10" s="23">
        <v>671.21592627929158</v>
      </c>
      <c r="I10" s="23">
        <v>679.33532572807803</v>
      </c>
      <c r="J10" s="23">
        <v>617.95217953821657</v>
      </c>
      <c r="K10" s="23">
        <v>663.59989808530474</v>
      </c>
      <c r="L10" s="23">
        <v>674.21021120904709</v>
      </c>
      <c r="M10" s="23">
        <v>660.61876177384045</v>
      </c>
      <c r="N10" s="23">
        <v>723.05639517495763</v>
      </c>
      <c r="O10" s="23">
        <v>728.64652806167146</v>
      </c>
      <c r="P10" s="23">
        <v>692.06056740581607</v>
      </c>
      <c r="Q10" s="23">
        <v>775.32031204714508</v>
      </c>
      <c r="R10" s="23">
        <v>853.42966111795317</v>
      </c>
      <c r="S10" s="23">
        <v>881.05168500000002</v>
      </c>
      <c r="T10" s="23">
        <v>1135.9534177113305</v>
      </c>
      <c r="U10" s="23">
        <v>1343.0635359667692</v>
      </c>
      <c r="V10" s="23">
        <v>1428.4923577541804</v>
      </c>
      <c r="W10" s="23">
        <v>1627.2270697973001</v>
      </c>
      <c r="X10" s="23">
        <v>1956.143183515876</v>
      </c>
      <c r="Y10" s="23">
        <v>2233.8834590022802</v>
      </c>
      <c r="Z10" s="23">
        <v>2884.9563778954107</v>
      </c>
      <c r="AA10" s="23">
        <v>3089.9</v>
      </c>
    </row>
    <row r="11" spans="1:27" ht="12.75" customHeight="1" x14ac:dyDescent="0.2">
      <c r="A11" s="152"/>
      <c r="B11" s="21" t="s">
        <v>42</v>
      </c>
      <c r="C11" s="22" t="s">
        <v>43</v>
      </c>
      <c r="D11" s="23">
        <v>972.3049157636143</v>
      </c>
      <c r="E11" s="23">
        <v>1040.9926666990432</v>
      </c>
      <c r="F11" s="23">
        <v>1004.5773172065885</v>
      </c>
      <c r="G11" s="23">
        <v>1008.692105012728</v>
      </c>
      <c r="H11" s="23">
        <v>1119.4612954645941</v>
      </c>
      <c r="I11" s="23">
        <v>1245.0059942619032</v>
      </c>
      <c r="J11" s="23">
        <v>1428.4910816967447</v>
      </c>
      <c r="K11" s="23">
        <v>1600.5211093522996</v>
      </c>
      <c r="L11" s="23">
        <v>1578.0006236487613</v>
      </c>
      <c r="M11" s="23">
        <v>1685.0582709638004</v>
      </c>
      <c r="N11" s="23">
        <v>1778.8395125112154</v>
      </c>
      <c r="O11" s="23">
        <v>1935.6870340088381</v>
      </c>
      <c r="P11" s="23">
        <v>2074.8409326325486</v>
      </c>
      <c r="Q11" s="23">
        <v>2163.5589604869097</v>
      </c>
      <c r="R11" s="23">
        <v>2196.6326079615428</v>
      </c>
      <c r="S11" s="23">
        <v>2359.7227200000002</v>
      </c>
      <c r="T11" s="23">
        <v>2256.2013300601643</v>
      </c>
      <c r="U11" s="23">
        <v>2114.0513340256425</v>
      </c>
      <c r="V11" s="23">
        <v>1843.1117164593074</v>
      </c>
      <c r="W11" s="23">
        <v>1760.7047864062565</v>
      </c>
      <c r="X11" s="23">
        <v>2314.1685810188105</v>
      </c>
      <c r="Y11" s="23">
        <v>2602.4317981854479</v>
      </c>
      <c r="Z11" s="23">
        <v>2523.5478986073613</v>
      </c>
      <c r="AA11" s="23">
        <v>2790.2</v>
      </c>
    </row>
    <row r="12" spans="1:27" ht="12.75" customHeight="1" x14ac:dyDescent="0.2">
      <c r="A12" s="152"/>
      <c r="B12" s="21" t="s">
        <v>44</v>
      </c>
      <c r="C12" s="22" t="s">
        <v>45</v>
      </c>
      <c r="D12" s="23">
        <v>904.75347607586889</v>
      </c>
      <c r="E12" s="23">
        <v>930.24575664125109</v>
      </c>
      <c r="F12" s="23">
        <v>1012.3658360177476</v>
      </c>
      <c r="G12" s="23">
        <v>1087.2644945637951</v>
      </c>
      <c r="H12" s="23">
        <v>1214.8845612361249</v>
      </c>
      <c r="I12" s="23">
        <v>1372.3316312589659</v>
      </c>
      <c r="J12" s="23">
        <v>1488.9079197629158</v>
      </c>
      <c r="K12" s="23">
        <v>1580.8177244833792</v>
      </c>
      <c r="L12" s="23">
        <v>1654.6484439963415</v>
      </c>
      <c r="M12" s="23">
        <v>1804.2756987933406</v>
      </c>
      <c r="N12" s="23">
        <v>1872.2120376831822</v>
      </c>
      <c r="O12" s="23">
        <v>1986.145749381923</v>
      </c>
      <c r="P12" s="23">
        <v>2028.249189557278</v>
      </c>
      <c r="Q12" s="23">
        <v>1872.6309583615109</v>
      </c>
      <c r="R12" s="23">
        <v>1693.7848168527273</v>
      </c>
      <c r="S12" s="23">
        <v>1728.6693050000003</v>
      </c>
      <c r="T12" s="23">
        <v>1843.7560063987762</v>
      </c>
      <c r="U12" s="23">
        <v>1860.5838608858892</v>
      </c>
      <c r="V12" s="23">
        <v>2111.1776141136384</v>
      </c>
      <c r="W12" s="23">
        <v>2360.6746586001636</v>
      </c>
      <c r="X12" s="23">
        <v>2427.294661479807</v>
      </c>
      <c r="Y12" s="23">
        <v>2578.5158323951523</v>
      </c>
      <c r="Z12" s="23">
        <v>2754.2781902799493</v>
      </c>
      <c r="AA12" s="23">
        <v>2833.2</v>
      </c>
    </row>
    <row r="13" spans="1:27" ht="12.75" customHeight="1" x14ac:dyDescent="0.2">
      <c r="A13" s="152"/>
      <c r="B13" s="21" t="s">
        <v>46</v>
      </c>
      <c r="C13" s="22" t="s">
        <v>47</v>
      </c>
      <c r="D13" s="23">
        <v>1109.0057861854823</v>
      </c>
      <c r="E13" s="23">
        <v>1267.436859550289</v>
      </c>
      <c r="F13" s="23">
        <v>1334.2440770680121</v>
      </c>
      <c r="G13" s="23">
        <v>1301.9181654890206</v>
      </c>
      <c r="H13" s="23">
        <v>1308.5457496567612</v>
      </c>
      <c r="I13" s="23">
        <v>1376.04529567138</v>
      </c>
      <c r="J13" s="23">
        <v>1454.3840122965323</v>
      </c>
      <c r="K13" s="23">
        <v>1557.1989233905069</v>
      </c>
      <c r="L13" s="23">
        <v>1681.4085834857808</v>
      </c>
      <c r="M13" s="23">
        <v>1638.2016699760707</v>
      </c>
      <c r="N13" s="23">
        <v>1806.3635031402653</v>
      </c>
      <c r="O13" s="23">
        <v>1852.4585012361542</v>
      </c>
      <c r="P13" s="23">
        <v>1743.559114363539</v>
      </c>
      <c r="Q13" s="23">
        <v>1624.6950246353008</v>
      </c>
      <c r="R13" s="23">
        <v>1713.3387231337649</v>
      </c>
      <c r="S13" s="23">
        <v>1825.9426300000002</v>
      </c>
      <c r="T13" s="23">
        <v>1971.5097440489362</v>
      </c>
      <c r="U13" s="23">
        <v>2212.8094270479692</v>
      </c>
      <c r="V13" s="23">
        <v>2462.2135420794039</v>
      </c>
      <c r="W13" s="23">
        <v>2600.2093724467968</v>
      </c>
      <c r="X13" s="23">
        <v>2529.2324482688368</v>
      </c>
      <c r="Y13" s="23">
        <v>2688.6174444896455</v>
      </c>
      <c r="Z13" s="23">
        <v>2785.2146733338072</v>
      </c>
      <c r="AA13" s="23">
        <v>2744.5</v>
      </c>
    </row>
    <row r="14" spans="1:27" ht="12.75" customHeight="1" x14ac:dyDescent="0.2">
      <c r="A14" s="152"/>
      <c r="B14" s="21" t="s">
        <v>48</v>
      </c>
      <c r="C14" s="22" t="s">
        <v>49</v>
      </c>
      <c r="D14" s="23">
        <v>2615.7660710054752</v>
      </c>
      <c r="E14" s="23">
        <v>2676.8786970035458</v>
      </c>
      <c r="F14" s="23">
        <v>2896.3377317206582</v>
      </c>
      <c r="G14" s="23">
        <v>3293.6658815692422</v>
      </c>
      <c r="H14" s="23">
        <v>3438.490633653691</v>
      </c>
      <c r="I14" s="23">
        <v>3604.7744666074609</v>
      </c>
      <c r="J14" s="23">
        <v>3731.287237924631</v>
      </c>
      <c r="K14" s="23">
        <v>3769.5353936726156</v>
      </c>
      <c r="L14" s="23">
        <v>3994.2838069599215</v>
      </c>
      <c r="M14" s="23">
        <v>4187.3193880148665</v>
      </c>
      <c r="N14" s="23">
        <v>4249.4951101585075</v>
      </c>
      <c r="O14" s="23">
        <v>4259.2825293464903</v>
      </c>
      <c r="P14" s="23">
        <v>4199.9607246988462</v>
      </c>
      <c r="Q14" s="23">
        <v>3931.9735436189726</v>
      </c>
      <c r="R14" s="23">
        <v>3711.1925678360017</v>
      </c>
      <c r="S14" s="23">
        <v>3651.8852600000018</v>
      </c>
      <c r="T14" s="23">
        <v>3706.382060285328</v>
      </c>
      <c r="U14" s="23">
        <v>3873.7832907297234</v>
      </c>
      <c r="V14" s="23">
        <v>4067.7240173547807</v>
      </c>
      <c r="W14" s="23">
        <v>4355.3620297241523</v>
      </c>
      <c r="X14" s="23">
        <v>4657.9465856947427</v>
      </c>
      <c r="Y14" s="23">
        <v>4816.1464934106643</v>
      </c>
      <c r="Z14" s="23">
        <v>4904.2085627753286</v>
      </c>
      <c r="AA14" s="23">
        <v>5031.1000000000022</v>
      </c>
    </row>
    <row r="15" spans="1:27" ht="12.75" customHeight="1" x14ac:dyDescent="0.2">
      <c r="A15" s="152"/>
      <c r="B15" s="21" t="s">
        <v>50</v>
      </c>
      <c r="C15" s="22" t="s">
        <v>51</v>
      </c>
      <c r="D15" s="23">
        <v>522.9788879051265</v>
      </c>
      <c r="E15" s="23">
        <v>562.2209035500947</v>
      </c>
      <c r="F15" s="23">
        <v>600.42399562389846</v>
      </c>
      <c r="G15" s="23">
        <v>626.3619061213808</v>
      </c>
      <c r="H15" s="23">
        <v>662.54108393642525</v>
      </c>
      <c r="I15" s="23">
        <v>704.53519138374668</v>
      </c>
      <c r="J15" s="23">
        <v>765.06524792108996</v>
      </c>
      <c r="K15" s="23">
        <v>797.22926469631602</v>
      </c>
      <c r="L15" s="23">
        <v>901.85302677532025</v>
      </c>
      <c r="M15" s="23">
        <v>898.22324728883473</v>
      </c>
      <c r="N15" s="23">
        <v>967.5205313528063</v>
      </c>
      <c r="O15" s="23">
        <v>989.21760205571456</v>
      </c>
      <c r="P15" s="23">
        <v>945.24255735440818</v>
      </c>
      <c r="Q15" s="23">
        <v>784.54897594435317</v>
      </c>
      <c r="R15" s="23">
        <v>783.42899070358749</v>
      </c>
      <c r="S15" s="23">
        <v>794.49590000000012</v>
      </c>
      <c r="T15" s="23">
        <v>833.09501579572191</v>
      </c>
      <c r="U15" s="23">
        <v>865.32562307784485</v>
      </c>
      <c r="V15" s="23">
        <v>898.82276230287664</v>
      </c>
      <c r="W15" s="23">
        <v>947.14790588647247</v>
      </c>
      <c r="X15" s="23">
        <v>766.45462306341619</v>
      </c>
      <c r="Y15" s="23">
        <v>882.3558622908015</v>
      </c>
      <c r="Z15" s="23">
        <v>971.44695449055007</v>
      </c>
      <c r="AA15" s="23">
        <v>990.7</v>
      </c>
    </row>
    <row r="16" spans="1:27" ht="12.75" customHeight="1" x14ac:dyDescent="0.2">
      <c r="A16" s="153"/>
      <c r="B16" s="28" t="s">
        <v>52</v>
      </c>
      <c r="C16" s="29" t="s">
        <v>53</v>
      </c>
      <c r="D16" s="30">
        <f>SUM(D6:D15)</f>
        <v>14301.584049332221</v>
      </c>
      <c r="E16" s="30">
        <f t="shared" ref="E16:S16" si="0">SUM(E6:E15)</f>
        <v>14866.81796051673</v>
      </c>
      <c r="F16" s="30">
        <f t="shared" si="0"/>
        <v>15420.417589497354</v>
      </c>
      <c r="G16" s="30">
        <f t="shared" si="0"/>
        <v>15824.922697642327</v>
      </c>
      <c r="H16" s="30">
        <f t="shared" si="0"/>
        <v>16620.320206874087</v>
      </c>
      <c r="I16" s="30">
        <f t="shared" si="0"/>
        <v>17426.76814786984</v>
      </c>
      <c r="J16" s="30">
        <f t="shared" si="0"/>
        <v>18248.203865888187</v>
      </c>
      <c r="K16" s="30">
        <f t="shared" si="0"/>
        <v>19178.719094910775</v>
      </c>
      <c r="L16" s="30">
        <f t="shared" si="0"/>
        <v>19878.182349700652</v>
      </c>
      <c r="M16" s="30">
        <f t="shared" si="0"/>
        <v>19477.517972608322</v>
      </c>
      <c r="N16" s="30">
        <f t="shared" si="0"/>
        <v>19929.34351011863</v>
      </c>
      <c r="O16" s="30">
        <f t="shared" si="0"/>
        <v>20012.380078451984</v>
      </c>
      <c r="P16" s="30">
        <f t="shared" si="0"/>
        <v>19322.61260358322</v>
      </c>
      <c r="Q16" s="30">
        <f t="shared" si="0"/>
        <v>18049.690957395418</v>
      </c>
      <c r="R16" s="30">
        <f t="shared" si="0"/>
        <v>17729.029299590802</v>
      </c>
      <c r="S16" s="30">
        <f t="shared" si="0"/>
        <v>18307.072755000005</v>
      </c>
      <c r="T16" s="30">
        <f t="shared" ref="T16:Y16" si="1">SUM(T6:T15)</f>
        <v>19510.574254985208</v>
      </c>
      <c r="U16" s="30">
        <f t="shared" si="1"/>
        <v>20636.25381934737</v>
      </c>
      <c r="V16" s="30">
        <f t="shared" si="1"/>
        <v>21953.708465409298</v>
      </c>
      <c r="W16" s="30">
        <f t="shared" si="1"/>
        <v>23286.422727891681</v>
      </c>
      <c r="X16" s="30">
        <f t="shared" si="1"/>
        <v>22555.826068819664</v>
      </c>
      <c r="Y16" s="30">
        <f t="shared" si="1"/>
        <v>25124.658863208489</v>
      </c>
      <c r="Z16" s="30">
        <f t="shared" ref="Z16:AA16" si="2">SUM(Z6:Z15)</f>
        <v>26934.81275756715</v>
      </c>
      <c r="AA16" s="30">
        <f t="shared" si="2"/>
        <v>27679.200000000001</v>
      </c>
    </row>
    <row r="17" spans="1:27" ht="12.75" customHeight="1" x14ac:dyDescent="0.2"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spans="1:27" ht="12.75" customHeight="1" x14ac:dyDescent="0.2">
      <c r="A18" s="151" t="s">
        <v>54</v>
      </c>
      <c r="B18" s="17" t="s">
        <v>32</v>
      </c>
      <c r="C18" s="18" t="s">
        <v>33</v>
      </c>
      <c r="D18" s="19">
        <v>572.51661034280664</v>
      </c>
      <c r="E18" s="19">
        <v>633.64771016463499</v>
      </c>
      <c r="F18" s="19">
        <v>648.1463745213639</v>
      </c>
      <c r="G18" s="19">
        <v>598.09247496015041</v>
      </c>
      <c r="H18" s="19">
        <v>582.56988108812516</v>
      </c>
      <c r="I18" s="19">
        <v>546.30656124052189</v>
      </c>
      <c r="J18" s="19">
        <v>476.89367701698518</v>
      </c>
      <c r="K18" s="19">
        <v>449.64134700869528</v>
      </c>
      <c r="L18" s="19">
        <v>481.80359741393653</v>
      </c>
      <c r="M18" s="19">
        <v>440.57067359095771</v>
      </c>
      <c r="N18" s="19">
        <v>465.00446615491973</v>
      </c>
      <c r="O18" s="19">
        <v>483.04298312211648</v>
      </c>
      <c r="P18" s="19">
        <v>435.97357668994096</v>
      </c>
      <c r="Q18" s="19">
        <v>413.48916046758762</v>
      </c>
      <c r="R18" s="19">
        <v>373.144069564181</v>
      </c>
      <c r="S18" s="19">
        <v>390.49124000000006</v>
      </c>
      <c r="T18" s="19">
        <v>477.72865565325873</v>
      </c>
      <c r="U18" s="19">
        <v>437.72285517434204</v>
      </c>
      <c r="V18" s="19">
        <v>432.39040831286155</v>
      </c>
      <c r="W18" s="19">
        <v>463.54612788390472</v>
      </c>
      <c r="X18" s="19">
        <v>461.54536723547494</v>
      </c>
      <c r="Y18" s="19">
        <v>425.1972166772311</v>
      </c>
      <c r="Z18" s="19">
        <v>357.37328584624129</v>
      </c>
      <c r="AA18" s="19">
        <v>369.5</v>
      </c>
    </row>
    <row r="19" spans="1:27" ht="12.75" customHeight="1" x14ac:dyDescent="0.2">
      <c r="A19" s="152"/>
      <c r="B19" s="21" t="s">
        <v>55</v>
      </c>
      <c r="C19" s="22" t="s">
        <v>56</v>
      </c>
      <c r="D19" s="23">
        <v>41.712068347363811</v>
      </c>
      <c r="E19" s="23">
        <v>37.466255688919873</v>
      </c>
      <c r="F19" s="23">
        <v>43.316072655995335</v>
      </c>
      <c r="G19" s="23">
        <v>48.656708226070926</v>
      </c>
      <c r="H19" s="23">
        <v>56.793108463453784</v>
      </c>
      <c r="I19" s="23">
        <v>59.683892342373085</v>
      </c>
      <c r="J19" s="23">
        <v>60.306275546667329</v>
      </c>
      <c r="K19" s="23">
        <v>64.414912071470383</v>
      </c>
      <c r="L19" s="23">
        <v>76.867809483628434</v>
      </c>
      <c r="M19" s="23">
        <v>56.687920221153036</v>
      </c>
      <c r="N19" s="23">
        <v>55.744791147442939</v>
      </c>
      <c r="O19" s="23">
        <v>41.376721667632289</v>
      </c>
      <c r="P19" s="23">
        <v>20.446736169723014</v>
      </c>
      <c r="Q19" s="23">
        <v>21.608578881267508</v>
      </c>
      <c r="R19" s="23">
        <v>24.066346192046396</v>
      </c>
      <c r="S19" s="23">
        <v>29.946187336981851</v>
      </c>
      <c r="T19" s="23">
        <v>21.682973821357429</v>
      </c>
      <c r="U19" s="23">
        <v>20.700140430537296</v>
      </c>
      <c r="V19" s="23">
        <v>28.033799605675007</v>
      </c>
      <c r="W19" s="23">
        <v>30.593364587791321</v>
      </c>
      <c r="X19" s="23">
        <v>28.705319117975172</v>
      </c>
      <c r="Y19" s="23">
        <v>33.385965574776847</v>
      </c>
      <c r="Z19" s="23">
        <v>44.387127859883499</v>
      </c>
      <c r="AA19" s="23">
        <v>52.499999999999993</v>
      </c>
    </row>
    <row r="20" spans="1:27" ht="12.75" customHeight="1" x14ac:dyDescent="0.2">
      <c r="A20" s="152"/>
      <c r="B20" s="21" t="s">
        <v>57</v>
      </c>
      <c r="C20" s="22" t="s">
        <v>58</v>
      </c>
      <c r="D20" s="23">
        <v>1279.1191966679553</v>
      </c>
      <c r="E20" s="23">
        <v>1271.1142792967803</v>
      </c>
      <c r="F20" s="23">
        <v>1323.3401507323892</v>
      </c>
      <c r="G20" s="23">
        <v>1309.2626745652224</v>
      </c>
      <c r="H20" s="23">
        <v>1361.9502478300328</v>
      </c>
      <c r="I20" s="23">
        <v>1356.9464501218208</v>
      </c>
      <c r="J20" s="23">
        <v>1284.5985270700639</v>
      </c>
      <c r="K20" s="23">
        <v>1275.9204740117527</v>
      </c>
      <c r="L20" s="23">
        <v>1260.3904612922006</v>
      </c>
      <c r="M20" s="23">
        <v>1191.4625324576143</v>
      </c>
      <c r="N20" s="23">
        <v>1142.0714086332371</v>
      </c>
      <c r="O20" s="23">
        <v>1035.9344351651775</v>
      </c>
      <c r="P20" s="23">
        <v>912.61716412184467</v>
      </c>
      <c r="Q20" s="23">
        <v>788.71312916626403</v>
      </c>
      <c r="R20" s="23">
        <v>824.85087501489807</v>
      </c>
      <c r="S20" s="23">
        <v>890.48778000000004</v>
      </c>
      <c r="T20" s="23">
        <v>1018.5137432843028</v>
      </c>
      <c r="U20" s="23">
        <v>1155.9000828773417</v>
      </c>
      <c r="V20" s="23">
        <v>1333.1749098581504</v>
      </c>
      <c r="W20" s="23">
        <v>1433.4690940746218</v>
      </c>
      <c r="X20" s="23">
        <v>1423.8516360920053</v>
      </c>
      <c r="Y20" s="23">
        <v>1411.7032525709315</v>
      </c>
      <c r="Z20" s="23">
        <v>1307.4026751456588</v>
      </c>
      <c r="AA20" s="23">
        <v>1362.5</v>
      </c>
    </row>
    <row r="21" spans="1:27" ht="12.75" customHeight="1" x14ac:dyDescent="0.2">
      <c r="A21" s="152"/>
      <c r="B21" s="21" t="s">
        <v>59</v>
      </c>
      <c r="C21" s="22" t="s">
        <v>60</v>
      </c>
      <c r="D21" s="23">
        <v>192.42779962337875</v>
      </c>
      <c r="E21" s="23">
        <v>221.82851009779355</v>
      </c>
      <c r="F21" s="23">
        <v>232.5761678882364</v>
      </c>
      <c r="G21" s="23">
        <v>250.07607304795434</v>
      </c>
      <c r="H21" s="23">
        <v>243.1666744234752</v>
      </c>
      <c r="I21" s="23">
        <v>224.94195869481058</v>
      </c>
      <c r="J21" s="23">
        <v>223.8290611635922</v>
      </c>
      <c r="K21" s="23">
        <v>257.4070407875621</v>
      </c>
      <c r="L21" s="23">
        <v>219.95088162480761</v>
      </c>
      <c r="M21" s="23">
        <v>280.2375637710976</v>
      </c>
      <c r="N21" s="23">
        <v>297.65395773103381</v>
      </c>
      <c r="O21" s="23">
        <v>260.84338782800523</v>
      </c>
      <c r="P21" s="23">
        <v>329.71758708662639</v>
      </c>
      <c r="Q21" s="23">
        <v>338.64694715486422</v>
      </c>
      <c r="R21" s="23">
        <v>259.17603591434579</v>
      </c>
      <c r="S21" s="23">
        <v>315.65844940032616</v>
      </c>
      <c r="T21" s="23">
        <v>322.78329677847756</v>
      </c>
      <c r="U21" s="23">
        <v>259.33322000055148</v>
      </c>
      <c r="V21" s="23">
        <v>252.41956188155112</v>
      </c>
      <c r="W21" s="23">
        <v>290.41034606855243</v>
      </c>
      <c r="X21" s="23">
        <v>246.36848691805466</v>
      </c>
      <c r="Y21" s="23">
        <v>245.49152244423377</v>
      </c>
      <c r="Z21" s="23">
        <v>269.53022861304549</v>
      </c>
      <c r="AA21" s="23">
        <v>286.79999999999995</v>
      </c>
    </row>
    <row r="22" spans="1:27" ht="12.75" customHeight="1" x14ac:dyDescent="0.2">
      <c r="A22" s="152"/>
      <c r="B22" s="21" t="s">
        <v>61</v>
      </c>
      <c r="C22" s="22" t="s">
        <v>62</v>
      </c>
      <c r="D22" s="23">
        <v>84.296165998156823</v>
      </c>
      <c r="E22" s="23">
        <v>90.767306235043634</v>
      </c>
      <c r="F22" s="23">
        <v>97.815052958473117</v>
      </c>
      <c r="G22" s="23">
        <v>106.04667177476996</v>
      </c>
      <c r="H22" s="23">
        <v>116.16156074744607</v>
      </c>
      <c r="I22" s="23">
        <v>123.21407996903244</v>
      </c>
      <c r="J22" s="23">
        <v>141.35894075789332</v>
      </c>
      <c r="K22" s="23">
        <v>148.02799401522216</v>
      </c>
      <c r="L22" s="23">
        <v>122.74639183684917</v>
      </c>
      <c r="M22" s="23">
        <v>126.89555363312502</v>
      </c>
      <c r="N22" s="23">
        <v>124.84510517396076</v>
      </c>
      <c r="O22" s="23">
        <v>133.65247903051639</v>
      </c>
      <c r="P22" s="23">
        <v>147.48465433898571</v>
      </c>
      <c r="Q22" s="23">
        <v>153.51094580233794</v>
      </c>
      <c r="R22" s="23">
        <v>153.19154979937227</v>
      </c>
      <c r="S22" s="23">
        <v>154.74138826269223</v>
      </c>
      <c r="T22" s="23">
        <v>162.0948799726342</v>
      </c>
      <c r="U22" s="23">
        <v>172.11352717525392</v>
      </c>
      <c r="V22" s="23">
        <v>149.05213617502926</v>
      </c>
      <c r="W22" s="23">
        <v>158.17902579465436</v>
      </c>
      <c r="X22" s="23">
        <v>154.48886312705537</v>
      </c>
      <c r="Y22" s="23">
        <v>168.91315256149477</v>
      </c>
      <c r="Z22" s="23">
        <v>186.65356330822806</v>
      </c>
      <c r="AA22" s="23">
        <v>193.79999999999998</v>
      </c>
    </row>
    <row r="23" spans="1:27" ht="12.75" customHeight="1" x14ac:dyDescent="0.2">
      <c r="A23" s="152"/>
      <c r="B23" s="21" t="s">
        <v>36</v>
      </c>
      <c r="C23" s="22" t="s">
        <v>37</v>
      </c>
      <c r="D23" s="23">
        <v>1178.4457607462186</v>
      </c>
      <c r="E23" s="23">
        <v>1233.350007284736</v>
      </c>
      <c r="F23" s="23">
        <v>1370.9209201969247</v>
      </c>
      <c r="G23" s="23">
        <v>1498.8341541170032</v>
      </c>
      <c r="H23" s="23">
        <v>1635.2077816303261</v>
      </c>
      <c r="I23" s="23">
        <v>1803.9124883302593</v>
      </c>
      <c r="J23" s="23">
        <v>2025.5743320948341</v>
      </c>
      <c r="K23" s="23">
        <v>2297.3388934666177</v>
      </c>
      <c r="L23" s="23">
        <v>2439.5318112838854</v>
      </c>
      <c r="M23" s="23">
        <v>1879.1276360674101</v>
      </c>
      <c r="N23" s="23">
        <v>1652.1362476323397</v>
      </c>
      <c r="O23" s="23">
        <v>1398.1032821351398</v>
      </c>
      <c r="P23" s="23">
        <v>1150.9389578377964</v>
      </c>
      <c r="Q23" s="23">
        <v>879.9868660032846</v>
      </c>
      <c r="R23" s="23">
        <v>756.00724047514996</v>
      </c>
      <c r="S23" s="23">
        <v>739.51026000000002</v>
      </c>
      <c r="T23" s="23">
        <v>889.82236352294899</v>
      </c>
      <c r="U23" s="23">
        <v>1073.0782192355316</v>
      </c>
      <c r="V23" s="23">
        <v>1262.7830899833584</v>
      </c>
      <c r="W23" s="23">
        <v>1478.3393621367159</v>
      </c>
      <c r="X23" s="23">
        <v>1389.0436113347755</v>
      </c>
      <c r="Y23" s="23">
        <v>1389.7710996111675</v>
      </c>
      <c r="Z23" s="23">
        <v>1327.1647763606652</v>
      </c>
      <c r="AA23" s="23">
        <v>1393.3</v>
      </c>
    </row>
    <row r="24" spans="1:27" ht="12.75" customHeight="1" x14ac:dyDescent="0.2">
      <c r="A24" s="152"/>
      <c r="B24" s="21" t="s">
        <v>63</v>
      </c>
      <c r="C24" s="22" t="s">
        <v>64</v>
      </c>
      <c r="D24" s="23">
        <v>1768.1044568592492</v>
      </c>
      <c r="E24" s="23">
        <v>1810.4220290418143</v>
      </c>
      <c r="F24" s="23">
        <v>1838.2320488664682</v>
      </c>
      <c r="G24" s="23">
        <v>1772.9367758665812</v>
      </c>
      <c r="H24" s="23">
        <v>1946.2822062690527</v>
      </c>
      <c r="I24" s="23">
        <v>2059.3595475556158</v>
      </c>
      <c r="J24" s="23">
        <v>2175.2638114826609</v>
      </c>
      <c r="K24" s="23">
        <v>2297.4651972157776</v>
      </c>
      <c r="L24" s="23">
        <v>2372.4498326542493</v>
      </c>
      <c r="M24" s="23">
        <v>2228.0017208899753</v>
      </c>
      <c r="N24" s="23">
        <v>2263.5869255308548</v>
      </c>
      <c r="O24" s="23">
        <v>2166.7766113804041</v>
      </c>
      <c r="P24" s="23">
        <v>2076.5168946136732</v>
      </c>
      <c r="Q24" s="23">
        <v>1818.3844217949954</v>
      </c>
      <c r="R24" s="23">
        <v>1870.1170841444521</v>
      </c>
      <c r="S24" s="23">
        <v>1911.6829500000003</v>
      </c>
      <c r="T24" s="23">
        <v>2074.884786808057</v>
      </c>
      <c r="U24" s="23">
        <v>2322.9671586052641</v>
      </c>
      <c r="V24" s="23">
        <v>2476.8688881844832</v>
      </c>
      <c r="W24" s="23">
        <v>2533.357205384586</v>
      </c>
      <c r="X24" s="23">
        <v>2441.7603341061886</v>
      </c>
      <c r="Y24" s="23">
        <v>3250.4773228257063</v>
      </c>
      <c r="Z24" s="23">
        <v>3619.1546513073754</v>
      </c>
      <c r="AA24" s="23">
        <v>3312.1</v>
      </c>
    </row>
    <row r="25" spans="1:27" ht="12.75" customHeight="1" x14ac:dyDescent="0.2">
      <c r="A25" s="152"/>
      <c r="B25" s="21" t="s">
        <v>65</v>
      </c>
      <c r="C25" s="22" t="s">
        <v>66</v>
      </c>
      <c r="D25" s="23">
        <v>1289.8693182526717</v>
      </c>
      <c r="E25" s="23">
        <v>1202.5162571026176</v>
      </c>
      <c r="F25" s="23">
        <v>1220.8149212909502</v>
      </c>
      <c r="G25" s="23">
        <v>1216.8327207194347</v>
      </c>
      <c r="H25" s="23">
        <v>1198.3481430200359</v>
      </c>
      <c r="I25" s="23">
        <v>1189.1683972038163</v>
      </c>
      <c r="J25" s="23">
        <v>1235.5178974256901</v>
      </c>
      <c r="K25" s="23">
        <v>1236.8926155213912</v>
      </c>
      <c r="L25" s="23">
        <v>1279.1588849160155</v>
      </c>
      <c r="M25" s="23">
        <v>1366.0775113283437</v>
      </c>
      <c r="N25" s="23">
        <v>1496.8637772903999</v>
      </c>
      <c r="O25" s="23">
        <v>1602.7729029181023</v>
      </c>
      <c r="P25" s="23">
        <v>1400.6572930253972</v>
      </c>
      <c r="Q25" s="23">
        <v>1371.9196695971402</v>
      </c>
      <c r="R25" s="23">
        <v>1346.3269437050574</v>
      </c>
      <c r="S25" s="23">
        <v>1444.30501</v>
      </c>
      <c r="T25" s="23">
        <v>1419.5901563474656</v>
      </c>
      <c r="U25" s="23">
        <v>1446.3582198346451</v>
      </c>
      <c r="V25" s="23">
        <v>1599.9714468262146</v>
      </c>
      <c r="W25" s="23">
        <v>1616.9159728436371</v>
      </c>
      <c r="X25" s="23">
        <v>1256.8183224842599</v>
      </c>
      <c r="Y25" s="23">
        <v>1318.2436258881185</v>
      </c>
      <c r="Z25" s="23">
        <v>1483.2957226090664</v>
      </c>
      <c r="AA25" s="23">
        <v>1487.1</v>
      </c>
    </row>
    <row r="26" spans="1:27" ht="12.75" customHeight="1" x14ac:dyDescent="0.2">
      <c r="A26" s="152"/>
      <c r="B26" s="21" t="s">
        <v>67</v>
      </c>
      <c r="C26" s="22" t="s">
        <v>68</v>
      </c>
      <c r="D26" s="23">
        <v>1200.3818196555724</v>
      </c>
      <c r="E26" s="23">
        <v>1246.3624156184742</v>
      </c>
      <c r="F26" s="23">
        <v>1150.4350331246583</v>
      </c>
      <c r="G26" s="23">
        <v>1078.1185021292792</v>
      </c>
      <c r="H26" s="23">
        <v>1064.7013531752496</v>
      </c>
      <c r="I26" s="23">
        <v>1081.2068675000569</v>
      </c>
      <c r="J26" s="23">
        <v>1138.7736641896674</v>
      </c>
      <c r="K26" s="23">
        <v>1182.7083071318602</v>
      </c>
      <c r="L26" s="23">
        <v>1140.8779831199072</v>
      </c>
      <c r="M26" s="23">
        <v>1034.7598238378903</v>
      </c>
      <c r="N26" s="23">
        <v>1033.949740803509</v>
      </c>
      <c r="O26" s="23">
        <v>1138.4393311140961</v>
      </c>
      <c r="P26" s="23">
        <v>1164.3466536867952</v>
      </c>
      <c r="Q26" s="23">
        <v>1110.7034634334846</v>
      </c>
      <c r="R26" s="23">
        <v>1170.3417871757181</v>
      </c>
      <c r="S26" s="23">
        <v>1188.4819900000002</v>
      </c>
      <c r="T26" s="23">
        <v>1376.5758244964484</v>
      </c>
      <c r="U26" s="23">
        <v>1478.4633242800658</v>
      </c>
      <c r="V26" s="23">
        <v>1607.4722145177907</v>
      </c>
      <c r="W26" s="23">
        <v>1630.2864062560793</v>
      </c>
      <c r="X26" s="23">
        <v>502.00404536238489</v>
      </c>
      <c r="Y26" s="23">
        <v>1079.5248152808394</v>
      </c>
      <c r="Z26" s="23">
        <v>1516.1980691345746</v>
      </c>
      <c r="AA26" s="23">
        <v>1742</v>
      </c>
    </row>
    <row r="27" spans="1:27" ht="12.75" customHeight="1" x14ac:dyDescent="0.2">
      <c r="A27" s="152"/>
      <c r="B27" s="21" t="s">
        <v>40</v>
      </c>
      <c r="C27" s="22" t="s">
        <v>41</v>
      </c>
      <c r="D27" s="23">
        <v>569.901715903281</v>
      </c>
      <c r="E27" s="23">
        <v>641.568306541693</v>
      </c>
      <c r="F27" s="23">
        <v>646.87188962499249</v>
      </c>
      <c r="G27" s="23">
        <v>628.1633894796945</v>
      </c>
      <c r="H27" s="23">
        <v>671.21592627929158</v>
      </c>
      <c r="I27" s="23">
        <v>679.33532572807803</v>
      </c>
      <c r="J27" s="23">
        <v>617.95217953821657</v>
      </c>
      <c r="K27" s="23">
        <v>663.59989808530474</v>
      </c>
      <c r="L27" s="23">
        <v>674.21021120904709</v>
      </c>
      <c r="M27" s="23">
        <v>660.61876177384045</v>
      </c>
      <c r="N27" s="23">
        <v>723.05639517495763</v>
      </c>
      <c r="O27" s="23">
        <v>728.64652806167146</v>
      </c>
      <c r="P27" s="23">
        <v>692.06056740581607</v>
      </c>
      <c r="Q27" s="23">
        <v>775.32031204714508</v>
      </c>
      <c r="R27" s="23">
        <v>853.42966111795317</v>
      </c>
      <c r="S27" s="23">
        <v>881.05168500000002</v>
      </c>
      <c r="T27" s="23">
        <v>1135.9534177113305</v>
      </c>
      <c r="U27" s="23">
        <v>1343.0635359667692</v>
      </c>
      <c r="V27" s="23">
        <v>1428.4923577541804</v>
      </c>
      <c r="W27" s="23">
        <v>1627.2270697973001</v>
      </c>
      <c r="X27" s="23">
        <v>1956.143183515876</v>
      </c>
      <c r="Y27" s="23">
        <v>2233.8834590022802</v>
      </c>
      <c r="Z27" s="23">
        <v>2884.9563778954107</v>
      </c>
      <c r="AA27" s="23">
        <v>3089.9</v>
      </c>
    </row>
    <row r="28" spans="1:27" ht="12.75" customHeight="1" x14ac:dyDescent="0.2">
      <c r="A28" s="152"/>
      <c r="B28" s="21" t="s">
        <v>42</v>
      </c>
      <c r="C28" s="22" t="s">
        <v>43</v>
      </c>
      <c r="D28" s="23">
        <v>972.3049157636143</v>
      </c>
      <c r="E28" s="23">
        <v>1040.9926666990432</v>
      </c>
      <c r="F28" s="23">
        <v>1004.5773172065885</v>
      </c>
      <c r="G28" s="23">
        <v>1008.692105012728</v>
      </c>
      <c r="H28" s="23">
        <v>1119.4612954645941</v>
      </c>
      <c r="I28" s="23">
        <v>1245.0059942619032</v>
      </c>
      <c r="J28" s="23">
        <v>1428.4910816967447</v>
      </c>
      <c r="K28" s="23">
        <v>1600.5211093522996</v>
      </c>
      <c r="L28" s="23">
        <v>1578.0006236487613</v>
      </c>
      <c r="M28" s="23">
        <v>1685.0582709638004</v>
      </c>
      <c r="N28" s="23">
        <v>1778.8395125112154</v>
      </c>
      <c r="O28" s="23">
        <v>1935.6870340088381</v>
      </c>
      <c r="P28" s="23">
        <v>2074.8409326325486</v>
      </c>
      <c r="Q28" s="23">
        <v>2163.5589604869097</v>
      </c>
      <c r="R28" s="23">
        <v>2196.6326079615428</v>
      </c>
      <c r="S28" s="23">
        <v>2359.7227200000002</v>
      </c>
      <c r="T28" s="23">
        <v>2256.2013300601643</v>
      </c>
      <c r="U28" s="23">
        <v>2114.0513340256425</v>
      </c>
      <c r="V28" s="23">
        <v>1843.1117164593074</v>
      </c>
      <c r="W28" s="23">
        <v>1760.7047864062565</v>
      </c>
      <c r="X28" s="23">
        <v>2314.1685810188105</v>
      </c>
      <c r="Y28" s="23">
        <v>2602.4317981854479</v>
      </c>
      <c r="Z28" s="23">
        <v>2523.5478986073613</v>
      </c>
      <c r="AA28" s="23">
        <v>2790.2</v>
      </c>
    </row>
    <row r="29" spans="1:27" ht="12.75" customHeight="1" x14ac:dyDescent="0.2">
      <c r="A29" s="152"/>
      <c r="B29" s="21" t="s">
        <v>44</v>
      </c>
      <c r="C29" s="22" t="s">
        <v>45</v>
      </c>
      <c r="D29" s="23">
        <v>904.75347607586889</v>
      </c>
      <c r="E29" s="23">
        <v>930.24575664125109</v>
      </c>
      <c r="F29" s="23">
        <v>1012.3658360177476</v>
      </c>
      <c r="G29" s="23">
        <v>1087.2644945637951</v>
      </c>
      <c r="H29" s="23">
        <v>1214.8845612361249</v>
      </c>
      <c r="I29" s="23">
        <v>1372.3316312589659</v>
      </c>
      <c r="J29" s="23">
        <v>1488.9079197629158</v>
      </c>
      <c r="K29" s="23">
        <v>1580.8177244833792</v>
      </c>
      <c r="L29" s="23">
        <v>1654.6484439963415</v>
      </c>
      <c r="M29" s="23">
        <v>1804.2756987933406</v>
      </c>
      <c r="N29" s="23">
        <v>1872.2120376831822</v>
      </c>
      <c r="O29" s="23">
        <v>1986.145749381923</v>
      </c>
      <c r="P29" s="23">
        <v>2028.249189557278</v>
      </c>
      <c r="Q29" s="23">
        <v>1872.6309583615109</v>
      </c>
      <c r="R29" s="23">
        <v>1693.7848168527273</v>
      </c>
      <c r="S29" s="23">
        <v>1728.6693050000003</v>
      </c>
      <c r="T29" s="23">
        <v>1843.7560063987762</v>
      </c>
      <c r="U29" s="23">
        <v>1860.5838608858892</v>
      </c>
      <c r="V29" s="23">
        <v>2111.1776141136384</v>
      </c>
      <c r="W29" s="23">
        <v>2360.6746586001636</v>
      </c>
      <c r="X29" s="23">
        <v>2427.294661479807</v>
      </c>
      <c r="Y29" s="23">
        <v>2578.5158323951523</v>
      </c>
      <c r="Z29" s="23">
        <v>2754.2781902799493</v>
      </c>
      <c r="AA29" s="23">
        <v>2833.2</v>
      </c>
    </row>
    <row r="30" spans="1:27" ht="12.75" customHeight="1" x14ac:dyDescent="0.2">
      <c r="A30" s="152"/>
      <c r="B30" s="21" t="s">
        <v>69</v>
      </c>
      <c r="C30" s="22" t="s">
        <v>70</v>
      </c>
      <c r="D30" s="23">
        <v>888.62829369879421</v>
      </c>
      <c r="E30" s="23">
        <v>1032.0819957748531</v>
      </c>
      <c r="F30" s="23">
        <v>1097.3314957758466</v>
      </c>
      <c r="G30" s="23">
        <v>1065.3695429781362</v>
      </c>
      <c r="H30" s="23">
        <v>1075.1382728690107</v>
      </c>
      <c r="I30" s="23">
        <v>1119.8024512147915</v>
      </c>
      <c r="J30" s="23">
        <v>1171.1076223018401</v>
      </c>
      <c r="K30" s="23">
        <v>1255.0803554003949</v>
      </c>
      <c r="L30" s="23">
        <v>1377.4812073840014</v>
      </c>
      <c r="M30" s="23">
        <v>1341.6409042309456</v>
      </c>
      <c r="N30" s="23">
        <v>1488.5020586182834</v>
      </c>
      <c r="O30" s="23">
        <v>1544.4902519028985</v>
      </c>
      <c r="P30" s="23">
        <v>1449.9305752704674</v>
      </c>
      <c r="Q30" s="23">
        <v>1349.973456670853</v>
      </c>
      <c r="R30" s="23">
        <v>1414.0135423701877</v>
      </c>
      <c r="S30" s="23">
        <v>1511.4061300000003</v>
      </c>
      <c r="T30" s="23">
        <v>1633.6069682274581</v>
      </c>
      <c r="U30" s="23">
        <v>1829.874630546791</v>
      </c>
      <c r="V30" s="23">
        <v>1953.8922854425864</v>
      </c>
      <c r="W30" s="23">
        <v>2039.2177129128902</v>
      </c>
      <c r="X30" s="23">
        <v>2035.5913698935788</v>
      </c>
      <c r="Y30" s="23">
        <v>2099.7556692935736</v>
      </c>
      <c r="Z30" s="23">
        <v>2100.1629867130882</v>
      </c>
      <c r="AA30" s="23">
        <v>2025.4</v>
      </c>
    </row>
    <row r="31" spans="1:27" ht="12.75" customHeight="1" x14ac:dyDescent="0.2">
      <c r="A31" s="152"/>
      <c r="B31" s="21" t="s">
        <v>71</v>
      </c>
      <c r="C31" s="22" t="s">
        <v>72</v>
      </c>
      <c r="D31" s="23">
        <v>220.37749248668803</v>
      </c>
      <c r="E31" s="23">
        <v>235.35486377543589</v>
      </c>
      <c r="F31" s="23">
        <v>236.91258129216561</v>
      </c>
      <c r="G31" s="23">
        <v>236.54862251088429</v>
      </c>
      <c r="H31" s="23">
        <v>233.40747678775043</v>
      </c>
      <c r="I31" s="23">
        <v>256.24284445658856</v>
      </c>
      <c r="J31" s="23">
        <v>283.27638999469218</v>
      </c>
      <c r="K31" s="23">
        <v>302.11856799011213</v>
      </c>
      <c r="L31" s="23">
        <v>303.92737610177954</v>
      </c>
      <c r="M31" s="23">
        <v>296.56076574512502</v>
      </c>
      <c r="N31" s="23">
        <v>317.86144452198187</v>
      </c>
      <c r="O31" s="23">
        <v>307.96824933325553</v>
      </c>
      <c r="P31" s="23">
        <v>293.62853909307148</v>
      </c>
      <c r="Q31" s="23">
        <v>274.72156796444784</v>
      </c>
      <c r="R31" s="23">
        <v>299.32518076357712</v>
      </c>
      <c r="S31" s="23">
        <v>314.53650000000005</v>
      </c>
      <c r="T31" s="23">
        <v>337.90277582147814</v>
      </c>
      <c r="U31" s="23">
        <v>382.93479650117831</v>
      </c>
      <c r="V31" s="23">
        <v>508.32125663681751</v>
      </c>
      <c r="W31" s="23">
        <v>560.99165953390661</v>
      </c>
      <c r="X31" s="23">
        <v>493.6410783752583</v>
      </c>
      <c r="Y31" s="23">
        <v>588.8617751960719</v>
      </c>
      <c r="Z31" s="23">
        <v>685.05168662071912</v>
      </c>
      <c r="AA31" s="23">
        <v>719.1</v>
      </c>
    </row>
    <row r="32" spans="1:27" ht="12.75" customHeight="1" x14ac:dyDescent="0.2">
      <c r="A32" s="152"/>
      <c r="B32" s="21" t="s">
        <v>73</v>
      </c>
      <c r="C32" s="22" t="s">
        <v>74</v>
      </c>
      <c r="D32" s="23">
        <v>1365.4107131723017</v>
      </c>
      <c r="E32" s="23">
        <v>1366.019996600457</v>
      </c>
      <c r="F32" s="23">
        <v>1484.3500759739857</v>
      </c>
      <c r="G32" s="23">
        <v>1743.697315204719</v>
      </c>
      <c r="H32" s="23">
        <v>1853.9764619644907</v>
      </c>
      <c r="I32" s="23">
        <v>1944.8991051301289</v>
      </c>
      <c r="J32" s="23">
        <v>2022.4826388888914</v>
      </c>
      <c r="K32" s="23">
        <v>2031.3431977361927</v>
      </c>
      <c r="L32" s="23">
        <v>2108.9653822966916</v>
      </c>
      <c r="M32" s="23">
        <v>2204.6327325492593</v>
      </c>
      <c r="N32" s="23">
        <v>2166.0335410228276</v>
      </c>
      <c r="O32" s="23">
        <v>2267.5806517549468</v>
      </c>
      <c r="P32" s="23">
        <v>2264.895021292109</v>
      </c>
      <c r="Q32" s="23">
        <v>2019.2766785817782</v>
      </c>
      <c r="R32" s="23">
        <v>1790.7444231456836</v>
      </c>
      <c r="S32" s="23">
        <v>1760.1229550000014</v>
      </c>
      <c r="T32" s="23">
        <v>1732.9970320140037</v>
      </c>
      <c r="U32" s="23">
        <v>1813.0078184287286</v>
      </c>
      <c r="V32" s="23">
        <v>1830.879695300735</v>
      </c>
      <c r="W32" s="23">
        <v>2010.7772147220123</v>
      </c>
      <c r="X32" s="23">
        <v>2108.0327460928766</v>
      </c>
      <c r="Y32" s="23">
        <v>2108.1317679113781</v>
      </c>
      <c r="Z32" s="23">
        <v>2187.074845459711</v>
      </c>
      <c r="AA32" s="23">
        <v>2322.7000000000025</v>
      </c>
    </row>
    <row r="33" spans="1:27" ht="12.75" customHeight="1" x14ac:dyDescent="0.2">
      <c r="A33" s="152"/>
      <c r="B33" s="21" t="s">
        <v>75</v>
      </c>
      <c r="C33" s="22" t="s">
        <v>76</v>
      </c>
      <c r="D33" s="23">
        <v>768.63369330722912</v>
      </c>
      <c r="E33" s="23">
        <v>808.89090500704185</v>
      </c>
      <c r="F33" s="23">
        <v>870.33157478879241</v>
      </c>
      <c r="G33" s="23">
        <v>965.87223134204078</v>
      </c>
      <c r="H33" s="23">
        <v>985.13678356177127</v>
      </c>
      <c r="I33" s="23">
        <v>1032.3987066511829</v>
      </c>
      <c r="J33" s="23">
        <v>1067.0206177016985</v>
      </c>
      <c r="K33" s="23">
        <v>1085.7070277771754</v>
      </c>
      <c r="L33" s="23">
        <v>1176.9617911192418</v>
      </c>
      <c r="M33" s="23">
        <v>1248.6394480932743</v>
      </c>
      <c r="N33" s="23">
        <v>1309.305782075566</v>
      </c>
      <c r="O33" s="23">
        <v>1218.8331045961575</v>
      </c>
      <c r="P33" s="23">
        <v>1168.2572316427531</v>
      </c>
      <c r="Q33" s="23">
        <v>1165.8503574533861</v>
      </c>
      <c r="R33" s="23">
        <v>1173.6971912121091</v>
      </c>
      <c r="S33" s="23">
        <v>1159.5912300000002</v>
      </c>
      <c r="T33" s="23">
        <v>1206.6281918425659</v>
      </c>
      <c r="U33" s="23">
        <v>1254.4255302152817</v>
      </c>
      <c r="V33" s="23">
        <v>1371.4865232982013</v>
      </c>
      <c r="W33" s="23">
        <v>1410.014181223982</v>
      </c>
      <c r="X33" s="23">
        <v>1481.4883004627429</v>
      </c>
      <c r="Y33" s="23">
        <v>1520.5925346023218</v>
      </c>
      <c r="Z33" s="23">
        <v>1542.9958922481171</v>
      </c>
      <c r="AA33" s="23">
        <v>1530.8</v>
      </c>
    </row>
    <row r="34" spans="1:27" ht="12.75" customHeight="1" x14ac:dyDescent="0.2">
      <c r="A34" s="152"/>
      <c r="B34" s="21" t="s">
        <v>77</v>
      </c>
      <c r="C34" s="22" t="s">
        <v>78</v>
      </c>
      <c r="D34" s="23">
        <v>481.72166452594439</v>
      </c>
      <c r="E34" s="23">
        <v>501.96779539604677</v>
      </c>
      <c r="F34" s="23">
        <v>541.65608095788002</v>
      </c>
      <c r="G34" s="23">
        <v>584.09633502248232</v>
      </c>
      <c r="H34" s="23">
        <v>599.37738812742884</v>
      </c>
      <c r="I34" s="23">
        <v>627.47665482614934</v>
      </c>
      <c r="J34" s="23">
        <v>641.78398133404107</v>
      </c>
      <c r="K34" s="23">
        <v>652.48516815924722</v>
      </c>
      <c r="L34" s="23">
        <v>708.3566335439881</v>
      </c>
      <c r="M34" s="23">
        <v>734.04720737233345</v>
      </c>
      <c r="N34" s="23">
        <v>774.15578706011365</v>
      </c>
      <c r="O34" s="23">
        <v>772.86877299538639</v>
      </c>
      <c r="P34" s="23">
        <v>766.80847176398379</v>
      </c>
      <c r="Q34" s="23">
        <v>746.84650758380826</v>
      </c>
      <c r="R34" s="23">
        <v>746.750953478209</v>
      </c>
      <c r="S34" s="23">
        <v>732.17107500000009</v>
      </c>
      <c r="T34" s="23">
        <v>766.75683642875822</v>
      </c>
      <c r="U34" s="23">
        <v>806.34994208571334</v>
      </c>
      <c r="V34" s="23">
        <v>865.35779875584433</v>
      </c>
      <c r="W34" s="23">
        <v>934.57063377815825</v>
      </c>
      <c r="X34" s="23">
        <v>1068.4255391391234</v>
      </c>
      <c r="Y34" s="23">
        <v>1187.4221908969644</v>
      </c>
      <c r="Z34" s="23">
        <v>1174.1378250675004</v>
      </c>
      <c r="AA34" s="23">
        <v>1177.5999999999999</v>
      </c>
    </row>
    <row r="35" spans="1:27" ht="12.75" customHeight="1" x14ac:dyDescent="0.2">
      <c r="A35" s="152"/>
      <c r="B35" s="21" t="s">
        <v>79</v>
      </c>
      <c r="C35" s="22" t="s">
        <v>80</v>
      </c>
      <c r="D35" s="23">
        <v>169.67759474255217</v>
      </c>
      <c r="E35" s="23">
        <v>196.17619955320285</v>
      </c>
      <c r="F35" s="23">
        <v>218.64496444417429</v>
      </c>
      <c r="G35" s="23">
        <v>221.02815050079698</v>
      </c>
      <c r="H35" s="23">
        <v>220.66630209666536</v>
      </c>
      <c r="I35" s="23">
        <v>238.20504588200473</v>
      </c>
      <c r="J35" s="23">
        <v>251.97299628450111</v>
      </c>
      <c r="K35" s="23">
        <v>274.0791356766486</v>
      </c>
      <c r="L35" s="23">
        <v>282.01070077332446</v>
      </c>
      <c r="M35" s="23">
        <v>291.8157934932031</v>
      </c>
      <c r="N35" s="23">
        <v>341.43684577808796</v>
      </c>
      <c r="O35" s="23">
        <v>393.12441842356276</v>
      </c>
      <c r="P35" s="23">
        <v>386.25337124990415</v>
      </c>
      <c r="Q35" s="23">
        <v>303.42046179113129</v>
      </c>
      <c r="R35" s="23">
        <v>301.75495610027411</v>
      </c>
      <c r="S35" s="23">
        <v>306.38185000000004</v>
      </c>
      <c r="T35" s="23">
        <v>320.20478097269444</v>
      </c>
      <c r="U35" s="23">
        <v>337.21991951911173</v>
      </c>
      <c r="V35" s="23">
        <v>359.92145276963311</v>
      </c>
      <c r="W35" s="23">
        <v>388.64903902268225</v>
      </c>
      <c r="X35" s="23">
        <v>281.28952474267817</v>
      </c>
      <c r="Y35" s="23">
        <v>342.97919603409622</v>
      </c>
      <c r="Z35" s="23">
        <v>395.75935679266735</v>
      </c>
      <c r="AA35" s="23">
        <v>405.70000000000005</v>
      </c>
    </row>
    <row r="36" spans="1:27" ht="12.75" customHeight="1" x14ac:dyDescent="0.2">
      <c r="A36" s="152"/>
      <c r="B36" s="21" t="s">
        <v>81</v>
      </c>
      <c r="C36" s="22" t="s">
        <v>82</v>
      </c>
      <c r="D36" s="23">
        <v>283.57077477522415</v>
      </c>
      <c r="E36" s="23">
        <v>284.43427346899131</v>
      </c>
      <c r="F36" s="23">
        <v>288.45841487874554</v>
      </c>
      <c r="G36" s="23">
        <v>300.98629648133607</v>
      </c>
      <c r="H36" s="23">
        <v>322.7312440369534</v>
      </c>
      <c r="I36" s="23">
        <v>336.21926019536852</v>
      </c>
      <c r="J36" s="23">
        <v>349.36133227176219</v>
      </c>
      <c r="K36" s="23">
        <v>354.78723138972612</v>
      </c>
      <c r="L36" s="23">
        <v>420.17051596540836</v>
      </c>
      <c r="M36" s="23">
        <v>382.44476350491323</v>
      </c>
      <c r="N36" s="23">
        <v>381.2711444521982</v>
      </c>
      <c r="O36" s="23">
        <v>334.5015962934844</v>
      </c>
      <c r="P36" s="23">
        <v>315.75123724391938</v>
      </c>
      <c r="Q36" s="23">
        <v>278.88572118635881</v>
      </c>
      <c r="R36" s="23">
        <v>286.94489690516866</v>
      </c>
      <c r="S36" s="23">
        <v>302.53751500000004</v>
      </c>
      <c r="T36" s="23">
        <v>322.08006519508217</v>
      </c>
      <c r="U36" s="23">
        <v>334.89346267524064</v>
      </c>
      <c r="V36" s="23">
        <v>340.07326749346225</v>
      </c>
      <c r="W36" s="23">
        <v>344.34531474925109</v>
      </c>
      <c r="X36" s="23">
        <v>277.67310658608278</v>
      </c>
      <c r="Y36" s="23">
        <v>320.27556030690351</v>
      </c>
      <c r="Z36" s="23">
        <v>360.99461329401737</v>
      </c>
      <c r="AA36" s="23">
        <v>374.2</v>
      </c>
    </row>
    <row r="37" spans="1:27" ht="12.75" customHeight="1" x14ac:dyDescent="0.2">
      <c r="A37" s="152"/>
      <c r="B37" s="21" t="s">
        <v>83</v>
      </c>
      <c r="C37" s="22" t="s">
        <v>84</v>
      </c>
      <c r="D37" s="23">
        <v>69.730518387350202</v>
      </c>
      <c r="E37" s="23">
        <v>81.610430527900547</v>
      </c>
      <c r="F37" s="23">
        <v>93.320616300978557</v>
      </c>
      <c r="G37" s="23">
        <v>104.34745913924773</v>
      </c>
      <c r="H37" s="23">
        <v>119.14353780280642</v>
      </c>
      <c r="I37" s="23">
        <v>130.11088530637338</v>
      </c>
      <c r="J37" s="23">
        <v>163.7309193648266</v>
      </c>
      <c r="K37" s="23">
        <v>168.36289762994127</v>
      </c>
      <c r="L37" s="23">
        <v>199.67181003658743</v>
      </c>
      <c r="M37" s="23">
        <v>223.96269029071843</v>
      </c>
      <c r="N37" s="23">
        <v>244.8125411225202</v>
      </c>
      <c r="O37" s="23">
        <v>261.5915873386673</v>
      </c>
      <c r="P37" s="23">
        <v>243.23794886058468</v>
      </c>
      <c r="Q37" s="23">
        <v>202.24279296686308</v>
      </c>
      <c r="R37" s="23">
        <v>194.72913769814471</v>
      </c>
      <c r="S37" s="23">
        <v>185.57653500000004</v>
      </c>
      <c r="T37" s="23">
        <v>190.81016962794533</v>
      </c>
      <c r="U37" s="23">
        <v>193.21224088349246</v>
      </c>
      <c r="V37" s="23">
        <v>198.82804203978131</v>
      </c>
      <c r="W37" s="23">
        <v>214.1535521145392</v>
      </c>
      <c r="X37" s="23">
        <v>207.49199173465524</v>
      </c>
      <c r="Y37" s="23">
        <v>219.10110594980182</v>
      </c>
      <c r="Z37" s="23">
        <v>214.6929844038653</v>
      </c>
      <c r="AA37" s="23">
        <v>210.8</v>
      </c>
    </row>
    <row r="38" spans="1:27" ht="12.75" customHeight="1" x14ac:dyDescent="0.2">
      <c r="A38" s="152"/>
      <c r="B38" s="21" t="s">
        <v>85</v>
      </c>
      <c r="C38" s="22" t="s">
        <v>86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  <c r="Z38" s="23">
        <v>0</v>
      </c>
      <c r="AA38" s="23">
        <v>0</v>
      </c>
    </row>
    <row r="39" spans="1:27" ht="12.75" customHeight="1" x14ac:dyDescent="0.2">
      <c r="A39" s="153"/>
      <c r="B39" s="28" t="s">
        <v>52</v>
      </c>
      <c r="C39" s="29" t="s">
        <v>53</v>
      </c>
      <c r="D39" s="30">
        <f>SUM(D18:D38)</f>
        <v>14301.584049332221</v>
      </c>
      <c r="E39" s="30">
        <f t="shared" ref="E39:S39" si="3">SUM(E18:E38)</f>
        <v>14866.81796051673</v>
      </c>
      <c r="F39" s="30">
        <f t="shared" si="3"/>
        <v>15420.417589497354</v>
      </c>
      <c r="G39" s="30">
        <f t="shared" si="3"/>
        <v>15824.922697642327</v>
      </c>
      <c r="H39" s="30">
        <f t="shared" si="3"/>
        <v>16620.320206874087</v>
      </c>
      <c r="I39" s="30">
        <f t="shared" si="3"/>
        <v>17426.768147869843</v>
      </c>
      <c r="J39" s="30">
        <f t="shared" si="3"/>
        <v>18248.203865888183</v>
      </c>
      <c r="K39" s="30">
        <f t="shared" si="3"/>
        <v>19178.719094910772</v>
      </c>
      <c r="L39" s="30">
        <f t="shared" si="3"/>
        <v>19878.182349700648</v>
      </c>
      <c r="M39" s="30">
        <f t="shared" si="3"/>
        <v>19477.517972608322</v>
      </c>
      <c r="N39" s="30">
        <f t="shared" si="3"/>
        <v>19929.343510118633</v>
      </c>
      <c r="O39" s="30">
        <f t="shared" si="3"/>
        <v>20012.380078451981</v>
      </c>
      <c r="P39" s="30">
        <f t="shared" si="3"/>
        <v>19322.612603583217</v>
      </c>
      <c r="Q39" s="30">
        <f t="shared" si="3"/>
        <v>18049.690957395418</v>
      </c>
      <c r="R39" s="30">
        <f t="shared" si="3"/>
        <v>17729.029299590798</v>
      </c>
      <c r="S39" s="30">
        <f t="shared" si="3"/>
        <v>18307.072755000005</v>
      </c>
      <c r="T39" s="30">
        <f t="shared" ref="T39:Y39" si="4">SUM(T18:T38)</f>
        <v>19510.574254985208</v>
      </c>
      <c r="U39" s="30">
        <f t="shared" si="4"/>
        <v>20636.25381934737</v>
      </c>
      <c r="V39" s="30">
        <f t="shared" si="4"/>
        <v>21953.708465409301</v>
      </c>
      <c r="W39" s="30">
        <f t="shared" si="4"/>
        <v>23286.422727891684</v>
      </c>
      <c r="X39" s="30">
        <f t="shared" si="4"/>
        <v>22555.826068819671</v>
      </c>
      <c r="Y39" s="30">
        <f t="shared" si="4"/>
        <v>25124.658863208486</v>
      </c>
      <c r="Z39" s="30">
        <f t="shared" ref="Z39:AA39" si="5">SUM(Z18:Z38)</f>
        <v>26934.812757567142</v>
      </c>
      <c r="AA39" s="30">
        <f t="shared" si="5"/>
        <v>27679.200000000004</v>
      </c>
    </row>
    <row r="40" spans="1:27" ht="12.75" customHeight="1" x14ac:dyDescent="0.2">
      <c r="C40" s="12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 spans="1:27" ht="12.75" customHeight="1" x14ac:dyDescent="0.2">
      <c r="A41" s="151" t="s">
        <v>87</v>
      </c>
      <c r="B41" s="17" t="s">
        <v>88</v>
      </c>
      <c r="C41" s="18" t="s">
        <v>89</v>
      </c>
      <c r="D41" s="19">
        <v>482.01220835255833</v>
      </c>
      <c r="E41" s="19">
        <v>496.31022655529114</v>
      </c>
      <c r="F41" s="19">
        <v>519.14018112198391</v>
      </c>
      <c r="G41" s="19">
        <v>512.72987890467016</v>
      </c>
      <c r="H41" s="19">
        <v>527.40330556395884</v>
      </c>
      <c r="I41" s="19">
        <v>522.69826604731657</v>
      </c>
      <c r="J41" s="19">
        <v>416.86330060155706</v>
      </c>
      <c r="K41" s="19">
        <v>381.05841121495325</v>
      </c>
      <c r="L41" s="19">
        <v>384.32888117412278</v>
      </c>
      <c r="M41" s="19">
        <v>422.30253042105801</v>
      </c>
      <c r="N41" s="19">
        <v>380.69046954441234</v>
      </c>
      <c r="O41" s="19">
        <v>345.27368159785084</v>
      </c>
      <c r="P41" s="19">
        <v>317.20373762756083</v>
      </c>
      <c r="Q41" s="19">
        <v>289.23983190029946</v>
      </c>
      <c r="R41" s="19">
        <v>292.96148345318022</v>
      </c>
      <c r="S41" s="19">
        <v>297.06225000000006</v>
      </c>
      <c r="T41" s="19">
        <v>354.78033382296712</v>
      </c>
      <c r="U41" s="19">
        <v>373.62896912569403</v>
      </c>
      <c r="V41" s="19">
        <v>419.00442289404873</v>
      </c>
      <c r="W41" s="19">
        <v>437.03187857448552</v>
      </c>
      <c r="X41" s="19">
        <v>418.0353362889378</v>
      </c>
      <c r="Y41" s="19">
        <v>416.15984711592137</v>
      </c>
      <c r="Z41" s="19">
        <v>369.16846667614044</v>
      </c>
      <c r="AA41" s="19">
        <v>374.26641072343511</v>
      </c>
    </row>
    <row r="42" spans="1:27" ht="12.75" customHeight="1" x14ac:dyDescent="0.2">
      <c r="A42" s="152"/>
      <c r="B42" s="21" t="s">
        <v>90</v>
      </c>
      <c r="C42" s="22" t="s">
        <v>91</v>
      </c>
      <c r="D42" s="23">
        <v>96.315278522527464</v>
      </c>
      <c r="E42" s="23">
        <v>83.732018843183923</v>
      </c>
      <c r="F42" s="23">
        <v>78.310016410381095</v>
      </c>
      <c r="G42" s="23">
        <v>63.744795755715749</v>
      </c>
      <c r="H42" s="23">
        <v>50.829154352733113</v>
      </c>
      <c r="I42" s="23">
        <v>48.012375617642377</v>
      </c>
      <c r="J42" s="23">
        <v>45.860115888181177</v>
      </c>
      <c r="K42" s="23">
        <v>43.574793460112325</v>
      </c>
      <c r="L42" s="23">
        <v>35.478374979211715</v>
      </c>
      <c r="M42" s="23">
        <v>29.774700880810553</v>
      </c>
      <c r="N42" s="23">
        <v>24.504481108563457</v>
      </c>
      <c r="O42" s="23">
        <v>22.564683953357083</v>
      </c>
      <c r="P42" s="23">
        <v>17.094812207473339</v>
      </c>
      <c r="Q42" s="23">
        <v>12.830093710752584</v>
      </c>
      <c r="R42" s="23">
        <v>13.421616145564339</v>
      </c>
      <c r="S42" s="23">
        <v>14.561875000000002</v>
      </c>
      <c r="T42" s="23">
        <v>15.822710626395958</v>
      </c>
      <c r="U42" s="23">
        <v>17.564749171226588</v>
      </c>
      <c r="V42" s="23">
        <v>20.4251674062921</v>
      </c>
      <c r="W42" s="23">
        <v>21.188737695988799</v>
      </c>
      <c r="X42" s="23">
        <v>17.290999311221274</v>
      </c>
      <c r="Y42" s="23">
        <v>18.515586418293111</v>
      </c>
      <c r="Z42" s="23">
        <v>19.7621012150064</v>
      </c>
      <c r="AA42" s="23">
        <v>22.10119215589598</v>
      </c>
    </row>
    <row r="43" spans="1:27" ht="12.75" customHeight="1" x14ac:dyDescent="0.2">
      <c r="A43" s="152"/>
      <c r="B43" s="21" t="s">
        <v>92</v>
      </c>
      <c r="C43" s="22" t="s">
        <v>93</v>
      </c>
      <c r="D43" s="23">
        <v>156.89366637153796</v>
      </c>
      <c r="E43" s="23">
        <v>155.30026467874313</v>
      </c>
      <c r="F43" s="23">
        <v>162.00119127210846</v>
      </c>
      <c r="G43" s="23">
        <v>164.90501510717769</v>
      </c>
      <c r="H43" s="23">
        <v>171.73476950643428</v>
      </c>
      <c r="I43" s="23">
        <v>168.70646902110801</v>
      </c>
      <c r="J43" s="23">
        <v>170.68722907820242</v>
      </c>
      <c r="K43" s="23">
        <v>179.22502005767939</v>
      </c>
      <c r="L43" s="23">
        <v>177.27078829203396</v>
      </c>
      <c r="M43" s="23">
        <v>155.04196833155135</v>
      </c>
      <c r="N43" s="23">
        <v>146.33007676203769</v>
      </c>
      <c r="O43" s="23">
        <v>130.85248885514611</v>
      </c>
      <c r="P43" s="23">
        <v>110.7252215529809</v>
      </c>
      <c r="Q43" s="23">
        <v>80.244358033040271</v>
      </c>
      <c r="R43" s="23">
        <v>77.521403599380236</v>
      </c>
      <c r="S43" s="23">
        <v>81.662995000000009</v>
      </c>
      <c r="T43" s="23">
        <v>92.123337424794244</v>
      </c>
      <c r="U43" s="23">
        <v>103.17836102568201</v>
      </c>
      <c r="V43" s="23">
        <v>113.20389392978841</v>
      </c>
      <c r="W43" s="23">
        <v>122.2601495934327</v>
      </c>
      <c r="X43" s="23">
        <v>106.2322833499869</v>
      </c>
      <c r="Y43" s="23">
        <v>105.91356278559333</v>
      </c>
      <c r="Z43" s="23">
        <v>104.39769699445789</v>
      </c>
      <c r="AA43" s="23">
        <v>112.20064306075504</v>
      </c>
    </row>
    <row r="44" spans="1:27" ht="12.75" customHeight="1" x14ac:dyDescent="0.2">
      <c r="A44" s="152"/>
      <c r="B44" s="21" t="s">
        <v>94</v>
      </c>
      <c r="C44" s="22" t="s">
        <v>95</v>
      </c>
      <c r="D44" s="23">
        <v>12.493384544400245</v>
      </c>
      <c r="E44" s="23">
        <v>12.729529891700258</v>
      </c>
      <c r="F44" s="23">
        <v>12.744848963714825</v>
      </c>
      <c r="G44" s="23">
        <v>15.936198938928937</v>
      </c>
      <c r="H44" s="23">
        <v>6.6416761687571269</v>
      </c>
      <c r="I44" s="23">
        <v>0.66315435935970124</v>
      </c>
      <c r="J44" s="23">
        <v>0.5152822009907998</v>
      </c>
      <c r="K44" s="23">
        <v>0.3789112474792376</v>
      </c>
      <c r="L44" s="23">
        <v>0.48434641609845341</v>
      </c>
      <c r="M44" s="23">
        <v>0.71174583778830003</v>
      </c>
      <c r="N44" s="23">
        <v>0.34840494467151828</v>
      </c>
      <c r="O44" s="23">
        <v>0.3401711148747299</v>
      </c>
      <c r="P44" s="23">
        <v>0.44692319496662325</v>
      </c>
      <c r="Q44" s="23">
        <v>0.45017872669307313</v>
      </c>
      <c r="R44" s="23">
        <v>0.69422152477056931</v>
      </c>
      <c r="S44" s="23">
        <v>1.3979400000000002</v>
      </c>
      <c r="T44" s="23">
        <v>1.5236684306899813</v>
      </c>
      <c r="U44" s="23">
        <v>1.3958741063226425</v>
      </c>
      <c r="V44" s="23">
        <v>2.7695142245819797</v>
      </c>
      <c r="W44" s="23">
        <v>2.6061014278488894</v>
      </c>
      <c r="X44" s="23">
        <v>2.0342352130848558</v>
      </c>
      <c r="Y44" s="23">
        <v>2.3144483022866389</v>
      </c>
      <c r="Z44" s="23">
        <v>5.0698584268864586</v>
      </c>
      <c r="AA44" s="23">
        <v>6.8566093426786026</v>
      </c>
    </row>
    <row r="45" spans="1:27" ht="12.75" customHeight="1" x14ac:dyDescent="0.2">
      <c r="A45" s="152"/>
      <c r="B45" s="21" t="s">
        <v>96</v>
      </c>
      <c r="C45" s="22" t="s">
        <v>97</v>
      </c>
      <c r="D45" s="23">
        <v>41.983582945717103</v>
      </c>
      <c r="E45" s="23">
        <v>37.057075906949635</v>
      </c>
      <c r="F45" s="23">
        <v>36.818452561842825</v>
      </c>
      <c r="G45" s="23">
        <v>34.782486379749244</v>
      </c>
      <c r="H45" s="23">
        <v>38.35906848486259</v>
      </c>
      <c r="I45" s="23">
        <v>30.505100530546258</v>
      </c>
      <c r="J45" s="23">
        <v>33.235701963906585</v>
      </c>
      <c r="K45" s="23">
        <v>33.217886029013165</v>
      </c>
      <c r="L45" s="23">
        <v>28.697525153833364</v>
      </c>
      <c r="M45" s="23">
        <v>28.232584898935905</v>
      </c>
      <c r="N45" s="23">
        <v>33.563009670022929</v>
      </c>
      <c r="O45" s="23">
        <v>27.66725067647803</v>
      </c>
      <c r="P45" s="23">
        <v>23.351736937006063</v>
      </c>
      <c r="Q45" s="23">
        <v>20.9333107912279</v>
      </c>
      <c r="R45" s="23">
        <v>20.016720630884748</v>
      </c>
      <c r="S45" s="23">
        <v>22.483535000000003</v>
      </c>
      <c r="T45" s="23">
        <v>25.316337002233535</v>
      </c>
      <c r="U45" s="23">
        <v>27.10322223109798</v>
      </c>
      <c r="V45" s="23">
        <v>31.387827878595768</v>
      </c>
      <c r="W45" s="23">
        <v>31.499834649651795</v>
      </c>
      <c r="X45" s="23">
        <v>33.225841813719306</v>
      </c>
      <c r="Y45" s="23">
        <v>31.630793464584066</v>
      </c>
      <c r="Z45" s="23">
        <v>30.626083558334521</v>
      </c>
      <c r="AA45" s="23">
        <v>32.62247513051404</v>
      </c>
    </row>
    <row r="46" spans="1:27" ht="12.75" customHeight="1" x14ac:dyDescent="0.2">
      <c r="A46" s="152"/>
      <c r="B46" s="21" t="s">
        <v>98</v>
      </c>
      <c r="C46" s="22" t="s">
        <v>99</v>
      </c>
      <c r="D46" s="23">
        <v>40.966679552568245</v>
      </c>
      <c r="E46" s="23">
        <v>41.866009421591961</v>
      </c>
      <c r="F46" s="23">
        <v>42.341220446119252</v>
      </c>
      <c r="G46" s="23">
        <v>41.018390312373612</v>
      </c>
      <c r="H46" s="23">
        <v>44.45856700719056</v>
      </c>
      <c r="I46" s="23">
        <v>52.919717876904159</v>
      </c>
      <c r="J46" s="23">
        <v>53.589348903043174</v>
      </c>
      <c r="K46" s="23">
        <v>50.900410911377584</v>
      </c>
      <c r="L46" s="23">
        <v>54.246798603026782</v>
      </c>
      <c r="M46" s="23">
        <v>54.211307978208858</v>
      </c>
      <c r="N46" s="23">
        <v>64.22264480111653</v>
      </c>
      <c r="O46" s="23">
        <v>64.745902197823597</v>
      </c>
      <c r="P46" s="23">
        <v>68.379248829893356</v>
      </c>
      <c r="Q46" s="23">
        <v>76.530383537822431</v>
      </c>
      <c r="R46" s="23">
        <v>85.620654721703545</v>
      </c>
      <c r="S46" s="23">
        <v>103.09807500000001</v>
      </c>
      <c r="T46" s="23">
        <v>116.61923757973317</v>
      </c>
      <c r="U46" s="23">
        <v>145.7525212685226</v>
      </c>
      <c r="V46" s="23">
        <v>159.59325719153659</v>
      </c>
      <c r="W46" s="23">
        <v>176.308427031864</v>
      </c>
      <c r="X46" s="23">
        <v>226.36517398938699</v>
      </c>
      <c r="Y46" s="23">
        <v>176.33891826945819</v>
      </c>
      <c r="Z46" s="23">
        <v>174.03065049026574</v>
      </c>
      <c r="AA46" s="23">
        <v>189.03424545930966</v>
      </c>
    </row>
    <row r="47" spans="1:27" ht="12.75" customHeight="1" x14ac:dyDescent="0.2">
      <c r="A47" s="152"/>
      <c r="B47" s="21" t="s">
        <v>100</v>
      </c>
      <c r="C47" s="22" t="s">
        <v>101</v>
      </c>
      <c r="D47" s="23">
        <v>186.81968051277576</v>
      </c>
      <c r="E47" s="23">
        <v>186.27545408188041</v>
      </c>
      <c r="F47" s="23">
        <v>209.29874187078349</v>
      </c>
      <c r="G47" s="23">
        <v>216.87088121238074</v>
      </c>
      <c r="H47" s="23">
        <v>240.99796383775862</v>
      </c>
      <c r="I47" s="23">
        <v>254.12075050663751</v>
      </c>
      <c r="J47" s="23">
        <v>264.33976910828028</v>
      </c>
      <c r="K47" s="23">
        <v>267.63764446950148</v>
      </c>
      <c r="L47" s="23">
        <v>264.57422979378021</v>
      </c>
      <c r="M47" s="23">
        <v>225.74205488518919</v>
      </c>
      <c r="N47" s="23">
        <v>206.37186222709599</v>
      </c>
      <c r="O47" s="23">
        <v>180.63086199848161</v>
      </c>
      <c r="P47" s="23">
        <v>129.04907254661245</v>
      </c>
      <c r="Q47" s="23">
        <v>94.650077287218608</v>
      </c>
      <c r="R47" s="23">
        <v>108.52996503913234</v>
      </c>
      <c r="S47" s="23">
        <v>125.11563000000002</v>
      </c>
      <c r="T47" s="23">
        <v>152.0152272773004</v>
      </c>
      <c r="U47" s="23">
        <v>158.19906538323283</v>
      </c>
      <c r="V47" s="23">
        <v>176.32573896505272</v>
      </c>
      <c r="W47" s="23">
        <v>195.68422460413183</v>
      </c>
      <c r="X47" s="23">
        <v>212.23854056518661</v>
      </c>
      <c r="Y47" s="23">
        <v>199.26297764448779</v>
      </c>
      <c r="Z47" s="23">
        <v>176.82424594997872</v>
      </c>
      <c r="AA47" s="23">
        <v>180.31596129413646</v>
      </c>
    </row>
    <row r="48" spans="1:27" ht="12.75" customHeight="1" x14ac:dyDescent="0.2">
      <c r="A48" s="152"/>
      <c r="B48" s="21" t="s">
        <v>102</v>
      </c>
      <c r="C48" s="22" t="s">
        <v>103</v>
      </c>
      <c r="D48" s="23">
        <v>113.02154855283013</v>
      </c>
      <c r="E48" s="23">
        <v>109.75683551065998</v>
      </c>
      <c r="F48" s="23">
        <v>114.98685953929376</v>
      </c>
      <c r="G48" s="23">
        <v>128.59819665500916</v>
      </c>
      <c r="H48" s="23">
        <v>146.93014218230053</v>
      </c>
      <c r="I48" s="23">
        <v>153.71918049957875</v>
      </c>
      <c r="J48" s="23">
        <v>164.11738101556972</v>
      </c>
      <c r="K48" s="23">
        <v>178.46719756272094</v>
      </c>
      <c r="L48" s="23">
        <v>173.27493035922171</v>
      </c>
      <c r="M48" s="23">
        <v>147.33138842217812</v>
      </c>
      <c r="N48" s="23">
        <v>153.53044561858238</v>
      </c>
      <c r="O48" s="23">
        <v>141.39779341626274</v>
      </c>
      <c r="P48" s="23">
        <v>131.7306117164122</v>
      </c>
      <c r="Q48" s="23">
        <v>97.463694329050327</v>
      </c>
      <c r="R48" s="23">
        <v>92.678573556870987</v>
      </c>
      <c r="S48" s="23">
        <v>85.39083500000001</v>
      </c>
      <c r="T48" s="23">
        <v>98.686832203151084</v>
      </c>
      <c r="U48" s="23">
        <v>118.41665335303752</v>
      </c>
      <c r="V48" s="23">
        <v>151.28471451779063</v>
      </c>
      <c r="W48" s="23">
        <v>165.20416877407311</v>
      </c>
      <c r="X48" s="23">
        <v>167.25933974253257</v>
      </c>
      <c r="Y48" s="23">
        <v>181.95972128929719</v>
      </c>
      <c r="Z48" s="23">
        <v>169.06425856188719</v>
      </c>
      <c r="AA48" s="23">
        <v>176.41066299725551</v>
      </c>
    </row>
    <row r="49" spans="1:27" ht="12.75" customHeight="1" x14ac:dyDescent="0.2">
      <c r="A49" s="152"/>
      <c r="B49" s="21" t="s">
        <v>104</v>
      </c>
      <c r="C49" s="22" t="s">
        <v>105</v>
      </c>
      <c r="D49" s="23">
        <v>5.0845169657442861</v>
      </c>
      <c r="E49" s="23">
        <v>5.091811956680103</v>
      </c>
      <c r="F49" s="23">
        <v>5.0979395854859302</v>
      </c>
      <c r="G49" s="23">
        <v>5.5430257178883258</v>
      </c>
      <c r="H49" s="23">
        <v>6.6416761687571269</v>
      </c>
      <c r="I49" s="23">
        <v>7.5599596967005942</v>
      </c>
      <c r="J49" s="23">
        <v>14.041439976999294</v>
      </c>
      <c r="K49" s="23">
        <v>14.65123490253052</v>
      </c>
      <c r="L49" s="23">
        <v>14.40930587892899</v>
      </c>
      <c r="M49" s="23">
        <v>10.676187566824501</v>
      </c>
      <c r="N49" s="23">
        <v>5.5744791147442925</v>
      </c>
      <c r="O49" s="23">
        <v>2.4945881757480195</v>
      </c>
      <c r="P49" s="23">
        <v>2.4580775723164279</v>
      </c>
      <c r="Q49" s="23">
        <v>14.29317457250507</v>
      </c>
      <c r="R49" s="23">
        <v>23.025013904890546</v>
      </c>
      <c r="S49" s="23">
        <v>31.337155000000003</v>
      </c>
      <c r="T49" s="23">
        <v>10.43126848703141</v>
      </c>
      <c r="U49" s="23">
        <v>17.797394855613696</v>
      </c>
      <c r="V49" s="23">
        <v>40.388749108487204</v>
      </c>
      <c r="W49" s="23">
        <v>42.830710422907835</v>
      </c>
      <c r="X49" s="23">
        <v>38.311429846431444</v>
      </c>
      <c r="Y49" s="23">
        <v>55.436547430960921</v>
      </c>
      <c r="Z49" s="23">
        <v>21.624498188148358</v>
      </c>
      <c r="AA49" s="23">
        <v>14.620281247380502</v>
      </c>
    </row>
    <row r="50" spans="1:27" ht="12.75" customHeight="1" x14ac:dyDescent="0.2">
      <c r="A50" s="152"/>
      <c r="B50" s="21" t="s">
        <v>106</v>
      </c>
      <c r="C50" s="22" t="s">
        <v>107</v>
      </c>
      <c r="D50" s="23">
        <v>12.057568804479308</v>
      </c>
      <c r="E50" s="23">
        <v>9.9007454713224217</v>
      </c>
      <c r="F50" s="23">
        <v>10.337488603902024</v>
      </c>
      <c r="G50" s="23">
        <v>8.7302655056741134</v>
      </c>
      <c r="H50" s="23">
        <v>8.5392979312591617</v>
      </c>
      <c r="I50" s="23">
        <v>9.1515301591638778</v>
      </c>
      <c r="J50" s="23">
        <v>10.176823469568296</v>
      </c>
      <c r="K50" s="23">
        <v>13.135589912613572</v>
      </c>
      <c r="L50" s="23">
        <v>14.772565691002828</v>
      </c>
      <c r="M50" s="23">
        <v>17.912270251005552</v>
      </c>
      <c r="N50" s="23">
        <v>20.439756754062408</v>
      </c>
      <c r="O50" s="23">
        <v>18.029069088360686</v>
      </c>
      <c r="P50" s="23">
        <v>13.631157446482009</v>
      </c>
      <c r="Q50" s="23">
        <v>10.804289440633754</v>
      </c>
      <c r="R50" s="23">
        <v>10.529026459020301</v>
      </c>
      <c r="S50" s="23">
        <v>10.251560000000001</v>
      </c>
      <c r="T50" s="23">
        <v>10.900089542628328</v>
      </c>
      <c r="U50" s="23">
        <v>11.981252745936017</v>
      </c>
      <c r="V50" s="23">
        <v>14.424553253031144</v>
      </c>
      <c r="W50" s="23">
        <v>15.296682293895657</v>
      </c>
      <c r="X50" s="23">
        <v>18.534143052550903</v>
      </c>
      <c r="Y50" s="23">
        <v>17.964527298701057</v>
      </c>
      <c r="Z50" s="23">
        <v>16.451173262754018</v>
      </c>
      <c r="AA50" s="23">
        <v>17.042063326952153</v>
      </c>
    </row>
    <row r="51" spans="1:27" ht="12.75" customHeight="1" x14ac:dyDescent="0.2">
      <c r="A51" s="152"/>
      <c r="B51" s="21" t="s">
        <v>108</v>
      </c>
      <c r="C51" s="22" t="s">
        <v>109</v>
      </c>
      <c r="D51" s="23">
        <v>26.148944395256326</v>
      </c>
      <c r="E51" s="23">
        <v>28.004965761740568</v>
      </c>
      <c r="F51" s="23">
        <v>29.029933750683767</v>
      </c>
      <c r="G51" s="23">
        <v>29.378036304808127</v>
      </c>
      <c r="H51" s="23">
        <v>30.633037023247155</v>
      </c>
      <c r="I51" s="23">
        <v>27.719852221235509</v>
      </c>
      <c r="J51" s="23">
        <v>28.855803255484783</v>
      </c>
      <c r="K51" s="23">
        <v>30.818114794977991</v>
      </c>
      <c r="L51" s="23">
        <v>31.603603650424088</v>
      </c>
      <c r="M51" s="23">
        <v>20.522004989562653</v>
      </c>
      <c r="N51" s="23">
        <v>26.362640813478219</v>
      </c>
      <c r="O51" s="23">
        <v>29.141325507601863</v>
      </c>
      <c r="P51" s="23">
        <v>27.150584094222364</v>
      </c>
      <c r="Q51" s="23">
        <v>20.370587382861558</v>
      </c>
      <c r="R51" s="23">
        <v>19.438202693575942</v>
      </c>
      <c r="S51" s="23">
        <v>21.784565000000001</v>
      </c>
      <c r="T51" s="23">
        <v>23.089436988148176</v>
      </c>
      <c r="U51" s="23">
        <v>27.684836442065748</v>
      </c>
      <c r="V51" s="23">
        <v>28.387520801965294</v>
      </c>
      <c r="W51" s="23">
        <v>31.046599618721551</v>
      </c>
      <c r="X51" s="23">
        <v>28.59230605058158</v>
      </c>
      <c r="Y51" s="23">
        <v>30.418463401481542</v>
      </c>
      <c r="Z51" s="23">
        <v>27.108222609066367</v>
      </c>
      <c r="AA51" s="23">
        <v>27.702418537065373</v>
      </c>
    </row>
    <row r="52" spans="1:27" ht="12.75" customHeight="1" x14ac:dyDescent="0.2">
      <c r="A52" s="152"/>
      <c r="B52" s="21" t="s">
        <v>110</v>
      </c>
      <c r="C52" s="22" t="s">
        <v>111</v>
      </c>
      <c r="D52" s="23">
        <v>9.7332181915676337</v>
      </c>
      <c r="E52" s="23">
        <v>10.325063134379098</v>
      </c>
      <c r="F52" s="23">
        <v>11.187145201483014</v>
      </c>
      <c r="G52" s="23">
        <v>9.7002950063045699</v>
      </c>
      <c r="H52" s="23">
        <v>8.9459311660810279</v>
      </c>
      <c r="I52" s="23">
        <v>8.4883757998041762</v>
      </c>
      <c r="J52" s="23">
        <v>8.759797416843595</v>
      </c>
      <c r="K52" s="23">
        <v>9.8516924344601779</v>
      </c>
      <c r="L52" s="23">
        <v>8.4760622817229354</v>
      </c>
      <c r="M52" s="23">
        <v>8.778198666055701</v>
      </c>
      <c r="N52" s="23">
        <v>7.3165038381018839</v>
      </c>
      <c r="O52" s="23">
        <v>6.009689696120228</v>
      </c>
      <c r="P52" s="23">
        <v>3.4636547609913304</v>
      </c>
      <c r="Q52" s="23">
        <v>3.2637957685247798</v>
      </c>
      <c r="R52" s="23">
        <v>3.586811211314608</v>
      </c>
      <c r="S52" s="23">
        <v>5.1257800000000007</v>
      </c>
      <c r="T52" s="23">
        <v>6.3290842505583838</v>
      </c>
      <c r="U52" s="23">
        <v>6.6304020050325532</v>
      </c>
      <c r="V52" s="23">
        <v>7.3853712655519459</v>
      </c>
      <c r="W52" s="23">
        <v>7.4783780103489867</v>
      </c>
      <c r="X52" s="23">
        <v>7.4588624479778032</v>
      </c>
      <c r="Y52" s="23">
        <v>8.7067340895544998</v>
      </c>
      <c r="Z52" s="23">
        <v>10.553582847804462</v>
      </c>
      <c r="AA52" s="23">
        <v>13.237367272687518</v>
      </c>
    </row>
    <row r="53" spans="1:27" ht="12.75" customHeight="1" x14ac:dyDescent="0.2">
      <c r="A53" s="152"/>
      <c r="B53" s="21" t="s">
        <v>112</v>
      </c>
      <c r="C53" s="22" t="s">
        <v>113</v>
      </c>
      <c r="D53" s="23">
        <v>95.588918955992511</v>
      </c>
      <c r="E53" s="23">
        <v>94.764278082657469</v>
      </c>
      <c r="F53" s="23">
        <v>92.046131404607067</v>
      </c>
      <c r="G53" s="23">
        <v>77.325208764542083</v>
      </c>
      <c r="H53" s="23">
        <v>79.835658436692924</v>
      </c>
      <c r="I53" s="23">
        <v>72.681717785823352</v>
      </c>
      <c r="J53" s="23">
        <v>73.556534191436839</v>
      </c>
      <c r="K53" s="23">
        <v>73.0035670143332</v>
      </c>
      <c r="L53" s="23">
        <v>72.773049018792648</v>
      </c>
      <c r="M53" s="23">
        <v>70.225589328445523</v>
      </c>
      <c r="N53" s="23">
        <v>72.816633436347374</v>
      </c>
      <c r="O53" s="23">
        <v>66.786928887072079</v>
      </c>
      <c r="P53" s="23">
        <v>67.932325634926684</v>
      </c>
      <c r="Q53" s="23">
        <v>67.639353685634134</v>
      </c>
      <c r="R53" s="23">
        <v>76.827182074609638</v>
      </c>
      <c r="S53" s="23">
        <v>91.21558500000009</v>
      </c>
      <c r="T53" s="23">
        <v>110.87617964867083</v>
      </c>
      <c r="U53" s="23">
        <v>146.56678116387775</v>
      </c>
      <c r="V53" s="23">
        <v>168.59417842142804</v>
      </c>
      <c r="W53" s="23">
        <v>185.03320137727135</v>
      </c>
      <c r="X53" s="23">
        <v>148.27314442040731</v>
      </c>
      <c r="Y53" s="23">
        <v>167.08112506031179</v>
      </c>
      <c r="Z53" s="23">
        <v>182.72183636492792</v>
      </c>
      <c r="AA53" s="23">
        <v>196.08966945193401</v>
      </c>
    </row>
    <row r="54" spans="1:27" ht="12.75" customHeight="1" x14ac:dyDescent="0.2">
      <c r="A54" s="153"/>
      <c r="B54" s="28" t="s">
        <v>52</v>
      </c>
      <c r="C54" s="31" t="s">
        <v>58</v>
      </c>
      <c r="D54" s="30">
        <f>SUM(D41:D53)</f>
        <v>1279.1191966679555</v>
      </c>
      <c r="E54" s="30">
        <f t="shared" ref="E54:S54" si="6">SUM(E41:E53)</f>
        <v>1271.1142792967803</v>
      </c>
      <c r="F54" s="30">
        <f t="shared" si="6"/>
        <v>1323.3401507323892</v>
      </c>
      <c r="G54" s="30">
        <f t="shared" si="6"/>
        <v>1309.2626745652224</v>
      </c>
      <c r="H54" s="30">
        <f t="shared" si="6"/>
        <v>1361.9502478300333</v>
      </c>
      <c r="I54" s="30">
        <f t="shared" si="6"/>
        <v>1356.9464501218208</v>
      </c>
      <c r="J54" s="30">
        <f t="shared" si="6"/>
        <v>1284.5985270700639</v>
      </c>
      <c r="K54" s="30">
        <f t="shared" si="6"/>
        <v>1275.9204740117527</v>
      </c>
      <c r="L54" s="30">
        <f t="shared" si="6"/>
        <v>1260.3904612922006</v>
      </c>
      <c r="M54" s="30">
        <f t="shared" si="6"/>
        <v>1191.4625324576141</v>
      </c>
      <c r="N54" s="30">
        <f t="shared" si="6"/>
        <v>1142.0714086332371</v>
      </c>
      <c r="O54" s="30">
        <f t="shared" si="6"/>
        <v>1035.9344351651775</v>
      </c>
      <c r="P54" s="30">
        <f t="shared" si="6"/>
        <v>912.61716412184467</v>
      </c>
      <c r="Q54" s="30">
        <f t="shared" si="6"/>
        <v>788.71312916626391</v>
      </c>
      <c r="R54" s="30">
        <f t="shared" si="6"/>
        <v>824.85087501489795</v>
      </c>
      <c r="S54" s="30">
        <f t="shared" si="6"/>
        <v>890.48778000000038</v>
      </c>
      <c r="T54" s="30">
        <f t="shared" ref="T54:Y54" si="7">SUM(T41:T53)</f>
        <v>1018.5137432843024</v>
      </c>
      <c r="U54" s="30">
        <f t="shared" si="7"/>
        <v>1155.9000828773419</v>
      </c>
      <c r="V54" s="30">
        <f t="shared" si="7"/>
        <v>1333.1749098581504</v>
      </c>
      <c r="W54" s="30">
        <f t="shared" si="7"/>
        <v>1433.469094074622</v>
      </c>
      <c r="X54" s="30">
        <f t="shared" si="7"/>
        <v>1423.8516360920053</v>
      </c>
      <c r="Y54" s="30">
        <f t="shared" si="7"/>
        <v>1411.7032525709315</v>
      </c>
      <c r="Z54" s="30">
        <f t="shared" ref="Z54:AA54" si="8">SUM(Z41:Z53)</f>
        <v>1307.4026751456583</v>
      </c>
      <c r="AA54" s="30">
        <f t="shared" si="8"/>
        <v>1362.5</v>
      </c>
    </row>
    <row r="55" spans="1:27" ht="12.75" customHeight="1" x14ac:dyDescent="0.2">
      <c r="C55" s="12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spans="1:27" ht="12.75" customHeight="1" x14ac:dyDescent="0.2">
      <c r="A56" s="151" t="s">
        <v>114</v>
      </c>
      <c r="B56" s="17" t="s">
        <v>88</v>
      </c>
      <c r="C56" s="18" t="s">
        <v>89</v>
      </c>
      <c r="D56" s="19">
        <v>482.01220835255833</v>
      </c>
      <c r="E56" s="19">
        <v>496.31022655529114</v>
      </c>
      <c r="F56" s="19">
        <v>519.14018112198391</v>
      </c>
      <c r="G56" s="19">
        <v>512.72987890467016</v>
      </c>
      <c r="H56" s="19">
        <v>527.40330556395884</v>
      </c>
      <c r="I56" s="19">
        <v>522.69826604731657</v>
      </c>
      <c r="J56" s="19">
        <v>416.86330060155706</v>
      </c>
      <c r="K56" s="19">
        <v>381.05841121495325</v>
      </c>
      <c r="L56" s="19">
        <v>384.32888117412278</v>
      </c>
      <c r="M56" s="19">
        <v>422.30253042105801</v>
      </c>
      <c r="N56" s="19">
        <v>380.69046954441234</v>
      </c>
      <c r="O56" s="19">
        <v>345.27368159785084</v>
      </c>
      <c r="P56" s="19">
        <v>317.20373762756083</v>
      </c>
      <c r="Q56" s="19">
        <v>289.23983190029946</v>
      </c>
      <c r="R56" s="19">
        <v>292.96148345318022</v>
      </c>
      <c r="S56" s="19">
        <v>297.06225000000006</v>
      </c>
      <c r="T56" s="19">
        <v>354.78033382296712</v>
      </c>
      <c r="U56" s="19">
        <v>373.62896912569403</v>
      </c>
      <c r="V56" s="19">
        <v>419.00442289404873</v>
      </c>
      <c r="W56" s="19">
        <v>437.03187857448552</v>
      </c>
      <c r="X56" s="19">
        <v>418.0353362889378</v>
      </c>
      <c r="Y56" s="19">
        <v>416.15984711592137</v>
      </c>
      <c r="Z56" s="19">
        <v>369.16846667614044</v>
      </c>
      <c r="AA56" s="19">
        <v>374.26641072343511</v>
      </c>
    </row>
    <row r="57" spans="1:27" ht="12.75" customHeight="1" x14ac:dyDescent="0.2">
      <c r="A57" s="152"/>
      <c r="B57" s="21" t="s">
        <v>90</v>
      </c>
      <c r="C57" s="22" t="s">
        <v>91</v>
      </c>
      <c r="D57" s="23">
        <v>96.315278522527464</v>
      </c>
      <c r="E57" s="23">
        <v>83.732018843183923</v>
      </c>
      <c r="F57" s="23">
        <v>78.310016410381095</v>
      </c>
      <c r="G57" s="23">
        <v>63.744795755715749</v>
      </c>
      <c r="H57" s="23">
        <v>50.829154352733113</v>
      </c>
      <c r="I57" s="23">
        <v>48.012375617642377</v>
      </c>
      <c r="J57" s="23">
        <v>45.860115888181177</v>
      </c>
      <c r="K57" s="23">
        <v>43.574793460112325</v>
      </c>
      <c r="L57" s="23">
        <v>35.478374979211715</v>
      </c>
      <c r="M57" s="23">
        <v>29.774700880810553</v>
      </c>
      <c r="N57" s="23">
        <v>24.504481108563457</v>
      </c>
      <c r="O57" s="23">
        <v>22.564683953357083</v>
      </c>
      <c r="P57" s="23">
        <v>17.094812207473339</v>
      </c>
      <c r="Q57" s="23">
        <v>12.830093710752584</v>
      </c>
      <c r="R57" s="23">
        <v>13.421616145564339</v>
      </c>
      <c r="S57" s="23">
        <v>14.561875000000002</v>
      </c>
      <c r="T57" s="23">
        <v>15.822710626395958</v>
      </c>
      <c r="U57" s="23">
        <v>17.564749171226588</v>
      </c>
      <c r="V57" s="23">
        <v>20.4251674062921</v>
      </c>
      <c r="W57" s="23">
        <v>21.188737695988799</v>
      </c>
      <c r="X57" s="23">
        <v>17.290999311221274</v>
      </c>
      <c r="Y57" s="23">
        <v>18.515586418293111</v>
      </c>
      <c r="Z57" s="23">
        <v>19.7621012150064</v>
      </c>
      <c r="AA57" s="23">
        <v>22.10119215589598</v>
      </c>
    </row>
    <row r="58" spans="1:27" ht="12.75" customHeight="1" x14ac:dyDescent="0.2">
      <c r="A58" s="152"/>
      <c r="B58" s="21" t="s">
        <v>115</v>
      </c>
      <c r="C58" s="22" t="s">
        <v>116</v>
      </c>
      <c r="D58" s="23">
        <v>79.609008492224817</v>
      </c>
      <c r="E58" s="23">
        <v>74.538469476955953</v>
      </c>
      <c r="F58" s="23">
        <v>78.310016410381095</v>
      </c>
      <c r="G58" s="23">
        <v>85.362596055480225</v>
      </c>
      <c r="H58" s="23">
        <v>91.356933423312313</v>
      </c>
      <c r="I58" s="23">
        <v>91.382670719766836</v>
      </c>
      <c r="J58" s="23">
        <v>93.781360580325554</v>
      </c>
      <c r="K58" s="23">
        <v>99.90626558535898</v>
      </c>
      <c r="L58" s="23">
        <v>95.658417179444555</v>
      </c>
      <c r="M58" s="23">
        <v>85.172251921999901</v>
      </c>
      <c r="N58" s="23">
        <v>77.462032698634232</v>
      </c>
      <c r="O58" s="23">
        <v>67.35388074519652</v>
      </c>
      <c r="P58" s="23">
        <v>57.31789975446943</v>
      </c>
      <c r="Q58" s="23">
        <v>35.33903004540624</v>
      </c>
      <c r="R58" s="23">
        <v>32.397004489293231</v>
      </c>
      <c r="S58" s="23">
        <v>38.792835000000004</v>
      </c>
      <c r="T58" s="23">
        <v>43.248742378815614</v>
      </c>
      <c r="U58" s="23">
        <v>52.926893198066864</v>
      </c>
      <c r="V58" s="23">
        <v>63.352637887312781</v>
      </c>
      <c r="W58" s="23">
        <v>70.478047309652581</v>
      </c>
      <c r="X58" s="23">
        <v>63.400330807811329</v>
      </c>
      <c r="Y58" s="23">
        <v>64.253493344433835</v>
      </c>
      <c r="Z58" s="23">
        <v>63.631896582350443</v>
      </c>
      <c r="AA58" s="23">
        <v>68.547737155314664</v>
      </c>
    </row>
    <row r="59" spans="1:27" ht="12.75" customHeight="1" x14ac:dyDescent="0.2">
      <c r="A59" s="152"/>
      <c r="B59" s="21" t="s">
        <v>117</v>
      </c>
      <c r="C59" s="22" t="s">
        <v>118</v>
      </c>
      <c r="D59" s="23">
        <v>0</v>
      </c>
      <c r="E59" s="23">
        <v>0</v>
      </c>
      <c r="F59" s="23">
        <v>0</v>
      </c>
      <c r="G59" s="23">
        <v>0</v>
      </c>
      <c r="H59" s="23">
        <v>0</v>
      </c>
      <c r="I59" s="23">
        <v>0</v>
      </c>
      <c r="J59" s="23">
        <v>0</v>
      </c>
      <c r="K59" s="23">
        <v>0</v>
      </c>
      <c r="L59" s="23">
        <v>0</v>
      </c>
      <c r="M59" s="23">
        <v>0</v>
      </c>
      <c r="N59" s="23">
        <v>0</v>
      </c>
      <c r="O59" s="23">
        <v>0</v>
      </c>
      <c r="P59" s="23">
        <v>0</v>
      </c>
      <c r="Q59" s="23">
        <v>0</v>
      </c>
      <c r="R59" s="23">
        <v>0</v>
      </c>
      <c r="S59" s="23">
        <v>0</v>
      </c>
      <c r="T59" s="23">
        <v>0</v>
      </c>
      <c r="U59" s="23">
        <v>0</v>
      </c>
      <c r="V59" s="23">
        <v>0</v>
      </c>
      <c r="W59" s="23">
        <v>0</v>
      </c>
      <c r="X59" s="23">
        <v>0</v>
      </c>
      <c r="Y59" s="23">
        <v>0</v>
      </c>
      <c r="Z59" s="23">
        <v>0</v>
      </c>
      <c r="AA59" s="23">
        <v>0</v>
      </c>
    </row>
    <row r="60" spans="1:27" ht="12.75" customHeight="1" x14ac:dyDescent="0.2">
      <c r="A60" s="152"/>
      <c r="B60" s="21" t="s">
        <v>119</v>
      </c>
      <c r="C60" s="22" t="s">
        <v>7</v>
      </c>
      <c r="D60" s="23">
        <v>77.284657879313144</v>
      </c>
      <c r="E60" s="23">
        <v>80.76179520178718</v>
      </c>
      <c r="F60" s="23">
        <v>83.691174861727362</v>
      </c>
      <c r="G60" s="23">
        <v>79.542419051697479</v>
      </c>
      <c r="H60" s="23">
        <v>80.377836083121949</v>
      </c>
      <c r="I60" s="23">
        <v>77.323798301341157</v>
      </c>
      <c r="J60" s="23">
        <v>76.905868497876867</v>
      </c>
      <c r="K60" s="23">
        <v>79.318754472320421</v>
      </c>
      <c r="L60" s="23">
        <v>81.6123711125894</v>
      </c>
      <c r="M60" s="23">
        <v>69.869716409551444</v>
      </c>
      <c r="N60" s="23">
        <v>68.868044063403445</v>
      </c>
      <c r="O60" s="23">
        <v>63.498608109949593</v>
      </c>
      <c r="P60" s="23">
        <v>53.407321798511475</v>
      </c>
      <c r="Q60" s="23">
        <v>44.905327987634038</v>
      </c>
      <c r="R60" s="23">
        <v>45.124399110087005</v>
      </c>
      <c r="S60" s="23">
        <v>42.870160000000006</v>
      </c>
      <c r="T60" s="23">
        <v>48.874595045978623</v>
      </c>
      <c r="U60" s="23">
        <v>50.251467827615137</v>
      </c>
      <c r="V60" s="23">
        <v>49.851256042475633</v>
      </c>
      <c r="W60" s="23">
        <v>51.782102283780112</v>
      </c>
      <c r="X60" s="23">
        <v>42.831952542175564</v>
      </c>
      <c r="Y60" s="23">
        <v>41.6600694411595</v>
      </c>
      <c r="Z60" s="23">
        <v>40.765800412107446</v>
      </c>
      <c r="AA60" s="23">
        <v>43.652905905440377</v>
      </c>
    </row>
    <row r="61" spans="1:27" ht="12.75" customHeight="1" x14ac:dyDescent="0.2">
      <c r="A61" s="152"/>
      <c r="B61" s="21" t="s">
        <v>94</v>
      </c>
      <c r="C61" s="22" t="s">
        <v>95</v>
      </c>
      <c r="D61" s="23">
        <v>12.493384544400245</v>
      </c>
      <c r="E61" s="23">
        <v>12.729529891700258</v>
      </c>
      <c r="F61" s="23">
        <v>12.744848963714825</v>
      </c>
      <c r="G61" s="23">
        <v>15.936198938928937</v>
      </c>
      <c r="H61" s="23">
        <v>6.6416761687571269</v>
      </c>
      <c r="I61" s="23">
        <v>0.66315435935970124</v>
      </c>
      <c r="J61" s="23">
        <v>0.5152822009907998</v>
      </c>
      <c r="K61" s="23">
        <v>0.3789112474792376</v>
      </c>
      <c r="L61" s="23">
        <v>0.48434641609845341</v>
      </c>
      <c r="M61" s="23">
        <v>0.71174583778830003</v>
      </c>
      <c r="N61" s="23">
        <v>0.34840494467151828</v>
      </c>
      <c r="O61" s="23">
        <v>0.3401711148747299</v>
      </c>
      <c r="P61" s="23">
        <v>0.44692319496662325</v>
      </c>
      <c r="Q61" s="23">
        <v>0.45017872669307313</v>
      </c>
      <c r="R61" s="23">
        <v>0.69422152477056931</v>
      </c>
      <c r="S61" s="23">
        <v>1.3979400000000002</v>
      </c>
      <c r="T61" s="23">
        <v>1.5236684306899813</v>
      </c>
      <c r="U61" s="23">
        <v>1.3958741063226425</v>
      </c>
      <c r="V61" s="23">
        <v>2.7695142245819797</v>
      </c>
      <c r="W61" s="23">
        <v>2.6061014278488894</v>
      </c>
      <c r="X61" s="23">
        <v>2.0342352130848558</v>
      </c>
      <c r="Y61" s="23">
        <v>2.3144483022866389</v>
      </c>
      <c r="Z61" s="23">
        <v>5.0698584268864586</v>
      </c>
      <c r="AA61" s="23">
        <v>6.8566093426786026</v>
      </c>
    </row>
    <row r="62" spans="1:27" ht="12.75" customHeight="1" x14ac:dyDescent="0.2">
      <c r="A62" s="152"/>
      <c r="B62" s="21" t="s">
        <v>96</v>
      </c>
      <c r="C62" s="22" t="s">
        <v>97</v>
      </c>
      <c r="D62" s="23">
        <v>41.983582945717103</v>
      </c>
      <c r="E62" s="23">
        <v>37.057075906949635</v>
      </c>
      <c r="F62" s="23">
        <v>36.818452561842825</v>
      </c>
      <c r="G62" s="23">
        <v>34.782486379749244</v>
      </c>
      <c r="H62" s="23">
        <v>38.35906848486259</v>
      </c>
      <c r="I62" s="23">
        <v>30.505100530546258</v>
      </c>
      <c r="J62" s="23">
        <v>33.235701963906585</v>
      </c>
      <c r="K62" s="23">
        <v>33.217886029013165</v>
      </c>
      <c r="L62" s="23">
        <v>28.697525153833364</v>
      </c>
      <c r="M62" s="23">
        <v>28.232584898935905</v>
      </c>
      <c r="N62" s="23">
        <v>33.563009670022929</v>
      </c>
      <c r="O62" s="23">
        <v>27.66725067647803</v>
      </c>
      <c r="P62" s="23">
        <v>23.351736937006063</v>
      </c>
      <c r="Q62" s="23">
        <v>20.9333107912279</v>
      </c>
      <c r="R62" s="23">
        <v>20.016720630884748</v>
      </c>
      <c r="S62" s="23">
        <v>22.483535000000003</v>
      </c>
      <c r="T62" s="23">
        <v>25.316337002233535</v>
      </c>
      <c r="U62" s="23">
        <v>27.10322223109798</v>
      </c>
      <c r="V62" s="23">
        <v>31.387827878595768</v>
      </c>
      <c r="W62" s="23">
        <v>31.499834649651795</v>
      </c>
      <c r="X62" s="23">
        <v>33.225841813719306</v>
      </c>
      <c r="Y62" s="23">
        <v>31.630793464584066</v>
      </c>
      <c r="Z62" s="23">
        <v>30.626083558334521</v>
      </c>
      <c r="AA62" s="23">
        <v>32.62247513051404</v>
      </c>
    </row>
    <row r="63" spans="1:27" ht="12.75" customHeight="1" x14ac:dyDescent="0.2">
      <c r="A63" s="152"/>
      <c r="B63" s="21" t="s">
        <v>98</v>
      </c>
      <c r="C63" s="22" t="s">
        <v>99</v>
      </c>
      <c r="D63" s="23">
        <v>40.966679552568245</v>
      </c>
      <c r="E63" s="23">
        <v>41.866009421591961</v>
      </c>
      <c r="F63" s="23">
        <v>42.341220446119252</v>
      </c>
      <c r="G63" s="23">
        <v>41.018390312373612</v>
      </c>
      <c r="H63" s="23">
        <v>44.45856700719056</v>
      </c>
      <c r="I63" s="23">
        <v>52.919717876904159</v>
      </c>
      <c r="J63" s="23">
        <v>53.589348903043174</v>
      </c>
      <c r="K63" s="23">
        <v>50.900410911377584</v>
      </c>
      <c r="L63" s="23">
        <v>54.246798603026782</v>
      </c>
      <c r="M63" s="23">
        <v>54.211307978208858</v>
      </c>
      <c r="N63" s="23">
        <v>64.22264480111653</v>
      </c>
      <c r="O63" s="23">
        <v>64.745902197823597</v>
      </c>
      <c r="P63" s="23">
        <v>68.379248829893356</v>
      </c>
      <c r="Q63" s="23">
        <v>76.530383537822431</v>
      </c>
      <c r="R63" s="23">
        <v>85.620654721703545</v>
      </c>
      <c r="S63" s="23">
        <v>103.09807500000001</v>
      </c>
      <c r="T63" s="23">
        <v>116.61923757973317</v>
      </c>
      <c r="U63" s="23">
        <v>145.7525212685226</v>
      </c>
      <c r="V63" s="23">
        <v>159.59325719153659</v>
      </c>
      <c r="W63" s="23">
        <v>176.308427031864</v>
      </c>
      <c r="X63" s="23">
        <v>226.36517398938699</v>
      </c>
      <c r="Y63" s="23">
        <v>176.33891826945819</v>
      </c>
      <c r="Z63" s="23">
        <v>174.03065049026574</v>
      </c>
      <c r="AA63" s="23">
        <v>189.03424545930966</v>
      </c>
    </row>
    <row r="64" spans="1:27" ht="12.75" customHeight="1" x14ac:dyDescent="0.2">
      <c r="A64" s="152"/>
      <c r="B64" s="21" t="s">
        <v>120</v>
      </c>
      <c r="C64" s="22" t="s">
        <v>121</v>
      </c>
      <c r="D64" s="23">
        <v>36.463250240051877</v>
      </c>
      <c r="E64" s="23">
        <v>34.935487591666259</v>
      </c>
      <c r="F64" s="23">
        <v>37.951328025284148</v>
      </c>
      <c r="G64" s="23">
        <v>37.692574881640617</v>
      </c>
      <c r="H64" s="23">
        <v>39.307879366113603</v>
      </c>
      <c r="I64" s="23">
        <v>39.656630689710134</v>
      </c>
      <c r="J64" s="23">
        <v>39.676729476291584</v>
      </c>
      <c r="K64" s="23">
        <v>40.922414727757662</v>
      </c>
      <c r="L64" s="23">
        <v>44.559870281057712</v>
      </c>
      <c r="M64" s="23">
        <v>43.535120411384355</v>
      </c>
      <c r="N64" s="23">
        <v>43.550618083939789</v>
      </c>
      <c r="O64" s="23">
        <v>33.903721115848079</v>
      </c>
      <c r="P64" s="23">
        <v>25.474622113097524</v>
      </c>
      <c r="Q64" s="23">
        <v>24.422195923099217</v>
      </c>
      <c r="R64" s="23">
        <v>25.223382066664019</v>
      </c>
      <c r="S64" s="23">
        <v>25.279415000000004</v>
      </c>
      <c r="T64" s="23">
        <v>30.942189669396537</v>
      </c>
      <c r="U64" s="23">
        <v>31.290844550065906</v>
      </c>
      <c r="V64" s="23">
        <v>34.157342103177754</v>
      </c>
      <c r="W64" s="23">
        <v>36.372111232151894</v>
      </c>
      <c r="X64" s="23">
        <v>41.362782666058727</v>
      </c>
      <c r="Y64" s="23">
        <v>41.109010321567439</v>
      </c>
      <c r="Z64" s="23">
        <v>35.385542489697322</v>
      </c>
      <c r="AA64" s="23">
        <v>35.864161460326031</v>
      </c>
    </row>
    <row r="65" spans="1:27" ht="12.75" customHeight="1" x14ac:dyDescent="0.2">
      <c r="A65" s="152"/>
      <c r="B65" s="21" t="s">
        <v>122</v>
      </c>
      <c r="C65" s="22" t="s">
        <v>123</v>
      </c>
      <c r="D65" s="23">
        <v>150.35643027272388</v>
      </c>
      <c r="E65" s="23">
        <v>151.33996649021415</v>
      </c>
      <c r="F65" s="23">
        <v>171.34741384549935</v>
      </c>
      <c r="G65" s="23">
        <v>179.17830633074016</v>
      </c>
      <c r="H65" s="23">
        <v>201.69008447164501</v>
      </c>
      <c r="I65" s="23">
        <v>214.46411981692737</v>
      </c>
      <c r="J65" s="23">
        <v>224.66303963198865</v>
      </c>
      <c r="K65" s="23">
        <v>226.71522974174383</v>
      </c>
      <c r="L65" s="23">
        <v>220.01435951272245</v>
      </c>
      <c r="M65" s="23">
        <v>182.20693447380484</v>
      </c>
      <c r="N65" s="23">
        <v>162.82124414315621</v>
      </c>
      <c r="O65" s="23">
        <v>146.72714088263351</v>
      </c>
      <c r="P65" s="23">
        <v>103.57445043351494</v>
      </c>
      <c r="Q65" s="23">
        <v>70.227881364119398</v>
      </c>
      <c r="R65" s="23">
        <v>83.30658297246832</v>
      </c>
      <c r="S65" s="23">
        <v>99.83621500000001</v>
      </c>
      <c r="T65" s="23">
        <v>121.07303760790387</v>
      </c>
      <c r="U65" s="23">
        <v>126.90822083316692</v>
      </c>
      <c r="V65" s="23">
        <v>142.16839686187498</v>
      </c>
      <c r="W65" s="23">
        <v>159.31211337197993</v>
      </c>
      <c r="X65" s="23">
        <v>170.87575789912788</v>
      </c>
      <c r="Y65" s="23">
        <v>158.15396732292032</v>
      </c>
      <c r="Z65" s="23">
        <v>141.43870346028137</v>
      </c>
      <c r="AA65" s="23">
        <v>144.45179983381041</v>
      </c>
    </row>
    <row r="66" spans="1:27" ht="12.75" customHeight="1" x14ac:dyDescent="0.2">
      <c r="A66" s="152"/>
      <c r="B66" s="21" t="s">
        <v>124</v>
      </c>
      <c r="C66" s="22" t="s">
        <v>125</v>
      </c>
      <c r="D66" s="23">
        <v>18.449532989986409</v>
      </c>
      <c r="E66" s="23">
        <v>18.66997717449371</v>
      </c>
      <c r="F66" s="23">
        <v>17.13474138454993</v>
      </c>
      <c r="G66" s="23">
        <v>20.509195156186806</v>
      </c>
      <c r="H66" s="23">
        <v>24.533538500919182</v>
      </c>
      <c r="I66" s="23">
        <v>25.199865655668646</v>
      </c>
      <c r="J66" s="23">
        <v>29.628726556970985</v>
      </c>
      <c r="K66" s="23">
        <v>38.775250992041983</v>
      </c>
      <c r="L66" s="23">
        <v>28.939698361882591</v>
      </c>
      <c r="M66" s="23">
        <v>24.317982791100253</v>
      </c>
      <c r="N66" s="23">
        <v>30.078960223307746</v>
      </c>
      <c r="O66" s="23">
        <v>32.202865541474431</v>
      </c>
      <c r="P66" s="23">
        <v>31.731546842630248</v>
      </c>
      <c r="Q66" s="23">
        <v>24.759829968119021</v>
      </c>
      <c r="R66" s="23">
        <v>18.512573993881848</v>
      </c>
      <c r="S66" s="23">
        <v>14.561875000000002</v>
      </c>
      <c r="T66" s="23">
        <v>18.635636959977461</v>
      </c>
      <c r="U66" s="23">
        <v>20.123851699484767</v>
      </c>
      <c r="V66" s="23">
        <v>26.310385133528808</v>
      </c>
      <c r="W66" s="23">
        <v>26.854175582616818</v>
      </c>
      <c r="X66" s="23">
        <v>29.948462859304819</v>
      </c>
      <c r="Y66" s="23">
        <v>40.006892082383324</v>
      </c>
      <c r="Z66" s="23">
        <v>28.660220086684671</v>
      </c>
      <c r="AA66" s="23">
        <v>27.287148275513076</v>
      </c>
    </row>
    <row r="67" spans="1:27" ht="12.75" customHeight="1" x14ac:dyDescent="0.2">
      <c r="A67" s="152"/>
      <c r="B67" s="21" t="s">
        <v>126</v>
      </c>
      <c r="C67" s="22" t="s">
        <v>127</v>
      </c>
      <c r="D67" s="23">
        <v>94.572015562843703</v>
      </c>
      <c r="E67" s="23">
        <v>91.086858336166273</v>
      </c>
      <c r="F67" s="23">
        <v>97.852118154743835</v>
      </c>
      <c r="G67" s="23">
        <v>108.08900149882236</v>
      </c>
      <c r="H67" s="23">
        <v>122.39660368138135</v>
      </c>
      <c r="I67" s="23">
        <v>128.51931484391011</v>
      </c>
      <c r="J67" s="23">
        <v>134.48865445859875</v>
      </c>
      <c r="K67" s="23">
        <v>139.69194657067894</v>
      </c>
      <c r="L67" s="23">
        <v>144.33523199733909</v>
      </c>
      <c r="M67" s="23">
        <v>123.01340563107786</v>
      </c>
      <c r="N67" s="23">
        <v>123.45148539527463</v>
      </c>
      <c r="O67" s="23">
        <v>109.19492787478832</v>
      </c>
      <c r="P67" s="23">
        <v>99.999064873781947</v>
      </c>
      <c r="Q67" s="23">
        <v>72.703864360931306</v>
      </c>
      <c r="R67" s="23">
        <v>74.165999562989143</v>
      </c>
      <c r="S67" s="23">
        <v>70.828960000000009</v>
      </c>
      <c r="T67" s="23">
        <v>80.051195243173623</v>
      </c>
      <c r="U67" s="23">
        <v>98.292801653552758</v>
      </c>
      <c r="V67" s="23">
        <v>124.97432938426184</v>
      </c>
      <c r="W67" s="23">
        <v>138.34999319145629</v>
      </c>
      <c r="X67" s="23">
        <v>137.31087688322773</v>
      </c>
      <c r="Y67" s="23">
        <v>141.95282920691386</v>
      </c>
      <c r="Z67" s="23">
        <v>140.40403847520253</v>
      </c>
      <c r="AA67" s="23">
        <v>149.12351472174242</v>
      </c>
    </row>
    <row r="68" spans="1:27" ht="12.75" customHeight="1" x14ac:dyDescent="0.2">
      <c r="A68" s="152"/>
      <c r="B68" s="21" t="s">
        <v>104</v>
      </c>
      <c r="C68" s="22" t="s">
        <v>105</v>
      </c>
      <c r="D68" s="23">
        <v>5.0845169657442861</v>
      </c>
      <c r="E68" s="23">
        <v>5.091811956680103</v>
      </c>
      <c r="F68" s="23">
        <v>5.0979395854859302</v>
      </c>
      <c r="G68" s="23">
        <v>5.5430257178883258</v>
      </c>
      <c r="H68" s="23">
        <v>6.6416761687571269</v>
      </c>
      <c r="I68" s="23">
        <v>7.5599596967005942</v>
      </c>
      <c r="J68" s="23">
        <v>14.041439976999294</v>
      </c>
      <c r="K68" s="23">
        <v>14.65123490253052</v>
      </c>
      <c r="L68" s="23">
        <v>14.40930587892899</v>
      </c>
      <c r="M68" s="23">
        <v>10.676187566824501</v>
      </c>
      <c r="N68" s="23">
        <v>5.5744791147442925</v>
      </c>
      <c r="O68" s="23">
        <v>2.4945881757480195</v>
      </c>
      <c r="P68" s="23">
        <v>2.4580775723164279</v>
      </c>
      <c r="Q68" s="23">
        <v>14.29317457250507</v>
      </c>
      <c r="R68" s="23">
        <v>23.025013904890546</v>
      </c>
      <c r="S68" s="23">
        <v>31.337155000000003</v>
      </c>
      <c r="T68" s="23">
        <v>10.43126848703141</v>
      </c>
      <c r="U68" s="23">
        <v>17.797394855613696</v>
      </c>
      <c r="V68" s="23">
        <v>40.388749108487204</v>
      </c>
      <c r="W68" s="23">
        <v>42.830710422907835</v>
      </c>
      <c r="X68" s="23">
        <v>38.311429846431444</v>
      </c>
      <c r="Y68" s="23">
        <v>55.436547430960921</v>
      </c>
      <c r="Z68" s="23">
        <v>21.624498188148358</v>
      </c>
      <c r="AA68" s="23">
        <v>14.620281247380502</v>
      </c>
    </row>
    <row r="69" spans="1:27" ht="12.75" customHeight="1" x14ac:dyDescent="0.2">
      <c r="A69" s="152"/>
      <c r="B69" s="21" t="s">
        <v>106</v>
      </c>
      <c r="C69" s="22" t="s">
        <v>107</v>
      </c>
      <c r="D69" s="23">
        <v>12.057568804479308</v>
      </c>
      <c r="E69" s="23">
        <v>9.9007454713224217</v>
      </c>
      <c r="F69" s="23">
        <v>10.337488603902024</v>
      </c>
      <c r="G69" s="23">
        <v>8.7302655056741134</v>
      </c>
      <c r="H69" s="23">
        <v>8.5392979312591617</v>
      </c>
      <c r="I69" s="23">
        <v>9.1515301591638778</v>
      </c>
      <c r="J69" s="23">
        <v>10.176823469568296</v>
      </c>
      <c r="K69" s="23">
        <v>13.135589912613572</v>
      </c>
      <c r="L69" s="23">
        <v>14.772565691002828</v>
      </c>
      <c r="M69" s="23">
        <v>17.912270251005552</v>
      </c>
      <c r="N69" s="23">
        <v>20.439756754062408</v>
      </c>
      <c r="O69" s="23">
        <v>18.029069088360686</v>
      </c>
      <c r="P69" s="23">
        <v>13.631157446482009</v>
      </c>
      <c r="Q69" s="23">
        <v>10.804289440633754</v>
      </c>
      <c r="R69" s="23">
        <v>10.529026459020301</v>
      </c>
      <c r="S69" s="23">
        <v>10.251560000000001</v>
      </c>
      <c r="T69" s="23">
        <v>10.900089542628328</v>
      </c>
      <c r="U69" s="23">
        <v>11.981252745936017</v>
      </c>
      <c r="V69" s="23">
        <v>14.424553253031144</v>
      </c>
      <c r="W69" s="23">
        <v>15.296682293895657</v>
      </c>
      <c r="X69" s="23">
        <v>18.534143052550903</v>
      </c>
      <c r="Y69" s="23">
        <v>17.964527298701057</v>
      </c>
      <c r="Z69" s="23">
        <v>16.451173262754018</v>
      </c>
      <c r="AA69" s="23">
        <v>17.042063326952153</v>
      </c>
    </row>
    <row r="70" spans="1:27" ht="12.75" customHeight="1" x14ac:dyDescent="0.2">
      <c r="A70" s="152"/>
      <c r="B70" s="21" t="s">
        <v>108</v>
      </c>
      <c r="C70" s="22" t="s">
        <v>109</v>
      </c>
      <c r="D70" s="23">
        <v>26.148944395256326</v>
      </c>
      <c r="E70" s="23">
        <v>28.004965761740568</v>
      </c>
      <c r="F70" s="23">
        <v>29.029933750683767</v>
      </c>
      <c r="G70" s="23">
        <v>29.378036304808127</v>
      </c>
      <c r="H70" s="23">
        <v>30.633037023247155</v>
      </c>
      <c r="I70" s="23">
        <v>27.719852221235509</v>
      </c>
      <c r="J70" s="23">
        <v>28.855803255484783</v>
      </c>
      <c r="K70" s="23">
        <v>30.818114794977991</v>
      </c>
      <c r="L70" s="23">
        <v>31.603603650424088</v>
      </c>
      <c r="M70" s="23">
        <v>20.522004989562653</v>
      </c>
      <c r="N70" s="23">
        <v>26.362640813478219</v>
      </c>
      <c r="O70" s="23">
        <v>29.141325507601863</v>
      </c>
      <c r="P70" s="23">
        <v>27.150584094222364</v>
      </c>
      <c r="Q70" s="23">
        <v>20.370587382861558</v>
      </c>
      <c r="R70" s="23">
        <v>19.438202693575942</v>
      </c>
      <c r="S70" s="23">
        <v>21.784565000000001</v>
      </c>
      <c r="T70" s="23">
        <v>23.089436988148176</v>
      </c>
      <c r="U70" s="23">
        <v>27.684836442065748</v>
      </c>
      <c r="V70" s="23">
        <v>28.387520801965294</v>
      </c>
      <c r="W70" s="23">
        <v>31.046599618721551</v>
      </c>
      <c r="X70" s="23">
        <v>28.59230605058158</v>
      </c>
      <c r="Y70" s="23">
        <v>30.418463401481542</v>
      </c>
      <c r="Z70" s="23">
        <v>27.108222609066367</v>
      </c>
      <c r="AA70" s="23">
        <v>27.702418537065373</v>
      </c>
    </row>
    <row r="71" spans="1:27" ht="12.75" customHeight="1" x14ac:dyDescent="0.2">
      <c r="A71" s="152"/>
      <c r="B71" s="21" t="s">
        <v>128</v>
      </c>
      <c r="C71" s="22" t="s">
        <v>129</v>
      </c>
      <c r="D71" s="23">
        <v>8.4257709718048162</v>
      </c>
      <c r="E71" s="23">
        <v>8.7692317031712879</v>
      </c>
      <c r="F71" s="23">
        <v>9.3462225733908717</v>
      </c>
      <c r="G71" s="23">
        <v>8.0373872909380726</v>
      </c>
      <c r="H71" s="23">
        <v>7.0483094035789913</v>
      </c>
      <c r="I71" s="23">
        <v>6.6315435935970122</v>
      </c>
      <c r="J71" s="23">
        <v>6.9563097133757967</v>
      </c>
      <c r="K71" s="23">
        <v>7.9571361970639893</v>
      </c>
      <c r="L71" s="23">
        <v>7.5073694495260277</v>
      </c>
      <c r="M71" s="23">
        <v>8.1850771345654518</v>
      </c>
      <c r="N71" s="23">
        <v>6.1551540225301569</v>
      </c>
      <c r="O71" s="23">
        <v>5.2159570947458578</v>
      </c>
      <c r="P71" s="23">
        <v>2.5698083710580835</v>
      </c>
      <c r="Q71" s="23">
        <v>2.5885276784851703</v>
      </c>
      <c r="R71" s="23">
        <v>2.6611825116205154</v>
      </c>
      <c r="S71" s="23">
        <v>4.1938200000000005</v>
      </c>
      <c r="T71" s="23">
        <v>5.1570316115660901</v>
      </c>
      <c r="U71" s="23">
        <v>4.7692365299356956</v>
      </c>
      <c r="V71" s="23">
        <v>5.5390284491639594</v>
      </c>
      <c r="W71" s="23">
        <v>5.4388203711629002</v>
      </c>
      <c r="X71" s="23">
        <v>5.3116141674993456</v>
      </c>
      <c r="Y71" s="23">
        <v>5.6208030198389798</v>
      </c>
      <c r="Z71" s="23">
        <v>5.4837244209180049</v>
      </c>
      <c r="AA71" s="23">
        <v>6.5716308775965349</v>
      </c>
    </row>
    <row r="72" spans="1:27" ht="12.75" customHeight="1" x14ac:dyDescent="0.2">
      <c r="A72" s="152"/>
      <c r="B72" s="21" t="s">
        <v>130</v>
      </c>
      <c r="C72" s="22" t="s">
        <v>131</v>
      </c>
      <c r="D72" s="23">
        <v>1.3074472197628169</v>
      </c>
      <c r="E72" s="23">
        <v>1.5558314312078088</v>
      </c>
      <c r="F72" s="23">
        <v>1.8409226280921425</v>
      </c>
      <c r="G72" s="23">
        <v>1.662907715366498</v>
      </c>
      <c r="H72" s="23">
        <v>1.8976217625020355</v>
      </c>
      <c r="I72" s="23">
        <v>1.856832206207164</v>
      </c>
      <c r="J72" s="23">
        <v>1.8034877034677985</v>
      </c>
      <c r="K72" s="23">
        <v>1.8945562373961882</v>
      </c>
      <c r="L72" s="23">
        <v>0.96869283219690661</v>
      </c>
      <c r="M72" s="23">
        <v>0.59312153149025004</v>
      </c>
      <c r="N72" s="23">
        <v>1.1613498155717277</v>
      </c>
      <c r="O72" s="23">
        <v>0.79373260137436996</v>
      </c>
      <c r="P72" s="23">
        <v>0.89384638993324683</v>
      </c>
      <c r="Q72" s="23">
        <v>0.67526809003960975</v>
      </c>
      <c r="R72" s="23">
        <v>0.92562869969409267</v>
      </c>
      <c r="S72" s="23">
        <v>0.93196000000000045</v>
      </c>
      <c r="T72" s="23">
        <v>1.1720526389922932</v>
      </c>
      <c r="U72" s="23">
        <v>1.8611654750968576</v>
      </c>
      <c r="V72" s="23">
        <v>1.8463428163879871</v>
      </c>
      <c r="W72" s="23">
        <v>2.0395576391860875</v>
      </c>
      <c r="X72" s="23">
        <v>2.1472482804784581</v>
      </c>
      <c r="Y72" s="23">
        <v>3.0859310697155196</v>
      </c>
      <c r="Z72" s="23">
        <v>5.0698584268864577</v>
      </c>
      <c r="AA72" s="23">
        <v>6.6657363950909829</v>
      </c>
    </row>
    <row r="73" spans="1:27" ht="12.75" customHeight="1" x14ac:dyDescent="0.2">
      <c r="A73" s="152"/>
      <c r="B73" s="21" t="s">
        <v>132</v>
      </c>
      <c r="C73" s="22" t="s">
        <v>133</v>
      </c>
      <c r="D73" s="23">
        <v>80.335368058759713</v>
      </c>
      <c r="E73" s="23">
        <v>75.811422466125975</v>
      </c>
      <c r="F73" s="23">
        <v>74.486561721266654</v>
      </c>
      <c r="G73" s="23">
        <v>62.913341898032499</v>
      </c>
      <c r="H73" s="23">
        <v>65.332406394712962</v>
      </c>
      <c r="I73" s="23">
        <v>59.949154086116998</v>
      </c>
      <c r="J73" s="23">
        <v>60.674479166666671</v>
      </c>
      <c r="K73" s="23">
        <v>60.246888349198784</v>
      </c>
      <c r="L73" s="23">
        <v>58.121569931814406</v>
      </c>
      <c r="M73" s="23">
        <v>52.313319077440056</v>
      </c>
      <c r="N73" s="23">
        <v>53.189821553185126</v>
      </c>
      <c r="O73" s="23">
        <v>45.809710136463629</v>
      </c>
      <c r="P73" s="23">
        <v>37.876740773421318</v>
      </c>
      <c r="Q73" s="23">
        <v>35.676664090426044</v>
      </c>
      <c r="R73" s="23">
        <v>35.173890588375507</v>
      </c>
      <c r="S73" s="23">
        <v>33.900045000000006</v>
      </c>
      <c r="T73" s="23">
        <v>38.912147614544139</v>
      </c>
      <c r="U73" s="23">
        <v>42.457837400647051</v>
      </c>
      <c r="V73" s="23">
        <v>45.812381131626921</v>
      </c>
      <c r="W73" s="23">
        <v>45.89004688168697</v>
      </c>
      <c r="X73" s="23">
        <v>38.311429846431444</v>
      </c>
      <c r="Y73" s="23">
        <v>46.72981334140642</v>
      </c>
      <c r="Z73" s="23">
        <v>44.076728364359816</v>
      </c>
      <c r="AA73" s="23">
        <v>46.604139099833148</v>
      </c>
    </row>
    <row r="74" spans="1:27" ht="12.75" customHeight="1" x14ac:dyDescent="0.2">
      <c r="A74" s="152"/>
      <c r="B74" s="21" t="s">
        <v>134</v>
      </c>
      <c r="C74" s="22" t="s">
        <v>135</v>
      </c>
      <c r="D74" s="23">
        <v>15.253550897232795</v>
      </c>
      <c r="E74" s="23">
        <v>18.952855616531494</v>
      </c>
      <c r="F74" s="23">
        <v>17.559569683340424</v>
      </c>
      <c r="G74" s="23">
        <v>14.411866866509586</v>
      </c>
      <c r="H74" s="23">
        <v>14.503252041979968</v>
      </c>
      <c r="I74" s="23">
        <v>12.73256369970635</v>
      </c>
      <c r="J74" s="23">
        <v>12.882055024770168</v>
      </c>
      <c r="K74" s="23">
        <v>12.756678665134416</v>
      </c>
      <c r="L74" s="23">
        <v>14.651479086978243</v>
      </c>
      <c r="M74" s="23">
        <v>17.91227025100547</v>
      </c>
      <c r="N74" s="23">
        <v>19.626811883162254</v>
      </c>
      <c r="O74" s="23">
        <v>20.977218750608451</v>
      </c>
      <c r="P74" s="23">
        <v>30.055584861505363</v>
      </c>
      <c r="Q74" s="23">
        <v>31.96268959520809</v>
      </c>
      <c r="R74" s="23">
        <v>41.653291486234131</v>
      </c>
      <c r="S74" s="23">
        <v>57.315540000000084</v>
      </c>
      <c r="T74" s="23">
        <v>71.964032034126689</v>
      </c>
      <c r="U74" s="23">
        <v>104.1089437632307</v>
      </c>
      <c r="V74" s="23">
        <v>122.78179728980112</v>
      </c>
      <c r="W74" s="23">
        <v>139.14315449558441</v>
      </c>
      <c r="X74" s="23">
        <v>109.96171457397584</v>
      </c>
      <c r="Y74" s="23">
        <v>120.35131171890536</v>
      </c>
      <c r="Z74" s="23">
        <v>138.64510800056811</v>
      </c>
      <c r="AA74" s="23">
        <v>149.48553035210085</v>
      </c>
    </row>
    <row r="75" spans="1:27" ht="12.75" customHeight="1" x14ac:dyDescent="0.2">
      <c r="A75" s="153"/>
      <c r="B75" s="28" t="s">
        <v>52</v>
      </c>
      <c r="C75" s="31" t="s">
        <v>58</v>
      </c>
      <c r="D75" s="30">
        <f>SUM(D56:D74)</f>
        <v>1279.1191966679555</v>
      </c>
      <c r="E75" s="30">
        <f t="shared" ref="E75:S75" si="9">SUM(E56:E74)</f>
        <v>1271.1142792967798</v>
      </c>
      <c r="F75" s="30">
        <f t="shared" si="9"/>
        <v>1323.3401507323897</v>
      </c>
      <c r="G75" s="30">
        <f t="shared" si="9"/>
        <v>1309.2626745652228</v>
      </c>
      <c r="H75" s="30">
        <f t="shared" si="9"/>
        <v>1361.950247830033</v>
      </c>
      <c r="I75" s="30">
        <f t="shared" si="9"/>
        <v>1356.9464501218208</v>
      </c>
      <c r="J75" s="30">
        <f t="shared" si="9"/>
        <v>1284.5985270700639</v>
      </c>
      <c r="K75" s="30">
        <f t="shared" si="9"/>
        <v>1275.920474011753</v>
      </c>
      <c r="L75" s="30">
        <f t="shared" si="9"/>
        <v>1260.3904612922006</v>
      </c>
      <c r="M75" s="30">
        <f t="shared" si="9"/>
        <v>1191.4625324576143</v>
      </c>
      <c r="N75" s="30">
        <f t="shared" si="9"/>
        <v>1142.0714086332373</v>
      </c>
      <c r="O75" s="30">
        <f t="shared" si="9"/>
        <v>1035.9344351651775</v>
      </c>
      <c r="P75" s="30">
        <f t="shared" si="9"/>
        <v>912.61716412184478</v>
      </c>
      <c r="Q75" s="30">
        <f t="shared" si="9"/>
        <v>788.71312916626391</v>
      </c>
      <c r="R75" s="30">
        <f t="shared" si="9"/>
        <v>824.85087501489784</v>
      </c>
      <c r="S75" s="30">
        <f t="shared" si="9"/>
        <v>890.48778000000027</v>
      </c>
      <c r="T75" s="30">
        <f t="shared" ref="T75:Y75" si="10">SUM(T56:T74)</f>
        <v>1018.5137432843026</v>
      </c>
      <c r="U75" s="30">
        <f t="shared" si="10"/>
        <v>1155.9000828773419</v>
      </c>
      <c r="V75" s="30">
        <f t="shared" si="10"/>
        <v>1333.1749098581504</v>
      </c>
      <c r="W75" s="30">
        <f t="shared" si="10"/>
        <v>1433.469094074622</v>
      </c>
      <c r="X75" s="30">
        <f t="shared" si="10"/>
        <v>1423.851636092005</v>
      </c>
      <c r="Y75" s="30">
        <f t="shared" si="10"/>
        <v>1411.7032525709317</v>
      </c>
      <c r="Z75" s="30">
        <f t="shared" ref="Z75:AA75" si="11">SUM(Z56:Z74)</f>
        <v>1307.4026751456586</v>
      </c>
      <c r="AA75" s="30">
        <f t="shared" si="11"/>
        <v>1362.5</v>
      </c>
    </row>
  </sheetData>
  <mergeCells count="4">
    <mergeCell ref="A56:A75"/>
    <mergeCell ref="A6:A16"/>
    <mergeCell ref="A18:A39"/>
    <mergeCell ref="A41:A54"/>
  </mergeCells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pageSetUpPr fitToPage="1"/>
  </sheetPr>
  <dimension ref="A1:AA122"/>
  <sheetViews>
    <sheetView showGridLines="0" zoomScaleNormal="100" workbookViewId="0">
      <pane xSplit="3" ySplit="1" topLeftCell="D2" activePane="bottomRight" state="frozen"/>
      <selection pane="topRight" activeCell="D1" sqref="D1"/>
      <selection pane="bottomLeft" activeCell="A3" sqref="A3"/>
      <selection pane="bottomRight" activeCell="D2" sqref="D2"/>
    </sheetView>
  </sheetViews>
  <sheetFormatPr defaultColWidth="9.140625" defaultRowHeight="11.25" x14ac:dyDescent="0.25"/>
  <cols>
    <col min="1" max="1" width="35.28515625" style="1" customWidth="1"/>
    <col min="2" max="2" width="14.5703125" style="1" hidden="1" customWidth="1"/>
    <col min="3" max="3" width="7.7109375" style="1" hidden="1" customWidth="1"/>
    <col min="4" max="27" width="9.28515625" style="1" customWidth="1"/>
    <col min="28" max="16384" width="9.140625" style="1"/>
  </cols>
  <sheetData>
    <row r="1" spans="1:27" x14ac:dyDescent="0.2">
      <c r="A1" s="14" t="s">
        <v>279</v>
      </c>
      <c r="B1" s="15" t="s">
        <v>245</v>
      </c>
      <c r="C1" s="39"/>
      <c r="D1" s="32">
        <v>2000</v>
      </c>
      <c r="E1" s="32">
        <v>2001</v>
      </c>
      <c r="F1" s="32">
        <v>2002</v>
      </c>
      <c r="G1" s="32">
        <v>2003</v>
      </c>
      <c r="H1" s="32">
        <v>2004</v>
      </c>
      <c r="I1" s="32">
        <v>2005</v>
      </c>
      <c r="J1" s="32">
        <v>2006</v>
      </c>
      <c r="K1" s="32">
        <v>2007</v>
      </c>
      <c r="L1" s="32">
        <v>2008</v>
      </c>
      <c r="M1" s="32">
        <v>2009</v>
      </c>
      <c r="N1" s="32">
        <v>2010</v>
      </c>
      <c r="O1" s="32">
        <v>2011</v>
      </c>
      <c r="P1" s="32">
        <v>2012</v>
      </c>
      <c r="Q1" s="32">
        <v>2013</v>
      </c>
      <c r="R1" s="32">
        <v>2014</v>
      </c>
      <c r="S1" s="32">
        <v>2015</v>
      </c>
      <c r="T1" s="32">
        <v>2016</v>
      </c>
      <c r="U1" s="32">
        <v>2017</v>
      </c>
      <c r="V1" s="32">
        <v>2018</v>
      </c>
      <c r="W1" s="32">
        <v>2019</v>
      </c>
      <c r="X1" s="32">
        <v>2020</v>
      </c>
      <c r="Y1" s="32">
        <v>2021</v>
      </c>
      <c r="Z1" s="32">
        <v>2022</v>
      </c>
      <c r="AA1" s="32">
        <v>2023</v>
      </c>
    </row>
    <row r="2" spans="1:27" x14ac:dyDescent="0.2">
      <c r="A2" s="49" t="s">
        <v>237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</row>
    <row r="3" spans="1:27" x14ac:dyDescent="0.25">
      <c r="A3" s="40" t="s">
        <v>238</v>
      </c>
      <c r="B3" s="41"/>
      <c r="C3" s="41"/>
      <c r="D3" s="42">
        <v>690497</v>
      </c>
      <c r="E3" s="42">
        <v>697549</v>
      </c>
      <c r="F3" s="42">
        <v>705539</v>
      </c>
      <c r="G3" s="42">
        <v>713720</v>
      </c>
      <c r="H3" s="42">
        <v>722893</v>
      </c>
      <c r="I3" s="42">
        <v>733067</v>
      </c>
      <c r="J3" s="42">
        <v>744013</v>
      </c>
      <c r="K3" s="42">
        <v>757916</v>
      </c>
      <c r="L3" s="42">
        <v>776333</v>
      </c>
      <c r="M3" s="42">
        <v>796930</v>
      </c>
      <c r="N3" s="42">
        <v>819140</v>
      </c>
      <c r="O3" s="42">
        <v>839751</v>
      </c>
      <c r="P3" s="42">
        <v>862011</v>
      </c>
      <c r="Q3" s="42">
        <v>862854</v>
      </c>
      <c r="R3" s="42">
        <v>860032</v>
      </c>
      <c r="S3" s="42">
        <v>860846</v>
      </c>
      <c r="T3" s="42">
        <v>863764</v>
      </c>
      <c r="U3" s="42">
        <v>869878</v>
      </c>
      <c r="V3" s="42">
        <v>878601</v>
      </c>
      <c r="W3" s="42">
        <v>890194</v>
      </c>
      <c r="X3" s="42">
        <v>902429</v>
      </c>
      <c r="Y3" s="42">
        <v>914476</v>
      </c>
      <c r="Z3" s="42">
        <v>929764</v>
      </c>
      <c r="AA3" s="42">
        <v>949084</v>
      </c>
    </row>
    <row r="4" spans="1:27" x14ac:dyDescent="0.25">
      <c r="A4" s="43" t="s">
        <v>239</v>
      </c>
      <c r="B4" s="44"/>
      <c r="C4" s="44"/>
      <c r="D4" s="45">
        <v>218782</v>
      </c>
      <c r="E4" s="45">
        <v>223898</v>
      </c>
      <c r="F4" s="45">
        <v>229454</v>
      </c>
      <c r="G4" s="45">
        <v>235222</v>
      </c>
      <c r="H4" s="45">
        <v>241478</v>
      </c>
      <c r="I4" s="45">
        <v>248245</v>
      </c>
      <c r="J4" s="45">
        <v>251611</v>
      </c>
      <c r="K4" s="45">
        <v>259205</v>
      </c>
      <c r="L4" s="45">
        <v>276866</v>
      </c>
      <c r="M4" s="45">
        <v>286048</v>
      </c>
      <c r="N4" s="45">
        <v>293915</v>
      </c>
      <c r="O4" s="45">
        <v>302940</v>
      </c>
      <c r="P4" s="45">
        <v>311195</v>
      </c>
      <c r="Q4" s="45">
        <v>312515</v>
      </c>
      <c r="R4" s="45">
        <v>316654</v>
      </c>
      <c r="S4" s="45">
        <v>321211</v>
      </c>
      <c r="T4" s="45">
        <v>321460</v>
      </c>
      <c r="U4" s="45">
        <v>325431</v>
      </c>
      <c r="V4" s="45">
        <v>332174</v>
      </c>
      <c r="W4" s="45">
        <v>338734</v>
      </c>
      <c r="X4" s="45">
        <v>345493</v>
      </c>
      <c r="Y4" s="45">
        <v>353489</v>
      </c>
      <c r="Z4" s="45">
        <v>364470</v>
      </c>
      <c r="AA4" s="45">
        <v>374244</v>
      </c>
    </row>
    <row r="5" spans="1:27" x14ac:dyDescent="0.25">
      <c r="A5" s="46" t="s">
        <v>240</v>
      </c>
      <c r="B5" s="47"/>
      <c r="C5" s="47"/>
      <c r="D5" s="48">
        <f>D3/D4</f>
        <v>3.156096022524705</v>
      </c>
      <c r="E5" s="48">
        <f t="shared" ref="E5:S5" si="0">E3/E4</f>
        <v>3.1154766902786091</v>
      </c>
      <c r="F5" s="48">
        <f t="shared" si="0"/>
        <v>3.074860320587133</v>
      </c>
      <c r="G5" s="48">
        <f t="shared" si="0"/>
        <v>3.034239994558332</v>
      </c>
      <c r="H5" s="48">
        <f t="shared" si="0"/>
        <v>2.9936184662785017</v>
      </c>
      <c r="I5" s="48">
        <f t="shared" si="0"/>
        <v>2.9529980462849204</v>
      </c>
      <c r="J5" s="48">
        <f t="shared" si="0"/>
        <v>2.9569971106191701</v>
      </c>
      <c r="K5" s="48">
        <f t="shared" si="0"/>
        <v>2.9240022376111572</v>
      </c>
      <c r="L5" s="48">
        <f t="shared" si="0"/>
        <v>2.8040026583256883</v>
      </c>
      <c r="M5" s="48">
        <f t="shared" si="0"/>
        <v>2.7860009508893611</v>
      </c>
      <c r="N5" s="48">
        <f t="shared" si="0"/>
        <v>2.7869962404096422</v>
      </c>
      <c r="O5" s="48">
        <f t="shared" si="0"/>
        <v>2.7720043572984752</v>
      </c>
      <c r="P5" s="48">
        <f t="shared" si="0"/>
        <v>2.7700027314063531</v>
      </c>
      <c r="Q5" s="48">
        <f t="shared" si="0"/>
        <v>2.7610002719869446</v>
      </c>
      <c r="R5" s="48">
        <f t="shared" si="0"/>
        <v>2.7159991662824408</v>
      </c>
      <c r="S5" s="48">
        <f t="shared" si="0"/>
        <v>2.6800016188735754</v>
      </c>
      <c r="T5" s="48">
        <f t="shared" ref="T5:Y5" si="1">T3/T4</f>
        <v>2.6870030485908045</v>
      </c>
      <c r="U5" s="48">
        <f t="shared" si="1"/>
        <v>2.6730028792585832</v>
      </c>
      <c r="V5" s="48">
        <f t="shared" si="1"/>
        <v>2.6450023180622204</v>
      </c>
      <c r="W5" s="48">
        <f t="shared" si="1"/>
        <v>2.6280030938730685</v>
      </c>
      <c r="X5" s="48">
        <f t="shared" si="1"/>
        <v>2.6120037164284082</v>
      </c>
      <c r="Y5" s="48">
        <f t="shared" si="1"/>
        <v>2.5869998783554791</v>
      </c>
      <c r="Z5" s="48">
        <f t="shared" ref="Z5:AA5" si="2">Z3/Z4</f>
        <v>2.551002826021346</v>
      </c>
      <c r="AA5" s="48">
        <f t="shared" si="2"/>
        <v>2.5360032492170883</v>
      </c>
    </row>
    <row r="6" spans="1:27" x14ac:dyDescent="0.25">
      <c r="A6" s="35"/>
      <c r="B6" s="34"/>
      <c r="C6" s="34"/>
      <c r="D6" s="34"/>
      <c r="E6" s="34"/>
      <c r="F6" s="34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</row>
    <row r="7" spans="1:27" x14ac:dyDescent="0.2">
      <c r="A7" s="49" t="s">
        <v>248</v>
      </c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</row>
    <row r="8" spans="1:27" x14ac:dyDescent="0.25">
      <c r="A8" s="40" t="s">
        <v>249</v>
      </c>
      <c r="B8" s="41"/>
      <c r="C8" s="41"/>
      <c r="D8" s="42">
        <v>870.91</v>
      </c>
      <c r="E8" s="42">
        <v>777.36</v>
      </c>
      <c r="F8" s="42">
        <v>960.65</v>
      </c>
      <c r="G8" s="42">
        <v>902.81</v>
      </c>
      <c r="H8" s="42">
        <v>826.13</v>
      </c>
      <c r="I8" s="42">
        <v>798.92</v>
      </c>
      <c r="J8" s="42">
        <v>804.11</v>
      </c>
      <c r="K8" s="42">
        <v>872.86</v>
      </c>
      <c r="L8" s="42">
        <v>926.97</v>
      </c>
      <c r="M8" s="42">
        <v>876.71</v>
      </c>
      <c r="N8" s="42">
        <v>825.7</v>
      </c>
      <c r="O8" s="42">
        <v>804.96</v>
      </c>
      <c r="P8" s="42">
        <v>1161.0999999999999</v>
      </c>
      <c r="Q8" s="42">
        <v>953.31</v>
      </c>
      <c r="R8" s="42">
        <v>820.47</v>
      </c>
      <c r="S8" s="42">
        <v>909.47</v>
      </c>
      <c r="T8" s="42">
        <v>796.61</v>
      </c>
      <c r="U8" s="42">
        <v>911.64</v>
      </c>
      <c r="V8" s="42">
        <v>761.79</v>
      </c>
      <c r="W8" s="42">
        <v>670.77</v>
      </c>
      <c r="X8" s="42">
        <v>863.34</v>
      </c>
      <c r="Y8" s="42">
        <v>636.57000000000005</v>
      </c>
      <c r="Z8" s="42">
        <v>714.82</v>
      </c>
      <c r="AA8" s="42">
        <v>793.64</v>
      </c>
    </row>
    <row r="9" spans="1:27" x14ac:dyDescent="0.25">
      <c r="A9" s="43" t="s">
        <v>259</v>
      </c>
      <c r="B9" s="44"/>
      <c r="C9" s="44"/>
      <c r="D9" s="45">
        <f t="shared" ref="D9:W9" si="3">AVERAGE($D8:$X8)</f>
        <v>861.74238095238093</v>
      </c>
      <c r="E9" s="45">
        <f t="shared" si="3"/>
        <v>861.74238095238093</v>
      </c>
      <c r="F9" s="45">
        <f t="shared" si="3"/>
        <v>861.74238095238093</v>
      </c>
      <c r="G9" s="45">
        <f t="shared" si="3"/>
        <v>861.74238095238093</v>
      </c>
      <c r="H9" s="45">
        <f t="shared" si="3"/>
        <v>861.74238095238093</v>
      </c>
      <c r="I9" s="45">
        <f t="shared" si="3"/>
        <v>861.74238095238093</v>
      </c>
      <c r="J9" s="45">
        <f t="shared" si="3"/>
        <v>861.74238095238093</v>
      </c>
      <c r="K9" s="45">
        <f t="shared" si="3"/>
        <v>861.74238095238093</v>
      </c>
      <c r="L9" s="45">
        <f t="shared" si="3"/>
        <v>861.74238095238093</v>
      </c>
      <c r="M9" s="45">
        <f t="shared" si="3"/>
        <v>861.74238095238093</v>
      </c>
      <c r="N9" s="45">
        <f t="shared" si="3"/>
        <v>861.74238095238093</v>
      </c>
      <c r="O9" s="45">
        <f t="shared" si="3"/>
        <v>861.74238095238093</v>
      </c>
      <c r="P9" s="45">
        <f t="shared" si="3"/>
        <v>861.74238095238093</v>
      </c>
      <c r="Q9" s="45">
        <f t="shared" si="3"/>
        <v>861.74238095238093</v>
      </c>
      <c r="R9" s="45">
        <f t="shared" si="3"/>
        <v>861.74238095238093</v>
      </c>
      <c r="S9" s="45">
        <f t="shared" si="3"/>
        <v>861.74238095238093</v>
      </c>
      <c r="T9" s="45">
        <f t="shared" si="3"/>
        <v>861.74238095238093</v>
      </c>
      <c r="U9" s="45">
        <f t="shared" si="3"/>
        <v>861.74238095238093</v>
      </c>
      <c r="V9" s="45">
        <f t="shared" si="3"/>
        <v>861.74238095238093</v>
      </c>
      <c r="W9" s="45">
        <f t="shared" si="3"/>
        <v>861.74238095238093</v>
      </c>
      <c r="X9" s="45">
        <f>AVERAGE($D8:$X8)</f>
        <v>861.74238095238093</v>
      </c>
      <c r="Y9" s="45">
        <f t="shared" ref="Y9:AA9" si="4">AVERAGE($D8:$X8)</f>
        <v>861.74238095238093</v>
      </c>
      <c r="Z9" s="45">
        <f t="shared" si="4"/>
        <v>861.74238095238093</v>
      </c>
      <c r="AA9" s="45">
        <f t="shared" si="4"/>
        <v>861.74238095238093</v>
      </c>
    </row>
    <row r="10" spans="1:27" x14ac:dyDescent="0.25">
      <c r="A10" s="51" t="s">
        <v>250</v>
      </c>
      <c r="B10" s="52"/>
      <c r="C10" s="52"/>
      <c r="D10" s="53">
        <f t="shared" ref="D10:S10" si="5">IF(D8=0,0,D8/D9)</f>
        <v>1.0106384683523248</v>
      </c>
      <c r="E10" s="53">
        <f t="shared" si="5"/>
        <v>0.90207934201968443</v>
      </c>
      <c r="F10" s="53">
        <f t="shared" si="5"/>
        <v>1.114776319737586</v>
      </c>
      <c r="G10" s="53">
        <f t="shared" si="5"/>
        <v>1.0476564921899651</v>
      </c>
      <c r="H10" s="53">
        <f t="shared" si="5"/>
        <v>0.95867398222538058</v>
      </c>
      <c r="I10" s="53">
        <f t="shared" si="5"/>
        <v>0.92709842019960664</v>
      </c>
      <c r="J10" s="53">
        <f t="shared" si="5"/>
        <v>0.93312110182084029</v>
      </c>
      <c r="K10" s="53">
        <f t="shared" si="5"/>
        <v>1.0129013256088579</v>
      </c>
      <c r="L10" s="53">
        <f t="shared" si="5"/>
        <v>1.0756927133785978</v>
      </c>
      <c r="M10" s="53">
        <f t="shared" si="5"/>
        <v>1.0173690181409869</v>
      </c>
      <c r="N10" s="53">
        <f t="shared" si="5"/>
        <v>0.95817499318932475</v>
      </c>
      <c r="O10" s="53">
        <f t="shared" si="5"/>
        <v>0.93410747549676498</v>
      </c>
      <c r="P10" s="53">
        <f t="shared" si="5"/>
        <v>1.3473864413129766</v>
      </c>
      <c r="Q10" s="53">
        <f t="shared" si="5"/>
        <v>1.1062586929360725</v>
      </c>
      <c r="R10" s="53">
        <f t="shared" si="5"/>
        <v>0.95210589398334167</v>
      </c>
      <c r="S10" s="53">
        <f t="shared" si="5"/>
        <v>1.0553850200507389</v>
      </c>
      <c r="T10" s="53">
        <f t="shared" ref="T10:Y10" si="6">IF(T8=0,0,T8/T9)</f>
        <v>0.9244178046803293</v>
      </c>
      <c r="U10" s="53">
        <f t="shared" si="6"/>
        <v>1.0579031740233933</v>
      </c>
      <c r="V10" s="53">
        <f t="shared" si="6"/>
        <v>0.88401129715598348</v>
      </c>
      <c r="W10" s="53">
        <f t="shared" si="6"/>
        <v>0.77838808305874196</v>
      </c>
      <c r="X10" s="53">
        <f t="shared" si="6"/>
        <v>1.0018539404385025</v>
      </c>
      <c r="Y10" s="53">
        <f t="shared" si="6"/>
        <v>0.73870104809801196</v>
      </c>
      <c r="Z10" s="53">
        <f t="shared" ref="Z10:AA10" si="7">IF(Z8=0,0,Z8/Z9)</f>
        <v>0.82950544826401007</v>
      </c>
      <c r="AA10" s="53">
        <f t="shared" si="7"/>
        <v>0.92097129901268693</v>
      </c>
    </row>
    <row r="11" spans="1:27" x14ac:dyDescent="0.25">
      <c r="A11" s="43" t="s">
        <v>251</v>
      </c>
      <c r="B11" s="44"/>
      <c r="C11" s="44"/>
      <c r="D11" s="45">
        <v>314.33999999999997</v>
      </c>
      <c r="E11" s="45">
        <v>376.96</v>
      </c>
      <c r="F11" s="45">
        <v>346.35</v>
      </c>
      <c r="G11" s="45">
        <v>316.85000000000002</v>
      </c>
      <c r="H11" s="45">
        <v>273.60000000000002</v>
      </c>
      <c r="I11" s="45">
        <v>392.94</v>
      </c>
      <c r="J11" s="45">
        <v>364.36</v>
      </c>
      <c r="K11" s="45">
        <v>389.47</v>
      </c>
      <c r="L11" s="45">
        <v>472.34</v>
      </c>
      <c r="M11" s="45">
        <v>341.87</v>
      </c>
      <c r="N11" s="45">
        <v>346.76</v>
      </c>
      <c r="O11" s="45">
        <v>337.11</v>
      </c>
      <c r="P11" s="45">
        <v>330.02</v>
      </c>
      <c r="Q11" s="45">
        <v>405.14</v>
      </c>
      <c r="R11" s="45">
        <v>529.84</v>
      </c>
      <c r="S11" s="45">
        <v>612.12</v>
      </c>
      <c r="T11" s="45">
        <v>605.41999999999996</v>
      </c>
      <c r="U11" s="45">
        <v>551.13</v>
      </c>
      <c r="V11" s="45">
        <v>747.15</v>
      </c>
      <c r="W11" s="45">
        <v>703.74</v>
      </c>
      <c r="X11" s="45">
        <v>754.52</v>
      </c>
      <c r="Y11" s="45">
        <v>695.26</v>
      </c>
      <c r="Z11" s="45">
        <v>681.16</v>
      </c>
      <c r="AA11" s="45">
        <v>722.27</v>
      </c>
    </row>
    <row r="12" spans="1:27" x14ac:dyDescent="0.25">
      <c r="A12" s="43" t="s">
        <v>260</v>
      </c>
      <c r="B12" s="44"/>
      <c r="C12" s="44"/>
      <c r="D12" s="45">
        <f t="shared" ref="D12" si="8">AVERAGE($D11:$X11)</f>
        <v>452.95380952380958</v>
      </c>
      <c r="E12" s="45">
        <f t="shared" ref="E12" si="9">AVERAGE($D11:$X11)</f>
        <v>452.95380952380958</v>
      </c>
      <c r="F12" s="45">
        <f t="shared" ref="F12" si="10">AVERAGE($D11:$X11)</f>
        <v>452.95380952380958</v>
      </c>
      <c r="G12" s="45">
        <f t="shared" ref="G12" si="11">AVERAGE($D11:$X11)</f>
        <v>452.95380952380958</v>
      </c>
      <c r="H12" s="45">
        <f t="shared" ref="H12" si="12">AVERAGE($D11:$X11)</f>
        <v>452.95380952380958</v>
      </c>
      <c r="I12" s="45">
        <f t="shared" ref="I12" si="13">AVERAGE($D11:$X11)</f>
        <v>452.95380952380958</v>
      </c>
      <c r="J12" s="45">
        <f t="shared" ref="J12" si="14">AVERAGE($D11:$X11)</f>
        <v>452.95380952380958</v>
      </c>
      <c r="K12" s="45">
        <f t="shared" ref="K12" si="15">AVERAGE($D11:$X11)</f>
        <v>452.95380952380958</v>
      </c>
      <c r="L12" s="45">
        <f t="shared" ref="L12" si="16">AVERAGE($D11:$X11)</f>
        <v>452.95380952380958</v>
      </c>
      <c r="M12" s="45">
        <f t="shared" ref="M12" si="17">AVERAGE($D11:$X11)</f>
        <v>452.95380952380958</v>
      </c>
      <c r="N12" s="45">
        <f t="shared" ref="N12" si="18">AVERAGE($D11:$X11)</f>
        <v>452.95380952380958</v>
      </c>
      <c r="O12" s="45">
        <f t="shared" ref="O12" si="19">AVERAGE($D11:$X11)</f>
        <v>452.95380952380958</v>
      </c>
      <c r="P12" s="45">
        <f t="shared" ref="P12" si="20">AVERAGE($D11:$X11)</f>
        <v>452.95380952380958</v>
      </c>
      <c r="Q12" s="45">
        <f t="shared" ref="Q12" si="21">AVERAGE($D11:$X11)</f>
        <v>452.95380952380958</v>
      </c>
      <c r="R12" s="45">
        <f t="shared" ref="R12" si="22">AVERAGE($D11:$X11)</f>
        <v>452.95380952380958</v>
      </c>
      <c r="S12" s="45">
        <f t="shared" ref="S12" si="23">AVERAGE($D11:$X11)</f>
        <v>452.95380952380958</v>
      </c>
      <c r="T12" s="45">
        <f t="shared" ref="T12" si="24">AVERAGE($D11:$X11)</f>
        <v>452.95380952380958</v>
      </c>
      <c r="U12" s="45">
        <f t="shared" ref="U12" si="25">AVERAGE($D11:$X11)</f>
        <v>452.95380952380958</v>
      </c>
      <c r="V12" s="45">
        <f t="shared" ref="V12" si="26">AVERAGE($D11:$X11)</f>
        <v>452.95380952380958</v>
      </c>
      <c r="W12" s="45">
        <f t="shared" ref="W12" si="27">AVERAGE($D11:$X11)</f>
        <v>452.95380952380958</v>
      </c>
      <c r="X12" s="45">
        <f>AVERAGE($D11:$X11)</f>
        <v>452.95380952380958</v>
      </c>
      <c r="Y12" s="45">
        <f t="shared" ref="Y12:AA12" si="28">AVERAGE($D11:$X11)</f>
        <v>452.95380952380958</v>
      </c>
      <c r="Z12" s="45">
        <f t="shared" si="28"/>
        <v>452.95380952380958</v>
      </c>
      <c r="AA12" s="45">
        <f t="shared" si="28"/>
        <v>452.95380952380958</v>
      </c>
    </row>
    <row r="13" spans="1:27" x14ac:dyDescent="0.25">
      <c r="A13" s="54" t="s">
        <v>252</v>
      </c>
      <c r="B13" s="47"/>
      <c r="C13" s="47"/>
      <c r="D13" s="55">
        <f t="shared" ref="D13:E13" si="29">IF(D11=0,0,D11/D12)</f>
        <v>0.69397804674711905</v>
      </c>
      <c r="E13" s="55">
        <f t="shared" si="29"/>
        <v>0.83222613889989816</v>
      </c>
      <c r="F13" s="55">
        <f t="shared" ref="F13" si="30">IF(F11=0,0,F11/F12)</f>
        <v>0.76464750426565087</v>
      </c>
      <c r="G13" s="55">
        <f t="shared" ref="G13" si="31">IF(G11=0,0,G11/G12)</f>
        <v>0.69951945063251475</v>
      </c>
      <c r="H13" s="55">
        <f t="shared" ref="H13" si="32">IF(H11=0,0,H11/H12)</f>
        <v>0.60403510081444234</v>
      </c>
      <c r="I13" s="55">
        <f t="shared" ref="I13" si="33">IF(I11=0,0,I11/I12)</f>
        <v>0.86750567439337334</v>
      </c>
      <c r="J13" s="55">
        <f t="shared" ref="J13" si="34">IF(J11=0,0,J11/J12)</f>
        <v>0.80440873294133841</v>
      </c>
      <c r="K13" s="55">
        <f t="shared" ref="K13" si="35">IF(K11=0,0,K11/K12)</f>
        <v>0.8598448491016113</v>
      </c>
      <c r="L13" s="55">
        <f t="shared" ref="L13" si="36">IF(L11=0,0,L11/L12)</f>
        <v>1.0427994865449328</v>
      </c>
      <c r="M13" s="55">
        <f t="shared" ref="M13" si="37">IF(M11=0,0,M11/M12)</f>
        <v>0.75475687103594069</v>
      </c>
      <c r="N13" s="55">
        <f t="shared" ref="N13" si="38">IF(N11=0,0,N11/N12)</f>
        <v>0.76555267382461989</v>
      </c>
      <c r="O13" s="55">
        <f t="shared" ref="O13" si="39">IF(O11=0,0,O11/O12)</f>
        <v>0.7442480732293737</v>
      </c>
      <c r="P13" s="55">
        <f t="shared" ref="P13" si="40">IF(P11=0,0,P11/P12)</f>
        <v>0.72859526305110467</v>
      </c>
      <c r="Q13" s="55">
        <f t="shared" ref="Q13" si="41">IF(Q11=0,0,Q11/Q12)</f>
        <v>0.89443998809928049</v>
      </c>
      <c r="R13" s="55">
        <f t="shared" ref="R13" si="42">IF(R11=0,0,R11/R12)</f>
        <v>1.1697439978637576</v>
      </c>
      <c r="S13" s="55">
        <f t="shared" ref="S13:Y13" si="43">IF(S11=0,0,S11/S12)</f>
        <v>1.3513960742344167</v>
      </c>
      <c r="T13" s="55">
        <f t="shared" si="43"/>
        <v>1.3366042790024839</v>
      </c>
      <c r="U13" s="55">
        <f t="shared" si="43"/>
        <v>1.2167465830111972</v>
      </c>
      <c r="V13" s="55">
        <f t="shared" si="43"/>
        <v>1.6495059414236495</v>
      </c>
      <c r="W13" s="55">
        <f t="shared" si="43"/>
        <v>1.553668354704516</v>
      </c>
      <c r="X13" s="55">
        <f t="shared" si="43"/>
        <v>1.6657769161787754</v>
      </c>
      <c r="Y13" s="55">
        <f t="shared" si="43"/>
        <v>1.534946798948279</v>
      </c>
      <c r="Z13" s="55">
        <f t="shared" ref="Z13:AA13" si="44">IF(Z11=0,0,Z11/Z12)</f>
        <v>1.5038177970422715</v>
      </c>
      <c r="AA13" s="55">
        <f t="shared" si="44"/>
        <v>1.5945776033086521</v>
      </c>
    </row>
    <row r="14" spans="1:27" x14ac:dyDescent="0.25">
      <c r="A14" s="35"/>
      <c r="B14" s="34"/>
      <c r="C14" s="34"/>
      <c r="D14" s="34"/>
      <c r="E14" s="34"/>
      <c r="F14" s="34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</row>
    <row r="15" spans="1:27" x14ac:dyDescent="0.2">
      <c r="A15" s="49" t="s">
        <v>274</v>
      </c>
      <c r="B15" s="50"/>
      <c r="C15" s="50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</row>
    <row r="16" spans="1:27" x14ac:dyDescent="0.25">
      <c r="A16" s="40" t="s">
        <v>139</v>
      </c>
      <c r="B16" s="41"/>
      <c r="C16" s="41"/>
      <c r="D16" s="42">
        <v>16237.913501885521</v>
      </c>
      <c r="E16" s="42">
        <v>16879.644732682704</v>
      </c>
      <c r="F16" s="42">
        <v>17508.242240991553</v>
      </c>
      <c r="G16" s="42">
        <v>17967.361229672963</v>
      </c>
      <c r="H16" s="42">
        <v>18870.59861308926</v>
      </c>
      <c r="I16" s="42">
        <v>19786.469342469481</v>
      </c>
      <c r="J16" s="42">
        <v>20719.131462969875</v>
      </c>
      <c r="K16" s="42">
        <v>21775.309829538786</v>
      </c>
      <c r="L16" s="42">
        <v>22569.536276988911</v>
      </c>
      <c r="M16" s="42">
        <v>22114.800338996891</v>
      </c>
      <c r="N16" s="42">
        <v>22619.415800920029</v>
      </c>
      <c r="O16" s="42">
        <v>22713.885583533051</v>
      </c>
      <c r="P16" s="42">
        <v>21930.883074505542</v>
      </c>
      <c r="Q16" s="42">
        <v>20485.960339577192</v>
      </c>
      <c r="R16" s="42">
        <v>20122.223914251685</v>
      </c>
      <c r="S16" s="42">
        <v>20810.247624</v>
      </c>
      <c r="T16" s="42">
        <v>22178.208836811667</v>
      </c>
      <c r="U16" s="42">
        <v>23453.501123058544</v>
      </c>
      <c r="V16" s="42">
        <v>24924.550917512566</v>
      </c>
      <c r="W16" s="42">
        <v>26389.042928821473</v>
      </c>
      <c r="X16" s="42">
        <v>25538.998200751983</v>
      </c>
      <c r="Y16" s="42">
        <v>28447.586306106663</v>
      </c>
      <c r="Z16" s="42">
        <v>30497.190464851898</v>
      </c>
      <c r="AA16" s="42">
        <v>31340</v>
      </c>
    </row>
    <row r="17" spans="1:27" x14ac:dyDescent="0.25">
      <c r="A17" s="46" t="s">
        <v>141</v>
      </c>
      <c r="B17" s="47"/>
      <c r="C17" s="47"/>
      <c r="D17" s="57">
        <v>9481.4728313653322</v>
      </c>
      <c r="E17" s="57">
        <v>10007.221696327149</v>
      </c>
      <c r="F17" s="57">
        <v>10315.83890986579</v>
      </c>
      <c r="G17" s="57">
        <v>10765.410230058693</v>
      </c>
      <c r="H17" s="57">
        <v>11539.995362220307</v>
      </c>
      <c r="I17" s="57">
        <v>11991.053476997071</v>
      </c>
      <c r="J17" s="57">
        <v>12460.652346955987</v>
      </c>
      <c r="K17" s="57">
        <v>13675.278604783725</v>
      </c>
      <c r="L17" s="57">
        <v>14798.674481192573</v>
      </c>
      <c r="M17" s="57">
        <v>13832.846456238927</v>
      </c>
      <c r="N17" s="57">
        <v>14503.878331189122</v>
      </c>
      <c r="O17" s="57">
        <v>14374.607659962714</v>
      </c>
      <c r="P17" s="57">
        <v>13975.951387345247</v>
      </c>
      <c r="Q17" s="57">
        <v>12997.129060698542</v>
      </c>
      <c r="R17" s="57">
        <v>12991.91195146455</v>
      </c>
      <c r="S17" s="57">
        <v>13398.347260000002</v>
      </c>
      <c r="T17" s="57">
        <v>14086.771041471273</v>
      </c>
      <c r="U17" s="57">
        <v>14767.486962841829</v>
      </c>
      <c r="V17" s="57">
        <v>15655.367779670984</v>
      </c>
      <c r="W17" s="57">
        <v>16360.450910679883</v>
      </c>
      <c r="X17" s="57">
        <v>15360.808852228149</v>
      </c>
      <c r="Y17" s="57">
        <v>16085.64837444781</v>
      </c>
      <c r="Z17" s="57">
        <v>17658.215271870704</v>
      </c>
      <c r="AA17" s="57">
        <v>18702.7</v>
      </c>
    </row>
    <row r="18" spans="1:27" x14ac:dyDescent="0.25">
      <c r="A18" s="35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</row>
    <row r="19" spans="1:27" x14ac:dyDescent="0.2">
      <c r="A19" s="49" t="s">
        <v>275</v>
      </c>
      <c r="B19" s="50"/>
      <c r="C19" s="50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</row>
    <row r="20" spans="1:27" x14ac:dyDescent="0.25">
      <c r="A20" s="40" t="s">
        <v>139</v>
      </c>
      <c r="B20" s="41"/>
      <c r="C20" s="41"/>
      <c r="D20" s="42">
        <f>1000000*D16/D$3</f>
        <v>23516.269443437872</v>
      </c>
      <c r="E20" s="42">
        <f t="shared" ref="E20:S20" si="45">1000000*E16/E$3</f>
        <v>24198.507535216457</v>
      </c>
      <c r="F20" s="42">
        <f t="shared" si="45"/>
        <v>24815.413805603312</v>
      </c>
      <c r="G20" s="42">
        <f t="shared" si="45"/>
        <v>25174.243722570423</v>
      </c>
      <c r="H20" s="42">
        <f t="shared" si="45"/>
        <v>26104.2763079588</v>
      </c>
      <c r="I20" s="42">
        <f t="shared" si="45"/>
        <v>26991.351871615396</v>
      </c>
      <c r="J20" s="42">
        <f t="shared" si="45"/>
        <v>27847.808389060239</v>
      </c>
      <c r="K20" s="42">
        <f t="shared" si="45"/>
        <v>28730.505530347411</v>
      </c>
      <c r="L20" s="42">
        <f t="shared" si="45"/>
        <v>29071.978489886311</v>
      </c>
      <c r="M20" s="42">
        <f t="shared" si="45"/>
        <v>27749.991014263349</v>
      </c>
      <c r="N20" s="42">
        <f t="shared" si="45"/>
        <v>27613.614035354189</v>
      </c>
      <c r="O20" s="42">
        <f t="shared" si="45"/>
        <v>27048.357886484268</v>
      </c>
      <c r="P20" s="42">
        <f t="shared" si="45"/>
        <v>25441.535055243545</v>
      </c>
      <c r="Q20" s="42">
        <f t="shared" si="45"/>
        <v>23742.093493890265</v>
      </c>
      <c r="R20" s="42">
        <f t="shared" si="45"/>
        <v>23397.064195578405</v>
      </c>
      <c r="S20" s="42">
        <f t="shared" si="45"/>
        <v>24174.181704973944</v>
      </c>
      <c r="T20" s="42">
        <f t="shared" ref="T20:Y20" si="46">1000000*T16/T$3</f>
        <v>25676.236607234925</v>
      </c>
      <c r="U20" s="42">
        <f t="shared" si="46"/>
        <v>26961.828121941864</v>
      </c>
      <c r="V20" s="42">
        <f t="shared" si="46"/>
        <v>28368.452707784953</v>
      </c>
      <c r="W20" s="42">
        <f t="shared" si="46"/>
        <v>29644.148274220533</v>
      </c>
      <c r="X20" s="42">
        <f t="shared" si="46"/>
        <v>28300.285341840725</v>
      </c>
      <c r="Y20" s="42">
        <f t="shared" si="46"/>
        <v>31108.073154578866</v>
      </c>
      <c r="Z20" s="42">
        <f t="shared" ref="Z20:AA20" si="47">1000000*Z16/Z$3</f>
        <v>32801.00161422888</v>
      </c>
      <c r="AA20" s="42">
        <f t="shared" si="47"/>
        <v>33021.313181973353</v>
      </c>
    </row>
    <row r="21" spans="1:27" x14ac:dyDescent="0.25">
      <c r="A21" s="46" t="s">
        <v>141</v>
      </c>
      <c r="B21" s="47"/>
      <c r="C21" s="47"/>
      <c r="D21" s="57">
        <f>1000000*D17/D$3</f>
        <v>13731.374403314325</v>
      </c>
      <c r="E21" s="57">
        <f t="shared" ref="E21:S21" si="48">1000000*E17/E$3</f>
        <v>14346.26341135483</v>
      </c>
      <c r="F21" s="57">
        <f t="shared" si="48"/>
        <v>14621.21712600691</v>
      </c>
      <c r="G21" s="57">
        <f t="shared" si="48"/>
        <v>15083.520470294643</v>
      </c>
      <c r="H21" s="57">
        <f t="shared" si="48"/>
        <v>15963.628589874721</v>
      </c>
      <c r="I21" s="57">
        <f t="shared" si="48"/>
        <v>16357.377261555997</v>
      </c>
      <c r="J21" s="57">
        <f t="shared" si="48"/>
        <v>16747.896000413955</v>
      </c>
      <c r="K21" s="57">
        <f t="shared" si="48"/>
        <v>18043.264167511607</v>
      </c>
      <c r="L21" s="57">
        <f t="shared" si="48"/>
        <v>19062.27673072325</v>
      </c>
      <c r="M21" s="57">
        <f t="shared" si="48"/>
        <v>17357.668121715746</v>
      </c>
      <c r="N21" s="57">
        <f t="shared" si="48"/>
        <v>17706.226446259639</v>
      </c>
      <c r="O21" s="57">
        <f t="shared" si="48"/>
        <v>17117.702342673856</v>
      </c>
      <c r="P21" s="57">
        <f t="shared" si="48"/>
        <v>16213.193784470555</v>
      </c>
      <c r="Q21" s="57">
        <f t="shared" si="48"/>
        <v>15062.952783087918</v>
      </c>
      <c r="R21" s="57">
        <f t="shared" si="48"/>
        <v>15106.312266827921</v>
      </c>
      <c r="S21" s="57">
        <f t="shared" si="48"/>
        <v>15564.162765465602</v>
      </c>
      <c r="T21" s="57">
        <f t="shared" ref="T21:Y21" si="49">1000000*T17/T$3</f>
        <v>16308.587810410336</v>
      </c>
      <c r="U21" s="57">
        <f t="shared" si="49"/>
        <v>16976.503558937955</v>
      </c>
      <c r="V21" s="57">
        <f t="shared" si="49"/>
        <v>17818.518052757718</v>
      </c>
      <c r="W21" s="57">
        <f t="shared" si="49"/>
        <v>18378.523008108215</v>
      </c>
      <c r="X21" s="57">
        <f t="shared" si="49"/>
        <v>17021.625914313645</v>
      </c>
      <c r="Y21" s="57">
        <f t="shared" si="49"/>
        <v>17590.016987266816</v>
      </c>
      <c r="Z21" s="57">
        <f t="shared" ref="Z21:AA21" si="50">1000000*Z17/Z$3</f>
        <v>18992.147762088771</v>
      </c>
      <c r="AA21" s="57">
        <f t="shared" si="50"/>
        <v>19706.053415714519</v>
      </c>
    </row>
    <row r="22" spans="1:27" x14ac:dyDescent="0.25">
      <c r="A22" s="35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</row>
    <row r="23" spans="1:27" x14ac:dyDescent="0.25">
      <c r="A23" s="58" t="s">
        <v>276</v>
      </c>
      <c r="B23" s="59"/>
      <c r="C23" s="59"/>
      <c r="D23" s="60">
        <v>14301.584049332221</v>
      </c>
      <c r="E23" s="60">
        <v>14866.817960516732</v>
      </c>
      <c r="F23" s="60">
        <v>15420.417589497358</v>
      </c>
      <c r="G23" s="60">
        <v>15824.922697642329</v>
      </c>
      <c r="H23" s="60">
        <v>16620.320206874083</v>
      </c>
      <c r="I23" s="60">
        <v>17426.768147869843</v>
      </c>
      <c r="J23" s="60">
        <v>18248.203865888183</v>
      </c>
      <c r="K23" s="60">
        <v>19178.719094910772</v>
      </c>
      <c r="L23" s="60">
        <v>19878.182349700652</v>
      </c>
      <c r="M23" s="60">
        <v>19477.517972608322</v>
      </c>
      <c r="N23" s="60">
        <v>19929.343510118633</v>
      </c>
      <c r="O23" s="60">
        <v>20012.380078451984</v>
      </c>
      <c r="P23" s="60">
        <v>19322.612603583217</v>
      </c>
      <c r="Q23" s="60">
        <v>18049.690957395418</v>
      </c>
      <c r="R23" s="60">
        <v>17729.029299590798</v>
      </c>
      <c r="S23" s="60">
        <v>18307.072755000001</v>
      </c>
      <c r="T23" s="60">
        <v>19510.574254985208</v>
      </c>
      <c r="U23" s="60">
        <v>20636.25381934737</v>
      </c>
      <c r="V23" s="60">
        <v>21953.708465409301</v>
      </c>
      <c r="W23" s="60">
        <v>23286.422727891688</v>
      </c>
      <c r="X23" s="60">
        <v>22555.826068819664</v>
      </c>
      <c r="Y23" s="60">
        <v>25124.658863208486</v>
      </c>
      <c r="Z23" s="60">
        <v>26934.81275756715</v>
      </c>
      <c r="AA23" s="60">
        <v>27679.200000000001</v>
      </c>
    </row>
    <row r="24" spans="1:27" x14ac:dyDescent="0.25">
      <c r="A24" s="61" t="s">
        <v>33</v>
      </c>
      <c r="B24" s="62"/>
      <c r="C24" s="62"/>
      <c r="D24" s="63">
        <v>572.51661034280664</v>
      </c>
      <c r="E24" s="63">
        <v>633.64771016463499</v>
      </c>
      <c r="F24" s="63">
        <v>648.1463745213639</v>
      </c>
      <c r="G24" s="63">
        <v>598.09247496015041</v>
      </c>
      <c r="H24" s="63">
        <v>582.56988108812516</v>
      </c>
      <c r="I24" s="63">
        <v>546.30656124052189</v>
      </c>
      <c r="J24" s="63">
        <v>476.89367701698518</v>
      </c>
      <c r="K24" s="63">
        <v>449.64134700869528</v>
      </c>
      <c r="L24" s="63">
        <v>481.80359741393653</v>
      </c>
      <c r="M24" s="63">
        <v>440.57067359095771</v>
      </c>
      <c r="N24" s="63">
        <v>465.00446615491973</v>
      </c>
      <c r="O24" s="63">
        <v>483.04298312211648</v>
      </c>
      <c r="P24" s="63">
        <v>435.97357668994096</v>
      </c>
      <c r="Q24" s="63">
        <v>413.48916046758762</v>
      </c>
      <c r="R24" s="63">
        <v>373.144069564181</v>
      </c>
      <c r="S24" s="63">
        <v>390.49124000000006</v>
      </c>
      <c r="T24" s="63">
        <v>477.72865565325873</v>
      </c>
      <c r="U24" s="63">
        <v>437.72285517434204</v>
      </c>
      <c r="V24" s="63">
        <v>432.39040831286155</v>
      </c>
      <c r="W24" s="63">
        <v>463.54612788390472</v>
      </c>
      <c r="X24" s="63">
        <v>461.54536723547494</v>
      </c>
      <c r="Y24" s="63">
        <v>425.1972166772311</v>
      </c>
      <c r="Z24" s="63">
        <v>357.37328584624129</v>
      </c>
      <c r="AA24" s="63">
        <v>369.5</v>
      </c>
    </row>
    <row r="25" spans="1:27" x14ac:dyDescent="0.25">
      <c r="A25" s="64" t="s">
        <v>56</v>
      </c>
      <c r="B25" s="65"/>
      <c r="C25" s="65"/>
      <c r="D25" s="66">
        <v>41.712068347363811</v>
      </c>
      <c r="E25" s="66">
        <v>37.466255688919873</v>
      </c>
      <c r="F25" s="66">
        <v>43.316072655995335</v>
      </c>
      <c r="G25" s="66">
        <v>48.656708226070926</v>
      </c>
      <c r="H25" s="66">
        <v>56.793108463453784</v>
      </c>
      <c r="I25" s="66">
        <v>59.683892342373085</v>
      </c>
      <c r="J25" s="66">
        <v>60.306275546667329</v>
      </c>
      <c r="K25" s="66">
        <v>64.414912071470383</v>
      </c>
      <c r="L25" s="66">
        <v>76.867809483628434</v>
      </c>
      <c r="M25" s="66">
        <v>56.687920221153036</v>
      </c>
      <c r="N25" s="66">
        <v>55.744791147442939</v>
      </c>
      <c r="O25" s="66">
        <v>41.376721667632289</v>
      </c>
      <c r="P25" s="66">
        <v>20.446736169723014</v>
      </c>
      <c r="Q25" s="66">
        <v>21.608578881267508</v>
      </c>
      <c r="R25" s="66">
        <v>24.066346192046396</v>
      </c>
      <c r="S25" s="66">
        <v>29.946187336981851</v>
      </c>
      <c r="T25" s="66">
        <v>21.682973821357429</v>
      </c>
      <c r="U25" s="66">
        <v>20.700140430537296</v>
      </c>
      <c r="V25" s="66">
        <v>28.033799605675007</v>
      </c>
      <c r="W25" s="66">
        <v>30.593364587791321</v>
      </c>
      <c r="X25" s="66">
        <v>28.705319117975172</v>
      </c>
      <c r="Y25" s="66">
        <v>33.385965574776847</v>
      </c>
      <c r="Z25" s="66">
        <v>44.387127859883499</v>
      </c>
      <c r="AA25" s="66">
        <v>52.499999999999993</v>
      </c>
    </row>
    <row r="26" spans="1:27" x14ac:dyDescent="0.25">
      <c r="A26" s="67" t="s">
        <v>146</v>
      </c>
      <c r="B26" s="44"/>
      <c r="C26" s="44"/>
      <c r="D26" s="45">
        <v>11052.616164501731</v>
      </c>
      <c r="E26" s="45">
        <v>11488.364053600399</v>
      </c>
      <c r="F26" s="45">
        <v>11819.677473185786</v>
      </c>
      <c r="G26" s="45">
        <v>12134.412479592434</v>
      </c>
      <c r="H26" s="45">
        <v>12755.135765480652</v>
      </c>
      <c r="I26" s="45">
        <v>13447.709360839766</v>
      </c>
      <c r="J26" s="45">
        <v>14189.884048020811</v>
      </c>
      <c r="K26" s="45">
        <v>14846.753106229806</v>
      </c>
      <c r="L26" s="45">
        <v>15414.289267689173</v>
      </c>
      <c r="M26" s="45">
        <v>15647.343916751093</v>
      </c>
      <c r="N26" s="45">
        <v>16336.359450702819</v>
      </c>
      <c r="O26" s="45">
        <v>16814.056487284521</v>
      </c>
      <c r="P26" s="45">
        <v>16502.974166538792</v>
      </c>
      <c r="Q26" s="45">
        <v>15639.208965317359</v>
      </c>
      <c r="R26" s="45">
        <v>15533.438023916413</v>
      </c>
      <c r="S26" s="45">
        <v>15998.294378262693</v>
      </c>
      <c r="T26" s="45">
        <v>16852.007253958993</v>
      </c>
      <c r="U26" s="45">
        <v>17793.628245392294</v>
      </c>
      <c r="V26" s="45">
        <v>18767.688493057503</v>
      </c>
      <c r="W26" s="45">
        <v>19729.207587635683</v>
      </c>
      <c r="X26" s="45">
        <v>19116.273362695352</v>
      </c>
      <c r="Y26" s="45">
        <v>21739.461118049057</v>
      </c>
      <c r="Z26" s="45">
        <v>23767.599771742221</v>
      </c>
      <c r="AA26" s="45">
        <v>24364.085530352102</v>
      </c>
    </row>
    <row r="27" spans="1:27" x14ac:dyDescent="0.25">
      <c r="A27" s="68" t="s">
        <v>148</v>
      </c>
      <c r="B27" s="69"/>
      <c r="C27" s="69"/>
      <c r="D27" s="70">
        <v>5275.6948036562717</v>
      </c>
      <c r="E27" s="70">
        <v>5321.9335692778395</v>
      </c>
      <c r="F27" s="70">
        <v>5486.2326505804413</v>
      </c>
      <c r="G27" s="70">
        <v>5809.6452549187525</v>
      </c>
      <c r="H27" s="70">
        <v>5922.2064319456422</v>
      </c>
      <c r="I27" s="70">
        <v>6113.354777193339</v>
      </c>
      <c r="J27" s="70">
        <v>6357.5517958244909</v>
      </c>
      <c r="K27" s="70">
        <v>6463.2154520025151</v>
      </c>
      <c r="L27" s="70">
        <v>6696.3313757691685</v>
      </c>
      <c r="M27" s="70">
        <v>6879.9725166743037</v>
      </c>
      <c r="N27" s="70">
        <v>7121.7454740305047</v>
      </c>
      <c r="O27" s="70">
        <v>7393.6191818022517</v>
      </c>
      <c r="P27" s="70">
        <v>7151.218042660943</v>
      </c>
      <c r="Q27" s="70">
        <v>6718.0171384407286</v>
      </c>
      <c r="R27" s="70">
        <v>6529.6162548170514</v>
      </c>
      <c r="S27" s="70">
        <v>6591.0541100000019</v>
      </c>
      <c r="T27" s="70">
        <v>6822.7528221019365</v>
      </c>
      <c r="U27" s="70">
        <v>7135.8247543635462</v>
      </c>
      <c r="V27" s="70">
        <v>7635.0891314684186</v>
      </c>
      <c r="W27" s="70">
        <v>7991.2134478465505</v>
      </c>
      <c r="X27" s="70">
        <v>6698.0584782840651</v>
      </c>
      <c r="Y27" s="70">
        <v>7556.8941306137194</v>
      </c>
      <c r="Z27" s="70">
        <v>8299.4617113116383</v>
      </c>
      <c r="AA27" s="70">
        <v>8665.9000000000033</v>
      </c>
    </row>
    <row r="28" spans="1:27" x14ac:dyDescent="0.25">
      <c r="A28" s="68" t="s">
        <v>150</v>
      </c>
      <c r="B28" s="71"/>
      <c r="C28" s="71"/>
      <c r="D28" s="70">
        <v>3909.2671870908202</v>
      </c>
      <c r="E28" s="70">
        <v>4246.2882934291683</v>
      </c>
      <c r="F28" s="70">
        <v>4379.8381510970648</v>
      </c>
      <c r="G28" s="70">
        <v>4431.3719101658226</v>
      </c>
      <c r="H28" s="70">
        <v>4755.9823144765305</v>
      </c>
      <c r="I28" s="70">
        <v>5139.0483924220689</v>
      </c>
      <c r="J28" s="70">
        <v>5502.8274449309974</v>
      </c>
      <c r="K28" s="70">
        <v>5925.287784331158</v>
      </c>
      <c r="L28" s="70">
        <v>6208.1101883419269</v>
      </c>
      <c r="M28" s="70">
        <v>6394.5618553026834</v>
      </c>
      <c r="N28" s="70">
        <v>6806.5551340843385</v>
      </c>
      <c r="O28" s="70">
        <v>7099.0309963207383</v>
      </c>
      <c r="P28" s="70">
        <v>7097.6989900636863</v>
      </c>
      <c r="Q28" s="70">
        <v>6917.3337696840881</v>
      </c>
      <c r="R28" s="70">
        <v>6938.859843669301</v>
      </c>
      <c r="S28" s="70">
        <v>7283.5003900000011</v>
      </c>
      <c r="T28" s="70">
        <v>7720.3107330422345</v>
      </c>
      <c r="U28" s="70">
        <v>8058.6138614850033</v>
      </c>
      <c r="V28" s="70">
        <v>8383.896539939773</v>
      </c>
      <c r="W28" s="70">
        <v>8907.314754114308</v>
      </c>
      <c r="X28" s="70">
        <v>9712.0039726040686</v>
      </c>
      <c r="Y28" s="70">
        <v>10642.825200329231</v>
      </c>
      <c r="Z28" s="70">
        <v>11523.684737814412</v>
      </c>
      <c r="AA28" s="70">
        <v>12042.8</v>
      </c>
    </row>
    <row r="29" spans="1:27" x14ac:dyDescent="0.25">
      <c r="A29" s="68" t="s">
        <v>152</v>
      </c>
      <c r="B29" s="71"/>
      <c r="C29" s="71"/>
      <c r="D29" s="70">
        <v>1867.6541737546388</v>
      </c>
      <c r="E29" s="70">
        <v>1920.1421908933894</v>
      </c>
      <c r="F29" s="70">
        <v>1953.6066715082818</v>
      </c>
      <c r="G29" s="70">
        <v>1893.3953145078608</v>
      </c>
      <c r="H29" s="70">
        <v>2076.9470190584789</v>
      </c>
      <c r="I29" s="70">
        <v>2195.3061912243543</v>
      </c>
      <c r="J29" s="70">
        <v>2329.5048072653244</v>
      </c>
      <c r="K29" s="70">
        <v>2458.2498698961344</v>
      </c>
      <c r="L29" s="70">
        <v>2509.8477035780766</v>
      </c>
      <c r="M29" s="70">
        <v>2372.8095447741057</v>
      </c>
      <c r="N29" s="70">
        <v>2408.0588425879778</v>
      </c>
      <c r="O29" s="70">
        <v>2321.406309161529</v>
      </c>
      <c r="P29" s="70">
        <v>2254.0571338141644</v>
      </c>
      <c r="Q29" s="70">
        <v>2003.8580571925415</v>
      </c>
      <c r="R29" s="70">
        <v>2064.9619254300583</v>
      </c>
      <c r="S29" s="70">
        <v>2123.7398782626929</v>
      </c>
      <c r="T29" s="70">
        <v>2308.9436988148182</v>
      </c>
      <c r="U29" s="70">
        <v>2599.1896295437491</v>
      </c>
      <c r="V29" s="70">
        <v>2748.7028216493136</v>
      </c>
      <c r="W29" s="70">
        <v>2830.679385674825</v>
      </c>
      <c r="X29" s="70">
        <v>2706.2109118072199</v>
      </c>
      <c r="Y29" s="70">
        <v>3539.7417871061066</v>
      </c>
      <c r="Z29" s="70">
        <v>3944.4533226161716</v>
      </c>
      <c r="AA29" s="70">
        <v>3655.3855303521009</v>
      </c>
    </row>
    <row r="30" spans="1:27" x14ac:dyDescent="0.25">
      <c r="A30" s="64" t="s">
        <v>154</v>
      </c>
      <c r="B30" s="65"/>
      <c r="C30" s="65"/>
      <c r="D30" s="66">
        <v>204.92118416777899</v>
      </c>
      <c r="E30" s="66">
        <v>234.55803998949381</v>
      </c>
      <c r="F30" s="66">
        <v>245.32101685195121</v>
      </c>
      <c r="G30" s="66">
        <v>266.01227198688326</v>
      </c>
      <c r="H30" s="66">
        <v>249.80835059223233</v>
      </c>
      <c r="I30" s="66">
        <v>225.60511305417029</v>
      </c>
      <c r="J30" s="66">
        <v>224.34434336458301</v>
      </c>
      <c r="K30" s="66">
        <v>257.78595203504136</v>
      </c>
      <c r="L30" s="66">
        <v>220.43522804090605</v>
      </c>
      <c r="M30" s="66">
        <v>280.94930960888593</v>
      </c>
      <c r="N30" s="66">
        <v>298.00236267570534</v>
      </c>
      <c r="O30" s="66">
        <v>261.18355894287998</v>
      </c>
      <c r="P30" s="66">
        <v>330.16451028159304</v>
      </c>
      <c r="Q30" s="66">
        <v>339.0971258815573</v>
      </c>
      <c r="R30" s="66">
        <v>259.87025743911636</v>
      </c>
      <c r="S30" s="66">
        <v>317.05638940032617</v>
      </c>
      <c r="T30" s="66">
        <v>324.30696520916757</v>
      </c>
      <c r="U30" s="66">
        <v>260.72909410687413</v>
      </c>
      <c r="V30" s="66">
        <v>255.18907610613309</v>
      </c>
      <c r="W30" s="66">
        <v>293.01644749640133</v>
      </c>
      <c r="X30" s="66">
        <v>248.40272213113951</v>
      </c>
      <c r="Y30" s="66">
        <v>247.80597074652042</v>
      </c>
      <c r="Z30" s="66">
        <v>274.60008703993196</v>
      </c>
      <c r="AA30" s="66">
        <v>293.65660934267856</v>
      </c>
    </row>
    <row r="31" spans="1:27" x14ac:dyDescent="0.25">
      <c r="A31" s="64" t="s">
        <v>37</v>
      </c>
      <c r="B31" s="65"/>
      <c r="C31" s="65"/>
      <c r="D31" s="66">
        <v>1178.4457607462186</v>
      </c>
      <c r="E31" s="66">
        <v>1233.350007284736</v>
      </c>
      <c r="F31" s="66">
        <v>1370.9209201969247</v>
      </c>
      <c r="G31" s="66">
        <v>1498.8341541170032</v>
      </c>
      <c r="H31" s="66">
        <v>1635.2077816303261</v>
      </c>
      <c r="I31" s="66">
        <v>1803.9124883302593</v>
      </c>
      <c r="J31" s="66">
        <v>2025.5743320948341</v>
      </c>
      <c r="K31" s="66">
        <v>2297.3388934666177</v>
      </c>
      <c r="L31" s="66">
        <v>2439.5318112838854</v>
      </c>
      <c r="M31" s="66">
        <v>1879.1276360674101</v>
      </c>
      <c r="N31" s="66">
        <v>1652.1362476323397</v>
      </c>
      <c r="O31" s="66">
        <v>1398.1032821351398</v>
      </c>
      <c r="P31" s="66">
        <v>1150.9389578377964</v>
      </c>
      <c r="Q31" s="66">
        <v>879.9868660032846</v>
      </c>
      <c r="R31" s="66">
        <v>756.00724047514996</v>
      </c>
      <c r="S31" s="66">
        <v>739.51026000000002</v>
      </c>
      <c r="T31" s="66">
        <v>889.82236352294899</v>
      </c>
      <c r="U31" s="66">
        <v>1073.0782192355316</v>
      </c>
      <c r="V31" s="66">
        <v>1262.7830899833584</v>
      </c>
      <c r="W31" s="66">
        <v>1478.3393621367159</v>
      </c>
      <c r="X31" s="66">
        <v>1389.0436113347755</v>
      </c>
      <c r="Y31" s="66">
        <v>1389.7710996111675</v>
      </c>
      <c r="Z31" s="66">
        <v>1327.1647763606652</v>
      </c>
      <c r="AA31" s="66">
        <v>1393.3</v>
      </c>
    </row>
    <row r="32" spans="1:27" x14ac:dyDescent="0.25">
      <c r="A32" s="64" t="s">
        <v>58</v>
      </c>
      <c r="B32" s="65"/>
      <c r="C32" s="65"/>
      <c r="D32" s="66">
        <v>1251.3722612263223</v>
      </c>
      <c r="E32" s="66">
        <v>1239.4318937885487</v>
      </c>
      <c r="F32" s="66">
        <v>1293.0357320853341</v>
      </c>
      <c r="G32" s="66">
        <v>1278.9146087597837</v>
      </c>
      <c r="H32" s="66">
        <v>1340.8053196192957</v>
      </c>
      <c r="I32" s="66">
        <v>1343.5507320627548</v>
      </c>
      <c r="J32" s="66">
        <v>1271.2011898443029</v>
      </c>
      <c r="K32" s="66">
        <v>1262.7848840991392</v>
      </c>
      <c r="L32" s="66">
        <v>1245.2546357891238</v>
      </c>
      <c r="M32" s="66">
        <v>1172.8385163688204</v>
      </c>
      <c r="N32" s="66">
        <v>1122.0961918054034</v>
      </c>
      <c r="O32" s="66">
        <v>1014.6170452996944</v>
      </c>
      <c r="P32" s="66">
        <v>882.11465606537263</v>
      </c>
      <c r="Q32" s="66">
        <v>756.30026084436292</v>
      </c>
      <c r="R32" s="66">
        <v>782.50336200389336</v>
      </c>
      <c r="S32" s="66">
        <v>831.77430000000004</v>
      </c>
      <c r="T32" s="66">
        <v>945.02604281948607</v>
      </c>
      <c r="U32" s="66">
        <v>1050.3952650077883</v>
      </c>
      <c r="V32" s="66">
        <v>1207.6235983437673</v>
      </c>
      <c r="W32" s="66">
        <v>1291.7198381511885</v>
      </c>
      <c r="X32" s="66">
        <v>1311.8556863049446</v>
      </c>
      <c r="Y32" s="66">
        <v>1289.0374925497395</v>
      </c>
      <c r="Z32" s="66">
        <v>1163.6877087182042</v>
      </c>
      <c r="AA32" s="66">
        <v>1206.1578603052205</v>
      </c>
    </row>
    <row r="33" spans="1:27" x14ac:dyDescent="0.25">
      <c r="A33" s="72" t="s">
        <v>158</v>
      </c>
      <c r="B33" s="65"/>
      <c r="C33" s="65"/>
      <c r="D33" s="66">
        <v>0</v>
      </c>
      <c r="E33" s="66">
        <v>0</v>
      </c>
      <c r="F33" s="66">
        <v>0</v>
      </c>
      <c r="G33" s="66">
        <v>0</v>
      </c>
      <c r="H33" s="66">
        <v>0</v>
      </c>
      <c r="I33" s="66">
        <v>0</v>
      </c>
      <c r="J33" s="66">
        <v>0</v>
      </c>
      <c r="K33" s="66">
        <v>0</v>
      </c>
      <c r="L33" s="66">
        <v>0</v>
      </c>
      <c r="M33" s="66">
        <v>0</v>
      </c>
      <c r="N33" s="66">
        <v>0</v>
      </c>
      <c r="O33" s="66">
        <v>0</v>
      </c>
      <c r="P33" s="66">
        <v>0</v>
      </c>
      <c r="Q33" s="66">
        <v>0</v>
      </c>
      <c r="R33" s="66">
        <v>0</v>
      </c>
      <c r="S33" s="66">
        <v>0</v>
      </c>
      <c r="T33" s="66">
        <v>0</v>
      </c>
      <c r="U33" s="66">
        <v>0</v>
      </c>
      <c r="V33" s="66">
        <v>0</v>
      </c>
      <c r="W33" s="66">
        <v>0</v>
      </c>
      <c r="X33" s="66">
        <v>0</v>
      </c>
      <c r="Y33" s="66">
        <v>0</v>
      </c>
      <c r="Z33" s="66">
        <v>0</v>
      </c>
      <c r="AA33" s="66">
        <v>0</v>
      </c>
    </row>
    <row r="34" spans="1:27" x14ac:dyDescent="0.25">
      <c r="A34" s="73" t="s">
        <v>5</v>
      </c>
      <c r="B34" s="65"/>
      <c r="C34" s="65"/>
      <c r="D34" s="66">
        <v>0</v>
      </c>
      <c r="E34" s="66">
        <v>0</v>
      </c>
      <c r="F34" s="66">
        <v>0</v>
      </c>
      <c r="G34" s="66">
        <v>0</v>
      </c>
      <c r="H34" s="66">
        <v>0</v>
      </c>
      <c r="I34" s="66">
        <v>0</v>
      </c>
      <c r="J34" s="66">
        <v>0</v>
      </c>
      <c r="K34" s="66">
        <v>0</v>
      </c>
      <c r="L34" s="66">
        <v>0</v>
      </c>
      <c r="M34" s="66">
        <v>0</v>
      </c>
      <c r="N34" s="66">
        <v>0</v>
      </c>
      <c r="O34" s="66">
        <v>0</v>
      </c>
      <c r="P34" s="66">
        <v>0</v>
      </c>
      <c r="Q34" s="66">
        <v>0</v>
      </c>
      <c r="R34" s="66">
        <v>0</v>
      </c>
      <c r="S34" s="66">
        <v>0</v>
      </c>
      <c r="T34" s="66">
        <v>0</v>
      </c>
      <c r="U34" s="66">
        <v>0</v>
      </c>
      <c r="V34" s="66">
        <v>0</v>
      </c>
      <c r="W34" s="66">
        <v>0</v>
      </c>
      <c r="X34" s="66">
        <v>0</v>
      </c>
      <c r="Y34" s="66">
        <v>0</v>
      </c>
      <c r="Z34" s="66">
        <v>0</v>
      </c>
      <c r="AA34" s="66">
        <v>0</v>
      </c>
    </row>
    <row r="35" spans="1:27" x14ac:dyDescent="0.25">
      <c r="A35" s="74" t="s">
        <v>264</v>
      </c>
      <c r="B35" s="44"/>
      <c r="C35" s="44"/>
      <c r="D35" s="45">
        <v>0</v>
      </c>
      <c r="E35" s="45">
        <v>0</v>
      </c>
      <c r="F35" s="45">
        <v>0</v>
      </c>
      <c r="G35" s="45">
        <v>0</v>
      </c>
      <c r="H35" s="45">
        <v>0</v>
      </c>
      <c r="I35" s="45">
        <v>0</v>
      </c>
      <c r="J35" s="45">
        <v>0</v>
      </c>
      <c r="K35" s="45">
        <v>0</v>
      </c>
      <c r="L35" s="45">
        <v>0</v>
      </c>
      <c r="M35" s="45">
        <v>0</v>
      </c>
      <c r="N35" s="45">
        <v>0</v>
      </c>
      <c r="O35" s="45">
        <v>0</v>
      </c>
      <c r="P35" s="45">
        <v>0</v>
      </c>
      <c r="Q35" s="45">
        <v>0</v>
      </c>
      <c r="R35" s="45">
        <v>0</v>
      </c>
      <c r="S35" s="45">
        <v>0</v>
      </c>
      <c r="T35" s="45">
        <v>0</v>
      </c>
      <c r="U35" s="45">
        <v>0</v>
      </c>
      <c r="V35" s="45">
        <v>0</v>
      </c>
      <c r="W35" s="45">
        <v>0</v>
      </c>
      <c r="X35" s="45">
        <v>0</v>
      </c>
      <c r="Y35" s="45">
        <v>0</v>
      </c>
      <c r="Z35" s="45">
        <v>0</v>
      </c>
      <c r="AA35" s="45">
        <v>0</v>
      </c>
    </row>
    <row r="36" spans="1:27" x14ac:dyDescent="0.25">
      <c r="A36" s="74" t="s">
        <v>15</v>
      </c>
      <c r="B36" s="44"/>
      <c r="C36" s="44"/>
      <c r="D36" s="45">
        <v>0</v>
      </c>
      <c r="E36" s="45">
        <v>0</v>
      </c>
      <c r="F36" s="45">
        <v>0</v>
      </c>
      <c r="G36" s="45">
        <v>0</v>
      </c>
      <c r="H36" s="45">
        <v>0</v>
      </c>
      <c r="I36" s="45">
        <v>0</v>
      </c>
      <c r="J36" s="45">
        <v>0</v>
      </c>
      <c r="K36" s="45">
        <v>0</v>
      </c>
      <c r="L36" s="45">
        <v>0</v>
      </c>
      <c r="M36" s="45">
        <v>0</v>
      </c>
      <c r="N36" s="45">
        <v>0</v>
      </c>
      <c r="O36" s="45">
        <v>0</v>
      </c>
      <c r="P36" s="45">
        <v>0</v>
      </c>
      <c r="Q36" s="45">
        <v>0</v>
      </c>
      <c r="R36" s="45">
        <v>0</v>
      </c>
      <c r="S36" s="45">
        <v>0</v>
      </c>
      <c r="T36" s="45">
        <v>0</v>
      </c>
      <c r="U36" s="45">
        <v>0</v>
      </c>
      <c r="V36" s="45">
        <v>0</v>
      </c>
      <c r="W36" s="45">
        <v>0</v>
      </c>
      <c r="X36" s="45">
        <v>0</v>
      </c>
      <c r="Y36" s="45">
        <v>0</v>
      </c>
      <c r="Z36" s="45">
        <v>0</v>
      </c>
      <c r="AA36" s="45">
        <v>0</v>
      </c>
    </row>
    <row r="37" spans="1:27" x14ac:dyDescent="0.25">
      <c r="A37" s="73" t="s">
        <v>263</v>
      </c>
      <c r="B37" s="65"/>
      <c r="C37" s="65"/>
      <c r="D37" s="66">
        <v>0</v>
      </c>
      <c r="E37" s="66">
        <v>0</v>
      </c>
      <c r="F37" s="66">
        <v>0</v>
      </c>
      <c r="G37" s="66">
        <v>0</v>
      </c>
      <c r="H37" s="66">
        <v>0</v>
      </c>
      <c r="I37" s="66">
        <v>0</v>
      </c>
      <c r="J37" s="66">
        <v>0</v>
      </c>
      <c r="K37" s="66">
        <v>0</v>
      </c>
      <c r="L37" s="66">
        <v>0</v>
      </c>
      <c r="M37" s="66">
        <v>0</v>
      </c>
      <c r="N37" s="66">
        <v>0</v>
      </c>
      <c r="O37" s="66">
        <v>0</v>
      </c>
      <c r="P37" s="66">
        <v>0</v>
      </c>
      <c r="Q37" s="66">
        <v>0</v>
      </c>
      <c r="R37" s="66">
        <v>0</v>
      </c>
      <c r="S37" s="66">
        <v>0</v>
      </c>
      <c r="T37" s="66">
        <v>0</v>
      </c>
      <c r="U37" s="66">
        <v>0</v>
      </c>
      <c r="V37" s="66">
        <v>0</v>
      </c>
      <c r="W37" s="66">
        <v>0</v>
      </c>
      <c r="X37" s="66">
        <v>0</v>
      </c>
      <c r="Y37" s="66">
        <v>0</v>
      </c>
      <c r="Z37" s="66">
        <v>0</v>
      </c>
      <c r="AA37" s="66">
        <v>0</v>
      </c>
    </row>
    <row r="38" spans="1:27" x14ac:dyDescent="0.25">
      <c r="A38" s="74" t="s">
        <v>14</v>
      </c>
      <c r="B38" s="44"/>
      <c r="C38" s="44"/>
      <c r="D38" s="45">
        <v>0</v>
      </c>
      <c r="E38" s="45">
        <v>0</v>
      </c>
      <c r="F38" s="45">
        <v>0</v>
      </c>
      <c r="G38" s="45">
        <v>0</v>
      </c>
      <c r="H38" s="45">
        <v>0</v>
      </c>
      <c r="I38" s="45">
        <v>0</v>
      </c>
      <c r="J38" s="45">
        <v>0</v>
      </c>
      <c r="K38" s="45">
        <v>0</v>
      </c>
      <c r="L38" s="45">
        <v>0</v>
      </c>
      <c r="M38" s="45">
        <v>0</v>
      </c>
      <c r="N38" s="45">
        <v>0</v>
      </c>
      <c r="O38" s="45">
        <v>0</v>
      </c>
      <c r="P38" s="45">
        <v>0</v>
      </c>
      <c r="Q38" s="45">
        <v>0</v>
      </c>
      <c r="R38" s="45">
        <v>0</v>
      </c>
      <c r="S38" s="45">
        <v>0</v>
      </c>
      <c r="T38" s="45">
        <v>0</v>
      </c>
      <c r="U38" s="45">
        <v>0</v>
      </c>
      <c r="V38" s="45">
        <v>0</v>
      </c>
      <c r="W38" s="45">
        <v>0</v>
      </c>
      <c r="X38" s="45">
        <v>0</v>
      </c>
      <c r="Y38" s="45">
        <v>0</v>
      </c>
      <c r="Z38" s="45">
        <v>0</v>
      </c>
      <c r="AA38" s="45">
        <v>0</v>
      </c>
    </row>
    <row r="39" spans="1:27" x14ac:dyDescent="0.25">
      <c r="A39" s="74" t="s">
        <v>19</v>
      </c>
      <c r="B39" s="44"/>
      <c r="C39" s="44"/>
      <c r="D39" s="45">
        <v>0</v>
      </c>
      <c r="E39" s="45">
        <v>0</v>
      </c>
      <c r="F39" s="45">
        <v>0</v>
      </c>
      <c r="G39" s="45">
        <v>0</v>
      </c>
      <c r="H39" s="45">
        <v>0</v>
      </c>
      <c r="I39" s="45">
        <v>0</v>
      </c>
      <c r="J39" s="45">
        <v>0</v>
      </c>
      <c r="K39" s="45">
        <v>0</v>
      </c>
      <c r="L39" s="45">
        <v>0</v>
      </c>
      <c r="M39" s="45">
        <v>0</v>
      </c>
      <c r="N39" s="45">
        <v>0</v>
      </c>
      <c r="O39" s="45">
        <v>0</v>
      </c>
      <c r="P39" s="45">
        <v>0</v>
      </c>
      <c r="Q39" s="45">
        <v>0</v>
      </c>
      <c r="R39" s="45">
        <v>0</v>
      </c>
      <c r="S39" s="45">
        <v>0</v>
      </c>
      <c r="T39" s="45">
        <v>0</v>
      </c>
      <c r="U39" s="45">
        <v>0</v>
      </c>
      <c r="V39" s="45">
        <v>0</v>
      </c>
      <c r="W39" s="45">
        <v>0</v>
      </c>
      <c r="X39" s="45">
        <v>0</v>
      </c>
      <c r="Y39" s="45">
        <v>0</v>
      </c>
      <c r="Z39" s="45">
        <v>0</v>
      </c>
      <c r="AA39" s="45">
        <v>0</v>
      </c>
    </row>
    <row r="40" spans="1:27" x14ac:dyDescent="0.25">
      <c r="A40" s="75" t="s">
        <v>267</v>
      </c>
      <c r="B40" s="76"/>
      <c r="C40" s="76"/>
      <c r="D40" s="45">
        <v>0</v>
      </c>
      <c r="E40" s="45">
        <v>0</v>
      </c>
      <c r="F40" s="45">
        <v>0</v>
      </c>
      <c r="G40" s="45">
        <v>0</v>
      </c>
      <c r="H40" s="45">
        <v>0</v>
      </c>
      <c r="I40" s="45">
        <v>0</v>
      </c>
      <c r="J40" s="45">
        <v>0</v>
      </c>
      <c r="K40" s="45">
        <v>0</v>
      </c>
      <c r="L40" s="45">
        <v>0</v>
      </c>
      <c r="M40" s="45">
        <v>0</v>
      </c>
      <c r="N40" s="45">
        <v>0</v>
      </c>
      <c r="O40" s="45">
        <v>0</v>
      </c>
      <c r="P40" s="45">
        <v>0</v>
      </c>
      <c r="Q40" s="45">
        <v>0</v>
      </c>
      <c r="R40" s="45">
        <v>0</v>
      </c>
      <c r="S40" s="45">
        <v>0</v>
      </c>
      <c r="T40" s="45">
        <v>0</v>
      </c>
      <c r="U40" s="45">
        <v>0</v>
      </c>
      <c r="V40" s="45">
        <v>0</v>
      </c>
      <c r="W40" s="45">
        <v>0</v>
      </c>
      <c r="X40" s="45">
        <v>0</v>
      </c>
      <c r="Y40" s="45">
        <v>0</v>
      </c>
      <c r="Z40" s="45">
        <v>0</v>
      </c>
      <c r="AA40" s="45">
        <v>0</v>
      </c>
    </row>
    <row r="41" spans="1:27" x14ac:dyDescent="0.25">
      <c r="A41" s="75" t="s">
        <v>268</v>
      </c>
      <c r="B41" s="76"/>
      <c r="C41" s="76"/>
      <c r="D41" s="45">
        <v>0</v>
      </c>
      <c r="E41" s="45">
        <v>0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5">
        <v>0</v>
      </c>
      <c r="L41" s="45">
        <v>0</v>
      </c>
      <c r="M41" s="45">
        <v>0</v>
      </c>
      <c r="N41" s="45">
        <v>0</v>
      </c>
      <c r="O41" s="45">
        <v>0</v>
      </c>
      <c r="P41" s="45">
        <v>0</v>
      </c>
      <c r="Q41" s="45">
        <v>0</v>
      </c>
      <c r="R41" s="45">
        <v>0</v>
      </c>
      <c r="S41" s="45">
        <v>0</v>
      </c>
      <c r="T41" s="45">
        <v>0</v>
      </c>
      <c r="U41" s="45">
        <v>0</v>
      </c>
      <c r="V41" s="45">
        <v>0</v>
      </c>
      <c r="W41" s="45">
        <v>0</v>
      </c>
      <c r="X41" s="45">
        <v>0</v>
      </c>
      <c r="Y41" s="45">
        <v>0</v>
      </c>
      <c r="Z41" s="45">
        <v>0</v>
      </c>
      <c r="AA41" s="45">
        <v>0</v>
      </c>
    </row>
    <row r="42" spans="1:27" x14ac:dyDescent="0.25">
      <c r="A42" s="74" t="s">
        <v>13</v>
      </c>
      <c r="B42" s="44"/>
      <c r="C42" s="44"/>
      <c r="D42" s="45">
        <v>0</v>
      </c>
      <c r="E42" s="45">
        <v>0</v>
      </c>
      <c r="F42" s="45">
        <v>0</v>
      </c>
      <c r="G42" s="45">
        <v>0</v>
      </c>
      <c r="H42" s="45">
        <v>0</v>
      </c>
      <c r="I42" s="45">
        <v>0</v>
      </c>
      <c r="J42" s="45">
        <v>0</v>
      </c>
      <c r="K42" s="45">
        <v>0</v>
      </c>
      <c r="L42" s="45">
        <v>0</v>
      </c>
      <c r="M42" s="45">
        <v>0</v>
      </c>
      <c r="N42" s="45">
        <v>0</v>
      </c>
      <c r="O42" s="45">
        <v>0</v>
      </c>
      <c r="P42" s="45">
        <v>0</v>
      </c>
      <c r="Q42" s="45">
        <v>0</v>
      </c>
      <c r="R42" s="45">
        <v>0</v>
      </c>
      <c r="S42" s="45">
        <v>0</v>
      </c>
      <c r="T42" s="45">
        <v>0</v>
      </c>
      <c r="U42" s="45">
        <v>0</v>
      </c>
      <c r="V42" s="45">
        <v>0</v>
      </c>
      <c r="W42" s="45">
        <v>0</v>
      </c>
      <c r="X42" s="45">
        <v>0</v>
      </c>
      <c r="Y42" s="45">
        <v>0</v>
      </c>
      <c r="Z42" s="45">
        <v>0</v>
      </c>
      <c r="AA42" s="45">
        <v>0</v>
      </c>
    </row>
    <row r="43" spans="1:27" x14ac:dyDescent="0.25">
      <c r="A43" s="72" t="s">
        <v>265</v>
      </c>
      <c r="B43" s="65"/>
      <c r="C43" s="65"/>
      <c r="D43" s="66">
        <v>82.950262498285355</v>
      </c>
      <c r="E43" s="66">
        <v>78.923085328541589</v>
      </c>
      <c r="F43" s="66">
        <v>79.159673007962084</v>
      </c>
      <c r="G43" s="66">
        <v>75.800876692122856</v>
      </c>
      <c r="H43" s="66">
        <v>82.817635492053142</v>
      </c>
      <c r="I43" s="66">
        <v>83.424818407450417</v>
      </c>
      <c r="J43" s="66">
        <v>86.825050866949766</v>
      </c>
      <c r="K43" s="66">
        <v>84.118296940390749</v>
      </c>
      <c r="L43" s="66">
        <v>82.944323756860143</v>
      </c>
      <c r="M43" s="66">
        <v>82.443892877144762</v>
      </c>
      <c r="N43" s="66">
        <v>97.785654471139452</v>
      </c>
      <c r="O43" s="66">
        <v>92.41315287430163</v>
      </c>
      <c r="P43" s="66">
        <v>91.730985766899423</v>
      </c>
      <c r="Q43" s="66">
        <v>97.463694329050327</v>
      </c>
      <c r="R43" s="66">
        <v>105.63737535258829</v>
      </c>
      <c r="S43" s="66">
        <v>125.58161000000001</v>
      </c>
      <c r="T43" s="66">
        <v>141.9355745819667</v>
      </c>
      <c r="U43" s="66">
        <v>172.85574349962059</v>
      </c>
      <c r="V43" s="66">
        <v>190.98108507013237</v>
      </c>
      <c r="W43" s="66">
        <v>207.8082616815158</v>
      </c>
      <c r="X43" s="66">
        <v>259.5910158031063</v>
      </c>
      <c r="Y43" s="66">
        <v>207.96971173404225</v>
      </c>
      <c r="Z43" s="66">
        <v>204.65673404860027</v>
      </c>
      <c r="AA43" s="66">
        <v>221.65672058982369</v>
      </c>
    </row>
    <row r="44" spans="1:27" x14ac:dyDescent="0.25">
      <c r="A44" s="73" t="s">
        <v>266</v>
      </c>
      <c r="B44" s="65"/>
      <c r="C44" s="65"/>
      <c r="D44" s="66">
        <v>41.983582945717103</v>
      </c>
      <c r="E44" s="66">
        <v>37.057075906949635</v>
      </c>
      <c r="F44" s="66">
        <v>36.818452561842825</v>
      </c>
      <c r="G44" s="66">
        <v>34.782486379749244</v>
      </c>
      <c r="H44" s="66">
        <v>38.35906848486259</v>
      </c>
      <c r="I44" s="66">
        <v>30.505100530546258</v>
      </c>
      <c r="J44" s="66">
        <v>33.235701963906585</v>
      </c>
      <c r="K44" s="66">
        <v>33.217886029013165</v>
      </c>
      <c r="L44" s="66">
        <v>28.697525153833364</v>
      </c>
      <c r="M44" s="66">
        <v>28.232584898935905</v>
      </c>
      <c r="N44" s="66">
        <v>33.563009670022929</v>
      </c>
      <c r="O44" s="66">
        <v>27.66725067647803</v>
      </c>
      <c r="P44" s="66">
        <v>23.351736937006063</v>
      </c>
      <c r="Q44" s="66">
        <v>20.9333107912279</v>
      </c>
      <c r="R44" s="66">
        <v>20.016720630884748</v>
      </c>
      <c r="S44" s="66">
        <v>22.483535000000003</v>
      </c>
      <c r="T44" s="66">
        <v>25.316337002233535</v>
      </c>
      <c r="U44" s="66">
        <v>27.10322223109798</v>
      </c>
      <c r="V44" s="66">
        <v>31.387827878595768</v>
      </c>
      <c r="W44" s="66">
        <v>31.499834649651795</v>
      </c>
      <c r="X44" s="66">
        <v>33.225841813719306</v>
      </c>
      <c r="Y44" s="66">
        <v>31.630793464584066</v>
      </c>
      <c r="Z44" s="66">
        <v>30.626083558334521</v>
      </c>
      <c r="AA44" s="66">
        <v>32.62247513051404</v>
      </c>
    </row>
    <row r="45" spans="1:27" x14ac:dyDescent="0.25">
      <c r="A45" s="74" t="s">
        <v>20</v>
      </c>
      <c r="B45" s="44"/>
      <c r="C45" s="44"/>
      <c r="D45" s="45">
        <v>0</v>
      </c>
      <c r="E45" s="45">
        <v>0</v>
      </c>
      <c r="F45" s="45">
        <v>0</v>
      </c>
      <c r="G45" s="45">
        <v>0</v>
      </c>
      <c r="H45" s="45">
        <v>0</v>
      </c>
      <c r="I45" s="45">
        <v>0</v>
      </c>
      <c r="J45" s="45">
        <v>0</v>
      </c>
      <c r="K45" s="45">
        <v>0</v>
      </c>
      <c r="L45" s="45">
        <v>0</v>
      </c>
      <c r="M45" s="45">
        <v>0</v>
      </c>
      <c r="N45" s="45">
        <v>0</v>
      </c>
      <c r="O45" s="45">
        <v>0</v>
      </c>
      <c r="P45" s="45">
        <v>0</v>
      </c>
      <c r="Q45" s="45">
        <v>0</v>
      </c>
      <c r="R45" s="45">
        <v>0</v>
      </c>
      <c r="S45" s="45">
        <v>0</v>
      </c>
      <c r="T45" s="45">
        <v>0</v>
      </c>
      <c r="U45" s="45">
        <v>0</v>
      </c>
      <c r="V45" s="45">
        <v>0</v>
      </c>
      <c r="W45" s="45">
        <v>0</v>
      </c>
      <c r="X45" s="45">
        <v>0</v>
      </c>
      <c r="Y45" s="45">
        <v>0</v>
      </c>
      <c r="Z45" s="45">
        <v>0</v>
      </c>
      <c r="AA45" s="45">
        <v>0</v>
      </c>
    </row>
    <row r="46" spans="1:27" x14ac:dyDescent="0.25">
      <c r="A46" s="74" t="s">
        <v>12</v>
      </c>
      <c r="B46" s="44"/>
      <c r="C46" s="44"/>
      <c r="D46" s="45">
        <v>41.983582945717103</v>
      </c>
      <c r="E46" s="45">
        <v>37.057075906949635</v>
      </c>
      <c r="F46" s="45">
        <v>36.818452561842825</v>
      </c>
      <c r="G46" s="45">
        <v>34.782486379749244</v>
      </c>
      <c r="H46" s="45">
        <v>38.35906848486259</v>
      </c>
      <c r="I46" s="45">
        <v>30.505100530546258</v>
      </c>
      <c r="J46" s="45">
        <v>33.235701963906585</v>
      </c>
      <c r="K46" s="45">
        <v>33.217886029013165</v>
      </c>
      <c r="L46" s="45">
        <v>28.697525153833364</v>
      </c>
      <c r="M46" s="45">
        <v>28.232584898935905</v>
      </c>
      <c r="N46" s="45">
        <v>33.563009670022929</v>
      </c>
      <c r="O46" s="45">
        <v>27.66725067647803</v>
      </c>
      <c r="P46" s="45">
        <v>23.351736937006063</v>
      </c>
      <c r="Q46" s="45">
        <v>20.9333107912279</v>
      </c>
      <c r="R46" s="45">
        <v>20.016720630884748</v>
      </c>
      <c r="S46" s="45">
        <v>22.483535000000003</v>
      </c>
      <c r="T46" s="45">
        <v>25.316337002233535</v>
      </c>
      <c r="U46" s="45">
        <v>27.10322223109798</v>
      </c>
      <c r="V46" s="45">
        <v>31.387827878595768</v>
      </c>
      <c r="W46" s="45">
        <v>31.499834649651795</v>
      </c>
      <c r="X46" s="45">
        <v>33.225841813719306</v>
      </c>
      <c r="Y46" s="45">
        <v>31.630793464584066</v>
      </c>
      <c r="Z46" s="45">
        <v>30.626083558334521</v>
      </c>
      <c r="AA46" s="45">
        <v>32.62247513051404</v>
      </c>
    </row>
    <row r="47" spans="1:27" x14ac:dyDescent="0.25">
      <c r="A47" s="73" t="s">
        <v>11</v>
      </c>
      <c r="B47" s="65"/>
      <c r="C47" s="65"/>
      <c r="D47" s="66">
        <v>40.966679552568245</v>
      </c>
      <c r="E47" s="66">
        <v>41.866009421591961</v>
      </c>
      <c r="F47" s="66">
        <v>42.341220446119252</v>
      </c>
      <c r="G47" s="66">
        <v>41.018390312373612</v>
      </c>
      <c r="H47" s="66">
        <v>44.45856700719056</v>
      </c>
      <c r="I47" s="66">
        <v>52.919717876904159</v>
      </c>
      <c r="J47" s="66">
        <v>53.589348903043174</v>
      </c>
      <c r="K47" s="66">
        <v>50.900410911377584</v>
      </c>
      <c r="L47" s="66">
        <v>54.246798603026782</v>
      </c>
      <c r="M47" s="66">
        <v>54.211307978208858</v>
      </c>
      <c r="N47" s="66">
        <v>64.22264480111653</v>
      </c>
      <c r="O47" s="66">
        <v>64.745902197823597</v>
      </c>
      <c r="P47" s="66">
        <v>68.379248829893356</v>
      </c>
      <c r="Q47" s="66">
        <v>76.530383537822431</v>
      </c>
      <c r="R47" s="66">
        <v>85.620654721703545</v>
      </c>
      <c r="S47" s="66">
        <v>103.09807500000001</v>
      </c>
      <c r="T47" s="66">
        <v>116.61923757973317</v>
      </c>
      <c r="U47" s="66">
        <v>145.7525212685226</v>
      </c>
      <c r="V47" s="66">
        <v>159.59325719153659</v>
      </c>
      <c r="W47" s="66">
        <v>176.308427031864</v>
      </c>
      <c r="X47" s="66">
        <v>226.36517398938699</v>
      </c>
      <c r="Y47" s="66">
        <v>176.33891826945819</v>
      </c>
      <c r="Z47" s="66">
        <v>174.03065049026574</v>
      </c>
      <c r="AA47" s="66">
        <v>189.03424545930966</v>
      </c>
    </row>
    <row r="48" spans="1:27" x14ac:dyDescent="0.25">
      <c r="A48" s="72" t="s">
        <v>4</v>
      </c>
      <c r="B48" s="65"/>
      <c r="C48" s="65"/>
      <c r="D48" s="66">
        <v>150.35643027272388</v>
      </c>
      <c r="E48" s="66">
        <v>151.33996649021415</v>
      </c>
      <c r="F48" s="66">
        <v>171.34741384549935</v>
      </c>
      <c r="G48" s="66">
        <v>179.17830633074016</v>
      </c>
      <c r="H48" s="66">
        <v>201.69008447164501</v>
      </c>
      <c r="I48" s="66">
        <v>214.46411981692737</v>
      </c>
      <c r="J48" s="66">
        <v>224.66303963198865</v>
      </c>
      <c r="K48" s="66">
        <v>226.71522974174383</v>
      </c>
      <c r="L48" s="66">
        <v>220.01435951272245</v>
      </c>
      <c r="M48" s="66">
        <v>182.20693447380484</v>
      </c>
      <c r="N48" s="66">
        <v>162.82124414315621</v>
      </c>
      <c r="O48" s="66">
        <v>146.72714088263351</v>
      </c>
      <c r="P48" s="66">
        <v>103.57445043351494</v>
      </c>
      <c r="Q48" s="66">
        <v>70.227881364119398</v>
      </c>
      <c r="R48" s="66">
        <v>83.30658297246832</v>
      </c>
      <c r="S48" s="66">
        <v>99.83621500000001</v>
      </c>
      <c r="T48" s="66">
        <v>121.07303760790387</v>
      </c>
      <c r="U48" s="66">
        <v>126.90822083316692</v>
      </c>
      <c r="V48" s="66">
        <v>142.16839686187498</v>
      </c>
      <c r="W48" s="66">
        <v>159.31211337197993</v>
      </c>
      <c r="X48" s="66">
        <v>170.87575789912788</v>
      </c>
      <c r="Y48" s="66">
        <v>158.15396732292032</v>
      </c>
      <c r="Z48" s="66">
        <v>141.43870346028137</v>
      </c>
      <c r="AA48" s="66">
        <v>144.45179983381041</v>
      </c>
    </row>
    <row r="49" spans="1:27" x14ac:dyDescent="0.25">
      <c r="A49" s="77" t="s">
        <v>10</v>
      </c>
      <c r="B49" s="44"/>
      <c r="C49" s="44"/>
      <c r="D49" s="45">
        <v>64.628567450754076</v>
      </c>
      <c r="E49" s="45">
        <v>67.763513534270331</v>
      </c>
      <c r="F49" s="45">
        <v>81.787811295491878</v>
      </c>
      <c r="G49" s="45">
        <v>93.74344266699319</v>
      </c>
      <c r="H49" s="45">
        <v>99.945218976654175</v>
      </c>
      <c r="I49" s="45">
        <v>105.97670924168359</v>
      </c>
      <c r="J49" s="45">
        <v>111.77081372922723</v>
      </c>
      <c r="K49" s="45">
        <v>147.21061303540239</v>
      </c>
      <c r="L49" s="45">
        <v>151.69836806042437</v>
      </c>
      <c r="M49" s="45">
        <v>120.55191156316612</v>
      </c>
      <c r="N49" s="45">
        <v>106.0387772114909</v>
      </c>
      <c r="O49" s="45">
        <v>122.34546341183921</v>
      </c>
      <c r="P49" s="45">
        <v>78.486525537556673</v>
      </c>
      <c r="Q49" s="45">
        <v>34.728600411751628</v>
      </c>
      <c r="R49" s="45">
        <v>32.100776177506233</v>
      </c>
      <c r="S49" s="45">
        <v>40.328814576777823</v>
      </c>
      <c r="T49" s="45">
        <v>64.712613338468245</v>
      </c>
      <c r="U49" s="45">
        <v>73.546758067275704</v>
      </c>
      <c r="V49" s="45">
        <v>85.353493483694479</v>
      </c>
      <c r="W49" s="45">
        <v>126.6695419762287</v>
      </c>
      <c r="X49" s="45">
        <v>99.637267959154229</v>
      </c>
      <c r="Y49" s="45">
        <v>93.193341265899051</v>
      </c>
      <c r="Z49" s="45">
        <v>77.421910004917308</v>
      </c>
      <c r="AA49" s="45">
        <v>80.143078312800526</v>
      </c>
    </row>
    <row r="50" spans="1:27" x14ac:dyDescent="0.25">
      <c r="A50" s="77" t="s">
        <v>18</v>
      </c>
      <c r="B50" s="44"/>
      <c r="C50" s="44"/>
      <c r="D50" s="45">
        <v>0</v>
      </c>
      <c r="E50" s="45">
        <v>0</v>
      </c>
      <c r="F50" s="45">
        <v>0</v>
      </c>
      <c r="G50" s="45">
        <v>0</v>
      </c>
      <c r="H50" s="45">
        <v>0</v>
      </c>
      <c r="I50" s="45">
        <v>0</v>
      </c>
      <c r="J50" s="45">
        <v>0</v>
      </c>
      <c r="K50" s="45">
        <v>0</v>
      </c>
      <c r="L50" s="45">
        <v>0</v>
      </c>
      <c r="M50" s="45">
        <v>0</v>
      </c>
      <c r="N50" s="45">
        <v>0</v>
      </c>
      <c r="O50" s="45">
        <v>0</v>
      </c>
      <c r="P50" s="45">
        <v>0</v>
      </c>
      <c r="Q50" s="45">
        <v>0</v>
      </c>
      <c r="R50" s="45">
        <v>0</v>
      </c>
      <c r="S50" s="45">
        <v>0</v>
      </c>
      <c r="T50" s="45">
        <v>0</v>
      </c>
      <c r="U50" s="45">
        <v>0</v>
      </c>
      <c r="V50" s="45">
        <v>0</v>
      </c>
      <c r="W50" s="45">
        <v>0</v>
      </c>
      <c r="X50" s="45">
        <v>0</v>
      </c>
      <c r="Y50" s="45">
        <v>0</v>
      </c>
      <c r="Z50" s="45">
        <v>0</v>
      </c>
      <c r="AA50" s="45">
        <v>0</v>
      </c>
    </row>
    <row r="51" spans="1:27" x14ac:dyDescent="0.25">
      <c r="A51" s="77" t="s">
        <v>9</v>
      </c>
      <c r="B51" s="44"/>
      <c r="C51" s="44"/>
      <c r="D51" s="45">
        <v>85.727862821969808</v>
      </c>
      <c r="E51" s="45">
        <v>83.576452955943822</v>
      </c>
      <c r="F51" s="45">
        <v>89.559602550007469</v>
      </c>
      <c r="G51" s="45">
        <v>85.434863663746967</v>
      </c>
      <c r="H51" s="45">
        <v>101.74486549499083</v>
      </c>
      <c r="I51" s="45">
        <v>108.48741057524377</v>
      </c>
      <c r="J51" s="45">
        <v>112.89222590276142</v>
      </c>
      <c r="K51" s="45">
        <v>79.504616706341437</v>
      </c>
      <c r="L51" s="45">
        <v>68.315991452298078</v>
      </c>
      <c r="M51" s="45">
        <v>61.655022910638721</v>
      </c>
      <c r="N51" s="45">
        <v>56.782466931665311</v>
      </c>
      <c r="O51" s="45">
        <v>24.381677470794301</v>
      </c>
      <c r="P51" s="45">
        <v>25.087924895958267</v>
      </c>
      <c r="Q51" s="45">
        <v>35.499280952367769</v>
      </c>
      <c r="R51" s="45">
        <v>51.205806794962086</v>
      </c>
      <c r="S51" s="45">
        <v>59.507400423222187</v>
      </c>
      <c r="T51" s="45">
        <v>56.360424269435626</v>
      </c>
      <c r="U51" s="45">
        <v>53.361462765891218</v>
      </c>
      <c r="V51" s="45">
        <v>56.814903378180503</v>
      </c>
      <c r="W51" s="45">
        <v>32.642571395751233</v>
      </c>
      <c r="X51" s="45">
        <v>71.238489939973647</v>
      </c>
      <c r="Y51" s="45">
        <v>64.960626057021273</v>
      </c>
      <c r="Z51" s="45">
        <v>64.016793455364066</v>
      </c>
      <c r="AA51" s="45">
        <v>64.308721521009886</v>
      </c>
    </row>
    <row r="52" spans="1:27" x14ac:dyDescent="0.25">
      <c r="A52" s="72" t="s">
        <v>3</v>
      </c>
      <c r="B52" s="65"/>
      <c r="C52" s="65"/>
      <c r="D52" s="66">
        <v>77.284657879313144</v>
      </c>
      <c r="E52" s="66">
        <v>80.76179520178718</v>
      </c>
      <c r="F52" s="66">
        <v>83.691174861727362</v>
      </c>
      <c r="G52" s="66">
        <v>79.542419051697479</v>
      </c>
      <c r="H52" s="66">
        <v>80.377836083121949</v>
      </c>
      <c r="I52" s="66">
        <v>77.323798301341157</v>
      </c>
      <c r="J52" s="66">
        <v>76.905868497876867</v>
      </c>
      <c r="K52" s="66">
        <v>79.318754472320421</v>
      </c>
      <c r="L52" s="66">
        <v>81.6123711125894</v>
      </c>
      <c r="M52" s="66">
        <v>69.869716409551444</v>
      </c>
      <c r="N52" s="66">
        <v>68.868044063403445</v>
      </c>
      <c r="O52" s="66">
        <v>63.498608109949593</v>
      </c>
      <c r="P52" s="66">
        <v>53.407321798511475</v>
      </c>
      <c r="Q52" s="66">
        <v>44.905327987634038</v>
      </c>
      <c r="R52" s="66">
        <v>45.124399110087005</v>
      </c>
      <c r="S52" s="66">
        <v>42.870160000000006</v>
      </c>
      <c r="T52" s="66">
        <v>48.874595045978623</v>
      </c>
      <c r="U52" s="66">
        <v>50.251467827615137</v>
      </c>
      <c r="V52" s="66">
        <v>49.851256042475633</v>
      </c>
      <c r="W52" s="66">
        <v>51.782102283780112</v>
      </c>
      <c r="X52" s="66">
        <v>42.831952542175564</v>
      </c>
      <c r="Y52" s="66">
        <v>41.6600694411595</v>
      </c>
      <c r="Z52" s="66">
        <v>40.765800412107446</v>
      </c>
      <c r="AA52" s="66">
        <v>43.652905905440377</v>
      </c>
    </row>
    <row r="53" spans="1:27" x14ac:dyDescent="0.25">
      <c r="A53" s="73" t="s">
        <v>21</v>
      </c>
      <c r="B53" s="65"/>
      <c r="C53" s="65"/>
      <c r="D53" s="66">
        <v>0</v>
      </c>
      <c r="E53" s="66">
        <v>0</v>
      </c>
      <c r="F53" s="66">
        <v>0</v>
      </c>
      <c r="G53" s="66">
        <v>0</v>
      </c>
      <c r="H53" s="66">
        <v>0</v>
      </c>
      <c r="I53" s="66">
        <v>0</v>
      </c>
      <c r="J53" s="66">
        <v>0</v>
      </c>
      <c r="K53" s="66">
        <v>0</v>
      </c>
      <c r="L53" s="66">
        <v>0</v>
      </c>
      <c r="M53" s="66">
        <v>0</v>
      </c>
      <c r="N53" s="66">
        <v>0</v>
      </c>
      <c r="O53" s="66">
        <v>0</v>
      </c>
      <c r="P53" s="66">
        <v>0</v>
      </c>
      <c r="Q53" s="66">
        <v>0</v>
      </c>
      <c r="R53" s="66">
        <v>0</v>
      </c>
      <c r="S53" s="66">
        <v>0</v>
      </c>
      <c r="T53" s="66">
        <v>0</v>
      </c>
      <c r="U53" s="66">
        <v>0</v>
      </c>
      <c r="V53" s="66">
        <v>0</v>
      </c>
      <c r="W53" s="66">
        <v>0</v>
      </c>
      <c r="X53" s="66">
        <v>0</v>
      </c>
      <c r="Y53" s="66">
        <v>0</v>
      </c>
      <c r="Z53" s="66">
        <v>0</v>
      </c>
      <c r="AA53" s="66">
        <v>0</v>
      </c>
    </row>
    <row r="54" spans="1:27" x14ac:dyDescent="0.25">
      <c r="A54" s="74" t="s">
        <v>8</v>
      </c>
      <c r="B54" s="44"/>
      <c r="C54" s="44"/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  <c r="AA54" s="45">
        <v>0</v>
      </c>
    </row>
    <row r="55" spans="1:27" x14ac:dyDescent="0.25">
      <c r="A55" s="74" t="s">
        <v>17</v>
      </c>
      <c r="B55" s="44"/>
      <c r="C55" s="44"/>
      <c r="D55" s="45">
        <v>0</v>
      </c>
      <c r="E55" s="45">
        <v>0</v>
      </c>
      <c r="F55" s="45">
        <v>0</v>
      </c>
      <c r="G55" s="45">
        <v>0</v>
      </c>
      <c r="H55" s="45">
        <v>0</v>
      </c>
      <c r="I55" s="45">
        <v>0</v>
      </c>
      <c r="J55" s="45">
        <v>0</v>
      </c>
      <c r="K55" s="45">
        <v>0</v>
      </c>
      <c r="L55" s="45">
        <v>0</v>
      </c>
      <c r="M55" s="45">
        <v>0</v>
      </c>
      <c r="N55" s="45">
        <v>0</v>
      </c>
      <c r="O55" s="45">
        <v>0</v>
      </c>
      <c r="P55" s="45">
        <v>0</v>
      </c>
      <c r="Q55" s="45">
        <v>0</v>
      </c>
      <c r="R55" s="45">
        <v>0</v>
      </c>
      <c r="S55" s="45">
        <v>0</v>
      </c>
      <c r="T55" s="45">
        <v>0</v>
      </c>
      <c r="U55" s="45">
        <v>0</v>
      </c>
      <c r="V55" s="45">
        <v>0</v>
      </c>
      <c r="W55" s="45">
        <v>0</v>
      </c>
      <c r="X55" s="45">
        <v>0</v>
      </c>
      <c r="Y55" s="45">
        <v>0</v>
      </c>
      <c r="Z55" s="45">
        <v>0</v>
      </c>
      <c r="AA55" s="45">
        <v>0</v>
      </c>
    </row>
    <row r="56" spans="1:27" x14ac:dyDescent="0.25">
      <c r="A56" s="73" t="s">
        <v>16</v>
      </c>
      <c r="B56" s="65"/>
      <c r="C56" s="65"/>
      <c r="D56" s="66">
        <v>77.284657879313144</v>
      </c>
      <c r="E56" s="66">
        <v>80.76179520178718</v>
      </c>
      <c r="F56" s="66">
        <v>83.691174861727362</v>
      </c>
      <c r="G56" s="66">
        <v>79.542419051697479</v>
      </c>
      <c r="H56" s="66">
        <v>80.377836083121949</v>
      </c>
      <c r="I56" s="66">
        <v>77.323798301341157</v>
      </c>
      <c r="J56" s="66">
        <v>76.905868497876867</v>
      </c>
      <c r="K56" s="66">
        <v>79.318754472320421</v>
      </c>
      <c r="L56" s="66">
        <v>81.6123711125894</v>
      </c>
      <c r="M56" s="66">
        <v>69.869716409551444</v>
      </c>
      <c r="N56" s="66">
        <v>68.868044063403445</v>
      </c>
      <c r="O56" s="66">
        <v>63.498608109949593</v>
      </c>
      <c r="P56" s="66">
        <v>53.407321798511475</v>
      </c>
      <c r="Q56" s="66">
        <v>44.905327987634038</v>
      </c>
      <c r="R56" s="66">
        <v>45.124399110087005</v>
      </c>
      <c r="S56" s="66">
        <v>42.870160000000006</v>
      </c>
      <c r="T56" s="66">
        <v>48.874595045978623</v>
      </c>
      <c r="U56" s="66">
        <v>50.251467827615137</v>
      </c>
      <c r="V56" s="66">
        <v>49.851256042475633</v>
      </c>
      <c r="W56" s="66">
        <v>51.782102283780112</v>
      </c>
      <c r="X56" s="66">
        <v>42.831952542175564</v>
      </c>
      <c r="Y56" s="66">
        <v>41.6600694411595</v>
      </c>
      <c r="Z56" s="66">
        <v>40.765800412107446</v>
      </c>
      <c r="AA56" s="66">
        <v>43.652905905440377</v>
      </c>
    </row>
    <row r="57" spans="1:27" x14ac:dyDescent="0.25">
      <c r="A57" s="72" t="s">
        <v>2</v>
      </c>
      <c r="B57" s="65"/>
      <c r="C57" s="65"/>
      <c r="D57" s="66">
        <v>482.01220835255833</v>
      </c>
      <c r="E57" s="66">
        <v>496.31022655529114</v>
      </c>
      <c r="F57" s="66">
        <v>519.14018112198391</v>
      </c>
      <c r="G57" s="66">
        <v>512.72987890467016</v>
      </c>
      <c r="H57" s="66">
        <v>527.40330556395884</v>
      </c>
      <c r="I57" s="66">
        <v>522.69826604731657</v>
      </c>
      <c r="J57" s="66">
        <v>416.86330060155706</v>
      </c>
      <c r="K57" s="66">
        <v>381.05841121495325</v>
      </c>
      <c r="L57" s="66">
        <v>384.32888117412278</v>
      </c>
      <c r="M57" s="66">
        <v>422.30253042105801</v>
      </c>
      <c r="N57" s="66">
        <v>380.69046954441234</v>
      </c>
      <c r="O57" s="66">
        <v>345.27368159785084</v>
      </c>
      <c r="P57" s="66">
        <v>317.20373762756083</v>
      </c>
      <c r="Q57" s="66">
        <v>289.23983190029946</v>
      </c>
      <c r="R57" s="66">
        <v>292.96148345318022</v>
      </c>
      <c r="S57" s="66">
        <v>297.06225000000006</v>
      </c>
      <c r="T57" s="66">
        <v>354.78033382296712</v>
      </c>
      <c r="U57" s="66">
        <v>373.62896912569403</v>
      </c>
      <c r="V57" s="66">
        <v>419.00442289404873</v>
      </c>
      <c r="W57" s="66">
        <v>437.03187857448552</v>
      </c>
      <c r="X57" s="66">
        <v>418.0353362889378</v>
      </c>
      <c r="Y57" s="66">
        <v>416.15984711592137</v>
      </c>
      <c r="Z57" s="66">
        <v>369.16846667614044</v>
      </c>
      <c r="AA57" s="66">
        <v>374.26641072343511</v>
      </c>
    </row>
    <row r="58" spans="1:27" x14ac:dyDescent="0.25">
      <c r="A58" s="72" t="s">
        <v>269</v>
      </c>
      <c r="B58" s="65"/>
      <c r="C58" s="65"/>
      <c r="D58" s="66">
        <v>9.7332181915676337</v>
      </c>
      <c r="E58" s="66">
        <v>10.325063134379098</v>
      </c>
      <c r="F58" s="66">
        <v>11.187145201483014</v>
      </c>
      <c r="G58" s="66">
        <v>9.7002950063045699</v>
      </c>
      <c r="H58" s="66">
        <v>8.9459311660810279</v>
      </c>
      <c r="I58" s="66">
        <v>8.4883757998041762</v>
      </c>
      <c r="J58" s="66">
        <v>8.759797416843595</v>
      </c>
      <c r="K58" s="66">
        <v>9.8516924344601779</v>
      </c>
      <c r="L58" s="66">
        <v>8.4760622817229354</v>
      </c>
      <c r="M58" s="66">
        <v>8.778198666055701</v>
      </c>
      <c r="N58" s="66">
        <v>7.3165038381018839</v>
      </c>
      <c r="O58" s="66">
        <v>6.009689696120228</v>
      </c>
      <c r="P58" s="66">
        <v>3.4636547609913304</v>
      </c>
      <c r="Q58" s="66">
        <v>3.2637957685247798</v>
      </c>
      <c r="R58" s="66">
        <v>3.586811211314608</v>
      </c>
      <c r="S58" s="66">
        <v>5.1257800000000007</v>
      </c>
      <c r="T58" s="66">
        <v>6.3290842505583838</v>
      </c>
      <c r="U58" s="66">
        <v>6.6304020050325532</v>
      </c>
      <c r="V58" s="66">
        <v>7.3853712655519459</v>
      </c>
      <c r="W58" s="66">
        <v>7.4783780103489867</v>
      </c>
      <c r="X58" s="66">
        <v>7.4588624479778032</v>
      </c>
      <c r="Y58" s="66">
        <v>8.7067340895544998</v>
      </c>
      <c r="Z58" s="66">
        <v>10.553582847804462</v>
      </c>
      <c r="AA58" s="66">
        <v>13.237367272687518</v>
      </c>
    </row>
    <row r="59" spans="1:27" x14ac:dyDescent="0.25">
      <c r="A59" s="72" t="s">
        <v>270</v>
      </c>
      <c r="B59" s="65"/>
      <c r="C59" s="65"/>
      <c r="D59" s="66">
        <v>156.31257871831005</v>
      </c>
      <c r="E59" s="66">
        <v>152.75435870040306</v>
      </c>
      <c r="F59" s="66">
        <v>159.45222147936548</v>
      </c>
      <c r="G59" s="66">
        <v>172.24952418337972</v>
      </c>
      <c r="H59" s="66">
        <v>192.74415330556397</v>
      </c>
      <c r="I59" s="66">
        <v>198.15052257667872</v>
      </c>
      <c r="J59" s="66">
        <v>217.19144771762208</v>
      </c>
      <c r="K59" s="66">
        <v>237.07213717284301</v>
      </c>
      <c r="L59" s="66">
        <v>234.06040557957758</v>
      </c>
      <c r="M59" s="66">
        <v>196.44185122957083</v>
      </c>
      <c r="N59" s="66">
        <v>205.90732230086729</v>
      </c>
      <c r="O59" s="66">
        <v>191.06277618797333</v>
      </c>
      <c r="P59" s="66">
        <v>174.97043082943301</v>
      </c>
      <c r="Q59" s="66">
        <v>142.93174572505072</v>
      </c>
      <c r="R59" s="66">
        <v>145.67081661435779</v>
      </c>
      <c r="S59" s="66">
        <v>148.76411500000003</v>
      </c>
      <c r="T59" s="66">
        <v>143.10762722095899</v>
      </c>
      <c r="U59" s="66">
        <v>175.88013739665297</v>
      </c>
      <c r="V59" s="66">
        <v>234.48553768127428</v>
      </c>
      <c r="W59" s="66">
        <v>254.37816110959815</v>
      </c>
      <c r="X59" s="66">
        <v>252.69721869209647</v>
      </c>
      <c r="Y59" s="66">
        <v>285.77925942044072</v>
      </c>
      <c r="Z59" s="66">
        <v>234.24815262185592</v>
      </c>
      <c r="AA59" s="66">
        <v>235.77542610865351</v>
      </c>
    </row>
    <row r="60" spans="1:27" x14ac:dyDescent="0.25">
      <c r="A60" s="72" t="s">
        <v>1</v>
      </c>
      <c r="B60" s="65"/>
      <c r="C60" s="65"/>
      <c r="D60" s="66">
        <v>96.315278522527464</v>
      </c>
      <c r="E60" s="66">
        <v>83.732018843183923</v>
      </c>
      <c r="F60" s="66">
        <v>78.310016410381095</v>
      </c>
      <c r="G60" s="66">
        <v>63.744795755715749</v>
      </c>
      <c r="H60" s="66">
        <v>50.829154352733113</v>
      </c>
      <c r="I60" s="66">
        <v>48.012375617642377</v>
      </c>
      <c r="J60" s="66">
        <v>45.860115888181177</v>
      </c>
      <c r="K60" s="66">
        <v>43.574793460112325</v>
      </c>
      <c r="L60" s="66">
        <v>35.478374979211715</v>
      </c>
      <c r="M60" s="66">
        <v>29.774700880810553</v>
      </c>
      <c r="N60" s="66">
        <v>24.504481108563457</v>
      </c>
      <c r="O60" s="66">
        <v>22.564683953357083</v>
      </c>
      <c r="P60" s="66">
        <v>17.094812207473339</v>
      </c>
      <c r="Q60" s="66">
        <v>12.830093710752584</v>
      </c>
      <c r="R60" s="66">
        <v>13.421616145564339</v>
      </c>
      <c r="S60" s="66">
        <v>14.561875000000002</v>
      </c>
      <c r="T60" s="66">
        <v>15.822710626395958</v>
      </c>
      <c r="U60" s="66">
        <v>17.564749171226588</v>
      </c>
      <c r="V60" s="66">
        <v>20.4251674062921</v>
      </c>
      <c r="W60" s="66">
        <v>21.188737695988799</v>
      </c>
      <c r="X60" s="66">
        <v>17.290999311221274</v>
      </c>
      <c r="Y60" s="66">
        <v>18.515586418293111</v>
      </c>
      <c r="Z60" s="66">
        <v>19.7621012150064</v>
      </c>
      <c r="AA60" s="66">
        <v>22.10119215589598</v>
      </c>
    </row>
    <row r="61" spans="1:27" x14ac:dyDescent="0.25">
      <c r="A61" s="72" t="s">
        <v>0</v>
      </c>
      <c r="B61" s="65"/>
      <c r="C61" s="65"/>
      <c r="D61" s="66">
        <v>79.609008492224817</v>
      </c>
      <c r="E61" s="66">
        <v>74.538469476955953</v>
      </c>
      <c r="F61" s="66">
        <v>78.310016410381095</v>
      </c>
      <c r="G61" s="66">
        <v>85.362596055480225</v>
      </c>
      <c r="H61" s="66">
        <v>91.356933423312313</v>
      </c>
      <c r="I61" s="66">
        <v>91.382670719766836</v>
      </c>
      <c r="J61" s="66">
        <v>93.781360580325554</v>
      </c>
      <c r="K61" s="66">
        <v>99.90626558535898</v>
      </c>
      <c r="L61" s="66">
        <v>95.658417179444555</v>
      </c>
      <c r="M61" s="66">
        <v>85.172251921999901</v>
      </c>
      <c r="N61" s="66">
        <v>77.462032698634232</v>
      </c>
      <c r="O61" s="66">
        <v>67.35388074519652</v>
      </c>
      <c r="P61" s="66">
        <v>57.31789975446943</v>
      </c>
      <c r="Q61" s="66">
        <v>35.33903004540624</v>
      </c>
      <c r="R61" s="66">
        <v>32.397004489293231</v>
      </c>
      <c r="S61" s="66">
        <v>38.792835000000004</v>
      </c>
      <c r="T61" s="66">
        <v>43.248742378815614</v>
      </c>
      <c r="U61" s="66">
        <v>52.926893198066864</v>
      </c>
      <c r="V61" s="66">
        <v>63.352637887312781</v>
      </c>
      <c r="W61" s="66">
        <v>70.478047309652581</v>
      </c>
      <c r="X61" s="66">
        <v>63.400330807811329</v>
      </c>
      <c r="Y61" s="66">
        <v>64.253493344433835</v>
      </c>
      <c r="Z61" s="66">
        <v>63.631896582350443</v>
      </c>
      <c r="AA61" s="66">
        <v>68.547737155314664</v>
      </c>
    </row>
    <row r="62" spans="1:27" x14ac:dyDescent="0.25">
      <c r="A62" s="78" t="s">
        <v>271</v>
      </c>
      <c r="B62" s="79"/>
      <c r="C62" s="79"/>
      <c r="D62" s="80">
        <v>116.79861829881159</v>
      </c>
      <c r="E62" s="80">
        <v>110.74691005779223</v>
      </c>
      <c r="F62" s="80">
        <v>112.43788974655081</v>
      </c>
      <c r="G62" s="80">
        <v>100.60591677967312</v>
      </c>
      <c r="H62" s="80">
        <v>104.64028576082657</v>
      </c>
      <c r="I62" s="80">
        <v>99.605784775827132</v>
      </c>
      <c r="J62" s="80">
        <v>100.35120864295826</v>
      </c>
      <c r="K62" s="80">
        <v>101.16930307695645</v>
      </c>
      <c r="L62" s="80">
        <v>102.68144021287212</v>
      </c>
      <c r="M62" s="80">
        <v>95.848439488824411</v>
      </c>
      <c r="N62" s="80">
        <v>96.740439637124922</v>
      </c>
      <c r="O62" s="80">
        <v>79.713431252311707</v>
      </c>
      <c r="P62" s="80">
        <v>63.351362886518842</v>
      </c>
      <c r="Q62" s="80">
        <v>60.098860013525261</v>
      </c>
      <c r="R62" s="80">
        <v>60.397272655039529</v>
      </c>
      <c r="S62" s="80">
        <v>59.179460000000006</v>
      </c>
      <c r="T62" s="80">
        <v>69.85433728394068</v>
      </c>
      <c r="U62" s="80">
        <v>73.74868195071295</v>
      </c>
      <c r="V62" s="80">
        <v>79.969723234804675</v>
      </c>
      <c r="W62" s="80">
        <v>82.262158113838865</v>
      </c>
      <c r="X62" s="80">
        <v>79.674212512490172</v>
      </c>
      <c r="Y62" s="80">
        <v>87.838823662973851</v>
      </c>
      <c r="Z62" s="80">
        <v>79.462270854057138</v>
      </c>
      <c r="AA62" s="80">
        <v>82.468300560159179</v>
      </c>
    </row>
    <row r="63" spans="1:27" x14ac:dyDescent="0.25">
      <c r="A63" s="38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</row>
    <row r="64" spans="1:27" x14ac:dyDescent="0.25">
      <c r="A64" s="58" t="s">
        <v>241</v>
      </c>
      <c r="B64" s="50"/>
      <c r="C64" s="50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</row>
    <row r="65" spans="1:27" x14ac:dyDescent="0.25">
      <c r="A65" s="81" t="s">
        <v>142</v>
      </c>
      <c r="B65" s="41"/>
      <c r="C65" s="41"/>
      <c r="D65" s="82">
        <f t="shared" ref="D65:D76" si="51">D23/D$23</f>
        <v>1</v>
      </c>
      <c r="E65" s="82">
        <f t="shared" ref="E65:S65" si="52">E23/E$23</f>
        <v>1</v>
      </c>
      <c r="F65" s="82">
        <f t="shared" si="52"/>
        <v>1</v>
      </c>
      <c r="G65" s="82">
        <f t="shared" si="52"/>
        <v>1</v>
      </c>
      <c r="H65" s="82">
        <f t="shared" si="52"/>
        <v>1</v>
      </c>
      <c r="I65" s="82">
        <f t="shared" si="52"/>
        <v>1</v>
      </c>
      <c r="J65" s="82">
        <f t="shared" si="52"/>
        <v>1</v>
      </c>
      <c r="K65" s="82">
        <f t="shared" si="52"/>
        <v>1</v>
      </c>
      <c r="L65" s="82">
        <f t="shared" si="52"/>
        <v>1</v>
      </c>
      <c r="M65" s="82">
        <f t="shared" si="52"/>
        <v>1</v>
      </c>
      <c r="N65" s="82">
        <f t="shared" si="52"/>
        <v>1</v>
      </c>
      <c r="O65" s="82">
        <f t="shared" si="52"/>
        <v>1</v>
      </c>
      <c r="P65" s="82">
        <f t="shared" si="52"/>
        <v>1</v>
      </c>
      <c r="Q65" s="82">
        <f t="shared" si="52"/>
        <v>1</v>
      </c>
      <c r="R65" s="82">
        <f t="shared" si="52"/>
        <v>1</v>
      </c>
      <c r="S65" s="82">
        <f t="shared" si="52"/>
        <v>1</v>
      </c>
      <c r="T65" s="82">
        <f t="shared" ref="T65:Y65" si="53">T23/T$23</f>
        <v>1</v>
      </c>
      <c r="U65" s="82">
        <f t="shared" si="53"/>
        <v>1</v>
      </c>
      <c r="V65" s="82">
        <f t="shared" si="53"/>
        <v>1</v>
      </c>
      <c r="W65" s="82">
        <f t="shared" si="53"/>
        <v>1</v>
      </c>
      <c r="X65" s="82">
        <f t="shared" si="53"/>
        <v>1</v>
      </c>
      <c r="Y65" s="82">
        <f t="shared" si="53"/>
        <v>1</v>
      </c>
      <c r="Z65" s="82">
        <f t="shared" ref="Z65:AA65" si="54">Z23/Z$23</f>
        <v>1</v>
      </c>
      <c r="AA65" s="82">
        <f t="shared" si="54"/>
        <v>1</v>
      </c>
    </row>
    <row r="66" spans="1:27" x14ac:dyDescent="0.25">
      <c r="A66" s="64" t="s">
        <v>33</v>
      </c>
      <c r="B66" s="65"/>
      <c r="C66" s="65"/>
      <c r="D66" s="83">
        <f t="shared" si="51"/>
        <v>4.0031692179548391E-2</v>
      </c>
      <c r="E66" s="83">
        <f t="shared" ref="E66:S66" si="55">E24/E$23</f>
        <v>4.2621609536585128E-2</v>
      </c>
      <c r="F66" s="83">
        <f t="shared" si="55"/>
        <v>4.2031700552831189E-2</v>
      </c>
      <c r="G66" s="83">
        <f t="shared" si="55"/>
        <v>3.779433785475976E-2</v>
      </c>
      <c r="H66" s="83">
        <f t="shared" si="55"/>
        <v>3.5051664097733637E-2</v>
      </c>
      <c r="I66" s="83">
        <f t="shared" si="55"/>
        <v>3.134870198564612E-2</v>
      </c>
      <c r="J66" s="83">
        <f t="shared" si="55"/>
        <v>2.6133732422205905E-2</v>
      </c>
      <c r="K66" s="83">
        <f t="shared" si="55"/>
        <v>2.3444805921789179E-2</v>
      </c>
      <c r="L66" s="83">
        <f t="shared" si="55"/>
        <v>2.4237809520908839E-2</v>
      </c>
      <c r="M66" s="83">
        <f t="shared" si="55"/>
        <v>2.261944638996315E-2</v>
      </c>
      <c r="N66" s="83">
        <f t="shared" si="55"/>
        <v>2.3332653477462776E-2</v>
      </c>
      <c r="O66" s="83">
        <f t="shared" si="55"/>
        <v>2.4137208129593014E-2</v>
      </c>
      <c r="P66" s="83">
        <f t="shared" si="55"/>
        <v>2.2562868988487268E-2</v>
      </c>
      <c r="Q66" s="83">
        <f t="shared" si="55"/>
        <v>2.2908378954719477E-2</v>
      </c>
      <c r="R66" s="83">
        <f t="shared" si="55"/>
        <v>2.1047067115670764E-2</v>
      </c>
      <c r="S66" s="83">
        <f t="shared" si="55"/>
        <v>2.1330075278875465E-2</v>
      </c>
      <c r="T66" s="83">
        <f t="shared" ref="T66:Y66" si="56">T24/T$23</f>
        <v>2.4485627609407385E-2</v>
      </c>
      <c r="U66" s="83">
        <f t="shared" si="56"/>
        <v>2.121135255488853E-2</v>
      </c>
      <c r="V66" s="83">
        <f t="shared" si="56"/>
        <v>1.9695552074682255E-2</v>
      </c>
      <c r="W66" s="83">
        <f t="shared" si="56"/>
        <v>1.990628330081309E-2</v>
      </c>
      <c r="X66" s="83">
        <f t="shared" si="56"/>
        <v>2.0462357079153847E-2</v>
      </c>
      <c r="Y66" s="83">
        <f t="shared" si="56"/>
        <v>1.6923502085828213E-2</v>
      </c>
      <c r="Z66" s="83">
        <f t="shared" ref="Z66:AA66" si="57">Z24/Z$23</f>
        <v>1.326808131405479E-2</v>
      </c>
      <c r="AA66" s="83">
        <f t="shared" si="57"/>
        <v>1.3349374259371658E-2</v>
      </c>
    </row>
    <row r="67" spans="1:27" x14ac:dyDescent="0.25">
      <c r="A67" s="64" t="s">
        <v>56</v>
      </c>
      <c r="B67" s="65"/>
      <c r="C67" s="65"/>
      <c r="D67" s="83">
        <f t="shared" si="51"/>
        <v>2.9166047763297563E-3</v>
      </c>
      <c r="E67" s="83">
        <f t="shared" ref="E67:S67" si="58">E25/E$23</f>
        <v>2.5201260813458998E-3</v>
      </c>
      <c r="F67" s="83">
        <f t="shared" si="58"/>
        <v>2.8090077590050052E-3</v>
      </c>
      <c r="G67" s="83">
        <f t="shared" si="58"/>
        <v>3.0746885249126701E-3</v>
      </c>
      <c r="H67" s="83">
        <f t="shared" si="58"/>
        <v>3.417088705665516E-3</v>
      </c>
      <c r="I67" s="83">
        <f t="shared" si="58"/>
        <v>3.424839983865197E-3</v>
      </c>
      <c r="J67" s="83">
        <f t="shared" si="58"/>
        <v>3.3047787053387396E-3</v>
      </c>
      <c r="K67" s="83">
        <f t="shared" si="58"/>
        <v>3.3586660168855283E-3</v>
      </c>
      <c r="L67" s="83">
        <f t="shared" si="58"/>
        <v>3.8669435731776549E-3</v>
      </c>
      <c r="M67" s="83">
        <f t="shared" si="58"/>
        <v>2.9104283359345142E-3</v>
      </c>
      <c r="N67" s="83">
        <f t="shared" si="58"/>
        <v>2.7971212959995344E-3</v>
      </c>
      <c r="O67" s="83">
        <f t="shared" si="58"/>
        <v>2.0675562579477503E-3</v>
      </c>
      <c r="P67" s="83">
        <f t="shared" si="58"/>
        <v>1.0581765824944054E-3</v>
      </c>
      <c r="Q67" s="83">
        <f t="shared" si="58"/>
        <v>1.1971716819015078E-3</v>
      </c>
      <c r="R67" s="83">
        <f t="shared" si="58"/>
        <v>1.3574542511812459E-3</v>
      </c>
      <c r="S67" s="83">
        <f t="shared" si="58"/>
        <v>1.6357714713731604E-3</v>
      </c>
      <c r="T67" s="83">
        <f t="shared" ref="T67:Y67" si="59">T25/T$23</f>
        <v>1.1113447271198153E-3</v>
      </c>
      <c r="U67" s="83">
        <f t="shared" si="59"/>
        <v>1.0030958434485832E-3</v>
      </c>
      <c r="V67" s="83">
        <f t="shared" si="59"/>
        <v>1.2769505275086266E-3</v>
      </c>
      <c r="W67" s="83">
        <f t="shared" si="59"/>
        <v>1.3137855026202727E-3</v>
      </c>
      <c r="X67" s="83">
        <f t="shared" si="59"/>
        <v>1.2726343531109393E-3</v>
      </c>
      <c r="Y67" s="83">
        <f t="shared" si="59"/>
        <v>1.3288126918079624E-3</v>
      </c>
      <c r="Z67" s="83">
        <f t="shared" ref="Z67:AA67" si="60">Z25/Z$23</f>
        <v>1.6479464052488444E-3</v>
      </c>
      <c r="AA67" s="83">
        <f t="shared" si="60"/>
        <v>1.896731119396514E-3</v>
      </c>
    </row>
    <row r="68" spans="1:27" x14ac:dyDescent="0.25">
      <c r="A68" s="64" t="s">
        <v>146</v>
      </c>
      <c r="B68" s="65"/>
      <c r="C68" s="65"/>
      <c r="D68" s="83">
        <f t="shared" si="51"/>
        <v>0.77282461343978237</v>
      </c>
      <c r="E68" s="83">
        <f t="shared" ref="E68:S68" si="61">E26/E$23</f>
        <v>0.7727520498408722</v>
      </c>
      <c r="F68" s="83">
        <f t="shared" si="61"/>
        <v>0.76649529136201944</v>
      </c>
      <c r="G68" s="83">
        <f t="shared" si="61"/>
        <v>0.76679126409889353</v>
      </c>
      <c r="H68" s="83">
        <f t="shared" si="61"/>
        <v>0.76744223978339421</v>
      </c>
      <c r="I68" s="83">
        <f t="shared" si="61"/>
        <v>0.7716697236534672</v>
      </c>
      <c r="J68" s="83">
        <f t="shared" si="61"/>
        <v>0.77760442355350434</v>
      </c>
      <c r="K68" s="83">
        <f t="shared" si="61"/>
        <v>0.77412641755462763</v>
      </c>
      <c r="L68" s="83">
        <f t="shared" si="61"/>
        <v>0.77543756247518769</v>
      </c>
      <c r="M68" s="83">
        <f t="shared" si="61"/>
        <v>0.80335409977576766</v>
      </c>
      <c r="N68" s="83">
        <f t="shared" si="61"/>
        <v>0.81971387780076321</v>
      </c>
      <c r="O68" s="83">
        <f t="shared" si="61"/>
        <v>0.84018274794754633</v>
      </c>
      <c r="P68" s="83">
        <f t="shared" si="61"/>
        <v>0.85407571455831255</v>
      </c>
      <c r="Q68" s="83">
        <f t="shared" si="61"/>
        <v>0.86645300477621623</v>
      </c>
      <c r="R68" s="83">
        <f t="shared" si="61"/>
        <v>0.87615840446915716</v>
      </c>
      <c r="S68" s="83">
        <f t="shared" si="61"/>
        <v>0.87388598889427926</v>
      </c>
      <c r="T68" s="83">
        <f t="shared" ref="T68:Y68" si="62">T26/T$23</f>
        <v>0.86373712191752039</v>
      </c>
      <c r="U68" s="83">
        <f t="shared" si="62"/>
        <v>0.86225089113364206</v>
      </c>
      <c r="V68" s="83">
        <f t="shared" si="62"/>
        <v>0.85487554517853992</v>
      </c>
      <c r="W68" s="83">
        <f t="shared" si="62"/>
        <v>0.84724080715088568</v>
      </c>
      <c r="X68" s="83">
        <f t="shared" si="62"/>
        <v>0.84750934434278946</v>
      </c>
      <c r="Y68" s="83">
        <f t="shared" si="62"/>
        <v>0.86526393199644303</v>
      </c>
      <c r="Z68" s="83">
        <f t="shared" ref="Z68:AA68" si="63">Z26/Z$23</f>
        <v>0.88241191745670766</v>
      </c>
      <c r="AA68" s="83">
        <f t="shared" si="63"/>
        <v>0.88023084230585069</v>
      </c>
    </row>
    <row r="69" spans="1:27" x14ac:dyDescent="0.25">
      <c r="A69" s="68" t="s">
        <v>148</v>
      </c>
      <c r="B69" s="69"/>
      <c r="C69" s="69"/>
      <c r="D69" s="84">
        <f t="shared" si="51"/>
        <v>0.36888884374333403</v>
      </c>
      <c r="E69" s="84">
        <f t="shared" ref="E69:S69" si="64">E27/E$23</f>
        <v>0.35797395134667159</v>
      </c>
      <c r="F69" s="84">
        <f t="shared" si="64"/>
        <v>0.3557771778059397</v>
      </c>
      <c r="G69" s="84">
        <f t="shared" si="64"/>
        <v>0.36711997688205456</v>
      </c>
      <c r="H69" s="84">
        <f t="shared" si="64"/>
        <v>0.35632324517407593</v>
      </c>
      <c r="I69" s="84">
        <f t="shared" si="64"/>
        <v>0.35080255416955231</v>
      </c>
      <c r="J69" s="84">
        <f t="shared" si="64"/>
        <v>0.3483932907889537</v>
      </c>
      <c r="K69" s="84">
        <f t="shared" si="64"/>
        <v>0.33699932826679657</v>
      </c>
      <c r="L69" s="84">
        <f t="shared" si="64"/>
        <v>0.33686839460299095</v>
      </c>
      <c r="M69" s="84">
        <f t="shared" si="64"/>
        <v>0.35322634672188552</v>
      </c>
      <c r="N69" s="84">
        <f t="shared" si="64"/>
        <v>0.35734972757204037</v>
      </c>
      <c r="O69" s="84">
        <f t="shared" si="64"/>
        <v>0.36945226668781966</v>
      </c>
      <c r="P69" s="84">
        <f t="shared" si="64"/>
        <v>0.37009581413099435</v>
      </c>
      <c r="Q69" s="84">
        <f t="shared" si="64"/>
        <v>0.37219568768783745</v>
      </c>
      <c r="R69" s="84">
        <f t="shared" si="64"/>
        <v>0.36830083274597331</v>
      </c>
      <c r="S69" s="84">
        <f t="shared" si="64"/>
        <v>0.36002774436999291</v>
      </c>
      <c r="T69" s="84">
        <f t="shared" ref="T69:Y69" si="65">T27/T$23</f>
        <v>0.34969513110864142</v>
      </c>
      <c r="U69" s="84">
        <f t="shared" si="65"/>
        <v>0.34579070488430441</v>
      </c>
      <c r="V69" s="84">
        <f t="shared" si="65"/>
        <v>0.34778129369342847</v>
      </c>
      <c r="W69" s="84">
        <f t="shared" si="65"/>
        <v>0.34317050502887875</v>
      </c>
      <c r="X69" s="84">
        <f t="shared" si="65"/>
        <v>0.29695469622117776</v>
      </c>
      <c r="Y69" s="84">
        <f t="shared" si="65"/>
        <v>0.30077598950725348</v>
      </c>
      <c r="Z69" s="84">
        <f t="shared" ref="Z69:AA69" si="66">Z27/Z$23</f>
        <v>0.30813140547932572</v>
      </c>
      <c r="AA69" s="84">
        <f t="shared" si="66"/>
        <v>0.31308347062053826</v>
      </c>
    </row>
    <row r="70" spans="1:27" x14ac:dyDescent="0.25">
      <c r="A70" s="68" t="s">
        <v>150</v>
      </c>
      <c r="B70" s="71"/>
      <c r="C70" s="71"/>
      <c r="D70" s="84">
        <f t="shared" si="51"/>
        <v>0.273345048604833</v>
      </c>
      <c r="E70" s="84">
        <f t="shared" ref="E70:S70" si="67">E28/E$23</f>
        <v>0.28562186640789261</v>
      </c>
      <c r="F70" s="84">
        <f t="shared" si="67"/>
        <v>0.28402850478446928</v>
      </c>
      <c r="G70" s="84">
        <f t="shared" si="67"/>
        <v>0.28002486930479786</v>
      </c>
      <c r="H70" s="84">
        <f t="shared" si="67"/>
        <v>0.28615467423482488</v>
      </c>
      <c r="I70" s="84">
        <f t="shared" si="67"/>
        <v>0.29489394412183301</v>
      </c>
      <c r="J70" s="84">
        <f t="shared" si="67"/>
        <v>0.30155446998362223</v>
      </c>
      <c r="K70" s="84">
        <f t="shared" si="67"/>
        <v>0.30895117421598201</v>
      </c>
      <c r="L70" s="84">
        <f t="shared" si="67"/>
        <v>0.31230773916486465</v>
      </c>
      <c r="M70" s="84">
        <f t="shared" si="67"/>
        <v>0.32830475958464017</v>
      </c>
      <c r="N70" s="84">
        <f t="shared" si="67"/>
        <v>0.3415343375775764</v>
      </c>
      <c r="O70" s="84">
        <f t="shared" si="67"/>
        <v>0.35473196933554685</v>
      </c>
      <c r="P70" s="84">
        <f t="shared" si="67"/>
        <v>0.36732605138227931</v>
      </c>
      <c r="Q70" s="84">
        <f t="shared" si="67"/>
        <v>0.3832383493995436</v>
      </c>
      <c r="R70" s="84">
        <f t="shared" si="67"/>
        <v>0.39138408123841589</v>
      </c>
      <c r="S70" s="84">
        <f t="shared" si="67"/>
        <v>0.39785172034184124</v>
      </c>
      <c r="T70" s="84">
        <f t="shared" ref="T70:Y70" si="68">T28/T$23</f>
        <v>0.39569879554260656</v>
      </c>
      <c r="U70" s="84">
        <f t="shared" si="68"/>
        <v>0.39050759561455423</v>
      </c>
      <c r="V70" s="84">
        <f t="shared" si="68"/>
        <v>0.3818897637795276</v>
      </c>
      <c r="W70" s="84">
        <f t="shared" si="68"/>
        <v>0.3825110820240083</v>
      </c>
      <c r="X70" s="84">
        <f t="shared" si="68"/>
        <v>0.43057629292635757</v>
      </c>
      <c r="Y70" s="84">
        <f t="shared" si="68"/>
        <v>0.42360078432404691</v>
      </c>
      <c r="Z70" s="84">
        <f t="shared" ref="Z70:AA70" si="69">Z28/Z$23</f>
        <v>0.42783608119113109</v>
      </c>
      <c r="AA70" s="84">
        <f t="shared" si="69"/>
        <v>0.43508482904130175</v>
      </c>
    </row>
    <row r="71" spans="1:27" x14ac:dyDescent="0.25">
      <c r="A71" s="68" t="s">
        <v>152</v>
      </c>
      <c r="B71" s="71"/>
      <c r="C71" s="71"/>
      <c r="D71" s="84">
        <f t="shared" si="51"/>
        <v>0.13059072109161535</v>
      </c>
      <c r="E71" s="84">
        <f t="shared" ref="E71:S71" si="70">E29/E$23</f>
        <v>0.12915623208630789</v>
      </c>
      <c r="F71" s="84">
        <f t="shared" si="70"/>
        <v>0.12668960877161053</v>
      </c>
      <c r="G71" s="84">
        <f t="shared" si="70"/>
        <v>0.11964641791204123</v>
      </c>
      <c r="H71" s="84">
        <f t="shared" si="70"/>
        <v>0.12496432037449337</v>
      </c>
      <c r="I71" s="84">
        <f t="shared" si="70"/>
        <v>0.12597322536208166</v>
      </c>
      <c r="J71" s="84">
        <f t="shared" si="70"/>
        <v>0.12765666278092855</v>
      </c>
      <c r="K71" s="84">
        <f t="shared" si="70"/>
        <v>0.12817591507184914</v>
      </c>
      <c r="L71" s="84">
        <f t="shared" si="70"/>
        <v>0.12626142870733212</v>
      </c>
      <c r="M71" s="84">
        <f t="shared" si="70"/>
        <v>0.12182299346924191</v>
      </c>
      <c r="N71" s="84">
        <f t="shared" si="70"/>
        <v>0.12082981265114655</v>
      </c>
      <c r="O71" s="84">
        <f t="shared" si="70"/>
        <v>0.1159985119241797</v>
      </c>
      <c r="P71" s="84">
        <f t="shared" si="70"/>
        <v>0.11665384904503899</v>
      </c>
      <c r="Q71" s="84">
        <f t="shared" si="70"/>
        <v>0.11101896768883512</v>
      </c>
      <c r="R71" s="84">
        <f t="shared" si="70"/>
        <v>0.11647349048476779</v>
      </c>
      <c r="S71" s="84">
        <f t="shared" si="70"/>
        <v>0.11600652418244528</v>
      </c>
      <c r="T71" s="84">
        <f t="shared" ref="T71:Y71" si="71">T29/T$23</f>
        <v>0.11834319526627222</v>
      </c>
      <c r="U71" s="84">
        <f t="shared" si="71"/>
        <v>0.12595259063478362</v>
      </c>
      <c r="V71" s="84">
        <f t="shared" si="71"/>
        <v>0.12520448770558396</v>
      </c>
      <c r="W71" s="84">
        <f t="shared" si="71"/>
        <v>0.1215592200979987</v>
      </c>
      <c r="X71" s="84">
        <f t="shared" si="71"/>
        <v>0.1199783551952542</v>
      </c>
      <c r="Y71" s="84">
        <f t="shared" si="71"/>
        <v>0.14088715816514263</v>
      </c>
      <c r="Z71" s="84">
        <f t="shared" ref="Z71:AA71" si="72">Z29/Z$23</f>
        <v>0.14644443078625094</v>
      </c>
      <c r="AA71" s="84">
        <f t="shared" si="72"/>
        <v>0.13206254264401068</v>
      </c>
    </row>
    <row r="72" spans="1:27" x14ac:dyDescent="0.25">
      <c r="A72" s="64" t="s">
        <v>154</v>
      </c>
      <c r="B72" s="65"/>
      <c r="C72" s="65"/>
      <c r="D72" s="83">
        <f t="shared" si="51"/>
        <v>1.4328565525393482E-2</v>
      </c>
      <c r="E72" s="83">
        <f t="shared" ref="E72:S72" si="73">E30/E$23</f>
        <v>1.5777286075099099E-2</v>
      </c>
      <c r="F72" s="83">
        <f t="shared" si="73"/>
        <v>1.590884393552585E-2</v>
      </c>
      <c r="G72" s="83">
        <f t="shared" si="73"/>
        <v>1.6809704354923329E-2</v>
      </c>
      <c r="H72" s="83">
        <f t="shared" si="73"/>
        <v>1.5030297099144505E-2</v>
      </c>
      <c r="I72" s="83">
        <f t="shared" si="73"/>
        <v>1.2945895139010446E-2</v>
      </c>
      <c r="J72" s="83">
        <f t="shared" si="73"/>
        <v>1.2294050691967302E-2</v>
      </c>
      <c r="K72" s="83">
        <f t="shared" si="73"/>
        <v>1.344124968718307E-2</v>
      </c>
      <c r="L72" s="83">
        <f t="shared" si="73"/>
        <v>1.1089305056315958E-2</v>
      </c>
      <c r="M72" s="83">
        <f t="shared" si="73"/>
        <v>1.4424287016651266E-2</v>
      </c>
      <c r="N72" s="83">
        <f t="shared" si="73"/>
        <v>1.4952944261530841E-2</v>
      </c>
      <c r="O72" s="83">
        <f t="shared" si="73"/>
        <v>1.3051099265504421E-2</v>
      </c>
      <c r="P72" s="83">
        <f t="shared" si="73"/>
        <v>1.7086949733721143E-2</v>
      </c>
      <c r="Q72" s="83">
        <f t="shared" si="73"/>
        <v>1.8786866029006474E-2</v>
      </c>
      <c r="R72" s="83">
        <f t="shared" si="73"/>
        <v>1.4657895423812876E-2</v>
      </c>
      <c r="S72" s="83">
        <f t="shared" si="73"/>
        <v>1.7318792230927919E-2</v>
      </c>
      <c r="T72" s="83">
        <f t="shared" ref="T72:Y72" si="74">T30/T$23</f>
        <v>1.6622112756435291E-2</v>
      </c>
      <c r="U72" s="83">
        <f t="shared" si="74"/>
        <v>1.2634516729118221E-2</v>
      </c>
      <c r="V72" s="83">
        <f t="shared" si="74"/>
        <v>1.1623962143262221E-2</v>
      </c>
      <c r="W72" s="83">
        <f t="shared" si="74"/>
        <v>1.2583145591763056E-2</v>
      </c>
      <c r="X72" s="83">
        <f t="shared" si="74"/>
        <v>1.1012796488731671E-2</v>
      </c>
      <c r="Y72" s="83">
        <f t="shared" si="74"/>
        <v>9.8630581253143796E-3</v>
      </c>
      <c r="Z72" s="83">
        <f t="shared" ref="Z72:AA72" si="75">Z30/Z$23</f>
        <v>1.0194987784453225E-2</v>
      </c>
      <c r="AA72" s="83">
        <f t="shared" si="75"/>
        <v>1.0609288178223307E-2</v>
      </c>
    </row>
    <row r="73" spans="1:27" x14ac:dyDescent="0.25">
      <c r="A73" s="64" t="s">
        <v>37</v>
      </c>
      <c r="B73" s="65"/>
      <c r="C73" s="65"/>
      <c r="D73" s="83">
        <f t="shared" si="51"/>
        <v>8.2399666825804754E-2</v>
      </c>
      <c r="E73" s="83">
        <f t="shared" ref="E73:S73" si="76">E31/E$23</f>
        <v>8.295991856228177E-2</v>
      </c>
      <c r="F73" s="83">
        <f t="shared" si="76"/>
        <v>8.8902969860598383E-2</v>
      </c>
      <c r="G73" s="83">
        <f t="shared" si="76"/>
        <v>9.4713521370964199E-2</v>
      </c>
      <c r="H73" s="83">
        <f t="shared" si="76"/>
        <v>9.8386057625653459E-2</v>
      </c>
      <c r="I73" s="83">
        <f t="shared" si="76"/>
        <v>0.1035138858234457</v>
      </c>
      <c r="J73" s="83">
        <f t="shared" si="76"/>
        <v>0.11100129892133055</v>
      </c>
      <c r="K73" s="83">
        <f t="shared" si="76"/>
        <v>0.11978583564927624</v>
      </c>
      <c r="L73" s="83">
        <f t="shared" si="76"/>
        <v>0.12272408856942711</v>
      </c>
      <c r="M73" s="83">
        <f t="shared" si="76"/>
        <v>9.6476750205548273E-2</v>
      </c>
      <c r="N73" s="83">
        <f t="shared" si="76"/>
        <v>8.2899682410186179E-2</v>
      </c>
      <c r="O73" s="83">
        <f t="shared" si="76"/>
        <v>6.9861919304667092E-2</v>
      </c>
      <c r="P73" s="83">
        <f t="shared" si="76"/>
        <v>5.9564355061611306E-2</v>
      </c>
      <c r="Q73" s="83">
        <f t="shared" si="76"/>
        <v>4.875356969160359E-2</v>
      </c>
      <c r="R73" s="83">
        <f t="shared" si="76"/>
        <v>4.2642336909703191E-2</v>
      </c>
      <c r="S73" s="83">
        <f t="shared" si="76"/>
        <v>4.039478456751236E-2</v>
      </c>
      <c r="T73" s="83">
        <f t="shared" ref="T73:Y73" si="77">T31/T$23</f>
        <v>4.5607184693479109E-2</v>
      </c>
      <c r="U73" s="83">
        <f t="shared" si="77"/>
        <v>5.1999661790817622E-2</v>
      </c>
      <c r="V73" s="83">
        <f t="shared" si="77"/>
        <v>5.752026323812328E-2</v>
      </c>
      <c r="W73" s="83">
        <f t="shared" si="77"/>
        <v>6.3485035009950716E-2</v>
      </c>
      <c r="X73" s="83">
        <f t="shared" si="77"/>
        <v>6.1582475724750237E-2</v>
      </c>
      <c r="Y73" s="83">
        <f t="shared" si="77"/>
        <v>5.5315023665706002E-2</v>
      </c>
      <c r="Z73" s="83">
        <f t="shared" ref="Z73:AA73" si="78">Z31/Z$23</f>
        <v>4.9273213380249224E-2</v>
      </c>
      <c r="AA73" s="83">
        <f t="shared" si="78"/>
        <v>5.0337437498193589E-2</v>
      </c>
    </row>
    <row r="74" spans="1:27" x14ac:dyDescent="0.25">
      <c r="A74" s="64" t="s">
        <v>58</v>
      </c>
      <c r="B74" s="65"/>
      <c r="C74" s="65"/>
      <c r="D74" s="83">
        <f t="shared" si="51"/>
        <v>8.7498857253141285E-2</v>
      </c>
      <c r="E74" s="83">
        <f t="shared" ref="E74:S74" si="79">E32/E$23</f>
        <v>8.3369009903815974E-2</v>
      </c>
      <c r="F74" s="83">
        <f t="shared" si="79"/>
        <v>8.3852186530020023E-2</v>
      </c>
      <c r="G74" s="83">
        <f t="shared" si="79"/>
        <v>8.0816483795546276E-2</v>
      </c>
      <c r="H74" s="83">
        <f t="shared" si="79"/>
        <v>8.06726526884088E-2</v>
      </c>
      <c r="I74" s="83">
        <f t="shared" si="79"/>
        <v>7.7096953414565475E-2</v>
      </c>
      <c r="J74" s="83">
        <f t="shared" si="79"/>
        <v>6.9661715705653132E-2</v>
      </c>
      <c r="K74" s="83">
        <f t="shared" si="79"/>
        <v>6.5843025170238267E-2</v>
      </c>
      <c r="L74" s="83">
        <f t="shared" si="79"/>
        <v>6.2644290804982794E-2</v>
      </c>
      <c r="M74" s="83">
        <f t="shared" si="79"/>
        <v>6.0214988276135077E-2</v>
      </c>
      <c r="N74" s="83">
        <f t="shared" si="79"/>
        <v>5.6303720754057283E-2</v>
      </c>
      <c r="O74" s="83">
        <f t="shared" si="79"/>
        <v>5.0699469094741378E-2</v>
      </c>
      <c r="P74" s="83">
        <f t="shared" si="79"/>
        <v>4.5651935075373393E-2</v>
      </c>
      <c r="Q74" s="83">
        <f t="shared" si="79"/>
        <v>4.1901008866552777E-2</v>
      </c>
      <c r="R74" s="83">
        <f t="shared" si="79"/>
        <v>4.4136841830474852E-2</v>
      </c>
      <c r="S74" s="83">
        <f t="shared" si="79"/>
        <v>4.5434587557031864E-2</v>
      </c>
      <c r="T74" s="83">
        <f t="shared" ref="T74:Y74" si="80">T32/T$23</f>
        <v>4.8436608296038214E-2</v>
      </c>
      <c r="U74" s="83">
        <f t="shared" si="80"/>
        <v>5.0900481948084872E-2</v>
      </c>
      <c r="V74" s="83">
        <f t="shared" si="80"/>
        <v>5.5007726837883589E-2</v>
      </c>
      <c r="W74" s="83">
        <f t="shared" si="80"/>
        <v>5.5470943443967038E-2</v>
      </c>
      <c r="X74" s="83">
        <f t="shared" si="80"/>
        <v>5.8160392011463731E-2</v>
      </c>
      <c r="Y74" s="83">
        <f t="shared" si="80"/>
        <v>5.1305671434900668E-2</v>
      </c>
      <c r="Z74" s="83">
        <f t="shared" ref="Z74:AA74" si="81">Z32/Z$23</f>
        <v>4.3203853659286133E-2</v>
      </c>
      <c r="AA74" s="83">
        <f t="shared" si="81"/>
        <v>4.3576326638964297E-2</v>
      </c>
    </row>
    <row r="75" spans="1:27" x14ac:dyDescent="0.25">
      <c r="A75" s="85" t="s">
        <v>158</v>
      </c>
      <c r="B75" s="86"/>
      <c r="C75" s="86"/>
      <c r="D75" s="87">
        <f t="shared" si="51"/>
        <v>0</v>
      </c>
      <c r="E75" s="87">
        <f t="shared" ref="E75:S75" si="82">E33/E$23</f>
        <v>0</v>
      </c>
      <c r="F75" s="87">
        <f t="shared" si="82"/>
        <v>0</v>
      </c>
      <c r="G75" s="87">
        <f t="shared" si="82"/>
        <v>0</v>
      </c>
      <c r="H75" s="87">
        <f t="shared" si="82"/>
        <v>0</v>
      </c>
      <c r="I75" s="87">
        <f t="shared" si="82"/>
        <v>0</v>
      </c>
      <c r="J75" s="87">
        <f t="shared" si="82"/>
        <v>0</v>
      </c>
      <c r="K75" s="87">
        <f t="shared" si="82"/>
        <v>0</v>
      </c>
      <c r="L75" s="87">
        <f t="shared" si="82"/>
        <v>0</v>
      </c>
      <c r="M75" s="87">
        <f t="shared" si="82"/>
        <v>0</v>
      </c>
      <c r="N75" s="87">
        <f t="shared" si="82"/>
        <v>0</v>
      </c>
      <c r="O75" s="87">
        <f t="shared" si="82"/>
        <v>0</v>
      </c>
      <c r="P75" s="87">
        <f t="shared" si="82"/>
        <v>0</v>
      </c>
      <c r="Q75" s="87">
        <f t="shared" si="82"/>
        <v>0</v>
      </c>
      <c r="R75" s="87">
        <f t="shared" si="82"/>
        <v>0</v>
      </c>
      <c r="S75" s="87">
        <f t="shared" si="82"/>
        <v>0</v>
      </c>
      <c r="T75" s="87">
        <f t="shared" ref="T75:Y75" si="83">T33/T$23</f>
        <v>0</v>
      </c>
      <c r="U75" s="87">
        <f t="shared" si="83"/>
        <v>0</v>
      </c>
      <c r="V75" s="87">
        <f t="shared" si="83"/>
        <v>0</v>
      </c>
      <c r="W75" s="87">
        <f t="shared" si="83"/>
        <v>0</v>
      </c>
      <c r="X75" s="87">
        <f t="shared" si="83"/>
        <v>0</v>
      </c>
      <c r="Y75" s="87">
        <f t="shared" si="83"/>
        <v>0</v>
      </c>
      <c r="Z75" s="87">
        <f t="shared" ref="Z75:AA75" si="84">Z33/Z$23</f>
        <v>0</v>
      </c>
      <c r="AA75" s="87">
        <f t="shared" si="84"/>
        <v>0</v>
      </c>
    </row>
    <row r="76" spans="1:27" x14ac:dyDescent="0.25">
      <c r="A76" s="88" t="s">
        <v>5</v>
      </c>
      <c r="B76" s="44"/>
      <c r="C76" s="44"/>
      <c r="D76" s="89">
        <f t="shared" si="51"/>
        <v>0</v>
      </c>
      <c r="E76" s="89">
        <f t="shared" ref="E76:S76" si="85">E34/E$23</f>
        <v>0</v>
      </c>
      <c r="F76" s="89">
        <f t="shared" si="85"/>
        <v>0</v>
      </c>
      <c r="G76" s="89">
        <f t="shared" si="85"/>
        <v>0</v>
      </c>
      <c r="H76" s="89">
        <f t="shared" si="85"/>
        <v>0</v>
      </c>
      <c r="I76" s="89">
        <f t="shared" si="85"/>
        <v>0</v>
      </c>
      <c r="J76" s="89">
        <f t="shared" si="85"/>
        <v>0</v>
      </c>
      <c r="K76" s="89">
        <f t="shared" si="85"/>
        <v>0</v>
      </c>
      <c r="L76" s="89">
        <f t="shared" si="85"/>
        <v>0</v>
      </c>
      <c r="M76" s="89">
        <f t="shared" si="85"/>
        <v>0</v>
      </c>
      <c r="N76" s="89">
        <f t="shared" si="85"/>
        <v>0</v>
      </c>
      <c r="O76" s="89">
        <f t="shared" si="85"/>
        <v>0</v>
      </c>
      <c r="P76" s="89">
        <f t="shared" si="85"/>
        <v>0</v>
      </c>
      <c r="Q76" s="89">
        <f t="shared" si="85"/>
        <v>0</v>
      </c>
      <c r="R76" s="89">
        <f t="shared" si="85"/>
        <v>0</v>
      </c>
      <c r="S76" s="89">
        <f t="shared" si="85"/>
        <v>0</v>
      </c>
      <c r="T76" s="89">
        <f t="shared" ref="T76:Y76" si="86">T34/T$23</f>
        <v>0</v>
      </c>
      <c r="U76" s="89">
        <f t="shared" si="86"/>
        <v>0</v>
      </c>
      <c r="V76" s="89">
        <f t="shared" si="86"/>
        <v>0</v>
      </c>
      <c r="W76" s="89">
        <f t="shared" si="86"/>
        <v>0</v>
      </c>
      <c r="X76" s="89">
        <f t="shared" si="86"/>
        <v>0</v>
      </c>
      <c r="Y76" s="89">
        <f t="shared" si="86"/>
        <v>0</v>
      </c>
      <c r="Z76" s="89">
        <f t="shared" ref="Z76:AA76" si="87">Z34/Z$23</f>
        <v>0</v>
      </c>
      <c r="AA76" s="89">
        <f t="shared" si="87"/>
        <v>0</v>
      </c>
    </row>
    <row r="77" spans="1:27" x14ac:dyDescent="0.25">
      <c r="A77" s="88" t="s">
        <v>263</v>
      </c>
      <c r="B77" s="44"/>
      <c r="C77" s="44"/>
      <c r="D77" s="89">
        <f>D37/D$23</f>
        <v>0</v>
      </c>
      <c r="E77" s="89">
        <f t="shared" ref="E77:S77" si="88">E37/E$23</f>
        <v>0</v>
      </c>
      <c r="F77" s="89">
        <f t="shared" si="88"/>
        <v>0</v>
      </c>
      <c r="G77" s="89">
        <f t="shared" si="88"/>
        <v>0</v>
      </c>
      <c r="H77" s="89">
        <f t="shared" si="88"/>
        <v>0</v>
      </c>
      <c r="I77" s="89">
        <f t="shared" si="88"/>
        <v>0</v>
      </c>
      <c r="J77" s="89">
        <f t="shared" si="88"/>
        <v>0</v>
      </c>
      <c r="K77" s="89">
        <f t="shared" si="88"/>
        <v>0</v>
      </c>
      <c r="L77" s="89">
        <f t="shared" si="88"/>
        <v>0</v>
      </c>
      <c r="M77" s="89">
        <f t="shared" si="88"/>
        <v>0</v>
      </c>
      <c r="N77" s="89">
        <f t="shared" si="88"/>
        <v>0</v>
      </c>
      <c r="O77" s="89">
        <f t="shared" si="88"/>
        <v>0</v>
      </c>
      <c r="P77" s="89">
        <f t="shared" si="88"/>
        <v>0</v>
      </c>
      <c r="Q77" s="89">
        <f t="shared" si="88"/>
        <v>0</v>
      </c>
      <c r="R77" s="89">
        <f t="shared" si="88"/>
        <v>0</v>
      </c>
      <c r="S77" s="89">
        <f t="shared" si="88"/>
        <v>0</v>
      </c>
      <c r="T77" s="89">
        <f t="shared" ref="T77:Y77" si="89">T37/T$23</f>
        <v>0</v>
      </c>
      <c r="U77" s="89">
        <f t="shared" si="89"/>
        <v>0</v>
      </c>
      <c r="V77" s="89">
        <f t="shared" si="89"/>
        <v>0</v>
      </c>
      <c r="W77" s="89">
        <f t="shared" si="89"/>
        <v>0</v>
      </c>
      <c r="X77" s="89">
        <f t="shared" si="89"/>
        <v>0</v>
      </c>
      <c r="Y77" s="89">
        <f t="shared" si="89"/>
        <v>0</v>
      </c>
      <c r="Z77" s="89">
        <f t="shared" ref="Z77:AA77" si="90">Z37/Z$23</f>
        <v>0</v>
      </c>
      <c r="AA77" s="89">
        <f t="shared" si="90"/>
        <v>0</v>
      </c>
    </row>
    <row r="78" spans="1:27" x14ac:dyDescent="0.25">
      <c r="A78" s="68" t="s">
        <v>265</v>
      </c>
      <c r="B78" s="44"/>
      <c r="C78" s="44"/>
      <c r="D78" s="89">
        <f>D43/D$23</f>
        <v>5.800075167348929E-3</v>
      </c>
      <c r="E78" s="89">
        <f t="shared" ref="E78:S78" si="91">E43/E$23</f>
        <v>5.3086736878157365E-3</v>
      </c>
      <c r="F78" s="89">
        <f t="shared" si="91"/>
        <v>5.133432512351461E-3</v>
      </c>
      <c r="G78" s="89">
        <f t="shared" si="91"/>
        <v>4.7899682128252057E-3</v>
      </c>
      <c r="H78" s="89">
        <f t="shared" si="91"/>
        <v>4.9829145564716723E-3</v>
      </c>
      <c r="I78" s="89">
        <f t="shared" si="91"/>
        <v>4.7871652218915775E-3</v>
      </c>
      <c r="J78" s="89">
        <f t="shared" si="91"/>
        <v>4.758005308635003E-3</v>
      </c>
      <c r="K78" s="89">
        <f t="shared" si="91"/>
        <v>4.3860226808740436E-3</v>
      </c>
      <c r="L78" s="89">
        <f t="shared" si="91"/>
        <v>4.172631194225322E-3</v>
      </c>
      <c r="M78" s="89">
        <f t="shared" si="91"/>
        <v>4.2327720088918665E-3</v>
      </c>
      <c r="N78" s="89">
        <f t="shared" si="91"/>
        <v>4.906616940065848E-3</v>
      </c>
      <c r="O78" s="89">
        <f t="shared" si="91"/>
        <v>4.6177992078916211E-3</v>
      </c>
      <c r="P78" s="89">
        <f t="shared" si="91"/>
        <v>4.7473386569830975E-3</v>
      </c>
      <c r="Q78" s="89">
        <f t="shared" si="91"/>
        <v>5.3997431069099256E-3</v>
      </c>
      <c r="R78" s="89">
        <f t="shared" si="91"/>
        <v>5.9584410160022968E-3</v>
      </c>
      <c r="S78" s="89">
        <f t="shared" si="91"/>
        <v>6.8597318468459874E-3</v>
      </c>
      <c r="T78" s="89">
        <f t="shared" ref="T78:Y78" si="92">T43/T$23</f>
        <v>7.2748025110383569E-3</v>
      </c>
      <c r="U78" s="89">
        <f t="shared" si="92"/>
        <v>8.3763140835940355E-3</v>
      </c>
      <c r="V78" s="89">
        <f t="shared" si="92"/>
        <v>8.6992630594072955E-3</v>
      </c>
      <c r="W78" s="89">
        <f t="shared" si="92"/>
        <v>8.9240096733539977E-3</v>
      </c>
      <c r="X78" s="89">
        <f t="shared" si="92"/>
        <v>1.1508823264156805E-2</v>
      </c>
      <c r="Y78" s="89">
        <f t="shared" si="92"/>
        <v>8.2775138506889154E-3</v>
      </c>
      <c r="Z78" s="89">
        <f t="shared" ref="Z78:AA78" si="93">Z43/Z$23</f>
        <v>7.5982237519398891E-3</v>
      </c>
      <c r="AA78" s="89">
        <f t="shared" si="93"/>
        <v>8.008060947925652E-3</v>
      </c>
    </row>
    <row r="79" spans="1:27" x14ac:dyDescent="0.25">
      <c r="A79" s="88" t="s">
        <v>266</v>
      </c>
      <c r="B79" s="44"/>
      <c r="C79" s="44"/>
      <c r="D79" s="89">
        <f>D44/D$23</f>
        <v>2.9355897081678466E-3</v>
      </c>
      <c r="E79" s="89">
        <f t="shared" ref="E79:S79" si="94">E44/E$23</f>
        <v>2.4926030577199338E-3</v>
      </c>
      <c r="F79" s="89">
        <f t="shared" si="94"/>
        <v>2.3876430290006795E-3</v>
      </c>
      <c r="G79" s="89">
        <f t="shared" si="94"/>
        <v>2.1979561634718949E-3</v>
      </c>
      <c r="H79" s="89">
        <f t="shared" si="94"/>
        <v>2.30796206134449E-3</v>
      </c>
      <c r="I79" s="89">
        <f t="shared" si="94"/>
        <v>1.7504737695311016E-3</v>
      </c>
      <c r="J79" s="89">
        <f t="shared" si="94"/>
        <v>1.8213136047890665E-3</v>
      </c>
      <c r="K79" s="89">
        <f t="shared" si="94"/>
        <v>1.7320179655703806E-3</v>
      </c>
      <c r="L79" s="89">
        <f t="shared" si="94"/>
        <v>1.4436694788779582E-3</v>
      </c>
      <c r="M79" s="89">
        <f t="shared" si="94"/>
        <v>1.4494960260665673E-3</v>
      </c>
      <c r="N79" s="89">
        <f t="shared" si="94"/>
        <v>1.6841001136330526E-3</v>
      </c>
      <c r="O79" s="89">
        <f t="shared" si="94"/>
        <v>1.3825067567184727E-3</v>
      </c>
      <c r="P79" s="89">
        <f t="shared" si="94"/>
        <v>1.2085186106083647E-3</v>
      </c>
      <c r="Q79" s="89">
        <f t="shared" si="94"/>
        <v>1.1597600668420856E-3</v>
      </c>
      <c r="R79" s="89">
        <f t="shared" si="94"/>
        <v>1.1290364685305559E-3</v>
      </c>
      <c r="S79" s="89">
        <f t="shared" si="94"/>
        <v>1.228133809314727E-3</v>
      </c>
      <c r="T79" s="89">
        <f t="shared" ref="T79:Y79" si="95">T44/T$23</f>
        <v>1.2975700597723247E-3</v>
      </c>
      <c r="U79" s="89">
        <f t="shared" si="95"/>
        <v>1.3133789915729546E-3</v>
      </c>
      <c r="V79" s="89">
        <f t="shared" si="95"/>
        <v>1.4297278260778151E-3</v>
      </c>
      <c r="W79" s="89">
        <f t="shared" si="95"/>
        <v>1.3527124804756877E-3</v>
      </c>
      <c r="X79" s="89">
        <f t="shared" si="95"/>
        <v>1.473049211868568E-3</v>
      </c>
      <c r="Y79" s="89">
        <f t="shared" si="95"/>
        <v>1.258954146872135E-3</v>
      </c>
      <c r="Z79" s="89">
        <f t="shared" ref="Z79:AA79" si="96">Z44/Z$23</f>
        <v>1.1370446059525822E-3</v>
      </c>
      <c r="AA79" s="89">
        <f t="shared" si="96"/>
        <v>1.17859169089114E-3</v>
      </c>
    </row>
    <row r="80" spans="1:27" x14ac:dyDescent="0.25">
      <c r="A80" s="88" t="s">
        <v>11</v>
      </c>
      <c r="B80" s="44"/>
      <c r="C80" s="44"/>
      <c r="D80" s="89">
        <f>D47/D$23</f>
        <v>2.864485459181082E-3</v>
      </c>
      <c r="E80" s="89">
        <f t="shared" ref="E80:S80" si="97">E47/E$23</f>
        <v>2.8160706300958036E-3</v>
      </c>
      <c r="F80" s="89">
        <f t="shared" si="97"/>
        <v>2.7457894833507815E-3</v>
      </c>
      <c r="G80" s="89">
        <f t="shared" si="97"/>
        <v>2.5920120493533104E-3</v>
      </c>
      <c r="H80" s="89">
        <f t="shared" si="97"/>
        <v>2.6749524951271827E-3</v>
      </c>
      <c r="I80" s="89">
        <f t="shared" si="97"/>
        <v>3.0366914523604761E-3</v>
      </c>
      <c r="J80" s="89">
        <f t="shared" si="97"/>
        <v>2.9366917038459363E-3</v>
      </c>
      <c r="K80" s="89">
        <f t="shared" si="97"/>
        <v>2.6540047153036628E-3</v>
      </c>
      <c r="L80" s="89">
        <f t="shared" si="97"/>
        <v>2.728961715347364E-3</v>
      </c>
      <c r="M80" s="89">
        <f t="shared" si="97"/>
        <v>2.783275982825299E-3</v>
      </c>
      <c r="N80" s="89">
        <f t="shared" si="97"/>
        <v>3.2225168264327958E-3</v>
      </c>
      <c r="O80" s="89">
        <f t="shared" si="97"/>
        <v>3.2352924511731482E-3</v>
      </c>
      <c r="P80" s="89">
        <f t="shared" si="97"/>
        <v>3.5388200463747329E-3</v>
      </c>
      <c r="Q80" s="89">
        <f t="shared" si="97"/>
        <v>4.2399830400678407E-3</v>
      </c>
      <c r="R80" s="89">
        <f t="shared" si="97"/>
        <v>4.8294045474717414E-3</v>
      </c>
      <c r="S80" s="89">
        <f t="shared" si="97"/>
        <v>5.63159803753126E-3</v>
      </c>
      <c r="T80" s="89">
        <f t="shared" ref="T80:Y80" si="98">T47/T$23</f>
        <v>5.9772324512660322E-3</v>
      </c>
      <c r="U80" s="89">
        <f t="shared" si="98"/>
        <v>7.0629350920210811E-3</v>
      </c>
      <c r="V80" s="89">
        <f t="shared" si="98"/>
        <v>7.2695352333294804E-3</v>
      </c>
      <c r="W80" s="89">
        <f t="shared" si="98"/>
        <v>7.5712971928783091E-3</v>
      </c>
      <c r="X80" s="89">
        <f t="shared" si="98"/>
        <v>1.0035774052288237E-2</v>
      </c>
      <c r="Y80" s="89">
        <f t="shared" si="98"/>
        <v>7.0185597038167798E-3</v>
      </c>
      <c r="Z80" s="89">
        <f t="shared" ref="Z80:AA80" si="99">Z47/Z$23</f>
        <v>6.4611791459873074E-3</v>
      </c>
      <c r="AA80" s="89">
        <f t="shared" si="99"/>
        <v>6.8294692570345112E-3</v>
      </c>
    </row>
    <row r="81" spans="1:27" x14ac:dyDescent="0.25">
      <c r="A81" s="68" t="s">
        <v>4</v>
      </c>
      <c r="B81" s="44"/>
      <c r="C81" s="44"/>
      <c r="D81" s="89">
        <f>D48/D$23</f>
        <v>1.0513271100185887E-2</v>
      </c>
      <c r="E81" s="89">
        <f t="shared" ref="E81:S81" si="100">E48/E$23</f>
        <v>1.017971477771118E-2</v>
      </c>
      <c r="F81" s="89">
        <f t="shared" si="100"/>
        <v>1.1111723327272395E-2</v>
      </c>
      <c r="G81" s="89">
        <f t="shared" si="100"/>
        <v>1.1322539120992672E-2</v>
      </c>
      <c r="H81" s="89">
        <f t="shared" si="100"/>
        <v>1.2135150343747708E-2</v>
      </c>
      <c r="I81" s="89">
        <f t="shared" si="100"/>
        <v>1.2306591675355612E-2</v>
      </c>
      <c r="J81" s="89">
        <f t="shared" si="100"/>
        <v>1.2311515219969501E-2</v>
      </c>
      <c r="K81" s="89">
        <f t="shared" si="100"/>
        <v>1.182118725550887E-2</v>
      </c>
      <c r="L81" s="89">
        <f t="shared" si="100"/>
        <v>1.1068132671397678E-2</v>
      </c>
      <c r="M81" s="89">
        <f t="shared" si="100"/>
        <v>9.3547306556228879E-3</v>
      </c>
      <c r="N81" s="89">
        <f t="shared" si="100"/>
        <v>8.1699251187319702E-3</v>
      </c>
      <c r="O81" s="89">
        <f t="shared" si="100"/>
        <v>7.3318186196463285E-3</v>
      </c>
      <c r="P81" s="89">
        <f t="shared" si="100"/>
        <v>5.3602715408323162E-3</v>
      </c>
      <c r="Q81" s="89">
        <f t="shared" si="100"/>
        <v>3.8908079661799E-3</v>
      </c>
      <c r="R81" s="89">
        <f t="shared" si="100"/>
        <v>4.6988801002427758E-3</v>
      </c>
      <c r="S81" s="89">
        <f t="shared" si="100"/>
        <v>5.4534231843664299E-3</v>
      </c>
      <c r="T81" s="89">
        <f t="shared" ref="T81:Y81" si="101">T48/T$23</f>
        <v>6.2055086654852366E-3</v>
      </c>
      <c r="U81" s="89">
        <f t="shared" si="101"/>
        <v>6.1497702995969667E-3</v>
      </c>
      <c r="V81" s="89">
        <f t="shared" si="101"/>
        <v>6.4758260357642228E-3</v>
      </c>
      <c r="W81" s="89">
        <f t="shared" si="101"/>
        <v>6.8414163580892686E-3</v>
      </c>
      <c r="X81" s="89">
        <f t="shared" si="101"/>
        <v>7.5756816610383507E-3</v>
      </c>
      <c r="Y81" s="89">
        <f t="shared" si="101"/>
        <v>6.2947707343606754E-3</v>
      </c>
      <c r="Z81" s="89">
        <f t="shared" ref="Z81:AA81" si="102">Z48/Z$23</f>
        <v>5.2511485687066883E-3</v>
      </c>
      <c r="AA81" s="89">
        <f t="shared" si="102"/>
        <v>5.2187852190023701E-3</v>
      </c>
    </row>
    <row r="82" spans="1:27" x14ac:dyDescent="0.25">
      <c r="A82" s="68" t="s">
        <v>3</v>
      </c>
      <c r="B82" s="44"/>
      <c r="C82" s="44"/>
      <c r="D82" s="89">
        <f>D52/D$23</f>
        <v>5.4039229229940981E-3</v>
      </c>
      <c r="E82" s="89">
        <f t="shared" ref="E82:S82" si="103">E52/E$23</f>
        <v>5.4323524654888633E-3</v>
      </c>
      <c r="F82" s="89">
        <f t="shared" si="103"/>
        <v>5.42729626976693E-3</v>
      </c>
      <c r="G82" s="89">
        <f t="shared" si="103"/>
        <v>5.0264017443540547E-3</v>
      </c>
      <c r="H82" s="89">
        <f t="shared" si="103"/>
        <v>4.8361183829585949E-3</v>
      </c>
      <c r="I82" s="89">
        <f t="shared" si="103"/>
        <v>4.4370704679853566E-3</v>
      </c>
      <c r="J82" s="89">
        <f t="shared" si="103"/>
        <v>4.2144349692212124E-3</v>
      </c>
      <c r="K82" s="89">
        <f t="shared" si="103"/>
        <v>4.1357691345178674E-3</v>
      </c>
      <c r="L82" s="89">
        <f t="shared" si="103"/>
        <v>4.1056254378217033E-3</v>
      </c>
      <c r="M82" s="89">
        <f t="shared" si="103"/>
        <v>3.5871981485428904E-3</v>
      </c>
      <c r="N82" s="89">
        <f t="shared" si="103"/>
        <v>3.4556102677660906E-3</v>
      </c>
      <c r="O82" s="89">
        <f t="shared" si="103"/>
        <v>3.1729663268948564E-3</v>
      </c>
      <c r="P82" s="89">
        <f t="shared" si="103"/>
        <v>2.7639803630181738E-3</v>
      </c>
      <c r="Q82" s="89">
        <f t="shared" si="103"/>
        <v>2.4878724014515707E-3</v>
      </c>
      <c r="R82" s="89">
        <f t="shared" si="103"/>
        <v>2.5452267209648367E-3</v>
      </c>
      <c r="S82" s="89">
        <f t="shared" si="103"/>
        <v>2.3417266415949197E-3</v>
      </c>
      <c r="T82" s="89">
        <f t="shared" ref="T82:Y82" si="104">T52/T$23</f>
        <v>2.5050310876160151E-3</v>
      </c>
      <c r="U82" s="89">
        <f t="shared" si="104"/>
        <v>2.4351061131309714E-3</v>
      </c>
      <c r="V82" s="89">
        <f t="shared" si="104"/>
        <v>2.270744194358883E-3</v>
      </c>
      <c r="W82" s="89">
        <f t="shared" si="104"/>
        <v>2.2237036099906089E-3</v>
      </c>
      <c r="X82" s="89">
        <f t="shared" si="104"/>
        <v>1.8989307867285279E-3</v>
      </c>
      <c r="Y82" s="89">
        <f t="shared" si="104"/>
        <v>1.6581347300267143E-3</v>
      </c>
      <c r="Z82" s="89">
        <f t="shared" ref="Z82:AA82" si="105">Z52/Z$23</f>
        <v>1.5134985633287752E-3</v>
      </c>
      <c r="AA82" s="89">
        <f t="shared" si="105"/>
        <v>1.577101430151174E-3</v>
      </c>
    </row>
    <row r="83" spans="1:27" x14ac:dyDescent="0.25">
      <c r="A83" s="88" t="s">
        <v>21</v>
      </c>
      <c r="B83" s="44"/>
      <c r="C83" s="44"/>
      <c r="D83" s="89">
        <f>D53/D$23</f>
        <v>0</v>
      </c>
      <c r="E83" s="89">
        <f t="shared" ref="E83:S83" si="106">E53/E$23</f>
        <v>0</v>
      </c>
      <c r="F83" s="89">
        <f t="shared" si="106"/>
        <v>0</v>
      </c>
      <c r="G83" s="89">
        <f t="shared" si="106"/>
        <v>0</v>
      </c>
      <c r="H83" s="89">
        <f t="shared" si="106"/>
        <v>0</v>
      </c>
      <c r="I83" s="89">
        <f t="shared" si="106"/>
        <v>0</v>
      </c>
      <c r="J83" s="89">
        <f t="shared" si="106"/>
        <v>0</v>
      </c>
      <c r="K83" s="89">
        <f t="shared" si="106"/>
        <v>0</v>
      </c>
      <c r="L83" s="89">
        <f t="shared" si="106"/>
        <v>0</v>
      </c>
      <c r="M83" s="89">
        <f t="shared" si="106"/>
        <v>0</v>
      </c>
      <c r="N83" s="89">
        <f t="shared" si="106"/>
        <v>0</v>
      </c>
      <c r="O83" s="89">
        <f t="shared" si="106"/>
        <v>0</v>
      </c>
      <c r="P83" s="89">
        <f t="shared" si="106"/>
        <v>0</v>
      </c>
      <c r="Q83" s="89">
        <f t="shared" si="106"/>
        <v>0</v>
      </c>
      <c r="R83" s="89">
        <f t="shared" si="106"/>
        <v>0</v>
      </c>
      <c r="S83" s="89">
        <f t="shared" si="106"/>
        <v>0</v>
      </c>
      <c r="T83" s="89">
        <f t="shared" ref="T83:Y83" si="107">T53/T$23</f>
        <v>0</v>
      </c>
      <c r="U83" s="89">
        <f t="shared" si="107"/>
        <v>0</v>
      </c>
      <c r="V83" s="89">
        <f t="shared" si="107"/>
        <v>0</v>
      </c>
      <c r="W83" s="89">
        <f t="shared" si="107"/>
        <v>0</v>
      </c>
      <c r="X83" s="89">
        <f t="shared" si="107"/>
        <v>0</v>
      </c>
      <c r="Y83" s="89">
        <f t="shared" si="107"/>
        <v>0</v>
      </c>
      <c r="Z83" s="89">
        <f t="shared" ref="Z83:AA83" si="108">Z53/Z$23</f>
        <v>0</v>
      </c>
      <c r="AA83" s="89">
        <f t="shared" si="108"/>
        <v>0</v>
      </c>
    </row>
    <row r="84" spans="1:27" x14ac:dyDescent="0.25">
      <c r="A84" s="88" t="s">
        <v>16</v>
      </c>
      <c r="B84" s="44"/>
      <c r="C84" s="44"/>
      <c r="D84" s="89">
        <f t="shared" ref="D84:D90" si="109">D56/D$23</f>
        <v>5.4039229229940981E-3</v>
      </c>
      <c r="E84" s="89">
        <f t="shared" ref="E84:S84" si="110">E56/E$23</f>
        <v>5.4323524654888633E-3</v>
      </c>
      <c r="F84" s="89">
        <f t="shared" si="110"/>
        <v>5.42729626976693E-3</v>
      </c>
      <c r="G84" s="89">
        <f t="shared" si="110"/>
        <v>5.0264017443540547E-3</v>
      </c>
      <c r="H84" s="89">
        <f t="shared" si="110"/>
        <v>4.8361183829585949E-3</v>
      </c>
      <c r="I84" s="89">
        <f t="shared" si="110"/>
        <v>4.4370704679853566E-3</v>
      </c>
      <c r="J84" s="89">
        <f t="shared" si="110"/>
        <v>4.2144349692212124E-3</v>
      </c>
      <c r="K84" s="89">
        <f t="shared" si="110"/>
        <v>4.1357691345178674E-3</v>
      </c>
      <c r="L84" s="89">
        <f t="shared" si="110"/>
        <v>4.1056254378217033E-3</v>
      </c>
      <c r="M84" s="89">
        <f t="shared" si="110"/>
        <v>3.5871981485428904E-3</v>
      </c>
      <c r="N84" s="89">
        <f t="shared" si="110"/>
        <v>3.4556102677660906E-3</v>
      </c>
      <c r="O84" s="89">
        <f t="shared" si="110"/>
        <v>3.1729663268948564E-3</v>
      </c>
      <c r="P84" s="89">
        <f t="shared" si="110"/>
        <v>2.7639803630181738E-3</v>
      </c>
      <c r="Q84" s="89">
        <f t="shared" si="110"/>
        <v>2.4878724014515707E-3</v>
      </c>
      <c r="R84" s="89">
        <f t="shared" si="110"/>
        <v>2.5452267209648367E-3</v>
      </c>
      <c r="S84" s="89">
        <f t="shared" si="110"/>
        <v>2.3417266415949197E-3</v>
      </c>
      <c r="T84" s="89">
        <f t="shared" ref="T84:Y84" si="111">T56/T$23</f>
        <v>2.5050310876160151E-3</v>
      </c>
      <c r="U84" s="89">
        <f t="shared" si="111"/>
        <v>2.4351061131309714E-3</v>
      </c>
      <c r="V84" s="89">
        <f t="shared" si="111"/>
        <v>2.270744194358883E-3</v>
      </c>
      <c r="W84" s="89">
        <f t="shared" si="111"/>
        <v>2.2237036099906089E-3</v>
      </c>
      <c r="X84" s="89">
        <f t="shared" si="111"/>
        <v>1.8989307867285279E-3</v>
      </c>
      <c r="Y84" s="89">
        <f t="shared" si="111"/>
        <v>1.6581347300267143E-3</v>
      </c>
      <c r="Z84" s="89">
        <f t="shared" ref="Z84:AA84" si="112">Z56/Z$23</f>
        <v>1.5134985633287752E-3</v>
      </c>
      <c r="AA84" s="89">
        <f t="shared" si="112"/>
        <v>1.577101430151174E-3</v>
      </c>
    </row>
    <row r="85" spans="1:27" x14ac:dyDescent="0.25">
      <c r="A85" s="68" t="s">
        <v>2</v>
      </c>
      <c r="B85" s="44"/>
      <c r="C85" s="44"/>
      <c r="D85" s="89">
        <f t="shared" si="109"/>
        <v>3.3703414019726353E-2</v>
      </c>
      <c r="E85" s="89">
        <f t="shared" ref="E85:S85" si="113">E57/E$23</f>
        <v>3.3383756219615451E-2</v>
      </c>
      <c r="F85" s="89">
        <f t="shared" si="113"/>
        <v>3.3665766708909584E-2</v>
      </c>
      <c r="G85" s="89">
        <f t="shared" si="113"/>
        <v>3.2400150616916382E-2</v>
      </c>
      <c r="H85" s="89">
        <f t="shared" si="113"/>
        <v>3.1732439507743501E-2</v>
      </c>
      <c r="I85" s="89">
        <f t="shared" si="113"/>
        <v>2.9993987503139443E-2</v>
      </c>
      <c r="J85" s="89">
        <f t="shared" si="113"/>
        <v>2.2844072965493876E-2</v>
      </c>
      <c r="K85" s="89">
        <f t="shared" si="113"/>
        <v>1.9868814456752235E-2</v>
      </c>
      <c r="L85" s="89">
        <f t="shared" si="113"/>
        <v>1.9334206438644048E-2</v>
      </c>
      <c r="M85" s="89">
        <f t="shared" si="113"/>
        <v>2.1681537196625959E-2</v>
      </c>
      <c r="N85" s="89">
        <f t="shared" si="113"/>
        <v>1.9102007517263483E-2</v>
      </c>
      <c r="O85" s="89">
        <f t="shared" si="113"/>
        <v>1.7253004402490779E-2</v>
      </c>
      <c r="P85" s="89">
        <f t="shared" si="113"/>
        <v>1.6416192992905011E-2</v>
      </c>
      <c r="Q85" s="89">
        <f t="shared" si="113"/>
        <v>1.6024641783785806E-2</v>
      </c>
      <c r="R85" s="89">
        <f t="shared" si="113"/>
        <v>1.6524395019187094E-2</v>
      </c>
      <c r="S85" s="89">
        <f t="shared" si="113"/>
        <v>1.6226638413225667E-2</v>
      </c>
      <c r="T85" s="89">
        <f t="shared" ref="T85:Y85" si="114">T57/T$23</f>
        <v>1.818400264319827E-2</v>
      </c>
      <c r="U85" s="89">
        <f t="shared" si="114"/>
        <v>1.8105464896705278E-2</v>
      </c>
      <c r="V85" s="89">
        <f t="shared" si="114"/>
        <v>1.9085815207678485E-2</v>
      </c>
      <c r="W85" s="89">
        <f t="shared" si="114"/>
        <v>1.8767669198542187E-2</v>
      </c>
      <c r="X85" s="89">
        <f t="shared" si="114"/>
        <v>1.8533364063611675E-2</v>
      </c>
      <c r="Y85" s="89">
        <f t="shared" si="114"/>
        <v>1.6563800901007602E-2</v>
      </c>
      <c r="Z85" s="89">
        <f t="shared" ref="Z85:AA85" si="115">Z57/Z$23</f>
        <v>1.3705997142023016E-2</v>
      </c>
      <c r="AA85" s="89">
        <f t="shared" si="115"/>
        <v>1.3521576155504318E-2</v>
      </c>
    </row>
    <row r="86" spans="1:27" x14ac:dyDescent="0.25">
      <c r="A86" s="68" t="s">
        <v>269</v>
      </c>
      <c r="B86" s="44"/>
      <c r="C86" s="44"/>
      <c r="D86" s="89">
        <f t="shared" si="109"/>
        <v>6.8056924030188831E-4</v>
      </c>
      <c r="E86" s="89">
        <f t="shared" ref="E86:S86" si="116">E58/E$23</f>
        <v>6.9450390539524886E-4</v>
      </c>
      <c r="F86" s="89">
        <f t="shared" si="116"/>
        <v>7.2547615111943735E-4</v>
      </c>
      <c r="G86" s="89">
        <f t="shared" si="116"/>
        <v>6.1297582248220179E-4</v>
      </c>
      <c r="H86" s="89">
        <f t="shared" si="116"/>
        <v>5.3825263621461606E-4</v>
      </c>
      <c r="I86" s="89">
        <f t="shared" si="116"/>
        <v>4.8708835326082825E-4</v>
      </c>
      <c r="J86" s="89">
        <f t="shared" si="116"/>
        <v>4.8003614389789342E-4</v>
      </c>
      <c r="K86" s="89">
        <f t="shared" si="116"/>
        <v>5.1367833199425733E-4</v>
      </c>
      <c r="L86" s="89">
        <f t="shared" si="116"/>
        <v>4.2640026802302566E-4</v>
      </c>
      <c r="M86" s="89">
        <f t="shared" si="116"/>
        <v>4.5068363835683181E-4</v>
      </c>
      <c r="N86" s="89">
        <f t="shared" si="116"/>
        <v>3.671221700999388E-4</v>
      </c>
      <c r="O86" s="89">
        <f t="shared" si="116"/>
        <v>3.00298598795406E-4</v>
      </c>
      <c r="P86" s="89">
        <f t="shared" si="116"/>
        <v>1.7925395659741295E-4</v>
      </c>
      <c r="Q86" s="89">
        <f t="shared" si="116"/>
        <v>1.8082280612054022E-4</v>
      </c>
      <c r="R86" s="89">
        <f t="shared" si="116"/>
        <v>2.0231289320489729E-4</v>
      </c>
      <c r="S86" s="89">
        <f t="shared" si="116"/>
        <v>2.799890549733056E-4</v>
      </c>
      <c r="T86" s="89">
        <f t="shared" ref="T86:Y86" si="117">T58/T$23</f>
        <v>3.2439251494308118E-4</v>
      </c>
      <c r="U86" s="89">
        <f t="shared" si="117"/>
        <v>3.2129872326033652E-4</v>
      </c>
      <c r="V86" s="89">
        <f t="shared" si="117"/>
        <v>3.3640654731242713E-4</v>
      </c>
      <c r="W86" s="89">
        <f t="shared" si="117"/>
        <v>3.2114756730717761E-4</v>
      </c>
      <c r="X86" s="89">
        <f t="shared" si="117"/>
        <v>3.3068451695008667E-4</v>
      </c>
      <c r="Y86" s="89">
        <f t="shared" si="117"/>
        <v>3.465413853759536E-4</v>
      </c>
      <c r="Z86" s="89">
        <f t="shared" ref="Z86:AA86" si="118">Z58/Z$23</f>
        <v>3.9181942502420052E-4</v>
      </c>
      <c r="AA86" s="89">
        <f t="shared" si="118"/>
        <v>4.7824240847595009E-4</v>
      </c>
    </row>
    <row r="87" spans="1:27" x14ac:dyDescent="0.25">
      <c r="A87" s="68" t="s">
        <v>270</v>
      </c>
      <c r="B87" s="44"/>
      <c r="C87" s="44"/>
      <c r="D87" s="89">
        <f t="shared" si="109"/>
        <v>1.0929738844251221E-2</v>
      </c>
      <c r="E87" s="89">
        <f t="shared" ref="E87:S87" si="119">E59/E$23</f>
        <v>1.0274852298998199E-2</v>
      </c>
      <c r="F87" s="89">
        <f t="shared" si="119"/>
        <v>1.0340330964056789E-2</v>
      </c>
      <c r="G87" s="89">
        <f t="shared" si="119"/>
        <v>1.0884699247791098E-2</v>
      </c>
      <c r="H87" s="89">
        <f t="shared" si="119"/>
        <v>1.1596897707533091E-2</v>
      </c>
      <c r="I87" s="89">
        <f t="shared" si="119"/>
        <v>1.1370468746432459E-2</v>
      </c>
      <c r="J87" s="89">
        <f t="shared" si="119"/>
        <v>1.1902072626644829E-2</v>
      </c>
      <c r="K87" s="89">
        <f t="shared" si="119"/>
        <v>1.2361208066066937E-2</v>
      </c>
      <c r="L87" s="89">
        <f t="shared" si="119"/>
        <v>1.1774738829835834E-2</v>
      </c>
      <c r="M87" s="89">
        <f t="shared" si="119"/>
        <v>1.0085568988093426E-2</v>
      </c>
      <c r="N87" s="89">
        <f t="shared" si="119"/>
        <v>1.0331866787098276E-2</v>
      </c>
      <c r="O87" s="89">
        <f t="shared" si="119"/>
        <v>9.5472290371747016E-3</v>
      </c>
      <c r="P87" s="89">
        <f t="shared" si="119"/>
        <v>9.0552160010176994E-3</v>
      </c>
      <c r="Q87" s="89">
        <f t="shared" si="119"/>
        <v>7.9187918542443485E-3</v>
      </c>
      <c r="R87" s="89">
        <f t="shared" si="119"/>
        <v>8.2165139530634094E-3</v>
      </c>
      <c r="S87" s="89">
        <f t="shared" si="119"/>
        <v>8.1260459818388933E-3</v>
      </c>
      <c r="T87" s="89">
        <f t="shared" ref="T87:Y87" si="120">T59/T$23</f>
        <v>7.334875198990779E-3</v>
      </c>
      <c r="U87" s="89">
        <f t="shared" si="120"/>
        <v>8.5228713959583993E-3</v>
      </c>
      <c r="V87" s="89">
        <f t="shared" si="120"/>
        <v>1.0680907877169561E-2</v>
      </c>
      <c r="W87" s="89">
        <f t="shared" si="120"/>
        <v>1.0923883160675968E-2</v>
      </c>
      <c r="X87" s="89">
        <f t="shared" si="120"/>
        <v>1.1203190604551421E-2</v>
      </c>
      <c r="Y87" s="89">
        <f t="shared" si="120"/>
        <v>1.1374453319998071E-2</v>
      </c>
      <c r="Z87" s="89">
        <f t="shared" ref="Z87:AA87" si="121">Z59/Z$23</f>
        <v>8.6968546887724527E-3</v>
      </c>
      <c r="AA87" s="89">
        <f t="shared" si="121"/>
        <v>8.518144531223933E-3</v>
      </c>
    </row>
    <row r="88" spans="1:27" x14ac:dyDescent="0.25">
      <c r="A88" s="68" t="s">
        <v>1</v>
      </c>
      <c r="B88" s="44"/>
      <c r="C88" s="44"/>
      <c r="D88" s="89">
        <f t="shared" si="109"/>
        <v>6.7345881540321175E-3</v>
      </c>
      <c r="E88" s="89">
        <f t="shared" ref="E88:S88" si="122">E60/E$23</f>
        <v>5.6321412601916072E-3</v>
      </c>
      <c r="F88" s="89">
        <f t="shared" si="122"/>
        <v>5.0783330578360606E-3</v>
      </c>
      <c r="G88" s="89">
        <f t="shared" si="122"/>
        <v>4.0281268334544694E-3</v>
      </c>
      <c r="H88" s="89">
        <f t="shared" si="122"/>
        <v>3.058253614855773E-3</v>
      </c>
      <c r="I88" s="89">
        <f t="shared" si="122"/>
        <v>2.75509349813156E-3</v>
      </c>
      <c r="J88" s="89">
        <f t="shared" si="122"/>
        <v>2.5131304004066186E-3</v>
      </c>
      <c r="K88" s="89">
        <f t="shared" si="122"/>
        <v>2.2720387761284459E-3</v>
      </c>
      <c r="L88" s="89">
        <f t="shared" si="122"/>
        <v>1.7847896932963788E-3</v>
      </c>
      <c r="M88" s="89">
        <f t="shared" si="122"/>
        <v>1.5286701787508754E-3</v>
      </c>
      <c r="N88" s="89">
        <f t="shared" si="122"/>
        <v>1.2295679030331285E-3</v>
      </c>
      <c r="O88" s="89">
        <f t="shared" si="122"/>
        <v>1.1275362483072792E-3</v>
      </c>
      <c r="P88" s="89">
        <f t="shared" si="122"/>
        <v>8.8470501159368321E-4</v>
      </c>
      <c r="Q88" s="89">
        <f t="shared" si="122"/>
        <v>7.1082068612902027E-4</v>
      </c>
      <c r="R88" s="89">
        <f t="shared" si="122"/>
        <v>7.5704179392800273E-4</v>
      </c>
      <c r="S88" s="89">
        <f t="shared" si="122"/>
        <v>7.9542345162870911E-4</v>
      </c>
      <c r="T88" s="89">
        <f t="shared" ref="T88:Y88" si="123">T60/T$23</f>
        <v>8.1098128735770285E-4</v>
      </c>
      <c r="U88" s="89">
        <f t="shared" si="123"/>
        <v>8.511597756545756E-4</v>
      </c>
      <c r="V88" s="89">
        <f t="shared" si="123"/>
        <v>9.3037435741093123E-4</v>
      </c>
      <c r="W88" s="89">
        <f t="shared" si="123"/>
        <v>9.099181073703367E-4</v>
      </c>
      <c r="X88" s="89">
        <f t="shared" si="123"/>
        <v>7.6658683474792831E-4</v>
      </c>
      <c r="Y88" s="89">
        <f t="shared" si="123"/>
        <v>7.3694876890076193E-4</v>
      </c>
      <c r="Z88" s="89">
        <f t="shared" ref="Z88:AA88" si="124">Z60/Z$23</f>
        <v>7.3370108019237576E-4</v>
      </c>
      <c r="AA88" s="89">
        <f t="shared" si="124"/>
        <v>7.984765511971437E-4</v>
      </c>
    </row>
    <row r="89" spans="1:27" x14ac:dyDescent="0.25">
      <c r="A89" s="68" t="s">
        <v>0</v>
      </c>
      <c r="B89" s="44"/>
      <c r="C89" s="44"/>
      <c r="D89" s="89">
        <f t="shared" si="109"/>
        <v>5.566446920678131E-3</v>
      </c>
      <c r="E89" s="89">
        <f t="shared" ref="E89:S89" si="125">E61/E$23</f>
        <v>5.0137473718259743E-3</v>
      </c>
      <c r="F89" s="89">
        <f t="shared" si="125"/>
        <v>5.0783330578360606E-3</v>
      </c>
      <c r="G89" s="89">
        <f t="shared" si="125"/>
        <v>5.394187237843376E-3</v>
      </c>
      <c r="H89" s="89">
        <f t="shared" si="125"/>
        <v>5.4967011637674429E-3</v>
      </c>
      <c r="I89" s="89">
        <f t="shared" si="125"/>
        <v>5.2438105530736041E-3</v>
      </c>
      <c r="J89" s="89">
        <f t="shared" si="125"/>
        <v>5.139210481730389E-3</v>
      </c>
      <c r="K89" s="89">
        <f t="shared" si="125"/>
        <v>5.2092251359930454E-3</v>
      </c>
      <c r="L89" s="89">
        <f t="shared" si="125"/>
        <v>4.8122315962598611E-3</v>
      </c>
      <c r="M89" s="89">
        <f t="shared" si="125"/>
        <v>4.3728493559487191E-3</v>
      </c>
      <c r="N89" s="89">
        <f t="shared" si="125"/>
        <v>3.8868331342326854E-3</v>
      </c>
      <c r="O89" s="89">
        <f t="shared" si="125"/>
        <v>3.3656107110277577E-3</v>
      </c>
      <c r="P89" s="89">
        <f t="shared" si="125"/>
        <v>2.9663638624023497E-3</v>
      </c>
      <c r="Q89" s="89">
        <f t="shared" si="125"/>
        <v>1.957874521443091E-3</v>
      </c>
      <c r="R89" s="89">
        <f t="shared" si="125"/>
        <v>1.8273422612055236E-3</v>
      </c>
      <c r="S89" s="89">
        <f t="shared" si="125"/>
        <v>2.1190080751388811E-3</v>
      </c>
      <c r="T89" s="89">
        <f t="shared" ref="T89:Y89" si="126">T61/T$23</f>
        <v>2.2166821854443875E-3</v>
      </c>
      <c r="U89" s="89">
        <f t="shared" si="126"/>
        <v>2.56475296637637E-3</v>
      </c>
      <c r="V89" s="89">
        <f t="shared" si="126"/>
        <v>2.8857374136644137E-3</v>
      </c>
      <c r="W89" s="89">
        <f t="shared" si="126"/>
        <v>3.0265725282585532E-3</v>
      </c>
      <c r="X89" s="89">
        <f t="shared" si="126"/>
        <v>2.810818394075737E-3</v>
      </c>
      <c r="Y89" s="89">
        <f t="shared" si="126"/>
        <v>2.5573876920782397E-3</v>
      </c>
      <c r="Z89" s="89">
        <f t="shared" ref="Z89:AA89" si="127">Z61/Z$23</f>
        <v>2.3624406508812095E-3</v>
      </c>
      <c r="AA89" s="89">
        <f t="shared" si="127"/>
        <v>2.4765071662228196E-3</v>
      </c>
    </row>
    <row r="90" spans="1:27" x14ac:dyDescent="0.25">
      <c r="A90" s="90" t="s">
        <v>272</v>
      </c>
      <c r="B90" s="47"/>
      <c r="C90" s="47"/>
      <c r="D90" s="91">
        <f t="shared" si="109"/>
        <v>8.1668308836226593E-3</v>
      </c>
      <c r="E90" s="91">
        <f t="shared" ref="E90:S90" si="128">E62/E$23</f>
        <v>7.4492679167736959E-3</v>
      </c>
      <c r="F90" s="91">
        <f t="shared" si="128"/>
        <v>7.2914944808713071E-3</v>
      </c>
      <c r="G90" s="91">
        <f t="shared" si="128"/>
        <v>6.3574349588868366E-3</v>
      </c>
      <c r="H90" s="91">
        <f t="shared" si="128"/>
        <v>6.2959247751164186E-3</v>
      </c>
      <c r="I90" s="91">
        <f t="shared" si="128"/>
        <v>5.7156773952950317E-3</v>
      </c>
      <c r="J90" s="91">
        <f t="shared" si="128"/>
        <v>5.499237589653809E-3</v>
      </c>
      <c r="K90" s="91">
        <f t="shared" si="128"/>
        <v>5.2750813324025665E-3</v>
      </c>
      <c r="L90" s="91">
        <f t="shared" si="128"/>
        <v>5.1655346754789387E-3</v>
      </c>
      <c r="M90" s="91">
        <f t="shared" si="128"/>
        <v>4.9209781053016228E-3</v>
      </c>
      <c r="N90" s="91">
        <f t="shared" si="128"/>
        <v>4.8541709157658578E-3</v>
      </c>
      <c r="O90" s="91">
        <f t="shared" si="128"/>
        <v>3.9832059425126496E-3</v>
      </c>
      <c r="P90" s="91">
        <f t="shared" si="128"/>
        <v>3.2786126900236495E-3</v>
      </c>
      <c r="Q90" s="91">
        <f t="shared" si="128"/>
        <v>3.3296337402885685E-3</v>
      </c>
      <c r="R90" s="91">
        <f t="shared" si="128"/>
        <v>3.4066880726760125E-3</v>
      </c>
      <c r="S90" s="91">
        <f t="shared" si="128"/>
        <v>3.2326009074190739E-3</v>
      </c>
      <c r="T90" s="91">
        <f t="shared" ref="T90:Y90" si="129">T62/T$23</f>
        <v>3.5803322019643774E-3</v>
      </c>
      <c r="U90" s="91">
        <f t="shared" si="129"/>
        <v>3.5737436938079532E-3</v>
      </c>
      <c r="V90" s="91">
        <f t="shared" si="129"/>
        <v>3.6426521451173753E-3</v>
      </c>
      <c r="W90" s="91">
        <f t="shared" si="129"/>
        <v>3.5326232403789545E-3</v>
      </c>
      <c r="X90" s="91">
        <f t="shared" si="129"/>
        <v>3.5323118856031986E-3</v>
      </c>
      <c r="Y90" s="91">
        <f t="shared" si="129"/>
        <v>3.4961200524637331E-3</v>
      </c>
      <c r="Z90" s="91">
        <f t="shared" ref="Z90:AA90" si="130">Z62/Z$23</f>
        <v>2.9501697884175104E-3</v>
      </c>
      <c r="AA90" s="91">
        <f t="shared" si="130"/>
        <v>2.9794322292609316E-3</v>
      </c>
    </row>
    <row r="91" spans="1:27" x14ac:dyDescent="0.25">
      <c r="A91" s="38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</row>
    <row r="92" spans="1:27" x14ac:dyDescent="0.25">
      <c r="A92" s="58" t="s">
        <v>236</v>
      </c>
      <c r="B92" s="50"/>
      <c r="C92" s="50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  <c r="AA92" s="56"/>
    </row>
    <row r="93" spans="1:27" x14ac:dyDescent="0.25">
      <c r="A93" s="40" t="s">
        <v>139</v>
      </c>
      <c r="B93" s="41"/>
      <c r="C93" s="41"/>
      <c r="D93" s="41"/>
      <c r="E93" s="92">
        <f t="shared" ref="E93:E94" si="131">IF(D16=0,"",E16/D16-1)</f>
        <v>3.9520547435030196E-2</v>
      </c>
      <c r="F93" s="92">
        <f t="shared" ref="F93:F94" si="132">IF(E16=0,"",F16/E16-1)</f>
        <v>3.7239972657229226E-2</v>
      </c>
      <c r="G93" s="92">
        <f t="shared" ref="G93:G94" si="133">IF(F16=0,"",G16/F16-1)</f>
        <v>2.6223020127428276E-2</v>
      </c>
      <c r="H93" s="92">
        <f t="shared" ref="H93:H94" si="134">IF(G16=0,"",H16/G16-1)</f>
        <v>5.0271009296824598E-2</v>
      </c>
      <c r="I93" s="92">
        <f t="shared" ref="I93:I94" si="135">IF(H16=0,"",I16/H16-1)</f>
        <v>4.853427006522959E-2</v>
      </c>
      <c r="J93" s="92">
        <f t="shared" ref="J93:J94" si="136">IF(I16=0,"",J16/I16-1)</f>
        <v>4.7136358910608633E-2</v>
      </c>
      <c r="K93" s="92">
        <f t="shared" ref="K93:K94" si="137">IF(J16=0,"",K16/J16-1)</f>
        <v>5.0975996192531348E-2</v>
      </c>
      <c r="L93" s="92">
        <f t="shared" ref="L93:L94" si="138">IF(K16=0,"",L16/K16-1)</f>
        <v>3.6473715123572337E-2</v>
      </c>
      <c r="M93" s="92">
        <f t="shared" ref="M93:M94" si="139">IF(L16=0,"",M16/L16-1)</f>
        <v>-2.0148218040955124E-2</v>
      </c>
      <c r="N93" s="92">
        <f t="shared" ref="N93:N94" si="140">IF(M16=0,"",N16/M16-1)</f>
        <v>2.2817997639043019E-2</v>
      </c>
      <c r="O93" s="92">
        <f t="shared" ref="O93:O94" si="141">IF(N16=0,"",O16/N16-1)</f>
        <v>4.1764908273704826E-3</v>
      </c>
      <c r="P93" s="92">
        <f t="shared" ref="P93:P94" si="142">IF(O16=0,"",P16/O16-1)</f>
        <v>-3.4472415833386227E-2</v>
      </c>
      <c r="Q93" s="92">
        <f t="shared" ref="Q93:Q94" si="143">IF(P16=0,"",Q16/P16-1)</f>
        <v>-6.5885296548229721E-2</v>
      </c>
      <c r="R93" s="92">
        <f t="shared" ref="R93:R94" si="144">IF(Q16=0,"",R16/Q16-1)</f>
        <v>-1.7755400249545472E-2</v>
      </c>
      <c r="S93" s="92">
        <f t="shared" ref="S93:S94" si="145">IF(R16=0,"",S16/R16-1)</f>
        <v>3.4192230077562114E-2</v>
      </c>
      <c r="T93" s="92">
        <f t="shared" ref="T93:T94" si="146">IF(S16=0,"",T16/S16-1)</f>
        <v>6.573498006982037E-2</v>
      </c>
      <c r="U93" s="92">
        <f t="shared" ref="U93:U94" si="147">IF(T16=0,"",U16/T16-1)</f>
        <v>5.7502041559376549E-2</v>
      </c>
      <c r="V93" s="92">
        <f t="shared" ref="V93:V94" si="148">IF(U16=0,"",V16/U16-1)</f>
        <v>6.2721970026374585E-2</v>
      </c>
      <c r="W93" s="92">
        <f t="shared" ref="W93:W94" si="149">IF(V16=0,"",W16/V16-1)</f>
        <v>5.8757006942898204E-2</v>
      </c>
      <c r="X93" s="92">
        <f t="shared" ref="X93:X94" si="150">IF(W16=0,"",X16/W16-1)</f>
        <v>-3.2212033242823401E-2</v>
      </c>
      <c r="Y93" s="92">
        <f t="shared" ref="Y93:Y94" si="151">IF(X16=0,"",Y16/X16-1)</f>
        <v>0.11388810486971401</v>
      </c>
      <c r="Z93" s="92">
        <f t="shared" ref="Z93:Z94" si="152">IF(Y16=0,"",Z16/Y16-1)</f>
        <v>7.2048438018281313E-2</v>
      </c>
      <c r="AA93" s="92">
        <f t="shared" ref="AA93:AA94" si="153">IF(Z16=0,"",AA16/Z16-1)</f>
        <v>2.7635645195561276E-2</v>
      </c>
    </row>
    <row r="94" spans="1:27" x14ac:dyDescent="0.25">
      <c r="A94" s="46" t="s">
        <v>141</v>
      </c>
      <c r="B94" s="47"/>
      <c r="C94" s="47"/>
      <c r="D94" s="47"/>
      <c r="E94" s="93">
        <f t="shared" si="131"/>
        <v>5.5450126189531046E-2</v>
      </c>
      <c r="F94" s="93">
        <f t="shared" si="132"/>
        <v>3.0839450039555905E-2</v>
      </c>
      <c r="G94" s="93">
        <f t="shared" si="133"/>
        <v>4.3580684433036865E-2</v>
      </c>
      <c r="H94" s="93">
        <f t="shared" si="134"/>
        <v>7.1951288024199256E-2</v>
      </c>
      <c r="I94" s="93">
        <f t="shared" si="135"/>
        <v>3.9086507456791653E-2</v>
      </c>
      <c r="J94" s="93">
        <f t="shared" si="136"/>
        <v>3.9162436466467776E-2</v>
      </c>
      <c r="K94" s="93">
        <f t="shared" si="137"/>
        <v>9.7476939730563927E-2</v>
      </c>
      <c r="L94" s="93">
        <f t="shared" si="138"/>
        <v>8.2147933426078401E-2</v>
      </c>
      <c r="M94" s="93">
        <f t="shared" si="139"/>
        <v>-6.5264495558781443E-2</v>
      </c>
      <c r="N94" s="93">
        <f t="shared" si="140"/>
        <v>4.851003566569223E-2</v>
      </c>
      <c r="O94" s="93">
        <f t="shared" si="141"/>
        <v>-8.9128347793999696E-3</v>
      </c>
      <c r="P94" s="93">
        <f t="shared" si="142"/>
        <v>-2.7733367201933201E-2</v>
      </c>
      <c r="Q94" s="93">
        <f t="shared" si="143"/>
        <v>-7.0036185696309428E-2</v>
      </c>
      <c r="R94" s="93">
        <f t="shared" si="144"/>
        <v>-4.0140474174166219E-4</v>
      </c>
      <c r="S94" s="93">
        <f t="shared" si="145"/>
        <v>3.1283717904941222E-2</v>
      </c>
      <c r="T94" s="93">
        <f t="shared" si="146"/>
        <v>5.1381246366596356E-2</v>
      </c>
      <c r="U94" s="93">
        <f t="shared" si="147"/>
        <v>4.8323062777590131E-2</v>
      </c>
      <c r="V94" s="93">
        <f t="shared" si="148"/>
        <v>6.0124029163746817E-2</v>
      </c>
      <c r="W94" s="93">
        <f t="shared" si="149"/>
        <v>4.5037787737217672E-2</v>
      </c>
      <c r="X94" s="93">
        <f t="shared" si="150"/>
        <v>-6.1101131253001206E-2</v>
      </c>
      <c r="Y94" s="93">
        <f t="shared" si="151"/>
        <v>4.7187588179285367E-2</v>
      </c>
      <c r="Z94" s="93">
        <f t="shared" si="152"/>
        <v>9.7762108235620149E-2</v>
      </c>
      <c r="AA94" s="93">
        <f t="shared" si="153"/>
        <v>5.9150073325538566E-2</v>
      </c>
    </row>
    <row r="95" spans="1:27" x14ac:dyDescent="0.25">
      <c r="A95" s="40" t="s">
        <v>242</v>
      </c>
      <c r="B95" s="41"/>
      <c r="C95" s="41"/>
      <c r="D95" s="41"/>
      <c r="E95" s="92">
        <f t="shared" ref="E95:E96" si="154">IF(D20=0,"",E20/D20-1)</f>
        <v>2.9011323136075129E-2</v>
      </c>
      <c r="F95" s="92">
        <f t="shared" ref="F95:F96" si="155">IF(E20=0,"",F20/E20-1)</f>
        <v>2.5493566885852914E-2</v>
      </c>
      <c r="G95" s="92">
        <f t="shared" ref="G95:G96" si="156">IF(F20=0,"",G20/F20-1)</f>
        <v>1.4459961045907965E-2</v>
      </c>
      <c r="H95" s="92">
        <f t="shared" ref="H95:H96" si="157">IF(G20=0,"",H20/G20-1)</f>
        <v>3.6943814306307887E-2</v>
      </c>
      <c r="I95" s="92">
        <f t="shared" ref="I95:I96" si="158">IF(H20=0,"",I20/H20-1)</f>
        <v>3.3982001768275039E-2</v>
      </c>
      <c r="J95" s="92">
        <f t="shared" ref="J95:J96" si="159">IF(I20=0,"",J20/I20-1)</f>
        <v>3.1730775157857494E-2</v>
      </c>
      <c r="K95" s="92">
        <f t="shared" ref="K95:K96" si="160">IF(J20=0,"",K20/J20-1)</f>
        <v>3.1697185249016879E-2</v>
      </c>
      <c r="L95" s="92">
        <f t="shared" ref="L95:L96" si="161">IF(K20=0,"",L20/K20-1)</f>
        <v>1.188537943330692E-2</v>
      </c>
      <c r="M95" s="92">
        <f t="shared" ref="M95:M96" si="162">IF(L20=0,"",M20/L20-1)</f>
        <v>-4.5472910489489426E-2</v>
      </c>
      <c r="N95" s="92">
        <f t="shared" ref="N95:N96" si="163">IF(M20=0,"",N20/M20-1)</f>
        <v>-4.9144873178179616E-3</v>
      </c>
      <c r="O95" s="92">
        <f t="shared" ref="O95:O96" si="164">IF(N20=0,"",O20/N20-1)</f>
        <v>-2.047019807498629E-2</v>
      </c>
      <c r="P95" s="92">
        <f t="shared" ref="P95:P96" si="165">IF(O20=0,"",P20/O20-1)</f>
        <v>-5.9405559405276587E-2</v>
      </c>
      <c r="Q95" s="92">
        <f t="shared" ref="Q95:Q96" si="166">IF(P20=0,"",Q20/P20-1)</f>
        <v>-6.6797917565238341E-2</v>
      </c>
      <c r="R95" s="92">
        <f t="shared" ref="R95:R96" si="167">IF(Q20=0,"",R20/Q20-1)</f>
        <v>-1.4532387314566408E-2</v>
      </c>
      <c r="S95" s="92">
        <f t="shared" ref="S95:S96" si="168">IF(R20=0,"",S20/R20-1)</f>
        <v>3.3214317099766744E-2</v>
      </c>
      <c r="T95" s="92">
        <f t="shared" ref="T95:T96" si="169">IF(S20=0,"",T20/S20-1)</f>
        <v>6.2134674116060218E-2</v>
      </c>
      <c r="U95" s="92">
        <f t="shared" ref="U95:U96" si="170">IF(T20=0,"",U20/T20-1)</f>
        <v>5.0069312507608377E-2</v>
      </c>
      <c r="V95" s="92">
        <f t="shared" ref="V95:V96" si="171">IF(U20=0,"",V20/U20-1)</f>
        <v>5.2170964798130992E-2</v>
      </c>
      <c r="W95" s="92">
        <f t="shared" ref="W95:W96" si="172">IF(V20=0,"",W20/V20-1)</f>
        <v>4.4968810233541712E-2</v>
      </c>
      <c r="X95" s="92">
        <f t="shared" ref="X95:X96" si="173">IF(W20=0,"",X20/W20-1)</f>
        <v>-4.5333160526270677E-2</v>
      </c>
      <c r="Y95" s="92">
        <f t="shared" ref="Y95:Y96" si="174">IF(X20=0,"",Y20/X20-1)</f>
        <v>9.9214116706694444E-2</v>
      </c>
      <c r="Z95" s="92">
        <f t="shared" ref="Z95:Z96" si="175">IF(Y20=0,"",Z20/Y20-1)</f>
        <v>5.4420871753698696E-2</v>
      </c>
      <c r="AA95" s="92">
        <f t="shared" ref="AA95:AA96" si="176">IF(Z20=0,"",AA20/Z20-1)</f>
        <v>6.7166109844920552E-3</v>
      </c>
    </row>
    <row r="96" spans="1:27" x14ac:dyDescent="0.25">
      <c r="A96" s="46" t="s">
        <v>243</v>
      </c>
      <c r="B96" s="47"/>
      <c r="C96" s="47"/>
      <c r="D96" s="47"/>
      <c r="E96" s="93">
        <f t="shared" si="154"/>
        <v>4.4779858882304735E-2</v>
      </c>
      <c r="F96" s="93">
        <f t="shared" si="155"/>
        <v>1.9165528107790042E-2</v>
      </c>
      <c r="G96" s="93">
        <f t="shared" si="156"/>
        <v>3.1618663501373545E-2</v>
      </c>
      <c r="H96" s="93">
        <f t="shared" si="157"/>
        <v>5.8348985657118657E-2</v>
      </c>
      <c r="I96" s="93">
        <f t="shared" si="158"/>
        <v>2.466536160400401E-2</v>
      </c>
      <c r="J96" s="93">
        <f t="shared" si="159"/>
        <v>2.3874165926085045E-2</v>
      </c>
      <c r="K96" s="93">
        <f t="shared" si="160"/>
        <v>7.7345128430797105E-2</v>
      </c>
      <c r="L96" s="93">
        <f t="shared" si="161"/>
        <v>5.6476065181513047E-2</v>
      </c>
      <c r="M96" s="93">
        <f t="shared" si="162"/>
        <v>-8.9423138331641949E-2</v>
      </c>
      <c r="N96" s="93">
        <f t="shared" si="163"/>
        <v>2.0080941869594859E-2</v>
      </c>
      <c r="O96" s="93">
        <f t="shared" si="164"/>
        <v>-3.3238256913296516E-2</v>
      </c>
      <c r="P96" s="93">
        <f t="shared" si="165"/>
        <v>-5.2840535493387519E-2</v>
      </c>
      <c r="Q96" s="93">
        <f t="shared" si="166"/>
        <v>-7.0944751334827694E-2</v>
      </c>
      <c r="R96" s="93">
        <f t="shared" si="167"/>
        <v>2.8785513945635E-3</v>
      </c>
      <c r="S96" s="93">
        <f t="shared" si="168"/>
        <v>3.0308555162273487E-2</v>
      </c>
      <c r="T96" s="93">
        <f t="shared" si="169"/>
        <v>4.7829430735361722E-2</v>
      </c>
      <c r="U96" s="93">
        <f t="shared" si="170"/>
        <v>4.0954848837448932E-2</v>
      </c>
      <c r="V96" s="93">
        <f t="shared" si="171"/>
        <v>4.9598817029461229E-2</v>
      </c>
      <c r="W96" s="93">
        <f t="shared" si="172"/>
        <v>3.1428256474102634E-2</v>
      </c>
      <c r="X96" s="93">
        <f t="shared" si="173"/>
        <v>-7.3830584383518527E-2</v>
      </c>
      <c r="Y96" s="93">
        <f t="shared" si="174"/>
        <v>3.3392290243860145E-2</v>
      </c>
      <c r="Z96" s="93">
        <f t="shared" si="175"/>
        <v>7.9711735118672022E-2</v>
      </c>
      <c r="AA96" s="93">
        <f t="shared" si="176"/>
        <v>3.7589516602793749E-2</v>
      </c>
    </row>
    <row r="97" spans="1:27" x14ac:dyDescent="0.25">
      <c r="A97" s="94" t="s">
        <v>142</v>
      </c>
      <c r="B97" s="44"/>
      <c r="C97" s="44"/>
      <c r="D97" s="89"/>
      <c r="E97" s="89">
        <f t="shared" ref="E97:E106" si="177">IF(D23=0,"",E23/D23-1)</f>
        <v>3.9522468926153964E-2</v>
      </c>
      <c r="F97" s="89">
        <f t="shared" ref="F97:F106" si="178">IF(E23=0,"",F23/E23-1)</f>
        <v>3.7237264251898106E-2</v>
      </c>
      <c r="G97" s="89">
        <f t="shared" ref="G97:G106" si="179">IF(F23=0,"",G23/F23-1)</f>
        <v>2.6231786901832921E-2</v>
      </c>
      <c r="H97" s="89">
        <f t="shared" ref="H97:H106" si="180">IF(G23=0,"",H23/G23-1)</f>
        <v>5.0262331414121508E-2</v>
      </c>
      <c r="I97" s="89">
        <f t="shared" ref="I97:I106" si="181">IF(H23=0,"",I23/H23-1)</f>
        <v>4.8521805293631814E-2</v>
      </c>
      <c r="J97" s="89">
        <f t="shared" ref="J97:J106" si="182">IF(I23=0,"",J23/I23-1)</f>
        <v>4.7136434653188841E-2</v>
      </c>
      <c r="K97" s="89">
        <f t="shared" ref="K97:K106" si="183">IF(J23=0,"",K23/J23-1)</f>
        <v>5.0992154398385781E-2</v>
      </c>
      <c r="L97" s="89">
        <f t="shared" ref="L97:L106" si="184">IF(K23=0,"",L23/K23-1)</f>
        <v>3.6470801377735729E-2</v>
      </c>
      <c r="M97" s="89">
        <f t="shared" ref="M97:M106" si="185">IF(L23=0,"",M23/L23-1)</f>
        <v>-2.0155986600976283E-2</v>
      </c>
      <c r="N97" s="89">
        <f t="shared" ref="N97:N106" si="186">IF(M23=0,"",N23/M23-1)</f>
        <v>2.3197285103046639E-2</v>
      </c>
      <c r="O97" s="89">
        <f t="shared" ref="O97:O106" si="187">IF(N23=0,"",O23/N23-1)</f>
        <v>4.1665480998505089E-3</v>
      </c>
      <c r="P97" s="89">
        <f t="shared" ref="P97:P106" si="188">IF(O23=0,"",P23/O23-1)</f>
        <v>-3.4467038511399428E-2</v>
      </c>
      <c r="Q97" s="89">
        <f t="shared" ref="Q97:Q106" si="189">IF(P23=0,"",Q23/P23-1)</f>
        <v>-6.587730511927492E-2</v>
      </c>
      <c r="R97" s="89">
        <f t="shared" ref="R97:R106" si="190">IF(Q23=0,"",R23/Q23-1)</f>
        <v>-1.7765492969464725E-2</v>
      </c>
      <c r="S97" s="89">
        <f t="shared" ref="S97:S106" si="191">IF(R23=0,"",S23/R23-1)</f>
        <v>3.2604348813532802E-2</v>
      </c>
      <c r="T97" s="89">
        <f t="shared" ref="T97:T106" si="192">IF(S23=0,"",T23/S23-1)</f>
        <v>6.5739701594647704E-2</v>
      </c>
      <c r="U97" s="89">
        <f t="shared" ref="U97:U106" si="193">IF(T23=0,"",U23/T23-1)</f>
        <v>5.7695870436747176E-2</v>
      </c>
      <c r="V97" s="89">
        <f t="shared" ref="V97:V106" si="194">IF(U23=0,"",V23/U23-1)</f>
        <v>6.384175430265171E-2</v>
      </c>
      <c r="W97" s="89">
        <f t="shared" ref="W97:W106" si="195">IF(V23=0,"",W23/V23-1)</f>
        <v>6.070565547421003E-2</v>
      </c>
      <c r="X97" s="89">
        <f t="shared" ref="X97:X106" si="196">IF(W23=0,"",X23/W23-1)</f>
        <v>-3.137436211689737E-2</v>
      </c>
      <c r="Y97" s="89">
        <f t="shared" ref="Y97:Y106" si="197">IF(X23=0,"",Y23/X23-1)</f>
        <v>0.11388777278877327</v>
      </c>
      <c r="Z97" s="89">
        <f t="shared" ref="Z97:Z108" si="198">IF(Y23=0,"",Z23/Y23-1)</f>
        <v>7.2046904366505737E-2</v>
      </c>
      <c r="AA97" s="89">
        <f t="shared" ref="AA97:AA108" si="199">IF(Z23=0,"",AA23/Z23-1)</f>
        <v>2.7636622134071587E-2</v>
      </c>
    </row>
    <row r="98" spans="1:27" x14ac:dyDescent="0.25">
      <c r="A98" s="64" t="s">
        <v>33</v>
      </c>
      <c r="B98" s="65"/>
      <c r="C98" s="65"/>
      <c r="D98" s="83"/>
      <c r="E98" s="83">
        <f t="shared" si="177"/>
        <v>0.10677611569247714</v>
      </c>
      <c r="F98" s="83">
        <f t="shared" si="178"/>
        <v>2.2881270024572187E-2</v>
      </c>
      <c r="G98" s="83">
        <f t="shared" si="179"/>
        <v>-7.7226227791795887E-2</v>
      </c>
      <c r="H98" s="83">
        <f t="shared" si="180"/>
        <v>-2.5953501376287158E-2</v>
      </c>
      <c r="I98" s="83">
        <f t="shared" si="181"/>
        <v>-6.2247158709733741E-2</v>
      </c>
      <c r="J98" s="83">
        <f t="shared" si="182"/>
        <v>-0.12705848537846198</v>
      </c>
      <c r="K98" s="83">
        <f t="shared" si="183"/>
        <v>-5.7145505008067587E-2</v>
      </c>
      <c r="L98" s="83">
        <f t="shared" si="184"/>
        <v>7.152867639776761E-2</v>
      </c>
      <c r="M98" s="83">
        <f t="shared" si="185"/>
        <v>-8.5580356901225008E-2</v>
      </c>
      <c r="N98" s="83">
        <f t="shared" si="186"/>
        <v>5.5459416680664564E-2</v>
      </c>
      <c r="O98" s="83">
        <f t="shared" si="187"/>
        <v>3.8792137022587436E-2</v>
      </c>
      <c r="P98" s="83">
        <f t="shared" si="188"/>
        <v>-9.7443515539643144E-2</v>
      </c>
      <c r="Q98" s="83">
        <f t="shared" si="189"/>
        <v>-5.1572887497133735E-2</v>
      </c>
      <c r="R98" s="83">
        <f t="shared" si="190"/>
        <v>-9.7572306025587308E-2</v>
      </c>
      <c r="S98" s="83">
        <f t="shared" si="191"/>
        <v>4.6489203100775311E-2</v>
      </c>
      <c r="T98" s="83">
        <f t="shared" si="192"/>
        <v>0.22340428341813423</v>
      </c>
      <c r="U98" s="83">
        <f t="shared" si="193"/>
        <v>-8.3741680565951659E-2</v>
      </c>
      <c r="V98" s="83">
        <f t="shared" si="194"/>
        <v>-1.2182244537714659E-2</v>
      </c>
      <c r="W98" s="83">
        <f t="shared" si="195"/>
        <v>7.205460383038842E-2</v>
      </c>
      <c r="X98" s="83">
        <f t="shared" si="196"/>
        <v>-4.3162061509677274E-3</v>
      </c>
      <c r="Y98" s="83">
        <f t="shared" si="197"/>
        <v>-7.8753147877875795E-2</v>
      </c>
      <c r="Z98" s="83">
        <f t="shared" si="198"/>
        <v>-0.15951169991424297</v>
      </c>
      <c r="AA98" s="83">
        <f t="shared" si="199"/>
        <v>3.3932906106966865E-2</v>
      </c>
    </row>
    <row r="99" spans="1:27" x14ac:dyDescent="0.25">
      <c r="A99" s="64" t="s">
        <v>56</v>
      </c>
      <c r="B99" s="65"/>
      <c r="C99" s="65"/>
      <c r="D99" s="83"/>
      <c r="E99" s="83">
        <f t="shared" si="177"/>
        <v>-0.10178859084824721</v>
      </c>
      <c r="F99" s="83">
        <f t="shared" si="178"/>
        <v>0.15613561749127403</v>
      </c>
      <c r="G99" s="83">
        <f t="shared" si="179"/>
        <v>0.12329454732633516</v>
      </c>
      <c r="H99" s="83">
        <f t="shared" si="180"/>
        <v>0.16722052382950281</v>
      </c>
      <c r="I99" s="83">
        <f t="shared" si="181"/>
        <v>5.0900258096975071E-2</v>
      </c>
      <c r="J99" s="83">
        <f t="shared" si="182"/>
        <v>1.0427992878279113E-2</v>
      </c>
      <c r="K99" s="83">
        <f t="shared" si="183"/>
        <v>6.8129502071863746E-2</v>
      </c>
      <c r="L99" s="83">
        <f t="shared" si="184"/>
        <v>0.1933232074948914</v>
      </c>
      <c r="M99" s="83">
        <f t="shared" si="185"/>
        <v>-0.26252718007755094</v>
      </c>
      <c r="N99" s="83">
        <f t="shared" si="186"/>
        <v>-1.6637214243012011E-2</v>
      </c>
      <c r="O99" s="83">
        <f t="shared" si="187"/>
        <v>-0.25774730130045032</v>
      </c>
      <c r="P99" s="83">
        <f t="shared" si="188"/>
        <v>-0.50583962804095584</v>
      </c>
      <c r="Q99" s="83">
        <f t="shared" si="189"/>
        <v>5.6822893487759707E-2</v>
      </c>
      <c r="R99" s="83">
        <f t="shared" si="190"/>
        <v>0.11374034934382138</v>
      </c>
      <c r="S99" s="83">
        <f t="shared" si="191"/>
        <v>0.24431798238149938</v>
      </c>
      <c r="T99" s="83">
        <f t="shared" si="192"/>
        <v>-0.27593541116400555</v>
      </c>
      <c r="U99" s="83">
        <f t="shared" si="193"/>
        <v>-4.5327425975677516E-2</v>
      </c>
      <c r="V99" s="83">
        <f t="shared" si="194"/>
        <v>0.3542806484693668</v>
      </c>
      <c r="W99" s="83">
        <f t="shared" si="195"/>
        <v>9.130282081342167E-2</v>
      </c>
      <c r="X99" s="83">
        <f t="shared" si="196"/>
        <v>-6.1714214675478885E-2</v>
      </c>
      <c r="Y99" s="83">
        <f t="shared" si="197"/>
        <v>0.16305850624982843</v>
      </c>
      <c r="Z99" s="83">
        <f t="shared" si="198"/>
        <v>0.32951457583176946</v>
      </c>
      <c r="AA99" s="83">
        <f t="shared" si="199"/>
        <v>0.1827753344556633</v>
      </c>
    </row>
    <row r="100" spans="1:27" x14ac:dyDescent="0.25">
      <c r="A100" s="64" t="s">
        <v>146</v>
      </c>
      <c r="B100" s="65"/>
      <c r="C100" s="65"/>
      <c r="D100" s="83"/>
      <c r="E100" s="83">
        <f t="shared" si="177"/>
        <v>3.9424863997193915E-2</v>
      </c>
      <c r="F100" s="83">
        <f t="shared" si="178"/>
        <v>2.8839042533784776E-2</v>
      </c>
      <c r="G100" s="83">
        <f t="shared" si="179"/>
        <v>2.6628053694414122E-2</v>
      </c>
      <c r="H100" s="83">
        <f t="shared" si="180"/>
        <v>5.1153962907734218E-2</v>
      </c>
      <c r="I100" s="83">
        <f t="shared" si="181"/>
        <v>5.429762631248769E-2</v>
      </c>
      <c r="J100" s="83">
        <f t="shared" si="182"/>
        <v>5.5189673368632119E-2</v>
      </c>
      <c r="K100" s="83">
        <f t="shared" si="183"/>
        <v>4.6291361929811758E-2</v>
      </c>
      <c r="L100" s="83">
        <f t="shared" si="184"/>
        <v>3.8226281355835612E-2</v>
      </c>
      <c r="M100" s="83">
        <f t="shared" si="185"/>
        <v>1.5119389873553324E-2</v>
      </c>
      <c r="N100" s="83">
        <f t="shared" si="186"/>
        <v>4.403402504715892E-2</v>
      </c>
      <c r="O100" s="83">
        <f t="shared" si="187"/>
        <v>2.9241339725856186E-2</v>
      </c>
      <c r="P100" s="83">
        <f t="shared" si="188"/>
        <v>-1.8501324827889243E-2</v>
      </c>
      <c r="Q100" s="83">
        <f t="shared" si="189"/>
        <v>-5.233997172296323E-2</v>
      </c>
      <c r="R100" s="83">
        <f t="shared" si="190"/>
        <v>-6.7631899820196351E-3</v>
      </c>
      <c r="S100" s="83">
        <f t="shared" si="191"/>
        <v>2.9926173048783866E-2</v>
      </c>
      <c r="T100" s="83">
        <f t="shared" si="192"/>
        <v>5.3362743271949231E-2</v>
      </c>
      <c r="U100" s="83">
        <f t="shared" si="193"/>
        <v>5.5875895211954019E-2</v>
      </c>
      <c r="V100" s="83">
        <f t="shared" si="194"/>
        <v>5.4742081504228546E-2</v>
      </c>
      <c r="W100" s="83">
        <f t="shared" si="195"/>
        <v>5.1232686163448449E-2</v>
      </c>
      <c r="X100" s="83">
        <f t="shared" si="196"/>
        <v>-3.1067351398565868E-2</v>
      </c>
      <c r="Y100" s="83">
        <f t="shared" si="197"/>
        <v>0.13722275809639517</v>
      </c>
      <c r="Z100" s="83">
        <f t="shared" si="198"/>
        <v>9.3292958950547122E-2</v>
      </c>
      <c r="AA100" s="83">
        <f t="shared" si="199"/>
        <v>2.5096592181725219E-2</v>
      </c>
    </row>
    <row r="101" spans="1:27" x14ac:dyDescent="0.25">
      <c r="A101" s="68" t="s">
        <v>148</v>
      </c>
      <c r="B101" s="69"/>
      <c r="C101" s="69"/>
      <c r="D101" s="84"/>
      <c r="E101" s="84">
        <f t="shared" si="177"/>
        <v>8.7644883455961775E-3</v>
      </c>
      <c r="F101" s="84">
        <f t="shared" si="178"/>
        <v>3.0872065418301675E-2</v>
      </c>
      <c r="G101" s="84">
        <f t="shared" si="179"/>
        <v>5.8949852282347948E-2</v>
      </c>
      <c r="H101" s="84">
        <f t="shared" si="180"/>
        <v>1.9374879547350954E-2</v>
      </c>
      <c r="I101" s="84">
        <f t="shared" si="181"/>
        <v>3.2276542103733874E-2</v>
      </c>
      <c r="J101" s="84">
        <f t="shared" si="182"/>
        <v>3.9944846574610837E-2</v>
      </c>
      <c r="K101" s="84">
        <f t="shared" si="183"/>
        <v>1.6620180152904451E-2</v>
      </c>
      <c r="L101" s="84">
        <f t="shared" si="184"/>
        <v>3.6068103484686809E-2</v>
      </c>
      <c r="M101" s="84">
        <f t="shared" si="185"/>
        <v>2.7424141757626419E-2</v>
      </c>
      <c r="N101" s="84">
        <f t="shared" si="186"/>
        <v>3.5141558599288025E-2</v>
      </c>
      <c r="O101" s="84">
        <f t="shared" si="187"/>
        <v>3.8175150847939765E-2</v>
      </c>
      <c r="P101" s="84">
        <f t="shared" si="188"/>
        <v>-3.2785180461813002E-2</v>
      </c>
      <c r="Q101" s="84">
        <f t="shared" si="189"/>
        <v>-6.0577219382199399E-2</v>
      </c>
      <c r="R101" s="84">
        <f t="shared" si="190"/>
        <v>-2.8044120719139087E-2</v>
      </c>
      <c r="S101" s="84">
        <f t="shared" si="191"/>
        <v>9.4091065669634766E-3</v>
      </c>
      <c r="T101" s="84">
        <f t="shared" si="192"/>
        <v>3.5153513874267794E-2</v>
      </c>
      <c r="U101" s="84">
        <f t="shared" si="193"/>
        <v>4.5886453814863337E-2</v>
      </c>
      <c r="V101" s="84">
        <f t="shared" si="194"/>
        <v>6.9965896625974855E-2</v>
      </c>
      <c r="W101" s="84">
        <f t="shared" si="195"/>
        <v>4.6643111854496544E-2</v>
      </c>
      <c r="X101" s="84">
        <f t="shared" si="196"/>
        <v>-0.16182210348929682</v>
      </c>
      <c r="Y101" s="84">
        <f t="shared" si="197"/>
        <v>0.12822158168879927</v>
      </c>
      <c r="Z101" s="84">
        <f t="shared" si="198"/>
        <v>9.8263594522213227E-2</v>
      </c>
      <c r="AA101" s="84">
        <f t="shared" si="199"/>
        <v>4.4152054848199729E-2</v>
      </c>
    </row>
    <row r="102" spans="1:27" x14ac:dyDescent="0.25">
      <c r="A102" s="68" t="s">
        <v>150</v>
      </c>
      <c r="B102" s="71"/>
      <c r="C102" s="71"/>
      <c r="D102" s="84"/>
      <c r="E102" s="84">
        <f t="shared" si="177"/>
        <v>8.6210813998914837E-2</v>
      </c>
      <c r="F102" s="84">
        <f t="shared" si="178"/>
        <v>3.1450963391853382E-2</v>
      </c>
      <c r="G102" s="84">
        <f t="shared" si="179"/>
        <v>1.1766133197376183E-2</v>
      </c>
      <c r="H102" s="84">
        <f t="shared" si="180"/>
        <v>7.3252800913873317E-2</v>
      </c>
      <c r="I102" s="84">
        <f t="shared" si="181"/>
        <v>8.0544050128096512E-2</v>
      </c>
      <c r="J102" s="84">
        <f t="shared" si="182"/>
        <v>7.0787240113432182E-2</v>
      </c>
      <c r="K102" s="84">
        <f t="shared" si="183"/>
        <v>7.6771504036404981E-2</v>
      </c>
      <c r="L102" s="84">
        <f t="shared" si="184"/>
        <v>4.7731420701398575E-2</v>
      </c>
      <c r="M102" s="84">
        <f t="shared" si="185"/>
        <v>3.0033562759709032E-2</v>
      </c>
      <c r="N102" s="84">
        <f t="shared" si="186"/>
        <v>6.4428695523526702E-2</v>
      </c>
      <c r="O102" s="84">
        <f t="shared" si="187"/>
        <v>4.2969733804374188E-2</v>
      </c>
      <c r="P102" s="84">
        <f t="shared" si="188"/>
        <v>-1.8763212299566234E-4</v>
      </c>
      <c r="Q102" s="84">
        <f t="shared" si="189"/>
        <v>-2.5411787768415905E-2</v>
      </c>
      <c r="R102" s="84">
        <f t="shared" si="190"/>
        <v>3.1119033289319642E-3</v>
      </c>
      <c r="S102" s="84">
        <f t="shared" si="191"/>
        <v>4.9668180954128172E-2</v>
      </c>
      <c r="T102" s="84">
        <f t="shared" si="192"/>
        <v>5.9972584561395648E-2</v>
      </c>
      <c r="U102" s="84">
        <f t="shared" si="193"/>
        <v>4.3819884994377389E-2</v>
      </c>
      <c r="V102" s="84">
        <f t="shared" si="194"/>
        <v>4.036459421506855E-2</v>
      </c>
      <c r="W102" s="84">
        <f t="shared" si="195"/>
        <v>6.2431378021071682E-2</v>
      </c>
      <c r="X102" s="84">
        <f t="shared" si="196"/>
        <v>9.0340269845979426E-2</v>
      </c>
      <c r="Y102" s="84">
        <f t="shared" si="197"/>
        <v>9.5842344211436892E-2</v>
      </c>
      <c r="Z102" s="84">
        <f t="shared" si="198"/>
        <v>8.2765574075005288E-2</v>
      </c>
      <c r="AA102" s="84">
        <f t="shared" si="199"/>
        <v>4.5047679973588384E-2</v>
      </c>
    </row>
    <row r="103" spans="1:27" x14ac:dyDescent="0.25">
      <c r="A103" s="68" t="s">
        <v>152</v>
      </c>
      <c r="B103" s="71"/>
      <c r="C103" s="71"/>
      <c r="D103" s="84"/>
      <c r="E103" s="84">
        <f t="shared" si="177"/>
        <v>2.8103713137229924E-2</v>
      </c>
      <c r="F103" s="84">
        <f t="shared" si="178"/>
        <v>1.7428126298981272E-2</v>
      </c>
      <c r="G103" s="84">
        <f t="shared" si="179"/>
        <v>-3.0820613933476571E-2</v>
      </c>
      <c r="H103" s="84">
        <f t="shared" si="180"/>
        <v>9.6943149243150728E-2</v>
      </c>
      <c r="I103" s="84">
        <f t="shared" si="181"/>
        <v>5.6987092631534786E-2</v>
      </c>
      <c r="J103" s="84">
        <f t="shared" si="182"/>
        <v>6.112979436646393E-2</v>
      </c>
      <c r="K103" s="84">
        <f t="shared" si="183"/>
        <v>5.526713756042767E-2</v>
      </c>
      <c r="L103" s="84">
        <f t="shared" si="184"/>
        <v>2.0989661919161406E-2</v>
      </c>
      <c r="M103" s="84">
        <f t="shared" si="185"/>
        <v>-5.4600188931227644E-2</v>
      </c>
      <c r="N103" s="84">
        <f t="shared" si="186"/>
        <v>1.4855510797950666E-2</v>
      </c>
      <c r="O103" s="84">
        <f t="shared" si="187"/>
        <v>-3.5984392031434775E-2</v>
      </c>
      <c r="P103" s="84">
        <f t="shared" si="188"/>
        <v>-2.9012230681707107E-2</v>
      </c>
      <c r="Q103" s="84">
        <f t="shared" si="189"/>
        <v>-0.1109994386869213</v>
      </c>
      <c r="R103" s="84">
        <f t="shared" si="190"/>
        <v>3.0493112033656233E-2</v>
      </c>
      <c r="S103" s="84">
        <f t="shared" si="191"/>
        <v>2.8464424505257213E-2</v>
      </c>
      <c r="T103" s="84">
        <f t="shared" si="192"/>
        <v>8.7206452375716337E-2</v>
      </c>
      <c r="U103" s="84">
        <f t="shared" si="193"/>
        <v>0.12570507062511505</v>
      </c>
      <c r="V103" s="84">
        <f t="shared" si="194"/>
        <v>5.7523002710583082E-2</v>
      </c>
      <c r="W103" s="84">
        <f t="shared" si="195"/>
        <v>2.982372753425655E-2</v>
      </c>
      <c r="X103" s="84">
        <f t="shared" si="196"/>
        <v>-4.397123690429261E-2</v>
      </c>
      <c r="Y103" s="84">
        <f t="shared" si="197"/>
        <v>0.30800661975834354</v>
      </c>
      <c r="Z103" s="84">
        <f t="shared" si="198"/>
        <v>0.11433363218307924</v>
      </c>
      <c r="AA103" s="84">
        <f t="shared" si="199"/>
        <v>-7.3284627455635687E-2</v>
      </c>
    </row>
    <row r="104" spans="1:27" x14ac:dyDescent="0.25">
      <c r="A104" s="64" t="s">
        <v>154</v>
      </c>
      <c r="B104" s="65"/>
      <c r="C104" s="65"/>
      <c r="D104" s="83"/>
      <c r="E104" s="83">
        <f t="shared" si="177"/>
        <v>0.14462563225015179</v>
      </c>
      <c r="F104" s="83">
        <f t="shared" si="178"/>
        <v>4.5886198839909742E-2</v>
      </c>
      <c r="G104" s="83">
        <f t="shared" si="179"/>
        <v>8.4343589474924707E-2</v>
      </c>
      <c r="H104" s="83">
        <f t="shared" si="180"/>
        <v>-6.0914187430608169E-2</v>
      </c>
      <c r="I104" s="83">
        <f t="shared" si="181"/>
        <v>-9.6887223668393418E-2</v>
      </c>
      <c r="J104" s="83">
        <f t="shared" si="182"/>
        <v>-5.5883914709173865E-3</v>
      </c>
      <c r="K104" s="83">
        <f t="shared" si="183"/>
        <v>0.14906374802645339</v>
      </c>
      <c r="L104" s="83">
        <f t="shared" si="184"/>
        <v>-0.14489045543124923</v>
      </c>
      <c r="M104" s="83">
        <f t="shared" si="185"/>
        <v>0.27452091984476423</v>
      </c>
      <c r="N104" s="83">
        <f t="shared" si="186"/>
        <v>6.069797107015229E-2</v>
      </c>
      <c r="O104" s="83">
        <f t="shared" si="187"/>
        <v>-0.12355205308520534</v>
      </c>
      <c r="P104" s="83">
        <f t="shared" si="188"/>
        <v>0.26410908717956083</v>
      </c>
      <c r="Q104" s="83">
        <f t="shared" si="189"/>
        <v>2.7055044748285573E-2</v>
      </c>
      <c r="R104" s="83">
        <f t="shared" si="190"/>
        <v>-0.23364063684253689</v>
      </c>
      <c r="S104" s="83">
        <f t="shared" si="191"/>
        <v>0.22005647173612264</v>
      </c>
      <c r="T104" s="83">
        <f t="shared" si="192"/>
        <v>2.2868410955398266E-2</v>
      </c>
      <c r="U104" s="83">
        <f t="shared" si="193"/>
        <v>-0.19604226218603649</v>
      </c>
      <c r="V104" s="83">
        <f t="shared" si="194"/>
        <v>-2.1248177230540177E-2</v>
      </c>
      <c r="W104" s="83">
        <f t="shared" si="195"/>
        <v>0.14823272205639326</v>
      </c>
      <c r="X104" s="83">
        <f t="shared" si="196"/>
        <v>-0.15225672738322904</v>
      </c>
      <c r="Y104" s="83">
        <f t="shared" si="197"/>
        <v>-2.4023544488536164E-3</v>
      </c>
      <c r="Z104" s="83">
        <f t="shared" si="198"/>
        <v>0.10812538621524626</v>
      </c>
      <c r="AA104" s="83">
        <f t="shared" si="199"/>
        <v>6.9397364393316563E-2</v>
      </c>
    </row>
    <row r="105" spans="1:27" x14ac:dyDescent="0.25">
      <c r="A105" s="64" t="s">
        <v>37</v>
      </c>
      <c r="B105" s="65"/>
      <c r="C105" s="65"/>
      <c r="D105" s="83"/>
      <c r="E105" s="83">
        <f t="shared" si="177"/>
        <v>4.6590389110272357E-2</v>
      </c>
      <c r="F105" s="83">
        <f t="shared" si="178"/>
        <v>0.11154247545273543</v>
      </c>
      <c r="G105" s="83">
        <f t="shared" si="179"/>
        <v>9.3304604252230972E-2</v>
      </c>
      <c r="H105" s="83">
        <f t="shared" si="180"/>
        <v>9.0986469142520621E-2</v>
      </c>
      <c r="I105" s="83">
        <f t="shared" si="181"/>
        <v>0.10317019561375385</v>
      </c>
      <c r="J105" s="83">
        <f t="shared" si="182"/>
        <v>0.1228783797432158</v>
      </c>
      <c r="K105" s="83">
        <f t="shared" si="183"/>
        <v>0.13416666920869136</v>
      </c>
      <c r="L105" s="83">
        <f t="shared" si="184"/>
        <v>6.1894619997793443E-2</v>
      </c>
      <c r="M105" s="83">
        <f t="shared" si="185"/>
        <v>-0.22971792071919894</v>
      </c>
      <c r="N105" s="83">
        <f t="shared" si="186"/>
        <v>-0.12079615246897868</v>
      </c>
      <c r="O105" s="83">
        <f t="shared" si="187"/>
        <v>-0.15376030025444454</v>
      </c>
      <c r="P105" s="83">
        <f t="shared" si="188"/>
        <v>-0.1767854545909382</v>
      </c>
      <c r="Q105" s="83">
        <f t="shared" si="189"/>
        <v>-0.23541829911078349</v>
      </c>
      <c r="R105" s="83">
        <f t="shared" si="190"/>
        <v>-0.14088804085363693</v>
      </c>
      <c r="S105" s="83">
        <f t="shared" si="191"/>
        <v>-2.182119375573921E-2</v>
      </c>
      <c r="T105" s="83">
        <f t="shared" si="192"/>
        <v>0.20325898321268587</v>
      </c>
      <c r="U105" s="83">
        <f t="shared" si="193"/>
        <v>0.20594656104960474</v>
      </c>
      <c r="V105" s="83">
        <f t="shared" si="194"/>
        <v>0.17678568751770385</v>
      </c>
      <c r="W105" s="83">
        <f t="shared" si="195"/>
        <v>0.17069936544382935</v>
      </c>
      <c r="X105" s="83">
        <f t="shared" si="196"/>
        <v>-6.0402741812189076E-2</v>
      </c>
      <c r="Y105" s="83">
        <f t="shared" si="197"/>
        <v>5.2373321503784709E-4</v>
      </c>
      <c r="Z105" s="83">
        <f t="shared" si="198"/>
        <v>-4.5047938662718168E-2</v>
      </c>
      <c r="AA105" s="83">
        <f t="shared" si="199"/>
        <v>4.9831961198284702E-2</v>
      </c>
    </row>
    <row r="106" spans="1:27" x14ac:dyDescent="0.25">
      <c r="A106" s="64" t="s">
        <v>58</v>
      </c>
      <c r="B106" s="65"/>
      <c r="C106" s="65"/>
      <c r="D106" s="83"/>
      <c r="E106" s="83">
        <f t="shared" si="177"/>
        <v>-9.5418188557834238E-3</v>
      </c>
      <c r="F106" s="83">
        <f t="shared" si="178"/>
        <v>4.3248716258975417E-2</v>
      </c>
      <c r="G106" s="83">
        <f t="shared" si="179"/>
        <v>-1.0920907268955782E-2</v>
      </c>
      <c r="H106" s="83">
        <f t="shared" si="180"/>
        <v>4.8393153409616474E-2</v>
      </c>
      <c r="I106" s="83">
        <f t="shared" si="181"/>
        <v>2.0475846890573024E-3</v>
      </c>
      <c r="J106" s="83">
        <f t="shared" si="182"/>
        <v>-5.3849505263841912E-2</v>
      </c>
      <c r="K106" s="83">
        <f t="shared" si="183"/>
        <v>-6.6207503677639945E-3</v>
      </c>
      <c r="L106" s="83">
        <f t="shared" si="184"/>
        <v>-1.3882212664052651E-2</v>
      </c>
      <c r="M106" s="83">
        <f t="shared" si="185"/>
        <v>-5.815366378814002E-2</v>
      </c>
      <c r="N106" s="83">
        <f t="shared" si="186"/>
        <v>-4.3264544824566653E-2</v>
      </c>
      <c r="O106" s="83">
        <f t="shared" si="187"/>
        <v>-9.5784253872905234E-2</v>
      </c>
      <c r="P106" s="83">
        <f t="shared" si="188"/>
        <v>-0.13059349815593091</v>
      </c>
      <c r="Q106" s="83">
        <f t="shared" si="189"/>
        <v>-0.14262816557452795</v>
      </c>
      <c r="R106" s="83">
        <f t="shared" si="190"/>
        <v>3.4646426183003287E-2</v>
      </c>
      <c r="S106" s="83">
        <f t="shared" si="191"/>
        <v>6.296578441520051E-2</v>
      </c>
      <c r="T106" s="83">
        <f t="shared" si="192"/>
        <v>0.13615681900665355</v>
      </c>
      <c r="U106" s="83">
        <f t="shared" si="193"/>
        <v>0.11149874967882689</v>
      </c>
      <c r="V106" s="83">
        <f t="shared" si="194"/>
        <v>0.14968492202296169</v>
      </c>
      <c r="W106" s="83">
        <f t="shared" si="195"/>
        <v>6.9637791049096398E-2</v>
      </c>
      <c r="X106" s="83">
        <f t="shared" si="196"/>
        <v>1.5588402035054294E-2</v>
      </c>
      <c r="Y106" s="83">
        <f t="shared" si="197"/>
        <v>-1.7393829209580436E-2</v>
      </c>
      <c r="Z106" s="83">
        <f t="shared" si="198"/>
        <v>-9.7242930912421421E-2</v>
      </c>
      <c r="AA106" s="83">
        <f t="shared" si="199"/>
        <v>3.6496176138009595E-2</v>
      </c>
    </row>
    <row r="107" spans="1:27" x14ac:dyDescent="0.25">
      <c r="A107" s="85" t="s">
        <v>158</v>
      </c>
      <c r="B107" s="86"/>
      <c r="C107" s="86"/>
      <c r="D107" s="87"/>
      <c r="E107" s="87" t="str">
        <f t="shared" ref="E107:E108" si="200">IF(D33=0,"",E33/D33-1)</f>
        <v/>
      </c>
      <c r="F107" s="87" t="str">
        <f t="shared" ref="F107:F108" si="201">IF(E33=0,"",F33/E33-1)</f>
        <v/>
      </c>
      <c r="G107" s="87" t="str">
        <f t="shared" ref="G107:G108" si="202">IF(F33=0,"",G33/F33-1)</f>
        <v/>
      </c>
      <c r="H107" s="87" t="str">
        <f t="shared" ref="H107:H108" si="203">IF(G33=0,"",H33/G33-1)</f>
        <v/>
      </c>
      <c r="I107" s="87" t="str">
        <f t="shared" ref="I107:I108" si="204">IF(H33=0,"",I33/H33-1)</f>
        <v/>
      </c>
      <c r="J107" s="87" t="str">
        <f t="shared" ref="J107:J108" si="205">IF(I33=0,"",J33/I33-1)</f>
        <v/>
      </c>
      <c r="K107" s="87" t="str">
        <f t="shared" ref="K107:K108" si="206">IF(J33=0,"",K33/J33-1)</f>
        <v/>
      </c>
      <c r="L107" s="87" t="str">
        <f t="shared" ref="L107:L108" si="207">IF(K33=0,"",L33/K33-1)</f>
        <v/>
      </c>
      <c r="M107" s="87" t="str">
        <f t="shared" ref="M107:M108" si="208">IF(L33=0,"",M33/L33-1)</f>
        <v/>
      </c>
      <c r="N107" s="87" t="str">
        <f t="shared" ref="N107:N108" si="209">IF(M33=0,"",N33/M33-1)</f>
        <v/>
      </c>
      <c r="O107" s="87" t="str">
        <f t="shared" ref="O107:O108" si="210">IF(N33=0,"",O33/N33-1)</f>
        <v/>
      </c>
      <c r="P107" s="87" t="str">
        <f t="shared" ref="P107:P108" si="211">IF(O33=0,"",P33/O33-1)</f>
        <v/>
      </c>
      <c r="Q107" s="87" t="str">
        <f t="shared" ref="Q107:Q108" si="212">IF(P33=0,"",Q33/P33-1)</f>
        <v/>
      </c>
      <c r="R107" s="87" t="str">
        <f t="shared" ref="R107:R108" si="213">IF(Q33=0,"",R33/Q33-1)</f>
        <v/>
      </c>
      <c r="S107" s="87" t="str">
        <f t="shared" ref="S107:S108" si="214">IF(R33=0,"",S33/R33-1)</f>
        <v/>
      </c>
      <c r="T107" s="87" t="str">
        <f t="shared" ref="T107:T108" si="215">IF(S33=0,"",T33/S33-1)</f>
        <v/>
      </c>
      <c r="U107" s="87" t="str">
        <f t="shared" ref="U107:U108" si="216">IF(T33=0,"",U33/T33-1)</f>
        <v/>
      </c>
      <c r="V107" s="87" t="str">
        <f t="shared" ref="V107:V108" si="217">IF(U33=0,"",V33/U33-1)</f>
        <v/>
      </c>
      <c r="W107" s="87" t="str">
        <f t="shared" ref="W107:W108" si="218">IF(V33=0,"",W33/V33-1)</f>
        <v/>
      </c>
      <c r="X107" s="87" t="str">
        <f t="shared" ref="X107:X108" si="219">IF(W33=0,"",X33/W33-1)</f>
        <v/>
      </c>
      <c r="Y107" s="87" t="str">
        <f t="shared" ref="Y107:Y108" si="220">IF(X33=0,"",Y33/X33-1)</f>
        <v/>
      </c>
      <c r="Z107" s="87" t="str">
        <f t="shared" si="198"/>
        <v/>
      </c>
      <c r="AA107" s="87" t="str">
        <f t="shared" si="199"/>
        <v/>
      </c>
    </row>
    <row r="108" spans="1:27" x14ac:dyDescent="0.25">
      <c r="A108" s="88" t="s">
        <v>5</v>
      </c>
      <c r="B108" s="44"/>
      <c r="C108" s="44"/>
      <c r="D108" s="89"/>
      <c r="E108" s="89" t="str">
        <f t="shared" si="200"/>
        <v/>
      </c>
      <c r="F108" s="89" t="str">
        <f t="shared" si="201"/>
        <v/>
      </c>
      <c r="G108" s="89" t="str">
        <f t="shared" si="202"/>
        <v/>
      </c>
      <c r="H108" s="89" t="str">
        <f t="shared" si="203"/>
        <v/>
      </c>
      <c r="I108" s="89" t="str">
        <f t="shared" si="204"/>
        <v/>
      </c>
      <c r="J108" s="89" t="str">
        <f t="shared" si="205"/>
        <v/>
      </c>
      <c r="K108" s="89" t="str">
        <f t="shared" si="206"/>
        <v/>
      </c>
      <c r="L108" s="89" t="str">
        <f t="shared" si="207"/>
        <v/>
      </c>
      <c r="M108" s="89" t="str">
        <f t="shared" si="208"/>
        <v/>
      </c>
      <c r="N108" s="89" t="str">
        <f t="shared" si="209"/>
        <v/>
      </c>
      <c r="O108" s="89" t="str">
        <f t="shared" si="210"/>
        <v/>
      </c>
      <c r="P108" s="89" t="str">
        <f t="shared" si="211"/>
        <v/>
      </c>
      <c r="Q108" s="89" t="str">
        <f t="shared" si="212"/>
        <v/>
      </c>
      <c r="R108" s="89" t="str">
        <f t="shared" si="213"/>
        <v/>
      </c>
      <c r="S108" s="89" t="str">
        <f t="shared" si="214"/>
        <v/>
      </c>
      <c r="T108" s="89" t="str">
        <f t="shared" si="215"/>
        <v/>
      </c>
      <c r="U108" s="89" t="str">
        <f t="shared" si="216"/>
        <v/>
      </c>
      <c r="V108" s="89" t="str">
        <f t="shared" si="217"/>
        <v/>
      </c>
      <c r="W108" s="89" t="str">
        <f t="shared" si="218"/>
        <v/>
      </c>
      <c r="X108" s="89" t="str">
        <f t="shared" si="219"/>
        <v/>
      </c>
      <c r="Y108" s="89" t="str">
        <f t="shared" si="220"/>
        <v/>
      </c>
      <c r="Z108" s="89" t="str">
        <f t="shared" si="198"/>
        <v/>
      </c>
      <c r="AA108" s="89" t="str">
        <f t="shared" si="199"/>
        <v/>
      </c>
    </row>
    <row r="109" spans="1:27" x14ac:dyDescent="0.25">
      <c r="A109" s="88" t="s">
        <v>263</v>
      </c>
      <c r="B109" s="44"/>
      <c r="C109" s="44"/>
      <c r="D109" s="89"/>
      <c r="E109" s="89" t="str">
        <f t="shared" ref="E109" si="221">IF(D37=0,"",E37/D37-1)</f>
        <v/>
      </c>
      <c r="F109" s="89" t="str">
        <f t="shared" ref="F109" si="222">IF(E37=0,"",F37/E37-1)</f>
        <v/>
      </c>
      <c r="G109" s="89" t="str">
        <f t="shared" ref="G109" si="223">IF(F37=0,"",G37/F37-1)</f>
        <v/>
      </c>
      <c r="H109" s="89" t="str">
        <f t="shared" ref="H109" si="224">IF(G37=0,"",H37/G37-1)</f>
        <v/>
      </c>
      <c r="I109" s="89" t="str">
        <f t="shared" ref="I109" si="225">IF(H37=0,"",I37/H37-1)</f>
        <v/>
      </c>
      <c r="J109" s="89" t="str">
        <f t="shared" ref="J109" si="226">IF(I37=0,"",J37/I37-1)</f>
        <v/>
      </c>
      <c r="K109" s="89" t="str">
        <f t="shared" ref="K109" si="227">IF(J37=0,"",K37/J37-1)</f>
        <v/>
      </c>
      <c r="L109" s="89" t="str">
        <f t="shared" ref="L109" si="228">IF(K37=0,"",L37/K37-1)</f>
        <v/>
      </c>
      <c r="M109" s="89" t="str">
        <f t="shared" ref="M109" si="229">IF(L37=0,"",M37/L37-1)</f>
        <v/>
      </c>
      <c r="N109" s="89" t="str">
        <f t="shared" ref="N109" si="230">IF(M37=0,"",N37/M37-1)</f>
        <v/>
      </c>
      <c r="O109" s="89" t="str">
        <f t="shared" ref="O109" si="231">IF(N37=0,"",O37/N37-1)</f>
        <v/>
      </c>
      <c r="P109" s="89" t="str">
        <f t="shared" ref="P109" si="232">IF(O37=0,"",P37/O37-1)</f>
        <v/>
      </c>
      <c r="Q109" s="89" t="str">
        <f t="shared" ref="Q109" si="233">IF(P37=0,"",Q37/P37-1)</f>
        <v/>
      </c>
      <c r="R109" s="89" t="str">
        <f t="shared" ref="R109" si="234">IF(Q37=0,"",R37/Q37-1)</f>
        <v/>
      </c>
      <c r="S109" s="89" t="str">
        <f t="shared" ref="S109" si="235">IF(R37=0,"",S37/R37-1)</f>
        <v/>
      </c>
      <c r="T109" s="89" t="str">
        <f t="shared" ref="T109" si="236">IF(S37=0,"",T37/S37-1)</f>
        <v/>
      </c>
      <c r="U109" s="89" t="str">
        <f t="shared" ref="U109" si="237">IF(T37=0,"",U37/T37-1)</f>
        <v/>
      </c>
      <c r="V109" s="89" t="str">
        <f t="shared" ref="V109" si="238">IF(U37=0,"",V37/U37-1)</f>
        <v/>
      </c>
      <c r="W109" s="89" t="str">
        <f t="shared" ref="W109" si="239">IF(V37=0,"",W37/V37-1)</f>
        <v/>
      </c>
      <c r="X109" s="89" t="str">
        <f t="shared" ref="X109" si="240">IF(W37=0,"",X37/W37-1)</f>
        <v/>
      </c>
      <c r="Y109" s="89" t="str">
        <f t="shared" ref="Y109" si="241">IF(X37=0,"",Y37/X37-1)</f>
        <v/>
      </c>
      <c r="Z109" s="89" t="str">
        <f t="shared" ref="Z109" si="242">IF(Y37=0,"",Z37/Y37-1)</f>
        <v/>
      </c>
      <c r="AA109" s="89" t="str">
        <f t="shared" ref="AA109" si="243">IF(Z37=0,"",AA37/Z37-1)</f>
        <v/>
      </c>
    </row>
    <row r="110" spans="1:27" x14ac:dyDescent="0.25">
      <c r="A110" s="68" t="s">
        <v>265</v>
      </c>
      <c r="B110" s="44"/>
      <c r="C110" s="44"/>
      <c r="D110" s="89"/>
      <c r="E110" s="89">
        <f t="shared" ref="E110:E111" si="244">IF(D43=0,"",E43/D43-1)</f>
        <v>-4.8549299887110209E-2</v>
      </c>
      <c r="F110" s="89">
        <f t="shared" ref="F110:F111" si="245">IF(E43=0,"",F43/E43-1)</f>
        <v>2.9976993225191428E-3</v>
      </c>
      <c r="G110" s="89">
        <f t="shared" ref="G110:G111" si="246">IF(F43=0,"",G43/F43-1)</f>
        <v>-4.2430649195599801E-2</v>
      </c>
      <c r="H110" s="89">
        <f t="shared" ref="H110:H111" si="247">IF(G43=0,"",H43/G43-1)</f>
        <v>9.2568306675791634E-2</v>
      </c>
      <c r="I110" s="89">
        <f t="shared" ref="I110:I111" si="248">IF(H43=0,"",I43/H43-1)</f>
        <v>7.3315654545043074E-3</v>
      </c>
      <c r="J110" s="89">
        <f t="shared" ref="J110:J111" si="249">IF(I43=0,"",J43/I43-1)</f>
        <v>4.0758044481349343E-2</v>
      </c>
      <c r="K110" s="89">
        <f t="shared" ref="K110:K111" si="250">IF(J43=0,"",K43/J43-1)</f>
        <v>-3.117480380986859E-2</v>
      </c>
      <c r="L110" s="89">
        <f t="shared" ref="L110:L111" si="251">IF(K43=0,"",L43/K43-1)</f>
        <v>-1.3956216735611315E-2</v>
      </c>
      <c r="M110" s="89">
        <f t="shared" ref="M110:M111" si="252">IF(L43=0,"",M43/L43-1)</f>
        <v>-6.0333348570340561E-3</v>
      </c>
      <c r="N110" s="89">
        <f t="shared" ref="N110:N111" si="253">IF(M43=0,"",N43/M43-1)</f>
        <v>0.18608730202559087</v>
      </c>
      <c r="O110" s="89">
        <f t="shared" ref="O110:O111" si="254">IF(N43=0,"",O43/N43-1)</f>
        <v>-5.494161312202972E-2</v>
      </c>
      <c r="P110" s="89">
        <f t="shared" ref="P110:P111" si="255">IF(O43=0,"",P43/O43-1)</f>
        <v>-7.381710137409514E-3</v>
      </c>
      <c r="Q110" s="89">
        <f t="shared" ref="Q110:Q111" si="256">IF(P43=0,"",Q43/P43-1)</f>
        <v>6.2494788584508187E-2</v>
      </c>
      <c r="R110" s="89">
        <f t="shared" ref="R110:R111" si="257">IF(Q43=0,"",R43/Q43-1)</f>
        <v>8.3863853918183517E-2</v>
      </c>
      <c r="S110" s="89">
        <f t="shared" ref="S110:S111" si="258">IF(R43=0,"",S43/R43-1)</f>
        <v>0.18879903614457838</v>
      </c>
      <c r="T110" s="89">
        <f t="shared" ref="T110:T111" si="259">IF(S43=0,"",T43/S43-1)</f>
        <v>0.1302257916741687</v>
      </c>
      <c r="U110" s="89">
        <f t="shared" ref="U110:U111" si="260">IF(T43=0,"",U43/T43-1)</f>
        <v>0.21784650542135742</v>
      </c>
      <c r="V110" s="89">
        <f t="shared" ref="V110:V111" si="261">IF(U43=0,"",V43/U43-1)</f>
        <v>0.10485819680357666</v>
      </c>
      <c r="W110" s="89">
        <f t="shared" ref="W110:W111" si="262">IF(V43=0,"",W43/V43-1)</f>
        <v>8.8109126645731006E-2</v>
      </c>
      <c r="X110" s="89">
        <f t="shared" ref="X110:X111" si="263">IF(W43=0,"",X43/W43-1)</f>
        <v>0.24918525232145039</v>
      </c>
      <c r="Y110" s="89">
        <f t="shared" ref="Y110:Y111" si="264">IF(X43=0,"",Y43/X43-1)</f>
        <v>-0.19885628132915667</v>
      </c>
      <c r="Z110" s="89">
        <f t="shared" ref="Z110:Z111" si="265">IF(Y43=0,"",Z43/Y43-1)</f>
        <v>-1.5930097021429335E-2</v>
      </c>
      <c r="AA110" s="89">
        <f t="shared" ref="AA110:AA111" si="266">IF(Z43=0,"",AA43/Z43-1)</f>
        <v>8.3065854735991262E-2</v>
      </c>
    </row>
    <row r="111" spans="1:27" x14ac:dyDescent="0.25">
      <c r="A111" s="88" t="s">
        <v>266</v>
      </c>
      <c r="B111" s="44"/>
      <c r="C111" s="44"/>
      <c r="D111" s="89"/>
      <c r="E111" s="89">
        <f t="shared" si="244"/>
        <v>-0.11734365418828641</v>
      </c>
      <c r="F111" s="89">
        <f t="shared" si="245"/>
        <v>-6.4393463128605832E-3</v>
      </c>
      <c r="G111" s="89">
        <f t="shared" si="246"/>
        <v>-5.5297440289589384E-2</v>
      </c>
      <c r="H111" s="89">
        <f t="shared" si="247"/>
        <v>0.10282709712194915</v>
      </c>
      <c r="I111" s="89">
        <f t="shared" si="248"/>
        <v>-0.20474866216878274</v>
      </c>
      <c r="J111" s="89">
        <f t="shared" si="249"/>
        <v>8.9512946552201766E-2</v>
      </c>
      <c r="K111" s="89">
        <f t="shared" si="250"/>
        <v>-5.3604810010532411E-4</v>
      </c>
      <c r="L111" s="89">
        <f t="shared" si="251"/>
        <v>-0.13608213572747008</v>
      </c>
      <c r="M111" s="89">
        <f t="shared" si="252"/>
        <v>-1.6201405954176962E-2</v>
      </c>
      <c r="N111" s="89">
        <f t="shared" si="253"/>
        <v>0.18880399333494724</v>
      </c>
      <c r="O111" s="89">
        <f t="shared" si="254"/>
        <v>-0.17566240487696017</v>
      </c>
      <c r="P111" s="89">
        <f t="shared" si="255"/>
        <v>-0.155979131787782</v>
      </c>
      <c r="Q111" s="89">
        <f t="shared" si="256"/>
        <v>-0.10356515030561275</v>
      </c>
      <c r="R111" s="89">
        <f t="shared" si="257"/>
        <v>-4.3786201307785877E-2</v>
      </c>
      <c r="S111" s="89">
        <f t="shared" si="258"/>
        <v>0.12323768786127176</v>
      </c>
      <c r="T111" s="89">
        <f t="shared" si="259"/>
        <v>0.12599451119379279</v>
      </c>
      <c r="U111" s="89">
        <f t="shared" si="260"/>
        <v>7.0582297459020227E-2</v>
      </c>
      <c r="V111" s="89">
        <f t="shared" si="261"/>
        <v>0.15808473291347891</v>
      </c>
      <c r="W111" s="89">
        <f t="shared" si="262"/>
        <v>3.5684779300197977E-3</v>
      </c>
      <c r="X111" s="89">
        <f t="shared" si="263"/>
        <v>5.4794165850854393E-2</v>
      </c>
      <c r="Y111" s="89">
        <f t="shared" si="264"/>
        <v>-4.8006258444191707E-2</v>
      </c>
      <c r="Z111" s="89">
        <f t="shared" si="265"/>
        <v>-3.1763664334708674E-2</v>
      </c>
      <c r="AA111" s="89">
        <f t="shared" si="266"/>
        <v>6.5185989856552329E-2</v>
      </c>
    </row>
    <row r="112" spans="1:27" x14ac:dyDescent="0.25">
      <c r="A112" s="88" t="s">
        <v>11</v>
      </c>
      <c r="B112" s="44"/>
      <c r="C112" s="44"/>
      <c r="D112" s="89"/>
      <c r="E112" s="89">
        <f t="shared" ref="E112:E113" si="267">IF(D47=0,"",E47/D47-1)</f>
        <v>2.1952715691045954E-2</v>
      </c>
      <c r="F112" s="89">
        <f t="shared" ref="F112:F113" si="268">IF(E47=0,"",F47/E47-1)</f>
        <v>1.1350759986267223E-2</v>
      </c>
      <c r="G112" s="89">
        <f t="shared" ref="G112:G113" si="269">IF(F47=0,"",G47/F47-1)</f>
        <v>-3.1242135200826082E-2</v>
      </c>
      <c r="H112" s="89">
        <f t="shared" ref="H112:H113" si="270">IF(G47=0,"",H47/G47-1)</f>
        <v>8.3869129642056839E-2</v>
      </c>
      <c r="I112" s="89">
        <f t="shared" ref="I112:I113" si="271">IF(H47=0,"",I47/H47-1)</f>
        <v>0.19031542038557214</v>
      </c>
      <c r="J112" s="89">
        <f t="shared" ref="J112:J113" si="272">IF(I47=0,"",J47/I47-1)</f>
        <v>1.265371496682266E-2</v>
      </c>
      <c r="K112" s="89">
        <f t="shared" ref="K112:K113" si="273">IF(J47=0,"",K47/J47-1)</f>
        <v>-5.0176724418327323E-2</v>
      </c>
      <c r="L112" s="89">
        <f t="shared" ref="L112:L113" si="274">IF(K47=0,"",L47/K47-1)</f>
        <v>6.5743824690837505E-2</v>
      </c>
      <c r="M112" s="89">
        <f t="shared" ref="M112:M113" si="275">IF(L47=0,"",M47/L47-1)</f>
        <v>-6.5424367394728566E-4</v>
      </c>
      <c r="N112" s="89">
        <f t="shared" ref="N112:N113" si="276">IF(M47=0,"",N47/M47-1)</f>
        <v>0.18467248248154977</v>
      </c>
      <c r="O112" s="89">
        <f t="shared" ref="O112:O113" si="277">IF(N47=0,"",O47/N47-1)</f>
        <v>8.1475529126444624E-3</v>
      </c>
      <c r="P112" s="89">
        <f t="shared" ref="P112:P113" si="278">IF(O47=0,"",P47/O47-1)</f>
        <v>5.6117012949614686E-2</v>
      </c>
      <c r="Q112" s="89">
        <f t="shared" ref="Q112:Q113" si="279">IF(P47=0,"",Q47/P47-1)</f>
        <v>0.11920480039502346</v>
      </c>
      <c r="R112" s="89">
        <f t="shared" ref="R112:R113" si="280">IF(Q47=0,"",R47/Q47-1)</f>
        <v>0.118779898435875</v>
      </c>
      <c r="S112" s="89">
        <f t="shared" ref="S112:S113" si="281">IF(R47=0,"",S47/R47-1)</f>
        <v>0.20412621621621629</v>
      </c>
      <c r="T112" s="89">
        <f t="shared" ref="T112:T113" si="282">IF(S47=0,"",T47/S47-1)</f>
        <v>0.13114854549644273</v>
      </c>
      <c r="U112" s="89">
        <f t="shared" ref="U112:U113" si="283">IF(T47=0,"",U47/T47-1)</f>
        <v>0.24981541890865877</v>
      </c>
      <c r="V112" s="89">
        <f t="shared" ref="V112:V113" si="284">IF(U47=0,"",V47/U47-1)</f>
        <v>9.4960524885294717E-2</v>
      </c>
      <c r="W112" s="89">
        <f t="shared" ref="W112:W113" si="285">IF(V47=0,"",W47/V47-1)</f>
        <v>0.10473606551100478</v>
      </c>
      <c r="X112" s="89">
        <f t="shared" ref="X112:X113" si="286">IF(W47=0,"",X47/W47-1)</f>
        <v>0.28391579347750806</v>
      </c>
      <c r="Y112" s="89">
        <f t="shared" ref="Y112:Y113" si="287">IF(X47=0,"",Y47/X47-1)</f>
        <v>-0.22099802208211694</v>
      </c>
      <c r="Z112" s="89">
        <f t="shared" ref="Z112:Z113" si="288">IF(Y47=0,"",Z47/Y47-1)</f>
        <v>-1.3089950884609958E-2</v>
      </c>
      <c r="AA112" s="89">
        <f t="shared" ref="AA112:AA113" si="289">IF(Z47=0,"",AA47/Z47-1)</f>
        <v>8.6212370790874848E-2</v>
      </c>
    </row>
    <row r="113" spans="1:27" x14ac:dyDescent="0.25">
      <c r="A113" s="68" t="s">
        <v>4</v>
      </c>
      <c r="B113" s="44"/>
      <c r="C113" s="44"/>
      <c r="D113" s="89"/>
      <c r="E113" s="89">
        <f t="shared" si="267"/>
        <v>6.5413645143495014E-3</v>
      </c>
      <c r="F113" s="89">
        <f t="shared" si="268"/>
        <v>0.13220200730372778</v>
      </c>
      <c r="G113" s="89">
        <f t="shared" si="269"/>
        <v>4.5701842295103212E-2</v>
      </c>
      <c r="H113" s="89">
        <f t="shared" si="270"/>
        <v>0.12563897160268378</v>
      </c>
      <c r="I113" s="89">
        <f t="shared" si="271"/>
        <v>6.3334969484224901E-2</v>
      </c>
      <c r="J113" s="89">
        <f t="shared" si="272"/>
        <v>4.7555366481663031E-2</v>
      </c>
      <c r="K113" s="89">
        <f t="shared" si="273"/>
        <v>9.1345248115435318E-3</v>
      </c>
      <c r="L113" s="89">
        <f t="shared" si="274"/>
        <v>-2.9556330364989059E-2</v>
      </c>
      <c r="M113" s="89">
        <f t="shared" si="275"/>
        <v>-0.1718407158635088</v>
      </c>
      <c r="N113" s="89">
        <f t="shared" si="276"/>
        <v>-0.10639381199531472</v>
      </c>
      <c r="O113" s="89">
        <f t="shared" si="277"/>
        <v>-9.8845229596528528E-2</v>
      </c>
      <c r="P113" s="89">
        <f t="shared" si="278"/>
        <v>-0.29410162420895425</v>
      </c>
      <c r="Q113" s="89">
        <f t="shared" si="279"/>
        <v>-0.32195748014903447</v>
      </c>
      <c r="R113" s="89">
        <f t="shared" si="280"/>
        <v>0.18623232474489892</v>
      </c>
      <c r="S113" s="89">
        <f t="shared" si="281"/>
        <v>0.19841927777777779</v>
      </c>
      <c r="T113" s="89">
        <f t="shared" si="282"/>
        <v>0.2127166240016598</v>
      </c>
      <c r="U113" s="89">
        <f t="shared" si="283"/>
        <v>4.8195563112576334E-2</v>
      </c>
      <c r="V113" s="89">
        <f t="shared" si="284"/>
        <v>0.12024576444711976</v>
      </c>
      <c r="W113" s="89">
        <f t="shared" si="285"/>
        <v>0.12058739416440845</v>
      </c>
      <c r="X113" s="89">
        <f t="shared" si="286"/>
        <v>7.2584841682112655E-2</v>
      </c>
      <c r="Y113" s="89">
        <f t="shared" si="287"/>
        <v>-7.4450529042964231E-2</v>
      </c>
      <c r="Z113" s="89">
        <f t="shared" si="288"/>
        <v>-0.10568981699023428</v>
      </c>
      <c r="AA113" s="89">
        <f t="shared" si="289"/>
        <v>2.1303195658712859E-2</v>
      </c>
    </row>
    <row r="114" spans="1:27" x14ac:dyDescent="0.25">
      <c r="A114" s="68" t="s">
        <v>3</v>
      </c>
      <c r="B114" s="44"/>
      <c r="C114" s="44"/>
      <c r="D114" s="89"/>
      <c r="E114" s="89">
        <f t="shared" ref="E114:E115" si="290">IF(D52=0,"",E52/D52-1)</f>
        <v>4.4991301221827262E-2</v>
      </c>
      <c r="F114" s="89">
        <f t="shared" ref="F114:F115" si="291">IF(E52=0,"",F52/E52-1)</f>
        <v>3.6271849240361531E-2</v>
      </c>
      <c r="G114" s="89">
        <f t="shared" ref="G114:G115" si="292">IF(F52=0,"",G52/F52-1)</f>
        <v>-4.9572201810816563E-2</v>
      </c>
      <c r="H114" s="89">
        <f t="shared" ref="H114:H115" si="293">IF(G52=0,"",H52/G52-1)</f>
        <v>1.0502786329411151E-2</v>
      </c>
      <c r="I114" s="89">
        <f t="shared" ref="I114:I115" si="294">IF(H52=0,"",I52/H52-1)</f>
        <v>-3.7996018935151366E-2</v>
      </c>
      <c r="J114" s="89">
        <f t="shared" ref="J114:J115" si="295">IF(I52=0,"",J52/I52-1)</f>
        <v>-5.4049311162336355E-3</v>
      </c>
      <c r="K114" s="89">
        <f t="shared" ref="K114:K115" si="296">IF(J52=0,"",K52/J52-1)</f>
        <v>3.1374536450494261E-2</v>
      </c>
      <c r="L114" s="89">
        <f t="shared" ref="L114:L115" si="297">IF(K52=0,"",L52/K52-1)</f>
        <v>2.8916448014439933E-2</v>
      </c>
      <c r="M114" s="89">
        <f t="shared" ref="M114:M115" si="298">IF(L52=0,"",M52/L52-1)</f>
        <v>-0.14388326846720612</v>
      </c>
      <c r="N114" s="89">
        <f t="shared" ref="N114:N115" si="299">IF(M52=0,"",N52/M52-1)</f>
        <v>-1.4336287559499339E-2</v>
      </c>
      <c r="O114" s="89">
        <f t="shared" ref="O114:O115" si="300">IF(N52=0,"",O52/N52-1)</f>
        <v>-7.7967016872302564E-2</v>
      </c>
      <c r="P114" s="89">
        <f t="shared" ref="P114:P115" si="301">IF(O52=0,"",P52/O52-1)</f>
        <v>-0.15892137814997109</v>
      </c>
      <c r="Q114" s="89">
        <f t="shared" ref="Q114:Q115" si="302">IF(P52=0,"",Q52/P52-1)</f>
        <v>-0.15919154012164671</v>
      </c>
      <c r="R114" s="89">
        <f t="shared" ref="R114:R115" si="303">IF(Q52=0,"",R52/Q52-1)</f>
        <v>4.8785106861548577E-3</v>
      </c>
      <c r="S114" s="89">
        <f t="shared" ref="S114:S115" si="304">IF(R52=0,"",S52/R52-1)</f>
        <v>-4.9956102564102434E-2</v>
      </c>
      <c r="T114" s="89">
        <f t="shared" ref="T114:T115" si="305">IF(S52=0,"",T52/S52-1)</f>
        <v>0.14006094322901097</v>
      </c>
      <c r="U114" s="89">
        <f t="shared" ref="U114:U115" si="306">IF(T52=0,"",U52/T52-1)</f>
        <v>2.8171543525654208E-2</v>
      </c>
      <c r="V114" s="89">
        <f t="shared" ref="V114:V115" si="307">IF(U52=0,"",V52/U52-1)</f>
        <v>-7.9641809969095423E-3</v>
      </c>
      <c r="W114" s="89">
        <f t="shared" ref="W114:W115" si="308">IF(V52=0,"",W52/V52-1)</f>
        <v>3.8732148286480639E-2</v>
      </c>
      <c r="X114" s="89">
        <f t="shared" ref="X114:X115" si="309">IF(W52=0,"",X52/W52-1)</f>
        <v>-0.17284253336327049</v>
      </c>
      <c r="Y114" s="89">
        <f t="shared" ref="Y114:Y115" si="310">IF(X52=0,"",Y52/X52-1)</f>
        <v>-2.7360020532851914E-2</v>
      </c>
      <c r="Z114" s="89">
        <f t="shared" ref="Z114:Z115" si="311">IF(Y52=0,"",Z52/Y52-1)</f>
        <v>-2.1465855459389394E-2</v>
      </c>
      <c r="AA114" s="89">
        <f t="shared" ref="AA114:AA115" si="312">IF(Z52=0,"",AA52/Z52-1)</f>
        <v>7.0821754121022096E-2</v>
      </c>
    </row>
    <row r="115" spans="1:27" x14ac:dyDescent="0.25">
      <c r="A115" s="88" t="s">
        <v>21</v>
      </c>
      <c r="B115" s="44"/>
      <c r="C115" s="44"/>
      <c r="D115" s="89"/>
      <c r="E115" s="89" t="str">
        <f t="shared" si="290"/>
        <v/>
      </c>
      <c r="F115" s="89" t="str">
        <f t="shared" si="291"/>
        <v/>
      </c>
      <c r="G115" s="89" t="str">
        <f t="shared" si="292"/>
        <v/>
      </c>
      <c r="H115" s="89" t="str">
        <f t="shared" si="293"/>
        <v/>
      </c>
      <c r="I115" s="89" t="str">
        <f t="shared" si="294"/>
        <v/>
      </c>
      <c r="J115" s="89" t="str">
        <f t="shared" si="295"/>
        <v/>
      </c>
      <c r="K115" s="89" t="str">
        <f t="shared" si="296"/>
        <v/>
      </c>
      <c r="L115" s="89" t="str">
        <f t="shared" si="297"/>
        <v/>
      </c>
      <c r="M115" s="89" t="str">
        <f t="shared" si="298"/>
        <v/>
      </c>
      <c r="N115" s="89" t="str">
        <f t="shared" si="299"/>
        <v/>
      </c>
      <c r="O115" s="89" t="str">
        <f t="shared" si="300"/>
        <v/>
      </c>
      <c r="P115" s="89" t="str">
        <f t="shared" si="301"/>
        <v/>
      </c>
      <c r="Q115" s="89" t="str">
        <f t="shared" si="302"/>
        <v/>
      </c>
      <c r="R115" s="89" t="str">
        <f t="shared" si="303"/>
        <v/>
      </c>
      <c r="S115" s="89" t="str">
        <f t="shared" si="304"/>
        <v/>
      </c>
      <c r="T115" s="89" t="str">
        <f t="shared" si="305"/>
        <v/>
      </c>
      <c r="U115" s="89" t="str">
        <f t="shared" si="306"/>
        <v/>
      </c>
      <c r="V115" s="89" t="str">
        <f t="shared" si="307"/>
        <v/>
      </c>
      <c r="W115" s="89" t="str">
        <f t="shared" si="308"/>
        <v/>
      </c>
      <c r="X115" s="89" t="str">
        <f t="shared" si="309"/>
        <v/>
      </c>
      <c r="Y115" s="89" t="str">
        <f t="shared" si="310"/>
        <v/>
      </c>
      <c r="Z115" s="89" t="str">
        <f t="shared" si="311"/>
        <v/>
      </c>
      <c r="AA115" s="89" t="str">
        <f t="shared" si="312"/>
        <v/>
      </c>
    </row>
    <row r="116" spans="1:27" x14ac:dyDescent="0.25">
      <c r="A116" s="88" t="s">
        <v>16</v>
      </c>
      <c r="B116" s="44"/>
      <c r="C116" s="44"/>
      <c r="D116" s="89"/>
      <c r="E116" s="89">
        <f t="shared" ref="E116:E122" si="313">IF(D56=0,"",E56/D56-1)</f>
        <v>4.4991301221827262E-2</v>
      </c>
      <c r="F116" s="89">
        <f t="shared" ref="F116:F122" si="314">IF(E56=0,"",F56/E56-1)</f>
        <v>3.6271849240361531E-2</v>
      </c>
      <c r="G116" s="89">
        <f t="shared" ref="G116:G122" si="315">IF(F56=0,"",G56/F56-1)</f>
        <v>-4.9572201810816563E-2</v>
      </c>
      <c r="H116" s="89">
        <f t="shared" ref="H116:H122" si="316">IF(G56=0,"",H56/G56-1)</f>
        <v>1.0502786329411151E-2</v>
      </c>
      <c r="I116" s="89">
        <f t="shared" ref="I116:I122" si="317">IF(H56=0,"",I56/H56-1)</f>
        <v>-3.7996018935151366E-2</v>
      </c>
      <c r="J116" s="89">
        <f t="shared" ref="J116:J122" si="318">IF(I56=0,"",J56/I56-1)</f>
        <v>-5.4049311162336355E-3</v>
      </c>
      <c r="K116" s="89">
        <f t="shared" ref="K116:K122" si="319">IF(J56=0,"",K56/J56-1)</f>
        <v>3.1374536450494261E-2</v>
      </c>
      <c r="L116" s="89">
        <f t="shared" ref="L116:L122" si="320">IF(K56=0,"",L56/K56-1)</f>
        <v>2.8916448014439933E-2</v>
      </c>
      <c r="M116" s="89">
        <f t="shared" ref="M116:M122" si="321">IF(L56=0,"",M56/L56-1)</f>
        <v>-0.14388326846720612</v>
      </c>
      <c r="N116" s="89">
        <f t="shared" ref="N116:N122" si="322">IF(M56=0,"",N56/M56-1)</f>
        <v>-1.4336287559499339E-2</v>
      </c>
      <c r="O116" s="89">
        <f t="shared" ref="O116:O122" si="323">IF(N56=0,"",O56/N56-1)</f>
        <v>-7.7967016872302564E-2</v>
      </c>
      <c r="P116" s="89">
        <f t="shared" ref="P116:P122" si="324">IF(O56=0,"",P56/O56-1)</f>
        <v>-0.15892137814997109</v>
      </c>
      <c r="Q116" s="89">
        <f t="shared" ref="Q116:Q122" si="325">IF(P56=0,"",Q56/P56-1)</f>
        <v>-0.15919154012164671</v>
      </c>
      <c r="R116" s="89">
        <f t="shared" ref="R116:R122" si="326">IF(Q56=0,"",R56/Q56-1)</f>
        <v>4.8785106861548577E-3</v>
      </c>
      <c r="S116" s="89">
        <f t="shared" ref="S116:S122" si="327">IF(R56=0,"",S56/R56-1)</f>
        <v>-4.9956102564102434E-2</v>
      </c>
      <c r="T116" s="89">
        <f t="shared" ref="T116:T122" si="328">IF(S56=0,"",T56/S56-1)</f>
        <v>0.14006094322901097</v>
      </c>
      <c r="U116" s="89">
        <f t="shared" ref="U116:U122" si="329">IF(T56=0,"",U56/T56-1)</f>
        <v>2.8171543525654208E-2</v>
      </c>
      <c r="V116" s="89">
        <f t="shared" ref="V116:V122" si="330">IF(U56=0,"",V56/U56-1)</f>
        <v>-7.9641809969095423E-3</v>
      </c>
      <c r="W116" s="89">
        <f t="shared" ref="W116:W122" si="331">IF(V56=0,"",W56/V56-1)</f>
        <v>3.8732148286480639E-2</v>
      </c>
      <c r="X116" s="89">
        <f t="shared" ref="X116:X122" si="332">IF(W56=0,"",X56/W56-1)</f>
        <v>-0.17284253336327049</v>
      </c>
      <c r="Y116" s="89">
        <f t="shared" ref="Y116:Y122" si="333">IF(X56=0,"",Y56/X56-1)</f>
        <v>-2.7360020532851914E-2</v>
      </c>
      <c r="Z116" s="89">
        <f t="shared" ref="Z116:Z122" si="334">IF(Y56=0,"",Z56/Y56-1)</f>
        <v>-2.1465855459389394E-2</v>
      </c>
      <c r="AA116" s="89">
        <f t="shared" ref="AA116:AA122" si="335">IF(Z56=0,"",AA56/Z56-1)</f>
        <v>7.0821754121022096E-2</v>
      </c>
    </row>
    <row r="117" spans="1:27" x14ac:dyDescent="0.25">
      <c r="A117" s="68" t="s">
        <v>2</v>
      </c>
      <c r="B117" s="44"/>
      <c r="C117" s="44"/>
      <c r="D117" s="89"/>
      <c r="E117" s="89">
        <f t="shared" si="313"/>
        <v>2.9663186854957946E-2</v>
      </c>
      <c r="F117" s="89">
        <f t="shared" si="314"/>
        <v>4.5999363593910214E-2</v>
      </c>
      <c r="G117" s="89">
        <f t="shared" si="315"/>
        <v>-1.2347921525664995E-2</v>
      </c>
      <c r="H117" s="89">
        <f t="shared" si="316"/>
        <v>2.8618239862742367E-2</v>
      </c>
      <c r="I117" s="89">
        <f t="shared" si="317"/>
        <v>-8.9211415002625749E-3</v>
      </c>
      <c r="J117" s="89">
        <f t="shared" si="318"/>
        <v>-0.20247812613975447</v>
      </c>
      <c r="K117" s="89">
        <f t="shared" si="319"/>
        <v>-8.5891200628444242E-2</v>
      </c>
      <c r="L117" s="89">
        <f t="shared" si="320"/>
        <v>8.5825948540070307E-3</v>
      </c>
      <c r="M117" s="89">
        <f t="shared" si="321"/>
        <v>9.8805088836742883E-2</v>
      </c>
      <c r="N117" s="89">
        <f t="shared" si="322"/>
        <v>-9.8536139092408992E-2</v>
      </c>
      <c r="O117" s="89">
        <f t="shared" si="323"/>
        <v>-9.3033030191026822E-2</v>
      </c>
      <c r="P117" s="89">
        <f t="shared" si="324"/>
        <v>-8.1297664624736199E-2</v>
      </c>
      <c r="Q117" s="89">
        <f t="shared" si="325"/>
        <v>-8.8157554310077768E-2</v>
      </c>
      <c r="R117" s="89">
        <f t="shared" si="326"/>
        <v>1.2867009112920602E-2</v>
      </c>
      <c r="S117" s="89">
        <f t="shared" si="327"/>
        <v>1.3997630331753941E-2</v>
      </c>
      <c r="T117" s="89">
        <f t="shared" si="328"/>
        <v>0.19429625885809143</v>
      </c>
      <c r="U117" s="89">
        <f t="shared" si="329"/>
        <v>5.3127621533081593E-2</v>
      </c>
      <c r="V117" s="89">
        <f t="shared" si="330"/>
        <v>0.1214452237858723</v>
      </c>
      <c r="W117" s="89">
        <f t="shared" si="331"/>
        <v>4.3024499731820987E-2</v>
      </c>
      <c r="X117" s="89">
        <f t="shared" si="332"/>
        <v>-4.3467177606152707E-2</v>
      </c>
      <c r="Y117" s="89">
        <f t="shared" si="333"/>
        <v>-4.4864369353697642E-3</v>
      </c>
      <c r="Z117" s="89">
        <f t="shared" si="334"/>
        <v>-0.11291666114701226</v>
      </c>
      <c r="AA117" s="89">
        <f t="shared" si="335"/>
        <v>1.3809261915554982E-2</v>
      </c>
    </row>
    <row r="118" spans="1:27" x14ac:dyDescent="0.25">
      <c r="A118" s="68" t="s">
        <v>269</v>
      </c>
      <c r="B118" s="44"/>
      <c r="C118" s="44"/>
      <c r="D118" s="89"/>
      <c r="E118" s="89">
        <f t="shared" si="313"/>
        <v>6.0806706596201465E-2</v>
      </c>
      <c r="F118" s="89">
        <f t="shared" si="314"/>
        <v>8.3494120654184156E-2</v>
      </c>
      <c r="G118" s="89">
        <f t="shared" si="315"/>
        <v>-0.13290702573354829</v>
      </c>
      <c r="H118" s="89">
        <f t="shared" si="316"/>
        <v>-7.7767102931741161E-2</v>
      </c>
      <c r="I118" s="89">
        <f t="shared" si="317"/>
        <v>-5.1146756864360543E-2</v>
      </c>
      <c r="J118" s="89">
        <f t="shared" si="318"/>
        <v>3.1975683386411768E-2</v>
      </c>
      <c r="K118" s="89">
        <f t="shared" si="319"/>
        <v>0.12464843256729385</v>
      </c>
      <c r="L118" s="89">
        <f t="shared" si="320"/>
        <v>-0.139633891525626</v>
      </c>
      <c r="M118" s="89">
        <f t="shared" si="321"/>
        <v>3.5645842879690415E-2</v>
      </c>
      <c r="N118" s="89">
        <f t="shared" si="322"/>
        <v>-0.16651421135021982</v>
      </c>
      <c r="O118" s="89">
        <f t="shared" si="323"/>
        <v>-0.17861183030837879</v>
      </c>
      <c r="P118" s="89">
        <f t="shared" si="324"/>
        <v>-0.42365497452765033</v>
      </c>
      <c r="Q118" s="89">
        <f t="shared" si="325"/>
        <v>-5.7701764828706259E-2</v>
      </c>
      <c r="R118" s="89">
        <f t="shared" si="326"/>
        <v>9.8969257177458081E-2</v>
      </c>
      <c r="S118" s="89">
        <f t="shared" si="327"/>
        <v>0.42906322580645173</v>
      </c>
      <c r="T118" s="89">
        <f t="shared" si="328"/>
        <v>0.23475534466137504</v>
      </c>
      <c r="U118" s="89">
        <f t="shared" si="329"/>
        <v>4.7608428414835258E-2</v>
      </c>
      <c r="V118" s="89">
        <f t="shared" si="330"/>
        <v>0.11386477923154015</v>
      </c>
      <c r="W118" s="89">
        <f t="shared" si="331"/>
        <v>1.2593374314282313E-2</v>
      </c>
      <c r="X118" s="89">
        <f t="shared" si="332"/>
        <v>-2.6095982770831805E-3</v>
      </c>
      <c r="Y118" s="89">
        <f t="shared" si="333"/>
        <v>0.16730053011166746</v>
      </c>
      <c r="Z118" s="89">
        <f t="shared" si="334"/>
        <v>0.21211728063059065</v>
      </c>
      <c r="AA118" s="89">
        <f t="shared" si="335"/>
        <v>0.25430078709633497</v>
      </c>
    </row>
    <row r="119" spans="1:27" x14ac:dyDescent="0.25">
      <c r="A119" s="68" t="s">
        <v>270</v>
      </c>
      <c r="B119" s="44"/>
      <c r="C119" s="44"/>
      <c r="D119" s="89"/>
      <c r="E119" s="89">
        <f t="shared" si="313"/>
        <v>-2.2763491249921941E-2</v>
      </c>
      <c r="F119" s="89">
        <f t="shared" si="314"/>
        <v>4.3847277655094219E-2</v>
      </c>
      <c r="G119" s="89">
        <f t="shared" si="315"/>
        <v>8.0257914159385546E-2</v>
      </c>
      <c r="H119" s="89">
        <f t="shared" si="316"/>
        <v>0.1189822103680549</v>
      </c>
      <c r="I119" s="89">
        <f t="shared" si="317"/>
        <v>2.8049459235963692E-2</v>
      </c>
      <c r="J119" s="89">
        <f t="shared" si="318"/>
        <v>9.6093237067164772E-2</v>
      </c>
      <c r="K119" s="89">
        <f t="shared" si="319"/>
        <v>9.1535323624107434E-2</v>
      </c>
      <c r="L119" s="89">
        <f t="shared" si="320"/>
        <v>-1.2703861487820767E-2</v>
      </c>
      <c r="M119" s="89">
        <f t="shared" si="321"/>
        <v>-0.16072156355046952</v>
      </c>
      <c r="N119" s="89">
        <f t="shared" si="322"/>
        <v>4.8184595146350429E-2</v>
      </c>
      <c r="O119" s="89">
        <f t="shared" si="323"/>
        <v>-7.2093337658014067E-2</v>
      </c>
      <c r="P119" s="89">
        <f t="shared" si="324"/>
        <v>-8.4225434590713633E-2</v>
      </c>
      <c r="Q119" s="89">
        <f t="shared" si="325"/>
        <v>-0.18310913994156341</v>
      </c>
      <c r="R119" s="89">
        <f t="shared" si="326"/>
        <v>1.916348866665385E-2</v>
      </c>
      <c r="S119" s="89">
        <f t="shared" si="327"/>
        <v>2.1234853057982672E-2</v>
      </c>
      <c r="T119" s="89">
        <f t="shared" si="328"/>
        <v>-3.8023200548338187E-2</v>
      </c>
      <c r="U119" s="89">
        <f t="shared" si="329"/>
        <v>0.2290060342143263</v>
      </c>
      <c r="V119" s="89">
        <f t="shared" si="330"/>
        <v>0.33321215887187838</v>
      </c>
      <c r="W119" s="89">
        <f t="shared" si="331"/>
        <v>8.4835182694137146E-2</v>
      </c>
      <c r="X119" s="89">
        <f t="shared" si="332"/>
        <v>-6.6080453218523294E-3</v>
      </c>
      <c r="Y119" s="89">
        <f t="shared" si="333"/>
        <v>0.13091572950256203</v>
      </c>
      <c r="Z119" s="89">
        <f t="shared" si="334"/>
        <v>-0.18031786807443517</v>
      </c>
      <c r="AA119" s="89">
        <f t="shared" si="335"/>
        <v>6.5198955454006668E-3</v>
      </c>
    </row>
    <row r="120" spans="1:27" x14ac:dyDescent="0.25">
      <c r="A120" s="68" t="s">
        <v>1</v>
      </c>
      <c r="B120" s="44"/>
      <c r="C120" s="44"/>
      <c r="D120" s="89"/>
      <c r="E120" s="89">
        <f t="shared" si="313"/>
        <v>-0.13064655859766217</v>
      </c>
      <c r="F120" s="89">
        <f t="shared" si="314"/>
        <v>-6.4754230313702754E-2</v>
      </c>
      <c r="G120" s="89">
        <f t="shared" si="315"/>
        <v>-0.18599435068863712</v>
      </c>
      <c r="H120" s="89">
        <f t="shared" si="316"/>
        <v>-0.20261483702102134</v>
      </c>
      <c r="I120" s="89">
        <f t="shared" si="317"/>
        <v>-5.5416596458470857E-2</v>
      </c>
      <c r="J120" s="89">
        <f t="shared" si="318"/>
        <v>-4.4827186777867789E-2</v>
      </c>
      <c r="K120" s="89">
        <f t="shared" si="319"/>
        <v>-4.9832460817174073E-2</v>
      </c>
      <c r="L120" s="89">
        <f t="shared" si="320"/>
        <v>-0.18580509138412649</v>
      </c>
      <c r="M120" s="89">
        <f t="shared" si="321"/>
        <v>-0.1607648067799945</v>
      </c>
      <c r="N120" s="89">
        <f t="shared" si="322"/>
        <v>-0.17700328185811232</v>
      </c>
      <c r="O120" s="89">
        <f t="shared" si="323"/>
        <v>-7.9160915369413165E-2</v>
      </c>
      <c r="P120" s="89">
        <f t="shared" si="324"/>
        <v>-0.24240852463036422</v>
      </c>
      <c r="Q120" s="89">
        <f t="shared" si="325"/>
        <v>-0.2494744279703961</v>
      </c>
      <c r="R120" s="89">
        <f t="shared" si="326"/>
        <v>4.6104295739945789E-2</v>
      </c>
      <c r="S120" s="89">
        <f t="shared" si="327"/>
        <v>8.4956896551724448E-2</v>
      </c>
      <c r="T120" s="89">
        <f t="shared" si="328"/>
        <v>8.6584703302009958E-2</v>
      </c>
      <c r="U120" s="89">
        <f t="shared" si="329"/>
        <v>0.11009735221501837</v>
      </c>
      <c r="V120" s="89">
        <f t="shared" si="330"/>
        <v>0.16284993353342392</v>
      </c>
      <c r="W120" s="89">
        <f t="shared" si="331"/>
        <v>3.7383795907664163E-2</v>
      </c>
      <c r="X120" s="89">
        <f t="shared" si="332"/>
        <v>-0.18395330768124984</v>
      </c>
      <c r="Y120" s="89">
        <f t="shared" si="333"/>
        <v>7.082222866535659E-2</v>
      </c>
      <c r="Z120" s="89">
        <f t="shared" si="334"/>
        <v>6.7322458417074627E-2</v>
      </c>
      <c r="AA120" s="89">
        <f t="shared" si="335"/>
        <v>0.11836246133145933</v>
      </c>
    </row>
    <row r="121" spans="1:27" x14ac:dyDescent="0.25">
      <c r="A121" s="68" t="s">
        <v>0</v>
      </c>
      <c r="B121" s="44"/>
      <c r="C121" s="44"/>
      <c r="D121" s="89"/>
      <c r="E121" s="89">
        <f t="shared" si="313"/>
        <v>-6.3693030616806201E-2</v>
      </c>
      <c r="F121" s="89">
        <f t="shared" si="314"/>
        <v>5.0598663480622363E-2</v>
      </c>
      <c r="G121" s="89">
        <f t="shared" si="315"/>
        <v>9.0059739077825274E-2</v>
      </c>
      <c r="H121" s="89">
        <f t="shared" si="316"/>
        <v>7.0222060303041234E-2</v>
      </c>
      <c r="I121" s="89">
        <f t="shared" si="317"/>
        <v>2.817224209492597E-4</v>
      </c>
      <c r="J121" s="89">
        <f t="shared" si="318"/>
        <v>2.6248848295477245E-2</v>
      </c>
      <c r="K121" s="89">
        <f t="shared" si="319"/>
        <v>6.5310472860833801E-2</v>
      </c>
      <c r="L121" s="89">
        <f t="shared" si="320"/>
        <v>-4.2518338374734843E-2</v>
      </c>
      <c r="M121" s="89">
        <f t="shared" si="321"/>
        <v>-0.10962093631315029</v>
      </c>
      <c r="N121" s="89">
        <f t="shared" si="322"/>
        <v>-9.0525013127827458E-2</v>
      </c>
      <c r="O121" s="89">
        <f t="shared" si="323"/>
        <v>-0.13049169510905356</v>
      </c>
      <c r="P121" s="89">
        <f t="shared" si="324"/>
        <v>-0.14900375271164801</v>
      </c>
      <c r="Q121" s="89">
        <f t="shared" si="325"/>
        <v>-0.38345560118589939</v>
      </c>
      <c r="R121" s="89">
        <f t="shared" si="326"/>
        <v>-8.3251451789505104E-2</v>
      </c>
      <c r="S121" s="89">
        <f t="shared" si="327"/>
        <v>0.19742042857142872</v>
      </c>
      <c r="T121" s="89">
        <f t="shared" si="328"/>
        <v>0.1148641850696297</v>
      </c>
      <c r="U121" s="89">
        <f t="shared" si="329"/>
        <v>0.22377878030487808</v>
      </c>
      <c r="V121" s="89">
        <f t="shared" si="330"/>
        <v>0.19698387831361908</v>
      </c>
      <c r="W121" s="89">
        <f t="shared" si="331"/>
        <v>0.1124721820583694</v>
      </c>
      <c r="X121" s="89">
        <f t="shared" si="332"/>
        <v>-0.10042441259396095</v>
      </c>
      <c r="Y121" s="89">
        <f t="shared" si="333"/>
        <v>1.3456752129712646E-2</v>
      </c>
      <c r="Z121" s="89">
        <f t="shared" si="334"/>
        <v>-9.6741317822408579E-3</v>
      </c>
      <c r="AA121" s="89">
        <f t="shared" si="335"/>
        <v>7.7254346279028274E-2</v>
      </c>
    </row>
    <row r="122" spans="1:27" x14ac:dyDescent="0.25">
      <c r="A122" s="90" t="s">
        <v>272</v>
      </c>
      <c r="B122" s="47"/>
      <c r="C122" s="47"/>
      <c r="D122" s="91"/>
      <c r="E122" s="91">
        <f t="shared" si="313"/>
        <v>-5.1813183487641745E-2</v>
      </c>
      <c r="F122" s="91">
        <f t="shared" si="314"/>
        <v>1.5268865631340445E-2</v>
      </c>
      <c r="G122" s="91">
        <f t="shared" si="315"/>
        <v>-0.1052311902468861</v>
      </c>
      <c r="H122" s="91">
        <f t="shared" si="316"/>
        <v>4.0100712863525789E-2</v>
      </c>
      <c r="I122" s="91">
        <f t="shared" si="317"/>
        <v>-4.811245447577106E-2</v>
      </c>
      <c r="J122" s="91">
        <f t="shared" si="318"/>
        <v>7.4837407165535552E-3</v>
      </c>
      <c r="K122" s="91">
        <f t="shared" si="319"/>
        <v>8.1523127131324369E-3</v>
      </c>
      <c r="L122" s="91">
        <f t="shared" si="320"/>
        <v>1.494660030192585E-2</v>
      </c>
      <c r="M122" s="91">
        <f t="shared" si="321"/>
        <v>-6.654562606330805E-2</v>
      </c>
      <c r="N122" s="91">
        <f t="shared" si="322"/>
        <v>9.306360677937997E-3</v>
      </c>
      <c r="O122" s="91">
        <f t="shared" si="323"/>
        <v>-0.17600714291439878</v>
      </c>
      <c r="P122" s="91">
        <f t="shared" si="324"/>
        <v>-0.20526112235719829</v>
      </c>
      <c r="Q122" s="91">
        <f t="shared" si="325"/>
        <v>-5.1340692998503967E-2</v>
      </c>
      <c r="R122" s="91">
        <f t="shared" si="326"/>
        <v>4.965362761408576E-3</v>
      </c>
      <c r="S122" s="91">
        <f t="shared" si="327"/>
        <v>-2.0163371647509476E-2</v>
      </c>
      <c r="T122" s="91">
        <f t="shared" si="328"/>
        <v>0.18038145809273476</v>
      </c>
      <c r="U122" s="91">
        <f t="shared" si="329"/>
        <v>5.5749504156666907E-2</v>
      </c>
      <c r="V122" s="91">
        <f t="shared" si="330"/>
        <v>8.4354609730507679E-2</v>
      </c>
      <c r="W122" s="91">
        <f t="shared" si="331"/>
        <v>2.8666285017683757E-2</v>
      </c>
      <c r="X122" s="91">
        <f t="shared" si="332"/>
        <v>-3.1459733864109829E-2</v>
      </c>
      <c r="Y122" s="91">
        <f t="shared" si="333"/>
        <v>0.10247495259778994</v>
      </c>
      <c r="Z122" s="91">
        <f t="shared" si="334"/>
        <v>-9.5362761699273824E-2</v>
      </c>
      <c r="AA122" s="91">
        <f t="shared" si="335"/>
        <v>3.7829647627652285E-2</v>
      </c>
    </row>
  </sheetData>
  <pageMargins left="0.75" right="0.75" top="1" bottom="1" header="0.5" footer="0.5"/>
  <pageSetup paperSize="9" scale="68" fitToHeight="0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D112"/>
  <sheetViews>
    <sheetView showGridLines="0" zoomScale="110" zoomScaleNormal="110" workbookViewId="0">
      <pane ySplit="1" topLeftCell="A2" activePane="bottomLeft" state="frozen"/>
      <selection pane="bottomLeft" activeCell="A2" sqref="A2"/>
    </sheetView>
  </sheetViews>
  <sheetFormatPr defaultColWidth="9.140625" defaultRowHeight="11.25" x14ac:dyDescent="0.25"/>
  <cols>
    <col min="1" max="1" width="33.7109375" style="1" customWidth="1"/>
    <col min="2" max="2" width="14.85546875" style="1" bestFit="1" customWidth="1"/>
    <col min="3" max="3" width="92.42578125" style="1" bestFit="1" customWidth="1"/>
    <col min="4" max="4" width="38.28515625" style="1" bestFit="1" customWidth="1"/>
    <col min="5" max="16384" width="9.140625" style="1"/>
  </cols>
  <sheetData>
    <row r="1" spans="1:4" x14ac:dyDescent="0.25">
      <c r="A1" s="95" t="s">
        <v>244</v>
      </c>
      <c r="B1" s="96" t="s">
        <v>136</v>
      </c>
      <c r="C1" s="95" t="s">
        <v>137</v>
      </c>
      <c r="D1" s="95" t="s">
        <v>138</v>
      </c>
    </row>
    <row r="2" spans="1:4" x14ac:dyDescent="0.25">
      <c r="A2" s="40" t="s">
        <v>139</v>
      </c>
      <c r="B2" s="97" t="s">
        <v>24</v>
      </c>
      <c r="C2" s="40" t="s">
        <v>25</v>
      </c>
      <c r="D2" s="98" t="s">
        <v>140</v>
      </c>
    </row>
    <row r="3" spans="1:4" x14ac:dyDescent="0.25">
      <c r="A3" s="94" t="s">
        <v>141</v>
      </c>
      <c r="B3" s="99" t="s">
        <v>26</v>
      </c>
      <c r="C3" s="94" t="s">
        <v>27</v>
      </c>
      <c r="D3" s="39" t="s">
        <v>140</v>
      </c>
    </row>
    <row r="4" spans="1:4" ht="11.25" customHeight="1" x14ac:dyDescent="0.25">
      <c r="A4" s="46" t="s">
        <v>142</v>
      </c>
      <c r="B4" s="100" t="s">
        <v>28</v>
      </c>
      <c r="C4" s="46" t="s">
        <v>143</v>
      </c>
      <c r="D4" s="101" t="s">
        <v>140</v>
      </c>
    </row>
    <row r="5" spans="1:4" ht="11.25" customHeight="1" x14ac:dyDescent="0.25">
      <c r="A5" s="102" t="s">
        <v>33</v>
      </c>
      <c r="B5" s="103" t="s">
        <v>32</v>
      </c>
      <c r="C5" s="102"/>
      <c r="D5" s="98"/>
    </row>
    <row r="6" spans="1:4" ht="11.25" customHeight="1" x14ac:dyDescent="0.25">
      <c r="A6" s="101"/>
      <c r="B6" s="104" t="s">
        <v>32</v>
      </c>
      <c r="C6" s="101" t="s">
        <v>33</v>
      </c>
      <c r="D6" s="101" t="s">
        <v>144</v>
      </c>
    </row>
    <row r="7" spans="1:4" ht="11.25" customHeight="1" x14ac:dyDescent="0.25">
      <c r="A7" s="102" t="s">
        <v>56</v>
      </c>
      <c r="B7" s="103" t="s">
        <v>55</v>
      </c>
      <c r="C7" s="102"/>
      <c r="D7" s="98"/>
    </row>
    <row r="8" spans="1:4" ht="11.25" customHeight="1" x14ac:dyDescent="0.25">
      <c r="A8" s="101"/>
      <c r="B8" s="104" t="s">
        <v>55</v>
      </c>
      <c r="C8" s="101" t="s">
        <v>56</v>
      </c>
      <c r="D8" s="101" t="s">
        <v>145</v>
      </c>
    </row>
    <row r="9" spans="1:4" ht="11.25" customHeight="1" x14ac:dyDescent="0.25">
      <c r="A9" s="105" t="s">
        <v>146</v>
      </c>
      <c r="B9" s="106" t="s">
        <v>147</v>
      </c>
      <c r="C9" s="105"/>
      <c r="D9" s="107"/>
    </row>
    <row r="10" spans="1:4" x14ac:dyDescent="0.25">
      <c r="A10" s="108" t="s">
        <v>148</v>
      </c>
      <c r="B10" s="109" t="s">
        <v>149</v>
      </c>
      <c r="C10" s="108"/>
      <c r="D10" s="108"/>
    </row>
    <row r="11" spans="1:4" x14ac:dyDescent="0.25">
      <c r="A11" s="110"/>
      <c r="B11" s="110" t="s">
        <v>65</v>
      </c>
      <c r="C11" s="111" t="s">
        <v>66</v>
      </c>
      <c r="D11" s="112" t="s">
        <v>145</v>
      </c>
    </row>
    <row r="12" spans="1:4" x14ac:dyDescent="0.25">
      <c r="A12" s="113"/>
      <c r="B12" s="113" t="s">
        <v>67</v>
      </c>
      <c r="C12" s="106" t="s">
        <v>68</v>
      </c>
      <c r="D12" s="39" t="s">
        <v>145</v>
      </c>
    </row>
    <row r="13" spans="1:4" x14ac:dyDescent="0.25">
      <c r="A13" s="113"/>
      <c r="B13" s="113" t="s">
        <v>73</v>
      </c>
      <c r="C13" s="106" t="s">
        <v>74</v>
      </c>
      <c r="D13" s="39" t="s">
        <v>145</v>
      </c>
    </row>
    <row r="14" spans="1:4" x14ac:dyDescent="0.25">
      <c r="A14" s="113"/>
      <c r="B14" s="113" t="s">
        <v>75</v>
      </c>
      <c r="C14" s="106" t="s">
        <v>76</v>
      </c>
      <c r="D14" s="39" t="s">
        <v>145</v>
      </c>
    </row>
    <row r="15" spans="1:4" x14ac:dyDescent="0.25">
      <c r="A15" s="113"/>
      <c r="B15" s="113" t="s">
        <v>77</v>
      </c>
      <c r="C15" s="106" t="s">
        <v>78</v>
      </c>
      <c r="D15" s="39" t="s">
        <v>145</v>
      </c>
    </row>
    <row r="16" spans="1:4" ht="11.25" customHeight="1" x14ac:dyDescent="0.25">
      <c r="A16" s="114"/>
      <c r="B16" s="114" t="s">
        <v>79</v>
      </c>
      <c r="C16" s="115" t="s">
        <v>80</v>
      </c>
      <c r="D16" s="116" t="s">
        <v>145</v>
      </c>
    </row>
    <row r="17" spans="1:4" ht="11.25" customHeight="1" x14ac:dyDescent="0.25">
      <c r="A17" s="108" t="s">
        <v>150</v>
      </c>
      <c r="B17" s="109" t="s">
        <v>151</v>
      </c>
      <c r="C17" s="108"/>
      <c r="D17" s="107"/>
    </row>
    <row r="18" spans="1:4" ht="11.25" customHeight="1" x14ac:dyDescent="0.25">
      <c r="A18" s="110"/>
      <c r="B18" s="110" t="s">
        <v>40</v>
      </c>
      <c r="C18" s="111" t="s">
        <v>41</v>
      </c>
      <c r="D18" s="112" t="s">
        <v>145</v>
      </c>
    </row>
    <row r="19" spans="1:4" ht="11.25" customHeight="1" x14ac:dyDescent="0.25">
      <c r="A19" s="113"/>
      <c r="B19" s="113" t="s">
        <v>42</v>
      </c>
      <c r="C19" s="106" t="s">
        <v>43</v>
      </c>
      <c r="D19" s="107" t="s">
        <v>145</v>
      </c>
    </row>
    <row r="20" spans="1:4" ht="11.25" customHeight="1" x14ac:dyDescent="0.25">
      <c r="A20" s="113"/>
      <c r="B20" s="113" t="s">
        <v>44</v>
      </c>
      <c r="C20" s="106" t="s">
        <v>45</v>
      </c>
      <c r="D20" s="107" t="s">
        <v>145</v>
      </c>
    </row>
    <row r="21" spans="1:4" ht="11.25" customHeight="1" x14ac:dyDescent="0.25">
      <c r="A21" s="113"/>
      <c r="B21" s="113" t="s">
        <v>69</v>
      </c>
      <c r="C21" s="106" t="s">
        <v>70</v>
      </c>
      <c r="D21" s="107" t="s">
        <v>145</v>
      </c>
    </row>
    <row r="22" spans="1:4" ht="11.25" customHeight="1" x14ac:dyDescent="0.25">
      <c r="A22" s="113"/>
      <c r="B22" s="113" t="s">
        <v>71</v>
      </c>
      <c r="C22" s="106" t="s">
        <v>72</v>
      </c>
      <c r="D22" s="107" t="s">
        <v>145</v>
      </c>
    </row>
    <row r="23" spans="1:4" ht="11.25" customHeight="1" x14ac:dyDescent="0.25">
      <c r="A23" s="113"/>
      <c r="B23" s="113" t="s">
        <v>81</v>
      </c>
      <c r="C23" s="106" t="s">
        <v>82</v>
      </c>
      <c r="D23" s="107" t="s">
        <v>145</v>
      </c>
    </row>
    <row r="24" spans="1:4" ht="11.25" customHeight="1" x14ac:dyDescent="0.25">
      <c r="A24" s="113"/>
      <c r="B24" s="113" t="s">
        <v>83</v>
      </c>
      <c r="C24" s="106" t="s">
        <v>84</v>
      </c>
      <c r="D24" s="107" t="s">
        <v>145</v>
      </c>
    </row>
    <row r="25" spans="1:4" ht="11.25" customHeight="1" x14ac:dyDescent="0.25">
      <c r="A25" s="114"/>
      <c r="B25" s="114" t="s">
        <v>85</v>
      </c>
      <c r="C25" s="115" t="s">
        <v>86</v>
      </c>
      <c r="D25" s="116" t="s">
        <v>145</v>
      </c>
    </row>
    <row r="26" spans="1:4" ht="11.25" customHeight="1" x14ac:dyDescent="0.25">
      <c r="A26" s="67" t="s">
        <v>152</v>
      </c>
      <c r="B26" s="106" t="s">
        <v>153</v>
      </c>
      <c r="C26" s="67"/>
      <c r="D26" s="107"/>
    </row>
    <row r="27" spans="1:4" ht="11.25" customHeight="1" x14ac:dyDescent="0.25">
      <c r="A27" s="110"/>
      <c r="B27" s="110" t="s">
        <v>134</v>
      </c>
      <c r="C27" s="111" t="s">
        <v>135</v>
      </c>
      <c r="D27" s="112" t="s">
        <v>145</v>
      </c>
    </row>
    <row r="28" spans="1:4" ht="11.25" customHeight="1" x14ac:dyDescent="0.25">
      <c r="A28" s="113"/>
      <c r="B28" s="113" t="s">
        <v>61</v>
      </c>
      <c r="C28" s="106" t="s">
        <v>62</v>
      </c>
      <c r="D28" s="107" t="s">
        <v>145</v>
      </c>
    </row>
    <row r="29" spans="1:4" ht="11.25" customHeight="1" x14ac:dyDescent="0.25">
      <c r="A29" s="113"/>
      <c r="B29" s="113" t="s">
        <v>63</v>
      </c>
      <c r="C29" s="106" t="s">
        <v>64</v>
      </c>
      <c r="D29" s="107" t="s">
        <v>145</v>
      </c>
    </row>
    <row r="30" spans="1:4" ht="11.25" customHeight="1" x14ac:dyDescent="0.25">
      <c r="A30" s="102" t="s">
        <v>154</v>
      </c>
      <c r="B30" s="98" t="s">
        <v>155</v>
      </c>
      <c r="C30" s="102"/>
      <c r="D30" s="98"/>
    </row>
    <row r="31" spans="1:4" ht="11.25" customHeight="1" x14ac:dyDescent="0.25">
      <c r="A31" s="113"/>
      <c r="B31" s="113" t="s">
        <v>94</v>
      </c>
      <c r="C31" s="106" t="s">
        <v>95</v>
      </c>
      <c r="D31" s="39" t="s">
        <v>156</v>
      </c>
    </row>
    <row r="32" spans="1:4" ht="11.25" customHeight="1" x14ac:dyDescent="0.25">
      <c r="A32" s="104"/>
      <c r="B32" s="104" t="s">
        <v>59</v>
      </c>
      <c r="C32" s="117" t="s">
        <v>60</v>
      </c>
      <c r="D32" s="101" t="s">
        <v>145</v>
      </c>
    </row>
    <row r="33" spans="1:4" ht="11.25" customHeight="1" x14ac:dyDescent="0.25">
      <c r="A33" s="102" t="s">
        <v>37</v>
      </c>
      <c r="B33" s="103" t="s">
        <v>36</v>
      </c>
      <c r="C33" s="102"/>
      <c r="D33" s="98"/>
    </row>
    <row r="34" spans="1:4" ht="11.25" customHeight="1" x14ac:dyDescent="0.25">
      <c r="A34" s="101"/>
      <c r="B34" s="104" t="s">
        <v>36</v>
      </c>
      <c r="C34" s="101" t="s">
        <v>37</v>
      </c>
      <c r="D34" s="101" t="s">
        <v>144</v>
      </c>
    </row>
    <row r="35" spans="1:4" ht="11.25" customHeight="1" x14ac:dyDescent="0.25">
      <c r="A35" s="102" t="s">
        <v>58</v>
      </c>
      <c r="B35" s="81" t="s">
        <v>157</v>
      </c>
      <c r="C35" s="102"/>
      <c r="D35" s="98"/>
    </row>
    <row r="36" spans="1:4" ht="11.25" customHeight="1" x14ac:dyDescent="0.25">
      <c r="A36" s="118" t="s">
        <v>158</v>
      </c>
      <c r="B36" s="103" t="s">
        <v>124</v>
      </c>
      <c r="C36" s="118"/>
      <c r="D36" s="98"/>
    </row>
    <row r="37" spans="1:4" ht="11.25" customHeight="1" x14ac:dyDescent="0.25">
      <c r="A37" s="113"/>
      <c r="B37" s="113" t="s">
        <v>124</v>
      </c>
      <c r="C37" s="106" t="s">
        <v>125</v>
      </c>
      <c r="D37" s="39" t="s">
        <v>156</v>
      </c>
    </row>
    <row r="38" spans="1:4" ht="11.25" customHeight="1" x14ac:dyDescent="0.25">
      <c r="A38" s="119" t="s">
        <v>5</v>
      </c>
      <c r="B38" s="120"/>
      <c r="C38" s="119"/>
      <c r="D38" s="121"/>
    </row>
    <row r="39" spans="1:4" ht="11.25" customHeight="1" x14ac:dyDescent="0.25">
      <c r="A39" s="68"/>
      <c r="B39" s="113" t="s">
        <v>159</v>
      </c>
      <c r="C39" s="106" t="s">
        <v>160</v>
      </c>
      <c r="D39" s="39" t="s">
        <v>161</v>
      </c>
    </row>
    <row r="40" spans="1:4" ht="11.25" customHeight="1" x14ac:dyDescent="0.25">
      <c r="A40" s="68"/>
      <c r="B40" s="113" t="s">
        <v>162</v>
      </c>
      <c r="C40" s="106" t="s">
        <v>163</v>
      </c>
      <c r="D40" s="39" t="s">
        <v>161</v>
      </c>
    </row>
    <row r="41" spans="1:4" ht="11.25" customHeight="1" x14ac:dyDescent="0.25">
      <c r="A41" s="68"/>
      <c r="B41" s="113" t="s">
        <v>164</v>
      </c>
      <c r="C41" s="106" t="s">
        <v>165</v>
      </c>
      <c r="D41" s="39" t="s">
        <v>161</v>
      </c>
    </row>
    <row r="42" spans="1:4" ht="11.25" customHeight="1" x14ac:dyDescent="0.25">
      <c r="A42" s="68"/>
      <c r="B42" s="113" t="s">
        <v>166</v>
      </c>
      <c r="C42" s="106" t="s">
        <v>167</v>
      </c>
      <c r="D42" s="39" t="s">
        <v>161</v>
      </c>
    </row>
    <row r="43" spans="1:4" ht="11.25" customHeight="1" x14ac:dyDescent="0.25">
      <c r="A43" s="90"/>
      <c r="B43" s="104" t="s">
        <v>168</v>
      </c>
      <c r="C43" s="117" t="s">
        <v>169</v>
      </c>
      <c r="D43" s="101" t="s">
        <v>161</v>
      </c>
    </row>
    <row r="44" spans="1:4" ht="11.25" customHeight="1" x14ac:dyDescent="0.25">
      <c r="A44" s="119" t="s">
        <v>170</v>
      </c>
      <c r="B44" s="120"/>
      <c r="C44" s="119"/>
      <c r="D44" s="121"/>
    </row>
    <row r="45" spans="1:4" ht="11.25" customHeight="1" x14ac:dyDescent="0.25">
      <c r="A45" s="88" t="s">
        <v>14</v>
      </c>
      <c r="B45" s="122"/>
      <c r="C45" s="88"/>
      <c r="D45" s="39"/>
    </row>
    <row r="46" spans="1:4" x14ac:dyDescent="0.25">
      <c r="A46" s="88" t="s">
        <v>19</v>
      </c>
      <c r="B46" s="39"/>
      <c r="C46" s="39"/>
      <c r="D46" s="39"/>
    </row>
    <row r="47" spans="1:4" x14ac:dyDescent="0.25">
      <c r="A47" s="123" t="s">
        <v>13</v>
      </c>
      <c r="B47" s="116"/>
      <c r="C47" s="116"/>
      <c r="D47" s="116"/>
    </row>
    <row r="48" spans="1:4" x14ac:dyDescent="0.25">
      <c r="A48" s="68"/>
      <c r="B48" s="113" t="s">
        <v>171</v>
      </c>
      <c r="C48" s="106" t="s">
        <v>19</v>
      </c>
      <c r="D48" s="39" t="s">
        <v>161</v>
      </c>
    </row>
    <row r="49" spans="1:4" x14ac:dyDescent="0.25">
      <c r="A49" s="68"/>
      <c r="B49" s="113" t="s">
        <v>172</v>
      </c>
      <c r="C49" s="106" t="s">
        <v>173</v>
      </c>
      <c r="D49" s="39" t="s">
        <v>161</v>
      </c>
    </row>
    <row r="50" spans="1:4" x14ac:dyDescent="0.25">
      <c r="A50" s="68"/>
      <c r="B50" s="113" t="s">
        <v>174</v>
      </c>
      <c r="C50" s="106" t="s">
        <v>175</v>
      </c>
      <c r="D50" s="39" t="s">
        <v>161</v>
      </c>
    </row>
    <row r="51" spans="1:4" x14ac:dyDescent="0.25">
      <c r="A51" s="68"/>
      <c r="B51" s="113" t="s">
        <v>176</v>
      </c>
      <c r="C51" s="106" t="s">
        <v>177</v>
      </c>
      <c r="D51" s="39" t="s">
        <v>161</v>
      </c>
    </row>
    <row r="52" spans="1:4" x14ac:dyDescent="0.25">
      <c r="A52" s="68"/>
      <c r="B52" s="113" t="s">
        <v>178</v>
      </c>
      <c r="C52" s="106" t="s">
        <v>179</v>
      </c>
      <c r="D52" s="39" t="s">
        <v>161</v>
      </c>
    </row>
    <row r="53" spans="1:4" x14ac:dyDescent="0.25">
      <c r="A53" s="68"/>
      <c r="B53" s="113" t="s">
        <v>180</v>
      </c>
      <c r="C53" s="106" t="s">
        <v>181</v>
      </c>
      <c r="D53" s="39" t="s">
        <v>161</v>
      </c>
    </row>
    <row r="54" spans="1:4" x14ac:dyDescent="0.25">
      <c r="A54" s="68"/>
      <c r="B54" s="113" t="s">
        <v>182</v>
      </c>
      <c r="C54" s="106" t="s">
        <v>183</v>
      </c>
      <c r="D54" s="39" t="s">
        <v>161</v>
      </c>
    </row>
    <row r="55" spans="1:4" ht="11.25" customHeight="1" thickBot="1" x14ac:dyDescent="0.3">
      <c r="A55" s="124"/>
      <c r="B55" s="125" t="s">
        <v>184</v>
      </c>
      <c r="C55" s="126" t="s">
        <v>185</v>
      </c>
      <c r="D55" s="127" t="s">
        <v>161</v>
      </c>
    </row>
    <row r="56" spans="1:4" ht="11.25" customHeight="1" x14ac:dyDescent="0.25">
      <c r="A56" s="67" t="s">
        <v>265</v>
      </c>
      <c r="B56" s="106" t="s">
        <v>186</v>
      </c>
      <c r="C56" s="67"/>
      <c r="D56" s="39"/>
    </row>
    <row r="57" spans="1:4" x14ac:dyDescent="0.25">
      <c r="A57" s="128" t="s">
        <v>266</v>
      </c>
      <c r="B57" s="129" t="s">
        <v>96</v>
      </c>
      <c r="C57" s="128"/>
      <c r="D57" s="98"/>
    </row>
    <row r="58" spans="1:4" ht="11.25" customHeight="1" x14ac:dyDescent="0.25">
      <c r="A58" s="130"/>
      <c r="B58" s="114" t="s">
        <v>96</v>
      </c>
      <c r="C58" s="115" t="s">
        <v>97</v>
      </c>
      <c r="D58" s="116" t="s">
        <v>156</v>
      </c>
    </row>
    <row r="59" spans="1:4" ht="11.25" customHeight="1" x14ac:dyDescent="0.25">
      <c r="A59" s="88" t="s">
        <v>20</v>
      </c>
      <c r="B59" s="122"/>
      <c r="C59" s="88"/>
      <c r="D59" s="39"/>
    </row>
    <row r="60" spans="1:4" ht="11.25" customHeight="1" x14ac:dyDescent="0.25">
      <c r="A60" s="88"/>
      <c r="B60" s="113" t="s">
        <v>187</v>
      </c>
      <c r="C60" s="106" t="s">
        <v>188</v>
      </c>
      <c r="D60" s="39" t="s">
        <v>161</v>
      </c>
    </row>
    <row r="61" spans="1:4" ht="11.25" customHeight="1" x14ac:dyDescent="0.25">
      <c r="A61" s="88"/>
      <c r="B61" s="113" t="s">
        <v>189</v>
      </c>
      <c r="C61" s="106" t="s">
        <v>190</v>
      </c>
      <c r="D61" s="39" t="s">
        <v>161</v>
      </c>
    </row>
    <row r="62" spans="1:4" ht="11.25" customHeight="1" x14ac:dyDescent="0.25">
      <c r="A62" s="88"/>
      <c r="B62" s="113" t="s">
        <v>191</v>
      </c>
      <c r="C62" s="106" t="s">
        <v>192</v>
      </c>
      <c r="D62" s="39" t="s">
        <v>161</v>
      </c>
    </row>
    <row r="63" spans="1:4" ht="11.25" customHeight="1" x14ac:dyDescent="0.25">
      <c r="A63" s="123"/>
      <c r="B63" s="114" t="s">
        <v>193</v>
      </c>
      <c r="C63" s="115" t="s">
        <v>194</v>
      </c>
      <c r="D63" s="116" t="s">
        <v>161</v>
      </c>
    </row>
    <row r="64" spans="1:4" ht="11.25" customHeight="1" x14ac:dyDescent="0.25">
      <c r="A64" s="88" t="s">
        <v>12</v>
      </c>
      <c r="B64" s="122"/>
      <c r="C64" s="88"/>
      <c r="D64" s="39"/>
    </row>
    <row r="65" spans="1:4" ht="11.25" customHeight="1" x14ac:dyDescent="0.25">
      <c r="A65" s="88"/>
      <c r="B65" s="113" t="s">
        <v>195</v>
      </c>
      <c r="C65" s="106" t="s">
        <v>196</v>
      </c>
      <c r="D65" s="39" t="s">
        <v>161</v>
      </c>
    </row>
    <row r="66" spans="1:4" ht="11.25" customHeight="1" x14ac:dyDescent="0.25">
      <c r="A66" s="88"/>
      <c r="B66" s="113" t="s">
        <v>197</v>
      </c>
      <c r="C66" s="106" t="s">
        <v>198</v>
      </c>
      <c r="D66" s="39" t="s">
        <v>161</v>
      </c>
    </row>
    <row r="67" spans="1:4" ht="11.25" customHeight="1" x14ac:dyDescent="0.25">
      <c r="A67" s="88"/>
      <c r="B67" s="113" t="s">
        <v>199</v>
      </c>
      <c r="C67" s="106" t="s">
        <v>200</v>
      </c>
      <c r="D67" s="39" t="s">
        <v>161</v>
      </c>
    </row>
    <row r="68" spans="1:4" ht="11.25" customHeight="1" x14ac:dyDescent="0.25">
      <c r="A68" s="88"/>
      <c r="B68" s="113" t="s">
        <v>201</v>
      </c>
      <c r="C68" s="106" t="s">
        <v>202</v>
      </c>
      <c r="D68" s="39" t="s">
        <v>161</v>
      </c>
    </row>
    <row r="69" spans="1:4" ht="11.25" customHeight="1" x14ac:dyDescent="0.25">
      <c r="A69" s="88"/>
      <c r="B69" s="113" t="s">
        <v>203</v>
      </c>
      <c r="C69" s="106" t="s">
        <v>204</v>
      </c>
      <c r="D69" s="39" t="s">
        <v>161</v>
      </c>
    </row>
    <row r="70" spans="1:4" ht="11.25" customHeight="1" x14ac:dyDescent="0.25">
      <c r="A70" s="88"/>
      <c r="B70" s="113" t="s">
        <v>205</v>
      </c>
      <c r="C70" s="106" t="s">
        <v>206</v>
      </c>
      <c r="D70" s="39" t="s">
        <v>161</v>
      </c>
    </row>
    <row r="71" spans="1:4" ht="11.25" customHeight="1" x14ac:dyDescent="0.25">
      <c r="A71" s="131"/>
      <c r="B71" s="104" t="s">
        <v>207</v>
      </c>
      <c r="C71" s="117" t="s">
        <v>208</v>
      </c>
      <c r="D71" s="101" t="s">
        <v>161</v>
      </c>
    </row>
    <row r="72" spans="1:4" x14ac:dyDescent="0.25">
      <c r="A72" s="128" t="s">
        <v>11</v>
      </c>
      <c r="B72" s="129" t="s">
        <v>98</v>
      </c>
      <c r="C72" s="128"/>
      <c r="D72" s="98"/>
    </row>
    <row r="73" spans="1:4" ht="11.25" customHeight="1" thickBot="1" x14ac:dyDescent="0.3">
      <c r="A73" s="124"/>
      <c r="B73" s="125" t="s">
        <v>98</v>
      </c>
      <c r="C73" s="126" t="s">
        <v>99</v>
      </c>
      <c r="D73" s="127" t="s">
        <v>156</v>
      </c>
    </row>
    <row r="74" spans="1:4" ht="11.25" customHeight="1" x14ac:dyDescent="0.25">
      <c r="A74" s="67" t="s">
        <v>4</v>
      </c>
      <c r="B74" s="106" t="s">
        <v>122</v>
      </c>
      <c r="C74" s="67"/>
      <c r="D74" s="39"/>
    </row>
    <row r="75" spans="1:4" ht="11.25" customHeight="1" x14ac:dyDescent="0.25">
      <c r="A75" s="104"/>
      <c r="B75" s="104" t="s">
        <v>122</v>
      </c>
      <c r="C75" s="117" t="s">
        <v>123</v>
      </c>
      <c r="D75" s="101" t="s">
        <v>156</v>
      </c>
    </row>
    <row r="76" spans="1:4" ht="11.25" customHeight="1" x14ac:dyDescent="0.25">
      <c r="A76" s="119" t="s">
        <v>209</v>
      </c>
      <c r="B76" s="120"/>
      <c r="C76" s="119"/>
      <c r="D76" s="121"/>
    </row>
    <row r="77" spans="1:4" ht="11.25" customHeight="1" x14ac:dyDescent="0.25">
      <c r="A77" s="88"/>
      <c r="B77" s="113" t="s">
        <v>210</v>
      </c>
      <c r="C77" s="106" t="s">
        <v>211</v>
      </c>
      <c r="D77" s="39" t="s">
        <v>161</v>
      </c>
    </row>
    <row r="78" spans="1:4" ht="11.25" customHeight="1" x14ac:dyDescent="0.25">
      <c r="A78" s="123"/>
      <c r="B78" s="114" t="s">
        <v>212</v>
      </c>
      <c r="C78" s="115" t="s">
        <v>213</v>
      </c>
      <c r="D78" s="116" t="s">
        <v>161</v>
      </c>
    </row>
    <row r="79" spans="1:4" ht="11.25" customHeight="1" x14ac:dyDescent="0.25">
      <c r="A79" s="119" t="s">
        <v>18</v>
      </c>
      <c r="B79" s="120"/>
      <c r="C79" s="119"/>
      <c r="D79" s="121"/>
    </row>
    <row r="80" spans="1:4" ht="11.25" customHeight="1" x14ac:dyDescent="0.25">
      <c r="A80" s="123"/>
      <c r="B80" s="114" t="s">
        <v>214</v>
      </c>
      <c r="C80" s="115" t="s">
        <v>215</v>
      </c>
      <c r="D80" s="116" t="s">
        <v>161</v>
      </c>
    </row>
    <row r="81" spans="1:4" ht="11.25" customHeight="1" x14ac:dyDescent="0.25">
      <c r="A81" s="119" t="s">
        <v>9</v>
      </c>
      <c r="B81" s="120"/>
      <c r="C81" s="119"/>
      <c r="D81" s="121"/>
    </row>
    <row r="82" spans="1:4" ht="11.25" customHeight="1" x14ac:dyDescent="0.25">
      <c r="A82" s="88"/>
      <c r="B82" s="113" t="s">
        <v>216</v>
      </c>
      <c r="C82" s="106" t="s">
        <v>217</v>
      </c>
      <c r="D82" s="39" t="s">
        <v>161</v>
      </c>
    </row>
    <row r="83" spans="1:4" ht="11.25" customHeight="1" x14ac:dyDescent="0.25">
      <c r="A83" s="88"/>
      <c r="B83" s="113" t="s">
        <v>218</v>
      </c>
      <c r="C83" s="106" t="s">
        <v>219</v>
      </c>
      <c r="D83" s="39" t="s">
        <v>161</v>
      </c>
    </row>
    <row r="84" spans="1:4" ht="11.25" customHeight="1" x14ac:dyDescent="0.25">
      <c r="A84" s="88"/>
      <c r="B84" s="113" t="s">
        <v>220</v>
      </c>
      <c r="C84" s="106" t="s">
        <v>221</v>
      </c>
      <c r="D84" s="39" t="s">
        <v>161</v>
      </c>
    </row>
    <row r="85" spans="1:4" ht="11.25" customHeight="1" x14ac:dyDescent="0.25">
      <c r="A85" s="88"/>
      <c r="B85" s="113" t="s">
        <v>222</v>
      </c>
      <c r="C85" s="106" t="s">
        <v>223</v>
      </c>
      <c r="D85" s="39" t="s">
        <v>161</v>
      </c>
    </row>
    <row r="86" spans="1:4" ht="11.25" customHeight="1" thickBot="1" x14ac:dyDescent="0.3">
      <c r="A86" s="132"/>
      <c r="B86" s="125" t="s">
        <v>224</v>
      </c>
      <c r="C86" s="126" t="s">
        <v>225</v>
      </c>
      <c r="D86" s="127" t="s">
        <v>161</v>
      </c>
    </row>
    <row r="87" spans="1:4" ht="11.25" customHeight="1" x14ac:dyDescent="0.25">
      <c r="A87" s="67" t="s">
        <v>3</v>
      </c>
      <c r="B87" s="106" t="s">
        <v>226</v>
      </c>
      <c r="C87" s="67"/>
      <c r="D87" s="39"/>
    </row>
    <row r="88" spans="1:4" x14ac:dyDescent="0.25">
      <c r="A88" s="128" t="s">
        <v>21</v>
      </c>
      <c r="B88" s="129" t="s">
        <v>117</v>
      </c>
      <c r="C88" s="128"/>
      <c r="D88" s="98"/>
    </row>
    <row r="89" spans="1:4" ht="11.25" customHeight="1" x14ac:dyDescent="0.25">
      <c r="A89" s="130"/>
      <c r="B89" s="114" t="s">
        <v>117</v>
      </c>
      <c r="C89" s="115" t="s">
        <v>118</v>
      </c>
      <c r="D89" s="116" t="s">
        <v>156</v>
      </c>
    </row>
    <row r="90" spans="1:4" ht="11.25" customHeight="1" x14ac:dyDescent="0.25">
      <c r="A90" s="88" t="s">
        <v>8</v>
      </c>
      <c r="B90" s="122"/>
      <c r="C90" s="88"/>
      <c r="D90" s="39"/>
    </row>
    <row r="91" spans="1:4" ht="11.25" customHeight="1" x14ac:dyDescent="0.25">
      <c r="A91" s="123"/>
      <c r="B91" s="114" t="s">
        <v>227</v>
      </c>
      <c r="C91" s="115" t="s">
        <v>228</v>
      </c>
      <c r="D91" s="116" t="s">
        <v>161</v>
      </c>
    </row>
    <row r="92" spans="1:4" ht="11.25" customHeight="1" x14ac:dyDescent="0.25">
      <c r="A92" s="88" t="s">
        <v>17</v>
      </c>
      <c r="B92" s="122"/>
      <c r="C92" s="88"/>
      <c r="D92" s="39"/>
    </row>
    <row r="93" spans="1:4" ht="11.25" customHeight="1" x14ac:dyDescent="0.25">
      <c r="A93" s="88"/>
      <c r="B93" s="113" t="s">
        <v>229</v>
      </c>
      <c r="C93" s="106" t="s">
        <v>230</v>
      </c>
      <c r="D93" s="39" t="s">
        <v>161</v>
      </c>
    </row>
    <row r="94" spans="1:4" ht="11.25" customHeight="1" x14ac:dyDescent="0.25">
      <c r="A94" s="131"/>
      <c r="B94" s="104" t="s">
        <v>231</v>
      </c>
      <c r="C94" s="117" t="s">
        <v>232</v>
      </c>
      <c r="D94" s="101" t="s">
        <v>161</v>
      </c>
    </row>
    <row r="95" spans="1:4" x14ac:dyDescent="0.25">
      <c r="A95" s="128" t="s">
        <v>16</v>
      </c>
      <c r="B95" s="129" t="s">
        <v>119</v>
      </c>
      <c r="C95" s="128"/>
      <c r="D95" s="98"/>
    </row>
    <row r="96" spans="1:4" ht="11.25" customHeight="1" thickBot="1" x14ac:dyDescent="0.3">
      <c r="A96" s="124"/>
      <c r="B96" s="125" t="s">
        <v>119</v>
      </c>
      <c r="C96" s="126" t="s">
        <v>7</v>
      </c>
      <c r="D96" s="127" t="s">
        <v>156</v>
      </c>
    </row>
    <row r="97" spans="1:4" ht="11.25" customHeight="1" x14ac:dyDescent="0.25">
      <c r="A97" s="118" t="s">
        <v>2</v>
      </c>
      <c r="B97" s="103" t="s">
        <v>88</v>
      </c>
      <c r="C97" s="118"/>
      <c r="D97" s="98"/>
    </row>
    <row r="98" spans="1:4" ht="11.25" customHeight="1" thickBot="1" x14ac:dyDescent="0.3">
      <c r="A98" s="125"/>
      <c r="B98" s="125" t="s">
        <v>88</v>
      </c>
      <c r="C98" s="126" t="s">
        <v>89</v>
      </c>
      <c r="D98" s="127" t="s">
        <v>233</v>
      </c>
    </row>
    <row r="99" spans="1:4" ht="11.25" customHeight="1" x14ac:dyDescent="0.25">
      <c r="A99" s="118" t="s">
        <v>269</v>
      </c>
      <c r="B99" s="103" t="s">
        <v>110</v>
      </c>
      <c r="C99" s="118"/>
      <c r="D99" s="98"/>
    </row>
    <row r="100" spans="1:4" ht="11.25" customHeight="1" thickBot="1" x14ac:dyDescent="0.3">
      <c r="A100" s="125"/>
      <c r="B100" s="125" t="s">
        <v>110</v>
      </c>
      <c r="C100" s="126" t="s">
        <v>111</v>
      </c>
      <c r="D100" s="127" t="s">
        <v>233</v>
      </c>
    </row>
    <row r="101" spans="1:4" ht="11.25" customHeight="1" x14ac:dyDescent="0.25">
      <c r="A101" s="118" t="s">
        <v>270</v>
      </c>
      <c r="B101" s="103" t="s">
        <v>234</v>
      </c>
      <c r="C101" s="118"/>
      <c r="D101" s="98"/>
    </row>
    <row r="102" spans="1:4" ht="11.25" customHeight="1" x14ac:dyDescent="0.25">
      <c r="A102" s="67"/>
      <c r="B102" s="113" t="s">
        <v>126</v>
      </c>
      <c r="C102" s="106" t="s">
        <v>127</v>
      </c>
      <c r="D102" s="107" t="s">
        <v>156</v>
      </c>
    </row>
    <row r="103" spans="1:4" ht="11.25" customHeight="1" x14ac:dyDescent="0.25">
      <c r="A103" s="67"/>
      <c r="B103" s="113" t="s">
        <v>104</v>
      </c>
      <c r="C103" s="106" t="s">
        <v>105</v>
      </c>
      <c r="D103" s="107" t="s">
        <v>156</v>
      </c>
    </row>
    <row r="104" spans="1:4" ht="11.25" customHeight="1" x14ac:dyDescent="0.25">
      <c r="A104" s="67"/>
      <c r="B104" s="113" t="s">
        <v>106</v>
      </c>
      <c r="C104" s="106" t="s">
        <v>107</v>
      </c>
      <c r="D104" s="107" t="s">
        <v>156</v>
      </c>
    </row>
    <row r="105" spans="1:4" ht="11.25" customHeight="1" thickBot="1" x14ac:dyDescent="0.3">
      <c r="A105" s="125"/>
      <c r="B105" s="125" t="s">
        <v>108</v>
      </c>
      <c r="C105" s="126" t="s">
        <v>109</v>
      </c>
      <c r="D105" s="127" t="s">
        <v>156</v>
      </c>
    </row>
    <row r="106" spans="1:4" ht="11.25" customHeight="1" x14ac:dyDescent="0.25">
      <c r="A106" s="118" t="s">
        <v>1</v>
      </c>
      <c r="B106" s="103" t="s">
        <v>90</v>
      </c>
      <c r="C106" s="118"/>
      <c r="D106" s="98"/>
    </row>
    <row r="107" spans="1:4" ht="11.25" customHeight="1" thickBot="1" x14ac:dyDescent="0.3">
      <c r="A107" s="125"/>
      <c r="B107" s="125" t="s">
        <v>90</v>
      </c>
      <c r="C107" s="126" t="s">
        <v>91</v>
      </c>
      <c r="D107" s="127" t="s">
        <v>233</v>
      </c>
    </row>
    <row r="108" spans="1:4" ht="11.25" customHeight="1" x14ac:dyDescent="0.25">
      <c r="A108" s="118" t="s">
        <v>0</v>
      </c>
      <c r="B108" s="103" t="s">
        <v>115</v>
      </c>
      <c r="C108" s="118"/>
      <c r="D108" s="98"/>
    </row>
    <row r="109" spans="1:4" ht="11.25" customHeight="1" thickBot="1" x14ac:dyDescent="0.3">
      <c r="A109" s="125"/>
      <c r="B109" s="125" t="s">
        <v>115</v>
      </c>
      <c r="C109" s="126" t="s">
        <v>116</v>
      </c>
      <c r="D109" s="127" t="s">
        <v>156</v>
      </c>
    </row>
    <row r="110" spans="1:4" ht="11.25" customHeight="1" x14ac:dyDescent="0.25">
      <c r="A110" s="118" t="s">
        <v>272</v>
      </c>
      <c r="B110" s="103" t="s">
        <v>235</v>
      </c>
      <c r="C110" s="118"/>
      <c r="D110" s="98"/>
    </row>
    <row r="111" spans="1:4" ht="11.25" customHeight="1" x14ac:dyDescent="0.25">
      <c r="A111" s="67"/>
      <c r="B111" s="113" t="s">
        <v>120</v>
      </c>
      <c r="C111" s="106" t="s">
        <v>121</v>
      </c>
      <c r="D111" s="107" t="s">
        <v>156</v>
      </c>
    </row>
    <row r="112" spans="1:4" ht="11.25" customHeight="1" thickBot="1" x14ac:dyDescent="0.3">
      <c r="A112" s="125"/>
      <c r="B112" s="125" t="s">
        <v>132</v>
      </c>
      <c r="C112" s="126" t="s">
        <v>133</v>
      </c>
      <c r="D112" s="127" t="s">
        <v>156</v>
      </c>
    </row>
  </sheetData>
  <pageMargins left="0.19685039370078741" right="0.19685039370078741" top="0.19685039370078741" bottom="0.19685039370078741" header="0.11811023622047244" footer="0.11811023622047244"/>
  <pageSetup paperSize="9" scale="80" fitToHeight="0" orientation="landscape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cover</vt:lpstr>
      <vt:lpstr>index</vt:lpstr>
      <vt:lpstr>Macro_CurrPrices</vt:lpstr>
      <vt:lpstr>Macro_euro2023</vt:lpstr>
      <vt:lpstr>Macro_JRC-IDEES</vt:lpstr>
      <vt:lpstr>definitions</vt:lpstr>
      <vt:lpstr>definitions!Print_Area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JRC-IDEES-2023</dc:title>
  <dc:creator>JRC C.6</dc:creator>
  <dc:description>v2023-1.00</dc:description>
  <cp:lastModifiedBy>JRC-SVQ-ROZSAMA</cp:lastModifiedBy>
  <dcterms:created xsi:type="dcterms:W3CDTF">2025-11-06T10:20:09Z</dcterms:created>
  <dcterms:modified xsi:type="dcterms:W3CDTF">2025-11-06T10:20:09Z</dcterms:modified>
</cp:coreProperties>
</file>