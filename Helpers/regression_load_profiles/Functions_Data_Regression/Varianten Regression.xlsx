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asterarbeit\04_Daten\6_Programm\2_Funktionen_Daten_Regression\"/>
    </mc:Choice>
  </mc:AlternateContent>
  <xr:revisionPtr revIDLastSave="0" documentId="13_ncr:1_{0B4E4B36-162F-4A36-93B2-54609B311351}" xr6:coauthVersionLast="47" xr6:coauthVersionMax="47" xr10:uidLastSave="{00000000-0000-0000-0000-000000000000}"/>
  <bookViews>
    <workbookView xWindow="-110" yWindow="-110" windowWidth="38620" windowHeight="21220" xr2:uid="{A92BC651-FC94-4327-B46A-BBBA173E2BBD}"/>
  </bookViews>
  <sheets>
    <sheet name="Strom" sheetId="1" r:id="rId1"/>
    <sheet name="Wärme" sheetId="2" r:id="rId2"/>
    <sheet name="Strom gesam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J2" i="1"/>
  <c r="J6" i="1"/>
  <c r="J10" i="1"/>
  <c r="J14" i="1"/>
  <c r="J18" i="1"/>
  <c r="J22" i="1"/>
  <c r="J26" i="1"/>
  <c r="J30" i="1"/>
  <c r="J34" i="1"/>
  <c r="J38" i="1"/>
  <c r="J42" i="1"/>
  <c r="J46" i="1"/>
  <c r="J3" i="1"/>
  <c r="J7" i="1"/>
  <c r="J11" i="1"/>
  <c r="J15" i="1"/>
  <c r="J19" i="1"/>
  <c r="J23" i="1"/>
  <c r="J27" i="1"/>
  <c r="J31" i="1"/>
  <c r="J35" i="1"/>
  <c r="J39" i="1"/>
  <c r="J43" i="1"/>
  <c r="J47" i="1"/>
  <c r="J4" i="1"/>
  <c r="J8" i="1"/>
  <c r="J12" i="1"/>
  <c r="J16" i="1"/>
  <c r="J20" i="1"/>
  <c r="J24" i="1"/>
  <c r="J28" i="1"/>
  <c r="J32" i="1"/>
  <c r="J36" i="1"/>
  <c r="J40" i="1"/>
  <c r="J44" i="1"/>
  <c r="J48" i="1"/>
  <c r="J5" i="1"/>
  <c r="J9" i="1"/>
  <c r="J13" i="1"/>
  <c r="J17" i="1"/>
  <c r="J21" i="1"/>
  <c r="J25" i="1"/>
  <c r="J29" i="1"/>
  <c r="J33" i="1"/>
  <c r="J37" i="1"/>
  <c r="J41" i="1"/>
  <c r="J45" i="1"/>
  <c r="J49" i="1"/>
  <c r="J50" i="1"/>
  <c r="J54" i="1"/>
  <c r="J58" i="1"/>
  <c r="J62" i="1"/>
  <c r="J66" i="1"/>
  <c r="J70" i="1"/>
  <c r="J74" i="1"/>
  <c r="J78" i="1"/>
  <c r="J82" i="1"/>
  <c r="J86" i="1"/>
  <c r="J90" i="1"/>
  <c r="J94" i="1"/>
  <c r="J51" i="1"/>
  <c r="J55" i="1"/>
  <c r="J59" i="1"/>
  <c r="J63" i="1"/>
  <c r="J67" i="1"/>
  <c r="J71" i="1"/>
  <c r="J75" i="1"/>
  <c r="J79" i="1"/>
  <c r="J83" i="1"/>
  <c r="J87" i="1"/>
  <c r="J91" i="1"/>
  <c r="J95" i="1"/>
  <c r="J52" i="1"/>
  <c r="J56" i="1"/>
  <c r="J60" i="1"/>
  <c r="J64" i="1"/>
  <c r="J68" i="1"/>
  <c r="J72" i="1"/>
  <c r="J76" i="1"/>
  <c r="J80" i="1"/>
  <c r="J84" i="1"/>
  <c r="J88" i="1"/>
  <c r="J92" i="1"/>
  <c r="J96" i="1"/>
  <c r="J53" i="1"/>
  <c r="J57" i="1"/>
  <c r="J61" i="1"/>
  <c r="J65" i="1"/>
  <c r="J69" i="1"/>
  <c r="J73" i="1"/>
  <c r="J77" i="1"/>
  <c r="J81" i="1"/>
  <c r="J85" i="1"/>
  <c r="J89" i="1"/>
  <c r="J93" i="1"/>
  <c r="J97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01" i="1"/>
  <c r="J105" i="1"/>
  <c r="J109" i="1"/>
  <c r="J113" i="1"/>
  <c r="J117" i="1"/>
  <c r="J121" i="1"/>
  <c r="J125" i="1"/>
  <c r="J129" i="1"/>
  <c r="J133" i="1"/>
  <c r="J137" i="1"/>
  <c r="J141" i="1"/>
  <c r="J145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49" i="1"/>
  <c r="J153" i="1"/>
  <c r="J157" i="1"/>
  <c r="J161" i="1"/>
  <c r="J165" i="1"/>
  <c r="J169" i="1"/>
  <c r="J173" i="1"/>
  <c r="J177" i="1"/>
  <c r="J181" i="1"/>
  <c r="J185" i="1"/>
  <c r="J189" i="1"/>
  <c r="J193" i="1"/>
  <c r="J14" i="4"/>
  <c r="J8" i="4"/>
  <c r="J20" i="4"/>
  <c r="J194" i="4"/>
  <c r="J206" i="4"/>
  <c r="J200" i="4"/>
  <c r="J212" i="4"/>
  <c r="J98" i="4"/>
  <c r="J110" i="4"/>
  <c r="J104" i="4"/>
  <c r="J116" i="4"/>
  <c r="J290" i="4"/>
  <c r="J302" i="4"/>
  <c r="J296" i="4"/>
  <c r="J308" i="4"/>
  <c r="J5" i="4"/>
  <c r="J17" i="4"/>
  <c r="J11" i="4"/>
  <c r="J23" i="4"/>
  <c r="J197" i="4"/>
  <c r="J209" i="4"/>
  <c r="J203" i="4"/>
  <c r="J215" i="4"/>
  <c r="J101" i="4"/>
  <c r="J113" i="4"/>
  <c r="J107" i="4"/>
  <c r="J119" i="4"/>
  <c r="J293" i="4"/>
  <c r="J305" i="4"/>
  <c r="J299" i="4"/>
  <c r="J311" i="4"/>
  <c r="J3" i="4"/>
  <c r="J15" i="4"/>
  <c r="J9" i="4"/>
  <c r="J21" i="4"/>
  <c r="J195" i="4"/>
  <c r="J207" i="4"/>
  <c r="J201" i="4"/>
  <c r="J213" i="4"/>
  <c r="J99" i="4"/>
  <c r="J111" i="4"/>
  <c r="J105" i="4"/>
  <c r="J117" i="4"/>
  <c r="J291" i="4"/>
  <c r="J303" i="4"/>
  <c r="J297" i="4"/>
  <c r="J309" i="4"/>
  <c r="J6" i="4"/>
  <c r="J18" i="4"/>
  <c r="J12" i="4"/>
  <c r="J24" i="4"/>
  <c r="J198" i="4"/>
  <c r="J210" i="4"/>
  <c r="J204" i="4"/>
  <c r="J216" i="4"/>
  <c r="J102" i="4"/>
  <c r="J114" i="4"/>
  <c r="J108" i="4"/>
  <c r="J120" i="4"/>
  <c r="J294" i="4"/>
  <c r="J306" i="4"/>
  <c r="J300" i="4"/>
  <c r="J312" i="4"/>
  <c r="J4" i="4"/>
  <c r="J16" i="4"/>
  <c r="J10" i="4"/>
  <c r="J22" i="4"/>
  <c r="J196" i="4"/>
  <c r="J208" i="4"/>
  <c r="J202" i="4"/>
  <c r="J214" i="4"/>
  <c r="J100" i="4"/>
  <c r="J112" i="4"/>
  <c r="J106" i="4"/>
  <c r="J118" i="4"/>
  <c r="J292" i="4"/>
  <c r="J304" i="4"/>
  <c r="J298" i="4"/>
  <c r="J310" i="4"/>
  <c r="J7" i="4"/>
  <c r="J19" i="4"/>
  <c r="J13" i="4"/>
  <c r="J25" i="4"/>
  <c r="J199" i="4"/>
  <c r="J211" i="4"/>
  <c r="J205" i="4"/>
  <c r="J217" i="4"/>
  <c r="J103" i="4"/>
  <c r="J115" i="4"/>
  <c r="J109" i="4"/>
  <c r="J121" i="4"/>
  <c r="J295" i="4"/>
  <c r="J307" i="4"/>
  <c r="J301" i="4"/>
  <c r="J313" i="4"/>
  <c r="J26" i="4"/>
  <c r="J38" i="4"/>
  <c r="J32" i="4"/>
  <c r="J44" i="4"/>
  <c r="J218" i="4"/>
  <c r="J230" i="4"/>
  <c r="J224" i="4"/>
  <c r="J236" i="4"/>
  <c r="J122" i="4"/>
  <c r="J134" i="4"/>
  <c r="J128" i="4"/>
  <c r="J140" i="4"/>
  <c r="J314" i="4"/>
  <c r="J326" i="4"/>
  <c r="J320" i="4"/>
  <c r="J332" i="4"/>
  <c r="J29" i="4"/>
  <c r="J41" i="4"/>
  <c r="J35" i="4"/>
  <c r="J47" i="4"/>
  <c r="J221" i="4"/>
  <c r="J233" i="4"/>
  <c r="J227" i="4"/>
  <c r="J239" i="4"/>
  <c r="J125" i="4"/>
  <c r="J137" i="4"/>
  <c r="J131" i="4"/>
  <c r="J143" i="4"/>
  <c r="J317" i="4"/>
  <c r="J329" i="4"/>
  <c r="J323" i="4"/>
  <c r="J335" i="4"/>
  <c r="J27" i="4"/>
  <c r="J39" i="4"/>
  <c r="J33" i="4"/>
  <c r="J45" i="4"/>
  <c r="J219" i="4"/>
  <c r="J231" i="4"/>
  <c r="J225" i="4"/>
  <c r="J237" i="4"/>
  <c r="J123" i="4"/>
  <c r="J135" i="4"/>
  <c r="J129" i="4"/>
  <c r="J141" i="4"/>
  <c r="J315" i="4"/>
  <c r="J327" i="4"/>
  <c r="J321" i="4"/>
  <c r="J333" i="4"/>
  <c r="J30" i="4"/>
  <c r="J42" i="4"/>
  <c r="J36" i="4"/>
  <c r="J48" i="4"/>
  <c r="J222" i="4"/>
  <c r="J234" i="4"/>
  <c r="J228" i="4"/>
  <c r="J240" i="4"/>
  <c r="J126" i="4"/>
  <c r="J138" i="4"/>
  <c r="J132" i="4"/>
  <c r="J144" i="4"/>
  <c r="J318" i="4"/>
  <c r="J330" i="4"/>
  <c r="J324" i="4"/>
  <c r="J336" i="4"/>
  <c r="J28" i="4"/>
  <c r="J40" i="4"/>
  <c r="J34" i="4"/>
  <c r="J46" i="4"/>
  <c r="J220" i="4"/>
  <c r="J232" i="4"/>
  <c r="J226" i="4"/>
  <c r="J238" i="4"/>
  <c r="J124" i="4"/>
  <c r="J136" i="4"/>
  <c r="J130" i="4"/>
  <c r="J142" i="4"/>
  <c r="J316" i="4"/>
  <c r="J328" i="4"/>
  <c r="J322" i="4"/>
  <c r="J334" i="4"/>
  <c r="J31" i="4"/>
  <c r="J43" i="4"/>
  <c r="J37" i="4"/>
  <c r="J49" i="4"/>
  <c r="J223" i="4"/>
  <c r="J235" i="4"/>
  <c r="J229" i="4"/>
  <c r="J241" i="4"/>
  <c r="J127" i="4"/>
  <c r="J139" i="4"/>
  <c r="J133" i="4"/>
  <c r="J145" i="4"/>
  <c r="J319" i="4"/>
  <c r="J331" i="4"/>
  <c r="J325" i="4"/>
  <c r="J337" i="4"/>
  <c r="J50" i="4"/>
  <c r="J62" i="4"/>
  <c r="J56" i="4"/>
  <c r="J68" i="4"/>
  <c r="J242" i="4"/>
  <c r="J254" i="4"/>
  <c r="J248" i="4"/>
  <c r="J260" i="4"/>
  <c r="J146" i="4"/>
  <c r="J158" i="4"/>
  <c r="J152" i="4"/>
  <c r="J164" i="4"/>
  <c r="J338" i="4"/>
  <c r="J350" i="4"/>
  <c r="J344" i="4"/>
  <c r="J356" i="4"/>
  <c r="J53" i="4"/>
  <c r="J65" i="4"/>
  <c r="J59" i="4"/>
  <c r="J71" i="4"/>
  <c r="J245" i="4"/>
  <c r="J257" i="4"/>
  <c r="J251" i="4"/>
  <c r="J263" i="4"/>
  <c r="J149" i="4"/>
  <c r="J161" i="4"/>
  <c r="J155" i="4"/>
  <c r="J167" i="4"/>
  <c r="J341" i="4"/>
  <c r="J353" i="4"/>
  <c r="J347" i="4"/>
  <c r="J359" i="4"/>
  <c r="J51" i="4"/>
  <c r="J63" i="4"/>
  <c r="J57" i="4"/>
  <c r="J69" i="4"/>
  <c r="J243" i="4"/>
  <c r="J255" i="4"/>
  <c r="J249" i="4"/>
  <c r="J261" i="4"/>
  <c r="J147" i="4"/>
  <c r="J159" i="4"/>
  <c r="J153" i="4"/>
  <c r="J165" i="4"/>
  <c r="J339" i="4"/>
  <c r="J351" i="4"/>
  <c r="J345" i="4"/>
  <c r="J357" i="4"/>
  <c r="J54" i="4"/>
  <c r="J66" i="4"/>
  <c r="J60" i="4"/>
  <c r="J72" i="4"/>
  <c r="J246" i="4"/>
  <c r="J258" i="4"/>
  <c r="J252" i="4"/>
  <c r="J264" i="4"/>
  <c r="J150" i="4"/>
  <c r="J162" i="4"/>
  <c r="J156" i="4"/>
  <c r="J168" i="4"/>
  <c r="J342" i="4"/>
  <c r="J354" i="4"/>
  <c r="J348" i="4"/>
  <c r="J360" i="4"/>
  <c r="J52" i="4"/>
  <c r="J64" i="4"/>
  <c r="J58" i="4"/>
  <c r="J70" i="4"/>
  <c r="J244" i="4"/>
  <c r="J256" i="4"/>
  <c r="J250" i="4"/>
  <c r="J262" i="4"/>
  <c r="J148" i="4"/>
  <c r="J160" i="4"/>
  <c r="J154" i="4"/>
  <c r="J166" i="4"/>
  <c r="J340" i="4"/>
  <c r="J352" i="4"/>
  <c r="J346" i="4"/>
  <c r="J358" i="4"/>
  <c r="J55" i="4"/>
  <c r="J67" i="4"/>
  <c r="J61" i="4"/>
  <c r="J73" i="4"/>
  <c r="J247" i="4"/>
  <c r="J259" i="4"/>
  <c r="J253" i="4"/>
  <c r="J265" i="4"/>
  <c r="J151" i="4"/>
  <c r="J163" i="4"/>
  <c r="J157" i="4"/>
  <c r="J169" i="4"/>
  <c r="J343" i="4"/>
  <c r="J355" i="4"/>
  <c r="J349" i="4"/>
  <c r="J361" i="4"/>
  <c r="J74" i="4"/>
  <c r="J86" i="4"/>
  <c r="J80" i="4"/>
  <c r="J92" i="4"/>
  <c r="J266" i="4"/>
  <c r="J278" i="4"/>
  <c r="J272" i="4"/>
  <c r="J284" i="4"/>
  <c r="J170" i="4"/>
  <c r="J182" i="4"/>
  <c r="J176" i="4"/>
  <c r="J188" i="4"/>
  <c r="J362" i="4"/>
  <c r="J374" i="4"/>
  <c r="J368" i="4"/>
  <c r="J380" i="4"/>
  <c r="J77" i="4"/>
  <c r="J89" i="4"/>
  <c r="J83" i="4"/>
  <c r="J95" i="4"/>
  <c r="J269" i="4"/>
  <c r="J281" i="4"/>
  <c r="J275" i="4"/>
  <c r="J287" i="4"/>
  <c r="J173" i="4"/>
  <c r="J185" i="4"/>
  <c r="J179" i="4"/>
  <c r="J191" i="4"/>
  <c r="J365" i="4"/>
  <c r="J377" i="4"/>
  <c r="J371" i="4"/>
  <c r="J383" i="4"/>
  <c r="J75" i="4"/>
  <c r="J87" i="4"/>
  <c r="J81" i="4"/>
  <c r="J93" i="4"/>
  <c r="J267" i="4"/>
  <c r="J279" i="4"/>
  <c r="J273" i="4"/>
  <c r="J285" i="4"/>
  <c r="J171" i="4"/>
  <c r="J183" i="4"/>
  <c r="J177" i="4"/>
  <c r="J189" i="4"/>
  <c r="J363" i="4"/>
  <c r="J375" i="4"/>
  <c r="J369" i="4"/>
  <c r="J381" i="4"/>
  <c r="J78" i="4"/>
  <c r="J90" i="4"/>
  <c r="J84" i="4"/>
  <c r="J96" i="4"/>
  <c r="J270" i="4"/>
  <c r="J282" i="4"/>
  <c r="J276" i="4"/>
  <c r="J288" i="4"/>
  <c r="J174" i="4"/>
  <c r="J186" i="4"/>
  <c r="J180" i="4"/>
  <c r="J192" i="4"/>
  <c r="J366" i="4"/>
  <c r="J378" i="4"/>
  <c r="J372" i="4"/>
  <c r="J384" i="4"/>
  <c r="J76" i="4"/>
  <c r="J88" i="4"/>
  <c r="J82" i="4"/>
  <c r="J94" i="4"/>
  <c r="J268" i="4"/>
  <c r="J280" i="4"/>
  <c r="J274" i="4"/>
  <c r="J286" i="4"/>
  <c r="J172" i="4"/>
  <c r="J184" i="4"/>
  <c r="J178" i="4"/>
  <c r="J190" i="4"/>
  <c r="J364" i="4"/>
  <c r="J376" i="4"/>
  <c r="J370" i="4"/>
  <c r="J382" i="4"/>
  <c r="J79" i="4"/>
  <c r="J91" i="4"/>
  <c r="J85" i="4"/>
  <c r="J97" i="4"/>
  <c r="J271" i="4"/>
  <c r="J283" i="4"/>
  <c r="J277" i="4"/>
  <c r="J289" i="4"/>
  <c r="J175" i="4"/>
  <c r="J187" i="4"/>
  <c r="J181" i="4"/>
  <c r="J193" i="4"/>
  <c r="J367" i="4"/>
  <c r="J379" i="4"/>
  <c r="J373" i="4"/>
  <c r="J385" i="4"/>
  <c r="J2" i="4"/>
  <c r="J2" i="2" l="1"/>
  <c r="K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K193" i="1"/>
  <c r="L193" i="1"/>
  <c r="K189" i="1"/>
  <c r="L189" i="1"/>
  <c r="K185" i="1"/>
  <c r="L185" i="1"/>
  <c r="K181" i="1"/>
  <c r="L181" i="1"/>
  <c r="K177" i="1"/>
  <c r="L177" i="1"/>
  <c r="K173" i="1"/>
  <c r="L173" i="1"/>
  <c r="K169" i="1"/>
  <c r="L169" i="1"/>
  <c r="K165" i="1"/>
  <c r="L165" i="1"/>
  <c r="K161" i="1"/>
  <c r="L161" i="1"/>
  <c r="K157" i="1"/>
  <c r="L157" i="1"/>
  <c r="K153" i="1"/>
  <c r="L153" i="1"/>
  <c r="K149" i="1"/>
  <c r="L149" i="1"/>
  <c r="K192" i="1"/>
  <c r="L192" i="1"/>
  <c r="K188" i="1"/>
  <c r="L188" i="1"/>
  <c r="K184" i="1"/>
  <c r="L184" i="1"/>
  <c r="K180" i="1"/>
  <c r="L180" i="1"/>
  <c r="K176" i="1"/>
  <c r="L176" i="1"/>
  <c r="K172" i="1"/>
  <c r="L172" i="1"/>
  <c r="K168" i="1"/>
  <c r="L168" i="1"/>
  <c r="K164" i="1"/>
  <c r="L164" i="1"/>
  <c r="K160" i="1"/>
  <c r="L160" i="1"/>
  <c r="K156" i="1"/>
  <c r="L156" i="1"/>
  <c r="K152" i="1"/>
  <c r="L152" i="1"/>
  <c r="K148" i="1"/>
  <c r="L148" i="1"/>
  <c r="K191" i="1"/>
  <c r="L191" i="1"/>
  <c r="K187" i="1"/>
  <c r="L187" i="1"/>
  <c r="K183" i="1"/>
  <c r="L183" i="1"/>
  <c r="K179" i="1"/>
  <c r="L179" i="1"/>
  <c r="K175" i="1"/>
  <c r="L175" i="1"/>
  <c r="K171" i="1"/>
  <c r="L171" i="1"/>
  <c r="K167" i="1"/>
  <c r="L167" i="1"/>
  <c r="K163" i="1"/>
  <c r="L163" i="1"/>
  <c r="K159" i="1"/>
  <c r="L159" i="1"/>
  <c r="K155" i="1"/>
  <c r="L155" i="1"/>
  <c r="K151" i="1"/>
  <c r="L151" i="1"/>
  <c r="K147" i="1"/>
  <c r="L147" i="1"/>
  <c r="K190" i="1"/>
  <c r="L190" i="1"/>
  <c r="K186" i="1"/>
  <c r="L186" i="1"/>
  <c r="K182" i="1"/>
  <c r="L182" i="1"/>
  <c r="K178" i="1"/>
  <c r="L178" i="1"/>
  <c r="K174" i="1"/>
  <c r="L174" i="1"/>
  <c r="K170" i="1"/>
  <c r="L170" i="1"/>
  <c r="K166" i="1"/>
  <c r="L166" i="1"/>
  <c r="K162" i="1"/>
  <c r="L162" i="1"/>
  <c r="K158" i="1"/>
  <c r="L158" i="1"/>
  <c r="K154" i="1"/>
  <c r="L154" i="1"/>
  <c r="K150" i="1"/>
  <c r="L150" i="1"/>
  <c r="K146" i="1"/>
  <c r="L146" i="1"/>
  <c r="K145" i="1"/>
  <c r="L145" i="1"/>
  <c r="K141" i="1"/>
  <c r="L141" i="1"/>
  <c r="K137" i="1"/>
  <c r="L137" i="1"/>
  <c r="K133" i="1"/>
  <c r="L133" i="1"/>
  <c r="K129" i="1"/>
  <c r="L129" i="1"/>
  <c r="K125" i="1"/>
  <c r="L125" i="1"/>
  <c r="K121" i="1"/>
  <c r="L121" i="1"/>
  <c r="K117" i="1"/>
  <c r="L117" i="1"/>
  <c r="K113" i="1"/>
  <c r="L113" i="1"/>
  <c r="K109" i="1"/>
  <c r="L109" i="1"/>
  <c r="K105" i="1"/>
  <c r="L105" i="1"/>
  <c r="K101" i="1"/>
  <c r="L101" i="1"/>
  <c r="K144" i="1"/>
  <c r="L144" i="1"/>
  <c r="K140" i="1"/>
  <c r="L140" i="1"/>
  <c r="K136" i="1"/>
  <c r="L136" i="1"/>
  <c r="K132" i="1"/>
  <c r="L132" i="1"/>
  <c r="K128" i="1"/>
  <c r="L128" i="1"/>
  <c r="K124" i="1"/>
  <c r="L124" i="1"/>
  <c r="K120" i="1"/>
  <c r="L120" i="1"/>
  <c r="K116" i="1"/>
  <c r="L116" i="1"/>
  <c r="K112" i="1"/>
  <c r="L112" i="1"/>
  <c r="K108" i="1"/>
  <c r="L108" i="1"/>
  <c r="K104" i="1"/>
  <c r="L104" i="1"/>
  <c r="K100" i="1"/>
  <c r="L100" i="1"/>
  <c r="K143" i="1"/>
  <c r="L143" i="1"/>
  <c r="K139" i="1"/>
  <c r="L139" i="1"/>
  <c r="K135" i="1"/>
  <c r="L135" i="1"/>
  <c r="K131" i="1"/>
  <c r="L131" i="1"/>
  <c r="K127" i="1"/>
  <c r="L127" i="1"/>
  <c r="K123" i="1"/>
  <c r="L123" i="1"/>
  <c r="K119" i="1"/>
  <c r="L119" i="1"/>
  <c r="K115" i="1"/>
  <c r="L115" i="1"/>
  <c r="K111" i="1"/>
  <c r="L111" i="1"/>
  <c r="K107" i="1"/>
  <c r="L107" i="1"/>
  <c r="K103" i="1"/>
  <c r="L103" i="1"/>
  <c r="K99" i="1"/>
  <c r="L99" i="1"/>
  <c r="K142" i="1"/>
  <c r="L142" i="1"/>
  <c r="K138" i="1"/>
  <c r="L138" i="1"/>
  <c r="K134" i="1"/>
  <c r="L134" i="1"/>
  <c r="K130" i="1"/>
  <c r="L130" i="1"/>
  <c r="K126" i="1"/>
  <c r="L126" i="1"/>
  <c r="K122" i="1"/>
  <c r="L122" i="1"/>
  <c r="K118" i="1"/>
  <c r="L118" i="1"/>
  <c r="K114" i="1"/>
  <c r="L114" i="1"/>
  <c r="K110" i="1"/>
  <c r="L110" i="1"/>
  <c r="K106" i="1"/>
  <c r="L106" i="1"/>
  <c r="K102" i="1"/>
  <c r="L102" i="1"/>
  <c r="K98" i="1"/>
  <c r="L98" i="1"/>
  <c r="K97" i="1"/>
  <c r="L97" i="1"/>
  <c r="K93" i="1"/>
  <c r="L93" i="1"/>
  <c r="K89" i="1"/>
  <c r="L89" i="1"/>
  <c r="K85" i="1"/>
  <c r="L85" i="1"/>
  <c r="K81" i="1"/>
  <c r="L81" i="1"/>
  <c r="K77" i="1"/>
  <c r="L77" i="1"/>
  <c r="K73" i="1"/>
  <c r="L73" i="1"/>
  <c r="K69" i="1"/>
  <c r="L69" i="1"/>
  <c r="K65" i="1"/>
  <c r="L65" i="1"/>
  <c r="K61" i="1"/>
  <c r="L61" i="1"/>
  <c r="K57" i="1"/>
  <c r="L57" i="1"/>
  <c r="K53" i="1"/>
  <c r="L53" i="1"/>
  <c r="K96" i="1"/>
  <c r="L96" i="1"/>
  <c r="K92" i="1"/>
  <c r="L92" i="1"/>
  <c r="K88" i="1"/>
  <c r="L88" i="1"/>
  <c r="K84" i="1"/>
  <c r="L84" i="1"/>
  <c r="K80" i="1"/>
  <c r="L80" i="1"/>
  <c r="K76" i="1"/>
  <c r="L76" i="1"/>
  <c r="K72" i="1"/>
  <c r="L72" i="1"/>
  <c r="K68" i="1"/>
  <c r="L68" i="1"/>
  <c r="K64" i="1"/>
  <c r="L64" i="1"/>
  <c r="K60" i="1"/>
  <c r="L60" i="1"/>
  <c r="K56" i="1"/>
  <c r="L56" i="1"/>
  <c r="K52" i="1"/>
  <c r="L52" i="1"/>
  <c r="K95" i="1"/>
  <c r="L95" i="1"/>
  <c r="K91" i="1"/>
  <c r="L91" i="1"/>
  <c r="K87" i="1"/>
  <c r="L87" i="1"/>
  <c r="K83" i="1"/>
  <c r="L83" i="1"/>
  <c r="K79" i="1"/>
  <c r="L79" i="1"/>
  <c r="K75" i="1"/>
  <c r="L75" i="1"/>
  <c r="K71" i="1"/>
  <c r="L71" i="1"/>
  <c r="K67" i="1"/>
  <c r="L67" i="1"/>
  <c r="K63" i="1"/>
  <c r="L63" i="1"/>
  <c r="K59" i="1"/>
  <c r="L59" i="1"/>
  <c r="K55" i="1"/>
  <c r="L55" i="1"/>
  <c r="K51" i="1"/>
  <c r="L51" i="1"/>
  <c r="K94" i="1"/>
  <c r="L94" i="1"/>
  <c r="K90" i="1"/>
  <c r="L90" i="1"/>
  <c r="K86" i="1"/>
  <c r="L86" i="1"/>
  <c r="K82" i="1"/>
  <c r="L82" i="1"/>
  <c r="K78" i="1"/>
  <c r="L78" i="1"/>
  <c r="K74" i="1"/>
  <c r="L74" i="1"/>
  <c r="K70" i="1"/>
  <c r="L70" i="1"/>
  <c r="K66" i="1"/>
  <c r="L66" i="1"/>
  <c r="K62" i="1"/>
  <c r="L62" i="1"/>
  <c r="K58" i="1"/>
  <c r="L58" i="1"/>
  <c r="K54" i="1"/>
  <c r="L54" i="1"/>
  <c r="K50" i="1"/>
  <c r="L50" i="1"/>
  <c r="K49" i="1"/>
  <c r="L49" i="1"/>
  <c r="K45" i="1"/>
  <c r="L45" i="1"/>
  <c r="K41" i="1"/>
  <c r="L41" i="1"/>
  <c r="K37" i="1"/>
  <c r="L37" i="1"/>
  <c r="K33" i="1"/>
  <c r="L33" i="1"/>
  <c r="K29" i="1"/>
  <c r="L29" i="1"/>
  <c r="K25" i="1"/>
  <c r="L25" i="1"/>
  <c r="K21" i="1"/>
  <c r="L21" i="1"/>
  <c r="K17" i="1"/>
  <c r="L17" i="1"/>
  <c r="K13" i="1"/>
  <c r="L13" i="1"/>
  <c r="K9" i="1"/>
  <c r="L9" i="1"/>
  <c r="K5" i="1"/>
  <c r="L5" i="1"/>
  <c r="K48" i="1"/>
  <c r="L48" i="1"/>
  <c r="K44" i="1"/>
  <c r="L44" i="1"/>
  <c r="K40" i="1"/>
  <c r="L40" i="1"/>
  <c r="K36" i="1"/>
  <c r="L36" i="1"/>
  <c r="K32" i="1"/>
  <c r="L32" i="1"/>
  <c r="K28" i="1"/>
  <c r="L28" i="1"/>
  <c r="K24" i="1"/>
  <c r="L24" i="1"/>
  <c r="K20" i="1"/>
  <c r="L20" i="1"/>
  <c r="K16" i="1"/>
  <c r="L16" i="1"/>
  <c r="K12" i="1"/>
  <c r="L12" i="1"/>
  <c r="K8" i="1"/>
  <c r="L8" i="1"/>
  <c r="K4" i="1"/>
  <c r="L4" i="1"/>
  <c r="K47" i="1"/>
  <c r="L47" i="1"/>
  <c r="K43" i="1"/>
  <c r="L43" i="1"/>
  <c r="K39" i="1"/>
  <c r="L39" i="1"/>
  <c r="K35" i="1"/>
  <c r="L35" i="1"/>
  <c r="K31" i="1"/>
  <c r="L31" i="1"/>
  <c r="K27" i="1"/>
  <c r="L27" i="1"/>
  <c r="K23" i="1"/>
  <c r="L23" i="1"/>
  <c r="K19" i="1"/>
  <c r="L19" i="1"/>
  <c r="K15" i="1"/>
  <c r="L15" i="1"/>
  <c r="K11" i="1"/>
  <c r="L11" i="1"/>
  <c r="K7" i="1"/>
  <c r="L7" i="1"/>
  <c r="K3" i="1"/>
  <c r="L3" i="1"/>
  <c r="K46" i="1"/>
  <c r="L46" i="1"/>
  <c r="K42" i="1"/>
  <c r="L42" i="1"/>
  <c r="K38" i="1"/>
  <c r="L38" i="1"/>
  <c r="K34" i="1"/>
  <c r="L34" i="1"/>
  <c r="K30" i="1"/>
  <c r="L30" i="1"/>
  <c r="K26" i="1"/>
  <c r="L26" i="1"/>
  <c r="K22" i="1"/>
  <c r="L22" i="1"/>
  <c r="K18" i="1"/>
  <c r="L18" i="1"/>
  <c r="K14" i="1"/>
  <c r="L14" i="1"/>
  <c r="K10" i="1"/>
  <c r="L10" i="1"/>
  <c r="K6" i="1"/>
  <c r="L6" i="1"/>
  <c r="K2" i="1"/>
  <c r="L2" i="1"/>
</calcChain>
</file>

<file path=xl/sharedStrings.xml><?xml version="1.0" encoding="utf-8"?>
<sst xmlns="http://schemas.openxmlformats.org/spreadsheetml/2006/main" count="3465" uniqueCount="24">
  <si>
    <t>Temperatur</t>
  </si>
  <si>
    <t>Globale_Strahlung</t>
  </si>
  <si>
    <t>Betriebsruhe</t>
  </si>
  <si>
    <t>DayAhead</t>
  </si>
  <si>
    <t>Spalte1</t>
  </si>
  <si>
    <t>Spalte7</t>
  </si>
  <si>
    <t>Lastgang</t>
  </si>
  <si>
    <t>Monat</t>
  </si>
  <si>
    <t>Tagtyp</t>
  </si>
  <si>
    <t>Tag</t>
  </si>
  <si>
    <t>Woche</t>
  </si>
  <si>
    <t>Temperatur+</t>
  </si>
  <si>
    <t>Globale_Strahlung+</t>
  </si>
  <si>
    <t>Betriebsruhe+</t>
  </si>
  <si>
    <t>Monat+</t>
  </si>
  <si>
    <t>Woche+</t>
  </si>
  <si>
    <t>Tag+</t>
  </si>
  <si>
    <t>Tagtyp_1_1+</t>
  </si>
  <si>
    <t>Tagtyp_1_3+</t>
  </si>
  <si>
    <t>Tagtyp_1_5+</t>
  </si>
  <si>
    <t>Tagtyp_1_7+</t>
  </si>
  <si>
    <t>Spalte72</t>
  </si>
  <si>
    <t>Varianten Wärme</t>
  </si>
  <si>
    <t>Varianten 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</si>
</sst>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E457E-B20F-4A34-9A79-78AF46BA32F1}" name="Tabelle1" displayName="Tabelle1" ref="A1:L193" totalsRowShown="0">
  <autoFilter ref="A1:L193" xr:uid="{35AE457E-B20F-4A34-9A79-78AF46BA32F1}"/>
  <sortState xmlns:xlrd2="http://schemas.microsoft.com/office/spreadsheetml/2017/richdata2" ref="A2:L193">
    <sortCondition ref="F1:F193"/>
  </sortState>
  <tableColumns count="12">
    <tableColumn id="1" xr3:uid="{B72DAA48-9D7B-47D4-AA69-E516A8837530}" name="Spalte1"/>
    <tableColumn id="2" xr3:uid="{DA523B7A-745D-48F5-A6F3-3D05AEA5A041}" name="Tagtyp"/>
    <tableColumn id="3" xr3:uid="{A5A774DD-ADBC-4085-BF2F-4CD4BADE90B2}" name="Temperatur"/>
    <tableColumn id="4" xr3:uid="{0071ED67-AF2D-4939-8AFF-EF5402849D32}" name="Globale_Strahlung"/>
    <tableColumn id="5" xr3:uid="{B90B3BCE-C847-49C1-9192-8296DC1A9E5D}" name="Betriebsruhe"/>
    <tableColumn id="6" xr3:uid="{F99D1898-892A-4CAE-B9E4-F5DB08F4E33A}" name="Monat"/>
    <tableColumn id="8" xr3:uid="{8BCDB7AE-821E-41E0-B2F1-2BB880E31D9A}" name="Woche"/>
    <tableColumn id="10" xr3:uid="{C3B67815-4351-4C1D-AD6B-3DAC6A0123DF}" name="Tag"/>
    <tableColumn id="11" xr3:uid="{99442304-5219-4866-B0AE-B4BBA25440C7}" name="DayAhead"/>
    <tableColumn id="7" xr3:uid="{27FB2394-2223-4F0F-A2D9-F2BCB892FDBF}" name="Spalte7" dataDxfId="6">
      <calculatedColumnFormula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calculatedColumnFormula>
    </tableColumn>
    <tableColumn id="12" xr3:uid="{2E782B07-B30A-4E68-BB06-DA7BACD73175}" name="Spalte72" dataDxfId="5">
      <calculatedColumnFormula>LEN(Tabelle1[[#This Row],[Spalte7]])</calculatedColumnFormula>
    </tableColumn>
    <tableColumn id="13" xr3:uid="{8FD71220-93E7-4B5E-9BD7-2AADBEF53D96}" name="Varianten Strom" dataDxfId="4">
      <calculatedColumnFormula>IF(MID(Tabelle1[[#This Row],[Spalte7]],Tabelle1[[#This Row],[Spalte72]],1)="+",MID(Tabelle1[[#This Row],[Spalte7]],1,Tabelle1[[#This Row],[Spalte72]]-1),Tabelle1[[#This Row],[Spalte7]])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B32618-24C4-4A0F-B67E-7470AABA31D0}" name="Tabelle17" displayName="Tabelle17" ref="A1:K97" totalsRowShown="0">
  <autoFilter ref="A1:K97" xr:uid="{43B32618-24C4-4A0F-B67E-7470AABA31D0}"/>
  <sortState xmlns:xlrd2="http://schemas.microsoft.com/office/spreadsheetml/2017/richdata2" ref="A2:K97">
    <sortCondition ref="F1:F97"/>
  </sortState>
  <tableColumns count="11">
    <tableColumn id="1" xr3:uid="{1AE90D20-D63C-45D1-83CA-B779809DB3B4}" name="Spalte1"/>
    <tableColumn id="2" xr3:uid="{421B69CC-27FA-4656-BEF2-80D545034B15}" name="Tagtyp"/>
    <tableColumn id="3" xr3:uid="{414DFD7A-512B-4FDB-A57E-1BDB57EBA78A}" name="Temperatur"/>
    <tableColumn id="4" xr3:uid="{4F5947BF-9C89-4BF4-97FC-F694E13B075B}" name="Globale_Strahlung"/>
    <tableColumn id="5" xr3:uid="{645FB6C2-C409-4E48-8638-2D20E10E9EA8}" name="Betriebsruhe"/>
    <tableColumn id="6" xr3:uid="{D4AA493A-CB9C-4ADA-A868-731D8459A261}" name="Monat"/>
    <tableColumn id="8" xr3:uid="{AA8E1692-C581-43A1-B5FF-0CD78351ADE2}" name="Woche"/>
    <tableColumn id="10" xr3:uid="{31A7B3A6-C0AC-4753-AA80-5C746BD3539B}" name="Tag"/>
    <tableColumn id="7" xr3:uid="{5C13D0AD-BE3B-4896-B676-BD8854F54F1D}" name="Spalte7" dataDxfId="3">
      <calculatedColumnFormula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calculatedColumnFormula>
    </tableColumn>
    <tableColumn id="12" xr3:uid="{FE1C17B2-A650-4C2C-A060-4868701911C8}" name="Spalte72" dataDxfId="2">
      <calculatedColumnFormula>LEN(Tabelle17[[#This Row],[Spalte7]])</calculatedColumnFormula>
    </tableColumn>
    <tableColumn id="13" xr3:uid="{830F9171-2872-456B-A16C-25F0D1260E0A}" name="Varianten Wärme" dataDxfId="1">
      <calculatedColumnFormula>IF(MID(Tabelle17[[#This Row],[Spalte7]],Tabelle17[[#This Row],[Spalte72]],1)="+",MID(Tabelle17[[#This Row],[Spalte7]],1,Tabelle17[[#This Row],[Spalte72]]-1),Tabelle17[[#This Row],[Spalte7]])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DF9952-A2E9-429B-83B9-077BD2DE6852}" name="Tabelle145" displayName="Tabelle145" ref="A1:J385" totalsRowShown="0">
  <autoFilter ref="A1:J385" xr:uid="{35AE457E-B20F-4A34-9A79-78AF46BA32F1}"/>
  <sortState xmlns:xlrd2="http://schemas.microsoft.com/office/spreadsheetml/2017/richdata2" ref="A2:J385">
    <sortCondition ref="G1:G385"/>
  </sortState>
  <tableColumns count="10">
    <tableColumn id="1" xr3:uid="{22DF7FF3-872C-4013-84C4-DBB80373AE4C}" name="Spalte1"/>
    <tableColumn id="2" xr3:uid="{2ECD9A56-3D60-4D81-95A6-A33311E2295F}" name="Tagtyp"/>
    <tableColumn id="3" xr3:uid="{6062B0A5-1497-47B6-86E7-208D4F90E4C4}" name="Temperatur"/>
    <tableColumn id="4" xr3:uid="{820A47B9-4DF7-43E0-A510-2BC2365C67B4}" name="Globale_Strahlung"/>
    <tableColumn id="5" xr3:uid="{68CD58CE-BB11-4249-AA91-C283E21556E8}" name="Betriebsruhe"/>
    <tableColumn id="6" xr3:uid="{CE990529-3F2C-4F2B-ABE2-8B3CB5522A0B}" name="Monat"/>
    <tableColumn id="8" xr3:uid="{BD4920EE-92A6-4DBC-AA35-CBAB80BA66EB}" name="Woche"/>
    <tableColumn id="10" xr3:uid="{1BB9495E-21F3-4569-A868-5543259C4EC2}" name="Tag"/>
    <tableColumn id="11" xr3:uid="{00C75B09-2ECE-453C-A6F0-24A501358BF7}" name="DayAhead"/>
    <tableColumn id="7" xr3:uid="{5F15B466-4ABA-4592-9FCB-690645EB268C}" name="Spalte7" dataDxfId="0">
      <calculatedColumnFormula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89C2-4241-4B1D-9102-1371B1A89F43}">
  <dimension ref="A1:L193"/>
  <sheetViews>
    <sheetView tabSelected="1" workbookViewId="0">
      <selection activeCell="N6" sqref="N6"/>
    </sheetView>
  </sheetViews>
  <sheetFormatPr baseColWidth="10" defaultRowHeight="14.5" x14ac:dyDescent="0.35"/>
  <cols>
    <col min="1" max="1" width="9.26953125" bestFit="1" customWidth="1"/>
    <col min="2" max="2" width="11.36328125" bestFit="1" customWidth="1"/>
    <col min="3" max="3" width="13.08984375" bestFit="1" customWidth="1"/>
    <col min="4" max="4" width="18.54296875" bestFit="1" customWidth="1"/>
    <col min="5" max="5" width="13.90625" bestFit="1" customWidth="1"/>
    <col min="6" max="6" width="8.7265625" bestFit="1" customWidth="1"/>
    <col min="7" max="7" width="8.90625" bestFit="1" customWidth="1"/>
    <col min="8" max="8" width="6" bestFit="1" customWidth="1"/>
    <col min="9" max="9" width="11.6328125" bestFit="1" customWidth="1"/>
    <col min="10" max="10" width="74.90625" hidden="1" customWidth="1"/>
    <col min="11" max="11" width="10.26953125" hidden="1" customWidth="1"/>
    <col min="12" max="12" width="74.90625" bestFit="1" customWidth="1"/>
  </cols>
  <sheetData>
    <row r="1" spans="1:12" x14ac:dyDescent="0.35">
      <c r="A1" t="s">
        <v>4</v>
      </c>
      <c r="B1" t="s">
        <v>8</v>
      </c>
      <c r="C1" t="s">
        <v>0</v>
      </c>
      <c r="D1" t="s">
        <v>1</v>
      </c>
      <c r="E1" t="s">
        <v>2</v>
      </c>
      <c r="F1" t="s">
        <v>7</v>
      </c>
      <c r="G1" t="s">
        <v>10</v>
      </c>
      <c r="H1" t="s">
        <v>9</v>
      </c>
      <c r="I1" t="s">
        <v>3</v>
      </c>
      <c r="J1" t="s">
        <v>5</v>
      </c>
      <c r="K1" t="s">
        <v>21</v>
      </c>
      <c r="L1" t="s">
        <v>23</v>
      </c>
    </row>
    <row r="2" spans="1:12" x14ac:dyDescent="0.35">
      <c r="A2" t="s">
        <v>6</v>
      </c>
      <c r="B2" t="s">
        <v>17</v>
      </c>
      <c r="C2" t="s">
        <v>11</v>
      </c>
      <c r="D2" t="s">
        <v>12</v>
      </c>
      <c r="E2" t="s">
        <v>13</v>
      </c>
      <c r="F2" t="s">
        <v>14</v>
      </c>
      <c r="I2" t="s">
        <v>3</v>
      </c>
      <c r="J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Lastgang~Tagtyp_1_1+Temperatur+Globale_Strahlung+Betriebsruhe+Monat+DayAhead</v>
      </c>
      <c r="K2">
        <f>LEN(Tabelle1[[#This Row],[Spalte7]])</f>
        <v>76</v>
      </c>
      <c r="L2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Lastgang~Tagtyp_1_1+Temperatur+Globale_Strahlung+Betriebsruhe+Monat+DayAhead</v>
      </c>
    </row>
    <row r="3" spans="1:12" x14ac:dyDescent="0.35">
      <c r="A3" t="s">
        <v>6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I3" t="s">
        <v>3</v>
      </c>
      <c r="J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Lastgang~Tagtyp_1_3+Temperatur+Globale_Strahlung+Betriebsruhe+Monat+DayAhead</v>
      </c>
      <c r="K3">
        <f>LEN(Tabelle1[[#This Row],[Spalte7]])</f>
        <v>76</v>
      </c>
      <c r="L3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Lastgang~Tagtyp_1_3+Temperatur+Globale_Strahlung+Betriebsruhe+Monat+DayAhead</v>
      </c>
    </row>
    <row r="4" spans="1:12" x14ac:dyDescent="0.35">
      <c r="A4" t="s">
        <v>6</v>
      </c>
      <c r="B4" t="s">
        <v>19</v>
      </c>
      <c r="C4" t="s">
        <v>11</v>
      </c>
      <c r="D4" t="s">
        <v>12</v>
      </c>
      <c r="E4" t="s">
        <v>13</v>
      </c>
      <c r="F4" t="s">
        <v>14</v>
      </c>
      <c r="I4" t="s">
        <v>3</v>
      </c>
      <c r="J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Lastgang~Tagtyp_1_5+Temperatur+Globale_Strahlung+Betriebsruhe+Monat+DayAhead</v>
      </c>
      <c r="K4">
        <f>LEN(Tabelle1[[#This Row],[Spalte7]])</f>
        <v>76</v>
      </c>
      <c r="L4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Lastgang~Tagtyp_1_5+Temperatur+Globale_Strahlung+Betriebsruhe+Monat+DayAhead</v>
      </c>
    </row>
    <row r="5" spans="1:12" x14ac:dyDescent="0.35">
      <c r="A5" t="s">
        <v>6</v>
      </c>
      <c r="B5" t="s">
        <v>20</v>
      </c>
      <c r="C5" t="s">
        <v>11</v>
      </c>
      <c r="D5" t="s">
        <v>12</v>
      </c>
      <c r="E5" t="s">
        <v>13</v>
      </c>
      <c r="F5" t="s">
        <v>14</v>
      </c>
      <c r="I5" t="s">
        <v>3</v>
      </c>
      <c r="J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Lastgang~Tagtyp_1_7+Temperatur+Globale_Strahlung+Betriebsruhe+Monat+DayAhead</v>
      </c>
      <c r="K5">
        <f>LEN(Tabelle1[[#This Row],[Spalte7]])</f>
        <v>76</v>
      </c>
      <c r="L5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Lastgang~Tagtyp_1_7+Temperatur+Globale_Strahlung+Betriebsruhe+Monat+DayAhead</v>
      </c>
    </row>
    <row r="6" spans="1:12" x14ac:dyDescent="0.35">
      <c r="A6" t="s">
        <v>6</v>
      </c>
      <c r="B6" t="s">
        <v>17</v>
      </c>
      <c r="C6" t="s">
        <v>11</v>
      </c>
      <c r="E6" t="s">
        <v>13</v>
      </c>
      <c r="F6" t="s">
        <v>14</v>
      </c>
      <c r="I6" t="s">
        <v>3</v>
      </c>
      <c r="J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Lastgang~Tagtyp_1_1+Temperatur+Betriebsruhe+Monat+DayAhead</v>
      </c>
      <c r="K6">
        <f>LEN(Tabelle1[[#This Row],[Spalte7]])</f>
        <v>58</v>
      </c>
      <c r="L6" t="str">
        <f>IF(MID(Tabelle1[[#This Row],[Spalte7]],Tabelle1[[#This Row],[Spalte72]],1)="+",MID(Tabelle1[[#This Row],[Spalte7]],1,Tabelle1[[#This Row],[Spalte72]]-1),Tabelle1[[#This Row],[Spalte7]])</f>
        <v>Lastgang~Tagtyp_1_1+Temperatur+Betriebsruhe+Monat+DayAhead</v>
      </c>
    </row>
    <row r="7" spans="1:12" x14ac:dyDescent="0.35">
      <c r="A7" t="s">
        <v>6</v>
      </c>
      <c r="B7" t="s">
        <v>18</v>
      </c>
      <c r="C7" t="s">
        <v>11</v>
      </c>
      <c r="E7" t="s">
        <v>13</v>
      </c>
      <c r="F7" t="s">
        <v>14</v>
      </c>
      <c r="I7" t="s">
        <v>3</v>
      </c>
      <c r="J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Lastgang~Tagtyp_1_3+Temperatur+Betriebsruhe+Monat+DayAhead</v>
      </c>
      <c r="K7">
        <f>LEN(Tabelle1[[#This Row],[Spalte7]])</f>
        <v>58</v>
      </c>
      <c r="L7" t="str">
        <f>IF(MID(Tabelle1[[#This Row],[Spalte7]],Tabelle1[[#This Row],[Spalte72]],1)="+",MID(Tabelle1[[#This Row],[Spalte7]],1,Tabelle1[[#This Row],[Spalte72]]-1),Tabelle1[[#This Row],[Spalte7]])</f>
        <v>Lastgang~Tagtyp_1_3+Temperatur+Betriebsruhe+Monat+DayAhead</v>
      </c>
    </row>
    <row r="8" spans="1:12" x14ac:dyDescent="0.35">
      <c r="A8" t="s">
        <v>6</v>
      </c>
      <c r="B8" t="s">
        <v>19</v>
      </c>
      <c r="C8" t="s">
        <v>11</v>
      </c>
      <c r="E8" t="s">
        <v>13</v>
      </c>
      <c r="F8" t="s">
        <v>14</v>
      </c>
      <c r="I8" t="s">
        <v>3</v>
      </c>
      <c r="J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Lastgang~Tagtyp_1_5+Temperatur+Betriebsruhe+Monat+DayAhead</v>
      </c>
      <c r="K8">
        <f>LEN(Tabelle1[[#This Row],[Spalte7]])</f>
        <v>58</v>
      </c>
      <c r="L8" t="str">
        <f>IF(MID(Tabelle1[[#This Row],[Spalte7]],Tabelle1[[#This Row],[Spalte72]],1)="+",MID(Tabelle1[[#This Row],[Spalte7]],1,Tabelle1[[#This Row],[Spalte72]]-1),Tabelle1[[#This Row],[Spalte7]])</f>
        <v>Lastgang~Tagtyp_1_5+Temperatur+Betriebsruhe+Monat+DayAhead</v>
      </c>
    </row>
    <row r="9" spans="1:12" x14ac:dyDescent="0.35">
      <c r="A9" t="s">
        <v>6</v>
      </c>
      <c r="B9" t="s">
        <v>20</v>
      </c>
      <c r="C9" t="s">
        <v>11</v>
      </c>
      <c r="E9" t="s">
        <v>13</v>
      </c>
      <c r="F9" t="s">
        <v>14</v>
      </c>
      <c r="I9" t="s">
        <v>3</v>
      </c>
      <c r="J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Lastgang~Tagtyp_1_7+Temperatur+Betriebsruhe+Monat+DayAhead</v>
      </c>
      <c r="K9">
        <f>LEN(Tabelle1[[#This Row],[Spalte7]])</f>
        <v>58</v>
      </c>
      <c r="L9" t="str">
        <f>IF(MID(Tabelle1[[#This Row],[Spalte7]],Tabelle1[[#This Row],[Spalte72]],1)="+",MID(Tabelle1[[#This Row],[Spalte7]],1,Tabelle1[[#This Row],[Spalte72]]-1),Tabelle1[[#This Row],[Spalte7]])</f>
        <v>Lastgang~Tagtyp_1_7+Temperatur+Betriebsruhe+Monat+DayAhead</v>
      </c>
    </row>
    <row r="10" spans="1:12" x14ac:dyDescent="0.35">
      <c r="A10" t="s">
        <v>6</v>
      </c>
      <c r="B10" t="s">
        <v>17</v>
      </c>
      <c r="E10" t="s">
        <v>13</v>
      </c>
      <c r="F10" t="s">
        <v>14</v>
      </c>
      <c r="I10" t="s">
        <v>3</v>
      </c>
      <c r="J1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Lastgang~Tagtyp_1_1+Betriebsruhe+Monat+DayAhead</v>
      </c>
      <c r="K10">
        <f>LEN(Tabelle1[[#This Row],[Spalte7]])</f>
        <v>47</v>
      </c>
      <c r="L10" t="str">
        <f>IF(MID(Tabelle1[[#This Row],[Spalte7]],Tabelle1[[#This Row],[Spalte72]],1)="+",MID(Tabelle1[[#This Row],[Spalte7]],1,Tabelle1[[#This Row],[Spalte72]]-1),Tabelle1[[#This Row],[Spalte7]])</f>
        <v>Lastgang~Tagtyp_1_1+Betriebsruhe+Monat+DayAhead</v>
      </c>
    </row>
    <row r="11" spans="1:12" x14ac:dyDescent="0.35">
      <c r="A11" t="s">
        <v>6</v>
      </c>
      <c r="B11" t="s">
        <v>18</v>
      </c>
      <c r="E11" t="s">
        <v>13</v>
      </c>
      <c r="F11" t="s">
        <v>14</v>
      </c>
      <c r="I11" t="s">
        <v>3</v>
      </c>
      <c r="J1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Lastgang~Tagtyp_1_3+Betriebsruhe+Monat+DayAhead</v>
      </c>
      <c r="K11">
        <f>LEN(Tabelle1[[#This Row],[Spalte7]])</f>
        <v>47</v>
      </c>
      <c r="L11" t="str">
        <f>IF(MID(Tabelle1[[#This Row],[Spalte7]],Tabelle1[[#This Row],[Spalte72]],1)="+",MID(Tabelle1[[#This Row],[Spalte7]],1,Tabelle1[[#This Row],[Spalte72]]-1),Tabelle1[[#This Row],[Spalte7]])</f>
        <v>Lastgang~Tagtyp_1_3+Betriebsruhe+Monat+DayAhead</v>
      </c>
    </row>
    <row r="12" spans="1:12" x14ac:dyDescent="0.35">
      <c r="A12" t="s">
        <v>6</v>
      </c>
      <c r="B12" t="s">
        <v>19</v>
      </c>
      <c r="E12" t="s">
        <v>13</v>
      </c>
      <c r="F12" t="s">
        <v>14</v>
      </c>
      <c r="I12" t="s">
        <v>3</v>
      </c>
      <c r="J1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Lastgang~Tagtyp_1_5+Betriebsruhe+Monat+DayAhead</v>
      </c>
      <c r="K12">
        <f>LEN(Tabelle1[[#This Row],[Spalte7]])</f>
        <v>47</v>
      </c>
      <c r="L12" t="str">
        <f>IF(MID(Tabelle1[[#This Row],[Spalte7]],Tabelle1[[#This Row],[Spalte72]],1)="+",MID(Tabelle1[[#This Row],[Spalte7]],1,Tabelle1[[#This Row],[Spalte72]]-1),Tabelle1[[#This Row],[Spalte7]])</f>
        <v>Lastgang~Tagtyp_1_5+Betriebsruhe+Monat+DayAhead</v>
      </c>
    </row>
    <row r="13" spans="1:12" x14ac:dyDescent="0.35">
      <c r="A13" t="s">
        <v>6</v>
      </c>
      <c r="B13" t="s">
        <v>20</v>
      </c>
      <c r="E13" t="s">
        <v>13</v>
      </c>
      <c r="F13" t="s">
        <v>14</v>
      </c>
      <c r="I13" t="s">
        <v>3</v>
      </c>
      <c r="J1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Lastgang~Tagtyp_1_7+Betriebsruhe+Monat+DayAhead</v>
      </c>
      <c r="K13">
        <f>LEN(Tabelle1[[#This Row],[Spalte7]])</f>
        <v>47</v>
      </c>
      <c r="L13" t="str">
        <f>IF(MID(Tabelle1[[#This Row],[Spalte7]],Tabelle1[[#This Row],[Spalte72]],1)="+",MID(Tabelle1[[#This Row],[Spalte7]],1,Tabelle1[[#This Row],[Spalte72]]-1),Tabelle1[[#This Row],[Spalte7]])</f>
        <v>Lastgang~Tagtyp_1_7+Betriebsruhe+Monat+DayAhead</v>
      </c>
    </row>
    <row r="14" spans="1:12" x14ac:dyDescent="0.35">
      <c r="A14" t="s">
        <v>6</v>
      </c>
      <c r="B14" t="s">
        <v>17</v>
      </c>
      <c r="C14" t="s">
        <v>11</v>
      </c>
      <c r="D14" t="s">
        <v>12</v>
      </c>
      <c r="F14" t="s">
        <v>14</v>
      </c>
      <c r="I14" t="s">
        <v>3</v>
      </c>
      <c r="J1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Lastgang~Tagtyp_1_1+Temperatur+Globale_Strahlung+Monat+DayAhead</v>
      </c>
      <c r="K14">
        <f>LEN(Tabelle1[[#This Row],[Spalte7]])</f>
        <v>63</v>
      </c>
      <c r="L14" t="str">
        <f>IF(MID(Tabelle1[[#This Row],[Spalte7]],Tabelle1[[#This Row],[Spalte72]],1)="+",MID(Tabelle1[[#This Row],[Spalte7]],1,Tabelle1[[#This Row],[Spalte72]]-1),Tabelle1[[#This Row],[Spalte7]])</f>
        <v>Lastgang~Tagtyp_1_1+Temperatur+Globale_Strahlung+Monat+DayAhead</v>
      </c>
    </row>
    <row r="15" spans="1:12" x14ac:dyDescent="0.35">
      <c r="A15" t="s">
        <v>6</v>
      </c>
      <c r="B15" t="s">
        <v>18</v>
      </c>
      <c r="C15" t="s">
        <v>11</v>
      </c>
      <c r="D15" t="s">
        <v>12</v>
      </c>
      <c r="F15" t="s">
        <v>14</v>
      </c>
      <c r="I15" t="s">
        <v>3</v>
      </c>
      <c r="J1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Lastgang~Tagtyp_1_3+Temperatur+Globale_Strahlung+Monat+DayAhead</v>
      </c>
      <c r="K15">
        <f>LEN(Tabelle1[[#This Row],[Spalte7]])</f>
        <v>63</v>
      </c>
      <c r="L15" t="str">
        <f>IF(MID(Tabelle1[[#This Row],[Spalte7]],Tabelle1[[#This Row],[Spalte72]],1)="+",MID(Tabelle1[[#This Row],[Spalte7]],1,Tabelle1[[#This Row],[Spalte72]]-1),Tabelle1[[#This Row],[Spalte7]])</f>
        <v>Lastgang~Tagtyp_1_3+Temperatur+Globale_Strahlung+Monat+DayAhead</v>
      </c>
    </row>
    <row r="16" spans="1:12" x14ac:dyDescent="0.35">
      <c r="A16" t="s">
        <v>6</v>
      </c>
      <c r="B16" t="s">
        <v>19</v>
      </c>
      <c r="C16" t="s">
        <v>11</v>
      </c>
      <c r="D16" t="s">
        <v>12</v>
      </c>
      <c r="F16" t="s">
        <v>14</v>
      </c>
      <c r="I16" t="s">
        <v>3</v>
      </c>
      <c r="J1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Lastgang~Tagtyp_1_5+Temperatur+Globale_Strahlung+Monat+DayAhead</v>
      </c>
      <c r="K16">
        <f>LEN(Tabelle1[[#This Row],[Spalte7]])</f>
        <v>63</v>
      </c>
      <c r="L16" t="str">
        <f>IF(MID(Tabelle1[[#This Row],[Spalte7]],Tabelle1[[#This Row],[Spalte72]],1)="+",MID(Tabelle1[[#This Row],[Spalte7]],1,Tabelle1[[#This Row],[Spalte72]]-1),Tabelle1[[#This Row],[Spalte7]])</f>
        <v>Lastgang~Tagtyp_1_5+Temperatur+Globale_Strahlung+Monat+DayAhead</v>
      </c>
    </row>
    <row r="17" spans="1:12" x14ac:dyDescent="0.35">
      <c r="A17" t="s">
        <v>6</v>
      </c>
      <c r="B17" t="s">
        <v>20</v>
      </c>
      <c r="C17" t="s">
        <v>11</v>
      </c>
      <c r="D17" t="s">
        <v>12</v>
      </c>
      <c r="F17" t="s">
        <v>14</v>
      </c>
      <c r="I17" t="s">
        <v>3</v>
      </c>
      <c r="J1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Lastgang~Tagtyp_1_7+Temperatur+Globale_Strahlung+Monat+DayAhead</v>
      </c>
      <c r="K17">
        <f>LEN(Tabelle1[[#This Row],[Spalte7]])</f>
        <v>63</v>
      </c>
      <c r="L17" t="str">
        <f>IF(MID(Tabelle1[[#This Row],[Spalte7]],Tabelle1[[#This Row],[Spalte72]],1)="+",MID(Tabelle1[[#This Row],[Spalte7]],1,Tabelle1[[#This Row],[Spalte72]]-1),Tabelle1[[#This Row],[Spalte7]])</f>
        <v>Lastgang~Tagtyp_1_7+Temperatur+Globale_Strahlung+Monat+DayAhead</v>
      </c>
    </row>
    <row r="18" spans="1:12" x14ac:dyDescent="0.35">
      <c r="A18" t="s">
        <v>6</v>
      </c>
      <c r="B18" t="s">
        <v>17</v>
      </c>
      <c r="C18" t="s">
        <v>11</v>
      </c>
      <c r="F18" t="s">
        <v>14</v>
      </c>
      <c r="I18" t="s">
        <v>3</v>
      </c>
      <c r="J1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Lastgang~Tagtyp_1_1+Temperatur+Monat+DayAhead</v>
      </c>
      <c r="K18">
        <f>LEN(Tabelle1[[#This Row],[Spalte7]])</f>
        <v>45</v>
      </c>
      <c r="L18" t="str">
        <f>IF(MID(Tabelle1[[#This Row],[Spalte7]],Tabelle1[[#This Row],[Spalte72]],1)="+",MID(Tabelle1[[#This Row],[Spalte7]],1,Tabelle1[[#This Row],[Spalte72]]-1),Tabelle1[[#This Row],[Spalte7]])</f>
        <v>Lastgang~Tagtyp_1_1+Temperatur+Monat+DayAhead</v>
      </c>
    </row>
    <row r="19" spans="1:12" x14ac:dyDescent="0.35">
      <c r="A19" t="s">
        <v>6</v>
      </c>
      <c r="B19" t="s">
        <v>18</v>
      </c>
      <c r="C19" t="s">
        <v>11</v>
      </c>
      <c r="F19" t="s">
        <v>14</v>
      </c>
      <c r="I19" t="s">
        <v>3</v>
      </c>
      <c r="J1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Lastgang~Tagtyp_1_3+Temperatur+Monat+DayAhead</v>
      </c>
      <c r="K19">
        <f>LEN(Tabelle1[[#This Row],[Spalte7]])</f>
        <v>45</v>
      </c>
      <c r="L19" t="str">
        <f>IF(MID(Tabelle1[[#This Row],[Spalte7]],Tabelle1[[#This Row],[Spalte72]],1)="+",MID(Tabelle1[[#This Row],[Spalte7]],1,Tabelle1[[#This Row],[Spalte72]]-1),Tabelle1[[#This Row],[Spalte7]])</f>
        <v>Lastgang~Tagtyp_1_3+Temperatur+Monat+DayAhead</v>
      </c>
    </row>
    <row r="20" spans="1:12" x14ac:dyDescent="0.35">
      <c r="A20" t="s">
        <v>6</v>
      </c>
      <c r="B20" t="s">
        <v>19</v>
      </c>
      <c r="C20" t="s">
        <v>11</v>
      </c>
      <c r="F20" t="s">
        <v>14</v>
      </c>
      <c r="I20" t="s">
        <v>3</v>
      </c>
      <c r="J2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Lastgang~Tagtyp_1_5+Temperatur+Monat+DayAhead</v>
      </c>
      <c r="K20">
        <f>LEN(Tabelle1[[#This Row],[Spalte7]])</f>
        <v>45</v>
      </c>
      <c r="L20" t="str">
        <f>IF(MID(Tabelle1[[#This Row],[Spalte7]],Tabelle1[[#This Row],[Spalte72]],1)="+",MID(Tabelle1[[#This Row],[Spalte7]],1,Tabelle1[[#This Row],[Spalte72]]-1),Tabelle1[[#This Row],[Spalte7]])</f>
        <v>Lastgang~Tagtyp_1_5+Temperatur+Monat+DayAhead</v>
      </c>
    </row>
    <row r="21" spans="1:12" x14ac:dyDescent="0.35">
      <c r="A21" t="s">
        <v>6</v>
      </c>
      <c r="B21" t="s">
        <v>20</v>
      </c>
      <c r="C21" t="s">
        <v>11</v>
      </c>
      <c r="F21" t="s">
        <v>14</v>
      </c>
      <c r="I21" t="s">
        <v>3</v>
      </c>
      <c r="J2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Lastgang~Tagtyp_1_7+Temperatur+Monat+DayAhead</v>
      </c>
      <c r="K21">
        <f>LEN(Tabelle1[[#This Row],[Spalte7]])</f>
        <v>45</v>
      </c>
      <c r="L21" t="str">
        <f>IF(MID(Tabelle1[[#This Row],[Spalte7]],Tabelle1[[#This Row],[Spalte72]],1)="+",MID(Tabelle1[[#This Row],[Spalte7]],1,Tabelle1[[#This Row],[Spalte72]]-1),Tabelle1[[#This Row],[Spalte7]])</f>
        <v>Lastgang~Tagtyp_1_7+Temperatur+Monat+DayAhead</v>
      </c>
    </row>
    <row r="22" spans="1:12" x14ac:dyDescent="0.35">
      <c r="A22" t="s">
        <v>6</v>
      </c>
      <c r="B22" t="s">
        <v>17</v>
      </c>
      <c r="F22" t="s">
        <v>14</v>
      </c>
      <c r="I22" t="s">
        <v>3</v>
      </c>
      <c r="J2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Lastgang~Tagtyp_1_1+Monat+DayAhead</v>
      </c>
      <c r="K22">
        <f>LEN(Tabelle1[[#This Row],[Spalte7]])</f>
        <v>34</v>
      </c>
      <c r="L22" t="str">
        <f>IF(MID(Tabelle1[[#This Row],[Spalte7]],Tabelle1[[#This Row],[Spalte72]],1)="+",MID(Tabelle1[[#This Row],[Spalte7]],1,Tabelle1[[#This Row],[Spalte72]]-1),Tabelle1[[#This Row],[Spalte7]])</f>
        <v>Lastgang~Tagtyp_1_1+Monat+DayAhead</v>
      </c>
    </row>
    <row r="23" spans="1:12" x14ac:dyDescent="0.35">
      <c r="A23" t="s">
        <v>6</v>
      </c>
      <c r="B23" t="s">
        <v>18</v>
      </c>
      <c r="F23" t="s">
        <v>14</v>
      </c>
      <c r="I23" t="s">
        <v>3</v>
      </c>
      <c r="J2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Lastgang~Tagtyp_1_3+Monat+DayAhead</v>
      </c>
      <c r="K23">
        <f>LEN(Tabelle1[[#This Row],[Spalte7]])</f>
        <v>34</v>
      </c>
      <c r="L23" t="str">
        <f>IF(MID(Tabelle1[[#This Row],[Spalte7]],Tabelle1[[#This Row],[Spalte72]],1)="+",MID(Tabelle1[[#This Row],[Spalte7]],1,Tabelle1[[#This Row],[Spalte72]]-1),Tabelle1[[#This Row],[Spalte7]])</f>
        <v>Lastgang~Tagtyp_1_3+Monat+DayAhead</v>
      </c>
    </row>
    <row r="24" spans="1:12" x14ac:dyDescent="0.35">
      <c r="A24" t="s">
        <v>6</v>
      </c>
      <c r="B24" t="s">
        <v>19</v>
      </c>
      <c r="F24" t="s">
        <v>14</v>
      </c>
      <c r="I24" t="s">
        <v>3</v>
      </c>
      <c r="J2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Lastgang~Tagtyp_1_5+Monat+DayAhead</v>
      </c>
      <c r="K24">
        <f>LEN(Tabelle1[[#This Row],[Spalte7]])</f>
        <v>34</v>
      </c>
      <c r="L24" t="str">
        <f>IF(MID(Tabelle1[[#This Row],[Spalte7]],Tabelle1[[#This Row],[Spalte72]],1)="+",MID(Tabelle1[[#This Row],[Spalte7]],1,Tabelle1[[#This Row],[Spalte72]]-1),Tabelle1[[#This Row],[Spalte7]])</f>
        <v>Lastgang~Tagtyp_1_5+Monat+DayAhead</v>
      </c>
    </row>
    <row r="25" spans="1:12" x14ac:dyDescent="0.35">
      <c r="A25" t="s">
        <v>6</v>
      </c>
      <c r="B25" t="s">
        <v>20</v>
      </c>
      <c r="F25" t="s">
        <v>14</v>
      </c>
      <c r="I25" t="s">
        <v>3</v>
      </c>
      <c r="J2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Lastgang~Tagtyp_1_7+Monat+DayAhead</v>
      </c>
      <c r="K25">
        <f>LEN(Tabelle1[[#This Row],[Spalte7]])</f>
        <v>34</v>
      </c>
      <c r="L25" t="str">
        <f>IF(MID(Tabelle1[[#This Row],[Spalte7]],Tabelle1[[#This Row],[Spalte72]],1)="+",MID(Tabelle1[[#This Row],[Spalte7]],1,Tabelle1[[#This Row],[Spalte72]]-1),Tabelle1[[#This Row],[Spalte7]])</f>
        <v>Lastgang~Tagtyp_1_7+Monat+DayAhead</v>
      </c>
    </row>
    <row r="26" spans="1:12" x14ac:dyDescent="0.35">
      <c r="A26" t="s">
        <v>6</v>
      </c>
      <c r="B26" t="s">
        <v>17</v>
      </c>
      <c r="C26" t="s">
        <v>11</v>
      </c>
      <c r="D26" t="s">
        <v>12</v>
      </c>
      <c r="E26" t="s">
        <v>13</v>
      </c>
      <c r="F26" t="s">
        <v>14</v>
      </c>
      <c r="J2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Lastgang~Tagtyp_1_1+Temperatur+Globale_Strahlung+Betriebsruhe+Monat+</v>
      </c>
      <c r="K26">
        <f>LEN(Tabelle1[[#This Row],[Spalte7]])</f>
        <v>68</v>
      </c>
      <c r="L26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Lastgang~Tagtyp_1_1+Temperatur+Globale_Strahlung+Betriebsruhe+Monat</v>
      </c>
    </row>
    <row r="27" spans="1:12" x14ac:dyDescent="0.35">
      <c r="A27" t="s">
        <v>6</v>
      </c>
      <c r="B27" t="s">
        <v>18</v>
      </c>
      <c r="C27" t="s">
        <v>11</v>
      </c>
      <c r="D27" t="s">
        <v>12</v>
      </c>
      <c r="E27" t="s">
        <v>13</v>
      </c>
      <c r="F27" t="s">
        <v>14</v>
      </c>
      <c r="J2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Lastgang~Tagtyp_1_3+Temperatur+Globale_Strahlung+Betriebsruhe+Monat+</v>
      </c>
      <c r="K27">
        <f>LEN(Tabelle1[[#This Row],[Spalte7]])</f>
        <v>68</v>
      </c>
      <c r="L27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Lastgang~Tagtyp_1_3+Temperatur+Globale_Strahlung+Betriebsruhe+Monat</v>
      </c>
    </row>
    <row r="28" spans="1:12" x14ac:dyDescent="0.35">
      <c r="A28" t="s">
        <v>6</v>
      </c>
      <c r="B28" t="s">
        <v>19</v>
      </c>
      <c r="C28" t="s">
        <v>11</v>
      </c>
      <c r="D28" t="s">
        <v>12</v>
      </c>
      <c r="E28" t="s">
        <v>13</v>
      </c>
      <c r="F28" t="s">
        <v>14</v>
      </c>
      <c r="J2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Lastgang~Tagtyp_1_5+Temperatur+Globale_Strahlung+Betriebsruhe+Monat+</v>
      </c>
      <c r="K28">
        <f>LEN(Tabelle1[[#This Row],[Spalte7]])</f>
        <v>68</v>
      </c>
      <c r="L28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Lastgang~Tagtyp_1_5+Temperatur+Globale_Strahlung+Betriebsruhe+Monat</v>
      </c>
    </row>
    <row r="29" spans="1:12" x14ac:dyDescent="0.35">
      <c r="A29" t="s">
        <v>6</v>
      </c>
      <c r="B29" t="s">
        <v>20</v>
      </c>
      <c r="C29" t="s">
        <v>11</v>
      </c>
      <c r="D29" t="s">
        <v>12</v>
      </c>
      <c r="E29" t="s">
        <v>13</v>
      </c>
      <c r="F29" t="s">
        <v>14</v>
      </c>
      <c r="J2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Lastgang~Tagtyp_1_7+Temperatur+Globale_Strahlung+Betriebsruhe+Monat+</v>
      </c>
      <c r="K29">
        <f>LEN(Tabelle1[[#This Row],[Spalte7]])</f>
        <v>68</v>
      </c>
      <c r="L29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Lastgang~Tagtyp_1_7+Temperatur+Globale_Strahlung+Betriebsruhe+Monat</v>
      </c>
    </row>
    <row r="30" spans="1:12" x14ac:dyDescent="0.35">
      <c r="A30" t="s">
        <v>6</v>
      </c>
      <c r="B30" t="s">
        <v>17</v>
      </c>
      <c r="C30" t="s">
        <v>11</v>
      </c>
      <c r="E30" t="s">
        <v>13</v>
      </c>
      <c r="F30" t="s">
        <v>14</v>
      </c>
      <c r="J3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Lastgang~Tagtyp_1_1+Temperatur+Betriebsruhe+Monat+</v>
      </c>
      <c r="K30">
        <f>LEN(Tabelle1[[#This Row],[Spalte7]])</f>
        <v>50</v>
      </c>
      <c r="L30" t="str">
        <f>IF(MID(Tabelle1[[#This Row],[Spalte7]],Tabelle1[[#This Row],[Spalte72]],1)="+",MID(Tabelle1[[#This Row],[Spalte7]],1,Tabelle1[[#This Row],[Spalte72]]-1),Tabelle1[[#This Row],[Spalte7]])</f>
        <v>Lastgang~Tagtyp_1_1+Temperatur+Betriebsruhe+Monat</v>
      </c>
    </row>
    <row r="31" spans="1:12" x14ac:dyDescent="0.35">
      <c r="A31" t="s">
        <v>6</v>
      </c>
      <c r="B31" t="s">
        <v>18</v>
      </c>
      <c r="C31" t="s">
        <v>11</v>
      </c>
      <c r="E31" t="s">
        <v>13</v>
      </c>
      <c r="F31" t="s">
        <v>14</v>
      </c>
      <c r="J3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Lastgang~Tagtyp_1_3+Temperatur+Betriebsruhe+Monat+</v>
      </c>
      <c r="K31">
        <f>LEN(Tabelle1[[#This Row],[Spalte7]])</f>
        <v>50</v>
      </c>
      <c r="L31" t="str">
        <f>IF(MID(Tabelle1[[#This Row],[Spalte7]],Tabelle1[[#This Row],[Spalte72]],1)="+",MID(Tabelle1[[#This Row],[Spalte7]],1,Tabelle1[[#This Row],[Spalte72]]-1),Tabelle1[[#This Row],[Spalte7]])</f>
        <v>Lastgang~Tagtyp_1_3+Temperatur+Betriebsruhe+Monat</v>
      </c>
    </row>
    <row r="32" spans="1:12" x14ac:dyDescent="0.35">
      <c r="A32" t="s">
        <v>6</v>
      </c>
      <c r="B32" t="s">
        <v>19</v>
      </c>
      <c r="C32" t="s">
        <v>11</v>
      </c>
      <c r="E32" t="s">
        <v>13</v>
      </c>
      <c r="F32" t="s">
        <v>14</v>
      </c>
      <c r="J3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Lastgang~Tagtyp_1_5+Temperatur+Betriebsruhe+Monat+</v>
      </c>
      <c r="K32">
        <f>LEN(Tabelle1[[#This Row],[Spalte7]])</f>
        <v>50</v>
      </c>
      <c r="L32" t="str">
        <f>IF(MID(Tabelle1[[#This Row],[Spalte7]],Tabelle1[[#This Row],[Spalte72]],1)="+",MID(Tabelle1[[#This Row],[Spalte7]],1,Tabelle1[[#This Row],[Spalte72]]-1),Tabelle1[[#This Row],[Spalte7]])</f>
        <v>Lastgang~Tagtyp_1_5+Temperatur+Betriebsruhe+Monat</v>
      </c>
    </row>
    <row r="33" spans="1:12" x14ac:dyDescent="0.35">
      <c r="A33" t="s">
        <v>6</v>
      </c>
      <c r="B33" t="s">
        <v>20</v>
      </c>
      <c r="C33" t="s">
        <v>11</v>
      </c>
      <c r="E33" t="s">
        <v>13</v>
      </c>
      <c r="F33" t="s">
        <v>14</v>
      </c>
      <c r="J3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Lastgang~Tagtyp_1_7+Temperatur+Betriebsruhe+Monat+</v>
      </c>
      <c r="K33">
        <f>LEN(Tabelle1[[#This Row],[Spalte7]])</f>
        <v>50</v>
      </c>
      <c r="L33" t="str">
        <f>IF(MID(Tabelle1[[#This Row],[Spalte7]],Tabelle1[[#This Row],[Spalte72]],1)="+",MID(Tabelle1[[#This Row],[Spalte7]],1,Tabelle1[[#This Row],[Spalte72]]-1),Tabelle1[[#This Row],[Spalte7]])</f>
        <v>Lastgang~Tagtyp_1_7+Temperatur+Betriebsruhe+Monat</v>
      </c>
    </row>
    <row r="34" spans="1:12" x14ac:dyDescent="0.35">
      <c r="A34" t="s">
        <v>6</v>
      </c>
      <c r="B34" t="s">
        <v>17</v>
      </c>
      <c r="E34" t="s">
        <v>13</v>
      </c>
      <c r="F34" t="s">
        <v>14</v>
      </c>
      <c r="J3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Lastgang~Tagtyp_1_1+Betriebsruhe+Monat+</v>
      </c>
      <c r="K34">
        <f>LEN(Tabelle1[[#This Row],[Spalte7]])</f>
        <v>39</v>
      </c>
      <c r="L34" t="str">
        <f>IF(MID(Tabelle1[[#This Row],[Spalte7]],Tabelle1[[#This Row],[Spalte72]],1)="+",MID(Tabelle1[[#This Row],[Spalte7]],1,Tabelle1[[#This Row],[Spalte72]]-1),Tabelle1[[#This Row],[Spalte7]])</f>
        <v>Lastgang~Tagtyp_1_1+Betriebsruhe+Monat</v>
      </c>
    </row>
    <row r="35" spans="1:12" x14ac:dyDescent="0.35">
      <c r="A35" t="s">
        <v>6</v>
      </c>
      <c r="B35" t="s">
        <v>18</v>
      </c>
      <c r="E35" t="s">
        <v>13</v>
      </c>
      <c r="F35" t="s">
        <v>14</v>
      </c>
      <c r="J3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Lastgang~Tagtyp_1_3+Betriebsruhe+Monat+</v>
      </c>
      <c r="K35">
        <f>LEN(Tabelle1[[#This Row],[Spalte7]])</f>
        <v>39</v>
      </c>
      <c r="L35" t="str">
        <f>IF(MID(Tabelle1[[#This Row],[Spalte7]],Tabelle1[[#This Row],[Spalte72]],1)="+",MID(Tabelle1[[#This Row],[Spalte7]],1,Tabelle1[[#This Row],[Spalte72]]-1),Tabelle1[[#This Row],[Spalte7]])</f>
        <v>Lastgang~Tagtyp_1_3+Betriebsruhe+Monat</v>
      </c>
    </row>
    <row r="36" spans="1:12" x14ac:dyDescent="0.35">
      <c r="A36" t="s">
        <v>6</v>
      </c>
      <c r="B36" t="s">
        <v>19</v>
      </c>
      <c r="E36" t="s">
        <v>13</v>
      </c>
      <c r="F36" t="s">
        <v>14</v>
      </c>
      <c r="J3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Lastgang~Tagtyp_1_5+Betriebsruhe+Monat+</v>
      </c>
      <c r="K36">
        <f>LEN(Tabelle1[[#This Row],[Spalte7]])</f>
        <v>39</v>
      </c>
      <c r="L36" t="str">
        <f>IF(MID(Tabelle1[[#This Row],[Spalte7]],Tabelle1[[#This Row],[Spalte72]],1)="+",MID(Tabelle1[[#This Row],[Spalte7]],1,Tabelle1[[#This Row],[Spalte72]]-1),Tabelle1[[#This Row],[Spalte7]])</f>
        <v>Lastgang~Tagtyp_1_5+Betriebsruhe+Monat</v>
      </c>
    </row>
    <row r="37" spans="1:12" x14ac:dyDescent="0.35">
      <c r="A37" t="s">
        <v>6</v>
      </c>
      <c r="B37" t="s">
        <v>20</v>
      </c>
      <c r="E37" t="s">
        <v>13</v>
      </c>
      <c r="F37" t="s">
        <v>14</v>
      </c>
      <c r="J3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Lastgang~Tagtyp_1_7+Betriebsruhe+Monat+</v>
      </c>
      <c r="K37">
        <f>LEN(Tabelle1[[#This Row],[Spalte7]])</f>
        <v>39</v>
      </c>
      <c r="L37" t="str">
        <f>IF(MID(Tabelle1[[#This Row],[Spalte7]],Tabelle1[[#This Row],[Spalte72]],1)="+",MID(Tabelle1[[#This Row],[Spalte7]],1,Tabelle1[[#This Row],[Spalte72]]-1),Tabelle1[[#This Row],[Spalte7]])</f>
        <v>Lastgang~Tagtyp_1_7+Betriebsruhe+Monat</v>
      </c>
    </row>
    <row r="38" spans="1:12" x14ac:dyDescent="0.35">
      <c r="A38" t="s">
        <v>6</v>
      </c>
      <c r="B38" t="s">
        <v>17</v>
      </c>
      <c r="C38" t="s">
        <v>11</v>
      </c>
      <c r="D38" t="s">
        <v>12</v>
      </c>
      <c r="F38" t="s">
        <v>14</v>
      </c>
      <c r="J3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Lastgang~Tagtyp_1_1+Temperatur+Globale_Strahlung+Monat+</v>
      </c>
      <c r="K38">
        <f>LEN(Tabelle1[[#This Row],[Spalte7]])</f>
        <v>55</v>
      </c>
      <c r="L38" t="str">
        <f>IF(MID(Tabelle1[[#This Row],[Spalte7]],Tabelle1[[#This Row],[Spalte72]],1)="+",MID(Tabelle1[[#This Row],[Spalte7]],1,Tabelle1[[#This Row],[Spalte72]]-1),Tabelle1[[#This Row],[Spalte7]])</f>
        <v>Lastgang~Tagtyp_1_1+Temperatur+Globale_Strahlung+Monat</v>
      </c>
    </row>
    <row r="39" spans="1:12" x14ac:dyDescent="0.35">
      <c r="A39" t="s">
        <v>6</v>
      </c>
      <c r="B39" t="s">
        <v>18</v>
      </c>
      <c r="C39" t="s">
        <v>11</v>
      </c>
      <c r="D39" t="s">
        <v>12</v>
      </c>
      <c r="F39" t="s">
        <v>14</v>
      </c>
      <c r="J3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Lastgang~Tagtyp_1_3+Temperatur+Globale_Strahlung+Monat+</v>
      </c>
      <c r="K39">
        <f>LEN(Tabelle1[[#This Row],[Spalte7]])</f>
        <v>55</v>
      </c>
      <c r="L39" t="str">
        <f>IF(MID(Tabelle1[[#This Row],[Spalte7]],Tabelle1[[#This Row],[Spalte72]],1)="+",MID(Tabelle1[[#This Row],[Spalte7]],1,Tabelle1[[#This Row],[Spalte72]]-1),Tabelle1[[#This Row],[Spalte7]])</f>
        <v>Lastgang~Tagtyp_1_3+Temperatur+Globale_Strahlung+Monat</v>
      </c>
    </row>
    <row r="40" spans="1:12" x14ac:dyDescent="0.35">
      <c r="A40" t="s">
        <v>6</v>
      </c>
      <c r="B40" t="s">
        <v>19</v>
      </c>
      <c r="C40" t="s">
        <v>11</v>
      </c>
      <c r="D40" t="s">
        <v>12</v>
      </c>
      <c r="F40" t="s">
        <v>14</v>
      </c>
      <c r="J4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Lastgang~Tagtyp_1_5+Temperatur+Globale_Strahlung+Monat+</v>
      </c>
      <c r="K40">
        <f>LEN(Tabelle1[[#This Row],[Spalte7]])</f>
        <v>55</v>
      </c>
      <c r="L40" t="str">
        <f>IF(MID(Tabelle1[[#This Row],[Spalte7]],Tabelle1[[#This Row],[Spalte72]],1)="+",MID(Tabelle1[[#This Row],[Spalte7]],1,Tabelle1[[#This Row],[Spalte72]]-1),Tabelle1[[#This Row],[Spalte7]])</f>
        <v>Lastgang~Tagtyp_1_5+Temperatur+Globale_Strahlung+Monat</v>
      </c>
    </row>
    <row r="41" spans="1:12" x14ac:dyDescent="0.35">
      <c r="A41" t="s">
        <v>6</v>
      </c>
      <c r="B41" t="s">
        <v>20</v>
      </c>
      <c r="C41" t="s">
        <v>11</v>
      </c>
      <c r="D41" t="s">
        <v>12</v>
      </c>
      <c r="F41" t="s">
        <v>14</v>
      </c>
      <c r="J4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Lastgang~Tagtyp_1_7+Temperatur+Globale_Strahlung+Monat+</v>
      </c>
      <c r="K41">
        <f>LEN(Tabelle1[[#This Row],[Spalte7]])</f>
        <v>55</v>
      </c>
      <c r="L41" t="str">
        <f>IF(MID(Tabelle1[[#This Row],[Spalte7]],Tabelle1[[#This Row],[Spalte72]],1)="+",MID(Tabelle1[[#This Row],[Spalte7]],1,Tabelle1[[#This Row],[Spalte72]]-1),Tabelle1[[#This Row],[Spalte7]])</f>
        <v>Lastgang~Tagtyp_1_7+Temperatur+Globale_Strahlung+Monat</v>
      </c>
    </row>
    <row r="42" spans="1:12" x14ac:dyDescent="0.35">
      <c r="A42" t="s">
        <v>6</v>
      </c>
      <c r="B42" t="s">
        <v>17</v>
      </c>
      <c r="C42" t="s">
        <v>11</v>
      </c>
      <c r="F42" t="s">
        <v>14</v>
      </c>
      <c r="J4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Lastgang~Tagtyp_1_1+Temperatur+Monat+</v>
      </c>
      <c r="K42">
        <f>LEN(Tabelle1[[#This Row],[Spalte7]])</f>
        <v>37</v>
      </c>
      <c r="L42" t="str">
        <f>IF(MID(Tabelle1[[#This Row],[Spalte7]],Tabelle1[[#This Row],[Spalte72]],1)="+",MID(Tabelle1[[#This Row],[Spalte7]],1,Tabelle1[[#This Row],[Spalte72]]-1),Tabelle1[[#This Row],[Spalte7]])</f>
        <v>Lastgang~Tagtyp_1_1+Temperatur+Monat</v>
      </c>
    </row>
    <row r="43" spans="1:12" x14ac:dyDescent="0.35">
      <c r="A43" t="s">
        <v>6</v>
      </c>
      <c r="B43" t="s">
        <v>18</v>
      </c>
      <c r="C43" t="s">
        <v>11</v>
      </c>
      <c r="F43" t="s">
        <v>14</v>
      </c>
      <c r="J4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Lastgang~Tagtyp_1_3+Temperatur+Monat+</v>
      </c>
      <c r="K43">
        <f>LEN(Tabelle1[[#This Row],[Spalte7]])</f>
        <v>37</v>
      </c>
      <c r="L43" t="str">
        <f>IF(MID(Tabelle1[[#This Row],[Spalte7]],Tabelle1[[#This Row],[Spalte72]],1)="+",MID(Tabelle1[[#This Row],[Spalte7]],1,Tabelle1[[#This Row],[Spalte72]]-1),Tabelle1[[#This Row],[Spalte7]])</f>
        <v>Lastgang~Tagtyp_1_3+Temperatur+Monat</v>
      </c>
    </row>
    <row r="44" spans="1:12" x14ac:dyDescent="0.35">
      <c r="A44" t="s">
        <v>6</v>
      </c>
      <c r="B44" t="s">
        <v>19</v>
      </c>
      <c r="C44" t="s">
        <v>11</v>
      </c>
      <c r="F44" t="s">
        <v>14</v>
      </c>
      <c r="J4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Lastgang~Tagtyp_1_5+Temperatur+Monat+</v>
      </c>
      <c r="K44">
        <f>LEN(Tabelle1[[#This Row],[Spalte7]])</f>
        <v>37</v>
      </c>
      <c r="L44" t="str">
        <f>IF(MID(Tabelle1[[#This Row],[Spalte7]],Tabelle1[[#This Row],[Spalte72]],1)="+",MID(Tabelle1[[#This Row],[Spalte7]],1,Tabelle1[[#This Row],[Spalte72]]-1),Tabelle1[[#This Row],[Spalte7]])</f>
        <v>Lastgang~Tagtyp_1_5+Temperatur+Monat</v>
      </c>
    </row>
    <row r="45" spans="1:12" x14ac:dyDescent="0.35">
      <c r="A45" t="s">
        <v>6</v>
      </c>
      <c r="B45" t="s">
        <v>20</v>
      </c>
      <c r="C45" t="s">
        <v>11</v>
      </c>
      <c r="F45" t="s">
        <v>14</v>
      </c>
      <c r="J4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Lastgang~Tagtyp_1_7+Temperatur+Monat+</v>
      </c>
      <c r="K45">
        <f>LEN(Tabelle1[[#This Row],[Spalte7]])</f>
        <v>37</v>
      </c>
      <c r="L45" t="str">
        <f>IF(MID(Tabelle1[[#This Row],[Spalte7]],Tabelle1[[#This Row],[Spalte72]],1)="+",MID(Tabelle1[[#This Row],[Spalte7]],1,Tabelle1[[#This Row],[Spalte72]]-1),Tabelle1[[#This Row],[Spalte7]])</f>
        <v>Lastgang~Tagtyp_1_7+Temperatur+Monat</v>
      </c>
    </row>
    <row r="46" spans="1:12" x14ac:dyDescent="0.35">
      <c r="A46" t="s">
        <v>6</v>
      </c>
      <c r="B46" t="s">
        <v>17</v>
      </c>
      <c r="F46" t="s">
        <v>14</v>
      </c>
      <c r="J4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Lastgang~Tagtyp_1_1+Monat+</v>
      </c>
      <c r="K46">
        <f>LEN(Tabelle1[[#This Row],[Spalte7]])</f>
        <v>26</v>
      </c>
      <c r="L46" t="str">
        <f>IF(MID(Tabelle1[[#This Row],[Spalte7]],Tabelle1[[#This Row],[Spalte72]],1)="+",MID(Tabelle1[[#This Row],[Spalte7]],1,Tabelle1[[#This Row],[Spalte72]]-1),Tabelle1[[#This Row],[Spalte7]])</f>
        <v>Lastgang~Tagtyp_1_1+Monat</v>
      </c>
    </row>
    <row r="47" spans="1:12" x14ac:dyDescent="0.35">
      <c r="A47" t="s">
        <v>6</v>
      </c>
      <c r="B47" t="s">
        <v>18</v>
      </c>
      <c r="F47" t="s">
        <v>14</v>
      </c>
      <c r="J4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Lastgang~Tagtyp_1_3+Monat+</v>
      </c>
      <c r="K47">
        <f>LEN(Tabelle1[[#This Row],[Spalte7]])</f>
        <v>26</v>
      </c>
      <c r="L47" t="str">
        <f>IF(MID(Tabelle1[[#This Row],[Spalte7]],Tabelle1[[#This Row],[Spalte72]],1)="+",MID(Tabelle1[[#This Row],[Spalte7]],1,Tabelle1[[#This Row],[Spalte72]]-1),Tabelle1[[#This Row],[Spalte7]])</f>
        <v>Lastgang~Tagtyp_1_3+Monat</v>
      </c>
    </row>
    <row r="48" spans="1:12" x14ac:dyDescent="0.35">
      <c r="A48" t="s">
        <v>6</v>
      </c>
      <c r="B48" t="s">
        <v>19</v>
      </c>
      <c r="F48" t="s">
        <v>14</v>
      </c>
      <c r="J4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Lastgang~Tagtyp_1_5+Monat+</v>
      </c>
      <c r="K48">
        <f>LEN(Tabelle1[[#This Row],[Spalte7]])</f>
        <v>26</v>
      </c>
      <c r="L48" t="str">
        <f>IF(MID(Tabelle1[[#This Row],[Spalte7]],Tabelle1[[#This Row],[Spalte72]],1)="+",MID(Tabelle1[[#This Row],[Spalte7]],1,Tabelle1[[#This Row],[Spalte72]]-1),Tabelle1[[#This Row],[Spalte7]])</f>
        <v>Lastgang~Tagtyp_1_5+Monat</v>
      </c>
    </row>
    <row r="49" spans="1:12" x14ac:dyDescent="0.35">
      <c r="A49" t="s">
        <v>6</v>
      </c>
      <c r="B49" t="s">
        <v>20</v>
      </c>
      <c r="F49" t="s">
        <v>14</v>
      </c>
      <c r="J4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Lastgang~Tagtyp_1_7+Monat+</v>
      </c>
      <c r="K49">
        <f>LEN(Tabelle1[[#This Row],[Spalte7]])</f>
        <v>26</v>
      </c>
      <c r="L49" t="str">
        <f>IF(MID(Tabelle1[[#This Row],[Spalte7]],Tabelle1[[#This Row],[Spalte72]],1)="+",MID(Tabelle1[[#This Row],[Spalte7]],1,Tabelle1[[#This Row],[Spalte72]]-1),Tabelle1[[#This Row],[Spalte7]])</f>
        <v>Lastgang~Tagtyp_1_7+Monat</v>
      </c>
    </row>
    <row r="50" spans="1:12" x14ac:dyDescent="0.35">
      <c r="A50" t="s">
        <v>6</v>
      </c>
      <c r="B50" t="s">
        <v>17</v>
      </c>
      <c r="C50" t="s">
        <v>11</v>
      </c>
      <c r="D50" t="s">
        <v>12</v>
      </c>
      <c r="E50" t="s">
        <v>13</v>
      </c>
      <c r="G50" t="s">
        <v>15</v>
      </c>
      <c r="I50" t="s">
        <v>3</v>
      </c>
      <c r="J5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Lastgang~Tagtyp_1_1+Temperatur+Globale_Strahlung+Betriebsruhe+Woche+DayAhead</v>
      </c>
      <c r="K50">
        <f>LEN(Tabelle1[[#This Row],[Spalte7]])</f>
        <v>76</v>
      </c>
      <c r="L50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Lastgang~Tagtyp_1_1+Temperatur+Globale_Strahlung+Betriebsruhe+Woche+DayAhead</v>
      </c>
    </row>
    <row r="51" spans="1:12" x14ac:dyDescent="0.35">
      <c r="A51" t="s">
        <v>6</v>
      </c>
      <c r="B51" t="s">
        <v>18</v>
      </c>
      <c r="C51" t="s">
        <v>11</v>
      </c>
      <c r="D51" t="s">
        <v>12</v>
      </c>
      <c r="E51" t="s">
        <v>13</v>
      </c>
      <c r="G51" t="s">
        <v>15</v>
      </c>
      <c r="I51" t="s">
        <v>3</v>
      </c>
      <c r="J5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Lastgang~Tagtyp_1_3+Temperatur+Globale_Strahlung+Betriebsruhe+Woche+DayAhead</v>
      </c>
      <c r="K51">
        <f>LEN(Tabelle1[[#This Row],[Spalte7]])</f>
        <v>76</v>
      </c>
      <c r="L51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Lastgang~Tagtyp_1_3+Temperatur+Globale_Strahlung+Betriebsruhe+Woche+DayAhead</v>
      </c>
    </row>
    <row r="52" spans="1:12" x14ac:dyDescent="0.35">
      <c r="A52" t="s">
        <v>6</v>
      </c>
      <c r="B52" t="s">
        <v>19</v>
      </c>
      <c r="C52" t="s">
        <v>11</v>
      </c>
      <c r="D52" t="s">
        <v>12</v>
      </c>
      <c r="E52" t="s">
        <v>13</v>
      </c>
      <c r="G52" t="s">
        <v>15</v>
      </c>
      <c r="I52" t="s">
        <v>3</v>
      </c>
      <c r="J5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Lastgang~Tagtyp_1_5+Temperatur+Globale_Strahlung+Betriebsruhe+Woche+DayAhead</v>
      </c>
      <c r="K52">
        <f>LEN(Tabelle1[[#This Row],[Spalte7]])</f>
        <v>76</v>
      </c>
      <c r="L52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Lastgang~Tagtyp_1_5+Temperatur+Globale_Strahlung+Betriebsruhe+Woche+DayAhead</v>
      </c>
    </row>
    <row r="53" spans="1:12" x14ac:dyDescent="0.35">
      <c r="A53" t="s">
        <v>6</v>
      </c>
      <c r="B53" t="s">
        <v>20</v>
      </c>
      <c r="C53" t="s">
        <v>11</v>
      </c>
      <c r="D53" t="s">
        <v>12</v>
      </c>
      <c r="E53" t="s">
        <v>13</v>
      </c>
      <c r="G53" t="s">
        <v>15</v>
      </c>
      <c r="I53" t="s">
        <v>3</v>
      </c>
      <c r="J5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Lastgang~Tagtyp_1_7+Temperatur+Globale_Strahlung+Betriebsruhe+Woche+DayAhead</v>
      </c>
      <c r="K53">
        <f>LEN(Tabelle1[[#This Row],[Spalte7]])</f>
        <v>76</v>
      </c>
      <c r="L53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Lastgang~Tagtyp_1_7+Temperatur+Globale_Strahlung+Betriebsruhe+Woche+DayAhead</v>
      </c>
    </row>
    <row r="54" spans="1:12" x14ac:dyDescent="0.35">
      <c r="A54" t="s">
        <v>6</v>
      </c>
      <c r="B54" t="s">
        <v>17</v>
      </c>
      <c r="C54" t="s">
        <v>11</v>
      </c>
      <c r="E54" t="s">
        <v>13</v>
      </c>
      <c r="G54" t="s">
        <v>15</v>
      </c>
      <c r="I54" t="s">
        <v>3</v>
      </c>
      <c r="J5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Lastgang~Tagtyp_1_1+Temperatur+Betriebsruhe+Woche+DayAhead</v>
      </c>
      <c r="K54">
        <f>LEN(Tabelle1[[#This Row],[Spalte7]])</f>
        <v>58</v>
      </c>
      <c r="L54" t="str">
        <f>IF(MID(Tabelle1[[#This Row],[Spalte7]],Tabelle1[[#This Row],[Spalte72]],1)="+",MID(Tabelle1[[#This Row],[Spalte7]],1,Tabelle1[[#This Row],[Spalte72]]-1),Tabelle1[[#This Row],[Spalte7]])</f>
        <v>Lastgang~Tagtyp_1_1+Temperatur+Betriebsruhe+Woche+DayAhead</v>
      </c>
    </row>
    <row r="55" spans="1:12" x14ac:dyDescent="0.35">
      <c r="A55" t="s">
        <v>6</v>
      </c>
      <c r="B55" t="s">
        <v>18</v>
      </c>
      <c r="C55" t="s">
        <v>11</v>
      </c>
      <c r="E55" t="s">
        <v>13</v>
      </c>
      <c r="G55" t="s">
        <v>15</v>
      </c>
      <c r="I55" t="s">
        <v>3</v>
      </c>
      <c r="J5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Lastgang~Tagtyp_1_3+Temperatur+Betriebsruhe+Woche+DayAhead</v>
      </c>
      <c r="K55">
        <f>LEN(Tabelle1[[#This Row],[Spalte7]])</f>
        <v>58</v>
      </c>
      <c r="L55" t="str">
        <f>IF(MID(Tabelle1[[#This Row],[Spalte7]],Tabelle1[[#This Row],[Spalte72]],1)="+",MID(Tabelle1[[#This Row],[Spalte7]],1,Tabelle1[[#This Row],[Spalte72]]-1),Tabelle1[[#This Row],[Spalte7]])</f>
        <v>Lastgang~Tagtyp_1_3+Temperatur+Betriebsruhe+Woche+DayAhead</v>
      </c>
    </row>
    <row r="56" spans="1:12" x14ac:dyDescent="0.35">
      <c r="A56" t="s">
        <v>6</v>
      </c>
      <c r="B56" t="s">
        <v>19</v>
      </c>
      <c r="C56" t="s">
        <v>11</v>
      </c>
      <c r="E56" t="s">
        <v>13</v>
      </c>
      <c r="G56" t="s">
        <v>15</v>
      </c>
      <c r="I56" t="s">
        <v>3</v>
      </c>
      <c r="J5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Lastgang~Tagtyp_1_5+Temperatur+Betriebsruhe+Woche+DayAhead</v>
      </c>
      <c r="K56">
        <f>LEN(Tabelle1[[#This Row],[Spalte7]])</f>
        <v>58</v>
      </c>
      <c r="L56" t="str">
        <f>IF(MID(Tabelle1[[#This Row],[Spalte7]],Tabelle1[[#This Row],[Spalte72]],1)="+",MID(Tabelle1[[#This Row],[Spalte7]],1,Tabelle1[[#This Row],[Spalte72]]-1),Tabelle1[[#This Row],[Spalte7]])</f>
        <v>Lastgang~Tagtyp_1_5+Temperatur+Betriebsruhe+Woche+DayAhead</v>
      </c>
    </row>
    <row r="57" spans="1:12" x14ac:dyDescent="0.35">
      <c r="A57" t="s">
        <v>6</v>
      </c>
      <c r="B57" t="s">
        <v>20</v>
      </c>
      <c r="C57" t="s">
        <v>11</v>
      </c>
      <c r="E57" t="s">
        <v>13</v>
      </c>
      <c r="G57" t="s">
        <v>15</v>
      </c>
      <c r="I57" t="s">
        <v>3</v>
      </c>
      <c r="J5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Lastgang~Tagtyp_1_7+Temperatur+Betriebsruhe+Woche+DayAhead</v>
      </c>
      <c r="K57">
        <f>LEN(Tabelle1[[#This Row],[Spalte7]])</f>
        <v>58</v>
      </c>
      <c r="L57" t="str">
        <f>IF(MID(Tabelle1[[#This Row],[Spalte7]],Tabelle1[[#This Row],[Spalte72]],1)="+",MID(Tabelle1[[#This Row],[Spalte7]],1,Tabelle1[[#This Row],[Spalte72]]-1),Tabelle1[[#This Row],[Spalte7]])</f>
        <v>Lastgang~Tagtyp_1_7+Temperatur+Betriebsruhe+Woche+DayAhead</v>
      </c>
    </row>
    <row r="58" spans="1:12" x14ac:dyDescent="0.35">
      <c r="A58" t="s">
        <v>6</v>
      </c>
      <c r="B58" t="s">
        <v>17</v>
      </c>
      <c r="E58" t="s">
        <v>13</v>
      </c>
      <c r="G58" t="s">
        <v>15</v>
      </c>
      <c r="I58" t="s">
        <v>3</v>
      </c>
      <c r="J5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Lastgang~Tagtyp_1_1+Betriebsruhe+Woche+DayAhead</v>
      </c>
      <c r="K58">
        <f>LEN(Tabelle1[[#This Row],[Spalte7]])</f>
        <v>47</v>
      </c>
      <c r="L58" t="str">
        <f>IF(MID(Tabelle1[[#This Row],[Spalte7]],Tabelle1[[#This Row],[Spalte72]],1)="+",MID(Tabelle1[[#This Row],[Spalte7]],1,Tabelle1[[#This Row],[Spalte72]]-1),Tabelle1[[#This Row],[Spalte7]])</f>
        <v>Lastgang~Tagtyp_1_1+Betriebsruhe+Woche+DayAhead</v>
      </c>
    </row>
    <row r="59" spans="1:12" x14ac:dyDescent="0.35">
      <c r="A59" t="s">
        <v>6</v>
      </c>
      <c r="B59" t="s">
        <v>18</v>
      </c>
      <c r="E59" t="s">
        <v>13</v>
      </c>
      <c r="G59" t="s">
        <v>15</v>
      </c>
      <c r="I59" t="s">
        <v>3</v>
      </c>
      <c r="J5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Lastgang~Tagtyp_1_3+Betriebsruhe+Woche+DayAhead</v>
      </c>
      <c r="K59">
        <f>LEN(Tabelle1[[#This Row],[Spalte7]])</f>
        <v>47</v>
      </c>
      <c r="L59" t="str">
        <f>IF(MID(Tabelle1[[#This Row],[Spalte7]],Tabelle1[[#This Row],[Spalte72]],1)="+",MID(Tabelle1[[#This Row],[Spalte7]],1,Tabelle1[[#This Row],[Spalte72]]-1),Tabelle1[[#This Row],[Spalte7]])</f>
        <v>Lastgang~Tagtyp_1_3+Betriebsruhe+Woche+DayAhead</v>
      </c>
    </row>
    <row r="60" spans="1:12" x14ac:dyDescent="0.35">
      <c r="A60" t="s">
        <v>6</v>
      </c>
      <c r="B60" t="s">
        <v>19</v>
      </c>
      <c r="E60" t="s">
        <v>13</v>
      </c>
      <c r="G60" t="s">
        <v>15</v>
      </c>
      <c r="I60" t="s">
        <v>3</v>
      </c>
      <c r="J6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Lastgang~Tagtyp_1_5+Betriebsruhe+Woche+DayAhead</v>
      </c>
      <c r="K60">
        <f>LEN(Tabelle1[[#This Row],[Spalte7]])</f>
        <v>47</v>
      </c>
      <c r="L60" t="str">
        <f>IF(MID(Tabelle1[[#This Row],[Spalte7]],Tabelle1[[#This Row],[Spalte72]],1)="+",MID(Tabelle1[[#This Row],[Spalte7]],1,Tabelle1[[#This Row],[Spalte72]]-1),Tabelle1[[#This Row],[Spalte7]])</f>
        <v>Lastgang~Tagtyp_1_5+Betriebsruhe+Woche+DayAhead</v>
      </c>
    </row>
    <row r="61" spans="1:12" x14ac:dyDescent="0.35">
      <c r="A61" t="s">
        <v>6</v>
      </c>
      <c r="B61" t="s">
        <v>20</v>
      </c>
      <c r="E61" t="s">
        <v>13</v>
      </c>
      <c r="G61" t="s">
        <v>15</v>
      </c>
      <c r="I61" t="s">
        <v>3</v>
      </c>
      <c r="J6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Lastgang~Tagtyp_1_7+Betriebsruhe+Woche+DayAhead</v>
      </c>
      <c r="K61">
        <f>LEN(Tabelle1[[#This Row],[Spalte7]])</f>
        <v>47</v>
      </c>
      <c r="L61" t="str">
        <f>IF(MID(Tabelle1[[#This Row],[Spalte7]],Tabelle1[[#This Row],[Spalte72]],1)="+",MID(Tabelle1[[#This Row],[Spalte7]],1,Tabelle1[[#This Row],[Spalte72]]-1),Tabelle1[[#This Row],[Spalte7]])</f>
        <v>Lastgang~Tagtyp_1_7+Betriebsruhe+Woche+DayAhead</v>
      </c>
    </row>
    <row r="62" spans="1:12" x14ac:dyDescent="0.35">
      <c r="A62" t="s">
        <v>6</v>
      </c>
      <c r="B62" t="s">
        <v>17</v>
      </c>
      <c r="C62" t="s">
        <v>11</v>
      </c>
      <c r="D62" t="s">
        <v>12</v>
      </c>
      <c r="G62" t="s">
        <v>15</v>
      </c>
      <c r="I62" t="s">
        <v>3</v>
      </c>
      <c r="J6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Lastgang~Tagtyp_1_1+Temperatur+Globale_Strahlung+Woche+DayAhead</v>
      </c>
      <c r="K62">
        <f>LEN(Tabelle1[[#This Row],[Spalte7]])</f>
        <v>63</v>
      </c>
      <c r="L62" t="str">
        <f>IF(MID(Tabelle1[[#This Row],[Spalte7]],Tabelle1[[#This Row],[Spalte72]],1)="+",MID(Tabelle1[[#This Row],[Spalte7]],1,Tabelle1[[#This Row],[Spalte72]]-1),Tabelle1[[#This Row],[Spalte7]])</f>
        <v>Lastgang~Tagtyp_1_1+Temperatur+Globale_Strahlung+Woche+DayAhead</v>
      </c>
    </row>
    <row r="63" spans="1:12" x14ac:dyDescent="0.35">
      <c r="A63" t="s">
        <v>6</v>
      </c>
      <c r="B63" t="s">
        <v>18</v>
      </c>
      <c r="C63" t="s">
        <v>11</v>
      </c>
      <c r="D63" t="s">
        <v>12</v>
      </c>
      <c r="G63" t="s">
        <v>15</v>
      </c>
      <c r="I63" t="s">
        <v>3</v>
      </c>
      <c r="J6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Lastgang~Tagtyp_1_3+Temperatur+Globale_Strahlung+Woche+DayAhead</v>
      </c>
      <c r="K63">
        <f>LEN(Tabelle1[[#This Row],[Spalte7]])</f>
        <v>63</v>
      </c>
      <c r="L63" t="str">
        <f>IF(MID(Tabelle1[[#This Row],[Spalte7]],Tabelle1[[#This Row],[Spalte72]],1)="+",MID(Tabelle1[[#This Row],[Spalte7]],1,Tabelle1[[#This Row],[Spalte72]]-1),Tabelle1[[#This Row],[Spalte7]])</f>
        <v>Lastgang~Tagtyp_1_3+Temperatur+Globale_Strahlung+Woche+DayAhead</v>
      </c>
    </row>
    <row r="64" spans="1:12" x14ac:dyDescent="0.35">
      <c r="A64" t="s">
        <v>6</v>
      </c>
      <c r="B64" t="s">
        <v>19</v>
      </c>
      <c r="C64" t="s">
        <v>11</v>
      </c>
      <c r="D64" t="s">
        <v>12</v>
      </c>
      <c r="G64" t="s">
        <v>15</v>
      </c>
      <c r="I64" t="s">
        <v>3</v>
      </c>
      <c r="J6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Lastgang~Tagtyp_1_5+Temperatur+Globale_Strahlung+Woche+DayAhead</v>
      </c>
      <c r="K64">
        <f>LEN(Tabelle1[[#This Row],[Spalte7]])</f>
        <v>63</v>
      </c>
      <c r="L64" t="str">
        <f>IF(MID(Tabelle1[[#This Row],[Spalte7]],Tabelle1[[#This Row],[Spalte72]],1)="+",MID(Tabelle1[[#This Row],[Spalte7]],1,Tabelle1[[#This Row],[Spalte72]]-1),Tabelle1[[#This Row],[Spalte7]])</f>
        <v>Lastgang~Tagtyp_1_5+Temperatur+Globale_Strahlung+Woche+DayAhead</v>
      </c>
    </row>
    <row r="65" spans="1:12" x14ac:dyDescent="0.35">
      <c r="A65" t="s">
        <v>6</v>
      </c>
      <c r="B65" t="s">
        <v>20</v>
      </c>
      <c r="C65" t="s">
        <v>11</v>
      </c>
      <c r="D65" t="s">
        <v>12</v>
      </c>
      <c r="G65" t="s">
        <v>15</v>
      </c>
      <c r="I65" t="s">
        <v>3</v>
      </c>
      <c r="J6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Lastgang~Tagtyp_1_7+Temperatur+Globale_Strahlung+Woche+DayAhead</v>
      </c>
      <c r="K65">
        <f>LEN(Tabelle1[[#This Row],[Spalte7]])</f>
        <v>63</v>
      </c>
      <c r="L65" t="str">
        <f>IF(MID(Tabelle1[[#This Row],[Spalte7]],Tabelle1[[#This Row],[Spalte72]],1)="+",MID(Tabelle1[[#This Row],[Spalte7]],1,Tabelle1[[#This Row],[Spalte72]]-1),Tabelle1[[#This Row],[Spalte7]])</f>
        <v>Lastgang~Tagtyp_1_7+Temperatur+Globale_Strahlung+Woche+DayAhead</v>
      </c>
    </row>
    <row r="66" spans="1:12" x14ac:dyDescent="0.35">
      <c r="A66" t="s">
        <v>6</v>
      </c>
      <c r="B66" t="s">
        <v>17</v>
      </c>
      <c r="C66" t="s">
        <v>11</v>
      </c>
      <c r="G66" t="s">
        <v>15</v>
      </c>
      <c r="I66" t="s">
        <v>3</v>
      </c>
      <c r="J6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Lastgang~Tagtyp_1_1+Temperatur+Woche+DayAhead</v>
      </c>
      <c r="K66">
        <f>LEN(Tabelle1[[#This Row],[Spalte7]])</f>
        <v>45</v>
      </c>
      <c r="L66" t="str">
        <f>IF(MID(Tabelle1[[#This Row],[Spalte7]],Tabelle1[[#This Row],[Spalte72]],1)="+",MID(Tabelle1[[#This Row],[Spalte7]],1,Tabelle1[[#This Row],[Spalte72]]-1),Tabelle1[[#This Row],[Spalte7]])</f>
        <v>Lastgang~Tagtyp_1_1+Temperatur+Woche+DayAhead</v>
      </c>
    </row>
    <row r="67" spans="1:12" x14ac:dyDescent="0.35">
      <c r="A67" t="s">
        <v>6</v>
      </c>
      <c r="B67" t="s">
        <v>18</v>
      </c>
      <c r="C67" t="s">
        <v>11</v>
      </c>
      <c r="G67" t="s">
        <v>15</v>
      </c>
      <c r="I67" t="s">
        <v>3</v>
      </c>
      <c r="J6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Lastgang~Tagtyp_1_3+Temperatur+Woche+DayAhead</v>
      </c>
      <c r="K67">
        <f>LEN(Tabelle1[[#This Row],[Spalte7]])</f>
        <v>45</v>
      </c>
      <c r="L67" t="str">
        <f>IF(MID(Tabelle1[[#This Row],[Spalte7]],Tabelle1[[#This Row],[Spalte72]],1)="+",MID(Tabelle1[[#This Row],[Spalte7]],1,Tabelle1[[#This Row],[Spalte72]]-1),Tabelle1[[#This Row],[Spalte7]])</f>
        <v>Lastgang~Tagtyp_1_3+Temperatur+Woche+DayAhead</v>
      </c>
    </row>
    <row r="68" spans="1:12" x14ac:dyDescent="0.35">
      <c r="A68" t="s">
        <v>6</v>
      </c>
      <c r="B68" t="s">
        <v>19</v>
      </c>
      <c r="C68" t="s">
        <v>11</v>
      </c>
      <c r="G68" t="s">
        <v>15</v>
      </c>
      <c r="I68" t="s">
        <v>3</v>
      </c>
      <c r="J6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Lastgang~Tagtyp_1_5+Temperatur+Woche+DayAhead</v>
      </c>
      <c r="K68">
        <f>LEN(Tabelle1[[#This Row],[Spalte7]])</f>
        <v>45</v>
      </c>
      <c r="L68" t="str">
        <f>IF(MID(Tabelle1[[#This Row],[Spalte7]],Tabelle1[[#This Row],[Spalte72]],1)="+",MID(Tabelle1[[#This Row],[Spalte7]],1,Tabelle1[[#This Row],[Spalte72]]-1),Tabelle1[[#This Row],[Spalte7]])</f>
        <v>Lastgang~Tagtyp_1_5+Temperatur+Woche+DayAhead</v>
      </c>
    </row>
    <row r="69" spans="1:12" x14ac:dyDescent="0.35">
      <c r="A69" t="s">
        <v>6</v>
      </c>
      <c r="B69" t="s">
        <v>20</v>
      </c>
      <c r="C69" t="s">
        <v>11</v>
      </c>
      <c r="G69" t="s">
        <v>15</v>
      </c>
      <c r="I69" t="s">
        <v>3</v>
      </c>
      <c r="J6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Lastgang~Tagtyp_1_7+Temperatur+Woche+DayAhead</v>
      </c>
      <c r="K69">
        <f>LEN(Tabelle1[[#This Row],[Spalte7]])</f>
        <v>45</v>
      </c>
      <c r="L69" t="str">
        <f>IF(MID(Tabelle1[[#This Row],[Spalte7]],Tabelle1[[#This Row],[Spalte72]],1)="+",MID(Tabelle1[[#This Row],[Spalte7]],1,Tabelle1[[#This Row],[Spalte72]]-1),Tabelle1[[#This Row],[Spalte7]])</f>
        <v>Lastgang~Tagtyp_1_7+Temperatur+Woche+DayAhead</v>
      </c>
    </row>
    <row r="70" spans="1:12" x14ac:dyDescent="0.35">
      <c r="A70" t="s">
        <v>6</v>
      </c>
      <c r="B70" t="s">
        <v>17</v>
      </c>
      <c r="G70" t="s">
        <v>15</v>
      </c>
      <c r="I70" t="s">
        <v>3</v>
      </c>
      <c r="J7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Lastgang~Tagtyp_1_1+Woche+DayAhead</v>
      </c>
      <c r="K70">
        <f>LEN(Tabelle1[[#This Row],[Spalte7]])</f>
        <v>34</v>
      </c>
      <c r="L70" t="str">
        <f>IF(MID(Tabelle1[[#This Row],[Spalte7]],Tabelle1[[#This Row],[Spalte72]],1)="+",MID(Tabelle1[[#This Row],[Spalte7]],1,Tabelle1[[#This Row],[Spalte72]]-1),Tabelle1[[#This Row],[Spalte7]])</f>
        <v>Lastgang~Tagtyp_1_1+Woche+DayAhead</v>
      </c>
    </row>
    <row r="71" spans="1:12" x14ac:dyDescent="0.35">
      <c r="A71" t="s">
        <v>6</v>
      </c>
      <c r="B71" t="s">
        <v>18</v>
      </c>
      <c r="G71" t="s">
        <v>15</v>
      </c>
      <c r="I71" t="s">
        <v>3</v>
      </c>
      <c r="J7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Lastgang~Tagtyp_1_3+Woche+DayAhead</v>
      </c>
      <c r="K71">
        <f>LEN(Tabelle1[[#This Row],[Spalte7]])</f>
        <v>34</v>
      </c>
      <c r="L71" t="str">
        <f>IF(MID(Tabelle1[[#This Row],[Spalte7]],Tabelle1[[#This Row],[Spalte72]],1)="+",MID(Tabelle1[[#This Row],[Spalte7]],1,Tabelle1[[#This Row],[Spalte72]]-1),Tabelle1[[#This Row],[Spalte7]])</f>
        <v>Lastgang~Tagtyp_1_3+Woche+DayAhead</v>
      </c>
    </row>
    <row r="72" spans="1:12" x14ac:dyDescent="0.35">
      <c r="A72" t="s">
        <v>6</v>
      </c>
      <c r="B72" t="s">
        <v>19</v>
      </c>
      <c r="G72" t="s">
        <v>15</v>
      </c>
      <c r="I72" t="s">
        <v>3</v>
      </c>
      <c r="J7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Lastgang~Tagtyp_1_5+Woche+DayAhead</v>
      </c>
      <c r="K72">
        <f>LEN(Tabelle1[[#This Row],[Spalte7]])</f>
        <v>34</v>
      </c>
      <c r="L72" t="str">
        <f>IF(MID(Tabelle1[[#This Row],[Spalte7]],Tabelle1[[#This Row],[Spalte72]],1)="+",MID(Tabelle1[[#This Row],[Spalte7]],1,Tabelle1[[#This Row],[Spalte72]]-1),Tabelle1[[#This Row],[Spalte7]])</f>
        <v>Lastgang~Tagtyp_1_5+Woche+DayAhead</v>
      </c>
    </row>
    <row r="73" spans="1:12" x14ac:dyDescent="0.35">
      <c r="A73" t="s">
        <v>6</v>
      </c>
      <c r="B73" t="s">
        <v>20</v>
      </c>
      <c r="G73" t="s">
        <v>15</v>
      </c>
      <c r="I73" t="s">
        <v>3</v>
      </c>
      <c r="J7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Lastgang~Tagtyp_1_7+Woche+DayAhead</v>
      </c>
      <c r="K73">
        <f>LEN(Tabelle1[[#This Row],[Spalte7]])</f>
        <v>34</v>
      </c>
      <c r="L73" t="str">
        <f>IF(MID(Tabelle1[[#This Row],[Spalte7]],Tabelle1[[#This Row],[Spalte72]],1)="+",MID(Tabelle1[[#This Row],[Spalte7]],1,Tabelle1[[#This Row],[Spalte72]]-1),Tabelle1[[#This Row],[Spalte7]])</f>
        <v>Lastgang~Tagtyp_1_7+Woche+DayAhead</v>
      </c>
    </row>
    <row r="74" spans="1:12" x14ac:dyDescent="0.35">
      <c r="A74" t="s">
        <v>6</v>
      </c>
      <c r="B74" t="s">
        <v>17</v>
      </c>
      <c r="C74" t="s">
        <v>11</v>
      </c>
      <c r="D74" t="s">
        <v>12</v>
      </c>
      <c r="E74" t="s">
        <v>13</v>
      </c>
      <c r="G74" t="s">
        <v>15</v>
      </c>
      <c r="J7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Lastgang~Tagtyp_1_1+Temperatur+Globale_Strahlung+Betriebsruhe+Woche+</v>
      </c>
      <c r="K74">
        <f>LEN(Tabelle1[[#This Row],[Spalte7]])</f>
        <v>68</v>
      </c>
      <c r="L74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Lastgang~Tagtyp_1_1+Temperatur+Globale_Strahlung+Betriebsruhe+Woche</v>
      </c>
    </row>
    <row r="75" spans="1:12" x14ac:dyDescent="0.35">
      <c r="A75" t="s">
        <v>6</v>
      </c>
      <c r="B75" t="s">
        <v>18</v>
      </c>
      <c r="C75" t="s">
        <v>11</v>
      </c>
      <c r="D75" t="s">
        <v>12</v>
      </c>
      <c r="E75" t="s">
        <v>13</v>
      </c>
      <c r="G75" t="s">
        <v>15</v>
      </c>
      <c r="J7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Lastgang~Tagtyp_1_3+Temperatur+Globale_Strahlung+Betriebsruhe+Woche+</v>
      </c>
      <c r="K75">
        <f>LEN(Tabelle1[[#This Row],[Spalte7]])</f>
        <v>68</v>
      </c>
      <c r="L75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Lastgang~Tagtyp_1_3+Temperatur+Globale_Strahlung+Betriebsruhe+Woche</v>
      </c>
    </row>
    <row r="76" spans="1:12" x14ac:dyDescent="0.35">
      <c r="A76" t="s">
        <v>6</v>
      </c>
      <c r="B76" t="s">
        <v>19</v>
      </c>
      <c r="C76" t="s">
        <v>11</v>
      </c>
      <c r="D76" t="s">
        <v>12</v>
      </c>
      <c r="E76" t="s">
        <v>13</v>
      </c>
      <c r="G76" t="s">
        <v>15</v>
      </c>
      <c r="J7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Lastgang~Tagtyp_1_5+Temperatur+Globale_Strahlung+Betriebsruhe+Woche+</v>
      </c>
      <c r="K76">
        <f>LEN(Tabelle1[[#This Row],[Spalte7]])</f>
        <v>68</v>
      </c>
      <c r="L76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Lastgang~Tagtyp_1_5+Temperatur+Globale_Strahlung+Betriebsruhe+Woche</v>
      </c>
    </row>
    <row r="77" spans="1:12" x14ac:dyDescent="0.35">
      <c r="A77" t="s">
        <v>6</v>
      </c>
      <c r="B77" t="s">
        <v>20</v>
      </c>
      <c r="C77" t="s">
        <v>11</v>
      </c>
      <c r="D77" t="s">
        <v>12</v>
      </c>
      <c r="E77" t="s">
        <v>13</v>
      </c>
      <c r="G77" t="s">
        <v>15</v>
      </c>
      <c r="J7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Lastgang~Tagtyp_1_7+Temperatur+Globale_Strahlung+Betriebsruhe+Woche+</v>
      </c>
      <c r="K77">
        <f>LEN(Tabelle1[[#This Row],[Spalte7]])</f>
        <v>68</v>
      </c>
      <c r="L77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Lastgang~Tagtyp_1_7+Temperatur+Globale_Strahlung+Betriebsruhe+Woche</v>
      </c>
    </row>
    <row r="78" spans="1:12" x14ac:dyDescent="0.35">
      <c r="A78" t="s">
        <v>6</v>
      </c>
      <c r="B78" t="s">
        <v>17</v>
      </c>
      <c r="C78" t="s">
        <v>11</v>
      </c>
      <c r="E78" t="s">
        <v>13</v>
      </c>
      <c r="G78" t="s">
        <v>15</v>
      </c>
      <c r="J7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Lastgang~Tagtyp_1_1+Temperatur+Betriebsruhe+Woche+</v>
      </c>
      <c r="K78">
        <f>LEN(Tabelle1[[#This Row],[Spalte7]])</f>
        <v>50</v>
      </c>
      <c r="L78" t="str">
        <f>IF(MID(Tabelle1[[#This Row],[Spalte7]],Tabelle1[[#This Row],[Spalte72]],1)="+",MID(Tabelle1[[#This Row],[Spalte7]],1,Tabelle1[[#This Row],[Spalte72]]-1),Tabelle1[[#This Row],[Spalte7]])</f>
        <v>Lastgang~Tagtyp_1_1+Temperatur+Betriebsruhe+Woche</v>
      </c>
    </row>
    <row r="79" spans="1:12" x14ac:dyDescent="0.35">
      <c r="A79" t="s">
        <v>6</v>
      </c>
      <c r="B79" t="s">
        <v>18</v>
      </c>
      <c r="C79" t="s">
        <v>11</v>
      </c>
      <c r="E79" t="s">
        <v>13</v>
      </c>
      <c r="G79" t="s">
        <v>15</v>
      </c>
      <c r="J7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Lastgang~Tagtyp_1_3+Temperatur+Betriebsruhe+Woche+</v>
      </c>
      <c r="K79">
        <f>LEN(Tabelle1[[#This Row],[Spalte7]])</f>
        <v>50</v>
      </c>
      <c r="L79" t="str">
        <f>IF(MID(Tabelle1[[#This Row],[Spalte7]],Tabelle1[[#This Row],[Spalte72]],1)="+",MID(Tabelle1[[#This Row],[Spalte7]],1,Tabelle1[[#This Row],[Spalte72]]-1),Tabelle1[[#This Row],[Spalte7]])</f>
        <v>Lastgang~Tagtyp_1_3+Temperatur+Betriebsruhe+Woche</v>
      </c>
    </row>
    <row r="80" spans="1:12" x14ac:dyDescent="0.35">
      <c r="A80" t="s">
        <v>6</v>
      </c>
      <c r="B80" t="s">
        <v>19</v>
      </c>
      <c r="C80" t="s">
        <v>11</v>
      </c>
      <c r="E80" t="s">
        <v>13</v>
      </c>
      <c r="G80" t="s">
        <v>15</v>
      </c>
      <c r="J8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Lastgang~Tagtyp_1_5+Temperatur+Betriebsruhe+Woche+</v>
      </c>
      <c r="K80">
        <f>LEN(Tabelle1[[#This Row],[Spalte7]])</f>
        <v>50</v>
      </c>
      <c r="L80" t="str">
        <f>IF(MID(Tabelle1[[#This Row],[Spalte7]],Tabelle1[[#This Row],[Spalte72]],1)="+",MID(Tabelle1[[#This Row],[Spalte7]],1,Tabelle1[[#This Row],[Spalte72]]-1),Tabelle1[[#This Row],[Spalte7]])</f>
        <v>Lastgang~Tagtyp_1_5+Temperatur+Betriebsruhe+Woche</v>
      </c>
    </row>
    <row r="81" spans="1:12" x14ac:dyDescent="0.35">
      <c r="A81" t="s">
        <v>6</v>
      </c>
      <c r="B81" t="s">
        <v>20</v>
      </c>
      <c r="C81" t="s">
        <v>11</v>
      </c>
      <c r="E81" t="s">
        <v>13</v>
      </c>
      <c r="G81" t="s">
        <v>15</v>
      </c>
      <c r="J8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Lastgang~Tagtyp_1_7+Temperatur+Betriebsruhe+Woche+</v>
      </c>
      <c r="K81">
        <f>LEN(Tabelle1[[#This Row],[Spalte7]])</f>
        <v>50</v>
      </c>
      <c r="L81" t="str">
        <f>IF(MID(Tabelle1[[#This Row],[Spalte7]],Tabelle1[[#This Row],[Spalte72]],1)="+",MID(Tabelle1[[#This Row],[Spalte7]],1,Tabelle1[[#This Row],[Spalte72]]-1),Tabelle1[[#This Row],[Spalte7]])</f>
        <v>Lastgang~Tagtyp_1_7+Temperatur+Betriebsruhe+Woche</v>
      </c>
    </row>
    <row r="82" spans="1:12" x14ac:dyDescent="0.35">
      <c r="A82" t="s">
        <v>6</v>
      </c>
      <c r="B82" t="s">
        <v>17</v>
      </c>
      <c r="E82" t="s">
        <v>13</v>
      </c>
      <c r="G82" t="s">
        <v>15</v>
      </c>
      <c r="J8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Lastgang~Tagtyp_1_1+Betriebsruhe+Woche+</v>
      </c>
      <c r="K82">
        <f>LEN(Tabelle1[[#This Row],[Spalte7]])</f>
        <v>39</v>
      </c>
      <c r="L82" t="str">
        <f>IF(MID(Tabelle1[[#This Row],[Spalte7]],Tabelle1[[#This Row],[Spalte72]],1)="+",MID(Tabelle1[[#This Row],[Spalte7]],1,Tabelle1[[#This Row],[Spalte72]]-1),Tabelle1[[#This Row],[Spalte7]])</f>
        <v>Lastgang~Tagtyp_1_1+Betriebsruhe+Woche</v>
      </c>
    </row>
    <row r="83" spans="1:12" x14ac:dyDescent="0.35">
      <c r="A83" t="s">
        <v>6</v>
      </c>
      <c r="B83" t="s">
        <v>18</v>
      </c>
      <c r="E83" t="s">
        <v>13</v>
      </c>
      <c r="G83" t="s">
        <v>15</v>
      </c>
      <c r="J8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Lastgang~Tagtyp_1_3+Betriebsruhe+Woche+</v>
      </c>
      <c r="K83">
        <f>LEN(Tabelle1[[#This Row],[Spalte7]])</f>
        <v>39</v>
      </c>
      <c r="L83" t="str">
        <f>IF(MID(Tabelle1[[#This Row],[Spalte7]],Tabelle1[[#This Row],[Spalte72]],1)="+",MID(Tabelle1[[#This Row],[Spalte7]],1,Tabelle1[[#This Row],[Spalte72]]-1),Tabelle1[[#This Row],[Spalte7]])</f>
        <v>Lastgang~Tagtyp_1_3+Betriebsruhe+Woche</v>
      </c>
    </row>
    <row r="84" spans="1:12" x14ac:dyDescent="0.35">
      <c r="A84" t="s">
        <v>6</v>
      </c>
      <c r="B84" t="s">
        <v>19</v>
      </c>
      <c r="E84" t="s">
        <v>13</v>
      </c>
      <c r="G84" t="s">
        <v>15</v>
      </c>
      <c r="J8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Lastgang~Tagtyp_1_5+Betriebsruhe+Woche+</v>
      </c>
      <c r="K84">
        <f>LEN(Tabelle1[[#This Row],[Spalte7]])</f>
        <v>39</v>
      </c>
      <c r="L84" t="str">
        <f>IF(MID(Tabelle1[[#This Row],[Spalte7]],Tabelle1[[#This Row],[Spalte72]],1)="+",MID(Tabelle1[[#This Row],[Spalte7]],1,Tabelle1[[#This Row],[Spalte72]]-1),Tabelle1[[#This Row],[Spalte7]])</f>
        <v>Lastgang~Tagtyp_1_5+Betriebsruhe+Woche</v>
      </c>
    </row>
    <row r="85" spans="1:12" x14ac:dyDescent="0.35">
      <c r="A85" t="s">
        <v>6</v>
      </c>
      <c r="B85" t="s">
        <v>20</v>
      </c>
      <c r="E85" t="s">
        <v>13</v>
      </c>
      <c r="G85" t="s">
        <v>15</v>
      </c>
      <c r="J8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Lastgang~Tagtyp_1_7+Betriebsruhe+Woche+</v>
      </c>
      <c r="K85">
        <f>LEN(Tabelle1[[#This Row],[Spalte7]])</f>
        <v>39</v>
      </c>
      <c r="L85" t="str">
        <f>IF(MID(Tabelle1[[#This Row],[Spalte7]],Tabelle1[[#This Row],[Spalte72]],1)="+",MID(Tabelle1[[#This Row],[Spalte7]],1,Tabelle1[[#This Row],[Spalte72]]-1),Tabelle1[[#This Row],[Spalte7]])</f>
        <v>Lastgang~Tagtyp_1_7+Betriebsruhe+Woche</v>
      </c>
    </row>
    <row r="86" spans="1:12" x14ac:dyDescent="0.35">
      <c r="A86" t="s">
        <v>6</v>
      </c>
      <c r="B86" t="s">
        <v>17</v>
      </c>
      <c r="C86" t="s">
        <v>11</v>
      </c>
      <c r="D86" t="s">
        <v>12</v>
      </c>
      <c r="G86" t="s">
        <v>15</v>
      </c>
      <c r="J8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Lastgang~Tagtyp_1_1+Temperatur+Globale_Strahlung+Woche+</v>
      </c>
      <c r="K86">
        <f>LEN(Tabelle1[[#This Row],[Spalte7]])</f>
        <v>55</v>
      </c>
      <c r="L86" t="str">
        <f>IF(MID(Tabelle1[[#This Row],[Spalte7]],Tabelle1[[#This Row],[Spalte72]],1)="+",MID(Tabelle1[[#This Row],[Spalte7]],1,Tabelle1[[#This Row],[Spalte72]]-1),Tabelle1[[#This Row],[Spalte7]])</f>
        <v>Lastgang~Tagtyp_1_1+Temperatur+Globale_Strahlung+Woche</v>
      </c>
    </row>
    <row r="87" spans="1:12" x14ac:dyDescent="0.35">
      <c r="A87" t="s">
        <v>6</v>
      </c>
      <c r="B87" t="s">
        <v>18</v>
      </c>
      <c r="C87" t="s">
        <v>11</v>
      </c>
      <c r="D87" t="s">
        <v>12</v>
      </c>
      <c r="G87" t="s">
        <v>15</v>
      </c>
      <c r="J8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Lastgang~Tagtyp_1_3+Temperatur+Globale_Strahlung+Woche+</v>
      </c>
      <c r="K87">
        <f>LEN(Tabelle1[[#This Row],[Spalte7]])</f>
        <v>55</v>
      </c>
      <c r="L87" t="str">
        <f>IF(MID(Tabelle1[[#This Row],[Spalte7]],Tabelle1[[#This Row],[Spalte72]],1)="+",MID(Tabelle1[[#This Row],[Spalte7]],1,Tabelle1[[#This Row],[Spalte72]]-1),Tabelle1[[#This Row],[Spalte7]])</f>
        <v>Lastgang~Tagtyp_1_3+Temperatur+Globale_Strahlung+Woche</v>
      </c>
    </row>
    <row r="88" spans="1:12" x14ac:dyDescent="0.35">
      <c r="A88" t="s">
        <v>6</v>
      </c>
      <c r="B88" t="s">
        <v>19</v>
      </c>
      <c r="C88" t="s">
        <v>11</v>
      </c>
      <c r="D88" t="s">
        <v>12</v>
      </c>
      <c r="G88" t="s">
        <v>15</v>
      </c>
      <c r="J8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Lastgang~Tagtyp_1_5+Temperatur+Globale_Strahlung+Woche+</v>
      </c>
      <c r="K88">
        <f>LEN(Tabelle1[[#This Row],[Spalte7]])</f>
        <v>55</v>
      </c>
      <c r="L88" t="str">
        <f>IF(MID(Tabelle1[[#This Row],[Spalte7]],Tabelle1[[#This Row],[Spalte72]],1)="+",MID(Tabelle1[[#This Row],[Spalte7]],1,Tabelle1[[#This Row],[Spalte72]]-1),Tabelle1[[#This Row],[Spalte7]])</f>
        <v>Lastgang~Tagtyp_1_5+Temperatur+Globale_Strahlung+Woche</v>
      </c>
    </row>
    <row r="89" spans="1:12" x14ac:dyDescent="0.35">
      <c r="A89" t="s">
        <v>6</v>
      </c>
      <c r="B89" t="s">
        <v>20</v>
      </c>
      <c r="C89" t="s">
        <v>11</v>
      </c>
      <c r="D89" t="s">
        <v>12</v>
      </c>
      <c r="G89" t="s">
        <v>15</v>
      </c>
      <c r="J8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Lastgang~Tagtyp_1_7+Temperatur+Globale_Strahlung+Woche+</v>
      </c>
      <c r="K89">
        <f>LEN(Tabelle1[[#This Row],[Spalte7]])</f>
        <v>55</v>
      </c>
      <c r="L89" t="str">
        <f>IF(MID(Tabelle1[[#This Row],[Spalte7]],Tabelle1[[#This Row],[Spalte72]],1)="+",MID(Tabelle1[[#This Row],[Spalte7]],1,Tabelle1[[#This Row],[Spalte72]]-1),Tabelle1[[#This Row],[Spalte7]])</f>
        <v>Lastgang~Tagtyp_1_7+Temperatur+Globale_Strahlung+Woche</v>
      </c>
    </row>
    <row r="90" spans="1:12" x14ac:dyDescent="0.35">
      <c r="A90" t="s">
        <v>6</v>
      </c>
      <c r="B90" t="s">
        <v>17</v>
      </c>
      <c r="C90" t="s">
        <v>11</v>
      </c>
      <c r="G90" t="s">
        <v>15</v>
      </c>
      <c r="J9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Lastgang~Tagtyp_1_1+Temperatur+Woche+</v>
      </c>
      <c r="K90">
        <f>LEN(Tabelle1[[#This Row],[Spalte7]])</f>
        <v>37</v>
      </c>
      <c r="L90" t="str">
        <f>IF(MID(Tabelle1[[#This Row],[Spalte7]],Tabelle1[[#This Row],[Spalte72]],1)="+",MID(Tabelle1[[#This Row],[Spalte7]],1,Tabelle1[[#This Row],[Spalte72]]-1),Tabelle1[[#This Row],[Spalte7]])</f>
        <v>Lastgang~Tagtyp_1_1+Temperatur+Woche</v>
      </c>
    </row>
    <row r="91" spans="1:12" x14ac:dyDescent="0.35">
      <c r="A91" t="s">
        <v>6</v>
      </c>
      <c r="B91" t="s">
        <v>18</v>
      </c>
      <c r="C91" t="s">
        <v>11</v>
      </c>
      <c r="G91" t="s">
        <v>15</v>
      </c>
      <c r="J9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Lastgang~Tagtyp_1_3+Temperatur+Woche+</v>
      </c>
      <c r="K91">
        <f>LEN(Tabelle1[[#This Row],[Spalte7]])</f>
        <v>37</v>
      </c>
      <c r="L91" t="str">
        <f>IF(MID(Tabelle1[[#This Row],[Spalte7]],Tabelle1[[#This Row],[Spalte72]],1)="+",MID(Tabelle1[[#This Row],[Spalte7]],1,Tabelle1[[#This Row],[Spalte72]]-1),Tabelle1[[#This Row],[Spalte7]])</f>
        <v>Lastgang~Tagtyp_1_3+Temperatur+Woche</v>
      </c>
    </row>
    <row r="92" spans="1:12" x14ac:dyDescent="0.35">
      <c r="A92" t="s">
        <v>6</v>
      </c>
      <c r="B92" t="s">
        <v>19</v>
      </c>
      <c r="C92" t="s">
        <v>11</v>
      </c>
      <c r="G92" t="s">
        <v>15</v>
      </c>
      <c r="J9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Lastgang~Tagtyp_1_5+Temperatur+Woche+</v>
      </c>
      <c r="K92">
        <f>LEN(Tabelle1[[#This Row],[Spalte7]])</f>
        <v>37</v>
      </c>
      <c r="L92" t="str">
        <f>IF(MID(Tabelle1[[#This Row],[Spalte7]],Tabelle1[[#This Row],[Spalte72]],1)="+",MID(Tabelle1[[#This Row],[Spalte7]],1,Tabelle1[[#This Row],[Spalte72]]-1),Tabelle1[[#This Row],[Spalte7]])</f>
        <v>Lastgang~Tagtyp_1_5+Temperatur+Woche</v>
      </c>
    </row>
    <row r="93" spans="1:12" x14ac:dyDescent="0.35">
      <c r="A93" t="s">
        <v>6</v>
      </c>
      <c r="B93" t="s">
        <v>20</v>
      </c>
      <c r="C93" t="s">
        <v>11</v>
      </c>
      <c r="G93" t="s">
        <v>15</v>
      </c>
      <c r="J9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Lastgang~Tagtyp_1_7+Temperatur+Woche+</v>
      </c>
      <c r="K93">
        <f>LEN(Tabelle1[[#This Row],[Spalte7]])</f>
        <v>37</v>
      </c>
      <c r="L93" t="str">
        <f>IF(MID(Tabelle1[[#This Row],[Spalte7]],Tabelle1[[#This Row],[Spalte72]],1)="+",MID(Tabelle1[[#This Row],[Spalte7]],1,Tabelle1[[#This Row],[Spalte72]]-1),Tabelle1[[#This Row],[Spalte7]])</f>
        <v>Lastgang~Tagtyp_1_7+Temperatur+Woche</v>
      </c>
    </row>
    <row r="94" spans="1:12" x14ac:dyDescent="0.35">
      <c r="A94" t="s">
        <v>6</v>
      </c>
      <c r="B94" t="s">
        <v>17</v>
      </c>
      <c r="G94" t="s">
        <v>15</v>
      </c>
      <c r="J9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Lastgang~Tagtyp_1_1+Woche+</v>
      </c>
      <c r="K94">
        <f>LEN(Tabelle1[[#This Row],[Spalte7]])</f>
        <v>26</v>
      </c>
      <c r="L94" t="str">
        <f>IF(MID(Tabelle1[[#This Row],[Spalte7]],Tabelle1[[#This Row],[Spalte72]],1)="+",MID(Tabelle1[[#This Row],[Spalte7]],1,Tabelle1[[#This Row],[Spalte72]]-1),Tabelle1[[#This Row],[Spalte7]])</f>
        <v>Lastgang~Tagtyp_1_1+Woche</v>
      </c>
    </row>
    <row r="95" spans="1:12" x14ac:dyDescent="0.35">
      <c r="A95" t="s">
        <v>6</v>
      </c>
      <c r="B95" t="s">
        <v>18</v>
      </c>
      <c r="G95" t="s">
        <v>15</v>
      </c>
      <c r="J9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Lastgang~Tagtyp_1_3+Woche+</v>
      </c>
      <c r="K95">
        <f>LEN(Tabelle1[[#This Row],[Spalte7]])</f>
        <v>26</v>
      </c>
      <c r="L95" t="str">
        <f>IF(MID(Tabelle1[[#This Row],[Spalte7]],Tabelle1[[#This Row],[Spalte72]],1)="+",MID(Tabelle1[[#This Row],[Spalte7]],1,Tabelle1[[#This Row],[Spalte72]]-1),Tabelle1[[#This Row],[Spalte7]])</f>
        <v>Lastgang~Tagtyp_1_3+Woche</v>
      </c>
    </row>
    <row r="96" spans="1:12" x14ac:dyDescent="0.35">
      <c r="A96" t="s">
        <v>6</v>
      </c>
      <c r="B96" t="s">
        <v>19</v>
      </c>
      <c r="G96" t="s">
        <v>15</v>
      </c>
      <c r="J9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Lastgang~Tagtyp_1_5+Woche+</v>
      </c>
      <c r="K96">
        <f>LEN(Tabelle1[[#This Row],[Spalte7]])</f>
        <v>26</v>
      </c>
      <c r="L96" t="str">
        <f>IF(MID(Tabelle1[[#This Row],[Spalte7]],Tabelle1[[#This Row],[Spalte72]],1)="+",MID(Tabelle1[[#This Row],[Spalte7]],1,Tabelle1[[#This Row],[Spalte72]]-1),Tabelle1[[#This Row],[Spalte7]])</f>
        <v>Lastgang~Tagtyp_1_5+Woche</v>
      </c>
    </row>
    <row r="97" spans="1:12" x14ac:dyDescent="0.35">
      <c r="A97" t="s">
        <v>6</v>
      </c>
      <c r="B97" t="s">
        <v>20</v>
      </c>
      <c r="G97" t="s">
        <v>15</v>
      </c>
      <c r="J9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Lastgang~Tagtyp_1_7+Woche+</v>
      </c>
      <c r="K97">
        <f>LEN(Tabelle1[[#This Row],[Spalte7]])</f>
        <v>26</v>
      </c>
      <c r="L97" t="str">
        <f>IF(MID(Tabelle1[[#This Row],[Spalte7]],Tabelle1[[#This Row],[Spalte72]],1)="+",MID(Tabelle1[[#This Row],[Spalte7]],1,Tabelle1[[#This Row],[Spalte72]]-1),Tabelle1[[#This Row],[Spalte7]])</f>
        <v>Lastgang~Tagtyp_1_7+Woche</v>
      </c>
    </row>
    <row r="98" spans="1:12" x14ac:dyDescent="0.35">
      <c r="A98" t="s">
        <v>6</v>
      </c>
      <c r="B98" t="s">
        <v>17</v>
      </c>
      <c r="C98" t="s">
        <v>11</v>
      </c>
      <c r="D98" t="s">
        <v>12</v>
      </c>
      <c r="E98" t="s">
        <v>13</v>
      </c>
      <c r="H98" t="s">
        <v>16</v>
      </c>
      <c r="I98" t="s">
        <v>3</v>
      </c>
      <c r="J9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Lastgang~Tagtyp_1_1+Temperatur+Globale_Strahlung+Betriebsruhe+Tag+DayAhead</v>
      </c>
      <c r="K98">
        <f>LEN(Tabelle1[[#This Row],[Spalte7]])</f>
        <v>74</v>
      </c>
      <c r="L98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Lastgang~Tagtyp_1_1+Temperatur+Globale_Strahlung+Betriebsruhe+Tag+DayAhead</v>
      </c>
    </row>
    <row r="99" spans="1:12" x14ac:dyDescent="0.35">
      <c r="A99" t="s">
        <v>6</v>
      </c>
      <c r="B99" t="s">
        <v>18</v>
      </c>
      <c r="C99" t="s">
        <v>11</v>
      </c>
      <c r="D99" t="s">
        <v>12</v>
      </c>
      <c r="E99" t="s">
        <v>13</v>
      </c>
      <c r="H99" t="s">
        <v>16</v>
      </c>
      <c r="I99" t="s">
        <v>3</v>
      </c>
      <c r="J9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Lastgang~Tagtyp_1_3+Temperatur+Globale_Strahlung+Betriebsruhe+Tag+DayAhead</v>
      </c>
      <c r="K99">
        <f>LEN(Tabelle1[[#This Row],[Spalte7]])</f>
        <v>74</v>
      </c>
      <c r="L99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Lastgang~Tagtyp_1_3+Temperatur+Globale_Strahlung+Betriebsruhe+Tag+DayAhead</v>
      </c>
    </row>
    <row r="100" spans="1:12" x14ac:dyDescent="0.35">
      <c r="A100" t="s">
        <v>6</v>
      </c>
      <c r="B100" t="s">
        <v>19</v>
      </c>
      <c r="C100" t="s">
        <v>11</v>
      </c>
      <c r="D100" t="s">
        <v>12</v>
      </c>
      <c r="E100" t="s">
        <v>13</v>
      </c>
      <c r="H100" t="s">
        <v>16</v>
      </c>
      <c r="I100" t="s">
        <v>3</v>
      </c>
      <c r="J10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Lastgang~Tagtyp_1_5+Temperatur+Globale_Strahlung+Betriebsruhe+Tag+DayAhead</v>
      </c>
      <c r="K100">
        <f>LEN(Tabelle1[[#This Row],[Spalte7]])</f>
        <v>74</v>
      </c>
      <c r="L100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Lastgang~Tagtyp_1_5+Temperatur+Globale_Strahlung+Betriebsruhe+Tag+DayAhead</v>
      </c>
    </row>
    <row r="101" spans="1:12" x14ac:dyDescent="0.35">
      <c r="A101" t="s">
        <v>6</v>
      </c>
      <c r="B101" t="s">
        <v>20</v>
      </c>
      <c r="C101" t="s">
        <v>11</v>
      </c>
      <c r="D101" t="s">
        <v>12</v>
      </c>
      <c r="E101" t="s">
        <v>13</v>
      </c>
      <c r="H101" t="s">
        <v>16</v>
      </c>
      <c r="I101" t="s">
        <v>3</v>
      </c>
      <c r="J10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Lastgang~Tagtyp_1_7+Temperatur+Globale_Strahlung+Betriebsruhe+Tag+DayAhead</v>
      </c>
      <c r="K101">
        <f>LEN(Tabelle1[[#This Row],[Spalte7]])</f>
        <v>74</v>
      </c>
      <c r="L101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Lastgang~Tagtyp_1_7+Temperatur+Globale_Strahlung+Betriebsruhe+Tag+DayAhead</v>
      </c>
    </row>
    <row r="102" spans="1:12" x14ac:dyDescent="0.35">
      <c r="A102" t="s">
        <v>6</v>
      </c>
      <c r="B102" t="s">
        <v>17</v>
      </c>
      <c r="C102" t="s">
        <v>11</v>
      </c>
      <c r="E102" t="s">
        <v>13</v>
      </c>
      <c r="H102" t="s">
        <v>16</v>
      </c>
      <c r="I102" t="s">
        <v>3</v>
      </c>
      <c r="J10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Lastgang~Tagtyp_1_1+Temperatur+Betriebsruhe+Tag+DayAhead</v>
      </c>
      <c r="K102">
        <f>LEN(Tabelle1[[#This Row],[Spalte7]])</f>
        <v>56</v>
      </c>
      <c r="L102" t="str">
        <f>IF(MID(Tabelle1[[#This Row],[Spalte7]],Tabelle1[[#This Row],[Spalte72]],1)="+",MID(Tabelle1[[#This Row],[Spalte7]],1,Tabelle1[[#This Row],[Spalte72]]-1),Tabelle1[[#This Row],[Spalte7]])</f>
        <v>Lastgang~Tagtyp_1_1+Temperatur+Betriebsruhe+Tag+DayAhead</v>
      </c>
    </row>
    <row r="103" spans="1:12" x14ac:dyDescent="0.35">
      <c r="A103" t="s">
        <v>6</v>
      </c>
      <c r="B103" t="s">
        <v>18</v>
      </c>
      <c r="C103" t="s">
        <v>11</v>
      </c>
      <c r="E103" t="s">
        <v>13</v>
      </c>
      <c r="H103" t="s">
        <v>16</v>
      </c>
      <c r="I103" t="s">
        <v>3</v>
      </c>
      <c r="J10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Lastgang~Tagtyp_1_3+Temperatur+Betriebsruhe+Tag+DayAhead</v>
      </c>
      <c r="K103">
        <f>LEN(Tabelle1[[#This Row],[Spalte7]])</f>
        <v>56</v>
      </c>
      <c r="L103" t="str">
        <f>IF(MID(Tabelle1[[#This Row],[Spalte7]],Tabelle1[[#This Row],[Spalte72]],1)="+",MID(Tabelle1[[#This Row],[Spalte7]],1,Tabelle1[[#This Row],[Spalte72]]-1),Tabelle1[[#This Row],[Spalte7]])</f>
        <v>Lastgang~Tagtyp_1_3+Temperatur+Betriebsruhe+Tag+DayAhead</v>
      </c>
    </row>
    <row r="104" spans="1:12" x14ac:dyDescent="0.35">
      <c r="A104" t="s">
        <v>6</v>
      </c>
      <c r="B104" t="s">
        <v>19</v>
      </c>
      <c r="C104" t="s">
        <v>11</v>
      </c>
      <c r="E104" t="s">
        <v>13</v>
      </c>
      <c r="H104" t="s">
        <v>16</v>
      </c>
      <c r="I104" t="s">
        <v>3</v>
      </c>
      <c r="J10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Lastgang~Tagtyp_1_5+Temperatur+Betriebsruhe+Tag+DayAhead</v>
      </c>
      <c r="K104">
        <f>LEN(Tabelle1[[#This Row],[Spalte7]])</f>
        <v>56</v>
      </c>
      <c r="L104" t="str">
        <f>IF(MID(Tabelle1[[#This Row],[Spalte7]],Tabelle1[[#This Row],[Spalte72]],1)="+",MID(Tabelle1[[#This Row],[Spalte7]],1,Tabelle1[[#This Row],[Spalte72]]-1),Tabelle1[[#This Row],[Spalte7]])</f>
        <v>Lastgang~Tagtyp_1_5+Temperatur+Betriebsruhe+Tag+DayAhead</v>
      </c>
    </row>
    <row r="105" spans="1:12" x14ac:dyDescent="0.35">
      <c r="A105" t="s">
        <v>6</v>
      </c>
      <c r="B105" t="s">
        <v>20</v>
      </c>
      <c r="C105" t="s">
        <v>11</v>
      </c>
      <c r="E105" t="s">
        <v>13</v>
      </c>
      <c r="H105" t="s">
        <v>16</v>
      </c>
      <c r="I105" t="s">
        <v>3</v>
      </c>
      <c r="J10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Lastgang~Tagtyp_1_7+Temperatur+Betriebsruhe+Tag+DayAhead</v>
      </c>
      <c r="K105">
        <f>LEN(Tabelle1[[#This Row],[Spalte7]])</f>
        <v>56</v>
      </c>
      <c r="L105" t="str">
        <f>IF(MID(Tabelle1[[#This Row],[Spalte7]],Tabelle1[[#This Row],[Spalte72]],1)="+",MID(Tabelle1[[#This Row],[Spalte7]],1,Tabelle1[[#This Row],[Spalte72]]-1),Tabelle1[[#This Row],[Spalte7]])</f>
        <v>Lastgang~Tagtyp_1_7+Temperatur+Betriebsruhe+Tag+DayAhead</v>
      </c>
    </row>
    <row r="106" spans="1:12" x14ac:dyDescent="0.35">
      <c r="A106" t="s">
        <v>6</v>
      </c>
      <c r="B106" t="s">
        <v>17</v>
      </c>
      <c r="E106" t="s">
        <v>13</v>
      </c>
      <c r="H106" t="s">
        <v>16</v>
      </c>
      <c r="I106" t="s">
        <v>3</v>
      </c>
      <c r="J10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Lastgang~Tagtyp_1_1+Betriebsruhe+Tag+DayAhead</v>
      </c>
      <c r="K106">
        <f>LEN(Tabelle1[[#This Row],[Spalte7]])</f>
        <v>45</v>
      </c>
      <c r="L106" t="str">
        <f>IF(MID(Tabelle1[[#This Row],[Spalte7]],Tabelle1[[#This Row],[Spalte72]],1)="+",MID(Tabelle1[[#This Row],[Spalte7]],1,Tabelle1[[#This Row],[Spalte72]]-1),Tabelle1[[#This Row],[Spalte7]])</f>
        <v>Lastgang~Tagtyp_1_1+Betriebsruhe+Tag+DayAhead</v>
      </c>
    </row>
    <row r="107" spans="1:12" x14ac:dyDescent="0.35">
      <c r="A107" t="s">
        <v>6</v>
      </c>
      <c r="B107" t="s">
        <v>18</v>
      </c>
      <c r="E107" t="s">
        <v>13</v>
      </c>
      <c r="H107" t="s">
        <v>16</v>
      </c>
      <c r="I107" t="s">
        <v>3</v>
      </c>
      <c r="J10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Lastgang~Tagtyp_1_3+Betriebsruhe+Tag+DayAhead</v>
      </c>
      <c r="K107">
        <f>LEN(Tabelle1[[#This Row],[Spalte7]])</f>
        <v>45</v>
      </c>
      <c r="L107" t="str">
        <f>IF(MID(Tabelle1[[#This Row],[Spalte7]],Tabelle1[[#This Row],[Spalte72]],1)="+",MID(Tabelle1[[#This Row],[Spalte7]],1,Tabelle1[[#This Row],[Spalte72]]-1),Tabelle1[[#This Row],[Spalte7]])</f>
        <v>Lastgang~Tagtyp_1_3+Betriebsruhe+Tag+DayAhead</v>
      </c>
    </row>
    <row r="108" spans="1:12" x14ac:dyDescent="0.35">
      <c r="A108" t="s">
        <v>6</v>
      </c>
      <c r="B108" t="s">
        <v>19</v>
      </c>
      <c r="E108" t="s">
        <v>13</v>
      </c>
      <c r="H108" t="s">
        <v>16</v>
      </c>
      <c r="I108" t="s">
        <v>3</v>
      </c>
      <c r="J10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Lastgang~Tagtyp_1_5+Betriebsruhe+Tag+DayAhead</v>
      </c>
      <c r="K108">
        <f>LEN(Tabelle1[[#This Row],[Spalte7]])</f>
        <v>45</v>
      </c>
      <c r="L108" t="str">
        <f>IF(MID(Tabelle1[[#This Row],[Spalte7]],Tabelle1[[#This Row],[Spalte72]],1)="+",MID(Tabelle1[[#This Row],[Spalte7]],1,Tabelle1[[#This Row],[Spalte72]]-1),Tabelle1[[#This Row],[Spalte7]])</f>
        <v>Lastgang~Tagtyp_1_5+Betriebsruhe+Tag+DayAhead</v>
      </c>
    </row>
    <row r="109" spans="1:12" x14ac:dyDescent="0.35">
      <c r="A109" t="s">
        <v>6</v>
      </c>
      <c r="B109" t="s">
        <v>20</v>
      </c>
      <c r="E109" t="s">
        <v>13</v>
      </c>
      <c r="H109" t="s">
        <v>16</v>
      </c>
      <c r="I109" t="s">
        <v>3</v>
      </c>
      <c r="J10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Lastgang~Tagtyp_1_7+Betriebsruhe+Tag+DayAhead</v>
      </c>
      <c r="K109">
        <f>LEN(Tabelle1[[#This Row],[Spalte7]])</f>
        <v>45</v>
      </c>
      <c r="L109" t="str">
        <f>IF(MID(Tabelle1[[#This Row],[Spalte7]],Tabelle1[[#This Row],[Spalte72]],1)="+",MID(Tabelle1[[#This Row],[Spalte7]],1,Tabelle1[[#This Row],[Spalte72]]-1),Tabelle1[[#This Row],[Spalte7]])</f>
        <v>Lastgang~Tagtyp_1_7+Betriebsruhe+Tag+DayAhead</v>
      </c>
    </row>
    <row r="110" spans="1:12" x14ac:dyDescent="0.35">
      <c r="A110" t="s">
        <v>6</v>
      </c>
      <c r="B110" t="s">
        <v>17</v>
      </c>
      <c r="C110" t="s">
        <v>11</v>
      </c>
      <c r="D110" t="s">
        <v>12</v>
      </c>
      <c r="H110" t="s">
        <v>16</v>
      </c>
      <c r="I110" t="s">
        <v>3</v>
      </c>
      <c r="J11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Lastgang~Tagtyp_1_1+Temperatur+Globale_Strahlung+Tag+DayAhead</v>
      </c>
      <c r="K110">
        <f>LEN(Tabelle1[[#This Row],[Spalte7]])</f>
        <v>61</v>
      </c>
      <c r="L110" t="str">
        <f>IF(MID(Tabelle1[[#This Row],[Spalte7]],Tabelle1[[#This Row],[Spalte72]],1)="+",MID(Tabelle1[[#This Row],[Spalte7]],1,Tabelle1[[#This Row],[Spalte72]]-1),Tabelle1[[#This Row],[Spalte7]])</f>
        <v>Lastgang~Tagtyp_1_1+Temperatur+Globale_Strahlung+Tag+DayAhead</v>
      </c>
    </row>
    <row r="111" spans="1:12" x14ac:dyDescent="0.35">
      <c r="A111" t="s">
        <v>6</v>
      </c>
      <c r="B111" t="s">
        <v>18</v>
      </c>
      <c r="C111" t="s">
        <v>11</v>
      </c>
      <c r="D111" t="s">
        <v>12</v>
      </c>
      <c r="H111" t="s">
        <v>16</v>
      </c>
      <c r="I111" t="s">
        <v>3</v>
      </c>
      <c r="J11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Lastgang~Tagtyp_1_3+Temperatur+Globale_Strahlung+Tag+DayAhead</v>
      </c>
      <c r="K111">
        <f>LEN(Tabelle1[[#This Row],[Spalte7]])</f>
        <v>61</v>
      </c>
      <c r="L111" t="str">
        <f>IF(MID(Tabelle1[[#This Row],[Spalte7]],Tabelle1[[#This Row],[Spalte72]],1)="+",MID(Tabelle1[[#This Row],[Spalte7]],1,Tabelle1[[#This Row],[Spalte72]]-1),Tabelle1[[#This Row],[Spalte7]])</f>
        <v>Lastgang~Tagtyp_1_3+Temperatur+Globale_Strahlung+Tag+DayAhead</v>
      </c>
    </row>
    <row r="112" spans="1:12" x14ac:dyDescent="0.35">
      <c r="A112" t="s">
        <v>6</v>
      </c>
      <c r="B112" t="s">
        <v>19</v>
      </c>
      <c r="C112" t="s">
        <v>11</v>
      </c>
      <c r="D112" t="s">
        <v>12</v>
      </c>
      <c r="H112" t="s">
        <v>16</v>
      </c>
      <c r="I112" t="s">
        <v>3</v>
      </c>
      <c r="J11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Lastgang~Tagtyp_1_5+Temperatur+Globale_Strahlung+Tag+DayAhead</v>
      </c>
      <c r="K112">
        <f>LEN(Tabelle1[[#This Row],[Spalte7]])</f>
        <v>61</v>
      </c>
      <c r="L112" t="str">
        <f>IF(MID(Tabelle1[[#This Row],[Spalte7]],Tabelle1[[#This Row],[Spalte72]],1)="+",MID(Tabelle1[[#This Row],[Spalte7]],1,Tabelle1[[#This Row],[Spalte72]]-1),Tabelle1[[#This Row],[Spalte7]])</f>
        <v>Lastgang~Tagtyp_1_5+Temperatur+Globale_Strahlung+Tag+DayAhead</v>
      </c>
    </row>
    <row r="113" spans="1:12" x14ac:dyDescent="0.35">
      <c r="A113" t="s">
        <v>6</v>
      </c>
      <c r="B113" t="s">
        <v>20</v>
      </c>
      <c r="C113" t="s">
        <v>11</v>
      </c>
      <c r="D113" t="s">
        <v>12</v>
      </c>
      <c r="H113" t="s">
        <v>16</v>
      </c>
      <c r="I113" t="s">
        <v>3</v>
      </c>
      <c r="J11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Lastgang~Tagtyp_1_7+Temperatur+Globale_Strahlung+Tag+DayAhead</v>
      </c>
      <c r="K113">
        <f>LEN(Tabelle1[[#This Row],[Spalte7]])</f>
        <v>61</v>
      </c>
      <c r="L113" t="str">
        <f>IF(MID(Tabelle1[[#This Row],[Spalte7]],Tabelle1[[#This Row],[Spalte72]],1)="+",MID(Tabelle1[[#This Row],[Spalte7]],1,Tabelle1[[#This Row],[Spalte72]]-1),Tabelle1[[#This Row],[Spalte7]])</f>
        <v>Lastgang~Tagtyp_1_7+Temperatur+Globale_Strahlung+Tag+DayAhead</v>
      </c>
    </row>
    <row r="114" spans="1:12" x14ac:dyDescent="0.35">
      <c r="A114" t="s">
        <v>6</v>
      </c>
      <c r="B114" t="s">
        <v>17</v>
      </c>
      <c r="C114" t="s">
        <v>11</v>
      </c>
      <c r="H114" t="s">
        <v>16</v>
      </c>
      <c r="I114" t="s">
        <v>3</v>
      </c>
      <c r="J11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Lastgang~Tagtyp_1_1+Temperatur+Tag+DayAhead</v>
      </c>
      <c r="K114">
        <f>LEN(Tabelle1[[#This Row],[Spalte7]])</f>
        <v>43</v>
      </c>
      <c r="L114" t="str">
        <f>IF(MID(Tabelle1[[#This Row],[Spalte7]],Tabelle1[[#This Row],[Spalte72]],1)="+",MID(Tabelle1[[#This Row],[Spalte7]],1,Tabelle1[[#This Row],[Spalte72]]-1),Tabelle1[[#This Row],[Spalte7]])</f>
        <v>Lastgang~Tagtyp_1_1+Temperatur+Tag+DayAhead</v>
      </c>
    </row>
    <row r="115" spans="1:12" x14ac:dyDescent="0.35">
      <c r="A115" t="s">
        <v>6</v>
      </c>
      <c r="B115" t="s">
        <v>18</v>
      </c>
      <c r="C115" t="s">
        <v>11</v>
      </c>
      <c r="H115" t="s">
        <v>16</v>
      </c>
      <c r="I115" t="s">
        <v>3</v>
      </c>
      <c r="J11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Lastgang~Tagtyp_1_3+Temperatur+Tag+DayAhead</v>
      </c>
      <c r="K115">
        <f>LEN(Tabelle1[[#This Row],[Spalte7]])</f>
        <v>43</v>
      </c>
      <c r="L115" t="str">
        <f>IF(MID(Tabelle1[[#This Row],[Spalte7]],Tabelle1[[#This Row],[Spalte72]],1)="+",MID(Tabelle1[[#This Row],[Spalte7]],1,Tabelle1[[#This Row],[Spalte72]]-1),Tabelle1[[#This Row],[Spalte7]])</f>
        <v>Lastgang~Tagtyp_1_3+Temperatur+Tag+DayAhead</v>
      </c>
    </row>
    <row r="116" spans="1:12" x14ac:dyDescent="0.35">
      <c r="A116" t="s">
        <v>6</v>
      </c>
      <c r="B116" t="s">
        <v>19</v>
      </c>
      <c r="C116" t="s">
        <v>11</v>
      </c>
      <c r="H116" t="s">
        <v>16</v>
      </c>
      <c r="I116" t="s">
        <v>3</v>
      </c>
      <c r="J11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Lastgang~Tagtyp_1_5+Temperatur+Tag+DayAhead</v>
      </c>
      <c r="K116">
        <f>LEN(Tabelle1[[#This Row],[Spalte7]])</f>
        <v>43</v>
      </c>
      <c r="L116" t="str">
        <f>IF(MID(Tabelle1[[#This Row],[Spalte7]],Tabelle1[[#This Row],[Spalte72]],1)="+",MID(Tabelle1[[#This Row],[Spalte7]],1,Tabelle1[[#This Row],[Spalte72]]-1),Tabelle1[[#This Row],[Spalte7]])</f>
        <v>Lastgang~Tagtyp_1_5+Temperatur+Tag+DayAhead</v>
      </c>
    </row>
    <row r="117" spans="1:12" x14ac:dyDescent="0.35">
      <c r="A117" t="s">
        <v>6</v>
      </c>
      <c r="B117" t="s">
        <v>20</v>
      </c>
      <c r="C117" t="s">
        <v>11</v>
      </c>
      <c r="H117" t="s">
        <v>16</v>
      </c>
      <c r="I117" t="s">
        <v>3</v>
      </c>
      <c r="J11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Lastgang~Tagtyp_1_7+Temperatur+Tag+DayAhead</v>
      </c>
      <c r="K117">
        <f>LEN(Tabelle1[[#This Row],[Spalte7]])</f>
        <v>43</v>
      </c>
      <c r="L117" t="str">
        <f>IF(MID(Tabelle1[[#This Row],[Spalte7]],Tabelle1[[#This Row],[Spalte72]],1)="+",MID(Tabelle1[[#This Row],[Spalte7]],1,Tabelle1[[#This Row],[Spalte72]]-1),Tabelle1[[#This Row],[Spalte7]])</f>
        <v>Lastgang~Tagtyp_1_7+Temperatur+Tag+DayAhead</v>
      </c>
    </row>
    <row r="118" spans="1:12" x14ac:dyDescent="0.35">
      <c r="A118" t="s">
        <v>6</v>
      </c>
      <c r="B118" t="s">
        <v>17</v>
      </c>
      <c r="H118" t="s">
        <v>16</v>
      </c>
      <c r="I118" t="s">
        <v>3</v>
      </c>
      <c r="J11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Lastgang~Tagtyp_1_1+Tag+DayAhead</v>
      </c>
      <c r="K118">
        <f>LEN(Tabelle1[[#This Row],[Spalte7]])</f>
        <v>32</v>
      </c>
      <c r="L118" t="str">
        <f>IF(MID(Tabelle1[[#This Row],[Spalte7]],Tabelle1[[#This Row],[Spalte72]],1)="+",MID(Tabelle1[[#This Row],[Spalte7]],1,Tabelle1[[#This Row],[Spalte72]]-1),Tabelle1[[#This Row],[Spalte7]])</f>
        <v>Lastgang~Tagtyp_1_1+Tag+DayAhead</v>
      </c>
    </row>
    <row r="119" spans="1:12" x14ac:dyDescent="0.35">
      <c r="A119" t="s">
        <v>6</v>
      </c>
      <c r="B119" t="s">
        <v>18</v>
      </c>
      <c r="H119" t="s">
        <v>16</v>
      </c>
      <c r="I119" t="s">
        <v>3</v>
      </c>
      <c r="J11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Lastgang~Tagtyp_1_3+Tag+DayAhead</v>
      </c>
      <c r="K119">
        <f>LEN(Tabelle1[[#This Row],[Spalte7]])</f>
        <v>32</v>
      </c>
      <c r="L119" t="str">
        <f>IF(MID(Tabelle1[[#This Row],[Spalte7]],Tabelle1[[#This Row],[Spalte72]],1)="+",MID(Tabelle1[[#This Row],[Spalte7]],1,Tabelle1[[#This Row],[Spalte72]]-1),Tabelle1[[#This Row],[Spalte7]])</f>
        <v>Lastgang~Tagtyp_1_3+Tag+DayAhead</v>
      </c>
    </row>
    <row r="120" spans="1:12" x14ac:dyDescent="0.35">
      <c r="A120" t="s">
        <v>6</v>
      </c>
      <c r="B120" t="s">
        <v>19</v>
      </c>
      <c r="H120" t="s">
        <v>16</v>
      </c>
      <c r="I120" t="s">
        <v>3</v>
      </c>
      <c r="J12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Lastgang~Tagtyp_1_5+Tag+DayAhead</v>
      </c>
      <c r="K120">
        <f>LEN(Tabelle1[[#This Row],[Spalte7]])</f>
        <v>32</v>
      </c>
      <c r="L120" t="str">
        <f>IF(MID(Tabelle1[[#This Row],[Spalte7]],Tabelle1[[#This Row],[Spalte72]],1)="+",MID(Tabelle1[[#This Row],[Spalte7]],1,Tabelle1[[#This Row],[Spalte72]]-1),Tabelle1[[#This Row],[Spalte7]])</f>
        <v>Lastgang~Tagtyp_1_5+Tag+DayAhead</v>
      </c>
    </row>
    <row r="121" spans="1:12" x14ac:dyDescent="0.35">
      <c r="A121" t="s">
        <v>6</v>
      </c>
      <c r="B121" t="s">
        <v>20</v>
      </c>
      <c r="H121" t="s">
        <v>16</v>
      </c>
      <c r="I121" t="s">
        <v>3</v>
      </c>
      <c r="J12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Lastgang~Tagtyp_1_7+Tag+DayAhead</v>
      </c>
      <c r="K121">
        <f>LEN(Tabelle1[[#This Row],[Spalte7]])</f>
        <v>32</v>
      </c>
      <c r="L121" t="str">
        <f>IF(MID(Tabelle1[[#This Row],[Spalte7]],Tabelle1[[#This Row],[Spalte72]],1)="+",MID(Tabelle1[[#This Row],[Spalte7]],1,Tabelle1[[#This Row],[Spalte72]]-1),Tabelle1[[#This Row],[Spalte7]])</f>
        <v>Lastgang~Tagtyp_1_7+Tag+DayAhead</v>
      </c>
    </row>
    <row r="122" spans="1:12" x14ac:dyDescent="0.35">
      <c r="A122" t="s">
        <v>6</v>
      </c>
      <c r="B122" t="s">
        <v>17</v>
      </c>
      <c r="C122" t="s">
        <v>11</v>
      </c>
      <c r="D122" t="s">
        <v>12</v>
      </c>
      <c r="E122" t="s">
        <v>13</v>
      </c>
      <c r="H122" t="s">
        <v>16</v>
      </c>
      <c r="J12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Lastgang~Tagtyp_1_1+Temperatur+Globale_Strahlung+Betriebsruhe+Tag+</v>
      </c>
      <c r="K122">
        <f>LEN(Tabelle1[[#This Row],[Spalte7]])</f>
        <v>66</v>
      </c>
      <c r="L122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Lastgang~Tagtyp_1_1+Temperatur+Globale_Strahlung+Betriebsruhe+Tag</v>
      </c>
    </row>
    <row r="123" spans="1:12" x14ac:dyDescent="0.35">
      <c r="A123" t="s">
        <v>6</v>
      </c>
      <c r="B123" t="s">
        <v>18</v>
      </c>
      <c r="C123" t="s">
        <v>11</v>
      </c>
      <c r="D123" t="s">
        <v>12</v>
      </c>
      <c r="E123" t="s">
        <v>13</v>
      </c>
      <c r="H123" t="s">
        <v>16</v>
      </c>
      <c r="J12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Lastgang~Tagtyp_1_3+Temperatur+Globale_Strahlung+Betriebsruhe+Tag+</v>
      </c>
      <c r="K123">
        <f>LEN(Tabelle1[[#This Row],[Spalte7]])</f>
        <v>66</v>
      </c>
      <c r="L123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Lastgang~Tagtyp_1_3+Temperatur+Globale_Strahlung+Betriebsruhe+Tag</v>
      </c>
    </row>
    <row r="124" spans="1:12" x14ac:dyDescent="0.35">
      <c r="A124" t="s">
        <v>6</v>
      </c>
      <c r="B124" t="s">
        <v>19</v>
      </c>
      <c r="C124" t="s">
        <v>11</v>
      </c>
      <c r="D124" t="s">
        <v>12</v>
      </c>
      <c r="E124" t="s">
        <v>13</v>
      </c>
      <c r="H124" t="s">
        <v>16</v>
      </c>
      <c r="J12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Lastgang~Tagtyp_1_5+Temperatur+Globale_Strahlung+Betriebsruhe+Tag+</v>
      </c>
      <c r="K124">
        <f>LEN(Tabelle1[[#This Row],[Spalte7]])</f>
        <v>66</v>
      </c>
      <c r="L124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Lastgang~Tagtyp_1_5+Temperatur+Globale_Strahlung+Betriebsruhe+Tag</v>
      </c>
    </row>
    <row r="125" spans="1:12" x14ac:dyDescent="0.35">
      <c r="A125" t="s">
        <v>6</v>
      </c>
      <c r="B125" t="s">
        <v>20</v>
      </c>
      <c r="C125" t="s">
        <v>11</v>
      </c>
      <c r="D125" t="s">
        <v>12</v>
      </c>
      <c r="E125" t="s">
        <v>13</v>
      </c>
      <c r="H125" t="s">
        <v>16</v>
      </c>
      <c r="J12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Lastgang~Tagtyp_1_7+Temperatur+Globale_Strahlung+Betriebsruhe+Tag+</v>
      </c>
      <c r="K125">
        <f>LEN(Tabelle1[[#This Row],[Spalte7]])</f>
        <v>66</v>
      </c>
      <c r="L125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Lastgang~Tagtyp_1_7+Temperatur+Globale_Strahlung+Betriebsruhe+Tag</v>
      </c>
    </row>
    <row r="126" spans="1:12" x14ac:dyDescent="0.35">
      <c r="A126" t="s">
        <v>6</v>
      </c>
      <c r="B126" t="s">
        <v>17</v>
      </c>
      <c r="C126" t="s">
        <v>11</v>
      </c>
      <c r="E126" t="s">
        <v>13</v>
      </c>
      <c r="H126" t="s">
        <v>16</v>
      </c>
      <c r="J12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Lastgang~Tagtyp_1_1+Temperatur+Betriebsruhe+Tag+</v>
      </c>
      <c r="K126">
        <f>LEN(Tabelle1[[#This Row],[Spalte7]])</f>
        <v>48</v>
      </c>
      <c r="L126" t="str">
        <f>IF(MID(Tabelle1[[#This Row],[Spalte7]],Tabelle1[[#This Row],[Spalte72]],1)="+",MID(Tabelle1[[#This Row],[Spalte7]],1,Tabelle1[[#This Row],[Spalte72]]-1),Tabelle1[[#This Row],[Spalte7]])</f>
        <v>Lastgang~Tagtyp_1_1+Temperatur+Betriebsruhe+Tag</v>
      </c>
    </row>
    <row r="127" spans="1:12" x14ac:dyDescent="0.35">
      <c r="A127" t="s">
        <v>6</v>
      </c>
      <c r="B127" t="s">
        <v>18</v>
      </c>
      <c r="C127" t="s">
        <v>11</v>
      </c>
      <c r="E127" t="s">
        <v>13</v>
      </c>
      <c r="H127" t="s">
        <v>16</v>
      </c>
      <c r="J12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Lastgang~Tagtyp_1_3+Temperatur+Betriebsruhe+Tag+</v>
      </c>
      <c r="K127">
        <f>LEN(Tabelle1[[#This Row],[Spalte7]])</f>
        <v>48</v>
      </c>
      <c r="L127" t="str">
        <f>IF(MID(Tabelle1[[#This Row],[Spalte7]],Tabelle1[[#This Row],[Spalte72]],1)="+",MID(Tabelle1[[#This Row],[Spalte7]],1,Tabelle1[[#This Row],[Spalte72]]-1),Tabelle1[[#This Row],[Spalte7]])</f>
        <v>Lastgang~Tagtyp_1_3+Temperatur+Betriebsruhe+Tag</v>
      </c>
    </row>
    <row r="128" spans="1:12" x14ac:dyDescent="0.35">
      <c r="A128" t="s">
        <v>6</v>
      </c>
      <c r="B128" t="s">
        <v>19</v>
      </c>
      <c r="C128" t="s">
        <v>11</v>
      </c>
      <c r="E128" t="s">
        <v>13</v>
      </c>
      <c r="H128" t="s">
        <v>16</v>
      </c>
      <c r="J12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Lastgang~Tagtyp_1_5+Temperatur+Betriebsruhe+Tag+</v>
      </c>
      <c r="K128">
        <f>LEN(Tabelle1[[#This Row],[Spalte7]])</f>
        <v>48</v>
      </c>
      <c r="L128" t="str">
        <f>IF(MID(Tabelle1[[#This Row],[Spalte7]],Tabelle1[[#This Row],[Spalte72]],1)="+",MID(Tabelle1[[#This Row],[Spalte7]],1,Tabelle1[[#This Row],[Spalte72]]-1),Tabelle1[[#This Row],[Spalte7]])</f>
        <v>Lastgang~Tagtyp_1_5+Temperatur+Betriebsruhe+Tag</v>
      </c>
    </row>
    <row r="129" spans="1:12" x14ac:dyDescent="0.35">
      <c r="A129" t="s">
        <v>6</v>
      </c>
      <c r="B129" t="s">
        <v>20</v>
      </c>
      <c r="C129" t="s">
        <v>11</v>
      </c>
      <c r="E129" t="s">
        <v>13</v>
      </c>
      <c r="H129" t="s">
        <v>16</v>
      </c>
      <c r="J12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Lastgang~Tagtyp_1_7+Temperatur+Betriebsruhe+Tag+</v>
      </c>
      <c r="K129">
        <f>LEN(Tabelle1[[#This Row],[Spalte7]])</f>
        <v>48</v>
      </c>
      <c r="L129" t="str">
        <f>IF(MID(Tabelle1[[#This Row],[Spalte7]],Tabelle1[[#This Row],[Spalte72]],1)="+",MID(Tabelle1[[#This Row],[Spalte7]],1,Tabelle1[[#This Row],[Spalte72]]-1),Tabelle1[[#This Row],[Spalte7]])</f>
        <v>Lastgang~Tagtyp_1_7+Temperatur+Betriebsruhe+Tag</v>
      </c>
    </row>
    <row r="130" spans="1:12" x14ac:dyDescent="0.35">
      <c r="A130" t="s">
        <v>6</v>
      </c>
      <c r="B130" t="s">
        <v>17</v>
      </c>
      <c r="E130" t="s">
        <v>13</v>
      </c>
      <c r="H130" t="s">
        <v>16</v>
      </c>
      <c r="J13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Lastgang~Tagtyp_1_1+Betriebsruhe+Tag+</v>
      </c>
      <c r="K130">
        <f>LEN(Tabelle1[[#This Row],[Spalte7]])</f>
        <v>37</v>
      </c>
      <c r="L130" t="str">
        <f>IF(MID(Tabelle1[[#This Row],[Spalte7]],Tabelle1[[#This Row],[Spalte72]],1)="+",MID(Tabelle1[[#This Row],[Spalte7]],1,Tabelle1[[#This Row],[Spalte72]]-1),Tabelle1[[#This Row],[Spalte7]])</f>
        <v>Lastgang~Tagtyp_1_1+Betriebsruhe+Tag</v>
      </c>
    </row>
    <row r="131" spans="1:12" x14ac:dyDescent="0.35">
      <c r="A131" t="s">
        <v>6</v>
      </c>
      <c r="B131" t="s">
        <v>18</v>
      </c>
      <c r="E131" t="s">
        <v>13</v>
      </c>
      <c r="H131" t="s">
        <v>16</v>
      </c>
      <c r="J13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Lastgang~Tagtyp_1_3+Betriebsruhe+Tag+</v>
      </c>
      <c r="K131">
        <f>LEN(Tabelle1[[#This Row],[Spalte7]])</f>
        <v>37</v>
      </c>
      <c r="L131" t="str">
        <f>IF(MID(Tabelle1[[#This Row],[Spalte7]],Tabelle1[[#This Row],[Spalte72]],1)="+",MID(Tabelle1[[#This Row],[Spalte7]],1,Tabelle1[[#This Row],[Spalte72]]-1),Tabelle1[[#This Row],[Spalte7]])</f>
        <v>Lastgang~Tagtyp_1_3+Betriebsruhe+Tag</v>
      </c>
    </row>
    <row r="132" spans="1:12" x14ac:dyDescent="0.35">
      <c r="A132" t="s">
        <v>6</v>
      </c>
      <c r="B132" t="s">
        <v>19</v>
      </c>
      <c r="E132" t="s">
        <v>13</v>
      </c>
      <c r="H132" t="s">
        <v>16</v>
      </c>
      <c r="J13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Lastgang~Tagtyp_1_5+Betriebsruhe+Tag+</v>
      </c>
      <c r="K132">
        <f>LEN(Tabelle1[[#This Row],[Spalte7]])</f>
        <v>37</v>
      </c>
      <c r="L132" t="str">
        <f>IF(MID(Tabelle1[[#This Row],[Spalte7]],Tabelle1[[#This Row],[Spalte72]],1)="+",MID(Tabelle1[[#This Row],[Spalte7]],1,Tabelle1[[#This Row],[Spalte72]]-1),Tabelle1[[#This Row],[Spalte7]])</f>
        <v>Lastgang~Tagtyp_1_5+Betriebsruhe+Tag</v>
      </c>
    </row>
    <row r="133" spans="1:12" x14ac:dyDescent="0.35">
      <c r="A133" t="s">
        <v>6</v>
      </c>
      <c r="B133" t="s">
        <v>20</v>
      </c>
      <c r="E133" t="s">
        <v>13</v>
      </c>
      <c r="H133" t="s">
        <v>16</v>
      </c>
      <c r="J13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Lastgang~Tagtyp_1_7+Betriebsruhe+Tag+</v>
      </c>
      <c r="K133">
        <f>LEN(Tabelle1[[#This Row],[Spalte7]])</f>
        <v>37</v>
      </c>
      <c r="L133" t="str">
        <f>IF(MID(Tabelle1[[#This Row],[Spalte7]],Tabelle1[[#This Row],[Spalte72]],1)="+",MID(Tabelle1[[#This Row],[Spalte7]],1,Tabelle1[[#This Row],[Spalte72]]-1),Tabelle1[[#This Row],[Spalte7]])</f>
        <v>Lastgang~Tagtyp_1_7+Betriebsruhe+Tag</v>
      </c>
    </row>
    <row r="134" spans="1:12" x14ac:dyDescent="0.35">
      <c r="A134" t="s">
        <v>6</v>
      </c>
      <c r="B134" t="s">
        <v>17</v>
      </c>
      <c r="C134" t="s">
        <v>11</v>
      </c>
      <c r="D134" t="s">
        <v>12</v>
      </c>
      <c r="H134" t="s">
        <v>16</v>
      </c>
      <c r="J13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Lastgang~Tagtyp_1_1+Temperatur+Globale_Strahlung+Tag+</v>
      </c>
      <c r="K134">
        <f>LEN(Tabelle1[[#This Row],[Spalte7]])</f>
        <v>53</v>
      </c>
      <c r="L134" t="str">
        <f>IF(MID(Tabelle1[[#This Row],[Spalte7]],Tabelle1[[#This Row],[Spalte72]],1)="+",MID(Tabelle1[[#This Row],[Spalte7]],1,Tabelle1[[#This Row],[Spalte72]]-1),Tabelle1[[#This Row],[Spalte7]])</f>
        <v>Lastgang~Tagtyp_1_1+Temperatur+Globale_Strahlung+Tag</v>
      </c>
    </row>
    <row r="135" spans="1:12" x14ac:dyDescent="0.35">
      <c r="A135" t="s">
        <v>6</v>
      </c>
      <c r="B135" t="s">
        <v>18</v>
      </c>
      <c r="C135" t="s">
        <v>11</v>
      </c>
      <c r="D135" t="s">
        <v>12</v>
      </c>
      <c r="H135" t="s">
        <v>16</v>
      </c>
      <c r="J13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Lastgang~Tagtyp_1_3+Temperatur+Globale_Strahlung+Tag+</v>
      </c>
      <c r="K135">
        <f>LEN(Tabelle1[[#This Row],[Spalte7]])</f>
        <v>53</v>
      </c>
      <c r="L135" t="str">
        <f>IF(MID(Tabelle1[[#This Row],[Spalte7]],Tabelle1[[#This Row],[Spalte72]],1)="+",MID(Tabelle1[[#This Row],[Spalte7]],1,Tabelle1[[#This Row],[Spalte72]]-1),Tabelle1[[#This Row],[Spalte7]])</f>
        <v>Lastgang~Tagtyp_1_3+Temperatur+Globale_Strahlung+Tag</v>
      </c>
    </row>
    <row r="136" spans="1:12" x14ac:dyDescent="0.35">
      <c r="A136" t="s">
        <v>6</v>
      </c>
      <c r="B136" t="s">
        <v>19</v>
      </c>
      <c r="C136" t="s">
        <v>11</v>
      </c>
      <c r="D136" t="s">
        <v>12</v>
      </c>
      <c r="H136" t="s">
        <v>16</v>
      </c>
      <c r="J13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Lastgang~Tagtyp_1_5+Temperatur+Globale_Strahlung+Tag+</v>
      </c>
      <c r="K136">
        <f>LEN(Tabelle1[[#This Row],[Spalte7]])</f>
        <v>53</v>
      </c>
      <c r="L136" t="str">
        <f>IF(MID(Tabelle1[[#This Row],[Spalte7]],Tabelle1[[#This Row],[Spalte72]],1)="+",MID(Tabelle1[[#This Row],[Spalte7]],1,Tabelle1[[#This Row],[Spalte72]]-1),Tabelle1[[#This Row],[Spalte7]])</f>
        <v>Lastgang~Tagtyp_1_5+Temperatur+Globale_Strahlung+Tag</v>
      </c>
    </row>
    <row r="137" spans="1:12" x14ac:dyDescent="0.35">
      <c r="A137" t="s">
        <v>6</v>
      </c>
      <c r="B137" t="s">
        <v>20</v>
      </c>
      <c r="C137" t="s">
        <v>11</v>
      </c>
      <c r="D137" t="s">
        <v>12</v>
      </c>
      <c r="H137" t="s">
        <v>16</v>
      </c>
      <c r="J13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Lastgang~Tagtyp_1_7+Temperatur+Globale_Strahlung+Tag+</v>
      </c>
      <c r="K137">
        <f>LEN(Tabelle1[[#This Row],[Spalte7]])</f>
        <v>53</v>
      </c>
      <c r="L137" t="str">
        <f>IF(MID(Tabelle1[[#This Row],[Spalte7]],Tabelle1[[#This Row],[Spalte72]],1)="+",MID(Tabelle1[[#This Row],[Spalte7]],1,Tabelle1[[#This Row],[Spalte72]]-1),Tabelle1[[#This Row],[Spalte7]])</f>
        <v>Lastgang~Tagtyp_1_7+Temperatur+Globale_Strahlung+Tag</v>
      </c>
    </row>
    <row r="138" spans="1:12" x14ac:dyDescent="0.35">
      <c r="A138" t="s">
        <v>6</v>
      </c>
      <c r="B138" t="s">
        <v>17</v>
      </c>
      <c r="C138" t="s">
        <v>11</v>
      </c>
      <c r="H138" t="s">
        <v>16</v>
      </c>
      <c r="J13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Lastgang~Tagtyp_1_1+Temperatur+Tag+</v>
      </c>
      <c r="K138">
        <f>LEN(Tabelle1[[#This Row],[Spalte7]])</f>
        <v>35</v>
      </c>
      <c r="L138" t="str">
        <f>IF(MID(Tabelle1[[#This Row],[Spalte7]],Tabelle1[[#This Row],[Spalte72]],1)="+",MID(Tabelle1[[#This Row],[Spalte7]],1,Tabelle1[[#This Row],[Spalte72]]-1),Tabelle1[[#This Row],[Spalte7]])</f>
        <v>Lastgang~Tagtyp_1_1+Temperatur+Tag</v>
      </c>
    </row>
    <row r="139" spans="1:12" x14ac:dyDescent="0.35">
      <c r="A139" t="s">
        <v>6</v>
      </c>
      <c r="B139" t="s">
        <v>18</v>
      </c>
      <c r="C139" t="s">
        <v>11</v>
      </c>
      <c r="H139" t="s">
        <v>16</v>
      </c>
      <c r="J13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Lastgang~Tagtyp_1_3+Temperatur+Tag+</v>
      </c>
      <c r="K139">
        <f>LEN(Tabelle1[[#This Row],[Spalte7]])</f>
        <v>35</v>
      </c>
      <c r="L139" t="str">
        <f>IF(MID(Tabelle1[[#This Row],[Spalte7]],Tabelle1[[#This Row],[Spalte72]],1)="+",MID(Tabelle1[[#This Row],[Spalte7]],1,Tabelle1[[#This Row],[Spalte72]]-1),Tabelle1[[#This Row],[Spalte7]])</f>
        <v>Lastgang~Tagtyp_1_3+Temperatur+Tag</v>
      </c>
    </row>
    <row r="140" spans="1:12" x14ac:dyDescent="0.35">
      <c r="A140" t="s">
        <v>6</v>
      </c>
      <c r="B140" t="s">
        <v>19</v>
      </c>
      <c r="C140" t="s">
        <v>11</v>
      </c>
      <c r="H140" t="s">
        <v>16</v>
      </c>
      <c r="J14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Lastgang~Tagtyp_1_5+Temperatur+Tag+</v>
      </c>
      <c r="K140">
        <f>LEN(Tabelle1[[#This Row],[Spalte7]])</f>
        <v>35</v>
      </c>
      <c r="L140" t="str">
        <f>IF(MID(Tabelle1[[#This Row],[Spalte7]],Tabelle1[[#This Row],[Spalte72]],1)="+",MID(Tabelle1[[#This Row],[Spalte7]],1,Tabelle1[[#This Row],[Spalte72]]-1),Tabelle1[[#This Row],[Spalte7]])</f>
        <v>Lastgang~Tagtyp_1_5+Temperatur+Tag</v>
      </c>
    </row>
    <row r="141" spans="1:12" x14ac:dyDescent="0.35">
      <c r="A141" t="s">
        <v>6</v>
      </c>
      <c r="B141" t="s">
        <v>20</v>
      </c>
      <c r="C141" t="s">
        <v>11</v>
      </c>
      <c r="H141" t="s">
        <v>16</v>
      </c>
      <c r="J14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Lastgang~Tagtyp_1_7+Temperatur+Tag+</v>
      </c>
      <c r="K141">
        <f>LEN(Tabelle1[[#This Row],[Spalte7]])</f>
        <v>35</v>
      </c>
      <c r="L141" t="str">
        <f>IF(MID(Tabelle1[[#This Row],[Spalte7]],Tabelle1[[#This Row],[Spalte72]],1)="+",MID(Tabelle1[[#This Row],[Spalte7]],1,Tabelle1[[#This Row],[Spalte72]]-1),Tabelle1[[#This Row],[Spalte7]])</f>
        <v>Lastgang~Tagtyp_1_7+Temperatur+Tag</v>
      </c>
    </row>
    <row r="142" spans="1:12" x14ac:dyDescent="0.35">
      <c r="A142" t="s">
        <v>6</v>
      </c>
      <c r="B142" t="s">
        <v>17</v>
      </c>
      <c r="H142" t="s">
        <v>16</v>
      </c>
      <c r="J14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Lastgang~Tagtyp_1_1+Tag+</v>
      </c>
      <c r="K142">
        <f>LEN(Tabelle1[[#This Row],[Spalte7]])</f>
        <v>24</v>
      </c>
      <c r="L142" t="str">
        <f>IF(MID(Tabelle1[[#This Row],[Spalte7]],Tabelle1[[#This Row],[Spalte72]],1)="+",MID(Tabelle1[[#This Row],[Spalte7]],1,Tabelle1[[#This Row],[Spalte72]]-1),Tabelle1[[#This Row],[Spalte7]])</f>
        <v>Lastgang~Tagtyp_1_1+Tag</v>
      </c>
    </row>
    <row r="143" spans="1:12" x14ac:dyDescent="0.35">
      <c r="A143" t="s">
        <v>6</v>
      </c>
      <c r="B143" t="s">
        <v>18</v>
      </c>
      <c r="H143" t="s">
        <v>16</v>
      </c>
      <c r="J14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Lastgang~Tagtyp_1_3+Tag+</v>
      </c>
      <c r="K143">
        <f>LEN(Tabelle1[[#This Row],[Spalte7]])</f>
        <v>24</v>
      </c>
      <c r="L143" t="str">
        <f>IF(MID(Tabelle1[[#This Row],[Spalte7]],Tabelle1[[#This Row],[Spalte72]],1)="+",MID(Tabelle1[[#This Row],[Spalte7]],1,Tabelle1[[#This Row],[Spalte72]]-1),Tabelle1[[#This Row],[Spalte7]])</f>
        <v>Lastgang~Tagtyp_1_3+Tag</v>
      </c>
    </row>
    <row r="144" spans="1:12" x14ac:dyDescent="0.35">
      <c r="A144" t="s">
        <v>6</v>
      </c>
      <c r="B144" t="s">
        <v>19</v>
      </c>
      <c r="H144" t="s">
        <v>16</v>
      </c>
      <c r="J14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Lastgang~Tagtyp_1_5+Tag+</v>
      </c>
      <c r="K144">
        <f>LEN(Tabelle1[[#This Row],[Spalte7]])</f>
        <v>24</v>
      </c>
      <c r="L144" t="str">
        <f>IF(MID(Tabelle1[[#This Row],[Spalte7]],Tabelle1[[#This Row],[Spalte72]],1)="+",MID(Tabelle1[[#This Row],[Spalte7]],1,Tabelle1[[#This Row],[Spalte72]]-1),Tabelle1[[#This Row],[Spalte7]])</f>
        <v>Lastgang~Tagtyp_1_5+Tag</v>
      </c>
    </row>
    <row r="145" spans="1:12" x14ac:dyDescent="0.35">
      <c r="A145" t="s">
        <v>6</v>
      </c>
      <c r="B145" t="s">
        <v>20</v>
      </c>
      <c r="H145" t="s">
        <v>16</v>
      </c>
      <c r="J14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Lastgang~Tagtyp_1_7+Tag+</v>
      </c>
      <c r="K145">
        <f>LEN(Tabelle1[[#This Row],[Spalte7]])</f>
        <v>24</v>
      </c>
      <c r="L145" t="str">
        <f>IF(MID(Tabelle1[[#This Row],[Spalte7]],Tabelle1[[#This Row],[Spalte72]],1)="+",MID(Tabelle1[[#This Row],[Spalte7]],1,Tabelle1[[#This Row],[Spalte72]]-1),Tabelle1[[#This Row],[Spalte7]])</f>
        <v>Lastgang~Tagtyp_1_7+Tag</v>
      </c>
    </row>
    <row r="146" spans="1:12" x14ac:dyDescent="0.35">
      <c r="A146" t="s">
        <v>6</v>
      </c>
      <c r="B146" t="s">
        <v>17</v>
      </c>
      <c r="C146" t="s">
        <v>11</v>
      </c>
      <c r="D146" t="s">
        <v>12</v>
      </c>
      <c r="E146" t="s">
        <v>13</v>
      </c>
      <c r="I146" t="s">
        <v>3</v>
      </c>
      <c r="J14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Lastgang~Tagtyp_1_1+Temperatur+Globale_Strahlung+Betriebsruhe+DayAhead</v>
      </c>
      <c r="K146">
        <f>LEN(Tabelle1[[#This Row],[Spalte7]])</f>
        <v>70</v>
      </c>
      <c r="L146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Lastgang~Tagtyp_1_1+Temperatur+Globale_Strahlung+Betriebsruhe+DayAhead</v>
      </c>
    </row>
    <row r="147" spans="1:12" x14ac:dyDescent="0.35">
      <c r="A147" t="s">
        <v>6</v>
      </c>
      <c r="B147" t="s">
        <v>18</v>
      </c>
      <c r="C147" t="s">
        <v>11</v>
      </c>
      <c r="D147" t="s">
        <v>12</v>
      </c>
      <c r="E147" t="s">
        <v>13</v>
      </c>
      <c r="I147" t="s">
        <v>3</v>
      </c>
      <c r="J14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Lastgang~Tagtyp_1_3+Temperatur+Globale_Strahlung+Betriebsruhe+DayAhead</v>
      </c>
      <c r="K147">
        <f>LEN(Tabelle1[[#This Row],[Spalte7]])</f>
        <v>70</v>
      </c>
      <c r="L147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Lastgang~Tagtyp_1_3+Temperatur+Globale_Strahlung+Betriebsruhe+DayAhead</v>
      </c>
    </row>
    <row r="148" spans="1:12" x14ac:dyDescent="0.35">
      <c r="A148" t="s">
        <v>6</v>
      </c>
      <c r="B148" t="s">
        <v>19</v>
      </c>
      <c r="C148" t="s">
        <v>11</v>
      </c>
      <c r="D148" t="s">
        <v>12</v>
      </c>
      <c r="E148" t="s">
        <v>13</v>
      </c>
      <c r="I148" t="s">
        <v>3</v>
      </c>
      <c r="J14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Lastgang~Tagtyp_1_5+Temperatur+Globale_Strahlung+Betriebsruhe+DayAhead</v>
      </c>
      <c r="K148">
        <f>LEN(Tabelle1[[#This Row],[Spalte7]])</f>
        <v>70</v>
      </c>
      <c r="L148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Lastgang~Tagtyp_1_5+Temperatur+Globale_Strahlung+Betriebsruhe+DayAhead</v>
      </c>
    </row>
    <row r="149" spans="1:12" x14ac:dyDescent="0.35">
      <c r="A149" t="s">
        <v>6</v>
      </c>
      <c r="B149" t="s">
        <v>20</v>
      </c>
      <c r="C149" t="s">
        <v>11</v>
      </c>
      <c r="D149" t="s">
        <v>12</v>
      </c>
      <c r="E149" t="s">
        <v>13</v>
      </c>
      <c r="I149" t="s">
        <v>3</v>
      </c>
      <c r="J14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Lastgang~Tagtyp_1_7+Temperatur+Globale_Strahlung+Betriebsruhe+DayAhead</v>
      </c>
      <c r="K149">
        <f>LEN(Tabelle1[[#This Row],[Spalte7]])</f>
        <v>70</v>
      </c>
      <c r="L149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Lastgang~Tagtyp_1_7+Temperatur+Globale_Strahlung+Betriebsruhe+DayAhead</v>
      </c>
    </row>
    <row r="150" spans="1:12" x14ac:dyDescent="0.35">
      <c r="A150" t="s">
        <v>6</v>
      </c>
      <c r="B150" t="s">
        <v>17</v>
      </c>
      <c r="C150" t="s">
        <v>11</v>
      </c>
      <c r="E150" t="s">
        <v>13</v>
      </c>
      <c r="I150" t="s">
        <v>3</v>
      </c>
      <c r="J15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Lastgang~Tagtyp_1_1+Temperatur+Betriebsruhe+DayAhead</v>
      </c>
      <c r="K150">
        <f>LEN(Tabelle1[[#This Row],[Spalte7]])</f>
        <v>52</v>
      </c>
      <c r="L150" t="str">
        <f>IF(MID(Tabelle1[[#This Row],[Spalte7]],Tabelle1[[#This Row],[Spalte72]],1)="+",MID(Tabelle1[[#This Row],[Spalte7]],1,Tabelle1[[#This Row],[Spalte72]]-1),Tabelle1[[#This Row],[Spalte7]])</f>
        <v>Lastgang~Tagtyp_1_1+Temperatur+Betriebsruhe+DayAhead</v>
      </c>
    </row>
    <row r="151" spans="1:12" x14ac:dyDescent="0.35">
      <c r="A151" t="s">
        <v>6</v>
      </c>
      <c r="B151" t="s">
        <v>18</v>
      </c>
      <c r="C151" t="s">
        <v>11</v>
      </c>
      <c r="E151" t="s">
        <v>13</v>
      </c>
      <c r="I151" t="s">
        <v>3</v>
      </c>
      <c r="J15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Lastgang~Tagtyp_1_3+Temperatur+Betriebsruhe+DayAhead</v>
      </c>
      <c r="K151">
        <f>LEN(Tabelle1[[#This Row],[Spalte7]])</f>
        <v>52</v>
      </c>
      <c r="L151" t="str">
        <f>IF(MID(Tabelle1[[#This Row],[Spalte7]],Tabelle1[[#This Row],[Spalte72]],1)="+",MID(Tabelle1[[#This Row],[Spalte7]],1,Tabelle1[[#This Row],[Spalte72]]-1),Tabelle1[[#This Row],[Spalte7]])</f>
        <v>Lastgang~Tagtyp_1_3+Temperatur+Betriebsruhe+DayAhead</v>
      </c>
    </row>
    <row r="152" spans="1:12" x14ac:dyDescent="0.35">
      <c r="A152" t="s">
        <v>6</v>
      </c>
      <c r="B152" t="s">
        <v>19</v>
      </c>
      <c r="C152" t="s">
        <v>11</v>
      </c>
      <c r="E152" t="s">
        <v>13</v>
      </c>
      <c r="I152" t="s">
        <v>3</v>
      </c>
      <c r="J15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Lastgang~Tagtyp_1_5+Temperatur+Betriebsruhe+DayAhead</v>
      </c>
      <c r="K152">
        <f>LEN(Tabelle1[[#This Row],[Spalte7]])</f>
        <v>52</v>
      </c>
      <c r="L152" t="str">
        <f>IF(MID(Tabelle1[[#This Row],[Spalte7]],Tabelle1[[#This Row],[Spalte72]],1)="+",MID(Tabelle1[[#This Row],[Spalte7]],1,Tabelle1[[#This Row],[Spalte72]]-1),Tabelle1[[#This Row],[Spalte7]])</f>
        <v>Lastgang~Tagtyp_1_5+Temperatur+Betriebsruhe+DayAhead</v>
      </c>
    </row>
    <row r="153" spans="1:12" x14ac:dyDescent="0.35">
      <c r="A153" t="s">
        <v>6</v>
      </c>
      <c r="B153" t="s">
        <v>20</v>
      </c>
      <c r="C153" t="s">
        <v>11</v>
      </c>
      <c r="E153" t="s">
        <v>13</v>
      </c>
      <c r="I153" t="s">
        <v>3</v>
      </c>
      <c r="J15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Lastgang~Tagtyp_1_7+Temperatur+Betriebsruhe+DayAhead</v>
      </c>
      <c r="K153">
        <f>LEN(Tabelle1[[#This Row],[Spalte7]])</f>
        <v>52</v>
      </c>
      <c r="L153" t="str">
        <f>IF(MID(Tabelle1[[#This Row],[Spalte7]],Tabelle1[[#This Row],[Spalte72]],1)="+",MID(Tabelle1[[#This Row],[Spalte7]],1,Tabelle1[[#This Row],[Spalte72]]-1),Tabelle1[[#This Row],[Spalte7]])</f>
        <v>Lastgang~Tagtyp_1_7+Temperatur+Betriebsruhe+DayAhead</v>
      </c>
    </row>
    <row r="154" spans="1:12" x14ac:dyDescent="0.35">
      <c r="A154" t="s">
        <v>6</v>
      </c>
      <c r="B154" t="s">
        <v>17</v>
      </c>
      <c r="E154" t="s">
        <v>13</v>
      </c>
      <c r="I154" t="s">
        <v>3</v>
      </c>
      <c r="J15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Lastgang~Tagtyp_1_1+Betriebsruhe+DayAhead</v>
      </c>
      <c r="K154">
        <f>LEN(Tabelle1[[#This Row],[Spalte7]])</f>
        <v>41</v>
      </c>
      <c r="L154" t="str">
        <f>IF(MID(Tabelle1[[#This Row],[Spalte7]],Tabelle1[[#This Row],[Spalte72]],1)="+",MID(Tabelle1[[#This Row],[Spalte7]],1,Tabelle1[[#This Row],[Spalte72]]-1),Tabelle1[[#This Row],[Spalte7]])</f>
        <v>Lastgang~Tagtyp_1_1+Betriebsruhe+DayAhead</v>
      </c>
    </row>
    <row r="155" spans="1:12" x14ac:dyDescent="0.35">
      <c r="A155" t="s">
        <v>6</v>
      </c>
      <c r="B155" t="s">
        <v>18</v>
      </c>
      <c r="E155" t="s">
        <v>13</v>
      </c>
      <c r="I155" t="s">
        <v>3</v>
      </c>
      <c r="J15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Lastgang~Tagtyp_1_3+Betriebsruhe+DayAhead</v>
      </c>
      <c r="K155">
        <f>LEN(Tabelle1[[#This Row],[Spalte7]])</f>
        <v>41</v>
      </c>
      <c r="L155" t="str">
        <f>IF(MID(Tabelle1[[#This Row],[Spalte7]],Tabelle1[[#This Row],[Spalte72]],1)="+",MID(Tabelle1[[#This Row],[Spalte7]],1,Tabelle1[[#This Row],[Spalte72]]-1),Tabelle1[[#This Row],[Spalte7]])</f>
        <v>Lastgang~Tagtyp_1_3+Betriebsruhe+DayAhead</v>
      </c>
    </row>
    <row r="156" spans="1:12" x14ac:dyDescent="0.35">
      <c r="A156" t="s">
        <v>6</v>
      </c>
      <c r="B156" t="s">
        <v>19</v>
      </c>
      <c r="E156" t="s">
        <v>13</v>
      </c>
      <c r="I156" t="s">
        <v>3</v>
      </c>
      <c r="J15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Lastgang~Tagtyp_1_5+Betriebsruhe+DayAhead</v>
      </c>
      <c r="K156">
        <f>LEN(Tabelle1[[#This Row],[Spalte7]])</f>
        <v>41</v>
      </c>
      <c r="L156" t="str">
        <f>IF(MID(Tabelle1[[#This Row],[Spalte7]],Tabelle1[[#This Row],[Spalte72]],1)="+",MID(Tabelle1[[#This Row],[Spalte7]],1,Tabelle1[[#This Row],[Spalte72]]-1),Tabelle1[[#This Row],[Spalte7]])</f>
        <v>Lastgang~Tagtyp_1_5+Betriebsruhe+DayAhead</v>
      </c>
    </row>
    <row r="157" spans="1:12" x14ac:dyDescent="0.35">
      <c r="A157" t="s">
        <v>6</v>
      </c>
      <c r="B157" t="s">
        <v>20</v>
      </c>
      <c r="E157" t="s">
        <v>13</v>
      </c>
      <c r="I157" t="s">
        <v>3</v>
      </c>
      <c r="J15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Lastgang~Tagtyp_1_7+Betriebsruhe+DayAhead</v>
      </c>
      <c r="K157">
        <f>LEN(Tabelle1[[#This Row],[Spalte7]])</f>
        <v>41</v>
      </c>
      <c r="L157" t="str">
        <f>IF(MID(Tabelle1[[#This Row],[Spalte7]],Tabelle1[[#This Row],[Spalte72]],1)="+",MID(Tabelle1[[#This Row],[Spalte7]],1,Tabelle1[[#This Row],[Spalte72]]-1),Tabelle1[[#This Row],[Spalte7]])</f>
        <v>Lastgang~Tagtyp_1_7+Betriebsruhe+DayAhead</v>
      </c>
    </row>
    <row r="158" spans="1:12" x14ac:dyDescent="0.35">
      <c r="A158" t="s">
        <v>6</v>
      </c>
      <c r="B158" t="s">
        <v>17</v>
      </c>
      <c r="C158" t="s">
        <v>11</v>
      </c>
      <c r="D158" t="s">
        <v>12</v>
      </c>
      <c r="I158" t="s">
        <v>3</v>
      </c>
      <c r="J15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Lastgang~Tagtyp_1_1+Temperatur+Globale_Strahlung+DayAhead</v>
      </c>
      <c r="K158">
        <f>LEN(Tabelle1[[#This Row],[Spalte7]])</f>
        <v>57</v>
      </c>
      <c r="L158" t="str">
        <f>IF(MID(Tabelle1[[#This Row],[Spalte7]],Tabelle1[[#This Row],[Spalte72]],1)="+",MID(Tabelle1[[#This Row],[Spalte7]],1,Tabelle1[[#This Row],[Spalte72]]-1),Tabelle1[[#This Row],[Spalte7]])</f>
        <v>Lastgang~Tagtyp_1_1+Temperatur+Globale_Strahlung+DayAhead</v>
      </c>
    </row>
    <row r="159" spans="1:12" x14ac:dyDescent="0.35">
      <c r="A159" t="s">
        <v>6</v>
      </c>
      <c r="B159" t="s">
        <v>18</v>
      </c>
      <c r="C159" t="s">
        <v>11</v>
      </c>
      <c r="D159" t="s">
        <v>12</v>
      </c>
      <c r="I159" t="s">
        <v>3</v>
      </c>
      <c r="J15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Lastgang~Tagtyp_1_3+Temperatur+Globale_Strahlung+DayAhead</v>
      </c>
      <c r="K159">
        <f>LEN(Tabelle1[[#This Row],[Spalte7]])</f>
        <v>57</v>
      </c>
      <c r="L159" t="str">
        <f>IF(MID(Tabelle1[[#This Row],[Spalte7]],Tabelle1[[#This Row],[Spalte72]],1)="+",MID(Tabelle1[[#This Row],[Spalte7]],1,Tabelle1[[#This Row],[Spalte72]]-1),Tabelle1[[#This Row],[Spalte7]])</f>
        <v>Lastgang~Tagtyp_1_3+Temperatur+Globale_Strahlung+DayAhead</v>
      </c>
    </row>
    <row r="160" spans="1:12" x14ac:dyDescent="0.35">
      <c r="A160" t="s">
        <v>6</v>
      </c>
      <c r="B160" t="s">
        <v>19</v>
      </c>
      <c r="C160" t="s">
        <v>11</v>
      </c>
      <c r="D160" t="s">
        <v>12</v>
      </c>
      <c r="I160" t="s">
        <v>3</v>
      </c>
      <c r="J16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Lastgang~Tagtyp_1_5+Temperatur+Globale_Strahlung+DayAhead</v>
      </c>
      <c r="K160">
        <f>LEN(Tabelle1[[#This Row],[Spalte7]])</f>
        <v>57</v>
      </c>
      <c r="L160" t="str">
        <f>IF(MID(Tabelle1[[#This Row],[Spalte7]],Tabelle1[[#This Row],[Spalte72]],1)="+",MID(Tabelle1[[#This Row],[Spalte7]],1,Tabelle1[[#This Row],[Spalte72]]-1),Tabelle1[[#This Row],[Spalte7]])</f>
        <v>Lastgang~Tagtyp_1_5+Temperatur+Globale_Strahlung+DayAhead</v>
      </c>
    </row>
    <row r="161" spans="1:12" x14ac:dyDescent="0.35">
      <c r="A161" t="s">
        <v>6</v>
      </c>
      <c r="B161" t="s">
        <v>20</v>
      </c>
      <c r="C161" t="s">
        <v>11</v>
      </c>
      <c r="D161" t="s">
        <v>12</v>
      </c>
      <c r="I161" t="s">
        <v>3</v>
      </c>
      <c r="J16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Lastgang~Tagtyp_1_7+Temperatur+Globale_Strahlung+DayAhead</v>
      </c>
      <c r="K161">
        <f>LEN(Tabelle1[[#This Row],[Spalte7]])</f>
        <v>57</v>
      </c>
      <c r="L161" t="str">
        <f>IF(MID(Tabelle1[[#This Row],[Spalte7]],Tabelle1[[#This Row],[Spalte72]],1)="+",MID(Tabelle1[[#This Row],[Spalte7]],1,Tabelle1[[#This Row],[Spalte72]]-1),Tabelle1[[#This Row],[Spalte7]])</f>
        <v>Lastgang~Tagtyp_1_7+Temperatur+Globale_Strahlung+DayAhead</v>
      </c>
    </row>
    <row r="162" spans="1:12" x14ac:dyDescent="0.35">
      <c r="A162" t="s">
        <v>6</v>
      </c>
      <c r="B162" t="s">
        <v>17</v>
      </c>
      <c r="C162" t="s">
        <v>11</v>
      </c>
      <c r="I162" t="s">
        <v>3</v>
      </c>
      <c r="J16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Lastgang~Tagtyp_1_1+Temperatur+DayAhead</v>
      </c>
      <c r="K162">
        <f>LEN(Tabelle1[[#This Row],[Spalte7]])</f>
        <v>39</v>
      </c>
      <c r="L162" t="str">
        <f>IF(MID(Tabelle1[[#This Row],[Spalte7]],Tabelle1[[#This Row],[Spalte72]],1)="+",MID(Tabelle1[[#This Row],[Spalte7]],1,Tabelle1[[#This Row],[Spalte72]]-1),Tabelle1[[#This Row],[Spalte7]])</f>
        <v>Lastgang~Tagtyp_1_1+Temperatur+DayAhead</v>
      </c>
    </row>
    <row r="163" spans="1:12" x14ac:dyDescent="0.35">
      <c r="A163" t="s">
        <v>6</v>
      </c>
      <c r="B163" t="s">
        <v>18</v>
      </c>
      <c r="C163" t="s">
        <v>11</v>
      </c>
      <c r="I163" t="s">
        <v>3</v>
      </c>
      <c r="J16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Lastgang~Tagtyp_1_3+Temperatur+DayAhead</v>
      </c>
      <c r="K163">
        <f>LEN(Tabelle1[[#This Row],[Spalte7]])</f>
        <v>39</v>
      </c>
      <c r="L163" t="str">
        <f>IF(MID(Tabelle1[[#This Row],[Spalte7]],Tabelle1[[#This Row],[Spalte72]],1)="+",MID(Tabelle1[[#This Row],[Spalte7]],1,Tabelle1[[#This Row],[Spalte72]]-1),Tabelle1[[#This Row],[Spalte7]])</f>
        <v>Lastgang~Tagtyp_1_3+Temperatur+DayAhead</v>
      </c>
    </row>
    <row r="164" spans="1:12" x14ac:dyDescent="0.35">
      <c r="A164" t="s">
        <v>6</v>
      </c>
      <c r="B164" t="s">
        <v>19</v>
      </c>
      <c r="C164" t="s">
        <v>11</v>
      </c>
      <c r="I164" t="s">
        <v>3</v>
      </c>
      <c r="J16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Lastgang~Tagtyp_1_5+Temperatur+DayAhead</v>
      </c>
      <c r="K164">
        <f>LEN(Tabelle1[[#This Row],[Spalte7]])</f>
        <v>39</v>
      </c>
      <c r="L164" t="str">
        <f>IF(MID(Tabelle1[[#This Row],[Spalte7]],Tabelle1[[#This Row],[Spalte72]],1)="+",MID(Tabelle1[[#This Row],[Spalte7]],1,Tabelle1[[#This Row],[Spalte72]]-1),Tabelle1[[#This Row],[Spalte7]])</f>
        <v>Lastgang~Tagtyp_1_5+Temperatur+DayAhead</v>
      </c>
    </row>
    <row r="165" spans="1:12" x14ac:dyDescent="0.35">
      <c r="A165" t="s">
        <v>6</v>
      </c>
      <c r="B165" t="s">
        <v>20</v>
      </c>
      <c r="C165" t="s">
        <v>11</v>
      </c>
      <c r="I165" t="s">
        <v>3</v>
      </c>
      <c r="J16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Lastgang~Tagtyp_1_7+Temperatur+DayAhead</v>
      </c>
      <c r="K165">
        <f>LEN(Tabelle1[[#This Row],[Spalte7]])</f>
        <v>39</v>
      </c>
      <c r="L165" t="str">
        <f>IF(MID(Tabelle1[[#This Row],[Spalte7]],Tabelle1[[#This Row],[Spalte72]],1)="+",MID(Tabelle1[[#This Row],[Spalte7]],1,Tabelle1[[#This Row],[Spalte72]]-1),Tabelle1[[#This Row],[Spalte7]])</f>
        <v>Lastgang~Tagtyp_1_7+Temperatur+DayAhead</v>
      </c>
    </row>
    <row r="166" spans="1:12" x14ac:dyDescent="0.35">
      <c r="A166" t="s">
        <v>6</v>
      </c>
      <c r="B166" t="s">
        <v>17</v>
      </c>
      <c r="I166" t="s">
        <v>3</v>
      </c>
      <c r="J16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Lastgang~Tagtyp_1_1+DayAhead</v>
      </c>
      <c r="K166">
        <f>LEN(Tabelle1[[#This Row],[Spalte7]])</f>
        <v>28</v>
      </c>
      <c r="L166" t="str">
        <f>IF(MID(Tabelle1[[#This Row],[Spalte7]],Tabelle1[[#This Row],[Spalte72]],1)="+",MID(Tabelle1[[#This Row],[Spalte7]],1,Tabelle1[[#This Row],[Spalte72]]-1),Tabelle1[[#This Row],[Spalte7]])</f>
        <v>Lastgang~Tagtyp_1_1+DayAhead</v>
      </c>
    </row>
    <row r="167" spans="1:12" x14ac:dyDescent="0.35">
      <c r="A167" t="s">
        <v>6</v>
      </c>
      <c r="B167" t="s">
        <v>18</v>
      </c>
      <c r="I167" t="s">
        <v>3</v>
      </c>
      <c r="J16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Lastgang~Tagtyp_1_3+DayAhead</v>
      </c>
      <c r="K167">
        <f>LEN(Tabelle1[[#This Row],[Spalte7]])</f>
        <v>28</v>
      </c>
      <c r="L167" t="str">
        <f>IF(MID(Tabelle1[[#This Row],[Spalte7]],Tabelle1[[#This Row],[Spalte72]],1)="+",MID(Tabelle1[[#This Row],[Spalte7]],1,Tabelle1[[#This Row],[Spalte72]]-1),Tabelle1[[#This Row],[Spalte7]])</f>
        <v>Lastgang~Tagtyp_1_3+DayAhead</v>
      </c>
    </row>
    <row r="168" spans="1:12" x14ac:dyDescent="0.35">
      <c r="A168" t="s">
        <v>6</v>
      </c>
      <c r="B168" t="s">
        <v>19</v>
      </c>
      <c r="I168" t="s">
        <v>3</v>
      </c>
      <c r="J16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Lastgang~Tagtyp_1_5+DayAhead</v>
      </c>
      <c r="K168">
        <f>LEN(Tabelle1[[#This Row],[Spalte7]])</f>
        <v>28</v>
      </c>
      <c r="L168" t="str">
        <f>IF(MID(Tabelle1[[#This Row],[Spalte7]],Tabelle1[[#This Row],[Spalte72]],1)="+",MID(Tabelle1[[#This Row],[Spalte7]],1,Tabelle1[[#This Row],[Spalte72]]-1),Tabelle1[[#This Row],[Spalte7]])</f>
        <v>Lastgang~Tagtyp_1_5+DayAhead</v>
      </c>
    </row>
    <row r="169" spans="1:12" x14ac:dyDescent="0.35">
      <c r="A169" t="s">
        <v>6</v>
      </c>
      <c r="B169" t="s">
        <v>20</v>
      </c>
      <c r="I169" t="s">
        <v>3</v>
      </c>
      <c r="J16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Lastgang~Tagtyp_1_7+DayAhead</v>
      </c>
      <c r="K169">
        <f>LEN(Tabelle1[[#This Row],[Spalte7]])</f>
        <v>28</v>
      </c>
      <c r="L169" t="str">
        <f>IF(MID(Tabelle1[[#This Row],[Spalte7]],Tabelle1[[#This Row],[Spalte72]],1)="+",MID(Tabelle1[[#This Row],[Spalte7]],1,Tabelle1[[#This Row],[Spalte72]]-1),Tabelle1[[#This Row],[Spalte7]])</f>
        <v>Lastgang~Tagtyp_1_7+DayAhead</v>
      </c>
    </row>
    <row r="170" spans="1:12" x14ac:dyDescent="0.35">
      <c r="A170" t="s">
        <v>6</v>
      </c>
      <c r="B170" t="s">
        <v>17</v>
      </c>
      <c r="C170" t="s">
        <v>11</v>
      </c>
      <c r="D170" t="s">
        <v>12</v>
      </c>
      <c r="E170" t="s">
        <v>13</v>
      </c>
      <c r="J17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Lastgang~Tagtyp_1_1+Temperatur+Globale_Strahlung+Betriebsruhe+</v>
      </c>
      <c r="K170">
        <f>LEN(Tabelle1[[#This Row],[Spalte7]])</f>
        <v>62</v>
      </c>
      <c r="L170" t="str">
        <f>IF(MID(Tabelle1[[#This Row],[Spalte7]],Tabelle1[[#This Row],[Spalte72]],1)="+",MID(Tabelle1[[#This Row],[Spalte7]],1,Tabelle1[[#This Row],[Spalte72]]-1),Tabelle1[[#This Row],[Spalte7]])</f>
        <v>Lastgang~Tagtyp_1_1+Temperatur+Globale_Strahlung+Betriebsruhe</v>
      </c>
    </row>
    <row r="171" spans="1:12" x14ac:dyDescent="0.35">
      <c r="A171" t="s">
        <v>6</v>
      </c>
      <c r="B171" t="s">
        <v>18</v>
      </c>
      <c r="C171" t="s">
        <v>11</v>
      </c>
      <c r="D171" t="s">
        <v>12</v>
      </c>
      <c r="E171" t="s">
        <v>13</v>
      </c>
      <c r="J17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Lastgang~Tagtyp_1_3+Temperatur+Globale_Strahlung+Betriebsruhe+</v>
      </c>
      <c r="K171">
        <f>LEN(Tabelle1[[#This Row],[Spalte7]])</f>
        <v>62</v>
      </c>
      <c r="L171" t="str">
        <f>IF(MID(Tabelle1[[#This Row],[Spalte7]],Tabelle1[[#This Row],[Spalte72]],1)="+",MID(Tabelle1[[#This Row],[Spalte7]],1,Tabelle1[[#This Row],[Spalte72]]-1),Tabelle1[[#This Row],[Spalte7]])</f>
        <v>Lastgang~Tagtyp_1_3+Temperatur+Globale_Strahlung+Betriebsruhe</v>
      </c>
    </row>
    <row r="172" spans="1:12" x14ac:dyDescent="0.35">
      <c r="A172" t="s">
        <v>6</v>
      </c>
      <c r="B172" t="s">
        <v>19</v>
      </c>
      <c r="C172" t="s">
        <v>11</v>
      </c>
      <c r="D172" t="s">
        <v>12</v>
      </c>
      <c r="E172" t="s">
        <v>13</v>
      </c>
      <c r="J17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Lastgang~Tagtyp_1_5+Temperatur+Globale_Strahlung+Betriebsruhe+</v>
      </c>
      <c r="K172">
        <f>LEN(Tabelle1[[#This Row],[Spalte7]])</f>
        <v>62</v>
      </c>
      <c r="L172" t="str">
        <f>IF(MID(Tabelle1[[#This Row],[Spalte7]],Tabelle1[[#This Row],[Spalte72]],1)="+",MID(Tabelle1[[#This Row],[Spalte7]],1,Tabelle1[[#This Row],[Spalte72]]-1),Tabelle1[[#This Row],[Spalte7]])</f>
        <v>Lastgang~Tagtyp_1_5+Temperatur+Globale_Strahlung+Betriebsruhe</v>
      </c>
    </row>
    <row r="173" spans="1:12" x14ac:dyDescent="0.35">
      <c r="A173" t="s">
        <v>6</v>
      </c>
      <c r="B173" t="s">
        <v>20</v>
      </c>
      <c r="C173" t="s">
        <v>11</v>
      </c>
      <c r="D173" t="s">
        <v>12</v>
      </c>
      <c r="E173" t="s">
        <v>13</v>
      </c>
      <c r="J17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Lastgang~Tagtyp_1_7+Temperatur+Globale_Strahlung+Betriebsruhe+</v>
      </c>
      <c r="K173">
        <f>LEN(Tabelle1[[#This Row],[Spalte7]])</f>
        <v>62</v>
      </c>
      <c r="L173" t="str">
        <f>IF(MID(Tabelle1[[#This Row],[Spalte7]],Tabelle1[[#This Row],[Spalte72]],1)="+",MID(Tabelle1[[#This Row],[Spalte7]],1,Tabelle1[[#This Row],[Spalte72]]-1),Tabelle1[[#This Row],[Spalte7]])</f>
        <v>Lastgang~Tagtyp_1_7+Temperatur+Globale_Strahlung+Betriebsruhe</v>
      </c>
    </row>
    <row r="174" spans="1:12" x14ac:dyDescent="0.35">
      <c r="A174" t="s">
        <v>6</v>
      </c>
      <c r="B174" t="s">
        <v>17</v>
      </c>
      <c r="C174" t="s">
        <v>11</v>
      </c>
      <c r="E174" t="s">
        <v>13</v>
      </c>
      <c r="J17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Lastgang~Tagtyp_1_1+Temperatur+Betriebsruhe+</v>
      </c>
      <c r="K174">
        <f>LEN(Tabelle1[[#This Row],[Spalte7]])</f>
        <v>44</v>
      </c>
      <c r="L174" t="str">
        <f>IF(MID(Tabelle1[[#This Row],[Spalte7]],Tabelle1[[#This Row],[Spalte72]],1)="+",MID(Tabelle1[[#This Row],[Spalte7]],1,Tabelle1[[#This Row],[Spalte72]]-1),Tabelle1[[#This Row],[Spalte7]])</f>
        <v>Lastgang~Tagtyp_1_1+Temperatur+Betriebsruhe</v>
      </c>
    </row>
    <row r="175" spans="1:12" x14ac:dyDescent="0.35">
      <c r="A175" t="s">
        <v>6</v>
      </c>
      <c r="B175" t="s">
        <v>18</v>
      </c>
      <c r="C175" t="s">
        <v>11</v>
      </c>
      <c r="E175" t="s">
        <v>13</v>
      </c>
      <c r="J17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Lastgang~Tagtyp_1_3+Temperatur+Betriebsruhe+</v>
      </c>
      <c r="K175">
        <f>LEN(Tabelle1[[#This Row],[Spalte7]])</f>
        <v>44</v>
      </c>
      <c r="L175" t="str">
        <f>IF(MID(Tabelle1[[#This Row],[Spalte7]],Tabelle1[[#This Row],[Spalte72]],1)="+",MID(Tabelle1[[#This Row],[Spalte7]],1,Tabelle1[[#This Row],[Spalte72]]-1),Tabelle1[[#This Row],[Spalte7]])</f>
        <v>Lastgang~Tagtyp_1_3+Temperatur+Betriebsruhe</v>
      </c>
    </row>
    <row r="176" spans="1:12" x14ac:dyDescent="0.35">
      <c r="A176" t="s">
        <v>6</v>
      </c>
      <c r="B176" t="s">
        <v>19</v>
      </c>
      <c r="C176" t="s">
        <v>11</v>
      </c>
      <c r="E176" t="s">
        <v>13</v>
      </c>
      <c r="J17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Lastgang~Tagtyp_1_5+Temperatur+Betriebsruhe+</v>
      </c>
      <c r="K176">
        <f>LEN(Tabelle1[[#This Row],[Spalte7]])</f>
        <v>44</v>
      </c>
      <c r="L176" t="str">
        <f>IF(MID(Tabelle1[[#This Row],[Spalte7]],Tabelle1[[#This Row],[Spalte72]],1)="+",MID(Tabelle1[[#This Row],[Spalte7]],1,Tabelle1[[#This Row],[Spalte72]]-1),Tabelle1[[#This Row],[Spalte7]])</f>
        <v>Lastgang~Tagtyp_1_5+Temperatur+Betriebsruhe</v>
      </c>
    </row>
    <row r="177" spans="1:12" x14ac:dyDescent="0.35">
      <c r="A177" t="s">
        <v>6</v>
      </c>
      <c r="B177" t="s">
        <v>20</v>
      </c>
      <c r="C177" t="s">
        <v>11</v>
      </c>
      <c r="E177" t="s">
        <v>13</v>
      </c>
      <c r="J17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Lastgang~Tagtyp_1_7+Temperatur+Betriebsruhe+</v>
      </c>
      <c r="K177">
        <f>LEN(Tabelle1[[#This Row],[Spalte7]])</f>
        <v>44</v>
      </c>
      <c r="L177" t="str">
        <f>IF(MID(Tabelle1[[#This Row],[Spalte7]],Tabelle1[[#This Row],[Spalte72]],1)="+",MID(Tabelle1[[#This Row],[Spalte7]],1,Tabelle1[[#This Row],[Spalte72]]-1),Tabelle1[[#This Row],[Spalte7]])</f>
        <v>Lastgang~Tagtyp_1_7+Temperatur+Betriebsruhe</v>
      </c>
    </row>
    <row r="178" spans="1:12" x14ac:dyDescent="0.35">
      <c r="A178" t="s">
        <v>6</v>
      </c>
      <c r="B178" t="s">
        <v>17</v>
      </c>
      <c r="E178" t="s">
        <v>13</v>
      </c>
      <c r="J17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Lastgang~Tagtyp_1_1+Betriebsruhe+</v>
      </c>
      <c r="K178">
        <f>LEN(Tabelle1[[#This Row],[Spalte7]])</f>
        <v>33</v>
      </c>
      <c r="L178" t="str">
        <f>IF(MID(Tabelle1[[#This Row],[Spalte7]],Tabelle1[[#This Row],[Spalte72]],1)="+",MID(Tabelle1[[#This Row],[Spalte7]],1,Tabelle1[[#This Row],[Spalte72]]-1),Tabelle1[[#This Row],[Spalte7]])</f>
        <v>Lastgang~Tagtyp_1_1+Betriebsruhe</v>
      </c>
    </row>
    <row r="179" spans="1:12" x14ac:dyDescent="0.35">
      <c r="A179" t="s">
        <v>6</v>
      </c>
      <c r="B179" t="s">
        <v>18</v>
      </c>
      <c r="E179" t="s">
        <v>13</v>
      </c>
      <c r="J17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Lastgang~Tagtyp_1_3+Betriebsruhe+</v>
      </c>
      <c r="K179">
        <f>LEN(Tabelle1[[#This Row],[Spalte7]])</f>
        <v>33</v>
      </c>
      <c r="L179" t="str">
        <f>IF(MID(Tabelle1[[#This Row],[Spalte7]],Tabelle1[[#This Row],[Spalte72]],1)="+",MID(Tabelle1[[#This Row],[Spalte7]],1,Tabelle1[[#This Row],[Spalte72]]-1),Tabelle1[[#This Row],[Spalte7]])</f>
        <v>Lastgang~Tagtyp_1_3+Betriebsruhe</v>
      </c>
    </row>
    <row r="180" spans="1:12" x14ac:dyDescent="0.35">
      <c r="A180" t="s">
        <v>6</v>
      </c>
      <c r="B180" t="s">
        <v>19</v>
      </c>
      <c r="E180" t="s">
        <v>13</v>
      </c>
      <c r="J18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Lastgang~Tagtyp_1_5+Betriebsruhe+</v>
      </c>
      <c r="K180">
        <f>LEN(Tabelle1[[#This Row],[Spalte7]])</f>
        <v>33</v>
      </c>
      <c r="L180" t="str">
        <f>IF(MID(Tabelle1[[#This Row],[Spalte7]],Tabelle1[[#This Row],[Spalte72]],1)="+",MID(Tabelle1[[#This Row],[Spalte7]],1,Tabelle1[[#This Row],[Spalte72]]-1),Tabelle1[[#This Row],[Spalte7]])</f>
        <v>Lastgang~Tagtyp_1_5+Betriebsruhe</v>
      </c>
    </row>
    <row r="181" spans="1:12" x14ac:dyDescent="0.35">
      <c r="A181" t="s">
        <v>6</v>
      </c>
      <c r="B181" t="s">
        <v>20</v>
      </c>
      <c r="E181" t="s">
        <v>13</v>
      </c>
      <c r="J18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Lastgang~Tagtyp_1_7+Betriebsruhe+</v>
      </c>
      <c r="K181">
        <f>LEN(Tabelle1[[#This Row],[Spalte7]])</f>
        <v>33</v>
      </c>
      <c r="L181" t="str">
        <f>IF(MID(Tabelle1[[#This Row],[Spalte7]],Tabelle1[[#This Row],[Spalte72]],1)="+",MID(Tabelle1[[#This Row],[Spalte7]],1,Tabelle1[[#This Row],[Spalte72]]-1),Tabelle1[[#This Row],[Spalte7]])</f>
        <v>Lastgang~Tagtyp_1_7+Betriebsruhe</v>
      </c>
    </row>
    <row r="182" spans="1:12" x14ac:dyDescent="0.35">
      <c r="A182" t="s">
        <v>6</v>
      </c>
      <c r="B182" t="s">
        <v>17</v>
      </c>
      <c r="C182" t="s">
        <v>11</v>
      </c>
      <c r="D182" t="s">
        <v>12</v>
      </c>
      <c r="J18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Lastgang~Tagtyp_1_1+Temperatur+Globale_Strahlung+</v>
      </c>
      <c r="K182">
        <f>LEN(Tabelle1[[#This Row],[Spalte7]])</f>
        <v>49</v>
      </c>
      <c r="L182" t="str">
        <f>IF(MID(Tabelle1[[#This Row],[Spalte7]],Tabelle1[[#This Row],[Spalte72]],1)="+",MID(Tabelle1[[#This Row],[Spalte7]],1,Tabelle1[[#This Row],[Spalte72]]-1),Tabelle1[[#This Row],[Spalte7]])</f>
        <v>Lastgang~Tagtyp_1_1+Temperatur+Globale_Strahlung</v>
      </c>
    </row>
    <row r="183" spans="1:12" x14ac:dyDescent="0.35">
      <c r="A183" t="s">
        <v>6</v>
      </c>
      <c r="B183" t="s">
        <v>18</v>
      </c>
      <c r="C183" t="s">
        <v>11</v>
      </c>
      <c r="D183" t="s">
        <v>12</v>
      </c>
      <c r="J18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Lastgang~Tagtyp_1_3+Temperatur+Globale_Strahlung+</v>
      </c>
      <c r="K183">
        <f>LEN(Tabelle1[[#This Row],[Spalte7]])</f>
        <v>49</v>
      </c>
      <c r="L183" t="str">
        <f>IF(MID(Tabelle1[[#This Row],[Spalte7]],Tabelle1[[#This Row],[Spalte72]],1)="+",MID(Tabelle1[[#This Row],[Spalte7]],1,Tabelle1[[#This Row],[Spalte72]]-1),Tabelle1[[#This Row],[Spalte7]])</f>
        <v>Lastgang~Tagtyp_1_3+Temperatur+Globale_Strahlung</v>
      </c>
    </row>
    <row r="184" spans="1:12" x14ac:dyDescent="0.35">
      <c r="A184" t="s">
        <v>6</v>
      </c>
      <c r="B184" t="s">
        <v>19</v>
      </c>
      <c r="C184" t="s">
        <v>11</v>
      </c>
      <c r="D184" t="s">
        <v>12</v>
      </c>
      <c r="J184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Lastgang~Tagtyp_1_5+Temperatur+Globale_Strahlung+</v>
      </c>
      <c r="K184">
        <f>LEN(Tabelle1[[#This Row],[Spalte7]])</f>
        <v>49</v>
      </c>
      <c r="L184" t="str">
        <f>IF(MID(Tabelle1[[#This Row],[Spalte7]],Tabelle1[[#This Row],[Spalte72]],1)="+",MID(Tabelle1[[#This Row],[Spalte7]],1,Tabelle1[[#This Row],[Spalte72]]-1),Tabelle1[[#This Row],[Spalte7]])</f>
        <v>Lastgang~Tagtyp_1_5+Temperatur+Globale_Strahlung</v>
      </c>
    </row>
    <row r="185" spans="1:12" x14ac:dyDescent="0.35">
      <c r="A185" t="s">
        <v>6</v>
      </c>
      <c r="B185" t="s">
        <v>20</v>
      </c>
      <c r="C185" t="s">
        <v>11</v>
      </c>
      <c r="D185" t="s">
        <v>12</v>
      </c>
      <c r="J185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Lastgang~Tagtyp_1_7+Temperatur+Globale_Strahlung+</v>
      </c>
      <c r="K185">
        <f>LEN(Tabelle1[[#This Row],[Spalte7]])</f>
        <v>49</v>
      </c>
      <c r="L185" t="str">
        <f>IF(MID(Tabelle1[[#This Row],[Spalte7]],Tabelle1[[#This Row],[Spalte72]],1)="+",MID(Tabelle1[[#This Row],[Spalte7]],1,Tabelle1[[#This Row],[Spalte72]]-1),Tabelle1[[#This Row],[Spalte7]])</f>
        <v>Lastgang~Tagtyp_1_7+Temperatur+Globale_Strahlung</v>
      </c>
    </row>
    <row r="186" spans="1:12" x14ac:dyDescent="0.35">
      <c r="A186" t="s">
        <v>6</v>
      </c>
      <c r="B186" t="s">
        <v>17</v>
      </c>
      <c r="C186" t="s">
        <v>11</v>
      </c>
      <c r="J186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Lastgang~Tagtyp_1_1+Temperatur+</v>
      </c>
      <c r="K186">
        <f>LEN(Tabelle1[[#This Row],[Spalte7]])</f>
        <v>31</v>
      </c>
      <c r="L186" t="str">
        <f>IF(MID(Tabelle1[[#This Row],[Spalte7]],Tabelle1[[#This Row],[Spalte72]],1)="+",MID(Tabelle1[[#This Row],[Spalte7]],1,Tabelle1[[#This Row],[Spalte72]]-1),Tabelle1[[#This Row],[Spalte7]])</f>
        <v>Lastgang~Tagtyp_1_1+Temperatur</v>
      </c>
    </row>
    <row r="187" spans="1:12" x14ac:dyDescent="0.35">
      <c r="A187" t="s">
        <v>6</v>
      </c>
      <c r="B187" t="s">
        <v>18</v>
      </c>
      <c r="C187" t="s">
        <v>11</v>
      </c>
      <c r="J187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Lastgang~Tagtyp_1_3+Temperatur+</v>
      </c>
      <c r="K187">
        <f>LEN(Tabelle1[[#This Row],[Spalte7]])</f>
        <v>31</v>
      </c>
      <c r="L187" t="str">
        <f>IF(MID(Tabelle1[[#This Row],[Spalte7]],Tabelle1[[#This Row],[Spalte72]],1)="+",MID(Tabelle1[[#This Row],[Spalte7]],1,Tabelle1[[#This Row],[Spalte72]]-1),Tabelle1[[#This Row],[Spalte7]])</f>
        <v>Lastgang~Tagtyp_1_3+Temperatur</v>
      </c>
    </row>
    <row r="188" spans="1:12" x14ac:dyDescent="0.35">
      <c r="A188" t="s">
        <v>6</v>
      </c>
      <c r="B188" t="s">
        <v>19</v>
      </c>
      <c r="C188" t="s">
        <v>11</v>
      </c>
      <c r="J188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Lastgang~Tagtyp_1_5+Temperatur+</v>
      </c>
      <c r="K188">
        <f>LEN(Tabelle1[[#This Row],[Spalte7]])</f>
        <v>31</v>
      </c>
      <c r="L188" t="str">
        <f>IF(MID(Tabelle1[[#This Row],[Spalte7]],Tabelle1[[#This Row],[Spalte72]],1)="+",MID(Tabelle1[[#This Row],[Spalte7]],1,Tabelle1[[#This Row],[Spalte72]]-1),Tabelle1[[#This Row],[Spalte7]])</f>
        <v>Lastgang~Tagtyp_1_5+Temperatur</v>
      </c>
    </row>
    <row r="189" spans="1:12" x14ac:dyDescent="0.35">
      <c r="A189" t="s">
        <v>6</v>
      </c>
      <c r="B189" t="s">
        <v>20</v>
      </c>
      <c r="C189" t="s">
        <v>11</v>
      </c>
      <c r="J189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Lastgang~Tagtyp_1_7+Temperatur+</v>
      </c>
      <c r="K189">
        <f>LEN(Tabelle1[[#This Row],[Spalte7]])</f>
        <v>31</v>
      </c>
      <c r="L189" t="str">
        <f>IF(MID(Tabelle1[[#This Row],[Spalte7]],Tabelle1[[#This Row],[Spalte72]],1)="+",MID(Tabelle1[[#This Row],[Spalte7]],1,Tabelle1[[#This Row],[Spalte72]]-1),Tabelle1[[#This Row],[Spalte7]])</f>
        <v>Lastgang~Tagtyp_1_7+Temperatur</v>
      </c>
    </row>
    <row r="190" spans="1:12" x14ac:dyDescent="0.35">
      <c r="A190" t="s">
        <v>6</v>
      </c>
      <c r="B190" t="s">
        <v>17</v>
      </c>
      <c r="J190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Lastgang~Tagtyp_1_1+</v>
      </c>
      <c r="K190">
        <f>LEN(Tabelle1[[#This Row],[Spalte7]])</f>
        <v>20</v>
      </c>
      <c r="L190" t="str">
        <f>IF(MID(Tabelle1[[#This Row],[Spalte7]],Tabelle1[[#This Row],[Spalte72]],1)="+",MID(Tabelle1[[#This Row],[Spalte7]],1,Tabelle1[[#This Row],[Spalte72]]-1),Tabelle1[[#This Row],[Spalte7]])</f>
        <v>Lastgang~Tagtyp_1_1</v>
      </c>
    </row>
    <row r="191" spans="1:12" x14ac:dyDescent="0.35">
      <c r="A191" t="s">
        <v>6</v>
      </c>
      <c r="B191" t="s">
        <v>18</v>
      </c>
      <c r="J191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Lastgang~Tagtyp_1_3+</v>
      </c>
      <c r="K191">
        <f>LEN(Tabelle1[[#This Row],[Spalte7]])</f>
        <v>20</v>
      </c>
      <c r="L191" t="str">
        <f>IF(MID(Tabelle1[[#This Row],[Spalte7]],Tabelle1[[#This Row],[Spalte72]],1)="+",MID(Tabelle1[[#This Row],[Spalte7]],1,Tabelle1[[#This Row],[Spalte72]]-1),Tabelle1[[#This Row],[Spalte7]])</f>
        <v>Lastgang~Tagtyp_1_3</v>
      </c>
    </row>
    <row r="192" spans="1:12" x14ac:dyDescent="0.35">
      <c r="A192" t="s">
        <v>6</v>
      </c>
      <c r="B192" t="s">
        <v>19</v>
      </c>
      <c r="J192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Lastgang~Tagtyp_1_5+</v>
      </c>
      <c r="K192">
        <f>LEN(Tabelle1[[#This Row],[Spalte7]])</f>
        <v>20</v>
      </c>
      <c r="L192" t="str">
        <f>IF(MID(Tabelle1[[#This Row],[Spalte7]],Tabelle1[[#This Row],[Spalte72]],1)="+",MID(Tabelle1[[#This Row],[Spalte7]],1,Tabelle1[[#This Row],[Spalte72]]-1),Tabelle1[[#This Row],[Spalte7]])</f>
        <v>Lastgang~Tagtyp_1_5</v>
      </c>
    </row>
    <row r="193" spans="1:12" x14ac:dyDescent="0.35">
      <c r="A193" t="s">
        <v>6</v>
      </c>
      <c r="B193" t="s">
        <v>20</v>
      </c>
      <c r="J193" t="str">
        <f>Tabelle1[[#This Row],[Spalte1]]&amp;"~"&amp;Tabelle1[[#This Row],[Tagtyp]]&amp;Tabelle1[[#This Row],[Temperatur]]&amp;Tabelle1[[#This Row],[Globale_Strahlung]]&amp;Tabelle1[[#This Row],[Betriebsruhe]]&amp;Tabelle1[[#This Row],[Monat]]&amp;Tabelle1[[#This Row],[Woche]]&amp;Tabelle1[[#This Row],[Tag]]&amp;Tabelle1[[#This Row],[DayAhead]]</f>
        <v>Lastgang~Tagtyp_1_7+</v>
      </c>
      <c r="K193">
        <f>LEN(Tabelle1[[#This Row],[Spalte7]])</f>
        <v>20</v>
      </c>
      <c r="L193" t="str">
        <f>IF(MID(Tabelle1[[#This Row],[Spalte7]],Tabelle1[[#This Row],[Spalte72]],1)="+",MID(Tabelle1[[#This Row],[Spalte7]],1,Tabelle1[[#This Row],[Spalte72]]-1),Tabelle1[[#This Row],[Spalte7]])</f>
        <v>Lastgang~Tagtyp_1_7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6679-EAEE-4F60-87F9-E2F530C31876}">
  <dimension ref="A1:K97"/>
  <sheetViews>
    <sheetView workbookViewId="0">
      <selection activeCell="K2" sqref="K2"/>
    </sheetView>
  </sheetViews>
  <sheetFormatPr baseColWidth="10" defaultRowHeight="14.5" x14ac:dyDescent="0.35"/>
  <cols>
    <col min="1" max="1" width="9.26953125" bestFit="1" customWidth="1"/>
    <col min="2" max="2" width="11.36328125" bestFit="1" customWidth="1"/>
    <col min="3" max="3" width="13.08984375" bestFit="1" customWidth="1"/>
    <col min="4" max="4" width="18.54296875" bestFit="1" customWidth="1"/>
    <col min="5" max="5" width="13.90625" bestFit="1" customWidth="1"/>
    <col min="6" max="6" width="8.7265625" bestFit="1" customWidth="1"/>
    <col min="7" max="7" width="8.90625" bestFit="1" customWidth="1"/>
    <col min="8" max="8" width="6" bestFit="1" customWidth="1"/>
    <col min="9" max="9" width="66.1796875" hidden="1" customWidth="1"/>
    <col min="10" max="10" width="10.26953125" hidden="1" customWidth="1"/>
    <col min="11" max="11" width="65.1796875" bestFit="1" customWidth="1"/>
  </cols>
  <sheetData>
    <row r="1" spans="1:11" x14ac:dyDescent="0.35">
      <c r="A1" t="s">
        <v>4</v>
      </c>
      <c r="B1" t="s">
        <v>8</v>
      </c>
      <c r="C1" t="s">
        <v>0</v>
      </c>
      <c r="D1" t="s">
        <v>1</v>
      </c>
      <c r="E1" t="s">
        <v>2</v>
      </c>
      <c r="F1" t="s">
        <v>7</v>
      </c>
      <c r="G1" t="s">
        <v>10</v>
      </c>
      <c r="H1" t="s">
        <v>9</v>
      </c>
      <c r="I1" t="s">
        <v>5</v>
      </c>
      <c r="J1" t="s">
        <v>21</v>
      </c>
      <c r="K1" t="s">
        <v>22</v>
      </c>
    </row>
    <row r="2" spans="1:11" x14ac:dyDescent="0.35">
      <c r="A2" t="s">
        <v>6</v>
      </c>
      <c r="B2" t="s">
        <v>17</v>
      </c>
      <c r="C2" t="s">
        <v>11</v>
      </c>
      <c r="D2" t="s">
        <v>12</v>
      </c>
      <c r="E2" t="s">
        <v>13</v>
      </c>
      <c r="F2" t="s">
        <v>14</v>
      </c>
      <c r="I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Lastgang~Tagtyp_1_1+Temperatur+Globale_Strahlung+Betriebsruhe+Monat+</v>
      </c>
      <c r="J2">
        <f>LEN(Tabelle17[[#This Row],[Spalte7]])</f>
        <v>68</v>
      </c>
      <c r="K2" t="str">
        <f>IF(MID(Tabelle17[[#This Row],[Spalte7]],Tabelle17[[#This Row],[Spalte72]],1)="+",MID(Tabelle17[[#This Row],[Spalte7]],1,Tabelle17[[#This Row],[Spalte72]]-1),Tabelle17[[#This Row],[Spalte7]])</f>
        <v>Lastgang~Tagtyp_1_1+Temperatur+Globale_Strahlung+Betriebsruhe+Monat</v>
      </c>
    </row>
    <row r="3" spans="1:11" x14ac:dyDescent="0.35">
      <c r="A3" t="s">
        <v>6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I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Lastgang~Tagtyp_1_3+Temperatur+Globale_Strahlung+Betriebsruhe+Monat+</v>
      </c>
      <c r="J3">
        <f>LEN(Tabelle17[[#This Row],[Spalte7]])</f>
        <v>68</v>
      </c>
      <c r="K3" t="str">
        <f>IF(MID(Tabelle17[[#This Row],[Spalte7]],Tabelle17[[#This Row],[Spalte72]],1)="+",MID(Tabelle17[[#This Row],[Spalte7]],1,Tabelle17[[#This Row],[Spalte72]]-1),Tabelle17[[#This Row],[Spalte7]])</f>
        <v>Lastgang~Tagtyp_1_3+Temperatur+Globale_Strahlung+Betriebsruhe+Monat</v>
      </c>
    </row>
    <row r="4" spans="1:11" x14ac:dyDescent="0.35">
      <c r="A4" t="s">
        <v>6</v>
      </c>
      <c r="B4" t="s">
        <v>19</v>
      </c>
      <c r="C4" t="s">
        <v>11</v>
      </c>
      <c r="D4" t="s">
        <v>12</v>
      </c>
      <c r="E4" t="s">
        <v>13</v>
      </c>
      <c r="F4" t="s">
        <v>14</v>
      </c>
      <c r="I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Lastgang~Tagtyp_1_5+Temperatur+Globale_Strahlung+Betriebsruhe+Monat+</v>
      </c>
      <c r="J4">
        <f>LEN(Tabelle17[[#This Row],[Spalte7]])</f>
        <v>68</v>
      </c>
      <c r="K4" t="str">
        <f>IF(MID(Tabelle17[[#This Row],[Spalte7]],Tabelle17[[#This Row],[Spalte72]],1)="+",MID(Tabelle17[[#This Row],[Spalte7]],1,Tabelle17[[#This Row],[Spalte72]]-1),Tabelle17[[#This Row],[Spalte7]])</f>
        <v>Lastgang~Tagtyp_1_5+Temperatur+Globale_Strahlung+Betriebsruhe+Monat</v>
      </c>
    </row>
    <row r="5" spans="1:11" x14ac:dyDescent="0.35">
      <c r="A5" t="s">
        <v>6</v>
      </c>
      <c r="B5" t="s">
        <v>20</v>
      </c>
      <c r="C5" t="s">
        <v>11</v>
      </c>
      <c r="D5" t="s">
        <v>12</v>
      </c>
      <c r="E5" t="s">
        <v>13</v>
      </c>
      <c r="F5" t="s">
        <v>14</v>
      </c>
      <c r="I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Lastgang~Tagtyp_1_7+Temperatur+Globale_Strahlung+Betriebsruhe+Monat+</v>
      </c>
      <c r="J5">
        <f>LEN(Tabelle17[[#This Row],[Spalte7]])</f>
        <v>68</v>
      </c>
      <c r="K5" t="str">
        <f>IF(MID(Tabelle17[[#This Row],[Spalte7]],Tabelle17[[#This Row],[Spalte72]],1)="+",MID(Tabelle17[[#This Row],[Spalte7]],1,Tabelle17[[#This Row],[Spalte72]]-1),Tabelle17[[#This Row],[Spalte7]])</f>
        <v>Lastgang~Tagtyp_1_7+Temperatur+Globale_Strahlung+Betriebsruhe+Monat</v>
      </c>
    </row>
    <row r="6" spans="1:11" x14ac:dyDescent="0.35">
      <c r="A6" t="s">
        <v>6</v>
      </c>
      <c r="B6" t="s">
        <v>17</v>
      </c>
      <c r="C6" t="s">
        <v>11</v>
      </c>
      <c r="E6" t="s">
        <v>13</v>
      </c>
      <c r="F6" t="s">
        <v>14</v>
      </c>
      <c r="I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Lastgang~Tagtyp_1_1+Temperatur+Betriebsruhe+Monat+</v>
      </c>
      <c r="J6">
        <f>LEN(Tabelle17[[#This Row],[Spalte7]])</f>
        <v>50</v>
      </c>
      <c r="K6" t="str">
        <f>IF(MID(Tabelle17[[#This Row],[Spalte7]],Tabelle17[[#This Row],[Spalte72]],1)="+",MID(Tabelle17[[#This Row],[Spalte7]],1,Tabelle17[[#This Row],[Spalte72]]-1),Tabelle17[[#This Row],[Spalte7]])</f>
        <v>Lastgang~Tagtyp_1_1+Temperatur+Betriebsruhe+Monat</v>
      </c>
    </row>
    <row r="7" spans="1:11" x14ac:dyDescent="0.35">
      <c r="A7" t="s">
        <v>6</v>
      </c>
      <c r="B7" t="s">
        <v>18</v>
      </c>
      <c r="C7" t="s">
        <v>11</v>
      </c>
      <c r="E7" t="s">
        <v>13</v>
      </c>
      <c r="F7" t="s">
        <v>14</v>
      </c>
      <c r="I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Lastgang~Tagtyp_1_3+Temperatur+Betriebsruhe+Monat+</v>
      </c>
      <c r="J7">
        <f>LEN(Tabelle17[[#This Row],[Spalte7]])</f>
        <v>50</v>
      </c>
      <c r="K7" t="str">
        <f>IF(MID(Tabelle17[[#This Row],[Spalte7]],Tabelle17[[#This Row],[Spalte72]],1)="+",MID(Tabelle17[[#This Row],[Spalte7]],1,Tabelle17[[#This Row],[Spalte72]]-1),Tabelle17[[#This Row],[Spalte7]])</f>
        <v>Lastgang~Tagtyp_1_3+Temperatur+Betriebsruhe+Monat</v>
      </c>
    </row>
    <row r="8" spans="1:11" x14ac:dyDescent="0.35">
      <c r="A8" t="s">
        <v>6</v>
      </c>
      <c r="B8" t="s">
        <v>19</v>
      </c>
      <c r="C8" t="s">
        <v>11</v>
      </c>
      <c r="E8" t="s">
        <v>13</v>
      </c>
      <c r="F8" t="s">
        <v>14</v>
      </c>
      <c r="I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Lastgang~Tagtyp_1_5+Temperatur+Betriebsruhe+Monat+</v>
      </c>
      <c r="J8">
        <f>LEN(Tabelle17[[#This Row],[Spalte7]])</f>
        <v>50</v>
      </c>
      <c r="K8" t="str">
        <f>IF(MID(Tabelle17[[#This Row],[Spalte7]],Tabelle17[[#This Row],[Spalte72]],1)="+",MID(Tabelle17[[#This Row],[Spalte7]],1,Tabelle17[[#This Row],[Spalte72]]-1),Tabelle17[[#This Row],[Spalte7]])</f>
        <v>Lastgang~Tagtyp_1_5+Temperatur+Betriebsruhe+Monat</v>
      </c>
    </row>
    <row r="9" spans="1:11" x14ac:dyDescent="0.35">
      <c r="A9" t="s">
        <v>6</v>
      </c>
      <c r="B9" t="s">
        <v>20</v>
      </c>
      <c r="C9" t="s">
        <v>11</v>
      </c>
      <c r="E9" t="s">
        <v>13</v>
      </c>
      <c r="F9" t="s">
        <v>14</v>
      </c>
      <c r="I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Lastgang~Tagtyp_1_7+Temperatur+Betriebsruhe+Monat+</v>
      </c>
      <c r="J9">
        <f>LEN(Tabelle17[[#This Row],[Spalte7]])</f>
        <v>50</v>
      </c>
      <c r="K9" t="str">
        <f>IF(MID(Tabelle17[[#This Row],[Spalte7]],Tabelle17[[#This Row],[Spalte72]],1)="+",MID(Tabelle17[[#This Row],[Spalte7]],1,Tabelle17[[#This Row],[Spalte72]]-1),Tabelle17[[#This Row],[Spalte7]])</f>
        <v>Lastgang~Tagtyp_1_7+Temperatur+Betriebsruhe+Monat</v>
      </c>
    </row>
    <row r="10" spans="1:11" x14ac:dyDescent="0.35">
      <c r="A10" t="s">
        <v>6</v>
      </c>
      <c r="B10" t="s">
        <v>17</v>
      </c>
      <c r="E10" t="s">
        <v>13</v>
      </c>
      <c r="F10" t="s">
        <v>14</v>
      </c>
      <c r="I1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Lastgang~Tagtyp_1_1+Betriebsruhe+Monat+</v>
      </c>
      <c r="J10">
        <f>LEN(Tabelle17[[#This Row],[Spalte7]])</f>
        <v>39</v>
      </c>
      <c r="K10" t="str">
        <f>IF(MID(Tabelle17[[#This Row],[Spalte7]],Tabelle17[[#This Row],[Spalte72]],1)="+",MID(Tabelle17[[#This Row],[Spalte7]],1,Tabelle17[[#This Row],[Spalte72]]-1),Tabelle17[[#This Row],[Spalte7]])</f>
        <v>Lastgang~Tagtyp_1_1+Betriebsruhe+Monat</v>
      </c>
    </row>
    <row r="11" spans="1:11" x14ac:dyDescent="0.35">
      <c r="A11" t="s">
        <v>6</v>
      </c>
      <c r="B11" t="s">
        <v>18</v>
      </c>
      <c r="E11" t="s">
        <v>13</v>
      </c>
      <c r="F11" t="s">
        <v>14</v>
      </c>
      <c r="I1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Lastgang~Tagtyp_1_3+Betriebsruhe+Monat+</v>
      </c>
      <c r="J11">
        <f>LEN(Tabelle17[[#This Row],[Spalte7]])</f>
        <v>39</v>
      </c>
      <c r="K11" t="str">
        <f>IF(MID(Tabelle17[[#This Row],[Spalte7]],Tabelle17[[#This Row],[Spalte72]],1)="+",MID(Tabelle17[[#This Row],[Spalte7]],1,Tabelle17[[#This Row],[Spalte72]]-1),Tabelle17[[#This Row],[Spalte7]])</f>
        <v>Lastgang~Tagtyp_1_3+Betriebsruhe+Monat</v>
      </c>
    </row>
    <row r="12" spans="1:11" x14ac:dyDescent="0.35">
      <c r="A12" t="s">
        <v>6</v>
      </c>
      <c r="B12" t="s">
        <v>19</v>
      </c>
      <c r="E12" t="s">
        <v>13</v>
      </c>
      <c r="F12" t="s">
        <v>14</v>
      </c>
      <c r="I1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Lastgang~Tagtyp_1_5+Betriebsruhe+Monat+</v>
      </c>
      <c r="J12">
        <f>LEN(Tabelle17[[#This Row],[Spalte7]])</f>
        <v>39</v>
      </c>
      <c r="K12" t="str">
        <f>IF(MID(Tabelle17[[#This Row],[Spalte7]],Tabelle17[[#This Row],[Spalte72]],1)="+",MID(Tabelle17[[#This Row],[Spalte7]],1,Tabelle17[[#This Row],[Spalte72]]-1),Tabelle17[[#This Row],[Spalte7]])</f>
        <v>Lastgang~Tagtyp_1_5+Betriebsruhe+Monat</v>
      </c>
    </row>
    <row r="13" spans="1:11" x14ac:dyDescent="0.35">
      <c r="A13" t="s">
        <v>6</v>
      </c>
      <c r="B13" t="s">
        <v>20</v>
      </c>
      <c r="E13" t="s">
        <v>13</v>
      </c>
      <c r="F13" t="s">
        <v>14</v>
      </c>
      <c r="I1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Lastgang~Tagtyp_1_7+Betriebsruhe+Monat+</v>
      </c>
      <c r="J13">
        <f>LEN(Tabelle17[[#This Row],[Spalte7]])</f>
        <v>39</v>
      </c>
      <c r="K13" t="str">
        <f>IF(MID(Tabelle17[[#This Row],[Spalte7]],Tabelle17[[#This Row],[Spalte72]],1)="+",MID(Tabelle17[[#This Row],[Spalte7]],1,Tabelle17[[#This Row],[Spalte72]]-1),Tabelle17[[#This Row],[Spalte7]])</f>
        <v>Lastgang~Tagtyp_1_7+Betriebsruhe+Monat</v>
      </c>
    </row>
    <row r="14" spans="1:11" x14ac:dyDescent="0.35">
      <c r="A14" t="s">
        <v>6</v>
      </c>
      <c r="B14" t="s">
        <v>17</v>
      </c>
      <c r="C14" t="s">
        <v>11</v>
      </c>
      <c r="D14" t="s">
        <v>12</v>
      </c>
      <c r="F14" t="s">
        <v>14</v>
      </c>
      <c r="I1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Lastgang~Tagtyp_1_1+Temperatur+Globale_Strahlung+Monat+</v>
      </c>
      <c r="J14">
        <f>LEN(Tabelle17[[#This Row],[Spalte7]])</f>
        <v>55</v>
      </c>
      <c r="K14" t="str">
        <f>IF(MID(Tabelle17[[#This Row],[Spalte7]],Tabelle17[[#This Row],[Spalte72]],1)="+",MID(Tabelle17[[#This Row],[Spalte7]],1,Tabelle17[[#This Row],[Spalte72]]-1),Tabelle17[[#This Row],[Spalte7]])</f>
        <v>Lastgang~Tagtyp_1_1+Temperatur+Globale_Strahlung+Monat</v>
      </c>
    </row>
    <row r="15" spans="1:11" x14ac:dyDescent="0.35">
      <c r="A15" t="s">
        <v>6</v>
      </c>
      <c r="B15" t="s">
        <v>18</v>
      </c>
      <c r="C15" t="s">
        <v>11</v>
      </c>
      <c r="D15" t="s">
        <v>12</v>
      </c>
      <c r="F15" t="s">
        <v>14</v>
      </c>
      <c r="I1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Lastgang~Tagtyp_1_3+Temperatur+Globale_Strahlung+Monat+</v>
      </c>
      <c r="J15">
        <f>LEN(Tabelle17[[#This Row],[Spalte7]])</f>
        <v>55</v>
      </c>
      <c r="K15" t="str">
        <f>IF(MID(Tabelle17[[#This Row],[Spalte7]],Tabelle17[[#This Row],[Spalte72]],1)="+",MID(Tabelle17[[#This Row],[Spalte7]],1,Tabelle17[[#This Row],[Spalte72]]-1),Tabelle17[[#This Row],[Spalte7]])</f>
        <v>Lastgang~Tagtyp_1_3+Temperatur+Globale_Strahlung+Monat</v>
      </c>
    </row>
    <row r="16" spans="1:11" x14ac:dyDescent="0.35">
      <c r="A16" t="s">
        <v>6</v>
      </c>
      <c r="B16" t="s">
        <v>19</v>
      </c>
      <c r="C16" t="s">
        <v>11</v>
      </c>
      <c r="D16" t="s">
        <v>12</v>
      </c>
      <c r="F16" t="s">
        <v>14</v>
      </c>
      <c r="I1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Lastgang~Tagtyp_1_5+Temperatur+Globale_Strahlung+Monat+</v>
      </c>
      <c r="J16">
        <f>LEN(Tabelle17[[#This Row],[Spalte7]])</f>
        <v>55</v>
      </c>
      <c r="K16" t="str">
        <f>IF(MID(Tabelle17[[#This Row],[Spalte7]],Tabelle17[[#This Row],[Spalte72]],1)="+",MID(Tabelle17[[#This Row],[Spalte7]],1,Tabelle17[[#This Row],[Spalte72]]-1),Tabelle17[[#This Row],[Spalte7]])</f>
        <v>Lastgang~Tagtyp_1_5+Temperatur+Globale_Strahlung+Monat</v>
      </c>
    </row>
    <row r="17" spans="1:11" x14ac:dyDescent="0.35">
      <c r="A17" t="s">
        <v>6</v>
      </c>
      <c r="B17" t="s">
        <v>20</v>
      </c>
      <c r="C17" t="s">
        <v>11</v>
      </c>
      <c r="D17" t="s">
        <v>12</v>
      </c>
      <c r="F17" t="s">
        <v>14</v>
      </c>
      <c r="I1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Lastgang~Tagtyp_1_7+Temperatur+Globale_Strahlung+Monat+</v>
      </c>
      <c r="J17">
        <f>LEN(Tabelle17[[#This Row],[Spalte7]])</f>
        <v>55</v>
      </c>
      <c r="K17" t="str">
        <f>IF(MID(Tabelle17[[#This Row],[Spalte7]],Tabelle17[[#This Row],[Spalte72]],1)="+",MID(Tabelle17[[#This Row],[Spalte7]],1,Tabelle17[[#This Row],[Spalte72]]-1),Tabelle17[[#This Row],[Spalte7]])</f>
        <v>Lastgang~Tagtyp_1_7+Temperatur+Globale_Strahlung+Monat</v>
      </c>
    </row>
    <row r="18" spans="1:11" x14ac:dyDescent="0.35">
      <c r="A18" t="s">
        <v>6</v>
      </c>
      <c r="B18" t="s">
        <v>17</v>
      </c>
      <c r="C18" t="s">
        <v>11</v>
      </c>
      <c r="F18" t="s">
        <v>14</v>
      </c>
      <c r="I1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Lastgang~Tagtyp_1_1+Temperatur+Monat+</v>
      </c>
      <c r="J18">
        <f>LEN(Tabelle17[[#This Row],[Spalte7]])</f>
        <v>37</v>
      </c>
      <c r="K18" t="str">
        <f>IF(MID(Tabelle17[[#This Row],[Spalte7]],Tabelle17[[#This Row],[Spalte72]],1)="+",MID(Tabelle17[[#This Row],[Spalte7]],1,Tabelle17[[#This Row],[Spalte72]]-1),Tabelle17[[#This Row],[Spalte7]])</f>
        <v>Lastgang~Tagtyp_1_1+Temperatur+Monat</v>
      </c>
    </row>
    <row r="19" spans="1:11" x14ac:dyDescent="0.35">
      <c r="A19" t="s">
        <v>6</v>
      </c>
      <c r="B19" t="s">
        <v>18</v>
      </c>
      <c r="C19" t="s">
        <v>11</v>
      </c>
      <c r="F19" t="s">
        <v>14</v>
      </c>
      <c r="I1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Lastgang~Tagtyp_1_3+Temperatur+Monat+</v>
      </c>
      <c r="J19">
        <f>LEN(Tabelle17[[#This Row],[Spalte7]])</f>
        <v>37</v>
      </c>
      <c r="K19" t="str">
        <f>IF(MID(Tabelle17[[#This Row],[Spalte7]],Tabelle17[[#This Row],[Spalte72]],1)="+",MID(Tabelle17[[#This Row],[Spalte7]],1,Tabelle17[[#This Row],[Spalte72]]-1),Tabelle17[[#This Row],[Spalte7]])</f>
        <v>Lastgang~Tagtyp_1_3+Temperatur+Monat</v>
      </c>
    </row>
    <row r="20" spans="1:11" x14ac:dyDescent="0.35">
      <c r="A20" t="s">
        <v>6</v>
      </c>
      <c r="B20" t="s">
        <v>19</v>
      </c>
      <c r="C20" t="s">
        <v>11</v>
      </c>
      <c r="F20" t="s">
        <v>14</v>
      </c>
      <c r="I2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Lastgang~Tagtyp_1_5+Temperatur+Monat+</v>
      </c>
      <c r="J20">
        <f>LEN(Tabelle17[[#This Row],[Spalte7]])</f>
        <v>37</v>
      </c>
      <c r="K20" t="str">
        <f>IF(MID(Tabelle17[[#This Row],[Spalte7]],Tabelle17[[#This Row],[Spalte72]],1)="+",MID(Tabelle17[[#This Row],[Spalte7]],1,Tabelle17[[#This Row],[Spalte72]]-1),Tabelle17[[#This Row],[Spalte7]])</f>
        <v>Lastgang~Tagtyp_1_5+Temperatur+Monat</v>
      </c>
    </row>
    <row r="21" spans="1:11" x14ac:dyDescent="0.35">
      <c r="A21" t="s">
        <v>6</v>
      </c>
      <c r="B21" t="s">
        <v>20</v>
      </c>
      <c r="C21" t="s">
        <v>11</v>
      </c>
      <c r="F21" t="s">
        <v>14</v>
      </c>
      <c r="I2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Lastgang~Tagtyp_1_7+Temperatur+Monat+</v>
      </c>
      <c r="J21">
        <f>LEN(Tabelle17[[#This Row],[Spalte7]])</f>
        <v>37</v>
      </c>
      <c r="K21" t="str">
        <f>IF(MID(Tabelle17[[#This Row],[Spalte7]],Tabelle17[[#This Row],[Spalte72]],1)="+",MID(Tabelle17[[#This Row],[Spalte7]],1,Tabelle17[[#This Row],[Spalte72]]-1),Tabelle17[[#This Row],[Spalte7]])</f>
        <v>Lastgang~Tagtyp_1_7+Temperatur+Monat</v>
      </c>
    </row>
    <row r="22" spans="1:11" x14ac:dyDescent="0.35">
      <c r="A22" t="s">
        <v>6</v>
      </c>
      <c r="B22" t="s">
        <v>17</v>
      </c>
      <c r="F22" t="s">
        <v>14</v>
      </c>
      <c r="I2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Lastgang~Tagtyp_1_1+Monat+</v>
      </c>
      <c r="J22">
        <f>LEN(Tabelle17[[#This Row],[Spalte7]])</f>
        <v>26</v>
      </c>
      <c r="K22" t="str">
        <f>IF(MID(Tabelle17[[#This Row],[Spalte7]],Tabelle17[[#This Row],[Spalte72]],1)="+",MID(Tabelle17[[#This Row],[Spalte7]],1,Tabelle17[[#This Row],[Spalte72]]-1),Tabelle17[[#This Row],[Spalte7]])</f>
        <v>Lastgang~Tagtyp_1_1+Monat</v>
      </c>
    </row>
    <row r="23" spans="1:11" x14ac:dyDescent="0.35">
      <c r="A23" t="s">
        <v>6</v>
      </c>
      <c r="B23" t="s">
        <v>18</v>
      </c>
      <c r="F23" t="s">
        <v>14</v>
      </c>
      <c r="I2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Lastgang~Tagtyp_1_3+Monat+</v>
      </c>
      <c r="J23">
        <f>LEN(Tabelle17[[#This Row],[Spalte7]])</f>
        <v>26</v>
      </c>
      <c r="K23" t="str">
        <f>IF(MID(Tabelle17[[#This Row],[Spalte7]],Tabelle17[[#This Row],[Spalte72]],1)="+",MID(Tabelle17[[#This Row],[Spalte7]],1,Tabelle17[[#This Row],[Spalte72]]-1),Tabelle17[[#This Row],[Spalte7]])</f>
        <v>Lastgang~Tagtyp_1_3+Monat</v>
      </c>
    </row>
    <row r="24" spans="1:11" x14ac:dyDescent="0.35">
      <c r="A24" t="s">
        <v>6</v>
      </c>
      <c r="B24" t="s">
        <v>19</v>
      </c>
      <c r="F24" t="s">
        <v>14</v>
      </c>
      <c r="I2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Lastgang~Tagtyp_1_5+Monat+</v>
      </c>
      <c r="J24">
        <f>LEN(Tabelle17[[#This Row],[Spalte7]])</f>
        <v>26</v>
      </c>
      <c r="K24" t="str">
        <f>IF(MID(Tabelle17[[#This Row],[Spalte7]],Tabelle17[[#This Row],[Spalte72]],1)="+",MID(Tabelle17[[#This Row],[Spalte7]],1,Tabelle17[[#This Row],[Spalte72]]-1),Tabelle17[[#This Row],[Spalte7]])</f>
        <v>Lastgang~Tagtyp_1_5+Monat</v>
      </c>
    </row>
    <row r="25" spans="1:11" x14ac:dyDescent="0.35">
      <c r="A25" t="s">
        <v>6</v>
      </c>
      <c r="B25" t="s">
        <v>20</v>
      </c>
      <c r="F25" t="s">
        <v>14</v>
      </c>
      <c r="I2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Lastgang~Tagtyp_1_7+Monat+</v>
      </c>
      <c r="J25">
        <f>LEN(Tabelle17[[#This Row],[Spalte7]])</f>
        <v>26</v>
      </c>
      <c r="K25" t="str">
        <f>IF(MID(Tabelle17[[#This Row],[Spalte7]],Tabelle17[[#This Row],[Spalte72]],1)="+",MID(Tabelle17[[#This Row],[Spalte7]],1,Tabelle17[[#This Row],[Spalte72]]-1),Tabelle17[[#This Row],[Spalte7]])</f>
        <v>Lastgang~Tagtyp_1_7+Monat</v>
      </c>
    </row>
    <row r="26" spans="1:11" x14ac:dyDescent="0.35">
      <c r="A26" t="s">
        <v>6</v>
      </c>
      <c r="B26" t="s">
        <v>17</v>
      </c>
      <c r="C26" t="s">
        <v>11</v>
      </c>
      <c r="D26" t="s">
        <v>12</v>
      </c>
      <c r="E26" t="s">
        <v>13</v>
      </c>
      <c r="G26" t="s">
        <v>15</v>
      </c>
      <c r="I2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Lastgang~Tagtyp_1_1+Temperatur+Globale_Strahlung+Betriebsruhe+Woche+</v>
      </c>
      <c r="J26">
        <f>LEN(Tabelle17[[#This Row],[Spalte7]])</f>
        <v>68</v>
      </c>
      <c r="K26" t="str">
        <f>IF(MID(Tabelle17[[#This Row],[Spalte7]],Tabelle17[[#This Row],[Spalte72]],1)="+",MID(Tabelle17[[#This Row],[Spalte7]],1,Tabelle17[[#This Row],[Spalte72]]-1),Tabelle17[[#This Row],[Spalte7]])</f>
        <v>Lastgang~Tagtyp_1_1+Temperatur+Globale_Strahlung+Betriebsruhe+Woche</v>
      </c>
    </row>
    <row r="27" spans="1:11" x14ac:dyDescent="0.35">
      <c r="A27" t="s">
        <v>6</v>
      </c>
      <c r="B27" t="s">
        <v>18</v>
      </c>
      <c r="C27" t="s">
        <v>11</v>
      </c>
      <c r="D27" t="s">
        <v>12</v>
      </c>
      <c r="E27" t="s">
        <v>13</v>
      </c>
      <c r="G27" t="s">
        <v>15</v>
      </c>
      <c r="I2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Lastgang~Tagtyp_1_3+Temperatur+Globale_Strahlung+Betriebsruhe+Woche+</v>
      </c>
      <c r="J27">
        <f>LEN(Tabelle17[[#This Row],[Spalte7]])</f>
        <v>68</v>
      </c>
      <c r="K27" t="str">
        <f>IF(MID(Tabelle17[[#This Row],[Spalte7]],Tabelle17[[#This Row],[Spalte72]],1)="+",MID(Tabelle17[[#This Row],[Spalte7]],1,Tabelle17[[#This Row],[Spalte72]]-1),Tabelle17[[#This Row],[Spalte7]])</f>
        <v>Lastgang~Tagtyp_1_3+Temperatur+Globale_Strahlung+Betriebsruhe+Woche</v>
      </c>
    </row>
    <row r="28" spans="1:11" x14ac:dyDescent="0.35">
      <c r="A28" t="s">
        <v>6</v>
      </c>
      <c r="B28" t="s">
        <v>19</v>
      </c>
      <c r="C28" t="s">
        <v>11</v>
      </c>
      <c r="D28" t="s">
        <v>12</v>
      </c>
      <c r="E28" t="s">
        <v>13</v>
      </c>
      <c r="G28" t="s">
        <v>15</v>
      </c>
      <c r="I2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Lastgang~Tagtyp_1_5+Temperatur+Globale_Strahlung+Betriebsruhe+Woche+</v>
      </c>
      <c r="J28">
        <f>LEN(Tabelle17[[#This Row],[Spalte7]])</f>
        <v>68</v>
      </c>
      <c r="K28" t="str">
        <f>IF(MID(Tabelle17[[#This Row],[Spalte7]],Tabelle17[[#This Row],[Spalte72]],1)="+",MID(Tabelle17[[#This Row],[Spalte7]],1,Tabelle17[[#This Row],[Spalte72]]-1),Tabelle17[[#This Row],[Spalte7]])</f>
        <v>Lastgang~Tagtyp_1_5+Temperatur+Globale_Strahlung+Betriebsruhe+Woche</v>
      </c>
    </row>
    <row r="29" spans="1:11" x14ac:dyDescent="0.35">
      <c r="A29" t="s">
        <v>6</v>
      </c>
      <c r="B29" t="s">
        <v>20</v>
      </c>
      <c r="C29" t="s">
        <v>11</v>
      </c>
      <c r="D29" t="s">
        <v>12</v>
      </c>
      <c r="E29" t="s">
        <v>13</v>
      </c>
      <c r="G29" t="s">
        <v>15</v>
      </c>
      <c r="I2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Lastgang~Tagtyp_1_7+Temperatur+Globale_Strahlung+Betriebsruhe+Woche+</v>
      </c>
      <c r="J29">
        <f>LEN(Tabelle17[[#This Row],[Spalte7]])</f>
        <v>68</v>
      </c>
      <c r="K29" t="str">
        <f>IF(MID(Tabelle17[[#This Row],[Spalte7]],Tabelle17[[#This Row],[Spalte72]],1)="+",MID(Tabelle17[[#This Row],[Spalte7]],1,Tabelle17[[#This Row],[Spalte72]]-1),Tabelle17[[#This Row],[Spalte7]])</f>
        <v>Lastgang~Tagtyp_1_7+Temperatur+Globale_Strahlung+Betriebsruhe+Woche</v>
      </c>
    </row>
    <row r="30" spans="1:11" x14ac:dyDescent="0.35">
      <c r="A30" t="s">
        <v>6</v>
      </c>
      <c r="B30" t="s">
        <v>17</v>
      </c>
      <c r="C30" t="s">
        <v>11</v>
      </c>
      <c r="E30" t="s">
        <v>13</v>
      </c>
      <c r="G30" t="s">
        <v>15</v>
      </c>
      <c r="I3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Lastgang~Tagtyp_1_1+Temperatur+Betriebsruhe+Woche+</v>
      </c>
      <c r="J30">
        <f>LEN(Tabelle17[[#This Row],[Spalte7]])</f>
        <v>50</v>
      </c>
      <c r="K30" t="str">
        <f>IF(MID(Tabelle17[[#This Row],[Spalte7]],Tabelle17[[#This Row],[Spalte72]],1)="+",MID(Tabelle17[[#This Row],[Spalte7]],1,Tabelle17[[#This Row],[Spalte72]]-1),Tabelle17[[#This Row],[Spalte7]])</f>
        <v>Lastgang~Tagtyp_1_1+Temperatur+Betriebsruhe+Woche</v>
      </c>
    </row>
    <row r="31" spans="1:11" x14ac:dyDescent="0.35">
      <c r="A31" t="s">
        <v>6</v>
      </c>
      <c r="B31" t="s">
        <v>18</v>
      </c>
      <c r="C31" t="s">
        <v>11</v>
      </c>
      <c r="E31" t="s">
        <v>13</v>
      </c>
      <c r="G31" t="s">
        <v>15</v>
      </c>
      <c r="I3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Lastgang~Tagtyp_1_3+Temperatur+Betriebsruhe+Woche+</v>
      </c>
      <c r="J31">
        <f>LEN(Tabelle17[[#This Row],[Spalte7]])</f>
        <v>50</v>
      </c>
      <c r="K31" t="str">
        <f>IF(MID(Tabelle17[[#This Row],[Spalte7]],Tabelle17[[#This Row],[Spalte72]],1)="+",MID(Tabelle17[[#This Row],[Spalte7]],1,Tabelle17[[#This Row],[Spalte72]]-1),Tabelle17[[#This Row],[Spalte7]])</f>
        <v>Lastgang~Tagtyp_1_3+Temperatur+Betriebsruhe+Woche</v>
      </c>
    </row>
    <row r="32" spans="1:11" x14ac:dyDescent="0.35">
      <c r="A32" t="s">
        <v>6</v>
      </c>
      <c r="B32" t="s">
        <v>19</v>
      </c>
      <c r="C32" t="s">
        <v>11</v>
      </c>
      <c r="E32" t="s">
        <v>13</v>
      </c>
      <c r="G32" t="s">
        <v>15</v>
      </c>
      <c r="I3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Lastgang~Tagtyp_1_5+Temperatur+Betriebsruhe+Woche+</v>
      </c>
      <c r="J32">
        <f>LEN(Tabelle17[[#This Row],[Spalte7]])</f>
        <v>50</v>
      </c>
      <c r="K32" t="str">
        <f>IF(MID(Tabelle17[[#This Row],[Spalte7]],Tabelle17[[#This Row],[Spalte72]],1)="+",MID(Tabelle17[[#This Row],[Spalte7]],1,Tabelle17[[#This Row],[Spalte72]]-1),Tabelle17[[#This Row],[Spalte7]])</f>
        <v>Lastgang~Tagtyp_1_5+Temperatur+Betriebsruhe+Woche</v>
      </c>
    </row>
    <row r="33" spans="1:11" x14ac:dyDescent="0.35">
      <c r="A33" t="s">
        <v>6</v>
      </c>
      <c r="B33" t="s">
        <v>20</v>
      </c>
      <c r="C33" t="s">
        <v>11</v>
      </c>
      <c r="E33" t="s">
        <v>13</v>
      </c>
      <c r="G33" t="s">
        <v>15</v>
      </c>
      <c r="I3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Lastgang~Tagtyp_1_7+Temperatur+Betriebsruhe+Woche+</v>
      </c>
      <c r="J33">
        <f>LEN(Tabelle17[[#This Row],[Spalte7]])</f>
        <v>50</v>
      </c>
      <c r="K33" t="str">
        <f>IF(MID(Tabelle17[[#This Row],[Spalte7]],Tabelle17[[#This Row],[Spalte72]],1)="+",MID(Tabelle17[[#This Row],[Spalte7]],1,Tabelle17[[#This Row],[Spalte72]]-1),Tabelle17[[#This Row],[Spalte7]])</f>
        <v>Lastgang~Tagtyp_1_7+Temperatur+Betriebsruhe+Woche</v>
      </c>
    </row>
    <row r="34" spans="1:11" x14ac:dyDescent="0.35">
      <c r="A34" t="s">
        <v>6</v>
      </c>
      <c r="B34" t="s">
        <v>17</v>
      </c>
      <c r="E34" t="s">
        <v>13</v>
      </c>
      <c r="G34" t="s">
        <v>15</v>
      </c>
      <c r="I3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Lastgang~Tagtyp_1_1+Betriebsruhe+Woche+</v>
      </c>
      <c r="J34">
        <f>LEN(Tabelle17[[#This Row],[Spalte7]])</f>
        <v>39</v>
      </c>
      <c r="K34" t="str">
        <f>IF(MID(Tabelle17[[#This Row],[Spalte7]],Tabelle17[[#This Row],[Spalte72]],1)="+",MID(Tabelle17[[#This Row],[Spalte7]],1,Tabelle17[[#This Row],[Spalte72]]-1),Tabelle17[[#This Row],[Spalte7]])</f>
        <v>Lastgang~Tagtyp_1_1+Betriebsruhe+Woche</v>
      </c>
    </row>
    <row r="35" spans="1:11" x14ac:dyDescent="0.35">
      <c r="A35" t="s">
        <v>6</v>
      </c>
      <c r="B35" t="s">
        <v>18</v>
      </c>
      <c r="E35" t="s">
        <v>13</v>
      </c>
      <c r="G35" t="s">
        <v>15</v>
      </c>
      <c r="I3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Lastgang~Tagtyp_1_3+Betriebsruhe+Woche+</v>
      </c>
      <c r="J35">
        <f>LEN(Tabelle17[[#This Row],[Spalte7]])</f>
        <v>39</v>
      </c>
      <c r="K35" t="str">
        <f>IF(MID(Tabelle17[[#This Row],[Spalte7]],Tabelle17[[#This Row],[Spalte72]],1)="+",MID(Tabelle17[[#This Row],[Spalte7]],1,Tabelle17[[#This Row],[Spalte72]]-1),Tabelle17[[#This Row],[Spalte7]])</f>
        <v>Lastgang~Tagtyp_1_3+Betriebsruhe+Woche</v>
      </c>
    </row>
    <row r="36" spans="1:11" x14ac:dyDescent="0.35">
      <c r="A36" t="s">
        <v>6</v>
      </c>
      <c r="B36" t="s">
        <v>19</v>
      </c>
      <c r="E36" t="s">
        <v>13</v>
      </c>
      <c r="G36" t="s">
        <v>15</v>
      </c>
      <c r="I3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Lastgang~Tagtyp_1_5+Betriebsruhe+Woche+</v>
      </c>
      <c r="J36">
        <f>LEN(Tabelle17[[#This Row],[Spalte7]])</f>
        <v>39</v>
      </c>
      <c r="K36" t="str">
        <f>IF(MID(Tabelle17[[#This Row],[Spalte7]],Tabelle17[[#This Row],[Spalte72]],1)="+",MID(Tabelle17[[#This Row],[Spalte7]],1,Tabelle17[[#This Row],[Spalte72]]-1),Tabelle17[[#This Row],[Spalte7]])</f>
        <v>Lastgang~Tagtyp_1_5+Betriebsruhe+Woche</v>
      </c>
    </row>
    <row r="37" spans="1:11" x14ac:dyDescent="0.35">
      <c r="A37" t="s">
        <v>6</v>
      </c>
      <c r="B37" t="s">
        <v>20</v>
      </c>
      <c r="E37" t="s">
        <v>13</v>
      </c>
      <c r="G37" t="s">
        <v>15</v>
      </c>
      <c r="I3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Lastgang~Tagtyp_1_7+Betriebsruhe+Woche+</v>
      </c>
      <c r="J37">
        <f>LEN(Tabelle17[[#This Row],[Spalte7]])</f>
        <v>39</v>
      </c>
      <c r="K37" t="str">
        <f>IF(MID(Tabelle17[[#This Row],[Spalte7]],Tabelle17[[#This Row],[Spalte72]],1)="+",MID(Tabelle17[[#This Row],[Spalte7]],1,Tabelle17[[#This Row],[Spalte72]]-1),Tabelle17[[#This Row],[Spalte7]])</f>
        <v>Lastgang~Tagtyp_1_7+Betriebsruhe+Woche</v>
      </c>
    </row>
    <row r="38" spans="1:11" x14ac:dyDescent="0.35">
      <c r="A38" t="s">
        <v>6</v>
      </c>
      <c r="B38" t="s">
        <v>17</v>
      </c>
      <c r="C38" t="s">
        <v>11</v>
      </c>
      <c r="D38" t="s">
        <v>12</v>
      </c>
      <c r="G38" t="s">
        <v>15</v>
      </c>
      <c r="I3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Lastgang~Tagtyp_1_1+Temperatur+Globale_Strahlung+Woche+</v>
      </c>
      <c r="J38">
        <f>LEN(Tabelle17[[#This Row],[Spalte7]])</f>
        <v>55</v>
      </c>
      <c r="K38" t="str">
        <f>IF(MID(Tabelle17[[#This Row],[Spalte7]],Tabelle17[[#This Row],[Spalte72]],1)="+",MID(Tabelle17[[#This Row],[Spalte7]],1,Tabelle17[[#This Row],[Spalte72]]-1),Tabelle17[[#This Row],[Spalte7]])</f>
        <v>Lastgang~Tagtyp_1_1+Temperatur+Globale_Strahlung+Woche</v>
      </c>
    </row>
    <row r="39" spans="1:11" x14ac:dyDescent="0.35">
      <c r="A39" t="s">
        <v>6</v>
      </c>
      <c r="B39" t="s">
        <v>18</v>
      </c>
      <c r="C39" t="s">
        <v>11</v>
      </c>
      <c r="D39" t="s">
        <v>12</v>
      </c>
      <c r="G39" t="s">
        <v>15</v>
      </c>
      <c r="I3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Lastgang~Tagtyp_1_3+Temperatur+Globale_Strahlung+Woche+</v>
      </c>
      <c r="J39">
        <f>LEN(Tabelle17[[#This Row],[Spalte7]])</f>
        <v>55</v>
      </c>
      <c r="K39" t="str">
        <f>IF(MID(Tabelle17[[#This Row],[Spalte7]],Tabelle17[[#This Row],[Spalte72]],1)="+",MID(Tabelle17[[#This Row],[Spalte7]],1,Tabelle17[[#This Row],[Spalte72]]-1),Tabelle17[[#This Row],[Spalte7]])</f>
        <v>Lastgang~Tagtyp_1_3+Temperatur+Globale_Strahlung+Woche</v>
      </c>
    </row>
    <row r="40" spans="1:11" x14ac:dyDescent="0.35">
      <c r="A40" t="s">
        <v>6</v>
      </c>
      <c r="B40" t="s">
        <v>19</v>
      </c>
      <c r="C40" t="s">
        <v>11</v>
      </c>
      <c r="D40" t="s">
        <v>12</v>
      </c>
      <c r="G40" t="s">
        <v>15</v>
      </c>
      <c r="I4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Lastgang~Tagtyp_1_5+Temperatur+Globale_Strahlung+Woche+</v>
      </c>
      <c r="J40">
        <f>LEN(Tabelle17[[#This Row],[Spalte7]])</f>
        <v>55</v>
      </c>
      <c r="K40" t="str">
        <f>IF(MID(Tabelle17[[#This Row],[Spalte7]],Tabelle17[[#This Row],[Spalte72]],1)="+",MID(Tabelle17[[#This Row],[Spalte7]],1,Tabelle17[[#This Row],[Spalte72]]-1),Tabelle17[[#This Row],[Spalte7]])</f>
        <v>Lastgang~Tagtyp_1_5+Temperatur+Globale_Strahlung+Woche</v>
      </c>
    </row>
    <row r="41" spans="1:11" x14ac:dyDescent="0.35">
      <c r="A41" t="s">
        <v>6</v>
      </c>
      <c r="B41" t="s">
        <v>20</v>
      </c>
      <c r="C41" t="s">
        <v>11</v>
      </c>
      <c r="D41" t="s">
        <v>12</v>
      </c>
      <c r="G41" t="s">
        <v>15</v>
      </c>
      <c r="I4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Lastgang~Tagtyp_1_7+Temperatur+Globale_Strahlung+Woche+</v>
      </c>
      <c r="J41">
        <f>LEN(Tabelle17[[#This Row],[Spalte7]])</f>
        <v>55</v>
      </c>
      <c r="K41" t="str">
        <f>IF(MID(Tabelle17[[#This Row],[Spalte7]],Tabelle17[[#This Row],[Spalte72]],1)="+",MID(Tabelle17[[#This Row],[Spalte7]],1,Tabelle17[[#This Row],[Spalte72]]-1),Tabelle17[[#This Row],[Spalte7]])</f>
        <v>Lastgang~Tagtyp_1_7+Temperatur+Globale_Strahlung+Woche</v>
      </c>
    </row>
    <row r="42" spans="1:11" x14ac:dyDescent="0.35">
      <c r="A42" t="s">
        <v>6</v>
      </c>
      <c r="B42" t="s">
        <v>17</v>
      </c>
      <c r="C42" t="s">
        <v>11</v>
      </c>
      <c r="G42" t="s">
        <v>15</v>
      </c>
      <c r="I4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Lastgang~Tagtyp_1_1+Temperatur+Woche+</v>
      </c>
      <c r="J42">
        <f>LEN(Tabelle17[[#This Row],[Spalte7]])</f>
        <v>37</v>
      </c>
      <c r="K42" t="str">
        <f>IF(MID(Tabelle17[[#This Row],[Spalte7]],Tabelle17[[#This Row],[Spalte72]],1)="+",MID(Tabelle17[[#This Row],[Spalte7]],1,Tabelle17[[#This Row],[Spalte72]]-1),Tabelle17[[#This Row],[Spalte7]])</f>
        <v>Lastgang~Tagtyp_1_1+Temperatur+Woche</v>
      </c>
    </row>
    <row r="43" spans="1:11" x14ac:dyDescent="0.35">
      <c r="A43" t="s">
        <v>6</v>
      </c>
      <c r="B43" t="s">
        <v>18</v>
      </c>
      <c r="C43" t="s">
        <v>11</v>
      </c>
      <c r="G43" t="s">
        <v>15</v>
      </c>
      <c r="I4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Lastgang~Tagtyp_1_3+Temperatur+Woche+</v>
      </c>
      <c r="J43">
        <f>LEN(Tabelle17[[#This Row],[Spalte7]])</f>
        <v>37</v>
      </c>
      <c r="K43" t="str">
        <f>IF(MID(Tabelle17[[#This Row],[Spalte7]],Tabelle17[[#This Row],[Spalte72]],1)="+",MID(Tabelle17[[#This Row],[Spalte7]],1,Tabelle17[[#This Row],[Spalte72]]-1),Tabelle17[[#This Row],[Spalte7]])</f>
        <v>Lastgang~Tagtyp_1_3+Temperatur+Woche</v>
      </c>
    </row>
    <row r="44" spans="1:11" x14ac:dyDescent="0.35">
      <c r="A44" t="s">
        <v>6</v>
      </c>
      <c r="B44" t="s">
        <v>19</v>
      </c>
      <c r="C44" t="s">
        <v>11</v>
      </c>
      <c r="G44" t="s">
        <v>15</v>
      </c>
      <c r="I4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Lastgang~Tagtyp_1_5+Temperatur+Woche+</v>
      </c>
      <c r="J44">
        <f>LEN(Tabelle17[[#This Row],[Spalte7]])</f>
        <v>37</v>
      </c>
      <c r="K44" t="str">
        <f>IF(MID(Tabelle17[[#This Row],[Spalte7]],Tabelle17[[#This Row],[Spalte72]],1)="+",MID(Tabelle17[[#This Row],[Spalte7]],1,Tabelle17[[#This Row],[Spalte72]]-1),Tabelle17[[#This Row],[Spalte7]])</f>
        <v>Lastgang~Tagtyp_1_5+Temperatur+Woche</v>
      </c>
    </row>
    <row r="45" spans="1:11" x14ac:dyDescent="0.35">
      <c r="A45" t="s">
        <v>6</v>
      </c>
      <c r="B45" t="s">
        <v>20</v>
      </c>
      <c r="C45" t="s">
        <v>11</v>
      </c>
      <c r="G45" t="s">
        <v>15</v>
      </c>
      <c r="I4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Lastgang~Tagtyp_1_7+Temperatur+Woche+</v>
      </c>
      <c r="J45">
        <f>LEN(Tabelle17[[#This Row],[Spalte7]])</f>
        <v>37</v>
      </c>
      <c r="K45" t="str">
        <f>IF(MID(Tabelle17[[#This Row],[Spalte7]],Tabelle17[[#This Row],[Spalte72]],1)="+",MID(Tabelle17[[#This Row],[Spalte7]],1,Tabelle17[[#This Row],[Spalte72]]-1),Tabelle17[[#This Row],[Spalte7]])</f>
        <v>Lastgang~Tagtyp_1_7+Temperatur+Woche</v>
      </c>
    </row>
    <row r="46" spans="1:11" x14ac:dyDescent="0.35">
      <c r="A46" t="s">
        <v>6</v>
      </c>
      <c r="B46" t="s">
        <v>17</v>
      </c>
      <c r="G46" t="s">
        <v>15</v>
      </c>
      <c r="I4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Lastgang~Tagtyp_1_1+Woche+</v>
      </c>
      <c r="J46">
        <f>LEN(Tabelle17[[#This Row],[Spalte7]])</f>
        <v>26</v>
      </c>
      <c r="K46" t="str">
        <f>IF(MID(Tabelle17[[#This Row],[Spalte7]],Tabelle17[[#This Row],[Spalte72]],1)="+",MID(Tabelle17[[#This Row],[Spalte7]],1,Tabelle17[[#This Row],[Spalte72]]-1),Tabelle17[[#This Row],[Spalte7]])</f>
        <v>Lastgang~Tagtyp_1_1+Woche</v>
      </c>
    </row>
    <row r="47" spans="1:11" x14ac:dyDescent="0.35">
      <c r="A47" t="s">
        <v>6</v>
      </c>
      <c r="B47" t="s">
        <v>18</v>
      </c>
      <c r="G47" t="s">
        <v>15</v>
      </c>
      <c r="I4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Lastgang~Tagtyp_1_3+Woche+</v>
      </c>
      <c r="J47">
        <f>LEN(Tabelle17[[#This Row],[Spalte7]])</f>
        <v>26</v>
      </c>
      <c r="K47" t="str">
        <f>IF(MID(Tabelle17[[#This Row],[Spalte7]],Tabelle17[[#This Row],[Spalte72]],1)="+",MID(Tabelle17[[#This Row],[Spalte7]],1,Tabelle17[[#This Row],[Spalte72]]-1),Tabelle17[[#This Row],[Spalte7]])</f>
        <v>Lastgang~Tagtyp_1_3+Woche</v>
      </c>
    </row>
    <row r="48" spans="1:11" x14ac:dyDescent="0.35">
      <c r="A48" t="s">
        <v>6</v>
      </c>
      <c r="B48" t="s">
        <v>19</v>
      </c>
      <c r="G48" t="s">
        <v>15</v>
      </c>
      <c r="I4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Lastgang~Tagtyp_1_5+Woche+</v>
      </c>
      <c r="J48">
        <f>LEN(Tabelle17[[#This Row],[Spalte7]])</f>
        <v>26</v>
      </c>
      <c r="K48" t="str">
        <f>IF(MID(Tabelle17[[#This Row],[Spalte7]],Tabelle17[[#This Row],[Spalte72]],1)="+",MID(Tabelle17[[#This Row],[Spalte7]],1,Tabelle17[[#This Row],[Spalte72]]-1),Tabelle17[[#This Row],[Spalte7]])</f>
        <v>Lastgang~Tagtyp_1_5+Woche</v>
      </c>
    </row>
    <row r="49" spans="1:11" x14ac:dyDescent="0.35">
      <c r="A49" t="s">
        <v>6</v>
      </c>
      <c r="B49" t="s">
        <v>20</v>
      </c>
      <c r="G49" t="s">
        <v>15</v>
      </c>
      <c r="I4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Lastgang~Tagtyp_1_7+Woche+</v>
      </c>
      <c r="J49">
        <f>LEN(Tabelle17[[#This Row],[Spalte7]])</f>
        <v>26</v>
      </c>
      <c r="K49" t="str">
        <f>IF(MID(Tabelle17[[#This Row],[Spalte7]],Tabelle17[[#This Row],[Spalte72]],1)="+",MID(Tabelle17[[#This Row],[Spalte7]],1,Tabelle17[[#This Row],[Spalte72]]-1),Tabelle17[[#This Row],[Spalte7]])</f>
        <v>Lastgang~Tagtyp_1_7+Woche</v>
      </c>
    </row>
    <row r="50" spans="1:11" x14ac:dyDescent="0.35">
      <c r="A50" t="s">
        <v>6</v>
      </c>
      <c r="B50" t="s">
        <v>17</v>
      </c>
      <c r="C50" t="s">
        <v>11</v>
      </c>
      <c r="D50" t="s">
        <v>12</v>
      </c>
      <c r="E50" t="s">
        <v>13</v>
      </c>
      <c r="H50" t="s">
        <v>16</v>
      </c>
      <c r="I5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Lastgang~Tagtyp_1_1+Temperatur+Globale_Strahlung+Betriebsruhe+Tag+</v>
      </c>
      <c r="J50">
        <f>LEN(Tabelle17[[#This Row],[Spalte7]])</f>
        <v>66</v>
      </c>
      <c r="K50" t="str">
        <f>IF(MID(Tabelle17[[#This Row],[Spalte7]],Tabelle17[[#This Row],[Spalte72]],1)="+",MID(Tabelle17[[#This Row],[Spalte7]],1,Tabelle17[[#This Row],[Spalte72]]-1),Tabelle17[[#This Row],[Spalte7]])</f>
        <v>Lastgang~Tagtyp_1_1+Temperatur+Globale_Strahlung+Betriebsruhe+Tag</v>
      </c>
    </row>
    <row r="51" spans="1:11" x14ac:dyDescent="0.35">
      <c r="A51" t="s">
        <v>6</v>
      </c>
      <c r="B51" t="s">
        <v>18</v>
      </c>
      <c r="C51" t="s">
        <v>11</v>
      </c>
      <c r="D51" t="s">
        <v>12</v>
      </c>
      <c r="E51" t="s">
        <v>13</v>
      </c>
      <c r="H51" t="s">
        <v>16</v>
      </c>
      <c r="I5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Lastgang~Tagtyp_1_3+Temperatur+Globale_Strahlung+Betriebsruhe+Tag+</v>
      </c>
      <c r="J51">
        <f>LEN(Tabelle17[[#This Row],[Spalte7]])</f>
        <v>66</v>
      </c>
      <c r="K51" t="str">
        <f>IF(MID(Tabelle17[[#This Row],[Spalte7]],Tabelle17[[#This Row],[Spalte72]],1)="+",MID(Tabelle17[[#This Row],[Spalte7]],1,Tabelle17[[#This Row],[Spalte72]]-1),Tabelle17[[#This Row],[Spalte7]])</f>
        <v>Lastgang~Tagtyp_1_3+Temperatur+Globale_Strahlung+Betriebsruhe+Tag</v>
      </c>
    </row>
    <row r="52" spans="1:11" x14ac:dyDescent="0.35">
      <c r="A52" t="s">
        <v>6</v>
      </c>
      <c r="B52" t="s">
        <v>19</v>
      </c>
      <c r="C52" t="s">
        <v>11</v>
      </c>
      <c r="D52" t="s">
        <v>12</v>
      </c>
      <c r="E52" t="s">
        <v>13</v>
      </c>
      <c r="H52" t="s">
        <v>16</v>
      </c>
      <c r="I5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Lastgang~Tagtyp_1_5+Temperatur+Globale_Strahlung+Betriebsruhe+Tag+</v>
      </c>
      <c r="J52">
        <f>LEN(Tabelle17[[#This Row],[Spalte7]])</f>
        <v>66</v>
      </c>
      <c r="K52" t="str">
        <f>IF(MID(Tabelle17[[#This Row],[Spalte7]],Tabelle17[[#This Row],[Spalte72]],1)="+",MID(Tabelle17[[#This Row],[Spalte7]],1,Tabelle17[[#This Row],[Spalte72]]-1),Tabelle17[[#This Row],[Spalte7]])</f>
        <v>Lastgang~Tagtyp_1_5+Temperatur+Globale_Strahlung+Betriebsruhe+Tag</v>
      </c>
    </row>
    <row r="53" spans="1:11" x14ac:dyDescent="0.35">
      <c r="A53" t="s">
        <v>6</v>
      </c>
      <c r="B53" t="s">
        <v>20</v>
      </c>
      <c r="C53" t="s">
        <v>11</v>
      </c>
      <c r="D53" t="s">
        <v>12</v>
      </c>
      <c r="E53" t="s">
        <v>13</v>
      </c>
      <c r="H53" t="s">
        <v>16</v>
      </c>
      <c r="I5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Lastgang~Tagtyp_1_7+Temperatur+Globale_Strahlung+Betriebsruhe+Tag+</v>
      </c>
      <c r="J53">
        <f>LEN(Tabelle17[[#This Row],[Spalte7]])</f>
        <v>66</v>
      </c>
      <c r="K53" t="str">
        <f>IF(MID(Tabelle17[[#This Row],[Spalte7]],Tabelle17[[#This Row],[Spalte72]],1)="+",MID(Tabelle17[[#This Row],[Spalte7]],1,Tabelle17[[#This Row],[Spalte72]]-1),Tabelle17[[#This Row],[Spalte7]])</f>
        <v>Lastgang~Tagtyp_1_7+Temperatur+Globale_Strahlung+Betriebsruhe+Tag</v>
      </c>
    </row>
    <row r="54" spans="1:11" x14ac:dyDescent="0.35">
      <c r="A54" t="s">
        <v>6</v>
      </c>
      <c r="B54" t="s">
        <v>17</v>
      </c>
      <c r="C54" t="s">
        <v>11</v>
      </c>
      <c r="E54" t="s">
        <v>13</v>
      </c>
      <c r="H54" t="s">
        <v>16</v>
      </c>
      <c r="I5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Lastgang~Tagtyp_1_1+Temperatur+Betriebsruhe+Tag+</v>
      </c>
      <c r="J54">
        <f>LEN(Tabelle17[[#This Row],[Spalte7]])</f>
        <v>48</v>
      </c>
      <c r="K54" t="str">
        <f>IF(MID(Tabelle17[[#This Row],[Spalte7]],Tabelle17[[#This Row],[Spalte72]],1)="+",MID(Tabelle17[[#This Row],[Spalte7]],1,Tabelle17[[#This Row],[Spalte72]]-1),Tabelle17[[#This Row],[Spalte7]])</f>
        <v>Lastgang~Tagtyp_1_1+Temperatur+Betriebsruhe+Tag</v>
      </c>
    </row>
    <row r="55" spans="1:11" x14ac:dyDescent="0.35">
      <c r="A55" t="s">
        <v>6</v>
      </c>
      <c r="B55" t="s">
        <v>18</v>
      </c>
      <c r="C55" t="s">
        <v>11</v>
      </c>
      <c r="E55" t="s">
        <v>13</v>
      </c>
      <c r="H55" t="s">
        <v>16</v>
      </c>
      <c r="I5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Lastgang~Tagtyp_1_3+Temperatur+Betriebsruhe+Tag+</v>
      </c>
      <c r="J55">
        <f>LEN(Tabelle17[[#This Row],[Spalte7]])</f>
        <v>48</v>
      </c>
      <c r="K55" t="str">
        <f>IF(MID(Tabelle17[[#This Row],[Spalte7]],Tabelle17[[#This Row],[Spalte72]],1)="+",MID(Tabelle17[[#This Row],[Spalte7]],1,Tabelle17[[#This Row],[Spalte72]]-1),Tabelle17[[#This Row],[Spalte7]])</f>
        <v>Lastgang~Tagtyp_1_3+Temperatur+Betriebsruhe+Tag</v>
      </c>
    </row>
    <row r="56" spans="1:11" x14ac:dyDescent="0.35">
      <c r="A56" t="s">
        <v>6</v>
      </c>
      <c r="B56" t="s">
        <v>19</v>
      </c>
      <c r="C56" t="s">
        <v>11</v>
      </c>
      <c r="E56" t="s">
        <v>13</v>
      </c>
      <c r="H56" t="s">
        <v>16</v>
      </c>
      <c r="I5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Lastgang~Tagtyp_1_5+Temperatur+Betriebsruhe+Tag+</v>
      </c>
      <c r="J56">
        <f>LEN(Tabelle17[[#This Row],[Spalte7]])</f>
        <v>48</v>
      </c>
      <c r="K56" t="str">
        <f>IF(MID(Tabelle17[[#This Row],[Spalte7]],Tabelle17[[#This Row],[Spalte72]],1)="+",MID(Tabelle17[[#This Row],[Spalte7]],1,Tabelle17[[#This Row],[Spalte72]]-1),Tabelle17[[#This Row],[Spalte7]])</f>
        <v>Lastgang~Tagtyp_1_5+Temperatur+Betriebsruhe+Tag</v>
      </c>
    </row>
    <row r="57" spans="1:11" x14ac:dyDescent="0.35">
      <c r="A57" t="s">
        <v>6</v>
      </c>
      <c r="B57" t="s">
        <v>20</v>
      </c>
      <c r="C57" t="s">
        <v>11</v>
      </c>
      <c r="E57" t="s">
        <v>13</v>
      </c>
      <c r="H57" t="s">
        <v>16</v>
      </c>
      <c r="I5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Lastgang~Tagtyp_1_7+Temperatur+Betriebsruhe+Tag+</v>
      </c>
      <c r="J57">
        <f>LEN(Tabelle17[[#This Row],[Spalte7]])</f>
        <v>48</v>
      </c>
      <c r="K57" t="str">
        <f>IF(MID(Tabelle17[[#This Row],[Spalte7]],Tabelle17[[#This Row],[Spalte72]],1)="+",MID(Tabelle17[[#This Row],[Spalte7]],1,Tabelle17[[#This Row],[Spalte72]]-1),Tabelle17[[#This Row],[Spalte7]])</f>
        <v>Lastgang~Tagtyp_1_7+Temperatur+Betriebsruhe+Tag</v>
      </c>
    </row>
    <row r="58" spans="1:11" x14ac:dyDescent="0.35">
      <c r="A58" t="s">
        <v>6</v>
      </c>
      <c r="B58" t="s">
        <v>17</v>
      </c>
      <c r="E58" t="s">
        <v>13</v>
      </c>
      <c r="H58" t="s">
        <v>16</v>
      </c>
      <c r="I5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Lastgang~Tagtyp_1_1+Betriebsruhe+Tag+</v>
      </c>
      <c r="J58">
        <f>LEN(Tabelle17[[#This Row],[Spalte7]])</f>
        <v>37</v>
      </c>
      <c r="K58" t="str">
        <f>IF(MID(Tabelle17[[#This Row],[Spalte7]],Tabelle17[[#This Row],[Spalte72]],1)="+",MID(Tabelle17[[#This Row],[Spalte7]],1,Tabelle17[[#This Row],[Spalte72]]-1),Tabelle17[[#This Row],[Spalte7]])</f>
        <v>Lastgang~Tagtyp_1_1+Betriebsruhe+Tag</v>
      </c>
    </row>
    <row r="59" spans="1:11" x14ac:dyDescent="0.35">
      <c r="A59" t="s">
        <v>6</v>
      </c>
      <c r="B59" t="s">
        <v>18</v>
      </c>
      <c r="E59" t="s">
        <v>13</v>
      </c>
      <c r="H59" t="s">
        <v>16</v>
      </c>
      <c r="I5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Lastgang~Tagtyp_1_3+Betriebsruhe+Tag+</v>
      </c>
      <c r="J59">
        <f>LEN(Tabelle17[[#This Row],[Spalte7]])</f>
        <v>37</v>
      </c>
      <c r="K59" t="str">
        <f>IF(MID(Tabelle17[[#This Row],[Spalte7]],Tabelle17[[#This Row],[Spalte72]],1)="+",MID(Tabelle17[[#This Row],[Spalte7]],1,Tabelle17[[#This Row],[Spalte72]]-1),Tabelle17[[#This Row],[Spalte7]])</f>
        <v>Lastgang~Tagtyp_1_3+Betriebsruhe+Tag</v>
      </c>
    </row>
    <row r="60" spans="1:11" x14ac:dyDescent="0.35">
      <c r="A60" t="s">
        <v>6</v>
      </c>
      <c r="B60" t="s">
        <v>19</v>
      </c>
      <c r="E60" t="s">
        <v>13</v>
      </c>
      <c r="H60" t="s">
        <v>16</v>
      </c>
      <c r="I6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Lastgang~Tagtyp_1_5+Betriebsruhe+Tag+</v>
      </c>
      <c r="J60">
        <f>LEN(Tabelle17[[#This Row],[Spalte7]])</f>
        <v>37</v>
      </c>
      <c r="K60" t="str">
        <f>IF(MID(Tabelle17[[#This Row],[Spalte7]],Tabelle17[[#This Row],[Spalte72]],1)="+",MID(Tabelle17[[#This Row],[Spalte7]],1,Tabelle17[[#This Row],[Spalte72]]-1),Tabelle17[[#This Row],[Spalte7]])</f>
        <v>Lastgang~Tagtyp_1_5+Betriebsruhe+Tag</v>
      </c>
    </row>
    <row r="61" spans="1:11" x14ac:dyDescent="0.35">
      <c r="A61" t="s">
        <v>6</v>
      </c>
      <c r="B61" t="s">
        <v>20</v>
      </c>
      <c r="E61" t="s">
        <v>13</v>
      </c>
      <c r="H61" t="s">
        <v>16</v>
      </c>
      <c r="I6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Lastgang~Tagtyp_1_7+Betriebsruhe+Tag+</v>
      </c>
      <c r="J61">
        <f>LEN(Tabelle17[[#This Row],[Spalte7]])</f>
        <v>37</v>
      </c>
      <c r="K61" t="str">
        <f>IF(MID(Tabelle17[[#This Row],[Spalte7]],Tabelle17[[#This Row],[Spalte72]],1)="+",MID(Tabelle17[[#This Row],[Spalte7]],1,Tabelle17[[#This Row],[Spalte72]]-1),Tabelle17[[#This Row],[Spalte7]])</f>
        <v>Lastgang~Tagtyp_1_7+Betriebsruhe+Tag</v>
      </c>
    </row>
    <row r="62" spans="1:11" x14ac:dyDescent="0.35">
      <c r="A62" t="s">
        <v>6</v>
      </c>
      <c r="B62" t="s">
        <v>17</v>
      </c>
      <c r="C62" t="s">
        <v>11</v>
      </c>
      <c r="D62" t="s">
        <v>12</v>
      </c>
      <c r="H62" t="s">
        <v>16</v>
      </c>
      <c r="I6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Lastgang~Tagtyp_1_1+Temperatur+Globale_Strahlung+Tag+</v>
      </c>
      <c r="J62">
        <f>LEN(Tabelle17[[#This Row],[Spalte7]])</f>
        <v>53</v>
      </c>
      <c r="K62" t="str">
        <f>IF(MID(Tabelle17[[#This Row],[Spalte7]],Tabelle17[[#This Row],[Spalte72]],1)="+",MID(Tabelle17[[#This Row],[Spalte7]],1,Tabelle17[[#This Row],[Spalte72]]-1),Tabelle17[[#This Row],[Spalte7]])</f>
        <v>Lastgang~Tagtyp_1_1+Temperatur+Globale_Strahlung+Tag</v>
      </c>
    </row>
    <row r="63" spans="1:11" x14ac:dyDescent="0.35">
      <c r="A63" t="s">
        <v>6</v>
      </c>
      <c r="B63" t="s">
        <v>18</v>
      </c>
      <c r="C63" t="s">
        <v>11</v>
      </c>
      <c r="D63" t="s">
        <v>12</v>
      </c>
      <c r="H63" t="s">
        <v>16</v>
      </c>
      <c r="I6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Lastgang~Tagtyp_1_3+Temperatur+Globale_Strahlung+Tag+</v>
      </c>
      <c r="J63">
        <f>LEN(Tabelle17[[#This Row],[Spalte7]])</f>
        <v>53</v>
      </c>
      <c r="K63" t="str">
        <f>IF(MID(Tabelle17[[#This Row],[Spalte7]],Tabelle17[[#This Row],[Spalte72]],1)="+",MID(Tabelle17[[#This Row],[Spalte7]],1,Tabelle17[[#This Row],[Spalte72]]-1),Tabelle17[[#This Row],[Spalte7]])</f>
        <v>Lastgang~Tagtyp_1_3+Temperatur+Globale_Strahlung+Tag</v>
      </c>
    </row>
    <row r="64" spans="1:11" x14ac:dyDescent="0.35">
      <c r="A64" t="s">
        <v>6</v>
      </c>
      <c r="B64" t="s">
        <v>19</v>
      </c>
      <c r="C64" t="s">
        <v>11</v>
      </c>
      <c r="D64" t="s">
        <v>12</v>
      </c>
      <c r="H64" t="s">
        <v>16</v>
      </c>
      <c r="I6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Lastgang~Tagtyp_1_5+Temperatur+Globale_Strahlung+Tag+</v>
      </c>
      <c r="J64">
        <f>LEN(Tabelle17[[#This Row],[Spalte7]])</f>
        <v>53</v>
      </c>
      <c r="K64" t="str">
        <f>IF(MID(Tabelle17[[#This Row],[Spalte7]],Tabelle17[[#This Row],[Spalte72]],1)="+",MID(Tabelle17[[#This Row],[Spalte7]],1,Tabelle17[[#This Row],[Spalte72]]-1),Tabelle17[[#This Row],[Spalte7]])</f>
        <v>Lastgang~Tagtyp_1_5+Temperatur+Globale_Strahlung+Tag</v>
      </c>
    </row>
    <row r="65" spans="1:11" x14ac:dyDescent="0.35">
      <c r="A65" t="s">
        <v>6</v>
      </c>
      <c r="B65" t="s">
        <v>20</v>
      </c>
      <c r="C65" t="s">
        <v>11</v>
      </c>
      <c r="D65" t="s">
        <v>12</v>
      </c>
      <c r="H65" t="s">
        <v>16</v>
      </c>
      <c r="I6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Lastgang~Tagtyp_1_7+Temperatur+Globale_Strahlung+Tag+</v>
      </c>
      <c r="J65">
        <f>LEN(Tabelle17[[#This Row],[Spalte7]])</f>
        <v>53</v>
      </c>
      <c r="K65" t="str">
        <f>IF(MID(Tabelle17[[#This Row],[Spalte7]],Tabelle17[[#This Row],[Spalte72]],1)="+",MID(Tabelle17[[#This Row],[Spalte7]],1,Tabelle17[[#This Row],[Spalte72]]-1),Tabelle17[[#This Row],[Spalte7]])</f>
        <v>Lastgang~Tagtyp_1_7+Temperatur+Globale_Strahlung+Tag</v>
      </c>
    </row>
    <row r="66" spans="1:11" x14ac:dyDescent="0.35">
      <c r="A66" t="s">
        <v>6</v>
      </c>
      <c r="B66" t="s">
        <v>17</v>
      </c>
      <c r="C66" t="s">
        <v>11</v>
      </c>
      <c r="H66" t="s">
        <v>16</v>
      </c>
      <c r="I6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Lastgang~Tagtyp_1_1+Temperatur+Tag+</v>
      </c>
      <c r="J66">
        <f>LEN(Tabelle17[[#This Row],[Spalte7]])</f>
        <v>35</v>
      </c>
      <c r="K66" t="str">
        <f>IF(MID(Tabelle17[[#This Row],[Spalte7]],Tabelle17[[#This Row],[Spalte72]],1)="+",MID(Tabelle17[[#This Row],[Spalte7]],1,Tabelle17[[#This Row],[Spalte72]]-1),Tabelle17[[#This Row],[Spalte7]])</f>
        <v>Lastgang~Tagtyp_1_1+Temperatur+Tag</v>
      </c>
    </row>
    <row r="67" spans="1:11" x14ac:dyDescent="0.35">
      <c r="A67" t="s">
        <v>6</v>
      </c>
      <c r="B67" t="s">
        <v>18</v>
      </c>
      <c r="C67" t="s">
        <v>11</v>
      </c>
      <c r="H67" t="s">
        <v>16</v>
      </c>
      <c r="I6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Lastgang~Tagtyp_1_3+Temperatur+Tag+</v>
      </c>
      <c r="J67">
        <f>LEN(Tabelle17[[#This Row],[Spalte7]])</f>
        <v>35</v>
      </c>
      <c r="K67" t="str">
        <f>IF(MID(Tabelle17[[#This Row],[Spalte7]],Tabelle17[[#This Row],[Spalte72]],1)="+",MID(Tabelle17[[#This Row],[Spalte7]],1,Tabelle17[[#This Row],[Spalte72]]-1),Tabelle17[[#This Row],[Spalte7]])</f>
        <v>Lastgang~Tagtyp_1_3+Temperatur+Tag</v>
      </c>
    </row>
    <row r="68" spans="1:11" x14ac:dyDescent="0.35">
      <c r="A68" t="s">
        <v>6</v>
      </c>
      <c r="B68" t="s">
        <v>19</v>
      </c>
      <c r="C68" t="s">
        <v>11</v>
      </c>
      <c r="H68" t="s">
        <v>16</v>
      </c>
      <c r="I6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Lastgang~Tagtyp_1_5+Temperatur+Tag+</v>
      </c>
      <c r="J68">
        <f>LEN(Tabelle17[[#This Row],[Spalte7]])</f>
        <v>35</v>
      </c>
      <c r="K68" t="str">
        <f>IF(MID(Tabelle17[[#This Row],[Spalte7]],Tabelle17[[#This Row],[Spalte72]],1)="+",MID(Tabelle17[[#This Row],[Spalte7]],1,Tabelle17[[#This Row],[Spalte72]]-1),Tabelle17[[#This Row],[Spalte7]])</f>
        <v>Lastgang~Tagtyp_1_5+Temperatur+Tag</v>
      </c>
    </row>
    <row r="69" spans="1:11" x14ac:dyDescent="0.35">
      <c r="A69" t="s">
        <v>6</v>
      </c>
      <c r="B69" t="s">
        <v>20</v>
      </c>
      <c r="C69" t="s">
        <v>11</v>
      </c>
      <c r="H69" t="s">
        <v>16</v>
      </c>
      <c r="I6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Lastgang~Tagtyp_1_7+Temperatur+Tag+</v>
      </c>
      <c r="J69">
        <f>LEN(Tabelle17[[#This Row],[Spalte7]])</f>
        <v>35</v>
      </c>
      <c r="K69" t="str">
        <f>IF(MID(Tabelle17[[#This Row],[Spalte7]],Tabelle17[[#This Row],[Spalte72]],1)="+",MID(Tabelle17[[#This Row],[Spalte7]],1,Tabelle17[[#This Row],[Spalte72]]-1),Tabelle17[[#This Row],[Spalte7]])</f>
        <v>Lastgang~Tagtyp_1_7+Temperatur+Tag</v>
      </c>
    </row>
    <row r="70" spans="1:11" x14ac:dyDescent="0.35">
      <c r="A70" t="s">
        <v>6</v>
      </c>
      <c r="B70" t="s">
        <v>17</v>
      </c>
      <c r="H70" t="s">
        <v>16</v>
      </c>
      <c r="I7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Lastgang~Tagtyp_1_1+Tag+</v>
      </c>
      <c r="J70">
        <f>LEN(Tabelle17[[#This Row],[Spalte7]])</f>
        <v>24</v>
      </c>
      <c r="K70" t="str">
        <f>IF(MID(Tabelle17[[#This Row],[Spalte7]],Tabelle17[[#This Row],[Spalte72]],1)="+",MID(Tabelle17[[#This Row],[Spalte7]],1,Tabelle17[[#This Row],[Spalte72]]-1),Tabelle17[[#This Row],[Spalte7]])</f>
        <v>Lastgang~Tagtyp_1_1+Tag</v>
      </c>
    </row>
    <row r="71" spans="1:11" x14ac:dyDescent="0.35">
      <c r="A71" t="s">
        <v>6</v>
      </c>
      <c r="B71" t="s">
        <v>18</v>
      </c>
      <c r="H71" t="s">
        <v>16</v>
      </c>
      <c r="I7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Lastgang~Tagtyp_1_3+Tag+</v>
      </c>
      <c r="J71">
        <f>LEN(Tabelle17[[#This Row],[Spalte7]])</f>
        <v>24</v>
      </c>
      <c r="K71" t="str">
        <f>IF(MID(Tabelle17[[#This Row],[Spalte7]],Tabelle17[[#This Row],[Spalte72]],1)="+",MID(Tabelle17[[#This Row],[Spalte7]],1,Tabelle17[[#This Row],[Spalte72]]-1),Tabelle17[[#This Row],[Spalte7]])</f>
        <v>Lastgang~Tagtyp_1_3+Tag</v>
      </c>
    </row>
    <row r="72" spans="1:11" x14ac:dyDescent="0.35">
      <c r="A72" t="s">
        <v>6</v>
      </c>
      <c r="B72" t="s">
        <v>19</v>
      </c>
      <c r="H72" t="s">
        <v>16</v>
      </c>
      <c r="I7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Lastgang~Tagtyp_1_5+Tag+</v>
      </c>
      <c r="J72">
        <f>LEN(Tabelle17[[#This Row],[Spalte7]])</f>
        <v>24</v>
      </c>
      <c r="K72" t="str">
        <f>IF(MID(Tabelle17[[#This Row],[Spalte7]],Tabelle17[[#This Row],[Spalte72]],1)="+",MID(Tabelle17[[#This Row],[Spalte7]],1,Tabelle17[[#This Row],[Spalte72]]-1),Tabelle17[[#This Row],[Spalte7]])</f>
        <v>Lastgang~Tagtyp_1_5+Tag</v>
      </c>
    </row>
    <row r="73" spans="1:11" x14ac:dyDescent="0.35">
      <c r="A73" t="s">
        <v>6</v>
      </c>
      <c r="B73" t="s">
        <v>20</v>
      </c>
      <c r="H73" t="s">
        <v>16</v>
      </c>
      <c r="I7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Lastgang~Tagtyp_1_7+Tag+</v>
      </c>
      <c r="J73">
        <f>LEN(Tabelle17[[#This Row],[Spalte7]])</f>
        <v>24</v>
      </c>
      <c r="K73" t="str">
        <f>IF(MID(Tabelle17[[#This Row],[Spalte7]],Tabelle17[[#This Row],[Spalte72]],1)="+",MID(Tabelle17[[#This Row],[Spalte7]],1,Tabelle17[[#This Row],[Spalte72]]-1),Tabelle17[[#This Row],[Spalte7]])</f>
        <v>Lastgang~Tagtyp_1_7+Tag</v>
      </c>
    </row>
    <row r="74" spans="1:11" x14ac:dyDescent="0.35">
      <c r="A74" t="s">
        <v>6</v>
      </c>
      <c r="B74" t="s">
        <v>17</v>
      </c>
      <c r="C74" t="s">
        <v>11</v>
      </c>
      <c r="D74" t="s">
        <v>12</v>
      </c>
      <c r="E74" t="s">
        <v>13</v>
      </c>
      <c r="I7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Lastgang~Tagtyp_1_1+Temperatur+Globale_Strahlung+Betriebsruhe+</v>
      </c>
      <c r="J74">
        <f>LEN(Tabelle17[[#This Row],[Spalte7]])</f>
        <v>62</v>
      </c>
      <c r="K74" t="str">
        <f>IF(MID(Tabelle17[[#This Row],[Spalte7]],Tabelle17[[#This Row],[Spalte72]],1)="+",MID(Tabelle17[[#This Row],[Spalte7]],1,Tabelle17[[#This Row],[Spalte72]]-1),Tabelle17[[#This Row],[Spalte7]])</f>
        <v>Lastgang~Tagtyp_1_1+Temperatur+Globale_Strahlung+Betriebsruhe</v>
      </c>
    </row>
    <row r="75" spans="1:11" x14ac:dyDescent="0.35">
      <c r="A75" t="s">
        <v>6</v>
      </c>
      <c r="B75" t="s">
        <v>18</v>
      </c>
      <c r="C75" t="s">
        <v>11</v>
      </c>
      <c r="D75" t="s">
        <v>12</v>
      </c>
      <c r="E75" t="s">
        <v>13</v>
      </c>
      <c r="I7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Lastgang~Tagtyp_1_3+Temperatur+Globale_Strahlung+Betriebsruhe+</v>
      </c>
      <c r="J75">
        <f>LEN(Tabelle17[[#This Row],[Spalte7]])</f>
        <v>62</v>
      </c>
      <c r="K75" t="str">
        <f>IF(MID(Tabelle17[[#This Row],[Spalte7]],Tabelle17[[#This Row],[Spalte72]],1)="+",MID(Tabelle17[[#This Row],[Spalte7]],1,Tabelle17[[#This Row],[Spalte72]]-1),Tabelle17[[#This Row],[Spalte7]])</f>
        <v>Lastgang~Tagtyp_1_3+Temperatur+Globale_Strahlung+Betriebsruhe</v>
      </c>
    </row>
    <row r="76" spans="1:11" x14ac:dyDescent="0.35">
      <c r="A76" t="s">
        <v>6</v>
      </c>
      <c r="B76" t="s">
        <v>19</v>
      </c>
      <c r="C76" t="s">
        <v>11</v>
      </c>
      <c r="D76" t="s">
        <v>12</v>
      </c>
      <c r="E76" t="s">
        <v>13</v>
      </c>
      <c r="I7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Lastgang~Tagtyp_1_5+Temperatur+Globale_Strahlung+Betriebsruhe+</v>
      </c>
      <c r="J76">
        <f>LEN(Tabelle17[[#This Row],[Spalte7]])</f>
        <v>62</v>
      </c>
      <c r="K76" t="str">
        <f>IF(MID(Tabelle17[[#This Row],[Spalte7]],Tabelle17[[#This Row],[Spalte72]],1)="+",MID(Tabelle17[[#This Row],[Spalte7]],1,Tabelle17[[#This Row],[Spalte72]]-1),Tabelle17[[#This Row],[Spalte7]])</f>
        <v>Lastgang~Tagtyp_1_5+Temperatur+Globale_Strahlung+Betriebsruhe</v>
      </c>
    </row>
    <row r="77" spans="1:11" x14ac:dyDescent="0.35">
      <c r="A77" t="s">
        <v>6</v>
      </c>
      <c r="B77" t="s">
        <v>20</v>
      </c>
      <c r="C77" t="s">
        <v>11</v>
      </c>
      <c r="D77" t="s">
        <v>12</v>
      </c>
      <c r="E77" t="s">
        <v>13</v>
      </c>
      <c r="I7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Lastgang~Tagtyp_1_7+Temperatur+Globale_Strahlung+Betriebsruhe+</v>
      </c>
      <c r="J77">
        <f>LEN(Tabelle17[[#This Row],[Spalte7]])</f>
        <v>62</v>
      </c>
      <c r="K77" t="str">
        <f>IF(MID(Tabelle17[[#This Row],[Spalte7]],Tabelle17[[#This Row],[Spalte72]],1)="+",MID(Tabelle17[[#This Row],[Spalte7]],1,Tabelle17[[#This Row],[Spalte72]]-1),Tabelle17[[#This Row],[Spalte7]])</f>
        <v>Lastgang~Tagtyp_1_7+Temperatur+Globale_Strahlung+Betriebsruhe</v>
      </c>
    </row>
    <row r="78" spans="1:11" x14ac:dyDescent="0.35">
      <c r="A78" t="s">
        <v>6</v>
      </c>
      <c r="B78" t="s">
        <v>17</v>
      </c>
      <c r="C78" t="s">
        <v>11</v>
      </c>
      <c r="E78" t="s">
        <v>13</v>
      </c>
      <c r="I7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Lastgang~Tagtyp_1_1+Temperatur+Betriebsruhe+</v>
      </c>
      <c r="J78">
        <f>LEN(Tabelle17[[#This Row],[Spalte7]])</f>
        <v>44</v>
      </c>
      <c r="K78" t="str">
        <f>IF(MID(Tabelle17[[#This Row],[Spalte7]],Tabelle17[[#This Row],[Spalte72]],1)="+",MID(Tabelle17[[#This Row],[Spalte7]],1,Tabelle17[[#This Row],[Spalte72]]-1),Tabelle17[[#This Row],[Spalte7]])</f>
        <v>Lastgang~Tagtyp_1_1+Temperatur+Betriebsruhe</v>
      </c>
    </row>
    <row r="79" spans="1:11" x14ac:dyDescent="0.35">
      <c r="A79" t="s">
        <v>6</v>
      </c>
      <c r="B79" t="s">
        <v>18</v>
      </c>
      <c r="C79" t="s">
        <v>11</v>
      </c>
      <c r="E79" t="s">
        <v>13</v>
      </c>
      <c r="I7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Lastgang~Tagtyp_1_3+Temperatur+Betriebsruhe+</v>
      </c>
      <c r="J79">
        <f>LEN(Tabelle17[[#This Row],[Spalte7]])</f>
        <v>44</v>
      </c>
      <c r="K79" t="str">
        <f>IF(MID(Tabelle17[[#This Row],[Spalte7]],Tabelle17[[#This Row],[Spalte72]],1)="+",MID(Tabelle17[[#This Row],[Spalte7]],1,Tabelle17[[#This Row],[Spalte72]]-1),Tabelle17[[#This Row],[Spalte7]])</f>
        <v>Lastgang~Tagtyp_1_3+Temperatur+Betriebsruhe</v>
      </c>
    </row>
    <row r="80" spans="1:11" x14ac:dyDescent="0.35">
      <c r="A80" t="s">
        <v>6</v>
      </c>
      <c r="B80" t="s">
        <v>19</v>
      </c>
      <c r="C80" t="s">
        <v>11</v>
      </c>
      <c r="E80" t="s">
        <v>13</v>
      </c>
      <c r="I8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Lastgang~Tagtyp_1_5+Temperatur+Betriebsruhe+</v>
      </c>
      <c r="J80">
        <f>LEN(Tabelle17[[#This Row],[Spalte7]])</f>
        <v>44</v>
      </c>
      <c r="K80" t="str">
        <f>IF(MID(Tabelle17[[#This Row],[Spalte7]],Tabelle17[[#This Row],[Spalte72]],1)="+",MID(Tabelle17[[#This Row],[Spalte7]],1,Tabelle17[[#This Row],[Spalte72]]-1),Tabelle17[[#This Row],[Spalte7]])</f>
        <v>Lastgang~Tagtyp_1_5+Temperatur+Betriebsruhe</v>
      </c>
    </row>
    <row r="81" spans="1:11" x14ac:dyDescent="0.35">
      <c r="A81" t="s">
        <v>6</v>
      </c>
      <c r="B81" t="s">
        <v>20</v>
      </c>
      <c r="C81" t="s">
        <v>11</v>
      </c>
      <c r="E81" t="s">
        <v>13</v>
      </c>
      <c r="I8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Lastgang~Tagtyp_1_7+Temperatur+Betriebsruhe+</v>
      </c>
      <c r="J81">
        <f>LEN(Tabelle17[[#This Row],[Spalte7]])</f>
        <v>44</v>
      </c>
      <c r="K81" t="str">
        <f>IF(MID(Tabelle17[[#This Row],[Spalte7]],Tabelle17[[#This Row],[Spalte72]],1)="+",MID(Tabelle17[[#This Row],[Spalte7]],1,Tabelle17[[#This Row],[Spalte72]]-1),Tabelle17[[#This Row],[Spalte7]])</f>
        <v>Lastgang~Tagtyp_1_7+Temperatur+Betriebsruhe</v>
      </c>
    </row>
    <row r="82" spans="1:11" x14ac:dyDescent="0.35">
      <c r="A82" t="s">
        <v>6</v>
      </c>
      <c r="B82" t="s">
        <v>17</v>
      </c>
      <c r="E82" t="s">
        <v>13</v>
      </c>
      <c r="I8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Lastgang~Tagtyp_1_1+Betriebsruhe+</v>
      </c>
      <c r="J82">
        <f>LEN(Tabelle17[[#This Row],[Spalte7]])</f>
        <v>33</v>
      </c>
      <c r="K82" t="str">
        <f>IF(MID(Tabelle17[[#This Row],[Spalte7]],Tabelle17[[#This Row],[Spalte72]],1)="+",MID(Tabelle17[[#This Row],[Spalte7]],1,Tabelle17[[#This Row],[Spalte72]]-1),Tabelle17[[#This Row],[Spalte7]])</f>
        <v>Lastgang~Tagtyp_1_1+Betriebsruhe</v>
      </c>
    </row>
    <row r="83" spans="1:11" x14ac:dyDescent="0.35">
      <c r="A83" t="s">
        <v>6</v>
      </c>
      <c r="B83" t="s">
        <v>18</v>
      </c>
      <c r="E83" t="s">
        <v>13</v>
      </c>
      <c r="I8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Lastgang~Tagtyp_1_3+Betriebsruhe+</v>
      </c>
      <c r="J83">
        <f>LEN(Tabelle17[[#This Row],[Spalte7]])</f>
        <v>33</v>
      </c>
      <c r="K83" t="str">
        <f>IF(MID(Tabelle17[[#This Row],[Spalte7]],Tabelle17[[#This Row],[Spalte72]],1)="+",MID(Tabelle17[[#This Row],[Spalte7]],1,Tabelle17[[#This Row],[Spalte72]]-1),Tabelle17[[#This Row],[Spalte7]])</f>
        <v>Lastgang~Tagtyp_1_3+Betriebsruhe</v>
      </c>
    </row>
    <row r="84" spans="1:11" x14ac:dyDescent="0.35">
      <c r="A84" t="s">
        <v>6</v>
      </c>
      <c r="B84" t="s">
        <v>19</v>
      </c>
      <c r="E84" t="s">
        <v>13</v>
      </c>
      <c r="I8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Lastgang~Tagtyp_1_5+Betriebsruhe+</v>
      </c>
      <c r="J84">
        <f>LEN(Tabelle17[[#This Row],[Spalte7]])</f>
        <v>33</v>
      </c>
      <c r="K84" t="str">
        <f>IF(MID(Tabelle17[[#This Row],[Spalte7]],Tabelle17[[#This Row],[Spalte72]],1)="+",MID(Tabelle17[[#This Row],[Spalte7]],1,Tabelle17[[#This Row],[Spalte72]]-1),Tabelle17[[#This Row],[Spalte7]])</f>
        <v>Lastgang~Tagtyp_1_5+Betriebsruhe</v>
      </c>
    </row>
    <row r="85" spans="1:11" x14ac:dyDescent="0.35">
      <c r="A85" t="s">
        <v>6</v>
      </c>
      <c r="B85" t="s">
        <v>20</v>
      </c>
      <c r="E85" t="s">
        <v>13</v>
      </c>
      <c r="I8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Lastgang~Tagtyp_1_7+Betriebsruhe+</v>
      </c>
      <c r="J85">
        <f>LEN(Tabelle17[[#This Row],[Spalte7]])</f>
        <v>33</v>
      </c>
      <c r="K85" t="str">
        <f>IF(MID(Tabelle17[[#This Row],[Spalte7]],Tabelle17[[#This Row],[Spalte72]],1)="+",MID(Tabelle17[[#This Row],[Spalte7]],1,Tabelle17[[#This Row],[Spalte72]]-1),Tabelle17[[#This Row],[Spalte7]])</f>
        <v>Lastgang~Tagtyp_1_7+Betriebsruhe</v>
      </c>
    </row>
    <row r="86" spans="1:11" x14ac:dyDescent="0.35">
      <c r="A86" t="s">
        <v>6</v>
      </c>
      <c r="B86" t="s">
        <v>17</v>
      </c>
      <c r="C86" t="s">
        <v>11</v>
      </c>
      <c r="D86" t="s">
        <v>12</v>
      </c>
      <c r="I8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Lastgang~Tagtyp_1_1+Temperatur+Globale_Strahlung+</v>
      </c>
      <c r="J86">
        <f>LEN(Tabelle17[[#This Row],[Spalte7]])</f>
        <v>49</v>
      </c>
      <c r="K86" t="str">
        <f>IF(MID(Tabelle17[[#This Row],[Spalte7]],Tabelle17[[#This Row],[Spalte72]],1)="+",MID(Tabelle17[[#This Row],[Spalte7]],1,Tabelle17[[#This Row],[Spalte72]]-1),Tabelle17[[#This Row],[Spalte7]])</f>
        <v>Lastgang~Tagtyp_1_1+Temperatur+Globale_Strahlung</v>
      </c>
    </row>
    <row r="87" spans="1:11" x14ac:dyDescent="0.35">
      <c r="A87" t="s">
        <v>6</v>
      </c>
      <c r="B87" t="s">
        <v>18</v>
      </c>
      <c r="C87" t="s">
        <v>11</v>
      </c>
      <c r="D87" t="s">
        <v>12</v>
      </c>
      <c r="I8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Lastgang~Tagtyp_1_3+Temperatur+Globale_Strahlung+</v>
      </c>
      <c r="J87">
        <f>LEN(Tabelle17[[#This Row],[Spalte7]])</f>
        <v>49</v>
      </c>
      <c r="K87" t="str">
        <f>IF(MID(Tabelle17[[#This Row],[Spalte7]],Tabelle17[[#This Row],[Spalte72]],1)="+",MID(Tabelle17[[#This Row],[Spalte7]],1,Tabelle17[[#This Row],[Spalte72]]-1),Tabelle17[[#This Row],[Spalte7]])</f>
        <v>Lastgang~Tagtyp_1_3+Temperatur+Globale_Strahlung</v>
      </c>
    </row>
    <row r="88" spans="1:11" x14ac:dyDescent="0.35">
      <c r="A88" t="s">
        <v>6</v>
      </c>
      <c r="B88" t="s">
        <v>19</v>
      </c>
      <c r="C88" t="s">
        <v>11</v>
      </c>
      <c r="D88" t="s">
        <v>12</v>
      </c>
      <c r="I88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Lastgang~Tagtyp_1_5+Temperatur+Globale_Strahlung+</v>
      </c>
      <c r="J88">
        <f>LEN(Tabelle17[[#This Row],[Spalte7]])</f>
        <v>49</v>
      </c>
      <c r="K88" t="str">
        <f>IF(MID(Tabelle17[[#This Row],[Spalte7]],Tabelle17[[#This Row],[Spalte72]],1)="+",MID(Tabelle17[[#This Row],[Spalte7]],1,Tabelle17[[#This Row],[Spalte72]]-1),Tabelle17[[#This Row],[Spalte7]])</f>
        <v>Lastgang~Tagtyp_1_5+Temperatur+Globale_Strahlung</v>
      </c>
    </row>
    <row r="89" spans="1:11" x14ac:dyDescent="0.35">
      <c r="A89" t="s">
        <v>6</v>
      </c>
      <c r="B89" t="s">
        <v>20</v>
      </c>
      <c r="C89" t="s">
        <v>11</v>
      </c>
      <c r="D89" t="s">
        <v>12</v>
      </c>
      <c r="I89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Lastgang~Tagtyp_1_7+Temperatur+Globale_Strahlung+</v>
      </c>
      <c r="J89">
        <f>LEN(Tabelle17[[#This Row],[Spalte7]])</f>
        <v>49</v>
      </c>
      <c r="K89" t="str">
        <f>IF(MID(Tabelle17[[#This Row],[Spalte7]],Tabelle17[[#This Row],[Spalte72]],1)="+",MID(Tabelle17[[#This Row],[Spalte7]],1,Tabelle17[[#This Row],[Spalte72]]-1),Tabelle17[[#This Row],[Spalte7]])</f>
        <v>Lastgang~Tagtyp_1_7+Temperatur+Globale_Strahlung</v>
      </c>
    </row>
    <row r="90" spans="1:11" x14ac:dyDescent="0.35">
      <c r="A90" t="s">
        <v>6</v>
      </c>
      <c r="B90" t="s">
        <v>17</v>
      </c>
      <c r="C90" t="s">
        <v>11</v>
      </c>
      <c r="I90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Lastgang~Tagtyp_1_1+Temperatur+</v>
      </c>
      <c r="J90">
        <f>LEN(Tabelle17[[#This Row],[Spalte7]])</f>
        <v>31</v>
      </c>
      <c r="K90" t="str">
        <f>IF(MID(Tabelle17[[#This Row],[Spalte7]],Tabelle17[[#This Row],[Spalte72]],1)="+",MID(Tabelle17[[#This Row],[Spalte7]],1,Tabelle17[[#This Row],[Spalte72]]-1),Tabelle17[[#This Row],[Spalte7]])</f>
        <v>Lastgang~Tagtyp_1_1+Temperatur</v>
      </c>
    </row>
    <row r="91" spans="1:11" x14ac:dyDescent="0.35">
      <c r="A91" t="s">
        <v>6</v>
      </c>
      <c r="B91" t="s">
        <v>18</v>
      </c>
      <c r="C91" t="s">
        <v>11</v>
      </c>
      <c r="I91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Lastgang~Tagtyp_1_3+Temperatur+</v>
      </c>
      <c r="J91">
        <f>LEN(Tabelle17[[#This Row],[Spalte7]])</f>
        <v>31</v>
      </c>
      <c r="K91" t="str">
        <f>IF(MID(Tabelle17[[#This Row],[Spalte7]],Tabelle17[[#This Row],[Spalte72]],1)="+",MID(Tabelle17[[#This Row],[Spalte7]],1,Tabelle17[[#This Row],[Spalte72]]-1),Tabelle17[[#This Row],[Spalte7]])</f>
        <v>Lastgang~Tagtyp_1_3+Temperatur</v>
      </c>
    </row>
    <row r="92" spans="1:11" x14ac:dyDescent="0.35">
      <c r="A92" t="s">
        <v>6</v>
      </c>
      <c r="B92" t="s">
        <v>19</v>
      </c>
      <c r="C92" t="s">
        <v>11</v>
      </c>
      <c r="I92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Lastgang~Tagtyp_1_5+Temperatur+</v>
      </c>
      <c r="J92">
        <f>LEN(Tabelle17[[#This Row],[Spalte7]])</f>
        <v>31</v>
      </c>
      <c r="K92" t="str">
        <f>IF(MID(Tabelle17[[#This Row],[Spalte7]],Tabelle17[[#This Row],[Spalte72]],1)="+",MID(Tabelle17[[#This Row],[Spalte7]],1,Tabelle17[[#This Row],[Spalte72]]-1),Tabelle17[[#This Row],[Spalte7]])</f>
        <v>Lastgang~Tagtyp_1_5+Temperatur</v>
      </c>
    </row>
    <row r="93" spans="1:11" x14ac:dyDescent="0.35">
      <c r="A93" t="s">
        <v>6</v>
      </c>
      <c r="B93" t="s">
        <v>20</v>
      </c>
      <c r="C93" t="s">
        <v>11</v>
      </c>
      <c r="I93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Lastgang~Tagtyp_1_7+Temperatur+</v>
      </c>
      <c r="J93">
        <f>LEN(Tabelle17[[#This Row],[Spalte7]])</f>
        <v>31</v>
      </c>
      <c r="K93" t="str">
        <f>IF(MID(Tabelle17[[#This Row],[Spalte7]],Tabelle17[[#This Row],[Spalte72]],1)="+",MID(Tabelle17[[#This Row],[Spalte7]],1,Tabelle17[[#This Row],[Spalte72]]-1),Tabelle17[[#This Row],[Spalte7]])</f>
        <v>Lastgang~Tagtyp_1_7+Temperatur</v>
      </c>
    </row>
    <row r="94" spans="1:11" x14ac:dyDescent="0.35">
      <c r="A94" t="s">
        <v>6</v>
      </c>
      <c r="B94" t="s">
        <v>17</v>
      </c>
      <c r="I94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Lastgang~Tagtyp_1_1+</v>
      </c>
      <c r="J94">
        <f>LEN(Tabelle17[[#This Row],[Spalte7]])</f>
        <v>20</v>
      </c>
      <c r="K94" t="str">
        <f>IF(MID(Tabelle17[[#This Row],[Spalte7]],Tabelle17[[#This Row],[Spalte72]],1)="+",MID(Tabelle17[[#This Row],[Spalte7]],1,Tabelle17[[#This Row],[Spalte72]]-1),Tabelle17[[#This Row],[Spalte7]])</f>
        <v>Lastgang~Tagtyp_1_1</v>
      </c>
    </row>
    <row r="95" spans="1:11" x14ac:dyDescent="0.35">
      <c r="A95" t="s">
        <v>6</v>
      </c>
      <c r="B95" t="s">
        <v>18</v>
      </c>
      <c r="I95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Lastgang~Tagtyp_1_3+</v>
      </c>
      <c r="J95">
        <f>LEN(Tabelle17[[#This Row],[Spalte7]])</f>
        <v>20</v>
      </c>
      <c r="K95" t="str">
        <f>IF(MID(Tabelle17[[#This Row],[Spalte7]],Tabelle17[[#This Row],[Spalte72]],1)="+",MID(Tabelle17[[#This Row],[Spalte7]],1,Tabelle17[[#This Row],[Spalte72]]-1),Tabelle17[[#This Row],[Spalte7]])</f>
        <v>Lastgang~Tagtyp_1_3</v>
      </c>
    </row>
    <row r="96" spans="1:11" x14ac:dyDescent="0.35">
      <c r="A96" t="s">
        <v>6</v>
      </c>
      <c r="B96" t="s">
        <v>19</v>
      </c>
      <c r="I96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Lastgang~Tagtyp_1_5+</v>
      </c>
      <c r="J96">
        <f>LEN(Tabelle17[[#This Row],[Spalte7]])</f>
        <v>20</v>
      </c>
      <c r="K96" t="str">
        <f>IF(MID(Tabelle17[[#This Row],[Spalte7]],Tabelle17[[#This Row],[Spalte72]],1)="+",MID(Tabelle17[[#This Row],[Spalte7]],1,Tabelle17[[#This Row],[Spalte72]]-1),Tabelle17[[#This Row],[Spalte7]])</f>
        <v>Lastgang~Tagtyp_1_5</v>
      </c>
    </row>
    <row r="97" spans="1:11" x14ac:dyDescent="0.35">
      <c r="A97" t="s">
        <v>6</v>
      </c>
      <c r="B97" t="s">
        <v>20</v>
      </c>
      <c r="I97" t="str">
        <f>Tabelle17[[#This Row],[Spalte1]]&amp;"~"&amp;Tabelle17[[#This Row],[Tagtyp]]&amp;Tabelle17[[#This Row],[Temperatur]]&amp;Tabelle17[[#This Row],[Globale_Strahlung]]&amp;Tabelle17[[#This Row],[Betriebsruhe]]&amp;Tabelle17[[#This Row],[Monat]]&amp;Tabelle17[[#This Row],[Woche]]&amp;Tabelle17[[#This Row],[Tag]]</f>
        <v>Lastgang~Tagtyp_1_7+</v>
      </c>
      <c r="J97">
        <f>LEN(Tabelle17[[#This Row],[Spalte7]])</f>
        <v>20</v>
      </c>
      <c r="K97" t="str">
        <f>IF(MID(Tabelle17[[#This Row],[Spalte7]],Tabelle17[[#This Row],[Spalte72]],1)="+",MID(Tabelle17[[#This Row],[Spalte7]],1,Tabelle17[[#This Row],[Spalte72]]-1),Tabelle17[[#This Row],[Spalte7]])</f>
        <v>Lastgang~Tagtyp_1_7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E8FC-81F5-4DC1-A1C8-51B42C91D0BF}">
  <dimension ref="A1:J385"/>
  <sheetViews>
    <sheetView topLeftCell="A92" workbookViewId="0">
      <selection activeCell="O130" sqref="O130"/>
    </sheetView>
  </sheetViews>
  <sheetFormatPr baseColWidth="10" defaultRowHeight="14.5" x14ac:dyDescent="0.35"/>
  <cols>
    <col min="1" max="1" width="9.453125" bestFit="1" customWidth="1"/>
    <col min="3" max="3" width="15.81640625" bestFit="1" customWidth="1"/>
    <col min="4" max="4" width="18.54296875" bestFit="1" customWidth="1"/>
    <col min="5" max="5" width="13.90625" bestFit="1" customWidth="1"/>
    <col min="10" max="10" width="85.54296875" bestFit="1" customWidth="1"/>
  </cols>
  <sheetData>
    <row r="1" spans="1:10" x14ac:dyDescent="0.35">
      <c r="A1" t="s">
        <v>4</v>
      </c>
      <c r="B1" t="s">
        <v>8</v>
      </c>
      <c r="C1" t="s">
        <v>0</v>
      </c>
      <c r="D1" t="s">
        <v>1</v>
      </c>
      <c r="E1" t="s">
        <v>2</v>
      </c>
      <c r="F1" t="s">
        <v>7</v>
      </c>
      <c r="G1" t="s">
        <v>10</v>
      </c>
      <c r="H1" t="s">
        <v>9</v>
      </c>
      <c r="I1" t="s">
        <v>3</v>
      </c>
      <c r="J1" t="s">
        <v>5</v>
      </c>
    </row>
    <row r="2" spans="1:10" x14ac:dyDescent="0.35">
      <c r="A2" t="s">
        <v>6</v>
      </c>
      <c r="B2" t="s">
        <v>17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3</v>
      </c>
      <c r="J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Lastgang~Tagtyp_1_1+Temperatur+Globale_Strahlung+Betriebsruhe+Monat+Woche+Tag+DayAhead</v>
      </c>
    </row>
    <row r="3" spans="1:10" x14ac:dyDescent="0.35">
      <c r="A3" t="s">
        <v>6</v>
      </c>
      <c r="B3" t="s">
        <v>17</v>
      </c>
      <c r="C3" t="s">
        <v>11</v>
      </c>
      <c r="E3" t="s">
        <v>13</v>
      </c>
      <c r="F3" t="s">
        <v>14</v>
      </c>
      <c r="G3" t="s">
        <v>15</v>
      </c>
      <c r="H3" t="s">
        <v>16</v>
      </c>
      <c r="I3" t="s">
        <v>3</v>
      </c>
      <c r="J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Lastgang~Tagtyp_1_1+Temperatur+Betriebsruhe+Monat+Woche+Tag+DayAhead</v>
      </c>
    </row>
    <row r="4" spans="1:10" x14ac:dyDescent="0.35">
      <c r="A4" t="s">
        <v>6</v>
      </c>
      <c r="B4" t="s">
        <v>17</v>
      </c>
      <c r="E4" t="s">
        <v>13</v>
      </c>
      <c r="F4" t="s">
        <v>14</v>
      </c>
      <c r="G4" t="s">
        <v>15</v>
      </c>
      <c r="H4" t="s">
        <v>16</v>
      </c>
      <c r="I4" t="s">
        <v>3</v>
      </c>
      <c r="J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Lastgang~Tagtyp_1_1+Betriebsruhe+Monat+Woche+Tag+DayAhead</v>
      </c>
    </row>
    <row r="5" spans="1:10" x14ac:dyDescent="0.35">
      <c r="A5" t="s">
        <v>6</v>
      </c>
      <c r="B5" t="s">
        <v>17</v>
      </c>
      <c r="C5" t="s">
        <v>11</v>
      </c>
      <c r="D5" t="s">
        <v>12</v>
      </c>
      <c r="F5" t="s">
        <v>14</v>
      </c>
      <c r="G5" t="s">
        <v>15</v>
      </c>
      <c r="H5" t="s">
        <v>16</v>
      </c>
      <c r="I5" t="s">
        <v>3</v>
      </c>
      <c r="J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Lastgang~Tagtyp_1_1+Temperatur+Globale_Strahlung+Monat+Woche+Tag+DayAhead</v>
      </c>
    </row>
    <row r="6" spans="1:10" x14ac:dyDescent="0.35">
      <c r="A6" t="s">
        <v>6</v>
      </c>
      <c r="B6" t="s">
        <v>17</v>
      </c>
      <c r="C6" t="s">
        <v>11</v>
      </c>
      <c r="F6" t="s">
        <v>14</v>
      </c>
      <c r="G6" t="s">
        <v>15</v>
      </c>
      <c r="H6" t="s">
        <v>16</v>
      </c>
      <c r="I6" t="s">
        <v>3</v>
      </c>
      <c r="J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Lastgang~Tagtyp_1_1+Temperatur+Monat+Woche+Tag+DayAhead</v>
      </c>
    </row>
    <row r="7" spans="1:10" x14ac:dyDescent="0.35">
      <c r="A7" t="s">
        <v>6</v>
      </c>
      <c r="B7" t="s">
        <v>17</v>
      </c>
      <c r="F7" t="s">
        <v>14</v>
      </c>
      <c r="G7" t="s">
        <v>15</v>
      </c>
      <c r="H7" t="s">
        <v>16</v>
      </c>
      <c r="I7" t="s">
        <v>3</v>
      </c>
      <c r="J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Lastgang~Tagtyp_1_1+Monat+Woche+Tag+DayAhead</v>
      </c>
    </row>
    <row r="8" spans="1:10" x14ac:dyDescent="0.35">
      <c r="A8" t="s">
        <v>6</v>
      </c>
      <c r="B8" t="s">
        <v>17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I8" t="s">
        <v>3</v>
      </c>
      <c r="J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Lastgang~Tagtyp_1_1+Temperatur+Globale_Strahlung+Betriebsruhe+Monat+Woche+DayAhead</v>
      </c>
    </row>
    <row r="9" spans="1:10" x14ac:dyDescent="0.35">
      <c r="A9" t="s">
        <v>6</v>
      </c>
      <c r="B9" t="s">
        <v>17</v>
      </c>
      <c r="C9" t="s">
        <v>11</v>
      </c>
      <c r="E9" t="s">
        <v>13</v>
      </c>
      <c r="F9" t="s">
        <v>14</v>
      </c>
      <c r="G9" t="s">
        <v>15</v>
      </c>
      <c r="I9" t="s">
        <v>3</v>
      </c>
      <c r="J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Lastgang~Tagtyp_1_1+Temperatur+Betriebsruhe+Monat+Woche+DayAhead</v>
      </c>
    </row>
    <row r="10" spans="1:10" x14ac:dyDescent="0.35">
      <c r="A10" t="s">
        <v>6</v>
      </c>
      <c r="B10" t="s">
        <v>17</v>
      </c>
      <c r="E10" t="s">
        <v>13</v>
      </c>
      <c r="F10" t="s">
        <v>14</v>
      </c>
      <c r="G10" t="s">
        <v>15</v>
      </c>
      <c r="I10" t="s">
        <v>3</v>
      </c>
      <c r="J1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Lastgang~Tagtyp_1_1+Betriebsruhe+Monat+Woche+DayAhead</v>
      </c>
    </row>
    <row r="11" spans="1:10" x14ac:dyDescent="0.35">
      <c r="A11" t="s">
        <v>6</v>
      </c>
      <c r="B11" t="s">
        <v>17</v>
      </c>
      <c r="C11" t="s">
        <v>11</v>
      </c>
      <c r="D11" t="s">
        <v>12</v>
      </c>
      <c r="F11" t="s">
        <v>14</v>
      </c>
      <c r="G11" t="s">
        <v>15</v>
      </c>
      <c r="I11" t="s">
        <v>3</v>
      </c>
      <c r="J1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Lastgang~Tagtyp_1_1+Temperatur+Globale_Strahlung+Monat+Woche+DayAhead</v>
      </c>
    </row>
    <row r="12" spans="1:10" x14ac:dyDescent="0.35">
      <c r="A12" t="s">
        <v>6</v>
      </c>
      <c r="B12" t="s">
        <v>17</v>
      </c>
      <c r="C12" t="s">
        <v>11</v>
      </c>
      <c r="F12" t="s">
        <v>14</v>
      </c>
      <c r="G12" t="s">
        <v>15</v>
      </c>
      <c r="I12" t="s">
        <v>3</v>
      </c>
      <c r="J1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Lastgang~Tagtyp_1_1+Temperatur+Monat+Woche+DayAhead</v>
      </c>
    </row>
    <row r="13" spans="1:10" x14ac:dyDescent="0.35">
      <c r="A13" t="s">
        <v>6</v>
      </c>
      <c r="B13" t="s">
        <v>17</v>
      </c>
      <c r="F13" t="s">
        <v>14</v>
      </c>
      <c r="G13" t="s">
        <v>15</v>
      </c>
      <c r="I13" t="s">
        <v>3</v>
      </c>
      <c r="J1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Lastgang~Tagtyp_1_1+Monat+Woche+DayAhead</v>
      </c>
    </row>
    <row r="14" spans="1:10" x14ac:dyDescent="0.35">
      <c r="A14" t="s">
        <v>6</v>
      </c>
      <c r="B14" t="s">
        <v>17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J1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Lastgang~Tagtyp_1_1+Temperatur+Globale_Strahlung+Betriebsruhe+Monat+Woche+Tag+</v>
      </c>
    </row>
    <row r="15" spans="1:10" x14ac:dyDescent="0.35">
      <c r="A15" t="s">
        <v>6</v>
      </c>
      <c r="B15" t="s">
        <v>17</v>
      </c>
      <c r="C15" t="s">
        <v>11</v>
      </c>
      <c r="E15" t="s">
        <v>13</v>
      </c>
      <c r="F15" t="s">
        <v>14</v>
      </c>
      <c r="G15" t="s">
        <v>15</v>
      </c>
      <c r="H15" t="s">
        <v>16</v>
      </c>
      <c r="J1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Lastgang~Tagtyp_1_1+Temperatur+Betriebsruhe+Monat+Woche+Tag+</v>
      </c>
    </row>
    <row r="16" spans="1:10" x14ac:dyDescent="0.35">
      <c r="A16" t="s">
        <v>6</v>
      </c>
      <c r="B16" t="s">
        <v>17</v>
      </c>
      <c r="E16" t="s">
        <v>13</v>
      </c>
      <c r="F16" t="s">
        <v>14</v>
      </c>
      <c r="G16" t="s">
        <v>15</v>
      </c>
      <c r="H16" t="s">
        <v>16</v>
      </c>
      <c r="J1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Lastgang~Tagtyp_1_1+Betriebsruhe+Monat+Woche+Tag+</v>
      </c>
    </row>
    <row r="17" spans="1:10" x14ac:dyDescent="0.35">
      <c r="A17" t="s">
        <v>6</v>
      </c>
      <c r="B17" t="s">
        <v>17</v>
      </c>
      <c r="C17" t="s">
        <v>11</v>
      </c>
      <c r="D17" t="s">
        <v>12</v>
      </c>
      <c r="F17" t="s">
        <v>14</v>
      </c>
      <c r="G17" t="s">
        <v>15</v>
      </c>
      <c r="H17" t="s">
        <v>16</v>
      </c>
      <c r="J1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Lastgang~Tagtyp_1_1+Temperatur+Globale_Strahlung+Monat+Woche+Tag+</v>
      </c>
    </row>
    <row r="18" spans="1:10" x14ac:dyDescent="0.35">
      <c r="A18" t="s">
        <v>6</v>
      </c>
      <c r="B18" t="s">
        <v>17</v>
      </c>
      <c r="C18" t="s">
        <v>11</v>
      </c>
      <c r="F18" t="s">
        <v>14</v>
      </c>
      <c r="G18" t="s">
        <v>15</v>
      </c>
      <c r="H18" t="s">
        <v>16</v>
      </c>
      <c r="J1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Lastgang~Tagtyp_1_1+Temperatur+Monat+Woche+Tag+</v>
      </c>
    </row>
    <row r="19" spans="1:10" x14ac:dyDescent="0.35">
      <c r="A19" t="s">
        <v>6</v>
      </c>
      <c r="B19" t="s">
        <v>17</v>
      </c>
      <c r="F19" t="s">
        <v>14</v>
      </c>
      <c r="G19" t="s">
        <v>15</v>
      </c>
      <c r="H19" t="s">
        <v>16</v>
      </c>
      <c r="J1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Lastgang~Tagtyp_1_1+Monat+Woche+Tag+</v>
      </c>
    </row>
    <row r="20" spans="1:10" x14ac:dyDescent="0.35">
      <c r="A20" t="s">
        <v>6</v>
      </c>
      <c r="B20" t="s">
        <v>17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J2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Lastgang~Tagtyp_1_1+Temperatur+Globale_Strahlung+Betriebsruhe+Monat+Woche+</v>
      </c>
    </row>
    <row r="21" spans="1:10" x14ac:dyDescent="0.35">
      <c r="A21" t="s">
        <v>6</v>
      </c>
      <c r="B21" t="s">
        <v>17</v>
      </c>
      <c r="C21" t="s">
        <v>11</v>
      </c>
      <c r="E21" t="s">
        <v>13</v>
      </c>
      <c r="F21" t="s">
        <v>14</v>
      </c>
      <c r="G21" t="s">
        <v>15</v>
      </c>
      <c r="J2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Lastgang~Tagtyp_1_1+Temperatur+Betriebsruhe+Monat+Woche+</v>
      </c>
    </row>
    <row r="22" spans="1:10" x14ac:dyDescent="0.35">
      <c r="A22" t="s">
        <v>6</v>
      </c>
      <c r="B22" t="s">
        <v>17</v>
      </c>
      <c r="E22" t="s">
        <v>13</v>
      </c>
      <c r="F22" t="s">
        <v>14</v>
      </c>
      <c r="G22" t="s">
        <v>15</v>
      </c>
      <c r="J2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Lastgang~Tagtyp_1_1+Betriebsruhe+Monat+Woche+</v>
      </c>
    </row>
    <row r="23" spans="1:10" x14ac:dyDescent="0.35">
      <c r="A23" t="s">
        <v>6</v>
      </c>
      <c r="B23" t="s">
        <v>17</v>
      </c>
      <c r="C23" t="s">
        <v>11</v>
      </c>
      <c r="D23" t="s">
        <v>12</v>
      </c>
      <c r="F23" t="s">
        <v>14</v>
      </c>
      <c r="G23" t="s">
        <v>15</v>
      </c>
      <c r="J2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Lastgang~Tagtyp_1_1+Temperatur+Globale_Strahlung+Monat+Woche+</v>
      </c>
    </row>
    <row r="24" spans="1:10" x14ac:dyDescent="0.35">
      <c r="A24" t="s">
        <v>6</v>
      </c>
      <c r="B24" t="s">
        <v>17</v>
      </c>
      <c r="C24" t="s">
        <v>11</v>
      </c>
      <c r="F24" t="s">
        <v>14</v>
      </c>
      <c r="G24" t="s">
        <v>15</v>
      </c>
      <c r="J2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Lastgang~Tagtyp_1_1+Temperatur+Monat+Woche+</v>
      </c>
    </row>
    <row r="25" spans="1:10" x14ac:dyDescent="0.35">
      <c r="A25" t="s">
        <v>6</v>
      </c>
      <c r="B25" t="s">
        <v>17</v>
      </c>
      <c r="F25" t="s">
        <v>14</v>
      </c>
      <c r="G25" t="s">
        <v>15</v>
      </c>
      <c r="J2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Lastgang~Tagtyp_1_1+Monat+Woche+</v>
      </c>
    </row>
    <row r="26" spans="1:10" x14ac:dyDescent="0.35">
      <c r="A26" t="s">
        <v>6</v>
      </c>
      <c r="B26" t="s">
        <v>18</v>
      </c>
      <c r="C26" t="s">
        <v>0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3</v>
      </c>
      <c r="J2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Lastgang~Tagtyp_1_3+TemperaturGlobale_Strahlung+Betriebsruhe+Monat+Woche+Tag+DayAhead</v>
      </c>
    </row>
    <row r="27" spans="1:10" x14ac:dyDescent="0.35">
      <c r="A27" t="s">
        <v>6</v>
      </c>
      <c r="B27" t="s">
        <v>18</v>
      </c>
      <c r="C27" t="s">
        <v>0</v>
      </c>
      <c r="E27" t="s">
        <v>13</v>
      </c>
      <c r="F27" t="s">
        <v>14</v>
      </c>
      <c r="G27" t="s">
        <v>15</v>
      </c>
      <c r="H27" t="s">
        <v>16</v>
      </c>
      <c r="I27" t="s">
        <v>3</v>
      </c>
      <c r="J2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Lastgang~Tagtyp_1_3+TemperaturBetriebsruhe+Monat+Woche+Tag+DayAhead</v>
      </c>
    </row>
    <row r="28" spans="1:10" x14ac:dyDescent="0.35">
      <c r="A28" t="s">
        <v>6</v>
      </c>
      <c r="B28" t="s">
        <v>18</v>
      </c>
      <c r="E28" t="s">
        <v>13</v>
      </c>
      <c r="F28" t="s">
        <v>14</v>
      </c>
      <c r="G28" t="s">
        <v>15</v>
      </c>
      <c r="H28" t="s">
        <v>16</v>
      </c>
      <c r="I28" t="s">
        <v>3</v>
      </c>
      <c r="J2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Lastgang~Tagtyp_1_3+Betriebsruhe+Monat+Woche+Tag+DayAhead</v>
      </c>
    </row>
    <row r="29" spans="1:10" x14ac:dyDescent="0.35">
      <c r="A29" t="s">
        <v>6</v>
      </c>
      <c r="B29" t="s">
        <v>18</v>
      </c>
      <c r="C29" t="s">
        <v>0</v>
      </c>
      <c r="D29" t="s">
        <v>12</v>
      </c>
      <c r="F29" t="s">
        <v>14</v>
      </c>
      <c r="G29" t="s">
        <v>15</v>
      </c>
      <c r="H29" t="s">
        <v>16</v>
      </c>
      <c r="I29" t="s">
        <v>3</v>
      </c>
      <c r="J2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Lastgang~Tagtyp_1_3+TemperaturGlobale_Strahlung+Monat+Woche+Tag+DayAhead</v>
      </c>
    </row>
    <row r="30" spans="1:10" x14ac:dyDescent="0.35">
      <c r="A30" t="s">
        <v>6</v>
      </c>
      <c r="B30" t="s">
        <v>18</v>
      </c>
      <c r="C30" t="s">
        <v>0</v>
      </c>
      <c r="F30" t="s">
        <v>14</v>
      </c>
      <c r="G30" t="s">
        <v>15</v>
      </c>
      <c r="H30" t="s">
        <v>16</v>
      </c>
      <c r="I30" t="s">
        <v>3</v>
      </c>
      <c r="J3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Lastgang~Tagtyp_1_3+TemperaturMonat+Woche+Tag+DayAhead</v>
      </c>
    </row>
    <row r="31" spans="1:10" x14ac:dyDescent="0.35">
      <c r="A31" t="s">
        <v>6</v>
      </c>
      <c r="B31" t="s">
        <v>18</v>
      </c>
      <c r="F31" t="s">
        <v>14</v>
      </c>
      <c r="G31" t="s">
        <v>15</v>
      </c>
      <c r="H31" t="s">
        <v>16</v>
      </c>
      <c r="I31" t="s">
        <v>3</v>
      </c>
      <c r="J3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Lastgang~Tagtyp_1_3+Monat+Woche+Tag+DayAhead</v>
      </c>
    </row>
    <row r="32" spans="1:10" x14ac:dyDescent="0.35">
      <c r="A32" t="s">
        <v>6</v>
      </c>
      <c r="B32" t="s">
        <v>18</v>
      </c>
      <c r="C32" t="s">
        <v>0</v>
      </c>
      <c r="D32" t="s">
        <v>12</v>
      </c>
      <c r="E32" t="s">
        <v>13</v>
      </c>
      <c r="F32" t="s">
        <v>14</v>
      </c>
      <c r="G32" t="s">
        <v>15</v>
      </c>
      <c r="I32" t="s">
        <v>3</v>
      </c>
      <c r="J3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Lastgang~Tagtyp_1_3+TemperaturGlobale_Strahlung+Betriebsruhe+Monat+Woche+DayAhead</v>
      </c>
    </row>
    <row r="33" spans="1:10" x14ac:dyDescent="0.35">
      <c r="A33" t="s">
        <v>6</v>
      </c>
      <c r="B33" t="s">
        <v>18</v>
      </c>
      <c r="C33" t="s">
        <v>0</v>
      </c>
      <c r="E33" t="s">
        <v>13</v>
      </c>
      <c r="F33" t="s">
        <v>14</v>
      </c>
      <c r="G33" t="s">
        <v>15</v>
      </c>
      <c r="I33" t="s">
        <v>3</v>
      </c>
      <c r="J3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Lastgang~Tagtyp_1_3+TemperaturBetriebsruhe+Monat+Woche+DayAhead</v>
      </c>
    </row>
    <row r="34" spans="1:10" x14ac:dyDescent="0.35">
      <c r="A34" t="s">
        <v>6</v>
      </c>
      <c r="B34" t="s">
        <v>18</v>
      </c>
      <c r="E34" t="s">
        <v>13</v>
      </c>
      <c r="F34" t="s">
        <v>14</v>
      </c>
      <c r="G34" t="s">
        <v>15</v>
      </c>
      <c r="I34" t="s">
        <v>3</v>
      </c>
      <c r="J3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Lastgang~Tagtyp_1_3+Betriebsruhe+Monat+Woche+DayAhead</v>
      </c>
    </row>
    <row r="35" spans="1:10" x14ac:dyDescent="0.35">
      <c r="A35" t="s">
        <v>6</v>
      </c>
      <c r="B35" t="s">
        <v>18</v>
      </c>
      <c r="C35" t="s">
        <v>0</v>
      </c>
      <c r="D35" t="s">
        <v>12</v>
      </c>
      <c r="F35" t="s">
        <v>14</v>
      </c>
      <c r="G35" t="s">
        <v>15</v>
      </c>
      <c r="I35" t="s">
        <v>3</v>
      </c>
      <c r="J3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Lastgang~Tagtyp_1_3+TemperaturGlobale_Strahlung+Monat+Woche+DayAhead</v>
      </c>
    </row>
    <row r="36" spans="1:10" x14ac:dyDescent="0.35">
      <c r="A36" t="s">
        <v>6</v>
      </c>
      <c r="B36" t="s">
        <v>18</v>
      </c>
      <c r="C36" t="s">
        <v>0</v>
      </c>
      <c r="F36" t="s">
        <v>14</v>
      </c>
      <c r="G36" t="s">
        <v>15</v>
      </c>
      <c r="I36" t="s">
        <v>3</v>
      </c>
      <c r="J3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Lastgang~Tagtyp_1_3+TemperaturMonat+Woche+DayAhead</v>
      </c>
    </row>
    <row r="37" spans="1:10" x14ac:dyDescent="0.35">
      <c r="A37" t="s">
        <v>6</v>
      </c>
      <c r="B37" t="s">
        <v>18</v>
      </c>
      <c r="F37" t="s">
        <v>14</v>
      </c>
      <c r="G37" t="s">
        <v>15</v>
      </c>
      <c r="I37" t="s">
        <v>3</v>
      </c>
      <c r="J3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Lastgang~Tagtyp_1_3+Monat+Woche+DayAhead</v>
      </c>
    </row>
    <row r="38" spans="1:10" x14ac:dyDescent="0.35">
      <c r="A38" t="s">
        <v>6</v>
      </c>
      <c r="B38" t="s">
        <v>18</v>
      </c>
      <c r="C38" t="s">
        <v>0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J3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Lastgang~Tagtyp_1_3+TemperaturGlobale_Strahlung+Betriebsruhe+Monat+Woche+Tag+</v>
      </c>
    </row>
    <row r="39" spans="1:10" x14ac:dyDescent="0.35">
      <c r="A39" t="s">
        <v>6</v>
      </c>
      <c r="B39" t="s">
        <v>18</v>
      </c>
      <c r="C39" t="s">
        <v>0</v>
      </c>
      <c r="E39" t="s">
        <v>13</v>
      </c>
      <c r="F39" t="s">
        <v>14</v>
      </c>
      <c r="G39" t="s">
        <v>15</v>
      </c>
      <c r="H39" t="s">
        <v>16</v>
      </c>
      <c r="J3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Lastgang~Tagtyp_1_3+TemperaturBetriebsruhe+Monat+Woche+Tag+</v>
      </c>
    </row>
    <row r="40" spans="1:10" x14ac:dyDescent="0.35">
      <c r="A40" t="s">
        <v>6</v>
      </c>
      <c r="B40" t="s">
        <v>18</v>
      </c>
      <c r="E40" t="s">
        <v>13</v>
      </c>
      <c r="F40" t="s">
        <v>14</v>
      </c>
      <c r="G40" t="s">
        <v>15</v>
      </c>
      <c r="H40" t="s">
        <v>16</v>
      </c>
      <c r="J4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Lastgang~Tagtyp_1_3+Betriebsruhe+Monat+Woche+Tag+</v>
      </c>
    </row>
    <row r="41" spans="1:10" x14ac:dyDescent="0.35">
      <c r="A41" t="s">
        <v>6</v>
      </c>
      <c r="B41" t="s">
        <v>18</v>
      </c>
      <c r="C41" t="s">
        <v>0</v>
      </c>
      <c r="D41" t="s">
        <v>12</v>
      </c>
      <c r="F41" t="s">
        <v>14</v>
      </c>
      <c r="G41" t="s">
        <v>15</v>
      </c>
      <c r="H41" t="s">
        <v>16</v>
      </c>
      <c r="J4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Lastgang~Tagtyp_1_3+TemperaturGlobale_Strahlung+Monat+Woche+Tag+</v>
      </c>
    </row>
    <row r="42" spans="1:10" x14ac:dyDescent="0.35">
      <c r="A42" t="s">
        <v>6</v>
      </c>
      <c r="B42" t="s">
        <v>18</v>
      </c>
      <c r="C42" t="s">
        <v>0</v>
      </c>
      <c r="F42" t="s">
        <v>14</v>
      </c>
      <c r="G42" t="s">
        <v>15</v>
      </c>
      <c r="H42" t="s">
        <v>16</v>
      </c>
      <c r="J4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Lastgang~Tagtyp_1_3+TemperaturMonat+Woche+Tag+</v>
      </c>
    </row>
    <row r="43" spans="1:10" x14ac:dyDescent="0.35">
      <c r="A43" t="s">
        <v>6</v>
      </c>
      <c r="B43" t="s">
        <v>18</v>
      </c>
      <c r="F43" t="s">
        <v>14</v>
      </c>
      <c r="G43" t="s">
        <v>15</v>
      </c>
      <c r="H43" t="s">
        <v>16</v>
      </c>
      <c r="J4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Lastgang~Tagtyp_1_3+Monat+Woche+Tag+</v>
      </c>
    </row>
    <row r="44" spans="1:10" x14ac:dyDescent="0.35">
      <c r="A44" t="s">
        <v>6</v>
      </c>
      <c r="B44" t="s">
        <v>18</v>
      </c>
      <c r="C44" t="s">
        <v>0</v>
      </c>
      <c r="D44" t="s">
        <v>12</v>
      </c>
      <c r="E44" t="s">
        <v>13</v>
      </c>
      <c r="F44" t="s">
        <v>14</v>
      </c>
      <c r="G44" t="s">
        <v>15</v>
      </c>
      <c r="J4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Lastgang~Tagtyp_1_3+TemperaturGlobale_Strahlung+Betriebsruhe+Monat+Woche+</v>
      </c>
    </row>
    <row r="45" spans="1:10" x14ac:dyDescent="0.35">
      <c r="A45" t="s">
        <v>6</v>
      </c>
      <c r="B45" t="s">
        <v>18</v>
      </c>
      <c r="C45" t="s">
        <v>0</v>
      </c>
      <c r="E45" t="s">
        <v>13</v>
      </c>
      <c r="F45" t="s">
        <v>14</v>
      </c>
      <c r="G45" t="s">
        <v>15</v>
      </c>
      <c r="J4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Lastgang~Tagtyp_1_3+TemperaturBetriebsruhe+Monat+Woche+</v>
      </c>
    </row>
    <row r="46" spans="1:10" x14ac:dyDescent="0.35">
      <c r="A46" t="s">
        <v>6</v>
      </c>
      <c r="B46" t="s">
        <v>18</v>
      </c>
      <c r="E46" t="s">
        <v>13</v>
      </c>
      <c r="F46" t="s">
        <v>14</v>
      </c>
      <c r="G46" t="s">
        <v>15</v>
      </c>
      <c r="J4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Lastgang~Tagtyp_1_3+Betriebsruhe+Monat+Woche+</v>
      </c>
    </row>
    <row r="47" spans="1:10" x14ac:dyDescent="0.35">
      <c r="A47" t="s">
        <v>6</v>
      </c>
      <c r="B47" t="s">
        <v>18</v>
      </c>
      <c r="C47" t="s">
        <v>0</v>
      </c>
      <c r="D47" t="s">
        <v>12</v>
      </c>
      <c r="F47" t="s">
        <v>14</v>
      </c>
      <c r="G47" t="s">
        <v>15</v>
      </c>
      <c r="J4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Lastgang~Tagtyp_1_3+TemperaturGlobale_Strahlung+Monat+Woche+</v>
      </c>
    </row>
    <row r="48" spans="1:10" x14ac:dyDescent="0.35">
      <c r="A48" t="s">
        <v>6</v>
      </c>
      <c r="B48" t="s">
        <v>18</v>
      </c>
      <c r="C48" t="s">
        <v>0</v>
      </c>
      <c r="F48" t="s">
        <v>14</v>
      </c>
      <c r="G48" t="s">
        <v>15</v>
      </c>
      <c r="J4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Lastgang~Tagtyp_1_3+TemperaturMonat+Woche+</v>
      </c>
    </row>
    <row r="49" spans="1:10" x14ac:dyDescent="0.35">
      <c r="A49" t="s">
        <v>6</v>
      </c>
      <c r="B49" t="s">
        <v>18</v>
      </c>
      <c r="F49" t="s">
        <v>14</v>
      </c>
      <c r="G49" t="s">
        <v>15</v>
      </c>
      <c r="J4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Lastgang~Tagtyp_1_3+Monat+Woche+</v>
      </c>
    </row>
    <row r="50" spans="1:10" x14ac:dyDescent="0.35">
      <c r="A50" t="s">
        <v>6</v>
      </c>
      <c r="B50" t="s">
        <v>19</v>
      </c>
      <c r="C50" t="s">
        <v>0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3</v>
      </c>
      <c r="J5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Lastgang~Tagtyp_1_5+TemperaturGlobale_Strahlung+Betriebsruhe+Monat+Woche+Tag+DayAhead</v>
      </c>
    </row>
    <row r="51" spans="1:10" x14ac:dyDescent="0.35">
      <c r="A51" t="s">
        <v>6</v>
      </c>
      <c r="B51" t="s">
        <v>19</v>
      </c>
      <c r="C51" t="s">
        <v>0</v>
      </c>
      <c r="E51" t="s">
        <v>13</v>
      </c>
      <c r="F51" t="s">
        <v>14</v>
      </c>
      <c r="G51" t="s">
        <v>15</v>
      </c>
      <c r="H51" t="s">
        <v>16</v>
      </c>
      <c r="I51" t="s">
        <v>3</v>
      </c>
      <c r="J5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Lastgang~Tagtyp_1_5+TemperaturBetriebsruhe+Monat+Woche+Tag+DayAhead</v>
      </c>
    </row>
    <row r="52" spans="1:10" x14ac:dyDescent="0.35">
      <c r="A52" t="s">
        <v>6</v>
      </c>
      <c r="B52" t="s">
        <v>19</v>
      </c>
      <c r="E52" t="s">
        <v>13</v>
      </c>
      <c r="F52" t="s">
        <v>14</v>
      </c>
      <c r="G52" t="s">
        <v>15</v>
      </c>
      <c r="H52" t="s">
        <v>16</v>
      </c>
      <c r="I52" t="s">
        <v>3</v>
      </c>
      <c r="J5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Lastgang~Tagtyp_1_5+Betriebsruhe+Monat+Woche+Tag+DayAhead</v>
      </c>
    </row>
    <row r="53" spans="1:10" x14ac:dyDescent="0.35">
      <c r="A53" t="s">
        <v>6</v>
      </c>
      <c r="B53" t="s">
        <v>19</v>
      </c>
      <c r="C53" t="s">
        <v>0</v>
      </c>
      <c r="D53" t="s">
        <v>12</v>
      </c>
      <c r="F53" t="s">
        <v>14</v>
      </c>
      <c r="G53" t="s">
        <v>15</v>
      </c>
      <c r="H53" t="s">
        <v>16</v>
      </c>
      <c r="I53" t="s">
        <v>3</v>
      </c>
      <c r="J5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Lastgang~Tagtyp_1_5+TemperaturGlobale_Strahlung+Monat+Woche+Tag+DayAhead</v>
      </c>
    </row>
    <row r="54" spans="1:10" x14ac:dyDescent="0.35">
      <c r="A54" t="s">
        <v>6</v>
      </c>
      <c r="B54" t="s">
        <v>19</v>
      </c>
      <c r="C54" t="s">
        <v>0</v>
      </c>
      <c r="F54" t="s">
        <v>14</v>
      </c>
      <c r="G54" t="s">
        <v>15</v>
      </c>
      <c r="H54" t="s">
        <v>16</v>
      </c>
      <c r="I54" t="s">
        <v>3</v>
      </c>
      <c r="J5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Lastgang~Tagtyp_1_5+TemperaturMonat+Woche+Tag+DayAhead</v>
      </c>
    </row>
    <row r="55" spans="1:10" x14ac:dyDescent="0.35">
      <c r="A55" t="s">
        <v>6</v>
      </c>
      <c r="B55" t="s">
        <v>19</v>
      </c>
      <c r="F55" t="s">
        <v>14</v>
      </c>
      <c r="G55" t="s">
        <v>15</v>
      </c>
      <c r="H55" t="s">
        <v>16</v>
      </c>
      <c r="I55" t="s">
        <v>3</v>
      </c>
      <c r="J5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Lastgang~Tagtyp_1_5+Monat+Woche+Tag+DayAhead</v>
      </c>
    </row>
    <row r="56" spans="1:10" x14ac:dyDescent="0.35">
      <c r="A56" t="s">
        <v>6</v>
      </c>
      <c r="B56" t="s">
        <v>19</v>
      </c>
      <c r="C56" t="s">
        <v>0</v>
      </c>
      <c r="D56" t="s">
        <v>12</v>
      </c>
      <c r="E56" t="s">
        <v>13</v>
      </c>
      <c r="F56" t="s">
        <v>14</v>
      </c>
      <c r="G56" t="s">
        <v>15</v>
      </c>
      <c r="I56" t="s">
        <v>3</v>
      </c>
      <c r="J5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Lastgang~Tagtyp_1_5+TemperaturGlobale_Strahlung+Betriebsruhe+Monat+Woche+DayAhead</v>
      </c>
    </row>
    <row r="57" spans="1:10" x14ac:dyDescent="0.35">
      <c r="A57" t="s">
        <v>6</v>
      </c>
      <c r="B57" t="s">
        <v>19</v>
      </c>
      <c r="C57" t="s">
        <v>0</v>
      </c>
      <c r="E57" t="s">
        <v>13</v>
      </c>
      <c r="F57" t="s">
        <v>14</v>
      </c>
      <c r="G57" t="s">
        <v>15</v>
      </c>
      <c r="I57" t="s">
        <v>3</v>
      </c>
      <c r="J5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Lastgang~Tagtyp_1_5+TemperaturBetriebsruhe+Monat+Woche+DayAhead</v>
      </c>
    </row>
    <row r="58" spans="1:10" x14ac:dyDescent="0.35">
      <c r="A58" t="s">
        <v>6</v>
      </c>
      <c r="B58" t="s">
        <v>19</v>
      </c>
      <c r="E58" t="s">
        <v>13</v>
      </c>
      <c r="F58" t="s">
        <v>14</v>
      </c>
      <c r="G58" t="s">
        <v>15</v>
      </c>
      <c r="I58" t="s">
        <v>3</v>
      </c>
      <c r="J5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Lastgang~Tagtyp_1_5+Betriebsruhe+Monat+Woche+DayAhead</v>
      </c>
    </row>
    <row r="59" spans="1:10" x14ac:dyDescent="0.35">
      <c r="A59" t="s">
        <v>6</v>
      </c>
      <c r="B59" t="s">
        <v>19</v>
      </c>
      <c r="C59" t="s">
        <v>0</v>
      </c>
      <c r="D59" t="s">
        <v>12</v>
      </c>
      <c r="F59" t="s">
        <v>14</v>
      </c>
      <c r="G59" t="s">
        <v>15</v>
      </c>
      <c r="I59" t="s">
        <v>3</v>
      </c>
      <c r="J5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Lastgang~Tagtyp_1_5+TemperaturGlobale_Strahlung+Monat+Woche+DayAhead</v>
      </c>
    </row>
    <row r="60" spans="1:10" x14ac:dyDescent="0.35">
      <c r="A60" t="s">
        <v>6</v>
      </c>
      <c r="B60" t="s">
        <v>19</v>
      </c>
      <c r="C60" t="s">
        <v>0</v>
      </c>
      <c r="F60" t="s">
        <v>14</v>
      </c>
      <c r="G60" t="s">
        <v>15</v>
      </c>
      <c r="I60" t="s">
        <v>3</v>
      </c>
      <c r="J6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Lastgang~Tagtyp_1_5+TemperaturMonat+Woche+DayAhead</v>
      </c>
    </row>
    <row r="61" spans="1:10" x14ac:dyDescent="0.35">
      <c r="A61" t="s">
        <v>6</v>
      </c>
      <c r="B61" t="s">
        <v>19</v>
      </c>
      <c r="F61" t="s">
        <v>14</v>
      </c>
      <c r="G61" t="s">
        <v>15</v>
      </c>
      <c r="I61" t="s">
        <v>3</v>
      </c>
      <c r="J6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Lastgang~Tagtyp_1_5+Monat+Woche+DayAhead</v>
      </c>
    </row>
    <row r="62" spans="1:10" x14ac:dyDescent="0.35">
      <c r="A62" t="s">
        <v>6</v>
      </c>
      <c r="B62" t="s">
        <v>19</v>
      </c>
      <c r="C62" t="s">
        <v>0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J6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Lastgang~Tagtyp_1_5+TemperaturGlobale_Strahlung+Betriebsruhe+Monat+Woche+Tag+</v>
      </c>
    </row>
    <row r="63" spans="1:10" x14ac:dyDescent="0.35">
      <c r="A63" t="s">
        <v>6</v>
      </c>
      <c r="B63" t="s">
        <v>19</v>
      </c>
      <c r="C63" t="s">
        <v>0</v>
      </c>
      <c r="E63" t="s">
        <v>13</v>
      </c>
      <c r="F63" t="s">
        <v>14</v>
      </c>
      <c r="G63" t="s">
        <v>15</v>
      </c>
      <c r="H63" t="s">
        <v>16</v>
      </c>
      <c r="J6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Lastgang~Tagtyp_1_5+TemperaturBetriebsruhe+Monat+Woche+Tag+</v>
      </c>
    </row>
    <row r="64" spans="1:10" x14ac:dyDescent="0.35">
      <c r="A64" t="s">
        <v>6</v>
      </c>
      <c r="B64" t="s">
        <v>19</v>
      </c>
      <c r="E64" t="s">
        <v>13</v>
      </c>
      <c r="F64" t="s">
        <v>14</v>
      </c>
      <c r="G64" t="s">
        <v>15</v>
      </c>
      <c r="H64" t="s">
        <v>16</v>
      </c>
      <c r="J6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Lastgang~Tagtyp_1_5+Betriebsruhe+Monat+Woche+Tag+</v>
      </c>
    </row>
    <row r="65" spans="1:10" x14ac:dyDescent="0.35">
      <c r="A65" t="s">
        <v>6</v>
      </c>
      <c r="B65" t="s">
        <v>19</v>
      </c>
      <c r="C65" t="s">
        <v>0</v>
      </c>
      <c r="D65" t="s">
        <v>12</v>
      </c>
      <c r="F65" t="s">
        <v>14</v>
      </c>
      <c r="G65" t="s">
        <v>15</v>
      </c>
      <c r="H65" t="s">
        <v>16</v>
      </c>
      <c r="J6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Lastgang~Tagtyp_1_5+TemperaturGlobale_Strahlung+Monat+Woche+Tag+</v>
      </c>
    </row>
    <row r="66" spans="1:10" x14ac:dyDescent="0.35">
      <c r="A66" t="s">
        <v>6</v>
      </c>
      <c r="B66" t="s">
        <v>19</v>
      </c>
      <c r="C66" t="s">
        <v>0</v>
      </c>
      <c r="F66" t="s">
        <v>14</v>
      </c>
      <c r="G66" t="s">
        <v>15</v>
      </c>
      <c r="H66" t="s">
        <v>16</v>
      </c>
      <c r="J6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Lastgang~Tagtyp_1_5+TemperaturMonat+Woche+Tag+</v>
      </c>
    </row>
    <row r="67" spans="1:10" x14ac:dyDescent="0.35">
      <c r="A67" t="s">
        <v>6</v>
      </c>
      <c r="B67" t="s">
        <v>19</v>
      </c>
      <c r="F67" t="s">
        <v>14</v>
      </c>
      <c r="G67" t="s">
        <v>15</v>
      </c>
      <c r="H67" t="s">
        <v>16</v>
      </c>
      <c r="J6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Lastgang~Tagtyp_1_5+Monat+Woche+Tag+</v>
      </c>
    </row>
    <row r="68" spans="1:10" x14ac:dyDescent="0.35">
      <c r="A68" t="s">
        <v>6</v>
      </c>
      <c r="B68" t="s">
        <v>19</v>
      </c>
      <c r="C68" t="s">
        <v>0</v>
      </c>
      <c r="D68" t="s">
        <v>12</v>
      </c>
      <c r="E68" t="s">
        <v>13</v>
      </c>
      <c r="F68" t="s">
        <v>14</v>
      </c>
      <c r="G68" t="s">
        <v>15</v>
      </c>
      <c r="J6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Lastgang~Tagtyp_1_5+TemperaturGlobale_Strahlung+Betriebsruhe+Monat+Woche+</v>
      </c>
    </row>
    <row r="69" spans="1:10" x14ac:dyDescent="0.35">
      <c r="A69" t="s">
        <v>6</v>
      </c>
      <c r="B69" t="s">
        <v>19</v>
      </c>
      <c r="C69" t="s">
        <v>0</v>
      </c>
      <c r="E69" t="s">
        <v>13</v>
      </c>
      <c r="F69" t="s">
        <v>14</v>
      </c>
      <c r="G69" t="s">
        <v>15</v>
      </c>
      <c r="J6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Lastgang~Tagtyp_1_5+TemperaturBetriebsruhe+Monat+Woche+</v>
      </c>
    </row>
    <row r="70" spans="1:10" x14ac:dyDescent="0.35">
      <c r="A70" t="s">
        <v>6</v>
      </c>
      <c r="B70" t="s">
        <v>19</v>
      </c>
      <c r="E70" t="s">
        <v>13</v>
      </c>
      <c r="F70" t="s">
        <v>14</v>
      </c>
      <c r="G70" t="s">
        <v>15</v>
      </c>
      <c r="J7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Lastgang~Tagtyp_1_5+Betriebsruhe+Monat+Woche+</v>
      </c>
    </row>
    <row r="71" spans="1:10" x14ac:dyDescent="0.35">
      <c r="A71" t="s">
        <v>6</v>
      </c>
      <c r="B71" t="s">
        <v>19</v>
      </c>
      <c r="C71" t="s">
        <v>0</v>
      </c>
      <c r="D71" t="s">
        <v>12</v>
      </c>
      <c r="F71" t="s">
        <v>14</v>
      </c>
      <c r="G71" t="s">
        <v>15</v>
      </c>
      <c r="J7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Lastgang~Tagtyp_1_5+TemperaturGlobale_Strahlung+Monat+Woche+</v>
      </c>
    </row>
    <row r="72" spans="1:10" x14ac:dyDescent="0.35">
      <c r="A72" t="s">
        <v>6</v>
      </c>
      <c r="B72" t="s">
        <v>19</v>
      </c>
      <c r="C72" t="s">
        <v>0</v>
      </c>
      <c r="F72" t="s">
        <v>14</v>
      </c>
      <c r="G72" t="s">
        <v>15</v>
      </c>
      <c r="J7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Lastgang~Tagtyp_1_5+TemperaturMonat+Woche+</v>
      </c>
    </row>
    <row r="73" spans="1:10" x14ac:dyDescent="0.35">
      <c r="A73" t="s">
        <v>6</v>
      </c>
      <c r="B73" t="s">
        <v>19</v>
      </c>
      <c r="F73" t="s">
        <v>14</v>
      </c>
      <c r="G73" t="s">
        <v>15</v>
      </c>
      <c r="J7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Lastgang~Tagtyp_1_5+Monat+Woche+</v>
      </c>
    </row>
    <row r="74" spans="1:10" x14ac:dyDescent="0.35">
      <c r="A74" t="s">
        <v>6</v>
      </c>
      <c r="B74" t="s">
        <v>20</v>
      </c>
      <c r="C74" t="s">
        <v>0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t="s">
        <v>3</v>
      </c>
      <c r="J7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Lastgang~Tagtyp_1_7+TemperaturGlobale_Strahlung+Betriebsruhe+Monat+Woche+Tag+DayAhead</v>
      </c>
    </row>
    <row r="75" spans="1:10" x14ac:dyDescent="0.35">
      <c r="A75" t="s">
        <v>6</v>
      </c>
      <c r="B75" t="s">
        <v>20</v>
      </c>
      <c r="C75" t="s">
        <v>0</v>
      </c>
      <c r="E75" t="s">
        <v>13</v>
      </c>
      <c r="F75" t="s">
        <v>14</v>
      </c>
      <c r="G75" t="s">
        <v>15</v>
      </c>
      <c r="H75" t="s">
        <v>16</v>
      </c>
      <c r="I75" t="s">
        <v>3</v>
      </c>
      <c r="J7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Lastgang~Tagtyp_1_7+TemperaturBetriebsruhe+Monat+Woche+Tag+DayAhead</v>
      </c>
    </row>
    <row r="76" spans="1:10" x14ac:dyDescent="0.35">
      <c r="A76" t="s">
        <v>6</v>
      </c>
      <c r="B76" t="s">
        <v>20</v>
      </c>
      <c r="E76" t="s">
        <v>13</v>
      </c>
      <c r="F76" t="s">
        <v>14</v>
      </c>
      <c r="G76" t="s">
        <v>15</v>
      </c>
      <c r="H76" t="s">
        <v>16</v>
      </c>
      <c r="I76" t="s">
        <v>3</v>
      </c>
      <c r="J7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Lastgang~Tagtyp_1_7+Betriebsruhe+Monat+Woche+Tag+DayAhead</v>
      </c>
    </row>
    <row r="77" spans="1:10" x14ac:dyDescent="0.35">
      <c r="A77" t="s">
        <v>6</v>
      </c>
      <c r="B77" t="s">
        <v>20</v>
      </c>
      <c r="C77" t="s">
        <v>0</v>
      </c>
      <c r="D77" t="s">
        <v>12</v>
      </c>
      <c r="F77" t="s">
        <v>14</v>
      </c>
      <c r="G77" t="s">
        <v>15</v>
      </c>
      <c r="H77" t="s">
        <v>16</v>
      </c>
      <c r="I77" t="s">
        <v>3</v>
      </c>
      <c r="J7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Lastgang~Tagtyp_1_7+TemperaturGlobale_Strahlung+Monat+Woche+Tag+DayAhead</v>
      </c>
    </row>
    <row r="78" spans="1:10" x14ac:dyDescent="0.35">
      <c r="A78" t="s">
        <v>6</v>
      </c>
      <c r="B78" t="s">
        <v>20</v>
      </c>
      <c r="C78" t="s">
        <v>0</v>
      </c>
      <c r="F78" t="s">
        <v>14</v>
      </c>
      <c r="G78" t="s">
        <v>15</v>
      </c>
      <c r="H78" t="s">
        <v>16</v>
      </c>
      <c r="I78" t="s">
        <v>3</v>
      </c>
      <c r="J7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Lastgang~Tagtyp_1_7+TemperaturMonat+Woche+Tag+DayAhead</v>
      </c>
    </row>
    <row r="79" spans="1:10" x14ac:dyDescent="0.35">
      <c r="A79" t="s">
        <v>6</v>
      </c>
      <c r="B79" t="s">
        <v>20</v>
      </c>
      <c r="F79" t="s">
        <v>14</v>
      </c>
      <c r="G79" t="s">
        <v>15</v>
      </c>
      <c r="H79" t="s">
        <v>16</v>
      </c>
      <c r="I79" t="s">
        <v>3</v>
      </c>
      <c r="J7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Lastgang~Tagtyp_1_7+Monat+Woche+Tag+DayAhead</v>
      </c>
    </row>
    <row r="80" spans="1:10" x14ac:dyDescent="0.35">
      <c r="A80" t="s">
        <v>6</v>
      </c>
      <c r="B80" t="s">
        <v>20</v>
      </c>
      <c r="C80" t="s">
        <v>0</v>
      </c>
      <c r="D80" t="s">
        <v>12</v>
      </c>
      <c r="E80" t="s">
        <v>13</v>
      </c>
      <c r="F80" t="s">
        <v>14</v>
      </c>
      <c r="G80" t="s">
        <v>15</v>
      </c>
      <c r="I80" t="s">
        <v>3</v>
      </c>
      <c r="J8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Lastgang~Tagtyp_1_7+TemperaturGlobale_Strahlung+Betriebsruhe+Monat+Woche+DayAhead</v>
      </c>
    </row>
    <row r="81" spans="1:10" x14ac:dyDescent="0.35">
      <c r="A81" t="s">
        <v>6</v>
      </c>
      <c r="B81" t="s">
        <v>20</v>
      </c>
      <c r="C81" t="s">
        <v>0</v>
      </c>
      <c r="E81" t="s">
        <v>13</v>
      </c>
      <c r="F81" t="s">
        <v>14</v>
      </c>
      <c r="G81" t="s">
        <v>15</v>
      </c>
      <c r="I81" t="s">
        <v>3</v>
      </c>
      <c r="J8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Lastgang~Tagtyp_1_7+TemperaturBetriebsruhe+Monat+Woche+DayAhead</v>
      </c>
    </row>
    <row r="82" spans="1:10" x14ac:dyDescent="0.35">
      <c r="A82" t="s">
        <v>6</v>
      </c>
      <c r="B82" t="s">
        <v>20</v>
      </c>
      <c r="E82" t="s">
        <v>13</v>
      </c>
      <c r="F82" t="s">
        <v>14</v>
      </c>
      <c r="G82" t="s">
        <v>15</v>
      </c>
      <c r="I82" t="s">
        <v>3</v>
      </c>
      <c r="J8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Lastgang~Tagtyp_1_7+Betriebsruhe+Monat+Woche+DayAhead</v>
      </c>
    </row>
    <row r="83" spans="1:10" x14ac:dyDescent="0.35">
      <c r="A83" t="s">
        <v>6</v>
      </c>
      <c r="B83" t="s">
        <v>20</v>
      </c>
      <c r="C83" t="s">
        <v>0</v>
      </c>
      <c r="D83" t="s">
        <v>12</v>
      </c>
      <c r="F83" t="s">
        <v>14</v>
      </c>
      <c r="G83" t="s">
        <v>15</v>
      </c>
      <c r="I83" t="s">
        <v>3</v>
      </c>
      <c r="J8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Lastgang~Tagtyp_1_7+TemperaturGlobale_Strahlung+Monat+Woche+DayAhead</v>
      </c>
    </row>
    <row r="84" spans="1:10" x14ac:dyDescent="0.35">
      <c r="A84" t="s">
        <v>6</v>
      </c>
      <c r="B84" t="s">
        <v>20</v>
      </c>
      <c r="C84" t="s">
        <v>0</v>
      </c>
      <c r="F84" t="s">
        <v>14</v>
      </c>
      <c r="G84" t="s">
        <v>15</v>
      </c>
      <c r="I84" t="s">
        <v>3</v>
      </c>
      <c r="J8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Lastgang~Tagtyp_1_7+TemperaturMonat+Woche+DayAhead</v>
      </c>
    </row>
    <row r="85" spans="1:10" x14ac:dyDescent="0.35">
      <c r="A85" t="s">
        <v>6</v>
      </c>
      <c r="B85" t="s">
        <v>20</v>
      </c>
      <c r="F85" t="s">
        <v>14</v>
      </c>
      <c r="G85" t="s">
        <v>15</v>
      </c>
      <c r="I85" t="s">
        <v>3</v>
      </c>
      <c r="J8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Lastgang~Tagtyp_1_7+Monat+Woche+DayAhead</v>
      </c>
    </row>
    <row r="86" spans="1:10" x14ac:dyDescent="0.35">
      <c r="A86" t="s">
        <v>6</v>
      </c>
      <c r="B86" t="s">
        <v>20</v>
      </c>
      <c r="C86" t="s">
        <v>0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J8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Lastgang~Tagtyp_1_7+TemperaturGlobale_Strahlung+Betriebsruhe+Monat+Woche+Tag+</v>
      </c>
    </row>
    <row r="87" spans="1:10" x14ac:dyDescent="0.35">
      <c r="A87" t="s">
        <v>6</v>
      </c>
      <c r="B87" t="s">
        <v>20</v>
      </c>
      <c r="C87" t="s">
        <v>0</v>
      </c>
      <c r="E87" t="s">
        <v>13</v>
      </c>
      <c r="F87" t="s">
        <v>14</v>
      </c>
      <c r="G87" t="s">
        <v>15</v>
      </c>
      <c r="H87" t="s">
        <v>16</v>
      </c>
      <c r="J8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Lastgang~Tagtyp_1_7+TemperaturBetriebsruhe+Monat+Woche+Tag+</v>
      </c>
    </row>
    <row r="88" spans="1:10" x14ac:dyDescent="0.35">
      <c r="A88" t="s">
        <v>6</v>
      </c>
      <c r="B88" t="s">
        <v>20</v>
      </c>
      <c r="E88" t="s">
        <v>13</v>
      </c>
      <c r="F88" t="s">
        <v>14</v>
      </c>
      <c r="G88" t="s">
        <v>15</v>
      </c>
      <c r="H88" t="s">
        <v>16</v>
      </c>
      <c r="J8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Lastgang~Tagtyp_1_7+Betriebsruhe+Monat+Woche+Tag+</v>
      </c>
    </row>
    <row r="89" spans="1:10" x14ac:dyDescent="0.35">
      <c r="A89" t="s">
        <v>6</v>
      </c>
      <c r="B89" t="s">
        <v>20</v>
      </c>
      <c r="C89" t="s">
        <v>0</v>
      </c>
      <c r="D89" t="s">
        <v>12</v>
      </c>
      <c r="F89" t="s">
        <v>14</v>
      </c>
      <c r="G89" t="s">
        <v>15</v>
      </c>
      <c r="H89" t="s">
        <v>16</v>
      </c>
      <c r="J8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Lastgang~Tagtyp_1_7+TemperaturGlobale_Strahlung+Monat+Woche+Tag+</v>
      </c>
    </row>
    <row r="90" spans="1:10" x14ac:dyDescent="0.35">
      <c r="A90" t="s">
        <v>6</v>
      </c>
      <c r="B90" t="s">
        <v>20</v>
      </c>
      <c r="C90" t="s">
        <v>0</v>
      </c>
      <c r="F90" t="s">
        <v>14</v>
      </c>
      <c r="G90" t="s">
        <v>15</v>
      </c>
      <c r="H90" t="s">
        <v>16</v>
      </c>
      <c r="J9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Lastgang~Tagtyp_1_7+TemperaturMonat+Woche+Tag+</v>
      </c>
    </row>
    <row r="91" spans="1:10" x14ac:dyDescent="0.35">
      <c r="A91" t="s">
        <v>6</v>
      </c>
      <c r="B91" t="s">
        <v>20</v>
      </c>
      <c r="F91" t="s">
        <v>14</v>
      </c>
      <c r="G91" t="s">
        <v>15</v>
      </c>
      <c r="H91" t="s">
        <v>16</v>
      </c>
      <c r="J9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Lastgang~Tagtyp_1_7+Monat+Woche+Tag+</v>
      </c>
    </row>
    <row r="92" spans="1:10" x14ac:dyDescent="0.35">
      <c r="A92" t="s">
        <v>6</v>
      </c>
      <c r="B92" t="s">
        <v>20</v>
      </c>
      <c r="C92" t="s">
        <v>0</v>
      </c>
      <c r="D92" t="s">
        <v>12</v>
      </c>
      <c r="E92" t="s">
        <v>13</v>
      </c>
      <c r="F92" t="s">
        <v>14</v>
      </c>
      <c r="G92" t="s">
        <v>15</v>
      </c>
      <c r="J9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Lastgang~Tagtyp_1_7+TemperaturGlobale_Strahlung+Betriebsruhe+Monat+Woche+</v>
      </c>
    </row>
    <row r="93" spans="1:10" x14ac:dyDescent="0.35">
      <c r="A93" t="s">
        <v>6</v>
      </c>
      <c r="B93" t="s">
        <v>20</v>
      </c>
      <c r="C93" t="s">
        <v>0</v>
      </c>
      <c r="E93" t="s">
        <v>13</v>
      </c>
      <c r="F93" t="s">
        <v>14</v>
      </c>
      <c r="G93" t="s">
        <v>15</v>
      </c>
      <c r="J9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Lastgang~Tagtyp_1_7+TemperaturBetriebsruhe+Monat+Woche+</v>
      </c>
    </row>
    <row r="94" spans="1:10" x14ac:dyDescent="0.35">
      <c r="A94" t="s">
        <v>6</v>
      </c>
      <c r="B94" t="s">
        <v>20</v>
      </c>
      <c r="E94" t="s">
        <v>13</v>
      </c>
      <c r="F94" t="s">
        <v>14</v>
      </c>
      <c r="G94" t="s">
        <v>15</v>
      </c>
      <c r="J9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Lastgang~Tagtyp_1_7+Betriebsruhe+Monat+Woche+</v>
      </c>
    </row>
    <row r="95" spans="1:10" x14ac:dyDescent="0.35">
      <c r="A95" t="s">
        <v>6</v>
      </c>
      <c r="B95" t="s">
        <v>20</v>
      </c>
      <c r="C95" t="s">
        <v>0</v>
      </c>
      <c r="D95" t="s">
        <v>12</v>
      </c>
      <c r="F95" t="s">
        <v>14</v>
      </c>
      <c r="G95" t="s">
        <v>15</v>
      </c>
      <c r="J9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Lastgang~Tagtyp_1_7+TemperaturGlobale_Strahlung+Monat+Woche+</v>
      </c>
    </row>
    <row r="96" spans="1:10" x14ac:dyDescent="0.35">
      <c r="A96" t="s">
        <v>6</v>
      </c>
      <c r="B96" t="s">
        <v>20</v>
      </c>
      <c r="C96" t="s">
        <v>0</v>
      </c>
      <c r="F96" t="s">
        <v>14</v>
      </c>
      <c r="G96" t="s">
        <v>15</v>
      </c>
      <c r="J9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Lastgang~Tagtyp_1_7+TemperaturMonat+Woche+</v>
      </c>
    </row>
    <row r="97" spans="1:10" x14ac:dyDescent="0.35">
      <c r="A97" t="s">
        <v>6</v>
      </c>
      <c r="B97" t="s">
        <v>20</v>
      </c>
      <c r="F97" t="s">
        <v>14</v>
      </c>
      <c r="G97" t="s">
        <v>15</v>
      </c>
      <c r="J9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Lastgang~Tagtyp_1_7+Monat+Woche+</v>
      </c>
    </row>
    <row r="98" spans="1:10" x14ac:dyDescent="0.35">
      <c r="A98" t="s">
        <v>6</v>
      </c>
      <c r="B98" t="s">
        <v>17</v>
      </c>
      <c r="C98" t="s">
        <v>11</v>
      </c>
      <c r="D98" t="s">
        <v>12</v>
      </c>
      <c r="E98" t="s">
        <v>13</v>
      </c>
      <c r="G98" t="s">
        <v>15</v>
      </c>
      <c r="H98" t="s">
        <v>16</v>
      </c>
      <c r="I98" t="s">
        <v>3</v>
      </c>
      <c r="J9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Lastgang~Tagtyp_1_1+Temperatur+Globale_Strahlung+Betriebsruhe+Woche+Tag+DayAhead</v>
      </c>
    </row>
    <row r="99" spans="1:10" x14ac:dyDescent="0.35">
      <c r="A99" t="s">
        <v>6</v>
      </c>
      <c r="B99" t="s">
        <v>17</v>
      </c>
      <c r="C99" t="s">
        <v>11</v>
      </c>
      <c r="E99" t="s">
        <v>13</v>
      </c>
      <c r="G99" t="s">
        <v>15</v>
      </c>
      <c r="H99" t="s">
        <v>16</v>
      </c>
      <c r="I99" t="s">
        <v>3</v>
      </c>
      <c r="J9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Lastgang~Tagtyp_1_1+Temperatur+Betriebsruhe+Woche+Tag+DayAhead</v>
      </c>
    </row>
    <row r="100" spans="1:10" x14ac:dyDescent="0.35">
      <c r="A100" t="s">
        <v>6</v>
      </c>
      <c r="B100" t="s">
        <v>17</v>
      </c>
      <c r="E100" t="s">
        <v>13</v>
      </c>
      <c r="G100" t="s">
        <v>15</v>
      </c>
      <c r="H100" t="s">
        <v>16</v>
      </c>
      <c r="I100" t="s">
        <v>3</v>
      </c>
      <c r="J10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Lastgang~Tagtyp_1_1+Betriebsruhe+Woche+Tag+DayAhead</v>
      </c>
    </row>
    <row r="101" spans="1:10" x14ac:dyDescent="0.35">
      <c r="A101" t="s">
        <v>6</v>
      </c>
      <c r="B101" t="s">
        <v>17</v>
      </c>
      <c r="C101" t="s">
        <v>11</v>
      </c>
      <c r="D101" t="s">
        <v>12</v>
      </c>
      <c r="G101" t="s">
        <v>15</v>
      </c>
      <c r="H101" t="s">
        <v>16</v>
      </c>
      <c r="I101" t="s">
        <v>3</v>
      </c>
      <c r="J10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Lastgang~Tagtyp_1_1+Temperatur+Globale_Strahlung+Woche+Tag+DayAhead</v>
      </c>
    </row>
    <row r="102" spans="1:10" x14ac:dyDescent="0.35">
      <c r="A102" t="s">
        <v>6</v>
      </c>
      <c r="B102" t="s">
        <v>17</v>
      </c>
      <c r="C102" t="s">
        <v>11</v>
      </c>
      <c r="G102" t="s">
        <v>15</v>
      </c>
      <c r="H102" t="s">
        <v>16</v>
      </c>
      <c r="I102" t="s">
        <v>3</v>
      </c>
      <c r="J10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Lastgang~Tagtyp_1_1+Temperatur+Woche+Tag+DayAhead</v>
      </c>
    </row>
    <row r="103" spans="1:10" x14ac:dyDescent="0.35">
      <c r="A103" t="s">
        <v>6</v>
      </c>
      <c r="B103" t="s">
        <v>17</v>
      </c>
      <c r="G103" t="s">
        <v>15</v>
      </c>
      <c r="H103" t="s">
        <v>16</v>
      </c>
      <c r="I103" t="s">
        <v>3</v>
      </c>
      <c r="J10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Lastgang~Tagtyp_1_1+Woche+Tag+DayAhead</v>
      </c>
    </row>
    <row r="104" spans="1:10" x14ac:dyDescent="0.35">
      <c r="A104" t="s">
        <v>6</v>
      </c>
      <c r="B104" t="s">
        <v>17</v>
      </c>
      <c r="C104" t="s">
        <v>11</v>
      </c>
      <c r="D104" t="s">
        <v>12</v>
      </c>
      <c r="E104" t="s">
        <v>13</v>
      </c>
      <c r="G104" t="s">
        <v>15</v>
      </c>
      <c r="I104" t="s">
        <v>3</v>
      </c>
      <c r="J10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Lastgang~Tagtyp_1_1+Temperatur+Globale_Strahlung+Betriebsruhe+Woche+DayAhead</v>
      </c>
    </row>
    <row r="105" spans="1:10" x14ac:dyDescent="0.35">
      <c r="A105" t="s">
        <v>6</v>
      </c>
      <c r="B105" t="s">
        <v>17</v>
      </c>
      <c r="C105" t="s">
        <v>11</v>
      </c>
      <c r="E105" t="s">
        <v>13</v>
      </c>
      <c r="G105" t="s">
        <v>15</v>
      </c>
      <c r="I105" t="s">
        <v>3</v>
      </c>
      <c r="J10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Lastgang~Tagtyp_1_1+Temperatur+Betriebsruhe+Woche+DayAhead</v>
      </c>
    </row>
    <row r="106" spans="1:10" x14ac:dyDescent="0.35">
      <c r="A106" t="s">
        <v>6</v>
      </c>
      <c r="B106" t="s">
        <v>17</v>
      </c>
      <c r="E106" t="s">
        <v>13</v>
      </c>
      <c r="G106" t="s">
        <v>15</v>
      </c>
      <c r="I106" t="s">
        <v>3</v>
      </c>
      <c r="J10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Lastgang~Tagtyp_1_1+Betriebsruhe+Woche+DayAhead</v>
      </c>
    </row>
    <row r="107" spans="1:10" x14ac:dyDescent="0.35">
      <c r="A107" t="s">
        <v>6</v>
      </c>
      <c r="B107" t="s">
        <v>17</v>
      </c>
      <c r="C107" t="s">
        <v>11</v>
      </c>
      <c r="D107" t="s">
        <v>12</v>
      </c>
      <c r="G107" t="s">
        <v>15</v>
      </c>
      <c r="I107" t="s">
        <v>3</v>
      </c>
      <c r="J10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Lastgang~Tagtyp_1_1+Temperatur+Globale_Strahlung+Woche+DayAhead</v>
      </c>
    </row>
    <row r="108" spans="1:10" x14ac:dyDescent="0.35">
      <c r="A108" t="s">
        <v>6</v>
      </c>
      <c r="B108" t="s">
        <v>17</v>
      </c>
      <c r="C108" t="s">
        <v>11</v>
      </c>
      <c r="G108" t="s">
        <v>15</v>
      </c>
      <c r="I108" t="s">
        <v>3</v>
      </c>
      <c r="J10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Lastgang~Tagtyp_1_1+Temperatur+Woche+DayAhead</v>
      </c>
    </row>
    <row r="109" spans="1:10" x14ac:dyDescent="0.35">
      <c r="A109" t="s">
        <v>6</v>
      </c>
      <c r="B109" t="s">
        <v>17</v>
      </c>
      <c r="G109" t="s">
        <v>15</v>
      </c>
      <c r="I109" t="s">
        <v>3</v>
      </c>
      <c r="J10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Lastgang~Tagtyp_1_1+Woche+DayAhead</v>
      </c>
    </row>
    <row r="110" spans="1:10" x14ac:dyDescent="0.35">
      <c r="A110" t="s">
        <v>6</v>
      </c>
      <c r="B110" t="s">
        <v>17</v>
      </c>
      <c r="C110" t="s">
        <v>11</v>
      </c>
      <c r="D110" t="s">
        <v>12</v>
      </c>
      <c r="E110" t="s">
        <v>13</v>
      </c>
      <c r="G110" t="s">
        <v>15</v>
      </c>
      <c r="H110" t="s">
        <v>16</v>
      </c>
      <c r="J11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Lastgang~Tagtyp_1_1+Temperatur+Globale_Strahlung+Betriebsruhe+Woche+Tag+</v>
      </c>
    </row>
    <row r="111" spans="1:10" x14ac:dyDescent="0.35">
      <c r="A111" t="s">
        <v>6</v>
      </c>
      <c r="B111" t="s">
        <v>17</v>
      </c>
      <c r="C111" t="s">
        <v>11</v>
      </c>
      <c r="E111" t="s">
        <v>13</v>
      </c>
      <c r="G111" t="s">
        <v>15</v>
      </c>
      <c r="H111" t="s">
        <v>16</v>
      </c>
      <c r="J11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Lastgang~Tagtyp_1_1+Temperatur+Betriebsruhe+Woche+Tag+</v>
      </c>
    </row>
    <row r="112" spans="1:10" x14ac:dyDescent="0.35">
      <c r="A112" t="s">
        <v>6</v>
      </c>
      <c r="B112" t="s">
        <v>17</v>
      </c>
      <c r="E112" t="s">
        <v>13</v>
      </c>
      <c r="G112" t="s">
        <v>15</v>
      </c>
      <c r="H112" t="s">
        <v>16</v>
      </c>
      <c r="J11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Lastgang~Tagtyp_1_1+Betriebsruhe+Woche+Tag+</v>
      </c>
    </row>
    <row r="113" spans="1:10" x14ac:dyDescent="0.35">
      <c r="A113" t="s">
        <v>6</v>
      </c>
      <c r="B113" t="s">
        <v>17</v>
      </c>
      <c r="C113" t="s">
        <v>11</v>
      </c>
      <c r="D113" t="s">
        <v>12</v>
      </c>
      <c r="G113" t="s">
        <v>15</v>
      </c>
      <c r="H113" t="s">
        <v>16</v>
      </c>
      <c r="J11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Lastgang~Tagtyp_1_1+Temperatur+Globale_Strahlung+Woche+Tag+</v>
      </c>
    </row>
    <row r="114" spans="1:10" x14ac:dyDescent="0.35">
      <c r="A114" t="s">
        <v>6</v>
      </c>
      <c r="B114" t="s">
        <v>17</v>
      </c>
      <c r="C114" t="s">
        <v>11</v>
      </c>
      <c r="G114" t="s">
        <v>15</v>
      </c>
      <c r="H114" t="s">
        <v>16</v>
      </c>
      <c r="J11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Lastgang~Tagtyp_1_1+Temperatur+Woche+Tag+</v>
      </c>
    </row>
    <row r="115" spans="1:10" x14ac:dyDescent="0.35">
      <c r="A115" t="s">
        <v>6</v>
      </c>
      <c r="B115" t="s">
        <v>17</v>
      </c>
      <c r="G115" t="s">
        <v>15</v>
      </c>
      <c r="H115" t="s">
        <v>16</v>
      </c>
      <c r="J11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Lastgang~Tagtyp_1_1+Woche+Tag+</v>
      </c>
    </row>
    <row r="116" spans="1:10" x14ac:dyDescent="0.35">
      <c r="A116" t="s">
        <v>6</v>
      </c>
      <c r="B116" t="s">
        <v>17</v>
      </c>
      <c r="C116" t="s">
        <v>11</v>
      </c>
      <c r="D116" t="s">
        <v>12</v>
      </c>
      <c r="E116" t="s">
        <v>13</v>
      </c>
      <c r="G116" t="s">
        <v>15</v>
      </c>
      <c r="J11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Lastgang~Tagtyp_1_1+Temperatur+Globale_Strahlung+Betriebsruhe+Woche+</v>
      </c>
    </row>
    <row r="117" spans="1:10" x14ac:dyDescent="0.35">
      <c r="A117" t="s">
        <v>6</v>
      </c>
      <c r="B117" t="s">
        <v>17</v>
      </c>
      <c r="C117" t="s">
        <v>11</v>
      </c>
      <c r="E117" t="s">
        <v>13</v>
      </c>
      <c r="G117" t="s">
        <v>15</v>
      </c>
      <c r="J11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Lastgang~Tagtyp_1_1+Temperatur+Betriebsruhe+Woche+</v>
      </c>
    </row>
    <row r="118" spans="1:10" x14ac:dyDescent="0.35">
      <c r="A118" t="s">
        <v>6</v>
      </c>
      <c r="B118" t="s">
        <v>17</v>
      </c>
      <c r="E118" t="s">
        <v>13</v>
      </c>
      <c r="G118" t="s">
        <v>15</v>
      </c>
      <c r="J11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Lastgang~Tagtyp_1_1+Betriebsruhe+Woche+</v>
      </c>
    </row>
    <row r="119" spans="1:10" x14ac:dyDescent="0.35">
      <c r="A119" t="s">
        <v>6</v>
      </c>
      <c r="B119" t="s">
        <v>17</v>
      </c>
      <c r="C119" t="s">
        <v>11</v>
      </c>
      <c r="D119" t="s">
        <v>12</v>
      </c>
      <c r="G119" t="s">
        <v>15</v>
      </c>
      <c r="J11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Lastgang~Tagtyp_1_1+Temperatur+Globale_Strahlung+Woche+</v>
      </c>
    </row>
    <row r="120" spans="1:10" x14ac:dyDescent="0.35">
      <c r="A120" t="s">
        <v>6</v>
      </c>
      <c r="B120" t="s">
        <v>17</v>
      </c>
      <c r="C120" t="s">
        <v>11</v>
      </c>
      <c r="G120" t="s">
        <v>15</v>
      </c>
      <c r="J12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Lastgang~Tagtyp_1_1+Temperatur+Woche+</v>
      </c>
    </row>
    <row r="121" spans="1:10" x14ac:dyDescent="0.35">
      <c r="A121" t="s">
        <v>6</v>
      </c>
      <c r="B121" t="s">
        <v>17</v>
      </c>
      <c r="G121" t="s">
        <v>15</v>
      </c>
      <c r="J12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Lastgang~Tagtyp_1_1+Woche+</v>
      </c>
    </row>
    <row r="122" spans="1:10" x14ac:dyDescent="0.35">
      <c r="A122" t="s">
        <v>6</v>
      </c>
      <c r="B122" t="s">
        <v>18</v>
      </c>
      <c r="C122" t="s">
        <v>0</v>
      </c>
      <c r="D122" t="s">
        <v>12</v>
      </c>
      <c r="E122" t="s">
        <v>13</v>
      </c>
      <c r="G122" t="s">
        <v>15</v>
      </c>
      <c r="H122" t="s">
        <v>16</v>
      </c>
      <c r="I122" t="s">
        <v>3</v>
      </c>
      <c r="J12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Lastgang~Tagtyp_1_3+TemperaturGlobale_Strahlung+Betriebsruhe+Woche+Tag+DayAhead</v>
      </c>
    </row>
    <row r="123" spans="1:10" x14ac:dyDescent="0.35">
      <c r="A123" t="s">
        <v>6</v>
      </c>
      <c r="B123" t="s">
        <v>18</v>
      </c>
      <c r="C123" t="s">
        <v>0</v>
      </c>
      <c r="E123" t="s">
        <v>13</v>
      </c>
      <c r="G123" t="s">
        <v>15</v>
      </c>
      <c r="H123" t="s">
        <v>16</v>
      </c>
      <c r="I123" t="s">
        <v>3</v>
      </c>
      <c r="J12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Lastgang~Tagtyp_1_3+TemperaturBetriebsruhe+Woche+Tag+DayAhead</v>
      </c>
    </row>
    <row r="124" spans="1:10" x14ac:dyDescent="0.35">
      <c r="A124" t="s">
        <v>6</v>
      </c>
      <c r="B124" t="s">
        <v>18</v>
      </c>
      <c r="E124" t="s">
        <v>13</v>
      </c>
      <c r="G124" t="s">
        <v>15</v>
      </c>
      <c r="H124" t="s">
        <v>16</v>
      </c>
      <c r="I124" t="s">
        <v>3</v>
      </c>
      <c r="J12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Lastgang~Tagtyp_1_3+Betriebsruhe+Woche+Tag+DayAhead</v>
      </c>
    </row>
    <row r="125" spans="1:10" x14ac:dyDescent="0.35">
      <c r="A125" t="s">
        <v>6</v>
      </c>
      <c r="B125" t="s">
        <v>18</v>
      </c>
      <c r="C125" t="s">
        <v>0</v>
      </c>
      <c r="D125" t="s">
        <v>12</v>
      </c>
      <c r="G125" t="s">
        <v>15</v>
      </c>
      <c r="H125" t="s">
        <v>16</v>
      </c>
      <c r="I125" t="s">
        <v>3</v>
      </c>
      <c r="J12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Lastgang~Tagtyp_1_3+TemperaturGlobale_Strahlung+Woche+Tag+DayAhead</v>
      </c>
    </row>
    <row r="126" spans="1:10" x14ac:dyDescent="0.35">
      <c r="A126" t="s">
        <v>6</v>
      </c>
      <c r="B126" t="s">
        <v>18</v>
      </c>
      <c r="C126" t="s">
        <v>0</v>
      </c>
      <c r="G126" t="s">
        <v>15</v>
      </c>
      <c r="H126" t="s">
        <v>16</v>
      </c>
      <c r="I126" t="s">
        <v>3</v>
      </c>
      <c r="J12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Lastgang~Tagtyp_1_3+TemperaturWoche+Tag+DayAhead</v>
      </c>
    </row>
    <row r="127" spans="1:10" x14ac:dyDescent="0.35">
      <c r="A127" t="s">
        <v>6</v>
      </c>
      <c r="B127" t="s">
        <v>18</v>
      </c>
      <c r="G127" t="s">
        <v>15</v>
      </c>
      <c r="H127" t="s">
        <v>16</v>
      </c>
      <c r="I127" t="s">
        <v>3</v>
      </c>
      <c r="J12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Lastgang~Tagtyp_1_3+Woche+Tag+DayAhead</v>
      </c>
    </row>
    <row r="128" spans="1:10" x14ac:dyDescent="0.35">
      <c r="A128" t="s">
        <v>6</v>
      </c>
      <c r="B128" t="s">
        <v>18</v>
      </c>
      <c r="C128" t="s">
        <v>0</v>
      </c>
      <c r="D128" t="s">
        <v>12</v>
      </c>
      <c r="E128" t="s">
        <v>13</v>
      </c>
      <c r="G128" t="s">
        <v>15</v>
      </c>
      <c r="I128" t="s">
        <v>3</v>
      </c>
      <c r="J12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Lastgang~Tagtyp_1_3+TemperaturGlobale_Strahlung+Betriebsruhe+Woche+DayAhead</v>
      </c>
    </row>
    <row r="129" spans="1:10" x14ac:dyDescent="0.35">
      <c r="A129" t="s">
        <v>6</v>
      </c>
      <c r="B129" t="s">
        <v>18</v>
      </c>
      <c r="C129" t="s">
        <v>0</v>
      </c>
      <c r="E129" t="s">
        <v>13</v>
      </c>
      <c r="G129" t="s">
        <v>15</v>
      </c>
      <c r="I129" t="s">
        <v>3</v>
      </c>
      <c r="J12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Lastgang~Tagtyp_1_3+TemperaturBetriebsruhe+Woche+DayAhead</v>
      </c>
    </row>
    <row r="130" spans="1:10" x14ac:dyDescent="0.35">
      <c r="A130" t="s">
        <v>6</v>
      </c>
      <c r="B130" t="s">
        <v>18</v>
      </c>
      <c r="E130" t="s">
        <v>13</v>
      </c>
      <c r="G130" t="s">
        <v>15</v>
      </c>
      <c r="I130" t="s">
        <v>3</v>
      </c>
      <c r="J13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Lastgang~Tagtyp_1_3+Betriebsruhe+Woche+DayAhead</v>
      </c>
    </row>
    <row r="131" spans="1:10" x14ac:dyDescent="0.35">
      <c r="A131" t="s">
        <v>6</v>
      </c>
      <c r="B131" t="s">
        <v>18</v>
      </c>
      <c r="C131" t="s">
        <v>0</v>
      </c>
      <c r="D131" t="s">
        <v>12</v>
      </c>
      <c r="G131" t="s">
        <v>15</v>
      </c>
      <c r="I131" t="s">
        <v>3</v>
      </c>
      <c r="J13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Lastgang~Tagtyp_1_3+TemperaturGlobale_Strahlung+Woche+DayAhead</v>
      </c>
    </row>
    <row r="132" spans="1:10" x14ac:dyDescent="0.35">
      <c r="A132" t="s">
        <v>6</v>
      </c>
      <c r="B132" t="s">
        <v>18</v>
      </c>
      <c r="C132" t="s">
        <v>0</v>
      </c>
      <c r="G132" t="s">
        <v>15</v>
      </c>
      <c r="I132" t="s">
        <v>3</v>
      </c>
      <c r="J13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Lastgang~Tagtyp_1_3+TemperaturWoche+DayAhead</v>
      </c>
    </row>
    <row r="133" spans="1:10" x14ac:dyDescent="0.35">
      <c r="A133" t="s">
        <v>6</v>
      </c>
      <c r="B133" t="s">
        <v>18</v>
      </c>
      <c r="G133" t="s">
        <v>15</v>
      </c>
      <c r="I133" t="s">
        <v>3</v>
      </c>
      <c r="J13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Lastgang~Tagtyp_1_3+Woche+DayAhead</v>
      </c>
    </row>
    <row r="134" spans="1:10" x14ac:dyDescent="0.35">
      <c r="A134" t="s">
        <v>6</v>
      </c>
      <c r="B134" t="s">
        <v>18</v>
      </c>
      <c r="C134" t="s">
        <v>0</v>
      </c>
      <c r="D134" t="s">
        <v>12</v>
      </c>
      <c r="E134" t="s">
        <v>13</v>
      </c>
      <c r="G134" t="s">
        <v>15</v>
      </c>
      <c r="H134" t="s">
        <v>16</v>
      </c>
      <c r="J13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Lastgang~Tagtyp_1_3+TemperaturGlobale_Strahlung+Betriebsruhe+Woche+Tag+</v>
      </c>
    </row>
    <row r="135" spans="1:10" x14ac:dyDescent="0.35">
      <c r="A135" t="s">
        <v>6</v>
      </c>
      <c r="B135" t="s">
        <v>18</v>
      </c>
      <c r="C135" t="s">
        <v>0</v>
      </c>
      <c r="E135" t="s">
        <v>13</v>
      </c>
      <c r="G135" t="s">
        <v>15</v>
      </c>
      <c r="H135" t="s">
        <v>16</v>
      </c>
      <c r="J13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Lastgang~Tagtyp_1_3+TemperaturBetriebsruhe+Woche+Tag+</v>
      </c>
    </row>
    <row r="136" spans="1:10" x14ac:dyDescent="0.35">
      <c r="A136" t="s">
        <v>6</v>
      </c>
      <c r="B136" t="s">
        <v>18</v>
      </c>
      <c r="E136" t="s">
        <v>13</v>
      </c>
      <c r="G136" t="s">
        <v>15</v>
      </c>
      <c r="H136" t="s">
        <v>16</v>
      </c>
      <c r="J13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Lastgang~Tagtyp_1_3+Betriebsruhe+Woche+Tag+</v>
      </c>
    </row>
    <row r="137" spans="1:10" x14ac:dyDescent="0.35">
      <c r="A137" t="s">
        <v>6</v>
      </c>
      <c r="B137" t="s">
        <v>18</v>
      </c>
      <c r="C137" t="s">
        <v>0</v>
      </c>
      <c r="D137" t="s">
        <v>12</v>
      </c>
      <c r="G137" t="s">
        <v>15</v>
      </c>
      <c r="H137" t="s">
        <v>16</v>
      </c>
      <c r="J13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Lastgang~Tagtyp_1_3+TemperaturGlobale_Strahlung+Woche+Tag+</v>
      </c>
    </row>
    <row r="138" spans="1:10" x14ac:dyDescent="0.35">
      <c r="A138" t="s">
        <v>6</v>
      </c>
      <c r="B138" t="s">
        <v>18</v>
      </c>
      <c r="C138" t="s">
        <v>0</v>
      </c>
      <c r="G138" t="s">
        <v>15</v>
      </c>
      <c r="H138" t="s">
        <v>16</v>
      </c>
      <c r="J13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Lastgang~Tagtyp_1_3+TemperaturWoche+Tag+</v>
      </c>
    </row>
    <row r="139" spans="1:10" x14ac:dyDescent="0.35">
      <c r="A139" t="s">
        <v>6</v>
      </c>
      <c r="B139" t="s">
        <v>18</v>
      </c>
      <c r="G139" t="s">
        <v>15</v>
      </c>
      <c r="H139" t="s">
        <v>16</v>
      </c>
      <c r="J13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Lastgang~Tagtyp_1_3+Woche+Tag+</v>
      </c>
    </row>
    <row r="140" spans="1:10" x14ac:dyDescent="0.35">
      <c r="A140" t="s">
        <v>6</v>
      </c>
      <c r="B140" t="s">
        <v>18</v>
      </c>
      <c r="C140" t="s">
        <v>0</v>
      </c>
      <c r="D140" t="s">
        <v>12</v>
      </c>
      <c r="E140" t="s">
        <v>13</v>
      </c>
      <c r="G140" t="s">
        <v>15</v>
      </c>
      <c r="J14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Lastgang~Tagtyp_1_3+TemperaturGlobale_Strahlung+Betriebsruhe+Woche+</v>
      </c>
    </row>
    <row r="141" spans="1:10" x14ac:dyDescent="0.35">
      <c r="A141" t="s">
        <v>6</v>
      </c>
      <c r="B141" t="s">
        <v>18</v>
      </c>
      <c r="C141" t="s">
        <v>0</v>
      </c>
      <c r="E141" t="s">
        <v>13</v>
      </c>
      <c r="G141" t="s">
        <v>15</v>
      </c>
      <c r="J14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Lastgang~Tagtyp_1_3+TemperaturBetriebsruhe+Woche+</v>
      </c>
    </row>
    <row r="142" spans="1:10" x14ac:dyDescent="0.35">
      <c r="A142" t="s">
        <v>6</v>
      </c>
      <c r="B142" t="s">
        <v>18</v>
      </c>
      <c r="E142" t="s">
        <v>13</v>
      </c>
      <c r="G142" t="s">
        <v>15</v>
      </c>
      <c r="J14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Lastgang~Tagtyp_1_3+Betriebsruhe+Woche+</v>
      </c>
    </row>
    <row r="143" spans="1:10" x14ac:dyDescent="0.35">
      <c r="A143" t="s">
        <v>6</v>
      </c>
      <c r="B143" t="s">
        <v>18</v>
      </c>
      <c r="C143" t="s">
        <v>0</v>
      </c>
      <c r="D143" t="s">
        <v>12</v>
      </c>
      <c r="G143" t="s">
        <v>15</v>
      </c>
      <c r="J14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Lastgang~Tagtyp_1_3+TemperaturGlobale_Strahlung+Woche+</v>
      </c>
    </row>
    <row r="144" spans="1:10" x14ac:dyDescent="0.35">
      <c r="A144" t="s">
        <v>6</v>
      </c>
      <c r="B144" t="s">
        <v>18</v>
      </c>
      <c r="C144" t="s">
        <v>0</v>
      </c>
      <c r="G144" t="s">
        <v>15</v>
      </c>
      <c r="J14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Lastgang~Tagtyp_1_3+TemperaturWoche+</v>
      </c>
    </row>
    <row r="145" spans="1:10" x14ac:dyDescent="0.35">
      <c r="A145" t="s">
        <v>6</v>
      </c>
      <c r="B145" t="s">
        <v>18</v>
      </c>
      <c r="G145" t="s">
        <v>15</v>
      </c>
      <c r="J14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Lastgang~Tagtyp_1_3+Woche+</v>
      </c>
    </row>
    <row r="146" spans="1:10" x14ac:dyDescent="0.35">
      <c r="A146" t="s">
        <v>6</v>
      </c>
      <c r="B146" t="s">
        <v>19</v>
      </c>
      <c r="C146" t="s">
        <v>0</v>
      </c>
      <c r="D146" t="s">
        <v>12</v>
      </c>
      <c r="E146" t="s">
        <v>13</v>
      </c>
      <c r="G146" t="s">
        <v>15</v>
      </c>
      <c r="H146" t="s">
        <v>16</v>
      </c>
      <c r="I146" t="s">
        <v>3</v>
      </c>
      <c r="J14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Lastgang~Tagtyp_1_5+TemperaturGlobale_Strahlung+Betriebsruhe+Woche+Tag+DayAhead</v>
      </c>
    </row>
    <row r="147" spans="1:10" x14ac:dyDescent="0.35">
      <c r="A147" t="s">
        <v>6</v>
      </c>
      <c r="B147" t="s">
        <v>19</v>
      </c>
      <c r="C147" t="s">
        <v>0</v>
      </c>
      <c r="E147" t="s">
        <v>13</v>
      </c>
      <c r="G147" t="s">
        <v>15</v>
      </c>
      <c r="H147" t="s">
        <v>16</v>
      </c>
      <c r="I147" t="s">
        <v>3</v>
      </c>
      <c r="J14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Lastgang~Tagtyp_1_5+TemperaturBetriebsruhe+Woche+Tag+DayAhead</v>
      </c>
    </row>
    <row r="148" spans="1:10" x14ac:dyDescent="0.35">
      <c r="A148" t="s">
        <v>6</v>
      </c>
      <c r="B148" t="s">
        <v>19</v>
      </c>
      <c r="E148" t="s">
        <v>13</v>
      </c>
      <c r="G148" t="s">
        <v>15</v>
      </c>
      <c r="H148" t="s">
        <v>16</v>
      </c>
      <c r="I148" t="s">
        <v>3</v>
      </c>
      <c r="J14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Lastgang~Tagtyp_1_5+Betriebsruhe+Woche+Tag+DayAhead</v>
      </c>
    </row>
    <row r="149" spans="1:10" x14ac:dyDescent="0.35">
      <c r="A149" t="s">
        <v>6</v>
      </c>
      <c r="B149" t="s">
        <v>19</v>
      </c>
      <c r="C149" t="s">
        <v>0</v>
      </c>
      <c r="D149" t="s">
        <v>12</v>
      </c>
      <c r="G149" t="s">
        <v>15</v>
      </c>
      <c r="H149" t="s">
        <v>16</v>
      </c>
      <c r="I149" t="s">
        <v>3</v>
      </c>
      <c r="J14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Lastgang~Tagtyp_1_5+TemperaturGlobale_Strahlung+Woche+Tag+DayAhead</v>
      </c>
    </row>
    <row r="150" spans="1:10" x14ac:dyDescent="0.35">
      <c r="A150" t="s">
        <v>6</v>
      </c>
      <c r="B150" t="s">
        <v>19</v>
      </c>
      <c r="C150" t="s">
        <v>0</v>
      </c>
      <c r="G150" t="s">
        <v>15</v>
      </c>
      <c r="H150" t="s">
        <v>16</v>
      </c>
      <c r="I150" t="s">
        <v>3</v>
      </c>
      <c r="J15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Lastgang~Tagtyp_1_5+TemperaturWoche+Tag+DayAhead</v>
      </c>
    </row>
    <row r="151" spans="1:10" x14ac:dyDescent="0.35">
      <c r="A151" t="s">
        <v>6</v>
      </c>
      <c r="B151" t="s">
        <v>19</v>
      </c>
      <c r="G151" t="s">
        <v>15</v>
      </c>
      <c r="H151" t="s">
        <v>16</v>
      </c>
      <c r="I151" t="s">
        <v>3</v>
      </c>
      <c r="J15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Lastgang~Tagtyp_1_5+Woche+Tag+DayAhead</v>
      </c>
    </row>
    <row r="152" spans="1:10" x14ac:dyDescent="0.35">
      <c r="A152" t="s">
        <v>6</v>
      </c>
      <c r="B152" t="s">
        <v>19</v>
      </c>
      <c r="C152" t="s">
        <v>0</v>
      </c>
      <c r="D152" t="s">
        <v>12</v>
      </c>
      <c r="E152" t="s">
        <v>13</v>
      </c>
      <c r="G152" t="s">
        <v>15</v>
      </c>
      <c r="I152" t="s">
        <v>3</v>
      </c>
      <c r="J15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Lastgang~Tagtyp_1_5+TemperaturGlobale_Strahlung+Betriebsruhe+Woche+DayAhead</v>
      </c>
    </row>
    <row r="153" spans="1:10" x14ac:dyDescent="0.35">
      <c r="A153" t="s">
        <v>6</v>
      </c>
      <c r="B153" t="s">
        <v>19</v>
      </c>
      <c r="C153" t="s">
        <v>0</v>
      </c>
      <c r="E153" t="s">
        <v>13</v>
      </c>
      <c r="G153" t="s">
        <v>15</v>
      </c>
      <c r="I153" t="s">
        <v>3</v>
      </c>
      <c r="J15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Lastgang~Tagtyp_1_5+TemperaturBetriebsruhe+Woche+DayAhead</v>
      </c>
    </row>
    <row r="154" spans="1:10" x14ac:dyDescent="0.35">
      <c r="A154" t="s">
        <v>6</v>
      </c>
      <c r="B154" t="s">
        <v>19</v>
      </c>
      <c r="E154" t="s">
        <v>13</v>
      </c>
      <c r="G154" t="s">
        <v>15</v>
      </c>
      <c r="I154" t="s">
        <v>3</v>
      </c>
      <c r="J15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Lastgang~Tagtyp_1_5+Betriebsruhe+Woche+DayAhead</v>
      </c>
    </row>
    <row r="155" spans="1:10" x14ac:dyDescent="0.35">
      <c r="A155" t="s">
        <v>6</v>
      </c>
      <c r="B155" t="s">
        <v>19</v>
      </c>
      <c r="C155" t="s">
        <v>0</v>
      </c>
      <c r="D155" t="s">
        <v>12</v>
      </c>
      <c r="G155" t="s">
        <v>15</v>
      </c>
      <c r="I155" t="s">
        <v>3</v>
      </c>
      <c r="J15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Lastgang~Tagtyp_1_5+TemperaturGlobale_Strahlung+Woche+DayAhead</v>
      </c>
    </row>
    <row r="156" spans="1:10" x14ac:dyDescent="0.35">
      <c r="A156" t="s">
        <v>6</v>
      </c>
      <c r="B156" t="s">
        <v>19</v>
      </c>
      <c r="C156" t="s">
        <v>0</v>
      </c>
      <c r="G156" t="s">
        <v>15</v>
      </c>
      <c r="I156" t="s">
        <v>3</v>
      </c>
      <c r="J15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Lastgang~Tagtyp_1_5+TemperaturWoche+DayAhead</v>
      </c>
    </row>
    <row r="157" spans="1:10" x14ac:dyDescent="0.35">
      <c r="A157" t="s">
        <v>6</v>
      </c>
      <c r="B157" t="s">
        <v>19</v>
      </c>
      <c r="G157" t="s">
        <v>15</v>
      </c>
      <c r="I157" t="s">
        <v>3</v>
      </c>
      <c r="J15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Lastgang~Tagtyp_1_5+Woche+DayAhead</v>
      </c>
    </row>
    <row r="158" spans="1:10" x14ac:dyDescent="0.35">
      <c r="A158" t="s">
        <v>6</v>
      </c>
      <c r="B158" t="s">
        <v>19</v>
      </c>
      <c r="C158" t="s">
        <v>0</v>
      </c>
      <c r="D158" t="s">
        <v>12</v>
      </c>
      <c r="E158" t="s">
        <v>13</v>
      </c>
      <c r="G158" t="s">
        <v>15</v>
      </c>
      <c r="H158" t="s">
        <v>16</v>
      </c>
      <c r="J15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Lastgang~Tagtyp_1_5+TemperaturGlobale_Strahlung+Betriebsruhe+Woche+Tag+</v>
      </c>
    </row>
    <row r="159" spans="1:10" x14ac:dyDescent="0.35">
      <c r="A159" t="s">
        <v>6</v>
      </c>
      <c r="B159" t="s">
        <v>19</v>
      </c>
      <c r="C159" t="s">
        <v>0</v>
      </c>
      <c r="E159" t="s">
        <v>13</v>
      </c>
      <c r="G159" t="s">
        <v>15</v>
      </c>
      <c r="H159" t="s">
        <v>16</v>
      </c>
      <c r="J15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Lastgang~Tagtyp_1_5+TemperaturBetriebsruhe+Woche+Tag+</v>
      </c>
    </row>
    <row r="160" spans="1:10" x14ac:dyDescent="0.35">
      <c r="A160" t="s">
        <v>6</v>
      </c>
      <c r="B160" t="s">
        <v>19</v>
      </c>
      <c r="E160" t="s">
        <v>13</v>
      </c>
      <c r="G160" t="s">
        <v>15</v>
      </c>
      <c r="H160" t="s">
        <v>16</v>
      </c>
      <c r="J16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Lastgang~Tagtyp_1_5+Betriebsruhe+Woche+Tag+</v>
      </c>
    </row>
    <row r="161" spans="1:10" x14ac:dyDescent="0.35">
      <c r="A161" t="s">
        <v>6</v>
      </c>
      <c r="B161" t="s">
        <v>19</v>
      </c>
      <c r="C161" t="s">
        <v>0</v>
      </c>
      <c r="D161" t="s">
        <v>12</v>
      </c>
      <c r="G161" t="s">
        <v>15</v>
      </c>
      <c r="H161" t="s">
        <v>16</v>
      </c>
      <c r="J16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Lastgang~Tagtyp_1_5+TemperaturGlobale_Strahlung+Woche+Tag+</v>
      </c>
    </row>
    <row r="162" spans="1:10" x14ac:dyDescent="0.35">
      <c r="A162" t="s">
        <v>6</v>
      </c>
      <c r="B162" t="s">
        <v>19</v>
      </c>
      <c r="C162" t="s">
        <v>0</v>
      </c>
      <c r="G162" t="s">
        <v>15</v>
      </c>
      <c r="H162" t="s">
        <v>16</v>
      </c>
      <c r="J16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Lastgang~Tagtyp_1_5+TemperaturWoche+Tag+</v>
      </c>
    </row>
    <row r="163" spans="1:10" x14ac:dyDescent="0.35">
      <c r="A163" t="s">
        <v>6</v>
      </c>
      <c r="B163" t="s">
        <v>19</v>
      </c>
      <c r="G163" t="s">
        <v>15</v>
      </c>
      <c r="H163" t="s">
        <v>16</v>
      </c>
      <c r="J16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Lastgang~Tagtyp_1_5+Woche+Tag+</v>
      </c>
    </row>
    <row r="164" spans="1:10" x14ac:dyDescent="0.35">
      <c r="A164" t="s">
        <v>6</v>
      </c>
      <c r="B164" t="s">
        <v>19</v>
      </c>
      <c r="C164" t="s">
        <v>0</v>
      </c>
      <c r="D164" t="s">
        <v>12</v>
      </c>
      <c r="E164" t="s">
        <v>13</v>
      </c>
      <c r="G164" t="s">
        <v>15</v>
      </c>
      <c r="J16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Lastgang~Tagtyp_1_5+TemperaturGlobale_Strahlung+Betriebsruhe+Woche+</v>
      </c>
    </row>
    <row r="165" spans="1:10" x14ac:dyDescent="0.35">
      <c r="A165" t="s">
        <v>6</v>
      </c>
      <c r="B165" t="s">
        <v>19</v>
      </c>
      <c r="C165" t="s">
        <v>0</v>
      </c>
      <c r="E165" t="s">
        <v>13</v>
      </c>
      <c r="G165" t="s">
        <v>15</v>
      </c>
      <c r="J16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Lastgang~Tagtyp_1_5+TemperaturBetriebsruhe+Woche+</v>
      </c>
    </row>
    <row r="166" spans="1:10" x14ac:dyDescent="0.35">
      <c r="A166" t="s">
        <v>6</v>
      </c>
      <c r="B166" t="s">
        <v>19</v>
      </c>
      <c r="E166" t="s">
        <v>13</v>
      </c>
      <c r="G166" t="s">
        <v>15</v>
      </c>
      <c r="J16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Lastgang~Tagtyp_1_5+Betriebsruhe+Woche+</v>
      </c>
    </row>
    <row r="167" spans="1:10" x14ac:dyDescent="0.35">
      <c r="A167" t="s">
        <v>6</v>
      </c>
      <c r="B167" t="s">
        <v>19</v>
      </c>
      <c r="C167" t="s">
        <v>0</v>
      </c>
      <c r="D167" t="s">
        <v>12</v>
      </c>
      <c r="G167" t="s">
        <v>15</v>
      </c>
      <c r="J16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Lastgang~Tagtyp_1_5+TemperaturGlobale_Strahlung+Woche+</v>
      </c>
    </row>
    <row r="168" spans="1:10" x14ac:dyDescent="0.35">
      <c r="A168" t="s">
        <v>6</v>
      </c>
      <c r="B168" t="s">
        <v>19</v>
      </c>
      <c r="C168" t="s">
        <v>0</v>
      </c>
      <c r="G168" t="s">
        <v>15</v>
      </c>
      <c r="J16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Lastgang~Tagtyp_1_5+TemperaturWoche+</v>
      </c>
    </row>
    <row r="169" spans="1:10" x14ac:dyDescent="0.35">
      <c r="A169" t="s">
        <v>6</v>
      </c>
      <c r="B169" t="s">
        <v>19</v>
      </c>
      <c r="G169" t="s">
        <v>15</v>
      </c>
      <c r="J16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Lastgang~Tagtyp_1_5+Woche+</v>
      </c>
    </row>
    <row r="170" spans="1:10" x14ac:dyDescent="0.35">
      <c r="A170" t="s">
        <v>6</v>
      </c>
      <c r="B170" t="s">
        <v>20</v>
      </c>
      <c r="C170" t="s">
        <v>0</v>
      </c>
      <c r="D170" t="s">
        <v>12</v>
      </c>
      <c r="E170" t="s">
        <v>13</v>
      </c>
      <c r="G170" t="s">
        <v>15</v>
      </c>
      <c r="H170" t="s">
        <v>16</v>
      </c>
      <c r="I170" t="s">
        <v>3</v>
      </c>
      <c r="J17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Lastgang~Tagtyp_1_7+TemperaturGlobale_Strahlung+Betriebsruhe+Woche+Tag+DayAhead</v>
      </c>
    </row>
    <row r="171" spans="1:10" x14ac:dyDescent="0.35">
      <c r="A171" t="s">
        <v>6</v>
      </c>
      <c r="B171" t="s">
        <v>20</v>
      </c>
      <c r="C171" t="s">
        <v>0</v>
      </c>
      <c r="E171" t="s">
        <v>13</v>
      </c>
      <c r="G171" t="s">
        <v>15</v>
      </c>
      <c r="H171" t="s">
        <v>16</v>
      </c>
      <c r="I171" t="s">
        <v>3</v>
      </c>
      <c r="J17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Lastgang~Tagtyp_1_7+TemperaturBetriebsruhe+Woche+Tag+DayAhead</v>
      </c>
    </row>
    <row r="172" spans="1:10" x14ac:dyDescent="0.35">
      <c r="A172" t="s">
        <v>6</v>
      </c>
      <c r="B172" t="s">
        <v>20</v>
      </c>
      <c r="E172" t="s">
        <v>13</v>
      </c>
      <c r="G172" t="s">
        <v>15</v>
      </c>
      <c r="H172" t="s">
        <v>16</v>
      </c>
      <c r="I172" t="s">
        <v>3</v>
      </c>
      <c r="J17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Lastgang~Tagtyp_1_7+Betriebsruhe+Woche+Tag+DayAhead</v>
      </c>
    </row>
    <row r="173" spans="1:10" x14ac:dyDescent="0.35">
      <c r="A173" t="s">
        <v>6</v>
      </c>
      <c r="B173" t="s">
        <v>20</v>
      </c>
      <c r="C173" t="s">
        <v>0</v>
      </c>
      <c r="D173" t="s">
        <v>12</v>
      </c>
      <c r="G173" t="s">
        <v>15</v>
      </c>
      <c r="H173" t="s">
        <v>16</v>
      </c>
      <c r="I173" t="s">
        <v>3</v>
      </c>
      <c r="J17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Lastgang~Tagtyp_1_7+TemperaturGlobale_Strahlung+Woche+Tag+DayAhead</v>
      </c>
    </row>
    <row r="174" spans="1:10" x14ac:dyDescent="0.35">
      <c r="A174" t="s">
        <v>6</v>
      </c>
      <c r="B174" t="s">
        <v>20</v>
      </c>
      <c r="C174" t="s">
        <v>0</v>
      </c>
      <c r="G174" t="s">
        <v>15</v>
      </c>
      <c r="H174" t="s">
        <v>16</v>
      </c>
      <c r="I174" t="s">
        <v>3</v>
      </c>
      <c r="J17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Lastgang~Tagtyp_1_7+TemperaturWoche+Tag+DayAhead</v>
      </c>
    </row>
    <row r="175" spans="1:10" x14ac:dyDescent="0.35">
      <c r="A175" t="s">
        <v>6</v>
      </c>
      <c r="B175" t="s">
        <v>20</v>
      </c>
      <c r="G175" t="s">
        <v>15</v>
      </c>
      <c r="H175" t="s">
        <v>16</v>
      </c>
      <c r="I175" t="s">
        <v>3</v>
      </c>
      <c r="J17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Lastgang~Tagtyp_1_7+Woche+Tag+DayAhead</v>
      </c>
    </row>
    <row r="176" spans="1:10" x14ac:dyDescent="0.35">
      <c r="A176" t="s">
        <v>6</v>
      </c>
      <c r="B176" t="s">
        <v>20</v>
      </c>
      <c r="C176" t="s">
        <v>0</v>
      </c>
      <c r="D176" t="s">
        <v>12</v>
      </c>
      <c r="E176" t="s">
        <v>13</v>
      </c>
      <c r="G176" t="s">
        <v>15</v>
      </c>
      <c r="I176" t="s">
        <v>3</v>
      </c>
      <c r="J17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Lastgang~Tagtyp_1_7+TemperaturGlobale_Strahlung+Betriebsruhe+Woche+DayAhead</v>
      </c>
    </row>
    <row r="177" spans="1:10" x14ac:dyDescent="0.35">
      <c r="A177" t="s">
        <v>6</v>
      </c>
      <c r="B177" t="s">
        <v>20</v>
      </c>
      <c r="C177" t="s">
        <v>0</v>
      </c>
      <c r="E177" t="s">
        <v>13</v>
      </c>
      <c r="G177" t="s">
        <v>15</v>
      </c>
      <c r="I177" t="s">
        <v>3</v>
      </c>
      <c r="J17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Lastgang~Tagtyp_1_7+TemperaturBetriebsruhe+Woche+DayAhead</v>
      </c>
    </row>
    <row r="178" spans="1:10" x14ac:dyDescent="0.35">
      <c r="A178" t="s">
        <v>6</v>
      </c>
      <c r="B178" t="s">
        <v>20</v>
      </c>
      <c r="E178" t="s">
        <v>13</v>
      </c>
      <c r="G178" t="s">
        <v>15</v>
      </c>
      <c r="I178" t="s">
        <v>3</v>
      </c>
      <c r="J17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Lastgang~Tagtyp_1_7+Betriebsruhe+Woche+DayAhead</v>
      </c>
    </row>
    <row r="179" spans="1:10" x14ac:dyDescent="0.35">
      <c r="A179" t="s">
        <v>6</v>
      </c>
      <c r="B179" t="s">
        <v>20</v>
      </c>
      <c r="C179" t="s">
        <v>0</v>
      </c>
      <c r="D179" t="s">
        <v>12</v>
      </c>
      <c r="G179" t="s">
        <v>15</v>
      </c>
      <c r="I179" t="s">
        <v>3</v>
      </c>
      <c r="J17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Lastgang~Tagtyp_1_7+TemperaturGlobale_Strahlung+Woche+DayAhead</v>
      </c>
    </row>
    <row r="180" spans="1:10" x14ac:dyDescent="0.35">
      <c r="A180" t="s">
        <v>6</v>
      </c>
      <c r="B180" t="s">
        <v>20</v>
      </c>
      <c r="C180" t="s">
        <v>0</v>
      </c>
      <c r="G180" t="s">
        <v>15</v>
      </c>
      <c r="I180" t="s">
        <v>3</v>
      </c>
      <c r="J18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Lastgang~Tagtyp_1_7+TemperaturWoche+DayAhead</v>
      </c>
    </row>
    <row r="181" spans="1:10" x14ac:dyDescent="0.35">
      <c r="A181" t="s">
        <v>6</v>
      </c>
      <c r="B181" t="s">
        <v>20</v>
      </c>
      <c r="G181" t="s">
        <v>15</v>
      </c>
      <c r="I181" t="s">
        <v>3</v>
      </c>
      <c r="J18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Lastgang~Tagtyp_1_7+Woche+DayAhead</v>
      </c>
    </row>
    <row r="182" spans="1:10" x14ac:dyDescent="0.35">
      <c r="A182" t="s">
        <v>6</v>
      </c>
      <c r="B182" t="s">
        <v>20</v>
      </c>
      <c r="C182" t="s">
        <v>0</v>
      </c>
      <c r="D182" t="s">
        <v>12</v>
      </c>
      <c r="E182" t="s">
        <v>13</v>
      </c>
      <c r="G182" t="s">
        <v>15</v>
      </c>
      <c r="H182" t="s">
        <v>16</v>
      </c>
      <c r="J18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Lastgang~Tagtyp_1_7+TemperaturGlobale_Strahlung+Betriebsruhe+Woche+Tag+</v>
      </c>
    </row>
    <row r="183" spans="1:10" x14ac:dyDescent="0.35">
      <c r="A183" t="s">
        <v>6</v>
      </c>
      <c r="B183" t="s">
        <v>20</v>
      </c>
      <c r="C183" t="s">
        <v>0</v>
      </c>
      <c r="E183" t="s">
        <v>13</v>
      </c>
      <c r="G183" t="s">
        <v>15</v>
      </c>
      <c r="H183" t="s">
        <v>16</v>
      </c>
      <c r="J18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Lastgang~Tagtyp_1_7+TemperaturBetriebsruhe+Woche+Tag+</v>
      </c>
    </row>
    <row r="184" spans="1:10" x14ac:dyDescent="0.35">
      <c r="A184" t="s">
        <v>6</v>
      </c>
      <c r="B184" t="s">
        <v>20</v>
      </c>
      <c r="E184" t="s">
        <v>13</v>
      </c>
      <c r="G184" t="s">
        <v>15</v>
      </c>
      <c r="H184" t="s">
        <v>16</v>
      </c>
      <c r="J18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Lastgang~Tagtyp_1_7+Betriebsruhe+Woche+Tag+</v>
      </c>
    </row>
    <row r="185" spans="1:10" x14ac:dyDescent="0.35">
      <c r="A185" t="s">
        <v>6</v>
      </c>
      <c r="B185" t="s">
        <v>20</v>
      </c>
      <c r="C185" t="s">
        <v>0</v>
      </c>
      <c r="D185" t="s">
        <v>12</v>
      </c>
      <c r="G185" t="s">
        <v>15</v>
      </c>
      <c r="H185" t="s">
        <v>16</v>
      </c>
      <c r="J18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Lastgang~Tagtyp_1_7+TemperaturGlobale_Strahlung+Woche+Tag+</v>
      </c>
    </row>
    <row r="186" spans="1:10" x14ac:dyDescent="0.35">
      <c r="A186" t="s">
        <v>6</v>
      </c>
      <c r="B186" t="s">
        <v>20</v>
      </c>
      <c r="C186" t="s">
        <v>0</v>
      </c>
      <c r="G186" t="s">
        <v>15</v>
      </c>
      <c r="H186" t="s">
        <v>16</v>
      </c>
      <c r="J18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Lastgang~Tagtyp_1_7+TemperaturWoche+Tag+</v>
      </c>
    </row>
    <row r="187" spans="1:10" x14ac:dyDescent="0.35">
      <c r="A187" t="s">
        <v>6</v>
      </c>
      <c r="B187" t="s">
        <v>20</v>
      </c>
      <c r="G187" t="s">
        <v>15</v>
      </c>
      <c r="H187" t="s">
        <v>16</v>
      </c>
      <c r="J18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Lastgang~Tagtyp_1_7+Woche+Tag+</v>
      </c>
    </row>
    <row r="188" spans="1:10" x14ac:dyDescent="0.35">
      <c r="A188" t="s">
        <v>6</v>
      </c>
      <c r="B188" t="s">
        <v>20</v>
      </c>
      <c r="C188" t="s">
        <v>0</v>
      </c>
      <c r="D188" t="s">
        <v>12</v>
      </c>
      <c r="E188" t="s">
        <v>13</v>
      </c>
      <c r="G188" t="s">
        <v>15</v>
      </c>
      <c r="J18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Lastgang~Tagtyp_1_7+TemperaturGlobale_Strahlung+Betriebsruhe+Woche+</v>
      </c>
    </row>
    <row r="189" spans="1:10" x14ac:dyDescent="0.35">
      <c r="A189" t="s">
        <v>6</v>
      </c>
      <c r="B189" t="s">
        <v>20</v>
      </c>
      <c r="C189" t="s">
        <v>0</v>
      </c>
      <c r="E189" t="s">
        <v>13</v>
      </c>
      <c r="G189" t="s">
        <v>15</v>
      </c>
      <c r="J18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Lastgang~Tagtyp_1_7+TemperaturBetriebsruhe+Woche+</v>
      </c>
    </row>
    <row r="190" spans="1:10" x14ac:dyDescent="0.35">
      <c r="A190" t="s">
        <v>6</v>
      </c>
      <c r="B190" t="s">
        <v>20</v>
      </c>
      <c r="E190" t="s">
        <v>13</v>
      </c>
      <c r="G190" t="s">
        <v>15</v>
      </c>
      <c r="J19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Lastgang~Tagtyp_1_7+Betriebsruhe+Woche+</v>
      </c>
    </row>
    <row r="191" spans="1:10" x14ac:dyDescent="0.35">
      <c r="A191" t="s">
        <v>6</v>
      </c>
      <c r="B191" t="s">
        <v>20</v>
      </c>
      <c r="C191" t="s">
        <v>0</v>
      </c>
      <c r="D191" t="s">
        <v>12</v>
      </c>
      <c r="G191" t="s">
        <v>15</v>
      </c>
      <c r="J19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Lastgang~Tagtyp_1_7+TemperaturGlobale_Strahlung+Woche+</v>
      </c>
    </row>
    <row r="192" spans="1:10" x14ac:dyDescent="0.35">
      <c r="A192" t="s">
        <v>6</v>
      </c>
      <c r="B192" t="s">
        <v>20</v>
      </c>
      <c r="C192" t="s">
        <v>0</v>
      </c>
      <c r="G192" t="s">
        <v>15</v>
      </c>
      <c r="J19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Lastgang~Tagtyp_1_7+TemperaturWoche+</v>
      </c>
    </row>
    <row r="193" spans="1:10" x14ac:dyDescent="0.35">
      <c r="A193" t="s">
        <v>6</v>
      </c>
      <c r="B193" t="s">
        <v>20</v>
      </c>
      <c r="G193" t="s">
        <v>15</v>
      </c>
      <c r="J19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Lastgang~Tagtyp_1_7+Woche+</v>
      </c>
    </row>
    <row r="194" spans="1:10" x14ac:dyDescent="0.35">
      <c r="A194" t="s">
        <v>6</v>
      </c>
      <c r="B194" t="s">
        <v>17</v>
      </c>
      <c r="C194" t="s">
        <v>11</v>
      </c>
      <c r="D194" t="s">
        <v>12</v>
      </c>
      <c r="E194" t="s">
        <v>13</v>
      </c>
      <c r="F194" t="s">
        <v>14</v>
      </c>
      <c r="H194" t="s">
        <v>16</v>
      </c>
      <c r="I194" t="s">
        <v>3</v>
      </c>
      <c r="J19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Lastgang~Tagtyp_1_1+Temperatur+Globale_Strahlung+Betriebsruhe+Monat+Tag+DayAhead</v>
      </c>
    </row>
    <row r="195" spans="1:10" x14ac:dyDescent="0.35">
      <c r="A195" t="s">
        <v>6</v>
      </c>
      <c r="B195" t="s">
        <v>17</v>
      </c>
      <c r="C195" t="s">
        <v>11</v>
      </c>
      <c r="E195" t="s">
        <v>13</v>
      </c>
      <c r="F195" t="s">
        <v>14</v>
      </c>
      <c r="H195" t="s">
        <v>16</v>
      </c>
      <c r="I195" t="s">
        <v>3</v>
      </c>
      <c r="J19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Lastgang~Tagtyp_1_1+Temperatur+Betriebsruhe+Monat+Tag+DayAhead</v>
      </c>
    </row>
    <row r="196" spans="1:10" x14ac:dyDescent="0.35">
      <c r="A196" t="s">
        <v>6</v>
      </c>
      <c r="B196" t="s">
        <v>17</v>
      </c>
      <c r="E196" t="s">
        <v>13</v>
      </c>
      <c r="F196" t="s">
        <v>14</v>
      </c>
      <c r="H196" t="s">
        <v>16</v>
      </c>
      <c r="I196" t="s">
        <v>3</v>
      </c>
      <c r="J19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Lastgang~Tagtyp_1_1+Betriebsruhe+Monat+Tag+DayAhead</v>
      </c>
    </row>
    <row r="197" spans="1:10" x14ac:dyDescent="0.35">
      <c r="A197" t="s">
        <v>6</v>
      </c>
      <c r="B197" t="s">
        <v>17</v>
      </c>
      <c r="C197" t="s">
        <v>11</v>
      </c>
      <c r="D197" t="s">
        <v>12</v>
      </c>
      <c r="F197" t="s">
        <v>14</v>
      </c>
      <c r="H197" t="s">
        <v>16</v>
      </c>
      <c r="I197" t="s">
        <v>3</v>
      </c>
      <c r="J19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Lastgang~Tagtyp_1_1+Temperatur+Globale_Strahlung+Monat+Tag+DayAhead</v>
      </c>
    </row>
    <row r="198" spans="1:10" x14ac:dyDescent="0.35">
      <c r="A198" t="s">
        <v>6</v>
      </c>
      <c r="B198" t="s">
        <v>17</v>
      </c>
      <c r="C198" t="s">
        <v>11</v>
      </c>
      <c r="F198" t="s">
        <v>14</v>
      </c>
      <c r="H198" t="s">
        <v>16</v>
      </c>
      <c r="I198" t="s">
        <v>3</v>
      </c>
      <c r="J19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Lastgang~Tagtyp_1_1+Temperatur+Monat+Tag+DayAhead</v>
      </c>
    </row>
    <row r="199" spans="1:10" x14ac:dyDescent="0.35">
      <c r="A199" t="s">
        <v>6</v>
      </c>
      <c r="B199" t="s">
        <v>17</v>
      </c>
      <c r="F199" t="s">
        <v>14</v>
      </c>
      <c r="H199" t="s">
        <v>16</v>
      </c>
      <c r="I199" t="s">
        <v>3</v>
      </c>
      <c r="J19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Lastgang~Tagtyp_1_1+Monat+Tag+DayAhead</v>
      </c>
    </row>
    <row r="200" spans="1:10" x14ac:dyDescent="0.35">
      <c r="A200" t="s">
        <v>6</v>
      </c>
      <c r="B200" t="s">
        <v>17</v>
      </c>
      <c r="C200" t="s">
        <v>11</v>
      </c>
      <c r="D200" t="s">
        <v>12</v>
      </c>
      <c r="E200" t="s">
        <v>13</v>
      </c>
      <c r="F200" t="s">
        <v>14</v>
      </c>
      <c r="I200" t="s">
        <v>3</v>
      </c>
      <c r="J20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Lastgang~Tagtyp_1_1+Temperatur+Globale_Strahlung+Betriebsruhe+Monat+DayAhead</v>
      </c>
    </row>
    <row r="201" spans="1:10" x14ac:dyDescent="0.35">
      <c r="A201" t="s">
        <v>6</v>
      </c>
      <c r="B201" t="s">
        <v>17</v>
      </c>
      <c r="C201" t="s">
        <v>11</v>
      </c>
      <c r="E201" t="s">
        <v>13</v>
      </c>
      <c r="F201" t="s">
        <v>14</v>
      </c>
      <c r="I201" t="s">
        <v>3</v>
      </c>
      <c r="J20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Lastgang~Tagtyp_1_1+Temperatur+Betriebsruhe+Monat+DayAhead</v>
      </c>
    </row>
    <row r="202" spans="1:10" x14ac:dyDescent="0.35">
      <c r="A202" t="s">
        <v>6</v>
      </c>
      <c r="B202" t="s">
        <v>17</v>
      </c>
      <c r="E202" t="s">
        <v>13</v>
      </c>
      <c r="F202" t="s">
        <v>14</v>
      </c>
      <c r="I202" t="s">
        <v>3</v>
      </c>
      <c r="J20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Lastgang~Tagtyp_1_1+Betriebsruhe+Monat+DayAhead</v>
      </c>
    </row>
    <row r="203" spans="1:10" x14ac:dyDescent="0.35">
      <c r="A203" t="s">
        <v>6</v>
      </c>
      <c r="B203" t="s">
        <v>17</v>
      </c>
      <c r="C203" t="s">
        <v>11</v>
      </c>
      <c r="D203" t="s">
        <v>12</v>
      </c>
      <c r="F203" t="s">
        <v>14</v>
      </c>
      <c r="I203" t="s">
        <v>3</v>
      </c>
      <c r="J20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Lastgang~Tagtyp_1_1+Temperatur+Globale_Strahlung+Monat+DayAhead</v>
      </c>
    </row>
    <row r="204" spans="1:10" x14ac:dyDescent="0.35">
      <c r="A204" t="s">
        <v>6</v>
      </c>
      <c r="B204" t="s">
        <v>17</v>
      </c>
      <c r="C204" t="s">
        <v>11</v>
      </c>
      <c r="F204" t="s">
        <v>14</v>
      </c>
      <c r="I204" t="s">
        <v>3</v>
      </c>
      <c r="J20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Lastgang~Tagtyp_1_1+Temperatur+Monat+DayAhead</v>
      </c>
    </row>
    <row r="205" spans="1:10" x14ac:dyDescent="0.35">
      <c r="A205" t="s">
        <v>6</v>
      </c>
      <c r="B205" t="s">
        <v>17</v>
      </c>
      <c r="F205" t="s">
        <v>14</v>
      </c>
      <c r="I205" t="s">
        <v>3</v>
      </c>
      <c r="J20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Lastgang~Tagtyp_1_1+Monat+DayAhead</v>
      </c>
    </row>
    <row r="206" spans="1:10" x14ac:dyDescent="0.35">
      <c r="A206" t="s">
        <v>6</v>
      </c>
      <c r="B206" t="s">
        <v>17</v>
      </c>
      <c r="C206" t="s">
        <v>11</v>
      </c>
      <c r="D206" t="s">
        <v>12</v>
      </c>
      <c r="E206" t="s">
        <v>13</v>
      </c>
      <c r="F206" t="s">
        <v>14</v>
      </c>
      <c r="H206" t="s">
        <v>16</v>
      </c>
      <c r="J20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Lastgang~Tagtyp_1_1+Temperatur+Globale_Strahlung+Betriebsruhe+Monat+Tag+</v>
      </c>
    </row>
    <row r="207" spans="1:10" x14ac:dyDescent="0.35">
      <c r="A207" t="s">
        <v>6</v>
      </c>
      <c r="B207" t="s">
        <v>17</v>
      </c>
      <c r="C207" t="s">
        <v>11</v>
      </c>
      <c r="E207" t="s">
        <v>13</v>
      </c>
      <c r="F207" t="s">
        <v>14</v>
      </c>
      <c r="H207" t="s">
        <v>16</v>
      </c>
      <c r="J20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Lastgang~Tagtyp_1_1+Temperatur+Betriebsruhe+Monat+Tag+</v>
      </c>
    </row>
    <row r="208" spans="1:10" x14ac:dyDescent="0.35">
      <c r="A208" t="s">
        <v>6</v>
      </c>
      <c r="B208" t="s">
        <v>17</v>
      </c>
      <c r="E208" t="s">
        <v>13</v>
      </c>
      <c r="F208" t="s">
        <v>14</v>
      </c>
      <c r="H208" t="s">
        <v>16</v>
      </c>
      <c r="J20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Lastgang~Tagtyp_1_1+Betriebsruhe+Monat+Tag+</v>
      </c>
    </row>
    <row r="209" spans="1:10" x14ac:dyDescent="0.35">
      <c r="A209" t="s">
        <v>6</v>
      </c>
      <c r="B209" t="s">
        <v>17</v>
      </c>
      <c r="C209" t="s">
        <v>11</v>
      </c>
      <c r="D209" t="s">
        <v>12</v>
      </c>
      <c r="F209" t="s">
        <v>14</v>
      </c>
      <c r="H209" t="s">
        <v>16</v>
      </c>
      <c r="J20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Lastgang~Tagtyp_1_1+Temperatur+Globale_Strahlung+Monat+Tag+</v>
      </c>
    </row>
    <row r="210" spans="1:10" x14ac:dyDescent="0.35">
      <c r="A210" t="s">
        <v>6</v>
      </c>
      <c r="B210" t="s">
        <v>17</v>
      </c>
      <c r="C210" t="s">
        <v>11</v>
      </c>
      <c r="F210" t="s">
        <v>14</v>
      </c>
      <c r="H210" t="s">
        <v>16</v>
      </c>
      <c r="J21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Lastgang~Tagtyp_1_1+Temperatur+Monat+Tag+</v>
      </c>
    </row>
    <row r="211" spans="1:10" x14ac:dyDescent="0.35">
      <c r="A211" t="s">
        <v>6</v>
      </c>
      <c r="B211" t="s">
        <v>17</v>
      </c>
      <c r="F211" t="s">
        <v>14</v>
      </c>
      <c r="H211" t="s">
        <v>16</v>
      </c>
      <c r="J21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Lastgang~Tagtyp_1_1+Monat+Tag+</v>
      </c>
    </row>
    <row r="212" spans="1:10" x14ac:dyDescent="0.35">
      <c r="A212" t="s">
        <v>6</v>
      </c>
      <c r="B212" t="s">
        <v>17</v>
      </c>
      <c r="C212" t="s">
        <v>11</v>
      </c>
      <c r="D212" t="s">
        <v>12</v>
      </c>
      <c r="E212" t="s">
        <v>13</v>
      </c>
      <c r="F212" t="s">
        <v>14</v>
      </c>
      <c r="J21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Lastgang~Tagtyp_1_1+Temperatur+Globale_Strahlung+Betriebsruhe+Monat+</v>
      </c>
    </row>
    <row r="213" spans="1:10" x14ac:dyDescent="0.35">
      <c r="A213" t="s">
        <v>6</v>
      </c>
      <c r="B213" t="s">
        <v>17</v>
      </c>
      <c r="C213" t="s">
        <v>11</v>
      </c>
      <c r="E213" t="s">
        <v>13</v>
      </c>
      <c r="F213" t="s">
        <v>14</v>
      </c>
      <c r="J21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Lastgang~Tagtyp_1_1+Temperatur+Betriebsruhe+Monat+</v>
      </c>
    </row>
    <row r="214" spans="1:10" x14ac:dyDescent="0.35">
      <c r="A214" t="s">
        <v>6</v>
      </c>
      <c r="B214" t="s">
        <v>17</v>
      </c>
      <c r="E214" t="s">
        <v>13</v>
      </c>
      <c r="F214" t="s">
        <v>14</v>
      </c>
      <c r="J21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Lastgang~Tagtyp_1_1+Betriebsruhe+Monat+</v>
      </c>
    </row>
    <row r="215" spans="1:10" x14ac:dyDescent="0.35">
      <c r="A215" t="s">
        <v>6</v>
      </c>
      <c r="B215" t="s">
        <v>17</v>
      </c>
      <c r="C215" t="s">
        <v>11</v>
      </c>
      <c r="D215" t="s">
        <v>12</v>
      </c>
      <c r="F215" t="s">
        <v>14</v>
      </c>
      <c r="J21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Lastgang~Tagtyp_1_1+Temperatur+Globale_Strahlung+Monat+</v>
      </c>
    </row>
    <row r="216" spans="1:10" x14ac:dyDescent="0.35">
      <c r="A216" t="s">
        <v>6</v>
      </c>
      <c r="B216" t="s">
        <v>17</v>
      </c>
      <c r="C216" t="s">
        <v>11</v>
      </c>
      <c r="F216" t="s">
        <v>14</v>
      </c>
      <c r="J21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Lastgang~Tagtyp_1_1+Temperatur+Monat+</v>
      </c>
    </row>
    <row r="217" spans="1:10" x14ac:dyDescent="0.35">
      <c r="A217" t="s">
        <v>6</v>
      </c>
      <c r="B217" t="s">
        <v>17</v>
      </c>
      <c r="F217" t="s">
        <v>14</v>
      </c>
      <c r="J21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Lastgang~Tagtyp_1_1+Monat+</v>
      </c>
    </row>
    <row r="218" spans="1:10" x14ac:dyDescent="0.35">
      <c r="A218" t="s">
        <v>6</v>
      </c>
      <c r="B218" t="s">
        <v>18</v>
      </c>
      <c r="C218" t="s">
        <v>0</v>
      </c>
      <c r="D218" t="s">
        <v>12</v>
      </c>
      <c r="E218" t="s">
        <v>13</v>
      </c>
      <c r="F218" t="s">
        <v>14</v>
      </c>
      <c r="H218" t="s">
        <v>16</v>
      </c>
      <c r="I218" t="s">
        <v>3</v>
      </c>
      <c r="J21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Lastgang~Tagtyp_1_3+TemperaturGlobale_Strahlung+Betriebsruhe+Monat+Tag+DayAhead</v>
      </c>
    </row>
    <row r="219" spans="1:10" x14ac:dyDescent="0.35">
      <c r="A219" t="s">
        <v>6</v>
      </c>
      <c r="B219" t="s">
        <v>18</v>
      </c>
      <c r="C219" t="s">
        <v>0</v>
      </c>
      <c r="E219" t="s">
        <v>13</v>
      </c>
      <c r="F219" t="s">
        <v>14</v>
      </c>
      <c r="H219" t="s">
        <v>16</v>
      </c>
      <c r="I219" t="s">
        <v>3</v>
      </c>
      <c r="J21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Lastgang~Tagtyp_1_3+TemperaturBetriebsruhe+Monat+Tag+DayAhead</v>
      </c>
    </row>
    <row r="220" spans="1:10" x14ac:dyDescent="0.35">
      <c r="A220" t="s">
        <v>6</v>
      </c>
      <c r="B220" t="s">
        <v>18</v>
      </c>
      <c r="E220" t="s">
        <v>13</v>
      </c>
      <c r="F220" t="s">
        <v>14</v>
      </c>
      <c r="H220" t="s">
        <v>16</v>
      </c>
      <c r="I220" t="s">
        <v>3</v>
      </c>
      <c r="J22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Lastgang~Tagtyp_1_3+Betriebsruhe+Monat+Tag+DayAhead</v>
      </c>
    </row>
    <row r="221" spans="1:10" x14ac:dyDescent="0.35">
      <c r="A221" t="s">
        <v>6</v>
      </c>
      <c r="B221" t="s">
        <v>18</v>
      </c>
      <c r="C221" t="s">
        <v>0</v>
      </c>
      <c r="D221" t="s">
        <v>12</v>
      </c>
      <c r="F221" t="s">
        <v>14</v>
      </c>
      <c r="H221" t="s">
        <v>16</v>
      </c>
      <c r="I221" t="s">
        <v>3</v>
      </c>
      <c r="J22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Lastgang~Tagtyp_1_3+TemperaturGlobale_Strahlung+Monat+Tag+DayAhead</v>
      </c>
    </row>
    <row r="222" spans="1:10" x14ac:dyDescent="0.35">
      <c r="A222" t="s">
        <v>6</v>
      </c>
      <c r="B222" t="s">
        <v>18</v>
      </c>
      <c r="C222" t="s">
        <v>0</v>
      </c>
      <c r="F222" t="s">
        <v>14</v>
      </c>
      <c r="H222" t="s">
        <v>16</v>
      </c>
      <c r="I222" t="s">
        <v>3</v>
      </c>
      <c r="J22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Lastgang~Tagtyp_1_3+TemperaturMonat+Tag+DayAhead</v>
      </c>
    </row>
    <row r="223" spans="1:10" x14ac:dyDescent="0.35">
      <c r="A223" t="s">
        <v>6</v>
      </c>
      <c r="B223" t="s">
        <v>18</v>
      </c>
      <c r="F223" t="s">
        <v>14</v>
      </c>
      <c r="H223" t="s">
        <v>16</v>
      </c>
      <c r="I223" t="s">
        <v>3</v>
      </c>
      <c r="J22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Lastgang~Tagtyp_1_3+Monat+Tag+DayAhead</v>
      </c>
    </row>
    <row r="224" spans="1:10" x14ac:dyDescent="0.35">
      <c r="A224" t="s">
        <v>6</v>
      </c>
      <c r="B224" t="s">
        <v>18</v>
      </c>
      <c r="C224" t="s">
        <v>0</v>
      </c>
      <c r="D224" t="s">
        <v>12</v>
      </c>
      <c r="E224" t="s">
        <v>13</v>
      </c>
      <c r="F224" t="s">
        <v>14</v>
      </c>
      <c r="I224" t="s">
        <v>3</v>
      </c>
      <c r="J22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Lastgang~Tagtyp_1_3+TemperaturGlobale_Strahlung+Betriebsruhe+Monat+DayAhead</v>
      </c>
    </row>
    <row r="225" spans="1:10" x14ac:dyDescent="0.35">
      <c r="A225" t="s">
        <v>6</v>
      </c>
      <c r="B225" t="s">
        <v>18</v>
      </c>
      <c r="C225" t="s">
        <v>0</v>
      </c>
      <c r="E225" t="s">
        <v>13</v>
      </c>
      <c r="F225" t="s">
        <v>14</v>
      </c>
      <c r="I225" t="s">
        <v>3</v>
      </c>
      <c r="J22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Lastgang~Tagtyp_1_3+TemperaturBetriebsruhe+Monat+DayAhead</v>
      </c>
    </row>
    <row r="226" spans="1:10" x14ac:dyDescent="0.35">
      <c r="A226" t="s">
        <v>6</v>
      </c>
      <c r="B226" t="s">
        <v>18</v>
      </c>
      <c r="E226" t="s">
        <v>13</v>
      </c>
      <c r="F226" t="s">
        <v>14</v>
      </c>
      <c r="I226" t="s">
        <v>3</v>
      </c>
      <c r="J22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Lastgang~Tagtyp_1_3+Betriebsruhe+Monat+DayAhead</v>
      </c>
    </row>
    <row r="227" spans="1:10" x14ac:dyDescent="0.35">
      <c r="A227" t="s">
        <v>6</v>
      </c>
      <c r="B227" t="s">
        <v>18</v>
      </c>
      <c r="C227" t="s">
        <v>0</v>
      </c>
      <c r="D227" t="s">
        <v>12</v>
      </c>
      <c r="F227" t="s">
        <v>14</v>
      </c>
      <c r="I227" t="s">
        <v>3</v>
      </c>
      <c r="J22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Lastgang~Tagtyp_1_3+TemperaturGlobale_Strahlung+Monat+DayAhead</v>
      </c>
    </row>
    <row r="228" spans="1:10" x14ac:dyDescent="0.35">
      <c r="A228" t="s">
        <v>6</v>
      </c>
      <c r="B228" t="s">
        <v>18</v>
      </c>
      <c r="C228" t="s">
        <v>0</v>
      </c>
      <c r="F228" t="s">
        <v>14</v>
      </c>
      <c r="I228" t="s">
        <v>3</v>
      </c>
      <c r="J22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Lastgang~Tagtyp_1_3+TemperaturMonat+DayAhead</v>
      </c>
    </row>
    <row r="229" spans="1:10" x14ac:dyDescent="0.35">
      <c r="A229" t="s">
        <v>6</v>
      </c>
      <c r="B229" t="s">
        <v>18</v>
      </c>
      <c r="F229" t="s">
        <v>14</v>
      </c>
      <c r="I229" t="s">
        <v>3</v>
      </c>
      <c r="J22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Lastgang~Tagtyp_1_3+Monat+DayAhead</v>
      </c>
    </row>
    <row r="230" spans="1:10" x14ac:dyDescent="0.35">
      <c r="A230" t="s">
        <v>6</v>
      </c>
      <c r="B230" t="s">
        <v>18</v>
      </c>
      <c r="C230" t="s">
        <v>0</v>
      </c>
      <c r="D230" t="s">
        <v>12</v>
      </c>
      <c r="E230" t="s">
        <v>13</v>
      </c>
      <c r="F230" t="s">
        <v>14</v>
      </c>
      <c r="H230" t="s">
        <v>16</v>
      </c>
      <c r="J23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Lastgang~Tagtyp_1_3+TemperaturGlobale_Strahlung+Betriebsruhe+Monat+Tag+</v>
      </c>
    </row>
    <row r="231" spans="1:10" x14ac:dyDescent="0.35">
      <c r="A231" t="s">
        <v>6</v>
      </c>
      <c r="B231" t="s">
        <v>18</v>
      </c>
      <c r="C231" t="s">
        <v>0</v>
      </c>
      <c r="E231" t="s">
        <v>13</v>
      </c>
      <c r="F231" t="s">
        <v>14</v>
      </c>
      <c r="H231" t="s">
        <v>16</v>
      </c>
      <c r="J23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Lastgang~Tagtyp_1_3+TemperaturBetriebsruhe+Monat+Tag+</v>
      </c>
    </row>
    <row r="232" spans="1:10" x14ac:dyDescent="0.35">
      <c r="A232" t="s">
        <v>6</v>
      </c>
      <c r="B232" t="s">
        <v>18</v>
      </c>
      <c r="E232" t="s">
        <v>13</v>
      </c>
      <c r="F232" t="s">
        <v>14</v>
      </c>
      <c r="H232" t="s">
        <v>16</v>
      </c>
      <c r="J23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Lastgang~Tagtyp_1_3+Betriebsruhe+Monat+Tag+</v>
      </c>
    </row>
    <row r="233" spans="1:10" x14ac:dyDescent="0.35">
      <c r="A233" t="s">
        <v>6</v>
      </c>
      <c r="B233" t="s">
        <v>18</v>
      </c>
      <c r="C233" t="s">
        <v>0</v>
      </c>
      <c r="D233" t="s">
        <v>12</v>
      </c>
      <c r="F233" t="s">
        <v>14</v>
      </c>
      <c r="H233" t="s">
        <v>16</v>
      </c>
      <c r="J23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Lastgang~Tagtyp_1_3+TemperaturGlobale_Strahlung+Monat+Tag+</v>
      </c>
    </row>
    <row r="234" spans="1:10" x14ac:dyDescent="0.35">
      <c r="A234" t="s">
        <v>6</v>
      </c>
      <c r="B234" t="s">
        <v>18</v>
      </c>
      <c r="C234" t="s">
        <v>0</v>
      </c>
      <c r="F234" t="s">
        <v>14</v>
      </c>
      <c r="H234" t="s">
        <v>16</v>
      </c>
      <c r="J23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Lastgang~Tagtyp_1_3+TemperaturMonat+Tag+</v>
      </c>
    </row>
    <row r="235" spans="1:10" x14ac:dyDescent="0.35">
      <c r="A235" t="s">
        <v>6</v>
      </c>
      <c r="B235" t="s">
        <v>18</v>
      </c>
      <c r="F235" t="s">
        <v>14</v>
      </c>
      <c r="H235" t="s">
        <v>16</v>
      </c>
      <c r="J23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Lastgang~Tagtyp_1_3+Monat+Tag+</v>
      </c>
    </row>
    <row r="236" spans="1:10" x14ac:dyDescent="0.35">
      <c r="A236" t="s">
        <v>6</v>
      </c>
      <c r="B236" t="s">
        <v>18</v>
      </c>
      <c r="C236" t="s">
        <v>0</v>
      </c>
      <c r="D236" t="s">
        <v>12</v>
      </c>
      <c r="E236" t="s">
        <v>13</v>
      </c>
      <c r="F236" t="s">
        <v>14</v>
      </c>
      <c r="J23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Lastgang~Tagtyp_1_3+TemperaturGlobale_Strahlung+Betriebsruhe+Monat+</v>
      </c>
    </row>
    <row r="237" spans="1:10" x14ac:dyDescent="0.35">
      <c r="A237" t="s">
        <v>6</v>
      </c>
      <c r="B237" t="s">
        <v>18</v>
      </c>
      <c r="C237" t="s">
        <v>0</v>
      </c>
      <c r="E237" t="s">
        <v>13</v>
      </c>
      <c r="F237" t="s">
        <v>14</v>
      </c>
      <c r="J23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Lastgang~Tagtyp_1_3+TemperaturBetriebsruhe+Monat+</v>
      </c>
    </row>
    <row r="238" spans="1:10" x14ac:dyDescent="0.35">
      <c r="A238" t="s">
        <v>6</v>
      </c>
      <c r="B238" t="s">
        <v>18</v>
      </c>
      <c r="E238" t="s">
        <v>13</v>
      </c>
      <c r="F238" t="s">
        <v>14</v>
      </c>
      <c r="J23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Lastgang~Tagtyp_1_3+Betriebsruhe+Monat+</v>
      </c>
    </row>
    <row r="239" spans="1:10" x14ac:dyDescent="0.35">
      <c r="A239" t="s">
        <v>6</v>
      </c>
      <c r="B239" t="s">
        <v>18</v>
      </c>
      <c r="C239" t="s">
        <v>0</v>
      </c>
      <c r="D239" t="s">
        <v>12</v>
      </c>
      <c r="F239" t="s">
        <v>14</v>
      </c>
      <c r="J23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Lastgang~Tagtyp_1_3+TemperaturGlobale_Strahlung+Monat+</v>
      </c>
    </row>
    <row r="240" spans="1:10" x14ac:dyDescent="0.35">
      <c r="A240" t="s">
        <v>6</v>
      </c>
      <c r="B240" t="s">
        <v>18</v>
      </c>
      <c r="C240" t="s">
        <v>0</v>
      </c>
      <c r="F240" t="s">
        <v>14</v>
      </c>
      <c r="J24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Lastgang~Tagtyp_1_3+TemperaturMonat+</v>
      </c>
    </row>
    <row r="241" spans="1:10" x14ac:dyDescent="0.35">
      <c r="A241" t="s">
        <v>6</v>
      </c>
      <c r="B241" t="s">
        <v>18</v>
      </c>
      <c r="F241" t="s">
        <v>14</v>
      </c>
      <c r="J24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Lastgang~Tagtyp_1_3+Monat+</v>
      </c>
    </row>
    <row r="242" spans="1:10" x14ac:dyDescent="0.35">
      <c r="A242" t="s">
        <v>6</v>
      </c>
      <c r="B242" t="s">
        <v>19</v>
      </c>
      <c r="C242" t="s">
        <v>0</v>
      </c>
      <c r="D242" t="s">
        <v>12</v>
      </c>
      <c r="E242" t="s">
        <v>13</v>
      </c>
      <c r="F242" t="s">
        <v>14</v>
      </c>
      <c r="H242" t="s">
        <v>16</v>
      </c>
      <c r="I242" t="s">
        <v>3</v>
      </c>
      <c r="J24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Lastgang~Tagtyp_1_5+TemperaturGlobale_Strahlung+Betriebsruhe+Monat+Tag+DayAhead</v>
      </c>
    </row>
    <row r="243" spans="1:10" x14ac:dyDescent="0.35">
      <c r="A243" t="s">
        <v>6</v>
      </c>
      <c r="B243" t="s">
        <v>19</v>
      </c>
      <c r="C243" t="s">
        <v>0</v>
      </c>
      <c r="E243" t="s">
        <v>13</v>
      </c>
      <c r="F243" t="s">
        <v>14</v>
      </c>
      <c r="H243" t="s">
        <v>16</v>
      </c>
      <c r="I243" t="s">
        <v>3</v>
      </c>
      <c r="J24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Lastgang~Tagtyp_1_5+TemperaturBetriebsruhe+Monat+Tag+DayAhead</v>
      </c>
    </row>
    <row r="244" spans="1:10" x14ac:dyDescent="0.35">
      <c r="A244" t="s">
        <v>6</v>
      </c>
      <c r="B244" t="s">
        <v>19</v>
      </c>
      <c r="E244" t="s">
        <v>13</v>
      </c>
      <c r="F244" t="s">
        <v>14</v>
      </c>
      <c r="H244" t="s">
        <v>16</v>
      </c>
      <c r="I244" t="s">
        <v>3</v>
      </c>
      <c r="J24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Lastgang~Tagtyp_1_5+Betriebsruhe+Monat+Tag+DayAhead</v>
      </c>
    </row>
    <row r="245" spans="1:10" x14ac:dyDescent="0.35">
      <c r="A245" t="s">
        <v>6</v>
      </c>
      <c r="B245" t="s">
        <v>19</v>
      </c>
      <c r="C245" t="s">
        <v>0</v>
      </c>
      <c r="D245" t="s">
        <v>12</v>
      </c>
      <c r="F245" t="s">
        <v>14</v>
      </c>
      <c r="H245" t="s">
        <v>16</v>
      </c>
      <c r="I245" t="s">
        <v>3</v>
      </c>
      <c r="J24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Lastgang~Tagtyp_1_5+TemperaturGlobale_Strahlung+Monat+Tag+DayAhead</v>
      </c>
    </row>
    <row r="246" spans="1:10" x14ac:dyDescent="0.35">
      <c r="A246" t="s">
        <v>6</v>
      </c>
      <c r="B246" t="s">
        <v>19</v>
      </c>
      <c r="C246" t="s">
        <v>0</v>
      </c>
      <c r="F246" t="s">
        <v>14</v>
      </c>
      <c r="H246" t="s">
        <v>16</v>
      </c>
      <c r="I246" t="s">
        <v>3</v>
      </c>
      <c r="J24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Lastgang~Tagtyp_1_5+TemperaturMonat+Tag+DayAhead</v>
      </c>
    </row>
    <row r="247" spans="1:10" x14ac:dyDescent="0.35">
      <c r="A247" t="s">
        <v>6</v>
      </c>
      <c r="B247" t="s">
        <v>19</v>
      </c>
      <c r="F247" t="s">
        <v>14</v>
      </c>
      <c r="H247" t="s">
        <v>16</v>
      </c>
      <c r="I247" t="s">
        <v>3</v>
      </c>
      <c r="J24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Lastgang~Tagtyp_1_5+Monat+Tag+DayAhead</v>
      </c>
    </row>
    <row r="248" spans="1:10" x14ac:dyDescent="0.35">
      <c r="A248" t="s">
        <v>6</v>
      </c>
      <c r="B248" t="s">
        <v>19</v>
      </c>
      <c r="C248" t="s">
        <v>0</v>
      </c>
      <c r="D248" t="s">
        <v>12</v>
      </c>
      <c r="E248" t="s">
        <v>13</v>
      </c>
      <c r="F248" t="s">
        <v>14</v>
      </c>
      <c r="I248" t="s">
        <v>3</v>
      </c>
      <c r="J24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Lastgang~Tagtyp_1_5+TemperaturGlobale_Strahlung+Betriebsruhe+Monat+DayAhead</v>
      </c>
    </row>
    <row r="249" spans="1:10" x14ac:dyDescent="0.35">
      <c r="A249" t="s">
        <v>6</v>
      </c>
      <c r="B249" t="s">
        <v>19</v>
      </c>
      <c r="C249" t="s">
        <v>0</v>
      </c>
      <c r="E249" t="s">
        <v>13</v>
      </c>
      <c r="F249" t="s">
        <v>14</v>
      </c>
      <c r="I249" t="s">
        <v>3</v>
      </c>
      <c r="J24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Lastgang~Tagtyp_1_5+TemperaturBetriebsruhe+Monat+DayAhead</v>
      </c>
    </row>
    <row r="250" spans="1:10" x14ac:dyDescent="0.35">
      <c r="A250" t="s">
        <v>6</v>
      </c>
      <c r="B250" t="s">
        <v>19</v>
      </c>
      <c r="E250" t="s">
        <v>13</v>
      </c>
      <c r="F250" t="s">
        <v>14</v>
      </c>
      <c r="I250" t="s">
        <v>3</v>
      </c>
      <c r="J25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Lastgang~Tagtyp_1_5+Betriebsruhe+Monat+DayAhead</v>
      </c>
    </row>
    <row r="251" spans="1:10" x14ac:dyDescent="0.35">
      <c r="A251" t="s">
        <v>6</v>
      </c>
      <c r="B251" t="s">
        <v>19</v>
      </c>
      <c r="C251" t="s">
        <v>0</v>
      </c>
      <c r="D251" t="s">
        <v>12</v>
      </c>
      <c r="F251" t="s">
        <v>14</v>
      </c>
      <c r="I251" t="s">
        <v>3</v>
      </c>
      <c r="J25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Lastgang~Tagtyp_1_5+TemperaturGlobale_Strahlung+Monat+DayAhead</v>
      </c>
    </row>
    <row r="252" spans="1:10" x14ac:dyDescent="0.35">
      <c r="A252" t="s">
        <v>6</v>
      </c>
      <c r="B252" t="s">
        <v>19</v>
      </c>
      <c r="C252" t="s">
        <v>0</v>
      </c>
      <c r="F252" t="s">
        <v>14</v>
      </c>
      <c r="I252" t="s">
        <v>3</v>
      </c>
      <c r="J25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Lastgang~Tagtyp_1_5+TemperaturMonat+DayAhead</v>
      </c>
    </row>
    <row r="253" spans="1:10" x14ac:dyDescent="0.35">
      <c r="A253" t="s">
        <v>6</v>
      </c>
      <c r="B253" t="s">
        <v>19</v>
      </c>
      <c r="F253" t="s">
        <v>14</v>
      </c>
      <c r="I253" t="s">
        <v>3</v>
      </c>
      <c r="J25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Lastgang~Tagtyp_1_5+Monat+DayAhead</v>
      </c>
    </row>
    <row r="254" spans="1:10" x14ac:dyDescent="0.35">
      <c r="A254" t="s">
        <v>6</v>
      </c>
      <c r="B254" t="s">
        <v>19</v>
      </c>
      <c r="C254" t="s">
        <v>0</v>
      </c>
      <c r="D254" t="s">
        <v>12</v>
      </c>
      <c r="E254" t="s">
        <v>13</v>
      </c>
      <c r="F254" t="s">
        <v>14</v>
      </c>
      <c r="H254" t="s">
        <v>16</v>
      </c>
      <c r="J25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Lastgang~Tagtyp_1_5+TemperaturGlobale_Strahlung+Betriebsruhe+Monat+Tag+</v>
      </c>
    </row>
    <row r="255" spans="1:10" x14ac:dyDescent="0.35">
      <c r="A255" t="s">
        <v>6</v>
      </c>
      <c r="B255" t="s">
        <v>19</v>
      </c>
      <c r="C255" t="s">
        <v>0</v>
      </c>
      <c r="E255" t="s">
        <v>13</v>
      </c>
      <c r="F255" t="s">
        <v>14</v>
      </c>
      <c r="H255" t="s">
        <v>16</v>
      </c>
      <c r="J25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Lastgang~Tagtyp_1_5+TemperaturBetriebsruhe+Monat+Tag+</v>
      </c>
    </row>
    <row r="256" spans="1:10" x14ac:dyDescent="0.35">
      <c r="A256" t="s">
        <v>6</v>
      </c>
      <c r="B256" t="s">
        <v>19</v>
      </c>
      <c r="E256" t="s">
        <v>13</v>
      </c>
      <c r="F256" t="s">
        <v>14</v>
      </c>
      <c r="H256" t="s">
        <v>16</v>
      </c>
      <c r="J25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Lastgang~Tagtyp_1_5+Betriebsruhe+Monat+Tag+</v>
      </c>
    </row>
    <row r="257" spans="1:10" x14ac:dyDescent="0.35">
      <c r="A257" t="s">
        <v>6</v>
      </c>
      <c r="B257" t="s">
        <v>19</v>
      </c>
      <c r="C257" t="s">
        <v>0</v>
      </c>
      <c r="D257" t="s">
        <v>12</v>
      </c>
      <c r="F257" t="s">
        <v>14</v>
      </c>
      <c r="H257" t="s">
        <v>16</v>
      </c>
      <c r="J25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Lastgang~Tagtyp_1_5+TemperaturGlobale_Strahlung+Monat+Tag+</v>
      </c>
    </row>
    <row r="258" spans="1:10" x14ac:dyDescent="0.35">
      <c r="A258" t="s">
        <v>6</v>
      </c>
      <c r="B258" t="s">
        <v>19</v>
      </c>
      <c r="C258" t="s">
        <v>0</v>
      </c>
      <c r="F258" t="s">
        <v>14</v>
      </c>
      <c r="H258" t="s">
        <v>16</v>
      </c>
      <c r="J25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Lastgang~Tagtyp_1_5+TemperaturMonat+Tag+</v>
      </c>
    </row>
    <row r="259" spans="1:10" x14ac:dyDescent="0.35">
      <c r="A259" t="s">
        <v>6</v>
      </c>
      <c r="B259" t="s">
        <v>19</v>
      </c>
      <c r="F259" t="s">
        <v>14</v>
      </c>
      <c r="H259" t="s">
        <v>16</v>
      </c>
      <c r="J25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Lastgang~Tagtyp_1_5+Monat+Tag+</v>
      </c>
    </row>
    <row r="260" spans="1:10" x14ac:dyDescent="0.35">
      <c r="A260" t="s">
        <v>6</v>
      </c>
      <c r="B260" t="s">
        <v>19</v>
      </c>
      <c r="C260" t="s">
        <v>0</v>
      </c>
      <c r="D260" t="s">
        <v>12</v>
      </c>
      <c r="E260" t="s">
        <v>13</v>
      </c>
      <c r="F260" t="s">
        <v>14</v>
      </c>
      <c r="J26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Lastgang~Tagtyp_1_5+TemperaturGlobale_Strahlung+Betriebsruhe+Monat+</v>
      </c>
    </row>
    <row r="261" spans="1:10" x14ac:dyDescent="0.35">
      <c r="A261" t="s">
        <v>6</v>
      </c>
      <c r="B261" t="s">
        <v>19</v>
      </c>
      <c r="C261" t="s">
        <v>0</v>
      </c>
      <c r="E261" t="s">
        <v>13</v>
      </c>
      <c r="F261" t="s">
        <v>14</v>
      </c>
      <c r="J26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Lastgang~Tagtyp_1_5+TemperaturBetriebsruhe+Monat+</v>
      </c>
    </row>
    <row r="262" spans="1:10" x14ac:dyDescent="0.35">
      <c r="A262" t="s">
        <v>6</v>
      </c>
      <c r="B262" t="s">
        <v>19</v>
      </c>
      <c r="E262" t="s">
        <v>13</v>
      </c>
      <c r="F262" t="s">
        <v>14</v>
      </c>
      <c r="J26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Lastgang~Tagtyp_1_5+Betriebsruhe+Monat+</v>
      </c>
    </row>
    <row r="263" spans="1:10" x14ac:dyDescent="0.35">
      <c r="A263" t="s">
        <v>6</v>
      </c>
      <c r="B263" t="s">
        <v>19</v>
      </c>
      <c r="C263" t="s">
        <v>0</v>
      </c>
      <c r="D263" t="s">
        <v>12</v>
      </c>
      <c r="F263" t="s">
        <v>14</v>
      </c>
      <c r="J26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Lastgang~Tagtyp_1_5+TemperaturGlobale_Strahlung+Monat+</v>
      </c>
    </row>
    <row r="264" spans="1:10" x14ac:dyDescent="0.35">
      <c r="A264" t="s">
        <v>6</v>
      </c>
      <c r="B264" t="s">
        <v>19</v>
      </c>
      <c r="C264" t="s">
        <v>0</v>
      </c>
      <c r="F264" t="s">
        <v>14</v>
      </c>
      <c r="J26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Lastgang~Tagtyp_1_5+TemperaturMonat+</v>
      </c>
    </row>
    <row r="265" spans="1:10" x14ac:dyDescent="0.35">
      <c r="A265" t="s">
        <v>6</v>
      </c>
      <c r="B265" t="s">
        <v>19</v>
      </c>
      <c r="F265" t="s">
        <v>14</v>
      </c>
      <c r="J26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Lastgang~Tagtyp_1_5+Monat+</v>
      </c>
    </row>
    <row r="266" spans="1:10" x14ac:dyDescent="0.35">
      <c r="A266" t="s">
        <v>6</v>
      </c>
      <c r="B266" t="s">
        <v>20</v>
      </c>
      <c r="C266" t="s">
        <v>0</v>
      </c>
      <c r="D266" t="s">
        <v>12</v>
      </c>
      <c r="E266" t="s">
        <v>13</v>
      </c>
      <c r="F266" t="s">
        <v>14</v>
      </c>
      <c r="H266" t="s">
        <v>16</v>
      </c>
      <c r="I266" t="s">
        <v>3</v>
      </c>
      <c r="J26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Lastgang~Tagtyp_1_7+TemperaturGlobale_Strahlung+Betriebsruhe+Monat+Tag+DayAhead</v>
      </c>
    </row>
    <row r="267" spans="1:10" x14ac:dyDescent="0.35">
      <c r="A267" t="s">
        <v>6</v>
      </c>
      <c r="B267" t="s">
        <v>20</v>
      </c>
      <c r="C267" t="s">
        <v>0</v>
      </c>
      <c r="E267" t="s">
        <v>13</v>
      </c>
      <c r="F267" t="s">
        <v>14</v>
      </c>
      <c r="H267" t="s">
        <v>16</v>
      </c>
      <c r="I267" t="s">
        <v>3</v>
      </c>
      <c r="J26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Lastgang~Tagtyp_1_7+TemperaturBetriebsruhe+Monat+Tag+DayAhead</v>
      </c>
    </row>
    <row r="268" spans="1:10" x14ac:dyDescent="0.35">
      <c r="A268" t="s">
        <v>6</v>
      </c>
      <c r="B268" t="s">
        <v>20</v>
      </c>
      <c r="E268" t="s">
        <v>13</v>
      </c>
      <c r="F268" t="s">
        <v>14</v>
      </c>
      <c r="H268" t="s">
        <v>16</v>
      </c>
      <c r="I268" t="s">
        <v>3</v>
      </c>
      <c r="J26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Lastgang~Tagtyp_1_7+Betriebsruhe+Monat+Tag+DayAhead</v>
      </c>
    </row>
    <row r="269" spans="1:10" x14ac:dyDescent="0.35">
      <c r="A269" t="s">
        <v>6</v>
      </c>
      <c r="B269" t="s">
        <v>20</v>
      </c>
      <c r="C269" t="s">
        <v>0</v>
      </c>
      <c r="D269" t="s">
        <v>12</v>
      </c>
      <c r="F269" t="s">
        <v>14</v>
      </c>
      <c r="H269" t="s">
        <v>16</v>
      </c>
      <c r="I269" t="s">
        <v>3</v>
      </c>
      <c r="J26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Lastgang~Tagtyp_1_7+TemperaturGlobale_Strahlung+Monat+Tag+DayAhead</v>
      </c>
    </row>
    <row r="270" spans="1:10" x14ac:dyDescent="0.35">
      <c r="A270" t="s">
        <v>6</v>
      </c>
      <c r="B270" t="s">
        <v>20</v>
      </c>
      <c r="C270" t="s">
        <v>0</v>
      </c>
      <c r="F270" t="s">
        <v>14</v>
      </c>
      <c r="H270" t="s">
        <v>16</v>
      </c>
      <c r="I270" t="s">
        <v>3</v>
      </c>
      <c r="J27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Lastgang~Tagtyp_1_7+TemperaturMonat+Tag+DayAhead</v>
      </c>
    </row>
    <row r="271" spans="1:10" x14ac:dyDescent="0.35">
      <c r="A271" t="s">
        <v>6</v>
      </c>
      <c r="B271" t="s">
        <v>20</v>
      </c>
      <c r="F271" t="s">
        <v>14</v>
      </c>
      <c r="H271" t="s">
        <v>16</v>
      </c>
      <c r="I271" t="s">
        <v>3</v>
      </c>
      <c r="J27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Lastgang~Tagtyp_1_7+Monat+Tag+DayAhead</v>
      </c>
    </row>
    <row r="272" spans="1:10" x14ac:dyDescent="0.35">
      <c r="A272" t="s">
        <v>6</v>
      </c>
      <c r="B272" t="s">
        <v>20</v>
      </c>
      <c r="C272" t="s">
        <v>0</v>
      </c>
      <c r="D272" t="s">
        <v>12</v>
      </c>
      <c r="E272" t="s">
        <v>13</v>
      </c>
      <c r="F272" t="s">
        <v>14</v>
      </c>
      <c r="I272" t="s">
        <v>3</v>
      </c>
      <c r="J27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Lastgang~Tagtyp_1_7+TemperaturGlobale_Strahlung+Betriebsruhe+Monat+DayAhead</v>
      </c>
    </row>
    <row r="273" spans="1:10" x14ac:dyDescent="0.35">
      <c r="A273" t="s">
        <v>6</v>
      </c>
      <c r="B273" t="s">
        <v>20</v>
      </c>
      <c r="C273" t="s">
        <v>0</v>
      </c>
      <c r="E273" t="s">
        <v>13</v>
      </c>
      <c r="F273" t="s">
        <v>14</v>
      </c>
      <c r="I273" t="s">
        <v>3</v>
      </c>
      <c r="J27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Lastgang~Tagtyp_1_7+TemperaturBetriebsruhe+Monat+DayAhead</v>
      </c>
    </row>
    <row r="274" spans="1:10" x14ac:dyDescent="0.35">
      <c r="A274" t="s">
        <v>6</v>
      </c>
      <c r="B274" t="s">
        <v>20</v>
      </c>
      <c r="E274" t="s">
        <v>13</v>
      </c>
      <c r="F274" t="s">
        <v>14</v>
      </c>
      <c r="I274" t="s">
        <v>3</v>
      </c>
      <c r="J27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Lastgang~Tagtyp_1_7+Betriebsruhe+Monat+DayAhead</v>
      </c>
    </row>
    <row r="275" spans="1:10" x14ac:dyDescent="0.35">
      <c r="A275" t="s">
        <v>6</v>
      </c>
      <c r="B275" t="s">
        <v>20</v>
      </c>
      <c r="C275" t="s">
        <v>0</v>
      </c>
      <c r="D275" t="s">
        <v>12</v>
      </c>
      <c r="F275" t="s">
        <v>14</v>
      </c>
      <c r="I275" t="s">
        <v>3</v>
      </c>
      <c r="J27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Lastgang~Tagtyp_1_7+TemperaturGlobale_Strahlung+Monat+DayAhead</v>
      </c>
    </row>
    <row r="276" spans="1:10" x14ac:dyDescent="0.35">
      <c r="A276" t="s">
        <v>6</v>
      </c>
      <c r="B276" t="s">
        <v>20</v>
      </c>
      <c r="C276" t="s">
        <v>0</v>
      </c>
      <c r="F276" t="s">
        <v>14</v>
      </c>
      <c r="I276" t="s">
        <v>3</v>
      </c>
      <c r="J27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Lastgang~Tagtyp_1_7+TemperaturMonat+DayAhead</v>
      </c>
    </row>
    <row r="277" spans="1:10" x14ac:dyDescent="0.35">
      <c r="A277" t="s">
        <v>6</v>
      </c>
      <c r="B277" t="s">
        <v>20</v>
      </c>
      <c r="F277" t="s">
        <v>14</v>
      </c>
      <c r="I277" t="s">
        <v>3</v>
      </c>
      <c r="J27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Lastgang~Tagtyp_1_7+Monat+DayAhead</v>
      </c>
    </row>
    <row r="278" spans="1:10" x14ac:dyDescent="0.35">
      <c r="A278" t="s">
        <v>6</v>
      </c>
      <c r="B278" t="s">
        <v>20</v>
      </c>
      <c r="C278" t="s">
        <v>0</v>
      </c>
      <c r="D278" t="s">
        <v>12</v>
      </c>
      <c r="E278" t="s">
        <v>13</v>
      </c>
      <c r="F278" t="s">
        <v>14</v>
      </c>
      <c r="H278" t="s">
        <v>16</v>
      </c>
      <c r="J27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Lastgang~Tagtyp_1_7+TemperaturGlobale_Strahlung+Betriebsruhe+Monat+Tag+</v>
      </c>
    </row>
    <row r="279" spans="1:10" x14ac:dyDescent="0.35">
      <c r="A279" t="s">
        <v>6</v>
      </c>
      <c r="B279" t="s">
        <v>20</v>
      </c>
      <c r="C279" t="s">
        <v>0</v>
      </c>
      <c r="E279" t="s">
        <v>13</v>
      </c>
      <c r="F279" t="s">
        <v>14</v>
      </c>
      <c r="H279" t="s">
        <v>16</v>
      </c>
      <c r="J27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Lastgang~Tagtyp_1_7+TemperaturBetriebsruhe+Monat+Tag+</v>
      </c>
    </row>
    <row r="280" spans="1:10" x14ac:dyDescent="0.35">
      <c r="A280" t="s">
        <v>6</v>
      </c>
      <c r="B280" t="s">
        <v>20</v>
      </c>
      <c r="E280" t="s">
        <v>13</v>
      </c>
      <c r="F280" t="s">
        <v>14</v>
      </c>
      <c r="H280" t="s">
        <v>16</v>
      </c>
      <c r="J28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Lastgang~Tagtyp_1_7+Betriebsruhe+Monat+Tag+</v>
      </c>
    </row>
    <row r="281" spans="1:10" x14ac:dyDescent="0.35">
      <c r="A281" t="s">
        <v>6</v>
      </c>
      <c r="B281" t="s">
        <v>20</v>
      </c>
      <c r="C281" t="s">
        <v>0</v>
      </c>
      <c r="D281" t="s">
        <v>12</v>
      </c>
      <c r="F281" t="s">
        <v>14</v>
      </c>
      <c r="H281" t="s">
        <v>16</v>
      </c>
      <c r="J28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Lastgang~Tagtyp_1_7+TemperaturGlobale_Strahlung+Monat+Tag+</v>
      </c>
    </row>
    <row r="282" spans="1:10" x14ac:dyDescent="0.35">
      <c r="A282" t="s">
        <v>6</v>
      </c>
      <c r="B282" t="s">
        <v>20</v>
      </c>
      <c r="C282" t="s">
        <v>0</v>
      </c>
      <c r="F282" t="s">
        <v>14</v>
      </c>
      <c r="H282" t="s">
        <v>16</v>
      </c>
      <c r="J28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Lastgang~Tagtyp_1_7+TemperaturMonat+Tag+</v>
      </c>
    </row>
    <row r="283" spans="1:10" x14ac:dyDescent="0.35">
      <c r="A283" t="s">
        <v>6</v>
      </c>
      <c r="B283" t="s">
        <v>20</v>
      </c>
      <c r="F283" t="s">
        <v>14</v>
      </c>
      <c r="H283" t="s">
        <v>16</v>
      </c>
      <c r="J28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Lastgang~Tagtyp_1_7+Monat+Tag+</v>
      </c>
    </row>
    <row r="284" spans="1:10" x14ac:dyDescent="0.35">
      <c r="A284" t="s">
        <v>6</v>
      </c>
      <c r="B284" t="s">
        <v>20</v>
      </c>
      <c r="C284" t="s">
        <v>0</v>
      </c>
      <c r="D284" t="s">
        <v>12</v>
      </c>
      <c r="E284" t="s">
        <v>13</v>
      </c>
      <c r="F284" t="s">
        <v>14</v>
      </c>
      <c r="J28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Lastgang~Tagtyp_1_7+TemperaturGlobale_Strahlung+Betriebsruhe+Monat+</v>
      </c>
    </row>
    <row r="285" spans="1:10" x14ac:dyDescent="0.35">
      <c r="A285" t="s">
        <v>6</v>
      </c>
      <c r="B285" t="s">
        <v>20</v>
      </c>
      <c r="C285" t="s">
        <v>0</v>
      </c>
      <c r="E285" t="s">
        <v>13</v>
      </c>
      <c r="F285" t="s">
        <v>14</v>
      </c>
      <c r="J28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Lastgang~Tagtyp_1_7+TemperaturBetriebsruhe+Monat+</v>
      </c>
    </row>
    <row r="286" spans="1:10" x14ac:dyDescent="0.35">
      <c r="A286" t="s">
        <v>6</v>
      </c>
      <c r="B286" t="s">
        <v>20</v>
      </c>
      <c r="E286" t="s">
        <v>13</v>
      </c>
      <c r="F286" t="s">
        <v>14</v>
      </c>
      <c r="J28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Lastgang~Tagtyp_1_7+Betriebsruhe+Monat+</v>
      </c>
    </row>
    <row r="287" spans="1:10" x14ac:dyDescent="0.35">
      <c r="A287" t="s">
        <v>6</v>
      </c>
      <c r="B287" t="s">
        <v>20</v>
      </c>
      <c r="C287" t="s">
        <v>0</v>
      </c>
      <c r="D287" t="s">
        <v>12</v>
      </c>
      <c r="F287" t="s">
        <v>14</v>
      </c>
      <c r="J28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Lastgang~Tagtyp_1_7+TemperaturGlobale_Strahlung+Monat+</v>
      </c>
    </row>
    <row r="288" spans="1:10" x14ac:dyDescent="0.35">
      <c r="A288" t="s">
        <v>6</v>
      </c>
      <c r="B288" t="s">
        <v>20</v>
      </c>
      <c r="C288" t="s">
        <v>0</v>
      </c>
      <c r="F288" t="s">
        <v>14</v>
      </c>
      <c r="J28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Lastgang~Tagtyp_1_7+TemperaturMonat+</v>
      </c>
    </row>
    <row r="289" spans="1:10" x14ac:dyDescent="0.35">
      <c r="A289" t="s">
        <v>6</v>
      </c>
      <c r="B289" t="s">
        <v>20</v>
      </c>
      <c r="F289" t="s">
        <v>14</v>
      </c>
      <c r="J28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Lastgang~Tagtyp_1_7+Monat+</v>
      </c>
    </row>
    <row r="290" spans="1:10" x14ac:dyDescent="0.35">
      <c r="A290" t="s">
        <v>6</v>
      </c>
      <c r="B290" t="s">
        <v>17</v>
      </c>
      <c r="C290" t="s">
        <v>11</v>
      </c>
      <c r="D290" t="s">
        <v>12</v>
      </c>
      <c r="E290" t="s">
        <v>13</v>
      </c>
      <c r="H290" t="s">
        <v>16</v>
      </c>
      <c r="I290" t="s">
        <v>3</v>
      </c>
      <c r="J29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Lastgang~Tagtyp_1_1+Temperatur+Globale_Strahlung+Betriebsruhe+Tag+DayAhead</v>
      </c>
    </row>
    <row r="291" spans="1:10" x14ac:dyDescent="0.35">
      <c r="A291" t="s">
        <v>6</v>
      </c>
      <c r="B291" t="s">
        <v>17</v>
      </c>
      <c r="C291" t="s">
        <v>11</v>
      </c>
      <c r="E291" t="s">
        <v>13</v>
      </c>
      <c r="H291" t="s">
        <v>16</v>
      </c>
      <c r="I291" t="s">
        <v>3</v>
      </c>
      <c r="J29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Lastgang~Tagtyp_1_1+Temperatur+Betriebsruhe+Tag+DayAhead</v>
      </c>
    </row>
    <row r="292" spans="1:10" x14ac:dyDescent="0.35">
      <c r="A292" t="s">
        <v>6</v>
      </c>
      <c r="B292" t="s">
        <v>17</v>
      </c>
      <c r="E292" t="s">
        <v>13</v>
      </c>
      <c r="H292" t="s">
        <v>16</v>
      </c>
      <c r="I292" t="s">
        <v>3</v>
      </c>
      <c r="J29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Lastgang~Tagtyp_1_1+Betriebsruhe+Tag+DayAhead</v>
      </c>
    </row>
    <row r="293" spans="1:10" x14ac:dyDescent="0.35">
      <c r="A293" t="s">
        <v>6</v>
      </c>
      <c r="B293" t="s">
        <v>17</v>
      </c>
      <c r="C293" t="s">
        <v>11</v>
      </c>
      <c r="D293" t="s">
        <v>12</v>
      </c>
      <c r="H293" t="s">
        <v>16</v>
      </c>
      <c r="I293" t="s">
        <v>3</v>
      </c>
      <c r="J29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Lastgang~Tagtyp_1_1+Temperatur+Globale_Strahlung+Tag+DayAhead</v>
      </c>
    </row>
    <row r="294" spans="1:10" x14ac:dyDescent="0.35">
      <c r="A294" t="s">
        <v>6</v>
      </c>
      <c r="B294" t="s">
        <v>17</v>
      </c>
      <c r="C294" t="s">
        <v>11</v>
      </c>
      <c r="H294" t="s">
        <v>16</v>
      </c>
      <c r="I294" t="s">
        <v>3</v>
      </c>
      <c r="J29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Lastgang~Tagtyp_1_1+Temperatur+Tag+DayAhead</v>
      </c>
    </row>
    <row r="295" spans="1:10" x14ac:dyDescent="0.35">
      <c r="A295" t="s">
        <v>6</v>
      </c>
      <c r="B295" t="s">
        <v>17</v>
      </c>
      <c r="H295" t="s">
        <v>16</v>
      </c>
      <c r="I295" t="s">
        <v>3</v>
      </c>
      <c r="J29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Lastgang~Tagtyp_1_1+Tag+DayAhead</v>
      </c>
    </row>
    <row r="296" spans="1:10" x14ac:dyDescent="0.35">
      <c r="A296" t="s">
        <v>6</v>
      </c>
      <c r="B296" t="s">
        <v>17</v>
      </c>
      <c r="C296" t="s">
        <v>11</v>
      </c>
      <c r="D296" t="s">
        <v>12</v>
      </c>
      <c r="E296" t="s">
        <v>13</v>
      </c>
      <c r="I296" t="s">
        <v>3</v>
      </c>
      <c r="J29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Lastgang~Tagtyp_1_1+Temperatur+Globale_Strahlung+Betriebsruhe+DayAhead</v>
      </c>
    </row>
    <row r="297" spans="1:10" x14ac:dyDescent="0.35">
      <c r="A297" t="s">
        <v>6</v>
      </c>
      <c r="B297" t="s">
        <v>17</v>
      </c>
      <c r="C297" t="s">
        <v>11</v>
      </c>
      <c r="E297" t="s">
        <v>13</v>
      </c>
      <c r="I297" t="s">
        <v>3</v>
      </c>
      <c r="J29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Lastgang~Tagtyp_1_1+Temperatur+Betriebsruhe+DayAhead</v>
      </c>
    </row>
    <row r="298" spans="1:10" x14ac:dyDescent="0.35">
      <c r="A298" t="s">
        <v>6</v>
      </c>
      <c r="B298" t="s">
        <v>17</v>
      </c>
      <c r="E298" t="s">
        <v>13</v>
      </c>
      <c r="I298" t="s">
        <v>3</v>
      </c>
      <c r="J29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Lastgang~Tagtyp_1_1+Betriebsruhe+DayAhead</v>
      </c>
    </row>
    <row r="299" spans="1:10" x14ac:dyDescent="0.35">
      <c r="A299" t="s">
        <v>6</v>
      </c>
      <c r="B299" t="s">
        <v>17</v>
      </c>
      <c r="C299" t="s">
        <v>11</v>
      </c>
      <c r="D299" t="s">
        <v>12</v>
      </c>
      <c r="I299" t="s">
        <v>3</v>
      </c>
      <c r="J29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Lastgang~Tagtyp_1_1+Temperatur+Globale_Strahlung+DayAhead</v>
      </c>
    </row>
    <row r="300" spans="1:10" x14ac:dyDescent="0.35">
      <c r="A300" t="s">
        <v>6</v>
      </c>
      <c r="B300" t="s">
        <v>17</v>
      </c>
      <c r="C300" t="s">
        <v>11</v>
      </c>
      <c r="I300" t="s">
        <v>3</v>
      </c>
      <c r="J30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Lastgang~Tagtyp_1_1+Temperatur+DayAhead</v>
      </c>
    </row>
    <row r="301" spans="1:10" x14ac:dyDescent="0.35">
      <c r="A301" t="s">
        <v>6</v>
      </c>
      <c r="B301" t="s">
        <v>17</v>
      </c>
      <c r="I301" t="s">
        <v>3</v>
      </c>
      <c r="J30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Lastgang~Tagtyp_1_1+DayAhead</v>
      </c>
    </row>
    <row r="302" spans="1:10" x14ac:dyDescent="0.35">
      <c r="A302" t="s">
        <v>6</v>
      </c>
      <c r="B302" t="s">
        <v>17</v>
      </c>
      <c r="C302" t="s">
        <v>11</v>
      </c>
      <c r="D302" t="s">
        <v>12</v>
      </c>
      <c r="E302" t="s">
        <v>13</v>
      </c>
      <c r="H302" t="s">
        <v>16</v>
      </c>
      <c r="J30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Lastgang~Tagtyp_1_1+Temperatur+Globale_Strahlung+Betriebsruhe+Tag+</v>
      </c>
    </row>
    <row r="303" spans="1:10" x14ac:dyDescent="0.35">
      <c r="A303" t="s">
        <v>6</v>
      </c>
      <c r="B303" t="s">
        <v>17</v>
      </c>
      <c r="C303" t="s">
        <v>11</v>
      </c>
      <c r="E303" t="s">
        <v>13</v>
      </c>
      <c r="H303" t="s">
        <v>16</v>
      </c>
      <c r="J30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Lastgang~Tagtyp_1_1+Temperatur+Betriebsruhe+Tag+</v>
      </c>
    </row>
    <row r="304" spans="1:10" x14ac:dyDescent="0.35">
      <c r="A304" t="s">
        <v>6</v>
      </c>
      <c r="B304" t="s">
        <v>17</v>
      </c>
      <c r="E304" t="s">
        <v>13</v>
      </c>
      <c r="H304" t="s">
        <v>16</v>
      </c>
      <c r="J30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Lastgang~Tagtyp_1_1+Betriebsruhe+Tag+</v>
      </c>
    </row>
    <row r="305" spans="1:10" x14ac:dyDescent="0.35">
      <c r="A305" t="s">
        <v>6</v>
      </c>
      <c r="B305" t="s">
        <v>17</v>
      </c>
      <c r="C305" t="s">
        <v>11</v>
      </c>
      <c r="D305" t="s">
        <v>12</v>
      </c>
      <c r="H305" t="s">
        <v>16</v>
      </c>
      <c r="J30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Lastgang~Tagtyp_1_1+Temperatur+Globale_Strahlung+Tag+</v>
      </c>
    </row>
    <row r="306" spans="1:10" x14ac:dyDescent="0.35">
      <c r="A306" t="s">
        <v>6</v>
      </c>
      <c r="B306" t="s">
        <v>17</v>
      </c>
      <c r="C306" t="s">
        <v>11</v>
      </c>
      <c r="H306" t="s">
        <v>16</v>
      </c>
      <c r="J30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Lastgang~Tagtyp_1_1+Temperatur+Tag+</v>
      </c>
    </row>
    <row r="307" spans="1:10" x14ac:dyDescent="0.35">
      <c r="A307" t="s">
        <v>6</v>
      </c>
      <c r="B307" t="s">
        <v>17</v>
      </c>
      <c r="H307" t="s">
        <v>16</v>
      </c>
      <c r="J30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Lastgang~Tagtyp_1_1+Tag+</v>
      </c>
    </row>
    <row r="308" spans="1:10" x14ac:dyDescent="0.35">
      <c r="A308" t="s">
        <v>6</v>
      </c>
      <c r="B308" t="s">
        <v>17</v>
      </c>
      <c r="C308" t="s">
        <v>11</v>
      </c>
      <c r="D308" t="s">
        <v>12</v>
      </c>
      <c r="E308" t="s">
        <v>13</v>
      </c>
      <c r="J30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Lastgang~Tagtyp_1_1+Temperatur+Globale_Strahlung+Betriebsruhe+</v>
      </c>
    </row>
    <row r="309" spans="1:10" x14ac:dyDescent="0.35">
      <c r="A309" t="s">
        <v>6</v>
      </c>
      <c r="B309" t="s">
        <v>17</v>
      </c>
      <c r="C309" t="s">
        <v>11</v>
      </c>
      <c r="E309" t="s">
        <v>13</v>
      </c>
      <c r="J30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Lastgang~Tagtyp_1_1+Temperatur+Betriebsruhe+</v>
      </c>
    </row>
    <row r="310" spans="1:10" x14ac:dyDescent="0.35">
      <c r="A310" t="s">
        <v>6</v>
      </c>
      <c r="B310" t="s">
        <v>17</v>
      </c>
      <c r="E310" t="s">
        <v>13</v>
      </c>
      <c r="J31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Lastgang~Tagtyp_1_1+Betriebsruhe+</v>
      </c>
    </row>
    <row r="311" spans="1:10" x14ac:dyDescent="0.35">
      <c r="A311" t="s">
        <v>6</v>
      </c>
      <c r="B311" t="s">
        <v>17</v>
      </c>
      <c r="C311" t="s">
        <v>11</v>
      </c>
      <c r="D311" t="s">
        <v>12</v>
      </c>
      <c r="J31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Lastgang~Tagtyp_1_1+Temperatur+Globale_Strahlung+</v>
      </c>
    </row>
    <row r="312" spans="1:10" x14ac:dyDescent="0.35">
      <c r="A312" t="s">
        <v>6</v>
      </c>
      <c r="B312" t="s">
        <v>17</v>
      </c>
      <c r="C312" t="s">
        <v>11</v>
      </c>
      <c r="J31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Lastgang~Tagtyp_1_1+Temperatur+</v>
      </c>
    </row>
    <row r="313" spans="1:10" x14ac:dyDescent="0.35">
      <c r="A313" t="s">
        <v>6</v>
      </c>
      <c r="B313" t="s">
        <v>17</v>
      </c>
      <c r="J31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Lastgang~Tagtyp_1_1+</v>
      </c>
    </row>
    <row r="314" spans="1:10" x14ac:dyDescent="0.35">
      <c r="A314" t="s">
        <v>6</v>
      </c>
      <c r="B314" t="s">
        <v>18</v>
      </c>
      <c r="C314" t="s">
        <v>0</v>
      </c>
      <c r="D314" t="s">
        <v>12</v>
      </c>
      <c r="E314" t="s">
        <v>13</v>
      </c>
      <c r="H314" t="s">
        <v>16</v>
      </c>
      <c r="I314" t="s">
        <v>3</v>
      </c>
      <c r="J31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Lastgang~Tagtyp_1_3+TemperaturGlobale_Strahlung+Betriebsruhe+Tag+DayAhead</v>
      </c>
    </row>
    <row r="315" spans="1:10" x14ac:dyDescent="0.35">
      <c r="A315" t="s">
        <v>6</v>
      </c>
      <c r="B315" t="s">
        <v>18</v>
      </c>
      <c r="C315" t="s">
        <v>0</v>
      </c>
      <c r="E315" t="s">
        <v>13</v>
      </c>
      <c r="H315" t="s">
        <v>16</v>
      </c>
      <c r="I315" t="s">
        <v>3</v>
      </c>
      <c r="J31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Lastgang~Tagtyp_1_3+TemperaturBetriebsruhe+Tag+DayAhead</v>
      </c>
    </row>
    <row r="316" spans="1:10" x14ac:dyDescent="0.35">
      <c r="A316" t="s">
        <v>6</v>
      </c>
      <c r="B316" t="s">
        <v>18</v>
      </c>
      <c r="E316" t="s">
        <v>13</v>
      </c>
      <c r="H316" t="s">
        <v>16</v>
      </c>
      <c r="I316" t="s">
        <v>3</v>
      </c>
      <c r="J31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Lastgang~Tagtyp_1_3+Betriebsruhe+Tag+DayAhead</v>
      </c>
    </row>
    <row r="317" spans="1:10" x14ac:dyDescent="0.35">
      <c r="A317" t="s">
        <v>6</v>
      </c>
      <c r="B317" t="s">
        <v>18</v>
      </c>
      <c r="C317" t="s">
        <v>0</v>
      </c>
      <c r="D317" t="s">
        <v>12</v>
      </c>
      <c r="H317" t="s">
        <v>16</v>
      </c>
      <c r="I317" t="s">
        <v>3</v>
      </c>
      <c r="J31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Lastgang~Tagtyp_1_3+TemperaturGlobale_Strahlung+Tag+DayAhead</v>
      </c>
    </row>
    <row r="318" spans="1:10" x14ac:dyDescent="0.35">
      <c r="A318" t="s">
        <v>6</v>
      </c>
      <c r="B318" t="s">
        <v>18</v>
      </c>
      <c r="C318" t="s">
        <v>0</v>
      </c>
      <c r="H318" t="s">
        <v>16</v>
      </c>
      <c r="I318" t="s">
        <v>3</v>
      </c>
      <c r="J31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Lastgang~Tagtyp_1_3+TemperaturTag+DayAhead</v>
      </c>
    </row>
    <row r="319" spans="1:10" x14ac:dyDescent="0.35">
      <c r="A319" t="s">
        <v>6</v>
      </c>
      <c r="B319" t="s">
        <v>18</v>
      </c>
      <c r="H319" t="s">
        <v>16</v>
      </c>
      <c r="I319" t="s">
        <v>3</v>
      </c>
      <c r="J31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Lastgang~Tagtyp_1_3+Tag+DayAhead</v>
      </c>
    </row>
    <row r="320" spans="1:10" x14ac:dyDescent="0.35">
      <c r="A320" t="s">
        <v>6</v>
      </c>
      <c r="B320" t="s">
        <v>18</v>
      </c>
      <c r="C320" t="s">
        <v>0</v>
      </c>
      <c r="D320" t="s">
        <v>12</v>
      </c>
      <c r="E320" t="s">
        <v>13</v>
      </c>
      <c r="I320" t="s">
        <v>3</v>
      </c>
      <c r="J32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Lastgang~Tagtyp_1_3+TemperaturGlobale_Strahlung+Betriebsruhe+DayAhead</v>
      </c>
    </row>
    <row r="321" spans="1:10" x14ac:dyDescent="0.35">
      <c r="A321" t="s">
        <v>6</v>
      </c>
      <c r="B321" t="s">
        <v>18</v>
      </c>
      <c r="C321" t="s">
        <v>0</v>
      </c>
      <c r="E321" t="s">
        <v>13</v>
      </c>
      <c r="I321" t="s">
        <v>3</v>
      </c>
      <c r="J32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Lastgang~Tagtyp_1_3+TemperaturBetriebsruhe+DayAhead</v>
      </c>
    </row>
    <row r="322" spans="1:10" x14ac:dyDescent="0.35">
      <c r="A322" t="s">
        <v>6</v>
      </c>
      <c r="B322" t="s">
        <v>18</v>
      </c>
      <c r="E322" t="s">
        <v>13</v>
      </c>
      <c r="I322" t="s">
        <v>3</v>
      </c>
      <c r="J32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Lastgang~Tagtyp_1_3+Betriebsruhe+DayAhead</v>
      </c>
    </row>
    <row r="323" spans="1:10" x14ac:dyDescent="0.35">
      <c r="A323" t="s">
        <v>6</v>
      </c>
      <c r="B323" t="s">
        <v>18</v>
      </c>
      <c r="C323" t="s">
        <v>0</v>
      </c>
      <c r="D323" t="s">
        <v>12</v>
      </c>
      <c r="I323" t="s">
        <v>3</v>
      </c>
      <c r="J32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Lastgang~Tagtyp_1_3+TemperaturGlobale_Strahlung+DayAhead</v>
      </c>
    </row>
    <row r="324" spans="1:10" x14ac:dyDescent="0.35">
      <c r="A324" t="s">
        <v>6</v>
      </c>
      <c r="B324" t="s">
        <v>18</v>
      </c>
      <c r="C324" t="s">
        <v>0</v>
      </c>
      <c r="I324" t="s">
        <v>3</v>
      </c>
      <c r="J32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Lastgang~Tagtyp_1_3+TemperaturDayAhead</v>
      </c>
    </row>
    <row r="325" spans="1:10" x14ac:dyDescent="0.35">
      <c r="A325" t="s">
        <v>6</v>
      </c>
      <c r="B325" t="s">
        <v>18</v>
      </c>
      <c r="I325" t="s">
        <v>3</v>
      </c>
      <c r="J32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Lastgang~Tagtyp_1_3+DayAhead</v>
      </c>
    </row>
    <row r="326" spans="1:10" x14ac:dyDescent="0.35">
      <c r="A326" t="s">
        <v>6</v>
      </c>
      <c r="B326" t="s">
        <v>18</v>
      </c>
      <c r="C326" t="s">
        <v>0</v>
      </c>
      <c r="D326" t="s">
        <v>12</v>
      </c>
      <c r="E326" t="s">
        <v>13</v>
      </c>
      <c r="H326" t="s">
        <v>16</v>
      </c>
      <c r="J32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Lastgang~Tagtyp_1_3+TemperaturGlobale_Strahlung+Betriebsruhe+Tag+</v>
      </c>
    </row>
    <row r="327" spans="1:10" x14ac:dyDescent="0.35">
      <c r="A327" t="s">
        <v>6</v>
      </c>
      <c r="B327" t="s">
        <v>18</v>
      </c>
      <c r="C327" t="s">
        <v>0</v>
      </c>
      <c r="E327" t="s">
        <v>13</v>
      </c>
      <c r="H327" t="s">
        <v>16</v>
      </c>
      <c r="J32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Lastgang~Tagtyp_1_3+TemperaturBetriebsruhe+Tag+</v>
      </c>
    </row>
    <row r="328" spans="1:10" x14ac:dyDescent="0.35">
      <c r="A328" t="s">
        <v>6</v>
      </c>
      <c r="B328" t="s">
        <v>18</v>
      </c>
      <c r="E328" t="s">
        <v>13</v>
      </c>
      <c r="H328" t="s">
        <v>16</v>
      </c>
      <c r="J32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Lastgang~Tagtyp_1_3+Betriebsruhe+Tag+</v>
      </c>
    </row>
    <row r="329" spans="1:10" x14ac:dyDescent="0.35">
      <c r="A329" t="s">
        <v>6</v>
      </c>
      <c r="B329" t="s">
        <v>18</v>
      </c>
      <c r="C329" t="s">
        <v>0</v>
      </c>
      <c r="D329" t="s">
        <v>12</v>
      </c>
      <c r="H329" t="s">
        <v>16</v>
      </c>
      <c r="J32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Lastgang~Tagtyp_1_3+TemperaturGlobale_Strahlung+Tag+</v>
      </c>
    </row>
    <row r="330" spans="1:10" x14ac:dyDescent="0.35">
      <c r="A330" t="s">
        <v>6</v>
      </c>
      <c r="B330" t="s">
        <v>18</v>
      </c>
      <c r="C330" t="s">
        <v>0</v>
      </c>
      <c r="H330" t="s">
        <v>16</v>
      </c>
      <c r="J33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Lastgang~Tagtyp_1_3+TemperaturTag+</v>
      </c>
    </row>
    <row r="331" spans="1:10" x14ac:dyDescent="0.35">
      <c r="A331" t="s">
        <v>6</v>
      </c>
      <c r="B331" t="s">
        <v>18</v>
      </c>
      <c r="H331" t="s">
        <v>16</v>
      </c>
      <c r="J33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Lastgang~Tagtyp_1_3+Tag+</v>
      </c>
    </row>
    <row r="332" spans="1:10" x14ac:dyDescent="0.35">
      <c r="A332" t="s">
        <v>6</v>
      </c>
      <c r="B332" t="s">
        <v>18</v>
      </c>
      <c r="C332" t="s">
        <v>0</v>
      </c>
      <c r="D332" t="s">
        <v>12</v>
      </c>
      <c r="E332" t="s">
        <v>13</v>
      </c>
      <c r="J33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Lastgang~Tagtyp_1_3+TemperaturGlobale_Strahlung+Betriebsruhe+</v>
      </c>
    </row>
    <row r="333" spans="1:10" x14ac:dyDescent="0.35">
      <c r="A333" t="s">
        <v>6</v>
      </c>
      <c r="B333" t="s">
        <v>18</v>
      </c>
      <c r="C333" t="s">
        <v>0</v>
      </c>
      <c r="E333" t="s">
        <v>13</v>
      </c>
      <c r="J33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Lastgang~Tagtyp_1_3+TemperaturBetriebsruhe+</v>
      </c>
    </row>
    <row r="334" spans="1:10" x14ac:dyDescent="0.35">
      <c r="A334" t="s">
        <v>6</v>
      </c>
      <c r="B334" t="s">
        <v>18</v>
      </c>
      <c r="E334" t="s">
        <v>13</v>
      </c>
      <c r="J33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Lastgang~Tagtyp_1_3+Betriebsruhe+</v>
      </c>
    </row>
    <row r="335" spans="1:10" x14ac:dyDescent="0.35">
      <c r="A335" t="s">
        <v>6</v>
      </c>
      <c r="B335" t="s">
        <v>18</v>
      </c>
      <c r="C335" t="s">
        <v>0</v>
      </c>
      <c r="D335" t="s">
        <v>12</v>
      </c>
      <c r="J33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Lastgang~Tagtyp_1_3+TemperaturGlobale_Strahlung+</v>
      </c>
    </row>
    <row r="336" spans="1:10" x14ac:dyDescent="0.35">
      <c r="A336" t="s">
        <v>6</v>
      </c>
      <c r="B336" t="s">
        <v>18</v>
      </c>
      <c r="C336" t="s">
        <v>0</v>
      </c>
      <c r="J33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Lastgang~Tagtyp_1_3+Temperatur</v>
      </c>
    </row>
    <row r="337" spans="1:10" x14ac:dyDescent="0.35">
      <c r="A337" t="s">
        <v>6</v>
      </c>
      <c r="B337" t="s">
        <v>18</v>
      </c>
      <c r="J33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Lastgang~Tagtyp_1_3+</v>
      </c>
    </row>
    <row r="338" spans="1:10" x14ac:dyDescent="0.35">
      <c r="A338" t="s">
        <v>6</v>
      </c>
      <c r="B338" t="s">
        <v>19</v>
      </c>
      <c r="C338" t="s">
        <v>0</v>
      </c>
      <c r="D338" t="s">
        <v>12</v>
      </c>
      <c r="E338" t="s">
        <v>13</v>
      </c>
      <c r="H338" t="s">
        <v>16</v>
      </c>
      <c r="I338" t="s">
        <v>3</v>
      </c>
      <c r="J33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Lastgang~Tagtyp_1_5+TemperaturGlobale_Strahlung+Betriebsruhe+Tag+DayAhead</v>
      </c>
    </row>
    <row r="339" spans="1:10" x14ac:dyDescent="0.35">
      <c r="A339" t="s">
        <v>6</v>
      </c>
      <c r="B339" t="s">
        <v>19</v>
      </c>
      <c r="C339" t="s">
        <v>0</v>
      </c>
      <c r="E339" t="s">
        <v>13</v>
      </c>
      <c r="H339" t="s">
        <v>16</v>
      </c>
      <c r="I339" t="s">
        <v>3</v>
      </c>
      <c r="J33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Lastgang~Tagtyp_1_5+TemperaturBetriebsruhe+Tag+DayAhead</v>
      </c>
    </row>
    <row r="340" spans="1:10" x14ac:dyDescent="0.35">
      <c r="A340" t="s">
        <v>6</v>
      </c>
      <c r="B340" t="s">
        <v>19</v>
      </c>
      <c r="E340" t="s">
        <v>13</v>
      </c>
      <c r="H340" t="s">
        <v>16</v>
      </c>
      <c r="I340" t="s">
        <v>3</v>
      </c>
      <c r="J34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Lastgang~Tagtyp_1_5+Betriebsruhe+Tag+DayAhead</v>
      </c>
    </row>
    <row r="341" spans="1:10" x14ac:dyDescent="0.35">
      <c r="A341" t="s">
        <v>6</v>
      </c>
      <c r="B341" t="s">
        <v>19</v>
      </c>
      <c r="C341" t="s">
        <v>0</v>
      </c>
      <c r="D341" t="s">
        <v>12</v>
      </c>
      <c r="H341" t="s">
        <v>16</v>
      </c>
      <c r="I341" t="s">
        <v>3</v>
      </c>
      <c r="J34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Lastgang~Tagtyp_1_5+TemperaturGlobale_Strahlung+Tag+DayAhead</v>
      </c>
    </row>
    <row r="342" spans="1:10" x14ac:dyDescent="0.35">
      <c r="A342" t="s">
        <v>6</v>
      </c>
      <c r="B342" t="s">
        <v>19</v>
      </c>
      <c r="C342" t="s">
        <v>0</v>
      </c>
      <c r="H342" t="s">
        <v>16</v>
      </c>
      <c r="I342" t="s">
        <v>3</v>
      </c>
      <c r="J34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Lastgang~Tagtyp_1_5+TemperaturTag+DayAhead</v>
      </c>
    </row>
    <row r="343" spans="1:10" x14ac:dyDescent="0.35">
      <c r="A343" t="s">
        <v>6</v>
      </c>
      <c r="B343" t="s">
        <v>19</v>
      </c>
      <c r="H343" t="s">
        <v>16</v>
      </c>
      <c r="I343" t="s">
        <v>3</v>
      </c>
      <c r="J34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Lastgang~Tagtyp_1_5+Tag+DayAhead</v>
      </c>
    </row>
    <row r="344" spans="1:10" x14ac:dyDescent="0.35">
      <c r="A344" t="s">
        <v>6</v>
      </c>
      <c r="B344" t="s">
        <v>19</v>
      </c>
      <c r="C344" t="s">
        <v>0</v>
      </c>
      <c r="D344" t="s">
        <v>12</v>
      </c>
      <c r="E344" t="s">
        <v>13</v>
      </c>
      <c r="I344" t="s">
        <v>3</v>
      </c>
      <c r="J34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Lastgang~Tagtyp_1_5+TemperaturGlobale_Strahlung+Betriebsruhe+DayAhead</v>
      </c>
    </row>
    <row r="345" spans="1:10" x14ac:dyDescent="0.35">
      <c r="A345" t="s">
        <v>6</v>
      </c>
      <c r="B345" t="s">
        <v>19</v>
      </c>
      <c r="C345" t="s">
        <v>0</v>
      </c>
      <c r="E345" t="s">
        <v>13</v>
      </c>
      <c r="I345" t="s">
        <v>3</v>
      </c>
      <c r="J34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Lastgang~Tagtyp_1_5+TemperaturBetriebsruhe+DayAhead</v>
      </c>
    </row>
    <row r="346" spans="1:10" x14ac:dyDescent="0.35">
      <c r="A346" t="s">
        <v>6</v>
      </c>
      <c r="B346" t="s">
        <v>19</v>
      </c>
      <c r="E346" t="s">
        <v>13</v>
      </c>
      <c r="I346" t="s">
        <v>3</v>
      </c>
      <c r="J34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Lastgang~Tagtyp_1_5+Betriebsruhe+DayAhead</v>
      </c>
    </row>
    <row r="347" spans="1:10" x14ac:dyDescent="0.35">
      <c r="A347" t="s">
        <v>6</v>
      </c>
      <c r="B347" t="s">
        <v>19</v>
      </c>
      <c r="C347" t="s">
        <v>0</v>
      </c>
      <c r="D347" t="s">
        <v>12</v>
      </c>
      <c r="I347" t="s">
        <v>3</v>
      </c>
      <c r="J34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Lastgang~Tagtyp_1_5+TemperaturGlobale_Strahlung+DayAhead</v>
      </c>
    </row>
    <row r="348" spans="1:10" x14ac:dyDescent="0.35">
      <c r="A348" t="s">
        <v>6</v>
      </c>
      <c r="B348" t="s">
        <v>19</v>
      </c>
      <c r="C348" t="s">
        <v>0</v>
      </c>
      <c r="I348" t="s">
        <v>3</v>
      </c>
      <c r="J34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Lastgang~Tagtyp_1_5+TemperaturDayAhead</v>
      </c>
    </row>
    <row r="349" spans="1:10" x14ac:dyDescent="0.35">
      <c r="A349" t="s">
        <v>6</v>
      </c>
      <c r="B349" t="s">
        <v>19</v>
      </c>
      <c r="I349" t="s">
        <v>3</v>
      </c>
      <c r="J34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Lastgang~Tagtyp_1_5+DayAhead</v>
      </c>
    </row>
    <row r="350" spans="1:10" x14ac:dyDescent="0.35">
      <c r="A350" t="s">
        <v>6</v>
      </c>
      <c r="B350" t="s">
        <v>19</v>
      </c>
      <c r="C350" t="s">
        <v>0</v>
      </c>
      <c r="D350" t="s">
        <v>12</v>
      </c>
      <c r="E350" t="s">
        <v>13</v>
      </c>
      <c r="H350" t="s">
        <v>16</v>
      </c>
      <c r="J35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Lastgang~Tagtyp_1_5+TemperaturGlobale_Strahlung+Betriebsruhe+Tag+</v>
      </c>
    </row>
    <row r="351" spans="1:10" x14ac:dyDescent="0.35">
      <c r="A351" t="s">
        <v>6</v>
      </c>
      <c r="B351" t="s">
        <v>19</v>
      </c>
      <c r="C351" t="s">
        <v>0</v>
      </c>
      <c r="E351" t="s">
        <v>13</v>
      </c>
      <c r="H351" t="s">
        <v>16</v>
      </c>
      <c r="J35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Lastgang~Tagtyp_1_5+TemperaturBetriebsruhe+Tag+</v>
      </c>
    </row>
    <row r="352" spans="1:10" x14ac:dyDescent="0.35">
      <c r="A352" t="s">
        <v>6</v>
      </c>
      <c r="B352" t="s">
        <v>19</v>
      </c>
      <c r="E352" t="s">
        <v>13</v>
      </c>
      <c r="H352" t="s">
        <v>16</v>
      </c>
      <c r="J35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Lastgang~Tagtyp_1_5+Betriebsruhe+Tag+</v>
      </c>
    </row>
    <row r="353" spans="1:10" x14ac:dyDescent="0.35">
      <c r="A353" t="s">
        <v>6</v>
      </c>
      <c r="B353" t="s">
        <v>19</v>
      </c>
      <c r="C353" t="s">
        <v>0</v>
      </c>
      <c r="D353" t="s">
        <v>12</v>
      </c>
      <c r="H353" t="s">
        <v>16</v>
      </c>
      <c r="J35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Lastgang~Tagtyp_1_5+TemperaturGlobale_Strahlung+Tag+</v>
      </c>
    </row>
    <row r="354" spans="1:10" x14ac:dyDescent="0.35">
      <c r="A354" t="s">
        <v>6</v>
      </c>
      <c r="B354" t="s">
        <v>19</v>
      </c>
      <c r="C354" t="s">
        <v>0</v>
      </c>
      <c r="H354" t="s">
        <v>16</v>
      </c>
      <c r="J35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Lastgang~Tagtyp_1_5+TemperaturTag+</v>
      </c>
    </row>
    <row r="355" spans="1:10" x14ac:dyDescent="0.35">
      <c r="A355" t="s">
        <v>6</v>
      </c>
      <c r="B355" t="s">
        <v>19</v>
      </c>
      <c r="H355" t="s">
        <v>16</v>
      </c>
      <c r="J35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Lastgang~Tagtyp_1_5+Tag+</v>
      </c>
    </row>
    <row r="356" spans="1:10" x14ac:dyDescent="0.35">
      <c r="A356" t="s">
        <v>6</v>
      </c>
      <c r="B356" t="s">
        <v>19</v>
      </c>
      <c r="C356" t="s">
        <v>0</v>
      </c>
      <c r="D356" t="s">
        <v>12</v>
      </c>
      <c r="E356" t="s">
        <v>13</v>
      </c>
      <c r="J35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Lastgang~Tagtyp_1_5+TemperaturGlobale_Strahlung+Betriebsruhe+</v>
      </c>
    </row>
    <row r="357" spans="1:10" x14ac:dyDescent="0.35">
      <c r="A357" t="s">
        <v>6</v>
      </c>
      <c r="B357" t="s">
        <v>19</v>
      </c>
      <c r="C357" t="s">
        <v>0</v>
      </c>
      <c r="E357" t="s">
        <v>13</v>
      </c>
      <c r="J35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Lastgang~Tagtyp_1_5+TemperaturBetriebsruhe+</v>
      </c>
    </row>
    <row r="358" spans="1:10" x14ac:dyDescent="0.35">
      <c r="A358" t="s">
        <v>6</v>
      </c>
      <c r="B358" t="s">
        <v>19</v>
      </c>
      <c r="E358" t="s">
        <v>13</v>
      </c>
      <c r="J35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Lastgang~Tagtyp_1_5+Betriebsruhe+</v>
      </c>
    </row>
    <row r="359" spans="1:10" x14ac:dyDescent="0.35">
      <c r="A359" t="s">
        <v>6</v>
      </c>
      <c r="B359" t="s">
        <v>19</v>
      </c>
      <c r="C359" t="s">
        <v>0</v>
      </c>
      <c r="D359" t="s">
        <v>12</v>
      </c>
      <c r="J35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Lastgang~Tagtyp_1_5+TemperaturGlobale_Strahlung+</v>
      </c>
    </row>
    <row r="360" spans="1:10" x14ac:dyDescent="0.35">
      <c r="A360" t="s">
        <v>6</v>
      </c>
      <c r="B360" t="s">
        <v>19</v>
      </c>
      <c r="C360" t="s">
        <v>0</v>
      </c>
      <c r="J36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Lastgang~Tagtyp_1_5+Temperatur</v>
      </c>
    </row>
    <row r="361" spans="1:10" x14ac:dyDescent="0.35">
      <c r="A361" t="s">
        <v>6</v>
      </c>
      <c r="B361" t="s">
        <v>19</v>
      </c>
      <c r="J36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Lastgang~Tagtyp_1_5+</v>
      </c>
    </row>
    <row r="362" spans="1:10" x14ac:dyDescent="0.35">
      <c r="A362" t="s">
        <v>6</v>
      </c>
      <c r="B362" t="s">
        <v>20</v>
      </c>
      <c r="C362" t="s">
        <v>0</v>
      </c>
      <c r="D362" t="s">
        <v>12</v>
      </c>
      <c r="E362" t="s">
        <v>13</v>
      </c>
      <c r="H362" t="s">
        <v>16</v>
      </c>
      <c r="I362" t="s">
        <v>3</v>
      </c>
      <c r="J36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Lastgang~Tagtyp_1_7+TemperaturGlobale_Strahlung+Betriebsruhe+Tag+DayAhead</v>
      </c>
    </row>
    <row r="363" spans="1:10" x14ac:dyDescent="0.35">
      <c r="A363" t="s">
        <v>6</v>
      </c>
      <c r="B363" t="s">
        <v>20</v>
      </c>
      <c r="C363" t="s">
        <v>0</v>
      </c>
      <c r="E363" t="s">
        <v>13</v>
      </c>
      <c r="H363" t="s">
        <v>16</v>
      </c>
      <c r="I363" t="s">
        <v>3</v>
      </c>
      <c r="J36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Lastgang~Tagtyp_1_7+TemperaturBetriebsruhe+Tag+DayAhead</v>
      </c>
    </row>
    <row r="364" spans="1:10" x14ac:dyDescent="0.35">
      <c r="A364" t="s">
        <v>6</v>
      </c>
      <c r="B364" t="s">
        <v>20</v>
      </c>
      <c r="E364" t="s">
        <v>13</v>
      </c>
      <c r="H364" t="s">
        <v>16</v>
      </c>
      <c r="I364" t="s">
        <v>3</v>
      </c>
      <c r="J36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Lastgang~Tagtyp_1_7+Betriebsruhe+Tag+DayAhead</v>
      </c>
    </row>
    <row r="365" spans="1:10" x14ac:dyDescent="0.35">
      <c r="A365" t="s">
        <v>6</v>
      </c>
      <c r="B365" t="s">
        <v>20</v>
      </c>
      <c r="C365" t="s">
        <v>0</v>
      </c>
      <c r="D365" t="s">
        <v>12</v>
      </c>
      <c r="H365" t="s">
        <v>16</v>
      </c>
      <c r="I365" t="s">
        <v>3</v>
      </c>
      <c r="J36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Lastgang~Tagtyp_1_7+TemperaturGlobale_Strahlung+Tag+DayAhead</v>
      </c>
    </row>
    <row r="366" spans="1:10" x14ac:dyDescent="0.35">
      <c r="A366" t="s">
        <v>6</v>
      </c>
      <c r="B366" t="s">
        <v>20</v>
      </c>
      <c r="C366" t="s">
        <v>0</v>
      </c>
      <c r="H366" t="s">
        <v>16</v>
      </c>
      <c r="I366" t="s">
        <v>3</v>
      </c>
      <c r="J36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Lastgang~Tagtyp_1_7+TemperaturTag+DayAhead</v>
      </c>
    </row>
    <row r="367" spans="1:10" x14ac:dyDescent="0.35">
      <c r="A367" t="s">
        <v>6</v>
      </c>
      <c r="B367" t="s">
        <v>20</v>
      </c>
      <c r="H367" t="s">
        <v>16</v>
      </c>
      <c r="I367" t="s">
        <v>3</v>
      </c>
      <c r="J36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Lastgang~Tagtyp_1_7+Tag+DayAhead</v>
      </c>
    </row>
    <row r="368" spans="1:10" x14ac:dyDescent="0.35">
      <c r="A368" t="s">
        <v>6</v>
      </c>
      <c r="B368" t="s">
        <v>20</v>
      </c>
      <c r="C368" t="s">
        <v>0</v>
      </c>
      <c r="D368" t="s">
        <v>12</v>
      </c>
      <c r="E368" t="s">
        <v>13</v>
      </c>
      <c r="I368" t="s">
        <v>3</v>
      </c>
      <c r="J36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Lastgang~Tagtyp_1_7+TemperaturGlobale_Strahlung+Betriebsruhe+DayAhead</v>
      </c>
    </row>
    <row r="369" spans="1:10" x14ac:dyDescent="0.35">
      <c r="A369" t="s">
        <v>6</v>
      </c>
      <c r="B369" t="s">
        <v>20</v>
      </c>
      <c r="C369" t="s">
        <v>0</v>
      </c>
      <c r="E369" t="s">
        <v>13</v>
      </c>
      <c r="I369" t="s">
        <v>3</v>
      </c>
      <c r="J36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Lastgang~Tagtyp_1_7+TemperaturBetriebsruhe+DayAhead</v>
      </c>
    </row>
    <row r="370" spans="1:10" x14ac:dyDescent="0.35">
      <c r="A370" t="s">
        <v>6</v>
      </c>
      <c r="B370" t="s">
        <v>20</v>
      </c>
      <c r="E370" t="s">
        <v>13</v>
      </c>
      <c r="I370" t="s">
        <v>3</v>
      </c>
      <c r="J37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Lastgang~Tagtyp_1_7+Betriebsruhe+DayAhead</v>
      </c>
    </row>
    <row r="371" spans="1:10" x14ac:dyDescent="0.35">
      <c r="A371" t="s">
        <v>6</v>
      </c>
      <c r="B371" t="s">
        <v>20</v>
      </c>
      <c r="C371" t="s">
        <v>0</v>
      </c>
      <c r="D371" t="s">
        <v>12</v>
      </c>
      <c r="I371" t="s">
        <v>3</v>
      </c>
      <c r="J37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Lastgang~Tagtyp_1_7+TemperaturGlobale_Strahlung+DayAhead</v>
      </c>
    </row>
    <row r="372" spans="1:10" x14ac:dyDescent="0.35">
      <c r="A372" t="s">
        <v>6</v>
      </c>
      <c r="B372" t="s">
        <v>20</v>
      </c>
      <c r="C372" t="s">
        <v>0</v>
      </c>
      <c r="I372" t="s">
        <v>3</v>
      </c>
      <c r="J37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Lastgang~Tagtyp_1_7+TemperaturDayAhead</v>
      </c>
    </row>
    <row r="373" spans="1:10" x14ac:dyDescent="0.35">
      <c r="A373" t="s">
        <v>6</v>
      </c>
      <c r="B373" t="s">
        <v>20</v>
      </c>
      <c r="I373" t="s">
        <v>3</v>
      </c>
      <c r="J37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Lastgang~Tagtyp_1_7+DayAhead</v>
      </c>
    </row>
    <row r="374" spans="1:10" x14ac:dyDescent="0.35">
      <c r="A374" t="s">
        <v>6</v>
      </c>
      <c r="B374" t="s">
        <v>20</v>
      </c>
      <c r="C374" t="s">
        <v>0</v>
      </c>
      <c r="D374" t="s">
        <v>12</v>
      </c>
      <c r="E374" t="s">
        <v>13</v>
      </c>
      <c r="H374" t="s">
        <v>16</v>
      </c>
      <c r="J37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Lastgang~Tagtyp_1_7+TemperaturGlobale_Strahlung+Betriebsruhe+Tag+</v>
      </c>
    </row>
    <row r="375" spans="1:10" x14ac:dyDescent="0.35">
      <c r="A375" t="s">
        <v>6</v>
      </c>
      <c r="B375" t="s">
        <v>20</v>
      </c>
      <c r="C375" t="s">
        <v>0</v>
      </c>
      <c r="E375" t="s">
        <v>13</v>
      </c>
      <c r="H375" t="s">
        <v>16</v>
      </c>
      <c r="J37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Lastgang~Tagtyp_1_7+TemperaturBetriebsruhe+Tag+</v>
      </c>
    </row>
    <row r="376" spans="1:10" x14ac:dyDescent="0.35">
      <c r="A376" t="s">
        <v>6</v>
      </c>
      <c r="B376" t="s">
        <v>20</v>
      </c>
      <c r="E376" t="s">
        <v>13</v>
      </c>
      <c r="H376" t="s">
        <v>16</v>
      </c>
      <c r="J376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Lastgang~Tagtyp_1_7+Betriebsruhe+Tag+</v>
      </c>
    </row>
    <row r="377" spans="1:10" x14ac:dyDescent="0.35">
      <c r="A377" t="s">
        <v>6</v>
      </c>
      <c r="B377" t="s">
        <v>20</v>
      </c>
      <c r="C377" t="s">
        <v>0</v>
      </c>
      <c r="D377" t="s">
        <v>12</v>
      </c>
      <c r="H377" t="s">
        <v>16</v>
      </c>
      <c r="J377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Lastgang~Tagtyp_1_7+TemperaturGlobale_Strahlung+Tag+</v>
      </c>
    </row>
    <row r="378" spans="1:10" x14ac:dyDescent="0.35">
      <c r="A378" t="s">
        <v>6</v>
      </c>
      <c r="B378" t="s">
        <v>20</v>
      </c>
      <c r="C378" t="s">
        <v>0</v>
      </c>
      <c r="H378" t="s">
        <v>16</v>
      </c>
      <c r="J378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Lastgang~Tagtyp_1_7+TemperaturTag+</v>
      </c>
    </row>
    <row r="379" spans="1:10" x14ac:dyDescent="0.35">
      <c r="A379" t="s">
        <v>6</v>
      </c>
      <c r="B379" t="s">
        <v>20</v>
      </c>
      <c r="H379" t="s">
        <v>16</v>
      </c>
      <c r="J379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Lastgang~Tagtyp_1_7+Tag+</v>
      </c>
    </row>
    <row r="380" spans="1:10" x14ac:dyDescent="0.35">
      <c r="A380" t="s">
        <v>6</v>
      </c>
      <c r="B380" t="s">
        <v>20</v>
      </c>
      <c r="C380" t="s">
        <v>0</v>
      </c>
      <c r="D380" t="s">
        <v>12</v>
      </c>
      <c r="E380" t="s">
        <v>13</v>
      </c>
      <c r="J380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Lastgang~Tagtyp_1_7+TemperaturGlobale_Strahlung+Betriebsruhe+</v>
      </c>
    </row>
    <row r="381" spans="1:10" x14ac:dyDescent="0.35">
      <c r="A381" t="s">
        <v>6</v>
      </c>
      <c r="B381" t="s">
        <v>20</v>
      </c>
      <c r="C381" t="s">
        <v>0</v>
      </c>
      <c r="E381" t="s">
        <v>13</v>
      </c>
      <c r="J381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Lastgang~Tagtyp_1_7+TemperaturBetriebsruhe+</v>
      </c>
    </row>
    <row r="382" spans="1:10" x14ac:dyDescent="0.35">
      <c r="A382" t="s">
        <v>6</v>
      </c>
      <c r="B382" t="s">
        <v>20</v>
      </c>
      <c r="E382" t="s">
        <v>13</v>
      </c>
      <c r="J382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Lastgang~Tagtyp_1_7+Betriebsruhe+</v>
      </c>
    </row>
    <row r="383" spans="1:10" x14ac:dyDescent="0.35">
      <c r="A383" t="s">
        <v>6</v>
      </c>
      <c r="B383" t="s">
        <v>20</v>
      </c>
      <c r="C383" t="s">
        <v>0</v>
      </c>
      <c r="D383" t="s">
        <v>12</v>
      </c>
      <c r="J383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Lastgang~Tagtyp_1_7+TemperaturGlobale_Strahlung+</v>
      </c>
    </row>
    <row r="384" spans="1:10" x14ac:dyDescent="0.35">
      <c r="A384" t="s">
        <v>6</v>
      </c>
      <c r="B384" t="s">
        <v>20</v>
      </c>
      <c r="C384" t="s">
        <v>0</v>
      </c>
      <c r="J384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Lastgang~Tagtyp_1_7+Temperatur</v>
      </c>
    </row>
    <row r="385" spans="1:10" x14ac:dyDescent="0.35">
      <c r="A385" t="s">
        <v>6</v>
      </c>
      <c r="B385" t="s">
        <v>20</v>
      </c>
      <c r="J385" t="str">
        <f>Tabelle145[[#This Row],[Spalte1]]&amp;"~"&amp;Tabelle145[[#This Row],[Tagtyp]]&amp;Tabelle145[[#This Row],[Temperatur]]&amp;Tabelle145[[#This Row],[Globale_Strahlung]]&amp;Tabelle145[[#This Row],[Betriebsruhe]]&amp;Tabelle145[[#This Row],[Monat]]&amp;Tabelle145[[#This Row],[Woche]]&amp;Tabelle145[[#This Row],[Tag]]&amp;Tabelle145[[#This Row],[DayAhead]]</f>
        <v>Lastgang~Tagtyp_1_7+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Strom</vt:lpstr>
      <vt:lpstr>Wärme</vt:lpstr>
      <vt:lpstr>Strom gesamt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Puderbach</dc:creator>
  <cp:lastModifiedBy>Julian Puderbach</cp:lastModifiedBy>
  <dcterms:created xsi:type="dcterms:W3CDTF">2022-12-14T18:23:02Z</dcterms:created>
  <dcterms:modified xsi:type="dcterms:W3CDTF">2023-01-25T15:15:24Z</dcterms:modified>
</cp:coreProperties>
</file>